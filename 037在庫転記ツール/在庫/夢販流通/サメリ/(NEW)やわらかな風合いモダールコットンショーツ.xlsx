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サメリ\"/>
    </mc:Choice>
  </mc:AlternateContent>
  <xr:revisionPtr revIDLastSave="0" documentId="13_ncr:1_{9BB07925-D7E7-4695-B6DD-E096EA0D145A}" xr6:coauthVersionLast="47" xr6:coauthVersionMax="47" xr10:uidLastSave="{00000000-0000-0000-0000-000000000000}"/>
  <bookViews>
    <workbookView xWindow="-120" yWindow="-120" windowWidth="29040" windowHeight="15840" tabRatio="599" activeTab="1" xr2:uid="{00000000-000D-0000-FFFF-FFFF00000000}"/>
  </bookViews>
  <sheets>
    <sheet name="3色組" sheetId="3" r:id="rId1"/>
    <sheet name="単品" sheetId="5" r:id="rId2"/>
    <sheet name="Sheet1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756" i="5" l="1"/>
  <c r="AZ756" i="5"/>
  <c r="AY756" i="5"/>
  <c r="AX756" i="5"/>
  <c r="AV756" i="5"/>
  <c r="AU756" i="5"/>
  <c r="AU757" i="5" s="1"/>
  <c r="AT756" i="5"/>
  <c r="AS756" i="5"/>
  <c r="AW756" i="5" s="1"/>
  <c r="AN756" i="5"/>
  <c r="BA755" i="5"/>
  <c r="AZ755" i="5"/>
  <c r="AZ757" i="5" s="1"/>
  <c r="AY755" i="5"/>
  <c r="AX755" i="5"/>
  <c r="AL755" i="5"/>
  <c r="AK755" i="5"/>
  <c r="AK757" i="5" s="1"/>
  <c r="AJ755" i="5"/>
  <c r="AI755" i="5"/>
  <c r="AM755" i="5" s="1"/>
  <c r="AF755" i="5"/>
  <c r="AH771" i="5"/>
  <c r="AM771" i="5"/>
  <c r="AR771" i="5"/>
  <c r="AW771" i="5"/>
  <c r="BB771" i="5"/>
  <c r="BC771" i="5"/>
  <c r="AH772" i="5"/>
  <c r="AM772" i="5"/>
  <c r="AR772" i="5"/>
  <c r="AW772" i="5"/>
  <c r="BB772" i="5"/>
  <c r="BC772" i="5"/>
  <c r="AH773" i="5"/>
  <c r="AM773" i="5"/>
  <c r="AR773" i="5"/>
  <c r="AW773" i="5"/>
  <c r="BB773" i="5"/>
  <c r="AH774" i="5"/>
  <c r="AM774" i="5"/>
  <c r="AR774" i="5"/>
  <c r="AW774" i="5"/>
  <c r="BB774" i="5"/>
  <c r="BC774" i="5"/>
  <c r="AH775" i="5"/>
  <c r="AM775" i="5"/>
  <c r="AR775" i="5"/>
  <c r="BC775" i="5" s="1"/>
  <c r="AW775" i="5"/>
  <c r="BB775" i="5"/>
  <c r="AH776" i="5"/>
  <c r="AM776" i="5"/>
  <c r="AR776" i="5"/>
  <c r="AW776" i="5"/>
  <c r="BB776" i="5"/>
  <c r="BC776" i="5"/>
  <c r="AH777" i="5"/>
  <c r="AM777" i="5"/>
  <c r="AR777" i="5"/>
  <c r="AW777" i="5"/>
  <c r="BB777" i="5"/>
  <c r="BC777" i="5"/>
  <c r="AH778" i="5"/>
  <c r="AM778" i="5"/>
  <c r="AR778" i="5"/>
  <c r="AW778" i="5"/>
  <c r="BB778" i="5"/>
  <c r="BC778" i="5"/>
  <c r="AH779" i="5"/>
  <c r="AM779" i="5"/>
  <c r="AR779" i="5"/>
  <c r="AW779" i="5"/>
  <c r="BB779" i="5"/>
  <c r="BC779" i="5"/>
  <c r="AH780" i="5"/>
  <c r="AM780" i="5"/>
  <c r="AR780" i="5"/>
  <c r="AW780" i="5"/>
  <c r="BB780" i="5"/>
  <c r="BC780" i="5"/>
  <c r="AH781" i="5"/>
  <c r="AM781" i="5"/>
  <c r="AR781" i="5"/>
  <c r="AW781" i="5"/>
  <c r="BB781" i="5"/>
  <c r="BC781" i="5"/>
  <c r="AH782" i="5"/>
  <c r="AM782" i="5"/>
  <c r="AR782" i="5"/>
  <c r="AW782" i="5"/>
  <c r="BB782" i="5"/>
  <c r="BC782" i="5"/>
  <c r="AH783" i="5"/>
  <c r="AM783" i="5"/>
  <c r="AR783" i="5"/>
  <c r="AW783" i="5"/>
  <c r="BB783" i="5"/>
  <c r="BC783" i="5"/>
  <c r="AH784" i="5"/>
  <c r="AM784" i="5"/>
  <c r="AR784" i="5"/>
  <c r="AW784" i="5"/>
  <c r="BB784" i="5"/>
  <c r="BC784" i="5"/>
  <c r="AH785" i="5"/>
  <c r="AM785" i="5"/>
  <c r="AR785" i="5"/>
  <c r="AW785" i="5"/>
  <c r="BB785" i="5"/>
  <c r="BC785" i="5"/>
  <c r="AH786" i="5"/>
  <c r="AM786" i="5"/>
  <c r="AR786" i="5"/>
  <c r="AW786" i="5"/>
  <c r="BB786" i="5"/>
  <c r="BC786" i="5"/>
  <c r="AH787" i="5"/>
  <c r="AM787" i="5"/>
  <c r="AR787" i="5"/>
  <c r="AW787" i="5"/>
  <c r="BB787" i="5"/>
  <c r="BC787" i="5"/>
  <c r="AH788" i="5"/>
  <c r="AM788" i="5"/>
  <c r="AR788" i="5"/>
  <c r="AW788" i="5"/>
  <c r="BB788" i="5"/>
  <c r="BC788" i="5"/>
  <c r="AH789" i="5"/>
  <c r="AM789" i="5"/>
  <c r="AR789" i="5"/>
  <c r="AW789" i="5"/>
  <c r="BB789" i="5"/>
  <c r="BC789" i="5"/>
  <c r="AH790" i="5"/>
  <c r="AM790" i="5"/>
  <c r="AR790" i="5"/>
  <c r="AW790" i="5"/>
  <c r="BB790" i="5"/>
  <c r="BC790" i="5"/>
  <c r="AH794" i="5"/>
  <c r="AM794" i="5"/>
  <c r="AR794" i="5"/>
  <c r="AW794" i="5"/>
  <c r="BB794" i="5"/>
  <c r="BC794" i="5"/>
  <c r="AH795" i="5"/>
  <c r="AM795" i="5"/>
  <c r="AR795" i="5"/>
  <c r="AW795" i="5"/>
  <c r="BB795" i="5"/>
  <c r="BC795" i="5"/>
  <c r="AH796" i="5"/>
  <c r="AM796" i="5"/>
  <c r="AR796" i="5"/>
  <c r="AW796" i="5"/>
  <c r="BB796" i="5"/>
  <c r="BC796" i="5"/>
  <c r="F771" i="5"/>
  <c r="K771" i="5"/>
  <c r="P771" i="5"/>
  <c r="U771" i="5"/>
  <c r="Z771" i="5"/>
  <c r="AA771" i="5"/>
  <c r="F772" i="5"/>
  <c r="K772" i="5"/>
  <c r="P772" i="5"/>
  <c r="AA772" i="5" s="1"/>
  <c r="U772" i="5"/>
  <c r="Z772" i="5"/>
  <c r="F773" i="5"/>
  <c r="K773" i="5"/>
  <c r="P773" i="5"/>
  <c r="U773" i="5"/>
  <c r="Z773" i="5"/>
  <c r="AA773" i="5"/>
  <c r="F774" i="5"/>
  <c r="K774" i="5"/>
  <c r="P774" i="5"/>
  <c r="U774" i="5"/>
  <c r="Z774" i="5"/>
  <c r="AA774" i="5" s="1"/>
  <c r="F775" i="5"/>
  <c r="K775" i="5"/>
  <c r="P775" i="5"/>
  <c r="U775" i="5"/>
  <c r="Z775" i="5"/>
  <c r="AA775" i="5"/>
  <c r="F776" i="5"/>
  <c r="K776" i="5"/>
  <c r="P776" i="5"/>
  <c r="U776" i="5"/>
  <c r="Z776" i="5"/>
  <c r="AA776" i="5"/>
  <c r="F777" i="5"/>
  <c r="K777" i="5"/>
  <c r="P777" i="5"/>
  <c r="U777" i="5"/>
  <c r="Z777" i="5"/>
  <c r="AA777" i="5"/>
  <c r="F778" i="5"/>
  <c r="K778" i="5"/>
  <c r="P778" i="5"/>
  <c r="U778" i="5"/>
  <c r="Z778" i="5"/>
  <c r="AA778" i="5"/>
  <c r="F779" i="5"/>
  <c r="K779" i="5"/>
  <c r="P779" i="5"/>
  <c r="U779" i="5"/>
  <c r="Z779" i="5"/>
  <c r="AA779" i="5"/>
  <c r="F780" i="5"/>
  <c r="K780" i="5"/>
  <c r="P780" i="5"/>
  <c r="U780" i="5"/>
  <c r="Z780" i="5"/>
  <c r="AA780" i="5"/>
  <c r="F781" i="5"/>
  <c r="K781" i="5"/>
  <c r="P781" i="5"/>
  <c r="U781" i="5"/>
  <c r="Z781" i="5"/>
  <c r="AA781" i="5"/>
  <c r="F782" i="5"/>
  <c r="K782" i="5"/>
  <c r="P782" i="5"/>
  <c r="U782" i="5"/>
  <c r="Z782" i="5"/>
  <c r="AA782" i="5"/>
  <c r="F783" i="5"/>
  <c r="K783" i="5"/>
  <c r="P783" i="5"/>
  <c r="U783" i="5"/>
  <c r="Z783" i="5"/>
  <c r="AA783" i="5"/>
  <c r="F784" i="5"/>
  <c r="K784" i="5"/>
  <c r="P784" i="5"/>
  <c r="U784" i="5"/>
  <c r="Z784" i="5"/>
  <c r="AA784" i="5"/>
  <c r="F785" i="5"/>
  <c r="K785" i="5"/>
  <c r="P785" i="5"/>
  <c r="U785" i="5"/>
  <c r="Z785" i="5"/>
  <c r="AA785" i="5"/>
  <c r="F786" i="5"/>
  <c r="K786" i="5"/>
  <c r="P786" i="5"/>
  <c r="U786" i="5"/>
  <c r="Z786" i="5"/>
  <c r="AA786" i="5"/>
  <c r="F787" i="5"/>
  <c r="K787" i="5"/>
  <c r="P787" i="5"/>
  <c r="U787" i="5"/>
  <c r="Z787" i="5"/>
  <c r="AA787" i="5"/>
  <c r="F788" i="5"/>
  <c r="K788" i="5"/>
  <c r="P788" i="5"/>
  <c r="U788" i="5"/>
  <c r="Z788" i="5"/>
  <c r="AA788" i="5"/>
  <c r="F789" i="5"/>
  <c r="K789" i="5"/>
  <c r="P789" i="5"/>
  <c r="U789" i="5"/>
  <c r="Z789" i="5"/>
  <c r="AA789" i="5"/>
  <c r="F790" i="5"/>
  <c r="K790" i="5"/>
  <c r="P790" i="5"/>
  <c r="U790" i="5"/>
  <c r="Z790" i="5"/>
  <c r="AA790" i="5"/>
  <c r="F791" i="5"/>
  <c r="K791" i="5"/>
  <c r="P791" i="5"/>
  <c r="U791" i="5"/>
  <c r="Z791" i="5"/>
  <c r="AA791" i="5"/>
  <c r="AJ797" i="5"/>
  <c r="AF797" i="5"/>
  <c r="Y797" i="5"/>
  <c r="X797" i="5"/>
  <c r="W797" i="5"/>
  <c r="V797" i="5"/>
  <c r="T797" i="5"/>
  <c r="S797" i="5"/>
  <c r="R797" i="5"/>
  <c r="Q797" i="5"/>
  <c r="U797" i="5" s="1"/>
  <c r="O797" i="5"/>
  <c r="N797" i="5"/>
  <c r="M797" i="5"/>
  <c r="L797" i="5"/>
  <c r="P797" i="5" s="1"/>
  <c r="J797" i="5"/>
  <c r="I797" i="5"/>
  <c r="H797" i="5"/>
  <c r="G797" i="5"/>
  <c r="E797" i="5"/>
  <c r="D797" i="5"/>
  <c r="C797" i="5"/>
  <c r="B797" i="5"/>
  <c r="F797" i="5" s="1"/>
  <c r="AV797" i="5"/>
  <c r="AU797" i="5"/>
  <c r="AT797" i="5"/>
  <c r="AS797" i="5"/>
  <c r="AQ797" i="5"/>
  <c r="AP797" i="5"/>
  <c r="AO797" i="5"/>
  <c r="AN797" i="5"/>
  <c r="AR797" i="5" s="1"/>
  <c r="Z796" i="5"/>
  <c r="U796" i="5"/>
  <c r="P796" i="5"/>
  <c r="K796" i="5"/>
  <c r="F796" i="5"/>
  <c r="BA797" i="5"/>
  <c r="AZ797" i="5"/>
  <c r="AY797" i="5"/>
  <c r="AX797" i="5"/>
  <c r="AL797" i="5"/>
  <c r="AK797" i="5"/>
  <c r="AI797" i="5"/>
  <c r="AG797" i="5"/>
  <c r="AE797" i="5"/>
  <c r="AD797" i="5"/>
  <c r="Z795" i="5"/>
  <c r="U795" i="5"/>
  <c r="P795" i="5"/>
  <c r="K795" i="5"/>
  <c r="F795" i="5"/>
  <c r="Z794" i="5"/>
  <c r="U794" i="5"/>
  <c r="P794" i="5"/>
  <c r="K794" i="5"/>
  <c r="F794" i="5"/>
  <c r="BB793" i="5"/>
  <c r="AW793" i="5"/>
  <c r="AR793" i="5"/>
  <c r="AM793" i="5"/>
  <c r="AH793" i="5"/>
  <c r="Z793" i="5"/>
  <c r="U793" i="5"/>
  <c r="P793" i="5"/>
  <c r="K793" i="5"/>
  <c r="F793" i="5"/>
  <c r="BB792" i="5"/>
  <c r="AW792" i="5"/>
  <c r="AR792" i="5"/>
  <c r="AM792" i="5"/>
  <c r="AH792" i="5"/>
  <c r="Z792" i="5"/>
  <c r="U792" i="5"/>
  <c r="P792" i="5"/>
  <c r="K792" i="5"/>
  <c r="F792" i="5"/>
  <c r="BB791" i="5"/>
  <c r="AW791" i="5"/>
  <c r="AR791" i="5"/>
  <c r="AM791" i="5"/>
  <c r="AH791" i="5"/>
  <c r="BB769" i="5"/>
  <c r="AW769" i="5"/>
  <c r="BC769" i="5" s="1"/>
  <c r="AR769" i="5"/>
  <c r="AM769" i="5"/>
  <c r="AH769" i="5"/>
  <c r="Z769" i="5"/>
  <c r="U769" i="5"/>
  <c r="AA769" i="5" s="1"/>
  <c r="P769" i="5"/>
  <c r="K769" i="5"/>
  <c r="F769" i="5"/>
  <c r="BB768" i="5"/>
  <c r="AW768" i="5"/>
  <c r="BC768" i="5" s="1"/>
  <c r="AR768" i="5"/>
  <c r="AM768" i="5"/>
  <c r="AH768" i="5"/>
  <c r="Z768" i="5"/>
  <c r="U768" i="5"/>
  <c r="P768" i="5"/>
  <c r="K768" i="5"/>
  <c r="F768" i="5"/>
  <c r="BB767" i="5"/>
  <c r="AW767" i="5"/>
  <c r="BC767" i="5" s="1"/>
  <c r="AR767" i="5"/>
  <c r="AM767" i="5"/>
  <c r="AH767" i="5"/>
  <c r="Z767" i="5"/>
  <c r="U767" i="5"/>
  <c r="P767" i="5"/>
  <c r="K767" i="5"/>
  <c r="F767" i="5"/>
  <c r="BB766" i="5"/>
  <c r="AW766" i="5"/>
  <c r="BC766" i="5" s="1"/>
  <c r="AR766" i="5"/>
  <c r="AM766" i="5"/>
  <c r="AH766" i="5"/>
  <c r="Z766" i="5"/>
  <c r="U766" i="5"/>
  <c r="P766" i="5"/>
  <c r="K766" i="5"/>
  <c r="F766" i="5"/>
  <c r="BB765" i="5"/>
  <c r="AW765" i="5"/>
  <c r="BC765" i="5" s="1"/>
  <c r="AR765" i="5"/>
  <c r="AM765" i="5"/>
  <c r="AH765" i="5"/>
  <c r="Z765" i="5"/>
  <c r="U765" i="5"/>
  <c r="P765" i="5"/>
  <c r="K765" i="5"/>
  <c r="F765" i="5"/>
  <c r="Z764" i="5"/>
  <c r="Y764" i="5"/>
  <c r="Y770" i="5" s="1"/>
  <c r="Y798" i="5" s="1"/>
  <c r="X764" i="5"/>
  <c r="X770" i="5" s="1"/>
  <c r="W764" i="5"/>
  <c r="W770" i="5" s="1"/>
  <c r="W798" i="5" s="1"/>
  <c r="V764" i="5"/>
  <c r="V770" i="5" s="1"/>
  <c r="T764" i="5"/>
  <c r="T770" i="5" s="1"/>
  <c r="T798" i="5" s="1"/>
  <c r="S764" i="5"/>
  <c r="S770" i="5" s="1"/>
  <c r="Q764" i="5"/>
  <c r="Q770" i="5" s="1"/>
  <c r="P764" i="5"/>
  <c r="O764" i="5"/>
  <c r="O770" i="5" s="1"/>
  <c r="O798" i="5" s="1"/>
  <c r="N764" i="5"/>
  <c r="N770" i="5" s="1"/>
  <c r="M764" i="5"/>
  <c r="M770" i="5" s="1"/>
  <c r="M798" i="5" s="1"/>
  <c r="L764" i="5"/>
  <c r="L770" i="5" s="1"/>
  <c r="I764" i="5"/>
  <c r="I770" i="5" s="1"/>
  <c r="I798" i="5" s="1"/>
  <c r="H764" i="5"/>
  <c r="H770" i="5" s="1"/>
  <c r="G764" i="5"/>
  <c r="G770" i="5" s="1"/>
  <c r="E764" i="5"/>
  <c r="E770" i="5" s="1"/>
  <c r="E798" i="5" s="1"/>
  <c r="C764" i="5"/>
  <c r="C770" i="5" s="1"/>
  <c r="AD755" i="5"/>
  <c r="AG755" i="5"/>
  <c r="AP756" i="5"/>
  <c r="AO756" i="5"/>
  <c r="BB755" i="5"/>
  <c r="AE755" i="5"/>
  <c r="AQ756" i="5"/>
  <c r="F705" i="5"/>
  <c r="K705" i="5"/>
  <c r="P705" i="5"/>
  <c r="U705" i="5"/>
  <c r="Z705" i="5"/>
  <c r="AA705" i="5"/>
  <c r="Z731" i="5"/>
  <c r="AA731" i="5" s="1"/>
  <c r="U731" i="5"/>
  <c r="P731" i="5"/>
  <c r="K731" i="5"/>
  <c r="F731" i="5"/>
  <c r="BB756" i="5"/>
  <c r="F699" i="5"/>
  <c r="F694" i="5"/>
  <c r="K694" i="5"/>
  <c r="P694" i="5"/>
  <c r="U694" i="5"/>
  <c r="Z694" i="5"/>
  <c r="AA694" i="5" s="1"/>
  <c r="BB699" i="5"/>
  <c r="BC699" i="5" s="1"/>
  <c r="AW699" i="5"/>
  <c r="AR699" i="5"/>
  <c r="AM699" i="5"/>
  <c r="AH699" i="5"/>
  <c r="AS677" i="5"/>
  <c r="Y757" i="5"/>
  <c r="X757" i="5"/>
  <c r="W757" i="5"/>
  <c r="V757" i="5"/>
  <c r="T757" i="5"/>
  <c r="S757" i="5"/>
  <c r="R757" i="5"/>
  <c r="Q757" i="5"/>
  <c r="O757" i="5"/>
  <c r="N757" i="5"/>
  <c r="M757" i="5"/>
  <c r="L757" i="5"/>
  <c r="J757" i="5"/>
  <c r="I757" i="5"/>
  <c r="H757" i="5"/>
  <c r="G757" i="5"/>
  <c r="E757" i="5"/>
  <c r="D757" i="5"/>
  <c r="C757" i="5"/>
  <c r="B757" i="5"/>
  <c r="Z756" i="5"/>
  <c r="AA756" i="5" s="1"/>
  <c r="U756" i="5"/>
  <c r="P756" i="5"/>
  <c r="K756" i="5"/>
  <c r="F756" i="5"/>
  <c r="Z755" i="5"/>
  <c r="AA755" i="5" s="1"/>
  <c r="U755" i="5"/>
  <c r="P755" i="5"/>
  <c r="K755" i="5"/>
  <c r="F755" i="5"/>
  <c r="Z754" i="5"/>
  <c r="U754" i="5"/>
  <c r="P754" i="5"/>
  <c r="K754" i="5"/>
  <c r="F754" i="5"/>
  <c r="Z753" i="5"/>
  <c r="AA753" i="5" s="1"/>
  <c r="U753" i="5"/>
  <c r="P753" i="5"/>
  <c r="K753" i="5"/>
  <c r="F753" i="5"/>
  <c r="Z752" i="5"/>
  <c r="U752" i="5"/>
  <c r="P752" i="5"/>
  <c r="K752" i="5"/>
  <c r="F752" i="5"/>
  <c r="Z751" i="5"/>
  <c r="U751" i="5"/>
  <c r="P751" i="5"/>
  <c r="K751" i="5"/>
  <c r="F751" i="5"/>
  <c r="Z750" i="5"/>
  <c r="U750" i="5"/>
  <c r="P750" i="5"/>
  <c r="K750" i="5"/>
  <c r="F750" i="5"/>
  <c r="Z749" i="5"/>
  <c r="AA749" i="5" s="1"/>
  <c r="U749" i="5"/>
  <c r="P749" i="5"/>
  <c r="K749" i="5"/>
  <c r="F749" i="5"/>
  <c r="Z748" i="5"/>
  <c r="U748" i="5"/>
  <c r="P748" i="5"/>
  <c r="K748" i="5"/>
  <c r="F748" i="5"/>
  <c r="Z747" i="5"/>
  <c r="AA747" i="5" s="1"/>
  <c r="U747" i="5"/>
  <c r="P747" i="5"/>
  <c r="K747" i="5"/>
  <c r="F747" i="5"/>
  <c r="Z746" i="5"/>
  <c r="U746" i="5"/>
  <c r="P746" i="5"/>
  <c r="K746" i="5"/>
  <c r="F746" i="5"/>
  <c r="Z745" i="5"/>
  <c r="U745" i="5"/>
  <c r="P745" i="5"/>
  <c r="K745" i="5"/>
  <c r="F745" i="5"/>
  <c r="Z744" i="5"/>
  <c r="U744" i="5"/>
  <c r="P744" i="5"/>
  <c r="K744" i="5"/>
  <c r="F744" i="5"/>
  <c r="Z743" i="5"/>
  <c r="U743" i="5"/>
  <c r="P743" i="5"/>
  <c r="K743" i="5"/>
  <c r="F743" i="5"/>
  <c r="Z742" i="5"/>
  <c r="AA742" i="5" s="1"/>
  <c r="U742" i="5"/>
  <c r="P742" i="5"/>
  <c r="K742" i="5"/>
  <c r="F742" i="5"/>
  <c r="Z741" i="5"/>
  <c r="U741" i="5"/>
  <c r="P741" i="5"/>
  <c r="K741" i="5"/>
  <c r="F741" i="5"/>
  <c r="Z740" i="5"/>
  <c r="U740" i="5"/>
  <c r="P740" i="5"/>
  <c r="K740" i="5"/>
  <c r="F740" i="5"/>
  <c r="Z739" i="5"/>
  <c r="AA739" i="5" s="1"/>
  <c r="U739" i="5"/>
  <c r="P739" i="5"/>
  <c r="K739" i="5"/>
  <c r="F739" i="5"/>
  <c r="Z738" i="5"/>
  <c r="U738" i="5"/>
  <c r="P738" i="5"/>
  <c r="K738" i="5"/>
  <c r="F738" i="5"/>
  <c r="Z737" i="5"/>
  <c r="U737" i="5"/>
  <c r="P737" i="5"/>
  <c r="K737" i="5"/>
  <c r="F737" i="5"/>
  <c r="Z736" i="5"/>
  <c r="U736" i="5"/>
  <c r="P736" i="5"/>
  <c r="K736" i="5"/>
  <c r="F736" i="5"/>
  <c r="Z735" i="5"/>
  <c r="U735" i="5"/>
  <c r="P735" i="5"/>
  <c r="K735" i="5"/>
  <c r="F735" i="5"/>
  <c r="Z734" i="5"/>
  <c r="U734" i="5"/>
  <c r="P734" i="5"/>
  <c r="K734" i="5"/>
  <c r="F734" i="5"/>
  <c r="Z733" i="5"/>
  <c r="AA733" i="5" s="1"/>
  <c r="U733" i="5"/>
  <c r="P733" i="5"/>
  <c r="K733" i="5"/>
  <c r="F733" i="5"/>
  <c r="Z732" i="5"/>
  <c r="U732" i="5"/>
  <c r="P732" i="5"/>
  <c r="K732" i="5"/>
  <c r="F732" i="5"/>
  <c r="Z729" i="5"/>
  <c r="AA729" i="5" s="1"/>
  <c r="U729" i="5"/>
  <c r="P729" i="5"/>
  <c r="K729" i="5"/>
  <c r="F729" i="5"/>
  <c r="Z728" i="5"/>
  <c r="U728" i="5"/>
  <c r="P728" i="5"/>
  <c r="K728" i="5"/>
  <c r="F728" i="5"/>
  <c r="Z727" i="5"/>
  <c r="U727" i="5"/>
  <c r="P727" i="5"/>
  <c r="K727" i="5"/>
  <c r="F727" i="5"/>
  <c r="Z726" i="5"/>
  <c r="U726" i="5"/>
  <c r="P726" i="5"/>
  <c r="K726" i="5"/>
  <c r="F726" i="5"/>
  <c r="Z725" i="5"/>
  <c r="AA725" i="5" s="1"/>
  <c r="U725" i="5"/>
  <c r="P725" i="5"/>
  <c r="K725" i="5"/>
  <c r="F725" i="5"/>
  <c r="AH714" i="5"/>
  <c r="AM714" i="5"/>
  <c r="AR714" i="5"/>
  <c r="AW714" i="5"/>
  <c r="BB714" i="5"/>
  <c r="AH715" i="5"/>
  <c r="AM715" i="5"/>
  <c r="AR715" i="5"/>
  <c r="AW715" i="5"/>
  <c r="BB715" i="5"/>
  <c r="BC715" i="5"/>
  <c r="AH716" i="5"/>
  <c r="AM716" i="5"/>
  <c r="AR716" i="5"/>
  <c r="AW716" i="5"/>
  <c r="BB716" i="5"/>
  <c r="AH731" i="5"/>
  <c r="AM731" i="5"/>
  <c r="AR731" i="5"/>
  <c r="AW731" i="5"/>
  <c r="BC731" i="5" s="1"/>
  <c r="BB731" i="5"/>
  <c r="AH732" i="5"/>
  <c r="AM732" i="5"/>
  <c r="AR732" i="5"/>
  <c r="AW732" i="5"/>
  <c r="BB732" i="5"/>
  <c r="AH733" i="5"/>
  <c r="AM733" i="5"/>
  <c r="AR733" i="5"/>
  <c r="AW733" i="5"/>
  <c r="BC733" i="5" s="1"/>
  <c r="BB733" i="5"/>
  <c r="AH734" i="5"/>
  <c r="AM734" i="5"/>
  <c r="AR734" i="5"/>
  <c r="AW734" i="5"/>
  <c r="BB734" i="5"/>
  <c r="BC734" i="5"/>
  <c r="AH735" i="5"/>
  <c r="AM735" i="5"/>
  <c r="AR735" i="5"/>
  <c r="AW735" i="5"/>
  <c r="BB735" i="5"/>
  <c r="BA757" i="5"/>
  <c r="AV757" i="5"/>
  <c r="AT757" i="5"/>
  <c r="AQ757" i="5"/>
  <c r="AP757" i="5"/>
  <c r="AO757" i="5"/>
  <c r="AN757" i="5"/>
  <c r="AL757" i="5"/>
  <c r="AG757" i="5"/>
  <c r="AF757" i="5"/>
  <c r="AE757" i="5"/>
  <c r="AD757" i="5"/>
  <c r="AR756" i="5"/>
  <c r="AM756" i="5"/>
  <c r="AH756" i="5"/>
  <c r="AW755" i="5"/>
  <c r="AR755" i="5"/>
  <c r="AH755" i="5"/>
  <c r="BB754" i="5"/>
  <c r="AW754" i="5"/>
  <c r="AR754" i="5"/>
  <c r="AM754" i="5"/>
  <c r="AH754" i="5"/>
  <c r="BB753" i="5"/>
  <c r="AW753" i="5"/>
  <c r="AR753" i="5"/>
  <c r="AM753" i="5"/>
  <c r="BC753" i="5" s="1"/>
  <c r="AH753" i="5"/>
  <c r="BB752" i="5"/>
  <c r="AW752" i="5"/>
  <c r="BC752" i="5" s="1"/>
  <c r="AR752" i="5"/>
  <c r="AM752" i="5"/>
  <c r="AH752" i="5"/>
  <c r="BB751" i="5"/>
  <c r="AW751" i="5"/>
  <c r="AR751" i="5"/>
  <c r="AM751" i="5"/>
  <c r="AH751" i="5"/>
  <c r="BB750" i="5"/>
  <c r="AW750" i="5"/>
  <c r="AR750" i="5"/>
  <c r="AM750" i="5"/>
  <c r="AH750" i="5"/>
  <c r="BB749" i="5"/>
  <c r="AW749" i="5"/>
  <c r="AR749" i="5"/>
  <c r="AM749" i="5"/>
  <c r="AH749" i="5"/>
  <c r="BB748" i="5"/>
  <c r="AW748" i="5"/>
  <c r="BC748" i="5" s="1"/>
  <c r="AR748" i="5"/>
  <c r="AM748" i="5"/>
  <c r="AH748" i="5"/>
  <c r="BB747" i="5"/>
  <c r="AW747" i="5"/>
  <c r="AR747" i="5"/>
  <c r="AM747" i="5"/>
  <c r="AH747" i="5"/>
  <c r="BB746" i="5"/>
  <c r="AW746" i="5"/>
  <c r="AR746" i="5"/>
  <c r="AM746" i="5"/>
  <c r="AH746" i="5"/>
  <c r="BB745" i="5"/>
  <c r="AW745" i="5"/>
  <c r="AR745" i="5"/>
  <c r="AM745" i="5"/>
  <c r="BC745" i="5" s="1"/>
  <c r="AH745" i="5"/>
  <c r="BB744" i="5"/>
  <c r="AW744" i="5"/>
  <c r="AR744" i="5"/>
  <c r="AM744" i="5"/>
  <c r="AH744" i="5"/>
  <c r="BB743" i="5"/>
  <c r="AW743" i="5"/>
  <c r="AR743" i="5"/>
  <c r="AM743" i="5"/>
  <c r="AH743" i="5"/>
  <c r="BB742" i="5"/>
  <c r="AW742" i="5"/>
  <c r="BC742" i="5" s="1"/>
  <c r="AR742" i="5"/>
  <c r="AM742" i="5"/>
  <c r="AH742" i="5"/>
  <c r="BB741" i="5"/>
  <c r="AW741" i="5"/>
  <c r="AR741" i="5"/>
  <c r="AM741" i="5"/>
  <c r="AH741" i="5"/>
  <c r="BB740" i="5"/>
  <c r="AW740" i="5"/>
  <c r="BC740" i="5" s="1"/>
  <c r="AR740" i="5"/>
  <c r="AM740" i="5"/>
  <c r="AH740" i="5"/>
  <c r="BB739" i="5"/>
  <c r="AW739" i="5"/>
  <c r="AR739" i="5"/>
  <c r="AM739" i="5"/>
  <c r="AH739" i="5"/>
  <c r="BB738" i="5"/>
  <c r="AW738" i="5"/>
  <c r="BC738" i="5" s="1"/>
  <c r="AR738" i="5"/>
  <c r="AM738" i="5"/>
  <c r="AH738" i="5"/>
  <c r="BB737" i="5"/>
  <c r="AW737" i="5"/>
  <c r="AR737" i="5"/>
  <c r="AM737" i="5"/>
  <c r="AH737" i="5"/>
  <c r="BB736" i="5"/>
  <c r="AW736" i="5"/>
  <c r="AR736" i="5"/>
  <c r="AM736" i="5"/>
  <c r="AH736" i="5"/>
  <c r="BB729" i="5"/>
  <c r="AW729" i="5"/>
  <c r="AR729" i="5"/>
  <c r="AM729" i="5"/>
  <c r="BC729" i="5" s="1"/>
  <c r="AH729" i="5"/>
  <c r="BB728" i="5"/>
  <c r="BC728" i="5" s="1"/>
  <c r="AW728" i="5"/>
  <c r="AR728" i="5"/>
  <c r="AM728" i="5"/>
  <c r="AH728" i="5"/>
  <c r="BB727" i="5"/>
  <c r="AW727" i="5"/>
  <c r="AR727" i="5"/>
  <c r="AM727" i="5"/>
  <c r="BC727" i="5" s="1"/>
  <c r="AH727" i="5"/>
  <c r="BB726" i="5"/>
  <c r="BC726" i="5" s="1"/>
  <c r="AW726" i="5"/>
  <c r="AR726" i="5"/>
  <c r="AM726" i="5"/>
  <c r="AH726" i="5"/>
  <c r="BB725" i="5"/>
  <c r="AW725" i="5"/>
  <c r="AR725" i="5"/>
  <c r="AM725" i="5"/>
  <c r="BC725" i="5" s="1"/>
  <c r="AH725" i="5"/>
  <c r="AU677" i="5"/>
  <c r="BA677" i="5"/>
  <c r="BB675" i="5"/>
  <c r="AK677" i="5"/>
  <c r="AL677" i="5"/>
  <c r="AH631" i="5"/>
  <c r="AM631" i="5"/>
  <c r="AR631" i="5"/>
  <c r="AW631" i="5"/>
  <c r="BB631" i="5"/>
  <c r="BB651" i="5"/>
  <c r="AW651" i="5"/>
  <c r="AR651" i="5"/>
  <c r="AM651" i="5"/>
  <c r="AH651" i="5"/>
  <c r="AH630" i="5"/>
  <c r="AM630" i="5"/>
  <c r="AR630" i="5"/>
  <c r="AW630" i="5"/>
  <c r="BB630" i="5"/>
  <c r="Z627" i="5"/>
  <c r="AA627" i="5" s="1"/>
  <c r="U627" i="5"/>
  <c r="P627" i="5"/>
  <c r="K627" i="5"/>
  <c r="F627" i="5"/>
  <c r="AG677" i="5"/>
  <c r="AF677" i="5"/>
  <c r="AZ637" i="5"/>
  <c r="AH624" i="5"/>
  <c r="AM624" i="5"/>
  <c r="AR624" i="5"/>
  <c r="AW624" i="5"/>
  <c r="BB624" i="5"/>
  <c r="BC624" i="5"/>
  <c r="AH625" i="5"/>
  <c r="AM625" i="5"/>
  <c r="AR625" i="5"/>
  <c r="AW625" i="5"/>
  <c r="BC625" i="5" s="1"/>
  <c r="BB625" i="5"/>
  <c r="AU637" i="5"/>
  <c r="Z609" i="5"/>
  <c r="AA609" i="5" s="1"/>
  <c r="U609" i="5"/>
  <c r="P609" i="5"/>
  <c r="K609" i="5"/>
  <c r="F609" i="5"/>
  <c r="AT717" i="5"/>
  <c r="AO717" i="5"/>
  <c r="BA717" i="5"/>
  <c r="AL717" i="5"/>
  <c r="BB673" i="5"/>
  <c r="AW673" i="5"/>
  <c r="AR673" i="5"/>
  <c r="AM673" i="5"/>
  <c r="AH673" i="5"/>
  <c r="F578" i="5"/>
  <c r="K578" i="5"/>
  <c r="P578" i="5"/>
  <c r="U578" i="5"/>
  <c r="Z578" i="5"/>
  <c r="AA578" i="5"/>
  <c r="F579" i="5"/>
  <c r="K579" i="5"/>
  <c r="P579" i="5"/>
  <c r="U579" i="5"/>
  <c r="AA579" i="5" s="1"/>
  <c r="Z579" i="5"/>
  <c r="Z612" i="5"/>
  <c r="U612" i="5"/>
  <c r="P612" i="5"/>
  <c r="K612" i="5"/>
  <c r="F612" i="5"/>
  <c r="Z611" i="5"/>
  <c r="AA611" i="5" s="1"/>
  <c r="U611" i="5"/>
  <c r="P611" i="5"/>
  <c r="K611" i="5"/>
  <c r="F611" i="5"/>
  <c r="AH712" i="5"/>
  <c r="AM712" i="5"/>
  <c r="AR712" i="5"/>
  <c r="AW712" i="5"/>
  <c r="BB712" i="5"/>
  <c r="AH713" i="5"/>
  <c r="AM713" i="5"/>
  <c r="AR713" i="5"/>
  <c r="AW713" i="5"/>
  <c r="BB713" i="5"/>
  <c r="AH672" i="5"/>
  <c r="AM672" i="5"/>
  <c r="AR672" i="5"/>
  <c r="AW672" i="5"/>
  <c r="BB672" i="5"/>
  <c r="AD677" i="5"/>
  <c r="AR674" i="5"/>
  <c r="AW674" i="5"/>
  <c r="AH675" i="5"/>
  <c r="AM675" i="5"/>
  <c r="AR675" i="5"/>
  <c r="AV677" i="5" s="1"/>
  <c r="AH676" i="5"/>
  <c r="AM676" i="5"/>
  <c r="AR676" i="5"/>
  <c r="AW676" i="5"/>
  <c r="BB676" i="5"/>
  <c r="AE677" i="5"/>
  <c r="AJ677" i="5"/>
  <c r="AN677" i="5"/>
  <c r="AO677" i="5"/>
  <c r="AP677" i="5"/>
  <c r="AQ677" i="5"/>
  <c r="AY677" i="5"/>
  <c r="AK717" i="5"/>
  <c r="AJ717" i="5"/>
  <c r="Y717" i="5"/>
  <c r="X717" i="5"/>
  <c r="W717" i="5"/>
  <c r="V717" i="5"/>
  <c r="T717" i="5"/>
  <c r="S717" i="5"/>
  <c r="R717" i="5"/>
  <c r="Q717" i="5"/>
  <c r="O717" i="5"/>
  <c r="N717" i="5"/>
  <c r="M717" i="5"/>
  <c r="L717" i="5"/>
  <c r="J717" i="5"/>
  <c r="I717" i="5"/>
  <c r="H717" i="5"/>
  <c r="G717" i="5"/>
  <c r="E717" i="5"/>
  <c r="D717" i="5"/>
  <c r="C717" i="5"/>
  <c r="B717" i="5"/>
  <c r="Z716" i="5"/>
  <c r="U716" i="5"/>
  <c r="P716" i="5"/>
  <c r="K716" i="5"/>
  <c r="F716" i="5"/>
  <c r="Z715" i="5"/>
  <c r="U715" i="5"/>
  <c r="P715" i="5"/>
  <c r="K715" i="5"/>
  <c r="F715" i="5"/>
  <c r="AV717" i="5"/>
  <c r="AU717" i="5"/>
  <c r="AQ717" i="5"/>
  <c r="AP717" i="5"/>
  <c r="Z714" i="5"/>
  <c r="U714" i="5"/>
  <c r="P714" i="5"/>
  <c r="K714" i="5"/>
  <c r="F714" i="5"/>
  <c r="AY717" i="5"/>
  <c r="AI717" i="5"/>
  <c r="AG717" i="5"/>
  <c r="AF717" i="5"/>
  <c r="AE717" i="5"/>
  <c r="Z713" i="5"/>
  <c r="U713" i="5"/>
  <c r="P713" i="5"/>
  <c r="K713" i="5"/>
  <c r="F713" i="5"/>
  <c r="Z712" i="5"/>
  <c r="U712" i="5"/>
  <c r="P712" i="5"/>
  <c r="K712" i="5"/>
  <c r="F712" i="5"/>
  <c r="BB711" i="5"/>
  <c r="AW711" i="5"/>
  <c r="AR711" i="5"/>
  <c r="AM711" i="5"/>
  <c r="AH711" i="5"/>
  <c r="Z711" i="5"/>
  <c r="U711" i="5"/>
  <c r="P711" i="5"/>
  <c r="K711" i="5"/>
  <c r="F711" i="5"/>
  <c r="BB710" i="5"/>
  <c r="AW710" i="5"/>
  <c r="AR710" i="5"/>
  <c r="AM710" i="5"/>
  <c r="AH710" i="5"/>
  <c r="Z710" i="5"/>
  <c r="U710" i="5"/>
  <c r="P710" i="5"/>
  <c r="K710" i="5"/>
  <c r="F710" i="5"/>
  <c r="BB709" i="5"/>
  <c r="AW709" i="5"/>
  <c r="AR709" i="5"/>
  <c r="AM709" i="5"/>
  <c r="AH709" i="5"/>
  <c r="Z709" i="5"/>
  <c r="U709" i="5"/>
  <c r="P709" i="5"/>
  <c r="K709" i="5"/>
  <c r="F709" i="5"/>
  <c r="BB708" i="5"/>
  <c r="AW708" i="5"/>
  <c r="AR708" i="5"/>
  <c r="AM708" i="5"/>
  <c r="AH708" i="5"/>
  <c r="Z708" i="5"/>
  <c r="U708" i="5"/>
  <c r="P708" i="5"/>
  <c r="K708" i="5"/>
  <c r="F708" i="5"/>
  <c r="BB707" i="5"/>
  <c r="AW707" i="5"/>
  <c r="AR707" i="5"/>
  <c r="AM707" i="5"/>
  <c r="AH707" i="5"/>
  <c r="Z707" i="5"/>
  <c r="U707" i="5"/>
  <c r="P707" i="5"/>
  <c r="K707" i="5"/>
  <c r="F707" i="5"/>
  <c r="BB706" i="5"/>
  <c r="AW706" i="5"/>
  <c r="AR706" i="5"/>
  <c r="AM706" i="5"/>
  <c r="AH706" i="5"/>
  <c r="Z706" i="5"/>
  <c r="U706" i="5"/>
  <c r="P706" i="5"/>
  <c r="K706" i="5"/>
  <c r="F706" i="5"/>
  <c r="BB705" i="5"/>
  <c r="AW705" i="5"/>
  <c r="AR705" i="5"/>
  <c r="AM705" i="5"/>
  <c r="AH705" i="5"/>
  <c r="BB704" i="5"/>
  <c r="AW704" i="5"/>
  <c r="AR704" i="5"/>
  <c r="AM704" i="5"/>
  <c r="AH704" i="5"/>
  <c r="Z704" i="5"/>
  <c r="U704" i="5"/>
  <c r="P704" i="5"/>
  <c r="K704" i="5"/>
  <c r="F704" i="5"/>
  <c r="BB703" i="5"/>
  <c r="AW703" i="5"/>
  <c r="AR703" i="5"/>
  <c r="AM703" i="5"/>
  <c r="AH703" i="5"/>
  <c r="Z703" i="5"/>
  <c r="U703" i="5"/>
  <c r="P703" i="5"/>
  <c r="K703" i="5"/>
  <c r="F703" i="5"/>
  <c r="BB702" i="5"/>
  <c r="AW702" i="5"/>
  <c r="AR702" i="5"/>
  <c r="AM702" i="5"/>
  <c r="AH702" i="5"/>
  <c r="Z702" i="5"/>
  <c r="U702" i="5"/>
  <c r="P702" i="5"/>
  <c r="K702" i="5"/>
  <c r="F702" i="5"/>
  <c r="BB701" i="5"/>
  <c r="AW701" i="5"/>
  <c r="AR701" i="5"/>
  <c r="AM701" i="5"/>
  <c r="AH701" i="5"/>
  <c r="Z701" i="5"/>
  <c r="U701" i="5"/>
  <c r="P701" i="5"/>
  <c r="K701" i="5"/>
  <c r="F701" i="5"/>
  <c r="BB700" i="5"/>
  <c r="AW700" i="5"/>
  <c r="AR700" i="5"/>
  <c r="AM700" i="5"/>
  <c r="AH700" i="5"/>
  <c r="Z700" i="5"/>
  <c r="U700" i="5"/>
  <c r="P700" i="5"/>
  <c r="K700" i="5"/>
  <c r="F700" i="5"/>
  <c r="Z699" i="5"/>
  <c r="U699" i="5"/>
  <c r="P699" i="5"/>
  <c r="K699" i="5"/>
  <c r="BB698" i="5"/>
  <c r="AW698" i="5"/>
  <c r="AR698" i="5"/>
  <c r="AM698" i="5"/>
  <c r="AH698" i="5"/>
  <c r="Z698" i="5"/>
  <c r="U698" i="5"/>
  <c r="P698" i="5"/>
  <c r="K698" i="5"/>
  <c r="F698" i="5"/>
  <c r="BB697" i="5"/>
  <c r="AW697" i="5"/>
  <c r="AR697" i="5"/>
  <c r="AM697" i="5"/>
  <c r="AH697" i="5"/>
  <c r="Z697" i="5"/>
  <c r="U697" i="5"/>
  <c r="P697" i="5"/>
  <c r="K697" i="5"/>
  <c r="F697" i="5"/>
  <c r="BB696" i="5"/>
  <c r="AW696" i="5"/>
  <c r="AR696" i="5"/>
  <c r="AM696" i="5"/>
  <c r="AH696" i="5"/>
  <c r="Z696" i="5"/>
  <c r="U696" i="5"/>
  <c r="P696" i="5"/>
  <c r="K696" i="5"/>
  <c r="F696" i="5"/>
  <c r="BB695" i="5"/>
  <c r="AW695" i="5"/>
  <c r="AR695" i="5"/>
  <c r="AM695" i="5"/>
  <c r="AH695" i="5"/>
  <c r="Z695" i="5"/>
  <c r="U695" i="5"/>
  <c r="P695" i="5"/>
  <c r="K695" i="5"/>
  <c r="F695" i="5"/>
  <c r="BB694" i="5"/>
  <c r="AW694" i="5"/>
  <c r="AR694" i="5"/>
  <c r="AM694" i="5"/>
  <c r="AH694" i="5"/>
  <c r="BB693" i="5"/>
  <c r="AW693" i="5"/>
  <c r="AR693" i="5"/>
  <c r="AM693" i="5"/>
  <c r="AH693" i="5"/>
  <c r="Z693" i="5"/>
  <c r="U693" i="5"/>
  <c r="P693" i="5"/>
  <c r="K693" i="5"/>
  <c r="F693" i="5"/>
  <c r="BB692" i="5"/>
  <c r="AW692" i="5"/>
  <c r="AR692" i="5"/>
  <c r="AM692" i="5"/>
  <c r="AH692" i="5"/>
  <c r="Z692" i="5"/>
  <c r="U692" i="5"/>
  <c r="P692" i="5"/>
  <c r="K692" i="5"/>
  <c r="F692" i="5"/>
  <c r="BB691" i="5"/>
  <c r="AW691" i="5"/>
  <c r="AR691" i="5"/>
  <c r="AM691" i="5"/>
  <c r="AH691" i="5"/>
  <c r="Z691" i="5"/>
  <c r="U691" i="5"/>
  <c r="P691" i="5"/>
  <c r="K691" i="5"/>
  <c r="F691" i="5"/>
  <c r="BB689" i="5"/>
  <c r="BC689" i="5" s="1"/>
  <c r="AW689" i="5"/>
  <c r="AR689" i="5"/>
  <c r="AM689" i="5"/>
  <c r="AH689" i="5"/>
  <c r="Z689" i="5"/>
  <c r="U689" i="5"/>
  <c r="P689" i="5"/>
  <c r="K689" i="5"/>
  <c r="F689" i="5"/>
  <c r="BB688" i="5"/>
  <c r="AW688" i="5"/>
  <c r="AR688" i="5"/>
  <c r="AM688" i="5"/>
  <c r="AH688" i="5"/>
  <c r="Z688" i="5"/>
  <c r="U688" i="5"/>
  <c r="P688" i="5"/>
  <c r="K688" i="5"/>
  <c r="F688" i="5"/>
  <c r="BB687" i="5"/>
  <c r="AW687" i="5"/>
  <c r="AR687" i="5"/>
  <c r="AM687" i="5"/>
  <c r="AH687" i="5"/>
  <c r="Z687" i="5"/>
  <c r="U687" i="5"/>
  <c r="P687" i="5"/>
  <c r="K687" i="5"/>
  <c r="AA687" i="5" s="1"/>
  <c r="F687" i="5"/>
  <c r="BB686" i="5"/>
  <c r="AW686" i="5"/>
  <c r="AR686" i="5"/>
  <c r="AM686" i="5"/>
  <c r="AH686" i="5"/>
  <c r="Z686" i="5"/>
  <c r="U686" i="5"/>
  <c r="P686" i="5"/>
  <c r="K686" i="5"/>
  <c r="F686" i="5"/>
  <c r="BB685" i="5"/>
  <c r="AW685" i="5"/>
  <c r="AR685" i="5"/>
  <c r="AM685" i="5"/>
  <c r="AH685" i="5"/>
  <c r="Z685" i="5"/>
  <c r="U685" i="5"/>
  <c r="P685" i="5"/>
  <c r="K685" i="5"/>
  <c r="F685" i="5"/>
  <c r="BB611" i="5"/>
  <c r="AW611" i="5"/>
  <c r="AR611" i="5"/>
  <c r="AM611" i="5"/>
  <c r="AH611" i="5"/>
  <c r="AH612" i="5"/>
  <c r="AM612" i="5"/>
  <c r="AR612" i="5"/>
  <c r="AW612" i="5"/>
  <c r="BB612" i="5"/>
  <c r="BC612" i="5"/>
  <c r="AH613" i="5"/>
  <c r="AM613" i="5"/>
  <c r="AR613" i="5"/>
  <c r="AW613" i="5"/>
  <c r="BC613" i="5" s="1"/>
  <c r="BB613" i="5"/>
  <c r="AW636" i="5"/>
  <c r="AI637" i="5"/>
  <c r="BB636" i="5"/>
  <c r="AK637" i="5"/>
  <c r="AH581" i="5"/>
  <c r="AM581" i="5"/>
  <c r="AR581" i="5"/>
  <c r="AW581" i="5"/>
  <c r="BB581" i="5"/>
  <c r="BC581" i="5"/>
  <c r="Z573" i="5"/>
  <c r="U573" i="5"/>
  <c r="P573" i="5"/>
  <c r="K573" i="5"/>
  <c r="F573" i="5"/>
  <c r="F556" i="5"/>
  <c r="K556" i="5"/>
  <c r="P556" i="5"/>
  <c r="AA556" i="5" s="1"/>
  <c r="U556" i="5"/>
  <c r="Z556" i="5"/>
  <c r="BB596" i="5"/>
  <c r="AZ597" i="5"/>
  <c r="BB595" i="5"/>
  <c r="AK597" i="5"/>
  <c r="AM595" i="5"/>
  <c r="AY637" i="5"/>
  <c r="AN637" i="5"/>
  <c r="AM636" i="5"/>
  <c r="AH636" i="5"/>
  <c r="AW635" i="5"/>
  <c r="AR635" i="5"/>
  <c r="AJ637" i="5"/>
  <c r="AH635" i="5"/>
  <c r="Y677" i="5"/>
  <c r="X677" i="5"/>
  <c r="W677" i="5"/>
  <c r="V677" i="5"/>
  <c r="T677" i="5"/>
  <c r="S677" i="5"/>
  <c r="R677" i="5"/>
  <c r="Q677" i="5"/>
  <c r="O677" i="5"/>
  <c r="N677" i="5"/>
  <c r="M677" i="5"/>
  <c r="L677" i="5"/>
  <c r="J677" i="5"/>
  <c r="I677" i="5"/>
  <c r="H677" i="5"/>
  <c r="G677" i="5"/>
  <c r="E677" i="5"/>
  <c r="D677" i="5"/>
  <c r="C677" i="5"/>
  <c r="B677" i="5"/>
  <c r="Z676" i="5"/>
  <c r="U676" i="5"/>
  <c r="P676" i="5"/>
  <c r="K676" i="5"/>
  <c r="F676" i="5"/>
  <c r="Z675" i="5"/>
  <c r="U675" i="5"/>
  <c r="P675" i="5"/>
  <c r="K675" i="5"/>
  <c r="F675" i="5"/>
  <c r="Z674" i="5"/>
  <c r="U674" i="5"/>
  <c r="P674" i="5"/>
  <c r="K674" i="5"/>
  <c r="F674" i="5"/>
  <c r="Z673" i="5"/>
  <c r="AA673" i="5" s="1"/>
  <c r="U673" i="5"/>
  <c r="P673" i="5"/>
  <c r="K673" i="5"/>
  <c r="F673" i="5"/>
  <c r="Z672" i="5"/>
  <c r="U672" i="5"/>
  <c r="P672" i="5"/>
  <c r="K672" i="5"/>
  <c r="F672" i="5"/>
  <c r="Z671" i="5"/>
  <c r="U671" i="5"/>
  <c r="P671" i="5"/>
  <c r="K671" i="5"/>
  <c r="F671" i="5"/>
  <c r="Z670" i="5"/>
  <c r="U670" i="5"/>
  <c r="P670" i="5"/>
  <c r="K670" i="5"/>
  <c r="F670" i="5"/>
  <c r="Z669" i="5"/>
  <c r="U669" i="5"/>
  <c r="P669" i="5"/>
  <c r="K669" i="5"/>
  <c r="F669" i="5"/>
  <c r="Z668" i="5"/>
  <c r="U668" i="5"/>
  <c r="P668" i="5"/>
  <c r="K668" i="5"/>
  <c r="F668" i="5"/>
  <c r="Z667" i="5"/>
  <c r="U667" i="5"/>
  <c r="P667" i="5"/>
  <c r="K667" i="5"/>
  <c r="F667" i="5"/>
  <c r="Z666" i="5"/>
  <c r="U666" i="5"/>
  <c r="P666" i="5"/>
  <c r="K666" i="5"/>
  <c r="F666" i="5"/>
  <c r="Z665" i="5"/>
  <c r="AA665" i="5" s="1"/>
  <c r="U665" i="5"/>
  <c r="P665" i="5"/>
  <c r="K665" i="5"/>
  <c r="F665" i="5"/>
  <c r="Z664" i="5"/>
  <c r="U664" i="5"/>
  <c r="P664" i="5"/>
  <c r="K664" i="5"/>
  <c r="F664" i="5"/>
  <c r="Z663" i="5"/>
  <c r="U663" i="5"/>
  <c r="P663" i="5"/>
  <c r="K663" i="5"/>
  <c r="F663" i="5"/>
  <c r="Z662" i="5"/>
  <c r="U662" i="5"/>
  <c r="P662" i="5"/>
  <c r="K662" i="5"/>
  <c r="F662" i="5"/>
  <c r="Z661" i="5"/>
  <c r="U661" i="5"/>
  <c r="P661" i="5"/>
  <c r="K661" i="5"/>
  <c r="F661" i="5"/>
  <c r="Z660" i="5"/>
  <c r="U660" i="5"/>
  <c r="P660" i="5"/>
  <c r="K660" i="5"/>
  <c r="F660" i="5"/>
  <c r="Z659" i="5"/>
  <c r="U659" i="5"/>
  <c r="P659" i="5"/>
  <c r="K659" i="5"/>
  <c r="F659" i="5"/>
  <c r="Z658" i="5"/>
  <c r="U658" i="5"/>
  <c r="AA658" i="5" s="1"/>
  <c r="P658" i="5"/>
  <c r="K658" i="5"/>
  <c r="F658" i="5"/>
  <c r="Z657" i="5"/>
  <c r="U657" i="5"/>
  <c r="P657" i="5"/>
  <c r="K657" i="5"/>
  <c r="F657" i="5"/>
  <c r="Z656" i="5"/>
  <c r="U656" i="5"/>
  <c r="P656" i="5"/>
  <c r="K656" i="5"/>
  <c r="F656" i="5"/>
  <c r="Z655" i="5"/>
  <c r="U655" i="5"/>
  <c r="P655" i="5"/>
  <c r="K655" i="5"/>
  <c r="F655" i="5"/>
  <c r="Z654" i="5"/>
  <c r="U654" i="5"/>
  <c r="P654" i="5"/>
  <c r="K654" i="5"/>
  <c r="F654" i="5"/>
  <c r="Z653" i="5"/>
  <c r="U653" i="5"/>
  <c r="P653" i="5"/>
  <c r="K653" i="5"/>
  <c r="F653" i="5"/>
  <c r="Z652" i="5"/>
  <c r="U652" i="5"/>
  <c r="P652" i="5"/>
  <c r="K652" i="5"/>
  <c r="F652" i="5"/>
  <c r="Z651" i="5"/>
  <c r="U651" i="5"/>
  <c r="P651" i="5"/>
  <c r="K651" i="5"/>
  <c r="F651" i="5"/>
  <c r="Z649" i="5"/>
  <c r="U649" i="5"/>
  <c r="P649" i="5"/>
  <c r="K649" i="5"/>
  <c r="F649" i="5"/>
  <c r="Z648" i="5"/>
  <c r="U648" i="5"/>
  <c r="P648" i="5"/>
  <c r="K648" i="5"/>
  <c r="F648" i="5"/>
  <c r="Z647" i="5"/>
  <c r="U647" i="5"/>
  <c r="P647" i="5"/>
  <c r="K647" i="5"/>
  <c r="F647" i="5"/>
  <c r="Z646" i="5"/>
  <c r="U646" i="5"/>
  <c r="P646" i="5"/>
  <c r="K646" i="5"/>
  <c r="F646" i="5"/>
  <c r="Z645" i="5"/>
  <c r="U645" i="5"/>
  <c r="P645" i="5"/>
  <c r="K645" i="5"/>
  <c r="F645" i="5"/>
  <c r="AH633" i="5"/>
  <c r="AM633" i="5"/>
  <c r="AR633" i="5"/>
  <c r="AW633" i="5"/>
  <c r="BB633" i="5"/>
  <c r="AH634" i="5"/>
  <c r="AM634" i="5"/>
  <c r="AR634" i="5"/>
  <c r="AW634" i="5"/>
  <c r="BB634" i="5"/>
  <c r="BB671" i="5"/>
  <c r="AW671" i="5"/>
  <c r="AR671" i="5"/>
  <c r="AM671" i="5"/>
  <c r="AH671" i="5"/>
  <c r="BB670" i="5"/>
  <c r="AW670" i="5"/>
  <c r="AR670" i="5"/>
  <c r="AM670" i="5"/>
  <c r="AH670" i="5"/>
  <c r="BB669" i="5"/>
  <c r="AW669" i="5"/>
  <c r="AR669" i="5"/>
  <c r="AM669" i="5"/>
  <c r="AH669" i="5"/>
  <c r="BB668" i="5"/>
  <c r="AW668" i="5"/>
  <c r="AR668" i="5"/>
  <c r="AM668" i="5"/>
  <c r="AH668" i="5"/>
  <c r="BB667" i="5"/>
  <c r="AW667" i="5"/>
  <c r="AR667" i="5"/>
  <c r="AM667" i="5"/>
  <c r="AH667" i="5"/>
  <c r="BB666" i="5"/>
  <c r="AW666" i="5"/>
  <c r="AR666" i="5"/>
  <c r="AM666" i="5"/>
  <c r="AH666" i="5"/>
  <c r="BB665" i="5"/>
  <c r="AW665" i="5"/>
  <c r="AR665" i="5"/>
  <c r="AM665" i="5"/>
  <c r="AH665" i="5"/>
  <c r="BB664" i="5"/>
  <c r="AW664" i="5"/>
  <c r="AR664" i="5"/>
  <c r="AM664" i="5"/>
  <c r="AH664" i="5"/>
  <c r="BB663" i="5"/>
  <c r="AW663" i="5"/>
  <c r="AR663" i="5"/>
  <c r="AM663" i="5"/>
  <c r="AH663" i="5"/>
  <c r="BB662" i="5"/>
  <c r="AW662" i="5"/>
  <c r="AR662" i="5"/>
  <c r="AM662" i="5"/>
  <c r="AH662" i="5"/>
  <c r="BB661" i="5"/>
  <c r="AW661" i="5"/>
  <c r="AR661" i="5"/>
  <c r="AM661" i="5"/>
  <c r="AH661" i="5"/>
  <c r="BB660" i="5"/>
  <c r="AW660" i="5"/>
  <c r="AR660" i="5"/>
  <c r="AM660" i="5"/>
  <c r="AH660" i="5"/>
  <c r="BB659" i="5"/>
  <c r="AW659" i="5"/>
  <c r="AR659" i="5"/>
  <c r="AM659" i="5"/>
  <c r="AH659" i="5"/>
  <c r="BB658" i="5"/>
  <c r="AW658" i="5"/>
  <c r="AR658" i="5"/>
  <c r="AM658" i="5"/>
  <c r="AH658" i="5"/>
  <c r="BB657" i="5"/>
  <c r="AW657" i="5"/>
  <c r="AR657" i="5"/>
  <c r="AM657" i="5"/>
  <c r="AH657" i="5"/>
  <c r="BB656" i="5"/>
  <c r="AW656" i="5"/>
  <c r="AR656" i="5"/>
  <c r="AM656" i="5"/>
  <c r="AH656" i="5"/>
  <c r="BB655" i="5"/>
  <c r="AW655" i="5"/>
  <c r="AR655" i="5"/>
  <c r="AM655" i="5"/>
  <c r="AH655" i="5"/>
  <c r="BB654" i="5"/>
  <c r="AW654" i="5"/>
  <c r="AR654" i="5"/>
  <c r="AM654" i="5"/>
  <c r="AH654" i="5"/>
  <c r="BB653" i="5"/>
  <c r="AW653" i="5"/>
  <c r="AR653" i="5"/>
  <c r="AM653" i="5"/>
  <c r="AH653" i="5"/>
  <c r="BB652" i="5"/>
  <c r="AW652" i="5"/>
  <c r="AR652" i="5"/>
  <c r="AM652" i="5"/>
  <c r="AH652" i="5"/>
  <c r="BB649" i="5"/>
  <c r="AW649" i="5"/>
  <c r="AR649" i="5"/>
  <c r="AM649" i="5"/>
  <c r="AH649" i="5"/>
  <c r="BB648" i="5"/>
  <c r="AW648" i="5"/>
  <c r="AR648" i="5"/>
  <c r="AM648" i="5"/>
  <c r="AH648" i="5"/>
  <c r="BB647" i="5"/>
  <c r="BC647" i="5" s="1"/>
  <c r="AW647" i="5"/>
  <c r="AR647" i="5"/>
  <c r="AM647" i="5"/>
  <c r="AH647" i="5"/>
  <c r="BB646" i="5"/>
  <c r="AW646" i="5"/>
  <c r="AR646" i="5"/>
  <c r="AM646" i="5"/>
  <c r="AH646" i="5"/>
  <c r="BB645" i="5"/>
  <c r="AW645" i="5"/>
  <c r="AR645" i="5"/>
  <c r="AM645" i="5"/>
  <c r="AH645" i="5"/>
  <c r="AW596" i="5"/>
  <c r="AR596" i="5"/>
  <c r="AU597" i="5"/>
  <c r="AH543" i="5"/>
  <c r="AM543" i="5"/>
  <c r="AR543" i="5"/>
  <c r="BC543" i="5" s="1"/>
  <c r="AW543" i="5"/>
  <c r="BB543" i="5"/>
  <c r="AH544" i="5"/>
  <c r="AM544" i="5"/>
  <c r="AR544" i="5"/>
  <c r="AW544" i="5"/>
  <c r="BB544" i="5"/>
  <c r="BC544" i="5" s="1"/>
  <c r="BB572" i="5"/>
  <c r="AW572" i="5"/>
  <c r="AR572" i="5"/>
  <c r="AM572" i="5"/>
  <c r="AH572" i="5"/>
  <c r="BB571" i="5"/>
  <c r="AW571" i="5"/>
  <c r="AR571" i="5"/>
  <c r="AM571" i="5"/>
  <c r="AH571" i="5"/>
  <c r="AE477" i="5"/>
  <c r="AO477" i="5"/>
  <c r="AY477" i="5"/>
  <c r="AG477" i="5"/>
  <c r="BB533" i="5"/>
  <c r="AW533" i="5"/>
  <c r="AR533" i="5"/>
  <c r="AM533" i="5"/>
  <c r="AH533" i="5"/>
  <c r="BB556" i="5"/>
  <c r="AZ557" i="5"/>
  <c r="AU557" i="5"/>
  <c r="AP557" i="5"/>
  <c r="AN557" i="5"/>
  <c r="AK557" i="5"/>
  <c r="AW556" i="5"/>
  <c r="AI557" i="5"/>
  <c r="AM555" i="5"/>
  <c r="AF557" i="5"/>
  <c r="AH555" i="5"/>
  <c r="AH509" i="5"/>
  <c r="AM509" i="5"/>
  <c r="AR509" i="5"/>
  <c r="AW509" i="5"/>
  <c r="BB509" i="5"/>
  <c r="Z504" i="5"/>
  <c r="U504" i="5"/>
  <c r="P504" i="5"/>
  <c r="K504" i="5"/>
  <c r="F504" i="5"/>
  <c r="AH590" i="5"/>
  <c r="AM590" i="5"/>
  <c r="AR590" i="5"/>
  <c r="AW590" i="5"/>
  <c r="BB590" i="5"/>
  <c r="AH591" i="5"/>
  <c r="AM591" i="5"/>
  <c r="AR591" i="5"/>
  <c r="AW591" i="5"/>
  <c r="BB591" i="5"/>
  <c r="AM556" i="5"/>
  <c r="AH556" i="5"/>
  <c r="AW555" i="5"/>
  <c r="AR555" i="5"/>
  <c r="Y637" i="5"/>
  <c r="X637" i="5"/>
  <c r="W637" i="5"/>
  <c r="V637" i="5"/>
  <c r="T637" i="5"/>
  <c r="S637" i="5"/>
  <c r="R637" i="5"/>
  <c r="Q637" i="5"/>
  <c r="O637" i="5"/>
  <c r="N637" i="5"/>
  <c r="M637" i="5"/>
  <c r="L637" i="5"/>
  <c r="J637" i="5"/>
  <c r="I637" i="5"/>
  <c r="H637" i="5"/>
  <c r="G637" i="5"/>
  <c r="E637" i="5"/>
  <c r="D637" i="5"/>
  <c r="C637" i="5"/>
  <c r="B637" i="5"/>
  <c r="Z636" i="5"/>
  <c r="U636" i="5"/>
  <c r="P636" i="5"/>
  <c r="K636" i="5"/>
  <c r="F636" i="5"/>
  <c r="Z635" i="5"/>
  <c r="U635" i="5"/>
  <c r="P635" i="5"/>
  <c r="K635" i="5"/>
  <c r="F635" i="5"/>
  <c r="Z634" i="5"/>
  <c r="U634" i="5"/>
  <c r="P634" i="5"/>
  <c r="K634" i="5"/>
  <c r="F634" i="5"/>
  <c r="Z633" i="5"/>
  <c r="U633" i="5"/>
  <c r="P633" i="5"/>
  <c r="K633" i="5"/>
  <c r="F633" i="5"/>
  <c r="Z632" i="5"/>
  <c r="U632" i="5"/>
  <c r="P632" i="5"/>
  <c r="K632" i="5"/>
  <c r="F632" i="5"/>
  <c r="Z631" i="5"/>
  <c r="U631" i="5"/>
  <c r="P631" i="5"/>
  <c r="K631" i="5"/>
  <c r="F631" i="5"/>
  <c r="Z630" i="5"/>
  <c r="U630" i="5"/>
  <c r="P630" i="5"/>
  <c r="K630" i="5"/>
  <c r="F630" i="5"/>
  <c r="Z629" i="5"/>
  <c r="U629" i="5"/>
  <c r="P629" i="5"/>
  <c r="K629" i="5"/>
  <c r="F629" i="5"/>
  <c r="Z628" i="5"/>
  <c r="U628" i="5"/>
  <c r="P628" i="5"/>
  <c r="K628" i="5"/>
  <c r="F628" i="5"/>
  <c r="Z626" i="5"/>
  <c r="U626" i="5"/>
  <c r="P626" i="5"/>
  <c r="K626" i="5"/>
  <c r="F626" i="5"/>
  <c r="Z625" i="5"/>
  <c r="U625" i="5"/>
  <c r="P625" i="5"/>
  <c r="K625" i="5"/>
  <c r="F625" i="5"/>
  <c r="Z624" i="5"/>
  <c r="U624" i="5"/>
  <c r="P624" i="5"/>
  <c r="K624" i="5"/>
  <c r="F624" i="5"/>
  <c r="Z623" i="5"/>
  <c r="U623" i="5"/>
  <c r="P623" i="5"/>
  <c r="K623" i="5"/>
  <c r="F623" i="5"/>
  <c r="Z622" i="5"/>
  <c r="U622" i="5"/>
  <c r="P622" i="5"/>
  <c r="K622" i="5"/>
  <c r="F622" i="5"/>
  <c r="Z621" i="5"/>
  <c r="U621" i="5"/>
  <c r="P621" i="5"/>
  <c r="K621" i="5"/>
  <c r="F621" i="5"/>
  <c r="Z620" i="5"/>
  <c r="U620" i="5"/>
  <c r="P620" i="5"/>
  <c r="K620" i="5"/>
  <c r="F620" i="5"/>
  <c r="Z619" i="5"/>
  <c r="U619" i="5"/>
  <c r="P619" i="5"/>
  <c r="K619" i="5"/>
  <c r="F619" i="5"/>
  <c r="Z618" i="5"/>
  <c r="U618" i="5"/>
  <c r="P618" i="5"/>
  <c r="K618" i="5"/>
  <c r="F618" i="5"/>
  <c r="Z617" i="5"/>
  <c r="U617" i="5"/>
  <c r="P617" i="5"/>
  <c r="K617" i="5"/>
  <c r="F617" i="5"/>
  <c r="Z616" i="5"/>
  <c r="U616" i="5"/>
  <c r="P616" i="5"/>
  <c r="K616" i="5"/>
  <c r="F616" i="5"/>
  <c r="Z615" i="5"/>
  <c r="U615" i="5"/>
  <c r="P615" i="5"/>
  <c r="K615" i="5"/>
  <c r="F615" i="5"/>
  <c r="Z614" i="5"/>
  <c r="U614" i="5"/>
  <c r="P614" i="5"/>
  <c r="K614" i="5"/>
  <c r="F614" i="5"/>
  <c r="Z613" i="5"/>
  <c r="U613" i="5"/>
  <c r="P613" i="5"/>
  <c r="K613" i="5"/>
  <c r="F613" i="5"/>
  <c r="Z608" i="5"/>
  <c r="U608" i="5"/>
  <c r="P608" i="5"/>
  <c r="K608" i="5"/>
  <c r="F608" i="5"/>
  <c r="Z607" i="5"/>
  <c r="U607" i="5"/>
  <c r="P607" i="5"/>
  <c r="K607" i="5"/>
  <c r="F607" i="5"/>
  <c r="Z606" i="5"/>
  <c r="U606" i="5"/>
  <c r="P606" i="5"/>
  <c r="K606" i="5"/>
  <c r="F606" i="5"/>
  <c r="Z605" i="5"/>
  <c r="U605" i="5"/>
  <c r="P605" i="5"/>
  <c r="K605" i="5"/>
  <c r="F605" i="5"/>
  <c r="F516" i="5"/>
  <c r="K516" i="5"/>
  <c r="P516" i="5"/>
  <c r="U516" i="5"/>
  <c r="Z516" i="5"/>
  <c r="AH589" i="5"/>
  <c r="AM589" i="5"/>
  <c r="AR589" i="5"/>
  <c r="AW589" i="5"/>
  <c r="BB589" i="5"/>
  <c r="AM596" i="5"/>
  <c r="AH596" i="5"/>
  <c r="AW595" i="5"/>
  <c r="AR595" i="5"/>
  <c r="AH595" i="5"/>
  <c r="BB594" i="5"/>
  <c r="AW594" i="5"/>
  <c r="AR594" i="5"/>
  <c r="AM594" i="5"/>
  <c r="AH594" i="5"/>
  <c r="AH629" i="5"/>
  <c r="AM629" i="5"/>
  <c r="AR629" i="5"/>
  <c r="AW629" i="5"/>
  <c r="BB629" i="5"/>
  <c r="AH632" i="5"/>
  <c r="AM632" i="5"/>
  <c r="AR632" i="5"/>
  <c r="AW632" i="5"/>
  <c r="BB632" i="5"/>
  <c r="BC632" i="5" s="1"/>
  <c r="BA637" i="5"/>
  <c r="AV637" i="5"/>
  <c r="AT637" i="5"/>
  <c r="AP637" i="5"/>
  <c r="AO637" i="5"/>
  <c r="AL637" i="5"/>
  <c r="AG637" i="5"/>
  <c r="AF637" i="5"/>
  <c r="AE637" i="5"/>
  <c r="AD637" i="5"/>
  <c r="BB628" i="5"/>
  <c r="AW628" i="5"/>
  <c r="AR628" i="5"/>
  <c r="AM628" i="5"/>
  <c r="AH628" i="5"/>
  <c r="BB627" i="5"/>
  <c r="AW627" i="5"/>
  <c r="AR627" i="5"/>
  <c r="AM627" i="5"/>
  <c r="AH627" i="5"/>
  <c r="BB626" i="5"/>
  <c r="AW626" i="5"/>
  <c r="AR626" i="5"/>
  <c r="AM626" i="5"/>
  <c r="AH626" i="5"/>
  <c r="BB623" i="5"/>
  <c r="AW623" i="5"/>
  <c r="AR623" i="5"/>
  <c r="AM623" i="5"/>
  <c r="AH623" i="5"/>
  <c r="BB622" i="5"/>
  <c r="AW622" i="5"/>
  <c r="AR622" i="5"/>
  <c r="AM622" i="5"/>
  <c r="AH622" i="5"/>
  <c r="BB621" i="5"/>
  <c r="AW621" i="5"/>
  <c r="AR621" i="5"/>
  <c r="AM621" i="5"/>
  <c r="AH621" i="5"/>
  <c r="BB620" i="5"/>
  <c r="AW620" i="5"/>
  <c r="AR620" i="5"/>
  <c r="AM620" i="5"/>
  <c r="AH620" i="5"/>
  <c r="BB619" i="5"/>
  <c r="AW619" i="5"/>
  <c r="AR619" i="5"/>
  <c r="AM619" i="5"/>
  <c r="AH619" i="5"/>
  <c r="BB618" i="5"/>
  <c r="AW618" i="5"/>
  <c r="AR618" i="5"/>
  <c r="AM618" i="5"/>
  <c r="AH618" i="5"/>
  <c r="BB617" i="5"/>
  <c r="AW617" i="5"/>
  <c r="AR617" i="5"/>
  <c r="AM617" i="5"/>
  <c r="AH617" i="5"/>
  <c r="BB616" i="5"/>
  <c r="AW616" i="5"/>
  <c r="AR616" i="5"/>
  <c r="AM616" i="5"/>
  <c r="AH616" i="5"/>
  <c r="BB615" i="5"/>
  <c r="AW615" i="5"/>
  <c r="AR615" i="5"/>
  <c r="AM615" i="5"/>
  <c r="AH615" i="5"/>
  <c r="BB614" i="5"/>
  <c r="AW614" i="5"/>
  <c r="AR614" i="5"/>
  <c r="AM614" i="5"/>
  <c r="AH614" i="5"/>
  <c r="BB609" i="5"/>
  <c r="AW609" i="5"/>
  <c r="AR609" i="5"/>
  <c r="AM609" i="5"/>
  <c r="AH609" i="5"/>
  <c r="BB608" i="5"/>
  <c r="AW608" i="5"/>
  <c r="AR608" i="5"/>
  <c r="AM608" i="5"/>
  <c r="AH608" i="5"/>
  <c r="BB607" i="5"/>
  <c r="AW607" i="5"/>
  <c r="AR607" i="5"/>
  <c r="AM607" i="5"/>
  <c r="AH607" i="5"/>
  <c r="BB606" i="5"/>
  <c r="AW606" i="5"/>
  <c r="AR606" i="5"/>
  <c r="AM606" i="5"/>
  <c r="AH606" i="5"/>
  <c r="BB605" i="5"/>
  <c r="AW605" i="5"/>
  <c r="AR605" i="5"/>
  <c r="AM605" i="5"/>
  <c r="AH605" i="5"/>
  <c r="BB593" i="5"/>
  <c r="AW593" i="5"/>
  <c r="AR593" i="5"/>
  <c r="AM593" i="5"/>
  <c r="AH593" i="5"/>
  <c r="BB592" i="5"/>
  <c r="AW592" i="5"/>
  <c r="AR592" i="5"/>
  <c r="AM592" i="5"/>
  <c r="AH592" i="5"/>
  <c r="F596" i="5"/>
  <c r="K596" i="5"/>
  <c r="P596" i="5"/>
  <c r="U596" i="5"/>
  <c r="Z596" i="5"/>
  <c r="AU477" i="5"/>
  <c r="AP477" i="5"/>
  <c r="Y597" i="5"/>
  <c r="X597" i="5"/>
  <c r="W597" i="5"/>
  <c r="V597" i="5"/>
  <c r="T597" i="5"/>
  <c r="S597" i="5"/>
  <c r="R597" i="5"/>
  <c r="Q597" i="5"/>
  <c r="O597" i="5"/>
  <c r="N597" i="5"/>
  <c r="M597" i="5"/>
  <c r="L597" i="5"/>
  <c r="J597" i="5"/>
  <c r="I597" i="5"/>
  <c r="H597" i="5"/>
  <c r="G597" i="5"/>
  <c r="E597" i="5"/>
  <c r="D597" i="5"/>
  <c r="C597" i="5"/>
  <c r="B597" i="5"/>
  <c r="Z595" i="5"/>
  <c r="U595" i="5"/>
  <c r="P595" i="5"/>
  <c r="K595" i="5"/>
  <c r="F595" i="5"/>
  <c r="Z594" i="5"/>
  <c r="U594" i="5"/>
  <c r="P594" i="5"/>
  <c r="K594" i="5"/>
  <c r="F594" i="5"/>
  <c r="Z593" i="5"/>
  <c r="U593" i="5"/>
  <c r="P593" i="5"/>
  <c r="K593" i="5"/>
  <c r="F593" i="5"/>
  <c r="Z592" i="5"/>
  <c r="U592" i="5"/>
  <c r="P592" i="5"/>
  <c r="K592" i="5"/>
  <c r="F592" i="5"/>
  <c r="Z591" i="5"/>
  <c r="U591" i="5"/>
  <c r="P591" i="5"/>
  <c r="K591" i="5"/>
  <c r="F591" i="5"/>
  <c r="Z590" i="5"/>
  <c r="U590" i="5"/>
  <c r="P590" i="5"/>
  <c r="K590" i="5"/>
  <c r="F590" i="5"/>
  <c r="Z589" i="5"/>
  <c r="U589" i="5"/>
  <c r="P589" i="5"/>
  <c r="K589" i="5"/>
  <c r="F589" i="5"/>
  <c r="Z588" i="5"/>
  <c r="U588" i="5"/>
  <c r="P588" i="5"/>
  <c r="K588" i="5"/>
  <c r="F588" i="5"/>
  <c r="Z587" i="5"/>
  <c r="U587" i="5"/>
  <c r="P587" i="5"/>
  <c r="K587" i="5"/>
  <c r="F587" i="5"/>
  <c r="Z586" i="5"/>
  <c r="U586" i="5"/>
  <c r="P586" i="5"/>
  <c r="K586" i="5"/>
  <c r="F586" i="5"/>
  <c r="Z585" i="5"/>
  <c r="U585" i="5"/>
  <c r="P585" i="5"/>
  <c r="K585" i="5"/>
  <c r="F585" i="5"/>
  <c r="Z584" i="5"/>
  <c r="U584" i="5"/>
  <c r="P584" i="5"/>
  <c r="K584" i="5"/>
  <c r="F584" i="5"/>
  <c r="Z583" i="5"/>
  <c r="U583" i="5"/>
  <c r="P583" i="5"/>
  <c r="K583" i="5"/>
  <c r="F583" i="5"/>
  <c r="Z582" i="5"/>
  <c r="U582" i="5"/>
  <c r="P582" i="5"/>
  <c r="K582" i="5"/>
  <c r="F582" i="5"/>
  <c r="Z581" i="5"/>
  <c r="U581" i="5"/>
  <c r="P581" i="5"/>
  <c r="K581" i="5"/>
  <c r="F581" i="5"/>
  <c r="Z580" i="5"/>
  <c r="U580" i="5"/>
  <c r="P580" i="5"/>
  <c r="K580" i="5"/>
  <c r="F580" i="5"/>
  <c r="Z577" i="5"/>
  <c r="U577" i="5"/>
  <c r="P577" i="5"/>
  <c r="K577" i="5"/>
  <c r="F577" i="5"/>
  <c r="Z576" i="5"/>
  <c r="U576" i="5"/>
  <c r="P576" i="5"/>
  <c r="K576" i="5"/>
  <c r="F576" i="5"/>
  <c r="Z575" i="5"/>
  <c r="U575" i="5"/>
  <c r="P575" i="5"/>
  <c r="K575" i="5"/>
  <c r="F575" i="5"/>
  <c r="Z574" i="5"/>
  <c r="U574" i="5"/>
  <c r="P574" i="5"/>
  <c r="K574" i="5"/>
  <c r="F574" i="5"/>
  <c r="Z572" i="5"/>
  <c r="U572" i="5"/>
  <c r="P572" i="5"/>
  <c r="K572" i="5"/>
  <c r="F572" i="5"/>
  <c r="Z571" i="5"/>
  <c r="U571" i="5"/>
  <c r="P571" i="5"/>
  <c r="K571" i="5"/>
  <c r="F571" i="5"/>
  <c r="Z569" i="5"/>
  <c r="U569" i="5"/>
  <c r="P569" i="5"/>
  <c r="K569" i="5"/>
  <c r="F569" i="5"/>
  <c r="Z568" i="5"/>
  <c r="U568" i="5"/>
  <c r="P568" i="5"/>
  <c r="K568" i="5"/>
  <c r="F568" i="5"/>
  <c r="Z567" i="5"/>
  <c r="U567" i="5"/>
  <c r="P567" i="5"/>
  <c r="K567" i="5"/>
  <c r="F567" i="5"/>
  <c r="Z566" i="5"/>
  <c r="U566" i="5"/>
  <c r="P566" i="5"/>
  <c r="K566" i="5"/>
  <c r="F566" i="5"/>
  <c r="Z565" i="5"/>
  <c r="U565" i="5"/>
  <c r="P565" i="5"/>
  <c r="K565" i="5"/>
  <c r="F565" i="5"/>
  <c r="AH510" i="5"/>
  <c r="AM510" i="5"/>
  <c r="AR510" i="5"/>
  <c r="AW510" i="5"/>
  <c r="BB510" i="5"/>
  <c r="AH511" i="5"/>
  <c r="AM511" i="5"/>
  <c r="AR511" i="5"/>
  <c r="AW511" i="5"/>
  <c r="BB511" i="5"/>
  <c r="AH512" i="5"/>
  <c r="AM512" i="5"/>
  <c r="AR512" i="5"/>
  <c r="AW512" i="5"/>
  <c r="BB512" i="5"/>
  <c r="AH513" i="5"/>
  <c r="AM513" i="5"/>
  <c r="AR513" i="5"/>
  <c r="AW513" i="5"/>
  <c r="BB513" i="5"/>
  <c r="AH514" i="5"/>
  <c r="AM514" i="5"/>
  <c r="AN517" i="5"/>
  <c r="AR514" i="5"/>
  <c r="AW514" i="5"/>
  <c r="AX517" i="5"/>
  <c r="BB514" i="5"/>
  <c r="BA597" i="5"/>
  <c r="AY597" i="5"/>
  <c r="AV597" i="5"/>
  <c r="AT597" i="5"/>
  <c r="AQ597" i="5"/>
  <c r="AP597" i="5"/>
  <c r="AO597" i="5"/>
  <c r="AN597" i="5"/>
  <c r="AL597" i="5"/>
  <c r="AJ597" i="5"/>
  <c r="AG597" i="5"/>
  <c r="AF597" i="5"/>
  <c r="AE597" i="5"/>
  <c r="AD597" i="5"/>
  <c r="BB588" i="5"/>
  <c r="AW588" i="5"/>
  <c r="AR588" i="5"/>
  <c r="AM588" i="5"/>
  <c r="AH588" i="5"/>
  <c r="BB587" i="5"/>
  <c r="AW587" i="5"/>
  <c r="AR587" i="5"/>
  <c r="AM587" i="5"/>
  <c r="AH587" i="5"/>
  <c r="BB586" i="5"/>
  <c r="AW586" i="5"/>
  <c r="AR586" i="5"/>
  <c r="AM586" i="5"/>
  <c r="AH586" i="5"/>
  <c r="BB585" i="5"/>
  <c r="AW585" i="5"/>
  <c r="AR585" i="5"/>
  <c r="AM585" i="5"/>
  <c r="AH585" i="5"/>
  <c r="BB584" i="5"/>
  <c r="AW584" i="5"/>
  <c r="AR584" i="5"/>
  <c r="AM584" i="5"/>
  <c r="AH584" i="5"/>
  <c r="BB583" i="5"/>
  <c r="AW583" i="5"/>
  <c r="AR583" i="5"/>
  <c r="AM583" i="5"/>
  <c r="AH583" i="5"/>
  <c r="BB582" i="5"/>
  <c r="AW582" i="5"/>
  <c r="AR582" i="5"/>
  <c r="AM582" i="5"/>
  <c r="AH582" i="5"/>
  <c r="BB580" i="5"/>
  <c r="AW580" i="5"/>
  <c r="AR580" i="5"/>
  <c r="AM580" i="5"/>
  <c r="AH580" i="5"/>
  <c r="BB579" i="5"/>
  <c r="AW579" i="5"/>
  <c r="AR579" i="5"/>
  <c r="AM579" i="5"/>
  <c r="AH579" i="5"/>
  <c r="BB578" i="5"/>
  <c r="AW578" i="5"/>
  <c r="AR578" i="5"/>
  <c r="AM578" i="5"/>
  <c r="AH578" i="5"/>
  <c r="BB577" i="5"/>
  <c r="AW577" i="5"/>
  <c r="AR577" i="5"/>
  <c r="AM577" i="5"/>
  <c r="AH577" i="5"/>
  <c r="BB576" i="5"/>
  <c r="AW576" i="5"/>
  <c r="AR576" i="5"/>
  <c r="AM576" i="5"/>
  <c r="AH576" i="5"/>
  <c r="BB575" i="5"/>
  <c r="AW575" i="5"/>
  <c r="AR575" i="5"/>
  <c r="AM575" i="5"/>
  <c r="AH575" i="5"/>
  <c r="BB574" i="5"/>
  <c r="AW574" i="5"/>
  <c r="AR574" i="5"/>
  <c r="AM574" i="5"/>
  <c r="AH574" i="5"/>
  <c r="BB573" i="5"/>
  <c r="AW573" i="5"/>
  <c r="AR573" i="5"/>
  <c r="AM573" i="5"/>
  <c r="AH573" i="5"/>
  <c r="BB569" i="5"/>
  <c r="AW569" i="5"/>
  <c r="AR569" i="5"/>
  <c r="AM569" i="5"/>
  <c r="AH569" i="5"/>
  <c r="BB568" i="5"/>
  <c r="AW568" i="5"/>
  <c r="AR568" i="5"/>
  <c r="AM568" i="5"/>
  <c r="AH568" i="5"/>
  <c r="BB567" i="5"/>
  <c r="AW567" i="5"/>
  <c r="AR567" i="5"/>
  <c r="AM567" i="5"/>
  <c r="AH567" i="5"/>
  <c r="BB566" i="5"/>
  <c r="AW566" i="5"/>
  <c r="AR566" i="5"/>
  <c r="AM566" i="5"/>
  <c r="AH566" i="5"/>
  <c r="BB565" i="5"/>
  <c r="AW565" i="5"/>
  <c r="AR565" i="5"/>
  <c r="AM565" i="5"/>
  <c r="AH565" i="5"/>
  <c r="AT477" i="5"/>
  <c r="AD477" i="5"/>
  <c r="W454" i="5"/>
  <c r="BB468" i="5"/>
  <c r="AW468" i="5"/>
  <c r="AR468" i="5"/>
  <c r="AM468" i="5"/>
  <c r="AH468" i="5"/>
  <c r="F452" i="5"/>
  <c r="K452" i="5"/>
  <c r="P452" i="5"/>
  <c r="U452" i="5"/>
  <c r="Z452" i="5"/>
  <c r="F451" i="5"/>
  <c r="K451" i="5"/>
  <c r="P451" i="5"/>
  <c r="U451" i="5"/>
  <c r="Z451" i="5"/>
  <c r="AH445" i="5"/>
  <c r="AM445" i="5"/>
  <c r="AR445" i="5"/>
  <c r="AW445" i="5"/>
  <c r="BB445" i="5"/>
  <c r="BB476" i="5"/>
  <c r="AF477" i="5"/>
  <c r="AR474" i="5"/>
  <c r="AH446" i="5"/>
  <c r="AM446" i="5"/>
  <c r="AR446" i="5"/>
  <c r="AW446" i="5"/>
  <c r="BB446" i="5"/>
  <c r="BB486" i="5"/>
  <c r="AW486" i="5"/>
  <c r="AR486" i="5"/>
  <c r="AM486" i="5"/>
  <c r="AH486" i="5"/>
  <c r="AH464" i="5"/>
  <c r="AM464" i="5"/>
  <c r="AR464" i="5"/>
  <c r="AW464" i="5"/>
  <c r="BB464" i="5"/>
  <c r="BB463" i="5"/>
  <c r="AW463" i="5"/>
  <c r="AR463" i="5"/>
  <c r="AM463" i="5"/>
  <c r="AH463" i="5"/>
  <c r="BB462" i="5"/>
  <c r="AW462" i="5"/>
  <c r="AR462" i="5"/>
  <c r="AM462" i="5"/>
  <c r="AH462" i="5"/>
  <c r="BB461" i="5"/>
  <c r="AW461" i="5"/>
  <c r="AR461" i="5"/>
  <c r="AM461" i="5"/>
  <c r="AH461" i="5"/>
  <c r="BB460" i="5"/>
  <c r="AW460" i="5"/>
  <c r="AN460" i="5"/>
  <c r="AR460" i="5" s="1"/>
  <c r="AM460" i="5"/>
  <c r="AH460" i="5"/>
  <c r="BB459" i="5"/>
  <c r="AW459" i="5"/>
  <c r="AR459" i="5"/>
  <c r="AM459" i="5"/>
  <c r="AH459" i="5"/>
  <c r="BB458" i="5"/>
  <c r="AW458" i="5"/>
  <c r="AR458" i="5"/>
  <c r="AM458" i="5"/>
  <c r="AH458" i="5"/>
  <c r="BB457" i="5"/>
  <c r="AW457" i="5"/>
  <c r="AR457" i="5"/>
  <c r="AM457" i="5"/>
  <c r="AH457" i="5"/>
  <c r="BB456" i="5"/>
  <c r="AW456" i="5"/>
  <c r="AR456" i="5"/>
  <c r="AM456" i="5"/>
  <c r="AH456" i="5"/>
  <c r="BB455" i="5"/>
  <c r="AW455" i="5"/>
  <c r="AR455" i="5"/>
  <c r="AM455" i="5"/>
  <c r="AH455" i="5"/>
  <c r="BB454" i="5"/>
  <c r="AW454" i="5"/>
  <c r="AR454" i="5"/>
  <c r="AM454" i="5"/>
  <c r="AH454" i="5"/>
  <c r="BB453" i="5"/>
  <c r="AW453" i="5"/>
  <c r="AR453" i="5"/>
  <c r="AM453" i="5"/>
  <c r="AH453" i="5"/>
  <c r="BB452" i="5"/>
  <c r="AW452" i="5"/>
  <c r="AR452" i="5"/>
  <c r="AM452" i="5"/>
  <c r="AH452" i="5"/>
  <c r="BB451" i="5"/>
  <c r="AW451" i="5"/>
  <c r="AR451" i="5"/>
  <c r="AM451" i="5"/>
  <c r="AH451" i="5"/>
  <c r="BB491" i="5"/>
  <c r="AW491" i="5"/>
  <c r="AR491" i="5"/>
  <c r="AM491" i="5"/>
  <c r="AH491" i="5"/>
  <c r="AH465" i="5"/>
  <c r="AM465" i="5"/>
  <c r="AR465" i="5"/>
  <c r="AW465" i="5"/>
  <c r="BB465" i="5"/>
  <c r="AH466" i="5"/>
  <c r="AM466" i="5"/>
  <c r="AR466" i="5"/>
  <c r="AW466" i="5"/>
  <c r="BB466" i="5"/>
  <c r="AH467" i="5"/>
  <c r="AM467" i="5"/>
  <c r="AR467" i="5"/>
  <c r="AW467" i="5"/>
  <c r="BB467" i="5"/>
  <c r="BB432" i="5"/>
  <c r="AW432" i="5"/>
  <c r="AR432" i="5"/>
  <c r="AM432" i="5"/>
  <c r="AH432" i="5"/>
  <c r="BB431" i="5"/>
  <c r="AW431" i="5"/>
  <c r="AR431" i="5"/>
  <c r="AM431" i="5"/>
  <c r="AH431" i="5"/>
  <c r="BB430" i="5"/>
  <c r="AW430" i="5"/>
  <c r="AR430" i="5"/>
  <c r="AM430" i="5"/>
  <c r="AH430" i="5"/>
  <c r="AH433" i="5"/>
  <c r="AM433" i="5"/>
  <c r="AR433" i="5"/>
  <c r="AW433" i="5"/>
  <c r="BB433" i="5"/>
  <c r="BB436" i="5"/>
  <c r="AW436" i="5"/>
  <c r="AR436" i="5"/>
  <c r="AM436" i="5"/>
  <c r="AH436" i="5"/>
  <c r="BB435" i="5"/>
  <c r="AW435" i="5"/>
  <c r="AR435" i="5"/>
  <c r="AM435" i="5"/>
  <c r="AH435" i="5"/>
  <c r="BB434" i="5"/>
  <c r="AW434" i="5"/>
  <c r="AR434" i="5"/>
  <c r="AM434" i="5"/>
  <c r="AH434" i="5"/>
  <c r="AW476" i="5"/>
  <c r="AR476" i="5"/>
  <c r="AJ477" i="5"/>
  <c r="AM476" i="5"/>
  <c r="BA477" i="5"/>
  <c r="AX477" i="5"/>
  <c r="AM475" i="5"/>
  <c r="AH475" i="5"/>
  <c r="BB474" i="5"/>
  <c r="AW474" i="5"/>
  <c r="AM474" i="5"/>
  <c r="AH474" i="5"/>
  <c r="AH472" i="5"/>
  <c r="AM472" i="5"/>
  <c r="AR472" i="5"/>
  <c r="AW472" i="5"/>
  <c r="BB472" i="5"/>
  <c r="AH473" i="5"/>
  <c r="AM473" i="5"/>
  <c r="AR473" i="5"/>
  <c r="AW473" i="5"/>
  <c r="BB473" i="5"/>
  <c r="BB516" i="5"/>
  <c r="AW516" i="5"/>
  <c r="AR516" i="5"/>
  <c r="AM516" i="5"/>
  <c r="AH516" i="5"/>
  <c r="BB515" i="5"/>
  <c r="AW515" i="5"/>
  <c r="AR515" i="5"/>
  <c r="AM515" i="5"/>
  <c r="AH515" i="5"/>
  <c r="Y557" i="5"/>
  <c r="X557" i="5"/>
  <c r="W557" i="5"/>
  <c r="V557" i="5"/>
  <c r="T557" i="5"/>
  <c r="S557" i="5"/>
  <c r="R557" i="5"/>
  <c r="Q557" i="5"/>
  <c r="O557" i="5"/>
  <c r="N557" i="5"/>
  <c r="M557" i="5"/>
  <c r="L557" i="5"/>
  <c r="J557" i="5"/>
  <c r="I557" i="5"/>
  <c r="H557" i="5"/>
  <c r="G557" i="5"/>
  <c r="E557" i="5"/>
  <c r="D557" i="5"/>
  <c r="C557" i="5"/>
  <c r="B557" i="5"/>
  <c r="Z555" i="5"/>
  <c r="U555" i="5"/>
  <c r="P555" i="5"/>
  <c r="K555" i="5"/>
  <c r="F555" i="5"/>
  <c r="Z554" i="5"/>
  <c r="U554" i="5"/>
  <c r="P554" i="5"/>
  <c r="K554" i="5"/>
  <c r="F554" i="5"/>
  <c r="Z553" i="5"/>
  <c r="U553" i="5"/>
  <c r="P553" i="5"/>
  <c r="K553" i="5"/>
  <c r="F553" i="5"/>
  <c r="Z552" i="5"/>
  <c r="U552" i="5"/>
  <c r="P552" i="5"/>
  <c r="K552" i="5"/>
  <c r="F552" i="5"/>
  <c r="Z551" i="5"/>
  <c r="U551" i="5"/>
  <c r="P551" i="5"/>
  <c r="K551" i="5"/>
  <c r="F551" i="5"/>
  <c r="Z550" i="5"/>
  <c r="U550" i="5"/>
  <c r="P550" i="5"/>
  <c r="K550" i="5"/>
  <c r="F550" i="5"/>
  <c r="Z549" i="5"/>
  <c r="U549" i="5"/>
  <c r="P549" i="5"/>
  <c r="K549" i="5"/>
  <c r="F549" i="5"/>
  <c r="Z548" i="5"/>
  <c r="U548" i="5"/>
  <c r="P548" i="5"/>
  <c r="K548" i="5"/>
  <c r="F548" i="5"/>
  <c r="Z547" i="5"/>
  <c r="U547" i="5"/>
  <c r="P547" i="5"/>
  <c r="K547" i="5"/>
  <c r="F547" i="5"/>
  <c r="Z546" i="5"/>
  <c r="U546" i="5"/>
  <c r="P546" i="5"/>
  <c r="K546" i="5"/>
  <c r="F546" i="5"/>
  <c r="Z545" i="5"/>
  <c r="U545" i="5"/>
  <c r="P545" i="5"/>
  <c r="K545" i="5"/>
  <c r="F545" i="5"/>
  <c r="Z544" i="5"/>
  <c r="U544" i="5"/>
  <c r="P544" i="5"/>
  <c r="K544" i="5"/>
  <c r="F544" i="5"/>
  <c r="Z543" i="5"/>
  <c r="U543" i="5"/>
  <c r="P543" i="5"/>
  <c r="K543" i="5"/>
  <c r="F543" i="5"/>
  <c r="Z542" i="5"/>
  <c r="U542" i="5"/>
  <c r="P542" i="5"/>
  <c r="K542" i="5"/>
  <c r="F542" i="5"/>
  <c r="Z541" i="5"/>
  <c r="U541" i="5"/>
  <c r="P541" i="5"/>
  <c r="K541" i="5"/>
  <c r="F541" i="5"/>
  <c r="Z540" i="5"/>
  <c r="U540" i="5"/>
  <c r="P540" i="5"/>
  <c r="K540" i="5"/>
  <c r="F540" i="5"/>
  <c r="Z539" i="5"/>
  <c r="U539" i="5"/>
  <c r="P539" i="5"/>
  <c r="K539" i="5"/>
  <c r="F539" i="5"/>
  <c r="Z538" i="5"/>
  <c r="U538" i="5"/>
  <c r="P538" i="5"/>
  <c r="K538" i="5"/>
  <c r="F538" i="5"/>
  <c r="Z537" i="5"/>
  <c r="U537" i="5"/>
  <c r="P537" i="5"/>
  <c r="K537" i="5"/>
  <c r="F537" i="5"/>
  <c r="Z536" i="5"/>
  <c r="U536" i="5"/>
  <c r="P536" i="5"/>
  <c r="K536" i="5"/>
  <c r="F536" i="5"/>
  <c r="Z535" i="5"/>
  <c r="U535" i="5"/>
  <c r="P535" i="5"/>
  <c r="K535" i="5"/>
  <c r="F535" i="5"/>
  <c r="Z534" i="5"/>
  <c r="U534" i="5"/>
  <c r="P534" i="5"/>
  <c r="K534" i="5"/>
  <c r="F534" i="5"/>
  <c r="Z533" i="5"/>
  <c r="U533" i="5"/>
  <c r="P533" i="5"/>
  <c r="K533" i="5"/>
  <c r="F533" i="5"/>
  <c r="Z532" i="5"/>
  <c r="U532" i="5"/>
  <c r="P532" i="5"/>
  <c r="K532" i="5"/>
  <c r="F532" i="5"/>
  <c r="Z531" i="5"/>
  <c r="U531" i="5"/>
  <c r="P531" i="5"/>
  <c r="K531" i="5"/>
  <c r="F531" i="5"/>
  <c r="Z529" i="5"/>
  <c r="U529" i="5"/>
  <c r="P529" i="5"/>
  <c r="K529" i="5"/>
  <c r="F529" i="5"/>
  <c r="Z528" i="5"/>
  <c r="U528" i="5"/>
  <c r="P528" i="5"/>
  <c r="K528" i="5"/>
  <c r="F528" i="5"/>
  <c r="Z527" i="5"/>
  <c r="U527" i="5"/>
  <c r="P527" i="5"/>
  <c r="K527" i="5"/>
  <c r="F527" i="5"/>
  <c r="Z526" i="5"/>
  <c r="U526" i="5"/>
  <c r="P526" i="5"/>
  <c r="K526" i="5"/>
  <c r="F526" i="5"/>
  <c r="Z525" i="5"/>
  <c r="U525" i="5"/>
  <c r="P525" i="5"/>
  <c r="K525" i="5"/>
  <c r="F525" i="5"/>
  <c r="BA557" i="5"/>
  <c r="AY557" i="5"/>
  <c r="AV557" i="5"/>
  <c r="AT557" i="5"/>
  <c r="AQ557" i="5"/>
  <c r="AO557" i="5"/>
  <c r="AL557" i="5"/>
  <c r="AJ557" i="5"/>
  <c r="AG557" i="5"/>
  <c r="AD557" i="5"/>
  <c r="BB554" i="5"/>
  <c r="AW554" i="5"/>
  <c r="AR554" i="5"/>
  <c r="AM554" i="5"/>
  <c r="AH554" i="5"/>
  <c r="BB553" i="5"/>
  <c r="AW553" i="5"/>
  <c r="AR553" i="5"/>
  <c r="AM553" i="5"/>
  <c r="AH553" i="5"/>
  <c r="BB552" i="5"/>
  <c r="AW552" i="5"/>
  <c r="AR552" i="5"/>
  <c r="AM552" i="5"/>
  <c r="AH552" i="5"/>
  <c r="BB551" i="5"/>
  <c r="AW551" i="5"/>
  <c r="AR551" i="5"/>
  <c r="AM551" i="5"/>
  <c r="AH551" i="5"/>
  <c r="BB550" i="5"/>
  <c r="AW550" i="5"/>
  <c r="AR550" i="5"/>
  <c r="AM550" i="5"/>
  <c r="AH550" i="5"/>
  <c r="BB549" i="5"/>
  <c r="AW549" i="5"/>
  <c r="AR549" i="5"/>
  <c r="AM549" i="5"/>
  <c r="AH549" i="5"/>
  <c r="BB548" i="5"/>
  <c r="AW548" i="5"/>
  <c r="AR548" i="5"/>
  <c r="AM548" i="5"/>
  <c r="AH548" i="5"/>
  <c r="BB547" i="5"/>
  <c r="AW547" i="5"/>
  <c r="AR547" i="5"/>
  <c r="AM547" i="5"/>
  <c r="AH547" i="5"/>
  <c r="BB546" i="5"/>
  <c r="AW546" i="5"/>
  <c r="AR546" i="5"/>
  <c r="AM546" i="5"/>
  <c r="AH546" i="5"/>
  <c r="BB545" i="5"/>
  <c r="AW545" i="5"/>
  <c r="AR545" i="5"/>
  <c r="AM545" i="5"/>
  <c r="AH545" i="5"/>
  <c r="BB542" i="5"/>
  <c r="AW542" i="5"/>
  <c r="AR542" i="5"/>
  <c r="AM542" i="5"/>
  <c r="AH542" i="5"/>
  <c r="BB541" i="5"/>
  <c r="AW541" i="5"/>
  <c r="AR541" i="5"/>
  <c r="AM541" i="5"/>
  <c r="AH541" i="5"/>
  <c r="BB540" i="5"/>
  <c r="AW540" i="5"/>
  <c r="AR540" i="5"/>
  <c r="AM540" i="5"/>
  <c r="AH540" i="5"/>
  <c r="BB539" i="5"/>
  <c r="AW539" i="5"/>
  <c r="AR539" i="5"/>
  <c r="AM539" i="5"/>
  <c r="AH539" i="5"/>
  <c r="BB538" i="5"/>
  <c r="AW538" i="5"/>
  <c r="AR538" i="5"/>
  <c r="AM538" i="5"/>
  <c r="AH538" i="5"/>
  <c r="BB537" i="5"/>
  <c r="AW537" i="5"/>
  <c r="AR537" i="5"/>
  <c r="AM537" i="5"/>
  <c r="AH537" i="5"/>
  <c r="BB536" i="5"/>
  <c r="AW536" i="5"/>
  <c r="AR536" i="5"/>
  <c r="AM536" i="5"/>
  <c r="AH536" i="5"/>
  <c r="BB535" i="5"/>
  <c r="AW535" i="5"/>
  <c r="AR535" i="5"/>
  <c r="AM535" i="5"/>
  <c r="AH535" i="5"/>
  <c r="BB534" i="5"/>
  <c r="AW534" i="5"/>
  <c r="AR534" i="5"/>
  <c r="AM534" i="5"/>
  <c r="AH534" i="5"/>
  <c r="BB532" i="5"/>
  <c r="AW532" i="5"/>
  <c r="AR532" i="5"/>
  <c r="AM532" i="5"/>
  <c r="AH532" i="5"/>
  <c r="BB531" i="5"/>
  <c r="AW531" i="5"/>
  <c r="AR531" i="5"/>
  <c r="AM531" i="5"/>
  <c r="AH531" i="5"/>
  <c r="BB529" i="5"/>
  <c r="AW529" i="5"/>
  <c r="AR529" i="5"/>
  <c r="AM529" i="5"/>
  <c r="AH529" i="5"/>
  <c r="BB528" i="5"/>
  <c r="AW528" i="5"/>
  <c r="AR528" i="5"/>
  <c r="AM528" i="5"/>
  <c r="AH528" i="5"/>
  <c r="BB527" i="5"/>
  <c r="AW527" i="5"/>
  <c r="AR527" i="5"/>
  <c r="AM527" i="5"/>
  <c r="AH527" i="5"/>
  <c r="BB526" i="5"/>
  <c r="AW526" i="5"/>
  <c r="AR526" i="5"/>
  <c r="AM526" i="5"/>
  <c r="AH526" i="5"/>
  <c r="BB525" i="5"/>
  <c r="AW525" i="5"/>
  <c r="AR525" i="5"/>
  <c r="AM525" i="5"/>
  <c r="AH525" i="5"/>
  <c r="AH428" i="5"/>
  <c r="AM428" i="5"/>
  <c r="AR428" i="5"/>
  <c r="AW428" i="5"/>
  <c r="BB428" i="5"/>
  <c r="BB421" i="5"/>
  <c r="AW421" i="5"/>
  <c r="AR421" i="5"/>
  <c r="AM421" i="5"/>
  <c r="AH421" i="5"/>
  <c r="BB420" i="5"/>
  <c r="BC420" i="5" s="1"/>
  <c r="AW420" i="5"/>
  <c r="AR420" i="5"/>
  <c r="AM420" i="5"/>
  <c r="AH420" i="5"/>
  <c r="BB419" i="5"/>
  <c r="AW419" i="5"/>
  <c r="AR419" i="5"/>
  <c r="AM419" i="5"/>
  <c r="AH419" i="5"/>
  <c r="BB418" i="5"/>
  <c r="AW418" i="5"/>
  <c r="AR418" i="5"/>
  <c r="AM418" i="5"/>
  <c r="AH418" i="5"/>
  <c r="AH412" i="5"/>
  <c r="AM412" i="5"/>
  <c r="AR412" i="5"/>
  <c r="AW412" i="5"/>
  <c r="BB412" i="5"/>
  <c r="Z411" i="5"/>
  <c r="U411" i="5"/>
  <c r="P411" i="5"/>
  <c r="K411" i="5"/>
  <c r="F411" i="5"/>
  <c r="AH386" i="5"/>
  <c r="AM386" i="5"/>
  <c r="AR386" i="5"/>
  <c r="AW386" i="5"/>
  <c r="BB386" i="5"/>
  <c r="BB385" i="5"/>
  <c r="AW385" i="5"/>
  <c r="AR385" i="5"/>
  <c r="AM385" i="5"/>
  <c r="AH385" i="5"/>
  <c r="BB384" i="5"/>
  <c r="AW384" i="5"/>
  <c r="AR384" i="5"/>
  <c r="AM384" i="5"/>
  <c r="AH384" i="5"/>
  <c r="Z386" i="5"/>
  <c r="AA386" i="5" s="1"/>
  <c r="U386" i="5"/>
  <c r="P386" i="5"/>
  <c r="K386" i="5"/>
  <c r="F386" i="5"/>
  <c r="BB383" i="5"/>
  <c r="AW383" i="5"/>
  <c r="AR383" i="5"/>
  <c r="AM383" i="5"/>
  <c r="AH383" i="5"/>
  <c r="Y517" i="5"/>
  <c r="X517" i="5"/>
  <c r="W517" i="5"/>
  <c r="V517" i="5"/>
  <c r="T517" i="5"/>
  <c r="S517" i="5"/>
  <c r="R517" i="5"/>
  <c r="Q517" i="5"/>
  <c r="O517" i="5"/>
  <c r="N517" i="5"/>
  <c r="M517" i="5"/>
  <c r="L517" i="5"/>
  <c r="J517" i="5"/>
  <c r="I517" i="5"/>
  <c r="H517" i="5"/>
  <c r="G517" i="5"/>
  <c r="E517" i="5"/>
  <c r="D517" i="5"/>
  <c r="C517" i="5"/>
  <c r="B517" i="5"/>
  <c r="Z515" i="5"/>
  <c r="U515" i="5"/>
  <c r="P515" i="5"/>
  <c r="K515" i="5"/>
  <c r="F515" i="5"/>
  <c r="Z514" i="5"/>
  <c r="U514" i="5"/>
  <c r="P514" i="5"/>
  <c r="K514" i="5"/>
  <c r="F514" i="5"/>
  <c r="Z513" i="5"/>
  <c r="U513" i="5"/>
  <c r="P513" i="5"/>
  <c r="K513" i="5"/>
  <c r="F513" i="5"/>
  <c r="Z512" i="5"/>
  <c r="U512" i="5"/>
  <c r="P512" i="5"/>
  <c r="K512" i="5"/>
  <c r="F512" i="5"/>
  <c r="Z511" i="5"/>
  <c r="U511" i="5"/>
  <c r="P511" i="5"/>
  <c r="K511" i="5"/>
  <c r="F511" i="5"/>
  <c r="Z510" i="5"/>
  <c r="U510" i="5"/>
  <c r="P510" i="5"/>
  <c r="K510" i="5"/>
  <c r="F510" i="5"/>
  <c r="Z509" i="5"/>
  <c r="U509" i="5"/>
  <c r="P509" i="5"/>
  <c r="K509" i="5"/>
  <c r="F509" i="5"/>
  <c r="Z508" i="5"/>
  <c r="U508" i="5"/>
  <c r="P508" i="5"/>
  <c r="K508" i="5"/>
  <c r="F508" i="5"/>
  <c r="Z507" i="5"/>
  <c r="U507" i="5"/>
  <c r="P507" i="5"/>
  <c r="K507" i="5"/>
  <c r="F507" i="5"/>
  <c r="Z506" i="5"/>
  <c r="U506" i="5"/>
  <c r="P506" i="5"/>
  <c r="K506" i="5"/>
  <c r="F506" i="5"/>
  <c r="Z505" i="5"/>
  <c r="U505" i="5"/>
  <c r="P505" i="5"/>
  <c r="K505" i="5"/>
  <c r="F505" i="5"/>
  <c r="Z503" i="5"/>
  <c r="U503" i="5"/>
  <c r="P503" i="5"/>
  <c r="K503" i="5"/>
  <c r="F503" i="5"/>
  <c r="Z502" i="5"/>
  <c r="U502" i="5"/>
  <c r="P502" i="5"/>
  <c r="K502" i="5"/>
  <c r="F502" i="5"/>
  <c r="Z501" i="5"/>
  <c r="U501" i="5"/>
  <c r="P501" i="5"/>
  <c r="K501" i="5"/>
  <c r="F501" i="5"/>
  <c r="Z500" i="5"/>
  <c r="U500" i="5"/>
  <c r="P500" i="5"/>
  <c r="K500" i="5"/>
  <c r="F500" i="5"/>
  <c r="Z499" i="5"/>
  <c r="U499" i="5"/>
  <c r="P499" i="5"/>
  <c r="K499" i="5"/>
  <c r="F499" i="5"/>
  <c r="Z498" i="5"/>
  <c r="U498" i="5"/>
  <c r="P498" i="5"/>
  <c r="K498" i="5"/>
  <c r="F498" i="5"/>
  <c r="Z497" i="5"/>
  <c r="U497" i="5"/>
  <c r="P497" i="5"/>
  <c r="K497" i="5"/>
  <c r="F497" i="5"/>
  <c r="Z496" i="5"/>
  <c r="U496" i="5"/>
  <c r="P496" i="5"/>
  <c r="K496" i="5"/>
  <c r="F496" i="5"/>
  <c r="Z495" i="5"/>
  <c r="U495" i="5"/>
  <c r="P495" i="5"/>
  <c r="K495" i="5"/>
  <c r="F495" i="5"/>
  <c r="Z494" i="5"/>
  <c r="U494" i="5"/>
  <c r="P494" i="5"/>
  <c r="K494" i="5"/>
  <c r="F494" i="5"/>
  <c r="Z493" i="5"/>
  <c r="U493" i="5"/>
  <c r="P493" i="5"/>
  <c r="K493" i="5"/>
  <c r="F493" i="5"/>
  <c r="Z492" i="5"/>
  <c r="U492" i="5"/>
  <c r="P492" i="5"/>
  <c r="K492" i="5"/>
  <c r="F492" i="5"/>
  <c r="Z491" i="5"/>
  <c r="U491" i="5"/>
  <c r="P491" i="5"/>
  <c r="K491" i="5"/>
  <c r="F491" i="5"/>
  <c r="Z489" i="5"/>
  <c r="U489" i="5"/>
  <c r="P489" i="5"/>
  <c r="K489" i="5"/>
  <c r="F489" i="5"/>
  <c r="Z488" i="5"/>
  <c r="U488" i="5"/>
  <c r="P488" i="5"/>
  <c r="K488" i="5"/>
  <c r="F488" i="5"/>
  <c r="Z487" i="5"/>
  <c r="U487" i="5"/>
  <c r="P487" i="5"/>
  <c r="K487" i="5"/>
  <c r="F487" i="5"/>
  <c r="Z486" i="5"/>
  <c r="U486" i="5"/>
  <c r="P486" i="5"/>
  <c r="K486" i="5"/>
  <c r="F486" i="5"/>
  <c r="Z485" i="5"/>
  <c r="U485" i="5"/>
  <c r="P485" i="5"/>
  <c r="K485" i="5"/>
  <c r="F485" i="5"/>
  <c r="AH429" i="5"/>
  <c r="AM429" i="5"/>
  <c r="AR429" i="5"/>
  <c r="AW429" i="5"/>
  <c r="BB429" i="5"/>
  <c r="BA517" i="5"/>
  <c r="AZ517" i="5"/>
  <c r="AY517" i="5"/>
  <c r="AV517" i="5"/>
  <c r="AU517" i="5"/>
  <c r="AT517" i="5"/>
  <c r="AQ517" i="5"/>
  <c r="AP517" i="5"/>
  <c r="AO517" i="5"/>
  <c r="AL517" i="5"/>
  <c r="AK517" i="5"/>
  <c r="AJ517" i="5"/>
  <c r="AI517" i="5"/>
  <c r="AG517" i="5"/>
  <c r="AF517" i="5"/>
  <c r="AE517" i="5"/>
  <c r="AD517" i="5"/>
  <c r="BB508" i="5"/>
  <c r="AW508" i="5"/>
  <c r="AR508" i="5"/>
  <c r="AM508" i="5"/>
  <c r="AH508" i="5"/>
  <c r="BB507" i="5"/>
  <c r="AW507" i="5"/>
  <c r="AR507" i="5"/>
  <c r="AM507" i="5"/>
  <c r="AH507" i="5"/>
  <c r="BB506" i="5"/>
  <c r="AW506" i="5"/>
  <c r="AR506" i="5"/>
  <c r="AM506" i="5"/>
  <c r="AH506" i="5"/>
  <c r="BB505" i="5"/>
  <c r="AW505" i="5"/>
  <c r="AR505" i="5"/>
  <c r="AM505" i="5"/>
  <c r="AH505" i="5"/>
  <c r="BB504" i="5"/>
  <c r="AW504" i="5"/>
  <c r="AR504" i="5"/>
  <c r="AM504" i="5"/>
  <c r="AH504" i="5"/>
  <c r="BB503" i="5"/>
  <c r="AW503" i="5"/>
  <c r="AR503" i="5"/>
  <c r="AM503" i="5"/>
  <c r="AH503" i="5"/>
  <c r="BB502" i="5"/>
  <c r="AW502" i="5"/>
  <c r="AR502" i="5"/>
  <c r="AM502" i="5"/>
  <c r="AH502" i="5"/>
  <c r="BB501" i="5"/>
  <c r="AW501" i="5"/>
  <c r="AR501" i="5"/>
  <c r="AM501" i="5"/>
  <c r="AH501" i="5"/>
  <c r="BB500" i="5"/>
  <c r="AW500" i="5"/>
  <c r="AR500" i="5"/>
  <c r="AM500" i="5"/>
  <c r="AH500" i="5"/>
  <c r="BB499" i="5"/>
  <c r="AW499" i="5"/>
  <c r="AR499" i="5"/>
  <c r="AM499" i="5"/>
  <c r="AH499" i="5"/>
  <c r="BB498" i="5"/>
  <c r="AW498" i="5"/>
  <c r="AR498" i="5"/>
  <c r="AM498" i="5"/>
  <c r="AH498" i="5"/>
  <c r="BB497" i="5"/>
  <c r="AW497" i="5"/>
  <c r="AR497" i="5"/>
  <c r="AM497" i="5"/>
  <c r="AH497" i="5"/>
  <c r="BB496" i="5"/>
  <c r="AW496" i="5"/>
  <c r="AR496" i="5"/>
  <c r="AM496" i="5"/>
  <c r="AH496" i="5"/>
  <c r="BB495" i="5"/>
  <c r="AW495" i="5"/>
  <c r="AR495" i="5"/>
  <c r="AM495" i="5"/>
  <c r="AH495" i="5"/>
  <c r="BB494" i="5"/>
  <c r="AW494" i="5"/>
  <c r="AR494" i="5"/>
  <c r="AM494" i="5"/>
  <c r="AH494" i="5"/>
  <c r="BB493" i="5"/>
  <c r="AW493" i="5"/>
  <c r="AR493" i="5"/>
  <c r="AM493" i="5"/>
  <c r="AH493" i="5"/>
  <c r="BB492" i="5"/>
  <c r="AW492" i="5"/>
  <c r="AR492" i="5"/>
  <c r="AM492" i="5"/>
  <c r="AH492" i="5"/>
  <c r="BB489" i="5"/>
  <c r="AW489" i="5"/>
  <c r="AR489" i="5"/>
  <c r="AM489" i="5"/>
  <c r="AH489" i="5"/>
  <c r="BB488" i="5"/>
  <c r="AW488" i="5"/>
  <c r="AR488" i="5"/>
  <c r="AM488" i="5"/>
  <c r="AH488" i="5"/>
  <c r="BB487" i="5"/>
  <c r="AW487" i="5"/>
  <c r="AR487" i="5"/>
  <c r="AM487" i="5"/>
  <c r="AH487" i="5"/>
  <c r="BB485" i="5"/>
  <c r="AW485" i="5"/>
  <c r="AR485" i="5"/>
  <c r="AM485" i="5"/>
  <c r="AH485" i="5"/>
  <c r="F436" i="5"/>
  <c r="K436" i="5"/>
  <c r="P436" i="5"/>
  <c r="U436" i="5"/>
  <c r="Z436" i="5"/>
  <c r="AH409" i="5"/>
  <c r="AM409" i="5"/>
  <c r="AR409" i="5"/>
  <c r="AW409" i="5"/>
  <c r="BB409" i="5"/>
  <c r="AH480" i="5"/>
  <c r="AH408" i="5"/>
  <c r="AM408" i="5"/>
  <c r="AR408" i="5"/>
  <c r="AW408" i="5"/>
  <c r="BB408" i="5"/>
  <c r="Y477" i="5"/>
  <c r="X477" i="5"/>
  <c r="W477" i="5"/>
  <c r="V477" i="5"/>
  <c r="T477" i="5"/>
  <c r="S477" i="5"/>
  <c r="R477" i="5"/>
  <c r="Q477" i="5"/>
  <c r="O477" i="5"/>
  <c r="N477" i="5"/>
  <c r="M477" i="5"/>
  <c r="L477" i="5"/>
  <c r="J477" i="5"/>
  <c r="I477" i="5"/>
  <c r="H477" i="5"/>
  <c r="G477" i="5"/>
  <c r="E477" i="5"/>
  <c r="D477" i="5"/>
  <c r="C477" i="5"/>
  <c r="B477" i="5"/>
  <c r="Z476" i="5"/>
  <c r="U476" i="5"/>
  <c r="P476" i="5"/>
  <c r="K476" i="5"/>
  <c r="F476" i="5"/>
  <c r="Z475" i="5"/>
  <c r="U475" i="5"/>
  <c r="P475" i="5"/>
  <c r="K475" i="5"/>
  <c r="F475" i="5"/>
  <c r="Z474" i="5"/>
  <c r="U474" i="5"/>
  <c r="P474" i="5"/>
  <c r="K474" i="5"/>
  <c r="F474" i="5"/>
  <c r="Z473" i="5"/>
  <c r="U473" i="5"/>
  <c r="P473" i="5"/>
  <c r="K473" i="5"/>
  <c r="F473" i="5"/>
  <c r="Z472" i="5"/>
  <c r="U472" i="5"/>
  <c r="P472" i="5"/>
  <c r="K472" i="5"/>
  <c r="F472" i="5"/>
  <c r="Z471" i="5"/>
  <c r="U471" i="5"/>
  <c r="P471" i="5"/>
  <c r="K471" i="5"/>
  <c r="F471" i="5"/>
  <c r="Z470" i="5"/>
  <c r="U470" i="5"/>
  <c r="P470" i="5"/>
  <c r="K470" i="5"/>
  <c r="F470" i="5"/>
  <c r="Z469" i="5"/>
  <c r="U469" i="5"/>
  <c r="P469" i="5"/>
  <c r="K469" i="5"/>
  <c r="F469" i="5"/>
  <c r="Z468" i="5"/>
  <c r="U468" i="5"/>
  <c r="P468" i="5"/>
  <c r="K468" i="5"/>
  <c r="F468" i="5"/>
  <c r="Z467" i="5"/>
  <c r="U467" i="5"/>
  <c r="P467" i="5"/>
  <c r="K467" i="5"/>
  <c r="F467" i="5"/>
  <c r="Z466" i="5"/>
  <c r="U466" i="5"/>
  <c r="P466" i="5"/>
  <c r="K466" i="5"/>
  <c r="F466" i="5"/>
  <c r="Z465" i="5"/>
  <c r="U465" i="5"/>
  <c r="P465" i="5"/>
  <c r="K465" i="5"/>
  <c r="F465" i="5"/>
  <c r="Z464" i="5"/>
  <c r="U464" i="5"/>
  <c r="P464" i="5"/>
  <c r="K464" i="5"/>
  <c r="F464" i="5"/>
  <c r="Z463" i="5"/>
  <c r="U463" i="5"/>
  <c r="P463" i="5"/>
  <c r="K463" i="5"/>
  <c r="F463" i="5"/>
  <c r="Z462" i="5"/>
  <c r="U462" i="5"/>
  <c r="P462" i="5"/>
  <c r="K462" i="5"/>
  <c r="F462" i="5"/>
  <c r="Z461" i="5"/>
  <c r="U461" i="5"/>
  <c r="P461" i="5"/>
  <c r="K461" i="5"/>
  <c r="F461" i="5"/>
  <c r="Z460" i="5"/>
  <c r="U460" i="5"/>
  <c r="P460" i="5"/>
  <c r="K460" i="5"/>
  <c r="F460" i="5"/>
  <c r="Z459" i="5"/>
  <c r="U459" i="5"/>
  <c r="P459" i="5"/>
  <c r="K459" i="5"/>
  <c r="F459" i="5"/>
  <c r="Z458" i="5"/>
  <c r="U458" i="5"/>
  <c r="P458" i="5"/>
  <c r="K458" i="5"/>
  <c r="F458" i="5"/>
  <c r="Z457" i="5"/>
  <c r="U457" i="5"/>
  <c r="P457" i="5"/>
  <c r="K457" i="5"/>
  <c r="F457" i="5"/>
  <c r="Z456" i="5"/>
  <c r="U456" i="5"/>
  <c r="P456" i="5"/>
  <c r="K456" i="5"/>
  <c r="F456" i="5"/>
  <c r="Z455" i="5"/>
  <c r="U455" i="5"/>
  <c r="P455" i="5"/>
  <c r="K455" i="5"/>
  <c r="F455" i="5"/>
  <c r="Z454" i="5"/>
  <c r="U454" i="5"/>
  <c r="P454" i="5"/>
  <c r="K454" i="5"/>
  <c r="F454" i="5"/>
  <c r="Z453" i="5"/>
  <c r="U453" i="5"/>
  <c r="P453" i="5"/>
  <c r="K453" i="5"/>
  <c r="F453" i="5"/>
  <c r="Z449" i="5"/>
  <c r="U449" i="5"/>
  <c r="P449" i="5"/>
  <c r="K449" i="5"/>
  <c r="F449" i="5"/>
  <c r="Z448" i="5"/>
  <c r="U448" i="5"/>
  <c r="P448" i="5"/>
  <c r="K448" i="5"/>
  <c r="F448" i="5"/>
  <c r="Z447" i="5"/>
  <c r="U447" i="5"/>
  <c r="P447" i="5"/>
  <c r="K447" i="5"/>
  <c r="F447" i="5"/>
  <c r="Z446" i="5"/>
  <c r="U446" i="5"/>
  <c r="P446" i="5"/>
  <c r="K446" i="5"/>
  <c r="F446" i="5"/>
  <c r="Z445" i="5"/>
  <c r="U445" i="5"/>
  <c r="P445" i="5"/>
  <c r="K445" i="5"/>
  <c r="F445" i="5"/>
  <c r="AZ477" i="5"/>
  <c r="AV477" i="5"/>
  <c r="AS477" i="5"/>
  <c r="AQ477" i="5"/>
  <c r="AL477" i="5"/>
  <c r="AK477" i="5"/>
  <c r="AI477" i="5"/>
  <c r="BB471" i="5"/>
  <c r="AW471" i="5"/>
  <c r="AR471" i="5"/>
  <c r="AM471" i="5"/>
  <c r="AH471" i="5"/>
  <c r="BB470" i="5"/>
  <c r="AW470" i="5"/>
  <c r="AR470" i="5"/>
  <c r="AM470" i="5"/>
  <c r="AH470" i="5"/>
  <c r="BB469" i="5"/>
  <c r="AW469" i="5"/>
  <c r="AR469" i="5"/>
  <c r="AM469" i="5"/>
  <c r="AH469" i="5"/>
  <c r="BB449" i="5"/>
  <c r="AW449" i="5"/>
  <c r="AR449" i="5"/>
  <c r="AM449" i="5"/>
  <c r="AH449" i="5"/>
  <c r="BB448" i="5"/>
  <c r="AW448" i="5"/>
  <c r="AR448" i="5"/>
  <c r="AM448" i="5"/>
  <c r="AH448" i="5"/>
  <c r="BB447" i="5"/>
  <c r="AW447" i="5"/>
  <c r="AR447" i="5"/>
  <c r="AM447" i="5"/>
  <c r="AH447" i="5"/>
  <c r="AA768" i="5" l="1"/>
  <c r="Z797" i="5"/>
  <c r="H798" i="5"/>
  <c r="C798" i="5"/>
  <c r="AA767" i="5"/>
  <c r="BC773" i="5"/>
  <c r="AA766" i="5"/>
  <c r="S798" i="5"/>
  <c r="AA754" i="5"/>
  <c r="AA752" i="5"/>
  <c r="AA751" i="5"/>
  <c r="BC751" i="5"/>
  <c r="AH797" i="5"/>
  <c r="BB797" i="5"/>
  <c r="AA765" i="5"/>
  <c r="N798" i="5"/>
  <c r="X798" i="5"/>
  <c r="L798" i="5"/>
  <c r="P798" i="5" s="1"/>
  <c r="P770" i="5"/>
  <c r="Z770" i="5"/>
  <c r="V798" i="5"/>
  <c r="Z798" i="5" s="1"/>
  <c r="G798" i="5"/>
  <c r="Q798" i="5"/>
  <c r="AA792" i="5"/>
  <c r="AA793" i="5"/>
  <c r="AA794" i="5"/>
  <c r="AA795" i="5"/>
  <c r="AM797" i="5"/>
  <c r="BC791" i="5"/>
  <c r="BC792" i="5"/>
  <c r="BC793" i="5"/>
  <c r="AA796" i="5"/>
  <c r="AW797" i="5"/>
  <c r="K797" i="5"/>
  <c r="AA797" i="5" s="1"/>
  <c r="BC750" i="5"/>
  <c r="AA750" i="5"/>
  <c r="BC749" i="5"/>
  <c r="AA748" i="5"/>
  <c r="AA746" i="5"/>
  <c r="AA745" i="5"/>
  <c r="BC747" i="5"/>
  <c r="AA744" i="5"/>
  <c r="BC746" i="5"/>
  <c r="AA743" i="5"/>
  <c r="AA741" i="5"/>
  <c r="BC744" i="5"/>
  <c r="BC743" i="5"/>
  <c r="AA728" i="5"/>
  <c r="AA727" i="5"/>
  <c r="AA740" i="5"/>
  <c r="AA738" i="5"/>
  <c r="AA737" i="5"/>
  <c r="AA736" i="5"/>
  <c r="AA735" i="5"/>
  <c r="BC741" i="5"/>
  <c r="AA734" i="5"/>
  <c r="BC739" i="5"/>
  <c r="BC737" i="5"/>
  <c r="BC736" i="5"/>
  <c r="AA726" i="5"/>
  <c r="AA732" i="5"/>
  <c r="BC735" i="5"/>
  <c r="F757" i="5"/>
  <c r="K757" i="5"/>
  <c r="P757" i="5"/>
  <c r="U757" i="5"/>
  <c r="Z757" i="5"/>
  <c r="BC732" i="5"/>
  <c r="BC716" i="5"/>
  <c r="BC714" i="5"/>
  <c r="BC710" i="5"/>
  <c r="AI757" i="5"/>
  <c r="AJ757" i="5"/>
  <c r="AX757" i="5"/>
  <c r="BC754" i="5"/>
  <c r="AH757" i="5"/>
  <c r="AA689" i="5"/>
  <c r="AY757" i="5"/>
  <c r="BC755" i="5"/>
  <c r="Z717" i="5"/>
  <c r="AS757" i="5"/>
  <c r="AW757" i="5" s="1"/>
  <c r="BC756" i="5"/>
  <c r="BC698" i="5"/>
  <c r="AA685" i="5"/>
  <c r="BC696" i="5"/>
  <c r="AR757" i="5"/>
  <c r="BC692" i="5"/>
  <c r="AA662" i="5"/>
  <c r="F677" i="5"/>
  <c r="BC669" i="5"/>
  <c r="AA648" i="5"/>
  <c r="U677" i="5"/>
  <c r="K677" i="5"/>
  <c r="AA654" i="5"/>
  <c r="Z677" i="5"/>
  <c r="AW675" i="5"/>
  <c r="BC675" i="5" s="1"/>
  <c r="BC661" i="5"/>
  <c r="P677" i="5"/>
  <c r="BC654" i="5"/>
  <c r="BC657" i="5"/>
  <c r="AA653" i="5"/>
  <c r="AA661" i="5"/>
  <c r="BC685" i="5"/>
  <c r="BC687" i="5"/>
  <c r="BC694" i="5"/>
  <c r="BC547" i="5"/>
  <c r="BC457" i="5"/>
  <c r="BC607" i="5"/>
  <c r="BC591" i="5"/>
  <c r="BC571" i="5"/>
  <c r="BC658" i="5"/>
  <c r="BC662" i="5"/>
  <c r="BC666" i="5"/>
  <c r="BC670" i="5"/>
  <c r="BC633" i="5"/>
  <c r="AA666" i="5"/>
  <c r="AA670" i="5"/>
  <c r="AA674" i="5"/>
  <c r="AA686" i="5"/>
  <c r="AA688" i="5"/>
  <c r="BC676" i="5"/>
  <c r="AA612" i="5"/>
  <c r="BC631" i="5"/>
  <c r="AA515" i="5"/>
  <c r="BC590" i="5"/>
  <c r="BC572" i="5"/>
  <c r="BC645" i="5"/>
  <c r="BC649" i="5"/>
  <c r="BC655" i="5"/>
  <c r="BC659" i="5"/>
  <c r="BC663" i="5"/>
  <c r="BC667" i="5"/>
  <c r="BC671" i="5"/>
  <c r="AA646" i="5"/>
  <c r="AA651" i="5"/>
  <c r="AA652" i="5"/>
  <c r="AA655" i="5"/>
  <c r="AA656" i="5"/>
  <c r="AA659" i="5"/>
  <c r="AA660" i="5"/>
  <c r="AA663" i="5"/>
  <c r="AA664" i="5"/>
  <c r="AA667" i="5"/>
  <c r="AA671" i="5"/>
  <c r="AA675" i="5"/>
  <c r="BC611" i="5"/>
  <c r="BC686" i="5"/>
  <c r="BC688" i="5"/>
  <c r="AA691" i="5"/>
  <c r="BC691" i="5"/>
  <c r="AA693" i="5"/>
  <c r="BC693" i="5"/>
  <c r="AA695" i="5"/>
  <c r="BC695" i="5"/>
  <c r="BC697" i="5"/>
  <c r="BC701" i="5"/>
  <c r="AA703" i="5"/>
  <c r="BC703" i="5"/>
  <c r="BC705" i="5"/>
  <c r="BC707" i="5"/>
  <c r="BC709" i="5"/>
  <c r="BC711" i="5"/>
  <c r="AA714" i="5"/>
  <c r="AA716" i="5"/>
  <c r="K717" i="5"/>
  <c r="AS717" i="5"/>
  <c r="AW717" i="5" s="1"/>
  <c r="BC713" i="5"/>
  <c r="BC673" i="5"/>
  <c r="AX717" i="5"/>
  <c r="AZ717" i="5"/>
  <c r="BC651" i="5"/>
  <c r="AZ677" i="5"/>
  <c r="AA636" i="5"/>
  <c r="BC533" i="5"/>
  <c r="BC665" i="5"/>
  <c r="AA657" i="5"/>
  <c r="AA669" i="5"/>
  <c r="AA713" i="5"/>
  <c r="BC460" i="5"/>
  <c r="AA587" i="5"/>
  <c r="AA595" i="5"/>
  <c r="BC606" i="5"/>
  <c r="AA633" i="5"/>
  <c r="BC648" i="5"/>
  <c r="AA645" i="5"/>
  <c r="AA649" i="5"/>
  <c r="AA715" i="5"/>
  <c r="BC672" i="5"/>
  <c r="BC630" i="5"/>
  <c r="AM674" i="5"/>
  <c r="AA529" i="5"/>
  <c r="BC605" i="5"/>
  <c r="AA635" i="5"/>
  <c r="AA504" i="5"/>
  <c r="BC646" i="5"/>
  <c r="BC656" i="5"/>
  <c r="BC660" i="5"/>
  <c r="BC664" i="5"/>
  <c r="BC668" i="5"/>
  <c r="AA647" i="5"/>
  <c r="AA668" i="5"/>
  <c r="AA672" i="5"/>
  <c r="AA676" i="5"/>
  <c r="AA573" i="5"/>
  <c r="AA692" i="5"/>
  <c r="AA696" i="5"/>
  <c r="AA697" i="5"/>
  <c r="AA698" i="5"/>
  <c r="AA699" i="5"/>
  <c r="AA700" i="5"/>
  <c r="BC700" i="5"/>
  <c r="AA701" i="5"/>
  <c r="AA702" i="5"/>
  <c r="BC702" i="5"/>
  <c r="AA704" i="5"/>
  <c r="BC704" i="5"/>
  <c r="AA706" i="5"/>
  <c r="BC706" i="5"/>
  <c r="AA707" i="5"/>
  <c r="AA708" i="5"/>
  <c r="BC708" i="5"/>
  <c r="AA709" i="5"/>
  <c r="AA710" i="5"/>
  <c r="AA711" i="5"/>
  <c r="AA712" i="5"/>
  <c r="F717" i="5"/>
  <c r="P717" i="5"/>
  <c r="U717" i="5"/>
  <c r="BC712" i="5"/>
  <c r="AX677" i="5"/>
  <c r="AT677" i="5"/>
  <c r="AW677" i="5" s="1"/>
  <c r="BB674" i="5"/>
  <c r="AI677" i="5"/>
  <c r="AM677" i="5" s="1"/>
  <c r="BC653" i="5"/>
  <c r="BC652" i="5"/>
  <c r="AA628" i="5"/>
  <c r="AA625" i="5"/>
  <c r="AR636" i="5"/>
  <c r="BC636" i="5" s="1"/>
  <c r="BC623" i="5"/>
  <c r="AA608" i="5"/>
  <c r="AA620" i="5"/>
  <c r="AA619" i="5"/>
  <c r="AA617" i="5"/>
  <c r="AD717" i="5"/>
  <c r="AH717" i="5" s="1"/>
  <c r="AN717" i="5"/>
  <c r="AR717" i="5" s="1"/>
  <c r="BC617" i="5"/>
  <c r="BC616" i="5"/>
  <c r="BC615" i="5"/>
  <c r="K637" i="5"/>
  <c r="AR677" i="5"/>
  <c r="AH674" i="5"/>
  <c r="AH677" i="5"/>
  <c r="AM717" i="5"/>
  <c r="AS637" i="5"/>
  <c r="AW637" i="5" s="1"/>
  <c r="AX637" i="5"/>
  <c r="BB637" i="5" s="1"/>
  <c r="BB635" i="5"/>
  <c r="AM635" i="5"/>
  <c r="AX597" i="5"/>
  <c r="BB597" i="5" s="1"/>
  <c r="BC634" i="5"/>
  <c r="AQ637" i="5"/>
  <c r="AR637" i="5" s="1"/>
  <c r="AA571" i="5"/>
  <c r="AS597" i="5"/>
  <c r="AW597" i="5" s="1"/>
  <c r="AI597" i="5"/>
  <c r="AM597" i="5" s="1"/>
  <c r="AA526" i="5"/>
  <c r="BC539" i="5"/>
  <c r="AX557" i="5"/>
  <c r="BB557" i="5" s="1"/>
  <c r="BB555" i="5"/>
  <c r="AR556" i="5"/>
  <c r="BC556" i="5" s="1"/>
  <c r="AS557" i="5"/>
  <c r="AW557" i="5" s="1"/>
  <c r="AE557" i="5"/>
  <c r="AH557" i="5" s="1"/>
  <c r="BC555" i="5"/>
  <c r="BC531" i="5"/>
  <c r="BC509" i="5"/>
  <c r="BC447" i="5"/>
  <c r="BC500" i="5"/>
  <c r="BC435" i="5"/>
  <c r="AA565" i="5"/>
  <c r="AA574" i="5"/>
  <c r="AA582" i="5"/>
  <c r="AA590" i="5"/>
  <c r="BC595" i="5"/>
  <c r="AA605" i="5"/>
  <c r="AA614" i="5"/>
  <c r="AA622" i="5"/>
  <c r="AA630" i="5"/>
  <c r="AA460" i="5"/>
  <c r="AA463" i="5"/>
  <c r="AA468" i="5"/>
  <c r="AA471" i="5"/>
  <c r="AA487" i="5"/>
  <c r="AA512" i="5"/>
  <c r="BC386" i="5"/>
  <c r="BC516" i="5"/>
  <c r="AA567" i="5"/>
  <c r="AA576" i="5"/>
  <c r="AA584" i="5"/>
  <c r="AA592" i="5"/>
  <c r="BC594" i="5"/>
  <c r="AA607" i="5"/>
  <c r="AA616" i="5"/>
  <c r="AA624" i="5"/>
  <c r="AA632" i="5"/>
  <c r="AA509" i="5"/>
  <c r="AR475" i="5"/>
  <c r="AA451" i="5"/>
  <c r="BC608" i="5"/>
  <c r="BC609" i="5"/>
  <c r="BC618" i="5"/>
  <c r="BC619" i="5"/>
  <c r="BC626" i="5"/>
  <c r="BC627" i="5"/>
  <c r="BC629" i="5"/>
  <c r="AA613" i="5"/>
  <c r="AA621" i="5"/>
  <c r="AA629" i="5"/>
  <c r="U637" i="5"/>
  <c r="BC596" i="5"/>
  <c r="AA618" i="5"/>
  <c r="AA626" i="5"/>
  <c r="AA634" i="5"/>
  <c r="BC491" i="5"/>
  <c r="BC445" i="5"/>
  <c r="AA596" i="5"/>
  <c r="BC620" i="5"/>
  <c r="BC621" i="5"/>
  <c r="BC628" i="5"/>
  <c r="AA606" i="5"/>
  <c r="AA615" i="5"/>
  <c r="AA623" i="5"/>
  <c r="AA631" i="5"/>
  <c r="AA456" i="5"/>
  <c r="AA464" i="5"/>
  <c r="BC525" i="5"/>
  <c r="BC534" i="5"/>
  <c r="BC542" i="5"/>
  <c r="BC550" i="5"/>
  <c r="AA533" i="5"/>
  <c r="AA541" i="5"/>
  <c r="AA549" i="5"/>
  <c r="BC463" i="5"/>
  <c r="AA516" i="5"/>
  <c r="BC466" i="5"/>
  <c r="BC614" i="5"/>
  <c r="BC622" i="5"/>
  <c r="F637" i="5"/>
  <c r="P637" i="5"/>
  <c r="Z637" i="5"/>
  <c r="BC569" i="5"/>
  <c r="BC578" i="5"/>
  <c r="BC593" i="5"/>
  <c r="BC566" i="5"/>
  <c r="BC575" i="5"/>
  <c r="BC583" i="5"/>
  <c r="BC580" i="5"/>
  <c r="BC592" i="5"/>
  <c r="BC589" i="5"/>
  <c r="F557" i="5"/>
  <c r="P557" i="5"/>
  <c r="Z557" i="5"/>
  <c r="AH637" i="5"/>
  <c r="AM637" i="5"/>
  <c r="AA501" i="5"/>
  <c r="BC507" i="5"/>
  <c r="AA453" i="5"/>
  <c r="AA458" i="5"/>
  <c r="AA461" i="5"/>
  <c r="AA466" i="5"/>
  <c r="AA469" i="5"/>
  <c r="AA474" i="5"/>
  <c r="AA491" i="5"/>
  <c r="AA507" i="5"/>
  <c r="BC418" i="5"/>
  <c r="BC528" i="5"/>
  <c r="BC537" i="5"/>
  <c r="BC545" i="5"/>
  <c r="BC553" i="5"/>
  <c r="AA527" i="5"/>
  <c r="BC455" i="5"/>
  <c r="BC408" i="5"/>
  <c r="AA538" i="5"/>
  <c r="AA546" i="5"/>
  <c r="AA554" i="5"/>
  <c r="K557" i="5"/>
  <c r="U557" i="5"/>
  <c r="BC433" i="5"/>
  <c r="BC432" i="5"/>
  <c r="BC454" i="5"/>
  <c r="BC588" i="5"/>
  <c r="AA476" i="5"/>
  <c r="AA436" i="5"/>
  <c r="AA489" i="5"/>
  <c r="AA506" i="5"/>
  <c r="AA514" i="5"/>
  <c r="BC385" i="5"/>
  <c r="BC527" i="5"/>
  <c r="BC536" i="5"/>
  <c r="BC552" i="5"/>
  <c r="AA532" i="5"/>
  <c r="AA535" i="5"/>
  <c r="AA540" i="5"/>
  <c r="AA543" i="5"/>
  <c r="AA548" i="5"/>
  <c r="AA551" i="5"/>
  <c r="AH476" i="5"/>
  <c r="BC476" i="5" s="1"/>
  <c r="BC456" i="5"/>
  <c r="BC486" i="5"/>
  <c r="BC568" i="5"/>
  <c r="BC577" i="5"/>
  <c r="BC585" i="5"/>
  <c r="AA581" i="5"/>
  <c r="AA589" i="5"/>
  <c r="BC449" i="5"/>
  <c r="AA457" i="5"/>
  <c r="AA462" i="5"/>
  <c r="AA465" i="5"/>
  <c r="AA470" i="5"/>
  <c r="AA473" i="5"/>
  <c r="AA503" i="5"/>
  <c r="AA511" i="5"/>
  <c r="BC383" i="5"/>
  <c r="BC541" i="5"/>
  <c r="BC549" i="5"/>
  <c r="AA528" i="5"/>
  <c r="BC473" i="5"/>
  <c r="BC451" i="5"/>
  <c r="BC459" i="5"/>
  <c r="BC462" i="5"/>
  <c r="BC446" i="5"/>
  <c r="AA452" i="5"/>
  <c r="BC565" i="5"/>
  <c r="BC574" i="5"/>
  <c r="BC582" i="5"/>
  <c r="BC511" i="5"/>
  <c r="AA569" i="5"/>
  <c r="AA586" i="5"/>
  <c r="AA594" i="5"/>
  <c r="BC448" i="5"/>
  <c r="BC409" i="5"/>
  <c r="BC506" i="5"/>
  <c r="AA500" i="5"/>
  <c r="AA508" i="5"/>
  <c r="BC419" i="5"/>
  <c r="BC529" i="5"/>
  <c r="BC538" i="5"/>
  <c r="BC546" i="5"/>
  <c r="BC554" i="5"/>
  <c r="AA534" i="5"/>
  <c r="AA537" i="5"/>
  <c r="AA542" i="5"/>
  <c r="AA545" i="5"/>
  <c r="AA550" i="5"/>
  <c r="AA553" i="5"/>
  <c r="BC515" i="5"/>
  <c r="AW475" i="5"/>
  <c r="BC434" i="5"/>
  <c r="BC458" i="5"/>
  <c r="BC468" i="5"/>
  <c r="BC579" i="5"/>
  <c r="BC587" i="5"/>
  <c r="AA566" i="5"/>
  <c r="AA575" i="5"/>
  <c r="AA583" i="5"/>
  <c r="AA591" i="5"/>
  <c r="AA459" i="5"/>
  <c r="AA467" i="5"/>
  <c r="AA472" i="5"/>
  <c r="AA475" i="5"/>
  <c r="AA488" i="5"/>
  <c r="AA505" i="5"/>
  <c r="AA513" i="5"/>
  <c r="BC384" i="5"/>
  <c r="AA411" i="5"/>
  <c r="BC526" i="5"/>
  <c r="BC535" i="5"/>
  <c r="BC551" i="5"/>
  <c r="AA525" i="5"/>
  <c r="BC431" i="5"/>
  <c r="BC453" i="5"/>
  <c r="BC567" i="5"/>
  <c r="BC576" i="5"/>
  <c r="BC584" i="5"/>
  <c r="AA572" i="5"/>
  <c r="AA580" i="5"/>
  <c r="AA588" i="5"/>
  <c r="BC508" i="5"/>
  <c r="AA502" i="5"/>
  <c r="AA510" i="5"/>
  <c r="BC421" i="5"/>
  <c r="BC532" i="5"/>
  <c r="BC540" i="5"/>
  <c r="BC548" i="5"/>
  <c r="AA531" i="5"/>
  <c r="AA536" i="5"/>
  <c r="AA539" i="5"/>
  <c r="AA544" i="5"/>
  <c r="AA547" i="5"/>
  <c r="AA552" i="5"/>
  <c r="AA555" i="5"/>
  <c r="BC436" i="5"/>
  <c r="BC430" i="5"/>
  <c r="BC452" i="5"/>
  <c r="BC461" i="5"/>
  <c r="BC573" i="5"/>
  <c r="BC586" i="5"/>
  <c r="BC510" i="5"/>
  <c r="AA568" i="5"/>
  <c r="AA577" i="5"/>
  <c r="AA585" i="5"/>
  <c r="AA593" i="5"/>
  <c r="F597" i="5"/>
  <c r="U597" i="5"/>
  <c r="P597" i="5"/>
  <c r="K597" i="5"/>
  <c r="P517" i="5"/>
  <c r="AA499" i="5"/>
  <c r="BC505" i="5"/>
  <c r="K517" i="5"/>
  <c r="AA498" i="5"/>
  <c r="AR597" i="5"/>
  <c r="AH597" i="5"/>
  <c r="Z597" i="5"/>
  <c r="BC504" i="5"/>
  <c r="U517" i="5"/>
  <c r="AA497" i="5"/>
  <c r="BC489" i="5"/>
  <c r="BC488" i="5"/>
  <c r="BC503" i="5"/>
  <c r="AA496" i="5"/>
  <c r="AA495" i="5"/>
  <c r="AA486" i="5"/>
  <c r="BC502" i="5"/>
  <c r="BC501" i="5"/>
  <c r="BC514" i="5"/>
  <c r="BC512" i="5"/>
  <c r="BC513" i="5"/>
  <c r="AA494" i="5"/>
  <c r="AA493" i="5"/>
  <c r="Z517" i="5"/>
  <c r="F517" i="5"/>
  <c r="AA485" i="5"/>
  <c r="AS517" i="5"/>
  <c r="AW517" i="5" s="1"/>
  <c r="AR557" i="5"/>
  <c r="BC499" i="5"/>
  <c r="BC498" i="5"/>
  <c r="BC497" i="5"/>
  <c r="AM557" i="5"/>
  <c r="BC496" i="5"/>
  <c r="AA492" i="5"/>
  <c r="BC495" i="5"/>
  <c r="BC494" i="5"/>
  <c r="BC493" i="5"/>
  <c r="BC492" i="5"/>
  <c r="BC472" i="5"/>
  <c r="AA455" i="5"/>
  <c r="BC487" i="5"/>
  <c r="AA449" i="5"/>
  <c r="AA448" i="5"/>
  <c r="AA447" i="5"/>
  <c r="BC471" i="5"/>
  <c r="AA454" i="5"/>
  <c r="BC470" i="5"/>
  <c r="BC469" i="5"/>
  <c r="AA446" i="5"/>
  <c r="BC485" i="5"/>
  <c r="F477" i="5"/>
  <c r="K477" i="5"/>
  <c r="P477" i="5"/>
  <c r="U477" i="5"/>
  <c r="Z477" i="5"/>
  <c r="BC467" i="5"/>
  <c r="BC465" i="5"/>
  <c r="BC464" i="5"/>
  <c r="BC474" i="5"/>
  <c r="AN477" i="5"/>
  <c r="AR477" i="5" s="1"/>
  <c r="BB475" i="5"/>
  <c r="AH517" i="5"/>
  <c r="AR517" i="5"/>
  <c r="BB517" i="5"/>
  <c r="AM517" i="5"/>
  <c r="AA445" i="5"/>
  <c r="BC429" i="5"/>
  <c r="BC428" i="5"/>
  <c r="BC412" i="5"/>
  <c r="AH477" i="5"/>
  <c r="AM477" i="5"/>
  <c r="AW477" i="5"/>
  <c r="BB477" i="5"/>
  <c r="AH389" i="5"/>
  <c r="AM389" i="5"/>
  <c r="AR389" i="5"/>
  <c r="AW389" i="5"/>
  <c r="BB389" i="5"/>
  <c r="AH390" i="5"/>
  <c r="AM390" i="5"/>
  <c r="AR390" i="5"/>
  <c r="AW390" i="5"/>
  <c r="BB390" i="5"/>
  <c r="BB393" i="5"/>
  <c r="AW393" i="5"/>
  <c r="AR393" i="5"/>
  <c r="AM393" i="5"/>
  <c r="AH393" i="5"/>
  <c r="BB392" i="5"/>
  <c r="AW392" i="5"/>
  <c r="AR392" i="5"/>
  <c r="AM392" i="5"/>
  <c r="AH392" i="5"/>
  <c r="BB391" i="5"/>
  <c r="AW391" i="5"/>
  <c r="AR391" i="5"/>
  <c r="AM391" i="5"/>
  <c r="AH391" i="5"/>
  <c r="BB427" i="5"/>
  <c r="AW427" i="5"/>
  <c r="AR427" i="5"/>
  <c r="AM427" i="5"/>
  <c r="AH427" i="5"/>
  <c r="BB426" i="5"/>
  <c r="AW426" i="5"/>
  <c r="AR426" i="5"/>
  <c r="AM426" i="5"/>
  <c r="AH426" i="5"/>
  <c r="BB425" i="5"/>
  <c r="AW425" i="5"/>
  <c r="AR425" i="5"/>
  <c r="AM425" i="5"/>
  <c r="AH425" i="5"/>
  <c r="BB424" i="5"/>
  <c r="AW424" i="5"/>
  <c r="AR424" i="5"/>
  <c r="AM424" i="5"/>
  <c r="AH424" i="5"/>
  <c r="BB423" i="5"/>
  <c r="AW423" i="5"/>
  <c r="AR423" i="5"/>
  <c r="AM423" i="5"/>
  <c r="AH423" i="5"/>
  <c r="BB422" i="5"/>
  <c r="AW422" i="5"/>
  <c r="AR422" i="5"/>
  <c r="AM422" i="5"/>
  <c r="AH422" i="5"/>
  <c r="BB417" i="5"/>
  <c r="AW417" i="5"/>
  <c r="AR417" i="5"/>
  <c r="AM417" i="5"/>
  <c r="AH417" i="5"/>
  <c r="BB416" i="5"/>
  <c r="AW416" i="5"/>
  <c r="AR416" i="5"/>
  <c r="AM416" i="5"/>
  <c r="AH416" i="5"/>
  <c r="BB415" i="5"/>
  <c r="AW415" i="5"/>
  <c r="AR415" i="5"/>
  <c r="AM415" i="5"/>
  <c r="AH415" i="5"/>
  <c r="BB414" i="5"/>
  <c r="AW414" i="5"/>
  <c r="AR414" i="5"/>
  <c r="AM414" i="5"/>
  <c r="AH414" i="5"/>
  <c r="BB413" i="5"/>
  <c r="AW413" i="5"/>
  <c r="AR413" i="5"/>
  <c r="AM413" i="5"/>
  <c r="AH413" i="5"/>
  <c r="BB411" i="5"/>
  <c r="AW411" i="5"/>
  <c r="AR411" i="5"/>
  <c r="AM411" i="5"/>
  <c r="AH411" i="5"/>
  <c r="F405" i="5"/>
  <c r="K405" i="5"/>
  <c r="P405" i="5"/>
  <c r="U405" i="5"/>
  <c r="Z405" i="5"/>
  <c r="F412" i="5"/>
  <c r="K412" i="5"/>
  <c r="P412" i="5"/>
  <c r="U412" i="5"/>
  <c r="Z412" i="5"/>
  <c r="F413" i="5"/>
  <c r="K413" i="5"/>
  <c r="P413" i="5"/>
  <c r="U413" i="5"/>
  <c r="Z413" i="5"/>
  <c r="F414" i="5"/>
  <c r="K414" i="5"/>
  <c r="P414" i="5"/>
  <c r="U414" i="5"/>
  <c r="Z414" i="5"/>
  <c r="F415" i="5"/>
  <c r="K415" i="5"/>
  <c r="P415" i="5"/>
  <c r="U415" i="5"/>
  <c r="Z415" i="5"/>
  <c r="BA437" i="5"/>
  <c r="AZ437" i="5"/>
  <c r="AY437" i="5"/>
  <c r="AX437" i="5"/>
  <c r="AV437" i="5"/>
  <c r="AU437" i="5"/>
  <c r="AT437" i="5"/>
  <c r="AS437" i="5"/>
  <c r="AQ437" i="5"/>
  <c r="AP437" i="5"/>
  <c r="AO437" i="5"/>
  <c r="AN437" i="5"/>
  <c r="AL437" i="5"/>
  <c r="AK437" i="5"/>
  <c r="AJ437" i="5"/>
  <c r="AI437" i="5"/>
  <c r="AG437" i="5"/>
  <c r="AF437" i="5"/>
  <c r="AE437" i="5"/>
  <c r="AD437" i="5"/>
  <c r="Y437" i="5"/>
  <c r="X437" i="5"/>
  <c r="W437" i="5"/>
  <c r="V437" i="5"/>
  <c r="T437" i="5"/>
  <c r="S437" i="5"/>
  <c r="R437" i="5"/>
  <c r="Q437" i="5"/>
  <c r="O437" i="5"/>
  <c r="N437" i="5"/>
  <c r="M437" i="5"/>
  <c r="L437" i="5"/>
  <c r="J437" i="5"/>
  <c r="I437" i="5"/>
  <c r="H437" i="5"/>
  <c r="G437" i="5"/>
  <c r="E437" i="5"/>
  <c r="D437" i="5"/>
  <c r="C437" i="5"/>
  <c r="B437" i="5"/>
  <c r="Z435" i="5"/>
  <c r="U435" i="5"/>
  <c r="P435" i="5"/>
  <c r="K435" i="5"/>
  <c r="F435" i="5"/>
  <c r="Z434" i="5"/>
  <c r="U434" i="5"/>
  <c r="P434" i="5"/>
  <c r="K434" i="5"/>
  <c r="F434" i="5"/>
  <c r="Z433" i="5"/>
  <c r="U433" i="5"/>
  <c r="P433" i="5"/>
  <c r="K433" i="5"/>
  <c r="F433" i="5"/>
  <c r="Z432" i="5"/>
  <c r="U432" i="5"/>
  <c r="P432" i="5"/>
  <c r="K432" i="5"/>
  <c r="F432" i="5"/>
  <c r="Z431" i="5"/>
  <c r="U431" i="5"/>
  <c r="P431" i="5"/>
  <c r="K431" i="5"/>
  <c r="F431" i="5"/>
  <c r="Z430" i="5"/>
  <c r="U430" i="5"/>
  <c r="P430" i="5"/>
  <c r="K430" i="5"/>
  <c r="F430" i="5"/>
  <c r="Z429" i="5"/>
  <c r="U429" i="5"/>
  <c r="P429" i="5"/>
  <c r="K429" i="5"/>
  <c r="F429" i="5"/>
  <c r="Z428" i="5"/>
  <c r="U428" i="5"/>
  <c r="P428" i="5"/>
  <c r="K428" i="5"/>
  <c r="F428" i="5"/>
  <c r="Z427" i="5"/>
  <c r="U427" i="5"/>
  <c r="P427" i="5"/>
  <c r="K427" i="5"/>
  <c r="F427" i="5"/>
  <c r="Z426" i="5"/>
  <c r="U426" i="5"/>
  <c r="P426" i="5"/>
  <c r="K426" i="5"/>
  <c r="F426" i="5"/>
  <c r="Z425" i="5"/>
  <c r="U425" i="5"/>
  <c r="P425" i="5"/>
  <c r="K425" i="5"/>
  <c r="F425" i="5"/>
  <c r="Z424" i="5"/>
  <c r="U424" i="5"/>
  <c r="P424" i="5"/>
  <c r="K424" i="5"/>
  <c r="F424" i="5"/>
  <c r="Z423" i="5"/>
  <c r="U423" i="5"/>
  <c r="P423" i="5"/>
  <c r="K423" i="5"/>
  <c r="F423" i="5"/>
  <c r="Z422" i="5"/>
  <c r="U422" i="5"/>
  <c r="P422" i="5"/>
  <c r="K422" i="5"/>
  <c r="F422" i="5"/>
  <c r="Z421" i="5"/>
  <c r="U421" i="5"/>
  <c r="P421" i="5"/>
  <c r="K421" i="5"/>
  <c r="F421" i="5"/>
  <c r="Z420" i="5"/>
  <c r="U420" i="5"/>
  <c r="P420" i="5"/>
  <c r="K420" i="5"/>
  <c r="F420" i="5"/>
  <c r="Z419" i="5"/>
  <c r="U419" i="5"/>
  <c r="P419" i="5"/>
  <c r="K419" i="5"/>
  <c r="F419" i="5"/>
  <c r="Z418" i="5"/>
  <c r="U418" i="5"/>
  <c r="P418" i="5"/>
  <c r="K418" i="5"/>
  <c r="F418" i="5"/>
  <c r="Z417" i="5"/>
  <c r="U417" i="5"/>
  <c r="P417" i="5"/>
  <c r="K417" i="5"/>
  <c r="F417" i="5"/>
  <c r="Z416" i="5"/>
  <c r="U416" i="5"/>
  <c r="P416" i="5"/>
  <c r="K416" i="5"/>
  <c r="F416" i="5"/>
  <c r="Z409" i="5"/>
  <c r="U409" i="5"/>
  <c r="P409" i="5"/>
  <c r="K409" i="5"/>
  <c r="F409" i="5"/>
  <c r="Z408" i="5"/>
  <c r="U408" i="5"/>
  <c r="P408" i="5"/>
  <c r="K408" i="5"/>
  <c r="F408" i="5"/>
  <c r="BB407" i="5"/>
  <c r="AW407" i="5"/>
  <c r="AR407" i="5"/>
  <c r="AM407" i="5"/>
  <c r="AH407" i="5"/>
  <c r="Z407" i="5"/>
  <c r="U407" i="5"/>
  <c r="P407" i="5"/>
  <c r="K407" i="5"/>
  <c r="F407" i="5"/>
  <c r="BB406" i="5"/>
  <c r="AW406" i="5"/>
  <c r="AR406" i="5"/>
  <c r="AM406" i="5"/>
  <c r="AH406" i="5"/>
  <c r="Z406" i="5"/>
  <c r="U406" i="5"/>
  <c r="P406" i="5"/>
  <c r="K406" i="5"/>
  <c r="F406" i="5"/>
  <c r="BB405" i="5"/>
  <c r="AW405" i="5"/>
  <c r="AR405" i="5"/>
  <c r="AM405" i="5"/>
  <c r="AH405" i="5"/>
  <c r="S192" i="3"/>
  <c r="X192" i="3"/>
  <c r="Y192" i="3" s="1"/>
  <c r="S193" i="3"/>
  <c r="X193" i="3"/>
  <c r="Y193" i="3"/>
  <c r="S194" i="3"/>
  <c r="X194" i="3"/>
  <c r="Y194" i="3"/>
  <c r="S195" i="3"/>
  <c r="X195" i="3"/>
  <c r="Y195" i="3"/>
  <c r="S196" i="3"/>
  <c r="X196" i="3"/>
  <c r="Y196" i="3"/>
  <c r="BB335" i="5"/>
  <c r="AW335" i="5"/>
  <c r="AR335" i="5"/>
  <c r="AM335" i="5"/>
  <c r="AH335" i="5"/>
  <c r="F365" i="5"/>
  <c r="K365" i="5"/>
  <c r="P365" i="5"/>
  <c r="U365" i="5"/>
  <c r="Z365" i="5"/>
  <c r="BB332" i="5"/>
  <c r="AW332" i="5"/>
  <c r="AR332" i="5"/>
  <c r="AM332" i="5"/>
  <c r="AH332" i="5"/>
  <c r="V347" i="5"/>
  <c r="BB306" i="5"/>
  <c r="AW306" i="5"/>
  <c r="AR306" i="5"/>
  <c r="AM306" i="5"/>
  <c r="AH306" i="5"/>
  <c r="BB305" i="5"/>
  <c r="AW305" i="5"/>
  <c r="AR305" i="5"/>
  <c r="AM305" i="5"/>
  <c r="AH305" i="5"/>
  <c r="V345" i="5"/>
  <c r="Q345" i="5"/>
  <c r="B345" i="5"/>
  <c r="B357" i="5" s="1"/>
  <c r="BB304" i="5"/>
  <c r="AW304" i="5"/>
  <c r="AR304" i="5"/>
  <c r="AM304" i="5"/>
  <c r="AH304" i="5"/>
  <c r="BB331" i="5"/>
  <c r="AW331" i="5"/>
  <c r="AR331" i="5"/>
  <c r="AM331" i="5"/>
  <c r="AH331" i="5"/>
  <c r="F343" i="5"/>
  <c r="K343" i="5"/>
  <c r="P343" i="5"/>
  <c r="U343" i="5"/>
  <c r="Z343" i="5"/>
  <c r="F344" i="5"/>
  <c r="K344" i="5"/>
  <c r="P344" i="5"/>
  <c r="U344" i="5"/>
  <c r="Z344" i="5"/>
  <c r="Z328" i="5"/>
  <c r="U328" i="5"/>
  <c r="P328" i="5"/>
  <c r="K328" i="5"/>
  <c r="F328" i="5"/>
  <c r="Z327" i="5"/>
  <c r="U327" i="5"/>
  <c r="P327" i="5"/>
  <c r="K327" i="5"/>
  <c r="F327" i="5"/>
  <c r="BB286" i="5"/>
  <c r="AW286" i="5"/>
  <c r="AR286" i="5"/>
  <c r="AM286" i="5"/>
  <c r="AH286" i="5"/>
  <c r="BB285" i="5"/>
  <c r="AW285" i="5"/>
  <c r="AR285" i="5"/>
  <c r="AM285" i="5"/>
  <c r="AH285" i="5"/>
  <c r="BB303" i="5"/>
  <c r="AW303" i="5"/>
  <c r="AR303" i="5"/>
  <c r="AM303" i="5"/>
  <c r="AH303" i="5"/>
  <c r="BB302" i="5"/>
  <c r="AW302" i="5"/>
  <c r="AR302" i="5"/>
  <c r="AM302" i="5"/>
  <c r="AH302" i="5"/>
  <c r="BB396" i="5"/>
  <c r="BB301" i="5"/>
  <c r="AW301" i="5"/>
  <c r="AR301" i="5"/>
  <c r="AM301" i="5"/>
  <c r="AH301" i="5"/>
  <c r="AH366" i="5"/>
  <c r="AM366" i="5"/>
  <c r="AR366" i="5"/>
  <c r="AW366" i="5"/>
  <c r="BB366" i="5"/>
  <c r="AH367" i="5"/>
  <c r="AM367" i="5"/>
  <c r="AR367" i="5"/>
  <c r="AW367" i="5"/>
  <c r="BB367" i="5"/>
  <c r="AH368" i="5"/>
  <c r="AM368" i="5"/>
  <c r="AR368" i="5"/>
  <c r="AW368" i="5"/>
  <c r="BB368" i="5"/>
  <c r="BB299" i="5"/>
  <c r="AW299" i="5"/>
  <c r="AR299" i="5"/>
  <c r="AM299" i="5"/>
  <c r="AH299" i="5"/>
  <c r="BB295" i="5"/>
  <c r="AW295" i="5"/>
  <c r="AR295" i="5"/>
  <c r="AM295" i="5"/>
  <c r="AH295" i="5"/>
  <c r="BB293" i="5"/>
  <c r="AW293" i="5"/>
  <c r="AR293" i="5"/>
  <c r="AM293" i="5"/>
  <c r="AH293" i="5"/>
  <c r="BB292" i="5"/>
  <c r="AW292" i="5"/>
  <c r="AR292" i="5"/>
  <c r="AM292" i="5"/>
  <c r="AH292" i="5"/>
  <c r="AH316" i="5"/>
  <c r="AM316" i="5"/>
  <c r="AR316" i="5"/>
  <c r="AW316" i="5"/>
  <c r="BB316" i="5"/>
  <c r="BB356" i="5"/>
  <c r="AW356" i="5"/>
  <c r="AR356" i="5"/>
  <c r="AM356" i="5"/>
  <c r="AH356" i="5"/>
  <c r="AH327" i="5"/>
  <c r="AM327" i="5"/>
  <c r="AR327" i="5"/>
  <c r="AW327" i="5"/>
  <c r="BB327" i="5"/>
  <c r="BB326" i="5"/>
  <c r="AW326" i="5"/>
  <c r="AR326" i="5"/>
  <c r="AM326" i="5"/>
  <c r="AH326" i="5"/>
  <c r="BB325" i="5"/>
  <c r="AW325" i="5"/>
  <c r="AR325" i="5"/>
  <c r="AM325" i="5"/>
  <c r="AH325" i="5"/>
  <c r="BA397" i="5"/>
  <c r="AZ397" i="5"/>
  <c r="AY397" i="5"/>
  <c r="AX397" i="5"/>
  <c r="AV397" i="5"/>
  <c r="AU397" i="5"/>
  <c r="AT397" i="5"/>
  <c r="AS397" i="5"/>
  <c r="AQ397" i="5"/>
  <c r="AP397" i="5"/>
  <c r="AO397" i="5"/>
  <c r="AN397" i="5"/>
  <c r="AL397" i="5"/>
  <c r="AK397" i="5"/>
  <c r="AJ397" i="5"/>
  <c r="AI397" i="5"/>
  <c r="AG397" i="5"/>
  <c r="AF397" i="5"/>
  <c r="AE397" i="5"/>
  <c r="AD397" i="5"/>
  <c r="Y397" i="5"/>
  <c r="X397" i="5"/>
  <c r="W397" i="5"/>
  <c r="V397" i="5"/>
  <c r="T397" i="5"/>
  <c r="S397" i="5"/>
  <c r="R397" i="5"/>
  <c r="Q397" i="5"/>
  <c r="O397" i="5"/>
  <c r="N397" i="5"/>
  <c r="M397" i="5"/>
  <c r="L397" i="5"/>
  <c r="J397" i="5"/>
  <c r="I397" i="5"/>
  <c r="H397" i="5"/>
  <c r="G397" i="5"/>
  <c r="E397" i="5"/>
  <c r="D397" i="5"/>
  <c r="C397" i="5"/>
  <c r="B397" i="5"/>
  <c r="Z396" i="5"/>
  <c r="U396" i="5"/>
  <c r="P396" i="5"/>
  <c r="K396" i="5"/>
  <c r="F396" i="5"/>
  <c r="BB395" i="5"/>
  <c r="Z395" i="5"/>
  <c r="U395" i="5"/>
  <c r="P395" i="5"/>
  <c r="K395" i="5"/>
  <c r="F395" i="5"/>
  <c r="BB394" i="5"/>
  <c r="Z394" i="5"/>
  <c r="U394" i="5"/>
  <c r="P394" i="5"/>
  <c r="K394" i="5"/>
  <c r="F394" i="5"/>
  <c r="Z393" i="5"/>
  <c r="U393" i="5"/>
  <c r="P393" i="5"/>
  <c r="K393" i="5"/>
  <c r="F393" i="5"/>
  <c r="Z392" i="5"/>
  <c r="U392" i="5"/>
  <c r="P392" i="5"/>
  <c r="K392" i="5"/>
  <c r="F392" i="5"/>
  <c r="Z391" i="5"/>
  <c r="U391" i="5"/>
  <c r="P391" i="5"/>
  <c r="K391" i="5"/>
  <c r="F391" i="5"/>
  <c r="Z390" i="5"/>
  <c r="U390" i="5"/>
  <c r="P390" i="5"/>
  <c r="K390" i="5"/>
  <c r="F390" i="5"/>
  <c r="Z389" i="5"/>
  <c r="U389" i="5"/>
  <c r="P389" i="5"/>
  <c r="K389" i="5"/>
  <c r="F389" i="5"/>
  <c r="BB388" i="5"/>
  <c r="AW388" i="5"/>
  <c r="AR388" i="5"/>
  <c r="AM388" i="5"/>
  <c r="AH388" i="5"/>
  <c r="Z388" i="5"/>
  <c r="U388" i="5"/>
  <c r="P388" i="5"/>
  <c r="K388" i="5"/>
  <c r="F388" i="5"/>
  <c r="BB387" i="5"/>
  <c r="AW387" i="5"/>
  <c r="AR387" i="5"/>
  <c r="AM387" i="5"/>
  <c r="AH387" i="5"/>
  <c r="Z387" i="5"/>
  <c r="U387" i="5"/>
  <c r="P387" i="5"/>
  <c r="K387" i="5"/>
  <c r="F387" i="5"/>
  <c r="Z385" i="5"/>
  <c r="U385" i="5"/>
  <c r="P385" i="5"/>
  <c r="K385" i="5"/>
  <c r="F385" i="5"/>
  <c r="Z384" i="5"/>
  <c r="U384" i="5"/>
  <c r="P384" i="5"/>
  <c r="K384" i="5"/>
  <c r="F384" i="5"/>
  <c r="Z383" i="5"/>
  <c r="U383" i="5"/>
  <c r="P383" i="5"/>
  <c r="K383" i="5"/>
  <c r="F383" i="5"/>
  <c r="BB382" i="5"/>
  <c r="AW382" i="5"/>
  <c r="AR382" i="5"/>
  <c r="AM382" i="5"/>
  <c r="AH382" i="5"/>
  <c r="Z382" i="5"/>
  <c r="U382" i="5"/>
  <c r="P382" i="5"/>
  <c r="K382" i="5"/>
  <c r="F382" i="5"/>
  <c r="BB381" i="5"/>
  <c r="AW381" i="5"/>
  <c r="AR381" i="5"/>
  <c r="AM381" i="5"/>
  <c r="AH381" i="5"/>
  <c r="Z381" i="5"/>
  <c r="U381" i="5"/>
  <c r="P381" i="5"/>
  <c r="K381" i="5"/>
  <c r="F381" i="5"/>
  <c r="BB380" i="5"/>
  <c r="AW380" i="5"/>
  <c r="AR380" i="5"/>
  <c r="AM380" i="5"/>
  <c r="AH380" i="5"/>
  <c r="Z380" i="5"/>
  <c r="U380" i="5"/>
  <c r="P380" i="5"/>
  <c r="K380" i="5"/>
  <c r="F380" i="5"/>
  <c r="BB379" i="5"/>
  <c r="AW379" i="5"/>
  <c r="AR379" i="5"/>
  <c r="AM379" i="5"/>
  <c r="AH379" i="5"/>
  <c r="Z379" i="5"/>
  <c r="U379" i="5"/>
  <c r="P379" i="5"/>
  <c r="K379" i="5"/>
  <c r="F379" i="5"/>
  <c r="BB378" i="5"/>
  <c r="AW378" i="5"/>
  <c r="AR378" i="5"/>
  <c r="AM378" i="5"/>
  <c r="AH378" i="5"/>
  <c r="Z378" i="5"/>
  <c r="U378" i="5"/>
  <c r="P378" i="5"/>
  <c r="K378" i="5"/>
  <c r="F378" i="5"/>
  <c r="BB377" i="5"/>
  <c r="AW377" i="5"/>
  <c r="AR377" i="5"/>
  <c r="AM377" i="5"/>
  <c r="AH377" i="5"/>
  <c r="Z377" i="5"/>
  <c r="U377" i="5"/>
  <c r="P377" i="5"/>
  <c r="K377" i="5"/>
  <c r="F377" i="5"/>
  <c r="BB376" i="5"/>
  <c r="AW376" i="5"/>
  <c r="AR376" i="5"/>
  <c r="AM376" i="5"/>
  <c r="AH376" i="5"/>
  <c r="Z376" i="5"/>
  <c r="U376" i="5"/>
  <c r="P376" i="5"/>
  <c r="K376" i="5"/>
  <c r="F376" i="5"/>
  <c r="BB375" i="5"/>
  <c r="AW375" i="5"/>
  <c r="AR375" i="5"/>
  <c r="AM375" i="5"/>
  <c r="AH375" i="5"/>
  <c r="Z375" i="5"/>
  <c r="U375" i="5"/>
  <c r="P375" i="5"/>
  <c r="K375" i="5"/>
  <c r="F375" i="5"/>
  <c r="BB374" i="5"/>
  <c r="AW374" i="5"/>
  <c r="AR374" i="5"/>
  <c r="AM374" i="5"/>
  <c r="AH374" i="5"/>
  <c r="Z374" i="5"/>
  <c r="U374" i="5"/>
  <c r="P374" i="5"/>
  <c r="K374" i="5"/>
  <c r="F374" i="5"/>
  <c r="BB373" i="5"/>
  <c r="AW373" i="5"/>
  <c r="AR373" i="5"/>
  <c r="AM373" i="5"/>
  <c r="AH373" i="5"/>
  <c r="Z373" i="5"/>
  <c r="U373" i="5"/>
  <c r="P373" i="5"/>
  <c r="K373" i="5"/>
  <c r="F373" i="5"/>
  <c r="BB372" i="5"/>
  <c r="AW372" i="5"/>
  <c r="AR372" i="5"/>
  <c r="AM372" i="5"/>
  <c r="AH372" i="5"/>
  <c r="Z372" i="5"/>
  <c r="U372" i="5"/>
  <c r="P372" i="5"/>
  <c r="K372" i="5"/>
  <c r="F372" i="5"/>
  <c r="BB371" i="5"/>
  <c r="AW371" i="5"/>
  <c r="AR371" i="5"/>
  <c r="AM371" i="5"/>
  <c r="AH371" i="5"/>
  <c r="Z371" i="5"/>
  <c r="U371" i="5"/>
  <c r="P371" i="5"/>
  <c r="K371" i="5"/>
  <c r="F371" i="5"/>
  <c r="BB369" i="5"/>
  <c r="AW369" i="5"/>
  <c r="AR369" i="5"/>
  <c r="AM369" i="5"/>
  <c r="AH369" i="5"/>
  <c r="Z369" i="5"/>
  <c r="U369" i="5"/>
  <c r="P369" i="5"/>
  <c r="K369" i="5"/>
  <c r="F369" i="5"/>
  <c r="Z368" i="5"/>
  <c r="U368" i="5"/>
  <c r="P368" i="5"/>
  <c r="K368" i="5"/>
  <c r="F368" i="5"/>
  <c r="Z367" i="5"/>
  <c r="U367" i="5"/>
  <c r="P367" i="5"/>
  <c r="K367" i="5"/>
  <c r="F367" i="5"/>
  <c r="Z366" i="5"/>
  <c r="U366" i="5"/>
  <c r="P366" i="5"/>
  <c r="K366" i="5"/>
  <c r="F366" i="5"/>
  <c r="BB365" i="5"/>
  <c r="AW365" i="5"/>
  <c r="AR365" i="5"/>
  <c r="AM365" i="5"/>
  <c r="AH365" i="5"/>
  <c r="G276" i="5"/>
  <c r="G277" i="5" s="1"/>
  <c r="F276" i="5"/>
  <c r="BB271" i="5"/>
  <c r="AW271" i="5"/>
  <c r="AR271" i="5"/>
  <c r="AM271" i="5"/>
  <c r="AH271" i="5"/>
  <c r="BB269" i="5"/>
  <c r="AW269" i="5"/>
  <c r="AR269" i="5"/>
  <c r="AM269" i="5"/>
  <c r="AH269" i="5"/>
  <c r="Z247" i="5"/>
  <c r="U247" i="5"/>
  <c r="P247" i="5"/>
  <c r="K247" i="5"/>
  <c r="F247" i="5"/>
  <c r="BB261" i="5"/>
  <c r="AW261" i="5"/>
  <c r="AR261" i="5"/>
  <c r="AM261" i="5"/>
  <c r="AH261" i="5"/>
  <c r="BB206" i="5"/>
  <c r="AW206" i="5"/>
  <c r="AR206" i="5"/>
  <c r="AM206" i="5"/>
  <c r="AH206" i="5"/>
  <c r="U178" i="3"/>
  <c r="BB257" i="5"/>
  <c r="Y357" i="5"/>
  <c r="X357" i="5"/>
  <c r="W357" i="5"/>
  <c r="V357" i="5"/>
  <c r="T357" i="5"/>
  <c r="S357" i="5"/>
  <c r="R357" i="5"/>
  <c r="Q357" i="5"/>
  <c r="O357" i="5"/>
  <c r="N357" i="5"/>
  <c r="M357" i="5"/>
  <c r="L357" i="5"/>
  <c r="J357" i="5"/>
  <c r="I357" i="5"/>
  <c r="H357" i="5"/>
  <c r="G357" i="5"/>
  <c r="E357" i="5"/>
  <c r="D357" i="5"/>
  <c r="C357" i="5"/>
  <c r="Z356" i="5"/>
  <c r="U356" i="5"/>
  <c r="P356" i="5"/>
  <c r="K356" i="5"/>
  <c r="F356" i="5"/>
  <c r="Z355" i="5"/>
  <c r="U355" i="5"/>
  <c r="P355" i="5"/>
  <c r="K355" i="5"/>
  <c r="F355" i="5"/>
  <c r="Z354" i="5"/>
  <c r="U354" i="5"/>
  <c r="P354" i="5"/>
  <c r="K354" i="5"/>
  <c r="F354" i="5"/>
  <c r="Z353" i="5"/>
  <c r="U353" i="5"/>
  <c r="P353" i="5"/>
  <c r="K353" i="5"/>
  <c r="F353" i="5"/>
  <c r="Z352" i="5"/>
  <c r="U352" i="5"/>
  <c r="P352" i="5"/>
  <c r="K352" i="5"/>
  <c r="F352" i="5"/>
  <c r="Z351" i="5"/>
  <c r="U351" i="5"/>
  <c r="P351" i="5"/>
  <c r="K351" i="5"/>
  <c r="F351" i="5"/>
  <c r="Z350" i="5"/>
  <c r="U350" i="5"/>
  <c r="P350" i="5"/>
  <c r="K350" i="5"/>
  <c r="F350" i="5"/>
  <c r="Z349" i="5"/>
  <c r="U349" i="5"/>
  <c r="P349" i="5"/>
  <c r="K349" i="5"/>
  <c r="F349" i="5"/>
  <c r="Z348" i="5"/>
  <c r="U348" i="5"/>
  <c r="P348" i="5"/>
  <c r="K348" i="5"/>
  <c r="F348" i="5"/>
  <c r="Z347" i="5"/>
  <c r="U347" i="5"/>
  <c r="P347" i="5"/>
  <c r="K347" i="5"/>
  <c r="F347" i="5"/>
  <c r="Z346" i="5"/>
  <c r="U346" i="5"/>
  <c r="P346" i="5"/>
  <c r="K346" i="5"/>
  <c r="F346" i="5"/>
  <c r="Z345" i="5"/>
  <c r="U345" i="5"/>
  <c r="P345" i="5"/>
  <c r="K345" i="5"/>
  <c r="Z342" i="5"/>
  <c r="U342" i="5"/>
  <c r="P342" i="5"/>
  <c r="K342" i="5"/>
  <c r="F342" i="5"/>
  <c r="Z341" i="5"/>
  <c r="U341" i="5"/>
  <c r="P341" i="5"/>
  <c r="K341" i="5"/>
  <c r="F341" i="5"/>
  <c r="Z340" i="5"/>
  <c r="U340" i="5"/>
  <c r="P340" i="5"/>
  <c r="K340" i="5"/>
  <c r="F340" i="5"/>
  <c r="Z339" i="5"/>
  <c r="U339" i="5"/>
  <c r="P339" i="5"/>
  <c r="K339" i="5"/>
  <c r="F339" i="5"/>
  <c r="Z338" i="5"/>
  <c r="U338" i="5"/>
  <c r="P338" i="5"/>
  <c r="K338" i="5"/>
  <c r="F338" i="5"/>
  <c r="Z337" i="5"/>
  <c r="U337" i="5"/>
  <c r="P337" i="5"/>
  <c r="K337" i="5"/>
  <c r="F337" i="5"/>
  <c r="Z336" i="5"/>
  <c r="U336" i="5"/>
  <c r="P336" i="5"/>
  <c r="K336" i="5"/>
  <c r="F336" i="5"/>
  <c r="Z335" i="5"/>
  <c r="U335" i="5"/>
  <c r="P335" i="5"/>
  <c r="K335" i="5"/>
  <c r="F335" i="5"/>
  <c r="Z334" i="5"/>
  <c r="U334" i="5"/>
  <c r="P334" i="5"/>
  <c r="K334" i="5"/>
  <c r="F334" i="5"/>
  <c r="Z333" i="5"/>
  <c r="U333" i="5"/>
  <c r="P333" i="5"/>
  <c r="K333" i="5"/>
  <c r="F333" i="5"/>
  <c r="Z332" i="5"/>
  <c r="U332" i="5"/>
  <c r="P332" i="5"/>
  <c r="K332" i="5"/>
  <c r="F332" i="5"/>
  <c r="Z331" i="5"/>
  <c r="U331" i="5"/>
  <c r="P331" i="5"/>
  <c r="K331" i="5"/>
  <c r="F331" i="5"/>
  <c r="Z329" i="5"/>
  <c r="U329" i="5"/>
  <c r="P329" i="5"/>
  <c r="K329" i="5"/>
  <c r="F329" i="5"/>
  <c r="Z326" i="5"/>
  <c r="U326" i="5"/>
  <c r="P326" i="5"/>
  <c r="K326" i="5"/>
  <c r="F326" i="5"/>
  <c r="Z325" i="5"/>
  <c r="U325" i="5"/>
  <c r="P325" i="5"/>
  <c r="K325" i="5"/>
  <c r="F325" i="5"/>
  <c r="AH287" i="5"/>
  <c r="AM287" i="5"/>
  <c r="AR287" i="5"/>
  <c r="AW287" i="5"/>
  <c r="BB287" i="5"/>
  <c r="AH355" i="5"/>
  <c r="AM355" i="5"/>
  <c r="AR355" i="5"/>
  <c r="AW355" i="5"/>
  <c r="BB355" i="5"/>
  <c r="AH315" i="5"/>
  <c r="AM315" i="5"/>
  <c r="AR315" i="5"/>
  <c r="AW315" i="5"/>
  <c r="BB315" i="5"/>
  <c r="BA357" i="5"/>
  <c r="AZ357" i="5"/>
  <c r="AY357" i="5"/>
  <c r="AX357" i="5"/>
  <c r="AV357" i="5"/>
  <c r="AU357" i="5"/>
  <c r="AT357" i="5"/>
  <c r="AS357" i="5"/>
  <c r="AQ357" i="5"/>
  <c r="AP357" i="5"/>
  <c r="AO357" i="5"/>
  <c r="AN357" i="5"/>
  <c r="AL357" i="5"/>
  <c r="AK357" i="5"/>
  <c r="AJ357" i="5"/>
  <c r="AI357" i="5"/>
  <c r="AG357" i="5"/>
  <c r="AF357" i="5"/>
  <c r="AE357" i="5"/>
  <c r="AD357" i="5"/>
  <c r="BB354" i="5"/>
  <c r="AW354" i="5"/>
  <c r="AR354" i="5"/>
  <c r="AM354" i="5"/>
  <c r="AH354" i="5"/>
  <c r="BB353" i="5"/>
  <c r="AW353" i="5"/>
  <c r="AR353" i="5"/>
  <c r="AM353" i="5"/>
  <c r="AH353" i="5"/>
  <c r="BB352" i="5"/>
  <c r="AW352" i="5"/>
  <c r="AR352" i="5"/>
  <c r="AM352" i="5"/>
  <c r="AH352" i="5"/>
  <c r="BB351" i="5"/>
  <c r="AW351" i="5"/>
  <c r="AR351" i="5"/>
  <c r="AM351" i="5"/>
  <c r="AH351" i="5"/>
  <c r="BB350" i="5"/>
  <c r="AW350" i="5"/>
  <c r="AR350" i="5"/>
  <c r="AM350" i="5"/>
  <c r="AH350" i="5"/>
  <c r="BB349" i="5"/>
  <c r="AW349" i="5"/>
  <c r="AR349" i="5"/>
  <c r="AM349" i="5"/>
  <c r="AH349" i="5"/>
  <c r="BB348" i="5"/>
  <c r="AW348" i="5"/>
  <c r="AR348" i="5"/>
  <c r="AM348" i="5"/>
  <c r="AH348" i="5"/>
  <c r="BB347" i="5"/>
  <c r="AW347" i="5"/>
  <c r="AR347" i="5"/>
  <c r="AM347" i="5"/>
  <c r="AH347" i="5"/>
  <c r="BB346" i="5"/>
  <c r="AW346" i="5"/>
  <c r="AR346" i="5"/>
  <c r="AM346" i="5"/>
  <c r="AH346" i="5"/>
  <c r="BB345" i="5"/>
  <c r="AW345" i="5"/>
  <c r="AR345" i="5"/>
  <c r="AM345" i="5"/>
  <c r="AH345" i="5"/>
  <c r="BB344" i="5"/>
  <c r="AW344" i="5"/>
  <c r="AR344" i="5"/>
  <c r="AM344" i="5"/>
  <c r="AH344" i="5"/>
  <c r="BB343" i="5"/>
  <c r="AW343" i="5"/>
  <c r="AR343" i="5"/>
  <c r="AM343" i="5"/>
  <c r="AH343" i="5"/>
  <c r="BB342" i="5"/>
  <c r="AW342" i="5"/>
  <c r="AR342" i="5"/>
  <c r="AM342" i="5"/>
  <c r="AH342" i="5"/>
  <c r="BB341" i="5"/>
  <c r="AW341" i="5"/>
  <c r="AR341" i="5"/>
  <c r="AM341" i="5"/>
  <c r="AH341" i="5"/>
  <c r="BB340" i="5"/>
  <c r="AW340" i="5"/>
  <c r="AR340" i="5"/>
  <c r="AM340" i="5"/>
  <c r="AH340" i="5"/>
  <c r="BB339" i="5"/>
  <c r="AW339" i="5"/>
  <c r="AR339" i="5"/>
  <c r="AM339" i="5"/>
  <c r="AH339" i="5"/>
  <c r="BB338" i="5"/>
  <c r="AW338" i="5"/>
  <c r="AR338" i="5"/>
  <c r="AM338" i="5"/>
  <c r="AH338" i="5"/>
  <c r="BB337" i="5"/>
  <c r="AW337" i="5"/>
  <c r="AR337" i="5"/>
  <c r="AM337" i="5"/>
  <c r="AH337" i="5"/>
  <c r="BB336" i="5"/>
  <c r="AW336" i="5"/>
  <c r="AR336" i="5"/>
  <c r="AM336" i="5"/>
  <c r="AH336" i="5"/>
  <c r="BB334" i="5"/>
  <c r="AW334" i="5"/>
  <c r="AR334" i="5"/>
  <c r="AM334" i="5"/>
  <c r="AH334" i="5"/>
  <c r="BB333" i="5"/>
  <c r="AW333" i="5"/>
  <c r="AR333" i="5"/>
  <c r="AM333" i="5"/>
  <c r="AH333" i="5"/>
  <c r="BB329" i="5"/>
  <c r="AW329" i="5"/>
  <c r="AR329" i="5"/>
  <c r="AM329" i="5"/>
  <c r="AH329" i="5"/>
  <c r="BB328" i="5"/>
  <c r="AW328" i="5"/>
  <c r="AR328" i="5"/>
  <c r="AM328" i="5"/>
  <c r="AH328" i="5"/>
  <c r="BB230" i="5"/>
  <c r="AW230" i="5"/>
  <c r="AR230" i="5"/>
  <c r="AM230" i="5"/>
  <c r="AH230" i="5"/>
  <c r="BB274" i="5"/>
  <c r="AV277" i="5"/>
  <c r="AU277" i="5"/>
  <c r="AW274" i="5"/>
  <c r="AR274" i="5"/>
  <c r="AM274" i="5"/>
  <c r="AH274" i="5"/>
  <c r="BB273" i="5"/>
  <c r="AW273" i="5"/>
  <c r="AR273" i="5"/>
  <c r="AM273" i="5"/>
  <c r="AG277" i="5"/>
  <c r="AW276" i="5"/>
  <c r="AM275" i="5"/>
  <c r="AH232" i="5"/>
  <c r="AM232" i="5"/>
  <c r="AR232" i="5"/>
  <c r="AW232" i="5"/>
  <c r="BB232" i="5"/>
  <c r="AH233" i="5"/>
  <c r="AM233" i="5"/>
  <c r="AR233" i="5"/>
  <c r="AW233" i="5"/>
  <c r="BB233" i="5"/>
  <c r="BB276" i="5"/>
  <c r="AR276" i="5"/>
  <c r="AM276" i="5"/>
  <c r="AH276" i="5"/>
  <c r="BB275" i="5"/>
  <c r="AW275" i="5"/>
  <c r="AR275" i="5"/>
  <c r="AH275" i="5"/>
  <c r="AX237" i="5"/>
  <c r="AW236" i="5"/>
  <c r="AI237" i="5"/>
  <c r="AU237" i="5"/>
  <c r="AS237" i="5"/>
  <c r="BB235" i="5"/>
  <c r="AK237" i="5"/>
  <c r="F212" i="5"/>
  <c r="K212" i="5"/>
  <c r="P212" i="5"/>
  <c r="U212" i="5"/>
  <c r="Z212" i="5"/>
  <c r="S171" i="3"/>
  <c r="X171" i="3"/>
  <c r="Y171" i="3" s="1"/>
  <c r="S172" i="3"/>
  <c r="X172" i="3"/>
  <c r="Y172" i="3"/>
  <c r="S173" i="3"/>
  <c r="X173" i="3"/>
  <c r="Y173" i="3" s="1"/>
  <c r="S174" i="3"/>
  <c r="X174" i="3"/>
  <c r="Y174" i="3" s="1"/>
  <c r="S175" i="3"/>
  <c r="X175" i="3"/>
  <c r="Y175" i="3" s="1"/>
  <c r="S176" i="3"/>
  <c r="X176" i="3"/>
  <c r="Y176" i="3"/>
  <c r="S177" i="3"/>
  <c r="X177" i="3"/>
  <c r="Y177" i="3" s="1"/>
  <c r="S178" i="3"/>
  <c r="X178" i="3"/>
  <c r="Y178" i="3" s="1"/>
  <c r="S179" i="3"/>
  <c r="X179" i="3"/>
  <c r="Y179" i="3" s="1"/>
  <c r="S180" i="3"/>
  <c r="X180" i="3"/>
  <c r="Y180" i="3"/>
  <c r="S181" i="3"/>
  <c r="X181" i="3"/>
  <c r="S182" i="3"/>
  <c r="X182" i="3"/>
  <c r="Y182" i="3"/>
  <c r="S183" i="3"/>
  <c r="X183" i="3"/>
  <c r="Y183" i="3" s="1"/>
  <c r="S184" i="3"/>
  <c r="X184" i="3"/>
  <c r="Y184" i="3"/>
  <c r="S185" i="3"/>
  <c r="X185" i="3"/>
  <c r="S186" i="3"/>
  <c r="X186" i="3"/>
  <c r="Y186" i="3"/>
  <c r="S187" i="3"/>
  <c r="X187" i="3"/>
  <c r="S188" i="3"/>
  <c r="X188" i="3"/>
  <c r="Y188" i="3"/>
  <c r="S189" i="3"/>
  <c r="X189" i="3"/>
  <c r="Y189" i="3" s="1"/>
  <c r="S190" i="3"/>
  <c r="X190" i="3"/>
  <c r="Y190" i="3"/>
  <c r="S191" i="3"/>
  <c r="X191" i="3"/>
  <c r="Y191" i="3" s="1"/>
  <c r="W197" i="3"/>
  <c r="V197" i="3"/>
  <c r="U197" i="3"/>
  <c r="T197" i="3"/>
  <c r="R197" i="3"/>
  <c r="Q197" i="3"/>
  <c r="P197" i="3"/>
  <c r="O197" i="3"/>
  <c r="J197" i="3"/>
  <c r="I197" i="3"/>
  <c r="H197" i="3"/>
  <c r="G197" i="3"/>
  <c r="K197" i="3" s="1"/>
  <c r="E197" i="3"/>
  <c r="D197" i="3"/>
  <c r="C197" i="3"/>
  <c r="B197" i="3"/>
  <c r="F197" i="3" s="1"/>
  <c r="K196" i="3"/>
  <c r="F196" i="3"/>
  <c r="L196" i="3" s="1"/>
  <c r="K195" i="3"/>
  <c r="F195" i="3"/>
  <c r="L195" i="3" s="1"/>
  <c r="K194" i="3"/>
  <c r="F194" i="3"/>
  <c r="L194" i="3" s="1"/>
  <c r="K193" i="3"/>
  <c r="F193" i="3"/>
  <c r="L193" i="3" s="1"/>
  <c r="K192" i="3"/>
  <c r="F192" i="3"/>
  <c r="L192" i="3" s="1"/>
  <c r="K191" i="3"/>
  <c r="F191" i="3"/>
  <c r="L191" i="3" s="1"/>
  <c r="K190" i="3"/>
  <c r="F190" i="3"/>
  <c r="L190" i="3" s="1"/>
  <c r="K189" i="3"/>
  <c r="F189" i="3"/>
  <c r="L189" i="3" s="1"/>
  <c r="K188" i="3"/>
  <c r="F188" i="3"/>
  <c r="L188" i="3" s="1"/>
  <c r="K187" i="3"/>
  <c r="F187" i="3"/>
  <c r="L187" i="3" s="1"/>
  <c r="K186" i="3"/>
  <c r="F186" i="3"/>
  <c r="L186" i="3" s="1"/>
  <c r="K185" i="3"/>
  <c r="F185" i="3"/>
  <c r="L185" i="3" s="1"/>
  <c r="K184" i="3"/>
  <c r="F184" i="3"/>
  <c r="L184" i="3" s="1"/>
  <c r="K183" i="3"/>
  <c r="F183" i="3"/>
  <c r="L183" i="3" s="1"/>
  <c r="K182" i="3"/>
  <c r="F182" i="3"/>
  <c r="L182" i="3" s="1"/>
  <c r="K181" i="3"/>
  <c r="F181" i="3"/>
  <c r="L181" i="3" s="1"/>
  <c r="K180" i="3"/>
  <c r="F180" i="3"/>
  <c r="L180" i="3" s="1"/>
  <c r="K179" i="3"/>
  <c r="F179" i="3"/>
  <c r="L179" i="3" s="1"/>
  <c r="K178" i="3"/>
  <c r="F178" i="3"/>
  <c r="L178" i="3" s="1"/>
  <c r="K177" i="3"/>
  <c r="F177" i="3"/>
  <c r="L177" i="3" s="1"/>
  <c r="K176" i="3"/>
  <c r="F176" i="3"/>
  <c r="L176" i="3" s="1"/>
  <c r="K175" i="3"/>
  <c r="F175" i="3"/>
  <c r="L175" i="3" s="1"/>
  <c r="K174" i="3"/>
  <c r="F174" i="3"/>
  <c r="L174" i="3" s="1"/>
  <c r="K173" i="3"/>
  <c r="F173" i="3"/>
  <c r="L173" i="3" s="1"/>
  <c r="K172" i="3"/>
  <c r="F172" i="3"/>
  <c r="L172" i="3" s="1"/>
  <c r="K171" i="3"/>
  <c r="F171" i="3"/>
  <c r="L171" i="3" s="1"/>
  <c r="L197" i="3" s="1"/>
  <c r="T170" i="3"/>
  <c r="P170" i="3"/>
  <c r="J170" i="3"/>
  <c r="J198" i="3" s="1"/>
  <c r="B170" i="3"/>
  <c r="B198" i="3" s="1"/>
  <c r="X169" i="3"/>
  <c r="S169" i="3"/>
  <c r="Y169" i="3" s="1"/>
  <c r="K169" i="3"/>
  <c r="F169" i="3"/>
  <c r="L169" i="3" s="1"/>
  <c r="X168" i="3"/>
  <c r="S168" i="3"/>
  <c r="K168" i="3"/>
  <c r="F168" i="3"/>
  <c r="L168" i="3" s="1"/>
  <c r="X167" i="3"/>
  <c r="S167" i="3"/>
  <c r="K167" i="3"/>
  <c r="F167" i="3"/>
  <c r="L167" i="3" s="1"/>
  <c r="X166" i="3"/>
  <c r="S166" i="3"/>
  <c r="K166" i="3"/>
  <c r="F166" i="3"/>
  <c r="L166" i="3" s="1"/>
  <c r="X165" i="3"/>
  <c r="S165" i="3"/>
  <c r="K165" i="3"/>
  <c r="F165" i="3"/>
  <c r="L165" i="3" s="1"/>
  <c r="X164" i="3"/>
  <c r="W164" i="3"/>
  <c r="W170" i="3" s="1"/>
  <c r="V164" i="3"/>
  <c r="V170" i="3" s="1"/>
  <c r="U164" i="3"/>
  <c r="U170" i="3" s="1"/>
  <c r="T164" i="3"/>
  <c r="Q164" i="3"/>
  <c r="Q170" i="3" s="1"/>
  <c r="P164" i="3"/>
  <c r="O164" i="3"/>
  <c r="O170" i="3" s="1"/>
  <c r="L164" i="3"/>
  <c r="L170" i="3" s="1"/>
  <c r="L198" i="3" s="1"/>
  <c r="K164" i="3"/>
  <c r="J164" i="3"/>
  <c r="I164" i="3"/>
  <c r="I170" i="3" s="1"/>
  <c r="I198" i="3" s="1"/>
  <c r="H164" i="3"/>
  <c r="H170" i="3" s="1"/>
  <c r="H198" i="3" s="1"/>
  <c r="G164" i="3"/>
  <c r="G170" i="3" s="1"/>
  <c r="F164" i="3"/>
  <c r="E164" i="3"/>
  <c r="E170" i="3" s="1"/>
  <c r="E198" i="3" s="1"/>
  <c r="D164" i="3"/>
  <c r="D170" i="3" s="1"/>
  <c r="D198" i="3" s="1"/>
  <c r="C164" i="3"/>
  <c r="C170" i="3" s="1"/>
  <c r="C198" i="3" s="1"/>
  <c r="B164" i="3"/>
  <c r="BA157" i="5"/>
  <c r="BB196" i="5"/>
  <c r="BB195" i="5"/>
  <c r="BB194" i="5"/>
  <c r="BB193" i="5"/>
  <c r="BB192" i="5"/>
  <c r="BB191" i="5"/>
  <c r="BB190" i="5"/>
  <c r="BB189" i="5"/>
  <c r="BB188" i="5"/>
  <c r="BB187" i="5"/>
  <c r="BB186" i="5"/>
  <c r="BB185" i="5"/>
  <c r="BB184" i="5"/>
  <c r="BB183" i="5"/>
  <c r="BB182" i="5"/>
  <c r="BB181" i="5"/>
  <c r="BB180" i="5"/>
  <c r="BB179" i="5"/>
  <c r="BB178" i="5"/>
  <c r="BB177" i="5"/>
  <c r="BB176" i="5"/>
  <c r="BB175" i="5"/>
  <c r="BB174" i="5"/>
  <c r="BB173" i="5"/>
  <c r="BB172" i="5"/>
  <c r="BB171" i="5"/>
  <c r="BB156" i="5"/>
  <c r="BB155" i="5"/>
  <c r="BB154" i="5"/>
  <c r="BB153" i="5"/>
  <c r="BB152" i="5"/>
  <c r="BB151" i="5"/>
  <c r="BB150" i="5"/>
  <c r="BB149" i="5"/>
  <c r="BB148" i="5"/>
  <c r="BB147" i="5"/>
  <c r="BB146" i="5"/>
  <c r="BB145" i="5"/>
  <c r="BB144" i="5"/>
  <c r="BB143" i="5"/>
  <c r="BB141" i="5"/>
  <c r="BB140" i="5"/>
  <c r="BB139" i="5"/>
  <c r="BB138" i="5"/>
  <c r="BB137" i="5"/>
  <c r="BB136" i="5"/>
  <c r="BB135" i="5"/>
  <c r="BB134" i="5"/>
  <c r="BB133" i="5"/>
  <c r="BB132" i="5"/>
  <c r="BB131" i="5"/>
  <c r="BB115" i="5"/>
  <c r="BB116" i="5"/>
  <c r="BB91" i="5"/>
  <c r="BB92" i="5"/>
  <c r="BB93" i="5"/>
  <c r="BB94" i="5"/>
  <c r="BB95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109" i="5"/>
  <c r="BB110" i="5"/>
  <c r="BB111" i="5"/>
  <c r="BB112" i="5"/>
  <c r="BB113" i="5"/>
  <c r="BB114" i="5"/>
  <c r="AY117" i="5"/>
  <c r="AZ117" i="5"/>
  <c r="BA117" i="5"/>
  <c r="AH314" i="5"/>
  <c r="AM314" i="5"/>
  <c r="AR314" i="5"/>
  <c r="AW314" i="5"/>
  <c r="BB314" i="5"/>
  <c r="AH187" i="5"/>
  <c r="AM187" i="5"/>
  <c r="AR187" i="5"/>
  <c r="AW187" i="5"/>
  <c r="BB214" i="5"/>
  <c r="AW214" i="5"/>
  <c r="AR214" i="5"/>
  <c r="AM214" i="5"/>
  <c r="AH214" i="5"/>
  <c r="AW186" i="5"/>
  <c r="AR186" i="5"/>
  <c r="AM186" i="5"/>
  <c r="AH186" i="5"/>
  <c r="F187" i="5"/>
  <c r="K187" i="5"/>
  <c r="P187" i="5"/>
  <c r="U187" i="5"/>
  <c r="Z187" i="5"/>
  <c r="Z186" i="5"/>
  <c r="U186" i="5"/>
  <c r="P186" i="5"/>
  <c r="K186" i="5"/>
  <c r="F186" i="5"/>
  <c r="AH26" i="5"/>
  <c r="AM26" i="5"/>
  <c r="AR26" i="5"/>
  <c r="AW26" i="5"/>
  <c r="BB26" i="5"/>
  <c r="AH27" i="5"/>
  <c r="AM27" i="5"/>
  <c r="AR27" i="5"/>
  <c r="AW27" i="5"/>
  <c r="BB27" i="5"/>
  <c r="AW174" i="5"/>
  <c r="AR174" i="5"/>
  <c r="AM174" i="5"/>
  <c r="AH174" i="5"/>
  <c r="Z167" i="5"/>
  <c r="U167" i="5"/>
  <c r="P167" i="5"/>
  <c r="K167" i="5"/>
  <c r="AA167" i="5" s="1"/>
  <c r="F167" i="5"/>
  <c r="AW152" i="5"/>
  <c r="AR152" i="5"/>
  <c r="AM152" i="5"/>
  <c r="AH152" i="5"/>
  <c r="AW151" i="5"/>
  <c r="AR151" i="5"/>
  <c r="AM151" i="5"/>
  <c r="AH151" i="5"/>
  <c r="AW150" i="5"/>
  <c r="AR150" i="5"/>
  <c r="AM150" i="5"/>
  <c r="AH150" i="5"/>
  <c r="AW149" i="5"/>
  <c r="AR149" i="5"/>
  <c r="AM149" i="5"/>
  <c r="AH149" i="5"/>
  <c r="AW148" i="5"/>
  <c r="AR148" i="5"/>
  <c r="AM148" i="5"/>
  <c r="AH148" i="5"/>
  <c r="AW147" i="5"/>
  <c r="AR147" i="5"/>
  <c r="AM147" i="5"/>
  <c r="AH147" i="5"/>
  <c r="AW146" i="5"/>
  <c r="AR146" i="5"/>
  <c r="AM146" i="5"/>
  <c r="AH146" i="5"/>
  <c r="AW145" i="5"/>
  <c r="AR145" i="5"/>
  <c r="AM145" i="5"/>
  <c r="AH145" i="5"/>
  <c r="AW144" i="5"/>
  <c r="AR144" i="5"/>
  <c r="AM144" i="5"/>
  <c r="AH144" i="5"/>
  <c r="AW143" i="5"/>
  <c r="AR143" i="5"/>
  <c r="AM143" i="5"/>
  <c r="AH143" i="5"/>
  <c r="AX142" i="5"/>
  <c r="BB142" i="5" s="1"/>
  <c r="AS142" i="5"/>
  <c r="AW142" i="5" s="1"/>
  <c r="AR142" i="5"/>
  <c r="AN142" i="5"/>
  <c r="AM142" i="5"/>
  <c r="AH142" i="5"/>
  <c r="AW141" i="5"/>
  <c r="AR141" i="5"/>
  <c r="AM141" i="5"/>
  <c r="AH141" i="5"/>
  <c r="AW140" i="5"/>
  <c r="AR140" i="5"/>
  <c r="AM140" i="5"/>
  <c r="AH140" i="5"/>
  <c r="AW139" i="5"/>
  <c r="AR139" i="5"/>
  <c r="AM139" i="5"/>
  <c r="AH139" i="5"/>
  <c r="AW138" i="5"/>
  <c r="AR138" i="5"/>
  <c r="AM138" i="5"/>
  <c r="AH138" i="5"/>
  <c r="AW137" i="5"/>
  <c r="AR137" i="5"/>
  <c r="AM137" i="5"/>
  <c r="AH137" i="5"/>
  <c r="AW136" i="5"/>
  <c r="AR136" i="5"/>
  <c r="AM136" i="5"/>
  <c r="AH136" i="5"/>
  <c r="AW135" i="5"/>
  <c r="AR135" i="5"/>
  <c r="AM135" i="5"/>
  <c r="AH135" i="5"/>
  <c r="AW111" i="5"/>
  <c r="AR111" i="5"/>
  <c r="AM111" i="5"/>
  <c r="AH111" i="5"/>
  <c r="AH173" i="5"/>
  <c r="AM173" i="5"/>
  <c r="AR173" i="5"/>
  <c r="AW173" i="5"/>
  <c r="AW153" i="5"/>
  <c r="AR153" i="5"/>
  <c r="AM153" i="5"/>
  <c r="AH153" i="5"/>
  <c r="AW134" i="5"/>
  <c r="AR134" i="5"/>
  <c r="AM134" i="5"/>
  <c r="AH134" i="5"/>
  <c r="AW133" i="5"/>
  <c r="AR133" i="5"/>
  <c r="AM133" i="5"/>
  <c r="AH133" i="5"/>
  <c r="AW110" i="5"/>
  <c r="AR110" i="5"/>
  <c r="AM110" i="5"/>
  <c r="AH110" i="5"/>
  <c r="AW109" i="5"/>
  <c r="AR109" i="5"/>
  <c r="AM109" i="5"/>
  <c r="AH109" i="5"/>
  <c r="S137" i="3"/>
  <c r="Y137" i="3"/>
  <c r="X137" i="3"/>
  <c r="X136" i="3"/>
  <c r="S136" i="3"/>
  <c r="Y136" i="3"/>
  <c r="Y135" i="3"/>
  <c r="X135" i="3"/>
  <c r="S135" i="3"/>
  <c r="X134" i="3"/>
  <c r="Y134" i="3"/>
  <c r="S134" i="3"/>
  <c r="X133" i="3"/>
  <c r="S133" i="3"/>
  <c r="Y133" i="3"/>
  <c r="X132" i="3"/>
  <c r="S132" i="3"/>
  <c r="Y132" i="3"/>
  <c r="AD197" i="5"/>
  <c r="AW172" i="5"/>
  <c r="AR172" i="5"/>
  <c r="AM172" i="5"/>
  <c r="AH172" i="5"/>
  <c r="AW171" i="5"/>
  <c r="AR171" i="5"/>
  <c r="AM171" i="5"/>
  <c r="AH171" i="5"/>
  <c r="AR236" i="5"/>
  <c r="AM236" i="5"/>
  <c r="AH236" i="5"/>
  <c r="AH235" i="5"/>
  <c r="AW235" i="5"/>
  <c r="AR235" i="5"/>
  <c r="AW196" i="5"/>
  <c r="AR196" i="5"/>
  <c r="AM196" i="5"/>
  <c r="AH196" i="5"/>
  <c r="AW195" i="5"/>
  <c r="AR195" i="5"/>
  <c r="AM195" i="5"/>
  <c r="AH195" i="5"/>
  <c r="BF170" i="5"/>
  <c r="BG170" i="5"/>
  <c r="BH170" i="5"/>
  <c r="BI170" i="5"/>
  <c r="BJ167" i="5"/>
  <c r="BJ168" i="5"/>
  <c r="BJ169" i="5"/>
  <c r="S154" i="3"/>
  <c r="X154" i="3"/>
  <c r="Y154" i="3"/>
  <c r="S155" i="3"/>
  <c r="Y155" i="3" s="1"/>
  <c r="X155" i="3"/>
  <c r="S156" i="3"/>
  <c r="X156" i="3"/>
  <c r="Y156" i="3"/>
  <c r="S114" i="3"/>
  <c r="Y114" i="3"/>
  <c r="X114" i="3"/>
  <c r="S115" i="3"/>
  <c r="Y115" i="3"/>
  <c r="X115" i="3"/>
  <c r="S116" i="3"/>
  <c r="X116" i="3"/>
  <c r="Y116" i="3"/>
  <c r="S131" i="3"/>
  <c r="X131" i="3"/>
  <c r="S138" i="3"/>
  <c r="X138" i="3"/>
  <c r="S139" i="3"/>
  <c r="X139" i="3"/>
  <c r="Y139" i="3"/>
  <c r="S140" i="3"/>
  <c r="Y140" i="3"/>
  <c r="X140" i="3"/>
  <c r="S141" i="3"/>
  <c r="Y141" i="3"/>
  <c r="X141" i="3"/>
  <c r="S142" i="3"/>
  <c r="X142" i="3"/>
  <c r="Y142" i="3"/>
  <c r="S143" i="3"/>
  <c r="X143" i="3"/>
  <c r="Y143" i="3"/>
  <c r="S144" i="3"/>
  <c r="Y144" i="3"/>
  <c r="X144" i="3"/>
  <c r="S145" i="3"/>
  <c r="Y145" i="3"/>
  <c r="X145" i="3"/>
  <c r="S146" i="3"/>
  <c r="X146" i="3"/>
  <c r="Y146" i="3"/>
  <c r="S147" i="3"/>
  <c r="X147" i="3"/>
  <c r="Y147" i="3"/>
  <c r="S148" i="3"/>
  <c r="Y148" i="3"/>
  <c r="X148" i="3"/>
  <c r="S149" i="3"/>
  <c r="Y149" i="3"/>
  <c r="X149" i="3"/>
  <c r="S150" i="3"/>
  <c r="X150" i="3"/>
  <c r="Y150" i="3"/>
  <c r="S151" i="3"/>
  <c r="X151" i="3"/>
  <c r="Y151" i="3"/>
  <c r="W157" i="3"/>
  <c r="V157" i="3"/>
  <c r="U157" i="3"/>
  <c r="T157" i="3"/>
  <c r="R157" i="3"/>
  <c r="R158" i="3" s="1"/>
  <c r="Q157" i="3"/>
  <c r="P157" i="3"/>
  <c r="J157" i="3"/>
  <c r="I157" i="3"/>
  <c r="H157" i="3"/>
  <c r="G157" i="3"/>
  <c r="K157" i="3"/>
  <c r="E157" i="3"/>
  <c r="D157" i="3"/>
  <c r="C157" i="3"/>
  <c r="B157" i="3"/>
  <c r="F157" i="3"/>
  <c r="L156" i="3"/>
  <c r="K156" i="3"/>
  <c r="F156" i="3"/>
  <c r="K155" i="3"/>
  <c r="F155" i="3"/>
  <c r="L155" i="3"/>
  <c r="L154" i="3"/>
  <c r="K154" i="3"/>
  <c r="F154" i="3"/>
  <c r="X153" i="3"/>
  <c r="S153" i="3"/>
  <c r="Y153" i="3"/>
  <c r="K153" i="3"/>
  <c r="F153" i="3"/>
  <c r="L153" i="3"/>
  <c r="X152" i="3"/>
  <c r="Y152" i="3"/>
  <c r="S152" i="3"/>
  <c r="L152" i="3"/>
  <c r="K152" i="3"/>
  <c r="F152" i="3"/>
  <c r="K151" i="3"/>
  <c r="F151" i="3"/>
  <c r="L151" i="3"/>
  <c r="L150" i="3"/>
  <c r="K150" i="3"/>
  <c r="F150" i="3"/>
  <c r="K149" i="3"/>
  <c r="F149" i="3"/>
  <c r="L149" i="3"/>
  <c r="L148" i="3"/>
  <c r="K148" i="3"/>
  <c r="F148" i="3"/>
  <c r="K147" i="3"/>
  <c r="F147" i="3"/>
  <c r="L147" i="3"/>
  <c r="O157" i="3"/>
  <c r="K146" i="3"/>
  <c r="F146" i="3"/>
  <c r="L146" i="3"/>
  <c r="L145" i="3"/>
  <c r="K145" i="3"/>
  <c r="F145" i="3"/>
  <c r="K144" i="3"/>
  <c r="F144" i="3"/>
  <c r="L144" i="3"/>
  <c r="L143" i="3"/>
  <c r="K143" i="3"/>
  <c r="F143" i="3"/>
  <c r="K142" i="3"/>
  <c r="F142" i="3"/>
  <c r="L142" i="3"/>
  <c r="L141" i="3"/>
  <c r="K141" i="3"/>
  <c r="F141" i="3"/>
  <c r="K140" i="3"/>
  <c r="F140" i="3"/>
  <c r="L140" i="3"/>
  <c r="L139" i="3"/>
  <c r="K139" i="3"/>
  <c r="F139" i="3"/>
  <c r="K138" i="3"/>
  <c r="F138" i="3"/>
  <c r="L138" i="3"/>
  <c r="L137" i="3"/>
  <c r="K137" i="3"/>
  <c r="F137" i="3"/>
  <c r="K136" i="3"/>
  <c r="F136" i="3"/>
  <c r="L136" i="3"/>
  <c r="L135" i="3"/>
  <c r="K135" i="3"/>
  <c r="F135" i="3"/>
  <c r="K134" i="3"/>
  <c r="F134" i="3"/>
  <c r="L134" i="3"/>
  <c r="L133" i="3"/>
  <c r="K133" i="3"/>
  <c r="F133" i="3"/>
  <c r="K132" i="3"/>
  <c r="F132" i="3"/>
  <c r="L132" i="3"/>
  <c r="L131" i="3"/>
  <c r="L157" i="3"/>
  <c r="K131" i="3"/>
  <c r="F131" i="3"/>
  <c r="X129" i="3"/>
  <c r="Y129" i="3"/>
  <c r="S129" i="3"/>
  <c r="L129" i="3"/>
  <c r="K129" i="3"/>
  <c r="F129" i="3"/>
  <c r="X128" i="3"/>
  <c r="S128" i="3"/>
  <c r="K128" i="3"/>
  <c r="F128" i="3"/>
  <c r="L128" i="3"/>
  <c r="X127" i="3"/>
  <c r="Y127" i="3"/>
  <c r="S127" i="3"/>
  <c r="L127" i="3"/>
  <c r="K127" i="3"/>
  <c r="F127" i="3"/>
  <c r="X126" i="3"/>
  <c r="S126" i="3"/>
  <c r="K126" i="3"/>
  <c r="F126" i="3"/>
  <c r="L126" i="3"/>
  <c r="X125" i="3"/>
  <c r="Y125" i="3"/>
  <c r="S125" i="3"/>
  <c r="L125" i="3"/>
  <c r="K125" i="3"/>
  <c r="F125" i="3"/>
  <c r="L124" i="3"/>
  <c r="L130" i="3"/>
  <c r="L158" i="3"/>
  <c r="K124" i="3"/>
  <c r="J124" i="3"/>
  <c r="J130" i="3"/>
  <c r="J158" i="3"/>
  <c r="I124" i="3"/>
  <c r="I130" i="3"/>
  <c r="I158" i="3"/>
  <c r="H124" i="3"/>
  <c r="H130" i="3"/>
  <c r="H158" i="3"/>
  <c r="G124" i="3"/>
  <c r="G130" i="3"/>
  <c r="F124" i="3"/>
  <c r="E124" i="3"/>
  <c r="E130" i="3"/>
  <c r="E158" i="3"/>
  <c r="D124" i="3"/>
  <c r="D130" i="3"/>
  <c r="D158" i="3"/>
  <c r="C124" i="3"/>
  <c r="C130" i="3"/>
  <c r="C158" i="3"/>
  <c r="B124" i="3"/>
  <c r="B130" i="3"/>
  <c r="AH246" i="5"/>
  <c r="AM246" i="5"/>
  <c r="AR246" i="5"/>
  <c r="AW246" i="5"/>
  <c r="BB246" i="5"/>
  <c r="AH247" i="5"/>
  <c r="AM247" i="5"/>
  <c r="AR247" i="5"/>
  <c r="AW247" i="5"/>
  <c r="BB247" i="5"/>
  <c r="AH207" i="5"/>
  <c r="AM207" i="5"/>
  <c r="AR207" i="5"/>
  <c r="AW207" i="5"/>
  <c r="BB207" i="5"/>
  <c r="AV166" i="5"/>
  <c r="AU166" i="5"/>
  <c r="AT166" i="5"/>
  <c r="AS166" i="5"/>
  <c r="AW166" i="5" s="1"/>
  <c r="Y317" i="5"/>
  <c r="X317" i="5"/>
  <c r="W317" i="5"/>
  <c r="V317" i="5"/>
  <c r="T317" i="5"/>
  <c r="S317" i="5"/>
  <c r="R317" i="5"/>
  <c r="Q317" i="5"/>
  <c r="O317" i="5"/>
  <c r="N317" i="5"/>
  <c r="M317" i="5"/>
  <c r="L317" i="5"/>
  <c r="J317" i="5"/>
  <c r="I317" i="5"/>
  <c r="H317" i="5"/>
  <c r="G317" i="5"/>
  <c r="E317" i="5"/>
  <c r="D317" i="5"/>
  <c r="C317" i="5"/>
  <c r="B317" i="5"/>
  <c r="Z316" i="5"/>
  <c r="U316" i="5"/>
  <c r="P316" i="5"/>
  <c r="K316" i="5"/>
  <c r="F316" i="5"/>
  <c r="Z315" i="5"/>
  <c r="U315" i="5"/>
  <c r="P315" i="5"/>
  <c r="K315" i="5"/>
  <c r="F315" i="5"/>
  <c r="Z314" i="5"/>
  <c r="U314" i="5"/>
  <c r="P314" i="5"/>
  <c r="K314" i="5"/>
  <c r="F314" i="5"/>
  <c r="Z313" i="5"/>
  <c r="U313" i="5"/>
  <c r="P313" i="5"/>
  <c r="K313" i="5"/>
  <c r="F313" i="5"/>
  <c r="Z312" i="5"/>
  <c r="U312" i="5"/>
  <c r="P312" i="5"/>
  <c r="K312" i="5"/>
  <c r="F312" i="5"/>
  <c r="Z311" i="5"/>
  <c r="U311" i="5"/>
  <c r="P311" i="5"/>
  <c r="K311" i="5"/>
  <c r="F311" i="5"/>
  <c r="Z310" i="5"/>
  <c r="U310" i="5"/>
  <c r="P310" i="5"/>
  <c r="K310" i="5"/>
  <c r="F310" i="5"/>
  <c r="Z309" i="5"/>
  <c r="U309" i="5"/>
  <c r="P309" i="5"/>
  <c r="K309" i="5"/>
  <c r="F309" i="5"/>
  <c r="Z308" i="5"/>
  <c r="U308" i="5"/>
  <c r="P308" i="5"/>
  <c r="K308" i="5"/>
  <c r="F308" i="5"/>
  <c r="Z307" i="5"/>
  <c r="U307" i="5"/>
  <c r="P307" i="5"/>
  <c r="K307" i="5"/>
  <c r="F307" i="5"/>
  <c r="Z306" i="5"/>
  <c r="U306" i="5"/>
  <c r="P306" i="5"/>
  <c r="K306" i="5"/>
  <c r="F306" i="5"/>
  <c r="Z305" i="5"/>
  <c r="U305" i="5"/>
  <c r="P305" i="5"/>
  <c r="K305" i="5"/>
  <c r="F305" i="5"/>
  <c r="Z304" i="5"/>
  <c r="U304" i="5"/>
  <c r="P304" i="5"/>
  <c r="K304" i="5"/>
  <c r="F304" i="5"/>
  <c r="Z303" i="5"/>
  <c r="U303" i="5"/>
  <c r="P303" i="5"/>
  <c r="K303" i="5"/>
  <c r="F303" i="5"/>
  <c r="Z302" i="5"/>
  <c r="U302" i="5"/>
  <c r="P302" i="5"/>
  <c r="K302" i="5"/>
  <c r="F302" i="5"/>
  <c r="Z301" i="5"/>
  <c r="U301" i="5"/>
  <c r="P301" i="5"/>
  <c r="K301" i="5"/>
  <c r="F301" i="5"/>
  <c r="Z300" i="5"/>
  <c r="U300" i="5"/>
  <c r="P300" i="5"/>
  <c r="K300" i="5"/>
  <c r="F300" i="5"/>
  <c r="Z299" i="5"/>
  <c r="U299" i="5"/>
  <c r="P299" i="5"/>
  <c r="K299" i="5"/>
  <c r="F299" i="5"/>
  <c r="Z298" i="5"/>
  <c r="U298" i="5"/>
  <c r="P298" i="5"/>
  <c r="K298" i="5"/>
  <c r="F298" i="5"/>
  <c r="Z297" i="5"/>
  <c r="U297" i="5"/>
  <c r="P297" i="5"/>
  <c r="K297" i="5"/>
  <c r="F297" i="5"/>
  <c r="Z296" i="5"/>
  <c r="U296" i="5"/>
  <c r="P296" i="5"/>
  <c r="K296" i="5"/>
  <c r="F296" i="5"/>
  <c r="Z295" i="5"/>
  <c r="U295" i="5"/>
  <c r="P295" i="5"/>
  <c r="K295" i="5"/>
  <c r="F295" i="5"/>
  <c r="Z294" i="5"/>
  <c r="U294" i="5"/>
  <c r="P294" i="5"/>
  <c r="K294" i="5"/>
  <c r="F294" i="5"/>
  <c r="Z293" i="5"/>
  <c r="U293" i="5"/>
  <c r="P293" i="5"/>
  <c r="K293" i="5"/>
  <c r="F293" i="5"/>
  <c r="Z292" i="5"/>
  <c r="U292" i="5"/>
  <c r="P292" i="5"/>
  <c r="K292" i="5"/>
  <c r="F292" i="5"/>
  <c r="Z291" i="5"/>
  <c r="U291" i="5"/>
  <c r="P291" i="5"/>
  <c r="K291" i="5"/>
  <c r="F291" i="5"/>
  <c r="Z289" i="5"/>
  <c r="U289" i="5"/>
  <c r="P289" i="5"/>
  <c r="K289" i="5"/>
  <c r="F289" i="5"/>
  <c r="Z288" i="5"/>
  <c r="U288" i="5"/>
  <c r="P288" i="5"/>
  <c r="K288" i="5"/>
  <c r="F288" i="5"/>
  <c r="Z287" i="5"/>
  <c r="U287" i="5"/>
  <c r="P287" i="5"/>
  <c r="K287" i="5"/>
  <c r="F287" i="5"/>
  <c r="Z286" i="5"/>
  <c r="U286" i="5"/>
  <c r="P286" i="5"/>
  <c r="K286" i="5"/>
  <c r="F286" i="5"/>
  <c r="Z285" i="5"/>
  <c r="U285" i="5"/>
  <c r="P285" i="5"/>
  <c r="K285" i="5"/>
  <c r="F285" i="5"/>
  <c r="Z276" i="5"/>
  <c r="U276" i="5"/>
  <c r="P276" i="5"/>
  <c r="K276" i="5"/>
  <c r="AH166" i="5"/>
  <c r="AM166" i="5"/>
  <c r="AR166" i="5"/>
  <c r="BB166" i="5"/>
  <c r="AH167" i="5"/>
  <c r="AM167" i="5"/>
  <c r="AR167" i="5"/>
  <c r="AW167" i="5"/>
  <c r="BB167" i="5"/>
  <c r="AH168" i="5"/>
  <c r="AM168" i="5"/>
  <c r="AR168" i="5"/>
  <c r="AW168" i="5"/>
  <c r="BB168" i="5"/>
  <c r="AH205" i="5"/>
  <c r="AM205" i="5"/>
  <c r="AR205" i="5"/>
  <c r="AW205" i="5"/>
  <c r="BB205" i="5"/>
  <c r="AH208" i="5"/>
  <c r="AM208" i="5"/>
  <c r="AR208" i="5"/>
  <c r="AW208" i="5"/>
  <c r="BB208" i="5"/>
  <c r="AH209" i="5"/>
  <c r="AM209" i="5"/>
  <c r="AR209" i="5"/>
  <c r="AW209" i="5"/>
  <c r="BB209" i="5"/>
  <c r="AH211" i="5"/>
  <c r="AM211" i="5"/>
  <c r="AR211" i="5"/>
  <c r="AW211" i="5"/>
  <c r="BB211" i="5"/>
  <c r="AH212" i="5"/>
  <c r="AM212" i="5"/>
  <c r="AR212" i="5"/>
  <c r="AW212" i="5"/>
  <c r="BB212" i="5"/>
  <c r="AH213" i="5"/>
  <c r="AM213" i="5"/>
  <c r="AR213" i="5"/>
  <c r="AW213" i="5"/>
  <c r="BB213" i="5"/>
  <c r="AH215" i="5"/>
  <c r="AM215" i="5"/>
  <c r="AR215" i="5"/>
  <c r="AW215" i="5"/>
  <c r="BB215" i="5"/>
  <c r="AH216" i="5"/>
  <c r="AM216" i="5"/>
  <c r="AR216" i="5"/>
  <c r="AW216" i="5"/>
  <c r="BB216" i="5"/>
  <c r="AH217" i="5"/>
  <c r="AM217" i="5"/>
  <c r="AR217" i="5"/>
  <c r="AW217" i="5"/>
  <c r="BB217" i="5"/>
  <c r="AH218" i="5"/>
  <c r="AM218" i="5"/>
  <c r="AR218" i="5"/>
  <c r="AW218" i="5"/>
  <c r="BB218" i="5"/>
  <c r="AH219" i="5"/>
  <c r="AM219" i="5"/>
  <c r="AR219" i="5"/>
  <c r="AW219" i="5"/>
  <c r="BB219" i="5"/>
  <c r="AH220" i="5"/>
  <c r="AM220" i="5"/>
  <c r="AR220" i="5"/>
  <c r="AW220" i="5"/>
  <c r="BB220" i="5"/>
  <c r="AH221" i="5"/>
  <c r="AM221" i="5"/>
  <c r="AR221" i="5"/>
  <c r="AW221" i="5"/>
  <c r="BB221" i="5"/>
  <c r="AH222" i="5"/>
  <c r="AM222" i="5"/>
  <c r="AR222" i="5"/>
  <c r="AW222" i="5"/>
  <c r="BB222" i="5"/>
  <c r="AH223" i="5"/>
  <c r="AM223" i="5"/>
  <c r="AR223" i="5"/>
  <c r="AW223" i="5"/>
  <c r="BB223" i="5"/>
  <c r="AH224" i="5"/>
  <c r="AM224" i="5"/>
  <c r="AR224" i="5"/>
  <c r="AW224" i="5"/>
  <c r="BB224" i="5"/>
  <c r="AH225" i="5"/>
  <c r="AM225" i="5"/>
  <c r="AR225" i="5"/>
  <c r="AW225" i="5"/>
  <c r="BB225" i="5"/>
  <c r="AH226" i="5"/>
  <c r="AM226" i="5"/>
  <c r="AR226" i="5"/>
  <c r="AW226" i="5"/>
  <c r="BB226" i="5"/>
  <c r="AH227" i="5"/>
  <c r="AM227" i="5"/>
  <c r="AR227" i="5"/>
  <c r="AW227" i="5"/>
  <c r="BB227" i="5"/>
  <c r="AH228" i="5"/>
  <c r="AM228" i="5"/>
  <c r="AR228" i="5"/>
  <c r="AW228" i="5"/>
  <c r="BB228" i="5"/>
  <c r="AH229" i="5"/>
  <c r="AM229" i="5"/>
  <c r="AR229" i="5"/>
  <c r="AW229" i="5"/>
  <c r="BB229" i="5"/>
  <c r="AH231" i="5"/>
  <c r="AM231" i="5"/>
  <c r="AR231" i="5"/>
  <c r="AW231" i="5"/>
  <c r="BB231" i="5"/>
  <c r="AH234" i="5"/>
  <c r="AM234" i="5"/>
  <c r="AR234" i="5"/>
  <c r="AW234" i="5"/>
  <c r="BB234" i="5"/>
  <c r="AD237" i="5"/>
  <c r="AE237" i="5"/>
  <c r="AF237" i="5"/>
  <c r="AG237" i="5"/>
  <c r="AJ237" i="5"/>
  <c r="AL237" i="5"/>
  <c r="AN237" i="5"/>
  <c r="AO237" i="5"/>
  <c r="AP237" i="5"/>
  <c r="AQ237" i="5"/>
  <c r="AT237" i="5"/>
  <c r="AV237" i="5"/>
  <c r="AY237" i="5"/>
  <c r="AZ237" i="5"/>
  <c r="BA237" i="5"/>
  <c r="AH245" i="5"/>
  <c r="AM245" i="5"/>
  <c r="AR245" i="5"/>
  <c r="AW245" i="5"/>
  <c r="BB245" i="5"/>
  <c r="AH248" i="5"/>
  <c r="AM248" i="5"/>
  <c r="AR248" i="5"/>
  <c r="AW248" i="5"/>
  <c r="BB248" i="5"/>
  <c r="AH249" i="5"/>
  <c r="AM249" i="5"/>
  <c r="AR249" i="5"/>
  <c r="AW249" i="5"/>
  <c r="BB249" i="5"/>
  <c r="AH251" i="5"/>
  <c r="AM251" i="5"/>
  <c r="AR251" i="5"/>
  <c r="AW251" i="5"/>
  <c r="BB251" i="5"/>
  <c r="AH252" i="5"/>
  <c r="AM252" i="5"/>
  <c r="AR252" i="5"/>
  <c r="AW252" i="5"/>
  <c r="BB252" i="5"/>
  <c r="AH253" i="5"/>
  <c r="AM253" i="5"/>
  <c r="AR253" i="5"/>
  <c r="AW253" i="5"/>
  <c r="BB253" i="5"/>
  <c r="AH254" i="5"/>
  <c r="AM254" i="5"/>
  <c r="AR254" i="5"/>
  <c r="AW254" i="5"/>
  <c r="BB254" i="5"/>
  <c r="AH255" i="5"/>
  <c r="AM255" i="5"/>
  <c r="AR255" i="5"/>
  <c r="AW255" i="5"/>
  <c r="BB255" i="5"/>
  <c r="AH256" i="5"/>
  <c r="AM256" i="5"/>
  <c r="AR256" i="5"/>
  <c r="AW256" i="5"/>
  <c r="BB256" i="5"/>
  <c r="AH257" i="5"/>
  <c r="AM257" i="5"/>
  <c r="AR257" i="5"/>
  <c r="AW257" i="5"/>
  <c r="AH258" i="5"/>
  <c r="AM258" i="5"/>
  <c r="AR258" i="5"/>
  <c r="AW258" i="5"/>
  <c r="BB258" i="5"/>
  <c r="AH259" i="5"/>
  <c r="AM259" i="5"/>
  <c r="AR259" i="5"/>
  <c r="AW259" i="5"/>
  <c r="BB259" i="5"/>
  <c r="AH260" i="5"/>
  <c r="AM260" i="5"/>
  <c r="AR260" i="5"/>
  <c r="AW260" i="5"/>
  <c r="BB260" i="5"/>
  <c r="AH262" i="5"/>
  <c r="AM262" i="5"/>
  <c r="AR262" i="5"/>
  <c r="AW262" i="5"/>
  <c r="BB262" i="5"/>
  <c r="AH263" i="5"/>
  <c r="AM263" i="5"/>
  <c r="AR263" i="5"/>
  <c r="AW263" i="5"/>
  <c r="BB263" i="5"/>
  <c r="AH264" i="5"/>
  <c r="AM264" i="5"/>
  <c r="AR264" i="5"/>
  <c r="AW264" i="5"/>
  <c r="BB264" i="5"/>
  <c r="AH265" i="5"/>
  <c r="AM265" i="5"/>
  <c r="AR265" i="5"/>
  <c r="AW265" i="5"/>
  <c r="BB265" i="5"/>
  <c r="AH266" i="5"/>
  <c r="AM266" i="5"/>
  <c r="AR266" i="5"/>
  <c r="AW266" i="5"/>
  <c r="BB266" i="5"/>
  <c r="AH267" i="5"/>
  <c r="AM267" i="5"/>
  <c r="AR267" i="5"/>
  <c r="AW267" i="5"/>
  <c r="BB267" i="5"/>
  <c r="AH268" i="5"/>
  <c r="AM268" i="5"/>
  <c r="AR268" i="5"/>
  <c r="AW268" i="5"/>
  <c r="BB268" i="5"/>
  <c r="AH270" i="5"/>
  <c r="AM270" i="5"/>
  <c r="AR270" i="5"/>
  <c r="AW270" i="5"/>
  <c r="BB270" i="5"/>
  <c r="AH272" i="5"/>
  <c r="AM272" i="5"/>
  <c r="AR272" i="5"/>
  <c r="AW272" i="5"/>
  <c r="BB272" i="5"/>
  <c r="AD277" i="5"/>
  <c r="AE277" i="5"/>
  <c r="AF277" i="5"/>
  <c r="AI277" i="5"/>
  <c r="AJ277" i="5"/>
  <c r="AK277" i="5"/>
  <c r="AL277" i="5"/>
  <c r="AO277" i="5"/>
  <c r="AP277" i="5"/>
  <c r="AQ277" i="5"/>
  <c r="AS277" i="5"/>
  <c r="AT277" i="5"/>
  <c r="AY277" i="5"/>
  <c r="BA277" i="5"/>
  <c r="AH288" i="5"/>
  <c r="AM288" i="5"/>
  <c r="AR288" i="5"/>
  <c r="AW288" i="5"/>
  <c r="BB288" i="5"/>
  <c r="AH289" i="5"/>
  <c r="AM289" i="5"/>
  <c r="AR289" i="5"/>
  <c r="AW289" i="5"/>
  <c r="BB289" i="5"/>
  <c r="AH291" i="5"/>
  <c r="AM291" i="5"/>
  <c r="AR291" i="5"/>
  <c r="AW291" i="5"/>
  <c r="BB291" i="5"/>
  <c r="AH294" i="5"/>
  <c r="AM294" i="5"/>
  <c r="AR294" i="5"/>
  <c r="AW294" i="5"/>
  <c r="BB294" i="5"/>
  <c r="AH296" i="5"/>
  <c r="AM296" i="5"/>
  <c r="AR296" i="5"/>
  <c r="AW296" i="5"/>
  <c r="BB296" i="5"/>
  <c r="AH297" i="5"/>
  <c r="AM297" i="5"/>
  <c r="AR297" i="5"/>
  <c r="AW297" i="5"/>
  <c r="BB297" i="5"/>
  <c r="AH298" i="5"/>
  <c r="AM298" i="5"/>
  <c r="AR298" i="5"/>
  <c r="AW298" i="5"/>
  <c r="BB298" i="5"/>
  <c r="AH300" i="5"/>
  <c r="AM300" i="5"/>
  <c r="AR300" i="5"/>
  <c r="AW300" i="5"/>
  <c r="BB300" i="5"/>
  <c r="AH307" i="5"/>
  <c r="AM307" i="5"/>
  <c r="AR307" i="5"/>
  <c r="AW307" i="5"/>
  <c r="BB307" i="5"/>
  <c r="AH308" i="5"/>
  <c r="AM308" i="5"/>
  <c r="AR308" i="5"/>
  <c r="AW308" i="5"/>
  <c r="BB308" i="5"/>
  <c r="AH309" i="5"/>
  <c r="AM309" i="5"/>
  <c r="AR309" i="5"/>
  <c r="AW309" i="5"/>
  <c r="BB309" i="5"/>
  <c r="AH310" i="5"/>
  <c r="AM310" i="5"/>
  <c r="AR310" i="5"/>
  <c r="AW310" i="5"/>
  <c r="BB310" i="5"/>
  <c r="AH311" i="5"/>
  <c r="AM311" i="5"/>
  <c r="AR311" i="5"/>
  <c r="AW311" i="5"/>
  <c r="BB311" i="5"/>
  <c r="AH312" i="5"/>
  <c r="AM312" i="5"/>
  <c r="AR312" i="5"/>
  <c r="AW312" i="5"/>
  <c r="BB312" i="5"/>
  <c r="AH313" i="5"/>
  <c r="AM313" i="5"/>
  <c r="AR313" i="5"/>
  <c r="AW313" i="5"/>
  <c r="BB313" i="5"/>
  <c r="AD317" i="5"/>
  <c r="AE317" i="5"/>
  <c r="AF317" i="5"/>
  <c r="AG317" i="5"/>
  <c r="AI317" i="5"/>
  <c r="AJ317" i="5"/>
  <c r="AK317" i="5"/>
  <c r="AL317" i="5"/>
  <c r="AN317" i="5"/>
  <c r="AO317" i="5"/>
  <c r="AP317" i="5"/>
  <c r="AQ317" i="5"/>
  <c r="AS317" i="5"/>
  <c r="AT317" i="5"/>
  <c r="AU317" i="5"/>
  <c r="AV317" i="5"/>
  <c r="AX317" i="5"/>
  <c r="AY317" i="5"/>
  <c r="AZ317" i="5"/>
  <c r="BA317" i="5"/>
  <c r="T106" i="3"/>
  <c r="O106" i="3"/>
  <c r="X87" i="3"/>
  <c r="S87" i="3"/>
  <c r="Y87" i="3"/>
  <c r="X86" i="3"/>
  <c r="S86" i="3"/>
  <c r="Y86" i="3"/>
  <c r="X85" i="3"/>
  <c r="S85" i="3"/>
  <c r="Y85" i="3"/>
  <c r="X46" i="3"/>
  <c r="S46" i="3"/>
  <c r="Y46" i="3"/>
  <c r="X45" i="3"/>
  <c r="S45" i="3"/>
  <c r="Y45" i="3"/>
  <c r="AO127" i="5"/>
  <c r="AN127" i="5"/>
  <c r="AD127" i="5"/>
  <c r="AJ127" i="5"/>
  <c r="AI127" i="5"/>
  <c r="AM127" i="5" s="1"/>
  <c r="W165" i="5"/>
  <c r="Z165" i="5" s="1"/>
  <c r="Z145" i="5"/>
  <c r="U145" i="5"/>
  <c r="P145" i="5"/>
  <c r="K145" i="5"/>
  <c r="F145" i="5"/>
  <c r="BJ86" i="5"/>
  <c r="AW106" i="5"/>
  <c r="AR106" i="5"/>
  <c r="AM106" i="5"/>
  <c r="AH106" i="5"/>
  <c r="S88" i="3"/>
  <c r="X88" i="3"/>
  <c r="Y88" i="3"/>
  <c r="S73" i="3"/>
  <c r="X73" i="3"/>
  <c r="Y73" i="3"/>
  <c r="X91" i="3"/>
  <c r="S91" i="3"/>
  <c r="Y91" i="3"/>
  <c r="U128" i="5"/>
  <c r="AW103" i="5"/>
  <c r="AR103" i="5"/>
  <c r="AM103" i="5"/>
  <c r="AH103" i="5"/>
  <c r="AW102" i="5"/>
  <c r="AR102" i="5"/>
  <c r="AM102" i="5"/>
  <c r="AH102" i="5"/>
  <c r="AW101" i="5"/>
  <c r="AR101" i="5"/>
  <c r="AM101" i="5"/>
  <c r="AH101" i="5"/>
  <c r="AH154" i="5"/>
  <c r="AM154" i="5"/>
  <c r="AR154" i="5"/>
  <c r="AW154" i="5"/>
  <c r="AS86" i="5"/>
  <c r="AT86" i="5"/>
  <c r="Y277" i="5"/>
  <c r="X277" i="5"/>
  <c r="W277" i="5"/>
  <c r="V277" i="5"/>
  <c r="T277" i="5"/>
  <c r="S277" i="5"/>
  <c r="R277" i="5"/>
  <c r="Q277" i="5"/>
  <c r="O277" i="5"/>
  <c r="N277" i="5"/>
  <c r="M277" i="5"/>
  <c r="L277" i="5"/>
  <c r="J277" i="5"/>
  <c r="I277" i="5"/>
  <c r="H277" i="5"/>
  <c r="E277" i="5"/>
  <c r="D277" i="5"/>
  <c r="C277" i="5"/>
  <c r="B277" i="5"/>
  <c r="Z275" i="5"/>
  <c r="U275" i="5"/>
  <c r="P275" i="5"/>
  <c r="K275" i="5"/>
  <c r="F275" i="5"/>
  <c r="Z274" i="5"/>
  <c r="U274" i="5"/>
  <c r="P274" i="5"/>
  <c r="K274" i="5"/>
  <c r="F274" i="5"/>
  <c r="Z273" i="5"/>
  <c r="U273" i="5"/>
  <c r="P273" i="5"/>
  <c r="K273" i="5"/>
  <c r="F273" i="5"/>
  <c r="Z272" i="5"/>
  <c r="U272" i="5"/>
  <c r="P272" i="5"/>
  <c r="K272" i="5"/>
  <c r="F272" i="5"/>
  <c r="Z271" i="5"/>
  <c r="U271" i="5"/>
  <c r="P271" i="5"/>
  <c r="K271" i="5"/>
  <c r="F271" i="5"/>
  <c r="Z270" i="5"/>
  <c r="U270" i="5"/>
  <c r="P270" i="5"/>
  <c r="K270" i="5"/>
  <c r="F270" i="5"/>
  <c r="Z269" i="5"/>
  <c r="U269" i="5"/>
  <c r="P269" i="5"/>
  <c r="K269" i="5"/>
  <c r="F269" i="5"/>
  <c r="Z268" i="5"/>
  <c r="U268" i="5"/>
  <c r="P268" i="5"/>
  <c r="K268" i="5"/>
  <c r="F268" i="5"/>
  <c r="Z267" i="5"/>
  <c r="U267" i="5"/>
  <c r="P267" i="5"/>
  <c r="K267" i="5"/>
  <c r="F267" i="5"/>
  <c r="Z266" i="5"/>
  <c r="U266" i="5"/>
  <c r="P266" i="5"/>
  <c r="K266" i="5"/>
  <c r="F266" i="5"/>
  <c r="Z265" i="5"/>
  <c r="U265" i="5"/>
  <c r="P265" i="5"/>
  <c r="K265" i="5"/>
  <c r="F265" i="5"/>
  <c r="Z264" i="5"/>
  <c r="U264" i="5"/>
  <c r="P264" i="5"/>
  <c r="K264" i="5"/>
  <c r="F264" i="5"/>
  <c r="Z263" i="5"/>
  <c r="U263" i="5"/>
  <c r="P263" i="5"/>
  <c r="K263" i="5"/>
  <c r="F263" i="5"/>
  <c r="Z262" i="5"/>
  <c r="U262" i="5"/>
  <c r="P262" i="5"/>
  <c r="K262" i="5"/>
  <c r="F262" i="5"/>
  <c r="Z261" i="5"/>
  <c r="U261" i="5"/>
  <c r="P261" i="5"/>
  <c r="K261" i="5"/>
  <c r="F261" i="5"/>
  <c r="Z260" i="5"/>
  <c r="U260" i="5"/>
  <c r="P260" i="5"/>
  <c r="K260" i="5"/>
  <c r="F260" i="5"/>
  <c r="Z259" i="5"/>
  <c r="U259" i="5"/>
  <c r="P259" i="5"/>
  <c r="K259" i="5"/>
  <c r="F259" i="5"/>
  <c r="Z258" i="5"/>
  <c r="U258" i="5"/>
  <c r="P258" i="5"/>
  <c r="K258" i="5"/>
  <c r="F258" i="5"/>
  <c r="Z257" i="5"/>
  <c r="U257" i="5"/>
  <c r="P257" i="5"/>
  <c r="K257" i="5"/>
  <c r="F257" i="5"/>
  <c r="Z256" i="5"/>
  <c r="U256" i="5"/>
  <c r="P256" i="5"/>
  <c r="K256" i="5"/>
  <c r="F256" i="5"/>
  <c r="Z255" i="5"/>
  <c r="U255" i="5"/>
  <c r="P255" i="5"/>
  <c r="K255" i="5"/>
  <c r="F255" i="5"/>
  <c r="Z254" i="5"/>
  <c r="U254" i="5"/>
  <c r="P254" i="5"/>
  <c r="K254" i="5"/>
  <c r="F254" i="5"/>
  <c r="Z253" i="5"/>
  <c r="U253" i="5"/>
  <c r="P253" i="5"/>
  <c r="K253" i="5"/>
  <c r="F253" i="5"/>
  <c r="Z252" i="5"/>
  <c r="U252" i="5"/>
  <c r="P252" i="5"/>
  <c r="K252" i="5"/>
  <c r="F252" i="5"/>
  <c r="Z251" i="5"/>
  <c r="U251" i="5"/>
  <c r="P251" i="5"/>
  <c r="K251" i="5"/>
  <c r="F251" i="5"/>
  <c r="Z249" i="5"/>
  <c r="U249" i="5"/>
  <c r="P249" i="5"/>
  <c r="K249" i="5"/>
  <c r="F249" i="5"/>
  <c r="Z248" i="5"/>
  <c r="U248" i="5"/>
  <c r="P248" i="5"/>
  <c r="K248" i="5"/>
  <c r="F248" i="5"/>
  <c r="Z246" i="5"/>
  <c r="U246" i="5"/>
  <c r="P246" i="5"/>
  <c r="K246" i="5"/>
  <c r="F246" i="5"/>
  <c r="Z245" i="5"/>
  <c r="U245" i="5"/>
  <c r="P245" i="5"/>
  <c r="K245" i="5"/>
  <c r="F245" i="5"/>
  <c r="BB127" i="5"/>
  <c r="AW127" i="5"/>
  <c r="AH127" i="5"/>
  <c r="AW96" i="5"/>
  <c r="AR96" i="5"/>
  <c r="AM96" i="5"/>
  <c r="AH96" i="5"/>
  <c r="AW72" i="5"/>
  <c r="AW92" i="5"/>
  <c r="AR92" i="5"/>
  <c r="AM92" i="5"/>
  <c r="AH92" i="5"/>
  <c r="AW91" i="5"/>
  <c r="AR91" i="5"/>
  <c r="AM91" i="5"/>
  <c r="AH91" i="5"/>
  <c r="AM74" i="5"/>
  <c r="BB65" i="5"/>
  <c r="AW65" i="5"/>
  <c r="AR65" i="5"/>
  <c r="AM65" i="5"/>
  <c r="AH65" i="5"/>
  <c r="BB46" i="5"/>
  <c r="AW46" i="5"/>
  <c r="AR46" i="5"/>
  <c r="AM46" i="5"/>
  <c r="AH46" i="5"/>
  <c r="AH114" i="5"/>
  <c r="AM114" i="5"/>
  <c r="AR114" i="5"/>
  <c r="AW114" i="5"/>
  <c r="AH112" i="5"/>
  <c r="AM112" i="5"/>
  <c r="AR112" i="5"/>
  <c r="AW112" i="5"/>
  <c r="AH113" i="5"/>
  <c r="AM113" i="5"/>
  <c r="AR113" i="5"/>
  <c r="AW113" i="5"/>
  <c r="AW116" i="5"/>
  <c r="AR116" i="5"/>
  <c r="AM116" i="5"/>
  <c r="AH116" i="5"/>
  <c r="AW115" i="5"/>
  <c r="AR115" i="5"/>
  <c r="AM115" i="5"/>
  <c r="AH115" i="5"/>
  <c r="AW74" i="5"/>
  <c r="AR74" i="5"/>
  <c r="AH74" i="5"/>
  <c r="BB73" i="5"/>
  <c r="AW73" i="5"/>
  <c r="AR73" i="5"/>
  <c r="AM73" i="5"/>
  <c r="AH73" i="5"/>
  <c r="AM72" i="5"/>
  <c r="AH72" i="5"/>
  <c r="BB71" i="5"/>
  <c r="AW71" i="5"/>
  <c r="AR71" i="5"/>
  <c r="AM71" i="5"/>
  <c r="AH71" i="5"/>
  <c r="S6" i="3"/>
  <c r="X6" i="3"/>
  <c r="Y6" i="3"/>
  <c r="S7" i="3"/>
  <c r="Y7" i="3"/>
  <c r="X7" i="3"/>
  <c r="S8" i="3"/>
  <c r="Y8" i="3"/>
  <c r="X8" i="3"/>
  <c r="BB64" i="5"/>
  <c r="AW64" i="5"/>
  <c r="AR64" i="5"/>
  <c r="AM64" i="5"/>
  <c r="AH64" i="5"/>
  <c r="S25" i="3"/>
  <c r="X25" i="3"/>
  <c r="Y25" i="3"/>
  <c r="S26" i="3"/>
  <c r="X26" i="3"/>
  <c r="Y26" i="3"/>
  <c r="S27" i="3"/>
  <c r="X27" i="3"/>
  <c r="Y27" i="3"/>
  <c r="S28" i="3"/>
  <c r="X28" i="3"/>
  <c r="Y28" i="3"/>
  <c r="S29" i="3"/>
  <c r="X29" i="3"/>
  <c r="Y29" i="3"/>
  <c r="X55" i="3"/>
  <c r="S55" i="3"/>
  <c r="Y55" i="3"/>
  <c r="X54" i="3"/>
  <c r="S54" i="3"/>
  <c r="Y54" i="3"/>
  <c r="X53" i="3"/>
  <c r="S53" i="3"/>
  <c r="Y53" i="3"/>
  <c r="X52" i="3"/>
  <c r="S52" i="3"/>
  <c r="Y52" i="3"/>
  <c r="X51" i="3"/>
  <c r="S51" i="3"/>
  <c r="Y51" i="3"/>
  <c r="Y237" i="5"/>
  <c r="X237" i="5"/>
  <c r="W237" i="5"/>
  <c r="V237" i="5"/>
  <c r="T237" i="5"/>
  <c r="S237" i="5"/>
  <c r="R237" i="5"/>
  <c r="Q237" i="5"/>
  <c r="O237" i="5"/>
  <c r="N237" i="5"/>
  <c r="M237" i="5"/>
  <c r="L237" i="5"/>
  <c r="J237" i="5"/>
  <c r="I237" i="5"/>
  <c r="H237" i="5"/>
  <c r="G237" i="5"/>
  <c r="E237" i="5"/>
  <c r="D237" i="5"/>
  <c r="C237" i="5"/>
  <c r="B237" i="5"/>
  <c r="Z236" i="5"/>
  <c r="U236" i="5"/>
  <c r="P236" i="5"/>
  <c r="K236" i="5"/>
  <c r="F236" i="5"/>
  <c r="Z235" i="5"/>
  <c r="U235" i="5"/>
  <c r="P235" i="5"/>
  <c r="K235" i="5"/>
  <c r="F235" i="5"/>
  <c r="Z234" i="5"/>
  <c r="U234" i="5"/>
  <c r="P234" i="5"/>
  <c r="K234" i="5"/>
  <c r="F234" i="5"/>
  <c r="Z233" i="5"/>
  <c r="U233" i="5"/>
  <c r="P233" i="5"/>
  <c r="K233" i="5"/>
  <c r="F233" i="5"/>
  <c r="Z232" i="5"/>
  <c r="U232" i="5"/>
  <c r="P232" i="5"/>
  <c r="K232" i="5"/>
  <c r="F232" i="5"/>
  <c r="Z231" i="5"/>
  <c r="U231" i="5"/>
  <c r="P231" i="5"/>
  <c r="K231" i="5"/>
  <c r="F231" i="5"/>
  <c r="Z230" i="5"/>
  <c r="U230" i="5"/>
  <c r="P230" i="5"/>
  <c r="K230" i="5"/>
  <c r="F230" i="5"/>
  <c r="Z229" i="5"/>
  <c r="U229" i="5"/>
  <c r="P229" i="5"/>
  <c r="K229" i="5"/>
  <c r="F229" i="5"/>
  <c r="Z228" i="5"/>
  <c r="AA228" i="5" s="1"/>
  <c r="U228" i="5"/>
  <c r="P228" i="5"/>
  <c r="K228" i="5"/>
  <c r="F228" i="5"/>
  <c r="Z227" i="5"/>
  <c r="U227" i="5"/>
  <c r="P227" i="5"/>
  <c r="K227" i="5"/>
  <c r="F227" i="5"/>
  <c r="Z226" i="5"/>
  <c r="U226" i="5"/>
  <c r="P226" i="5"/>
  <c r="K226" i="5"/>
  <c r="F226" i="5"/>
  <c r="Z225" i="5"/>
  <c r="U225" i="5"/>
  <c r="P225" i="5"/>
  <c r="K225" i="5"/>
  <c r="F225" i="5"/>
  <c r="Z224" i="5"/>
  <c r="U224" i="5"/>
  <c r="P224" i="5"/>
  <c r="K224" i="5"/>
  <c r="F224" i="5"/>
  <c r="Z223" i="5"/>
  <c r="U223" i="5"/>
  <c r="P223" i="5"/>
  <c r="K223" i="5"/>
  <c r="F223" i="5"/>
  <c r="Z222" i="5"/>
  <c r="U222" i="5"/>
  <c r="P222" i="5"/>
  <c r="K222" i="5"/>
  <c r="F222" i="5"/>
  <c r="Z221" i="5"/>
  <c r="U221" i="5"/>
  <c r="P221" i="5"/>
  <c r="K221" i="5"/>
  <c r="F221" i="5"/>
  <c r="Z220" i="5"/>
  <c r="U220" i="5"/>
  <c r="P220" i="5"/>
  <c r="K220" i="5"/>
  <c r="F220" i="5"/>
  <c r="Z219" i="5"/>
  <c r="U219" i="5"/>
  <c r="P219" i="5"/>
  <c r="K219" i="5"/>
  <c r="F219" i="5"/>
  <c r="Z218" i="5"/>
  <c r="U218" i="5"/>
  <c r="P218" i="5"/>
  <c r="K218" i="5"/>
  <c r="F218" i="5"/>
  <c r="Z217" i="5"/>
  <c r="U217" i="5"/>
  <c r="P217" i="5"/>
  <c r="K217" i="5"/>
  <c r="F217" i="5"/>
  <c r="Z216" i="5"/>
  <c r="U216" i="5"/>
  <c r="P216" i="5"/>
  <c r="K216" i="5"/>
  <c r="F216" i="5"/>
  <c r="Z215" i="5"/>
  <c r="U215" i="5"/>
  <c r="P215" i="5"/>
  <c r="K215" i="5"/>
  <c r="F215" i="5"/>
  <c r="Z214" i="5"/>
  <c r="U214" i="5"/>
  <c r="P214" i="5"/>
  <c r="K214" i="5"/>
  <c r="F214" i="5"/>
  <c r="Z213" i="5"/>
  <c r="U213" i="5"/>
  <c r="P213" i="5"/>
  <c r="K213" i="5"/>
  <c r="F213" i="5"/>
  <c r="Z211" i="5"/>
  <c r="U211" i="5"/>
  <c r="P211" i="5"/>
  <c r="K211" i="5"/>
  <c r="F211" i="5"/>
  <c r="Z209" i="5"/>
  <c r="U209" i="5"/>
  <c r="P209" i="5"/>
  <c r="K209" i="5"/>
  <c r="F209" i="5"/>
  <c r="Z208" i="5"/>
  <c r="U208" i="5"/>
  <c r="P208" i="5"/>
  <c r="K208" i="5"/>
  <c r="F208" i="5"/>
  <c r="Z207" i="5"/>
  <c r="U207" i="5"/>
  <c r="P207" i="5"/>
  <c r="K207" i="5"/>
  <c r="F207" i="5"/>
  <c r="Z206" i="5"/>
  <c r="U206" i="5"/>
  <c r="P206" i="5"/>
  <c r="K206" i="5"/>
  <c r="F206" i="5"/>
  <c r="Z205" i="5"/>
  <c r="U205" i="5"/>
  <c r="P205" i="5"/>
  <c r="K205" i="5"/>
  <c r="F205" i="5"/>
  <c r="S112" i="3"/>
  <c r="X112" i="3"/>
  <c r="Y112" i="3"/>
  <c r="S113" i="3"/>
  <c r="X113" i="3"/>
  <c r="Y113" i="3"/>
  <c r="BB60" i="5"/>
  <c r="AW60" i="5"/>
  <c r="AR60" i="5"/>
  <c r="AM60" i="5"/>
  <c r="AH60" i="5"/>
  <c r="Y138" i="3"/>
  <c r="Y126" i="3"/>
  <c r="S157" i="3"/>
  <c r="Y157" i="3" s="1"/>
  <c r="Y131" i="3"/>
  <c r="X157" i="3"/>
  <c r="Y128" i="3"/>
  <c r="F130" i="3"/>
  <c r="B158" i="3"/>
  <c r="F158" i="3"/>
  <c r="G158" i="3"/>
  <c r="K158" i="3"/>
  <c r="K130" i="3"/>
  <c r="BC64" i="5"/>
  <c r="BB74" i="5"/>
  <c r="BB72" i="5"/>
  <c r="AR72" i="5"/>
  <c r="F76" i="5"/>
  <c r="K76" i="5"/>
  <c r="P76" i="5"/>
  <c r="U76" i="5"/>
  <c r="Z76" i="5"/>
  <c r="Z67" i="5"/>
  <c r="U67" i="5"/>
  <c r="P67" i="5"/>
  <c r="K67" i="5"/>
  <c r="F67" i="5"/>
  <c r="Y197" i="5"/>
  <c r="X197" i="5"/>
  <c r="W197" i="5"/>
  <c r="V197" i="5"/>
  <c r="T197" i="5"/>
  <c r="S197" i="5"/>
  <c r="R197" i="5"/>
  <c r="Q197" i="5"/>
  <c r="O197" i="5"/>
  <c r="N197" i="5"/>
  <c r="M197" i="5"/>
  <c r="L197" i="5"/>
  <c r="J197" i="5"/>
  <c r="I197" i="5"/>
  <c r="H197" i="5"/>
  <c r="G197" i="5"/>
  <c r="E197" i="5"/>
  <c r="D197" i="5"/>
  <c r="C197" i="5"/>
  <c r="B197" i="5"/>
  <c r="Z196" i="5"/>
  <c r="U196" i="5"/>
  <c r="P196" i="5"/>
  <c r="K196" i="5"/>
  <c r="F196" i="5"/>
  <c r="Z195" i="5"/>
  <c r="U195" i="5"/>
  <c r="P195" i="5"/>
  <c r="K195" i="5"/>
  <c r="F195" i="5"/>
  <c r="Z194" i="5"/>
  <c r="U194" i="5"/>
  <c r="P194" i="5"/>
  <c r="K194" i="5"/>
  <c r="F194" i="5"/>
  <c r="Z193" i="5"/>
  <c r="U193" i="5"/>
  <c r="P193" i="5"/>
  <c r="K193" i="5"/>
  <c r="F193" i="5"/>
  <c r="Z192" i="5"/>
  <c r="U192" i="5"/>
  <c r="P192" i="5"/>
  <c r="K192" i="5"/>
  <c r="F192" i="5"/>
  <c r="Z191" i="5"/>
  <c r="U191" i="5"/>
  <c r="P191" i="5"/>
  <c r="K191" i="5"/>
  <c r="F191" i="5"/>
  <c r="Z190" i="5"/>
  <c r="U190" i="5"/>
  <c r="P190" i="5"/>
  <c r="K190" i="5"/>
  <c r="F190" i="5"/>
  <c r="Z189" i="5"/>
  <c r="U189" i="5"/>
  <c r="P189" i="5"/>
  <c r="K189" i="5"/>
  <c r="F189" i="5"/>
  <c r="Z188" i="5"/>
  <c r="U188" i="5"/>
  <c r="P188" i="5"/>
  <c r="K188" i="5"/>
  <c r="F188" i="5"/>
  <c r="Z185" i="5"/>
  <c r="U185" i="5"/>
  <c r="P185" i="5"/>
  <c r="K185" i="5"/>
  <c r="F185" i="5"/>
  <c r="Z184" i="5"/>
  <c r="U184" i="5"/>
  <c r="P184" i="5"/>
  <c r="K184" i="5"/>
  <c r="F184" i="5"/>
  <c r="Z183" i="5"/>
  <c r="U183" i="5"/>
  <c r="P183" i="5"/>
  <c r="K183" i="5"/>
  <c r="F183" i="5"/>
  <c r="Z182" i="5"/>
  <c r="U182" i="5"/>
  <c r="P182" i="5"/>
  <c r="K182" i="5"/>
  <c r="F182" i="5"/>
  <c r="Z181" i="5"/>
  <c r="U181" i="5"/>
  <c r="P181" i="5"/>
  <c r="K181" i="5"/>
  <c r="F181" i="5"/>
  <c r="Z180" i="5"/>
  <c r="U180" i="5"/>
  <c r="P180" i="5"/>
  <c r="K180" i="5"/>
  <c r="F180" i="5"/>
  <c r="Z179" i="5"/>
  <c r="U179" i="5"/>
  <c r="P179" i="5"/>
  <c r="K179" i="5"/>
  <c r="F179" i="5"/>
  <c r="Z178" i="5"/>
  <c r="U178" i="5"/>
  <c r="P178" i="5"/>
  <c r="K178" i="5"/>
  <c r="F178" i="5"/>
  <c r="Z177" i="5"/>
  <c r="U177" i="5"/>
  <c r="P177" i="5"/>
  <c r="K177" i="5"/>
  <c r="F177" i="5"/>
  <c r="Z176" i="5"/>
  <c r="U176" i="5"/>
  <c r="P176" i="5"/>
  <c r="K176" i="5"/>
  <c r="F176" i="5"/>
  <c r="Z175" i="5"/>
  <c r="U175" i="5"/>
  <c r="P175" i="5"/>
  <c r="K175" i="5"/>
  <c r="F175" i="5"/>
  <c r="Z174" i="5"/>
  <c r="U174" i="5"/>
  <c r="P174" i="5"/>
  <c r="K174" i="5"/>
  <c r="F174" i="5"/>
  <c r="Z173" i="5"/>
  <c r="U173" i="5"/>
  <c r="P173" i="5"/>
  <c r="K173" i="5"/>
  <c r="F173" i="5"/>
  <c r="Z172" i="5"/>
  <c r="U172" i="5"/>
  <c r="P172" i="5"/>
  <c r="K172" i="5"/>
  <c r="F172" i="5"/>
  <c r="Z171" i="5"/>
  <c r="U171" i="5"/>
  <c r="P171" i="5"/>
  <c r="K171" i="5"/>
  <c r="F171" i="5"/>
  <c r="Z169" i="5"/>
  <c r="U169" i="5"/>
  <c r="P169" i="5"/>
  <c r="K169" i="5"/>
  <c r="F169" i="5"/>
  <c r="Z168" i="5"/>
  <c r="U168" i="5"/>
  <c r="P168" i="5"/>
  <c r="K168" i="5"/>
  <c r="F168" i="5"/>
  <c r="Z166" i="5"/>
  <c r="U166" i="5"/>
  <c r="P166" i="5"/>
  <c r="K166" i="5"/>
  <c r="F166" i="5"/>
  <c r="U165" i="5"/>
  <c r="P165" i="5"/>
  <c r="K165" i="5"/>
  <c r="F165" i="5"/>
  <c r="BB49" i="5"/>
  <c r="AW49" i="5"/>
  <c r="AR49" i="5"/>
  <c r="AM49" i="5"/>
  <c r="AH49" i="5"/>
  <c r="BB54" i="5"/>
  <c r="AW54" i="5"/>
  <c r="AR54" i="5"/>
  <c r="AM54" i="5"/>
  <c r="AH54" i="5"/>
  <c r="BA197" i="5"/>
  <c r="AZ197" i="5"/>
  <c r="AY197" i="5"/>
  <c r="AX197" i="5"/>
  <c r="AV197" i="5"/>
  <c r="AU197" i="5"/>
  <c r="AT197" i="5"/>
  <c r="AW197" i="5" s="1"/>
  <c r="AS197" i="5"/>
  <c r="AQ197" i="5"/>
  <c r="AP197" i="5"/>
  <c r="AO197" i="5"/>
  <c r="AN197" i="5"/>
  <c r="AL197" i="5"/>
  <c r="AK197" i="5"/>
  <c r="AJ197" i="5"/>
  <c r="AI197" i="5"/>
  <c r="AG197" i="5"/>
  <c r="AF197" i="5"/>
  <c r="AE197" i="5"/>
  <c r="AW194" i="5"/>
  <c r="AR194" i="5"/>
  <c r="AM194" i="5"/>
  <c r="AH194" i="5"/>
  <c r="AW193" i="5"/>
  <c r="AR193" i="5"/>
  <c r="AM193" i="5"/>
  <c r="AH193" i="5"/>
  <c r="AW192" i="5"/>
  <c r="AR192" i="5"/>
  <c r="AM192" i="5"/>
  <c r="AH192" i="5"/>
  <c r="AW191" i="5"/>
  <c r="AR191" i="5"/>
  <c r="AM191" i="5"/>
  <c r="AH191" i="5"/>
  <c r="AW190" i="5"/>
  <c r="AR190" i="5"/>
  <c r="AM190" i="5"/>
  <c r="AH190" i="5"/>
  <c r="AW189" i="5"/>
  <c r="AR189" i="5"/>
  <c r="AM189" i="5"/>
  <c r="AH189" i="5"/>
  <c r="AW188" i="5"/>
  <c r="AR188" i="5"/>
  <c r="AM188" i="5"/>
  <c r="AH188" i="5"/>
  <c r="AW185" i="5"/>
  <c r="AR185" i="5"/>
  <c r="AM185" i="5"/>
  <c r="AH185" i="5"/>
  <c r="AW184" i="5"/>
  <c r="AR184" i="5"/>
  <c r="AM184" i="5"/>
  <c r="AH184" i="5"/>
  <c r="AW183" i="5"/>
  <c r="AR183" i="5"/>
  <c r="AM183" i="5"/>
  <c r="AH183" i="5"/>
  <c r="AW182" i="5"/>
  <c r="AR182" i="5"/>
  <c r="AM182" i="5"/>
  <c r="AH182" i="5"/>
  <c r="AW181" i="5"/>
  <c r="AR181" i="5"/>
  <c r="AM181" i="5"/>
  <c r="AH181" i="5"/>
  <c r="AW180" i="5"/>
  <c r="AR180" i="5"/>
  <c r="AM180" i="5"/>
  <c r="AH180" i="5"/>
  <c r="AW179" i="5"/>
  <c r="AR179" i="5"/>
  <c r="AM179" i="5"/>
  <c r="AH179" i="5"/>
  <c r="AW178" i="5"/>
  <c r="AR178" i="5"/>
  <c r="AM178" i="5"/>
  <c r="AH178" i="5"/>
  <c r="AW177" i="5"/>
  <c r="AR177" i="5"/>
  <c r="AM177" i="5"/>
  <c r="AH177" i="5"/>
  <c r="AW176" i="5"/>
  <c r="AR176" i="5"/>
  <c r="AM176" i="5"/>
  <c r="AH176" i="5"/>
  <c r="AW175" i="5"/>
  <c r="AR175" i="5"/>
  <c r="AM175" i="5"/>
  <c r="AH175" i="5"/>
  <c r="BB169" i="5"/>
  <c r="AW169" i="5"/>
  <c r="AR169" i="5"/>
  <c r="AM169" i="5"/>
  <c r="AH169" i="5"/>
  <c r="BB165" i="5"/>
  <c r="AW165" i="5"/>
  <c r="AR165" i="5"/>
  <c r="AM165" i="5"/>
  <c r="AH165" i="5"/>
  <c r="AH126" i="5"/>
  <c r="AM126" i="5"/>
  <c r="AR126" i="5"/>
  <c r="AW126" i="5"/>
  <c r="BB126" i="5"/>
  <c r="S23" i="3"/>
  <c r="X23" i="3"/>
  <c r="X22" i="3"/>
  <c r="S22" i="3"/>
  <c r="Y23" i="3"/>
  <c r="Y22" i="3"/>
  <c r="F116" i="5"/>
  <c r="K116" i="5"/>
  <c r="P116" i="5"/>
  <c r="U116" i="5"/>
  <c r="Z116" i="5"/>
  <c r="BB86" i="5"/>
  <c r="AR86" i="5"/>
  <c r="AM86" i="5"/>
  <c r="AH86" i="5"/>
  <c r="BB29" i="5"/>
  <c r="AW29" i="5"/>
  <c r="AR29" i="5"/>
  <c r="AM29" i="5"/>
  <c r="AH29" i="5"/>
  <c r="Y157" i="5"/>
  <c r="X157" i="5"/>
  <c r="W157" i="5"/>
  <c r="V157" i="5"/>
  <c r="T157" i="5"/>
  <c r="S157" i="5"/>
  <c r="R157" i="5"/>
  <c r="Q157" i="5"/>
  <c r="O157" i="5"/>
  <c r="N157" i="5"/>
  <c r="M157" i="5"/>
  <c r="L157" i="5"/>
  <c r="J157" i="5"/>
  <c r="I157" i="5"/>
  <c r="H157" i="5"/>
  <c r="G157" i="5"/>
  <c r="E157" i="5"/>
  <c r="D157" i="5"/>
  <c r="C157" i="5"/>
  <c r="B157" i="5"/>
  <c r="Z156" i="5"/>
  <c r="U156" i="5"/>
  <c r="P156" i="5"/>
  <c r="K156" i="5"/>
  <c r="F156" i="5"/>
  <c r="Z155" i="5"/>
  <c r="U155" i="5"/>
  <c r="P155" i="5"/>
  <c r="K155" i="5"/>
  <c r="F155" i="5"/>
  <c r="Z154" i="5"/>
  <c r="U154" i="5"/>
  <c r="P154" i="5"/>
  <c r="K154" i="5"/>
  <c r="F154" i="5"/>
  <c r="Z153" i="5"/>
  <c r="U153" i="5"/>
  <c r="P153" i="5"/>
  <c r="K153" i="5"/>
  <c r="F153" i="5"/>
  <c r="Z152" i="5"/>
  <c r="U152" i="5"/>
  <c r="P152" i="5"/>
  <c r="K152" i="5"/>
  <c r="F152" i="5"/>
  <c r="Z151" i="5"/>
  <c r="U151" i="5"/>
  <c r="P151" i="5"/>
  <c r="K151" i="5"/>
  <c r="F151" i="5"/>
  <c r="Z150" i="5"/>
  <c r="U150" i="5"/>
  <c r="P150" i="5"/>
  <c r="K150" i="5"/>
  <c r="F150" i="5"/>
  <c r="Z149" i="5"/>
  <c r="U149" i="5"/>
  <c r="P149" i="5"/>
  <c r="K149" i="5"/>
  <c r="F149" i="5"/>
  <c r="Z148" i="5"/>
  <c r="U148" i="5"/>
  <c r="P148" i="5"/>
  <c r="K148" i="5"/>
  <c r="F148" i="5"/>
  <c r="Z147" i="5"/>
  <c r="U147" i="5"/>
  <c r="P147" i="5"/>
  <c r="K147" i="5"/>
  <c r="F147" i="5"/>
  <c r="Z146" i="5"/>
  <c r="U146" i="5"/>
  <c r="P146" i="5"/>
  <c r="K146" i="5"/>
  <c r="F146" i="5"/>
  <c r="Z144" i="5"/>
  <c r="U144" i="5"/>
  <c r="P144" i="5"/>
  <c r="K144" i="5"/>
  <c r="F144" i="5"/>
  <c r="Z143" i="5"/>
  <c r="U143" i="5"/>
  <c r="P143" i="5"/>
  <c r="K143" i="5"/>
  <c r="F143" i="5"/>
  <c r="Z142" i="5"/>
  <c r="U142" i="5"/>
  <c r="P142" i="5"/>
  <c r="K142" i="5"/>
  <c r="F142" i="5"/>
  <c r="Z141" i="5"/>
  <c r="U141" i="5"/>
  <c r="P141" i="5"/>
  <c r="K141" i="5"/>
  <c r="F141" i="5"/>
  <c r="Z140" i="5"/>
  <c r="U140" i="5"/>
  <c r="P140" i="5"/>
  <c r="K140" i="5"/>
  <c r="F140" i="5"/>
  <c r="Z139" i="5"/>
  <c r="U139" i="5"/>
  <c r="P139" i="5"/>
  <c r="K139" i="5"/>
  <c r="F139" i="5"/>
  <c r="Z138" i="5"/>
  <c r="U138" i="5"/>
  <c r="P138" i="5"/>
  <c r="K138" i="5"/>
  <c r="F138" i="5"/>
  <c r="Z137" i="5"/>
  <c r="U137" i="5"/>
  <c r="P137" i="5"/>
  <c r="K137" i="5"/>
  <c r="F137" i="5"/>
  <c r="Z136" i="5"/>
  <c r="U136" i="5"/>
  <c r="P136" i="5"/>
  <c r="K136" i="5"/>
  <c r="F136" i="5"/>
  <c r="Z135" i="5"/>
  <c r="U135" i="5"/>
  <c r="P135" i="5"/>
  <c r="K135" i="5"/>
  <c r="F135" i="5"/>
  <c r="Z134" i="5"/>
  <c r="U134" i="5"/>
  <c r="P134" i="5"/>
  <c r="K134" i="5"/>
  <c r="F134" i="5"/>
  <c r="Z133" i="5"/>
  <c r="U133" i="5"/>
  <c r="P133" i="5"/>
  <c r="K133" i="5"/>
  <c r="F133" i="5"/>
  <c r="Z132" i="5"/>
  <c r="U132" i="5"/>
  <c r="P132" i="5"/>
  <c r="K132" i="5"/>
  <c r="F132" i="5"/>
  <c r="Z131" i="5"/>
  <c r="U131" i="5"/>
  <c r="P131" i="5"/>
  <c r="K131" i="5"/>
  <c r="F131" i="5"/>
  <c r="Z129" i="5"/>
  <c r="U129" i="5"/>
  <c r="P129" i="5"/>
  <c r="K129" i="5"/>
  <c r="F129" i="5"/>
  <c r="Z128" i="5"/>
  <c r="P128" i="5"/>
  <c r="K128" i="5"/>
  <c r="F128" i="5"/>
  <c r="Z127" i="5"/>
  <c r="U127" i="5"/>
  <c r="P127" i="5"/>
  <c r="K127" i="5"/>
  <c r="F127" i="5"/>
  <c r="Z126" i="5"/>
  <c r="U126" i="5"/>
  <c r="P126" i="5"/>
  <c r="K126" i="5"/>
  <c r="F126" i="5"/>
  <c r="Z125" i="5"/>
  <c r="U125" i="5"/>
  <c r="P125" i="5"/>
  <c r="K125" i="5"/>
  <c r="F125" i="5"/>
  <c r="AH87" i="5"/>
  <c r="AM87" i="5"/>
  <c r="AR87" i="5"/>
  <c r="AW87" i="5"/>
  <c r="BB87" i="5"/>
  <c r="AZ157" i="5"/>
  <c r="AY157" i="5"/>
  <c r="AX157" i="5"/>
  <c r="AV157" i="5"/>
  <c r="AU157" i="5"/>
  <c r="AT157" i="5"/>
  <c r="AS157" i="5"/>
  <c r="AQ157" i="5"/>
  <c r="AP157" i="5"/>
  <c r="AO157" i="5"/>
  <c r="AN157" i="5"/>
  <c r="AL157" i="5"/>
  <c r="AK157" i="5"/>
  <c r="AJ157" i="5"/>
  <c r="AI157" i="5"/>
  <c r="AG157" i="5"/>
  <c r="AF157" i="5"/>
  <c r="AE157" i="5"/>
  <c r="AD157" i="5"/>
  <c r="AW156" i="5"/>
  <c r="AR156" i="5"/>
  <c r="AM156" i="5"/>
  <c r="AH156" i="5"/>
  <c r="AW155" i="5"/>
  <c r="AR155" i="5"/>
  <c r="AM155" i="5"/>
  <c r="AH155" i="5"/>
  <c r="AW132" i="5"/>
  <c r="AR132" i="5"/>
  <c r="AM132" i="5"/>
  <c r="AH132" i="5"/>
  <c r="AW131" i="5"/>
  <c r="AR131" i="5"/>
  <c r="AM131" i="5"/>
  <c r="AH131" i="5"/>
  <c r="BB129" i="5"/>
  <c r="AW129" i="5"/>
  <c r="AR129" i="5"/>
  <c r="AM129" i="5"/>
  <c r="AH129" i="5"/>
  <c r="BB128" i="5"/>
  <c r="AW128" i="5"/>
  <c r="AR128" i="5"/>
  <c r="AM128" i="5"/>
  <c r="AH128" i="5"/>
  <c r="BB125" i="5"/>
  <c r="AW125" i="5"/>
  <c r="AR125" i="5"/>
  <c r="AM125" i="5"/>
  <c r="AH125" i="5"/>
  <c r="AA138" i="5"/>
  <c r="F47" i="5"/>
  <c r="K47" i="5"/>
  <c r="P47" i="5"/>
  <c r="U47" i="5"/>
  <c r="Z47" i="5"/>
  <c r="BB75" i="5"/>
  <c r="AW75" i="5"/>
  <c r="AR75" i="5"/>
  <c r="AM75" i="5"/>
  <c r="AH75" i="5"/>
  <c r="W117" i="3"/>
  <c r="V117" i="3"/>
  <c r="U117" i="3"/>
  <c r="T117" i="3"/>
  <c r="R117" i="3"/>
  <c r="Q117" i="3"/>
  <c r="P117" i="3"/>
  <c r="O117" i="3"/>
  <c r="J117" i="3"/>
  <c r="I117" i="3"/>
  <c r="H117" i="3"/>
  <c r="G117" i="3"/>
  <c r="E117" i="3"/>
  <c r="D117" i="3"/>
  <c r="C117" i="3"/>
  <c r="B117" i="3"/>
  <c r="K116" i="3"/>
  <c r="F116" i="3"/>
  <c r="K115" i="3"/>
  <c r="F115" i="3"/>
  <c r="K114" i="3"/>
  <c r="F114" i="3"/>
  <c r="K113" i="3"/>
  <c r="F113" i="3"/>
  <c r="K112" i="3"/>
  <c r="F112" i="3"/>
  <c r="X111" i="3"/>
  <c r="S111" i="3"/>
  <c r="K111" i="3"/>
  <c r="F111" i="3"/>
  <c r="X110" i="3"/>
  <c r="S110" i="3"/>
  <c r="K110" i="3"/>
  <c r="F110" i="3"/>
  <c r="X109" i="3"/>
  <c r="S109" i="3"/>
  <c r="K109" i="3"/>
  <c r="F109" i="3"/>
  <c r="X108" i="3"/>
  <c r="S108" i="3"/>
  <c r="K108" i="3"/>
  <c r="F108" i="3"/>
  <c r="X107" i="3"/>
  <c r="S107" i="3"/>
  <c r="K107" i="3"/>
  <c r="F107" i="3"/>
  <c r="X106" i="3"/>
  <c r="S106" i="3"/>
  <c r="K106" i="3"/>
  <c r="F106" i="3"/>
  <c r="X105" i="3"/>
  <c r="S105" i="3"/>
  <c r="K105" i="3"/>
  <c r="F105" i="3"/>
  <c r="X104" i="3"/>
  <c r="S104" i="3"/>
  <c r="K104" i="3"/>
  <c r="F104" i="3"/>
  <c r="X103" i="3"/>
  <c r="S103" i="3"/>
  <c r="K103" i="3"/>
  <c r="F103" i="3"/>
  <c r="X102" i="3"/>
  <c r="S102" i="3"/>
  <c r="K102" i="3"/>
  <c r="F102" i="3"/>
  <c r="X101" i="3"/>
  <c r="S101" i="3"/>
  <c r="K101" i="3"/>
  <c r="F101" i="3"/>
  <c r="X100" i="3"/>
  <c r="S100" i="3"/>
  <c r="K100" i="3"/>
  <c r="F100" i="3"/>
  <c r="X99" i="3"/>
  <c r="S99" i="3"/>
  <c r="K99" i="3"/>
  <c r="F99" i="3"/>
  <c r="X98" i="3"/>
  <c r="S98" i="3"/>
  <c r="K98" i="3"/>
  <c r="F98" i="3"/>
  <c r="X97" i="3"/>
  <c r="S97" i="3"/>
  <c r="K97" i="3"/>
  <c r="F97" i="3"/>
  <c r="X96" i="3"/>
  <c r="S96" i="3"/>
  <c r="K96" i="3"/>
  <c r="F96" i="3"/>
  <c r="X95" i="3"/>
  <c r="S95" i="3"/>
  <c r="K95" i="3"/>
  <c r="F95" i="3"/>
  <c r="X94" i="3"/>
  <c r="S94" i="3"/>
  <c r="K94" i="3"/>
  <c r="F94" i="3"/>
  <c r="X93" i="3"/>
  <c r="S93" i="3"/>
  <c r="K93" i="3"/>
  <c r="F93" i="3"/>
  <c r="X92" i="3"/>
  <c r="S92" i="3"/>
  <c r="K92" i="3"/>
  <c r="F92" i="3"/>
  <c r="K91" i="3"/>
  <c r="F91" i="3"/>
  <c r="X89" i="3"/>
  <c r="S89" i="3"/>
  <c r="K89" i="3"/>
  <c r="F89" i="3"/>
  <c r="K88" i="3"/>
  <c r="F88" i="3"/>
  <c r="K87" i="3"/>
  <c r="F87" i="3"/>
  <c r="K86" i="3"/>
  <c r="F86" i="3"/>
  <c r="K85" i="3"/>
  <c r="F85" i="3"/>
  <c r="BB24" i="5"/>
  <c r="AW24" i="5"/>
  <c r="AR24" i="5"/>
  <c r="AM24" i="5"/>
  <c r="AH24" i="5"/>
  <c r="Y100" i="3"/>
  <c r="L96" i="3"/>
  <c r="L102" i="3"/>
  <c r="L108" i="3"/>
  <c r="Y103" i="3"/>
  <c r="L114" i="3"/>
  <c r="L86" i="3"/>
  <c r="L93" i="3"/>
  <c r="L99" i="3"/>
  <c r="F117" i="3"/>
  <c r="L92" i="3"/>
  <c r="L95" i="3"/>
  <c r="L104" i="3"/>
  <c r="L107" i="3"/>
  <c r="Y108" i="3"/>
  <c r="L110" i="3"/>
  <c r="Y111" i="3"/>
  <c r="L109" i="3"/>
  <c r="L112" i="3"/>
  <c r="K117" i="3"/>
  <c r="Y109" i="3"/>
  <c r="L88" i="3"/>
  <c r="L87" i="3"/>
  <c r="L97" i="3"/>
  <c r="Y98" i="3"/>
  <c r="L100" i="3"/>
  <c r="L103" i="3"/>
  <c r="Y104" i="3"/>
  <c r="L106" i="3"/>
  <c r="Y107" i="3"/>
  <c r="L113" i="3"/>
  <c r="L116" i="3"/>
  <c r="Y101" i="3"/>
  <c r="Y97" i="3"/>
  <c r="Y110" i="3"/>
  <c r="L89" i="3"/>
  <c r="L91" i="3"/>
  <c r="Y93" i="3"/>
  <c r="Y96" i="3"/>
  <c r="L98" i="3"/>
  <c r="Y99" i="3"/>
  <c r="L105" i="3"/>
  <c r="Y106" i="3"/>
  <c r="L115" i="3"/>
  <c r="L85" i="3"/>
  <c r="Y92" i="3"/>
  <c r="L94" i="3"/>
  <c r="Y95" i="3"/>
  <c r="L101" i="3"/>
  <c r="Y102" i="3"/>
  <c r="L111" i="3"/>
  <c r="Y89" i="3"/>
  <c r="Y94" i="3"/>
  <c r="Y105" i="3"/>
  <c r="X117" i="3"/>
  <c r="S117" i="3"/>
  <c r="L117" i="3"/>
  <c r="Y117" i="3"/>
  <c r="BB20" i="5"/>
  <c r="AW20" i="5"/>
  <c r="AR20" i="5"/>
  <c r="AM20" i="5"/>
  <c r="AH20" i="5"/>
  <c r="BB19" i="5"/>
  <c r="AW19" i="5"/>
  <c r="AR19" i="5"/>
  <c r="AM19" i="5"/>
  <c r="AH19" i="5"/>
  <c r="V26" i="5"/>
  <c r="V37" i="5" s="1"/>
  <c r="Z37" i="5" s="1"/>
  <c r="Q26" i="5"/>
  <c r="L26" i="5"/>
  <c r="P26" i="5" s="1"/>
  <c r="G26" i="5"/>
  <c r="G37" i="5" s="1"/>
  <c r="B26" i="5"/>
  <c r="B37" i="5" s="1"/>
  <c r="BB18" i="5"/>
  <c r="AW18" i="5"/>
  <c r="AR18" i="5"/>
  <c r="AM18" i="5"/>
  <c r="AH18" i="5"/>
  <c r="BB76" i="5"/>
  <c r="AW76" i="5"/>
  <c r="AR76" i="5"/>
  <c r="AM76" i="5"/>
  <c r="AH76" i="5"/>
  <c r="BB17" i="5"/>
  <c r="AW17" i="5"/>
  <c r="AR17" i="5"/>
  <c r="AM17" i="5"/>
  <c r="AH17" i="5"/>
  <c r="BB16" i="5"/>
  <c r="AW16" i="5"/>
  <c r="AR16" i="5"/>
  <c r="AM16" i="5"/>
  <c r="AH16" i="5"/>
  <c r="L15" i="5"/>
  <c r="Q15" i="5"/>
  <c r="U15" i="5" s="1"/>
  <c r="V15" i="5"/>
  <c r="Z15" i="5" s="1"/>
  <c r="F6" i="5"/>
  <c r="BB15" i="5"/>
  <c r="AW15" i="5"/>
  <c r="AR15" i="5"/>
  <c r="AM15" i="5"/>
  <c r="AH15" i="5"/>
  <c r="Z6" i="5"/>
  <c r="U6" i="5"/>
  <c r="P6" i="5"/>
  <c r="K6" i="5"/>
  <c r="BB13" i="5"/>
  <c r="AW13" i="5"/>
  <c r="AR13" i="5"/>
  <c r="AM13" i="5"/>
  <c r="AH13" i="5"/>
  <c r="BA9" i="5"/>
  <c r="AZ9" i="5"/>
  <c r="AZ10" i="5" s="1"/>
  <c r="AY9" i="5"/>
  <c r="AY10" i="5" s="1"/>
  <c r="AX9" i="5"/>
  <c r="AV9" i="5"/>
  <c r="AV10" i="5" s="1"/>
  <c r="AU9" i="5"/>
  <c r="AT9" i="5"/>
  <c r="AS9" i="5"/>
  <c r="AS10" i="5" s="1"/>
  <c r="AQ9" i="5"/>
  <c r="AQ10" i="5" s="1"/>
  <c r="AP9" i="5"/>
  <c r="AO9" i="5"/>
  <c r="AN9" i="5"/>
  <c r="AL9" i="5"/>
  <c r="AL10" i="5" s="1"/>
  <c r="AK9" i="5"/>
  <c r="AK10" i="5" s="1"/>
  <c r="AJ9" i="5"/>
  <c r="AI9" i="5"/>
  <c r="AG9" i="5"/>
  <c r="AF9" i="5"/>
  <c r="AF10" i="5" s="1"/>
  <c r="AF38" i="5" s="1"/>
  <c r="AF44" i="5" s="1"/>
  <c r="AF50" i="5" s="1"/>
  <c r="AE9" i="5"/>
  <c r="AD9" i="5"/>
  <c r="AH47" i="5"/>
  <c r="AM47" i="5"/>
  <c r="AR47" i="5"/>
  <c r="AW47" i="5"/>
  <c r="BB47" i="5"/>
  <c r="AH48" i="5"/>
  <c r="AM48" i="5"/>
  <c r="AR48" i="5"/>
  <c r="AW48" i="5"/>
  <c r="BB48" i="5"/>
  <c r="AH6" i="5"/>
  <c r="AM6" i="5"/>
  <c r="AR6" i="5"/>
  <c r="AW6" i="5"/>
  <c r="BB6" i="5"/>
  <c r="AH7" i="5"/>
  <c r="AM7" i="5"/>
  <c r="AR7" i="5"/>
  <c r="AW7" i="5"/>
  <c r="BB7" i="5"/>
  <c r="AH8" i="5"/>
  <c r="AM8" i="5"/>
  <c r="AR8" i="5"/>
  <c r="AW8" i="5"/>
  <c r="BB8" i="5"/>
  <c r="BB35" i="5"/>
  <c r="AW35" i="5"/>
  <c r="AR35" i="5"/>
  <c r="AM35" i="5"/>
  <c r="AH35" i="5"/>
  <c r="AX117" i="5"/>
  <c r="AV117" i="5"/>
  <c r="AU117" i="5"/>
  <c r="AT117" i="5"/>
  <c r="AS117" i="5"/>
  <c r="AQ117" i="5"/>
  <c r="AP117" i="5"/>
  <c r="AO117" i="5"/>
  <c r="AN117" i="5"/>
  <c r="AL117" i="5"/>
  <c r="AK117" i="5"/>
  <c r="AJ117" i="5"/>
  <c r="AI117" i="5"/>
  <c r="AG117" i="5"/>
  <c r="AF117" i="5"/>
  <c r="AE117" i="5"/>
  <c r="AD117" i="5"/>
  <c r="AW108" i="5"/>
  <c r="AR108" i="5"/>
  <c r="AM108" i="5"/>
  <c r="AH108" i="5"/>
  <c r="AW107" i="5"/>
  <c r="AR107" i="5"/>
  <c r="AM107" i="5"/>
  <c r="AH107" i="5"/>
  <c r="AW105" i="5"/>
  <c r="AR105" i="5"/>
  <c r="AM105" i="5"/>
  <c r="AH105" i="5"/>
  <c r="AW104" i="5"/>
  <c r="AR104" i="5"/>
  <c r="AM104" i="5"/>
  <c r="AH104" i="5"/>
  <c r="AW100" i="5"/>
  <c r="AR100" i="5"/>
  <c r="AM100" i="5"/>
  <c r="AH100" i="5"/>
  <c r="AW99" i="5"/>
  <c r="AR99" i="5"/>
  <c r="AM99" i="5"/>
  <c r="AH99" i="5"/>
  <c r="AW98" i="5"/>
  <c r="AR98" i="5"/>
  <c r="AM98" i="5"/>
  <c r="AH98" i="5"/>
  <c r="AW97" i="5"/>
  <c r="AR97" i="5"/>
  <c r="AM97" i="5"/>
  <c r="AH97" i="5"/>
  <c r="AW95" i="5"/>
  <c r="AR95" i="5"/>
  <c r="AM95" i="5"/>
  <c r="AH95" i="5"/>
  <c r="AW94" i="5"/>
  <c r="AR94" i="5"/>
  <c r="AM94" i="5"/>
  <c r="AH94" i="5"/>
  <c r="AW93" i="5"/>
  <c r="AR93" i="5"/>
  <c r="AM93" i="5"/>
  <c r="AH93" i="5"/>
  <c r="BB89" i="5"/>
  <c r="AW89" i="5"/>
  <c r="AR89" i="5"/>
  <c r="AM89" i="5"/>
  <c r="AH89" i="5"/>
  <c r="BB88" i="5"/>
  <c r="AW88" i="5"/>
  <c r="AR88" i="5"/>
  <c r="AM88" i="5"/>
  <c r="AH88" i="5"/>
  <c r="BB85" i="5"/>
  <c r="AW85" i="5"/>
  <c r="AR85" i="5"/>
  <c r="AM85" i="5"/>
  <c r="AH85" i="5"/>
  <c r="Y117" i="5"/>
  <c r="X117" i="5"/>
  <c r="W117" i="5"/>
  <c r="V117" i="5"/>
  <c r="T117" i="5"/>
  <c r="S117" i="5"/>
  <c r="R117" i="5"/>
  <c r="Q117" i="5"/>
  <c r="O117" i="5"/>
  <c r="N117" i="5"/>
  <c r="M117" i="5"/>
  <c r="L117" i="5"/>
  <c r="J117" i="5"/>
  <c r="I117" i="5"/>
  <c r="H117" i="5"/>
  <c r="G117" i="5"/>
  <c r="E117" i="5"/>
  <c r="D117" i="5"/>
  <c r="C117" i="5"/>
  <c r="B117" i="5"/>
  <c r="Z115" i="5"/>
  <c r="U115" i="5"/>
  <c r="P115" i="5"/>
  <c r="K115" i="5"/>
  <c r="F115" i="5"/>
  <c r="Z114" i="5"/>
  <c r="U114" i="5"/>
  <c r="P114" i="5"/>
  <c r="K114" i="5"/>
  <c r="F114" i="5"/>
  <c r="Z113" i="5"/>
  <c r="U113" i="5"/>
  <c r="P113" i="5"/>
  <c r="K113" i="5"/>
  <c r="F113" i="5"/>
  <c r="Z112" i="5"/>
  <c r="U112" i="5"/>
  <c r="P112" i="5"/>
  <c r="K112" i="5"/>
  <c r="F112" i="5"/>
  <c r="Z111" i="5"/>
  <c r="U111" i="5"/>
  <c r="P111" i="5"/>
  <c r="K111" i="5"/>
  <c r="F111" i="5"/>
  <c r="Z110" i="5"/>
  <c r="U110" i="5"/>
  <c r="P110" i="5"/>
  <c r="K110" i="5"/>
  <c r="F110" i="5"/>
  <c r="Z109" i="5"/>
  <c r="U109" i="5"/>
  <c r="P109" i="5"/>
  <c r="K109" i="5"/>
  <c r="F109" i="5"/>
  <c r="Z108" i="5"/>
  <c r="U108" i="5"/>
  <c r="P108" i="5"/>
  <c r="K108" i="5"/>
  <c r="F108" i="5"/>
  <c r="Z107" i="5"/>
  <c r="U107" i="5"/>
  <c r="P107" i="5"/>
  <c r="K107" i="5"/>
  <c r="F107" i="5"/>
  <c r="Z106" i="5"/>
  <c r="U106" i="5"/>
  <c r="P106" i="5"/>
  <c r="K106" i="5"/>
  <c r="F106" i="5"/>
  <c r="Z105" i="5"/>
  <c r="U105" i="5"/>
  <c r="P105" i="5"/>
  <c r="K105" i="5"/>
  <c r="F105" i="5"/>
  <c r="Z104" i="5"/>
  <c r="U104" i="5"/>
  <c r="P104" i="5"/>
  <c r="K104" i="5"/>
  <c r="F104" i="5"/>
  <c r="Z103" i="5"/>
  <c r="U103" i="5"/>
  <c r="P103" i="5"/>
  <c r="K103" i="5"/>
  <c r="F103" i="5"/>
  <c r="Z102" i="5"/>
  <c r="U102" i="5"/>
  <c r="P102" i="5"/>
  <c r="K102" i="5"/>
  <c r="F102" i="5"/>
  <c r="Z101" i="5"/>
  <c r="U101" i="5"/>
  <c r="P101" i="5"/>
  <c r="K101" i="5"/>
  <c r="F101" i="5"/>
  <c r="Z100" i="5"/>
  <c r="U100" i="5"/>
  <c r="P100" i="5"/>
  <c r="K100" i="5"/>
  <c r="F100" i="5"/>
  <c r="Z99" i="5"/>
  <c r="U99" i="5"/>
  <c r="P99" i="5"/>
  <c r="K99" i="5"/>
  <c r="F99" i="5"/>
  <c r="Z98" i="5"/>
  <c r="U98" i="5"/>
  <c r="P98" i="5"/>
  <c r="AA98" i="5" s="1"/>
  <c r="K98" i="5"/>
  <c r="F98" i="5"/>
  <c r="Z97" i="5"/>
  <c r="U97" i="5"/>
  <c r="AA97" i="5" s="1"/>
  <c r="P97" i="5"/>
  <c r="K97" i="5"/>
  <c r="F97" i="5"/>
  <c r="Z96" i="5"/>
  <c r="U96" i="5"/>
  <c r="P96" i="5"/>
  <c r="K96" i="5"/>
  <c r="F96" i="5"/>
  <c r="Z95" i="5"/>
  <c r="U95" i="5"/>
  <c r="P95" i="5"/>
  <c r="K95" i="5"/>
  <c r="F95" i="5"/>
  <c r="Z94" i="5"/>
  <c r="U94" i="5"/>
  <c r="P94" i="5"/>
  <c r="K94" i="5"/>
  <c r="F94" i="5"/>
  <c r="Z93" i="5"/>
  <c r="U93" i="5"/>
  <c r="P93" i="5"/>
  <c r="K93" i="5"/>
  <c r="F93" i="5"/>
  <c r="Z92" i="5"/>
  <c r="U92" i="5"/>
  <c r="P92" i="5"/>
  <c r="K92" i="5"/>
  <c r="F92" i="5"/>
  <c r="Z91" i="5"/>
  <c r="U91" i="5"/>
  <c r="P91" i="5"/>
  <c r="K91" i="5"/>
  <c r="F91" i="5"/>
  <c r="Z89" i="5"/>
  <c r="U89" i="5"/>
  <c r="P89" i="5"/>
  <c r="K89" i="5"/>
  <c r="F89" i="5"/>
  <c r="Z88" i="5"/>
  <c r="U88" i="5"/>
  <c r="P88" i="5"/>
  <c r="K88" i="5"/>
  <c r="F88" i="5"/>
  <c r="Z87" i="5"/>
  <c r="U87" i="5"/>
  <c r="P87" i="5"/>
  <c r="K87" i="5"/>
  <c r="F87" i="5"/>
  <c r="Z86" i="5"/>
  <c r="U86" i="5"/>
  <c r="P86" i="5"/>
  <c r="K86" i="5"/>
  <c r="F86" i="5"/>
  <c r="Z85" i="5"/>
  <c r="U85" i="5"/>
  <c r="P85" i="5"/>
  <c r="K85" i="5"/>
  <c r="F85" i="5"/>
  <c r="BB36" i="5"/>
  <c r="AW36" i="5"/>
  <c r="AR36" i="5"/>
  <c r="AM36" i="5"/>
  <c r="AH36" i="5"/>
  <c r="X35" i="3"/>
  <c r="S35" i="3"/>
  <c r="Y35" i="3"/>
  <c r="BA77" i="5"/>
  <c r="AZ77" i="5"/>
  <c r="AY77" i="5"/>
  <c r="AX77" i="5"/>
  <c r="AV77" i="5"/>
  <c r="AU77" i="5"/>
  <c r="AT77" i="5"/>
  <c r="AS77" i="5"/>
  <c r="AQ77" i="5"/>
  <c r="AP77" i="5"/>
  <c r="AO77" i="5"/>
  <c r="AN77" i="5"/>
  <c r="AL77" i="5"/>
  <c r="AK77" i="5"/>
  <c r="AJ77" i="5"/>
  <c r="AI77" i="5"/>
  <c r="AG77" i="5"/>
  <c r="AF77" i="5"/>
  <c r="AE77" i="5"/>
  <c r="AD77" i="5"/>
  <c r="BB70" i="5"/>
  <c r="AW70" i="5"/>
  <c r="AR70" i="5"/>
  <c r="AM70" i="5"/>
  <c r="AH70" i="5"/>
  <c r="BB69" i="5"/>
  <c r="AW69" i="5"/>
  <c r="AR69" i="5"/>
  <c r="AM69" i="5"/>
  <c r="AH69" i="5"/>
  <c r="BB68" i="5"/>
  <c r="AW68" i="5"/>
  <c r="AR68" i="5"/>
  <c r="AM68" i="5"/>
  <c r="AH68" i="5"/>
  <c r="BB67" i="5"/>
  <c r="AW67" i="5"/>
  <c r="AR67" i="5"/>
  <c r="AM67" i="5"/>
  <c r="AH67" i="5"/>
  <c r="BB66" i="5"/>
  <c r="AW66" i="5"/>
  <c r="AR66" i="5"/>
  <c r="AM66" i="5"/>
  <c r="AH66" i="5"/>
  <c r="BB63" i="5"/>
  <c r="AW63" i="5"/>
  <c r="AR63" i="5"/>
  <c r="AM63" i="5"/>
  <c r="AH63" i="5"/>
  <c r="BB62" i="5"/>
  <c r="AW62" i="5"/>
  <c r="AR62" i="5"/>
  <c r="AM62" i="5"/>
  <c r="AH62" i="5"/>
  <c r="BB61" i="5"/>
  <c r="AW61" i="5"/>
  <c r="AR61" i="5"/>
  <c r="AM61" i="5"/>
  <c r="AH61" i="5"/>
  <c r="BB59" i="5"/>
  <c r="AW59" i="5"/>
  <c r="AR59" i="5"/>
  <c r="AM59" i="5"/>
  <c r="AH59" i="5"/>
  <c r="BB58" i="5"/>
  <c r="AW58" i="5"/>
  <c r="AR58" i="5"/>
  <c r="AM58" i="5"/>
  <c r="AH58" i="5"/>
  <c r="BB57" i="5"/>
  <c r="AW57" i="5"/>
  <c r="AR57" i="5"/>
  <c r="AM57" i="5"/>
  <c r="AH57" i="5"/>
  <c r="BB56" i="5"/>
  <c r="AW56" i="5"/>
  <c r="AR56" i="5"/>
  <c r="AM56" i="5"/>
  <c r="AH56" i="5"/>
  <c r="BB55" i="5"/>
  <c r="AW55" i="5"/>
  <c r="AR55" i="5"/>
  <c r="AM55" i="5"/>
  <c r="AH55" i="5"/>
  <c r="BB53" i="5"/>
  <c r="AW53" i="5"/>
  <c r="AR53" i="5"/>
  <c r="AM53" i="5"/>
  <c r="AH53" i="5"/>
  <c r="BB52" i="5"/>
  <c r="AW52" i="5"/>
  <c r="AR52" i="5"/>
  <c r="AM52" i="5"/>
  <c r="AH52" i="5"/>
  <c r="BB51" i="5"/>
  <c r="AW51" i="5"/>
  <c r="AR51" i="5"/>
  <c r="AM51" i="5"/>
  <c r="AH51" i="5"/>
  <c r="BB45" i="5"/>
  <c r="AW45" i="5"/>
  <c r="AR45" i="5"/>
  <c r="AM45" i="5"/>
  <c r="AH45" i="5"/>
  <c r="BA37" i="5"/>
  <c r="AZ37" i="5"/>
  <c r="AY37" i="5"/>
  <c r="AX37" i="5"/>
  <c r="AV37" i="5"/>
  <c r="AU37" i="5"/>
  <c r="AT37" i="5"/>
  <c r="AS37" i="5"/>
  <c r="AQ37" i="5"/>
  <c r="AQ38" i="5" s="1"/>
  <c r="AQ44" i="5" s="1"/>
  <c r="AQ50" i="5" s="1"/>
  <c r="AQ78" i="5" s="1"/>
  <c r="AQ84" i="5" s="1"/>
  <c r="AQ90" i="5" s="1"/>
  <c r="AQ118" i="5" s="1"/>
  <c r="AQ124" i="5" s="1"/>
  <c r="AQ130" i="5" s="1"/>
  <c r="AQ158" i="5" s="1"/>
  <c r="AQ164" i="5" s="1"/>
  <c r="AQ170" i="5" s="1"/>
  <c r="AQ198" i="5" s="1"/>
  <c r="AQ204" i="5" s="1"/>
  <c r="AQ210" i="5" s="1"/>
  <c r="AP37" i="5"/>
  <c r="AO37" i="5"/>
  <c r="AN37" i="5"/>
  <c r="AL37" i="5"/>
  <c r="AK37" i="5"/>
  <c r="AJ37" i="5"/>
  <c r="AI37" i="5"/>
  <c r="AG37" i="5"/>
  <c r="AF37" i="5"/>
  <c r="AE37" i="5"/>
  <c r="AD37" i="5"/>
  <c r="BB34" i="5"/>
  <c r="AW34" i="5"/>
  <c r="AR34" i="5"/>
  <c r="AM34" i="5"/>
  <c r="AH34" i="5"/>
  <c r="BB33" i="5"/>
  <c r="AW33" i="5"/>
  <c r="AR33" i="5"/>
  <c r="AM33" i="5"/>
  <c r="AH33" i="5"/>
  <c r="BB32" i="5"/>
  <c r="AW32" i="5"/>
  <c r="AR32" i="5"/>
  <c r="AM32" i="5"/>
  <c r="AH32" i="5"/>
  <c r="BB31" i="5"/>
  <c r="AW31" i="5"/>
  <c r="AR31" i="5"/>
  <c r="AM31" i="5"/>
  <c r="AH31" i="5"/>
  <c r="BB28" i="5"/>
  <c r="AW28" i="5"/>
  <c r="AR28" i="5"/>
  <c r="AM28" i="5"/>
  <c r="AH28" i="5"/>
  <c r="BB25" i="5"/>
  <c r="AW25" i="5"/>
  <c r="AR25" i="5"/>
  <c r="AM25" i="5"/>
  <c r="AH25" i="5"/>
  <c r="BB23" i="5"/>
  <c r="AW23" i="5"/>
  <c r="AR23" i="5"/>
  <c r="AM23" i="5"/>
  <c r="AH23" i="5"/>
  <c r="BB22" i="5"/>
  <c r="AW22" i="5"/>
  <c r="AR22" i="5"/>
  <c r="AM22" i="5"/>
  <c r="AH22" i="5"/>
  <c r="BB21" i="5"/>
  <c r="AW21" i="5"/>
  <c r="AR21" i="5"/>
  <c r="AM21" i="5"/>
  <c r="AH21" i="5"/>
  <c r="BB14" i="5"/>
  <c r="AW14" i="5"/>
  <c r="AR14" i="5"/>
  <c r="AM14" i="5"/>
  <c r="AH14" i="5"/>
  <c r="BB12" i="5"/>
  <c r="AW12" i="5"/>
  <c r="AR12" i="5"/>
  <c r="AM12" i="5"/>
  <c r="AH12" i="5"/>
  <c r="BB11" i="5"/>
  <c r="AW11" i="5"/>
  <c r="AR11" i="5"/>
  <c r="AM11" i="5"/>
  <c r="AH11" i="5"/>
  <c r="BA10" i="5"/>
  <c r="BA38" i="5" s="1"/>
  <c r="BA44" i="5" s="1"/>
  <c r="BA50" i="5" s="1"/>
  <c r="AX10" i="5"/>
  <c r="AX38" i="5" s="1"/>
  <c r="AX44" i="5" s="1"/>
  <c r="AX50" i="5" s="1"/>
  <c r="AX78" i="5" s="1"/>
  <c r="AX84" i="5" s="1"/>
  <c r="AX90" i="5" s="1"/>
  <c r="AU10" i="5"/>
  <c r="AU38" i="5" s="1"/>
  <c r="AU44" i="5" s="1"/>
  <c r="AU50" i="5" s="1"/>
  <c r="AT10" i="5"/>
  <c r="AP10" i="5"/>
  <c r="AN10" i="5"/>
  <c r="AN38" i="5" s="1"/>
  <c r="AN44" i="5" s="1"/>
  <c r="AN50" i="5" s="1"/>
  <c r="AJ10" i="5"/>
  <c r="AI10" i="5"/>
  <c r="AG10" i="5"/>
  <c r="AD10" i="5"/>
  <c r="BB5" i="5"/>
  <c r="BC5" i="5" s="1"/>
  <c r="AW5" i="5"/>
  <c r="AR5" i="5"/>
  <c r="AM5" i="5"/>
  <c r="AH5" i="5"/>
  <c r="BB4" i="5"/>
  <c r="AW4" i="5"/>
  <c r="AR4" i="5"/>
  <c r="AM4" i="5"/>
  <c r="AH4" i="5"/>
  <c r="Y77" i="5"/>
  <c r="X77" i="5"/>
  <c r="W77" i="5"/>
  <c r="Z77" i="5" s="1"/>
  <c r="V77" i="5"/>
  <c r="T77" i="5"/>
  <c r="S77" i="5"/>
  <c r="R77" i="5"/>
  <c r="Q77" i="5"/>
  <c r="O77" i="5"/>
  <c r="N77" i="5"/>
  <c r="M77" i="5"/>
  <c r="L77" i="5"/>
  <c r="J77" i="5"/>
  <c r="I77" i="5"/>
  <c r="H77" i="5"/>
  <c r="G77" i="5"/>
  <c r="E77" i="5"/>
  <c r="D77" i="5"/>
  <c r="C77" i="5"/>
  <c r="F77" i="5" s="1"/>
  <c r="B77" i="5"/>
  <c r="Z75" i="5"/>
  <c r="U75" i="5"/>
  <c r="P75" i="5"/>
  <c r="K75" i="5"/>
  <c r="F75" i="5"/>
  <c r="Z74" i="5"/>
  <c r="U74" i="5"/>
  <c r="P74" i="5"/>
  <c r="K74" i="5"/>
  <c r="F74" i="5"/>
  <c r="Z73" i="5"/>
  <c r="U73" i="5"/>
  <c r="P73" i="5"/>
  <c r="K73" i="5"/>
  <c r="F73" i="5"/>
  <c r="Z72" i="5"/>
  <c r="U72" i="5"/>
  <c r="P72" i="5"/>
  <c r="K72" i="5"/>
  <c r="F72" i="5"/>
  <c r="Z71" i="5"/>
  <c r="U71" i="5"/>
  <c r="P71" i="5"/>
  <c r="K71" i="5"/>
  <c r="F71" i="5"/>
  <c r="Z70" i="5"/>
  <c r="U70" i="5"/>
  <c r="AA70" i="5" s="1"/>
  <c r="P70" i="5"/>
  <c r="K70" i="5"/>
  <c r="F70" i="5"/>
  <c r="Z69" i="5"/>
  <c r="U69" i="5"/>
  <c r="P69" i="5"/>
  <c r="K69" i="5"/>
  <c r="F69" i="5"/>
  <c r="Z68" i="5"/>
  <c r="U68" i="5"/>
  <c r="P68" i="5"/>
  <c r="K68" i="5"/>
  <c r="AA68" i="5" s="1"/>
  <c r="F68" i="5"/>
  <c r="Z66" i="5"/>
  <c r="U66" i="5"/>
  <c r="P66" i="5"/>
  <c r="K66" i="5"/>
  <c r="F66" i="5"/>
  <c r="Z65" i="5"/>
  <c r="U65" i="5"/>
  <c r="P65" i="5"/>
  <c r="K65" i="5"/>
  <c r="F65" i="5"/>
  <c r="Z64" i="5"/>
  <c r="U64" i="5"/>
  <c r="P64" i="5"/>
  <c r="K64" i="5"/>
  <c r="F64" i="5"/>
  <c r="Z63" i="5"/>
  <c r="U63" i="5"/>
  <c r="P63" i="5"/>
  <c r="K63" i="5"/>
  <c r="F63" i="5"/>
  <c r="Z62" i="5"/>
  <c r="U62" i="5"/>
  <c r="P62" i="5"/>
  <c r="K62" i="5"/>
  <c r="F62" i="5"/>
  <c r="Z61" i="5"/>
  <c r="U61" i="5"/>
  <c r="AA61" i="5" s="1"/>
  <c r="P61" i="5"/>
  <c r="K61" i="5"/>
  <c r="F61" i="5"/>
  <c r="Z60" i="5"/>
  <c r="U60" i="5"/>
  <c r="P60" i="5"/>
  <c r="K60" i="5"/>
  <c r="F60" i="5"/>
  <c r="Z59" i="5"/>
  <c r="U59" i="5"/>
  <c r="P59" i="5"/>
  <c r="K59" i="5"/>
  <c r="F59" i="5"/>
  <c r="Z58" i="5"/>
  <c r="U58" i="5"/>
  <c r="P58" i="5"/>
  <c r="K58" i="5"/>
  <c r="F58" i="5"/>
  <c r="Z57" i="5"/>
  <c r="U57" i="5"/>
  <c r="P57" i="5"/>
  <c r="K57" i="5"/>
  <c r="F57" i="5"/>
  <c r="Z56" i="5"/>
  <c r="U56" i="5"/>
  <c r="P56" i="5"/>
  <c r="K56" i="5"/>
  <c r="F56" i="5"/>
  <c r="Z55" i="5"/>
  <c r="U55" i="5"/>
  <c r="P55" i="5"/>
  <c r="K55" i="5"/>
  <c r="F55" i="5"/>
  <c r="Z54" i="5"/>
  <c r="U54" i="5"/>
  <c r="P54" i="5"/>
  <c r="K54" i="5"/>
  <c r="F54" i="5"/>
  <c r="Z53" i="5"/>
  <c r="U53" i="5"/>
  <c r="P53" i="5"/>
  <c r="K53" i="5"/>
  <c r="F53" i="5"/>
  <c r="Z52" i="5"/>
  <c r="U52" i="5"/>
  <c r="P52" i="5"/>
  <c r="K52" i="5"/>
  <c r="F52" i="5"/>
  <c r="Z51" i="5"/>
  <c r="U51" i="5"/>
  <c r="P51" i="5"/>
  <c r="K51" i="5"/>
  <c r="AA51" i="5" s="1"/>
  <c r="F51" i="5"/>
  <c r="Z49" i="5"/>
  <c r="U49" i="5"/>
  <c r="P49" i="5"/>
  <c r="K49" i="5"/>
  <c r="F49" i="5"/>
  <c r="Z48" i="5"/>
  <c r="U48" i="5"/>
  <c r="P48" i="5"/>
  <c r="K48" i="5"/>
  <c r="F48" i="5"/>
  <c r="Z46" i="5"/>
  <c r="U46" i="5"/>
  <c r="P46" i="5"/>
  <c r="K46" i="5"/>
  <c r="F46" i="5"/>
  <c r="Z45" i="5"/>
  <c r="U45" i="5"/>
  <c r="P45" i="5"/>
  <c r="K45" i="5"/>
  <c r="F45" i="5"/>
  <c r="Y37" i="5"/>
  <c r="X37" i="5"/>
  <c r="W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4" i="5"/>
  <c r="Z13" i="5"/>
  <c r="AA13" i="5" s="1"/>
  <c r="Z12" i="5"/>
  <c r="Z11" i="5"/>
  <c r="Y10" i="5"/>
  <c r="X10" i="5"/>
  <c r="X38" i="5" s="1"/>
  <c r="X44" i="5" s="1"/>
  <c r="X50" i="5" s="1"/>
  <c r="X78" i="5" s="1"/>
  <c r="X84" i="5" s="1"/>
  <c r="X90" i="5" s="1"/>
  <c r="X118" i="5" s="1"/>
  <c r="X124" i="5" s="1"/>
  <c r="X130" i="5" s="1"/>
  <c r="W10" i="5"/>
  <c r="V10" i="5"/>
  <c r="Z9" i="5"/>
  <c r="Z8" i="5"/>
  <c r="AA8" i="5" s="1"/>
  <c r="Z7" i="5"/>
  <c r="Z5" i="5"/>
  <c r="Z4" i="5"/>
  <c r="T37" i="5"/>
  <c r="T38" i="5" s="1"/>
  <c r="T44" i="5" s="1"/>
  <c r="T50" i="5" s="1"/>
  <c r="S37" i="5"/>
  <c r="R37" i="5"/>
  <c r="Q37" i="5"/>
  <c r="U36" i="5"/>
  <c r="AA36" i="5" s="1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AA21" i="5" s="1"/>
  <c r="U20" i="5"/>
  <c r="U19" i="5"/>
  <c r="U18" i="5"/>
  <c r="U17" i="5"/>
  <c r="U16" i="5"/>
  <c r="U14" i="5"/>
  <c r="U13" i="5"/>
  <c r="U12" i="5"/>
  <c r="U11" i="5"/>
  <c r="T10" i="5"/>
  <c r="S10" i="5"/>
  <c r="R10" i="5"/>
  <c r="R38" i="5" s="1"/>
  <c r="R44" i="5" s="1"/>
  <c r="R50" i="5" s="1"/>
  <c r="Q10" i="5"/>
  <c r="U9" i="5"/>
  <c r="U8" i="5"/>
  <c r="U7" i="5"/>
  <c r="U5" i="5"/>
  <c r="U4" i="5"/>
  <c r="O37" i="5"/>
  <c r="N37" i="5"/>
  <c r="M37" i="5"/>
  <c r="L37" i="5"/>
  <c r="P36" i="5"/>
  <c r="P35" i="5"/>
  <c r="P34" i="5"/>
  <c r="P33" i="5"/>
  <c r="P32" i="5"/>
  <c r="P31" i="5"/>
  <c r="P30" i="5"/>
  <c r="P29" i="5"/>
  <c r="P28" i="5"/>
  <c r="P27" i="5"/>
  <c r="P25" i="5"/>
  <c r="P24" i="5"/>
  <c r="P23" i="5"/>
  <c r="P22" i="5"/>
  <c r="P21" i="5"/>
  <c r="P20" i="5"/>
  <c r="P19" i="5"/>
  <c r="AA19" i="5" s="1"/>
  <c r="P18" i="5"/>
  <c r="P17" i="5"/>
  <c r="P16" i="5"/>
  <c r="P15" i="5"/>
  <c r="P14" i="5"/>
  <c r="P13" i="5"/>
  <c r="P12" i="5"/>
  <c r="P11" i="5"/>
  <c r="O10" i="5"/>
  <c r="N10" i="5"/>
  <c r="M10" i="5"/>
  <c r="M38" i="5" s="1"/>
  <c r="M44" i="5" s="1"/>
  <c r="M50" i="5" s="1"/>
  <c r="L10" i="5"/>
  <c r="P9" i="5"/>
  <c r="P8" i="5"/>
  <c r="P7" i="5"/>
  <c r="P5" i="5"/>
  <c r="P4" i="5"/>
  <c r="J37" i="5"/>
  <c r="I37" i="5"/>
  <c r="H37" i="5"/>
  <c r="K36" i="5"/>
  <c r="K35" i="5"/>
  <c r="K34" i="5"/>
  <c r="K33" i="5"/>
  <c r="K32" i="5"/>
  <c r="K31" i="5"/>
  <c r="AA31" i="5" s="1"/>
  <c r="K30" i="5"/>
  <c r="K29" i="5"/>
  <c r="K28" i="5"/>
  <c r="K27" i="5"/>
  <c r="K26" i="5"/>
  <c r="K25" i="5"/>
  <c r="K24" i="5"/>
  <c r="K23" i="5"/>
  <c r="AA23" i="5" s="1"/>
  <c r="K22" i="5"/>
  <c r="K21" i="5"/>
  <c r="K20" i="5"/>
  <c r="K19" i="5"/>
  <c r="K18" i="5"/>
  <c r="K17" i="5"/>
  <c r="K16" i="5"/>
  <c r="K15" i="5"/>
  <c r="AA15" i="5" s="1"/>
  <c r="K14" i="5"/>
  <c r="K13" i="5"/>
  <c r="K12" i="5"/>
  <c r="K11" i="5"/>
  <c r="J10" i="5"/>
  <c r="J38" i="5" s="1"/>
  <c r="J44" i="5" s="1"/>
  <c r="J50" i="5" s="1"/>
  <c r="I10" i="5"/>
  <c r="H10" i="5"/>
  <c r="G10" i="5"/>
  <c r="G38" i="5" s="1"/>
  <c r="G44" i="5" s="1"/>
  <c r="G50" i="5" s="1"/>
  <c r="G78" i="5" s="1"/>
  <c r="K9" i="5"/>
  <c r="K8" i="5"/>
  <c r="K7" i="5"/>
  <c r="K5" i="5"/>
  <c r="K4" i="5"/>
  <c r="E37" i="5"/>
  <c r="D37" i="5"/>
  <c r="C37" i="5"/>
  <c r="F36" i="5"/>
  <c r="F35" i="5"/>
  <c r="F34" i="5"/>
  <c r="F33" i="5"/>
  <c r="F32" i="5"/>
  <c r="F31" i="5"/>
  <c r="F30" i="5"/>
  <c r="AA30" i="5" s="1"/>
  <c r="F29" i="5"/>
  <c r="F28" i="5"/>
  <c r="F27" i="5"/>
  <c r="F26" i="5"/>
  <c r="F25" i="5"/>
  <c r="F24" i="5"/>
  <c r="F23" i="5"/>
  <c r="F22" i="5"/>
  <c r="AA22" i="5" s="1"/>
  <c r="F21" i="5"/>
  <c r="F20" i="5"/>
  <c r="F19" i="5"/>
  <c r="F18" i="5"/>
  <c r="F17" i="5"/>
  <c r="F16" i="5"/>
  <c r="F15" i="5"/>
  <c r="F14" i="5"/>
  <c r="AA14" i="5" s="1"/>
  <c r="F13" i="5"/>
  <c r="F12" i="5"/>
  <c r="F11" i="5"/>
  <c r="E10" i="5"/>
  <c r="D10" i="5"/>
  <c r="C10" i="5"/>
  <c r="B10" i="5"/>
  <c r="F9" i="5"/>
  <c r="AA9" i="5" s="1"/>
  <c r="F8" i="5"/>
  <c r="F7" i="5"/>
  <c r="F5" i="5"/>
  <c r="F4" i="5"/>
  <c r="H38" i="5"/>
  <c r="H44" i="5" s="1"/>
  <c r="H50" i="5" s="1"/>
  <c r="L38" i="5"/>
  <c r="L44" i="5" s="1"/>
  <c r="L50" i="5" s="1"/>
  <c r="L78" i="5" s="1"/>
  <c r="AD38" i="5"/>
  <c r="AP38" i="5"/>
  <c r="AP44" i="5" s="1"/>
  <c r="AP50" i="5" s="1"/>
  <c r="AP78" i="5" s="1"/>
  <c r="AP84" i="5" s="1"/>
  <c r="AP90" i="5" s="1"/>
  <c r="AP118" i="5" s="1"/>
  <c r="AP124" i="5" s="1"/>
  <c r="AP130" i="5" s="1"/>
  <c r="AP158" i="5" s="1"/>
  <c r="AP164" i="5" s="1"/>
  <c r="AP170" i="5" s="1"/>
  <c r="AP198" i="5" s="1"/>
  <c r="AP204" i="5" s="1"/>
  <c r="AP210" i="5" s="1"/>
  <c r="AJ38" i="5"/>
  <c r="AJ44" i="5" s="1"/>
  <c r="AJ50" i="5" s="1"/>
  <c r="AJ78" i="5" s="1"/>
  <c r="AJ84" i="5" s="1"/>
  <c r="AJ90" i="5" s="1"/>
  <c r="AT38" i="5"/>
  <c r="AT44" i="5" s="1"/>
  <c r="AT50" i="5" s="1"/>
  <c r="AT78" i="5" s="1"/>
  <c r="AT84" i="5" s="1"/>
  <c r="AT90" i="5" s="1"/>
  <c r="AT118" i="5" s="1"/>
  <c r="AT124" i="5" s="1"/>
  <c r="AT130" i="5" s="1"/>
  <c r="AT158" i="5" s="1"/>
  <c r="AT164" i="5" s="1"/>
  <c r="AT170" i="5" s="1"/>
  <c r="AT198" i="5" s="1"/>
  <c r="AT204" i="5" s="1"/>
  <c r="AT210" i="5" s="1"/>
  <c r="AG38" i="5"/>
  <c r="AG44" i="5" s="1"/>
  <c r="AG50" i="5" s="1"/>
  <c r="AG78" i="5" s="1"/>
  <c r="AG84" i="5" s="1"/>
  <c r="AG90" i="5" s="1"/>
  <c r="AG118" i="5" s="1"/>
  <c r="AG124" i="5" s="1"/>
  <c r="AG130" i="5" s="1"/>
  <c r="AG158" i="5" s="1"/>
  <c r="AG164" i="5" s="1"/>
  <c r="AG170" i="5" s="1"/>
  <c r="AG198" i="5" s="1"/>
  <c r="AG204" i="5" s="1"/>
  <c r="AG210" i="5" s="1"/>
  <c r="AR37" i="5"/>
  <c r="BC55" i="5"/>
  <c r="BC69" i="5"/>
  <c r="X76" i="3"/>
  <c r="W77" i="3"/>
  <c r="V77" i="3"/>
  <c r="U77" i="3"/>
  <c r="T77" i="3"/>
  <c r="R77" i="3"/>
  <c r="Q77" i="3"/>
  <c r="P77" i="3"/>
  <c r="O77" i="3"/>
  <c r="S76" i="3"/>
  <c r="X75" i="3"/>
  <c r="S75" i="3"/>
  <c r="X74" i="3"/>
  <c r="S74" i="3"/>
  <c r="X72" i="3"/>
  <c r="S72" i="3"/>
  <c r="X71" i="3"/>
  <c r="S71" i="3"/>
  <c r="X70" i="3"/>
  <c r="S70" i="3"/>
  <c r="X69" i="3"/>
  <c r="S69" i="3"/>
  <c r="X68" i="3"/>
  <c r="S68" i="3"/>
  <c r="X67" i="3"/>
  <c r="S67" i="3"/>
  <c r="X66" i="3"/>
  <c r="S66" i="3"/>
  <c r="X65" i="3"/>
  <c r="S65" i="3"/>
  <c r="X64" i="3"/>
  <c r="S64" i="3"/>
  <c r="X63" i="3"/>
  <c r="S63" i="3"/>
  <c r="X62" i="3"/>
  <c r="S62" i="3"/>
  <c r="X61" i="3"/>
  <c r="S61" i="3"/>
  <c r="X60" i="3"/>
  <c r="S60" i="3"/>
  <c r="X59" i="3"/>
  <c r="S59" i="3"/>
  <c r="X58" i="3"/>
  <c r="S58" i="3"/>
  <c r="X57" i="3"/>
  <c r="S57" i="3"/>
  <c r="X56" i="3"/>
  <c r="S56" i="3"/>
  <c r="X49" i="3"/>
  <c r="S49" i="3"/>
  <c r="X48" i="3"/>
  <c r="S48" i="3"/>
  <c r="X47" i="3"/>
  <c r="S47" i="3"/>
  <c r="J77" i="3"/>
  <c r="I77" i="3"/>
  <c r="H77" i="3"/>
  <c r="G77" i="3"/>
  <c r="E77" i="3"/>
  <c r="D77" i="3"/>
  <c r="C77" i="3"/>
  <c r="B77" i="3"/>
  <c r="K76" i="3"/>
  <c r="F76" i="3"/>
  <c r="K75" i="3"/>
  <c r="F75" i="3"/>
  <c r="K74" i="3"/>
  <c r="F74" i="3"/>
  <c r="K73" i="3"/>
  <c r="F73" i="3"/>
  <c r="K72" i="3"/>
  <c r="F72" i="3"/>
  <c r="K71" i="3"/>
  <c r="F71" i="3"/>
  <c r="K70" i="3"/>
  <c r="F70" i="3"/>
  <c r="K69" i="3"/>
  <c r="F69" i="3"/>
  <c r="K68" i="3"/>
  <c r="F68" i="3"/>
  <c r="K67" i="3"/>
  <c r="F67" i="3"/>
  <c r="K66" i="3"/>
  <c r="F66" i="3"/>
  <c r="K65" i="3"/>
  <c r="F65" i="3"/>
  <c r="K64" i="3"/>
  <c r="F64" i="3"/>
  <c r="K63" i="3"/>
  <c r="F63" i="3"/>
  <c r="K62" i="3"/>
  <c r="F62" i="3"/>
  <c r="K61" i="3"/>
  <c r="F61" i="3"/>
  <c r="K60" i="3"/>
  <c r="F60" i="3"/>
  <c r="K59" i="3"/>
  <c r="F59" i="3"/>
  <c r="K58" i="3"/>
  <c r="F58" i="3"/>
  <c r="K57" i="3"/>
  <c r="F57" i="3"/>
  <c r="K56" i="3"/>
  <c r="F56" i="3"/>
  <c r="K55" i="3"/>
  <c r="F55" i="3"/>
  <c r="K54" i="3"/>
  <c r="F54" i="3"/>
  <c r="K53" i="3"/>
  <c r="F53" i="3"/>
  <c r="K52" i="3"/>
  <c r="F52" i="3"/>
  <c r="K51" i="3"/>
  <c r="F51" i="3"/>
  <c r="K49" i="3"/>
  <c r="F49" i="3"/>
  <c r="K48" i="3"/>
  <c r="F48" i="3"/>
  <c r="K47" i="3"/>
  <c r="F47" i="3"/>
  <c r="K46" i="3"/>
  <c r="F46" i="3"/>
  <c r="K45" i="3"/>
  <c r="F45" i="3"/>
  <c r="W10" i="3"/>
  <c r="X5" i="3"/>
  <c r="X9" i="3"/>
  <c r="X11" i="3"/>
  <c r="X12" i="3"/>
  <c r="X13" i="3"/>
  <c r="X14" i="3"/>
  <c r="X15" i="3"/>
  <c r="X16" i="3"/>
  <c r="X17" i="3"/>
  <c r="X18" i="3"/>
  <c r="X19" i="3"/>
  <c r="X20" i="3"/>
  <c r="X21" i="3"/>
  <c r="X24" i="3"/>
  <c r="X30" i="3"/>
  <c r="X31" i="3"/>
  <c r="X32" i="3"/>
  <c r="X33" i="3"/>
  <c r="X34" i="3"/>
  <c r="X36" i="3"/>
  <c r="S4" i="3"/>
  <c r="X4" i="3"/>
  <c r="W37" i="3"/>
  <c r="V37" i="3"/>
  <c r="U37" i="3"/>
  <c r="T37" i="3"/>
  <c r="R37" i="3"/>
  <c r="Q37" i="3"/>
  <c r="P37" i="3"/>
  <c r="O37" i="3"/>
  <c r="S36" i="3"/>
  <c r="S34" i="3"/>
  <c r="S33" i="3"/>
  <c r="S32" i="3"/>
  <c r="S31" i="3"/>
  <c r="S30" i="3"/>
  <c r="S24" i="3"/>
  <c r="S21" i="3"/>
  <c r="S20" i="3"/>
  <c r="S19" i="3"/>
  <c r="S18" i="3"/>
  <c r="S17" i="3"/>
  <c r="S16" i="3"/>
  <c r="S15" i="3"/>
  <c r="S14" i="3"/>
  <c r="S13" i="3"/>
  <c r="S12" i="3"/>
  <c r="S11" i="3"/>
  <c r="V10" i="3"/>
  <c r="U10" i="3"/>
  <c r="T10" i="3"/>
  <c r="R10" i="3"/>
  <c r="Q10" i="3"/>
  <c r="P10" i="3"/>
  <c r="O10" i="3"/>
  <c r="S9" i="3"/>
  <c r="S5" i="3"/>
  <c r="K5" i="3"/>
  <c r="K6" i="3"/>
  <c r="K7" i="3"/>
  <c r="K8" i="3"/>
  <c r="K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4" i="3"/>
  <c r="F5" i="3"/>
  <c r="F6" i="3"/>
  <c r="F7" i="3"/>
  <c r="F8" i="3"/>
  <c r="F9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4" i="3"/>
  <c r="J37" i="3"/>
  <c r="E37" i="3"/>
  <c r="E10" i="3"/>
  <c r="G10" i="3"/>
  <c r="H10" i="3"/>
  <c r="I10" i="3"/>
  <c r="J10" i="3"/>
  <c r="C37" i="3"/>
  <c r="D37" i="3"/>
  <c r="G37" i="3"/>
  <c r="H37" i="3"/>
  <c r="I37" i="3"/>
  <c r="B37" i="3"/>
  <c r="C10" i="3"/>
  <c r="D10" i="3"/>
  <c r="B10" i="3"/>
  <c r="C38" i="3"/>
  <c r="C44" i="3"/>
  <c r="C50" i="3"/>
  <c r="C78" i="3"/>
  <c r="C84" i="3"/>
  <c r="C90" i="3"/>
  <c r="C118" i="3"/>
  <c r="L69" i="3"/>
  <c r="Y67" i="3"/>
  <c r="Y9" i="3"/>
  <c r="F37" i="3"/>
  <c r="L57" i="3"/>
  <c r="Y21" i="3"/>
  <c r="Y13" i="3"/>
  <c r="Y19" i="3"/>
  <c r="L53" i="3"/>
  <c r="Y63" i="3"/>
  <c r="Y75" i="3"/>
  <c r="Y17" i="3"/>
  <c r="Y33" i="3"/>
  <c r="Y61" i="3"/>
  <c r="Y65" i="3"/>
  <c r="Y69" i="3"/>
  <c r="L20" i="3"/>
  <c r="Y15" i="3"/>
  <c r="L55" i="3"/>
  <c r="L59" i="3"/>
  <c r="L71" i="3"/>
  <c r="L75" i="3"/>
  <c r="Y76" i="3"/>
  <c r="Y20" i="3"/>
  <c r="L66" i="3"/>
  <c r="L73" i="3"/>
  <c r="Y12" i="3"/>
  <c r="Y18" i="3"/>
  <c r="Y11" i="3"/>
  <c r="L52" i="3"/>
  <c r="Y48" i="3"/>
  <c r="Y58" i="3"/>
  <c r="Y14" i="3"/>
  <c r="Y30" i="3"/>
  <c r="Y59" i="3"/>
  <c r="Y16" i="3"/>
  <c r="Y24" i="3"/>
  <c r="L67" i="3"/>
  <c r="Y60" i="3"/>
  <c r="Y31" i="3"/>
  <c r="Y71" i="3"/>
  <c r="K37" i="3"/>
  <c r="I38" i="3"/>
  <c r="I44" i="3"/>
  <c r="I50" i="3"/>
  <c r="I78" i="3"/>
  <c r="I84" i="3"/>
  <c r="I90" i="3"/>
  <c r="I118" i="3"/>
  <c r="L45" i="3"/>
  <c r="L46" i="3"/>
  <c r="L49" i="3"/>
  <c r="L54" i="3"/>
  <c r="L56" i="3"/>
  <c r="L61" i="3"/>
  <c r="L63" i="3"/>
  <c r="L65" i="3"/>
  <c r="L70" i="3"/>
  <c r="L72" i="3"/>
  <c r="Y49" i="3"/>
  <c r="Y57" i="3"/>
  <c r="Y62" i="3"/>
  <c r="Y64" i="3"/>
  <c r="Y68" i="3"/>
  <c r="Y72" i="3"/>
  <c r="E38" i="3"/>
  <c r="E44" i="3"/>
  <c r="E50" i="3"/>
  <c r="E78" i="3"/>
  <c r="E84" i="3"/>
  <c r="E90" i="3"/>
  <c r="E118" i="3"/>
  <c r="Y34" i="3"/>
  <c r="L60" i="3"/>
  <c r="L76" i="3"/>
  <c r="L64" i="3"/>
  <c r="Y56" i="3"/>
  <c r="Y66" i="3"/>
  <c r="Y70" i="3"/>
  <c r="Y74" i="3"/>
  <c r="L47" i="3"/>
  <c r="L58" i="3"/>
  <c r="L74" i="3"/>
  <c r="D38" i="3"/>
  <c r="D44" i="3"/>
  <c r="D50" i="3"/>
  <c r="D78" i="3"/>
  <c r="D84" i="3"/>
  <c r="D90" i="3"/>
  <c r="D118" i="3"/>
  <c r="L68" i="3"/>
  <c r="L48" i="3"/>
  <c r="L62" i="3"/>
  <c r="Y32" i="3"/>
  <c r="Y47" i="3"/>
  <c r="O38" i="3"/>
  <c r="Y36" i="3"/>
  <c r="Y4" i="3"/>
  <c r="V38" i="3"/>
  <c r="X37" i="3"/>
  <c r="R38" i="3"/>
  <c r="R44" i="3"/>
  <c r="R50" i="3"/>
  <c r="R78" i="3"/>
  <c r="R84" i="3"/>
  <c r="R90" i="3"/>
  <c r="R118" i="3"/>
  <c r="R124" i="3"/>
  <c r="R130" i="3"/>
  <c r="S37" i="3"/>
  <c r="U38" i="3"/>
  <c r="U44" i="3"/>
  <c r="U50" i="3"/>
  <c r="U78" i="3"/>
  <c r="U84" i="3"/>
  <c r="U90" i="3"/>
  <c r="U118" i="3"/>
  <c r="U124" i="3"/>
  <c r="U130" i="3"/>
  <c r="U158" i="3"/>
  <c r="T38" i="3"/>
  <c r="T44" i="3"/>
  <c r="T50" i="3"/>
  <c r="T78" i="3"/>
  <c r="T84" i="3"/>
  <c r="T90" i="3"/>
  <c r="Q38" i="3"/>
  <c r="P38" i="3"/>
  <c r="P44" i="3"/>
  <c r="P50" i="3"/>
  <c r="P78" i="3"/>
  <c r="P84" i="3"/>
  <c r="P90" i="3"/>
  <c r="P118" i="3"/>
  <c r="P124" i="3"/>
  <c r="P130" i="3"/>
  <c r="P158" i="3"/>
  <c r="X77" i="3"/>
  <c r="S77" i="3"/>
  <c r="K77" i="3"/>
  <c r="L51" i="3"/>
  <c r="F77" i="3"/>
  <c r="J38" i="3"/>
  <c r="J44" i="3"/>
  <c r="J50" i="3"/>
  <c r="J78" i="3"/>
  <c r="J84" i="3"/>
  <c r="J90" i="3"/>
  <c r="J118" i="3"/>
  <c r="K10" i="3"/>
  <c r="L4" i="3"/>
  <c r="F10" i="3"/>
  <c r="X10" i="3"/>
  <c r="Y5" i="3"/>
  <c r="W38" i="3"/>
  <c r="S10" i="3"/>
  <c r="L34" i="3"/>
  <c r="H38" i="3"/>
  <c r="H44" i="3"/>
  <c r="H50" i="3"/>
  <c r="H78" i="3"/>
  <c r="H84" i="3"/>
  <c r="H90" i="3"/>
  <c r="H118" i="3"/>
  <c r="L28" i="3"/>
  <c r="L22" i="3"/>
  <c r="L36" i="3"/>
  <c r="L30" i="3"/>
  <c r="L16" i="3"/>
  <c r="L6" i="3"/>
  <c r="L32" i="3"/>
  <c r="L18" i="3"/>
  <c r="L12" i="3"/>
  <c r="L26" i="3"/>
  <c r="L31" i="3"/>
  <c r="L8" i="3"/>
  <c r="L24" i="3"/>
  <c r="L19" i="3"/>
  <c r="L14" i="3"/>
  <c r="L29" i="3"/>
  <c r="L21" i="3"/>
  <c r="L35" i="3"/>
  <c r="L25" i="3"/>
  <c r="L13" i="3"/>
  <c r="L7" i="3"/>
  <c r="L17" i="3"/>
  <c r="G38" i="3"/>
  <c r="G44" i="3"/>
  <c r="G50" i="3"/>
  <c r="G78" i="3"/>
  <c r="G84" i="3"/>
  <c r="G90" i="3"/>
  <c r="L33" i="3"/>
  <c r="L23" i="3"/>
  <c r="L11" i="3"/>
  <c r="L27" i="3"/>
  <c r="L15" i="3"/>
  <c r="L9" i="3"/>
  <c r="L5" i="3"/>
  <c r="T118" i="3"/>
  <c r="T124" i="3"/>
  <c r="T130" i="3"/>
  <c r="G118" i="3"/>
  <c r="K118" i="3"/>
  <c r="K90" i="3"/>
  <c r="L77" i="3"/>
  <c r="Y37" i="3"/>
  <c r="Q44" i="3"/>
  <c r="Q50" i="3"/>
  <c r="Q78" i="3"/>
  <c r="Q84" i="3"/>
  <c r="Q90" i="3"/>
  <c r="Q118" i="3"/>
  <c r="Q124" i="3"/>
  <c r="Q130" i="3"/>
  <c r="Q158" i="3"/>
  <c r="V44" i="3"/>
  <c r="V50" i="3"/>
  <c r="V78" i="3"/>
  <c r="V84" i="3"/>
  <c r="V90" i="3"/>
  <c r="V118" i="3"/>
  <c r="V124" i="3"/>
  <c r="V130" i="3"/>
  <c r="V158" i="3"/>
  <c r="S38" i="3"/>
  <c r="Q39" i="3"/>
  <c r="Y77" i="3"/>
  <c r="K78" i="3"/>
  <c r="K84" i="3"/>
  <c r="X38" i="3"/>
  <c r="V39" i="3"/>
  <c r="W44" i="3"/>
  <c r="W50" i="3"/>
  <c r="W78" i="3"/>
  <c r="W84" i="3"/>
  <c r="W90" i="3"/>
  <c r="W118" i="3"/>
  <c r="W124" i="3"/>
  <c r="W130" i="3"/>
  <c r="W158" i="3"/>
  <c r="K50" i="3"/>
  <c r="K38" i="3"/>
  <c r="K44" i="3"/>
  <c r="Y10" i="3"/>
  <c r="L10" i="3"/>
  <c r="L37" i="3"/>
  <c r="B38" i="3"/>
  <c r="F38" i="3"/>
  <c r="F44" i="3"/>
  <c r="O44" i="3"/>
  <c r="O50" i="3"/>
  <c r="X130" i="3"/>
  <c r="T158" i="3"/>
  <c r="X158" i="3"/>
  <c r="X118" i="3"/>
  <c r="X124" i="3"/>
  <c r="X90" i="3"/>
  <c r="S44" i="3"/>
  <c r="O39" i="3"/>
  <c r="P39" i="3"/>
  <c r="R39" i="3"/>
  <c r="S39" i="3"/>
  <c r="X44" i="3"/>
  <c r="T39" i="3"/>
  <c r="U39" i="3"/>
  <c r="W39" i="3"/>
  <c r="X39" i="3"/>
  <c r="X78" i="3"/>
  <c r="X84" i="3"/>
  <c r="X50" i="3"/>
  <c r="Y38" i="3"/>
  <c r="Y44" i="3"/>
  <c r="O78" i="3"/>
  <c r="S50" i="3"/>
  <c r="L38" i="3"/>
  <c r="L44" i="3"/>
  <c r="L50" i="3"/>
  <c r="L78" i="3"/>
  <c r="L84" i="3"/>
  <c r="L90" i="3"/>
  <c r="L118" i="3"/>
  <c r="B44" i="3"/>
  <c r="B50" i="3"/>
  <c r="S78" i="3"/>
  <c r="S84" i="3"/>
  <c r="O84" i="3"/>
  <c r="O90" i="3"/>
  <c r="Y50" i="3"/>
  <c r="B78" i="3"/>
  <c r="F50" i="3"/>
  <c r="Y78" i="3"/>
  <c r="Y84" i="3"/>
  <c r="F78" i="3"/>
  <c r="F84" i="3"/>
  <c r="B84" i="3"/>
  <c r="B90" i="3"/>
  <c r="S90" i="3"/>
  <c r="Y90" i="3"/>
  <c r="O118" i="3"/>
  <c r="S118" i="3"/>
  <c r="O124" i="3"/>
  <c r="O130" i="3"/>
  <c r="F90" i="3"/>
  <c r="B118" i="3"/>
  <c r="F118" i="3"/>
  <c r="O158" i="3"/>
  <c r="S130" i="3"/>
  <c r="Y130" i="3"/>
  <c r="Y118" i="3"/>
  <c r="Y124" i="3"/>
  <c r="S124" i="3"/>
  <c r="BC797" i="5" l="1"/>
  <c r="AM757" i="5"/>
  <c r="BB757" i="5"/>
  <c r="AA757" i="5"/>
  <c r="AA717" i="5"/>
  <c r="AA677" i="5"/>
  <c r="BB677" i="5"/>
  <c r="BC677" i="5" s="1"/>
  <c r="F37" i="5"/>
  <c r="AA46" i="5"/>
  <c r="AA64" i="5"/>
  <c r="AA26" i="5"/>
  <c r="U37" i="5"/>
  <c r="Z10" i="5"/>
  <c r="AA57" i="5"/>
  <c r="BC103" i="5"/>
  <c r="BC195" i="5"/>
  <c r="BB717" i="5"/>
  <c r="AA5" i="5"/>
  <c r="P37" i="5"/>
  <c r="U10" i="5"/>
  <c r="V38" i="5"/>
  <c r="V44" i="5" s="1"/>
  <c r="V50" i="5" s="1"/>
  <c r="V78" i="5" s="1"/>
  <c r="AF78" i="5"/>
  <c r="AF84" i="5" s="1"/>
  <c r="AF90" i="5" s="1"/>
  <c r="AF118" i="5" s="1"/>
  <c r="AF124" i="5" s="1"/>
  <c r="AF130" i="5" s="1"/>
  <c r="AF158" i="5" s="1"/>
  <c r="AF164" i="5" s="1"/>
  <c r="AF170" i="5" s="1"/>
  <c r="AF198" i="5" s="1"/>
  <c r="AF204" i="5" s="1"/>
  <c r="AF210" i="5" s="1"/>
  <c r="AF238" i="5" s="1"/>
  <c r="AF244" i="5" s="1"/>
  <c r="AF250" i="5" s="1"/>
  <c r="AF278" i="5" s="1"/>
  <c r="AF284" i="5" s="1"/>
  <c r="AF290" i="5" s="1"/>
  <c r="AF318" i="5" s="1"/>
  <c r="AF324" i="5" s="1"/>
  <c r="AF330" i="5" s="1"/>
  <c r="AF358" i="5" s="1"/>
  <c r="AF364" i="5" s="1"/>
  <c r="AF370" i="5" s="1"/>
  <c r="AF398" i="5" s="1"/>
  <c r="AF404" i="5" s="1"/>
  <c r="AF410" i="5" s="1"/>
  <c r="AF438" i="5" s="1"/>
  <c r="AF444" i="5" s="1"/>
  <c r="AF450" i="5" s="1"/>
  <c r="AA254" i="5"/>
  <c r="K37" i="5"/>
  <c r="M78" i="5"/>
  <c r="M84" i="5" s="1"/>
  <c r="M90" i="5" s="1"/>
  <c r="M118" i="5" s="1"/>
  <c r="M124" i="5" s="1"/>
  <c r="M130" i="5" s="1"/>
  <c r="M158" i="5" s="1"/>
  <c r="M164" i="5" s="1"/>
  <c r="M170" i="5" s="1"/>
  <c r="M198" i="5" s="1"/>
  <c r="M204" i="5" s="1"/>
  <c r="M210" i="5" s="1"/>
  <c r="AA29" i="5"/>
  <c r="AA59" i="5"/>
  <c r="P77" i="5"/>
  <c r="BC12" i="5"/>
  <c r="BC22" i="5"/>
  <c r="BC25" i="5"/>
  <c r="BC32" i="5"/>
  <c r="AH37" i="5"/>
  <c r="AI38" i="5"/>
  <c r="AI44" i="5" s="1"/>
  <c r="AI50" i="5" s="1"/>
  <c r="AI78" i="5" s="1"/>
  <c r="AS38" i="5"/>
  <c r="AS44" i="5" s="1"/>
  <c r="AS50" i="5" s="1"/>
  <c r="AS78" i="5" s="1"/>
  <c r="BB37" i="5"/>
  <c r="BC45" i="5"/>
  <c r="BC51" i="5"/>
  <c r="BC57" i="5"/>
  <c r="BC61" i="5"/>
  <c r="BC66" i="5"/>
  <c r="BC68" i="5"/>
  <c r="AH77" i="5"/>
  <c r="AR77" i="5"/>
  <c r="BB77" i="5"/>
  <c r="AW10" i="5"/>
  <c r="AA139" i="5"/>
  <c r="K157" i="5"/>
  <c r="U157" i="5"/>
  <c r="BC74" i="5"/>
  <c r="AA423" i="5"/>
  <c r="AA431" i="5"/>
  <c r="BC717" i="5"/>
  <c r="AJ118" i="5"/>
  <c r="AJ124" i="5" s="1"/>
  <c r="AJ130" i="5" s="1"/>
  <c r="AJ158" i="5" s="1"/>
  <c r="AJ164" i="5" s="1"/>
  <c r="AJ170" i="5" s="1"/>
  <c r="AJ198" i="5" s="1"/>
  <c r="AJ204" i="5" s="1"/>
  <c r="AJ210" i="5" s="1"/>
  <c r="AJ238" i="5" s="1"/>
  <c r="AJ244" i="5" s="1"/>
  <c r="AJ250" i="5" s="1"/>
  <c r="AJ278" i="5" s="1"/>
  <c r="BC85" i="5"/>
  <c r="BC89" i="5"/>
  <c r="BC177" i="5"/>
  <c r="AR197" i="5"/>
  <c r="AA233" i="5"/>
  <c r="BC300" i="5"/>
  <c r="BC329" i="5"/>
  <c r="BC349" i="5"/>
  <c r="F345" i="5"/>
  <c r="AA345" i="5" s="1"/>
  <c r="F10" i="5"/>
  <c r="AA11" i="5"/>
  <c r="AA27" i="5"/>
  <c r="AA35" i="5"/>
  <c r="AA12" i="5"/>
  <c r="AA20" i="5"/>
  <c r="AA28" i="5"/>
  <c r="AA48" i="5"/>
  <c r="AA52" i="5"/>
  <c r="AA54" i="5"/>
  <c r="AA62" i="5"/>
  <c r="AA63" i="5"/>
  <c r="AA65" i="5"/>
  <c r="AA71" i="5"/>
  <c r="AA74" i="5"/>
  <c r="BB117" i="5"/>
  <c r="AH9" i="5"/>
  <c r="AR9" i="5"/>
  <c r="AW9" i="5"/>
  <c r="BC129" i="5"/>
  <c r="AM157" i="5"/>
  <c r="AW157" i="5"/>
  <c r="F157" i="5"/>
  <c r="AA195" i="5"/>
  <c r="AA343" i="5"/>
  <c r="BC674" i="5"/>
  <c r="AA637" i="5"/>
  <c r="BC635" i="5"/>
  <c r="AL38" i="5"/>
  <c r="AL44" i="5" s="1"/>
  <c r="AL50" i="5" s="1"/>
  <c r="AL78" i="5" s="1"/>
  <c r="AL84" i="5" s="1"/>
  <c r="AL90" i="5" s="1"/>
  <c r="AL118" i="5" s="1"/>
  <c r="AL124" i="5" s="1"/>
  <c r="AL130" i="5" s="1"/>
  <c r="AL158" i="5" s="1"/>
  <c r="AL164" i="5" s="1"/>
  <c r="AL170" i="5" s="1"/>
  <c r="AL198" i="5" s="1"/>
  <c r="AL204" i="5" s="1"/>
  <c r="AL210" i="5" s="1"/>
  <c r="AM10" i="5"/>
  <c r="AA268" i="5"/>
  <c r="BC254" i="5"/>
  <c r="AA369" i="5"/>
  <c r="BC316" i="5"/>
  <c r="AA414" i="5"/>
  <c r="E38" i="5"/>
  <c r="E44" i="5" s="1"/>
  <c r="E50" i="5" s="1"/>
  <c r="E78" i="5" s="1"/>
  <c r="E84" i="5" s="1"/>
  <c r="E90" i="5" s="1"/>
  <c r="E118" i="5" s="1"/>
  <c r="E124" i="5" s="1"/>
  <c r="E130" i="5" s="1"/>
  <c r="E158" i="5" s="1"/>
  <c r="E164" i="5" s="1"/>
  <c r="E170" i="5" s="1"/>
  <c r="E198" i="5" s="1"/>
  <c r="E204" i="5" s="1"/>
  <c r="E210" i="5" s="1"/>
  <c r="E238" i="5" s="1"/>
  <c r="E244" i="5" s="1"/>
  <c r="E250" i="5" s="1"/>
  <c r="E278" i="5" s="1"/>
  <c r="E284" i="5" s="1"/>
  <c r="E290" i="5" s="1"/>
  <c r="E318" i="5" s="1"/>
  <c r="E324" i="5" s="1"/>
  <c r="E330" i="5" s="1"/>
  <c r="E358" i="5" s="1"/>
  <c r="E364" i="5" s="1"/>
  <c r="E370" i="5" s="1"/>
  <c r="E398" i="5" s="1"/>
  <c r="E404" i="5" s="1"/>
  <c r="E410" i="5" s="1"/>
  <c r="E438" i="5" s="1"/>
  <c r="E444" i="5" s="1"/>
  <c r="E450" i="5" s="1"/>
  <c r="E478" i="5" s="1"/>
  <c r="E484" i="5" s="1"/>
  <c r="E490" i="5" s="1"/>
  <c r="E518" i="5" s="1"/>
  <c r="E524" i="5" s="1"/>
  <c r="E530" i="5" s="1"/>
  <c r="E558" i="5" s="1"/>
  <c r="E564" i="5" s="1"/>
  <c r="E570" i="5" s="1"/>
  <c r="E598" i="5" s="1"/>
  <c r="E604" i="5" s="1"/>
  <c r="E610" i="5" s="1"/>
  <c r="E638" i="5" s="1"/>
  <c r="E644" i="5" s="1"/>
  <c r="E650" i="5" s="1"/>
  <c r="E678" i="5" s="1"/>
  <c r="E684" i="5" s="1"/>
  <c r="E690" i="5" s="1"/>
  <c r="BC16" i="5"/>
  <c r="BC18" i="5"/>
  <c r="BC169" i="5"/>
  <c r="BJ170" i="5"/>
  <c r="BC109" i="5"/>
  <c r="BC355" i="5"/>
  <c r="BC367" i="5"/>
  <c r="BC286" i="5"/>
  <c r="BC332" i="5"/>
  <c r="AA427" i="5"/>
  <c r="AA435" i="5"/>
  <c r="BC11" i="5"/>
  <c r="BC14" i="5"/>
  <c r="BC21" i="5"/>
  <c r="BC23" i="5"/>
  <c r="BC28" i="5"/>
  <c r="BC31" i="5"/>
  <c r="BC33" i="5"/>
  <c r="BC34" i="5"/>
  <c r="AM37" i="5"/>
  <c r="BC52" i="5"/>
  <c r="BC53" i="5"/>
  <c r="BC56" i="5"/>
  <c r="BC58" i="5"/>
  <c r="BC59" i="5"/>
  <c r="BC62" i="5"/>
  <c r="BC63" i="5"/>
  <c r="BC67" i="5"/>
  <c r="BC70" i="5"/>
  <c r="AM77" i="5"/>
  <c r="AW77" i="5"/>
  <c r="BC77" i="5" s="1"/>
  <c r="BC6" i="5"/>
  <c r="BC125" i="5"/>
  <c r="AA166" i="5"/>
  <c r="AA180" i="5"/>
  <c r="K197" i="5"/>
  <c r="AA226" i="5"/>
  <c r="AA231" i="5"/>
  <c r="BC71" i="5"/>
  <c r="BC112" i="5"/>
  <c r="AA252" i="5"/>
  <c r="AA257" i="5"/>
  <c r="AA187" i="5"/>
  <c r="BC186" i="5"/>
  <c r="BC368" i="5"/>
  <c r="AA597" i="5"/>
  <c r="AW37" i="5"/>
  <c r="BC37" i="5" s="1"/>
  <c r="BC19" i="5"/>
  <c r="BC207" i="5"/>
  <c r="T78" i="5"/>
  <c r="T84" i="5" s="1"/>
  <c r="T90" i="5" s="1"/>
  <c r="T118" i="5" s="1"/>
  <c r="T124" i="5" s="1"/>
  <c r="T130" i="5" s="1"/>
  <c r="T158" i="5" s="1"/>
  <c r="T164" i="5" s="1"/>
  <c r="T170" i="5" s="1"/>
  <c r="T198" i="5" s="1"/>
  <c r="T204" i="5" s="1"/>
  <c r="T210" i="5" s="1"/>
  <c r="T238" i="5" s="1"/>
  <c r="T244" i="5" s="1"/>
  <c r="T250" i="5" s="1"/>
  <c r="T278" i="5" s="1"/>
  <c r="T284" i="5" s="1"/>
  <c r="T290" i="5" s="1"/>
  <c r="T318" i="5" s="1"/>
  <c r="T324" i="5" s="1"/>
  <c r="T330" i="5" s="1"/>
  <c r="T358" i="5" s="1"/>
  <c r="T364" i="5" s="1"/>
  <c r="T370" i="5" s="1"/>
  <c r="T398" i="5" s="1"/>
  <c r="T404" i="5" s="1"/>
  <c r="T410" i="5" s="1"/>
  <c r="T438" i="5" s="1"/>
  <c r="T444" i="5" s="1"/>
  <c r="T450" i="5" s="1"/>
  <c r="T478" i="5" s="1"/>
  <c r="T484" i="5" s="1"/>
  <c r="T490" i="5" s="1"/>
  <c r="AA102" i="5"/>
  <c r="AA103" i="5"/>
  <c r="F117" i="5"/>
  <c r="P117" i="5"/>
  <c r="AM117" i="5"/>
  <c r="AW117" i="5"/>
  <c r="BC76" i="5"/>
  <c r="BC72" i="5"/>
  <c r="AW86" i="5"/>
  <c r="BC212" i="5"/>
  <c r="BC114" i="5"/>
  <c r="BC365" i="5"/>
  <c r="AA384" i="5"/>
  <c r="AA557" i="5"/>
  <c r="J78" i="5"/>
  <c r="J84" i="5" s="1"/>
  <c r="J90" i="5" s="1"/>
  <c r="J118" i="5" s="1"/>
  <c r="J124" i="5" s="1"/>
  <c r="J130" i="5" s="1"/>
  <c r="J158" i="5" s="1"/>
  <c r="J164" i="5" s="1"/>
  <c r="J170" i="5" s="1"/>
  <c r="J198" i="5" s="1"/>
  <c r="J204" i="5" s="1"/>
  <c r="J210" i="5" s="1"/>
  <c r="C38" i="5"/>
  <c r="C44" i="5" s="1"/>
  <c r="C50" i="5" s="1"/>
  <c r="C78" i="5" s="1"/>
  <c r="C84" i="5" s="1"/>
  <c r="C90" i="5" s="1"/>
  <c r="C118" i="5" s="1"/>
  <c r="C124" i="5" s="1"/>
  <c r="C130" i="5" s="1"/>
  <c r="C158" i="5" s="1"/>
  <c r="C164" i="5" s="1"/>
  <c r="C170" i="5" s="1"/>
  <c r="C198" i="5" s="1"/>
  <c r="AA16" i="5"/>
  <c r="AA24" i="5"/>
  <c r="AA32" i="5"/>
  <c r="AA17" i="5"/>
  <c r="AA33" i="5"/>
  <c r="AA4" i="5"/>
  <c r="AA18" i="5"/>
  <c r="AA45" i="5"/>
  <c r="AA49" i="5"/>
  <c r="AA55" i="5"/>
  <c r="AA56" i="5"/>
  <c r="AA58" i="5"/>
  <c r="AA60" i="5"/>
  <c r="AA69" i="5"/>
  <c r="AA73" i="5"/>
  <c r="AA75" i="5"/>
  <c r="K77" i="5"/>
  <c r="AA77" i="5" s="1"/>
  <c r="U77" i="5"/>
  <c r="BC4" i="5"/>
  <c r="AA94" i="5"/>
  <c r="U117" i="5"/>
  <c r="AA117" i="5" s="1"/>
  <c r="BC7" i="5"/>
  <c r="AA132" i="5"/>
  <c r="AA140" i="5"/>
  <c r="AA146" i="5"/>
  <c r="AA149" i="5"/>
  <c r="AA151" i="5"/>
  <c r="BC126" i="5"/>
  <c r="AA175" i="5"/>
  <c r="BC270" i="5"/>
  <c r="AA186" i="5"/>
  <c r="BC214" i="5"/>
  <c r="AA37" i="5"/>
  <c r="B38" i="5"/>
  <c r="N38" i="5"/>
  <c r="N44" i="5" s="1"/>
  <c r="N50" i="5" s="1"/>
  <c r="N78" i="5" s="1"/>
  <c r="N84" i="5" s="1"/>
  <c r="N90" i="5" s="1"/>
  <c r="N118" i="5" s="1"/>
  <c r="N124" i="5" s="1"/>
  <c r="N130" i="5" s="1"/>
  <c r="AH157" i="5"/>
  <c r="AR157" i="5"/>
  <c r="BB157" i="5"/>
  <c r="AA126" i="5"/>
  <c r="BC60" i="5"/>
  <c r="AA207" i="5"/>
  <c r="AA227" i="5"/>
  <c r="AA229" i="5"/>
  <c r="AA236" i="5"/>
  <c r="BC46" i="5"/>
  <c r="AA255" i="5"/>
  <c r="AA259" i="5"/>
  <c r="AA264" i="5"/>
  <c r="AA269" i="5"/>
  <c r="AA272" i="5"/>
  <c r="AA274" i="5"/>
  <c r="AR127" i="5"/>
  <c r="BC307" i="5"/>
  <c r="BC294" i="5"/>
  <c r="BC224" i="5"/>
  <c r="BC327" i="5"/>
  <c r="BC475" i="5"/>
  <c r="BC637" i="5"/>
  <c r="BB10" i="5"/>
  <c r="AY38" i="5"/>
  <c r="AY44" i="5" s="1"/>
  <c r="AY50" i="5" s="1"/>
  <c r="AY78" i="5" s="1"/>
  <c r="AY84" i="5" s="1"/>
  <c r="AY90" i="5" s="1"/>
  <c r="AY118" i="5" s="1"/>
  <c r="AY124" i="5" s="1"/>
  <c r="AY130" i="5" s="1"/>
  <c r="AY158" i="5" s="1"/>
  <c r="AI84" i="5"/>
  <c r="AI90" i="5" s="1"/>
  <c r="AM90" i="5" s="1"/>
  <c r="G84" i="5"/>
  <c r="G90" i="5" s="1"/>
  <c r="G118" i="5" s="1"/>
  <c r="BC171" i="5"/>
  <c r="AK359" i="5"/>
  <c r="I38" i="5"/>
  <c r="I44" i="5" s="1"/>
  <c r="I50" i="5" s="1"/>
  <c r="I78" i="5" s="1"/>
  <c r="I84" i="5" s="1"/>
  <c r="I90" i="5" s="1"/>
  <c r="I118" i="5" s="1"/>
  <c r="I124" i="5" s="1"/>
  <c r="I130" i="5" s="1"/>
  <c r="I158" i="5" s="1"/>
  <c r="I164" i="5" s="1"/>
  <c r="I170" i="5" s="1"/>
  <c r="I198" i="5" s="1"/>
  <c r="I204" i="5" s="1"/>
  <c r="I210" i="5" s="1"/>
  <c r="R78" i="5"/>
  <c r="R84" i="5" s="1"/>
  <c r="R90" i="5" s="1"/>
  <c r="R118" i="5" s="1"/>
  <c r="R124" i="5" s="1"/>
  <c r="R130" i="5" s="1"/>
  <c r="R158" i="5" s="1"/>
  <c r="R164" i="5" s="1"/>
  <c r="R170" i="5" s="1"/>
  <c r="R198" i="5" s="1"/>
  <c r="R204" i="5" s="1"/>
  <c r="R210" i="5" s="1"/>
  <c r="AA53" i="5"/>
  <c r="AA88" i="5"/>
  <c r="AA108" i="5"/>
  <c r="AA113" i="5"/>
  <c r="BC35" i="5"/>
  <c r="BC128" i="5"/>
  <c r="AA128" i="5"/>
  <c r="AA134" i="5"/>
  <c r="AA143" i="5"/>
  <c r="AA154" i="5"/>
  <c r="P157" i="5"/>
  <c r="AM197" i="5"/>
  <c r="AA173" i="5"/>
  <c r="AA178" i="5"/>
  <c r="AA183" i="5"/>
  <c r="AA190" i="5"/>
  <c r="U197" i="5"/>
  <c r="BC96" i="5"/>
  <c r="AA260" i="5"/>
  <c r="BC313" i="5"/>
  <c r="BC310" i="5"/>
  <c r="BC253" i="5"/>
  <c r="BC27" i="5"/>
  <c r="BC354" i="5"/>
  <c r="AL359" i="5"/>
  <c r="AA380" i="5"/>
  <c r="BC326" i="5"/>
  <c r="BC295" i="5"/>
  <c r="BC302" i="5"/>
  <c r="BC406" i="5"/>
  <c r="AA424" i="5"/>
  <c r="AA432" i="5"/>
  <c r="AU78" i="5"/>
  <c r="AU84" i="5" s="1"/>
  <c r="AU90" i="5" s="1"/>
  <c r="AU118" i="5" s="1"/>
  <c r="AU124" i="5" s="1"/>
  <c r="AU130" i="5" s="1"/>
  <c r="AU158" i="5" s="1"/>
  <c r="AU164" i="5" s="1"/>
  <c r="AU170" i="5" s="1"/>
  <c r="AU198" i="5" s="1"/>
  <c r="AU204" i="5" s="1"/>
  <c r="AU210" i="5" s="1"/>
  <c r="AU238" i="5" s="1"/>
  <c r="AU244" i="5" s="1"/>
  <c r="AU250" i="5" s="1"/>
  <c r="AU278" i="5" s="1"/>
  <c r="AU284" i="5" s="1"/>
  <c r="AU290" i="5" s="1"/>
  <c r="AU318" i="5" s="1"/>
  <c r="AU324" i="5" s="1"/>
  <c r="AU330" i="5" s="1"/>
  <c r="AU358" i="5" s="1"/>
  <c r="AU364" i="5" s="1"/>
  <c r="AU370" i="5" s="1"/>
  <c r="AU398" i="5" s="1"/>
  <c r="AU404" i="5" s="1"/>
  <c r="AU410" i="5" s="1"/>
  <c r="AU438" i="5" s="1"/>
  <c r="AU444" i="5" s="1"/>
  <c r="AU450" i="5" s="1"/>
  <c r="AU478" i="5" s="1"/>
  <c r="AU484" i="5" s="1"/>
  <c r="AU490" i="5" s="1"/>
  <c r="AU518" i="5" s="1"/>
  <c r="AU524" i="5" s="1"/>
  <c r="AU530" i="5" s="1"/>
  <c r="AU558" i="5" s="1"/>
  <c r="AU564" i="5" s="1"/>
  <c r="AU570" i="5" s="1"/>
  <c r="AU598" i="5" s="1"/>
  <c r="AU604" i="5" s="1"/>
  <c r="AU610" i="5" s="1"/>
  <c r="AU638" i="5" s="1"/>
  <c r="AU644" i="5" s="1"/>
  <c r="AU650" i="5" s="1"/>
  <c r="AU678" i="5" s="1"/>
  <c r="AU684" i="5" s="1"/>
  <c r="AU690" i="5" s="1"/>
  <c r="AU718" i="5" s="1"/>
  <c r="AU724" i="5" s="1"/>
  <c r="AU730" i="5" s="1"/>
  <c r="AU758" i="5" s="1"/>
  <c r="AU764" i="5" s="1"/>
  <c r="AU770" i="5" s="1"/>
  <c r="AU798" i="5" s="1"/>
  <c r="O38" i="5"/>
  <c r="AA25" i="5"/>
  <c r="AA66" i="5"/>
  <c r="AE10" i="5"/>
  <c r="AO10" i="5"/>
  <c r="K117" i="5"/>
  <c r="BC88" i="5"/>
  <c r="AA188" i="5"/>
  <c r="AA213" i="5"/>
  <c r="AA223" i="5"/>
  <c r="AA232" i="5"/>
  <c r="BC73" i="5"/>
  <c r="AA145" i="5"/>
  <c r="BC249" i="5"/>
  <c r="BC167" i="5"/>
  <c r="AA296" i="5"/>
  <c r="AA312" i="5"/>
  <c r="BC233" i="5"/>
  <c r="BC343" i="5"/>
  <c r="AD359" i="5"/>
  <c r="BC271" i="5"/>
  <c r="AA429" i="5"/>
  <c r="AA412" i="5"/>
  <c r="BC390" i="5"/>
  <c r="D38" i="5"/>
  <c r="D44" i="5" s="1"/>
  <c r="D50" i="5" s="1"/>
  <c r="D78" i="5" s="1"/>
  <c r="D84" i="5" s="1"/>
  <c r="D90" i="5" s="1"/>
  <c r="D118" i="5" s="1"/>
  <c r="D124" i="5" s="1"/>
  <c r="D130" i="5" s="1"/>
  <c r="D158" i="5" s="1"/>
  <c r="D164" i="5" s="1"/>
  <c r="D170" i="5" s="1"/>
  <c r="D198" i="5" s="1"/>
  <c r="D204" i="5" s="1"/>
  <c r="D210" i="5" s="1"/>
  <c r="D238" i="5" s="1"/>
  <c r="D244" i="5" s="1"/>
  <c r="D250" i="5" s="1"/>
  <c r="D278" i="5" s="1"/>
  <c r="D284" i="5" s="1"/>
  <c r="D290" i="5" s="1"/>
  <c r="D318" i="5" s="1"/>
  <c r="D324" i="5" s="1"/>
  <c r="D330" i="5" s="1"/>
  <c r="D358" i="5" s="1"/>
  <c r="D364" i="5" s="1"/>
  <c r="D370" i="5" s="1"/>
  <c r="D398" i="5" s="1"/>
  <c r="D404" i="5" s="1"/>
  <c r="D410" i="5" s="1"/>
  <c r="D438" i="5" s="1"/>
  <c r="D444" i="5" s="1"/>
  <c r="D450" i="5" s="1"/>
  <c r="AA72" i="5"/>
  <c r="AZ38" i="5"/>
  <c r="AZ44" i="5" s="1"/>
  <c r="AZ50" i="5" s="1"/>
  <c r="AZ78" i="5" s="1"/>
  <c r="AZ84" i="5" s="1"/>
  <c r="AZ90" i="5" s="1"/>
  <c r="AZ118" i="5" s="1"/>
  <c r="AZ124" i="5" s="1"/>
  <c r="AZ130" i="5" s="1"/>
  <c r="AZ158" i="5" s="1"/>
  <c r="AZ164" i="5" s="1"/>
  <c r="AZ170" i="5" s="1"/>
  <c r="AZ198" i="5" s="1"/>
  <c r="AZ204" i="5" s="1"/>
  <c r="AZ210" i="5" s="1"/>
  <c r="AA107" i="5"/>
  <c r="BC105" i="5"/>
  <c r="AM9" i="5"/>
  <c r="AA6" i="5"/>
  <c r="AA127" i="5"/>
  <c r="AA133" i="5"/>
  <c r="AA137" i="5"/>
  <c r="AA142" i="5"/>
  <c r="AA148" i="5"/>
  <c r="AA153" i="5"/>
  <c r="AA165" i="5"/>
  <c r="AA182" i="5"/>
  <c r="AA189" i="5"/>
  <c r="AA193" i="5"/>
  <c r="P197" i="5"/>
  <c r="AA67" i="5"/>
  <c r="AA235" i="5"/>
  <c r="BC308" i="5"/>
  <c r="BC289" i="5"/>
  <c r="BC268" i="5"/>
  <c r="BC216" i="5"/>
  <c r="BC213" i="5"/>
  <c r="BC166" i="5"/>
  <c r="BC91" i="5"/>
  <c r="BC174" i="5"/>
  <c r="BC189" i="5"/>
  <c r="BC348" i="5"/>
  <c r="AE359" i="5"/>
  <c r="BC261" i="5"/>
  <c r="AA381" i="5"/>
  <c r="BC366" i="5"/>
  <c r="BC285" i="5"/>
  <c r="BC407" i="5"/>
  <c r="AA426" i="5"/>
  <c r="AA434" i="5"/>
  <c r="K10" i="5"/>
  <c r="Y38" i="5"/>
  <c r="Y44" i="5" s="1"/>
  <c r="Y50" i="5" s="1"/>
  <c r="Y78" i="5" s="1"/>
  <c r="Y84" i="5" s="1"/>
  <c r="Y90" i="5" s="1"/>
  <c r="Y118" i="5" s="1"/>
  <c r="Y124" i="5" s="1"/>
  <c r="Y130" i="5" s="1"/>
  <c r="Y158" i="5" s="1"/>
  <c r="Y164" i="5" s="1"/>
  <c r="Y170" i="5" s="1"/>
  <c r="Y198" i="5" s="1"/>
  <c r="Y204" i="5" s="1"/>
  <c r="Y210" i="5" s="1"/>
  <c r="Y238" i="5" s="1"/>
  <c r="Y244" i="5" s="1"/>
  <c r="Y250" i="5" s="1"/>
  <c r="Y278" i="5" s="1"/>
  <c r="Y284" i="5" s="1"/>
  <c r="Y290" i="5" s="1"/>
  <c r="Y318" i="5" s="1"/>
  <c r="Y324" i="5" s="1"/>
  <c r="Y330" i="5" s="1"/>
  <c r="Y358" i="5" s="1"/>
  <c r="Y364" i="5" s="1"/>
  <c r="Y370" i="5" s="1"/>
  <c r="Y398" i="5" s="1"/>
  <c r="Y404" i="5" s="1"/>
  <c r="Y410" i="5" s="1"/>
  <c r="Y438" i="5" s="1"/>
  <c r="Y444" i="5" s="1"/>
  <c r="Y450" i="5" s="1"/>
  <c r="Y478" i="5" s="1"/>
  <c r="Y484" i="5" s="1"/>
  <c r="Y490" i="5" s="1"/>
  <c r="Y518" i="5" s="1"/>
  <c r="Y524" i="5" s="1"/>
  <c r="Y530" i="5" s="1"/>
  <c r="Y558" i="5" s="1"/>
  <c r="Y564" i="5" s="1"/>
  <c r="Y570" i="5" s="1"/>
  <c r="Y598" i="5" s="1"/>
  <c r="Y604" i="5" s="1"/>
  <c r="Y610" i="5" s="1"/>
  <c r="Y638" i="5" s="1"/>
  <c r="Y644" i="5" s="1"/>
  <c r="Y650" i="5" s="1"/>
  <c r="Y678" i="5" s="1"/>
  <c r="Y684" i="5" s="1"/>
  <c r="Y690" i="5" s="1"/>
  <c r="Y718" i="5" s="1"/>
  <c r="Y724" i="5" s="1"/>
  <c r="Y730" i="5" s="1"/>
  <c r="Y758" i="5" s="1"/>
  <c r="H78" i="5"/>
  <c r="H84" i="5" s="1"/>
  <c r="H90" i="5" s="1"/>
  <c r="H118" i="5" s="1"/>
  <c r="H124" i="5" s="1"/>
  <c r="H130" i="5" s="1"/>
  <c r="H158" i="5" s="1"/>
  <c r="H164" i="5" s="1"/>
  <c r="H170" i="5" s="1"/>
  <c r="H198" i="5" s="1"/>
  <c r="H204" i="5" s="1"/>
  <c r="H210" i="5" s="1"/>
  <c r="H238" i="5" s="1"/>
  <c r="S38" i="5"/>
  <c r="S44" i="5" s="1"/>
  <c r="S50" i="5" s="1"/>
  <c r="S78" i="5" s="1"/>
  <c r="S84" i="5" s="1"/>
  <c r="S90" i="5" s="1"/>
  <c r="S118" i="5" s="1"/>
  <c r="S124" i="5" s="1"/>
  <c r="S130" i="5" s="1"/>
  <c r="S158" i="5" s="1"/>
  <c r="S164" i="5" s="1"/>
  <c r="S170" i="5" s="1"/>
  <c r="S198" i="5" s="1"/>
  <c r="S204" i="5" s="1"/>
  <c r="S210" i="5" s="1"/>
  <c r="AA34" i="5"/>
  <c r="AA115" i="5"/>
  <c r="BC15" i="5"/>
  <c r="AA267" i="5"/>
  <c r="BC311" i="5"/>
  <c r="AA298" i="5"/>
  <c r="BC337" i="5"/>
  <c r="AF359" i="5"/>
  <c r="BC325" i="5"/>
  <c r="BC293" i="5"/>
  <c r="BC306" i="5"/>
  <c r="N158" i="5"/>
  <c r="N164" i="5" s="1"/>
  <c r="N170" i="5" s="1"/>
  <c r="N198" i="5" s="1"/>
  <c r="N204" i="5" s="1"/>
  <c r="N210" i="5" s="1"/>
  <c r="N238" i="5" s="1"/>
  <c r="N244" i="5" s="1"/>
  <c r="N250" i="5" s="1"/>
  <c r="N278" i="5" s="1"/>
  <c r="N284" i="5" s="1"/>
  <c r="N290" i="5" s="1"/>
  <c r="N318" i="5" s="1"/>
  <c r="N324" i="5" s="1"/>
  <c r="N330" i="5" s="1"/>
  <c r="N358" i="5" s="1"/>
  <c r="N364" i="5" s="1"/>
  <c r="N370" i="5" s="1"/>
  <c r="N398" i="5" s="1"/>
  <c r="N404" i="5" s="1"/>
  <c r="N410" i="5" s="1"/>
  <c r="N438" i="5" s="1"/>
  <c r="N444" i="5" s="1"/>
  <c r="N450" i="5" s="1"/>
  <c r="N478" i="5" s="1"/>
  <c r="N484" i="5" s="1"/>
  <c r="N490" i="5" s="1"/>
  <c r="N518" i="5" s="1"/>
  <c r="N524" i="5" s="1"/>
  <c r="N530" i="5" s="1"/>
  <c r="N558" i="5" s="1"/>
  <c r="N564" i="5" s="1"/>
  <c r="N570" i="5" s="1"/>
  <c r="X158" i="5"/>
  <c r="X164" i="5" s="1"/>
  <c r="X170" i="5" s="1"/>
  <c r="X198" i="5" s="1"/>
  <c r="X204" i="5" s="1"/>
  <c r="X210" i="5" s="1"/>
  <c r="AA92" i="5"/>
  <c r="Z117" i="5"/>
  <c r="BC8" i="5"/>
  <c r="BC20" i="5"/>
  <c r="BC87" i="5"/>
  <c r="AA125" i="5"/>
  <c r="AA131" i="5"/>
  <c r="AA136" i="5"/>
  <c r="AA141" i="5"/>
  <c r="AA147" i="5"/>
  <c r="AA156" i="5"/>
  <c r="BC29" i="5"/>
  <c r="AA116" i="5"/>
  <c r="BB197" i="5"/>
  <c r="AA181" i="5"/>
  <c r="AA185" i="5"/>
  <c r="AA192" i="5"/>
  <c r="BC65" i="5"/>
  <c r="BC297" i="5"/>
  <c r="BC248" i="5"/>
  <c r="BC245" i="5"/>
  <c r="BC211" i="5"/>
  <c r="BC168" i="5"/>
  <c r="BC247" i="5"/>
  <c r="BC154" i="5"/>
  <c r="BC342" i="5"/>
  <c r="AG359" i="5"/>
  <c r="BC269" i="5"/>
  <c r="AA366" i="5"/>
  <c r="AA382" i="5"/>
  <c r="AA385" i="5"/>
  <c r="AA409" i="5"/>
  <c r="AA428" i="5"/>
  <c r="P10" i="5"/>
  <c r="AA10" i="5" s="1"/>
  <c r="AA7" i="5"/>
  <c r="Q38" i="5"/>
  <c r="Q44" i="5" s="1"/>
  <c r="Q50" i="5" s="1"/>
  <c r="W38" i="5"/>
  <c r="AA89" i="5"/>
  <c r="AA109" i="5"/>
  <c r="AR117" i="5"/>
  <c r="BC48" i="5"/>
  <c r="BC17" i="5"/>
  <c r="AA144" i="5"/>
  <c r="BC165" i="5"/>
  <c r="AA174" i="5"/>
  <c r="AA230" i="5"/>
  <c r="AA234" i="5"/>
  <c r="BC127" i="5"/>
  <c r="BC86" i="5"/>
  <c r="BC252" i="5"/>
  <c r="BC222" i="5"/>
  <c r="BC215" i="5"/>
  <c r="AA292" i="5"/>
  <c r="AA316" i="5"/>
  <c r="AH197" i="5"/>
  <c r="BC26" i="5"/>
  <c r="BC111" i="5"/>
  <c r="BC192" i="5"/>
  <c r="AA212" i="5"/>
  <c r="AI359" i="5"/>
  <c r="BC292" i="5"/>
  <c r="BC303" i="5"/>
  <c r="AA407" i="5"/>
  <c r="AA417" i="5"/>
  <c r="AA425" i="5"/>
  <c r="AA433" i="5"/>
  <c r="AV38" i="5"/>
  <c r="AV44" i="5" s="1"/>
  <c r="AV50" i="5" s="1"/>
  <c r="AV78" i="5" s="1"/>
  <c r="AV84" i="5" s="1"/>
  <c r="AV90" i="5" s="1"/>
  <c r="AV118" i="5" s="1"/>
  <c r="AV124" i="5" s="1"/>
  <c r="AV130" i="5" s="1"/>
  <c r="AV158" i="5" s="1"/>
  <c r="AV164" i="5" s="1"/>
  <c r="AV170" i="5" s="1"/>
  <c r="AV198" i="5" s="1"/>
  <c r="AV204" i="5" s="1"/>
  <c r="AV210" i="5" s="1"/>
  <c r="AK38" i="5"/>
  <c r="AK44" i="5" s="1"/>
  <c r="AK50" i="5" s="1"/>
  <c r="AK78" i="5" s="1"/>
  <c r="AK84" i="5" s="1"/>
  <c r="AK90" i="5" s="1"/>
  <c r="AK118" i="5" s="1"/>
  <c r="AK124" i="5" s="1"/>
  <c r="AK130" i="5" s="1"/>
  <c r="AK158" i="5" s="1"/>
  <c r="AK164" i="5" s="1"/>
  <c r="AK170" i="5" s="1"/>
  <c r="AK198" i="5" s="1"/>
  <c r="AK204" i="5" s="1"/>
  <c r="AK210" i="5" s="1"/>
  <c r="AK238" i="5" s="1"/>
  <c r="AK244" i="5" s="1"/>
  <c r="AK250" i="5" s="1"/>
  <c r="AK278" i="5" s="1"/>
  <c r="AK284" i="5" s="1"/>
  <c r="AK290" i="5" s="1"/>
  <c r="AK318" i="5" s="1"/>
  <c r="AK324" i="5" s="1"/>
  <c r="AK330" i="5" s="1"/>
  <c r="AK358" i="5" s="1"/>
  <c r="AK364" i="5" s="1"/>
  <c r="AK370" i="5" s="1"/>
  <c r="AK398" i="5" s="1"/>
  <c r="AK404" i="5" s="1"/>
  <c r="AK410" i="5" s="1"/>
  <c r="AK438" i="5" s="1"/>
  <c r="AK444" i="5" s="1"/>
  <c r="AK450" i="5" s="1"/>
  <c r="AA114" i="5"/>
  <c r="BC94" i="5"/>
  <c r="AH117" i="5"/>
  <c r="BB9" i="5"/>
  <c r="BC13" i="5"/>
  <c r="AA129" i="5"/>
  <c r="AA135" i="5"/>
  <c r="AA150" i="5"/>
  <c r="AA152" i="5"/>
  <c r="AA155" i="5"/>
  <c r="Z157" i="5"/>
  <c r="AA179" i="5"/>
  <c r="AA184" i="5"/>
  <c r="AA191" i="5"/>
  <c r="AA196" i="5"/>
  <c r="BC312" i="5"/>
  <c r="BC263" i="5"/>
  <c r="BC255" i="5"/>
  <c r="AA297" i="5"/>
  <c r="BC336" i="5"/>
  <c r="AJ359" i="5"/>
  <c r="AA368" i="5"/>
  <c r="BC331" i="5"/>
  <c r="BC304" i="5"/>
  <c r="BC305" i="5"/>
  <c r="BC405" i="5"/>
  <c r="AA430" i="5"/>
  <c r="BC427" i="5"/>
  <c r="BC597" i="5"/>
  <c r="AA517" i="5"/>
  <c r="BC557" i="5"/>
  <c r="AA477" i="5"/>
  <c r="AA422" i="5"/>
  <c r="AA421" i="5"/>
  <c r="AA420" i="5"/>
  <c r="BC517" i="5"/>
  <c r="AA408" i="5"/>
  <c r="AA419" i="5"/>
  <c r="AA418" i="5"/>
  <c r="AA416" i="5"/>
  <c r="AA406" i="5"/>
  <c r="AA415" i="5"/>
  <c r="P437" i="5"/>
  <c r="BC426" i="5"/>
  <c r="BC425" i="5"/>
  <c r="BC424" i="5"/>
  <c r="BC423" i="5"/>
  <c r="BC422" i="5"/>
  <c r="AA405" i="5"/>
  <c r="AA413" i="5"/>
  <c r="BC417" i="5"/>
  <c r="BC416" i="5"/>
  <c r="BC415" i="5"/>
  <c r="BC414" i="5"/>
  <c r="BC413" i="5"/>
  <c r="F437" i="5"/>
  <c r="BC411" i="5"/>
  <c r="BC389" i="5"/>
  <c r="AA367" i="5"/>
  <c r="AA383" i="5"/>
  <c r="BC477" i="5"/>
  <c r="BC392" i="5"/>
  <c r="BC393" i="5"/>
  <c r="U437" i="5"/>
  <c r="AR437" i="5"/>
  <c r="BC369" i="5"/>
  <c r="BB437" i="5"/>
  <c r="BC391" i="5"/>
  <c r="AM437" i="5"/>
  <c r="AW437" i="5"/>
  <c r="AH437" i="5"/>
  <c r="K437" i="5"/>
  <c r="Z437" i="5"/>
  <c r="BC335" i="5"/>
  <c r="AA365" i="5"/>
  <c r="U397" i="5"/>
  <c r="P397" i="5"/>
  <c r="F397" i="5"/>
  <c r="Z397" i="5"/>
  <c r="AA353" i="5"/>
  <c r="AA352" i="5"/>
  <c r="W198" i="3"/>
  <c r="P198" i="3"/>
  <c r="BC396" i="5"/>
  <c r="AA347" i="5"/>
  <c r="AA346" i="5"/>
  <c r="AA328" i="5"/>
  <c r="AA344" i="5"/>
  <c r="AA327" i="5"/>
  <c r="AA341" i="5"/>
  <c r="AA340" i="5"/>
  <c r="AA335" i="5"/>
  <c r="AA334" i="5"/>
  <c r="AA315" i="5"/>
  <c r="AA314" i="5"/>
  <c r="BB397" i="5"/>
  <c r="AA313" i="5"/>
  <c r="BC301" i="5"/>
  <c r="AA311" i="5"/>
  <c r="AA310" i="5"/>
  <c r="AA309" i="5"/>
  <c r="AA308" i="5"/>
  <c r="AR397" i="5"/>
  <c r="AM397" i="5"/>
  <c r="AH397" i="5"/>
  <c r="BC356" i="5"/>
  <c r="BC299" i="5"/>
  <c r="AA307" i="5"/>
  <c r="U317" i="5"/>
  <c r="AA306" i="5"/>
  <c r="BC298" i="5"/>
  <c r="AA305" i="5"/>
  <c r="AA304" i="5"/>
  <c r="AA303" i="5"/>
  <c r="AA302" i="5"/>
  <c r="AA301" i="5"/>
  <c r="BC296" i="5"/>
  <c r="AA289" i="5"/>
  <c r="P317" i="5"/>
  <c r="AA300" i="5"/>
  <c r="F317" i="5"/>
  <c r="AA299" i="5"/>
  <c r="K317" i="5"/>
  <c r="AA288" i="5"/>
  <c r="AA295" i="5"/>
  <c r="AA294" i="5"/>
  <c r="BB317" i="5"/>
  <c r="AA287" i="5"/>
  <c r="Z317" i="5"/>
  <c r="AA293" i="5"/>
  <c r="AA371" i="5"/>
  <c r="AA372" i="5"/>
  <c r="AA373" i="5"/>
  <c r="AA374" i="5"/>
  <c r="AA375" i="5"/>
  <c r="AA376" i="5"/>
  <c r="AA377" i="5"/>
  <c r="AA378" i="5"/>
  <c r="AA379" i="5"/>
  <c r="AA387" i="5"/>
  <c r="AA388" i="5"/>
  <c r="AA389" i="5"/>
  <c r="AA390" i="5"/>
  <c r="AA391" i="5"/>
  <c r="AA392" i="5"/>
  <c r="AA393" i="5"/>
  <c r="AA394" i="5"/>
  <c r="AA395" i="5"/>
  <c r="AA396" i="5"/>
  <c r="BC371" i="5"/>
  <c r="BC372" i="5"/>
  <c r="BC373" i="5"/>
  <c r="BC374" i="5"/>
  <c r="BC375" i="5"/>
  <c r="BC376" i="5"/>
  <c r="BC377" i="5"/>
  <c r="BC378" i="5"/>
  <c r="BC379" i="5"/>
  <c r="BC380" i="5"/>
  <c r="BC381" i="5"/>
  <c r="BC382" i="5"/>
  <c r="BC387" i="5"/>
  <c r="BC388" i="5"/>
  <c r="BC394" i="5"/>
  <c r="BC395" i="5"/>
  <c r="K397" i="5"/>
  <c r="AW397" i="5"/>
  <c r="BC291" i="5"/>
  <c r="AA286" i="5"/>
  <c r="AA291" i="5"/>
  <c r="AA276" i="5"/>
  <c r="AA285" i="5"/>
  <c r="AA275" i="5"/>
  <c r="AA273" i="5"/>
  <c r="AA271" i="5"/>
  <c r="AA270" i="5"/>
  <c r="AA249" i="5"/>
  <c r="AA266" i="5"/>
  <c r="AA248" i="5"/>
  <c r="AA265" i="5"/>
  <c r="BC267" i="5"/>
  <c r="Y187" i="3"/>
  <c r="S197" i="3"/>
  <c r="AA247" i="5"/>
  <c r="AA263" i="5"/>
  <c r="AA262" i="5"/>
  <c r="AA261" i="5"/>
  <c r="BC266" i="5"/>
  <c r="Y185" i="3"/>
  <c r="AN78" i="5"/>
  <c r="BA78" i="5"/>
  <c r="L84" i="5"/>
  <c r="L90" i="5" s="1"/>
  <c r="AD44" i="5"/>
  <c r="AD50" i="5" s="1"/>
  <c r="AW50" i="5"/>
  <c r="AX118" i="5"/>
  <c r="AX124" i="5" s="1"/>
  <c r="AX130" i="5" s="1"/>
  <c r="AX158" i="5" s="1"/>
  <c r="AX164" i="5" s="1"/>
  <c r="AX170" i="5" s="1"/>
  <c r="AX198" i="5" s="1"/>
  <c r="AX204" i="5" s="1"/>
  <c r="AX210" i="5" s="1"/>
  <c r="AX238" i="5" s="1"/>
  <c r="AX244" i="5" s="1"/>
  <c r="AX250" i="5" s="1"/>
  <c r="AM38" i="5"/>
  <c r="AM44" i="5" s="1"/>
  <c r="U38" i="5"/>
  <c r="U44" i="5" s="1"/>
  <c r="V84" i="5"/>
  <c r="V90" i="5" s="1"/>
  <c r="K38" i="5"/>
  <c r="K44" i="5" s="1"/>
  <c r="B44" i="5"/>
  <c r="B50" i="5" s="1"/>
  <c r="K50" i="5"/>
  <c r="BC36" i="5"/>
  <c r="AA96" i="5"/>
  <c r="AA112" i="5"/>
  <c r="AA85" i="5"/>
  <c r="AA86" i="5"/>
  <c r="AA87" i="5"/>
  <c r="AA91" i="5"/>
  <c r="AA93" i="5"/>
  <c r="AA95" i="5"/>
  <c r="AA100" i="5"/>
  <c r="AA101" i="5"/>
  <c r="AA105" i="5"/>
  <c r="AA106" i="5"/>
  <c r="AA110" i="5"/>
  <c r="AA111" i="5"/>
  <c r="BC9" i="5"/>
  <c r="BC75" i="5"/>
  <c r="BC54" i="5"/>
  <c r="AA169" i="5"/>
  <c r="AA171" i="5"/>
  <c r="AA176" i="5"/>
  <c r="AA177" i="5"/>
  <c r="BC272" i="5"/>
  <c r="BC107" i="5"/>
  <c r="BC102" i="5"/>
  <c r="BC183" i="5"/>
  <c r="AA99" i="5"/>
  <c r="BC24" i="5"/>
  <c r="AA47" i="5"/>
  <c r="BC309" i="5"/>
  <c r="BC208" i="5"/>
  <c r="BC106" i="5"/>
  <c r="BC173" i="5"/>
  <c r="AA104" i="5"/>
  <c r="BC47" i="5"/>
  <c r="AA168" i="5"/>
  <c r="AA76" i="5"/>
  <c r="AA205" i="5"/>
  <c r="AA224" i="5"/>
  <c r="BC229" i="5"/>
  <c r="BC209" i="5"/>
  <c r="BC314" i="5"/>
  <c r="BC100" i="5"/>
  <c r="BC115" i="5"/>
  <c r="BC136" i="5"/>
  <c r="BC142" i="5"/>
  <c r="BC148" i="5"/>
  <c r="BC99" i="5"/>
  <c r="BC180" i="5"/>
  <c r="BC191" i="5"/>
  <c r="BC93" i="5"/>
  <c r="BC49" i="5"/>
  <c r="AA172" i="5"/>
  <c r="BC220" i="5"/>
  <c r="BC108" i="5"/>
  <c r="BC97" i="5"/>
  <c r="BC182" i="5"/>
  <c r="AA246" i="5"/>
  <c r="BC259" i="5"/>
  <c r="BC110" i="5"/>
  <c r="BC92" i="5"/>
  <c r="BC131" i="5"/>
  <c r="BC137" i="5"/>
  <c r="BC143" i="5"/>
  <c r="BC149" i="5"/>
  <c r="BC155" i="5"/>
  <c r="BC178" i="5"/>
  <c r="BC187" i="5"/>
  <c r="BC196" i="5"/>
  <c r="BC328" i="5"/>
  <c r="BC341" i="5"/>
  <c r="BC347" i="5"/>
  <c r="BC353" i="5"/>
  <c r="AA326" i="5"/>
  <c r="AA333" i="5"/>
  <c r="AA339" i="5"/>
  <c r="AA351" i="5"/>
  <c r="K357" i="5"/>
  <c r="Z357" i="5"/>
  <c r="AA251" i="5"/>
  <c r="BC113" i="5"/>
  <c r="BC95" i="5"/>
  <c r="BC132" i="5"/>
  <c r="BC138" i="5"/>
  <c r="BC144" i="5"/>
  <c r="BC150" i="5"/>
  <c r="BC156" i="5"/>
  <c r="BC179" i="5"/>
  <c r="BC188" i="5"/>
  <c r="BC334" i="5"/>
  <c r="BC340" i="5"/>
  <c r="BC346" i="5"/>
  <c r="BC352" i="5"/>
  <c r="AA325" i="5"/>
  <c r="AA332" i="5"/>
  <c r="AA338" i="5"/>
  <c r="AA350" i="5"/>
  <c r="AA356" i="5"/>
  <c r="Z197" i="5"/>
  <c r="BC98" i="5"/>
  <c r="BC133" i="5"/>
  <c r="BC139" i="5"/>
  <c r="BC145" i="5"/>
  <c r="BC151" i="5"/>
  <c r="BC175" i="5"/>
  <c r="BC184" i="5"/>
  <c r="BC193" i="5"/>
  <c r="BC333" i="5"/>
  <c r="BC339" i="5"/>
  <c r="BC345" i="5"/>
  <c r="BC351" i="5"/>
  <c r="BC315" i="5"/>
  <c r="AA331" i="5"/>
  <c r="AA337" i="5"/>
  <c r="AA349" i="5"/>
  <c r="AA355" i="5"/>
  <c r="F357" i="5"/>
  <c r="U357" i="5"/>
  <c r="AA214" i="5"/>
  <c r="AA215" i="5"/>
  <c r="AA219" i="5"/>
  <c r="AA222" i="5"/>
  <c r="BC264" i="5"/>
  <c r="BC257" i="5"/>
  <c r="BC101" i="5"/>
  <c r="BC116" i="5"/>
  <c r="BC134" i="5"/>
  <c r="BC140" i="5"/>
  <c r="BC146" i="5"/>
  <c r="BC152" i="5"/>
  <c r="BC176" i="5"/>
  <c r="BC185" i="5"/>
  <c r="BC194" i="5"/>
  <c r="BC230" i="5"/>
  <c r="BC338" i="5"/>
  <c r="BC344" i="5"/>
  <c r="BC350" i="5"/>
  <c r="BC287" i="5"/>
  <c r="AA329" i="5"/>
  <c r="AA336" i="5"/>
  <c r="AA342" i="5"/>
  <c r="AA348" i="5"/>
  <c r="AA354" i="5"/>
  <c r="F197" i="5"/>
  <c r="AA197" i="5" s="1"/>
  <c r="AA253" i="5"/>
  <c r="BC104" i="5"/>
  <c r="BC135" i="5"/>
  <c r="BC141" i="5"/>
  <c r="BC147" i="5"/>
  <c r="BC153" i="5"/>
  <c r="BC172" i="5"/>
  <c r="BC181" i="5"/>
  <c r="BC190" i="5"/>
  <c r="P357" i="5"/>
  <c r="AA258" i="5"/>
  <c r="U277" i="5"/>
  <c r="Z277" i="5"/>
  <c r="AA256" i="5"/>
  <c r="F277" i="5"/>
  <c r="BC265" i="5"/>
  <c r="P277" i="5"/>
  <c r="K277" i="5"/>
  <c r="I238" i="5"/>
  <c r="I244" i="5" s="1"/>
  <c r="I250" i="5" s="1"/>
  <c r="I278" i="5" s="1"/>
  <c r="I284" i="5" s="1"/>
  <c r="I290" i="5" s="1"/>
  <c r="I318" i="5" s="1"/>
  <c r="I324" i="5" s="1"/>
  <c r="I330" i="5" s="1"/>
  <c r="I358" i="5" s="1"/>
  <c r="I364" i="5" s="1"/>
  <c r="I370" i="5" s="1"/>
  <c r="I398" i="5" s="1"/>
  <c r="I404" i="5" s="1"/>
  <c r="I410" i="5" s="1"/>
  <c r="I438" i="5" s="1"/>
  <c r="I444" i="5" s="1"/>
  <c r="I450" i="5" s="1"/>
  <c r="I478" i="5" s="1"/>
  <c r="I484" i="5" s="1"/>
  <c r="I490" i="5" s="1"/>
  <c r="I518" i="5" s="1"/>
  <c r="I524" i="5" s="1"/>
  <c r="I530" i="5" s="1"/>
  <c r="I558" i="5" s="1"/>
  <c r="I564" i="5" s="1"/>
  <c r="I570" i="5" s="1"/>
  <c r="I598" i="5" s="1"/>
  <c r="I604" i="5" s="1"/>
  <c r="I610" i="5" s="1"/>
  <c r="I638" i="5" s="1"/>
  <c r="I644" i="5" s="1"/>
  <c r="I650" i="5" s="1"/>
  <c r="I678" i="5" s="1"/>
  <c r="I684" i="5" s="1"/>
  <c r="I690" i="5" s="1"/>
  <c r="I718" i="5" s="1"/>
  <c r="I724" i="5" s="1"/>
  <c r="I730" i="5" s="1"/>
  <c r="I758" i="5" s="1"/>
  <c r="BC262" i="5"/>
  <c r="Y181" i="3"/>
  <c r="AA245" i="5"/>
  <c r="AA225" i="5"/>
  <c r="BC260" i="5"/>
  <c r="AA221" i="5"/>
  <c r="BC206" i="5"/>
  <c r="AA220" i="5"/>
  <c r="AT238" i="5"/>
  <c r="AT244" i="5" s="1"/>
  <c r="AT250" i="5" s="1"/>
  <c r="AL238" i="5"/>
  <c r="AL244" i="5" s="1"/>
  <c r="AL250" i="5" s="1"/>
  <c r="AL278" i="5" s="1"/>
  <c r="AL284" i="5" s="1"/>
  <c r="AL290" i="5" s="1"/>
  <c r="AL318" i="5" s="1"/>
  <c r="AL324" i="5" s="1"/>
  <c r="AL330" i="5" s="1"/>
  <c r="AL358" i="5" s="1"/>
  <c r="AL364" i="5" s="1"/>
  <c r="AL370" i="5" s="1"/>
  <c r="AL398" i="5" s="1"/>
  <c r="AL404" i="5" s="1"/>
  <c r="AL410" i="5" s="1"/>
  <c r="AL438" i="5" s="1"/>
  <c r="AL444" i="5" s="1"/>
  <c r="AL450" i="5" s="1"/>
  <c r="AL478" i="5" s="1"/>
  <c r="AL484" i="5" s="1"/>
  <c r="AL490" i="5" s="1"/>
  <c r="AL518" i="5" s="1"/>
  <c r="AL524" i="5" s="1"/>
  <c r="AL530" i="5" s="1"/>
  <c r="AL558" i="5" s="1"/>
  <c r="AL564" i="5" s="1"/>
  <c r="AL570" i="5" s="1"/>
  <c r="AL598" i="5" s="1"/>
  <c r="AL604" i="5" s="1"/>
  <c r="AL610" i="5" s="1"/>
  <c r="AL638" i="5" s="1"/>
  <c r="AL644" i="5" s="1"/>
  <c r="AL650" i="5" s="1"/>
  <c r="AL678" i="5" s="1"/>
  <c r="AL684" i="5" s="1"/>
  <c r="AL690" i="5" s="1"/>
  <c r="AL718" i="5" s="1"/>
  <c r="AL724" i="5" s="1"/>
  <c r="AL730" i="5" s="1"/>
  <c r="AL758" i="5" s="1"/>
  <c r="AL764" i="5" s="1"/>
  <c r="AL770" i="5" s="1"/>
  <c r="X238" i="5"/>
  <c r="X244" i="5" s="1"/>
  <c r="X250" i="5" s="1"/>
  <c r="X278" i="5" s="1"/>
  <c r="X284" i="5" s="1"/>
  <c r="X290" i="5" s="1"/>
  <c r="X318" i="5" s="1"/>
  <c r="X324" i="5" s="1"/>
  <c r="X330" i="5" s="1"/>
  <c r="X358" i="5" s="1"/>
  <c r="X364" i="5" s="1"/>
  <c r="X370" i="5" s="1"/>
  <c r="X398" i="5" s="1"/>
  <c r="X404" i="5" s="1"/>
  <c r="X410" i="5" s="1"/>
  <c r="X438" i="5" s="1"/>
  <c r="X444" i="5" s="1"/>
  <c r="X450" i="5" s="1"/>
  <c r="X478" i="5" s="1"/>
  <c r="X484" i="5" s="1"/>
  <c r="X490" i="5" s="1"/>
  <c r="X518" i="5" s="1"/>
  <c r="X524" i="5" s="1"/>
  <c r="X530" i="5" s="1"/>
  <c r="X558" i="5" s="1"/>
  <c r="X564" i="5" s="1"/>
  <c r="X570" i="5" s="1"/>
  <c r="X598" i="5" s="1"/>
  <c r="X604" i="5" s="1"/>
  <c r="X610" i="5" s="1"/>
  <c r="X638" i="5" s="1"/>
  <c r="X644" i="5" s="1"/>
  <c r="X650" i="5" s="1"/>
  <c r="AA209" i="5"/>
  <c r="BC258" i="5"/>
  <c r="U198" i="3"/>
  <c r="X197" i="3"/>
  <c r="BC246" i="5"/>
  <c r="J238" i="5"/>
  <c r="J244" i="5" s="1"/>
  <c r="J250" i="5" s="1"/>
  <c r="J278" i="5" s="1"/>
  <c r="J284" i="5" s="1"/>
  <c r="J290" i="5" s="1"/>
  <c r="J318" i="5" s="1"/>
  <c r="J324" i="5" s="1"/>
  <c r="J330" i="5" s="1"/>
  <c r="J358" i="5" s="1"/>
  <c r="J364" i="5" s="1"/>
  <c r="J370" i="5" s="1"/>
  <c r="J398" i="5" s="1"/>
  <c r="J404" i="5" s="1"/>
  <c r="J410" i="5" s="1"/>
  <c r="J438" i="5" s="1"/>
  <c r="J444" i="5" s="1"/>
  <c r="J450" i="5" s="1"/>
  <c r="J478" i="5" s="1"/>
  <c r="J484" i="5" s="1"/>
  <c r="J490" i="5" s="1"/>
  <c r="J518" i="5" s="1"/>
  <c r="J524" i="5" s="1"/>
  <c r="J530" i="5" s="1"/>
  <c r="J558" i="5" s="1"/>
  <c r="J564" i="5" s="1"/>
  <c r="J570" i="5" s="1"/>
  <c r="J598" i="5" s="1"/>
  <c r="J604" i="5" s="1"/>
  <c r="J610" i="5" s="1"/>
  <c r="J638" i="5" s="1"/>
  <c r="J644" i="5" s="1"/>
  <c r="J650" i="5" s="1"/>
  <c r="J678" i="5" s="1"/>
  <c r="J684" i="5" s="1"/>
  <c r="J690" i="5" s="1"/>
  <c r="J718" i="5" s="1"/>
  <c r="J724" i="5" s="1"/>
  <c r="J730" i="5" s="1"/>
  <c r="J758" i="5" s="1"/>
  <c r="J764" i="5" s="1"/>
  <c r="J770" i="5" s="1"/>
  <c r="AA208" i="5"/>
  <c r="AV238" i="5"/>
  <c r="AV244" i="5" s="1"/>
  <c r="AV250" i="5" s="1"/>
  <c r="AV278" i="5" s="1"/>
  <c r="AV284" i="5" s="1"/>
  <c r="AV290" i="5" s="1"/>
  <c r="AV318" i="5" s="1"/>
  <c r="AV324" i="5" s="1"/>
  <c r="AV330" i="5" s="1"/>
  <c r="AV358" i="5" s="1"/>
  <c r="AV364" i="5" s="1"/>
  <c r="AV370" i="5" s="1"/>
  <c r="AV398" i="5" s="1"/>
  <c r="AV404" i="5" s="1"/>
  <c r="AV410" i="5" s="1"/>
  <c r="AV438" i="5" s="1"/>
  <c r="AV444" i="5" s="1"/>
  <c r="AV450" i="5" s="1"/>
  <c r="AV478" i="5" s="1"/>
  <c r="AV484" i="5" s="1"/>
  <c r="AV490" i="5" s="1"/>
  <c r="AV518" i="5" s="1"/>
  <c r="AV524" i="5" s="1"/>
  <c r="AV530" i="5" s="1"/>
  <c r="AV558" i="5" s="1"/>
  <c r="AV564" i="5" s="1"/>
  <c r="AV570" i="5" s="1"/>
  <c r="AV598" i="5" s="1"/>
  <c r="AV604" i="5" s="1"/>
  <c r="AV610" i="5" s="1"/>
  <c r="AV638" i="5" s="1"/>
  <c r="AV644" i="5" s="1"/>
  <c r="AV650" i="5" s="1"/>
  <c r="AV678" i="5" s="1"/>
  <c r="AV684" i="5" s="1"/>
  <c r="AV690" i="5" s="1"/>
  <c r="AV718" i="5" s="1"/>
  <c r="AV724" i="5" s="1"/>
  <c r="AV730" i="5" s="1"/>
  <c r="AV758" i="5" s="1"/>
  <c r="AV764" i="5" s="1"/>
  <c r="AV770" i="5" s="1"/>
  <c r="AV798" i="5" s="1"/>
  <c r="AQ238" i="5"/>
  <c r="AQ244" i="5" s="1"/>
  <c r="AQ250" i="5" s="1"/>
  <c r="AQ278" i="5" s="1"/>
  <c r="AQ284" i="5" s="1"/>
  <c r="AQ290" i="5" s="1"/>
  <c r="AQ318" i="5" s="1"/>
  <c r="AQ324" i="5" s="1"/>
  <c r="AQ330" i="5" s="1"/>
  <c r="AQ358" i="5" s="1"/>
  <c r="AQ364" i="5" s="1"/>
  <c r="AQ370" i="5" s="1"/>
  <c r="AQ398" i="5" s="1"/>
  <c r="AQ404" i="5" s="1"/>
  <c r="AQ410" i="5" s="1"/>
  <c r="AQ438" i="5" s="1"/>
  <c r="AQ444" i="5" s="1"/>
  <c r="AQ450" i="5" s="1"/>
  <c r="AQ478" i="5" s="1"/>
  <c r="AQ484" i="5" s="1"/>
  <c r="AQ490" i="5" s="1"/>
  <c r="AQ518" i="5" s="1"/>
  <c r="AQ524" i="5" s="1"/>
  <c r="AQ530" i="5" s="1"/>
  <c r="AQ558" i="5" s="1"/>
  <c r="AQ564" i="5" s="1"/>
  <c r="AQ570" i="5" s="1"/>
  <c r="AQ598" i="5" s="1"/>
  <c r="AQ604" i="5" s="1"/>
  <c r="AQ610" i="5" s="1"/>
  <c r="AQ638" i="5" s="1"/>
  <c r="AQ644" i="5" s="1"/>
  <c r="AQ650" i="5" s="1"/>
  <c r="AQ678" i="5" s="1"/>
  <c r="AQ684" i="5" s="1"/>
  <c r="AQ690" i="5" s="1"/>
  <c r="AQ718" i="5" s="1"/>
  <c r="AQ724" i="5" s="1"/>
  <c r="AQ730" i="5" s="1"/>
  <c r="AQ758" i="5" s="1"/>
  <c r="AQ764" i="5" s="1"/>
  <c r="AQ770" i="5" s="1"/>
  <c r="AQ798" i="5" s="1"/>
  <c r="BC205" i="5"/>
  <c r="AG238" i="5"/>
  <c r="AG244" i="5" s="1"/>
  <c r="AG250" i="5" s="1"/>
  <c r="AG278" i="5" s="1"/>
  <c r="AG284" i="5" s="1"/>
  <c r="AG290" i="5" s="1"/>
  <c r="AG318" i="5" s="1"/>
  <c r="AG324" i="5" s="1"/>
  <c r="AG330" i="5" s="1"/>
  <c r="AG358" i="5" s="1"/>
  <c r="AG364" i="5" s="1"/>
  <c r="AG370" i="5" s="1"/>
  <c r="AG398" i="5" s="1"/>
  <c r="AG404" i="5" s="1"/>
  <c r="AG410" i="5" s="1"/>
  <c r="AG438" i="5" s="1"/>
  <c r="AG444" i="5" s="1"/>
  <c r="AG450" i="5" s="1"/>
  <c r="AG478" i="5" s="1"/>
  <c r="AG484" i="5" s="1"/>
  <c r="AG490" i="5" s="1"/>
  <c r="AG518" i="5" s="1"/>
  <c r="AG524" i="5" s="1"/>
  <c r="AG530" i="5" s="1"/>
  <c r="AG558" i="5" s="1"/>
  <c r="AG564" i="5" s="1"/>
  <c r="AG570" i="5" s="1"/>
  <c r="AG598" i="5" s="1"/>
  <c r="AG604" i="5" s="1"/>
  <c r="AG610" i="5" s="1"/>
  <c r="AG638" i="5" s="1"/>
  <c r="AG644" i="5" s="1"/>
  <c r="AG650" i="5" s="1"/>
  <c r="AG678" i="5" s="1"/>
  <c r="U237" i="5"/>
  <c r="BC256" i="5"/>
  <c r="AH357" i="5"/>
  <c r="AM357" i="5"/>
  <c r="AR357" i="5"/>
  <c r="AW357" i="5"/>
  <c r="BB357" i="5"/>
  <c r="V198" i="3"/>
  <c r="AA218" i="5"/>
  <c r="BC232" i="5"/>
  <c r="BC231" i="5"/>
  <c r="Y167" i="3"/>
  <c r="AA217" i="5"/>
  <c r="AA206" i="5"/>
  <c r="BC274" i="5"/>
  <c r="AN277" i="5"/>
  <c r="AR277" i="5" s="1"/>
  <c r="AH273" i="5"/>
  <c r="BC273" i="5" s="1"/>
  <c r="AX277" i="5"/>
  <c r="AZ277" i="5"/>
  <c r="AA216" i="5"/>
  <c r="BC276" i="5"/>
  <c r="BC275" i="5"/>
  <c r="BC251" i="5"/>
  <c r="BC228" i="5"/>
  <c r="BC288" i="5"/>
  <c r="AW277" i="5"/>
  <c r="AM277" i="5"/>
  <c r="AH277" i="5"/>
  <c r="BC234" i="5"/>
  <c r="BB236" i="5"/>
  <c r="BC236" i="5" s="1"/>
  <c r="AM235" i="5"/>
  <c r="BC227" i="5"/>
  <c r="BC226" i="5"/>
  <c r="BC225" i="5"/>
  <c r="BC235" i="5"/>
  <c r="BC223" i="5"/>
  <c r="BC221" i="5"/>
  <c r="K237" i="5"/>
  <c r="BB237" i="5"/>
  <c r="AR237" i="5"/>
  <c r="Y165" i="3"/>
  <c r="AW237" i="5"/>
  <c r="AP238" i="5"/>
  <c r="BC219" i="5"/>
  <c r="AZ238" i="5"/>
  <c r="AZ244" i="5" s="1"/>
  <c r="AZ250" i="5" s="1"/>
  <c r="AM317" i="5"/>
  <c r="AH317" i="5"/>
  <c r="AR317" i="5"/>
  <c r="P237" i="5"/>
  <c r="Z237" i="5"/>
  <c r="F237" i="5"/>
  <c r="R238" i="5"/>
  <c r="R244" i="5" s="1"/>
  <c r="R250" i="5" s="1"/>
  <c r="R278" i="5" s="1"/>
  <c r="R284" i="5" s="1"/>
  <c r="R290" i="5" s="1"/>
  <c r="R318" i="5" s="1"/>
  <c r="R324" i="5" s="1"/>
  <c r="R330" i="5" s="1"/>
  <c r="R358" i="5" s="1"/>
  <c r="R364" i="5" s="1"/>
  <c r="R370" i="5" s="1"/>
  <c r="R398" i="5" s="1"/>
  <c r="R404" i="5" s="1"/>
  <c r="R410" i="5" s="1"/>
  <c r="R438" i="5" s="1"/>
  <c r="R444" i="5" s="1"/>
  <c r="R450" i="5" s="1"/>
  <c r="R478" i="5" s="1"/>
  <c r="R484" i="5" s="1"/>
  <c r="R490" i="5" s="1"/>
  <c r="R518" i="5" s="1"/>
  <c r="R524" i="5" s="1"/>
  <c r="R530" i="5" s="1"/>
  <c r="R558" i="5" s="1"/>
  <c r="R564" i="5" s="1"/>
  <c r="R570" i="5" s="1"/>
  <c r="R598" i="5" s="1"/>
  <c r="R604" i="5" s="1"/>
  <c r="R610" i="5" s="1"/>
  <c r="R638" i="5" s="1"/>
  <c r="R644" i="5" s="1"/>
  <c r="R650" i="5" s="1"/>
  <c r="R678" i="5" s="1"/>
  <c r="R684" i="5" s="1"/>
  <c r="R690" i="5" s="1"/>
  <c r="R718" i="5" s="1"/>
  <c r="R724" i="5" s="1"/>
  <c r="R730" i="5" s="1"/>
  <c r="R758" i="5" s="1"/>
  <c r="R764" i="5" s="1"/>
  <c r="R770" i="5" s="1"/>
  <c r="AW317" i="5"/>
  <c r="M238" i="5"/>
  <c r="AA211" i="5"/>
  <c r="BC218" i="5"/>
  <c r="AM237" i="5"/>
  <c r="AH237" i="5"/>
  <c r="S158" i="3"/>
  <c r="R164" i="3"/>
  <c r="R170" i="3" s="1"/>
  <c r="R198" i="3" s="1"/>
  <c r="Q198" i="3"/>
  <c r="T198" i="3"/>
  <c r="G198" i="3"/>
  <c r="K198" i="3" s="1"/>
  <c r="K170" i="3"/>
  <c r="O198" i="3"/>
  <c r="S170" i="3"/>
  <c r="F198" i="3"/>
  <c r="F170" i="3"/>
  <c r="X170" i="3"/>
  <c r="Y166" i="3"/>
  <c r="Y168" i="3"/>
  <c r="BC217" i="5"/>
  <c r="S238" i="5"/>
  <c r="AA194" i="5"/>
  <c r="BC757" i="5" l="1"/>
  <c r="AL798" i="5"/>
  <c r="R798" i="5"/>
  <c r="U798" i="5" s="1"/>
  <c r="U770" i="5"/>
  <c r="J798" i="5"/>
  <c r="K798" i="5" s="1"/>
  <c r="K770" i="5"/>
  <c r="AM50" i="5"/>
  <c r="AI118" i="5"/>
  <c r="BC197" i="5"/>
  <c r="AW38" i="5"/>
  <c r="BC157" i="5"/>
  <c r="BC117" i="5"/>
  <c r="AG684" i="5"/>
  <c r="AG690" i="5" s="1"/>
  <c r="E718" i="5"/>
  <c r="E724" i="5" s="1"/>
  <c r="E730" i="5" s="1"/>
  <c r="E758" i="5" s="1"/>
  <c r="X678" i="5"/>
  <c r="X684" i="5" s="1"/>
  <c r="X690" i="5" s="1"/>
  <c r="X718" i="5" s="1"/>
  <c r="X724" i="5" s="1"/>
  <c r="X730" i="5" s="1"/>
  <c r="X758" i="5" s="1"/>
  <c r="F38" i="5"/>
  <c r="F44" i="5" s="1"/>
  <c r="BB50" i="5"/>
  <c r="BB38" i="5"/>
  <c r="BB44" i="5" s="1"/>
  <c r="AA157" i="5"/>
  <c r="AH10" i="5"/>
  <c r="AE38" i="5"/>
  <c r="K78" i="5"/>
  <c r="K84" i="5" s="1"/>
  <c r="K90" i="5"/>
  <c r="O44" i="5"/>
  <c r="O50" i="5" s="1"/>
  <c r="P38" i="5"/>
  <c r="P44" i="5" s="1"/>
  <c r="AM359" i="5"/>
  <c r="AM78" i="5"/>
  <c r="AM84" i="5" s="1"/>
  <c r="AH359" i="5"/>
  <c r="AH360" i="5" s="1"/>
  <c r="W44" i="5"/>
  <c r="W50" i="5" s="1"/>
  <c r="Z38" i="5"/>
  <c r="Z44" i="5" s="1"/>
  <c r="AO38" i="5"/>
  <c r="AR10" i="5"/>
  <c r="N598" i="5"/>
  <c r="N604" i="5" s="1"/>
  <c r="N610" i="5" s="1"/>
  <c r="N638" i="5" s="1"/>
  <c r="N644" i="5" s="1"/>
  <c r="N650" i="5" s="1"/>
  <c r="N678" i="5" s="1"/>
  <c r="N684" i="5" s="1"/>
  <c r="N690" i="5" s="1"/>
  <c r="N718" i="5" s="1"/>
  <c r="N724" i="5" s="1"/>
  <c r="N730" i="5" s="1"/>
  <c r="N758" i="5" s="1"/>
  <c r="AA437" i="5"/>
  <c r="T518" i="5"/>
  <c r="T524" i="5" s="1"/>
  <c r="T530" i="5" s="1"/>
  <c r="T558" i="5" s="1"/>
  <c r="T564" i="5" s="1"/>
  <c r="T570" i="5" s="1"/>
  <c r="T598" i="5" s="1"/>
  <c r="T604" i="5" s="1"/>
  <c r="T610" i="5" s="1"/>
  <c r="T638" i="5" s="1"/>
  <c r="T644" i="5" s="1"/>
  <c r="T650" i="5" s="1"/>
  <c r="T678" i="5" s="1"/>
  <c r="T684" i="5" s="1"/>
  <c r="T690" i="5" s="1"/>
  <c r="T718" i="5" s="1"/>
  <c r="T724" i="5" s="1"/>
  <c r="T730" i="5" s="1"/>
  <c r="D478" i="5"/>
  <c r="D484" i="5" s="1"/>
  <c r="D490" i="5" s="1"/>
  <c r="D518" i="5" s="1"/>
  <c r="D524" i="5" s="1"/>
  <c r="D530" i="5" s="1"/>
  <c r="D558" i="5" s="1"/>
  <c r="D564" i="5" s="1"/>
  <c r="D570" i="5" s="1"/>
  <c r="D598" i="5" s="1"/>
  <c r="D604" i="5" s="1"/>
  <c r="D610" i="5" s="1"/>
  <c r="D638" i="5" s="1"/>
  <c r="D644" i="5" s="1"/>
  <c r="D650" i="5" s="1"/>
  <c r="D678" i="5" s="1"/>
  <c r="D684" i="5" s="1"/>
  <c r="D690" i="5" s="1"/>
  <c r="D718" i="5" s="1"/>
  <c r="D724" i="5" s="1"/>
  <c r="D730" i="5" s="1"/>
  <c r="D758" i="5" s="1"/>
  <c r="D764" i="5" s="1"/>
  <c r="D770" i="5" s="1"/>
  <c r="D798" i="5" s="1"/>
  <c r="AK478" i="5"/>
  <c r="AK484" i="5" s="1"/>
  <c r="AK490" i="5" s="1"/>
  <c r="AK518" i="5" s="1"/>
  <c r="AK524" i="5" s="1"/>
  <c r="AK530" i="5" s="1"/>
  <c r="AK558" i="5" s="1"/>
  <c r="AK564" i="5" s="1"/>
  <c r="AK570" i="5" s="1"/>
  <c r="AK598" i="5" s="1"/>
  <c r="AK604" i="5" s="1"/>
  <c r="AK610" i="5" s="1"/>
  <c r="AK638" i="5" s="1"/>
  <c r="AK644" i="5" s="1"/>
  <c r="AK650" i="5" s="1"/>
  <c r="AK678" i="5" s="1"/>
  <c r="AK684" i="5" s="1"/>
  <c r="AK690" i="5" s="1"/>
  <c r="AK718" i="5" s="1"/>
  <c r="AK724" i="5" s="1"/>
  <c r="AK730" i="5" s="1"/>
  <c r="AK758" i="5" s="1"/>
  <c r="AK764" i="5" s="1"/>
  <c r="AK770" i="5" s="1"/>
  <c r="AK798" i="5" s="1"/>
  <c r="AF478" i="5"/>
  <c r="AF484" i="5" s="1"/>
  <c r="AF490" i="5" s="1"/>
  <c r="AF518" i="5" s="1"/>
  <c r="AF524" i="5" s="1"/>
  <c r="AF530" i="5" s="1"/>
  <c r="AF558" i="5" s="1"/>
  <c r="AF564" i="5" s="1"/>
  <c r="AF570" i="5" s="1"/>
  <c r="AF598" i="5" s="1"/>
  <c r="AF604" i="5" s="1"/>
  <c r="AF610" i="5" s="1"/>
  <c r="AF638" i="5" s="1"/>
  <c r="AF644" i="5" s="1"/>
  <c r="AF650" i="5" s="1"/>
  <c r="AF678" i="5" s="1"/>
  <c r="AF684" i="5" s="1"/>
  <c r="AF690" i="5" s="1"/>
  <c r="AF718" i="5" s="1"/>
  <c r="AF724" i="5" s="1"/>
  <c r="AF730" i="5" s="1"/>
  <c r="AF758" i="5" s="1"/>
  <c r="AF764" i="5" s="1"/>
  <c r="AF770" i="5" s="1"/>
  <c r="BC437" i="5"/>
  <c r="AA397" i="5"/>
  <c r="Y197" i="3"/>
  <c r="AA357" i="5"/>
  <c r="BC397" i="5"/>
  <c r="AA317" i="5"/>
  <c r="AN84" i="5"/>
  <c r="AN90" i="5" s="1"/>
  <c r="AW44" i="5"/>
  <c r="AM118" i="5"/>
  <c r="AM124" i="5" s="1"/>
  <c r="AI124" i="5"/>
  <c r="AI130" i="5" s="1"/>
  <c r="F50" i="5"/>
  <c r="B78" i="5"/>
  <c r="U50" i="5"/>
  <c r="Q78" i="5"/>
  <c r="BA84" i="5"/>
  <c r="BA90" i="5" s="1"/>
  <c r="BB78" i="5"/>
  <c r="AD78" i="5"/>
  <c r="G124" i="5"/>
  <c r="G130" i="5" s="1"/>
  <c r="K118" i="5"/>
  <c r="K124" i="5" s="1"/>
  <c r="V118" i="5"/>
  <c r="AW78" i="5"/>
  <c r="AW84" i="5" s="1"/>
  <c r="AS84" i="5"/>
  <c r="AS90" i="5" s="1"/>
  <c r="L118" i="5"/>
  <c r="AA277" i="5"/>
  <c r="BC357" i="5"/>
  <c r="S198" i="3"/>
  <c r="X198" i="3"/>
  <c r="BB277" i="5"/>
  <c r="BC277" i="5" s="1"/>
  <c r="AX278" i="5"/>
  <c r="AX284" i="5" s="1"/>
  <c r="AX290" i="5" s="1"/>
  <c r="AX318" i="5" s="1"/>
  <c r="AX324" i="5" s="1"/>
  <c r="AX330" i="5" s="1"/>
  <c r="AZ278" i="5"/>
  <c r="AZ284" i="5" s="1"/>
  <c r="AZ290" i="5" s="1"/>
  <c r="AZ318" i="5" s="1"/>
  <c r="AZ324" i="5" s="1"/>
  <c r="AZ330" i="5" s="1"/>
  <c r="AZ358" i="5" s="1"/>
  <c r="AZ364" i="5" s="1"/>
  <c r="AZ370" i="5" s="1"/>
  <c r="AZ398" i="5" s="1"/>
  <c r="AZ404" i="5" s="1"/>
  <c r="AZ410" i="5" s="1"/>
  <c r="AZ438" i="5" s="1"/>
  <c r="AZ444" i="5" s="1"/>
  <c r="AZ450" i="5" s="1"/>
  <c r="BC237" i="5"/>
  <c r="AA237" i="5"/>
  <c r="AP244" i="5"/>
  <c r="AP250" i="5" s="1"/>
  <c r="BC317" i="5"/>
  <c r="M244" i="5"/>
  <c r="M250" i="5" s="1"/>
  <c r="S164" i="3"/>
  <c r="Y158" i="3"/>
  <c r="Y164" i="3" s="1"/>
  <c r="Y170" i="3"/>
  <c r="AT278" i="5"/>
  <c r="AJ284" i="5"/>
  <c r="AJ290" i="5" s="1"/>
  <c r="AY164" i="5"/>
  <c r="AY170" i="5" s="1"/>
  <c r="S244" i="5"/>
  <c r="S250" i="5" s="1"/>
  <c r="H244" i="5"/>
  <c r="H250" i="5" s="1"/>
  <c r="C204" i="5"/>
  <c r="C210" i="5" s="1"/>
  <c r="AF798" i="5" l="1"/>
  <c r="T758" i="5"/>
  <c r="BC10" i="5"/>
  <c r="AG718" i="5"/>
  <c r="AG724" i="5" s="1"/>
  <c r="AG730" i="5" s="1"/>
  <c r="AG758" i="5" s="1"/>
  <c r="AG764" i="5" s="1"/>
  <c r="AG770" i="5" s="1"/>
  <c r="AG798" i="5" s="1"/>
  <c r="AE360" i="5"/>
  <c r="AO44" i="5"/>
  <c r="AO50" i="5" s="1"/>
  <c r="AR38" i="5"/>
  <c r="W78" i="5"/>
  <c r="Z50" i="5"/>
  <c r="O78" i="5"/>
  <c r="P50" i="5"/>
  <c r="AE44" i="5"/>
  <c r="AE50" i="5" s="1"/>
  <c r="AH38" i="5"/>
  <c r="AH44" i="5" s="1"/>
  <c r="AD360" i="5"/>
  <c r="AA38" i="5"/>
  <c r="AA44" i="5" s="1"/>
  <c r="AF360" i="5"/>
  <c r="AG360" i="5"/>
  <c r="AZ478" i="5"/>
  <c r="AZ484" i="5" s="1"/>
  <c r="AZ490" i="5" s="1"/>
  <c r="AZ518" i="5" s="1"/>
  <c r="AZ524" i="5" s="1"/>
  <c r="AZ530" i="5" s="1"/>
  <c r="AZ558" i="5" s="1"/>
  <c r="AZ564" i="5" s="1"/>
  <c r="AZ570" i="5" s="1"/>
  <c r="AZ598" i="5" s="1"/>
  <c r="AZ604" i="5" s="1"/>
  <c r="AZ610" i="5" s="1"/>
  <c r="AZ638" i="5" s="1"/>
  <c r="AZ644" i="5" s="1"/>
  <c r="AZ650" i="5" s="1"/>
  <c r="AZ678" i="5" s="1"/>
  <c r="AZ684" i="5" s="1"/>
  <c r="AZ690" i="5" s="1"/>
  <c r="AZ718" i="5" s="1"/>
  <c r="AZ724" i="5" s="1"/>
  <c r="AZ730" i="5" s="1"/>
  <c r="AZ758" i="5" s="1"/>
  <c r="AZ764" i="5" s="1"/>
  <c r="AZ770" i="5" s="1"/>
  <c r="AZ798" i="5" s="1"/>
  <c r="Y198" i="3"/>
  <c r="L124" i="5"/>
  <c r="L130" i="5" s="1"/>
  <c r="AD84" i="5"/>
  <c r="AD90" i="5" s="1"/>
  <c r="F78" i="5"/>
  <c r="F84" i="5" s="1"/>
  <c r="B84" i="5"/>
  <c r="B90" i="5" s="1"/>
  <c r="AW90" i="5"/>
  <c r="AS118" i="5"/>
  <c r="BB84" i="5"/>
  <c r="BA118" i="5"/>
  <c r="BB90" i="5"/>
  <c r="AI158" i="5"/>
  <c r="AM130" i="5"/>
  <c r="AN118" i="5"/>
  <c r="V124" i="5"/>
  <c r="V130" i="5" s="1"/>
  <c r="G158" i="5"/>
  <c r="K130" i="5"/>
  <c r="Q84" i="5"/>
  <c r="Q90" i="5" s="1"/>
  <c r="U78" i="5"/>
  <c r="AX358" i="5"/>
  <c r="AX364" i="5" s="1"/>
  <c r="AX370" i="5" s="1"/>
  <c r="AP278" i="5"/>
  <c r="M278" i="5"/>
  <c r="AT284" i="5"/>
  <c r="AT290" i="5" s="1"/>
  <c r="AJ318" i="5"/>
  <c r="AY198" i="5"/>
  <c r="S278" i="5"/>
  <c r="H278" i="5"/>
  <c r="C238" i="5"/>
  <c r="AE78" i="5" l="1"/>
  <c r="AH50" i="5"/>
  <c r="O84" i="5"/>
  <c r="O90" i="5" s="1"/>
  <c r="P78" i="5"/>
  <c r="P84" i="5" s="1"/>
  <c r="AA50" i="5"/>
  <c r="W84" i="5"/>
  <c r="W90" i="5" s="1"/>
  <c r="Z78" i="5"/>
  <c r="Z84" i="5" s="1"/>
  <c r="AR44" i="5"/>
  <c r="BC38" i="5"/>
  <c r="BC44" i="5" s="1"/>
  <c r="AO78" i="5"/>
  <c r="AR50" i="5"/>
  <c r="AX398" i="5"/>
  <c r="AX404" i="5" s="1"/>
  <c r="AX410" i="5" s="1"/>
  <c r="U84" i="5"/>
  <c r="AN124" i="5"/>
  <c r="AN130" i="5" s="1"/>
  <c r="AD118" i="5"/>
  <c r="Q118" i="5"/>
  <c r="U90" i="5"/>
  <c r="AS124" i="5"/>
  <c r="AS130" i="5" s="1"/>
  <c r="AW118" i="5"/>
  <c r="AW124" i="5" s="1"/>
  <c r="K158" i="5"/>
  <c r="K164" i="5" s="1"/>
  <c r="G164" i="5"/>
  <c r="G170" i="5" s="1"/>
  <c r="AM158" i="5"/>
  <c r="AM164" i="5" s="1"/>
  <c r="AI164" i="5"/>
  <c r="AI170" i="5" s="1"/>
  <c r="L158" i="5"/>
  <c r="B118" i="5"/>
  <c r="F90" i="5"/>
  <c r="V158" i="5"/>
  <c r="BA124" i="5"/>
  <c r="BA130" i="5" s="1"/>
  <c r="BB118" i="5"/>
  <c r="AJ324" i="5"/>
  <c r="AJ330" i="5" s="1"/>
  <c r="AP284" i="5"/>
  <c r="AP290" i="5" s="1"/>
  <c r="M284" i="5"/>
  <c r="M290" i="5" s="1"/>
  <c r="AT318" i="5"/>
  <c r="AY204" i="5"/>
  <c r="AY210" i="5" s="1"/>
  <c r="S284" i="5"/>
  <c r="S290" i="5" s="1"/>
  <c r="H284" i="5"/>
  <c r="H290" i="5" s="1"/>
  <c r="C244" i="5"/>
  <c r="C250" i="5" s="1"/>
  <c r="AA78" i="5" l="1"/>
  <c r="AA84" i="5" s="1"/>
  <c r="BC50" i="5"/>
  <c r="W118" i="5"/>
  <c r="Z90" i="5"/>
  <c r="O118" i="5"/>
  <c r="P90" i="5"/>
  <c r="AO84" i="5"/>
  <c r="AO90" i="5" s="1"/>
  <c r="AR78" i="5"/>
  <c r="AE84" i="5"/>
  <c r="AE90" i="5" s="1"/>
  <c r="AH78" i="5"/>
  <c r="AH84" i="5" s="1"/>
  <c r="AX438" i="5"/>
  <c r="AX444" i="5" s="1"/>
  <c r="AX450" i="5" s="1"/>
  <c r="AX478" i="5" s="1"/>
  <c r="AX484" i="5" s="1"/>
  <c r="AX490" i="5" s="1"/>
  <c r="AI198" i="5"/>
  <c r="AM170" i="5"/>
  <c r="BB124" i="5"/>
  <c r="BA158" i="5"/>
  <c r="BB130" i="5"/>
  <c r="G198" i="5"/>
  <c r="K170" i="5"/>
  <c r="AD124" i="5"/>
  <c r="AD130" i="5" s="1"/>
  <c r="B124" i="5"/>
  <c r="B130" i="5" s="1"/>
  <c r="F118" i="5"/>
  <c r="F124" i="5" s="1"/>
  <c r="Q124" i="5"/>
  <c r="Q130" i="5" s="1"/>
  <c r="U118" i="5"/>
  <c r="V164" i="5"/>
  <c r="V170" i="5" s="1"/>
  <c r="L164" i="5"/>
  <c r="L170" i="5" s="1"/>
  <c r="AN158" i="5"/>
  <c r="AS158" i="5"/>
  <c r="AW130" i="5"/>
  <c r="AT324" i="5"/>
  <c r="AT330" i="5" s="1"/>
  <c r="AJ358" i="5"/>
  <c r="AJ364" i="5" s="1"/>
  <c r="AJ370" i="5" s="1"/>
  <c r="AJ398" i="5" s="1"/>
  <c r="AJ404" i="5" s="1"/>
  <c r="AJ410" i="5" s="1"/>
  <c r="AJ438" i="5" s="1"/>
  <c r="AJ444" i="5" s="1"/>
  <c r="AJ450" i="5" s="1"/>
  <c r="AP318" i="5"/>
  <c r="M318" i="5"/>
  <c r="AY238" i="5"/>
  <c r="S318" i="5"/>
  <c r="H318" i="5"/>
  <c r="C278" i="5"/>
  <c r="AA90" i="5" l="1"/>
  <c r="AR84" i="5"/>
  <c r="BC78" i="5"/>
  <c r="BC84" i="5" s="1"/>
  <c r="AO118" i="5"/>
  <c r="AR90" i="5"/>
  <c r="O124" i="5"/>
  <c r="O130" i="5" s="1"/>
  <c r="P118" i="5"/>
  <c r="P124" i="5" s="1"/>
  <c r="AE118" i="5"/>
  <c r="AH90" i="5"/>
  <c r="W124" i="5"/>
  <c r="W130" i="5" s="1"/>
  <c r="Z118" i="5"/>
  <c r="Z124" i="5" s="1"/>
  <c r="AX518" i="5"/>
  <c r="AX524" i="5" s="1"/>
  <c r="AX530" i="5" s="1"/>
  <c r="AJ478" i="5"/>
  <c r="AJ484" i="5" s="1"/>
  <c r="AJ490" i="5" s="1"/>
  <c r="AJ518" i="5" s="1"/>
  <c r="AJ524" i="5" s="1"/>
  <c r="AJ530" i="5" s="1"/>
  <c r="AJ558" i="5" s="1"/>
  <c r="AJ564" i="5" s="1"/>
  <c r="AJ570" i="5" s="1"/>
  <c r="AJ598" i="5" s="1"/>
  <c r="AJ604" i="5" s="1"/>
  <c r="AJ610" i="5" s="1"/>
  <c r="AJ638" i="5" s="1"/>
  <c r="AJ644" i="5" s="1"/>
  <c r="AJ650" i="5" s="1"/>
  <c r="AJ678" i="5" s="1"/>
  <c r="BA164" i="5"/>
  <c r="BA170" i="5" s="1"/>
  <c r="BB158" i="5"/>
  <c r="B158" i="5"/>
  <c r="F130" i="5"/>
  <c r="AW158" i="5"/>
  <c r="AW164" i="5" s="1"/>
  <c r="AS164" i="5"/>
  <c r="AS170" i="5" s="1"/>
  <c r="V198" i="5"/>
  <c r="AD158" i="5"/>
  <c r="U124" i="5"/>
  <c r="L198" i="5"/>
  <c r="AN164" i="5"/>
  <c r="AN170" i="5" s="1"/>
  <c r="Q158" i="5"/>
  <c r="U130" i="5"/>
  <c r="K198" i="5"/>
  <c r="K204" i="5" s="1"/>
  <c r="G204" i="5"/>
  <c r="G210" i="5" s="1"/>
  <c r="AM198" i="5"/>
  <c r="AM204" i="5" s="1"/>
  <c r="AI204" i="5"/>
  <c r="AI210" i="5" s="1"/>
  <c r="H324" i="5"/>
  <c r="H330" i="5" s="1"/>
  <c r="S324" i="5"/>
  <c r="S330" i="5" s="1"/>
  <c r="M324" i="5"/>
  <c r="M330" i="5" s="1"/>
  <c r="AP324" i="5"/>
  <c r="AP330" i="5" s="1"/>
  <c r="AT358" i="5"/>
  <c r="AT364" i="5" s="1"/>
  <c r="AT370" i="5" s="1"/>
  <c r="AT398" i="5" s="1"/>
  <c r="AT404" i="5" s="1"/>
  <c r="AT410" i="5" s="1"/>
  <c r="AT438" i="5" s="1"/>
  <c r="AT444" i="5" s="1"/>
  <c r="AT450" i="5" s="1"/>
  <c r="AT478" i="5" s="1"/>
  <c r="AT484" i="5" s="1"/>
  <c r="AT490" i="5" s="1"/>
  <c r="AT518" i="5" s="1"/>
  <c r="AT524" i="5" s="1"/>
  <c r="AT530" i="5" s="1"/>
  <c r="AT558" i="5" s="1"/>
  <c r="AT564" i="5" s="1"/>
  <c r="AT570" i="5" s="1"/>
  <c r="AT598" i="5" s="1"/>
  <c r="AT604" i="5" s="1"/>
  <c r="AT610" i="5" s="1"/>
  <c r="AT638" i="5" s="1"/>
  <c r="AT644" i="5" s="1"/>
  <c r="AT650" i="5" s="1"/>
  <c r="AT678" i="5" s="1"/>
  <c r="AT684" i="5" s="1"/>
  <c r="AT690" i="5" s="1"/>
  <c r="AT718" i="5" s="1"/>
  <c r="AT724" i="5" s="1"/>
  <c r="AT730" i="5" s="1"/>
  <c r="AT758" i="5" s="1"/>
  <c r="AT764" i="5" s="1"/>
  <c r="AT770" i="5" s="1"/>
  <c r="AY244" i="5"/>
  <c r="AY250" i="5" s="1"/>
  <c r="C284" i="5"/>
  <c r="C290" i="5" s="1"/>
  <c r="AT798" i="5" l="1"/>
  <c r="AJ684" i="5"/>
  <c r="AJ690" i="5" s="1"/>
  <c r="O158" i="5"/>
  <c r="P130" i="5"/>
  <c r="BC90" i="5"/>
  <c r="AE124" i="5"/>
  <c r="AE130" i="5" s="1"/>
  <c r="AH118" i="5"/>
  <c r="AH124" i="5" s="1"/>
  <c r="AO124" i="5"/>
  <c r="AO130" i="5" s="1"/>
  <c r="AR118" i="5"/>
  <c r="AA118" i="5"/>
  <c r="AA124" i="5" s="1"/>
  <c r="W158" i="5"/>
  <c r="Z130" i="5"/>
  <c r="AA130" i="5" s="1"/>
  <c r="AX558" i="5"/>
  <c r="AX564" i="5" s="1"/>
  <c r="AX570" i="5" s="1"/>
  <c r="L204" i="5"/>
  <c r="L210" i="5" s="1"/>
  <c r="V204" i="5"/>
  <c r="V210" i="5" s="1"/>
  <c r="BB164" i="5"/>
  <c r="BA198" i="5"/>
  <c r="BB170" i="5"/>
  <c r="AM210" i="5"/>
  <c r="AI238" i="5"/>
  <c r="AN198" i="5"/>
  <c r="B164" i="5"/>
  <c r="B170" i="5" s="1"/>
  <c r="F158" i="5"/>
  <c r="F164" i="5" s="1"/>
  <c r="U158" i="5"/>
  <c r="Q164" i="5"/>
  <c r="Q170" i="5" s="1"/>
  <c r="AW170" i="5"/>
  <c r="AS198" i="5"/>
  <c r="AD164" i="5"/>
  <c r="AD170" i="5" s="1"/>
  <c r="K210" i="5"/>
  <c r="G238" i="5"/>
  <c r="H358" i="5"/>
  <c r="H364" i="5" s="1"/>
  <c r="H370" i="5" s="1"/>
  <c r="S358" i="5"/>
  <c r="S364" i="5" s="1"/>
  <c r="S370" i="5" s="1"/>
  <c r="S398" i="5" s="1"/>
  <c r="S404" i="5" s="1"/>
  <c r="S410" i="5" s="1"/>
  <c r="S438" i="5" s="1"/>
  <c r="S444" i="5" s="1"/>
  <c r="S450" i="5" s="1"/>
  <c r="S478" i="5" s="1"/>
  <c r="S484" i="5" s="1"/>
  <c r="S490" i="5" s="1"/>
  <c r="S518" i="5" s="1"/>
  <c r="S524" i="5" s="1"/>
  <c r="S530" i="5" s="1"/>
  <c r="S558" i="5" s="1"/>
  <c r="S564" i="5" s="1"/>
  <c r="S570" i="5" s="1"/>
  <c r="M358" i="5"/>
  <c r="M364" i="5" s="1"/>
  <c r="M370" i="5" s="1"/>
  <c r="M398" i="5" s="1"/>
  <c r="M404" i="5" s="1"/>
  <c r="M410" i="5" s="1"/>
  <c r="M438" i="5" s="1"/>
  <c r="M444" i="5" s="1"/>
  <c r="M450" i="5" s="1"/>
  <c r="M478" i="5" s="1"/>
  <c r="M484" i="5" s="1"/>
  <c r="M490" i="5" s="1"/>
  <c r="M518" i="5" s="1"/>
  <c r="M524" i="5" s="1"/>
  <c r="M530" i="5" s="1"/>
  <c r="M558" i="5" s="1"/>
  <c r="M564" i="5" s="1"/>
  <c r="M570" i="5" s="1"/>
  <c r="M598" i="5" s="1"/>
  <c r="M604" i="5" s="1"/>
  <c r="M610" i="5" s="1"/>
  <c r="M638" i="5" s="1"/>
  <c r="M644" i="5" s="1"/>
  <c r="M650" i="5" s="1"/>
  <c r="M678" i="5" s="1"/>
  <c r="M684" i="5" s="1"/>
  <c r="M690" i="5" s="1"/>
  <c r="AP358" i="5"/>
  <c r="AP364" i="5" s="1"/>
  <c r="AP370" i="5" s="1"/>
  <c r="AP398" i="5" s="1"/>
  <c r="AP404" i="5" s="1"/>
  <c r="AP410" i="5" s="1"/>
  <c r="AP438" i="5" s="1"/>
  <c r="AP444" i="5" s="1"/>
  <c r="AP450" i="5" s="1"/>
  <c r="AP478" i="5" s="1"/>
  <c r="AP484" i="5" s="1"/>
  <c r="AP490" i="5" s="1"/>
  <c r="AP518" i="5" s="1"/>
  <c r="AP524" i="5" s="1"/>
  <c r="AP530" i="5" s="1"/>
  <c r="AP558" i="5" s="1"/>
  <c r="AP564" i="5" s="1"/>
  <c r="AP570" i="5" s="1"/>
  <c r="AP598" i="5" s="1"/>
  <c r="AP604" i="5" s="1"/>
  <c r="AP610" i="5" s="1"/>
  <c r="AP638" i="5" s="1"/>
  <c r="AP644" i="5" s="1"/>
  <c r="AP650" i="5" s="1"/>
  <c r="AP678" i="5" s="1"/>
  <c r="AP684" i="5" s="1"/>
  <c r="AP690" i="5" s="1"/>
  <c r="AP718" i="5" s="1"/>
  <c r="AP724" i="5" s="1"/>
  <c r="AP730" i="5" s="1"/>
  <c r="AP758" i="5" s="1"/>
  <c r="AP764" i="5" s="1"/>
  <c r="AP770" i="5" s="1"/>
  <c r="AP798" i="5" s="1"/>
  <c r="AY278" i="5"/>
  <c r="C318" i="5"/>
  <c r="AJ718" i="5" l="1"/>
  <c r="AJ724" i="5" s="1"/>
  <c r="AJ730" i="5" s="1"/>
  <c r="AJ758" i="5" s="1"/>
  <c r="AJ764" i="5" s="1"/>
  <c r="AJ770" i="5" s="1"/>
  <c r="AJ798" i="5" s="1"/>
  <c r="M718" i="5"/>
  <c r="M724" i="5" s="1"/>
  <c r="M730" i="5" s="1"/>
  <c r="M758" i="5" s="1"/>
  <c r="AR124" i="5"/>
  <c r="BC118" i="5"/>
  <c r="BC124" i="5" s="1"/>
  <c r="AO158" i="5"/>
  <c r="AR130" i="5"/>
  <c r="AE158" i="5"/>
  <c r="AH130" i="5"/>
  <c r="BC130" i="5" s="1"/>
  <c r="W164" i="5"/>
  <c r="W170" i="5" s="1"/>
  <c r="Z158" i="5"/>
  <c r="Z164" i="5" s="1"/>
  <c r="O164" i="5"/>
  <c r="O170" i="5" s="1"/>
  <c r="P158" i="5"/>
  <c r="P164" i="5" s="1"/>
  <c r="S598" i="5"/>
  <c r="S604" i="5" s="1"/>
  <c r="S610" i="5" s="1"/>
  <c r="S638" i="5" s="1"/>
  <c r="S644" i="5" s="1"/>
  <c r="S650" i="5" s="1"/>
  <c r="S678" i="5" s="1"/>
  <c r="S684" i="5" s="1"/>
  <c r="S690" i="5" s="1"/>
  <c r="S718" i="5" s="1"/>
  <c r="S724" i="5" s="1"/>
  <c r="S730" i="5" s="1"/>
  <c r="S758" i="5" s="1"/>
  <c r="AX598" i="5"/>
  <c r="AX604" i="5" s="1"/>
  <c r="AX610" i="5" s="1"/>
  <c r="H398" i="5"/>
  <c r="H404" i="5" s="1"/>
  <c r="H410" i="5" s="1"/>
  <c r="H438" i="5" s="1"/>
  <c r="H444" i="5" s="1"/>
  <c r="H450" i="5" s="1"/>
  <c r="H478" i="5" s="1"/>
  <c r="H484" i="5" s="1"/>
  <c r="H490" i="5" s="1"/>
  <c r="G244" i="5"/>
  <c r="G250" i="5" s="1"/>
  <c r="K238" i="5"/>
  <c r="K244" i="5" s="1"/>
  <c r="AI244" i="5"/>
  <c r="AI250" i="5" s="1"/>
  <c r="AM238" i="5"/>
  <c r="AM244" i="5" s="1"/>
  <c r="AN204" i="5"/>
  <c r="AN210" i="5" s="1"/>
  <c r="AD198" i="5"/>
  <c r="V238" i="5"/>
  <c r="U170" i="5"/>
  <c r="Q198" i="5"/>
  <c r="U164" i="5"/>
  <c r="B198" i="5"/>
  <c r="F170" i="5"/>
  <c r="AS204" i="5"/>
  <c r="AS210" i="5" s="1"/>
  <c r="AW198" i="5"/>
  <c r="AW204" i="5" s="1"/>
  <c r="BA204" i="5"/>
  <c r="BA210" i="5" s="1"/>
  <c r="BB198" i="5"/>
  <c r="L238" i="5"/>
  <c r="C324" i="5"/>
  <c r="C330" i="5" s="1"/>
  <c r="AY284" i="5"/>
  <c r="AY290" i="5" s="1"/>
  <c r="AX638" i="5" l="1"/>
  <c r="AX644" i="5" s="1"/>
  <c r="AX650" i="5" s="1"/>
  <c r="AX678" i="5" s="1"/>
  <c r="W198" i="5"/>
  <c r="Z170" i="5"/>
  <c r="AA158" i="5"/>
  <c r="AA164" i="5" s="1"/>
  <c r="AE164" i="5"/>
  <c r="AE170" i="5" s="1"/>
  <c r="AH158" i="5"/>
  <c r="AH164" i="5" s="1"/>
  <c r="AO164" i="5"/>
  <c r="AO170" i="5" s="1"/>
  <c r="AR158" i="5"/>
  <c r="O198" i="5"/>
  <c r="P170" i="5"/>
  <c r="H518" i="5"/>
  <c r="H524" i="5" s="1"/>
  <c r="H530" i="5" s="1"/>
  <c r="H558" i="5" s="1"/>
  <c r="H564" i="5" s="1"/>
  <c r="H570" i="5" s="1"/>
  <c r="H598" i="5" s="1"/>
  <c r="H604" i="5" s="1"/>
  <c r="H610" i="5" s="1"/>
  <c r="H638" i="5" s="1"/>
  <c r="H644" i="5" s="1"/>
  <c r="H650" i="5" s="1"/>
  <c r="BA238" i="5"/>
  <c r="BB210" i="5"/>
  <c r="AI278" i="5"/>
  <c r="AM250" i="5"/>
  <c r="BB204" i="5"/>
  <c r="Q204" i="5"/>
  <c r="Q210" i="5" s="1"/>
  <c r="U198" i="5"/>
  <c r="AA170" i="5"/>
  <c r="B204" i="5"/>
  <c r="B210" i="5" s="1"/>
  <c r="F198" i="5"/>
  <c r="F204" i="5" s="1"/>
  <c r="AS238" i="5"/>
  <c r="AW210" i="5"/>
  <c r="AN238" i="5"/>
  <c r="L244" i="5"/>
  <c r="L250" i="5" s="1"/>
  <c r="AD204" i="5"/>
  <c r="AD210" i="5" s="1"/>
  <c r="V244" i="5"/>
  <c r="V250" i="5" s="1"/>
  <c r="G278" i="5"/>
  <c r="K250" i="5"/>
  <c r="C358" i="5"/>
  <c r="C364" i="5" s="1"/>
  <c r="C370" i="5" s="1"/>
  <c r="AY318" i="5"/>
  <c r="AX684" i="5" l="1"/>
  <c r="AX690" i="5" s="1"/>
  <c r="H678" i="5"/>
  <c r="H684" i="5" s="1"/>
  <c r="H690" i="5" s="1"/>
  <c r="H718" i="5" s="1"/>
  <c r="H724" i="5" s="1"/>
  <c r="H730" i="5" s="1"/>
  <c r="AR164" i="5"/>
  <c r="BC158" i="5"/>
  <c r="BC164" i="5" s="1"/>
  <c r="AO198" i="5"/>
  <c r="AR170" i="5"/>
  <c r="AE198" i="5"/>
  <c r="AH170" i="5"/>
  <c r="BC170" i="5" s="1"/>
  <c r="O204" i="5"/>
  <c r="O210" i="5" s="1"/>
  <c r="P198" i="5"/>
  <c r="P204" i="5" s="1"/>
  <c r="W204" i="5"/>
  <c r="W210" i="5" s="1"/>
  <c r="Z198" i="5"/>
  <c r="Z204" i="5" s="1"/>
  <c r="C398" i="5"/>
  <c r="C404" i="5" s="1"/>
  <c r="C410" i="5" s="1"/>
  <c r="C438" i="5" s="1"/>
  <c r="C444" i="5" s="1"/>
  <c r="C450" i="5" s="1"/>
  <c r="C478" i="5" s="1"/>
  <c r="C484" i="5" s="1"/>
  <c r="C490" i="5" s="1"/>
  <c r="AS244" i="5"/>
  <c r="AS250" i="5" s="1"/>
  <c r="AW238" i="5"/>
  <c r="AW244" i="5" s="1"/>
  <c r="G284" i="5"/>
  <c r="G290" i="5" s="1"/>
  <c r="K278" i="5"/>
  <c r="K284" i="5" s="1"/>
  <c r="AI284" i="5"/>
  <c r="AI290" i="5" s="1"/>
  <c r="AM278" i="5"/>
  <c r="AM284" i="5" s="1"/>
  <c r="L278" i="5"/>
  <c r="AN244" i="5"/>
  <c r="AN250" i="5" s="1"/>
  <c r="U204" i="5"/>
  <c r="AD238" i="5"/>
  <c r="B238" i="5"/>
  <c r="F210" i="5"/>
  <c r="V278" i="5"/>
  <c r="Q238" i="5"/>
  <c r="U210" i="5"/>
  <c r="BA244" i="5"/>
  <c r="BA250" i="5" s="1"/>
  <c r="BB238" i="5"/>
  <c r="AY324" i="5"/>
  <c r="AY330" i="5" s="1"/>
  <c r="H758" i="5" l="1"/>
  <c r="AA198" i="5"/>
  <c r="AA204" i="5" s="1"/>
  <c r="AX718" i="5"/>
  <c r="AX724" i="5" s="1"/>
  <c r="AX730" i="5" s="1"/>
  <c r="O238" i="5"/>
  <c r="P210" i="5"/>
  <c r="AE204" i="5"/>
  <c r="AE210" i="5" s="1"/>
  <c r="AH198" i="5"/>
  <c r="AH204" i="5" s="1"/>
  <c r="AO204" i="5"/>
  <c r="AO210" i="5" s="1"/>
  <c r="AR198" i="5"/>
  <c r="W238" i="5"/>
  <c r="Z210" i="5"/>
  <c r="C518" i="5"/>
  <c r="C524" i="5" s="1"/>
  <c r="C530" i="5" s="1"/>
  <c r="C558" i="5" s="1"/>
  <c r="C564" i="5" s="1"/>
  <c r="C570" i="5" s="1"/>
  <c r="C598" i="5" s="1"/>
  <c r="C604" i="5" s="1"/>
  <c r="C610" i="5" s="1"/>
  <c r="C638" i="5" s="1"/>
  <c r="C644" i="5" s="1"/>
  <c r="C650" i="5" s="1"/>
  <c r="Q244" i="5"/>
  <c r="Q250" i="5" s="1"/>
  <c r="U238" i="5"/>
  <c r="G318" i="5"/>
  <c r="K290" i="5"/>
  <c r="AN278" i="5"/>
  <c r="AD244" i="5"/>
  <c r="AD250" i="5" s="1"/>
  <c r="V284" i="5"/>
  <c r="V290" i="5" s="1"/>
  <c r="L284" i="5"/>
  <c r="L290" i="5" s="1"/>
  <c r="BB244" i="5"/>
  <c r="BA278" i="5"/>
  <c r="BB250" i="5"/>
  <c r="B244" i="5"/>
  <c r="B250" i="5" s="1"/>
  <c r="F238" i="5"/>
  <c r="F244" i="5" s="1"/>
  <c r="AI318" i="5"/>
  <c r="AM290" i="5"/>
  <c r="AS278" i="5"/>
  <c r="AW250" i="5"/>
  <c r="AY358" i="5"/>
  <c r="AY364" i="5" s="1"/>
  <c r="AY370" i="5" s="1"/>
  <c r="AX758" i="5" l="1"/>
  <c r="AX764" i="5" s="1"/>
  <c r="AX770" i="5" s="1"/>
  <c r="AX798" i="5" s="1"/>
  <c r="AA210" i="5"/>
  <c r="C678" i="5"/>
  <c r="C684" i="5" s="1"/>
  <c r="C690" i="5" s="1"/>
  <c r="C718" i="5" s="1"/>
  <c r="C724" i="5" s="1"/>
  <c r="C730" i="5" s="1"/>
  <c r="C758" i="5" s="1"/>
  <c r="W244" i="5"/>
  <c r="W250" i="5" s="1"/>
  <c r="Z238" i="5"/>
  <c r="Z244" i="5" s="1"/>
  <c r="AR204" i="5"/>
  <c r="BC198" i="5"/>
  <c r="BC204" i="5" s="1"/>
  <c r="AO238" i="5"/>
  <c r="AR210" i="5"/>
  <c r="AE238" i="5"/>
  <c r="AH210" i="5"/>
  <c r="O244" i="5"/>
  <c r="O250" i="5" s="1"/>
  <c r="P238" i="5"/>
  <c r="P244" i="5" s="1"/>
  <c r="AY398" i="5"/>
  <c r="AY404" i="5" s="1"/>
  <c r="AY410" i="5" s="1"/>
  <c r="L318" i="5"/>
  <c r="B278" i="5"/>
  <c r="F250" i="5"/>
  <c r="AN284" i="5"/>
  <c r="AN290" i="5" s="1"/>
  <c r="G324" i="5"/>
  <c r="G330" i="5" s="1"/>
  <c r="K318" i="5"/>
  <c r="K324" i="5" s="1"/>
  <c r="V318" i="5"/>
  <c r="AI324" i="5"/>
  <c r="AI330" i="5" s="1"/>
  <c r="AM318" i="5"/>
  <c r="AM324" i="5" s="1"/>
  <c r="AD278" i="5"/>
  <c r="U244" i="5"/>
  <c r="AS284" i="5"/>
  <c r="AS290" i="5" s="1"/>
  <c r="AW278" i="5"/>
  <c r="AW284" i="5" s="1"/>
  <c r="BA284" i="5"/>
  <c r="BA290" i="5" s="1"/>
  <c r="BB278" i="5"/>
  <c r="Q278" i="5"/>
  <c r="U250" i="5"/>
  <c r="BC210" i="5" l="1"/>
  <c r="AA238" i="5"/>
  <c r="AA244" i="5" s="1"/>
  <c r="AO244" i="5"/>
  <c r="AO250" i="5" s="1"/>
  <c r="AR238" i="5"/>
  <c r="AE244" i="5"/>
  <c r="AE250" i="5" s="1"/>
  <c r="AH238" i="5"/>
  <c r="AH244" i="5" s="1"/>
  <c r="O278" i="5"/>
  <c r="P250" i="5"/>
  <c r="W278" i="5"/>
  <c r="Z250" i="5"/>
  <c r="AY438" i="5"/>
  <c r="AY444" i="5" s="1"/>
  <c r="AY450" i="5" s="1"/>
  <c r="BA318" i="5"/>
  <c r="BB290" i="5"/>
  <c r="BB284" i="5"/>
  <c r="AD284" i="5"/>
  <c r="AD290" i="5" s="1"/>
  <c r="B284" i="5"/>
  <c r="B290" i="5" s="1"/>
  <c r="F278" i="5"/>
  <c r="F284" i="5" s="1"/>
  <c r="V324" i="5"/>
  <c r="V330" i="5" s="1"/>
  <c r="AS318" i="5"/>
  <c r="AW290" i="5"/>
  <c r="AN318" i="5"/>
  <c r="Q284" i="5"/>
  <c r="Q290" i="5" s="1"/>
  <c r="U278" i="5"/>
  <c r="AI358" i="5"/>
  <c r="AM330" i="5"/>
  <c r="G358" i="5"/>
  <c r="K330" i="5"/>
  <c r="L324" i="5"/>
  <c r="L330" i="5" s="1"/>
  <c r="AA250" i="5" l="1"/>
  <c r="W284" i="5"/>
  <c r="W290" i="5" s="1"/>
  <c r="Z278" i="5"/>
  <c r="Z284" i="5" s="1"/>
  <c r="O284" i="5"/>
  <c r="O290" i="5" s="1"/>
  <c r="P278" i="5"/>
  <c r="P284" i="5" s="1"/>
  <c r="AE278" i="5"/>
  <c r="AH250" i="5"/>
  <c r="AR244" i="5"/>
  <c r="BC238" i="5"/>
  <c r="BC244" i="5" s="1"/>
  <c r="AO278" i="5"/>
  <c r="AR250" i="5"/>
  <c r="AY478" i="5"/>
  <c r="AY484" i="5" s="1"/>
  <c r="AY490" i="5" s="1"/>
  <c r="K358" i="5"/>
  <c r="K364" i="5" s="1"/>
  <c r="G364" i="5"/>
  <c r="G370" i="5" s="1"/>
  <c r="AM358" i="5"/>
  <c r="AM364" i="5" s="1"/>
  <c r="AI364" i="5"/>
  <c r="AI370" i="5" s="1"/>
  <c r="AS324" i="5"/>
  <c r="AS330" i="5" s="1"/>
  <c r="AW318" i="5"/>
  <c r="AW324" i="5" s="1"/>
  <c r="V358" i="5"/>
  <c r="AD318" i="5"/>
  <c r="U284" i="5"/>
  <c r="Q318" i="5"/>
  <c r="U290" i="5"/>
  <c r="L358" i="5"/>
  <c r="AN324" i="5"/>
  <c r="AN330" i="5" s="1"/>
  <c r="B318" i="5"/>
  <c r="F290" i="5"/>
  <c r="BA324" i="5"/>
  <c r="BA330" i="5" s="1"/>
  <c r="BB318" i="5"/>
  <c r="BC250" i="5" l="1"/>
  <c r="AA278" i="5"/>
  <c r="AA284" i="5" s="1"/>
  <c r="AE284" i="5"/>
  <c r="AE290" i="5" s="1"/>
  <c r="AH278" i="5"/>
  <c r="AH284" i="5" s="1"/>
  <c r="O318" i="5"/>
  <c r="P290" i="5"/>
  <c r="AO284" i="5"/>
  <c r="AO290" i="5" s="1"/>
  <c r="AR278" i="5"/>
  <c r="W318" i="5"/>
  <c r="Z290" i="5"/>
  <c r="AA290" i="5" s="1"/>
  <c r="AY518" i="5"/>
  <c r="AY524" i="5" s="1"/>
  <c r="AY530" i="5" s="1"/>
  <c r="G398" i="5"/>
  <c r="K370" i="5"/>
  <c r="V364" i="5"/>
  <c r="V370" i="5" s="1"/>
  <c r="L364" i="5"/>
  <c r="L370" i="5" s="1"/>
  <c r="AI398" i="5"/>
  <c r="AM370" i="5"/>
  <c r="AN358" i="5"/>
  <c r="AD324" i="5"/>
  <c r="AD330" i="5" s="1"/>
  <c r="BA358" i="5"/>
  <c r="BB330" i="5"/>
  <c r="BB324" i="5"/>
  <c r="Q324" i="5"/>
  <c r="Q330" i="5" s="1"/>
  <c r="U318" i="5"/>
  <c r="B324" i="5"/>
  <c r="B330" i="5" s="1"/>
  <c r="F318" i="5"/>
  <c r="F324" i="5" s="1"/>
  <c r="AS358" i="5"/>
  <c r="AW330" i="5"/>
  <c r="W324" i="5" l="1"/>
  <c r="W330" i="5" s="1"/>
  <c r="Z318" i="5"/>
  <c r="Z324" i="5" s="1"/>
  <c r="AO318" i="5"/>
  <c r="AR290" i="5"/>
  <c r="O324" i="5"/>
  <c r="O330" i="5" s="1"/>
  <c r="P318" i="5"/>
  <c r="P324" i="5" s="1"/>
  <c r="AR284" i="5"/>
  <c r="BC278" i="5"/>
  <c r="BC284" i="5" s="1"/>
  <c r="AE318" i="5"/>
  <c r="AH290" i="5"/>
  <c r="AY558" i="5"/>
  <c r="AY564" i="5" s="1"/>
  <c r="AY570" i="5" s="1"/>
  <c r="K398" i="5"/>
  <c r="K404" i="5" s="1"/>
  <c r="G404" i="5"/>
  <c r="G410" i="5" s="1"/>
  <c r="AM398" i="5"/>
  <c r="AM404" i="5" s="1"/>
  <c r="AI404" i="5"/>
  <c r="AI410" i="5" s="1"/>
  <c r="V398" i="5"/>
  <c r="L398" i="5"/>
  <c r="AW358" i="5"/>
  <c r="AW364" i="5" s="1"/>
  <c r="AS364" i="5"/>
  <c r="AS370" i="5" s="1"/>
  <c r="BB358" i="5"/>
  <c r="BB364" i="5" s="1"/>
  <c r="BA364" i="5"/>
  <c r="BA370" i="5" s="1"/>
  <c r="AN364" i="5"/>
  <c r="AN370" i="5" s="1"/>
  <c r="B358" i="5"/>
  <c r="F330" i="5"/>
  <c r="AD358" i="5"/>
  <c r="U324" i="5"/>
  <c r="Q358" i="5"/>
  <c r="U330" i="5"/>
  <c r="AA318" i="5" l="1"/>
  <c r="AA324" i="5" s="1"/>
  <c r="O358" i="5"/>
  <c r="P330" i="5"/>
  <c r="AO324" i="5"/>
  <c r="AO330" i="5" s="1"/>
  <c r="AR318" i="5"/>
  <c r="BC290" i="5"/>
  <c r="AE324" i="5"/>
  <c r="AE330" i="5" s="1"/>
  <c r="AH318" i="5"/>
  <c r="AH324" i="5" s="1"/>
  <c r="W358" i="5"/>
  <c r="Z330" i="5"/>
  <c r="AY598" i="5"/>
  <c r="AY604" i="5" s="1"/>
  <c r="AY610" i="5" s="1"/>
  <c r="L404" i="5"/>
  <c r="L410" i="5" s="1"/>
  <c r="V404" i="5"/>
  <c r="V410" i="5" s="1"/>
  <c r="K410" i="5"/>
  <c r="G438" i="5"/>
  <c r="AM410" i="5"/>
  <c r="AI438" i="5"/>
  <c r="F358" i="5"/>
  <c r="F364" i="5" s="1"/>
  <c r="B364" i="5"/>
  <c r="B370" i="5" s="1"/>
  <c r="U358" i="5"/>
  <c r="U364" i="5" s="1"/>
  <c r="Q364" i="5"/>
  <c r="Q370" i="5" s="1"/>
  <c r="AN398" i="5"/>
  <c r="BA398" i="5"/>
  <c r="BB370" i="5"/>
  <c r="AS398" i="5"/>
  <c r="AW370" i="5"/>
  <c r="AD364" i="5"/>
  <c r="AD370" i="5" s="1"/>
  <c r="AA330" i="5"/>
  <c r="AY638" i="5" l="1"/>
  <c r="AY644" i="5" s="1"/>
  <c r="AY650" i="5" s="1"/>
  <c r="AY678" i="5" s="1"/>
  <c r="AR324" i="5"/>
  <c r="BC318" i="5"/>
  <c r="BC324" i="5" s="1"/>
  <c r="AO358" i="5"/>
  <c r="AR330" i="5"/>
  <c r="W364" i="5"/>
  <c r="W370" i="5" s="1"/>
  <c r="Z358" i="5"/>
  <c r="Z364" i="5" s="1"/>
  <c r="AE358" i="5"/>
  <c r="AH330" i="5"/>
  <c r="O364" i="5"/>
  <c r="O370" i="5" s="1"/>
  <c r="P358" i="5"/>
  <c r="P364" i="5" s="1"/>
  <c r="K438" i="5"/>
  <c r="K444" i="5" s="1"/>
  <c r="G444" i="5"/>
  <c r="G450" i="5" s="1"/>
  <c r="AM438" i="5"/>
  <c r="AM444" i="5" s="1"/>
  <c r="AI444" i="5"/>
  <c r="AI450" i="5" s="1"/>
  <c r="L438" i="5"/>
  <c r="V438" i="5"/>
  <c r="AN404" i="5"/>
  <c r="AN410" i="5" s="1"/>
  <c r="AW398" i="5"/>
  <c r="AW404" i="5" s="1"/>
  <c r="AS404" i="5"/>
  <c r="AS410" i="5" s="1"/>
  <c r="BB398" i="5"/>
  <c r="BB404" i="5" s="1"/>
  <c r="BA404" i="5"/>
  <c r="BA410" i="5" s="1"/>
  <c r="B398" i="5"/>
  <c r="F370" i="5"/>
  <c r="Q398" i="5"/>
  <c r="U370" i="5"/>
  <c r="AD398" i="5"/>
  <c r="AY684" i="5" l="1"/>
  <c r="AY690" i="5" s="1"/>
  <c r="BC330" i="5"/>
  <c r="W398" i="5"/>
  <c r="Z370" i="5"/>
  <c r="AE364" i="5"/>
  <c r="AE370" i="5" s="1"/>
  <c r="AH358" i="5"/>
  <c r="AH364" i="5" s="1"/>
  <c r="AO364" i="5"/>
  <c r="AO370" i="5" s="1"/>
  <c r="AR358" i="5"/>
  <c r="AA358" i="5"/>
  <c r="AA364" i="5" s="1"/>
  <c r="O398" i="5"/>
  <c r="P370" i="5"/>
  <c r="G478" i="5"/>
  <c r="K450" i="5"/>
  <c r="AI478" i="5"/>
  <c r="AM450" i="5"/>
  <c r="L444" i="5"/>
  <c r="L450" i="5" s="1"/>
  <c r="V444" i="5"/>
  <c r="V450" i="5" s="1"/>
  <c r="U398" i="5"/>
  <c r="U404" i="5" s="1"/>
  <c r="Q404" i="5"/>
  <c r="Q410" i="5" s="1"/>
  <c r="F398" i="5"/>
  <c r="F404" i="5" s="1"/>
  <c r="B404" i="5"/>
  <c r="B410" i="5" s="1"/>
  <c r="AD404" i="5"/>
  <c r="AD410" i="5" s="1"/>
  <c r="AS438" i="5"/>
  <c r="AW410" i="5"/>
  <c r="BA438" i="5"/>
  <c r="BB410" i="5"/>
  <c r="AN438" i="5"/>
  <c r="AA370" i="5"/>
  <c r="AY718" i="5" l="1"/>
  <c r="AY724" i="5" s="1"/>
  <c r="AY730" i="5" s="1"/>
  <c r="AR364" i="5"/>
  <c r="BC358" i="5"/>
  <c r="BC364" i="5" s="1"/>
  <c r="O404" i="5"/>
  <c r="O410" i="5" s="1"/>
  <c r="P398" i="5"/>
  <c r="P404" i="5" s="1"/>
  <c r="AE398" i="5"/>
  <c r="AH370" i="5"/>
  <c r="AO398" i="5"/>
  <c r="AR370" i="5"/>
  <c r="W404" i="5"/>
  <c r="W410" i="5" s="1"/>
  <c r="Z398" i="5"/>
  <c r="Z404" i="5" s="1"/>
  <c r="K478" i="5"/>
  <c r="K484" i="5" s="1"/>
  <c r="G484" i="5"/>
  <c r="G490" i="5" s="1"/>
  <c r="AM478" i="5"/>
  <c r="AM484" i="5" s="1"/>
  <c r="AI484" i="5"/>
  <c r="AI490" i="5" s="1"/>
  <c r="AN444" i="5"/>
  <c r="AN450" i="5" s="1"/>
  <c r="BB438" i="5"/>
  <c r="BB444" i="5" s="1"/>
  <c r="BA444" i="5"/>
  <c r="BA450" i="5" s="1"/>
  <c r="AW438" i="5"/>
  <c r="AW444" i="5" s="1"/>
  <c r="AS444" i="5"/>
  <c r="AS450" i="5" s="1"/>
  <c r="L478" i="5"/>
  <c r="V478" i="5"/>
  <c r="AA398" i="5"/>
  <c r="AA404" i="5" s="1"/>
  <c r="Q438" i="5"/>
  <c r="U410" i="5"/>
  <c r="B438" i="5"/>
  <c r="F410" i="5"/>
  <c r="AD438" i="5"/>
  <c r="AY758" i="5" l="1"/>
  <c r="AY764" i="5" s="1"/>
  <c r="AY770" i="5" s="1"/>
  <c r="BC370" i="5"/>
  <c r="AE404" i="5"/>
  <c r="AE410" i="5" s="1"/>
  <c r="AH398" i="5"/>
  <c r="AH404" i="5" s="1"/>
  <c r="O438" i="5"/>
  <c r="P410" i="5"/>
  <c r="AO404" i="5"/>
  <c r="AO410" i="5" s="1"/>
  <c r="AR398" i="5"/>
  <c r="W438" i="5"/>
  <c r="Z410" i="5"/>
  <c r="G518" i="5"/>
  <c r="K490" i="5"/>
  <c r="L484" i="5"/>
  <c r="L490" i="5" s="1"/>
  <c r="V484" i="5"/>
  <c r="V490" i="5" s="1"/>
  <c r="AI518" i="5"/>
  <c r="AM490" i="5"/>
  <c r="F438" i="5"/>
  <c r="F444" i="5" s="1"/>
  <c r="B444" i="5"/>
  <c r="B450" i="5" s="1"/>
  <c r="AN478" i="5"/>
  <c r="BA478" i="5"/>
  <c r="BB450" i="5"/>
  <c r="AD444" i="5"/>
  <c r="AD450" i="5" s="1"/>
  <c r="AW450" i="5"/>
  <c r="AS478" i="5"/>
  <c r="U438" i="5"/>
  <c r="U444" i="5" s="1"/>
  <c r="Q444" i="5"/>
  <c r="Q450" i="5" s="1"/>
  <c r="AY798" i="5" l="1"/>
  <c r="AA410" i="5"/>
  <c r="W444" i="5"/>
  <c r="W450" i="5" s="1"/>
  <c r="Z438" i="5"/>
  <c r="Z444" i="5" s="1"/>
  <c r="O444" i="5"/>
  <c r="O450" i="5" s="1"/>
  <c r="P438" i="5"/>
  <c r="P444" i="5" s="1"/>
  <c r="AO438" i="5"/>
  <c r="AR410" i="5"/>
  <c r="AR404" i="5"/>
  <c r="BC398" i="5"/>
  <c r="BC404" i="5" s="1"/>
  <c r="AE438" i="5"/>
  <c r="AH410" i="5"/>
  <c r="K518" i="5"/>
  <c r="K524" i="5" s="1"/>
  <c r="G524" i="5"/>
  <c r="G530" i="5" s="1"/>
  <c r="AM518" i="5"/>
  <c r="AM524" i="5" s="1"/>
  <c r="AI524" i="5"/>
  <c r="AI530" i="5" s="1"/>
  <c r="L518" i="5"/>
  <c r="V518" i="5"/>
  <c r="AW478" i="5"/>
  <c r="AW484" i="5" s="1"/>
  <c r="AS484" i="5"/>
  <c r="AS490" i="5" s="1"/>
  <c r="BB478" i="5"/>
  <c r="BB484" i="5" s="1"/>
  <c r="BA484" i="5"/>
  <c r="BA490" i="5" s="1"/>
  <c r="AN484" i="5"/>
  <c r="AN490" i="5" s="1"/>
  <c r="B478" i="5"/>
  <c r="F450" i="5"/>
  <c r="AD478" i="5"/>
  <c r="Q478" i="5"/>
  <c r="U450" i="5"/>
  <c r="AA438" i="5" l="1"/>
  <c r="AA444" i="5" s="1"/>
  <c r="AO444" i="5"/>
  <c r="AO450" i="5" s="1"/>
  <c r="AR438" i="5"/>
  <c r="O478" i="5"/>
  <c r="P450" i="5"/>
  <c r="BC410" i="5"/>
  <c r="AE444" i="5"/>
  <c r="AE450" i="5" s="1"/>
  <c r="AH438" i="5"/>
  <c r="AH444" i="5" s="1"/>
  <c r="W478" i="5"/>
  <c r="Z450" i="5"/>
  <c r="V524" i="5"/>
  <c r="V530" i="5" s="1"/>
  <c r="L524" i="5"/>
  <c r="L530" i="5" s="1"/>
  <c r="K530" i="5"/>
  <c r="G558" i="5"/>
  <c r="AI558" i="5"/>
  <c r="AM530" i="5"/>
  <c r="U478" i="5"/>
  <c r="U484" i="5" s="1"/>
  <c r="Q484" i="5"/>
  <c r="Q490" i="5" s="1"/>
  <c r="F478" i="5"/>
  <c r="F484" i="5" s="1"/>
  <c r="B484" i="5"/>
  <c r="B490" i="5" s="1"/>
  <c r="AD484" i="5"/>
  <c r="AD490" i="5" s="1"/>
  <c r="AN518" i="5"/>
  <c r="AS518" i="5"/>
  <c r="AW490" i="5"/>
  <c r="BA518" i="5"/>
  <c r="BB490" i="5"/>
  <c r="AA450" i="5" l="1"/>
  <c r="W484" i="5"/>
  <c r="W490" i="5" s="1"/>
  <c r="Z478" i="5"/>
  <c r="Z484" i="5" s="1"/>
  <c r="O484" i="5"/>
  <c r="O490" i="5" s="1"/>
  <c r="P478" i="5"/>
  <c r="P484" i="5" s="1"/>
  <c r="AR444" i="5"/>
  <c r="BC438" i="5"/>
  <c r="BC444" i="5" s="1"/>
  <c r="AE478" i="5"/>
  <c r="AH450" i="5"/>
  <c r="AO478" i="5"/>
  <c r="AR450" i="5"/>
  <c r="K558" i="5"/>
  <c r="K564" i="5" s="1"/>
  <c r="G564" i="5"/>
  <c r="G570" i="5" s="1"/>
  <c r="AM558" i="5"/>
  <c r="AM564" i="5" s="1"/>
  <c r="AI564" i="5"/>
  <c r="AI570" i="5" s="1"/>
  <c r="V558" i="5"/>
  <c r="L558" i="5"/>
  <c r="AW518" i="5"/>
  <c r="AW524" i="5" s="1"/>
  <c r="AS524" i="5"/>
  <c r="AS530" i="5" s="1"/>
  <c r="BB518" i="5"/>
  <c r="BB524" i="5" s="1"/>
  <c r="BA524" i="5"/>
  <c r="BA530" i="5" s="1"/>
  <c r="AN524" i="5"/>
  <c r="AN530" i="5" s="1"/>
  <c r="Q518" i="5"/>
  <c r="U490" i="5"/>
  <c r="B518" i="5"/>
  <c r="F490" i="5"/>
  <c r="AD518" i="5"/>
  <c r="BC450" i="5" l="1"/>
  <c r="AE484" i="5"/>
  <c r="AE490" i="5" s="1"/>
  <c r="AH478" i="5"/>
  <c r="AH484" i="5" s="1"/>
  <c r="O518" i="5"/>
  <c r="P490" i="5"/>
  <c r="AA478" i="5"/>
  <c r="AA484" i="5" s="1"/>
  <c r="AO484" i="5"/>
  <c r="AO490" i="5" s="1"/>
  <c r="AR478" i="5"/>
  <c r="W518" i="5"/>
  <c r="Z490" i="5"/>
  <c r="AH479" i="5"/>
  <c r="AD479" i="5"/>
  <c r="AF479" i="5"/>
  <c r="AG479" i="5"/>
  <c r="AE479" i="5"/>
  <c r="L564" i="5"/>
  <c r="L570" i="5" s="1"/>
  <c r="V564" i="5"/>
  <c r="V570" i="5" s="1"/>
  <c r="G598" i="5"/>
  <c r="K570" i="5"/>
  <c r="AI598" i="5"/>
  <c r="AM570" i="5"/>
  <c r="U518" i="5"/>
  <c r="U524" i="5" s="1"/>
  <c r="Q524" i="5"/>
  <c r="Q530" i="5" s="1"/>
  <c r="F518" i="5"/>
  <c r="F524" i="5" s="1"/>
  <c r="B524" i="5"/>
  <c r="B530" i="5" s="1"/>
  <c r="AD524" i="5"/>
  <c r="AD530" i="5" s="1"/>
  <c r="BA558" i="5"/>
  <c r="BB530" i="5"/>
  <c r="AN558" i="5"/>
  <c r="AS558" i="5"/>
  <c r="AW530" i="5"/>
  <c r="AA490" i="5" l="1"/>
  <c r="K598" i="5"/>
  <c r="K604" i="5" s="1"/>
  <c r="G604" i="5"/>
  <c r="G610" i="5" s="1"/>
  <c r="AM598" i="5"/>
  <c r="AM604" i="5" s="1"/>
  <c r="AI604" i="5"/>
  <c r="AI610" i="5" s="1"/>
  <c r="W524" i="5"/>
  <c r="W530" i="5" s="1"/>
  <c r="Z518" i="5"/>
  <c r="Z524" i="5" s="1"/>
  <c r="AR484" i="5"/>
  <c r="BC478" i="5"/>
  <c r="BC484" i="5" s="1"/>
  <c r="AO518" i="5"/>
  <c r="AR490" i="5"/>
  <c r="O524" i="5"/>
  <c r="O530" i="5" s="1"/>
  <c r="P518" i="5"/>
  <c r="P524" i="5" s="1"/>
  <c r="AE518" i="5"/>
  <c r="AH490" i="5"/>
  <c r="L598" i="5"/>
  <c r="L604" i="5" s="1"/>
  <c r="L610" i="5" s="1"/>
  <c r="V598" i="5"/>
  <c r="V604" i="5" s="1"/>
  <c r="V610" i="5" s="1"/>
  <c r="AN564" i="5"/>
  <c r="AN570" i="5" s="1"/>
  <c r="AW558" i="5"/>
  <c r="AW564" i="5" s="1"/>
  <c r="AS564" i="5"/>
  <c r="AS570" i="5" s="1"/>
  <c r="BB558" i="5"/>
  <c r="BB564" i="5" s="1"/>
  <c r="BA564" i="5"/>
  <c r="BA570" i="5" s="1"/>
  <c r="U530" i="5"/>
  <c r="Q558" i="5"/>
  <c r="B558" i="5"/>
  <c r="F530" i="5"/>
  <c r="AD558" i="5"/>
  <c r="V638" i="5" l="1"/>
  <c r="V644" i="5" s="1"/>
  <c r="V650" i="5" s="1"/>
  <c r="L638" i="5"/>
  <c r="L644" i="5" s="1"/>
  <c r="L650" i="5" s="1"/>
  <c r="G638" i="5"/>
  <c r="K610" i="5"/>
  <c r="AM610" i="5"/>
  <c r="AI638" i="5"/>
  <c r="O558" i="5"/>
  <c r="P530" i="5"/>
  <c r="AA518" i="5"/>
  <c r="AA524" i="5" s="1"/>
  <c r="AO524" i="5"/>
  <c r="AO530" i="5" s="1"/>
  <c r="AR518" i="5"/>
  <c r="BC490" i="5"/>
  <c r="AE524" i="5"/>
  <c r="AE530" i="5" s="1"/>
  <c r="AH518" i="5"/>
  <c r="AH524" i="5" s="1"/>
  <c r="W558" i="5"/>
  <c r="Z530" i="5"/>
  <c r="U558" i="5"/>
  <c r="U564" i="5" s="1"/>
  <c r="Q564" i="5"/>
  <c r="Q570" i="5" s="1"/>
  <c r="F558" i="5"/>
  <c r="F564" i="5" s="1"/>
  <c r="B564" i="5"/>
  <c r="B570" i="5" s="1"/>
  <c r="AS598" i="5"/>
  <c r="AW570" i="5"/>
  <c r="AN598" i="5"/>
  <c r="AN604" i="5" s="1"/>
  <c r="AN610" i="5" s="1"/>
  <c r="AD564" i="5"/>
  <c r="AD570" i="5" s="1"/>
  <c r="BA598" i="5"/>
  <c r="BB570" i="5"/>
  <c r="V678" i="5" l="1"/>
  <c r="V684" i="5" s="1"/>
  <c r="V690" i="5" s="1"/>
  <c r="L678" i="5"/>
  <c r="L684" i="5" s="1"/>
  <c r="L690" i="5" s="1"/>
  <c r="K638" i="5"/>
  <c r="K644" i="5" s="1"/>
  <c r="G644" i="5"/>
  <c r="G650" i="5" s="1"/>
  <c r="AM638" i="5"/>
  <c r="AM644" i="5" s="1"/>
  <c r="AI644" i="5"/>
  <c r="AI650" i="5" s="1"/>
  <c r="AI678" i="5" s="1"/>
  <c r="AA530" i="5"/>
  <c r="AN638" i="5"/>
  <c r="AN644" i="5" s="1"/>
  <c r="AN650" i="5" s="1"/>
  <c r="AN678" i="5" s="1"/>
  <c r="AN684" i="5" s="1"/>
  <c r="AN690" i="5" s="1"/>
  <c r="AN718" i="5" s="1"/>
  <c r="AN724" i="5" s="1"/>
  <c r="AN730" i="5" s="1"/>
  <c r="BB598" i="5"/>
  <c r="BB604" i="5" s="1"/>
  <c r="BA604" i="5"/>
  <c r="BA610" i="5" s="1"/>
  <c r="AW598" i="5"/>
  <c r="AW604" i="5" s="1"/>
  <c r="AS604" i="5"/>
  <c r="AS610" i="5" s="1"/>
  <c r="AR524" i="5"/>
  <c r="BC518" i="5"/>
  <c r="BC524" i="5" s="1"/>
  <c r="W564" i="5"/>
  <c r="W570" i="5" s="1"/>
  <c r="Z558" i="5"/>
  <c r="Z564" i="5" s="1"/>
  <c r="O564" i="5"/>
  <c r="O570" i="5" s="1"/>
  <c r="P558" i="5"/>
  <c r="P564" i="5" s="1"/>
  <c r="AO558" i="5"/>
  <c r="AR530" i="5"/>
  <c r="AE558" i="5"/>
  <c r="AH530" i="5"/>
  <c r="Q598" i="5"/>
  <c r="U570" i="5"/>
  <c r="B598" i="5"/>
  <c r="F570" i="5"/>
  <c r="AD598" i="5"/>
  <c r="AD604" i="5" s="1"/>
  <c r="AD610" i="5" s="1"/>
  <c r="AN758" i="5" l="1"/>
  <c r="AN764" i="5" s="1"/>
  <c r="AN770" i="5" s="1"/>
  <c r="AN798" i="5" s="1"/>
  <c r="AI684" i="5"/>
  <c r="AI690" i="5" s="1"/>
  <c r="AM678" i="5"/>
  <c r="AM684" i="5" s="1"/>
  <c r="L718" i="5"/>
  <c r="L724" i="5" s="1"/>
  <c r="L730" i="5" s="1"/>
  <c r="V718" i="5"/>
  <c r="V724" i="5" s="1"/>
  <c r="V730" i="5" s="1"/>
  <c r="G678" i="5"/>
  <c r="K650" i="5"/>
  <c r="AM650" i="5"/>
  <c r="F598" i="5"/>
  <c r="F604" i="5" s="1"/>
  <c r="B604" i="5"/>
  <c r="B610" i="5" s="1"/>
  <c r="U598" i="5"/>
  <c r="U604" i="5" s="1"/>
  <c r="Q604" i="5"/>
  <c r="Q610" i="5" s="1"/>
  <c r="BC530" i="5"/>
  <c r="AS638" i="5"/>
  <c r="AW610" i="5"/>
  <c r="AD638" i="5"/>
  <c r="AD644" i="5" s="1"/>
  <c r="AD650" i="5" s="1"/>
  <c r="AD678" i="5" s="1"/>
  <c r="AD684" i="5" s="1"/>
  <c r="AD690" i="5" s="1"/>
  <c r="AD718" i="5" s="1"/>
  <c r="AD724" i="5" s="1"/>
  <c r="AD730" i="5" s="1"/>
  <c r="BA638" i="5"/>
  <c r="BB610" i="5"/>
  <c r="O598" i="5"/>
  <c r="P570" i="5"/>
  <c r="W598" i="5"/>
  <c r="Z570" i="5"/>
  <c r="AO564" i="5"/>
  <c r="AO570" i="5" s="1"/>
  <c r="AR558" i="5"/>
  <c r="AA558" i="5"/>
  <c r="AA564" i="5" s="1"/>
  <c r="AE564" i="5"/>
  <c r="AE570" i="5" s="1"/>
  <c r="AH558" i="5"/>
  <c r="AH564" i="5" s="1"/>
  <c r="V758" i="5" l="1"/>
  <c r="L758" i="5"/>
  <c r="AD758" i="5"/>
  <c r="AD764" i="5" s="1"/>
  <c r="AD770" i="5" s="1"/>
  <c r="AI718" i="5"/>
  <c r="AM690" i="5"/>
  <c r="K678" i="5"/>
  <c r="K684" i="5" s="1"/>
  <c r="G684" i="5"/>
  <c r="G690" i="5" s="1"/>
  <c r="AW638" i="5"/>
  <c r="AW644" i="5" s="1"/>
  <c r="AS644" i="5"/>
  <c r="AS650" i="5" s="1"/>
  <c r="AS678" i="5" s="1"/>
  <c r="BB638" i="5"/>
  <c r="BB644" i="5" s="1"/>
  <c r="BA644" i="5"/>
  <c r="BA650" i="5" s="1"/>
  <c r="BA678" i="5" s="1"/>
  <c r="U610" i="5"/>
  <c r="Q638" i="5"/>
  <c r="Z598" i="5"/>
  <c r="W604" i="5"/>
  <c r="W610" i="5" s="1"/>
  <c r="P598" i="5"/>
  <c r="P604" i="5" s="1"/>
  <c r="O604" i="5"/>
  <c r="O610" i="5" s="1"/>
  <c r="F610" i="5"/>
  <c r="B638" i="5"/>
  <c r="AA570" i="5"/>
  <c r="AR564" i="5"/>
  <c r="BC558" i="5"/>
  <c r="BC564" i="5" s="1"/>
  <c r="AO598" i="5"/>
  <c r="AR570" i="5"/>
  <c r="AE598" i="5"/>
  <c r="AH570" i="5"/>
  <c r="AD798" i="5" l="1"/>
  <c r="AM718" i="5"/>
  <c r="AM724" i="5" s="1"/>
  <c r="AI724" i="5"/>
  <c r="AI730" i="5" s="1"/>
  <c r="K690" i="5"/>
  <c r="G718" i="5"/>
  <c r="BA684" i="5"/>
  <c r="BA690" i="5" s="1"/>
  <c r="BB678" i="5"/>
  <c r="BB684" i="5" s="1"/>
  <c r="AS684" i="5"/>
  <c r="AS690" i="5" s="1"/>
  <c r="AW678" i="5"/>
  <c r="AW684" i="5" s="1"/>
  <c r="U638" i="5"/>
  <c r="U644" i="5" s="1"/>
  <c r="Q644" i="5"/>
  <c r="Q650" i="5" s="1"/>
  <c r="F638" i="5"/>
  <c r="F644" i="5" s="1"/>
  <c r="B644" i="5"/>
  <c r="B650" i="5" s="1"/>
  <c r="AW650" i="5"/>
  <c r="BB650" i="5"/>
  <c r="W638" i="5"/>
  <c r="Z610" i="5"/>
  <c r="O638" i="5"/>
  <c r="P610" i="5"/>
  <c r="AA598" i="5"/>
  <c r="AA604" i="5" s="1"/>
  <c r="Z604" i="5"/>
  <c r="BC570" i="5"/>
  <c r="AH598" i="5"/>
  <c r="AH604" i="5" s="1"/>
  <c r="AE604" i="5"/>
  <c r="AE610" i="5" s="1"/>
  <c r="AR598" i="5"/>
  <c r="AR604" i="5" s="1"/>
  <c r="AO604" i="5"/>
  <c r="AO610" i="5" s="1"/>
  <c r="K718" i="5" l="1"/>
  <c r="K724" i="5" s="1"/>
  <c r="G724" i="5"/>
  <c r="G730" i="5" s="1"/>
  <c r="AI758" i="5"/>
  <c r="AM730" i="5"/>
  <c r="BA718" i="5"/>
  <c r="BB690" i="5"/>
  <c r="AW690" i="5"/>
  <c r="AS718" i="5"/>
  <c r="P638" i="5"/>
  <c r="P644" i="5" s="1"/>
  <c r="O644" i="5"/>
  <c r="O650" i="5" s="1"/>
  <c r="Z638" i="5"/>
  <c r="Z644" i="5" s="1"/>
  <c r="W644" i="5"/>
  <c r="W650" i="5" s="1"/>
  <c r="Q678" i="5"/>
  <c r="U650" i="5"/>
  <c r="B678" i="5"/>
  <c r="F650" i="5"/>
  <c r="AA610" i="5"/>
  <c r="AO638" i="5"/>
  <c r="AR610" i="5"/>
  <c r="AE638" i="5"/>
  <c r="AH610" i="5"/>
  <c r="BC598" i="5"/>
  <c r="BC604" i="5" s="1"/>
  <c r="AM758" i="5" l="1"/>
  <c r="AM764" i="5" s="1"/>
  <c r="AI764" i="5"/>
  <c r="AI770" i="5" s="1"/>
  <c r="G758" i="5"/>
  <c r="K758" i="5" s="1"/>
  <c r="K764" i="5" s="1"/>
  <c r="K730" i="5"/>
  <c r="BB718" i="5"/>
  <c r="BB724" i="5" s="1"/>
  <c r="BA724" i="5"/>
  <c r="BA730" i="5" s="1"/>
  <c r="AW718" i="5"/>
  <c r="AW724" i="5" s="1"/>
  <c r="AS724" i="5"/>
  <c r="AS730" i="5" s="1"/>
  <c r="F678" i="5"/>
  <c r="F684" i="5" s="1"/>
  <c r="B684" i="5"/>
  <c r="B690" i="5" s="1"/>
  <c r="U678" i="5"/>
  <c r="U684" i="5" s="1"/>
  <c r="Q684" i="5"/>
  <c r="Q690" i="5" s="1"/>
  <c r="AA638" i="5"/>
  <c r="AA644" i="5" s="1"/>
  <c r="O678" i="5"/>
  <c r="P650" i="5"/>
  <c r="W678" i="5"/>
  <c r="Z650" i="5"/>
  <c r="AH638" i="5"/>
  <c r="AH644" i="5" s="1"/>
  <c r="AE644" i="5"/>
  <c r="AE650" i="5" s="1"/>
  <c r="AE678" i="5" s="1"/>
  <c r="AR638" i="5"/>
  <c r="AR644" i="5" s="1"/>
  <c r="AO644" i="5"/>
  <c r="AO650" i="5" s="1"/>
  <c r="AO678" i="5" s="1"/>
  <c r="BC610" i="5"/>
  <c r="AI798" i="5" l="1"/>
  <c r="AM798" i="5" s="1"/>
  <c r="AM770" i="5"/>
  <c r="AW730" i="5"/>
  <c r="AS758" i="5"/>
  <c r="BA758" i="5"/>
  <c r="BB730" i="5"/>
  <c r="AE684" i="5"/>
  <c r="AE690" i="5" s="1"/>
  <c r="AH678" i="5"/>
  <c r="AH684" i="5" s="1"/>
  <c r="AA650" i="5"/>
  <c r="P678" i="5"/>
  <c r="P684" i="5" s="1"/>
  <c r="O684" i="5"/>
  <c r="O690" i="5" s="1"/>
  <c r="B718" i="5"/>
  <c r="F690" i="5"/>
  <c r="AO684" i="5"/>
  <c r="AO690" i="5" s="1"/>
  <c r="AR678" i="5"/>
  <c r="Z678" i="5"/>
  <c r="Z684" i="5" s="1"/>
  <c r="W684" i="5"/>
  <c r="W690" i="5" s="1"/>
  <c r="U690" i="5"/>
  <c r="Q718" i="5"/>
  <c r="AR650" i="5"/>
  <c r="BC638" i="5"/>
  <c r="BC644" i="5" s="1"/>
  <c r="AH650" i="5"/>
  <c r="AW758" i="5" l="1"/>
  <c r="AW764" i="5" s="1"/>
  <c r="AS764" i="5"/>
  <c r="AS770" i="5" s="1"/>
  <c r="BB758" i="5"/>
  <c r="BB764" i="5" s="1"/>
  <c r="BA764" i="5"/>
  <c r="BA770" i="5" s="1"/>
  <c r="U718" i="5"/>
  <c r="U724" i="5" s="1"/>
  <c r="Q724" i="5"/>
  <c r="Q730" i="5" s="1"/>
  <c r="F718" i="5"/>
  <c r="F724" i="5" s="1"/>
  <c r="B724" i="5"/>
  <c r="B730" i="5" s="1"/>
  <c r="AE718" i="5"/>
  <c r="AH690" i="5"/>
  <c r="AA678" i="5"/>
  <c r="AA684" i="5" s="1"/>
  <c r="O718" i="5"/>
  <c r="P690" i="5"/>
  <c r="AO718" i="5"/>
  <c r="AR690" i="5"/>
  <c r="AR684" i="5"/>
  <c r="BC678" i="5"/>
  <c r="BC684" i="5" s="1"/>
  <c r="W718" i="5"/>
  <c r="Z690" i="5"/>
  <c r="AA690" i="5" s="1"/>
  <c r="BC650" i="5"/>
  <c r="AS798" i="5" l="1"/>
  <c r="AW798" i="5" s="1"/>
  <c r="AW770" i="5"/>
  <c r="BA798" i="5"/>
  <c r="BB798" i="5" s="1"/>
  <c r="BB770" i="5"/>
  <c r="Z718" i="5"/>
  <c r="Z724" i="5" s="1"/>
  <c r="W724" i="5"/>
  <c r="W730" i="5" s="1"/>
  <c r="Q758" i="5"/>
  <c r="U758" i="5" s="1"/>
  <c r="U764" i="5" s="1"/>
  <c r="U730" i="5"/>
  <c r="P718" i="5"/>
  <c r="P724" i="5" s="1"/>
  <c r="O724" i="5"/>
  <c r="O730" i="5" s="1"/>
  <c r="B758" i="5"/>
  <c r="F730" i="5"/>
  <c r="AR718" i="5"/>
  <c r="AR724" i="5" s="1"/>
  <c r="AO724" i="5"/>
  <c r="AO730" i="5" s="1"/>
  <c r="AH718" i="5"/>
  <c r="AH724" i="5" s="1"/>
  <c r="AE724" i="5"/>
  <c r="AE730" i="5" s="1"/>
  <c r="BC690" i="5"/>
  <c r="F758" i="5" l="1"/>
  <c r="F764" i="5" s="1"/>
  <c r="B764" i="5"/>
  <c r="B770" i="5" s="1"/>
  <c r="W758" i="5"/>
  <c r="Z758" i="5" s="1"/>
  <c r="Z730" i="5"/>
  <c r="BC718" i="5"/>
  <c r="BC724" i="5" s="1"/>
  <c r="AA718" i="5"/>
  <c r="AA724" i="5" s="1"/>
  <c r="O758" i="5"/>
  <c r="P758" i="5" s="1"/>
  <c r="AA758" i="5" s="1"/>
  <c r="AA764" i="5" s="1"/>
  <c r="P730" i="5"/>
  <c r="AE758" i="5"/>
  <c r="AH730" i="5"/>
  <c r="AO758" i="5"/>
  <c r="AR730" i="5"/>
  <c r="AH758" i="5" l="1"/>
  <c r="AH764" i="5" s="1"/>
  <c r="AE764" i="5"/>
  <c r="AE770" i="5" s="1"/>
  <c r="F770" i="5"/>
  <c r="AA770" i="5" s="1"/>
  <c r="B798" i="5"/>
  <c r="F798" i="5" s="1"/>
  <c r="AA798" i="5" s="1"/>
  <c r="AR758" i="5"/>
  <c r="AR764" i="5" s="1"/>
  <c r="AO764" i="5"/>
  <c r="AO770" i="5" s="1"/>
  <c r="AA730" i="5"/>
  <c r="BC730" i="5"/>
  <c r="BC758" i="5"/>
  <c r="BC764" i="5" s="1"/>
  <c r="AE798" i="5" l="1"/>
  <c r="AH798" i="5" s="1"/>
  <c r="AH770" i="5"/>
  <c r="AO798" i="5"/>
  <c r="AR798" i="5" s="1"/>
  <c r="BC798" i="5" s="1"/>
  <c r="AR770" i="5"/>
  <c r="BC770" i="5" s="1"/>
</calcChain>
</file>

<file path=xl/sharedStrings.xml><?xml version="1.0" encoding="utf-8"?>
<sst xmlns="http://schemas.openxmlformats.org/spreadsheetml/2006/main" count="2979" uniqueCount="673">
  <si>
    <t>カラー</t>
  </si>
  <si>
    <t>合計</t>
    <rPh sb="0" eb="2">
      <t>ゴウケイ</t>
    </rPh>
    <phoneticPr fontId="4"/>
  </si>
  <si>
    <t>サイズ</t>
  </si>
  <si>
    <t>M</t>
  </si>
  <si>
    <t>L</t>
  </si>
  <si>
    <t>LL</t>
  </si>
  <si>
    <t>計</t>
    <rPh sb="0" eb="1">
      <t>ケイ</t>
    </rPh>
    <phoneticPr fontId="4"/>
  </si>
  <si>
    <t>追加１</t>
    <rPh sb="0" eb="2">
      <t>ツイカ</t>
    </rPh>
    <phoneticPr fontId="4"/>
  </si>
  <si>
    <t>追加２</t>
    <rPh sb="0" eb="2">
      <t>ツイカ</t>
    </rPh>
    <phoneticPr fontId="4"/>
  </si>
  <si>
    <t>追加３</t>
    <rPh sb="0" eb="2">
      <t>ツイカ</t>
    </rPh>
    <phoneticPr fontId="4"/>
  </si>
  <si>
    <t>追加４</t>
    <rPh sb="0" eb="2">
      <t>ツイカ</t>
    </rPh>
    <phoneticPr fontId="4"/>
  </si>
  <si>
    <t>追加５</t>
    <rPh sb="0" eb="2">
      <t>ツイカ</t>
    </rPh>
    <phoneticPr fontId="4"/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</si>
  <si>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</si>
  <si>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</si>
  <si>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ゆめはん在庫</t>
    <rPh sb="4" eb="6">
      <t>ザイコ</t>
    </rPh>
    <phoneticPr fontId="1"/>
  </si>
  <si>
    <t>初回</t>
    <rPh sb="0" eb="2">
      <t>ショカイ</t>
    </rPh>
    <phoneticPr fontId="4"/>
  </si>
  <si>
    <t>総在庫</t>
    <rPh sb="0" eb="1">
      <t>ソウ</t>
    </rPh>
    <rPh sb="1" eb="3">
      <t>ザイコ</t>
    </rPh>
    <phoneticPr fontId="1"/>
  </si>
  <si>
    <t>KPORT在庫</t>
    <rPh sb="5" eb="7">
      <t>ザイコ</t>
    </rPh>
    <phoneticPr fontId="1"/>
  </si>
  <si>
    <t>スタイリッシュ（BK/NV/GY)</t>
    <phoneticPr fontId="1"/>
  </si>
  <si>
    <t>ベーシック(PK/BE/BK)</t>
    <phoneticPr fontId="1"/>
  </si>
  <si>
    <t>3L</t>
    <phoneticPr fontId="1"/>
  </si>
  <si>
    <t>初回３-1</t>
    <rPh sb="0" eb="2">
      <t>ショカイ</t>
    </rPh>
    <phoneticPr fontId="4"/>
  </si>
  <si>
    <t>モダールコットン　ショーツ　夢販在庫</t>
    <rPh sb="14" eb="16">
      <t>ユメハン</t>
    </rPh>
    <rPh sb="16" eb="18">
      <t>ザイコ</t>
    </rPh>
    <phoneticPr fontId="4"/>
  </si>
  <si>
    <t>ベージュ</t>
    <phoneticPr fontId="1"/>
  </si>
  <si>
    <t>ピンク</t>
    <phoneticPr fontId="1"/>
  </si>
  <si>
    <t>グレー</t>
    <phoneticPr fontId="1"/>
  </si>
  <si>
    <t>ネイビー</t>
    <phoneticPr fontId="1"/>
  </si>
  <si>
    <t>ブラック</t>
    <phoneticPr fontId="1"/>
  </si>
  <si>
    <t>事前搬入9/7、本番10/3～</t>
    <rPh sb="0" eb="4">
      <t>ジゼンハンニュウ</t>
    </rPh>
    <rPh sb="8" eb="10">
      <t>ホンバン</t>
    </rPh>
    <phoneticPr fontId="1"/>
  </si>
  <si>
    <t>ディノス①</t>
    <phoneticPr fontId="1"/>
  </si>
  <si>
    <t>JODメルシー0901</t>
    <phoneticPr fontId="1"/>
  </si>
  <si>
    <t>9/1～</t>
    <phoneticPr fontId="1"/>
  </si>
  <si>
    <t>アテニア12月号</t>
    <rPh sb="6" eb="8">
      <t>ガツゴウ</t>
    </rPh>
    <phoneticPr fontId="1"/>
  </si>
  <si>
    <t>JOD5色組①</t>
    <rPh sb="4" eb="6">
      <t>ショクグミ</t>
    </rPh>
    <phoneticPr fontId="1"/>
  </si>
  <si>
    <t>発注数</t>
    <rPh sb="0" eb="3">
      <t>ハッチュウスウ</t>
    </rPh>
    <phoneticPr fontId="1"/>
  </si>
  <si>
    <t>夢販</t>
    <rPh sb="0" eb="2">
      <t>ユメハン</t>
    </rPh>
    <phoneticPr fontId="1"/>
  </si>
  <si>
    <t>過不足</t>
    <rPh sb="0" eb="3">
      <t>カブソク</t>
    </rPh>
    <phoneticPr fontId="4"/>
  </si>
  <si>
    <t>19860×330＝6553800</t>
    <phoneticPr fontId="1"/>
  </si>
  <si>
    <t>税込￥7209180</t>
    <rPh sb="0" eb="2">
      <t>ゼイコ</t>
    </rPh>
    <phoneticPr fontId="1"/>
  </si>
  <si>
    <t>2400千</t>
    <rPh sb="4" eb="5">
      <t>セン</t>
    </rPh>
    <phoneticPr fontId="1"/>
  </si>
  <si>
    <t>２４００千</t>
    <rPh sb="4" eb="5">
      <t>セン</t>
    </rPh>
    <phoneticPr fontId="1"/>
  </si>
  <si>
    <t>②１月末支払い</t>
    <rPh sb="2" eb="3">
      <t>ガツ</t>
    </rPh>
    <rPh sb="3" eb="4">
      <t>マツ</t>
    </rPh>
    <rPh sb="4" eb="6">
      <t>シハラ</t>
    </rPh>
    <phoneticPr fontId="1"/>
  </si>
  <si>
    <t>①10月末支払い</t>
    <rPh sb="3" eb="4">
      <t>ゲツ</t>
    </rPh>
    <rPh sb="4" eb="5">
      <t>マツ</t>
    </rPh>
    <rPh sb="5" eb="7">
      <t>シハラ</t>
    </rPh>
    <phoneticPr fontId="1"/>
  </si>
  <si>
    <t>ネット</t>
    <phoneticPr fontId="1"/>
  </si>
  <si>
    <t>モダールコットン　ショーツ SMR0414</t>
    <phoneticPr fontId="4"/>
  </si>
  <si>
    <t>モダールコットン　ショーツ SMR0414　夢販在庫</t>
    <rPh sb="22" eb="24">
      <t>ユメハン</t>
    </rPh>
    <rPh sb="24" eb="26">
      <t>ザイコ</t>
    </rPh>
    <phoneticPr fontId="4"/>
  </si>
  <si>
    <t>JOD5色組②</t>
    <rPh sb="4" eb="6">
      <t>ショクグミ</t>
    </rPh>
    <phoneticPr fontId="1"/>
  </si>
  <si>
    <t>コープきんき選定会議用sample①</t>
    <rPh sb="6" eb="11">
      <t>センテイカイギヨウ</t>
    </rPh>
    <phoneticPr fontId="1"/>
  </si>
  <si>
    <t>コープきんき選定会議用sample②</t>
    <rPh sb="6" eb="11">
      <t>センテイカイギヨウ</t>
    </rPh>
    <phoneticPr fontId="1"/>
  </si>
  <si>
    <t>JOD5色組③</t>
    <rPh sb="4" eb="6">
      <t>ショクグミ</t>
    </rPh>
    <phoneticPr fontId="1"/>
  </si>
  <si>
    <t>はぴねすくらぶ12月号</t>
    <rPh sb="9" eb="10">
      <t>ガツ</t>
    </rPh>
    <rPh sb="10" eb="11">
      <t>ゴウ</t>
    </rPh>
    <phoneticPr fontId="1"/>
  </si>
  <si>
    <t>12/1～</t>
    <phoneticPr fontId="1"/>
  </si>
  <si>
    <t>JOD特別版1008</t>
    <rPh sb="3" eb="6">
      <t>トクベツバン</t>
    </rPh>
    <phoneticPr fontId="1"/>
  </si>
  <si>
    <t>10/7～</t>
    <phoneticPr fontId="1"/>
  </si>
  <si>
    <t>2023/9/19済</t>
    <rPh sb="9" eb="10">
      <t>スミ</t>
    </rPh>
    <phoneticPr fontId="1"/>
  </si>
  <si>
    <t>2023/9/19済伝</t>
    <rPh sb="9" eb="10">
      <t>スミ</t>
    </rPh>
    <rPh sb="10" eb="11">
      <t>デン</t>
    </rPh>
    <phoneticPr fontId="1"/>
  </si>
  <si>
    <t>2023/9/5済伝</t>
    <rPh sb="8" eb="9">
      <t>スミ</t>
    </rPh>
    <rPh sb="9" eb="10">
      <t>デン</t>
    </rPh>
    <phoneticPr fontId="1"/>
  </si>
  <si>
    <t>1回目5200枚分お支払い</t>
    <rPh sb="1" eb="3">
      <t>カイメ</t>
    </rPh>
    <rPh sb="7" eb="8">
      <t>マイ</t>
    </rPh>
    <rPh sb="8" eb="9">
      <t>ブン</t>
    </rPh>
    <rPh sb="10" eb="12">
      <t>シハラ</t>
    </rPh>
    <phoneticPr fontId="1"/>
  </si>
  <si>
    <t>ディノス②</t>
    <phoneticPr fontId="1"/>
  </si>
  <si>
    <t>JOD5色組④</t>
    <rPh sb="4" eb="6">
      <t>ショクグミ</t>
    </rPh>
    <phoneticPr fontId="1"/>
  </si>
  <si>
    <t>ディノス③</t>
    <phoneticPr fontId="1"/>
  </si>
  <si>
    <t>追加</t>
    <rPh sb="0" eb="2">
      <t>ツイカ</t>
    </rPh>
    <phoneticPr fontId="1"/>
  </si>
  <si>
    <t>ディノス④</t>
    <phoneticPr fontId="1"/>
  </si>
  <si>
    <t>ディノス23冬号￥3600</t>
    <rPh sb="6" eb="8">
      <t>フユゴウ</t>
    </rPh>
    <phoneticPr fontId="1"/>
  </si>
  <si>
    <t>ディノス24春号￥3600</t>
    <rPh sb="6" eb="8">
      <t>ハルゴウ</t>
    </rPh>
    <phoneticPr fontId="1"/>
  </si>
  <si>
    <t>1/9～6/30</t>
    <phoneticPr fontId="1"/>
  </si>
  <si>
    <t>JOD5色組⑤</t>
    <rPh sb="4" eb="6">
      <t>ショクグミ</t>
    </rPh>
    <phoneticPr fontId="1"/>
  </si>
  <si>
    <t>ディノス⑤</t>
    <phoneticPr fontId="1"/>
  </si>
  <si>
    <t>ディノス⑥</t>
    <phoneticPr fontId="1"/>
  </si>
  <si>
    <t>モダールコットン　ショーツ@345 5P￥4990～5800　　　　　　　KPORT在庫</t>
    <rPh sb="42" eb="44">
      <t>ザイコ</t>
    </rPh>
    <phoneticPr fontId="4"/>
  </si>
  <si>
    <t>モダールコットン　ショーツ@345 3p￥2990～￥3600</t>
    <phoneticPr fontId="4"/>
  </si>
  <si>
    <t>JOD5色組⑥</t>
    <rPh sb="4" eb="6">
      <t>ショクグミ</t>
    </rPh>
    <phoneticPr fontId="1"/>
  </si>
  <si>
    <t>JOD5色組⑦</t>
    <rPh sb="4" eb="6">
      <t>ショクグミ</t>
    </rPh>
    <phoneticPr fontId="1"/>
  </si>
  <si>
    <t>ディノス⑦</t>
    <phoneticPr fontId="1"/>
  </si>
  <si>
    <t>JOD5色組⑧</t>
    <rPh sb="4" eb="6">
      <t>ショクグミ</t>
    </rPh>
    <phoneticPr fontId="1"/>
  </si>
  <si>
    <t>千趣会①</t>
    <rPh sb="0" eb="3">
      <t>センシュカイ</t>
    </rPh>
    <phoneticPr fontId="1"/>
  </si>
  <si>
    <t>JOD5色組⑨</t>
    <rPh sb="4" eb="6">
      <t>ショクグミ</t>
    </rPh>
    <phoneticPr fontId="1"/>
  </si>
  <si>
    <t>JOD5色組⑩</t>
    <rPh sb="4" eb="6">
      <t>ショクグミ</t>
    </rPh>
    <phoneticPr fontId="1"/>
  </si>
  <si>
    <t>JOD5色組⑪</t>
    <rPh sb="4" eb="6">
      <t>ショクグミ</t>
    </rPh>
    <phoneticPr fontId="1"/>
  </si>
  <si>
    <t>千趣会②</t>
    <rPh sb="0" eb="3">
      <t>センシュカイ</t>
    </rPh>
    <phoneticPr fontId="1"/>
  </si>
  <si>
    <t>ディノス⑧</t>
    <phoneticPr fontId="1"/>
  </si>
  <si>
    <t>パルシステム（本條さん）</t>
    <rPh sb="7" eb="9">
      <t>ホンジョウ</t>
    </rPh>
    <phoneticPr fontId="1"/>
  </si>
  <si>
    <t>ディノス⑨</t>
    <phoneticPr fontId="1"/>
  </si>
  <si>
    <t>ディノス⑩</t>
    <phoneticPr fontId="1"/>
  </si>
  <si>
    <t>JOD5色組⑫</t>
    <rPh sb="4" eb="6">
      <t>ショクグミ</t>
    </rPh>
    <phoneticPr fontId="1"/>
  </si>
  <si>
    <t>JOD5色組⑬</t>
    <rPh sb="4" eb="6">
      <t>ショクグミ</t>
    </rPh>
    <phoneticPr fontId="1"/>
  </si>
  <si>
    <t>くらし企画（藤田さん）</t>
    <rPh sb="3" eb="5">
      <t>キカク</t>
    </rPh>
    <rPh sb="6" eb="8">
      <t>フジタ</t>
    </rPh>
    <phoneticPr fontId="1"/>
  </si>
  <si>
    <t>JOD返品</t>
    <rPh sb="3" eb="5">
      <t>ヘンピン</t>
    </rPh>
    <phoneticPr fontId="4"/>
  </si>
  <si>
    <t>千趣会③</t>
    <rPh sb="0" eb="3">
      <t>センシュカイ</t>
    </rPh>
    <phoneticPr fontId="1"/>
  </si>
  <si>
    <t>ディノス24夏号￥3600</t>
    <rPh sb="6" eb="7">
      <t>ナツ</t>
    </rPh>
    <rPh sb="7" eb="8">
      <t>ゴウ</t>
    </rPh>
    <phoneticPr fontId="1"/>
  </si>
  <si>
    <t>4/2～</t>
    <phoneticPr fontId="1"/>
  </si>
  <si>
    <t>アテニア12月号①</t>
    <rPh sb="6" eb="8">
      <t>ガツゴウ</t>
    </rPh>
    <phoneticPr fontId="1"/>
  </si>
  <si>
    <t>アテニア12月号②</t>
    <rPh sb="6" eb="8">
      <t>ガツゴウ</t>
    </rPh>
    <phoneticPr fontId="1"/>
  </si>
  <si>
    <t>アテニア12月5日以降追加予定</t>
    <rPh sb="6" eb="7">
      <t>ガツ</t>
    </rPh>
    <rPh sb="8" eb="9">
      <t>カ</t>
    </rPh>
    <rPh sb="9" eb="11">
      <t>イコウ</t>
    </rPh>
    <rPh sb="11" eb="13">
      <t>ツイカ</t>
    </rPh>
    <rPh sb="13" eb="15">
      <t>ヨテイ</t>
    </rPh>
    <phoneticPr fontId="1"/>
  </si>
  <si>
    <t>アテニア12月号③</t>
    <rPh sb="6" eb="8">
      <t>ガツゴウ</t>
    </rPh>
    <phoneticPr fontId="1"/>
  </si>
  <si>
    <t>千趣会④</t>
    <rPh sb="0" eb="3">
      <t>センシュカイ</t>
    </rPh>
    <phoneticPr fontId="1"/>
  </si>
  <si>
    <t>西夢</t>
    <rPh sb="0" eb="2">
      <t>ニシユメ</t>
    </rPh>
    <phoneticPr fontId="1"/>
  </si>
  <si>
    <t>はぴねすくらぶ12月号①</t>
    <rPh sb="9" eb="10">
      <t>ガツ</t>
    </rPh>
    <rPh sb="10" eb="11">
      <t>ゴウ</t>
    </rPh>
    <phoneticPr fontId="1"/>
  </si>
  <si>
    <t>アテニアsample</t>
    <phoneticPr fontId="1"/>
  </si>
  <si>
    <t>ディノス⑪</t>
    <phoneticPr fontId="1"/>
  </si>
  <si>
    <t>点1/18、アバウト2/6、本2/7～17</t>
    <rPh sb="0" eb="1">
      <t>テン</t>
    </rPh>
    <rPh sb="14" eb="15">
      <t>ホン</t>
    </rPh>
    <phoneticPr fontId="1"/>
  </si>
  <si>
    <t>４月納品</t>
    <rPh sb="1" eb="2">
      <t>ガツ</t>
    </rPh>
    <rPh sb="2" eb="4">
      <t>ノウヒン</t>
    </rPh>
    <phoneticPr fontId="1"/>
  </si>
  <si>
    <t>ディノス24春号￥3600差分予測</t>
    <rPh sb="6" eb="8">
      <t>ハルゴウ</t>
    </rPh>
    <rPh sb="13" eb="17">
      <t>サブンヨソク</t>
    </rPh>
    <phoneticPr fontId="1"/>
  </si>
  <si>
    <t>ディノス24夏号￥3600差分予測</t>
    <rPh sb="6" eb="7">
      <t>ナツ</t>
    </rPh>
    <rPh sb="7" eb="8">
      <t>ゴウ</t>
    </rPh>
    <rPh sb="13" eb="17">
      <t>サブンヨソク</t>
    </rPh>
    <phoneticPr fontId="1"/>
  </si>
  <si>
    <t>コープきんき2月2回¥2980（単品そのまま不透明袋）</t>
    <rPh sb="7" eb="8">
      <t>ガツ</t>
    </rPh>
    <rPh sb="9" eb="10">
      <t>カイ</t>
    </rPh>
    <rPh sb="16" eb="18">
      <t>タンピン</t>
    </rPh>
    <rPh sb="22" eb="26">
      <t>フトウメイフクロ</t>
    </rPh>
    <phoneticPr fontId="1"/>
  </si>
  <si>
    <t>確保　アテニア</t>
    <rPh sb="0" eb="2">
      <t>カクホ</t>
    </rPh>
    <phoneticPr fontId="1"/>
  </si>
  <si>
    <t>ディノス⑫</t>
    <phoneticPr fontId="1"/>
  </si>
  <si>
    <t>ディノス⑬</t>
    <phoneticPr fontId="1"/>
  </si>
  <si>
    <t>はぴねすくらぶ12月号②</t>
    <rPh sb="9" eb="10">
      <t>ガツ</t>
    </rPh>
    <rPh sb="10" eb="11">
      <t>ゴウ</t>
    </rPh>
    <phoneticPr fontId="1"/>
  </si>
  <si>
    <t>千趣会⑤</t>
    <rPh sb="0" eb="3">
      <t>センシュカイ</t>
    </rPh>
    <phoneticPr fontId="1"/>
  </si>
  <si>
    <t>ディノス⑭</t>
    <phoneticPr fontId="1"/>
  </si>
  <si>
    <t>IEI4月号sample</t>
    <rPh sb="4" eb="6">
      <t>ガツゴウ</t>
    </rPh>
    <phoneticPr fontId="1"/>
  </si>
  <si>
    <t>JOD5色組⑭</t>
    <rPh sb="4" eb="6">
      <t>ショクグミ</t>
    </rPh>
    <phoneticPr fontId="1"/>
  </si>
  <si>
    <t>JOD櫻井さんベーシック3色組</t>
    <rPh sb="3" eb="5">
      <t>サクライ</t>
    </rPh>
    <rPh sb="13" eb="15">
      <t>ショククミ</t>
    </rPh>
    <phoneticPr fontId="1"/>
  </si>
  <si>
    <t>はぴねすくらぶ12月号③</t>
    <rPh sb="9" eb="10">
      <t>ガツ</t>
    </rPh>
    <rPh sb="10" eb="11">
      <t>ゴウ</t>
    </rPh>
    <phoneticPr fontId="1"/>
  </si>
  <si>
    <t>千趣会⑥</t>
    <rPh sb="0" eb="3">
      <t>センシュカイ</t>
    </rPh>
    <phoneticPr fontId="1"/>
  </si>
  <si>
    <t>確保　アテニア分KPORTヘ</t>
    <rPh sb="0" eb="2">
      <t>カクホ</t>
    </rPh>
    <rPh sb="7" eb="8">
      <t>ブン</t>
    </rPh>
    <phoneticPr fontId="1"/>
  </si>
  <si>
    <t>アテニア12月号④</t>
    <rPh sb="6" eb="8">
      <t>ガツゴウ</t>
    </rPh>
    <phoneticPr fontId="1"/>
  </si>
  <si>
    <t>はぴねすくらぶ12月号④</t>
    <rPh sb="9" eb="10">
      <t>ガツ</t>
    </rPh>
    <rPh sb="10" eb="11">
      <t>ゴウ</t>
    </rPh>
    <phoneticPr fontId="1"/>
  </si>
  <si>
    <t>はぴねすくらぶ12月号⑤</t>
    <rPh sb="9" eb="10">
      <t>ガツ</t>
    </rPh>
    <rPh sb="10" eb="11">
      <t>ゴウ</t>
    </rPh>
    <phoneticPr fontId="1"/>
  </si>
  <si>
    <t>ディノス⑮</t>
    <phoneticPr fontId="1"/>
  </si>
  <si>
    <t>2回目5000枚分</t>
    <rPh sb="1" eb="3">
      <t>カイメ</t>
    </rPh>
    <rPh sb="7" eb="9">
      <t>マイブン</t>
    </rPh>
    <phoneticPr fontId="1"/>
  </si>
  <si>
    <t>JOD5色組⑮</t>
    <rPh sb="4" eb="6">
      <t>ショクグミ</t>
    </rPh>
    <phoneticPr fontId="1"/>
  </si>
  <si>
    <t>千趣会⑦</t>
    <rPh sb="0" eb="3">
      <t>センシュカイ</t>
    </rPh>
    <phoneticPr fontId="1"/>
  </si>
  <si>
    <t>ネット</t>
  </si>
  <si>
    <t>ディノス⑯</t>
    <phoneticPr fontId="1"/>
  </si>
  <si>
    <t>ディノス⑰</t>
    <phoneticPr fontId="1"/>
  </si>
  <si>
    <t>2/24～</t>
    <phoneticPr fontId="1"/>
  </si>
  <si>
    <t>ディノス⑱</t>
    <phoneticPr fontId="1"/>
  </si>
  <si>
    <t>ディノス⑲</t>
    <phoneticPr fontId="1"/>
  </si>
  <si>
    <t>オバタsample</t>
    <phoneticPr fontId="1"/>
  </si>
  <si>
    <t>IEI使ってヨカッタ4月号5色組</t>
    <rPh sb="3" eb="4">
      <t>ツカ</t>
    </rPh>
    <rPh sb="11" eb="13">
      <t>ガツゴウ</t>
    </rPh>
    <rPh sb="14" eb="16">
      <t>ショククミ</t>
    </rPh>
    <phoneticPr fontId="1"/>
  </si>
  <si>
    <t>4/8～</t>
    <phoneticPr fontId="1"/>
  </si>
  <si>
    <t>アテニア5月号3色組４月納品予定</t>
    <rPh sb="5" eb="7">
      <t>ガツゴウ</t>
    </rPh>
    <rPh sb="8" eb="10">
      <t>ショククミ</t>
    </rPh>
    <rPh sb="11" eb="12">
      <t>ガツ</t>
    </rPh>
    <rPh sb="12" eb="14">
      <t>ノウヒン</t>
    </rPh>
    <rPh sb="14" eb="16">
      <t>ヨテイ</t>
    </rPh>
    <phoneticPr fontId="1"/>
  </si>
  <si>
    <t>コープきんき2月2回差分予測　（スタイリッシュ）</t>
    <rPh sb="10" eb="14">
      <t>サブンヨソク</t>
    </rPh>
    <phoneticPr fontId="1"/>
  </si>
  <si>
    <t>コープきんき2月2回差分予測　（ベーシック）</t>
    <rPh sb="10" eb="14">
      <t>サブンヨソク</t>
    </rPh>
    <phoneticPr fontId="1"/>
  </si>
  <si>
    <t>ディノス⑳</t>
    <phoneticPr fontId="1"/>
  </si>
  <si>
    <t>JODメルシー0224（スタイリッシュ）</t>
    <phoneticPr fontId="1"/>
  </si>
  <si>
    <t>JODメルシー0224（ベーシック）</t>
    <phoneticPr fontId="1"/>
  </si>
  <si>
    <t>ディノス㉑</t>
    <phoneticPr fontId="1"/>
  </si>
  <si>
    <t>はぴねすくらぶ12月号⑥</t>
    <rPh sb="9" eb="10">
      <t>ガツ</t>
    </rPh>
    <rPh sb="10" eb="11">
      <t>ゴウ</t>
    </rPh>
    <phoneticPr fontId="1"/>
  </si>
  <si>
    <t>コープきんき2月2回¥2980（単品そのまま不透明袋）ベーシック①</t>
    <rPh sb="7" eb="8">
      <t>ガツ</t>
    </rPh>
    <rPh sb="9" eb="10">
      <t>カイ</t>
    </rPh>
    <rPh sb="16" eb="18">
      <t>タンピン</t>
    </rPh>
    <rPh sb="22" eb="26">
      <t>フトウメイフクロ</t>
    </rPh>
    <phoneticPr fontId="1"/>
  </si>
  <si>
    <t>コープきんき2月2回¥2980（単品そのまま不透明袋）スタイリッシュ①</t>
    <rPh sb="7" eb="8">
      <t>ガツ</t>
    </rPh>
    <rPh sb="9" eb="10">
      <t>カイ</t>
    </rPh>
    <rPh sb="16" eb="18">
      <t>タンピン</t>
    </rPh>
    <rPh sb="22" eb="26">
      <t>フトウメイフクロ</t>
    </rPh>
    <phoneticPr fontId="1"/>
  </si>
  <si>
    <t>ディノス㉒</t>
    <phoneticPr fontId="1"/>
  </si>
  <si>
    <t>ディノス㉓</t>
    <phoneticPr fontId="1"/>
  </si>
  <si>
    <t>ディノス㉔</t>
    <phoneticPr fontId="1"/>
  </si>
  <si>
    <t>ディノス㉕</t>
    <phoneticPr fontId="1"/>
  </si>
  <si>
    <t>千趣会⑧</t>
    <rPh sb="0" eb="3">
      <t>センシュカイ</t>
    </rPh>
    <phoneticPr fontId="1"/>
  </si>
  <si>
    <t>ディノス㉖</t>
    <phoneticPr fontId="1"/>
  </si>
  <si>
    <t>はぴねすくらぶ12月号⑦</t>
    <rPh sb="9" eb="10">
      <t>ガツ</t>
    </rPh>
    <rPh sb="10" eb="11">
      <t>ゴウ</t>
    </rPh>
    <phoneticPr fontId="1"/>
  </si>
  <si>
    <t>ディノス㉗</t>
    <phoneticPr fontId="1"/>
  </si>
  <si>
    <t>ディノス㉘</t>
    <phoneticPr fontId="1"/>
  </si>
  <si>
    <t>コープきんき2月2回¥2980（単品そのまま不透明袋）ベーシック②</t>
    <rPh sb="7" eb="8">
      <t>ガツ</t>
    </rPh>
    <rPh sb="9" eb="10">
      <t>カイ</t>
    </rPh>
    <rPh sb="16" eb="18">
      <t>タンピン</t>
    </rPh>
    <rPh sb="22" eb="26">
      <t>フトウメイフクロ</t>
    </rPh>
    <phoneticPr fontId="1"/>
  </si>
  <si>
    <t>コープきんき2月2回¥2980（単品そのまま不透明袋）スタイリッシュ②</t>
    <rPh sb="7" eb="8">
      <t>ガツ</t>
    </rPh>
    <rPh sb="9" eb="10">
      <t>カイ</t>
    </rPh>
    <rPh sb="16" eb="18">
      <t>タンピン</t>
    </rPh>
    <rPh sb="22" eb="26">
      <t>フトウメイフクロ</t>
    </rPh>
    <phoneticPr fontId="1"/>
  </si>
  <si>
    <t>コープきんき2月2回¥2980（単品そのまま不透明袋）ベーシック③</t>
    <rPh sb="7" eb="8">
      <t>ガツ</t>
    </rPh>
    <rPh sb="9" eb="10">
      <t>カイ</t>
    </rPh>
    <rPh sb="16" eb="18">
      <t>タンピン</t>
    </rPh>
    <rPh sb="22" eb="26">
      <t>フトウメイフクロ</t>
    </rPh>
    <phoneticPr fontId="1"/>
  </si>
  <si>
    <t>コープきんき2月2回¥2980（単品そのまま不透明袋）スタイリッシュ③</t>
    <rPh sb="7" eb="8">
      <t>ガツ</t>
    </rPh>
    <rPh sb="9" eb="10">
      <t>カイ</t>
    </rPh>
    <rPh sb="16" eb="18">
      <t>タンピン</t>
    </rPh>
    <rPh sb="22" eb="26">
      <t>フトウメイフクロ</t>
    </rPh>
    <phoneticPr fontId="1"/>
  </si>
  <si>
    <t>コープきんき2月2回¥2980（単品そのまま不透明袋）ベーシック②再納品</t>
    <rPh sb="7" eb="8">
      <t>ガツ</t>
    </rPh>
    <rPh sb="9" eb="10">
      <t>カイ</t>
    </rPh>
    <rPh sb="16" eb="18">
      <t>タンピン</t>
    </rPh>
    <rPh sb="22" eb="26">
      <t>フトウメイフクロ</t>
    </rPh>
    <rPh sb="33" eb="36">
      <t>サイノウヒン</t>
    </rPh>
    <phoneticPr fontId="1"/>
  </si>
  <si>
    <t>コープきんき2月2回¥2980（単品そのまま不透明袋）スタイリッシュ②再納品</t>
    <rPh sb="7" eb="8">
      <t>ガツ</t>
    </rPh>
    <rPh sb="9" eb="10">
      <t>カイ</t>
    </rPh>
    <rPh sb="16" eb="18">
      <t>タンピン</t>
    </rPh>
    <rPh sb="22" eb="26">
      <t>フトウメイフクロ</t>
    </rPh>
    <rPh sb="35" eb="38">
      <t>サイノウヒン</t>
    </rPh>
    <phoneticPr fontId="1"/>
  </si>
  <si>
    <t>くらし返品</t>
    <rPh sb="3" eb="5">
      <t>ヘンピン</t>
    </rPh>
    <phoneticPr fontId="4"/>
  </si>
  <si>
    <t>コープきんき2月2回¥2980（単品そのまま不透明袋）ベーシック④</t>
    <rPh sb="7" eb="8">
      <t>ガツ</t>
    </rPh>
    <rPh sb="9" eb="10">
      <t>カイ</t>
    </rPh>
    <rPh sb="16" eb="18">
      <t>タンピン</t>
    </rPh>
    <rPh sb="22" eb="26">
      <t>フトウメイフクロ</t>
    </rPh>
    <phoneticPr fontId="1"/>
  </si>
  <si>
    <t>コープきんき2月2回¥2980（単品そのまま不透明袋）スタイリッシュ④</t>
    <rPh sb="7" eb="8">
      <t>ガツ</t>
    </rPh>
    <rPh sb="9" eb="10">
      <t>カイ</t>
    </rPh>
    <rPh sb="16" eb="18">
      <t>タンピン</t>
    </rPh>
    <rPh sb="22" eb="26">
      <t>フトウメイフクロ</t>
    </rPh>
    <phoneticPr fontId="1"/>
  </si>
  <si>
    <t>はぴねすくらぶ12月号⑧</t>
    <rPh sb="9" eb="10">
      <t>ガツ</t>
    </rPh>
    <rPh sb="10" eb="11">
      <t>ゴウ</t>
    </rPh>
    <phoneticPr fontId="1"/>
  </si>
  <si>
    <t>千趣会　検証sample</t>
    <rPh sb="0" eb="3">
      <t>センシュカイ</t>
    </rPh>
    <rPh sb="4" eb="6">
      <t>ケンショウ</t>
    </rPh>
    <phoneticPr fontId="1"/>
  </si>
  <si>
    <t>千趣会⑨</t>
    <rPh sb="0" eb="3">
      <t>センシュカイ</t>
    </rPh>
    <phoneticPr fontId="1"/>
  </si>
  <si>
    <t>ディノス㉙</t>
    <phoneticPr fontId="1"/>
  </si>
  <si>
    <t>ディノス㉚</t>
    <phoneticPr fontId="1"/>
  </si>
  <si>
    <t>ディノス㉛</t>
    <phoneticPr fontId="1"/>
  </si>
  <si>
    <t>ディノス㉜</t>
    <phoneticPr fontId="1"/>
  </si>
  <si>
    <t>千趣会⑩</t>
    <rPh sb="0" eb="3">
      <t>センシュカイ</t>
    </rPh>
    <phoneticPr fontId="1"/>
  </si>
  <si>
    <t>JODベーシック①</t>
    <phoneticPr fontId="1"/>
  </si>
  <si>
    <t>JODスタイリッシュ①</t>
    <phoneticPr fontId="1"/>
  </si>
  <si>
    <t>ディノス返品</t>
    <rPh sb="4" eb="6">
      <t>ヘンピン</t>
    </rPh>
    <phoneticPr fontId="4"/>
  </si>
  <si>
    <t>ディノス㉝</t>
    <phoneticPr fontId="1"/>
  </si>
  <si>
    <t>千趣会⑪</t>
    <rPh sb="0" eb="3">
      <t>センシュカイ</t>
    </rPh>
    <phoneticPr fontId="1"/>
  </si>
  <si>
    <t>JODスタイリッシュ②</t>
    <phoneticPr fontId="1"/>
  </si>
  <si>
    <t>ディノス㉞</t>
    <phoneticPr fontId="1"/>
  </si>
  <si>
    <t>JODベーシック②</t>
    <phoneticPr fontId="1"/>
  </si>
  <si>
    <t>JODベーシック③</t>
    <phoneticPr fontId="1"/>
  </si>
  <si>
    <t>ディノス㉟</t>
    <phoneticPr fontId="1"/>
  </si>
  <si>
    <t>ディノス㊱</t>
    <phoneticPr fontId="1"/>
  </si>
  <si>
    <t>コープさっぽろ５月４回（不透明袋）</t>
    <rPh sb="8" eb="9">
      <t>ガツ</t>
    </rPh>
    <rPh sb="10" eb="11">
      <t>カイ</t>
    </rPh>
    <rPh sb="12" eb="16">
      <t>フトウメイフクロ</t>
    </rPh>
    <phoneticPr fontId="1"/>
  </si>
  <si>
    <t>5/15、20</t>
    <phoneticPr fontId="1"/>
  </si>
  <si>
    <t>JODベーシック④</t>
    <phoneticPr fontId="1"/>
  </si>
  <si>
    <t>JODスタイリッシュ③</t>
    <phoneticPr fontId="1"/>
  </si>
  <si>
    <t>M</t>
    <phoneticPr fontId="1"/>
  </si>
  <si>
    <t>L</t>
    <phoneticPr fontId="1"/>
  </si>
  <si>
    <t>LL</t>
    <phoneticPr fontId="1"/>
  </si>
  <si>
    <t>3L</t>
    <phoneticPr fontId="1"/>
  </si>
  <si>
    <t>5月初旬</t>
    <rPh sb="1" eb="2">
      <t>ガツ</t>
    </rPh>
    <rPh sb="2" eb="4">
      <t>ショジュン</t>
    </rPh>
    <phoneticPr fontId="1"/>
  </si>
  <si>
    <t>入荷総数</t>
    <rPh sb="0" eb="4">
      <t>ニュウカソウスウ</t>
    </rPh>
    <phoneticPr fontId="1"/>
  </si>
  <si>
    <t>過不足数</t>
    <rPh sb="0" eb="3">
      <t>カブソク</t>
    </rPh>
    <rPh sb="3" eb="4">
      <t>スウ</t>
    </rPh>
    <phoneticPr fontId="1"/>
  </si>
  <si>
    <t>千趣会⑫</t>
    <rPh sb="0" eb="3">
      <t>センシュカイ</t>
    </rPh>
    <phoneticPr fontId="1"/>
  </si>
  <si>
    <t>JODベーシック⑤</t>
    <phoneticPr fontId="1"/>
  </si>
  <si>
    <t>ディノス㊲</t>
    <phoneticPr fontId="1"/>
  </si>
  <si>
    <t>単品より移行</t>
    <rPh sb="0" eb="2">
      <t>タンピン</t>
    </rPh>
    <rPh sb="4" eb="6">
      <t>イコウ</t>
    </rPh>
    <phoneticPr fontId="4"/>
  </si>
  <si>
    <t>3Pセット組へ</t>
    <rPh sb="5" eb="6">
      <t>グミ</t>
    </rPh>
    <phoneticPr fontId="1"/>
  </si>
  <si>
    <t>JODベーシック⑥</t>
    <phoneticPr fontId="1"/>
  </si>
  <si>
    <t>はぴねすくらぶ12月号⑨</t>
    <rPh sb="9" eb="10">
      <t>ガツ</t>
    </rPh>
    <rPh sb="10" eb="11">
      <t>ゴウ</t>
    </rPh>
    <phoneticPr fontId="1"/>
  </si>
  <si>
    <t>千趣会⑬</t>
    <rPh sb="0" eb="3">
      <t>センシュカイ</t>
    </rPh>
    <phoneticPr fontId="1"/>
  </si>
  <si>
    <t>IEI使ってヨカッタ4月号5色組①</t>
    <rPh sb="3" eb="4">
      <t>ツカ</t>
    </rPh>
    <rPh sb="11" eb="13">
      <t>ガツゴウ</t>
    </rPh>
    <rPh sb="14" eb="16">
      <t>ショククミ</t>
    </rPh>
    <phoneticPr fontId="1"/>
  </si>
  <si>
    <t>2024/2/6済伝</t>
    <rPh sb="8" eb="9">
      <t>スミ</t>
    </rPh>
    <rPh sb="9" eb="10">
      <t>デン</t>
    </rPh>
    <phoneticPr fontId="1"/>
  </si>
  <si>
    <t>2024/3/26数伝</t>
    <rPh sb="9" eb="10">
      <t>スウ</t>
    </rPh>
    <rPh sb="10" eb="11">
      <t>デン</t>
    </rPh>
    <phoneticPr fontId="1"/>
  </si>
  <si>
    <t>ネイビー</t>
    <phoneticPr fontId="1"/>
  </si>
  <si>
    <t>ディノス㊳</t>
    <phoneticPr fontId="1"/>
  </si>
  <si>
    <t>発注以外の
過不足分</t>
    <rPh sb="0" eb="2">
      <t>ハッチュウ</t>
    </rPh>
    <rPh sb="2" eb="4">
      <t>イガイ</t>
    </rPh>
    <rPh sb="6" eb="9">
      <t>カブソク</t>
    </rPh>
    <rPh sb="9" eb="10">
      <t>ブン</t>
    </rPh>
    <phoneticPr fontId="1"/>
  </si>
  <si>
    <t>計</t>
    <rPh sb="0" eb="1">
      <t>ケイ</t>
    </rPh>
    <phoneticPr fontId="1"/>
  </si>
  <si>
    <t>ディノス㊴</t>
    <phoneticPr fontId="1"/>
  </si>
  <si>
    <t>IEI4月号sample返却</t>
    <rPh sb="4" eb="6">
      <t>ガツゴウ</t>
    </rPh>
    <rPh sb="12" eb="14">
      <t>ヘンキャク</t>
    </rPh>
    <phoneticPr fontId="1"/>
  </si>
  <si>
    <t>JODベーシック⑦</t>
    <phoneticPr fontId="1"/>
  </si>
  <si>
    <t>はぴねすくらぶ返品</t>
    <rPh sb="7" eb="9">
      <t>ヘンピン</t>
    </rPh>
    <phoneticPr fontId="1"/>
  </si>
  <si>
    <t>ディノス㊵</t>
    <phoneticPr fontId="1"/>
  </si>
  <si>
    <t>千趣会⑭</t>
    <rPh sb="0" eb="3">
      <t>センシュカイ</t>
    </rPh>
    <phoneticPr fontId="1"/>
  </si>
  <si>
    <t>JODベーシック⑧</t>
    <phoneticPr fontId="1"/>
  </si>
  <si>
    <t>パルくらす８月１回スタイリッシュカラー（不透明袋）</t>
    <rPh sb="6" eb="7">
      <t>ガツ</t>
    </rPh>
    <rPh sb="8" eb="9">
      <t>カイ</t>
    </rPh>
    <rPh sb="20" eb="24">
      <t>フトウメイフクロ</t>
    </rPh>
    <phoneticPr fontId="1"/>
  </si>
  <si>
    <t>パルくらす８月１回ベーシックカラー（不透明袋）</t>
    <rPh sb="6" eb="7">
      <t>ガツ</t>
    </rPh>
    <rPh sb="8" eb="9">
      <t>カイ</t>
    </rPh>
    <phoneticPr fontId="1"/>
  </si>
  <si>
    <t>ディノス㊶</t>
    <phoneticPr fontId="1"/>
  </si>
  <si>
    <t>ディノス㊷</t>
    <phoneticPr fontId="1"/>
  </si>
  <si>
    <t>点7/18、アバウト・初回7/30、最終発注8/5</t>
    <rPh sb="0" eb="1">
      <t>テン</t>
    </rPh>
    <rPh sb="11" eb="13">
      <t>ショカイ</t>
    </rPh>
    <rPh sb="18" eb="22">
      <t>サイシュウハッチュウ</t>
    </rPh>
    <phoneticPr fontId="1"/>
  </si>
  <si>
    <t>ディノス㊸</t>
    <phoneticPr fontId="1"/>
  </si>
  <si>
    <t>千趣会⑮</t>
    <rPh sb="0" eb="3">
      <t>センシュカイ</t>
    </rPh>
    <phoneticPr fontId="1"/>
  </si>
  <si>
    <t>アテニア5月号3色組４月納品4-2</t>
    <rPh sb="5" eb="7">
      <t>ガツゴウ</t>
    </rPh>
    <rPh sb="8" eb="10">
      <t>ショククミ</t>
    </rPh>
    <rPh sb="11" eb="12">
      <t>ガツ</t>
    </rPh>
    <rPh sb="12" eb="14">
      <t>ノウヒン</t>
    </rPh>
    <phoneticPr fontId="1"/>
  </si>
  <si>
    <t>アテニア5月号3色組４月納品4-1</t>
    <rPh sb="5" eb="7">
      <t>ガツゴウ</t>
    </rPh>
    <rPh sb="8" eb="10">
      <t>ショククミ</t>
    </rPh>
    <rPh sb="11" eb="12">
      <t>ガツ</t>
    </rPh>
    <rPh sb="12" eb="14">
      <t>ノウヒン</t>
    </rPh>
    <phoneticPr fontId="1"/>
  </si>
  <si>
    <t>アテニア5月号3色組４月納品4-3</t>
    <rPh sb="5" eb="7">
      <t>ガツゴウ</t>
    </rPh>
    <rPh sb="8" eb="10">
      <t>ショククミ</t>
    </rPh>
    <rPh sb="11" eb="12">
      <t>ガツ</t>
    </rPh>
    <rPh sb="12" eb="14">
      <t>ノウヒン</t>
    </rPh>
    <phoneticPr fontId="1"/>
  </si>
  <si>
    <t>アテニア5月号3色組４月納品4-4</t>
    <rPh sb="5" eb="7">
      <t>ガツゴウ</t>
    </rPh>
    <rPh sb="8" eb="10">
      <t>ショククミ</t>
    </rPh>
    <rPh sb="11" eb="12">
      <t>ガツ</t>
    </rPh>
    <rPh sb="12" eb="14">
      <t>ノウヒン</t>
    </rPh>
    <phoneticPr fontId="1"/>
  </si>
  <si>
    <t>③６月末支払い</t>
    <rPh sb="2" eb="3">
      <t>ガツ</t>
    </rPh>
    <rPh sb="3" eb="4">
      <t>マツ</t>
    </rPh>
    <rPh sb="4" eb="6">
      <t>シハラ</t>
    </rPh>
    <phoneticPr fontId="1"/>
  </si>
  <si>
    <t>ディノス㊹</t>
    <phoneticPr fontId="1"/>
  </si>
  <si>
    <t>千趣会⑯</t>
    <rPh sb="0" eb="3">
      <t>センシュカイ</t>
    </rPh>
    <phoneticPr fontId="1"/>
  </si>
  <si>
    <t>追加４</t>
    <rPh sb="0" eb="2">
      <t>フソク</t>
    </rPh>
    <rPh sb="2" eb="3">
      <t>ブン</t>
    </rPh>
    <phoneticPr fontId="4"/>
  </si>
  <si>
    <t>千趣会⑰</t>
    <rPh sb="0" eb="3">
      <t>センシュカイ</t>
    </rPh>
    <phoneticPr fontId="1"/>
  </si>
  <si>
    <t>ディノス㊺</t>
    <phoneticPr fontId="1"/>
  </si>
  <si>
    <t>JODスタイリッシュ④</t>
    <phoneticPr fontId="1"/>
  </si>
  <si>
    <t>ディノス㊻</t>
    <phoneticPr fontId="1"/>
  </si>
  <si>
    <t>千趣会⑱</t>
    <rPh sb="0" eb="3">
      <t>センシュカイ</t>
    </rPh>
    <phoneticPr fontId="1"/>
  </si>
  <si>
    <t>JODベーシック⑨</t>
    <phoneticPr fontId="1"/>
  </si>
  <si>
    <t>IEI交換</t>
    <rPh sb="3" eb="5">
      <t>コウカン</t>
    </rPh>
    <phoneticPr fontId="1"/>
  </si>
  <si>
    <t>ディノス㊼</t>
    <phoneticPr fontId="1"/>
  </si>
  <si>
    <t>ディノス㊽</t>
    <phoneticPr fontId="1"/>
  </si>
  <si>
    <t>アテニア7月号5色組6月初旬納品</t>
    <rPh sb="5" eb="7">
      <t>ガツゴウ</t>
    </rPh>
    <rPh sb="8" eb="10">
      <t>ショククミ</t>
    </rPh>
    <rPh sb="11" eb="12">
      <t>ガツ</t>
    </rPh>
    <rPh sb="12" eb="14">
      <t>ショジュン</t>
    </rPh>
    <rPh sb="14" eb="16">
      <t>ノウヒン</t>
    </rPh>
    <phoneticPr fontId="1"/>
  </si>
  <si>
    <t>アテニア7月号3色組6月初旬納品</t>
    <rPh sb="5" eb="7">
      <t>ガツゴウ</t>
    </rPh>
    <rPh sb="8" eb="10">
      <t>ショククミ</t>
    </rPh>
    <rPh sb="11" eb="12">
      <t>ガツ</t>
    </rPh>
    <rPh sb="12" eb="14">
      <t>ショジュン</t>
    </rPh>
    <rPh sb="14" eb="16">
      <t>ノウヒン</t>
    </rPh>
    <phoneticPr fontId="1"/>
  </si>
  <si>
    <t>ディノス㊾</t>
    <phoneticPr fontId="1"/>
  </si>
  <si>
    <t>コープさっぽろ５月４回（不透明袋）①</t>
    <rPh sb="8" eb="9">
      <t>ガツ</t>
    </rPh>
    <rPh sb="10" eb="11">
      <t>カイ</t>
    </rPh>
    <rPh sb="12" eb="16">
      <t>フトウメイフクロ</t>
    </rPh>
    <phoneticPr fontId="1"/>
  </si>
  <si>
    <t>ディノス㊿</t>
    <phoneticPr fontId="1"/>
  </si>
  <si>
    <t>コープさっぽろ５月４回（不透明袋）②</t>
    <rPh sb="8" eb="9">
      <t>ガツ</t>
    </rPh>
    <rPh sb="10" eb="11">
      <t>カイ</t>
    </rPh>
    <rPh sb="12" eb="16">
      <t>フトウメイフクロ</t>
    </rPh>
    <phoneticPr fontId="1"/>
  </si>
  <si>
    <t>ディノス51</t>
    <phoneticPr fontId="1"/>
  </si>
  <si>
    <t>千趣会⑲</t>
    <rPh sb="0" eb="3">
      <t>センシュカイ</t>
    </rPh>
    <phoneticPr fontId="1"/>
  </si>
  <si>
    <t>パルくらす８月１回差分予測</t>
    <rPh sb="6" eb="7">
      <t>ガツ</t>
    </rPh>
    <rPh sb="8" eb="9">
      <t>カイ</t>
    </rPh>
    <rPh sb="9" eb="13">
      <t>サブンヨソク</t>
    </rPh>
    <phoneticPr fontId="1"/>
  </si>
  <si>
    <t>ディノス52</t>
    <phoneticPr fontId="1"/>
  </si>
  <si>
    <t>ディノス53</t>
    <phoneticPr fontId="1"/>
  </si>
  <si>
    <t>ディノス54</t>
    <phoneticPr fontId="1"/>
  </si>
  <si>
    <t>ディノス55</t>
    <phoneticPr fontId="1"/>
  </si>
  <si>
    <t>ディノス56</t>
  </si>
  <si>
    <t>ディノス57</t>
  </si>
  <si>
    <t>ディノス54</t>
  </si>
  <si>
    <t>ディノス55</t>
  </si>
  <si>
    <t>千趣会⑳</t>
    <rPh sb="0" eb="3">
      <t>センシュカイ</t>
    </rPh>
    <phoneticPr fontId="1"/>
  </si>
  <si>
    <t>2024/5/28数</t>
    <rPh sb="9" eb="10">
      <t>スウ</t>
    </rPh>
    <phoneticPr fontId="1"/>
  </si>
  <si>
    <t>ディノス58</t>
    <phoneticPr fontId="1"/>
  </si>
  <si>
    <t>ディノス59</t>
    <phoneticPr fontId="1"/>
  </si>
  <si>
    <t>千趣会　検証sample返却</t>
    <rPh sb="0" eb="3">
      <t>センシュカイ</t>
    </rPh>
    <rPh sb="4" eb="6">
      <t>ケンショウ</t>
    </rPh>
    <rPh sb="12" eb="14">
      <t>ヘンキャク</t>
    </rPh>
    <phoneticPr fontId="1"/>
  </si>
  <si>
    <t>千趣会㉑</t>
    <rPh sb="0" eb="3">
      <t>センシュカイ</t>
    </rPh>
    <phoneticPr fontId="1"/>
  </si>
  <si>
    <t>西夢</t>
    <rPh sb="0" eb="2">
      <t>ニシユメ</t>
    </rPh>
    <phoneticPr fontId="1"/>
  </si>
  <si>
    <t>2024/5/1数伝</t>
    <rPh sb="8" eb="9">
      <t>スウ</t>
    </rPh>
    <rPh sb="9" eb="10">
      <t>デン</t>
    </rPh>
    <phoneticPr fontId="1"/>
  </si>
  <si>
    <t>ディノス60</t>
    <phoneticPr fontId="1"/>
  </si>
  <si>
    <t>千趣会㉒</t>
    <rPh sb="0" eb="3">
      <t>センシュカイ</t>
    </rPh>
    <phoneticPr fontId="1"/>
  </si>
  <si>
    <t>ディノス61</t>
    <phoneticPr fontId="1"/>
  </si>
  <si>
    <t>コープさっぽろ8月3週スタイリッシュカラー（不透明袋）</t>
    <rPh sb="8" eb="9">
      <t>ガツ</t>
    </rPh>
    <rPh sb="10" eb="11">
      <t>シュウ</t>
    </rPh>
    <rPh sb="22" eb="26">
      <t>フトウメイフクロ</t>
    </rPh>
    <phoneticPr fontId="1"/>
  </si>
  <si>
    <t>コープさっぽろ8月3週ベーシックカラー（不透明袋）</t>
    <rPh sb="8" eb="9">
      <t>ガツ</t>
    </rPh>
    <rPh sb="10" eb="11">
      <t>シュウ</t>
    </rPh>
    <rPh sb="20" eb="24">
      <t>フトウメイフクロ</t>
    </rPh>
    <phoneticPr fontId="1"/>
  </si>
  <si>
    <t>8/7、12</t>
    <phoneticPr fontId="1"/>
  </si>
  <si>
    <t>千趣会㉓</t>
    <rPh sb="0" eb="3">
      <t>センシュカイ</t>
    </rPh>
    <phoneticPr fontId="1"/>
  </si>
  <si>
    <t>アテニア7月号3色組6月初旬納品①</t>
    <rPh sb="5" eb="7">
      <t>ガツゴウ</t>
    </rPh>
    <rPh sb="8" eb="10">
      <t>ショククミ</t>
    </rPh>
    <rPh sb="11" eb="12">
      <t>ガツ</t>
    </rPh>
    <rPh sb="12" eb="14">
      <t>ショジュン</t>
    </rPh>
    <rPh sb="14" eb="16">
      <t>ノウヒン</t>
    </rPh>
    <phoneticPr fontId="1"/>
  </si>
  <si>
    <t>アテニア7月号5色組6月初旬納品①</t>
    <rPh sb="5" eb="7">
      <t>ガツゴウ</t>
    </rPh>
    <rPh sb="8" eb="10">
      <t>ショククミ</t>
    </rPh>
    <rPh sb="11" eb="12">
      <t>ガツ</t>
    </rPh>
    <rPh sb="12" eb="14">
      <t>ショジュン</t>
    </rPh>
    <rPh sb="14" eb="16">
      <t>ノウヒン</t>
    </rPh>
    <phoneticPr fontId="1"/>
  </si>
  <si>
    <t>アテニア7月号3色組6月初旬納品②</t>
    <rPh sb="5" eb="7">
      <t>ガツゴウ</t>
    </rPh>
    <rPh sb="8" eb="10">
      <t>ショククミ</t>
    </rPh>
    <rPh sb="11" eb="12">
      <t>ガツ</t>
    </rPh>
    <rPh sb="12" eb="14">
      <t>ショジュン</t>
    </rPh>
    <rPh sb="14" eb="16">
      <t>ノウヒン</t>
    </rPh>
    <phoneticPr fontId="1"/>
  </si>
  <si>
    <t>千趣会㉔</t>
    <rPh sb="0" eb="3">
      <t>センシュカイ</t>
    </rPh>
    <phoneticPr fontId="1"/>
  </si>
  <si>
    <t>ディノス62</t>
    <phoneticPr fontId="1"/>
  </si>
  <si>
    <t>アテニア7月号3色組6月初旬納品③</t>
    <rPh sb="5" eb="7">
      <t>ガツゴウ</t>
    </rPh>
    <rPh sb="8" eb="10">
      <t>ショククミ</t>
    </rPh>
    <rPh sb="11" eb="12">
      <t>ガツ</t>
    </rPh>
    <rPh sb="12" eb="14">
      <t>ショジュン</t>
    </rPh>
    <rPh sb="14" eb="16">
      <t>ノウヒン</t>
    </rPh>
    <phoneticPr fontId="1"/>
  </si>
  <si>
    <t>西夢取り置き</t>
    <rPh sb="0" eb="3">
      <t>ニシユメト</t>
    </rPh>
    <rPh sb="4" eb="5">
      <t>オ</t>
    </rPh>
    <phoneticPr fontId="1"/>
  </si>
  <si>
    <t>千趣会㉕</t>
    <rPh sb="0" eb="3">
      <t>センシュカイ</t>
    </rPh>
    <phoneticPr fontId="1"/>
  </si>
  <si>
    <t>伝残4024枚</t>
    <rPh sb="0" eb="1">
      <t>デン</t>
    </rPh>
    <rPh sb="1" eb="2">
      <t>ザン</t>
    </rPh>
    <rPh sb="6" eb="7">
      <t>マイ</t>
    </rPh>
    <phoneticPr fontId="1"/>
  </si>
  <si>
    <t>ディノス63</t>
    <phoneticPr fontId="1"/>
  </si>
  <si>
    <t>オバタsample返却</t>
    <rPh sb="9" eb="11">
      <t>ヘンキャク</t>
    </rPh>
    <phoneticPr fontId="1"/>
  </si>
  <si>
    <t>千趣会㉖</t>
    <rPh sb="0" eb="3">
      <t>センシュカイ</t>
    </rPh>
    <phoneticPr fontId="1"/>
  </si>
  <si>
    <t>ディノス64</t>
  </si>
  <si>
    <t>追加</t>
    <rPh sb="0" eb="2">
      <t>ツイカ</t>
    </rPh>
    <phoneticPr fontId="1"/>
  </si>
  <si>
    <t>パルくらす８月１回ベーシックカラー（不透明袋）①</t>
    <rPh sb="6" eb="7">
      <t>ガツ</t>
    </rPh>
    <rPh sb="8" eb="9">
      <t>カイ</t>
    </rPh>
    <phoneticPr fontId="1"/>
  </si>
  <si>
    <t>パルくらす８月１回スタイリッシュカラー（不透明袋）②</t>
    <rPh sb="6" eb="7">
      <t>ガツ</t>
    </rPh>
    <rPh sb="8" eb="9">
      <t>カイ</t>
    </rPh>
    <rPh sb="20" eb="24">
      <t>フトウメイフクロ</t>
    </rPh>
    <phoneticPr fontId="1"/>
  </si>
  <si>
    <t>千趣会㉗</t>
    <rPh sb="0" eb="3">
      <t>センシュカイ</t>
    </rPh>
    <phoneticPr fontId="1"/>
  </si>
  <si>
    <t>ディノス65</t>
    <phoneticPr fontId="1"/>
  </si>
  <si>
    <t>アテニア7月号3色組6月初旬納品④</t>
    <rPh sb="5" eb="7">
      <t>ガツゴウ</t>
    </rPh>
    <rPh sb="8" eb="10">
      <t>ショククミ</t>
    </rPh>
    <rPh sb="11" eb="12">
      <t>ガツ</t>
    </rPh>
    <rPh sb="12" eb="14">
      <t>ショジュン</t>
    </rPh>
    <rPh sb="14" eb="16">
      <t>ノウヒン</t>
    </rPh>
    <phoneticPr fontId="1"/>
  </si>
  <si>
    <t>千趣会㉘</t>
    <rPh sb="0" eb="3">
      <t>センシュカイ</t>
    </rPh>
    <phoneticPr fontId="1"/>
  </si>
  <si>
    <t>ネット返品</t>
    <rPh sb="3" eb="5">
      <t>ヘンピン</t>
    </rPh>
    <phoneticPr fontId="1"/>
  </si>
  <si>
    <t>アテニア7月号3色組6月初旬納品⑤</t>
    <rPh sb="5" eb="7">
      <t>ガツゴウ</t>
    </rPh>
    <rPh sb="8" eb="10">
      <t>ショククミ</t>
    </rPh>
    <rPh sb="11" eb="12">
      <t>ガツ</t>
    </rPh>
    <rPh sb="12" eb="14">
      <t>ショジュン</t>
    </rPh>
    <rPh sb="14" eb="16">
      <t>ノウヒン</t>
    </rPh>
    <phoneticPr fontId="1"/>
  </si>
  <si>
    <t>ディノス66</t>
    <phoneticPr fontId="1"/>
  </si>
  <si>
    <t>パルくらす８月１回スタイリッシュカラー（不透明袋）①</t>
    <rPh sb="6" eb="7">
      <t>ガツ</t>
    </rPh>
    <rPh sb="8" eb="9">
      <t>カイ</t>
    </rPh>
    <rPh sb="20" eb="24">
      <t>フトウメイフクロ</t>
    </rPh>
    <phoneticPr fontId="1"/>
  </si>
  <si>
    <t>ディノス67</t>
    <phoneticPr fontId="1"/>
  </si>
  <si>
    <t>千趣会㉙</t>
    <rPh sb="0" eb="3">
      <t>センシュカイ</t>
    </rPh>
    <phoneticPr fontId="1"/>
  </si>
  <si>
    <t>パルくらす８月１回ベーシックカラー（不透明袋）②</t>
    <rPh sb="6" eb="7">
      <t>ガツ</t>
    </rPh>
    <rPh sb="8" eb="9">
      <t>カイ</t>
    </rPh>
    <phoneticPr fontId="1"/>
  </si>
  <si>
    <t>パルくらす８月１回スタイリッシュカラー（不透明袋）③</t>
    <rPh sb="6" eb="7">
      <t>ガツ</t>
    </rPh>
    <rPh sb="8" eb="9">
      <t>カイ</t>
    </rPh>
    <rPh sb="20" eb="24">
      <t>フトウメイフクロ</t>
    </rPh>
    <phoneticPr fontId="1"/>
  </si>
  <si>
    <t>パルくらす８月１回ベーシックカラー（不透明袋）③</t>
    <rPh sb="6" eb="7">
      <t>ガツ</t>
    </rPh>
    <rPh sb="8" eb="9">
      <t>カイ</t>
    </rPh>
    <phoneticPr fontId="1"/>
  </si>
  <si>
    <t>パルくらす８月１回スタイリッシュカラー（不透明袋）④</t>
    <rPh sb="6" eb="7">
      <t>ガツ</t>
    </rPh>
    <rPh sb="8" eb="9">
      <t>カイ</t>
    </rPh>
    <rPh sb="20" eb="24">
      <t>フトウメイフクロ</t>
    </rPh>
    <phoneticPr fontId="1"/>
  </si>
  <si>
    <t>パルくらす８月１回ベーシックカラー（不透明袋）④</t>
    <rPh sb="6" eb="7">
      <t>ガツ</t>
    </rPh>
    <rPh sb="8" eb="9">
      <t>カイ</t>
    </rPh>
    <phoneticPr fontId="1"/>
  </si>
  <si>
    <t>パルくらす８月１回スタイリッシュカラー（不透明袋）⑤</t>
    <rPh sb="6" eb="7">
      <t>ガツ</t>
    </rPh>
    <rPh sb="8" eb="9">
      <t>カイ</t>
    </rPh>
    <rPh sb="20" eb="24">
      <t>フトウメイフクロ</t>
    </rPh>
    <phoneticPr fontId="1"/>
  </si>
  <si>
    <t>パルくらす８月１回スタイリッシュカラー（不透明袋）⑥</t>
    <rPh sb="6" eb="7">
      <t>ガツ</t>
    </rPh>
    <rPh sb="8" eb="9">
      <t>カイ</t>
    </rPh>
    <rPh sb="20" eb="24">
      <t>フトウメイフクロ</t>
    </rPh>
    <phoneticPr fontId="1"/>
  </si>
  <si>
    <t>千趣会㉚</t>
    <rPh sb="0" eb="3">
      <t>センシュカイ</t>
    </rPh>
    <phoneticPr fontId="1"/>
  </si>
  <si>
    <t>コープさっぽろ8月3週ベーシックカラー（不透明袋）①</t>
    <rPh sb="8" eb="9">
      <t>ガツ</t>
    </rPh>
    <rPh sb="10" eb="11">
      <t>シュウ</t>
    </rPh>
    <rPh sb="20" eb="24">
      <t>フトウメイフクロ</t>
    </rPh>
    <phoneticPr fontId="1"/>
  </si>
  <si>
    <t>JOD特別号9510（スタイリッシュ）</t>
    <rPh sb="3" eb="6">
      <t>トクベツゴウ</t>
    </rPh>
    <phoneticPr fontId="1"/>
  </si>
  <si>
    <t>JOD特別号9510（ベーシック）</t>
    <phoneticPr fontId="1"/>
  </si>
  <si>
    <t>9/20～</t>
    <phoneticPr fontId="1"/>
  </si>
  <si>
    <t>ディノス68</t>
  </si>
  <si>
    <t>西本さん</t>
    <rPh sb="0" eb="2">
      <t>ニシモト</t>
    </rPh>
    <phoneticPr fontId="1"/>
  </si>
  <si>
    <t>ディノス69</t>
    <phoneticPr fontId="1"/>
  </si>
  <si>
    <t>ディノス70</t>
    <phoneticPr fontId="1"/>
  </si>
  <si>
    <t>千趣会㉛</t>
    <rPh sb="0" eb="3">
      <t>センシュカイ</t>
    </rPh>
    <phoneticPr fontId="1"/>
  </si>
  <si>
    <t>ディノス71</t>
    <phoneticPr fontId="1"/>
  </si>
  <si>
    <t xml:space="preserve">    追加１   </t>
    <rPh sb="4" eb="6">
      <t>ツイカ</t>
    </rPh>
    <phoneticPr fontId="4"/>
  </si>
  <si>
    <t>ディノス72</t>
    <phoneticPr fontId="1"/>
  </si>
  <si>
    <t>KPORT</t>
    <phoneticPr fontId="1"/>
  </si>
  <si>
    <t>夢販移動</t>
    <rPh sb="0" eb="4">
      <t>ユメハンイドウ</t>
    </rPh>
    <phoneticPr fontId="4"/>
  </si>
  <si>
    <t>在庫確認</t>
    <rPh sb="0" eb="4">
      <t>ザイコカクニン</t>
    </rPh>
    <phoneticPr fontId="4"/>
  </si>
  <si>
    <t>千趣会㉜</t>
    <rPh sb="0" eb="3">
      <t>センシュカイ</t>
    </rPh>
    <phoneticPr fontId="1"/>
  </si>
  <si>
    <t>ディノス73</t>
    <phoneticPr fontId="1"/>
  </si>
  <si>
    <t>オバタ返品</t>
    <rPh sb="3" eb="5">
      <t>ヘンピン</t>
    </rPh>
    <phoneticPr fontId="4"/>
  </si>
  <si>
    <t xml:space="preserve">    追加２ 2-1  </t>
    <rPh sb="4" eb="6">
      <t>ツイカ</t>
    </rPh>
    <phoneticPr fontId="4"/>
  </si>
  <si>
    <t>千趣会㉝</t>
    <rPh sb="0" eb="3">
      <t>センシュカイ</t>
    </rPh>
    <phoneticPr fontId="1"/>
  </si>
  <si>
    <t>千趣会㉞</t>
    <rPh sb="0" eb="3">
      <t>センシュカイ</t>
    </rPh>
    <phoneticPr fontId="1"/>
  </si>
  <si>
    <t>ディノス74</t>
    <phoneticPr fontId="1"/>
  </si>
  <si>
    <t>ディノス75</t>
    <phoneticPr fontId="1"/>
  </si>
  <si>
    <t>IEI返品</t>
    <rPh sb="3" eb="5">
      <t>ヘンピン</t>
    </rPh>
    <phoneticPr fontId="1"/>
  </si>
  <si>
    <t>千趣会㉟</t>
    <rPh sb="0" eb="3">
      <t>センシュカイ</t>
    </rPh>
    <phoneticPr fontId="1"/>
  </si>
  <si>
    <t>ディノス76</t>
    <phoneticPr fontId="1"/>
  </si>
  <si>
    <t>千趣会㊱</t>
    <rPh sb="0" eb="3">
      <t>センシュカイ</t>
    </rPh>
    <phoneticPr fontId="1"/>
  </si>
  <si>
    <t>JODスタイリッシュ</t>
    <phoneticPr fontId="1"/>
  </si>
  <si>
    <t>ディノスsample</t>
    <phoneticPr fontId="4"/>
  </si>
  <si>
    <t>JODベーシック</t>
    <phoneticPr fontId="1"/>
  </si>
  <si>
    <t>ディノス77</t>
    <phoneticPr fontId="1"/>
  </si>
  <si>
    <t>千趣会㊲</t>
    <rPh sb="0" eb="3">
      <t>センシュカイ</t>
    </rPh>
    <phoneticPr fontId="1"/>
  </si>
  <si>
    <t>サクラマチ斎藤様sample</t>
    <rPh sb="5" eb="14">
      <t>サイトウサマサンプル</t>
    </rPh>
    <phoneticPr fontId="1"/>
  </si>
  <si>
    <t>くらし企画（藤田さん）返却</t>
    <rPh sb="3" eb="5">
      <t>キカク</t>
    </rPh>
    <rPh sb="6" eb="8">
      <t>フジタ</t>
    </rPh>
    <rPh sb="11" eb="13">
      <t>ヘンキャク</t>
    </rPh>
    <phoneticPr fontId="1"/>
  </si>
  <si>
    <t>千趣会㊳</t>
    <rPh sb="0" eb="3">
      <t>センシュカイ</t>
    </rPh>
    <phoneticPr fontId="1"/>
  </si>
  <si>
    <t>夢販</t>
    <rPh sb="0" eb="2">
      <t>ユメハン</t>
    </rPh>
    <phoneticPr fontId="1"/>
  </si>
  <si>
    <t>千趣会㊴</t>
    <rPh sb="0" eb="3">
      <t>センシュカイ</t>
    </rPh>
    <phoneticPr fontId="1"/>
  </si>
  <si>
    <t>追加</t>
    <rPh sb="0" eb="2">
      <t>ツイカ</t>
    </rPh>
    <phoneticPr fontId="1"/>
  </si>
  <si>
    <t>千趣会㊵</t>
    <rPh sb="0" eb="3">
      <t>センシュカイ</t>
    </rPh>
    <phoneticPr fontId="1"/>
  </si>
  <si>
    <t>千趣会㊶</t>
    <rPh sb="0" eb="3">
      <t>センシュカイ</t>
    </rPh>
    <phoneticPr fontId="1"/>
  </si>
  <si>
    <t>夢販</t>
    <rPh sb="0" eb="2">
      <t>ユメハン</t>
    </rPh>
    <phoneticPr fontId="1"/>
  </si>
  <si>
    <t>ネット</t>
    <phoneticPr fontId="1"/>
  </si>
  <si>
    <t>千趣会㊷</t>
    <rPh sb="0" eb="3">
      <t>センシュカイ</t>
    </rPh>
    <phoneticPr fontId="1"/>
  </si>
  <si>
    <t>ディノス25盛夏号￥3600差分予測</t>
    <rPh sb="6" eb="8">
      <t>セイカ</t>
    </rPh>
    <rPh sb="8" eb="9">
      <t>ゴウ</t>
    </rPh>
    <rPh sb="14" eb="18">
      <t>サブンヨソク</t>
    </rPh>
    <phoneticPr fontId="1"/>
  </si>
  <si>
    <t>千趣会㊸</t>
    <rPh sb="0" eb="3">
      <t>センシュカイ</t>
    </rPh>
    <phoneticPr fontId="1"/>
  </si>
  <si>
    <t>アテニア3月号撮影用sample</t>
    <rPh sb="5" eb="7">
      <t>ガツゴウ</t>
    </rPh>
    <rPh sb="7" eb="10">
      <t>サツエイヨウ</t>
    </rPh>
    <phoneticPr fontId="1"/>
  </si>
  <si>
    <t>千趣会㊹</t>
    <rPh sb="0" eb="3">
      <t>センシュカイ</t>
    </rPh>
    <phoneticPr fontId="1"/>
  </si>
  <si>
    <t>西夢</t>
    <rPh sb="0" eb="2">
      <t>ニシユメ</t>
    </rPh>
    <phoneticPr fontId="1"/>
  </si>
  <si>
    <t>千趣会㊺</t>
    <rPh sb="0" eb="3">
      <t>センシュカイ</t>
    </rPh>
    <phoneticPr fontId="1"/>
  </si>
  <si>
    <t>追加</t>
    <rPh sb="0" eb="2">
      <t>ツイカ</t>
    </rPh>
    <phoneticPr fontId="1"/>
  </si>
  <si>
    <t>夢販</t>
    <rPh sb="0" eb="2">
      <t>ユメハン</t>
    </rPh>
    <phoneticPr fontId="1"/>
  </si>
  <si>
    <t xml:space="preserve"> 追加３</t>
    <rPh sb="1" eb="3">
      <t>ツイカ</t>
    </rPh>
    <phoneticPr fontId="4"/>
  </si>
  <si>
    <t xml:space="preserve"> 追加２</t>
    <rPh sb="1" eb="3">
      <t>ツイカ</t>
    </rPh>
    <phoneticPr fontId="4"/>
  </si>
  <si>
    <t>千趣会㊻</t>
    <rPh sb="0" eb="3">
      <t>センシュカイ</t>
    </rPh>
    <phoneticPr fontId="1"/>
  </si>
  <si>
    <t>生協BY分</t>
    <rPh sb="0" eb="2">
      <t>セイキョウ</t>
    </rPh>
    <rPh sb="4" eb="5">
      <t>ブン</t>
    </rPh>
    <phoneticPr fontId="1"/>
  </si>
  <si>
    <t>千趣会㊼</t>
    <rPh sb="0" eb="3">
      <t>センシュカイ</t>
    </rPh>
    <phoneticPr fontId="1"/>
  </si>
  <si>
    <t>千趣会㊽</t>
    <rPh sb="0" eb="3">
      <t>センシュカイ</t>
    </rPh>
    <phoneticPr fontId="1"/>
  </si>
  <si>
    <t>千趣会㊾</t>
    <rPh sb="0" eb="3">
      <t>センシュカイ</t>
    </rPh>
    <phoneticPr fontId="1"/>
  </si>
  <si>
    <t>ディノス返品 ベーシック</t>
  </si>
  <si>
    <t>ディノス返品 スタイリッシュ</t>
  </si>
  <si>
    <t>アテニア①３月号</t>
    <rPh sb="6" eb="7">
      <t>ガツ</t>
    </rPh>
    <rPh sb="7" eb="8">
      <t>ゴウ</t>
    </rPh>
    <phoneticPr fontId="1"/>
  </si>
  <si>
    <t>千趣会㊿</t>
    <rPh sb="0" eb="3">
      <t>センシュカイ</t>
    </rPh>
    <phoneticPr fontId="1"/>
  </si>
  <si>
    <t>東北サンネット4月2回3色組ベーシック（不透明袋）</t>
    <rPh sb="0" eb="2">
      <t>トウホク</t>
    </rPh>
    <rPh sb="8" eb="9">
      <t>ガツ</t>
    </rPh>
    <rPh sb="10" eb="11">
      <t>カイ</t>
    </rPh>
    <rPh sb="12" eb="14">
      <t>ショククミ</t>
    </rPh>
    <rPh sb="20" eb="24">
      <t>フトウメイフクロ</t>
    </rPh>
    <phoneticPr fontId="1"/>
  </si>
  <si>
    <t>東北サンネット4月2回3色組スタイリッシュ（不透明袋）</t>
    <rPh sb="0" eb="2">
      <t>トウホク</t>
    </rPh>
    <rPh sb="8" eb="9">
      <t>ガツ</t>
    </rPh>
    <rPh sb="10" eb="11">
      <t>カイ</t>
    </rPh>
    <rPh sb="12" eb="14">
      <t>ショククミ</t>
    </rPh>
    <rPh sb="22" eb="26">
      <t>フトウメイフクロ</t>
    </rPh>
    <phoneticPr fontId="1"/>
  </si>
  <si>
    <t>3/26～4/9</t>
    <phoneticPr fontId="1"/>
  </si>
  <si>
    <t>事前3/～、</t>
    <rPh sb="0" eb="2">
      <t>ジゼン</t>
    </rPh>
    <phoneticPr fontId="1"/>
  </si>
  <si>
    <t>ディノス25夏号￥3600　ベーシック</t>
    <rPh sb="6" eb="7">
      <t>ナツ</t>
    </rPh>
    <rPh sb="7" eb="8">
      <t>ゴウ</t>
    </rPh>
    <phoneticPr fontId="1"/>
  </si>
  <si>
    <t>ディノス25夏号￥3600　スタイリッシュ</t>
    <rPh sb="6" eb="7">
      <t>ナツ</t>
    </rPh>
    <rPh sb="7" eb="8">
      <t>ゴウ</t>
    </rPh>
    <phoneticPr fontId="1"/>
  </si>
  <si>
    <t>千趣会51</t>
    <rPh sb="0" eb="3">
      <t>センシュカイ</t>
    </rPh>
    <phoneticPr fontId="1"/>
  </si>
  <si>
    <t>追加</t>
    <rPh sb="0" eb="2">
      <t>ツイカ</t>
    </rPh>
    <phoneticPr fontId="1"/>
  </si>
  <si>
    <t>千趣会52</t>
    <rPh sb="0" eb="3">
      <t>センシュカイ</t>
    </rPh>
    <phoneticPr fontId="1"/>
  </si>
  <si>
    <t>1/末にて済</t>
    <rPh sb="2" eb="3">
      <t>マツ</t>
    </rPh>
    <rPh sb="5" eb="6">
      <t>スミ</t>
    </rPh>
    <phoneticPr fontId="1"/>
  </si>
  <si>
    <t>1668枚のうち800枚</t>
    <rPh sb="4" eb="5">
      <t>マイ</t>
    </rPh>
    <rPh sb="11" eb="12">
      <t>マイ</t>
    </rPh>
    <phoneticPr fontId="1"/>
  </si>
  <si>
    <t>2025/1/10数伝</t>
    <rPh sb="9" eb="10">
      <t>スウ</t>
    </rPh>
    <rPh sb="10" eb="11">
      <t>デン</t>
    </rPh>
    <phoneticPr fontId="1"/>
  </si>
  <si>
    <t>千趣会53</t>
    <rPh sb="0" eb="3">
      <t>センシュカイ</t>
    </rPh>
    <phoneticPr fontId="1"/>
  </si>
  <si>
    <t>千趣会54</t>
    <rPh sb="0" eb="3">
      <t>センシュカイ</t>
    </rPh>
    <phoneticPr fontId="1"/>
  </si>
  <si>
    <t>千趣会55</t>
    <rPh sb="0" eb="3">
      <t>センシュカイ</t>
    </rPh>
    <phoneticPr fontId="1"/>
  </si>
  <si>
    <t>3色組より</t>
    <rPh sb="1" eb="3">
      <t>ショクグミ</t>
    </rPh>
    <phoneticPr fontId="4"/>
  </si>
  <si>
    <t>単品へ移行</t>
    <rPh sb="0" eb="2">
      <t>タンピン</t>
    </rPh>
    <rPh sb="3" eb="5">
      <t>イコウ</t>
    </rPh>
    <phoneticPr fontId="4"/>
  </si>
  <si>
    <t>アテニア7月号</t>
    <rPh sb="5" eb="6">
      <t>ガツ</t>
    </rPh>
    <rPh sb="6" eb="7">
      <t>ゴウ</t>
    </rPh>
    <phoneticPr fontId="1"/>
  </si>
  <si>
    <t>6月納品</t>
    <rPh sb="1" eb="2">
      <t>ガツ</t>
    </rPh>
    <rPh sb="2" eb="4">
      <t>ノウヒン</t>
    </rPh>
    <phoneticPr fontId="1"/>
  </si>
  <si>
    <t>東北サンネット4月2回3色組差分予測.</t>
    <rPh sb="0" eb="2">
      <t>トウホク</t>
    </rPh>
    <rPh sb="8" eb="9">
      <t>ガツ</t>
    </rPh>
    <rPh sb="10" eb="11">
      <t>カイ</t>
    </rPh>
    <rPh sb="12" eb="14">
      <t>ショククミ</t>
    </rPh>
    <rPh sb="14" eb="18">
      <t>サブンヨソク</t>
    </rPh>
    <phoneticPr fontId="1"/>
  </si>
  <si>
    <t>ディノス25夏号￥3600　差分予測</t>
    <rPh sb="6" eb="7">
      <t>ナツ</t>
    </rPh>
    <rPh sb="7" eb="8">
      <t>ゴウ</t>
    </rPh>
    <rPh sb="14" eb="18">
      <t>サブンヨソク</t>
    </rPh>
    <phoneticPr fontId="1"/>
  </si>
  <si>
    <t>アテニア撮影用sample</t>
    <rPh sb="4" eb="7">
      <t>サツエイヨウ</t>
    </rPh>
    <phoneticPr fontId="1"/>
  </si>
  <si>
    <t>アテニア7月号 追加可能数</t>
    <rPh sb="5" eb="6">
      <t>ガツ</t>
    </rPh>
    <rPh sb="6" eb="7">
      <t>ゴウ</t>
    </rPh>
    <rPh sb="8" eb="10">
      <t>ツイカ</t>
    </rPh>
    <rPh sb="10" eb="12">
      <t>カノウ</t>
    </rPh>
    <rPh sb="12" eb="13">
      <t>スウ</t>
    </rPh>
    <phoneticPr fontId="1"/>
  </si>
  <si>
    <t>千趣会56</t>
    <rPh sb="0" eb="3">
      <t>センシュカイ</t>
    </rPh>
    <phoneticPr fontId="1"/>
  </si>
  <si>
    <t>夢販</t>
    <rPh sb="0" eb="2">
      <t>ユメハン</t>
    </rPh>
    <phoneticPr fontId="1"/>
  </si>
  <si>
    <t>千趣会57</t>
    <rPh sb="0" eb="3">
      <t>センシュカイ</t>
    </rPh>
    <phoneticPr fontId="1"/>
  </si>
  <si>
    <t>ユーコープ　差分予測</t>
    <rPh sb="6" eb="10">
      <t>サブンヨソク</t>
    </rPh>
    <phoneticPr fontId="1"/>
  </si>
  <si>
    <t>5/7～21</t>
    <phoneticPr fontId="1"/>
  </si>
  <si>
    <t>ユーコープ5月3回（不透明袋）ベーシック</t>
    <rPh sb="6" eb="7">
      <t>ガツ</t>
    </rPh>
    <rPh sb="8" eb="9">
      <t>カイ</t>
    </rPh>
    <rPh sb="10" eb="14">
      <t>フトウメイフクロ</t>
    </rPh>
    <phoneticPr fontId="1"/>
  </si>
  <si>
    <t>ユーコープ5月3回（不透明袋スタイリッシュ</t>
    <rPh sb="6" eb="7">
      <t>ガツ</t>
    </rPh>
    <rPh sb="8" eb="9">
      <t>カイ</t>
    </rPh>
    <rPh sb="10" eb="14">
      <t>フトウメイフクロ</t>
    </rPh>
    <phoneticPr fontId="1"/>
  </si>
  <si>
    <t>西夢</t>
    <rPh sb="0" eb="1">
      <t>ニシ</t>
    </rPh>
    <rPh sb="1" eb="2">
      <t>ユメ</t>
    </rPh>
    <phoneticPr fontId="1"/>
  </si>
  <si>
    <t>千趣会58</t>
    <rPh sb="0" eb="3">
      <t>センシュカイ</t>
    </rPh>
    <phoneticPr fontId="1"/>
  </si>
  <si>
    <t>ディノス25夏号￥3600　ベーシック①</t>
    <rPh sb="6" eb="7">
      <t>ナツ</t>
    </rPh>
    <rPh sb="7" eb="8">
      <t>ゴウ</t>
    </rPh>
    <phoneticPr fontId="1"/>
  </si>
  <si>
    <t>ディノス25夏号￥3600　スタイリッシュ①</t>
    <rPh sb="6" eb="7">
      <t>ナツ</t>
    </rPh>
    <rPh sb="7" eb="8">
      <t>ゴウ</t>
    </rPh>
    <phoneticPr fontId="1"/>
  </si>
  <si>
    <t>ディノス25盛夏号￥3600　スタイリッシュ</t>
    <rPh sb="6" eb="8">
      <t>セイカ</t>
    </rPh>
    <rPh sb="8" eb="9">
      <t>ゴウ</t>
    </rPh>
    <phoneticPr fontId="1"/>
  </si>
  <si>
    <t>ディノス25盛夏号￥3600　ベーシック</t>
    <rPh sb="6" eb="8">
      <t>セイカ</t>
    </rPh>
    <rPh sb="8" eb="9">
      <t>ゴウ</t>
    </rPh>
    <phoneticPr fontId="1"/>
  </si>
  <si>
    <t>千趣会59</t>
    <rPh sb="0" eb="3">
      <t>センシュカイ</t>
    </rPh>
    <phoneticPr fontId="1"/>
  </si>
  <si>
    <t>東北サンネット4月2回3色組ベーシック（不透明袋）①</t>
    <rPh sb="0" eb="2">
      <t>トウホク</t>
    </rPh>
    <rPh sb="8" eb="9">
      <t>ガツ</t>
    </rPh>
    <rPh sb="10" eb="11">
      <t>カイ</t>
    </rPh>
    <rPh sb="12" eb="14">
      <t>ショククミ</t>
    </rPh>
    <rPh sb="20" eb="24">
      <t>フトウメイフクロ</t>
    </rPh>
    <phoneticPr fontId="1"/>
  </si>
  <si>
    <t>東北サンネット4月2回3色組スタイリッシュ（不透明袋）①</t>
    <rPh sb="0" eb="2">
      <t>トウホク</t>
    </rPh>
    <rPh sb="8" eb="9">
      <t>ガツ</t>
    </rPh>
    <rPh sb="10" eb="11">
      <t>カイ</t>
    </rPh>
    <rPh sb="12" eb="14">
      <t>ショククミ</t>
    </rPh>
    <rPh sb="22" eb="26">
      <t>フトウメイフクロ</t>
    </rPh>
    <phoneticPr fontId="1"/>
  </si>
  <si>
    <t>東北サンネット4月2回3色組ベーシック（不透明袋）②</t>
    <rPh sb="0" eb="2">
      <t>トウホク</t>
    </rPh>
    <rPh sb="8" eb="9">
      <t>ガツ</t>
    </rPh>
    <rPh sb="10" eb="11">
      <t>カイ</t>
    </rPh>
    <rPh sb="12" eb="14">
      <t>ショククミ</t>
    </rPh>
    <rPh sb="20" eb="24">
      <t>フトウメイフクロ</t>
    </rPh>
    <phoneticPr fontId="1"/>
  </si>
  <si>
    <t>東北サンネット4月2回3色組スタイリッシュ（不透明袋）②</t>
    <rPh sb="0" eb="2">
      <t>トウホク</t>
    </rPh>
    <rPh sb="8" eb="9">
      <t>ガツ</t>
    </rPh>
    <rPh sb="10" eb="11">
      <t>カイ</t>
    </rPh>
    <rPh sb="12" eb="14">
      <t>ショククミ</t>
    </rPh>
    <rPh sb="22" eb="26">
      <t>フトウメイフクロ</t>
    </rPh>
    <phoneticPr fontId="1"/>
  </si>
  <si>
    <t>残り868枚は3月請求済み</t>
    <rPh sb="0" eb="1">
      <t>ノコ</t>
    </rPh>
    <rPh sb="5" eb="6">
      <t>マイ</t>
    </rPh>
    <rPh sb="8" eb="12">
      <t>ガツセイキュウズ</t>
    </rPh>
    <phoneticPr fontId="1"/>
  </si>
  <si>
    <t>東北サンネット4月2回3色組スタイリッシュ（不透明袋）③</t>
    <rPh sb="0" eb="2">
      <t>トウホク</t>
    </rPh>
    <rPh sb="8" eb="9">
      <t>ガツ</t>
    </rPh>
    <rPh sb="10" eb="11">
      <t>カイ</t>
    </rPh>
    <rPh sb="12" eb="14">
      <t>ショククミ</t>
    </rPh>
    <rPh sb="22" eb="26">
      <t>フトウメイフクロ</t>
    </rPh>
    <phoneticPr fontId="1"/>
  </si>
  <si>
    <t>ディノス25夏号￥3600　ベーシック②</t>
    <rPh sb="6" eb="7">
      <t>ナツ</t>
    </rPh>
    <rPh sb="7" eb="8">
      <t>ゴウ</t>
    </rPh>
    <phoneticPr fontId="1"/>
  </si>
  <si>
    <t>西夢取り置き</t>
    <rPh sb="0" eb="3">
      <t>ニシユメト</t>
    </rPh>
    <rPh sb="4" eb="5">
      <t>オ</t>
    </rPh>
    <phoneticPr fontId="1"/>
  </si>
  <si>
    <t>千趣会60</t>
    <rPh sb="0" eb="3">
      <t>センシュカイ</t>
    </rPh>
    <phoneticPr fontId="1"/>
  </si>
  <si>
    <t>ディノス25夏号￥3600　ベーシック③</t>
    <rPh sb="6" eb="7">
      <t>ナツ</t>
    </rPh>
    <rPh sb="7" eb="8">
      <t>ゴウ</t>
    </rPh>
    <phoneticPr fontId="1"/>
  </si>
  <si>
    <t>ディノス25夏号￥3600　スタイリッシュ②</t>
    <rPh sb="6" eb="7">
      <t>ナツ</t>
    </rPh>
    <rPh sb="7" eb="8">
      <t>ゴウ</t>
    </rPh>
    <phoneticPr fontId="1"/>
  </si>
  <si>
    <t>ディノス25夏号￥3600　ベーシック④</t>
    <rPh sb="6" eb="7">
      <t>ナツ</t>
    </rPh>
    <rPh sb="7" eb="8">
      <t>ゴウ</t>
    </rPh>
    <phoneticPr fontId="1"/>
  </si>
  <si>
    <t>ディノス25夏号￥3600　ベーシック⑤</t>
    <rPh sb="6" eb="7">
      <t>ナツ</t>
    </rPh>
    <rPh sb="7" eb="8">
      <t>ゴウ</t>
    </rPh>
    <phoneticPr fontId="1"/>
  </si>
  <si>
    <t>ディノス25夏号￥3600　ベーシック⑥</t>
    <rPh sb="6" eb="7">
      <t>ナツ</t>
    </rPh>
    <rPh sb="7" eb="8">
      <t>ゴウ</t>
    </rPh>
    <phoneticPr fontId="1"/>
  </si>
  <si>
    <t>ディノス25夏号￥3600　スタイリッシュ③</t>
    <rPh sb="6" eb="7">
      <t>ナツ</t>
    </rPh>
    <rPh sb="7" eb="8">
      <t>ゴウ</t>
    </rPh>
    <phoneticPr fontId="1"/>
  </si>
  <si>
    <t>ディノス25夏号￥3600　ベーシック⑦</t>
    <rPh sb="6" eb="7">
      <t>ナツ</t>
    </rPh>
    <rPh sb="7" eb="8">
      <t>ゴウ</t>
    </rPh>
    <phoneticPr fontId="1"/>
  </si>
  <si>
    <t>千趣会61</t>
    <rPh sb="0" eb="3">
      <t>センシュカイ</t>
    </rPh>
    <phoneticPr fontId="1"/>
  </si>
  <si>
    <t>出荷数</t>
    <phoneticPr fontId="4"/>
  </si>
  <si>
    <t>西夢</t>
    <rPh sb="0" eb="2">
      <t>ニシユメ</t>
    </rPh>
    <phoneticPr fontId="1"/>
  </si>
  <si>
    <t>ディノス25夏号￥3600　スタイリッシュ④</t>
    <rPh sb="6" eb="7">
      <t>ナツ</t>
    </rPh>
    <rPh sb="7" eb="8">
      <t>ゴウ</t>
    </rPh>
    <phoneticPr fontId="1"/>
  </si>
  <si>
    <t>ディノス25夏号￥3600　ベーシック⑧</t>
    <rPh sb="6" eb="7">
      <t>ナツ</t>
    </rPh>
    <rPh sb="7" eb="8">
      <t>ゴウ</t>
    </rPh>
    <phoneticPr fontId="1"/>
  </si>
  <si>
    <t>ディノス25夏号￥3600　スタイリッシュ⑤</t>
    <rPh sb="6" eb="7">
      <t>ナツ</t>
    </rPh>
    <rPh sb="7" eb="8">
      <t>ゴウ</t>
    </rPh>
    <phoneticPr fontId="1"/>
  </si>
  <si>
    <t>千趣会62</t>
    <rPh sb="0" eb="3">
      <t>センシュカイ</t>
    </rPh>
    <phoneticPr fontId="1"/>
  </si>
  <si>
    <t>ディノス25夏号￥3600　ベーシック⑨</t>
    <rPh sb="6" eb="7">
      <t>ナツ</t>
    </rPh>
    <rPh sb="7" eb="8">
      <t>ゴウ</t>
    </rPh>
    <phoneticPr fontId="1"/>
  </si>
  <si>
    <t>ディノス25夏号￥3600　スタイリッシュ⑥</t>
    <rPh sb="6" eb="7">
      <t>ナツ</t>
    </rPh>
    <rPh sb="7" eb="8">
      <t>ゴウ</t>
    </rPh>
    <phoneticPr fontId="1"/>
  </si>
  <si>
    <t>東北サンネット7月2回3色組（ベーシック）</t>
    <rPh sb="0" eb="2">
      <t>トウホク</t>
    </rPh>
    <rPh sb="8" eb="9">
      <t>ガツ</t>
    </rPh>
    <rPh sb="10" eb="11">
      <t>カイ</t>
    </rPh>
    <rPh sb="12" eb="14">
      <t>ショククミ</t>
    </rPh>
    <phoneticPr fontId="1"/>
  </si>
  <si>
    <t>東北サンネット7月2回3色組（スタイリッシュ）</t>
    <rPh sb="0" eb="2">
      <t>トウホク</t>
    </rPh>
    <rPh sb="8" eb="9">
      <t>ガツ</t>
    </rPh>
    <rPh sb="10" eb="11">
      <t>カイ</t>
    </rPh>
    <rPh sb="12" eb="14">
      <t>ショククミ</t>
    </rPh>
    <phoneticPr fontId="1"/>
  </si>
  <si>
    <t>6/25～7/9</t>
    <phoneticPr fontId="1"/>
  </si>
  <si>
    <t>東北サンネット7月2回3色組差分予測</t>
    <rPh sb="0" eb="2">
      <t>トウホク</t>
    </rPh>
    <rPh sb="8" eb="9">
      <t>ガツ</t>
    </rPh>
    <rPh sb="10" eb="11">
      <t>カイ</t>
    </rPh>
    <rPh sb="12" eb="14">
      <t>ショククミ</t>
    </rPh>
    <rPh sb="14" eb="18">
      <t>サブンヨソク</t>
    </rPh>
    <phoneticPr fontId="1"/>
  </si>
  <si>
    <t>ネット</t>
    <phoneticPr fontId="1"/>
  </si>
  <si>
    <t>ディノス25盛夏号￥3600　ベーシック①</t>
    <rPh sb="6" eb="8">
      <t>セイカ</t>
    </rPh>
    <rPh sb="8" eb="9">
      <t>ゴウ</t>
    </rPh>
    <phoneticPr fontId="1"/>
  </si>
  <si>
    <t>ディノス25盛夏号￥3600　スタイリッシュ①</t>
    <rPh sb="6" eb="8">
      <t>セイカ</t>
    </rPh>
    <rPh sb="8" eb="9">
      <t>ゴウ</t>
    </rPh>
    <phoneticPr fontId="1"/>
  </si>
  <si>
    <t>千趣会63</t>
    <rPh sb="0" eb="3">
      <t>センシュカイ</t>
    </rPh>
    <phoneticPr fontId="1"/>
  </si>
  <si>
    <t>ユーコープ5月3回（不透明袋）ベーシック①</t>
    <rPh sb="6" eb="7">
      <t>ガツ</t>
    </rPh>
    <rPh sb="8" eb="9">
      <t>カイ</t>
    </rPh>
    <rPh sb="10" eb="14">
      <t>フトウメイフクロ</t>
    </rPh>
    <phoneticPr fontId="1"/>
  </si>
  <si>
    <t>ユーコープ5月3回（不透明袋スタイリッシュ①</t>
    <rPh sb="6" eb="7">
      <t>ガツ</t>
    </rPh>
    <rPh sb="8" eb="9">
      <t>カイ</t>
    </rPh>
    <rPh sb="10" eb="14">
      <t>フトウメイフクロ</t>
    </rPh>
    <phoneticPr fontId="1"/>
  </si>
  <si>
    <t>ディノス25盛夏号￥3600　ベーシック②</t>
    <rPh sb="6" eb="8">
      <t>セイカ</t>
    </rPh>
    <rPh sb="8" eb="9">
      <t>ゴウ</t>
    </rPh>
    <phoneticPr fontId="1"/>
  </si>
  <si>
    <t>ディノス25盛夏号￥3600　ベーシック③</t>
    <rPh sb="6" eb="8">
      <t>セイカ</t>
    </rPh>
    <rPh sb="8" eb="9">
      <t>ゴウ</t>
    </rPh>
    <phoneticPr fontId="1"/>
  </si>
  <si>
    <t>ディノス25盛夏号￥3600　ベーシック④</t>
    <rPh sb="6" eb="8">
      <t>セイカ</t>
    </rPh>
    <rPh sb="8" eb="9">
      <t>ゴウ</t>
    </rPh>
    <phoneticPr fontId="1"/>
  </si>
  <si>
    <t>ディノス25盛夏号￥3600　スタイリッシュ②</t>
    <rPh sb="6" eb="8">
      <t>セイカ</t>
    </rPh>
    <rPh sb="8" eb="9">
      <t>ゴウ</t>
    </rPh>
    <phoneticPr fontId="1"/>
  </si>
  <si>
    <t>千趣会64</t>
    <rPh sb="0" eb="3">
      <t>センシュカイ</t>
    </rPh>
    <phoneticPr fontId="1"/>
  </si>
  <si>
    <t>ユーコープ5月3回（不透明袋）ベーシック②</t>
    <rPh sb="6" eb="7">
      <t>ガツ</t>
    </rPh>
    <rPh sb="8" eb="9">
      <t>カイ</t>
    </rPh>
    <rPh sb="10" eb="14">
      <t>フトウメイフクロ</t>
    </rPh>
    <phoneticPr fontId="1"/>
  </si>
  <si>
    <t>ユーコープ5月3回（不透明袋スタイリッシュ②</t>
    <rPh sb="6" eb="7">
      <t>ガツ</t>
    </rPh>
    <rPh sb="8" eb="9">
      <t>カイ</t>
    </rPh>
    <rPh sb="10" eb="14">
      <t>フトウメイフクロ</t>
    </rPh>
    <phoneticPr fontId="1"/>
  </si>
  <si>
    <t>ユーコープ5月3回（不透明袋）ベーシック③</t>
    <rPh sb="6" eb="7">
      <t>ガツ</t>
    </rPh>
    <rPh sb="8" eb="9">
      <t>カイ</t>
    </rPh>
    <rPh sb="10" eb="14">
      <t>フトウメイフクロ</t>
    </rPh>
    <phoneticPr fontId="1"/>
  </si>
  <si>
    <t>ユーコープ5月3回（不透明袋スタイリッシュ③</t>
    <rPh sb="6" eb="7">
      <t>ガツ</t>
    </rPh>
    <rPh sb="8" eb="9">
      <t>カイ</t>
    </rPh>
    <rPh sb="10" eb="14">
      <t>フトウメイフクロ</t>
    </rPh>
    <phoneticPr fontId="1"/>
  </si>
  <si>
    <t>ユーコープ5月3回（不透明袋スタイリッシュ④</t>
    <rPh sb="6" eb="7">
      <t>ガツ</t>
    </rPh>
    <rPh sb="8" eb="9">
      <t>カイ</t>
    </rPh>
    <rPh sb="10" eb="14">
      <t>フトウメイフクロ</t>
    </rPh>
    <phoneticPr fontId="1"/>
  </si>
  <si>
    <t>ディノス25盛夏号￥3600　ベーシック⑤</t>
    <rPh sb="6" eb="8">
      <t>セイカ</t>
    </rPh>
    <rPh sb="8" eb="9">
      <t>ゴウ</t>
    </rPh>
    <phoneticPr fontId="1"/>
  </si>
  <si>
    <t>サクラマチ返品</t>
    <rPh sb="5" eb="7">
      <t>ヘンピン</t>
    </rPh>
    <phoneticPr fontId="4"/>
  </si>
  <si>
    <t>ディノス25盛夏号￥3600　ベーシック⑥</t>
    <rPh sb="6" eb="8">
      <t>セイカ</t>
    </rPh>
    <rPh sb="8" eb="9">
      <t>ゴウ</t>
    </rPh>
    <phoneticPr fontId="1"/>
  </si>
  <si>
    <t>ディノス25盛夏号￥3600　スタイリッシュ③</t>
    <rPh sb="6" eb="8">
      <t>セイカ</t>
    </rPh>
    <rPh sb="8" eb="9">
      <t>ゴウ</t>
    </rPh>
    <phoneticPr fontId="1"/>
  </si>
  <si>
    <t>ディノス25盛夏号￥3600　スタイリッシュ④</t>
    <rPh sb="6" eb="8">
      <t>セイカ</t>
    </rPh>
    <rPh sb="8" eb="9">
      <t>ゴウ</t>
    </rPh>
    <phoneticPr fontId="1"/>
  </si>
  <si>
    <t>千趣会65</t>
    <rPh sb="0" eb="3">
      <t>センシュカイ</t>
    </rPh>
    <phoneticPr fontId="1"/>
  </si>
  <si>
    <t>ディノス25盛夏号￥3600　ベーシック⑦</t>
    <rPh sb="6" eb="8">
      <t>セイカ</t>
    </rPh>
    <rPh sb="8" eb="9">
      <t>ゴウ</t>
    </rPh>
    <phoneticPr fontId="1"/>
  </si>
  <si>
    <t>ディノス25盛夏号￥3600　スタイリッシュ⑤</t>
    <rPh sb="6" eb="8">
      <t>セイカ</t>
    </rPh>
    <rPh sb="8" eb="9">
      <t>ゴウ</t>
    </rPh>
    <phoneticPr fontId="1"/>
  </si>
  <si>
    <t>ディノス25盛夏号￥3600　ベーシック⑧</t>
    <rPh sb="6" eb="8">
      <t>セイカ</t>
    </rPh>
    <rPh sb="8" eb="9">
      <t>ゴウ</t>
    </rPh>
    <phoneticPr fontId="1"/>
  </si>
  <si>
    <t>ディノス25盛夏号￥3600　スタイリッシュ⑥</t>
    <rPh sb="6" eb="8">
      <t>セイカ</t>
    </rPh>
    <rPh sb="8" eb="9">
      <t>ゴウ</t>
    </rPh>
    <phoneticPr fontId="1"/>
  </si>
  <si>
    <t>ディノス25盛夏号￥3600　スタイリッシュ⑦</t>
    <rPh sb="6" eb="8">
      <t>セイカ</t>
    </rPh>
    <rPh sb="8" eb="9">
      <t>ゴウ</t>
    </rPh>
    <phoneticPr fontId="1"/>
  </si>
  <si>
    <t>千趣会66</t>
    <rPh sb="0" eb="3">
      <t>センシュカイ</t>
    </rPh>
    <phoneticPr fontId="1"/>
  </si>
  <si>
    <t>西本さん個人買い</t>
    <rPh sb="0" eb="2">
      <t>ニシモト</t>
    </rPh>
    <rPh sb="4" eb="7">
      <t>コジンガ</t>
    </rPh>
    <phoneticPr fontId="1"/>
  </si>
  <si>
    <t>ディノス25盛夏号￥3600　スタイリッシュ⑧</t>
    <rPh sb="6" eb="8">
      <t>セイカ</t>
    </rPh>
    <rPh sb="8" eb="9">
      <t>ゴウ</t>
    </rPh>
    <phoneticPr fontId="1"/>
  </si>
  <si>
    <t>ディノス返品</t>
    <rPh sb="4" eb="6">
      <t>ヘンピン</t>
    </rPh>
    <phoneticPr fontId="1"/>
  </si>
  <si>
    <t>千趣会67</t>
    <rPh sb="0" eb="3">
      <t>センシュカイ</t>
    </rPh>
    <phoneticPr fontId="1"/>
  </si>
  <si>
    <t>ディノス25盛夏号￥3600　ベーシック⑨</t>
    <rPh sb="6" eb="8">
      <t>セイカ</t>
    </rPh>
    <rPh sb="8" eb="9">
      <t>ゴウ</t>
    </rPh>
    <phoneticPr fontId="1"/>
  </si>
  <si>
    <t>ディノス25盛夏号￥3600　スタイリッシュ⑨</t>
    <rPh sb="6" eb="8">
      <t>セイカ</t>
    </rPh>
    <rPh sb="8" eb="9">
      <t>ゴウ</t>
    </rPh>
    <phoneticPr fontId="1"/>
  </si>
  <si>
    <t xml:space="preserve"> 追加１</t>
    <rPh sb="1" eb="3">
      <t>ツイカ</t>
    </rPh>
    <phoneticPr fontId="4"/>
  </si>
  <si>
    <t>千趣会68</t>
    <rPh sb="0" eb="3">
      <t>センシュカイ</t>
    </rPh>
    <phoneticPr fontId="1"/>
  </si>
  <si>
    <t>ディノス25盛夏号￥3600　ベーシック⑩</t>
    <rPh sb="6" eb="8">
      <t>セイカ</t>
    </rPh>
    <rPh sb="8" eb="9">
      <t>ゴウ</t>
    </rPh>
    <phoneticPr fontId="1"/>
  </si>
  <si>
    <t>千趣会69</t>
    <rPh sb="0" eb="3">
      <t>センシュカイ</t>
    </rPh>
    <phoneticPr fontId="1"/>
  </si>
  <si>
    <t>あいコープみやぎ8月4回3色組（ベーシック）</t>
    <rPh sb="9" eb="10">
      <t>ガツ</t>
    </rPh>
    <rPh sb="11" eb="12">
      <t>カイ</t>
    </rPh>
    <rPh sb="13" eb="15">
      <t>ショククミ</t>
    </rPh>
    <phoneticPr fontId="1"/>
  </si>
  <si>
    <t>あいコープみやぎ8月4回3色組（スタイリッシュ）</t>
    <rPh sb="9" eb="10">
      <t>ガツ</t>
    </rPh>
    <rPh sb="11" eb="12">
      <t>カイ</t>
    </rPh>
    <rPh sb="13" eb="15">
      <t>ショククミ</t>
    </rPh>
    <phoneticPr fontId="1"/>
  </si>
  <si>
    <t>過入荷分</t>
    <rPh sb="0" eb="4">
      <t>カニュウカブン</t>
    </rPh>
    <phoneticPr fontId="4"/>
  </si>
  <si>
    <t>7月伝</t>
    <rPh sb="1" eb="3">
      <t>ガツデン</t>
    </rPh>
    <phoneticPr fontId="1"/>
  </si>
  <si>
    <t>千趣会70</t>
    <rPh sb="0" eb="3">
      <t>センシュカイ</t>
    </rPh>
    <phoneticPr fontId="1"/>
  </si>
  <si>
    <t>西夢取り置き</t>
    <rPh sb="0" eb="2">
      <t>ニシユメ</t>
    </rPh>
    <rPh sb="2" eb="3">
      <t>ト</t>
    </rPh>
    <rPh sb="4" eb="5">
      <t>オ</t>
    </rPh>
    <phoneticPr fontId="1"/>
  </si>
  <si>
    <t>千趣会71</t>
    <rPh sb="0" eb="3">
      <t>センシュカイ</t>
    </rPh>
    <phoneticPr fontId="1"/>
  </si>
  <si>
    <t>ディノス25盛夏号￥3600　ベーシック⑪</t>
    <rPh sb="6" eb="8">
      <t>セイカ</t>
    </rPh>
    <rPh sb="8" eb="9">
      <t>ゴウ</t>
    </rPh>
    <phoneticPr fontId="1"/>
  </si>
  <si>
    <t>ディノス25盛夏号￥3600　ベーシック⑫</t>
    <rPh sb="6" eb="8">
      <t>セイカ</t>
    </rPh>
    <rPh sb="8" eb="9">
      <t>ゴウ</t>
    </rPh>
    <phoneticPr fontId="1"/>
  </si>
  <si>
    <t>ディノス25盛夏号￥3600　スタイリッシュ⑩</t>
    <rPh sb="6" eb="8">
      <t>セイカ</t>
    </rPh>
    <rPh sb="8" eb="9">
      <t>ゴウ</t>
    </rPh>
    <phoneticPr fontId="1"/>
  </si>
  <si>
    <t>東北サンネット7月2回3色組（スタイリッシュ）①</t>
    <rPh sb="0" eb="2">
      <t>トウホク</t>
    </rPh>
    <rPh sb="8" eb="9">
      <t>ガツ</t>
    </rPh>
    <rPh sb="10" eb="11">
      <t>カイ</t>
    </rPh>
    <rPh sb="12" eb="14">
      <t>ショククミ</t>
    </rPh>
    <phoneticPr fontId="1"/>
  </si>
  <si>
    <t>東北サンネット7月2回3色組（ベーシック）①</t>
    <rPh sb="0" eb="2">
      <t>トウホク</t>
    </rPh>
    <rPh sb="8" eb="9">
      <t>ガツ</t>
    </rPh>
    <rPh sb="10" eb="11">
      <t>カイ</t>
    </rPh>
    <rPh sb="12" eb="14">
      <t>ショククミ</t>
    </rPh>
    <phoneticPr fontId="1"/>
  </si>
  <si>
    <t>東北サンネット7月2回3色組（スタイリッシュ）②</t>
    <rPh sb="0" eb="2">
      <t>トウホク</t>
    </rPh>
    <rPh sb="8" eb="9">
      <t>ガツ</t>
    </rPh>
    <rPh sb="10" eb="11">
      <t>カイ</t>
    </rPh>
    <rPh sb="12" eb="14">
      <t>ショククミ</t>
    </rPh>
    <phoneticPr fontId="1"/>
  </si>
  <si>
    <t>東北サンネット7月2回3色組（スタイリッシュ）③</t>
    <rPh sb="0" eb="2">
      <t>トウホク</t>
    </rPh>
    <rPh sb="8" eb="9">
      <t>ガツ</t>
    </rPh>
    <rPh sb="10" eb="11">
      <t>カイ</t>
    </rPh>
    <rPh sb="12" eb="14">
      <t>ショククミ</t>
    </rPh>
    <phoneticPr fontId="1"/>
  </si>
  <si>
    <t>コープきんき選定会議用sample返却</t>
    <rPh sb="6" eb="11">
      <t>センテイカイギヨウ</t>
    </rPh>
    <rPh sb="17" eb="19">
      <t>ヘンキャク</t>
    </rPh>
    <phoneticPr fontId="1"/>
  </si>
  <si>
    <t>千趣会72</t>
    <rPh sb="0" eb="3">
      <t>センシュカイ</t>
    </rPh>
    <phoneticPr fontId="1"/>
  </si>
  <si>
    <t>ディノス25盛夏号￥3600　ベーシック⑬</t>
    <rPh sb="6" eb="8">
      <t>セイカ</t>
    </rPh>
    <rPh sb="8" eb="9">
      <t>ゴウ</t>
    </rPh>
    <phoneticPr fontId="1"/>
  </si>
  <si>
    <t>ディノス25盛夏号￥3600　スタイリッシュ⑪</t>
    <rPh sb="6" eb="8">
      <t>セイカ</t>
    </rPh>
    <rPh sb="8" eb="9">
      <t>ゴウ</t>
    </rPh>
    <phoneticPr fontId="1"/>
  </si>
  <si>
    <t>千趣会73</t>
    <rPh sb="0" eb="3">
      <t>センシュカイ</t>
    </rPh>
    <phoneticPr fontId="1"/>
  </si>
  <si>
    <t>サクラマチ返品　ベーシック</t>
    <rPh sb="5" eb="7">
      <t>ヘンピン</t>
    </rPh>
    <phoneticPr fontId="4"/>
  </si>
  <si>
    <t>サクラマチ返品　スタイリッシュ</t>
    <rPh sb="5" eb="7">
      <t>ヘンピン</t>
    </rPh>
    <phoneticPr fontId="4"/>
  </si>
  <si>
    <t>←ここまで式確認2025/7/17</t>
    <rPh sb="0" eb="8">
      <t>&lt;-ココマデシキカクニン</t>
    </rPh>
    <phoneticPr fontId="1"/>
  </si>
  <si>
    <t>ディノス25盛夏号￥3600　ベーシック⑭</t>
    <rPh sb="6" eb="8">
      <t>セイカ</t>
    </rPh>
    <rPh sb="8" eb="9">
      <t>ゴウ</t>
    </rPh>
    <phoneticPr fontId="1"/>
  </si>
  <si>
    <t>確定発注9/3</t>
    <rPh sb="0" eb="4">
      <t>カクテイハッチュウ</t>
    </rPh>
    <phoneticPr fontId="1"/>
  </si>
  <si>
    <t xml:space="preserve">千趣会74 </t>
    <rPh sb="0" eb="3">
      <t>センシュカイ</t>
    </rPh>
    <phoneticPr fontId="1"/>
  </si>
  <si>
    <t>2025/6/30数伝</t>
    <rPh sb="9" eb="10">
      <t>スウ</t>
    </rPh>
    <rPh sb="10" eb="11">
      <t>デン</t>
    </rPh>
    <phoneticPr fontId="1"/>
  </si>
  <si>
    <t>2025/6/6数伝</t>
    <rPh sb="8" eb="9">
      <t>スウ</t>
    </rPh>
    <rPh sb="9" eb="10">
      <t>デン</t>
    </rPh>
    <phoneticPr fontId="1"/>
  </si>
  <si>
    <t>グリーンコープ29号3色組丸藤 差分予測</t>
    <rPh sb="9" eb="10">
      <t>ゴウ</t>
    </rPh>
    <rPh sb="11" eb="13">
      <t>ショククミ</t>
    </rPh>
    <rPh sb="13" eb="15">
      <t>マルフジ</t>
    </rPh>
    <rPh sb="16" eb="18">
      <t>サブン</t>
    </rPh>
    <rPh sb="18" eb="20">
      <t>ヨソク</t>
    </rPh>
    <phoneticPr fontId="1"/>
  </si>
  <si>
    <t>10/3～1/6</t>
    <phoneticPr fontId="1"/>
  </si>
  <si>
    <t>グリーンコープ29号3色組（ベーシック・不透明袋）丸藤新ネーム</t>
    <rPh sb="9" eb="10">
      <t>ゴウ</t>
    </rPh>
    <rPh sb="11" eb="13">
      <t>ショククミ</t>
    </rPh>
    <rPh sb="20" eb="24">
      <t>フトウメイフクロ</t>
    </rPh>
    <rPh sb="25" eb="27">
      <t>マルフジ</t>
    </rPh>
    <rPh sb="27" eb="28">
      <t>シン</t>
    </rPh>
    <phoneticPr fontId="1"/>
  </si>
  <si>
    <t>ディノス25盛夏号￥3600　ベーシック⑮</t>
    <rPh sb="6" eb="8">
      <t>セイカ</t>
    </rPh>
    <rPh sb="8" eb="9">
      <t>ゴウ</t>
    </rPh>
    <phoneticPr fontId="1"/>
  </si>
  <si>
    <t>ディノス25盛夏号￥3600　スタイリッシュ⑫</t>
    <rPh sb="6" eb="8">
      <t>セイカ</t>
    </rPh>
    <rPh sb="8" eb="9">
      <t>ゴウ</t>
    </rPh>
    <phoneticPr fontId="1"/>
  </si>
  <si>
    <t>グリーンコープ29号3色組（スタイリッシュ・不透明袋）丸藤新ネーム</t>
    <rPh sb="9" eb="10">
      <t>ゴウ</t>
    </rPh>
    <rPh sb="11" eb="13">
      <t>ショククミ</t>
    </rPh>
    <rPh sb="22" eb="26">
      <t>フトウメイフクロ</t>
    </rPh>
    <rPh sb="27" eb="29">
      <t>マルフジ</t>
    </rPh>
    <phoneticPr fontId="1"/>
  </si>
  <si>
    <t>丸藤sample(3色組)</t>
    <rPh sb="0" eb="2">
      <t>マルフジ</t>
    </rPh>
    <rPh sb="10" eb="12">
      <t>ショククミ</t>
    </rPh>
    <phoneticPr fontId="1"/>
  </si>
  <si>
    <t>アテニア2025年 12月号</t>
    <phoneticPr fontId="1"/>
  </si>
  <si>
    <t>ディノス25盛夏号￥3600　スタイリッシュ⑬</t>
    <rPh sb="6" eb="8">
      <t>セイカ</t>
    </rPh>
    <rPh sb="8" eb="9">
      <t>ゴウ</t>
    </rPh>
    <phoneticPr fontId="1"/>
  </si>
  <si>
    <t>確定発注8/20</t>
    <rPh sb="0" eb="4">
      <t>カクテイハッチュウ</t>
    </rPh>
    <phoneticPr fontId="1"/>
  </si>
  <si>
    <t>あいコープみやぎ9月2回3色組（スタイリッシュ）</t>
    <rPh sb="9" eb="10">
      <t>ガツ</t>
    </rPh>
    <rPh sb="11" eb="12">
      <t>カイ</t>
    </rPh>
    <rPh sb="13" eb="15">
      <t>ショククミ</t>
    </rPh>
    <phoneticPr fontId="1"/>
  </si>
  <si>
    <t>あいコープみやぎ9月2回3色組（ベーシック）</t>
    <rPh sb="9" eb="10">
      <t>ガツ</t>
    </rPh>
    <rPh sb="11" eb="12">
      <t>カイ</t>
    </rPh>
    <rPh sb="13" eb="15">
      <t>ショククミ</t>
    </rPh>
    <phoneticPr fontId="1"/>
  </si>
  <si>
    <t>千趣会75</t>
    <rPh sb="0" eb="3">
      <t>センシュカイ</t>
    </rPh>
    <phoneticPr fontId="1"/>
  </si>
  <si>
    <t>ディノス25盛夏号￥3600　スタイリッシュ⑭</t>
    <rPh sb="6" eb="8">
      <t>セイカ</t>
    </rPh>
    <rPh sb="8" eb="9">
      <t>ゴウ</t>
    </rPh>
    <phoneticPr fontId="1"/>
  </si>
  <si>
    <t>あいコープみやぎ8月4回3色組（ベーシック）①</t>
    <rPh sb="9" eb="10">
      <t>ガツ</t>
    </rPh>
    <rPh sb="11" eb="12">
      <t>カイ</t>
    </rPh>
    <rPh sb="13" eb="15">
      <t>ショククミ</t>
    </rPh>
    <phoneticPr fontId="1"/>
  </si>
  <si>
    <t>あいコープみやぎ8月4回3色組（スタイリッシュ）①</t>
    <rPh sb="9" eb="10">
      <t>ガツ</t>
    </rPh>
    <rPh sb="11" eb="12">
      <t>カイ</t>
    </rPh>
    <rPh sb="13" eb="15">
      <t>ショククミ</t>
    </rPh>
    <phoneticPr fontId="1"/>
  </si>
  <si>
    <t>ディノス25盛夏号￥3600　スタイリッシュ⑮</t>
    <rPh sb="6" eb="8">
      <t>セイカ</t>
    </rPh>
    <rPh sb="8" eb="9">
      <t>ゴウ</t>
    </rPh>
    <phoneticPr fontId="1"/>
  </si>
  <si>
    <t>千趣会76</t>
    <rPh sb="0" eb="3">
      <t>センシュカイ</t>
    </rPh>
    <phoneticPr fontId="1"/>
  </si>
  <si>
    <t>ディノス25盛夏号￥3600　ベーシック⑯</t>
    <rPh sb="6" eb="8">
      <t>セイカ</t>
    </rPh>
    <rPh sb="8" eb="9">
      <t>ゴウ</t>
    </rPh>
    <phoneticPr fontId="1"/>
  </si>
  <si>
    <t>ディノス25盛夏号￥3600　スタイリッシュ⑯</t>
    <rPh sb="6" eb="8">
      <t>セイカ</t>
    </rPh>
    <rPh sb="8" eb="9">
      <t>ゴウ</t>
    </rPh>
    <phoneticPr fontId="1"/>
  </si>
  <si>
    <t>ディノス25盛夏号￥3600　スタイリッシュ⑰</t>
    <rPh sb="6" eb="8">
      <t>セイカ</t>
    </rPh>
    <rPh sb="8" eb="9">
      <t>ゴウ</t>
    </rPh>
    <phoneticPr fontId="1"/>
  </si>
  <si>
    <t>千趣会77</t>
    <rPh sb="0" eb="3">
      <t>センシュカイ</t>
    </rPh>
    <phoneticPr fontId="1"/>
  </si>
  <si>
    <t>ディノス25盛夏号￥3600　ベーシック⑰</t>
    <rPh sb="6" eb="8">
      <t>セイカ</t>
    </rPh>
    <rPh sb="8" eb="9">
      <t>ゴウ</t>
    </rPh>
    <phoneticPr fontId="1"/>
  </si>
  <si>
    <t>D-BEAUTUYプチ10月（商品同梱）（スタイリッシュ）</t>
    <phoneticPr fontId="1"/>
  </si>
  <si>
    <t>D-BEAUTUYプチ10月（商品同梱）（ベーシック）</t>
    <phoneticPr fontId="1"/>
  </si>
  <si>
    <t>D-BEAUTUYプチ10月（商品同梱）差分予測</t>
    <rPh sb="20" eb="24">
      <t>サブンヨソク</t>
    </rPh>
    <phoneticPr fontId="1"/>
  </si>
  <si>
    <t>千趣会78</t>
    <rPh sb="0" eb="3">
      <t>センシュカイ</t>
    </rPh>
    <phoneticPr fontId="1"/>
  </si>
  <si>
    <t>夢販</t>
    <rPh sb="0" eb="2">
      <t>ユメハン</t>
    </rPh>
    <phoneticPr fontId="1"/>
  </si>
  <si>
    <t>ディノス25盛夏号￥3600　ベーシック⑱</t>
    <rPh sb="6" eb="8">
      <t>セイカ</t>
    </rPh>
    <rPh sb="8" eb="9">
      <t>ゴウ</t>
    </rPh>
    <phoneticPr fontId="1"/>
  </si>
  <si>
    <t>ディノス25盛夏号￥3600　スタイリッシュ⑱</t>
    <rPh sb="6" eb="8">
      <t>セイカ</t>
    </rPh>
    <rPh sb="8" eb="9">
      <t>ゴウ</t>
    </rPh>
    <phoneticPr fontId="1"/>
  </si>
  <si>
    <t>西夢取り置き</t>
    <rPh sb="0" eb="3">
      <t>ニシユメト</t>
    </rPh>
    <rPh sb="4" eb="5">
      <t>オ</t>
    </rPh>
    <phoneticPr fontId="1"/>
  </si>
  <si>
    <t>千趣会79</t>
    <rPh sb="0" eb="3">
      <t>センシュカイ</t>
    </rPh>
    <phoneticPr fontId="1"/>
  </si>
  <si>
    <t>グリーンコープ29号3色組（ベーシック・不透明袋）丸藤新ネーム①</t>
    <rPh sb="9" eb="10">
      <t>ゴウ</t>
    </rPh>
    <rPh sb="11" eb="13">
      <t>ショククミ</t>
    </rPh>
    <rPh sb="20" eb="24">
      <t>フトウメイフクロ</t>
    </rPh>
    <rPh sb="25" eb="27">
      <t>マルフジ</t>
    </rPh>
    <rPh sb="27" eb="28">
      <t>シン</t>
    </rPh>
    <phoneticPr fontId="1"/>
  </si>
  <si>
    <t>グリーンコープ29号3色組（スタイリッシュ・不透明袋）丸藤新ネーム①</t>
    <rPh sb="9" eb="10">
      <t>ゴウ</t>
    </rPh>
    <rPh sb="11" eb="13">
      <t>ショククミ</t>
    </rPh>
    <rPh sb="22" eb="26">
      <t>フトウメイフクロ</t>
    </rPh>
    <rPh sb="27" eb="29">
      <t>マルフジ</t>
    </rPh>
    <phoneticPr fontId="1"/>
  </si>
  <si>
    <t>千趣会返品</t>
    <rPh sb="0" eb="3">
      <t>センシュカイ</t>
    </rPh>
    <rPh sb="3" eb="5">
      <t>ヘンピン</t>
    </rPh>
    <phoneticPr fontId="4"/>
  </si>
  <si>
    <t>ディノス25盛夏号￥3600　ベーシック⑲</t>
    <rPh sb="6" eb="8">
      <t>セイカ</t>
    </rPh>
    <rPh sb="8" eb="9">
      <t>ゴウ</t>
    </rPh>
    <phoneticPr fontId="1"/>
  </si>
  <si>
    <t>ディノス25盛夏号￥3600　スタイリッシュ⑲</t>
    <rPh sb="6" eb="8">
      <t>セイカ</t>
    </rPh>
    <rPh sb="8" eb="9">
      <t>ゴウ</t>
    </rPh>
    <phoneticPr fontId="1"/>
  </si>
  <si>
    <t>千趣会80</t>
    <rPh sb="0" eb="3">
      <t>センシュカイ</t>
    </rPh>
    <phoneticPr fontId="1"/>
  </si>
  <si>
    <t>夢販</t>
    <rPh sb="0" eb="2">
      <t>ユメハン</t>
    </rPh>
    <phoneticPr fontId="1"/>
  </si>
  <si>
    <t>グリーンコープ29号3色組（ベーシック・不透明袋）丸藤新ネーム②</t>
    <rPh sb="9" eb="10">
      <t>ゴウ</t>
    </rPh>
    <rPh sb="11" eb="13">
      <t>ショククミ</t>
    </rPh>
    <rPh sb="20" eb="24">
      <t>フトウメイフクロ</t>
    </rPh>
    <rPh sb="25" eb="27">
      <t>マルフジ</t>
    </rPh>
    <rPh sb="27" eb="28">
      <t>シン</t>
    </rPh>
    <phoneticPr fontId="1"/>
  </si>
  <si>
    <t>グリーンコープ29号3色組（スタイリッシュ・不透明袋）丸藤新ネーム②</t>
    <rPh sb="9" eb="10">
      <t>ゴウ</t>
    </rPh>
    <rPh sb="11" eb="13">
      <t>ショククミ</t>
    </rPh>
    <rPh sb="22" eb="26">
      <t>フトウメイフクロ</t>
    </rPh>
    <rPh sb="27" eb="29">
      <t>マルフジ</t>
    </rPh>
    <phoneticPr fontId="1"/>
  </si>
  <si>
    <t>ディノス26夏号sample</t>
    <rPh sb="6" eb="7">
      <t>ナツ</t>
    </rPh>
    <rPh sb="7" eb="8">
      <t>ゴウ</t>
    </rPh>
    <phoneticPr fontId="1"/>
  </si>
  <si>
    <t>グリーンコープ29号3色組（ベーシック・不透明袋）丸藤新ネーム③</t>
    <rPh sb="9" eb="10">
      <t>ゴウ</t>
    </rPh>
    <rPh sb="11" eb="13">
      <t>ショククミ</t>
    </rPh>
    <rPh sb="20" eb="24">
      <t>フトウメイフクロ</t>
    </rPh>
    <rPh sb="25" eb="27">
      <t>マルフジ</t>
    </rPh>
    <rPh sb="27" eb="28">
      <t>シン</t>
    </rPh>
    <phoneticPr fontId="1"/>
  </si>
  <si>
    <t>グリーンコープ29号3色組（スタイリッシュ・不透明袋）丸藤新ネーム③</t>
    <rPh sb="9" eb="10">
      <t>ゴウ</t>
    </rPh>
    <rPh sb="11" eb="13">
      <t>ショククミ</t>
    </rPh>
    <rPh sb="22" eb="26">
      <t>フトウメイフクロ</t>
    </rPh>
    <rPh sb="27" eb="29">
      <t>マルフジ</t>
    </rPh>
    <phoneticPr fontId="1"/>
  </si>
  <si>
    <t>千趣会81</t>
    <rPh sb="0" eb="3">
      <t>センシュカイ</t>
    </rPh>
    <phoneticPr fontId="1"/>
  </si>
  <si>
    <t>夢販</t>
    <rPh sb="0" eb="2">
      <t>ユメハン</t>
    </rPh>
    <phoneticPr fontId="1"/>
  </si>
  <si>
    <t>千趣会82</t>
    <rPh sb="0" eb="3">
      <t>センシュカイ</t>
    </rPh>
    <phoneticPr fontId="1"/>
  </si>
  <si>
    <t>ネット</t>
    <phoneticPr fontId="1"/>
  </si>
  <si>
    <t>コープさっぽろ8月3週スタイリッシュカラー（不透明袋）①</t>
    <rPh sb="8" eb="9">
      <t>ガツ</t>
    </rPh>
    <rPh sb="10" eb="11">
      <t>シュウ</t>
    </rPh>
    <rPh sb="22" eb="26">
      <t>フトウメイフクロ</t>
    </rPh>
    <phoneticPr fontId="1"/>
  </si>
  <si>
    <t>点9/23、アバウト9/30、本10/2、6</t>
    <rPh sb="0" eb="1">
      <t>テン</t>
    </rPh>
    <rPh sb="15" eb="16">
      <t>ホン</t>
    </rPh>
    <phoneticPr fontId="1"/>
  </si>
  <si>
    <t>D-BEAUTUYプチ2026年1月（スタイリッシュ）</t>
    <rPh sb="15" eb="16">
      <t>ネン</t>
    </rPh>
    <phoneticPr fontId="1"/>
  </si>
  <si>
    <t>D-BEAUTUYプチ2026年1月（ベーシック）</t>
    <phoneticPr fontId="1"/>
  </si>
  <si>
    <t>D-BEAUTUYプチ2026年1月差分予測</t>
    <rPh sb="18" eb="22">
      <t>サブンヨソク</t>
    </rPh>
    <phoneticPr fontId="1"/>
  </si>
  <si>
    <t>1/6～4/8</t>
    <phoneticPr fontId="1"/>
  </si>
  <si>
    <t>千趣会83</t>
    <rPh sb="0" eb="3">
      <t>センシュカイ</t>
    </rPh>
    <phoneticPr fontId="1"/>
  </si>
  <si>
    <t>夢販</t>
    <rPh sb="0" eb="2">
      <t>ユメハン</t>
    </rPh>
    <phoneticPr fontId="1"/>
  </si>
  <si>
    <t>D-BEAUTUYプチ10月（商品同梱）（スタイリッシュ）①</t>
    <phoneticPr fontId="1"/>
  </si>
  <si>
    <t>D-BEAUTUYプチ10月（商品同梱）（ベーシック）②</t>
    <phoneticPr fontId="1"/>
  </si>
  <si>
    <t>D-BEAUTUYプチ10月（商品同梱）（スタイリッシュ）②</t>
    <phoneticPr fontId="1"/>
  </si>
  <si>
    <t>D-BEAUTUYプチ10月（商品同梱）（スタイリッシュ）③</t>
    <phoneticPr fontId="1"/>
  </si>
  <si>
    <t>D-BEAUTUYプチ10月（商品同梱）（ベーシック）①</t>
    <phoneticPr fontId="1"/>
  </si>
  <si>
    <t>D-BEAUTUYプチ10月（商品同梱）（スタイリッシュ）④</t>
    <phoneticPr fontId="1"/>
  </si>
  <si>
    <t>D-BEAUTUYプチ10月（商品同梱）（ベーシック）③</t>
    <phoneticPr fontId="1"/>
  </si>
  <si>
    <t>千趣会84</t>
    <rPh sb="0" eb="3">
      <t>センシュカイ</t>
    </rPh>
    <phoneticPr fontId="1"/>
  </si>
  <si>
    <t>D-BEAUTUYプチ10月（商品同梱）（スタイリッシュ）⑤</t>
    <phoneticPr fontId="1"/>
  </si>
  <si>
    <t>D-BEAUTUYプチ10月（商品同梱）（ベーシック）④</t>
    <phoneticPr fontId="1"/>
  </si>
  <si>
    <t>夢販</t>
    <rPh sb="0" eb="2">
      <t>ユメハン</t>
    </rPh>
    <phoneticPr fontId="1"/>
  </si>
  <si>
    <t>ディノス26年夏号（ベーシック）</t>
    <rPh sb="6" eb="7">
      <t>ネン</t>
    </rPh>
    <rPh sb="7" eb="9">
      <t>ナツゴウ</t>
    </rPh>
    <phoneticPr fontId="1"/>
  </si>
  <si>
    <t>ディノス26年夏号（スタイリッシュ）</t>
    <rPh sb="6" eb="7">
      <t>ネン</t>
    </rPh>
    <rPh sb="7" eb="9">
      <t>ナツゴウ</t>
    </rPh>
    <phoneticPr fontId="1"/>
  </si>
  <si>
    <t>事前搬入3/6、受注期間3/30～10/31</t>
    <rPh sb="0" eb="4">
      <t>ジゼンハンニュウ</t>
    </rPh>
    <rPh sb="8" eb="17">
      <t>ジュチュウキカン3/30カラ</t>
    </rPh>
    <phoneticPr fontId="1"/>
  </si>
  <si>
    <t>ディノス26年夏号差分予測</t>
    <rPh sb="6" eb="7">
      <t>ネン</t>
    </rPh>
    <rPh sb="7" eb="9">
      <t>ナツゴウ</t>
    </rPh>
    <rPh sb="9" eb="13">
      <t>サブンヨソク</t>
    </rPh>
    <phoneticPr fontId="1"/>
  </si>
  <si>
    <t>夢販</t>
    <rPh sb="0" eb="2">
      <t>ユメハン</t>
    </rPh>
    <phoneticPr fontId="1"/>
  </si>
  <si>
    <t>千趣会85</t>
    <rPh sb="0" eb="3">
      <t>センシュカイ</t>
    </rPh>
    <phoneticPr fontId="1"/>
  </si>
  <si>
    <t>D-BEAUTUYプチ10月（商品同梱）（ベーシック）⑤</t>
    <phoneticPr fontId="1"/>
  </si>
  <si>
    <t>D-BEAUTUYプチ10月（商品同梱）（スタイリッシュ）⑥</t>
    <phoneticPr fontId="1"/>
  </si>
  <si>
    <t>D-BEAUTUYプチ10月（商品同梱）（スタイリッシュ）⑦</t>
    <phoneticPr fontId="1"/>
  </si>
  <si>
    <t>千趣会86</t>
    <rPh sb="0" eb="3">
      <t>センシュカイ</t>
    </rPh>
    <phoneticPr fontId="1"/>
  </si>
  <si>
    <t>ネット交換</t>
    <rPh sb="3" eb="5">
      <t>コウカン</t>
    </rPh>
    <phoneticPr fontId="1"/>
  </si>
  <si>
    <t>夢販</t>
    <rPh sb="0" eb="2">
      <t>y</t>
    </rPh>
    <phoneticPr fontId="1"/>
  </si>
  <si>
    <t>ネット</t>
    <phoneticPr fontId="1"/>
  </si>
  <si>
    <t>千趣会87</t>
    <rPh sb="0" eb="3">
      <t>センシュカイ</t>
    </rPh>
    <phoneticPr fontId="1"/>
  </si>
  <si>
    <t>D-BEAUTUYプチ10月（商品同梱）（ベーシック）⑥</t>
    <phoneticPr fontId="1"/>
  </si>
  <si>
    <t>D-BEAUTUYプチ10月（商品同梱）（スタイリッシュ）⑧</t>
    <phoneticPr fontId="1"/>
  </si>
  <si>
    <t>D-BEAUTUYプチ10月（商品同梱）（ベーシック）⑦</t>
    <phoneticPr fontId="1"/>
  </si>
  <si>
    <t>D-BEAUTUYプチ10月（商品同梱）（スタイリッシュ）⑨</t>
    <phoneticPr fontId="1"/>
  </si>
  <si>
    <t>D-BEAUTUYプチ10月（商品同梱）（ベーシック）⑧</t>
    <phoneticPr fontId="1"/>
  </si>
  <si>
    <t>千趣会88</t>
    <rPh sb="0" eb="3">
      <t>センシュカイ</t>
    </rPh>
    <phoneticPr fontId="1"/>
  </si>
  <si>
    <t>追加</t>
    <rPh sb="0" eb="2">
      <t>ツイカ</t>
    </rPh>
    <phoneticPr fontId="1"/>
  </si>
  <si>
    <t>夢販</t>
    <rPh sb="0" eb="2">
      <t>ユメハン</t>
    </rPh>
    <phoneticPr fontId="1"/>
  </si>
  <si>
    <t>D-BEAUTUYプチ10月（商品同梱）（ベーシック）⑨</t>
    <phoneticPr fontId="1"/>
  </si>
  <si>
    <t>D-BEAUTUYプチ2026年1月（ベーシック）①</t>
    <phoneticPr fontId="1"/>
  </si>
  <si>
    <t>D-BEAUTUYプチ2026年1月（スタイリッシュ）①</t>
    <rPh sb="15" eb="16">
      <t>ネン</t>
    </rPh>
    <phoneticPr fontId="1"/>
  </si>
  <si>
    <t>D-BEAUTUYプチ2026年1月（スタイリッシュ）②</t>
    <rPh sb="15" eb="16">
      <t>ネン</t>
    </rPh>
    <phoneticPr fontId="1"/>
  </si>
  <si>
    <t>追加</t>
    <rPh sb="0" eb="2">
      <t>ツイカ</t>
    </rPh>
    <phoneticPr fontId="1"/>
  </si>
  <si>
    <t>D-BEAUTUYプチ2026年1月（ベーシック）②</t>
    <phoneticPr fontId="1"/>
  </si>
  <si>
    <t>千趣会89</t>
    <rPh sb="0" eb="3">
      <t>センシュカイ</t>
    </rPh>
    <phoneticPr fontId="1"/>
  </si>
  <si>
    <t>D-BEAUTUYプチ2026年1月（ベーシック）③</t>
    <phoneticPr fontId="1"/>
  </si>
  <si>
    <t>千趣会90</t>
    <rPh sb="0" eb="3">
      <t>センシュカイ</t>
    </rPh>
    <phoneticPr fontId="1"/>
  </si>
  <si>
    <t>D-BEAUTUYプチ2026年1月（スタイリッシュ）③</t>
    <rPh sb="15" eb="16">
      <t>ネン</t>
    </rPh>
    <phoneticPr fontId="1"/>
  </si>
  <si>
    <t>D-BEAUTUYプチ2026年1月（ベーシック）④</t>
    <phoneticPr fontId="1"/>
  </si>
  <si>
    <t>D-BEAUTUYプチ2026年1月（スタイリッシュ）④</t>
    <rPh sb="15" eb="16">
      <t>ネン</t>
    </rPh>
    <phoneticPr fontId="1"/>
  </si>
  <si>
    <t>千趣会91</t>
    <rPh sb="0" eb="3">
      <t>センシュカイ</t>
    </rPh>
    <phoneticPr fontId="1"/>
  </si>
  <si>
    <t>ゆめはん</t>
    <phoneticPr fontId="1"/>
  </si>
  <si>
    <t>D-BEAUTUYプチ2026年1月（スタイリッシュ）⑤</t>
    <rPh sb="15" eb="16">
      <t>ネン</t>
    </rPh>
    <phoneticPr fontId="1"/>
  </si>
  <si>
    <t>千趣会92</t>
    <rPh sb="0" eb="3">
      <t>センシュカイ</t>
    </rPh>
    <phoneticPr fontId="1"/>
  </si>
  <si>
    <t>D-BEAUTUYプチ2026年1月（スタイリッシュ）⑥</t>
    <rPh sb="15" eb="16">
      <t>ネン</t>
    </rPh>
    <phoneticPr fontId="1"/>
  </si>
  <si>
    <t>ネット</t>
    <phoneticPr fontId="1"/>
  </si>
  <si>
    <t>D-BEAUTUYプチ2026年1月（ベーシック）⑤</t>
    <phoneticPr fontId="1"/>
  </si>
  <si>
    <t>D-BEAUTUYプチ2026年1月（スタイリッシュ）⑦</t>
    <rPh sb="15" eb="16">
      <t>ネン</t>
    </rPh>
    <phoneticPr fontId="1"/>
  </si>
  <si>
    <t>D-BEAUTUYプチ2026年1月（ベーシック）⑥</t>
    <phoneticPr fontId="1"/>
  </si>
  <si>
    <t>D-BEAUTUYプチ2026年1月（スタイリッシュ）⑧</t>
    <rPh sb="15" eb="16">
      <t>ネン</t>
    </rPh>
    <phoneticPr fontId="1"/>
  </si>
  <si>
    <t>D-BEAUTUYプチ2026年1月（スタイリッシュ）⑨</t>
    <rPh sb="15" eb="16">
      <t>ネン</t>
    </rPh>
    <phoneticPr fontId="1"/>
  </si>
  <si>
    <t>千趣会93</t>
    <rPh sb="0" eb="3">
      <t>センシュカイ</t>
    </rPh>
    <phoneticPr fontId="1"/>
  </si>
  <si>
    <t>D-BEAUTUYプチ2026年1月（スタイリッシュ）⑩</t>
    <rPh sb="15" eb="16">
      <t>ネン</t>
    </rPh>
    <phoneticPr fontId="1"/>
  </si>
  <si>
    <t>D-BEAUTUYプチ2026年1月（スタイリッシュ）⑪</t>
    <rPh sb="15" eb="16">
      <t>ネン</t>
    </rPh>
    <phoneticPr fontId="1"/>
  </si>
  <si>
    <t>千趣会94</t>
    <rPh sb="0" eb="3">
      <t>センシュカイ</t>
    </rPh>
    <phoneticPr fontId="1"/>
  </si>
  <si>
    <t>千趣会95</t>
    <rPh sb="0" eb="3">
      <t>センシュカイ</t>
    </rPh>
    <phoneticPr fontId="1"/>
  </si>
  <si>
    <t>追加</t>
    <rPh sb="0" eb="2">
      <t>ツイカ</t>
    </rPh>
    <phoneticPr fontId="1"/>
  </si>
  <si>
    <t>D-BEAUTUYプチ2026年1月（スタイリッシュ）⑫</t>
    <rPh sb="15" eb="16">
      <t>ネン</t>
    </rPh>
    <phoneticPr fontId="1"/>
  </si>
  <si>
    <t>D-BEAUTUYプチ2026年1月（ベーシック）⑦</t>
    <phoneticPr fontId="1"/>
  </si>
  <si>
    <t>D-BEAUTUYプチ2026年1月（スタイリッシュ）⑬</t>
    <rPh sb="15" eb="16">
      <t>ネン</t>
    </rPh>
    <phoneticPr fontId="1"/>
  </si>
  <si>
    <t>千趣会96</t>
    <rPh sb="0" eb="3">
      <t>センシュカイ</t>
    </rPh>
    <phoneticPr fontId="1"/>
  </si>
  <si>
    <t>D-BEAUTUYプチ2026年1月（スタイリッシュ）⑭</t>
    <rPh sb="15" eb="16">
      <t>ネン</t>
    </rPh>
    <phoneticPr fontId="1"/>
  </si>
  <si>
    <t>D-BEAUTUYプチ2026年1月（ベーシック）⑧</t>
    <phoneticPr fontId="1"/>
  </si>
  <si>
    <t>D-BEAUTUYプチ2026年1月（スタイリッシュ）⑮</t>
    <rPh sb="15" eb="16">
      <t>ネン</t>
    </rPh>
    <phoneticPr fontId="1"/>
  </si>
  <si>
    <t>千趣会97</t>
    <rPh sb="0" eb="3">
      <t>センシュカイ</t>
    </rPh>
    <phoneticPr fontId="1"/>
  </si>
  <si>
    <t>ゆめはん</t>
    <phoneticPr fontId="1"/>
  </si>
  <si>
    <t>ディノス26年夏号（スタイリッシュ）①</t>
    <rPh sb="6" eb="7">
      <t>ネン</t>
    </rPh>
    <rPh sb="7" eb="9">
      <t>ナツゴウ</t>
    </rPh>
    <phoneticPr fontId="1"/>
  </si>
  <si>
    <t>千趣会98</t>
    <rPh sb="0" eb="3">
      <t>センシュカイ</t>
    </rPh>
    <phoneticPr fontId="1"/>
  </si>
  <si>
    <t>ディノス26年夏号（ベーシック）①</t>
    <rPh sb="6" eb="7">
      <t>ネン</t>
    </rPh>
    <rPh sb="7" eb="9">
      <t>ナツゴウ</t>
    </rPh>
    <phoneticPr fontId="1"/>
  </si>
  <si>
    <t>ディノス26年夏号（スタイリッシュ）②</t>
    <rPh sb="6" eb="7">
      <t>ネン</t>
    </rPh>
    <rPh sb="7" eb="9">
      <t>ナツゴウ</t>
    </rPh>
    <phoneticPr fontId="1"/>
  </si>
  <si>
    <t>←ここまで在庫確認済3/12</t>
    <phoneticPr fontId="1"/>
  </si>
  <si>
    <t>ディノス26年夏号（ベーシック）②</t>
    <rPh sb="6" eb="7">
      <t>ネン</t>
    </rPh>
    <rPh sb="7" eb="9">
      <t>ナツゴウ</t>
    </rPh>
    <phoneticPr fontId="1"/>
  </si>
  <si>
    <t>ディノス26年夏号（スタイリッシュ）③</t>
    <rPh sb="6" eb="7">
      <t>ネン</t>
    </rPh>
    <rPh sb="7" eb="9">
      <t>ナツゴウ</t>
    </rPh>
    <phoneticPr fontId="1"/>
  </si>
  <si>
    <t>ディノス26年夏号（ベーシック）③</t>
    <rPh sb="6" eb="7">
      <t>ネン</t>
    </rPh>
    <rPh sb="7" eb="9">
      <t>ナツゴウ</t>
    </rPh>
    <phoneticPr fontId="1"/>
  </si>
  <si>
    <t>ディノス26年夏号（スタイリッシュ）④</t>
    <rPh sb="6" eb="7">
      <t>ネン</t>
    </rPh>
    <rPh sb="7" eb="9">
      <t>ナツゴウ</t>
    </rPh>
    <phoneticPr fontId="1"/>
  </si>
  <si>
    <t>ディノス26年夏号（ベーシック）④</t>
    <rPh sb="6" eb="7">
      <t>ネン</t>
    </rPh>
    <rPh sb="7" eb="9">
      <t>ナツゴウ</t>
    </rPh>
    <phoneticPr fontId="1"/>
  </si>
  <si>
    <t>ディノス26年夏号（スタイリッシュ）⑤</t>
    <rPh sb="6" eb="7">
      <t>ネン</t>
    </rPh>
    <rPh sb="7" eb="9">
      <t>ナツゴウ</t>
    </rPh>
    <phoneticPr fontId="1"/>
  </si>
  <si>
    <t>千趣会99</t>
    <rPh sb="0" eb="3">
      <t>センシュカイ</t>
    </rPh>
    <phoneticPr fontId="1"/>
  </si>
  <si>
    <t>ディノス26年夏号（スタイリッシュ）⑥</t>
    <rPh sb="6" eb="7">
      <t>ネン</t>
    </rPh>
    <rPh sb="7" eb="9">
      <t>ナツゴウ</t>
    </rPh>
    <phoneticPr fontId="1"/>
  </si>
  <si>
    <t>ディノス26年夏号（ベーシック）⑤</t>
    <rPh sb="6" eb="7">
      <t>ネン</t>
    </rPh>
    <rPh sb="7" eb="9">
      <t>ナツゴウ</t>
    </rPh>
    <phoneticPr fontId="1"/>
  </si>
  <si>
    <t>ディノス26年夏号（ベーシック）⑥</t>
    <rPh sb="6" eb="7">
      <t>ネン</t>
    </rPh>
    <rPh sb="7" eb="9">
      <t>ナツゴウ</t>
    </rPh>
    <phoneticPr fontId="1"/>
  </si>
  <si>
    <t>ディノス26年夏号（スタイリッシュ）⑦</t>
    <rPh sb="6" eb="7">
      <t>ネン</t>
    </rPh>
    <rPh sb="7" eb="9">
      <t>ナツゴウ</t>
    </rPh>
    <phoneticPr fontId="1"/>
  </si>
  <si>
    <t>ディノス26年夏号（ベーシック）⑦</t>
    <rPh sb="6" eb="7">
      <t>ネン</t>
    </rPh>
    <rPh sb="7" eb="9">
      <t>ナツゴウ</t>
    </rPh>
    <phoneticPr fontId="1"/>
  </si>
  <si>
    <t>ディノス26年夏号（スタイリッシュ）⑧</t>
    <rPh sb="6" eb="7">
      <t>ネン</t>
    </rPh>
    <rPh sb="7" eb="9">
      <t>ナツゴウ</t>
    </rPh>
    <phoneticPr fontId="1"/>
  </si>
  <si>
    <t>ディノス26年夏号（ベーシック）⑧</t>
    <rPh sb="6" eb="7">
      <t>ネン</t>
    </rPh>
    <rPh sb="7" eb="9">
      <t>ナツゴウ</t>
    </rPh>
    <phoneticPr fontId="1"/>
  </si>
  <si>
    <t>ディノス26年夏号（スタイリッシュ）⑨</t>
    <rPh sb="6" eb="7">
      <t>ネン</t>
    </rPh>
    <rPh sb="7" eb="9">
      <t>ナツゴウ</t>
    </rPh>
    <phoneticPr fontId="1"/>
  </si>
  <si>
    <t>ディノス26年夏号（ベーシック）⑨</t>
    <rPh sb="6" eb="7">
      <t>ネン</t>
    </rPh>
    <rPh sb="7" eb="9">
      <t>ナツゴウ</t>
    </rPh>
    <phoneticPr fontId="1"/>
  </si>
  <si>
    <t>ディノス26年夏号（スタイリッシュ）⑩</t>
    <rPh sb="6" eb="7">
      <t>ネン</t>
    </rPh>
    <rPh sb="7" eb="9">
      <t>ナツゴウ</t>
    </rPh>
    <phoneticPr fontId="1"/>
  </si>
  <si>
    <t>千趣会100</t>
    <rPh sb="0" eb="3">
      <t>センシュカイ</t>
    </rPh>
    <phoneticPr fontId="1"/>
  </si>
  <si>
    <t>ディノス26年夏号（スタイリッシュ）⑪</t>
    <rPh sb="6" eb="7">
      <t>ネン</t>
    </rPh>
    <rPh sb="7" eb="9">
      <t>ナツゴウ</t>
    </rPh>
    <phoneticPr fontId="1"/>
  </si>
  <si>
    <t>ディノス26年夏号（ベーシック）⑩</t>
    <rPh sb="6" eb="7">
      <t>ネン</t>
    </rPh>
    <rPh sb="7" eb="9">
      <t>ナツゴウ</t>
    </rPh>
    <phoneticPr fontId="1"/>
  </si>
  <si>
    <t>ディノス26年夏号（ベーシック）⑪</t>
    <rPh sb="6" eb="7">
      <t>ネン</t>
    </rPh>
    <rPh sb="7" eb="9">
      <t>ナツゴウ</t>
    </rPh>
    <phoneticPr fontId="1"/>
  </si>
  <si>
    <t>ディノス26年夏号（スタイリッシュ）⑫</t>
    <rPh sb="6" eb="7">
      <t>ネン</t>
    </rPh>
    <rPh sb="7" eb="9">
      <t>ナツゴウ</t>
    </rPh>
    <phoneticPr fontId="1"/>
  </si>
  <si>
    <t>ディノス26年夏号（スタイリッシュ）⑬</t>
    <rPh sb="6" eb="7">
      <t>ネン</t>
    </rPh>
    <rPh sb="7" eb="9">
      <t>ナツゴウ</t>
    </rPh>
    <phoneticPr fontId="1"/>
  </si>
  <si>
    <t>ディノス26年夏号（ベーシック）⑫</t>
    <rPh sb="6" eb="7">
      <t>ネン</t>
    </rPh>
    <rPh sb="7" eb="9">
      <t>ナツゴウ</t>
    </rPh>
    <phoneticPr fontId="1"/>
  </si>
  <si>
    <t>KADOKAWA提案sample</t>
    <rPh sb="8" eb="10">
      <t>テイアン</t>
    </rPh>
    <phoneticPr fontId="1"/>
  </si>
  <si>
    <t>千趣会101</t>
    <rPh sb="0" eb="3">
      <t>センシュカイ</t>
    </rPh>
    <phoneticPr fontId="1"/>
  </si>
  <si>
    <t>ゆめはん</t>
    <phoneticPr fontId="1"/>
  </si>
  <si>
    <t>ディノス26年夏号（ベーシック）⑬</t>
    <rPh sb="6" eb="7">
      <t>ネン</t>
    </rPh>
    <rPh sb="7" eb="9">
      <t>ナツゴウ</t>
    </rPh>
    <phoneticPr fontId="1"/>
  </si>
  <si>
    <t>ディノス26年夏号（スタイリッシュ）⑭</t>
    <rPh sb="6" eb="7">
      <t>ネン</t>
    </rPh>
    <rPh sb="7" eb="9">
      <t>ナツゴウ</t>
    </rPh>
    <phoneticPr fontId="1"/>
  </si>
  <si>
    <t>ディノス26年夏号（ベーシック）⑭</t>
    <rPh sb="6" eb="7">
      <t>ネン</t>
    </rPh>
    <rPh sb="7" eb="9">
      <t>ナツゴウ</t>
    </rPh>
    <phoneticPr fontId="1"/>
  </si>
  <si>
    <t>千趣会102</t>
    <rPh sb="0" eb="3">
      <t>センシュカイ</t>
    </rPh>
    <phoneticPr fontId="1"/>
  </si>
  <si>
    <t>ディノス26年夏号（ベーシック）⑮</t>
    <rPh sb="6" eb="7">
      <t>ネン</t>
    </rPh>
    <rPh sb="7" eb="9">
      <t>ナツゴウ</t>
    </rPh>
    <phoneticPr fontId="1"/>
  </si>
  <si>
    <t>ディノス26年夏号（ベーシック）⑯</t>
    <rPh sb="6" eb="7">
      <t>ネン</t>
    </rPh>
    <rPh sb="7" eb="9">
      <t>ナツゴウ</t>
    </rPh>
    <phoneticPr fontId="1"/>
  </si>
  <si>
    <t>千趣会103</t>
    <rPh sb="0" eb="3">
      <t>センシュカイ</t>
    </rPh>
    <phoneticPr fontId="1"/>
  </si>
  <si>
    <t>追加</t>
    <rPh sb="0" eb="2">
      <t>ツイカ</t>
    </rPh>
    <phoneticPr fontId="1"/>
  </si>
  <si>
    <t>ディノス26年夏号（ベーシック）⑰</t>
    <rPh sb="6" eb="7">
      <t>ネン</t>
    </rPh>
    <rPh sb="7" eb="9">
      <t>ナツゴウ</t>
    </rPh>
    <phoneticPr fontId="1"/>
  </si>
  <si>
    <t>ディノス26年夏号（スタイリッシュ）⑮</t>
    <rPh sb="6" eb="7">
      <t>ネン</t>
    </rPh>
    <rPh sb="7" eb="9">
      <t>ナツゴウ</t>
    </rPh>
    <phoneticPr fontId="1"/>
  </si>
  <si>
    <t>千趣会104</t>
    <rPh sb="0" eb="3">
      <t>センシュカイ</t>
    </rPh>
    <phoneticPr fontId="1"/>
  </si>
  <si>
    <t>ディノス26年夏号（スタイリッシュ）⑯</t>
    <rPh sb="6" eb="7">
      <t>ネン</t>
    </rPh>
    <rPh sb="7" eb="9">
      <t>ナツゴウ</t>
    </rPh>
    <phoneticPr fontId="1"/>
  </si>
  <si>
    <t>千趣会105</t>
    <rPh sb="0" eb="3">
      <t>センシュカイ</t>
    </rPh>
    <phoneticPr fontId="1"/>
  </si>
  <si>
    <t>ゆめはん</t>
    <phoneticPr fontId="1"/>
  </si>
  <si>
    <t>ディノス26年夏号（ベーシック）⑱</t>
    <rPh sb="6" eb="7">
      <t>ネン</t>
    </rPh>
    <rPh sb="7" eb="9">
      <t>ナツゴウ</t>
    </rPh>
    <phoneticPr fontId="1"/>
  </si>
  <si>
    <t>ディノス26年夏号（ベーシック）⑲</t>
    <rPh sb="6" eb="7">
      <t>ネン</t>
    </rPh>
    <rPh sb="7" eb="9">
      <t>ナツゴウ</t>
    </rPh>
    <phoneticPr fontId="1"/>
  </si>
  <si>
    <t>ディノス26年夏号（スタイリッシュ）⑰</t>
    <rPh sb="6" eb="7">
      <t>ネン</t>
    </rPh>
    <rPh sb="7" eb="9">
      <t>ナツゴウ</t>
    </rPh>
    <phoneticPr fontId="1"/>
  </si>
  <si>
    <t>千趣会106</t>
    <rPh sb="0" eb="3">
      <t>センシュカイ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</si>
</sst>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"/>
  </numFmts>
  <fonts count="2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9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04">
    <xf numFmtId="0" fontId="0" fillId="0" borderId="0" xfId="0">
      <alignment vertical="center"/>
    </xf>
    <xf numFmtId="0" fontId="2" fillId="0" borderId="0" xfId="1"/>
    <xf numFmtId="0" fontId="2" fillId="0" borderId="1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6" fillId="0" borderId="9" xfId="1" applyFont="1" applyBorder="1"/>
    <xf numFmtId="0" fontId="6" fillId="0" borderId="10" xfId="1" applyFont="1" applyBorder="1"/>
    <xf numFmtId="56" fontId="2" fillId="0" borderId="14" xfId="1" applyNumberFormat="1" applyBorder="1" applyAlignment="1">
      <alignment horizontal="center" vertical="center"/>
    </xf>
    <xf numFmtId="0" fontId="2" fillId="0" borderId="15" xfId="1" applyBorder="1"/>
    <xf numFmtId="0" fontId="2" fillId="0" borderId="16" xfId="1" applyBorder="1"/>
    <xf numFmtId="0" fontId="2" fillId="0" borderId="17" xfId="1" applyBorder="1"/>
    <xf numFmtId="0" fontId="2" fillId="0" borderId="18" xfId="1" applyBorder="1"/>
    <xf numFmtId="0" fontId="2" fillId="0" borderId="19" xfId="1" applyBorder="1"/>
    <xf numFmtId="0" fontId="2" fillId="0" borderId="22" xfId="1" applyBorder="1"/>
    <xf numFmtId="0" fontId="2" fillId="0" borderId="23" xfId="1" applyBorder="1"/>
    <xf numFmtId="0" fontId="2" fillId="0" borderId="24" xfId="1" applyBorder="1"/>
    <xf numFmtId="0" fontId="2" fillId="0" borderId="25" xfId="1" applyBorder="1"/>
    <xf numFmtId="0" fontId="2" fillId="0" borderId="26" xfId="1" applyBorder="1"/>
    <xf numFmtId="0" fontId="2" fillId="0" borderId="27" xfId="1" applyBorder="1"/>
    <xf numFmtId="0" fontId="6" fillId="0" borderId="2" xfId="1" applyFont="1" applyBorder="1" applyAlignment="1">
      <alignment horizontal="center" vertical="center"/>
    </xf>
    <xf numFmtId="0" fontId="6" fillId="0" borderId="11" xfId="1" applyFont="1" applyBorder="1"/>
    <xf numFmtId="0" fontId="2" fillId="0" borderId="21" xfId="1" applyBorder="1" applyAlignment="1">
      <alignment horizontal="center" vertical="center"/>
    </xf>
    <xf numFmtId="0" fontId="2" fillId="0" borderId="21" xfId="1" applyBorder="1" applyAlignment="1">
      <alignment horizontal="center" vertical="center" shrinkToFit="1"/>
    </xf>
    <xf numFmtId="0" fontId="7" fillId="0" borderId="0" xfId="0" applyFont="1">
      <alignment vertical="center"/>
    </xf>
    <xf numFmtId="0" fontId="8" fillId="0" borderId="21" xfId="1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6" fillId="0" borderId="1" xfId="1" applyFont="1" applyBorder="1"/>
    <xf numFmtId="0" fontId="9" fillId="0" borderId="2" xfId="1" applyFont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9" fillId="0" borderId="2" xfId="1" applyFont="1" applyBorder="1"/>
    <xf numFmtId="0" fontId="3" fillId="0" borderId="29" xfId="1" applyFont="1" applyBorder="1" applyAlignment="1">
      <alignment horizontal="center"/>
    </xf>
    <xf numFmtId="0" fontId="6" fillId="0" borderId="6" xfId="1" applyFont="1" applyBorder="1"/>
    <xf numFmtId="0" fontId="6" fillId="0" borderId="32" xfId="1" applyFont="1" applyBorder="1"/>
    <xf numFmtId="0" fontId="2" fillId="0" borderId="30" xfId="1" applyBorder="1" applyAlignment="1">
      <alignment horizontal="center" vertical="center"/>
    </xf>
    <xf numFmtId="0" fontId="6" fillId="0" borderId="30" xfId="1" applyFont="1" applyBorder="1"/>
    <xf numFmtId="0" fontId="5" fillId="0" borderId="13" xfId="1" applyFont="1" applyBorder="1" applyAlignment="1">
      <alignment horizontal="center" vertical="center"/>
    </xf>
    <xf numFmtId="0" fontId="2" fillId="0" borderId="33" xfId="1" applyBorder="1"/>
    <xf numFmtId="56" fontId="6" fillId="0" borderId="20" xfId="1" applyNumberFormat="1" applyFont="1" applyBorder="1" applyAlignment="1">
      <alignment horizontal="center" vertical="center"/>
    </xf>
    <xf numFmtId="0" fontId="6" fillId="0" borderId="33" xfId="1" applyFont="1" applyBorder="1"/>
    <xf numFmtId="0" fontId="6" fillId="0" borderId="18" xfId="1" applyFont="1" applyBorder="1"/>
    <xf numFmtId="0" fontId="9" fillId="0" borderId="3" xfId="1" applyFont="1" applyBorder="1"/>
    <xf numFmtId="0" fontId="9" fillId="0" borderId="10" xfId="1" applyFont="1" applyBorder="1"/>
    <xf numFmtId="0" fontId="2" fillId="0" borderId="20" xfId="1" applyBorder="1" applyAlignment="1">
      <alignment horizontal="center" vertical="center"/>
    </xf>
    <xf numFmtId="0" fontId="2" fillId="0" borderId="6" xfId="1" applyBorder="1"/>
    <xf numFmtId="0" fontId="2" fillId="0" borderId="30" xfId="1" applyBorder="1"/>
    <xf numFmtId="0" fontId="2" fillId="0" borderId="21" xfId="1" applyBorder="1"/>
    <xf numFmtId="0" fontId="2" fillId="0" borderId="12" xfId="1" applyBorder="1"/>
    <xf numFmtId="0" fontId="2" fillId="0" borderId="10" xfId="1" applyBorder="1"/>
    <xf numFmtId="56" fontId="0" fillId="0" borderId="0" xfId="0" applyNumberFormat="1">
      <alignment vertical="center"/>
    </xf>
    <xf numFmtId="56" fontId="7" fillId="0" borderId="0" xfId="0" applyNumberFormat="1" applyFont="1">
      <alignment vertical="center"/>
    </xf>
    <xf numFmtId="0" fontId="2" fillId="0" borderId="31" xfId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2" fillId="0" borderId="31" xfId="1" applyBorder="1"/>
    <xf numFmtId="56" fontId="2" fillId="0" borderId="34" xfId="1" applyNumberFormat="1" applyBorder="1" applyAlignment="1">
      <alignment horizontal="center" vertical="center"/>
    </xf>
    <xf numFmtId="0" fontId="2" fillId="0" borderId="2" xfId="1" applyBorder="1"/>
    <xf numFmtId="0" fontId="2" fillId="0" borderId="35" xfId="1" applyBorder="1"/>
    <xf numFmtId="0" fontId="2" fillId="0" borderId="1" xfId="1" applyBorder="1"/>
    <xf numFmtId="0" fontId="2" fillId="0" borderId="36" xfId="1" applyBorder="1" applyAlignment="1">
      <alignment horizontal="center" vertical="center"/>
    </xf>
    <xf numFmtId="0" fontId="2" fillId="0" borderId="37" xfId="1" applyBorder="1"/>
    <xf numFmtId="0" fontId="2" fillId="0" borderId="38" xfId="1" applyBorder="1"/>
    <xf numFmtId="0" fontId="2" fillId="0" borderId="39" xfId="1" applyBorder="1"/>
    <xf numFmtId="0" fontId="2" fillId="0" borderId="40" xfId="1" applyBorder="1"/>
    <xf numFmtId="0" fontId="6" fillId="0" borderId="3" xfId="1" applyFont="1" applyBorder="1"/>
    <xf numFmtId="0" fontId="2" fillId="0" borderId="3" xfId="1" applyBorder="1" applyAlignment="1">
      <alignment horizontal="center" vertical="center"/>
    </xf>
    <xf numFmtId="0" fontId="6" fillId="0" borderId="37" xfId="1" applyFont="1" applyBorder="1"/>
    <xf numFmtId="0" fontId="2" fillId="0" borderId="41" xfId="1" applyBorder="1"/>
    <xf numFmtId="0" fontId="3" fillId="3" borderId="29" xfId="1" applyFont="1" applyFill="1" applyBorder="1" applyAlignment="1">
      <alignment horizontal="center"/>
    </xf>
    <xf numFmtId="0" fontId="3" fillId="3" borderId="29" xfId="1" applyFont="1" applyFill="1" applyBorder="1"/>
    <xf numFmtId="176" fontId="10" fillId="0" borderId="0" xfId="0" applyNumberFormat="1" applyFont="1">
      <alignment vertical="center"/>
    </xf>
    <xf numFmtId="0" fontId="6" fillId="0" borderId="15" xfId="1" applyFont="1" applyBorder="1"/>
    <xf numFmtId="0" fontId="6" fillId="0" borderId="16" xfId="1" applyFont="1" applyBorder="1"/>
    <xf numFmtId="0" fontId="6" fillId="0" borderId="22" xfId="1" applyFont="1" applyBorder="1"/>
    <xf numFmtId="0" fontId="6" fillId="0" borderId="23" xfId="1" applyFont="1" applyBorder="1"/>
    <xf numFmtId="0" fontId="7" fillId="0" borderId="0" xfId="0" applyFont="1" applyAlignment="1">
      <alignment horizontal="left" vertical="center"/>
    </xf>
    <xf numFmtId="56" fontId="12" fillId="0" borderId="0" xfId="0" applyNumberFormat="1" applyFont="1" applyAlignment="1">
      <alignment horizontal="left" vertical="center"/>
    </xf>
    <xf numFmtId="0" fontId="3" fillId="0" borderId="0" xfId="1" applyFont="1" applyAlignment="1">
      <alignment horizontal="left"/>
    </xf>
    <xf numFmtId="0" fontId="3" fillId="5" borderId="29" xfId="1" applyFont="1" applyFill="1" applyBorder="1"/>
    <xf numFmtId="0" fontId="12" fillId="0" borderId="0" xfId="0" applyFont="1">
      <alignment vertical="center"/>
    </xf>
    <xf numFmtId="0" fontId="5" fillId="6" borderId="13" xfId="1" applyFont="1" applyFill="1" applyBorder="1" applyAlignment="1">
      <alignment horizontal="center" vertical="center"/>
    </xf>
    <xf numFmtId="0" fontId="2" fillId="6" borderId="1" xfId="1" applyFill="1" applyBorder="1" applyAlignment="1">
      <alignment horizontal="center" vertical="center"/>
    </xf>
    <xf numFmtId="0" fontId="2" fillId="6" borderId="6" xfId="1" applyFill="1" applyBorder="1"/>
    <xf numFmtId="0" fontId="2" fillId="6" borderId="30" xfId="1" applyFill="1" applyBorder="1"/>
    <xf numFmtId="0" fontId="2" fillId="6" borderId="21" xfId="1" applyFill="1" applyBorder="1"/>
    <xf numFmtId="0" fontId="2" fillId="6" borderId="31" xfId="1" applyFill="1" applyBorder="1"/>
    <xf numFmtId="0" fontId="6" fillId="6" borderId="1" xfId="1" applyFont="1" applyFill="1" applyBorder="1"/>
    <xf numFmtId="0" fontId="2" fillId="6" borderId="1" xfId="1" applyFill="1" applyBorder="1"/>
    <xf numFmtId="0" fontId="2" fillId="0" borderId="42" xfId="1" applyBorder="1" applyAlignment="1">
      <alignment horizontal="center" vertical="center"/>
    </xf>
    <xf numFmtId="0" fontId="2" fillId="0" borderId="44" xfId="1" applyBorder="1"/>
    <xf numFmtId="0" fontId="2" fillId="0" borderId="45" xfId="1" applyBorder="1"/>
    <xf numFmtId="0" fontId="2" fillId="6" borderId="12" xfId="1" applyFill="1" applyBorder="1"/>
    <xf numFmtId="0" fontId="3" fillId="5" borderId="0" xfId="1" applyFont="1" applyFill="1" applyAlignment="1">
      <alignment horizontal="left"/>
    </xf>
    <xf numFmtId="0" fontId="6" fillId="0" borderId="19" xfId="1" applyFont="1" applyBorder="1"/>
    <xf numFmtId="0" fontId="6" fillId="6" borderId="6" xfId="1" applyFont="1" applyFill="1" applyBorder="1"/>
    <xf numFmtId="0" fontId="6" fillId="0" borderId="43" xfId="1" applyFont="1" applyBorder="1"/>
    <xf numFmtId="0" fontId="10" fillId="0" borderId="0" xfId="0" applyFont="1">
      <alignment vertical="center"/>
    </xf>
    <xf numFmtId="0" fontId="6" fillId="0" borderId="17" xfId="1" applyFont="1" applyBorder="1"/>
    <xf numFmtId="0" fontId="6" fillId="6" borderId="21" xfId="1" applyFont="1" applyFill="1" applyBorder="1"/>
    <xf numFmtId="0" fontId="6" fillId="0" borderId="24" xfId="1" applyFont="1" applyBorder="1"/>
    <xf numFmtId="0" fontId="6" fillId="0" borderId="2" xfId="1" applyFont="1" applyBorder="1"/>
    <xf numFmtId="0" fontId="2" fillId="0" borderId="14" xfId="1" applyBorder="1" applyAlignment="1">
      <alignment horizontal="center" vertical="center"/>
    </xf>
    <xf numFmtId="0" fontId="6" fillId="0" borderId="44" xfId="1" applyFont="1" applyBorder="1"/>
    <xf numFmtId="0" fontId="6" fillId="4" borderId="6" xfId="1" applyFont="1" applyFill="1" applyBorder="1"/>
    <xf numFmtId="0" fontId="2" fillId="4" borderId="21" xfId="1" applyFill="1" applyBorder="1"/>
    <xf numFmtId="0" fontId="2" fillId="4" borderId="31" xfId="1" applyFill="1" applyBorder="1"/>
    <xf numFmtId="0" fontId="6" fillId="4" borderId="1" xfId="1" applyFont="1" applyFill="1" applyBorder="1"/>
    <xf numFmtId="0" fontId="2" fillId="4" borderId="30" xfId="1" applyFill="1" applyBorder="1"/>
    <xf numFmtId="0" fontId="2" fillId="4" borderId="1" xfId="1" applyFill="1" applyBorder="1"/>
    <xf numFmtId="0" fontId="2" fillId="4" borderId="12" xfId="1" applyFill="1" applyBorder="1"/>
    <xf numFmtId="0" fontId="6" fillId="4" borderId="21" xfId="1" applyFont="1" applyFill="1" applyBorder="1"/>
    <xf numFmtId="0" fontId="7" fillId="0" borderId="39" xfId="0" applyFont="1" applyBorder="1">
      <alignment vertical="center"/>
    </xf>
    <xf numFmtId="0" fontId="0" fillId="0" borderId="0" xfId="0" applyAlignment="1">
      <alignment horizontal="left" vertical="center"/>
    </xf>
    <xf numFmtId="56" fontId="7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2" fillId="0" borderId="0" xfId="0" applyFont="1" applyAlignment="1">
      <alignment horizontal="left" vertical="center"/>
    </xf>
    <xf numFmtId="56" fontId="2" fillId="0" borderId="30" xfId="1" applyNumberFormat="1" applyBorder="1" applyAlignment="1">
      <alignment horizontal="center" vertical="center"/>
    </xf>
    <xf numFmtId="56" fontId="6" fillId="0" borderId="30" xfId="1" applyNumberFormat="1" applyFont="1" applyBorder="1" applyAlignment="1">
      <alignment horizontal="center" vertical="center"/>
    </xf>
    <xf numFmtId="56" fontId="2" fillId="0" borderId="20" xfId="1" applyNumberFormat="1" applyBorder="1" applyAlignment="1">
      <alignment horizontal="center" vertical="center"/>
    </xf>
    <xf numFmtId="0" fontId="2" fillId="4" borderId="6" xfId="1" applyFill="1" applyBorder="1"/>
    <xf numFmtId="6" fontId="0" fillId="0" borderId="0" xfId="0" applyNumberFormat="1">
      <alignment vertical="center"/>
    </xf>
    <xf numFmtId="6" fontId="12" fillId="0" borderId="0" xfId="0" applyNumberFormat="1" applyFont="1">
      <alignment vertical="center"/>
    </xf>
    <xf numFmtId="0" fontId="5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56" fontId="2" fillId="0" borderId="0" xfId="1" applyNumberFormat="1" applyAlignment="1">
      <alignment horizontal="left"/>
    </xf>
    <xf numFmtId="0" fontId="2" fillId="0" borderId="0" xfId="1" applyAlignment="1">
      <alignment horizontal="left"/>
    </xf>
    <xf numFmtId="0" fontId="6" fillId="0" borderId="0" xfId="1" applyFont="1" applyAlignment="1">
      <alignment horizontal="left"/>
    </xf>
    <xf numFmtId="0" fontId="2" fillId="0" borderId="6" xfId="1" applyBorder="1" applyAlignment="1">
      <alignment horizontal="center" vertical="center"/>
    </xf>
    <xf numFmtId="56" fontId="2" fillId="0" borderId="6" xfId="1" applyNumberFormat="1" applyBorder="1" applyAlignment="1">
      <alignment horizontal="center" vertical="center"/>
    </xf>
    <xf numFmtId="56" fontId="7" fillId="0" borderId="28" xfId="0" applyNumberFormat="1" applyFont="1" applyBorder="1" applyAlignment="1">
      <alignment horizontal="center" vertical="center"/>
    </xf>
    <xf numFmtId="56" fontId="6" fillId="0" borderId="6" xfId="1" applyNumberFormat="1" applyFont="1" applyBorder="1" applyAlignment="1">
      <alignment horizontal="center" vertical="center"/>
    </xf>
    <xf numFmtId="56" fontId="2" fillId="0" borderId="28" xfId="1" applyNumberFormat="1" applyBorder="1" applyAlignment="1">
      <alignment horizontal="center" vertical="center"/>
    </xf>
    <xf numFmtId="0" fontId="2" fillId="7" borderId="17" xfId="1" applyFill="1" applyBorder="1"/>
    <xf numFmtId="0" fontId="2" fillId="7" borderId="15" xfId="1" applyFill="1" applyBorder="1"/>
    <xf numFmtId="0" fontId="2" fillId="7" borderId="16" xfId="1" applyFill="1" applyBorder="1"/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0" borderId="21" xfId="1" applyFont="1" applyBorder="1" applyAlignment="1">
      <alignment horizontal="center" vertical="center" shrinkToFit="1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/>
    <xf numFmtId="0" fontId="15" fillId="0" borderId="39" xfId="0" applyFont="1" applyBorder="1">
      <alignment vertical="center"/>
    </xf>
    <xf numFmtId="0" fontId="5" fillId="0" borderId="23" xfId="1" applyFont="1" applyBorder="1"/>
    <xf numFmtId="0" fontId="5" fillId="0" borderId="39" xfId="1" applyFont="1" applyBorder="1"/>
    <xf numFmtId="0" fontId="5" fillId="0" borderId="21" xfId="1" applyFont="1" applyBorder="1"/>
    <xf numFmtId="0" fontId="5" fillId="0" borderId="30" xfId="1" applyFont="1" applyBorder="1" applyAlignment="1">
      <alignment horizontal="center" vertical="center"/>
    </xf>
    <xf numFmtId="0" fontId="5" fillId="0" borderId="15" xfId="1" applyFont="1" applyBorder="1"/>
    <xf numFmtId="0" fontId="15" fillId="0" borderId="0" xfId="0" applyFont="1">
      <alignment vertical="center"/>
    </xf>
    <xf numFmtId="0" fontId="5" fillId="0" borderId="17" xfId="1" applyFont="1" applyBorder="1"/>
    <xf numFmtId="0" fontId="5" fillId="0" borderId="30" xfId="1" applyFont="1" applyBorder="1"/>
    <xf numFmtId="0" fontId="14" fillId="0" borderId="23" xfId="0" applyFont="1" applyBorder="1">
      <alignment vertical="center"/>
    </xf>
    <xf numFmtId="0" fontId="14" fillId="0" borderId="23" xfId="0" applyFont="1" applyBorder="1" applyAlignment="1">
      <alignment horizontal="left" vertical="center"/>
    </xf>
    <xf numFmtId="56" fontId="14" fillId="0" borderId="26" xfId="0" applyNumberFormat="1" applyFont="1" applyBorder="1" applyAlignment="1">
      <alignment horizontal="left" vertical="center"/>
    </xf>
    <xf numFmtId="0" fontId="14" fillId="0" borderId="26" xfId="0" applyFont="1" applyBorder="1">
      <alignment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>
      <alignment vertical="center"/>
    </xf>
    <xf numFmtId="0" fontId="7" fillId="0" borderId="38" xfId="0" applyFont="1" applyBorder="1">
      <alignment vertical="center"/>
    </xf>
    <xf numFmtId="0" fontId="2" fillId="0" borderId="47" xfId="1" applyBorder="1"/>
    <xf numFmtId="0" fontId="5" fillId="0" borderId="31" xfId="1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5" fillId="0" borderId="45" xfId="1" applyFont="1" applyBorder="1"/>
    <xf numFmtId="0" fontId="5" fillId="0" borderId="24" xfId="1" applyFont="1" applyBorder="1"/>
    <xf numFmtId="56" fontId="12" fillId="0" borderId="26" xfId="0" applyNumberFormat="1" applyFont="1" applyBorder="1" applyAlignment="1">
      <alignment horizontal="left" vertical="center"/>
    </xf>
    <xf numFmtId="56" fontId="14" fillId="0" borderId="16" xfId="0" applyNumberFormat="1" applyFont="1" applyBorder="1" applyAlignment="1">
      <alignment horizontal="left" vertical="center"/>
    </xf>
    <xf numFmtId="0" fontId="14" fillId="0" borderId="16" xfId="0" applyFont="1" applyBorder="1">
      <alignment vertical="center"/>
    </xf>
    <xf numFmtId="56" fontId="14" fillId="0" borderId="9" xfId="0" applyNumberFormat="1" applyFont="1" applyBorder="1" applyAlignment="1">
      <alignment horizontal="left" vertical="center"/>
    </xf>
    <xf numFmtId="0" fontId="10" fillId="0" borderId="26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4" fillId="0" borderId="11" xfId="0" applyFont="1" applyBorder="1">
      <alignment vertical="center"/>
    </xf>
    <xf numFmtId="0" fontId="14" fillId="0" borderId="17" xfId="0" applyFont="1" applyBorder="1">
      <alignment vertical="center"/>
    </xf>
    <xf numFmtId="0" fontId="14" fillId="0" borderId="24" xfId="0" applyFont="1" applyBorder="1">
      <alignment vertical="center"/>
    </xf>
    <xf numFmtId="0" fontId="14" fillId="0" borderId="27" xfId="0" applyFont="1" applyBorder="1">
      <alignment vertical="center"/>
    </xf>
    <xf numFmtId="0" fontId="0" fillId="0" borderId="32" xfId="0" applyBorder="1">
      <alignment vertical="center"/>
    </xf>
    <xf numFmtId="0" fontId="0" fillId="0" borderId="28" xfId="0" applyBorder="1">
      <alignment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6" fontId="12" fillId="0" borderId="0" xfId="0" applyNumberFormat="1" applyFont="1" applyAlignment="1">
      <alignment horizontal="left" vertical="center"/>
    </xf>
    <xf numFmtId="56" fontId="15" fillId="0" borderId="0" xfId="0" applyNumberFormat="1" applyFont="1" applyAlignment="1">
      <alignment horizontal="left" vertical="center"/>
    </xf>
    <xf numFmtId="0" fontId="2" fillId="7" borderId="39" xfId="1" applyFill="1" applyBorder="1"/>
    <xf numFmtId="0" fontId="2" fillId="7" borderId="22" xfId="1" applyFill="1" applyBorder="1"/>
    <xf numFmtId="0" fontId="2" fillId="7" borderId="23" xfId="1" applyFill="1" applyBorder="1"/>
    <xf numFmtId="56" fontId="2" fillId="0" borderId="48" xfId="1" applyNumberFormat="1" applyBorder="1" applyAlignment="1">
      <alignment horizontal="center" vertical="center"/>
    </xf>
    <xf numFmtId="0" fontId="2" fillId="4" borderId="13" xfId="1" applyFill="1" applyBorder="1" applyAlignment="1">
      <alignment horizontal="center" vertical="center"/>
    </xf>
    <xf numFmtId="0" fontId="2" fillId="4" borderId="46" xfId="1" applyFill="1" applyBorder="1" applyAlignment="1">
      <alignment horizontal="center" vertical="center"/>
    </xf>
    <xf numFmtId="0" fontId="5" fillId="0" borderId="44" xfId="1" applyFont="1" applyBorder="1"/>
    <xf numFmtId="0" fontId="5" fillId="0" borderId="16" xfId="1" applyFont="1" applyBorder="1"/>
    <xf numFmtId="56" fontId="14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0" fontId="5" fillId="6" borderId="21" xfId="1" applyFont="1" applyFill="1" applyBorder="1"/>
    <xf numFmtId="0" fontId="5" fillId="4" borderId="21" xfId="1" applyFont="1" applyFill="1" applyBorder="1"/>
    <xf numFmtId="0" fontId="6" fillId="6" borderId="0" xfId="1" applyFont="1" applyFill="1"/>
    <xf numFmtId="0" fontId="2" fillId="0" borderId="53" xfId="1" applyBorder="1"/>
    <xf numFmtId="0" fontId="6" fillId="0" borderId="31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5" xfId="1" applyFont="1" applyBorder="1"/>
    <xf numFmtId="0" fontId="6" fillId="0" borderId="26" xfId="1" applyFont="1" applyBorder="1"/>
    <xf numFmtId="0" fontId="6" fillId="0" borderId="27" xfId="1" applyFont="1" applyBorder="1"/>
    <xf numFmtId="0" fontId="17" fillId="6" borderId="21" xfId="1" applyFont="1" applyFill="1" applyBorder="1"/>
    <xf numFmtId="0" fontId="17" fillId="4" borderId="21" xfId="1" applyFont="1" applyFill="1" applyBorder="1"/>
    <xf numFmtId="176" fontId="14" fillId="0" borderId="0" xfId="0" applyNumberFormat="1" applyFont="1">
      <alignment vertical="center"/>
    </xf>
    <xf numFmtId="176" fontId="17" fillId="6" borderId="0" xfId="1" applyNumberFormat="1" applyFont="1" applyFill="1"/>
    <xf numFmtId="56" fontId="15" fillId="0" borderId="30" xfId="0" applyNumberFormat="1" applyFont="1" applyBorder="1" applyAlignment="1">
      <alignment horizontal="left" vertical="center"/>
    </xf>
    <xf numFmtId="0" fontId="15" fillId="0" borderId="44" xfId="0" applyFont="1" applyBorder="1">
      <alignment vertical="center"/>
    </xf>
    <xf numFmtId="0" fontId="15" fillId="0" borderId="16" xfId="0" applyFont="1" applyBorder="1">
      <alignment vertical="center"/>
    </xf>
    <xf numFmtId="0" fontId="15" fillId="0" borderId="17" xfId="0" applyFont="1" applyBorder="1">
      <alignment vertical="center"/>
    </xf>
    <xf numFmtId="0" fontId="15" fillId="0" borderId="21" xfId="0" applyFont="1" applyBorder="1">
      <alignment vertical="center"/>
    </xf>
    <xf numFmtId="0" fontId="15" fillId="0" borderId="21" xfId="0" applyFont="1" applyBorder="1" applyAlignment="1">
      <alignment horizontal="left" vertical="center"/>
    </xf>
    <xf numFmtId="0" fontId="15" fillId="0" borderId="45" xfId="0" applyFont="1" applyBorder="1">
      <alignment vertical="center"/>
    </xf>
    <xf numFmtId="0" fontId="15" fillId="0" borderId="23" xfId="0" applyFont="1" applyBorder="1">
      <alignment vertical="center"/>
    </xf>
    <xf numFmtId="0" fontId="15" fillId="0" borderId="24" xfId="0" applyFont="1" applyBorder="1">
      <alignment vertical="center"/>
    </xf>
    <xf numFmtId="0" fontId="15" fillId="0" borderId="12" xfId="0" applyFont="1" applyBorder="1" applyAlignment="1">
      <alignment horizontal="left" vertical="center"/>
    </xf>
    <xf numFmtId="0" fontId="15" fillId="0" borderId="52" xfId="0" applyFont="1" applyBorder="1">
      <alignment vertical="center"/>
    </xf>
    <xf numFmtId="0" fontId="15" fillId="0" borderId="26" xfId="0" applyFont="1" applyBorder="1">
      <alignment vertical="center"/>
    </xf>
    <xf numFmtId="0" fontId="15" fillId="0" borderId="27" xfId="0" applyFont="1" applyBorder="1">
      <alignment vertical="center"/>
    </xf>
    <xf numFmtId="0" fontId="15" fillId="0" borderId="31" xfId="0" applyFont="1" applyBorder="1">
      <alignment vertical="center"/>
    </xf>
    <xf numFmtId="0" fontId="7" fillId="0" borderId="9" xfId="0" applyFont="1" applyBorder="1" applyAlignment="1">
      <alignment horizontal="center" vertical="center"/>
    </xf>
    <xf numFmtId="0" fontId="15" fillId="0" borderId="10" xfId="0" applyFont="1" applyBorder="1">
      <alignment vertical="center"/>
    </xf>
    <xf numFmtId="0" fontId="15" fillId="0" borderId="11" xfId="0" applyFont="1" applyBorder="1">
      <alignment vertical="center"/>
    </xf>
    <xf numFmtId="0" fontId="15" fillId="0" borderId="1" xfId="0" applyFont="1" applyBorder="1">
      <alignment vertical="center"/>
    </xf>
    <xf numFmtId="0" fontId="2" fillId="11" borderId="23" xfId="1" applyFill="1" applyBorder="1"/>
    <xf numFmtId="0" fontId="2" fillId="11" borderId="24" xfId="1" applyFill="1" applyBorder="1"/>
    <xf numFmtId="0" fontId="5" fillId="0" borderId="25" xfId="1" applyFont="1" applyBorder="1"/>
    <xf numFmtId="0" fontId="5" fillId="0" borderId="26" xfId="1" applyFont="1" applyBorder="1"/>
    <xf numFmtId="0" fontId="5" fillId="0" borderId="27" xfId="1" applyFont="1" applyBorder="1"/>
    <xf numFmtId="0" fontId="2" fillId="0" borderId="23" xfId="1" applyBorder="1" applyAlignment="1">
      <alignment horizontal="center"/>
    </xf>
    <xf numFmtId="0" fontId="19" fillId="0" borderId="21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17" fillId="0" borderId="22" xfId="1" applyFont="1" applyBorder="1"/>
    <xf numFmtId="0" fontId="17" fillId="0" borderId="23" xfId="1" applyFont="1" applyBorder="1"/>
    <xf numFmtId="0" fontId="17" fillId="0" borderId="24" xfId="1" applyFont="1" applyBorder="1"/>
    <xf numFmtId="0" fontId="2" fillId="0" borderId="31" xfId="1" applyBorder="1" applyAlignment="1">
      <alignment horizontal="center" vertical="center" shrinkToFit="1"/>
    </xf>
    <xf numFmtId="0" fontId="2" fillId="0" borderId="52" xfId="1" applyBorder="1"/>
    <xf numFmtId="56" fontId="20" fillId="0" borderId="14" xfId="1" applyNumberFormat="1" applyFont="1" applyBorder="1" applyAlignment="1">
      <alignment horizontal="center" vertical="center"/>
    </xf>
    <xf numFmtId="0" fontId="20" fillId="0" borderId="22" xfId="1" applyFont="1" applyBorder="1"/>
    <xf numFmtId="0" fontId="20" fillId="0" borderId="23" xfId="1" applyFont="1" applyBorder="1"/>
    <xf numFmtId="0" fontId="20" fillId="0" borderId="24" xfId="1" applyFont="1" applyBorder="1"/>
    <xf numFmtId="0" fontId="20" fillId="6" borderId="21" xfId="1" applyFont="1" applyFill="1" applyBorder="1"/>
    <xf numFmtId="0" fontId="20" fillId="0" borderId="45" xfId="1" applyFont="1" applyBorder="1"/>
    <xf numFmtId="0" fontId="20" fillId="4" borderId="21" xfId="1" applyFont="1" applyFill="1" applyBorder="1"/>
    <xf numFmtId="56" fontId="21" fillId="0" borderId="0" xfId="0" applyNumberFormat="1" applyFont="1" applyAlignment="1">
      <alignment horizontal="left" vertical="center"/>
    </xf>
    <xf numFmtId="0" fontId="22" fillId="0" borderId="21" xfId="1" applyFont="1" applyBorder="1" applyAlignment="1">
      <alignment horizontal="center" vertical="center"/>
    </xf>
    <xf numFmtId="0" fontId="6" fillId="7" borderId="25" xfId="1" applyFont="1" applyFill="1" applyBorder="1"/>
    <xf numFmtId="0" fontId="6" fillId="7" borderId="26" xfId="1" applyFont="1" applyFill="1" applyBorder="1"/>
    <xf numFmtId="0" fontId="6" fillId="7" borderId="27" xfId="1" applyFont="1" applyFill="1" applyBorder="1"/>
    <xf numFmtId="0" fontId="20" fillId="0" borderId="21" xfId="1" applyFont="1" applyBorder="1" applyAlignment="1">
      <alignment horizontal="center" vertical="center"/>
    </xf>
    <xf numFmtId="0" fontId="2" fillId="7" borderId="27" xfId="1" applyFill="1" applyBorder="1"/>
    <xf numFmtId="0" fontId="2" fillId="7" borderId="25" xfId="1" applyFill="1" applyBorder="1"/>
    <xf numFmtId="0" fontId="2" fillId="7" borderId="26" xfId="1" applyFill="1" applyBorder="1"/>
    <xf numFmtId="0" fontId="20" fillId="0" borderId="15" xfId="1" applyFont="1" applyBorder="1"/>
    <xf numFmtId="0" fontId="20" fillId="0" borderId="16" xfId="1" applyFont="1" applyBorder="1"/>
    <xf numFmtId="0" fontId="20" fillId="0" borderId="17" xfId="1" applyFont="1" applyBorder="1"/>
    <xf numFmtId="0" fontId="20" fillId="0" borderId="44" xfId="1" applyFont="1" applyBorder="1"/>
    <xf numFmtId="0" fontId="20" fillId="0" borderId="39" xfId="1" applyFont="1" applyBorder="1"/>
    <xf numFmtId="0" fontId="20" fillId="6" borderId="12" xfId="1" applyFont="1" applyFill="1" applyBorder="1"/>
    <xf numFmtId="0" fontId="20" fillId="4" borderId="12" xfId="1" applyFont="1" applyFill="1" applyBorder="1"/>
    <xf numFmtId="0" fontId="5" fillId="5" borderId="2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35" xfId="1" applyFont="1" applyFill="1" applyBorder="1" applyAlignment="1">
      <alignment horizontal="center" vertical="center"/>
    </xf>
    <xf numFmtId="0" fontId="5" fillId="8" borderId="2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horizontal="center" vertical="center"/>
    </xf>
    <xf numFmtId="0" fontId="5" fillId="8" borderId="35" xfId="1" applyFont="1" applyFill="1" applyBorder="1" applyAlignment="1">
      <alignment horizontal="center" vertical="center"/>
    </xf>
    <xf numFmtId="0" fontId="5" fillId="7" borderId="2" xfId="1" applyFont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/>
    </xf>
    <xf numFmtId="0" fontId="5" fillId="7" borderId="35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3" xfId="1" applyFont="1" applyFill="1" applyBorder="1" applyAlignment="1">
      <alignment horizontal="center" vertical="center"/>
    </xf>
    <xf numFmtId="0" fontId="5" fillId="9" borderId="35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/>
    </xf>
    <xf numFmtId="0" fontId="13" fillId="10" borderId="3" xfId="1" applyFont="1" applyFill="1" applyBorder="1" applyAlignment="1">
      <alignment horizontal="center" vertical="center"/>
    </xf>
    <xf numFmtId="0" fontId="13" fillId="10" borderId="35" xfId="1" applyFont="1" applyFill="1" applyBorder="1" applyAlignment="1">
      <alignment horizontal="center" vertical="center"/>
    </xf>
    <xf numFmtId="0" fontId="3" fillId="3" borderId="29" xfId="1" applyFont="1" applyFill="1" applyBorder="1" applyAlignment="1">
      <alignment horizontal="left"/>
    </xf>
    <xf numFmtId="0" fontId="2" fillId="4" borderId="13" xfId="1" applyFill="1" applyBorder="1" applyAlignment="1">
      <alignment horizontal="center" vertical="center"/>
    </xf>
    <xf numFmtId="0" fontId="2" fillId="4" borderId="28" xfId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2" fillId="4" borderId="46" xfId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" fillId="3" borderId="29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35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35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5" xfId="1" applyFont="1" applyBorder="1"/>
    <xf numFmtId="0" fontId="2" fillId="0" borderId="26" xfId="1" applyFont="1" applyBorder="1"/>
    <xf numFmtId="0" fontId="2" fillId="0" borderId="27" xfId="1" applyFont="1" applyBorder="1"/>
    <xf numFmtId="0" fontId="2" fillId="6" borderId="21" xfId="1" applyFont="1" applyFill="1" applyBorder="1"/>
    <xf numFmtId="0" fontId="2" fillId="4" borderId="21" xfId="1" applyFon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66675</xdr:colOff>
      <xdr:row>170</xdr:row>
      <xdr:rowOff>0</xdr:rowOff>
    </xdr:from>
    <xdr:to>
      <xdr:col>61</xdr:col>
      <xdr:colOff>228600</xdr:colOff>
      <xdr:row>172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E178FD0-421D-D086-A160-CB74E35D5B1E}"/>
            </a:ext>
          </a:extLst>
        </xdr:cNvPr>
        <xdr:cNvCxnSpPr/>
      </xdr:nvCxnSpPr>
      <xdr:spPr>
        <a:xfrm flipH="1">
          <a:off x="29517975" y="29879925"/>
          <a:ext cx="2333625" cy="34290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C198"/>
  <sheetViews>
    <sheetView zoomScaleNormal="100" workbookViewId="0">
      <selection activeCell="Z198" sqref="Z198"/>
    </sheetView>
  </sheetViews>
  <sheetFormatPr defaultRowHeight="13.5" x14ac:dyDescent="0.15"/>
  <cols>
    <col min="1" max="1" width="21.75" customWidth="1"/>
    <col min="2" max="5" width="7.25" customWidth="1"/>
    <col min="6" max="6" width="6.875" customWidth="1"/>
    <col min="7" max="10" width="7.25" customWidth="1"/>
    <col min="11" max="12" width="6.875" customWidth="1"/>
    <col min="13" max="13" width="9.25" bestFit="1" customWidth="1"/>
    <col min="14" max="14" width="41.25" customWidth="1"/>
    <col min="15" max="18" width="7.25" customWidth="1"/>
    <col min="19" max="19" width="6.875" customWidth="1"/>
    <col min="20" max="23" width="7.25" customWidth="1"/>
    <col min="24" max="25" width="6.875" customWidth="1"/>
    <col min="26" max="26" width="9.25" style="113" bestFit="1" customWidth="1"/>
  </cols>
  <sheetData>
    <row r="1" spans="1:28" ht="19.5" thickBot="1" x14ac:dyDescent="0.25">
      <c r="A1" s="288" t="s">
        <v>44</v>
      </c>
      <c r="B1" s="288"/>
      <c r="C1" s="288"/>
      <c r="D1" s="288"/>
      <c r="E1" s="288"/>
      <c r="F1" s="288"/>
      <c r="G1" s="33"/>
      <c r="H1" s="33" t="s">
        <v>14</v>
      </c>
      <c r="I1" s="33"/>
      <c r="J1" s="33"/>
      <c r="K1" s="33"/>
      <c r="L1" s="1"/>
      <c r="N1" s="70" t="s">
        <v>70</v>
      </c>
      <c r="O1" s="70"/>
      <c r="P1" s="70"/>
      <c r="Q1" s="70"/>
      <c r="R1" s="70"/>
      <c r="S1" s="70"/>
      <c r="T1" s="69"/>
      <c r="U1" s="69" t="s">
        <v>17</v>
      </c>
      <c r="V1" s="69"/>
      <c r="W1" s="33"/>
      <c r="X1" s="33"/>
      <c r="Y1" s="1"/>
    </row>
    <row r="2" spans="1:28" ht="14.25" thickBot="1" x14ac:dyDescent="0.2">
      <c r="A2" s="2" t="s">
        <v>0</v>
      </c>
      <c r="B2" s="294" t="s">
        <v>19</v>
      </c>
      <c r="C2" s="295"/>
      <c r="D2" s="295"/>
      <c r="E2" s="296"/>
      <c r="F2" s="38"/>
      <c r="G2" s="289" t="s">
        <v>18</v>
      </c>
      <c r="H2" s="290"/>
      <c r="I2" s="290"/>
      <c r="J2" s="291"/>
      <c r="K2" s="31"/>
      <c r="L2" s="292" t="s">
        <v>1</v>
      </c>
      <c r="N2" s="2" t="s">
        <v>0</v>
      </c>
      <c r="O2" s="294" t="s">
        <v>19</v>
      </c>
      <c r="P2" s="295"/>
      <c r="Q2" s="295"/>
      <c r="R2" s="296"/>
      <c r="S2" s="38"/>
      <c r="T2" s="289" t="s">
        <v>18</v>
      </c>
      <c r="U2" s="290"/>
      <c r="V2" s="290"/>
      <c r="W2" s="291"/>
      <c r="X2" s="31"/>
      <c r="Y2" s="292" t="s">
        <v>1</v>
      </c>
    </row>
    <row r="3" spans="1:28" ht="14.25" thickBot="1" x14ac:dyDescent="0.2">
      <c r="A3" s="2" t="s">
        <v>2</v>
      </c>
      <c r="B3" s="3" t="s">
        <v>3</v>
      </c>
      <c r="C3" s="4" t="s">
        <v>4</v>
      </c>
      <c r="D3" s="5" t="s">
        <v>5</v>
      </c>
      <c r="E3" s="5" t="s">
        <v>20</v>
      </c>
      <c r="F3" s="2" t="s">
        <v>6</v>
      </c>
      <c r="G3" s="30" t="s">
        <v>3</v>
      </c>
      <c r="H3" s="6" t="s">
        <v>4</v>
      </c>
      <c r="I3" s="6" t="s">
        <v>5</v>
      </c>
      <c r="J3" s="66" t="s">
        <v>20</v>
      </c>
      <c r="K3" s="2" t="s">
        <v>6</v>
      </c>
      <c r="L3" s="297"/>
      <c r="N3" s="2" t="s">
        <v>2</v>
      </c>
      <c r="O3" s="3" t="s">
        <v>3</v>
      </c>
      <c r="P3" s="4" t="s">
        <v>4</v>
      </c>
      <c r="Q3" s="4" t="s">
        <v>5</v>
      </c>
      <c r="R3" s="60" t="s">
        <v>20</v>
      </c>
      <c r="S3" s="2" t="s">
        <v>6</v>
      </c>
      <c r="T3" s="30" t="s">
        <v>3</v>
      </c>
      <c r="U3" s="6" t="s">
        <v>4</v>
      </c>
      <c r="V3" s="6" t="s">
        <v>5</v>
      </c>
      <c r="W3" s="66" t="s">
        <v>20</v>
      </c>
      <c r="X3" s="2" t="s">
        <v>6</v>
      </c>
      <c r="Y3" s="297"/>
    </row>
    <row r="4" spans="1:28" x14ac:dyDescent="0.15">
      <c r="A4" s="40" t="s">
        <v>15</v>
      </c>
      <c r="B4" s="39"/>
      <c r="C4" s="13"/>
      <c r="D4" s="14"/>
      <c r="E4" s="14"/>
      <c r="F4" s="46">
        <f>SUM(B4:E4)</f>
        <v>0</v>
      </c>
      <c r="G4" s="39"/>
      <c r="H4" s="13"/>
      <c r="I4" s="13"/>
      <c r="J4" s="61"/>
      <c r="K4" s="46">
        <f>SUM(G4:J4)</f>
        <v>0</v>
      </c>
      <c r="L4" s="46">
        <f>F4+K4</f>
        <v>0</v>
      </c>
      <c r="M4" s="52"/>
      <c r="N4" s="119" t="s">
        <v>21</v>
      </c>
      <c r="O4" s="39">
        <v>150</v>
      </c>
      <c r="P4" s="13">
        <v>200</v>
      </c>
      <c r="Q4" s="13">
        <v>100</v>
      </c>
      <c r="R4" s="61">
        <v>50</v>
      </c>
      <c r="S4" s="46">
        <f>SUM(O4:R4)</f>
        <v>500</v>
      </c>
      <c r="T4" s="39">
        <v>120</v>
      </c>
      <c r="U4" s="13">
        <v>140</v>
      </c>
      <c r="V4" s="13">
        <v>80</v>
      </c>
      <c r="W4" s="61">
        <v>30</v>
      </c>
      <c r="X4" s="46">
        <f>SUM(T4:W4)</f>
        <v>370</v>
      </c>
      <c r="Y4" s="48">
        <f>S4+X4</f>
        <v>870</v>
      </c>
      <c r="Z4" s="114" t="s">
        <v>55</v>
      </c>
    </row>
    <row r="5" spans="1:28" x14ac:dyDescent="0.15">
      <c r="A5" s="9" t="s">
        <v>7</v>
      </c>
      <c r="B5" s="10"/>
      <c r="C5" s="11"/>
      <c r="D5" s="12"/>
      <c r="E5" s="12"/>
      <c r="F5" s="47">
        <f t="shared" ref="F5:F38" si="0">SUM(B5:E5)</f>
        <v>0</v>
      </c>
      <c r="G5" s="10"/>
      <c r="H5" s="11"/>
      <c r="I5" s="11"/>
      <c r="J5" s="62"/>
      <c r="K5" s="47">
        <f t="shared" ref="K5:K38" si="1">SUM(G5:J5)</f>
        <v>0</v>
      </c>
      <c r="L5" s="48">
        <f t="shared" ref="L5:L36" si="2">F5+K5</f>
        <v>0</v>
      </c>
      <c r="M5" s="52"/>
      <c r="N5" s="9" t="s">
        <v>7</v>
      </c>
      <c r="O5" s="10"/>
      <c r="P5" s="11"/>
      <c r="Q5" s="11"/>
      <c r="R5" s="62"/>
      <c r="S5" s="47">
        <f t="shared" ref="S5:S38" si="3">SUM(O5:R5)</f>
        <v>0</v>
      </c>
      <c r="T5" s="10"/>
      <c r="U5" s="11"/>
      <c r="V5" s="11"/>
      <c r="W5" s="62"/>
      <c r="X5" s="47">
        <f t="shared" ref="X5:X38" si="4">SUM(T5:W5)</f>
        <v>0</v>
      </c>
      <c r="Y5" s="48">
        <f>S5+X5</f>
        <v>0</v>
      </c>
      <c r="Z5" s="76"/>
      <c r="AA5" s="25"/>
      <c r="AB5" s="25"/>
    </row>
    <row r="6" spans="1:28" x14ac:dyDescent="0.15">
      <c r="A6" s="9" t="s">
        <v>8</v>
      </c>
      <c r="B6" s="10"/>
      <c r="C6" s="11"/>
      <c r="D6" s="12"/>
      <c r="E6" s="12"/>
      <c r="F6" s="48">
        <f t="shared" si="0"/>
        <v>0</v>
      </c>
      <c r="G6" s="10"/>
      <c r="H6" s="11"/>
      <c r="I6" s="11"/>
      <c r="J6" s="62"/>
      <c r="K6" s="48">
        <f t="shared" si="1"/>
        <v>0</v>
      </c>
      <c r="L6" s="48">
        <f t="shared" si="2"/>
        <v>0</v>
      </c>
      <c r="M6" s="52"/>
      <c r="N6" s="9" t="s">
        <v>8</v>
      </c>
      <c r="O6" s="10"/>
      <c r="P6" s="11"/>
      <c r="Q6" s="11"/>
      <c r="R6" s="62"/>
      <c r="S6" s="47">
        <f t="shared" ref="S6:S8" si="5">SUM(O6:R6)</f>
        <v>0</v>
      </c>
      <c r="T6" s="10"/>
      <c r="U6" s="11"/>
      <c r="V6" s="11"/>
      <c r="W6" s="62"/>
      <c r="X6" s="47">
        <f t="shared" ref="X6:X8" si="6">SUM(T6:W6)</f>
        <v>0</v>
      </c>
      <c r="Y6" s="48">
        <f t="shared" ref="Y6:Y8" si="7">S6+X6</f>
        <v>0</v>
      </c>
      <c r="Z6" s="76"/>
      <c r="AA6" s="25"/>
      <c r="AB6" s="25"/>
    </row>
    <row r="7" spans="1:28" x14ac:dyDescent="0.15">
      <c r="A7" s="9" t="s">
        <v>9</v>
      </c>
      <c r="B7" s="15"/>
      <c r="C7" s="16"/>
      <c r="D7" s="17"/>
      <c r="E7" s="17"/>
      <c r="F7" s="48">
        <f t="shared" si="0"/>
        <v>0</v>
      </c>
      <c r="G7" s="15"/>
      <c r="H7" s="16"/>
      <c r="I7" s="16"/>
      <c r="J7" s="63"/>
      <c r="K7" s="48">
        <f t="shared" si="1"/>
        <v>0</v>
      </c>
      <c r="L7" s="48">
        <f t="shared" si="2"/>
        <v>0</v>
      </c>
      <c r="M7" s="52"/>
      <c r="N7" s="9" t="s">
        <v>9</v>
      </c>
      <c r="O7" s="10"/>
      <c r="P7" s="11"/>
      <c r="Q7" s="11"/>
      <c r="R7" s="62"/>
      <c r="S7" s="47">
        <f t="shared" si="5"/>
        <v>0</v>
      </c>
      <c r="T7" s="10"/>
      <c r="U7" s="11"/>
      <c r="V7" s="11"/>
      <c r="W7" s="62"/>
      <c r="X7" s="47">
        <f t="shared" si="6"/>
        <v>0</v>
      </c>
      <c r="Y7" s="48">
        <f t="shared" si="7"/>
        <v>0</v>
      </c>
      <c r="Z7" s="76"/>
      <c r="AA7" s="25"/>
      <c r="AB7" s="25"/>
    </row>
    <row r="8" spans="1:28" x14ac:dyDescent="0.15">
      <c r="A8" s="9" t="s">
        <v>10</v>
      </c>
      <c r="B8" s="15"/>
      <c r="C8" s="16"/>
      <c r="D8" s="17"/>
      <c r="E8" s="17"/>
      <c r="F8" s="48">
        <f t="shared" si="0"/>
        <v>0</v>
      </c>
      <c r="G8" s="15"/>
      <c r="H8" s="16"/>
      <c r="I8" s="16"/>
      <c r="J8" s="63"/>
      <c r="K8" s="48">
        <f t="shared" si="1"/>
        <v>0</v>
      </c>
      <c r="L8" s="48">
        <f t="shared" si="2"/>
        <v>0</v>
      </c>
      <c r="M8" s="52"/>
      <c r="N8" s="9" t="s">
        <v>10</v>
      </c>
      <c r="O8" s="10"/>
      <c r="P8" s="11"/>
      <c r="Q8" s="11"/>
      <c r="R8" s="62"/>
      <c r="S8" s="47">
        <f t="shared" si="5"/>
        <v>0</v>
      </c>
      <c r="T8" s="10"/>
      <c r="U8" s="11"/>
      <c r="V8" s="11"/>
      <c r="W8" s="62"/>
      <c r="X8" s="47">
        <f t="shared" si="6"/>
        <v>0</v>
      </c>
      <c r="Y8" s="48">
        <f t="shared" si="7"/>
        <v>0</v>
      </c>
      <c r="Z8" s="76"/>
      <c r="AA8" s="25"/>
      <c r="AB8" s="25"/>
    </row>
    <row r="9" spans="1:28" ht="14.25" thickBot="1" x14ac:dyDescent="0.2">
      <c r="A9" s="9" t="s">
        <v>11</v>
      </c>
      <c r="B9" s="15"/>
      <c r="C9" s="16"/>
      <c r="D9" s="17"/>
      <c r="E9" s="17"/>
      <c r="F9" s="55">
        <f t="shared" si="0"/>
        <v>0</v>
      </c>
      <c r="G9" s="15"/>
      <c r="H9" s="16"/>
      <c r="I9" s="16"/>
      <c r="J9" s="64"/>
      <c r="K9" s="55">
        <f t="shared" si="1"/>
        <v>0</v>
      </c>
      <c r="L9" s="49">
        <f t="shared" si="2"/>
        <v>0</v>
      </c>
      <c r="M9" s="52"/>
      <c r="N9" s="56" t="s">
        <v>11</v>
      </c>
      <c r="O9" s="15"/>
      <c r="P9" s="16"/>
      <c r="Q9" s="68"/>
      <c r="R9" s="63"/>
      <c r="S9" s="55">
        <f t="shared" si="3"/>
        <v>0</v>
      </c>
      <c r="T9" s="15"/>
      <c r="U9" s="16"/>
      <c r="V9" s="16"/>
      <c r="W9" s="64"/>
      <c r="X9" s="55">
        <f t="shared" si="4"/>
        <v>0</v>
      </c>
      <c r="Y9" s="49">
        <f t="shared" ref="Y9:Y38" si="8">S9+X9</f>
        <v>0</v>
      </c>
      <c r="Z9" s="76"/>
      <c r="AA9" s="25"/>
      <c r="AB9" s="25"/>
    </row>
    <row r="10" spans="1:28" ht="14.25" thickBot="1" x14ac:dyDescent="0.2">
      <c r="A10" s="21" t="s">
        <v>16</v>
      </c>
      <c r="B10" s="7">
        <f>SUM(B4:B9)</f>
        <v>0</v>
      </c>
      <c r="C10" s="8">
        <f t="shared" ref="C10:L10" si="9">SUM(C4:C9)</f>
        <v>0</v>
      </c>
      <c r="D10" s="22">
        <f t="shared" si="9"/>
        <v>0</v>
      </c>
      <c r="E10" s="22">
        <f t="shared" si="9"/>
        <v>0</v>
      </c>
      <c r="F10" s="28">
        <f t="shared" si="0"/>
        <v>0</v>
      </c>
      <c r="G10" s="7">
        <f t="shared" si="9"/>
        <v>0</v>
      </c>
      <c r="H10" s="8">
        <f t="shared" si="9"/>
        <v>0</v>
      </c>
      <c r="I10" s="8">
        <f t="shared" si="9"/>
        <v>0</v>
      </c>
      <c r="J10" s="65">
        <f t="shared" si="9"/>
        <v>0</v>
      </c>
      <c r="K10" s="28">
        <f t="shared" si="1"/>
        <v>0</v>
      </c>
      <c r="L10" s="35">
        <f t="shared" si="9"/>
        <v>0</v>
      </c>
      <c r="N10" s="21" t="s">
        <v>16</v>
      </c>
      <c r="O10" s="7">
        <f>SUM(O4:O9)</f>
        <v>150</v>
      </c>
      <c r="P10" s="8">
        <f t="shared" ref="P10:R10" si="10">SUM(P4:P9)</f>
        <v>200</v>
      </c>
      <c r="Q10" s="22">
        <f t="shared" si="10"/>
        <v>100</v>
      </c>
      <c r="R10" s="22">
        <f t="shared" si="10"/>
        <v>50</v>
      </c>
      <c r="S10" s="28">
        <f t="shared" si="3"/>
        <v>500</v>
      </c>
      <c r="T10" s="7">
        <f t="shared" ref="T10:V10" si="11">SUM(T4:T9)</f>
        <v>120</v>
      </c>
      <c r="U10" s="8">
        <f t="shared" si="11"/>
        <v>140</v>
      </c>
      <c r="V10" s="8">
        <f t="shared" si="11"/>
        <v>80</v>
      </c>
      <c r="W10" s="65">
        <f>SUM(W4:W9)</f>
        <v>30</v>
      </c>
      <c r="X10" s="28">
        <f t="shared" si="4"/>
        <v>370</v>
      </c>
      <c r="Y10" s="35">
        <f t="shared" si="8"/>
        <v>870</v>
      </c>
    </row>
    <row r="11" spans="1:28" x14ac:dyDescent="0.15">
      <c r="A11" s="45"/>
      <c r="B11" s="39"/>
      <c r="C11" s="13"/>
      <c r="D11" s="14"/>
      <c r="E11" s="14"/>
      <c r="F11" s="46">
        <f t="shared" si="0"/>
        <v>0</v>
      </c>
      <c r="G11" s="39"/>
      <c r="H11" s="13"/>
      <c r="I11" s="13"/>
      <c r="J11" s="61"/>
      <c r="K11" s="46">
        <f t="shared" si="1"/>
        <v>0</v>
      </c>
      <c r="L11" s="46">
        <f t="shared" si="2"/>
        <v>0</v>
      </c>
      <c r="M11" s="51"/>
      <c r="N11" s="53" t="s">
        <v>29</v>
      </c>
      <c r="O11" s="39">
        <v>20</v>
      </c>
      <c r="P11" s="13">
        <v>20</v>
      </c>
      <c r="Q11" s="14">
        <v>20</v>
      </c>
      <c r="R11" s="14">
        <v>10</v>
      </c>
      <c r="S11" s="46">
        <f t="shared" si="3"/>
        <v>70</v>
      </c>
      <c r="T11" s="39">
        <v>20</v>
      </c>
      <c r="U11" s="13">
        <v>20</v>
      </c>
      <c r="V11" s="13">
        <v>20</v>
      </c>
      <c r="W11" s="61">
        <v>10</v>
      </c>
      <c r="X11" s="46">
        <f t="shared" si="4"/>
        <v>70</v>
      </c>
      <c r="Y11" s="46">
        <f t="shared" si="8"/>
        <v>140</v>
      </c>
      <c r="Z11" s="114">
        <v>45190</v>
      </c>
    </row>
    <row r="12" spans="1:28" x14ac:dyDescent="0.15">
      <c r="A12" s="23"/>
      <c r="B12" s="15"/>
      <c r="C12" s="16"/>
      <c r="D12" s="17"/>
      <c r="E12" s="17"/>
      <c r="F12" s="48">
        <f t="shared" si="0"/>
        <v>0</v>
      </c>
      <c r="G12" s="15"/>
      <c r="H12" s="16"/>
      <c r="I12" s="16"/>
      <c r="J12" s="63"/>
      <c r="K12" s="48">
        <f t="shared" si="1"/>
        <v>0</v>
      </c>
      <c r="L12" s="48">
        <f t="shared" si="2"/>
        <v>0</v>
      </c>
      <c r="M12" s="52"/>
      <c r="N12" s="53" t="s">
        <v>58</v>
      </c>
      <c r="O12" s="15"/>
      <c r="P12" s="16">
        <v>4</v>
      </c>
      <c r="Q12" s="17"/>
      <c r="R12" s="17"/>
      <c r="S12" s="48">
        <f t="shared" si="3"/>
        <v>4</v>
      </c>
      <c r="T12" s="15">
        <v>10</v>
      </c>
      <c r="U12" s="16">
        <v>4</v>
      </c>
      <c r="V12" s="16"/>
      <c r="W12" s="63"/>
      <c r="X12" s="48">
        <f t="shared" si="4"/>
        <v>14</v>
      </c>
      <c r="Y12" s="48">
        <f t="shared" si="8"/>
        <v>18</v>
      </c>
      <c r="Z12" s="114">
        <v>45215</v>
      </c>
    </row>
    <row r="13" spans="1:28" x14ac:dyDescent="0.15">
      <c r="A13" s="23"/>
      <c r="B13" s="15"/>
      <c r="C13" s="16"/>
      <c r="D13" s="17"/>
      <c r="E13" s="17"/>
      <c r="F13" s="48">
        <f t="shared" si="0"/>
        <v>0</v>
      </c>
      <c r="G13" s="15"/>
      <c r="H13" s="16"/>
      <c r="I13" s="16"/>
      <c r="J13" s="63"/>
      <c r="K13" s="48">
        <f t="shared" si="1"/>
        <v>0</v>
      </c>
      <c r="L13" s="48">
        <f t="shared" si="2"/>
        <v>0</v>
      </c>
      <c r="M13" s="51"/>
      <c r="N13" s="53" t="s">
        <v>60</v>
      </c>
      <c r="O13" s="15"/>
      <c r="P13" s="16">
        <v>4</v>
      </c>
      <c r="Q13" s="17"/>
      <c r="R13" s="17"/>
      <c r="S13" s="48">
        <f t="shared" si="3"/>
        <v>4</v>
      </c>
      <c r="T13" s="15">
        <v>6</v>
      </c>
      <c r="U13" s="16"/>
      <c r="V13" s="16"/>
      <c r="W13" s="63"/>
      <c r="X13" s="48">
        <f t="shared" si="4"/>
        <v>6</v>
      </c>
      <c r="Y13" s="48">
        <f t="shared" si="8"/>
        <v>10</v>
      </c>
      <c r="Z13" s="114">
        <v>45216</v>
      </c>
    </row>
    <row r="14" spans="1:28" x14ac:dyDescent="0.15">
      <c r="A14" s="23"/>
      <c r="B14" s="15"/>
      <c r="C14" s="16"/>
      <c r="D14" s="17"/>
      <c r="E14" s="17"/>
      <c r="F14" s="48">
        <f t="shared" si="0"/>
        <v>0</v>
      </c>
      <c r="G14" s="15"/>
      <c r="H14" s="16"/>
      <c r="I14" s="16"/>
      <c r="J14" s="63"/>
      <c r="K14" s="48">
        <f t="shared" si="1"/>
        <v>0</v>
      </c>
      <c r="L14" s="48">
        <f t="shared" si="2"/>
        <v>0</v>
      </c>
      <c r="M14" s="51"/>
      <c r="N14" s="53" t="s">
        <v>62</v>
      </c>
      <c r="O14" s="15"/>
      <c r="P14" s="16">
        <v>2</v>
      </c>
      <c r="Q14" s="17"/>
      <c r="R14" s="17"/>
      <c r="S14" s="48">
        <f t="shared" si="3"/>
        <v>2</v>
      </c>
      <c r="T14" s="15">
        <v>4</v>
      </c>
      <c r="U14" s="16"/>
      <c r="V14" s="16"/>
      <c r="W14" s="63"/>
      <c r="X14" s="48">
        <f t="shared" si="4"/>
        <v>4</v>
      </c>
      <c r="Y14" s="48">
        <f t="shared" si="8"/>
        <v>6</v>
      </c>
      <c r="Z14" s="114">
        <v>45216</v>
      </c>
    </row>
    <row r="15" spans="1:28" x14ac:dyDescent="0.15">
      <c r="A15" s="23"/>
      <c r="B15" s="15"/>
      <c r="C15" s="16"/>
      <c r="D15" s="17"/>
      <c r="E15" s="17"/>
      <c r="F15" s="48">
        <f t="shared" si="0"/>
        <v>0</v>
      </c>
      <c r="G15" s="15"/>
      <c r="H15" s="16"/>
      <c r="I15" s="16"/>
      <c r="J15" s="63"/>
      <c r="K15" s="48">
        <f t="shared" si="1"/>
        <v>0</v>
      </c>
      <c r="L15" s="48">
        <f t="shared" si="2"/>
        <v>0</v>
      </c>
      <c r="M15" s="51"/>
      <c r="N15" s="53" t="s">
        <v>67</v>
      </c>
      <c r="O15" s="15"/>
      <c r="P15" s="16"/>
      <c r="Q15" s="17"/>
      <c r="R15" s="17"/>
      <c r="S15" s="48">
        <f t="shared" si="3"/>
        <v>0</v>
      </c>
      <c r="T15" s="15">
        <v>3</v>
      </c>
      <c r="U15" s="16"/>
      <c r="V15" s="16"/>
      <c r="W15" s="63"/>
      <c r="X15" s="48">
        <f t="shared" si="4"/>
        <v>3</v>
      </c>
      <c r="Y15" s="48">
        <f t="shared" si="8"/>
        <v>3</v>
      </c>
      <c r="Z15" s="114">
        <v>45217</v>
      </c>
    </row>
    <row r="16" spans="1:28" x14ac:dyDescent="0.15">
      <c r="A16" s="23"/>
      <c r="B16" s="15"/>
      <c r="C16" s="16"/>
      <c r="D16" s="17"/>
      <c r="E16" s="17"/>
      <c r="F16" s="48">
        <f t="shared" si="0"/>
        <v>0</v>
      </c>
      <c r="G16" s="15"/>
      <c r="H16" s="16"/>
      <c r="I16" s="16"/>
      <c r="J16" s="63"/>
      <c r="K16" s="48">
        <f t="shared" si="1"/>
        <v>0</v>
      </c>
      <c r="L16" s="48">
        <f t="shared" si="2"/>
        <v>0</v>
      </c>
      <c r="M16" s="51"/>
      <c r="N16" s="53" t="s">
        <v>68</v>
      </c>
      <c r="O16" s="15">
        <v>3</v>
      </c>
      <c r="P16" s="16"/>
      <c r="Q16" s="17"/>
      <c r="R16" s="17"/>
      <c r="S16" s="48">
        <f t="shared" si="3"/>
        <v>3</v>
      </c>
      <c r="T16" s="15"/>
      <c r="U16" s="16">
        <v>3</v>
      </c>
      <c r="V16" s="16"/>
      <c r="W16" s="63"/>
      <c r="X16" s="48">
        <f t="shared" si="4"/>
        <v>3</v>
      </c>
      <c r="Y16" s="48">
        <f t="shared" si="8"/>
        <v>6</v>
      </c>
      <c r="Z16" s="114">
        <v>45219</v>
      </c>
    </row>
    <row r="17" spans="1:27" x14ac:dyDescent="0.15">
      <c r="A17" s="23"/>
      <c r="B17" s="15"/>
      <c r="C17" s="16"/>
      <c r="D17" s="17"/>
      <c r="E17" s="17"/>
      <c r="F17" s="48">
        <f t="shared" si="0"/>
        <v>0</v>
      </c>
      <c r="G17" s="15"/>
      <c r="H17" s="16"/>
      <c r="I17" s="16"/>
      <c r="J17" s="63"/>
      <c r="K17" s="48">
        <f t="shared" si="1"/>
        <v>0</v>
      </c>
      <c r="L17" s="48">
        <f t="shared" si="2"/>
        <v>0</v>
      </c>
      <c r="M17" s="51"/>
      <c r="N17" s="53" t="s">
        <v>73</v>
      </c>
      <c r="O17" s="15"/>
      <c r="P17" s="16"/>
      <c r="Q17" s="17"/>
      <c r="R17" s="17"/>
      <c r="S17" s="48">
        <f t="shared" si="3"/>
        <v>0</v>
      </c>
      <c r="T17" s="15">
        <v>10</v>
      </c>
      <c r="U17" s="16">
        <v>8</v>
      </c>
      <c r="V17" s="16"/>
      <c r="W17" s="63"/>
      <c r="X17" s="48">
        <f t="shared" si="4"/>
        <v>18</v>
      </c>
      <c r="Y17" s="48">
        <f t="shared" si="8"/>
        <v>18</v>
      </c>
      <c r="Z17" s="114">
        <v>45232</v>
      </c>
    </row>
    <row r="18" spans="1:27" x14ac:dyDescent="0.15">
      <c r="A18" s="23"/>
      <c r="B18" s="15"/>
      <c r="C18" s="16"/>
      <c r="D18" s="17"/>
      <c r="E18" s="17"/>
      <c r="F18" s="48">
        <f t="shared" si="0"/>
        <v>0</v>
      </c>
      <c r="G18" s="15"/>
      <c r="H18" s="16"/>
      <c r="I18" s="16"/>
      <c r="J18" s="63"/>
      <c r="K18" s="48">
        <f t="shared" si="1"/>
        <v>0</v>
      </c>
      <c r="L18" s="48">
        <f t="shared" si="2"/>
        <v>0</v>
      </c>
      <c r="M18" s="51"/>
      <c r="N18" s="53" t="s">
        <v>80</v>
      </c>
      <c r="O18" s="15"/>
      <c r="P18" s="16"/>
      <c r="Q18" s="17"/>
      <c r="R18" s="17"/>
      <c r="S18" s="48">
        <f t="shared" si="3"/>
        <v>0</v>
      </c>
      <c r="T18" s="15">
        <v>10</v>
      </c>
      <c r="U18" s="16">
        <v>10</v>
      </c>
      <c r="V18" s="16"/>
      <c r="W18" s="63"/>
      <c r="X18" s="48">
        <f t="shared" si="4"/>
        <v>20</v>
      </c>
      <c r="Y18" s="48">
        <f t="shared" si="8"/>
        <v>20</v>
      </c>
      <c r="Z18" s="114">
        <v>45240</v>
      </c>
    </row>
    <row r="19" spans="1:27" x14ac:dyDescent="0.15">
      <c r="A19" s="23"/>
      <c r="B19" s="15"/>
      <c r="C19" s="16"/>
      <c r="D19" s="17"/>
      <c r="E19" s="17"/>
      <c r="F19" s="48">
        <f t="shared" si="0"/>
        <v>0</v>
      </c>
      <c r="G19" s="15"/>
      <c r="H19" s="16"/>
      <c r="I19" s="16"/>
      <c r="J19" s="63"/>
      <c r="K19" s="48">
        <f t="shared" si="1"/>
        <v>0</v>
      </c>
      <c r="L19" s="48">
        <f t="shared" si="2"/>
        <v>0</v>
      </c>
      <c r="M19" s="51"/>
      <c r="N19" s="53" t="s">
        <v>82</v>
      </c>
      <c r="O19" s="15"/>
      <c r="P19" s="16"/>
      <c r="Q19" s="17"/>
      <c r="R19" s="17"/>
      <c r="S19" s="48">
        <f t="shared" si="3"/>
        <v>0</v>
      </c>
      <c r="T19" s="15"/>
      <c r="U19" s="16"/>
      <c r="V19" s="16"/>
      <c r="W19" s="63">
        <v>6</v>
      </c>
      <c r="X19" s="48">
        <f t="shared" si="4"/>
        <v>6</v>
      </c>
      <c r="Y19" s="48">
        <f t="shared" si="8"/>
        <v>6</v>
      </c>
      <c r="Z19" s="114">
        <v>45239</v>
      </c>
    </row>
    <row r="20" spans="1:27" x14ac:dyDescent="0.15">
      <c r="A20" s="23"/>
      <c r="B20" s="18"/>
      <c r="C20" s="19"/>
      <c r="D20" s="20"/>
      <c r="E20" s="20"/>
      <c r="F20" s="48">
        <f t="shared" si="0"/>
        <v>0</v>
      </c>
      <c r="G20" s="18"/>
      <c r="H20" s="19"/>
      <c r="I20" s="19"/>
      <c r="J20" s="64"/>
      <c r="K20" s="48">
        <f t="shared" si="1"/>
        <v>0</v>
      </c>
      <c r="L20" s="48">
        <f t="shared" si="2"/>
        <v>0</v>
      </c>
      <c r="M20" s="51"/>
      <c r="N20" s="53" t="s">
        <v>83</v>
      </c>
      <c r="O20" s="18">
        <v>10</v>
      </c>
      <c r="P20" s="19">
        <v>10</v>
      </c>
      <c r="Q20" s="20"/>
      <c r="R20" s="20"/>
      <c r="S20" s="48">
        <f t="shared" si="3"/>
        <v>20</v>
      </c>
      <c r="T20" s="18"/>
      <c r="U20" s="19"/>
      <c r="V20" s="19">
        <v>10</v>
      </c>
      <c r="W20" s="64">
        <v>10</v>
      </c>
      <c r="X20" s="48">
        <f t="shared" si="4"/>
        <v>20</v>
      </c>
      <c r="Y20" s="48">
        <f t="shared" si="8"/>
        <v>40</v>
      </c>
      <c r="Z20" s="114">
        <v>45245</v>
      </c>
    </row>
    <row r="21" spans="1:27" x14ac:dyDescent="0.15">
      <c r="A21" s="23"/>
      <c r="B21" s="15"/>
      <c r="C21" s="16"/>
      <c r="D21" s="17"/>
      <c r="E21" s="17"/>
      <c r="F21" s="48">
        <f t="shared" si="0"/>
        <v>0</v>
      </c>
      <c r="G21" s="15"/>
      <c r="H21" s="16"/>
      <c r="I21" s="16"/>
      <c r="J21" s="63"/>
      <c r="K21" s="48">
        <f t="shared" si="1"/>
        <v>0</v>
      </c>
      <c r="L21" s="48">
        <f t="shared" si="2"/>
        <v>0</v>
      </c>
      <c r="M21" s="51"/>
      <c r="N21" s="53" t="s">
        <v>99</v>
      </c>
      <c r="O21" s="15"/>
      <c r="P21" s="16"/>
      <c r="Q21" s="17"/>
      <c r="R21" s="17">
        <v>3</v>
      </c>
      <c r="S21" s="48">
        <f t="shared" si="3"/>
        <v>3</v>
      </c>
      <c r="T21" s="15"/>
      <c r="U21" s="16"/>
      <c r="V21" s="16"/>
      <c r="W21" s="63"/>
      <c r="X21" s="48">
        <f t="shared" si="4"/>
        <v>0</v>
      </c>
      <c r="Y21" s="48">
        <f t="shared" si="8"/>
        <v>3</v>
      </c>
      <c r="Z21" s="114">
        <v>45267</v>
      </c>
      <c r="AA21" s="25"/>
    </row>
    <row r="22" spans="1:27" x14ac:dyDescent="0.15">
      <c r="A22" s="54"/>
      <c r="B22" s="15"/>
      <c r="C22" s="16"/>
      <c r="D22" s="17"/>
      <c r="E22" s="17"/>
      <c r="F22" s="48">
        <f t="shared" si="0"/>
        <v>0</v>
      </c>
      <c r="G22" s="15"/>
      <c r="H22" s="16"/>
      <c r="I22" s="16"/>
      <c r="J22" s="63"/>
      <c r="K22" s="48">
        <f t="shared" si="1"/>
        <v>0</v>
      </c>
      <c r="L22" s="48">
        <f t="shared" si="2"/>
        <v>0</v>
      </c>
      <c r="M22" s="52"/>
      <c r="N22" s="53" t="s">
        <v>106</v>
      </c>
      <c r="O22" s="15"/>
      <c r="P22" s="16">
        <v>6</v>
      </c>
      <c r="Q22" s="17"/>
      <c r="R22" s="17"/>
      <c r="S22" s="48">
        <f t="shared" ref="S22:S23" si="12">SUM(O22:R22)</f>
        <v>6</v>
      </c>
      <c r="T22" s="15"/>
      <c r="U22" s="16"/>
      <c r="V22" s="16"/>
      <c r="W22" s="63"/>
      <c r="X22" s="48">
        <f t="shared" ref="X22:X23" si="13">SUM(T22:W22)</f>
        <v>0</v>
      </c>
      <c r="Y22" s="48">
        <f t="shared" ref="Y22:Y23" si="14">S22+X22</f>
        <v>6</v>
      </c>
      <c r="Z22" s="114">
        <v>45271</v>
      </c>
      <c r="AA22" s="25"/>
    </row>
    <row r="23" spans="1:27" x14ac:dyDescent="0.15">
      <c r="A23" s="54"/>
      <c r="B23" s="15"/>
      <c r="C23" s="16"/>
      <c r="D23" s="17"/>
      <c r="E23" s="17"/>
      <c r="F23" s="48">
        <f t="shared" si="0"/>
        <v>0</v>
      </c>
      <c r="G23" s="15"/>
      <c r="H23" s="16"/>
      <c r="I23" s="16"/>
      <c r="J23" s="63"/>
      <c r="K23" s="48">
        <f t="shared" si="1"/>
        <v>0</v>
      </c>
      <c r="L23" s="48">
        <f t="shared" si="2"/>
        <v>0</v>
      </c>
      <c r="M23" s="52"/>
      <c r="N23" s="53" t="s">
        <v>107</v>
      </c>
      <c r="O23" s="15">
        <v>5</v>
      </c>
      <c r="P23" s="16"/>
      <c r="Q23" s="17"/>
      <c r="R23" s="17">
        <v>3</v>
      </c>
      <c r="S23" s="48">
        <f t="shared" si="12"/>
        <v>8</v>
      </c>
      <c r="T23" s="15"/>
      <c r="U23" s="16"/>
      <c r="V23" s="16"/>
      <c r="W23" s="63"/>
      <c r="X23" s="48">
        <f t="shared" si="13"/>
        <v>0</v>
      </c>
      <c r="Y23" s="48">
        <f t="shared" si="14"/>
        <v>8</v>
      </c>
      <c r="Z23" s="114">
        <v>45271</v>
      </c>
      <c r="AA23" s="25"/>
    </row>
    <row r="24" spans="1:27" x14ac:dyDescent="0.15">
      <c r="A24" s="54"/>
      <c r="B24" s="15"/>
      <c r="C24" s="16"/>
      <c r="D24" s="17"/>
      <c r="E24" s="17"/>
      <c r="F24" s="48">
        <f t="shared" si="0"/>
        <v>0</v>
      </c>
      <c r="G24" s="15"/>
      <c r="H24" s="16"/>
      <c r="I24" s="16"/>
      <c r="J24" s="63"/>
      <c r="K24" s="48">
        <f t="shared" si="1"/>
        <v>0</v>
      </c>
      <c r="L24" s="48">
        <f t="shared" si="2"/>
        <v>0</v>
      </c>
      <c r="M24" s="52"/>
      <c r="N24" s="53" t="s">
        <v>110</v>
      </c>
      <c r="O24" s="15">
        <v>5</v>
      </c>
      <c r="P24" s="16">
        <v>15</v>
      </c>
      <c r="Q24" s="17">
        <v>5</v>
      </c>
      <c r="R24" s="17">
        <v>5</v>
      </c>
      <c r="S24" s="48">
        <f t="shared" si="3"/>
        <v>30</v>
      </c>
      <c r="T24" s="15"/>
      <c r="U24" s="16">
        <v>8</v>
      </c>
      <c r="V24" s="16">
        <v>5</v>
      </c>
      <c r="W24" s="63"/>
      <c r="X24" s="48">
        <f t="shared" si="4"/>
        <v>13</v>
      </c>
      <c r="Y24" s="48">
        <f t="shared" si="8"/>
        <v>43</v>
      </c>
      <c r="Z24" s="114">
        <v>45281</v>
      </c>
      <c r="AA24" s="25"/>
    </row>
    <row r="25" spans="1:27" x14ac:dyDescent="0.15">
      <c r="A25" s="24"/>
      <c r="B25" s="15"/>
      <c r="C25" s="16"/>
      <c r="D25" s="17"/>
      <c r="E25" s="17"/>
      <c r="F25" s="48">
        <f t="shared" si="0"/>
        <v>0</v>
      </c>
      <c r="G25" s="15"/>
      <c r="H25" s="16"/>
      <c r="I25" s="16"/>
      <c r="J25" s="63"/>
      <c r="K25" s="48">
        <f t="shared" si="1"/>
        <v>0</v>
      </c>
      <c r="L25" s="48">
        <f t="shared" si="2"/>
        <v>0</v>
      </c>
      <c r="M25" s="51"/>
      <c r="N25" s="23"/>
      <c r="O25" s="15"/>
      <c r="P25" s="16"/>
      <c r="Q25" s="17"/>
      <c r="R25" s="17"/>
      <c r="S25" s="48">
        <f t="shared" ref="S25:S29" si="15">SUM(O25:R25)</f>
        <v>0</v>
      </c>
      <c r="T25" s="15"/>
      <c r="U25" s="16"/>
      <c r="V25" s="16"/>
      <c r="W25" s="63"/>
      <c r="X25" s="48">
        <f t="shared" ref="X25:X29" si="16">SUM(T25:W25)</f>
        <v>0</v>
      </c>
      <c r="Y25" s="48">
        <f t="shared" ref="Y25:Y29" si="17">S25+X25</f>
        <v>0</v>
      </c>
      <c r="Z25" s="76"/>
      <c r="AA25" s="25"/>
    </row>
    <row r="26" spans="1:27" x14ac:dyDescent="0.15">
      <c r="A26" s="54"/>
      <c r="B26" s="15"/>
      <c r="C26" s="16"/>
      <c r="D26" s="17"/>
      <c r="E26" s="17"/>
      <c r="F26" s="48">
        <f t="shared" si="0"/>
        <v>0</v>
      </c>
      <c r="G26" s="15"/>
      <c r="H26" s="16"/>
      <c r="I26" s="16"/>
      <c r="J26" s="63"/>
      <c r="K26" s="48">
        <f t="shared" si="1"/>
        <v>0</v>
      </c>
      <c r="L26" s="48">
        <f t="shared" si="2"/>
        <v>0</v>
      </c>
      <c r="M26" s="52"/>
      <c r="N26" s="23"/>
      <c r="O26" s="15"/>
      <c r="P26" s="16"/>
      <c r="Q26" s="17"/>
      <c r="R26" s="17"/>
      <c r="S26" s="48">
        <f t="shared" si="15"/>
        <v>0</v>
      </c>
      <c r="T26" s="15"/>
      <c r="U26" s="16"/>
      <c r="V26" s="16"/>
      <c r="W26" s="63"/>
      <c r="X26" s="48">
        <f t="shared" si="16"/>
        <v>0</v>
      </c>
      <c r="Y26" s="48">
        <f t="shared" si="17"/>
        <v>0</v>
      </c>
      <c r="Z26" s="76"/>
    </row>
    <row r="27" spans="1:27" x14ac:dyDescent="0.15">
      <c r="A27" s="23"/>
      <c r="B27" s="15"/>
      <c r="C27" s="16"/>
      <c r="D27" s="17"/>
      <c r="E27" s="17"/>
      <c r="F27" s="48">
        <f t="shared" si="0"/>
        <v>0</v>
      </c>
      <c r="G27" s="15"/>
      <c r="H27" s="16"/>
      <c r="I27" s="16"/>
      <c r="J27" s="63"/>
      <c r="K27" s="48">
        <f t="shared" si="1"/>
        <v>0</v>
      </c>
      <c r="L27" s="48">
        <f t="shared" si="2"/>
        <v>0</v>
      </c>
      <c r="M27" s="51"/>
      <c r="N27" s="23"/>
      <c r="O27" s="15"/>
      <c r="P27" s="16"/>
      <c r="Q27" s="17"/>
      <c r="R27" s="17"/>
      <c r="S27" s="48">
        <f t="shared" si="15"/>
        <v>0</v>
      </c>
      <c r="T27" s="15"/>
      <c r="U27" s="16"/>
      <c r="V27" s="16"/>
      <c r="W27" s="63"/>
      <c r="X27" s="48">
        <f t="shared" si="16"/>
        <v>0</v>
      </c>
      <c r="Y27" s="48">
        <f t="shared" si="17"/>
        <v>0</v>
      </c>
      <c r="Z27" s="76"/>
      <c r="AA27" s="113"/>
    </row>
    <row r="28" spans="1:27" x14ac:dyDescent="0.15">
      <c r="A28" s="23"/>
      <c r="B28" s="15"/>
      <c r="C28" s="16"/>
      <c r="D28" s="17"/>
      <c r="E28" s="17"/>
      <c r="F28" s="48">
        <f t="shared" si="0"/>
        <v>0</v>
      </c>
      <c r="G28" s="15"/>
      <c r="H28" s="16"/>
      <c r="I28" s="16"/>
      <c r="J28" s="63"/>
      <c r="K28" s="48">
        <f t="shared" si="1"/>
        <v>0</v>
      </c>
      <c r="L28" s="48">
        <f t="shared" si="2"/>
        <v>0</v>
      </c>
      <c r="M28" s="51"/>
      <c r="N28" s="23"/>
      <c r="O28" s="15"/>
      <c r="P28" s="16"/>
      <c r="Q28" s="17"/>
      <c r="R28" s="17"/>
      <c r="S28" s="48">
        <f t="shared" si="15"/>
        <v>0</v>
      </c>
      <c r="T28" s="15"/>
      <c r="U28" s="16"/>
      <c r="V28" s="16"/>
      <c r="W28" s="63"/>
      <c r="X28" s="48">
        <f t="shared" si="16"/>
        <v>0</v>
      </c>
      <c r="Y28" s="48">
        <f t="shared" si="17"/>
        <v>0</v>
      </c>
      <c r="Z28" s="76"/>
    </row>
    <row r="29" spans="1:27" x14ac:dyDescent="0.15">
      <c r="A29" s="54"/>
      <c r="B29" s="15"/>
      <c r="C29" s="16"/>
      <c r="D29" s="17"/>
      <c r="E29" s="17"/>
      <c r="F29" s="48">
        <f t="shared" si="0"/>
        <v>0</v>
      </c>
      <c r="G29" s="15"/>
      <c r="H29" s="16"/>
      <c r="I29" s="16"/>
      <c r="J29" s="63"/>
      <c r="K29" s="48">
        <f t="shared" si="1"/>
        <v>0</v>
      </c>
      <c r="L29" s="48">
        <f t="shared" si="2"/>
        <v>0</v>
      </c>
      <c r="M29" s="52"/>
      <c r="N29" s="23"/>
      <c r="O29" s="15"/>
      <c r="P29" s="16"/>
      <c r="Q29" s="17"/>
      <c r="R29" s="17"/>
      <c r="S29" s="48">
        <f t="shared" si="15"/>
        <v>0</v>
      </c>
      <c r="T29" s="15"/>
      <c r="U29" s="16"/>
      <c r="V29" s="16"/>
      <c r="W29" s="63"/>
      <c r="X29" s="48">
        <f t="shared" si="16"/>
        <v>0</v>
      </c>
      <c r="Y29" s="48">
        <f t="shared" si="17"/>
        <v>0</v>
      </c>
      <c r="Z29" s="76"/>
    </row>
    <row r="30" spans="1:27" x14ac:dyDescent="0.15">
      <c r="A30" s="23"/>
      <c r="B30" s="15"/>
      <c r="C30" s="16"/>
      <c r="D30" s="17"/>
      <c r="E30" s="17"/>
      <c r="F30" s="48">
        <f t="shared" si="0"/>
        <v>0</v>
      </c>
      <c r="G30" s="15"/>
      <c r="H30" s="16"/>
      <c r="I30" s="16"/>
      <c r="J30" s="63"/>
      <c r="K30" s="48">
        <f t="shared" si="1"/>
        <v>0</v>
      </c>
      <c r="L30" s="48">
        <f t="shared" si="2"/>
        <v>0</v>
      </c>
      <c r="M30" s="51"/>
      <c r="N30" s="23"/>
      <c r="O30" s="15"/>
      <c r="P30" s="16"/>
      <c r="Q30" s="17"/>
      <c r="R30" s="17"/>
      <c r="S30" s="48">
        <f t="shared" si="3"/>
        <v>0</v>
      </c>
      <c r="T30" s="15"/>
      <c r="U30" s="16"/>
      <c r="V30" s="16"/>
      <c r="W30" s="63"/>
      <c r="X30" s="48">
        <f t="shared" si="4"/>
        <v>0</v>
      </c>
      <c r="Y30" s="48">
        <f t="shared" si="8"/>
        <v>0</v>
      </c>
      <c r="Z30" s="76"/>
    </row>
    <row r="31" spans="1:27" x14ac:dyDescent="0.15">
      <c r="A31" s="23"/>
      <c r="B31" s="15"/>
      <c r="C31" s="16"/>
      <c r="D31" s="17"/>
      <c r="E31" s="17"/>
      <c r="F31" s="48">
        <f t="shared" si="0"/>
        <v>0</v>
      </c>
      <c r="G31" s="15"/>
      <c r="H31" s="16"/>
      <c r="I31" s="16"/>
      <c r="J31" s="63"/>
      <c r="K31" s="48">
        <f t="shared" si="1"/>
        <v>0</v>
      </c>
      <c r="L31" s="48">
        <f t="shared" si="2"/>
        <v>0</v>
      </c>
      <c r="M31" s="51"/>
      <c r="N31" s="23"/>
      <c r="O31" s="15"/>
      <c r="P31" s="16"/>
      <c r="Q31" s="17"/>
      <c r="R31" s="17"/>
      <c r="S31" s="48">
        <f t="shared" si="3"/>
        <v>0</v>
      </c>
      <c r="T31" s="15"/>
      <c r="U31" s="16"/>
      <c r="V31" s="16"/>
      <c r="W31" s="63"/>
      <c r="X31" s="48">
        <f t="shared" si="4"/>
        <v>0</v>
      </c>
      <c r="Y31" s="48">
        <f t="shared" si="8"/>
        <v>0</v>
      </c>
      <c r="Z31" s="76"/>
    </row>
    <row r="32" spans="1:27" x14ac:dyDescent="0.15">
      <c r="A32" s="23"/>
      <c r="B32" s="18"/>
      <c r="C32" s="19"/>
      <c r="D32" s="20"/>
      <c r="E32" s="20"/>
      <c r="F32" s="48">
        <f t="shared" si="0"/>
        <v>0</v>
      </c>
      <c r="G32" s="18"/>
      <c r="H32" s="19"/>
      <c r="I32" s="19"/>
      <c r="J32" s="64"/>
      <c r="K32" s="48">
        <f t="shared" si="1"/>
        <v>0</v>
      </c>
      <c r="L32" s="48">
        <f t="shared" si="2"/>
        <v>0</v>
      </c>
      <c r="M32" s="51"/>
      <c r="N32" s="23"/>
      <c r="O32" s="18"/>
      <c r="P32" s="19"/>
      <c r="Q32" s="20"/>
      <c r="R32" s="20"/>
      <c r="S32" s="48">
        <f t="shared" si="3"/>
        <v>0</v>
      </c>
      <c r="T32" s="18"/>
      <c r="U32" s="19"/>
      <c r="V32" s="19"/>
      <c r="W32" s="64"/>
      <c r="X32" s="48">
        <f t="shared" si="4"/>
        <v>0</v>
      </c>
      <c r="Y32" s="48">
        <f t="shared" si="8"/>
        <v>0</v>
      </c>
    </row>
    <row r="33" spans="1:26" x14ac:dyDescent="0.15">
      <c r="A33" s="23"/>
      <c r="B33" s="16"/>
      <c r="C33" s="16"/>
      <c r="D33" s="17"/>
      <c r="E33" s="17"/>
      <c r="F33" s="48">
        <f t="shared" si="0"/>
        <v>0</v>
      </c>
      <c r="G33" s="16"/>
      <c r="H33" s="16"/>
      <c r="I33" s="16"/>
      <c r="J33" s="63"/>
      <c r="K33" s="48">
        <f t="shared" si="1"/>
        <v>0</v>
      </c>
      <c r="L33" s="48">
        <f t="shared" si="2"/>
        <v>0</v>
      </c>
      <c r="M33" s="51"/>
      <c r="N33" s="23"/>
      <c r="O33" s="16"/>
      <c r="P33" s="16"/>
      <c r="Q33" s="17"/>
      <c r="R33" s="17"/>
      <c r="S33" s="48">
        <f t="shared" si="3"/>
        <v>0</v>
      </c>
      <c r="T33" s="16"/>
      <c r="U33" s="16"/>
      <c r="V33" s="16"/>
      <c r="W33" s="63"/>
      <c r="X33" s="48">
        <f t="shared" si="4"/>
        <v>0</v>
      </c>
      <c r="Y33" s="48">
        <f t="shared" si="8"/>
        <v>0</v>
      </c>
    </row>
    <row r="34" spans="1:26" x14ac:dyDescent="0.15">
      <c r="A34" s="23"/>
      <c r="B34" s="15"/>
      <c r="C34" s="25"/>
      <c r="D34" s="17"/>
      <c r="E34" s="17"/>
      <c r="F34" s="48">
        <f t="shared" si="0"/>
        <v>0</v>
      </c>
      <c r="G34" s="15"/>
      <c r="H34" s="25"/>
      <c r="I34" s="16"/>
      <c r="J34" s="63"/>
      <c r="K34" s="48">
        <f t="shared" si="1"/>
        <v>0</v>
      </c>
      <c r="L34" s="48">
        <f t="shared" si="2"/>
        <v>0</v>
      </c>
      <c r="M34" s="52"/>
      <c r="N34" s="23"/>
      <c r="O34" s="15"/>
      <c r="P34" s="25"/>
      <c r="Q34" s="17"/>
      <c r="R34" s="17"/>
      <c r="S34" s="48">
        <f t="shared" si="3"/>
        <v>0</v>
      </c>
      <c r="T34" s="15"/>
      <c r="U34" s="25"/>
      <c r="V34" s="16"/>
      <c r="W34" s="63"/>
      <c r="X34" s="48">
        <f t="shared" si="4"/>
        <v>0</v>
      </c>
      <c r="Y34" s="48">
        <f t="shared" si="8"/>
        <v>0</v>
      </c>
    </row>
    <row r="35" spans="1:26" x14ac:dyDescent="0.15">
      <c r="A35" s="23"/>
      <c r="B35" s="15"/>
      <c r="C35" s="16"/>
      <c r="D35" s="16"/>
      <c r="E35" s="63"/>
      <c r="F35" s="48">
        <f t="shared" si="0"/>
        <v>0</v>
      </c>
      <c r="G35" s="15"/>
      <c r="H35" s="16"/>
      <c r="I35" s="16"/>
      <c r="J35" s="63"/>
      <c r="K35" s="48">
        <f t="shared" si="1"/>
        <v>0</v>
      </c>
      <c r="L35" s="48">
        <f t="shared" si="2"/>
        <v>0</v>
      </c>
      <c r="M35" s="51"/>
      <c r="N35" s="53"/>
      <c r="O35" s="18"/>
      <c r="P35" s="19"/>
      <c r="Q35" s="19"/>
      <c r="R35" s="64"/>
      <c r="S35" s="55">
        <f t="shared" ref="S35" si="18">SUM(O35:R35)</f>
        <v>0</v>
      </c>
      <c r="T35" s="18"/>
      <c r="U35" s="19"/>
      <c r="V35" s="19"/>
      <c r="W35" s="64"/>
      <c r="X35" s="55">
        <f t="shared" ref="X35" si="19">SUM(T35:W35)</f>
        <v>0</v>
      </c>
      <c r="Y35" s="55">
        <f t="shared" ref="Y35" si="20">S35+X35</f>
        <v>0</v>
      </c>
      <c r="Z35" s="76"/>
    </row>
    <row r="36" spans="1:26" ht="14.25" thickBot="1" x14ac:dyDescent="0.2">
      <c r="A36" s="53"/>
      <c r="B36" s="18"/>
      <c r="C36" s="19"/>
      <c r="D36" s="19"/>
      <c r="E36" s="64"/>
      <c r="F36" s="55">
        <f t="shared" si="0"/>
        <v>0</v>
      </c>
      <c r="G36" s="18"/>
      <c r="H36" s="19"/>
      <c r="I36" s="19"/>
      <c r="J36" s="64"/>
      <c r="K36" s="55">
        <f t="shared" si="1"/>
        <v>0</v>
      </c>
      <c r="L36" s="55">
        <f t="shared" si="2"/>
        <v>0</v>
      </c>
      <c r="M36" s="51"/>
      <c r="N36" s="53" t="s">
        <v>63</v>
      </c>
      <c r="O36" s="18"/>
      <c r="P36" s="19"/>
      <c r="Q36" s="19"/>
      <c r="R36" s="64"/>
      <c r="S36" s="55">
        <f t="shared" si="3"/>
        <v>0</v>
      </c>
      <c r="T36" s="18"/>
      <c r="U36" s="19"/>
      <c r="V36" s="19"/>
      <c r="W36" s="64"/>
      <c r="X36" s="55">
        <f t="shared" si="4"/>
        <v>0</v>
      </c>
      <c r="Y36" s="55">
        <f t="shared" si="8"/>
        <v>0</v>
      </c>
      <c r="Z36" s="76" t="s">
        <v>28</v>
      </c>
    </row>
    <row r="37" spans="1:26" ht="14.25" thickBot="1" x14ac:dyDescent="0.2">
      <c r="A37" s="27" t="s">
        <v>12</v>
      </c>
      <c r="B37" s="57">
        <f>SUM(B11:B36)</f>
        <v>0</v>
      </c>
      <c r="C37" s="50">
        <f t="shared" ref="C37:I37" si="21">SUM(C11:C36)</f>
        <v>0</v>
      </c>
      <c r="D37" s="50">
        <f t="shared" si="21"/>
        <v>0</v>
      </c>
      <c r="E37" s="50">
        <f>SUM(E11:E36)</f>
        <v>0</v>
      </c>
      <c r="F37" s="59">
        <f t="shared" si="0"/>
        <v>0</v>
      </c>
      <c r="G37" s="57">
        <f t="shared" si="21"/>
        <v>0</v>
      </c>
      <c r="H37" s="50">
        <f t="shared" si="21"/>
        <v>0</v>
      </c>
      <c r="I37" s="50">
        <f t="shared" si="21"/>
        <v>0</v>
      </c>
      <c r="J37" s="58">
        <f>SUM(J11:J36)</f>
        <v>0</v>
      </c>
      <c r="K37" s="59">
        <f t="shared" si="1"/>
        <v>0</v>
      </c>
      <c r="L37" s="59">
        <f t="shared" ref="L37" si="22">SUM(L11:L36)</f>
        <v>0</v>
      </c>
      <c r="N37" s="27" t="s">
        <v>12</v>
      </c>
      <c r="O37" s="57">
        <f>SUM(O11:O36)</f>
        <v>43</v>
      </c>
      <c r="P37" s="50">
        <f t="shared" ref="P37:Q37" si="23">SUM(P11:P36)</f>
        <v>61</v>
      </c>
      <c r="Q37" s="50">
        <f t="shared" si="23"/>
        <v>25</v>
      </c>
      <c r="R37" s="50">
        <f>SUM(R11:R36)</f>
        <v>21</v>
      </c>
      <c r="S37" s="59">
        <f t="shared" si="3"/>
        <v>150</v>
      </c>
      <c r="T37" s="57">
        <f t="shared" ref="T37:V37" si="24">SUM(T11:T36)</f>
        <v>63</v>
      </c>
      <c r="U37" s="50">
        <f t="shared" si="24"/>
        <v>53</v>
      </c>
      <c r="V37" s="50">
        <f t="shared" si="24"/>
        <v>35</v>
      </c>
      <c r="W37" s="58">
        <f>SUM(W11:W36)</f>
        <v>26</v>
      </c>
      <c r="X37" s="59">
        <f t="shared" si="4"/>
        <v>177</v>
      </c>
      <c r="Y37" s="59">
        <f t="shared" si="8"/>
        <v>327</v>
      </c>
    </row>
    <row r="38" spans="1:26" ht="14.25" thickBot="1" x14ac:dyDescent="0.2">
      <c r="A38" s="29" t="s">
        <v>13</v>
      </c>
      <c r="B38" s="32">
        <f>B10-B37</f>
        <v>0</v>
      </c>
      <c r="C38" s="44">
        <f t="shared" ref="C38:I38" si="25">C10-C37</f>
        <v>0</v>
      </c>
      <c r="D38" s="44">
        <f t="shared" si="25"/>
        <v>0</v>
      </c>
      <c r="E38" s="44">
        <f>E10-E37</f>
        <v>0</v>
      </c>
      <c r="F38" s="28">
        <f t="shared" si="0"/>
        <v>0</v>
      </c>
      <c r="G38" s="32">
        <f t="shared" si="25"/>
        <v>0</v>
      </c>
      <c r="H38" s="44">
        <f t="shared" si="25"/>
        <v>0</v>
      </c>
      <c r="I38" s="44">
        <f t="shared" si="25"/>
        <v>0</v>
      </c>
      <c r="J38" s="43">
        <f>J10-J37</f>
        <v>0</v>
      </c>
      <c r="K38" s="28">
        <f t="shared" si="1"/>
        <v>0</v>
      </c>
      <c r="L38" s="28">
        <f t="shared" ref="L38" si="26">L10-L37</f>
        <v>0</v>
      </c>
      <c r="N38" s="29" t="s">
        <v>13</v>
      </c>
      <c r="O38" s="32">
        <f>O10-O37</f>
        <v>107</v>
      </c>
      <c r="P38" s="44">
        <f t="shared" ref="P38:Q38" si="27">P10-P37</f>
        <v>139</v>
      </c>
      <c r="Q38" s="44">
        <f t="shared" si="27"/>
        <v>75</v>
      </c>
      <c r="R38" s="44">
        <f>R10-R37</f>
        <v>29</v>
      </c>
      <c r="S38" s="28">
        <f t="shared" si="3"/>
        <v>350</v>
      </c>
      <c r="T38" s="32">
        <f t="shared" ref="T38:V38" si="28">T10-T37</f>
        <v>57</v>
      </c>
      <c r="U38" s="44">
        <f t="shared" si="28"/>
        <v>87</v>
      </c>
      <c r="V38" s="44">
        <f t="shared" si="28"/>
        <v>45</v>
      </c>
      <c r="W38" s="43">
        <f>W10-W37</f>
        <v>4</v>
      </c>
      <c r="X38" s="28">
        <f t="shared" si="4"/>
        <v>193</v>
      </c>
      <c r="Y38" s="28">
        <f t="shared" si="8"/>
        <v>543</v>
      </c>
    </row>
    <row r="39" spans="1:26" x14ac:dyDescent="0.15">
      <c r="O39" s="71">
        <f>O38/$S$38*100</f>
        <v>30.571428571428573</v>
      </c>
      <c r="P39" s="71">
        <f t="shared" ref="P39:S39" si="29">P38/$S$38*100</f>
        <v>39.714285714285715</v>
      </c>
      <c r="Q39" s="71">
        <f t="shared" si="29"/>
        <v>21.428571428571427</v>
      </c>
      <c r="R39" s="71">
        <f t="shared" si="29"/>
        <v>8.2857142857142847</v>
      </c>
      <c r="S39" s="71">
        <f t="shared" si="29"/>
        <v>100</v>
      </c>
      <c r="T39" s="71">
        <f>T38/$X$38*100</f>
        <v>29.533678756476682</v>
      </c>
      <c r="U39" s="71">
        <f t="shared" ref="U39:X39" si="30">U38/$X$38*100</f>
        <v>45.077720207253883</v>
      </c>
      <c r="V39" s="71">
        <f t="shared" si="30"/>
        <v>23.316062176165804</v>
      </c>
      <c r="W39" s="71">
        <f t="shared" si="30"/>
        <v>2.0725388601036272</v>
      </c>
      <c r="X39" s="71">
        <f t="shared" si="30"/>
        <v>100</v>
      </c>
    </row>
    <row r="41" spans="1:26" ht="19.5" thickBot="1" x14ac:dyDescent="0.25">
      <c r="A41" s="288" t="s">
        <v>44</v>
      </c>
      <c r="B41" s="288"/>
      <c r="C41" s="288"/>
      <c r="D41" s="288"/>
      <c r="E41" s="288"/>
      <c r="F41" s="288"/>
      <c r="G41" s="33"/>
      <c r="H41" s="33" t="s">
        <v>14</v>
      </c>
      <c r="I41" s="33"/>
      <c r="J41" s="33"/>
      <c r="K41" s="33"/>
      <c r="L41" s="1"/>
      <c r="N41" s="70" t="s">
        <v>70</v>
      </c>
      <c r="O41" s="70"/>
      <c r="P41" s="70"/>
      <c r="Q41" s="70"/>
      <c r="R41" s="70"/>
      <c r="S41" s="70"/>
      <c r="T41" s="33"/>
      <c r="U41" s="33" t="s">
        <v>17</v>
      </c>
      <c r="V41" s="33"/>
      <c r="W41" s="33"/>
      <c r="X41" s="33"/>
      <c r="Y41" s="1"/>
    </row>
    <row r="42" spans="1:26" ht="14.25" thickBot="1" x14ac:dyDescent="0.2">
      <c r="A42" s="2" t="s">
        <v>0</v>
      </c>
      <c r="B42" s="294" t="s">
        <v>19</v>
      </c>
      <c r="C42" s="295"/>
      <c r="D42" s="295"/>
      <c r="E42" s="296"/>
      <c r="F42" s="38"/>
      <c r="G42" s="289" t="s">
        <v>18</v>
      </c>
      <c r="H42" s="290"/>
      <c r="I42" s="290"/>
      <c r="J42" s="291"/>
      <c r="K42" s="31"/>
      <c r="L42" s="292" t="s">
        <v>1</v>
      </c>
      <c r="N42" s="2" t="s">
        <v>0</v>
      </c>
      <c r="O42" s="294" t="s">
        <v>19</v>
      </c>
      <c r="P42" s="295"/>
      <c r="Q42" s="295"/>
      <c r="R42" s="296"/>
      <c r="S42" s="38"/>
      <c r="T42" s="289" t="s">
        <v>18</v>
      </c>
      <c r="U42" s="290"/>
      <c r="V42" s="290"/>
      <c r="W42" s="291"/>
      <c r="X42" s="31"/>
      <c r="Y42" s="292" t="s">
        <v>1</v>
      </c>
    </row>
    <row r="43" spans="1:26" ht="14.25" thickBot="1" x14ac:dyDescent="0.2">
      <c r="A43" s="2" t="s">
        <v>2</v>
      </c>
      <c r="B43" s="3" t="s">
        <v>3</v>
      </c>
      <c r="C43" s="4" t="s">
        <v>4</v>
      </c>
      <c r="D43" s="4" t="s">
        <v>5</v>
      </c>
      <c r="E43" s="60" t="s">
        <v>20</v>
      </c>
      <c r="F43" s="2" t="s">
        <v>6</v>
      </c>
      <c r="G43" s="30" t="s">
        <v>3</v>
      </c>
      <c r="H43" s="6" t="s">
        <v>4</v>
      </c>
      <c r="I43" s="6" t="s">
        <v>5</v>
      </c>
      <c r="J43" s="66" t="s">
        <v>20</v>
      </c>
      <c r="K43" s="2" t="s">
        <v>6</v>
      </c>
      <c r="L43" s="293"/>
      <c r="N43" s="2" t="s">
        <v>2</v>
      </c>
      <c r="O43" s="3" t="s">
        <v>3</v>
      </c>
      <c r="P43" s="4" t="s">
        <v>4</v>
      </c>
      <c r="Q43" s="4" t="s">
        <v>5</v>
      </c>
      <c r="R43" s="60" t="s">
        <v>20</v>
      </c>
      <c r="S43" s="2" t="s">
        <v>6</v>
      </c>
      <c r="T43" s="30" t="s">
        <v>3</v>
      </c>
      <c r="U43" s="6" t="s">
        <v>4</v>
      </c>
      <c r="V43" s="6" t="s">
        <v>5</v>
      </c>
      <c r="W43" s="66" t="s">
        <v>20</v>
      </c>
      <c r="X43" s="2" t="s">
        <v>6</v>
      </c>
      <c r="Y43" s="293"/>
    </row>
    <row r="44" spans="1:26" x14ac:dyDescent="0.15">
      <c r="A44" s="40" t="s">
        <v>13</v>
      </c>
      <c r="B44" s="41">
        <f>B38</f>
        <v>0</v>
      </c>
      <c r="C44" s="42">
        <f t="shared" ref="C44:L44" si="31">C38</f>
        <v>0</v>
      </c>
      <c r="D44" s="42">
        <f t="shared" si="31"/>
        <v>0</v>
      </c>
      <c r="E44" s="67">
        <f t="shared" si="31"/>
        <v>0</v>
      </c>
      <c r="F44" s="34">
        <f t="shared" si="31"/>
        <v>0</v>
      </c>
      <c r="G44" s="41">
        <f t="shared" si="31"/>
        <v>0</v>
      </c>
      <c r="H44" s="42">
        <f t="shared" si="31"/>
        <v>0</v>
      </c>
      <c r="I44" s="42">
        <f t="shared" si="31"/>
        <v>0</v>
      </c>
      <c r="J44" s="67">
        <f t="shared" si="31"/>
        <v>0</v>
      </c>
      <c r="K44" s="34">
        <f t="shared" si="31"/>
        <v>0</v>
      </c>
      <c r="L44" s="37">
        <f t="shared" si="31"/>
        <v>0</v>
      </c>
      <c r="M44" s="25"/>
      <c r="N44" s="40" t="s">
        <v>13</v>
      </c>
      <c r="O44" s="41">
        <f>O38</f>
        <v>107</v>
      </c>
      <c r="P44" s="42">
        <f t="shared" ref="P44:Y44" si="32">P38</f>
        <v>139</v>
      </c>
      <c r="Q44" s="42">
        <f t="shared" si="32"/>
        <v>75</v>
      </c>
      <c r="R44" s="67">
        <f t="shared" si="32"/>
        <v>29</v>
      </c>
      <c r="S44" s="34">
        <f t="shared" si="32"/>
        <v>350</v>
      </c>
      <c r="T44" s="41">
        <f t="shared" si="32"/>
        <v>57</v>
      </c>
      <c r="U44" s="42">
        <f t="shared" si="32"/>
        <v>87</v>
      </c>
      <c r="V44" s="42">
        <f t="shared" si="32"/>
        <v>45</v>
      </c>
      <c r="W44" s="67">
        <f t="shared" si="32"/>
        <v>4</v>
      </c>
      <c r="X44" s="34">
        <f t="shared" si="32"/>
        <v>193</v>
      </c>
      <c r="Y44" s="37">
        <f t="shared" si="32"/>
        <v>543</v>
      </c>
    </row>
    <row r="45" spans="1:26" x14ac:dyDescent="0.15">
      <c r="A45" s="9" t="s">
        <v>7</v>
      </c>
      <c r="B45" s="10"/>
      <c r="C45" s="11"/>
      <c r="D45" s="11"/>
      <c r="E45" s="62"/>
      <c r="F45" s="47">
        <f t="shared" ref="F45:F78" si="33">SUM(B45:E45)</f>
        <v>0</v>
      </c>
      <c r="G45" s="10"/>
      <c r="H45" s="11"/>
      <c r="I45" s="11"/>
      <c r="J45" s="62"/>
      <c r="K45" s="47">
        <f t="shared" ref="K45:K78" si="34">SUM(G45:J45)</f>
        <v>0</v>
      </c>
      <c r="L45" s="48">
        <f t="shared" ref="L45:L49" si="35">F45+K45</f>
        <v>0</v>
      </c>
      <c r="M45" s="52"/>
      <c r="N45" s="9" t="s">
        <v>194</v>
      </c>
      <c r="O45" s="10"/>
      <c r="P45" s="11"/>
      <c r="Q45" s="11"/>
      <c r="R45" s="62"/>
      <c r="S45" s="47">
        <f t="shared" ref="S45:S46" si="36">SUM(O45:R45)</f>
        <v>0</v>
      </c>
      <c r="T45" s="10">
        <v>5</v>
      </c>
      <c r="U45" s="11"/>
      <c r="V45" s="11"/>
      <c r="W45" s="62"/>
      <c r="X45" s="47">
        <f t="shared" ref="X45:X46" si="37">SUM(T45:W45)</f>
        <v>5</v>
      </c>
      <c r="Y45" s="48">
        <f>S45+X45</f>
        <v>5</v>
      </c>
      <c r="Z45" s="115">
        <v>45377</v>
      </c>
    </row>
    <row r="46" spans="1:26" x14ac:dyDescent="0.15">
      <c r="A46" s="9" t="s">
        <v>8</v>
      </c>
      <c r="B46" s="10"/>
      <c r="C46" s="11"/>
      <c r="D46" s="12"/>
      <c r="E46" s="12"/>
      <c r="F46" s="48">
        <f t="shared" si="33"/>
        <v>0</v>
      </c>
      <c r="G46" s="10"/>
      <c r="H46" s="11"/>
      <c r="I46" s="11"/>
      <c r="J46" s="62"/>
      <c r="K46" s="48">
        <f t="shared" si="34"/>
        <v>0</v>
      </c>
      <c r="L46" s="48">
        <f t="shared" si="35"/>
        <v>0</v>
      </c>
      <c r="M46" s="52"/>
      <c r="N46" s="9" t="s">
        <v>194</v>
      </c>
      <c r="O46" s="10"/>
      <c r="P46" s="11"/>
      <c r="Q46" s="11"/>
      <c r="R46" s="62"/>
      <c r="S46" s="48">
        <f t="shared" si="36"/>
        <v>0</v>
      </c>
      <c r="T46" s="10">
        <v>10</v>
      </c>
      <c r="U46" s="11"/>
      <c r="V46" s="11"/>
      <c r="W46" s="62"/>
      <c r="X46" s="48">
        <f t="shared" si="37"/>
        <v>10</v>
      </c>
      <c r="Y46" s="48">
        <f t="shared" ref="Y46" si="38">S46+X46</f>
        <v>10</v>
      </c>
      <c r="Z46" s="115">
        <v>45384</v>
      </c>
    </row>
    <row r="47" spans="1:26" x14ac:dyDescent="0.15">
      <c r="A47" s="9" t="s">
        <v>9</v>
      </c>
      <c r="B47" s="15"/>
      <c r="C47" s="16"/>
      <c r="D47" s="17"/>
      <c r="E47" s="17"/>
      <c r="F47" s="48">
        <f t="shared" si="33"/>
        <v>0</v>
      </c>
      <c r="G47" s="15"/>
      <c r="H47" s="16"/>
      <c r="I47" s="16"/>
      <c r="J47" s="63"/>
      <c r="K47" s="48">
        <f t="shared" si="34"/>
        <v>0</v>
      </c>
      <c r="L47" s="48">
        <f t="shared" si="35"/>
        <v>0</v>
      </c>
      <c r="M47" s="52"/>
      <c r="N47" s="9" t="s">
        <v>9</v>
      </c>
      <c r="O47" s="15"/>
      <c r="P47" s="16"/>
      <c r="Q47" s="16"/>
      <c r="R47" s="63"/>
      <c r="S47" s="48">
        <f t="shared" ref="S47:S78" si="39">SUM(O47:R47)</f>
        <v>0</v>
      </c>
      <c r="T47" s="15"/>
      <c r="U47" s="16"/>
      <c r="V47" s="16"/>
      <c r="W47" s="63"/>
      <c r="X47" s="48">
        <f t="shared" ref="X47:X78" si="40">SUM(T47:W47)</f>
        <v>0</v>
      </c>
      <c r="Y47" s="48">
        <f>S47+X47</f>
        <v>0</v>
      </c>
      <c r="Z47" s="76"/>
    </row>
    <row r="48" spans="1:26" x14ac:dyDescent="0.15">
      <c r="A48" s="9" t="s">
        <v>10</v>
      </c>
      <c r="B48" s="15"/>
      <c r="C48" s="16"/>
      <c r="D48" s="17"/>
      <c r="E48" s="17"/>
      <c r="F48" s="48">
        <f t="shared" si="33"/>
        <v>0</v>
      </c>
      <c r="G48" s="15"/>
      <c r="H48" s="16"/>
      <c r="I48" s="16"/>
      <c r="J48" s="63"/>
      <c r="K48" s="48">
        <f t="shared" si="34"/>
        <v>0</v>
      </c>
      <c r="L48" s="48">
        <f t="shared" si="35"/>
        <v>0</v>
      </c>
      <c r="M48" s="25"/>
      <c r="N48" s="9" t="s">
        <v>10</v>
      </c>
      <c r="O48" s="15"/>
      <c r="P48" s="16"/>
      <c r="Q48" s="16"/>
      <c r="R48" s="63"/>
      <c r="S48" s="48">
        <f t="shared" si="39"/>
        <v>0</v>
      </c>
      <c r="T48" s="15"/>
      <c r="U48" s="16"/>
      <c r="V48" s="16"/>
      <c r="W48" s="63"/>
      <c r="X48" s="48">
        <f t="shared" si="40"/>
        <v>0</v>
      </c>
      <c r="Y48" s="48">
        <f t="shared" ref="Y48:Y78" si="41">S48+X48</f>
        <v>0</v>
      </c>
      <c r="Z48" s="76"/>
    </row>
    <row r="49" spans="1:26" ht="14.25" thickBot="1" x14ac:dyDescent="0.2">
      <c r="A49" s="9" t="s">
        <v>11</v>
      </c>
      <c r="B49" s="15"/>
      <c r="C49" s="16"/>
      <c r="D49" s="17"/>
      <c r="E49" s="17"/>
      <c r="F49" s="55">
        <f t="shared" si="33"/>
        <v>0</v>
      </c>
      <c r="G49" s="15"/>
      <c r="H49" s="16"/>
      <c r="I49" s="16"/>
      <c r="J49" s="64"/>
      <c r="K49" s="55">
        <f t="shared" si="34"/>
        <v>0</v>
      </c>
      <c r="L49" s="49">
        <f t="shared" si="35"/>
        <v>0</v>
      </c>
      <c r="M49" s="25"/>
      <c r="N49" s="56" t="s">
        <v>11</v>
      </c>
      <c r="O49" s="15"/>
      <c r="P49" s="16"/>
      <c r="Q49" s="68"/>
      <c r="R49" s="63"/>
      <c r="S49" s="55">
        <f t="shared" si="39"/>
        <v>0</v>
      </c>
      <c r="T49" s="15"/>
      <c r="U49" s="16"/>
      <c r="V49" s="16"/>
      <c r="W49" s="64"/>
      <c r="X49" s="55">
        <f t="shared" si="40"/>
        <v>0</v>
      </c>
      <c r="Y49" s="49">
        <f t="shared" si="41"/>
        <v>0</v>
      </c>
      <c r="Z49" s="76"/>
    </row>
    <row r="50" spans="1:26" ht="14.25" thickBot="1" x14ac:dyDescent="0.2">
      <c r="A50" s="21" t="s">
        <v>16</v>
      </c>
      <c r="B50" s="7">
        <f>SUM(B44:B49)</f>
        <v>0</v>
      </c>
      <c r="C50" s="8">
        <f t="shared" ref="C50:E50" si="42">SUM(C44:C49)</f>
        <v>0</v>
      </c>
      <c r="D50" s="22">
        <f t="shared" si="42"/>
        <v>0</v>
      </c>
      <c r="E50" s="22">
        <f t="shared" si="42"/>
        <v>0</v>
      </c>
      <c r="F50" s="28">
        <f t="shared" si="33"/>
        <v>0</v>
      </c>
      <c r="G50" s="7">
        <f t="shared" ref="G50:J50" si="43">SUM(G44:G49)</f>
        <v>0</v>
      </c>
      <c r="H50" s="8">
        <f t="shared" si="43"/>
        <v>0</v>
      </c>
      <c r="I50" s="8">
        <f t="shared" si="43"/>
        <v>0</v>
      </c>
      <c r="J50" s="65">
        <f t="shared" si="43"/>
        <v>0</v>
      </c>
      <c r="K50" s="28">
        <f t="shared" si="34"/>
        <v>0</v>
      </c>
      <c r="L50" s="35">
        <f t="shared" ref="L50" si="44">SUM(L44:L49)</f>
        <v>0</v>
      </c>
      <c r="N50" s="21" t="s">
        <v>16</v>
      </c>
      <c r="O50" s="7">
        <f>SUM(O44:O49)</f>
        <v>107</v>
      </c>
      <c r="P50" s="8">
        <f t="shared" ref="P50:R50" si="45">SUM(P44:P49)</f>
        <v>139</v>
      </c>
      <c r="Q50" s="22">
        <f t="shared" si="45"/>
        <v>75</v>
      </c>
      <c r="R50" s="22">
        <f t="shared" si="45"/>
        <v>29</v>
      </c>
      <c r="S50" s="28">
        <f t="shared" si="39"/>
        <v>350</v>
      </c>
      <c r="T50" s="7">
        <f t="shared" ref="T50:V50" si="46">SUM(T44:T49)</f>
        <v>72</v>
      </c>
      <c r="U50" s="8">
        <f t="shared" si="46"/>
        <v>87</v>
      </c>
      <c r="V50" s="8">
        <f t="shared" si="46"/>
        <v>45</v>
      </c>
      <c r="W50" s="65">
        <f>SUM(W44:W49)</f>
        <v>4</v>
      </c>
      <c r="X50" s="28">
        <f t="shared" si="40"/>
        <v>208</v>
      </c>
      <c r="Y50" s="35">
        <f t="shared" si="41"/>
        <v>558</v>
      </c>
    </row>
    <row r="51" spans="1:26" x14ac:dyDescent="0.15">
      <c r="A51" s="23"/>
      <c r="B51" s="39"/>
      <c r="C51" s="13"/>
      <c r="D51" s="14"/>
      <c r="E51" s="14"/>
      <c r="F51" s="46">
        <f t="shared" si="33"/>
        <v>0</v>
      </c>
      <c r="G51" s="39"/>
      <c r="H51" s="13"/>
      <c r="I51" s="13"/>
      <c r="J51" s="61"/>
      <c r="K51" s="46">
        <f t="shared" si="34"/>
        <v>0</v>
      </c>
      <c r="L51" s="46">
        <f t="shared" ref="L51:L76" si="47">F51+K51</f>
        <v>0</v>
      </c>
      <c r="M51" s="52"/>
      <c r="N51" s="53" t="s">
        <v>120</v>
      </c>
      <c r="O51" s="15"/>
      <c r="P51" s="16"/>
      <c r="Q51" s="17"/>
      <c r="R51" s="17"/>
      <c r="S51" s="48">
        <f t="shared" si="39"/>
        <v>0</v>
      </c>
      <c r="T51" s="15">
        <v>5</v>
      </c>
      <c r="U51" s="16"/>
      <c r="V51" s="16"/>
      <c r="W51" s="63"/>
      <c r="X51" s="48">
        <f t="shared" si="40"/>
        <v>5</v>
      </c>
      <c r="Y51" s="48">
        <f t="shared" si="41"/>
        <v>5</v>
      </c>
      <c r="Z51" s="114">
        <v>45302</v>
      </c>
    </row>
    <row r="52" spans="1:26" x14ac:dyDescent="0.15">
      <c r="A52" s="23"/>
      <c r="B52" s="15"/>
      <c r="C52" s="16"/>
      <c r="D52" s="17"/>
      <c r="E52" s="17"/>
      <c r="F52" s="48">
        <f t="shared" si="33"/>
        <v>0</v>
      </c>
      <c r="G52" s="15"/>
      <c r="H52" s="16"/>
      <c r="I52" s="16"/>
      <c r="J52" s="63"/>
      <c r="K52" s="48">
        <f t="shared" si="34"/>
        <v>0</v>
      </c>
      <c r="L52" s="48">
        <f t="shared" si="47"/>
        <v>0</v>
      </c>
      <c r="M52" s="52"/>
      <c r="N52" s="53" t="s">
        <v>125</v>
      </c>
      <c r="O52" s="15">
        <v>13</v>
      </c>
      <c r="P52" s="16"/>
      <c r="Q52" s="17"/>
      <c r="R52" s="17"/>
      <c r="S52" s="48">
        <f t="shared" si="39"/>
        <v>13</v>
      </c>
      <c r="T52" s="15"/>
      <c r="U52" s="16"/>
      <c r="V52" s="16"/>
      <c r="W52" s="63"/>
      <c r="X52" s="48">
        <f t="shared" si="40"/>
        <v>0</v>
      </c>
      <c r="Y52" s="48">
        <f t="shared" si="41"/>
        <v>13</v>
      </c>
      <c r="Z52" s="114">
        <v>45306</v>
      </c>
    </row>
    <row r="53" spans="1:26" x14ac:dyDescent="0.15">
      <c r="A53" s="23"/>
      <c r="B53" s="15"/>
      <c r="C53" s="16"/>
      <c r="D53" s="17"/>
      <c r="E53" s="17"/>
      <c r="F53" s="48">
        <f t="shared" si="33"/>
        <v>0</v>
      </c>
      <c r="G53" s="15"/>
      <c r="H53" s="16"/>
      <c r="I53" s="16"/>
      <c r="J53" s="63"/>
      <c r="K53" s="48">
        <f t="shared" si="34"/>
        <v>0</v>
      </c>
      <c r="L53" s="48">
        <f t="shared" si="47"/>
        <v>0</v>
      </c>
      <c r="M53" s="52"/>
      <c r="N53" s="53" t="s">
        <v>126</v>
      </c>
      <c r="O53" s="15"/>
      <c r="P53" s="16"/>
      <c r="Q53" s="17"/>
      <c r="R53" s="17"/>
      <c r="S53" s="48">
        <f t="shared" si="39"/>
        <v>0</v>
      </c>
      <c r="T53" s="15"/>
      <c r="U53" s="16">
        <v>5</v>
      </c>
      <c r="V53" s="16"/>
      <c r="W53" s="63"/>
      <c r="X53" s="48">
        <f t="shared" si="40"/>
        <v>5</v>
      </c>
      <c r="Y53" s="48">
        <f t="shared" si="41"/>
        <v>5</v>
      </c>
      <c r="Z53" s="114">
        <v>45306</v>
      </c>
    </row>
    <row r="54" spans="1:26" x14ac:dyDescent="0.15">
      <c r="A54" s="54"/>
      <c r="B54" s="15"/>
      <c r="C54" s="16"/>
      <c r="D54" s="17"/>
      <c r="E54" s="17"/>
      <c r="F54" s="48">
        <f t="shared" si="33"/>
        <v>0</v>
      </c>
      <c r="G54" s="15"/>
      <c r="H54" s="16"/>
      <c r="I54" s="16"/>
      <c r="J54" s="63"/>
      <c r="K54" s="48">
        <f t="shared" si="34"/>
        <v>0</v>
      </c>
      <c r="L54" s="48">
        <f t="shared" si="47"/>
        <v>0</v>
      </c>
      <c r="M54" s="52"/>
      <c r="N54" s="53" t="s">
        <v>128</v>
      </c>
      <c r="O54" s="15"/>
      <c r="P54" s="16"/>
      <c r="Q54" s="17"/>
      <c r="R54" s="17"/>
      <c r="S54" s="48">
        <f t="shared" si="39"/>
        <v>0</v>
      </c>
      <c r="T54" s="15">
        <v>5</v>
      </c>
      <c r="U54" s="16"/>
      <c r="V54" s="16">
        <v>5</v>
      </c>
      <c r="W54" s="63"/>
      <c r="X54" s="48">
        <f t="shared" si="40"/>
        <v>10</v>
      </c>
      <c r="Y54" s="48">
        <f t="shared" si="41"/>
        <v>10</v>
      </c>
      <c r="Z54" s="114">
        <v>45309</v>
      </c>
    </row>
    <row r="55" spans="1:26" x14ac:dyDescent="0.15">
      <c r="A55" s="23"/>
      <c r="B55" s="15"/>
      <c r="C55" s="16"/>
      <c r="D55" s="17"/>
      <c r="E55" s="17"/>
      <c r="F55" s="48">
        <f t="shared" si="33"/>
        <v>0</v>
      </c>
      <c r="G55" s="15"/>
      <c r="H55" s="16"/>
      <c r="I55" s="16"/>
      <c r="J55" s="63"/>
      <c r="K55" s="48">
        <f t="shared" si="34"/>
        <v>0</v>
      </c>
      <c r="L55" s="48">
        <f t="shared" si="47"/>
        <v>0</v>
      </c>
      <c r="M55" s="52"/>
      <c r="N55" s="53" t="s">
        <v>129</v>
      </c>
      <c r="O55" s="15"/>
      <c r="P55" s="16"/>
      <c r="Q55" s="17"/>
      <c r="R55" s="17"/>
      <c r="S55" s="48">
        <f t="shared" si="39"/>
        <v>0</v>
      </c>
      <c r="T55" s="15">
        <v>7</v>
      </c>
      <c r="U55" s="16">
        <v>9</v>
      </c>
      <c r="V55" s="16"/>
      <c r="W55" s="63"/>
      <c r="X55" s="48">
        <f t="shared" si="40"/>
        <v>16</v>
      </c>
      <c r="Y55" s="48">
        <f t="shared" si="41"/>
        <v>16</v>
      </c>
      <c r="Z55" s="114">
        <v>45309</v>
      </c>
    </row>
    <row r="56" spans="1:26" x14ac:dyDescent="0.15">
      <c r="A56" s="23"/>
      <c r="B56" s="15"/>
      <c r="C56" s="16"/>
      <c r="D56" s="17"/>
      <c r="E56" s="17"/>
      <c r="F56" s="48">
        <f t="shared" si="33"/>
        <v>0</v>
      </c>
      <c r="G56" s="15"/>
      <c r="H56" s="16"/>
      <c r="I56" s="16"/>
      <c r="J56" s="63"/>
      <c r="K56" s="48">
        <f t="shared" si="34"/>
        <v>0</v>
      </c>
      <c r="L56" s="48">
        <f t="shared" si="47"/>
        <v>0</v>
      </c>
      <c r="M56" s="52"/>
      <c r="N56" s="53" t="s">
        <v>136</v>
      </c>
      <c r="O56" s="15"/>
      <c r="P56" s="16"/>
      <c r="Q56" s="17"/>
      <c r="R56" s="17"/>
      <c r="S56" s="48">
        <f t="shared" si="39"/>
        <v>0</v>
      </c>
      <c r="T56" s="15">
        <v>5</v>
      </c>
      <c r="U56" s="16"/>
      <c r="V56" s="16"/>
      <c r="W56" s="63"/>
      <c r="X56" s="48">
        <f t="shared" si="40"/>
        <v>5</v>
      </c>
      <c r="Y56" s="48">
        <f t="shared" si="41"/>
        <v>5</v>
      </c>
      <c r="Z56" s="114">
        <v>45313</v>
      </c>
    </row>
    <row r="57" spans="1:26" x14ac:dyDescent="0.15">
      <c r="A57" s="23"/>
      <c r="B57" s="15"/>
      <c r="C57" s="16"/>
      <c r="D57" s="17"/>
      <c r="E57" s="17"/>
      <c r="F57" s="48">
        <f t="shared" si="33"/>
        <v>0</v>
      </c>
      <c r="G57" s="15"/>
      <c r="H57" s="16"/>
      <c r="I57" s="16"/>
      <c r="J57" s="63"/>
      <c r="K57" s="48">
        <f t="shared" si="34"/>
        <v>0</v>
      </c>
      <c r="L57" s="48">
        <f t="shared" si="47"/>
        <v>0</v>
      </c>
      <c r="M57" s="52"/>
      <c r="N57" s="53" t="s">
        <v>139</v>
      </c>
      <c r="O57" s="15"/>
      <c r="P57" s="16"/>
      <c r="Q57" s="17"/>
      <c r="R57" s="17">
        <v>1</v>
      </c>
      <c r="S57" s="48">
        <f t="shared" si="39"/>
        <v>1</v>
      </c>
      <c r="T57" s="15"/>
      <c r="U57" s="16"/>
      <c r="V57" s="16">
        <v>6</v>
      </c>
      <c r="W57" s="63"/>
      <c r="X57" s="48">
        <f t="shared" si="40"/>
        <v>6</v>
      </c>
      <c r="Y57" s="48">
        <f t="shared" si="41"/>
        <v>7</v>
      </c>
      <c r="Z57" s="114">
        <v>45313</v>
      </c>
    </row>
    <row r="58" spans="1:26" x14ac:dyDescent="0.15">
      <c r="A58" s="23"/>
      <c r="B58" s="15"/>
      <c r="C58" s="16"/>
      <c r="D58" s="17"/>
      <c r="E58" s="17"/>
      <c r="F58" s="48">
        <f t="shared" si="33"/>
        <v>0</v>
      </c>
      <c r="G58" s="15"/>
      <c r="H58" s="16"/>
      <c r="I58" s="16"/>
      <c r="J58" s="63"/>
      <c r="K58" s="48">
        <f t="shared" si="34"/>
        <v>0</v>
      </c>
      <c r="L58" s="48">
        <f t="shared" si="47"/>
        <v>0</v>
      </c>
      <c r="M58" s="52"/>
      <c r="N58" s="53" t="s">
        <v>143</v>
      </c>
      <c r="O58" s="15"/>
      <c r="P58" s="16"/>
      <c r="Q58" s="17"/>
      <c r="R58" s="17"/>
      <c r="S58" s="48">
        <f t="shared" si="39"/>
        <v>0</v>
      </c>
      <c r="T58" s="15"/>
      <c r="U58" s="16">
        <v>3</v>
      </c>
      <c r="V58" s="16"/>
      <c r="W58" s="63"/>
      <c r="X58" s="48">
        <f t="shared" si="40"/>
        <v>3</v>
      </c>
      <c r="Y58" s="48">
        <f t="shared" si="41"/>
        <v>3</v>
      </c>
      <c r="Z58" s="114">
        <v>45320</v>
      </c>
    </row>
    <row r="59" spans="1:26" x14ac:dyDescent="0.15">
      <c r="A59" s="23"/>
      <c r="B59" s="15"/>
      <c r="C59" s="16"/>
      <c r="D59" s="17"/>
      <c r="E59" s="17"/>
      <c r="F59" s="48">
        <f t="shared" si="33"/>
        <v>0</v>
      </c>
      <c r="G59" s="15"/>
      <c r="H59" s="16"/>
      <c r="I59" s="16"/>
      <c r="J59" s="63"/>
      <c r="K59" s="48">
        <f t="shared" si="34"/>
        <v>0</v>
      </c>
      <c r="L59" s="48">
        <f t="shared" si="47"/>
        <v>0</v>
      </c>
      <c r="M59" s="52"/>
      <c r="N59" s="53" t="s">
        <v>144</v>
      </c>
      <c r="O59" s="15"/>
      <c r="P59" s="16"/>
      <c r="Q59" s="17"/>
      <c r="R59" s="17"/>
      <c r="S59" s="48">
        <f t="shared" si="39"/>
        <v>0</v>
      </c>
      <c r="T59" s="15">
        <v>4</v>
      </c>
      <c r="U59" s="16"/>
      <c r="V59" s="16"/>
      <c r="W59" s="63"/>
      <c r="X59" s="48">
        <f t="shared" si="40"/>
        <v>4</v>
      </c>
      <c r="Y59" s="48">
        <f t="shared" si="41"/>
        <v>4</v>
      </c>
      <c r="Z59" s="114">
        <v>45322</v>
      </c>
    </row>
    <row r="60" spans="1:26" x14ac:dyDescent="0.15">
      <c r="A60" s="23"/>
      <c r="B60" s="18"/>
      <c r="C60" s="19"/>
      <c r="D60" s="20"/>
      <c r="E60" s="20"/>
      <c r="F60" s="48">
        <f t="shared" si="33"/>
        <v>0</v>
      </c>
      <c r="G60" s="18"/>
      <c r="H60" s="19"/>
      <c r="I60" s="19"/>
      <c r="J60" s="64"/>
      <c r="K60" s="48">
        <f t="shared" si="34"/>
        <v>0</v>
      </c>
      <c r="L60" s="48">
        <f t="shared" si="47"/>
        <v>0</v>
      </c>
      <c r="M60" s="52"/>
      <c r="N60" s="53" t="s">
        <v>145</v>
      </c>
      <c r="O60" s="18"/>
      <c r="P60" s="19"/>
      <c r="Q60" s="20"/>
      <c r="R60" s="20"/>
      <c r="S60" s="48">
        <f t="shared" si="39"/>
        <v>0</v>
      </c>
      <c r="T60" s="18">
        <v>4</v>
      </c>
      <c r="U60" s="19"/>
      <c r="V60" s="19"/>
      <c r="W60" s="64"/>
      <c r="X60" s="48">
        <f t="shared" si="40"/>
        <v>4</v>
      </c>
      <c r="Y60" s="48">
        <f t="shared" si="41"/>
        <v>4</v>
      </c>
      <c r="Z60" s="114">
        <v>45322</v>
      </c>
    </row>
    <row r="61" spans="1:26" x14ac:dyDescent="0.15">
      <c r="A61" s="54"/>
      <c r="B61" s="15"/>
      <c r="C61" s="16"/>
      <c r="D61" s="17"/>
      <c r="E61" s="17"/>
      <c r="F61" s="48">
        <f t="shared" si="33"/>
        <v>0</v>
      </c>
      <c r="G61" s="15"/>
      <c r="H61" s="16"/>
      <c r="I61" s="16"/>
      <c r="J61" s="63"/>
      <c r="K61" s="48">
        <f t="shared" si="34"/>
        <v>0</v>
      </c>
      <c r="L61" s="48">
        <f t="shared" si="47"/>
        <v>0</v>
      </c>
      <c r="M61" s="52"/>
      <c r="N61" s="53" t="s">
        <v>146</v>
      </c>
      <c r="O61" s="15"/>
      <c r="P61" s="16"/>
      <c r="Q61" s="17"/>
      <c r="R61" s="17"/>
      <c r="S61" s="48">
        <f t="shared" si="39"/>
        <v>0</v>
      </c>
      <c r="T61" s="15">
        <v>19</v>
      </c>
      <c r="U61" s="16"/>
      <c r="V61" s="16"/>
      <c r="W61" s="63"/>
      <c r="X61" s="48">
        <f t="shared" si="40"/>
        <v>19</v>
      </c>
      <c r="Y61" s="48">
        <f t="shared" si="41"/>
        <v>19</v>
      </c>
      <c r="Z61" s="114">
        <v>45324</v>
      </c>
    </row>
    <row r="62" spans="1:26" x14ac:dyDescent="0.15">
      <c r="A62" s="23"/>
      <c r="B62" s="15"/>
      <c r="C62" s="16"/>
      <c r="D62" s="17"/>
      <c r="E62" s="17"/>
      <c r="F62" s="48">
        <f t="shared" si="33"/>
        <v>0</v>
      </c>
      <c r="G62" s="15"/>
      <c r="H62" s="16"/>
      <c r="I62" s="16"/>
      <c r="J62" s="63"/>
      <c r="K62" s="48">
        <f t="shared" si="34"/>
        <v>0</v>
      </c>
      <c r="L62" s="48">
        <f t="shared" si="47"/>
        <v>0</v>
      </c>
      <c r="M62" s="52"/>
      <c r="N62" s="53" t="s">
        <v>148</v>
      </c>
      <c r="O62" s="15">
        <v>5</v>
      </c>
      <c r="P62" s="16"/>
      <c r="Q62" s="17"/>
      <c r="R62" s="17"/>
      <c r="S62" s="48">
        <f t="shared" si="39"/>
        <v>5</v>
      </c>
      <c r="T62" s="15"/>
      <c r="U62" s="16"/>
      <c r="V62" s="16"/>
      <c r="W62" s="63"/>
      <c r="X62" s="48">
        <f t="shared" si="40"/>
        <v>0</v>
      </c>
      <c r="Y62" s="48">
        <f t="shared" si="41"/>
        <v>5</v>
      </c>
      <c r="Z62" s="114">
        <v>45327</v>
      </c>
    </row>
    <row r="63" spans="1:26" x14ac:dyDescent="0.15">
      <c r="A63" s="23"/>
      <c r="B63" s="15"/>
      <c r="C63" s="16"/>
      <c r="D63" s="17"/>
      <c r="E63" s="17"/>
      <c r="F63" s="48">
        <f t="shared" si="33"/>
        <v>0</v>
      </c>
      <c r="G63" s="15"/>
      <c r="H63" s="16"/>
      <c r="I63" s="16"/>
      <c r="J63" s="63"/>
      <c r="K63" s="48">
        <f t="shared" si="34"/>
        <v>0</v>
      </c>
      <c r="L63" s="48">
        <f t="shared" si="47"/>
        <v>0</v>
      </c>
      <c r="M63" s="52"/>
      <c r="N63" s="53" t="s">
        <v>150</v>
      </c>
      <c r="O63" s="15">
        <v>10</v>
      </c>
      <c r="P63" s="16">
        <v>6</v>
      </c>
      <c r="Q63" s="17"/>
      <c r="R63" s="17">
        <v>4</v>
      </c>
      <c r="S63" s="48">
        <f t="shared" si="39"/>
        <v>20</v>
      </c>
      <c r="T63" s="15"/>
      <c r="U63" s="16">
        <v>10</v>
      </c>
      <c r="V63" s="16"/>
      <c r="W63" s="63"/>
      <c r="X63" s="48">
        <f t="shared" si="40"/>
        <v>10</v>
      </c>
      <c r="Y63" s="48">
        <f t="shared" si="41"/>
        <v>30</v>
      </c>
      <c r="Z63" s="114">
        <v>45336</v>
      </c>
    </row>
    <row r="64" spans="1:26" x14ac:dyDescent="0.15">
      <c r="A64" s="54"/>
      <c r="B64" s="15"/>
      <c r="C64" s="16"/>
      <c r="D64" s="17"/>
      <c r="E64" s="17"/>
      <c r="F64" s="48">
        <f t="shared" si="33"/>
        <v>0</v>
      </c>
      <c r="G64" s="15"/>
      <c r="H64" s="16"/>
      <c r="I64" s="16"/>
      <c r="J64" s="63"/>
      <c r="K64" s="48">
        <f t="shared" si="34"/>
        <v>0</v>
      </c>
      <c r="L64" s="48">
        <f t="shared" si="47"/>
        <v>0</v>
      </c>
      <c r="M64" s="52"/>
      <c r="N64" s="53" t="s">
        <v>151</v>
      </c>
      <c r="O64" s="15"/>
      <c r="P64" s="16">
        <v>17</v>
      </c>
      <c r="Q64" s="17"/>
      <c r="R64" s="17"/>
      <c r="S64" s="48">
        <f t="shared" si="39"/>
        <v>17</v>
      </c>
      <c r="T64" s="15"/>
      <c r="U64" s="16"/>
      <c r="V64" s="16"/>
      <c r="W64" s="63"/>
      <c r="X64" s="48">
        <f t="shared" si="40"/>
        <v>0</v>
      </c>
      <c r="Y64" s="48">
        <f t="shared" si="41"/>
        <v>17</v>
      </c>
      <c r="Z64" s="114">
        <v>45330</v>
      </c>
    </row>
    <row r="65" spans="1:28" x14ac:dyDescent="0.15">
      <c r="A65" s="24"/>
      <c r="B65" s="15"/>
      <c r="C65" s="16"/>
      <c r="D65" s="17"/>
      <c r="E65" s="17"/>
      <c r="F65" s="48">
        <f t="shared" si="33"/>
        <v>0</v>
      </c>
      <c r="G65" s="15"/>
      <c r="H65" s="16"/>
      <c r="I65" s="16"/>
      <c r="J65" s="63"/>
      <c r="K65" s="48">
        <f t="shared" si="34"/>
        <v>0</v>
      </c>
      <c r="L65" s="48">
        <f t="shared" si="47"/>
        <v>0</v>
      </c>
      <c r="M65" s="52"/>
      <c r="N65" s="53" t="s">
        <v>164</v>
      </c>
      <c r="O65" s="15"/>
      <c r="P65" s="16"/>
      <c r="Q65" s="17"/>
      <c r="R65" s="17"/>
      <c r="S65" s="48">
        <f t="shared" si="39"/>
        <v>0</v>
      </c>
      <c r="T65" s="15"/>
      <c r="U65" s="16"/>
      <c r="V65" s="16">
        <v>2</v>
      </c>
      <c r="W65" s="63"/>
      <c r="X65" s="48">
        <f t="shared" si="40"/>
        <v>2</v>
      </c>
      <c r="Y65" s="48">
        <f t="shared" si="41"/>
        <v>2</v>
      </c>
      <c r="Z65" s="114">
        <v>45341</v>
      </c>
    </row>
    <row r="66" spans="1:28" x14ac:dyDescent="0.15">
      <c r="A66" s="54"/>
      <c r="B66" s="15"/>
      <c r="C66" s="16"/>
      <c r="D66" s="17"/>
      <c r="E66" s="17"/>
      <c r="F66" s="48">
        <f t="shared" si="33"/>
        <v>0</v>
      </c>
      <c r="G66" s="15"/>
      <c r="H66" s="16"/>
      <c r="I66" s="16"/>
      <c r="J66" s="63"/>
      <c r="K66" s="48">
        <f t="shared" si="34"/>
        <v>0</v>
      </c>
      <c r="L66" s="48">
        <f t="shared" si="47"/>
        <v>0</v>
      </c>
      <c r="M66" s="52"/>
      <c r="N66" s="53" t="s">
        <v>165</v>
      </c>
      <c r="O66" s="15"/>
      <c r="P66" s="16"/>
      <c r="Q66" s="17"/>
      <c r="R66" s="17"/>
      <c r="S66" s="48">
        <f t="shared" si="39"/>
        <v>0</v>
      </c>
      <c r="T66" s="15"/>
      <c r="U66" s="16"/>
      <c r="V66" s="16">
        <v>5</v>
      </c>
      <c r="W66" s="63"/>
      <c r="X66" s="48">
        <f t="shared" si="40"/>
        <v>5</v>
      </c>
      <c r="Y66" s="48">
        <f t="shared" si="41"/>
        <v>5</v>
      </c>
      <c r="Z66" s="114">
        <v>45348</v>
      </c>
    </row>
    <row r="67" spans="1:28" x14ac:dyDescent="0.15">
      <c r="A67" s="26"/>
      <c r="B67" s="15"/>
      <c r="C67" s="16"/>
      <c r="D67" s="17"/>
      <c r="E67" s="17"/>
      <c r="F67" s="48">
        <f t="shared" si="33"/>
        <v>0</v>
      </c>
      <c r="G67" s="15"/>
      <c r="H67" s="16"/>
      <c r="I67" s="16"/>
      <c r="J67" s="63"/>
      <c r="K67" s="48">
        <f t="shared" si="34"/>
        <v>0</v>
      </c>
      <c r="L67" s="48">
        <f t="shared" si="47"/>
        <v>0</v>
      </c>
      <c r="M67" s="52"/>
      <c r="N67" s="53" t="s">
        <v>166</v>
      </c>
      <c r="O67" s="15"/>
      <c r="P67" s="16"/>
      <c r="Q67" s="17">
        <v>7</v>
      </c>
      <c r="R67" s="17"/>
      <c r="S67" s="48">
        <f t="shared" si="39"/>
        <v>7</v>
      </c>
      <c r="T67" s="15"/>
      <c r="U67" s="16"/>
      <c r="V67" s="16"/>
      <c r="W67" s="63"/>
      <c r="X67" s="48">
        <f t="shared" si="40"/>
        <v>0</v>
      </c>
      <c r="Y67" s="48">
        <f t="shared" si="41"/>
        <v>7</v>
      </c>
      <c r="Z67" s="114">
        <v>45348</v>
      </c>
    </row>
    <row r="68" spans="1:28" x14ac:dyDescent="0.15">
      <c r="A68" s="54"/>
      <c r="B68" s="15"/>
      <c r="C68" s="16"/>
      <c r="D68" s="17"/>
      <c r="E68" s="17"/>
      <c r="F68" s="48">
        <f t="shared" si="33"/>
        <v>0</v>
      </c>
      <c r="G68" s="15"/>
      <c r="H68" s="16"/>
      <c r="I68" s="16"/>
      <c r="J68" s="63"/>
      <c r="K68" s="48">
        <f t="shared" si="34"/>
        <v>0</v>
      </c>
      <c r="L68" s="48">
        <f t="shared" si="47"/>
        <v>0</v>
      </c>
      <c r="M68" s="52"/>
      <c r="N68" s="53" t="s">
        <v>167</v>
      </c>
      <c r="O68" s="15"/>
      <c r="P68" s="16"/>
      <c r="Q68" s="17"/>
      <c r="R68" s="17"/>
      <c r="S68" s="48">
        <f t="shared" si="39"/>
        <v>0</v>
      </c>
      <c r="T68" s="15"/>
      <c r="U68" s="16">
        <v>5</v>
      </c>
      <c r="V68" s="16"/>
      <c r="W68" s="63"/>
      <c r="X68" s="48">
        <f t="shared" si="40"/>
        <v>5</v>
      </c>
      <c r="Y68" s="48">
        <f t="shared" si="41"/>
        <v>5</v>
      </c>
      <c r="Z68" s="114">
        <v>45351</v>
      </c>
    </row>
    <row r="69" spans="1:28" x14ac:dyDescent="0.15">
      <c r="A69" s="23"/>
      <c r="B69" s="15"/>
      <c r="C69" s="16"/>
      <c r="D69" s="17"/>
      <c r="E69" s="17"/>
      <c r="F69" s="48">
        <f t="shared" si="33"/>
        <v>0</v>
      </c>
      <c r="G69" s="15"/>
      <c r="H69" s="16"/>
      <c r="I69" s="16"/>
      <c r="J69" s="63"/>
      <c r="K69" s="48">
        <f t="shared" si="34"/>
        <v>0</v>
      </c>
      <c r="L69" s="48">
        <f t="shared" si="47"/>
        <v>0</v>
      </c>
      <c r="M69" s="25"/>
      <c r="N69" s="53" t="s">
        <v>172</v>
      </c>
      <c r="O69" s="15"/>
      <c r="P69" s="16"/>
      <c r="Q69" s="17"/>
      <c r="R69" s="17"/>
      <c r="S69" s="48">
        <f t="shared" si="39"/>
        <v>0</v>
      </c>
      <c r="T69" s="15"/>
      <c r="U69" s="16"/>
      <c r="V69" s="16">
        <v>6</v>
      </c>
      <c r="W69" s="63"/>
      <c r="X69" s="48">
        <f t="shared" si="40"/>
        <v>6</v>
      </c>
      <c r="Y69" s="48">
        <f t="shared" si="41"/>
        <v>6</v>
      </c>
      <c r="Z69" s="114">
        <v>45355</v>
      </c>
    </row>
    <row r="70" spans="1:28" x14ac:dyDescent="0.15">
      <c r="A70" s="23"/>
      <c r="B70" s="15"/>
      <c r="C70" s="16"/>
      <c r="D70" s="17"/>
      <c r="E70" s="17"/>
      <c r="F70" s="48">
        <f t="shared" si="33"/>
        <v>0</v>
      </c>
      <c r="G70" s="15"/>
      <c r="H70" s="16"/>
      <c r="I70" s="16"/>
      <c r="J70" s="63"/>
      <c r="K70" s="48">
        <f t="shared" si="34"/>
        <v>0</v>
      </c>
      <c r="L70" s="48">
        <f t="shared" si="47"/>
        <v>0</v>
      </c>
      <c r="M70" s="25"/>
      <c r="N70" s="53" t="s">
        <v>175</v>
      </c>
      <c r="O70" s="15">
        <v>4</v>
      </c>
      <c r="P70" s="16">
        <v>4</v>
      </c>
      <c r="Q70" s="17"/>
      <c r="R70" s="17"/>
      <c r="S70" s="48">
        <f t="shared" si="39"/>
        <v>8</v>
      </c>
      <c r="T70" s="15"/>
      <c r="U70" s="16"/>
      <c r="V70" s="16"/>
      <c r="W70" s="63"/>
      <c r="X70" s="48">
        <f t="shared" si="40"/>
        <v>0</v>
      </c>
      <c r="Y70" s="48">
        <f t="shared" si="41"/>
        <v>8</v>
      </c>
      <c r="Z70" s="114">
        <v>45369</v>
      </c>
    </row>
    <row r="71" spans="1:28" x14ac:dyDescent="0.15">
      <c r="A71" s="23"/>
      <c r="B71" s="15"/>
      <c r="C71" s="16"/>
      <c r="D71" s="17"/>
      <c r="E71" s="17"/>
      <c r="F71" s="48">
        <f t="shared" si="33"/>
        <v>0</v>
      </c>
      <c r="G71" s="15"/>
      <c r="H71" s="16"/>
      <c r="I71" s="16"/>
      <c r="J71" s="63"/>
      <c r="K71" s="48">
        <f t="shared" si="34"/>
        <v>0</v>
      </c>
      <c r="L71" s="48">
        <f t="shared" si="47"/>
        <v>0</v>
      </c>
      <c r="M71" s="25"/>
      <c r="N71" s="53" t="s">
        <v>178</v>
      </c>
      <c r="O71" s="15"/>
      <c r="P71" s="16"/>
      <c r="Q71" s="17"/>
      <c r="R71" s="17"/>
      <c r="S71" s="48">
        <f t="shared" si="39"/>
        <v>0</v>
      </c>
      <c r="T71" s="15">
        <v>3</v>
      </c>
      <c r="U71" s="16"/>
      <c r="V71" s="16"/>
      <c r="W71" s="63"/>
      <c r="X71" s="48">
        <f t="shared" si="40"/>
        <v>3</v>
      </c>
      <c r="Y71" s="48">
        <f t="shared" si="41"/>
        <v>3</v>
      </c>
      <c r="Z71" s="114">
        <v>45369</v>
      </c>
    </row>
    <row r="72" spans="1:28" x14ac:dyDescent="0.15">
      <c r="A72" s="23"/>
      <c r="B72" s="18"/>
      <c r="C72" s="19"/>
      <c r="D72" s="20"/>
      <c r="E72" s="20"/>
      <c r="F72" s="48">
        <f t="shared" si="33"/>
        <v>0</v>
      </c>
      <c r="G72" s="18"/>
      <c r="H72" s="19"/>
      <c r="I72" s="19"/>
      <c r="J72" s="64"/>
      <c r="K72" s="48">
        <f t="shared" si="34"/>
        <v>0</v>
      </c>
      <c r="L72" s="48">
        <f t="shared" si="47"/>
        <v>0</v>
      </c>
      <c r="M72" s="25"/>
      <c r="N72" s="53" t="s">
        <v>179</v>
      </c>
      <c r="O72" s="18"/>
      <c r="P72" s="16"/>
      <c r="Q72" s="20"/>
      <c r="R72" s="20"/>
      <c r="S72" s="48">
        <f t="shared" si="39"/>
        <v>0</v>
      </c>
      <c r="T72" s="18"/>
      <c r="U72" s="16">
        <v>5</v>
      </c>
      <c r="V72" s="19"/>
      <c r="W72" s="64"/>
      <c r="X72" s="48">
        <f t="shared" si="40"/>
        <v>5</v>
      </c>
      <c r="Y72" s="48">
        <f t="shared" si="41"/>
        <v>5</v>
      </c>
      <c r="Z72" s="114">
        <v>45373</v>
      </c>
    </row>
    <row r="73" spans="1:28" x14ac:dyDescent="0.15">
      <c r="A73" s="23"/>
      <c r="B73" s="16"/>
      <c r="C73" s="16"/>
      <c r="D73" s="17"/>
      <c r="E73" s="17"/>
      <c r="F73" s="48">
        <f t="shared" si="33"/>
        <v>0</v>
      </c>
      <c r="G73" s="16"/>
      <c r="H73" s="16"/>
      <c r="I73" s="16"/>
      <c r="J73" s="63"/>
      <c r="K73" s="48">
        <f t="shared" si="34"/>
        <v>0</v>
      </c>
      <c r="L73" s="48">
        <f t="shared" si="47"/>
        <v>0</v>
      </c>
      <c r="M73" s="25"/>
      <c r="N73" s="23"/>
      <c r="O73" s="15"/>
      <c r="P73" s="156"/>
      <c r="Q73" s="17"/>
      <c r="R73" s="17"/>
      <c r="S73" s="48">
        <f t="shared" ref="S73" si="48">SUM(O73:R73)</f>
        <v>0</v>
      </c>
      <c r="T73" s="15"/>
      <c r="U73" s="156"/>
      <c r="V73" s="16"/>
      <c r="W73" s="157"/>
      <c r="X73" s="48">
        <f t="shared" ref="X73" si="49">SUM(T73:W73)</f>
        <v>0</v>
      </c>
      <c r="Y73" s="48">
        <f t="shared" ref="Y73" si="50">S73+X73</f>
        <v>0</v>
      </c>
      <c r="Z73" s="76"/>
    </row>
    <row r="74" spans="1:28" x14ac:dyDescent="0.15">
      <c r="A74" s="23"/>
      <c r="B74" s="15"/>
      <c r="C74" s="25"/>
      <c r="D74" s="17"/>
      <c r="E74" s="17"/>
      <c r="F74" s="48">
        <f t="shared" si="33"/>
        <v>0</v>
      </c>
      <c r="G74" s="15"/>
      <c r="H74" s="25"/>
      <c r="I74" s="16"/>
      <c r="J74" s="63"/>
      <c r="K74" s="48">
        <f t="shared" si="34"/>
        <v>0</v>
      </c>
      <c r="L74" s="48">
        <f t="shared" si="47"/>
        <v>0</v>
      </c>
      <c r="M74" s="25"/>
      <c r="N74" s="36"/>
      <c r="O74" s="10"/>
      <c r="P74" s="25"/>
      <c r="Q74" s="12"/>
      <c r="R74" s="12"/>
      <c r="S74" s="47">
        <f t="shared" si="39"/>
        <v>0</v>
      </c>
      <c r="T74" s="10"/>
      <c r="U74" s="25"/>
      <c r="V74" s="11"/>
      <c r="W74" s="62"/>
      <c r="X74" s="48">
        <f t="shared" si="40"/>
        <v>0</v>
      </c>
      <c r="Y74" s="48">
        <f t="shared" si="41"/>
        <v>0</v>
      </c>
      <c r="Z74" s="76"/>
    </row>
    <row r="75" spans="1:28" x14ac:dyDescent="0.15">
      <c r="A75" s="23"/>
      <c r="B75" s="15"/>
      <c r="C75" s="16"/>
      <c r="D75" s="16"/>
      <c r="E75" s="63"/>
      <c r="F75" s="48">
        <f t="shared" si="33"/>
        <v>0</v>
      </c>
      <c r="G75" s="15"/>
      <c r="H75" s="16"/>
      <c r="I75" s="16"/>
      <c r="J75" s="63"/>
      <c r="K75" s="48">
        <f t="shared" si="34"/>
        <v>0</v>
      </c>
      <c r="L75" s="48">
        <f t="shared" si="47"/>
        <v>0</v>
      </c>
      <c r="M75" s="25"/>
      <c r="N75" s="158" t="s">
        <v>102</v>
      </c>
      <c r="O75" s="140"/>
      <c r="P75" s="142"/>
      <c r="Q75" s="142"/>
      <c r="R75" s="143"/>
      <c r="S75" s="144">
        <f t="shared" si="39"/>
        <v>0</v>
      </c>
      <c r="T75" s="140"/>
      <c r="U75" s="142"/>
      <c r="V75" s="142"/>
      <c r="W75" s="143"/>
      <c r="X75" s="144">
        <f t="shared" si="40"/>
        <v>0</v>
      </c>
      <c r="Y75" s="144">
        <f t="shared" si="41"/>
        <v>0</v>
      </c>
      <c r="Z75" s="159"/>
      <c r="AA75" s="25"/>
      <c r="AB75" s="25"/>
    </row>
    <row r="76" spans="1:28" ht="14.25" thickBot="1" x14ac:dyDescent="0.2">
      <c r="A76" s="26"/>
      <c r="B76" s="18"/>
      <c r="C76" s="19"/>
      <c r="D76" s="19"/>
      <c r="E76" s="64"/>
      <c r="F76" s="55">
        <f t="shared" si="33"/>
        <v>0</v>
      </c>
      <c r="G76" s="18"/>
      <c r="H76" s="19"/>
      <c r="I76" s="19"/>
      <c r="J76" s="64"/>
      <c r="K76" s="55">
        <f t="shared" si="34"/>
        <v>0</v>
      </c>
      <c r="L76" s="55">
        <f t="shared" si="47"/>
        <v>0</v>
      </c>
      <c r="M76" s="25"/>
      <c r="N76" s="53" t="s">
        <v>64</v>
      </c>
      <c r="O76" s="18"/>
      <c r="P76" s="19"/>
      <c r="Q76" s="19"/>
      <c r="R76" s="64"/>
      <c r="S76" s="55">
        <f t="shared" si="39"/>
        <v>0</v>
      </c>
      <c r="T76" s="18"/>
      <c r="U76" s="19"/>
      <c r="V76" s="19"/>
      <c r="W76" s="64"/>
      <c r="X76" s="55">
        <f>SUM(T76:W76)</f>
        <v>0</v>
      </c>
      <c r="Y76" s="55">
        <f t="shared" si="41"/>
        <v>0</v>
      </c>
      <c r="Z76" s="114" t="s">
        <v>65</v>
      </c>
      <c r="AA76" s="25"/>
      <c r="AB76" s="25"/>
    </row>
    <row r="77" spans="1:28" ht="14.25" thickBot="1" x14ac:dyDescent="0.2">
      <c r="A77" s="27" t="s">
        <v>12</v>
      </c>
      <c r="B77" s="57">
        <f>SUM(B51:B76)</f>
        <v>0</v>
      </c>
      <c r="C77" s="50">
        <f t="shared" ref="C77:D77" si="51">SUM(C51:C76)</f>
        <v>0</v>
      </c>
      <c r="D77" s="50">
        <f t="shared" si="51"/>
        <v>0</v>
      </c>
      <c r="E77" s="50">
        <f>SUM(E51:E76)</f>
        <v>0</v>
      </c>
      <c r="F77" s="59">
        <f t="shared" si="33"/>
        <v>0</v>
      </c>
      <c r="G77" s="57">
        <f t="shared" ref="G77:I77" si="52">SUM(G51:G76)</f>
        <v>0</v>
      </c>
      <c r="H77" s="50">
        <f t="shared" si="52"/>
        <v>0</v>
      </c>
      <c r="I77" s="50">
        <f t="shared" si="52"/>
        <v>0</v>
      </c>
      <c r="J77" s="58">
        <f>SUM(J51:J76)</f>
        <v>0</v>
      </c>
      <c r="K77" s="59">
        <f t="shared" si="34"/>
        <v>0</v>
      </c>
      <c r="L77" s="59">
        <f t="shared" ref="L77" si="53">SUM(L51:L76)</f>
        <v>0</v>
      </c>
      <c r="N77" s="27" t="s">
        <v>12</v>
      </c>
      <c r="O77" s="57">
        <f>SUM(O51:O76)</f>
        <v>32</v>
      </c>
      <c r="P77" s="50">
        <f t="shared" ref="P77:Q77" si="54">SUM(P51:P76)</f>
        <v>27</v>
      </c>
      <c r="Q77" s="50">
        <f t="shared" si="54"/>
        <v>7</v>
      </c>
      <c r="R77" s="50">
        <f>SUM(R51:R76)</f>
        <v>5</v>
      </c>
      <c r="S77" s="59">
        <f t="shared" si="39"/>
        <v>71</v>
      </c>
      <c r="T77" s="57">
        <f t="shared" ref="T77:V77" si="55">SUM(T51:T76)</f>
        <v>52</v>
      </c>
      <c r="U77" s="50">
        <f t="shared" si="55"/>
        <v>37</v>
      </c>
      <c r="V77" s="50">
        <f t="shared" si="55"/>
        <v>24</v>
      </c>
      <c r="W77" s="58">
        <f>SUM(W51:W76)</f>
        <v>0</v>
      </c>
      <c r="X77" s="59">
        <f t="shared" si="40"/>
        <v>113</v>
      </c>
      <c r="Y77" s="59">
        <f t="shared" si="41"/>
        <v>184</v>
      </c>
    </row>
    <row r="78" spans="1:28" ht="14.25" thickBot="1" x14ac:dyDescent="0.2">
      <c r="A78" s="29" t="s">
        <v>13</v>
      </c>
      <c r="B78" s="32">
        <f>B50-B77</f>
        <v>0</v>
      </c>
      <c r="C78" s="44">
        <f t="shared" ref="C78:D78" si="56">C50-C77</f>
        <v>0</v>
      </c>
      <c r="D78" s="44">
        <f t="shared" si="56"/>
        <v>0</v>
      </c>
      <c r="E78" s="44">
        <f>E50-E77</f>
        <v>0</v>
      </c>
      <c r="F78" s="28">
        <f t="shared" si="33"/>
        <v>0</v>
      </c>
      <c r="G78" s="32">
        <f t="shared" ref="G78:I78" si="57">G50-G77</f>
        <v>0</v>
      </c>
      <c r="H78" s="44">
        <f t="shared" si="57"/>
        <v>0</v>
      </c>
      <c r="I78" s="44">
        <f t="shared" si="57"/>
        <v>0</v>
      </c>
      <c r="J78" s="43">
        <f>J50-J77</f>
        <v>0</v>
      </c>
      <c r="K78" s="28">
        <f t="shared" si="34"/>
        <v>0</v>
      </c>
      <c r="L78" s="28">
        <f t="shared" ref="L78" si="58">L50-L77</f>
        <v>0</v>
      </c>
      <c r="N78" s="29" t="s">
        <v>13</v>
      </c>
      <c r="O78" s="32">
        <f>O50-O77</f>
        <v>75</v>
      </c>
      <c r="P78" s="44">
        <f t="shared" ref="P78:Q78" si="59">P50-P77</f>
        <v>112</v>
      </c>
      <c r="Q78" s="44">
        <f t="shared" si="59"/>
        <v>68</v>
      </c>
      <c r="R78" s="44">
        <f>R50-R77</f>
        <v>24</v>
      </c>
      <c r="S78" s="28">
        <f t="shared" si="39"/>
        <v>279</v>
      </c>
      <c r="T78" s="32">
        <f t="shared" ref="T78:V78" si="60">T50-T77</f>
        <v>20</v>
      </c>
      <c r="U78" s="44">
        <f t="shared" si="60"/>
        <v>50</v>
      </c>
      <c r="V78" s="44">
        <f t="shared" si="60"/>
        <v>21</v>
      </c>
      <c r="W78" s="43">
        <f>W50-W77</f>
        <v>4</v>
      </c>
      <c r="X78" s="28">
        <f t="shared" si="40"/>
        <v>95</v>
      </c>
      <c r="Y78" s="28">
        <f t="shared" si="41"/>
        <v>374</v>
      </c>
    </row>
    <row r="81" spans="1:26" ht="19.5" thickBot="1" x14ac:dyDescent="0.25">
      <c r="A81" s="288" t="s">
        <v>44</v>
      </c>
      <c r="B81" s="288"/>
      <c r="C81" s="288"/>
      <c r="D81" s="288"/>
      <c r="E81" s="288"/>
      <c r="F81" s="288"/>
      <c r="G81" s="33"/>
      <c r="H81" s="33" t="s">
        <v>14</v>
      </c>
      <c r="I81" s="33"/>
      <c r="J81" s="33"/>
      <c r="K81" s="33"/>
      <c r="L81" s="1"/>
      <c r="N81" s="70" t="s">
        <v>70</v>
      </c>
      <c r="O81" s="70"/>
      <c r="P81" s="70"/>
      <c r="Q81" s="70"/>
      <c r="R81" s="70"/>
      <c r="S81" s="70"/>
      <c r="T81" s="33"/>
      <c r="U81" s="33" t="s">
        <v>17</v>
      </c>
      <c r="V81" s="33"/>
      <c r="W81" s="33"/>
      <c r="X81" s="33"/>
      <c r="Y81" s="1"/>
    </row>
    <row r="82" spans="1:26" ht="14.25" thickBot="1" x14ac:dyDescent="0.2">
      <c r="A82" s="2" t="s">
        <v>0</v>
      </c>
      <c r="B82" s="294" t="s">
        <v>19</v>
      </c>
      <c r="C82" s="295"/>
      <c r="D82" s="295"/>
      <c r="E82" s="296"/>
      <c r="F82" s="38"/>
      <c r="G82" s="289" t="s">
        <v>18</v>
      </c>
      <c r="H82" s="290"/>
      <c r="I82" s="290"/>
      <c r="J82" s="291"/>
      <c r="K82" s="31"/>
      <c r="L82" s="292" t="s">
        <v>1</v>
      </c>
      <c r="N82" s="2" t="s">
        <v>0</v>
      </c>
      <c r="O82" s="294" t="s">
        <v>19</v>
      </c>
      <c r="P82" s="295"/>
      <c r="Q82" s="295"/>
      <c r="R82" s="296"/>
      <c r="S82" s="38"/>
      <c r="T82" s="289" t="s">
        <v>18</v>
      </c>
      <c r="U82" s="290"/>
      <c r="V82" s="290"/>
      <c r="W82" s="291"/>
      <c r="X82" s="31"/>
      <c r="Y82" s="292" t="s">
        <v>1</v>
      </c>
    </row>
    <row r="83" spans="1:26" ht="14.25" thickBot="1" x14ac:dyDescent="0.2">
      <c r="A83" s="2" t="s">
        <v>2</v>
      </c>
      <c r="B83" s="3" t="s">
        <v>3</v>
      </c>
      <c r="C83" s="4" t="s">
        <v>4</v>
      </c>
      <c r="D83" s="4" t="s">
        <v>5</v>
      </c>
      <c r="E83" s="60" t="s">
        <v>20</v>
      </c>
      <c r="F83" s="2" t="s">
        <v>6</v>
      </c>
      <c r="G83" s="30" t="s">
        <v>3</v>
      </c>
      <c r="H83" s="6" t="s">
        <v>4</v>
      </c>
      <c r="I83" s="6" t="s">
        <v>5</v>
      </c>
      <c r="J83" s="66" t="s">
        <v>20</v>
      </c>
      <c r="K83" s="2" t="s">
        <v>6</v>
      </c>
      <c r="L83" s="293"/>
      <c r="N83" s="2" t="s">
        <v>2</v>
      </c>
      <c r="O83" s="3" t="s">
        <v>3</v>
      </c>
      <c r="P83" s="4" t="s">
        <v>4</v>
      </c>
      <c r="Q83" s="4" t="s">
        <v>5</v>
      </c>
      <c r="R83" s="60" t="s">
        <v>20</v>
      </c>
      <c r="S83" s="2" t="s">
        <v>6</v>
      </c>
      <c r="T83" s="30" t="s">
        <v>3</v>
      </c>
      <c r="U83" s="6" t="s">
        <v>4</v>
      </c>
      <c r="V83" s="6" t="s">
        <v>5</v>
      </c>
      <c r="W83" s="66" t="s">
        <v>20</v>
      </c>
      <c r="X83" s="2" t="s">
        <v>6</v>
      </c>
      <c r="Y83" s="293"/>
    </row>
    <row r="84" spans="1:26" x14ac:dyDescent="0.15">
      <c r="A84" s="40" t="s">
        <v>13</v>
      </c>
      <c r="B84" s="41">
        <f>B78</f>
        <v>0</v>
      </c>
      <c r="C84" s="42">
        <f t="shared" ref="C84:L84" si="61">C78</f>
        <v>0</v>
      </c>
      <c r="D84" s="42">
        <f t="shared" si="61"/>
        <v>0</v>
      </c>
      <c r="E84" s="67">
        <f t="shared" si="61"/>
        <v>0</v>
      </c>
      <c r="F84" s="34">
        <f t="shared" si="61"/>
        <v>0</v>
      </c>
      <c r="G84" s="41">
        <f t="shared" si="61"/>
        <v>0</v>
      </c>
      <c r="H84" s="42">
        <f t="shared" si="61"/>
        <v>0</v>
      </c>
      <c r="I84" s="42">
        <f t="shared" si="61"/>
        <v>0</v>
      </c>
      <c r="J84" s="67">
        <f t="shared" si="61"/>
        <v>0</v>
      </c>
      <c r="K84" s="34">
        <f t="shared" si="61"/>
        <v>0</v>
      </c>
      <c r="L84" s="37">
        <f t="shared" si="61"/>
        <v>0</v>
      </c>
      <c r="M84" s="25"/>
      <c r="N84" s="40" t="s">
        <v>13</v>
      </c>
      <c r="O84" s="41">
        <f>O78</f>
        <v>75</v>
      </c>
      <c r="P84" s="42">
        <f t="shared" ref="P84:Y84" si="62">P78</f>
        <v>112</v>
      </c>
      <c r="Q84" s="42">
        <f t="shared" si="62"/>
        <v>68</v>
      </c>
      <c r="R84" s="67">
        <f t="shared" si="62"/>
        <v>24</v>
      </c>
      <c r="S84" s="34">
        <f t="shared" si="62"/>
        <v>279</v>
      </c>
      <c r="T84" s="41">
        <f t="shared" si="62"/>
        <v>20</v>
      </c>
      <c r="U84" s="42">
        <f t="shared" si="62"/>
        <v>50</v>
      </c>
      <c r="V84" s="42">
        <f t="shared" si="62"/>
        <v>21</v>
      </c>
      <c r="W84" s="67">
        <f t="shared" si="62"/>
        <v>4</v>
      </c>
      <c r="X84" s="34">
        <f t="shared" si="62"/>
        <v>95</v>
      </c>
      <c r="Y84" s="37">
        <f t="shared" si="62"/>
        <v>374</v>
      </c>
    </row>
    <row r="85" spans="1:26" x14ac:dyDescent="0.15">
      <c r="A85" s="9" t="s">
        <v>7</v>
      </c>
      <c r="B85" s="10"/>
      <c r="C85" s="11"/>
      <c r="D85" s="11"/>
      <c r="E85" s="62"/>
      <c r="F85" s="47">
        <f t="shared" ref="F85:F118" si="63">SUM(B85:E85)</f>
        <v>0</v>
      </c>
      <c r="G85" s="10"/>
      <c r="H85" s="11"/>
      <c r="I85" s="11"/>
      <c r="J85" s="62"/>
      <c r="K85" s="47">
        <f t="shared" ref="K85:K118" si="64">SUM(G85:J85)</f>
        <v>0</v>
      </c>
      <c r="L85" s="48">
        <f t="shared" ref="L85:L89" si="65">F85+K85</f>
        <v>0</v>
      </c>
      <c r="M85" s="52"/>
      <c r="N85" s="9" t="s">
        <v>194</v>
      </c>
      <c r="O85" s="15"/>
      <c r="P85" s="16"/>
      <c r="Q85" s="16"/>
      <c r="R85" s="63"/>
      <c r="S85" s="48">
        <f t="shared" ref="S85:S87" si="66">SUM(O85:R85)</f>
        <v>0</v>
      </c>
      <c r="T85" s="15"/>
      <c r="U85" s="16"/>
      <c r="V85" s="16"/>
      <c r="W85" s="63">
        <v>1</v>
      </c>
      <c r="X85" s="48">
        <f t="shared" ref="X85:X87" si="67">SUM(T85:W85)</f>
        <v>1</v>
      </c>
      <c r="Y85" s="48">
        <f>S85+X85</f>
        <v>1</v>
      </c>
      <c r="Z85" s="115">
        <v>45397</v>
      </c>
    </row>
    <row r="86" spans="1:26" x14ac:dyDescent="0.15">
      <c r="A86" s="9" t="s">
        <v>8</v>
      </c>
      <c r="B86" s="10"/>
      <c r="C86" s="11"/>
      <c r="D86" s="12"/>
      <c r="E86" s="12"/>
      <c r="F86" s="48">
        <f t="shared" si="63"/>
        <v>0</v>
      </c>
      <c r="G86" s="10"/>
      <c r="H86" s="11"/>
      <c r="I86" s="11"/>
      <c r="J86" s="62"/>
      <c r="K86" s="48">
        <f t="shared" si="64"/>
        <v>0</v>
      </c>
      <c r="L86" s="48">
        <f t="shared" si="65"/>
        <v>0</v>
      </c>
      <c r="M86" s="52"/>
      <c r="N86" s="9" t="s">
        <v>194</v>
      </c>
      <c r="O86" s="15"/>
      <c r="P86" s="16"/>
      <c r="Q86" s="16"/>
      <c r="R86" s="63"/>
      <c r="S86" s="48">
        <f t="shared" si="66"/>
        <v>0</v>
      </c>
      <c r="T86" s="15"/>
      <c r="U86" s="16"/>
      <c r="V86" s="16"/>
      <c r="W86" s="63">
        <v>2</v>
      </c>
      <c r="X86" s="48">
        <f t="shared" si="67"/>
        <v>2</v>
      </c>
      <c r="Y86" s="48">
        <f>S86+X86</f>
        <v>2</v>
      </c>
      <c r="Z86" s="115">
        <v>45405</v>
      </c>
    </row>
    <row r="87" spans="1:26" x14ac:dyDescent="0.15">
      <c r="A87" s="9" t="s">
        <v>9</v>
      </c>
      <c r="B87" s="15"/>
      <c r="C87" s="16"/>
      <c r="D87" s="17"/>
      <c r="E87" s="17"/>
      <c r="F87" s="48">
        <f t="shared" si="63"/>
        <v>0</v>
      </c>
      <c r="G87" s="15"/>
      <c r="H87" s="16"/>
      <c r="I87" s="16"/>
      <c r="J87" s="63"/>
      <c r="K87" s="48">
        <f t="shared" si="64"/>
        <v>0</v>
      </c>
      <c r="L87" s="48">
        <f t="shared" si="65"/>
        <v>0</v>
      </c>
      <c r="M87" s="52"/>
      <c r="N87" s="182" t="s">
        <v>194</v>
      </c>
      <c r="O87" s="15"/>
      <c r="P87" s="16"/>
      <c r="Q87" s="16"/>
      <c r="R87" s="63"/>
      <c r="S87" s="48">
        <f t="shared" si="66"/>
        <v>0</v>
      </c>
      <c r="T87" s="15">
        <v>4</v>
      </c>
      <c r="U87" s="16"/>
      <c r="V87" s="16"/>
      <c r="W87" s="63"/>
      <c r="X87" s="48">
        <f t="shared" si="67"/>
        <v>4</v>
      </c>
      <c r="Y87" s="48">
        <f t="shared" ref="Y87" si="68">S87+X87</f>
        <v>4</v>
      </c>
      <c r="Z87" s="115">
        <v>45413</v>
      </c>
    </row>
    <row r="88" spans="1:26" x14ac:dyDescent="0.15">
      <c r="A88" s="9" t="s">
        <v>10</v>
      </c>
      <c r="B88" s="15"/>
      <c r="C88" s="16"/>
      <c r="D88" s="17"/>
      <c r="E88" s="17"/>
      <c r="F88" s="48">
        <f t="shared" si="63"/>
        <v>0</v>
      </c>
      <c r="G88" s="15"/>
      <c r="H88" s="16"/>
      <c r="I88" s="16"/>
      <c r="J88" s="63"/>
      <c r="K88" s="48">
        <f t="shared" si="64"/>
        <v>0</v>
      </c>
      <c r="L88" s="48">
        <f t="shared" si="65"/>
        <v>0</v>
      </c>
      <c r="M88" s="25"/>
      <c r="N88" s="9" t="s">
        <v>194</v>
      </c>
      <c r="O88" s="10"/>
      <c r="P88" s="11"/>
      <c r="Q88" s="11"/>
      <c r="R88" s="62"/>
      <c r="S88" s="47">
        <f t="shared" ref="S88" si="69">SUM(O88:R88)</f>
        <v>0</v>
      </c>
      <c r="T88" s="10">
        <v>4</v>
      </c>
      <c r="U88" s="11"/>
      <c r="V88" s="11"/>
      <c r="W88" s="62">
        <v>6</v>
      </c>
      <c r="X88" s="47">
        <f t="shared" ref="X88" si="70">SUM(T88:W88)</f>
        <v>10</v>
      </c>
      <c r="Y88" s="47">
        <f>S88+X88</f>
        <v>10</v>
      </c>
      <c r="Z88" s="115">
        <v>45419</v>
      </c>
    </row>
    <row r="89" spans="1:26" ht="14.25" thickBot="1" x14ac:dyDescent="0.2">
      <c r="A89" s="9" t="s">
        <v>11</v>
      </c>
      <c r="B89" s="15"/>
      <c r="C89" s="16"/>
      <c r="D89" s="17"/>
      <c r="E89" s="17"/>
      <c r="F89" s="55">
        <f t="shared" si="63"/>
        <v>0</v>
      </c>
      <c r="G89" s="15"/>
      <c r="H89" s="16"/>
      <c r="I89" s="16"/>
      <c r="J89" s="64"/>
      <c r="K89" s="55">
        <f t="shared" si="64"/>
        <v>0</v>
      </c>
      <c r="L89" s="49">
        <f t="shared" si="65"/>
        <v>0</v>
      </c>
      <c r="M89" s="25"/>
      <c r="N89" s="9" t="s">
        <v>194</v>
      </c>
      <c r="O89" s="15"/>
      <c r="P89" s="16"/>
      <c r="Q89" s="68"/>
      <c r="R89" s="63"/>
      <c r="S89" s="55">
        <f t="shared" ref="S89:S118" si="71">SUM(O89:R89)</f>
        <v>0</v>
      </c>
      <c r="T89" s="15">
        <v>5</v>
      </c>
      <c r="U89" s="16"/>
      <c r="V89" s="16"/>
      <c r="W89" s="64"/>
      <c r="X89" s="55">
        <f t="shared" ref="X89:X115" si="72">SUM(T89:W89)</f>
        <v>5</v>
      </c>
      <c r="Y89" s="49">
        <f t="shared" ref="Y89:Y118" si="73">S89+X89</f>
        <v>5</v>
      </c>
      <c r="Z89" s="115">
        <v>45425</v>
      </c>
    </row>
    <row r="90" spans="1:26" ht="14.25" thickBot="1" x14ac:dyDescent="0.2">
      <c r="A90" s="21" t="s">
        <v>16</v>
      </c>
      <c r="B90" s="7">
        <f>SUM(B84:B89)</f>
        <v>0</v>
      </c>
      <c r="C90" s="8">
        <f t="shared" ref="C90:E90" si="74">SUM(C84:C89)</f>
        <v>0</v>
      </c>
      <c r="D90" s="22">
        <f t="shared" si="74"/>
        <v>0</v>
      </c>
      <c r="E90" s="22">
        <f t="shared" si="74"/>
        <v>0</v>
      </c>
      <c r="F90" s="28">
        <f t="shared" si="63"/>
        <v>0</v>
      </c>
      <c r="G90" s="7">
        <f t="shared" ref="G90:J90" si="75">SUM(G84:G89)</f>
        <v>0</v>
      </c>
      <c r="H90" s="8">
        <f t="shared" si="75"/>
        <v>0</v>
      </c>
      <c r="I90" s="8">
        <f t="shared" si="75"/>
        <v>0</v>
      </c>
      <c r="J90" s="65">
        <f t="shared" si="75"/>
        <v>0</v>
      </c>
      <c r="K90" s="28">
        <f t="shared" si="64"/>
        <v>0</v>
      </c>
      <c r="L90" s="35">
        <f t="shared" ref="L90" si="76">SUM(L84:L89)</f>
        <v>0</v>
      </c>
      <c r="N90" s="21" t="s">
        <v>16</v>
      </c>
      <c r="O90" s="7">
        <f>SUM(O84:O89)</f>
        <v>75</v>
      </c>
      <c r="P90" s="8">
        <f t="shared" ref="P90:R90" si="77">SUM(P84:P89)</f>
        <v>112</v>
      </c>
      <c r="Q90" s="22">
        <f t="shared" si="77"/>
        <v>68</v>
      </c>
      <c r="R90" s="22">
        <f t="shared" si="77"/>
        <v>24</v>
      </c>
      <c r="S90" s="28">
        <f t="shared" si="71"/>
        <v>279</v>
      </c>
      <c r="T90" s="7">
        <f t="shared" ref="T90:V90" si="78">SUM(T84:T89)</f>
        <v>33</v>
      </c>
      <c r="U90" s="8">
        <f t="shared" si="78"/>
        <v>50</v>
      </c>
      <c r="V90" s="8">
        <f t="shared" si="78"/>
        <v>21</v>
      </c>
      <c r="W90" s="65">
        <f>SUM(W84:W89)</f>
        <v>13</v>
      </c>
      <c r="X90" s="28">
        <f t="shared" si="72"/>
        <v>117</v>
      </c>
      <c r="Y90" s="35">
        <f t="shared" si="73"/>
        <v>396</v>
      </c>
    </row>
    <row r="91" spans="1:26" x14ac:dyDescent="0.15">
      <c r="A91" s="23"/>
      <c r="B91" s="39"/>
      <c r="C91" s="13"/>
      <c r="D91" s="14"/>
      <c r="E91" s="14"/>
      <c r="F91" s="46">
        <f t="shared" si="63"/>
        <v>0</v>
      </c>
      <c r="G91" s="39"/>
      <c r="H91" s="13"/>
      <c r="I91" s="13"/>
      <c r="J91" s="61"/>
      <c r="K91" s="46">
        <f t="shared" si="64"/>
        <v>0</v>
      </c>
      <c r="L91" s="46">
        <f t="shared" ref="L91:L116" si="79">F91+K91</f>
        <v>0</v>
      </c>
      <c r="M91" s="52"/>
      <c r="N91" s="53" t="s">
        <v>193</v>
      </c>
      <c r="O91" s="16">
        <v>8</v>
      </c>
      <c r="P91" s="16">
        <v>5</v>
      </c>
      <c r="Q91" s="17">
        <v>4</v>
      </c>
      <c r="R91" s="17">
        <v>4</v>
      </c>
      <c r="S91" s="48">
        <f t="shared" si="71"/>
        <v>21</v>
      </c>
      <c r="T91" s="16">
        <v>10</v>
      </c>
      <c r="U91" s="16">
        <v>10</v>
      </c>
      <c r="V91" s="16">
        <v>5</v>
      </c>
      <c r="W91" s="63"/>
      <c r="X91" s="48">
        <f t="shared" si="72"/>
        <v>25</v>
      </c>
      <c r="Y91" s="48">
        <f t="shared" si="73"/>
        <v>46</v>
      </c>
      <c r="Z91" s="114">
        <v>45390</v>
      </c>
    </row>
    <row r="92" spans="1:26" x14ac:dyDescent="0.15">
      <c r="A92" s="23"/>
      <c r="B92" s="15"/>
      <c r="C92" s="16"/>
      <c r="D92" s="17"/>
      <c r="E92" s="17"/>
      <c r="F92" s="48">
        <f t="shared" si="63"/>
        <v>0</v>
      </c>
      <c r="G92" s="15"/>
      <c r="H92" s="16"/>
      <c r="I92" s="16"/>
      <c r="J92" s="63"/>
      <c r="K92" s="48">
        <f t="shared" si="64"/>
        <v>0</v>
      </c>
      <c r="L92" s="48">
        <f t="shared" si="79"/>
        <v>0</v>
      </c>
      <c r="M92" s="52"/>
      <c r="N92" s="53" t="s">
        <v>203</v>
      </c>
      <c r="O92" s="15">
        <v>10</v>
      </c>
      <c r="P92" s="16">
        <v>10</v>
      </c>
      <c r="Q92" s="17"/>
      <c r="R92" s="17"/>
      <c r="S92" s="48">
        <f t="shared" si="71"/>
        <v>20</v>
      </c>
      <c r="T92" s="15">
        <v>10</v>
      </c>
      <c r="U92" s="16">
        <v>10</v>
      </c>
      <c r="V92" s="16"/>
      <c r="W92" s="63"/>
      <c r="X92" s="48">
        <f t="shared" si="72"/>
        <v>20</v>
      </c>
      <c r="Y92" s="48">
        <f t="shared" si="73"/>
        <v>40</v>
      </c>
      <c r="Z92" s="114">
        <v>45393</v>
      </c>
    </row>
    <row r="93" spans="1:26" x14ac:dyDescent="0.15">
      <c r="A93" s="23"/>
      <c r="B93" s="15"/>
      <c r="C93" s="16"/>
      <c r="D93" s="17"/>
      <c r="E93" s="17"/>
      <c r="F93" s="48">
        <f t="shared" si="63"/>
        <v>0</v>
      </c>
      <c r="G93" s="15"/>
      <c r="H93" s="16"/>
      <c r="I93" s="16"/>
      <c r="J93" s="63"/>
      <c r="K93" s="48">
        <f t="shared" si="64"/>
        <v>0</v>
      </c>
      <c r="L93" s="48">
        <f t="shared" si="79"/>
        <v>0</v>
      </c>
      <c r="M93" s="52"/>
      <c r="N93" s="53" t="s">
        <v>206</v>
      </c>
      <c r="O93" s="15"/>
      <c r="P93" s="16"/>
      <c r="Q93" s="17"/>
      <c r="R93" s="17"/>
      <c r="S93" s="48">
        <f t="shared" si="71"/>
        <v>0</v>
      </c>
      <c r="T93" s="15"/>
      <c r="U93" s="16"/>
      <c r="V93" s="16">
        <v>3</v>
      </c>
      <c r="W93" s="63"/>
      <c r="X93" s="48">
        <f t="shared" si="72"/>
        <v>3</v>
      </c>
      <c r="Y93" s="48">
        <f t="shared" si="73"/>
        <v>3</v>
      </c>
      <c r="Z93" s="114">
        <v>45393</v>
      </c>
    </row>
    <row r="94" spans="1:26" x14ac:dyDescent="0.15">
      <c r="A94" s="54"/>
      <c r="B94" s="15"/>
      <c r="C94" s="16"/>
      <c r="D94" s="17"/>
      <c r="E94" s="17"/>
      <c r="F94" s="48">
        <f t="shared" si="63"/>
        <v>0</v>
      </c>
      <c r="G94" s="15"/>
      <c r="H94" s="16"/>
      <c r="I94" s="16"/>
      <c r="J94" s="63"/>
      <c r="K94" s="48">
        <f t="shared" si="64"/>
        <v>0</v>
      </c>
      <c r="L94" s="48">
        <f t="shared" si="79"/>
        <v>0</v>
      </c>
      <c r="M94" s="52"/>
      <c r="N94" s="53" t="s">
        <v>210</v>
      </c>
      <c r="O94" s="15"/>
      <c r="P94" s="16"/>
      <c r="Q94" s="17"/>
      <c r="R94" s="17"/>
      <c r="S94" s="48">
        <f t="shared" si="71"/>
        <v>0</v>
      </c>
      <c r="T94" s="15"/>
      <c r="U94" s="16"/>
      <c r="V94" s="16"/>
      <c r="W94" s="63">
        <v>1</v>
      </c>
      <c r="X94" s="48">
        <f t="shared" si="72"/>
        <v>1</v>
      </c>
      <c r="Y94" s="48">
        <f t="shared" si="73"/>
        <v>1</v>
      </c>
      <c r="Z94" s="114">
        <v>45394</v>
      </c>
    </row>
    <row r="95" spans="1:26" x14ac:dyDescent="0.15">
      <c r="A95" s="23"/>
      <c r="B95" s="15"/>
      <c r="C95" s="16"/>
      <c r="D95" s="17"/>
      <c r="E95" s="17"/>
      <c r="F95" s="48">
        <f t="shared" si="63"/>
        <v>0</v>
      </c>
      <c r="G95" s="15"/>
      <c r="H95" s="16"/>
      <c r="I95" s="16"/>
      <c r="J95" s="63"/>
      <c r="K95" s="48">
        <f t="shared" si="64"/>
        <v>0</v>
      </c>
      <c r="L95" s="48">
        <f t="shared" si="79"/>
        <v>0</v>
      </c>
      <c r="M95" s="52"/>
      <c r="N95" s="53" t="s">
        <v>215</v>
      </c>
      <c r="O95" s="15"/>
      <c r="P95" s="16"/>
      <c r="Q95" s="17"/>
      <c r="R95" s="17"/>
      <c r="S95" s="48">
        <f t="shared" si="71"/>
        <v>0</v>
      </c>
      <c r="T95" s="15"/>
      <c r="U95" s="16"/>
      <c r="V95" s="16">
        <v>1</v>
      </c>
      <c r="W95" s="63"/>
      <c r="X95" s="48">
        <f t="shared" si="72"/>
        <v>1</v>
      </c>
      <c r="Y95" s="48">
        <f t="shared" si="73"/>
        <v>1</v>
      </c>
      <c r="Z95" s="114">
        <v>45398</v>
      </c>
    </row>
    <row r="96" spans="1:26" x14ac:dyDescent="0.15">
      <c r="A96" s="23"/>
      <c r="B96" s="15"/>
      <c r="C96" s="16"/>
      <c r="D96" s="17"/>
      <c r="E96" s="17"/>
      <c r="F96" s="48">
        <f t="shared" si="63"/>
        <v>0</v>
      </c>
      <c r="G96" s="15"/>
      <c r="H96" s="16"/>
      <c r="I96" s="16"/>
      <c r="J96" s="63"/>
      <c r="K96" s="48">
        <f t="shared" si="64"/>
        <v>0</v>
      </c>
      <c r="L96" s="48">
        <f t="shared" si="79"/>
        <v>0</v>
      </c>
      <c r="M96" s="52"/>
      <c r="N96" s="53" t="s">
        <v>216</v>
      </c>
      <c r="O96" s="15"/>
      <c r="P96" s="16"/>
      <c r="Q96" s="17"/>
      <c r="R96" s="17"/>
      <c r="S96" s="48">
        <f t="shared" si="71"/>
        <v>0</v>
      </c>
      <c r="T96" s="15"/>
      <c r="U96" s="16"/>
      <c r="V96" s="16"/>
      <c r="W96" s="63">
        <v>1</v>
      </c>
      <c r="X96" s="48">
        <f t="shared" si="72"/>
        <v>1</v>
      </c>
      <c r="Y96" s="48">
        <f t="shared" si="73"/>
        <v>1</v>
      </c>
      <c r="Z96" s="114">
        <v>45399</v>
      </c>
    </row>
    <row r="97" spans="1:29" x14ac:dyDescent="0.15">
      <c r="A97" s="23"/>
      <c r="B97" s="15"/>
      <c r="C97" s="16"/>
      <c r="D97" s="17"/>
      <c r="E97" s="17"/>
      <c r="F97" s="48">
        <f t="shared" si="63"/>
        <v>0</v>
      </c>
      <c r="G97" s="15"/>
      <c r="H97" s="16"/>
      <c r="I97" s="16"/>
      <c r="J97" s="63"/>
      <c r="K97" s="48">
        <f t="shared" si="64"/>
        <v>0</v>
      </c>
      <c r="L97" s="48">
        <f t="shared" si="79"/>
        <v>0</v>
      </c>
      <c r="M97" s="52"/>
      <c r="N97" s="53" t="s">
        <v>218</v>
      </c>
      <c r="O97" s="15"/>
      <c r="P97" s="16"/>
      <c r="Q97" s="17"/>
      <c r="R97" s="17"/>
      <c r="S97" s="48">
        <f t="shared" si="71"/>
        <v>0</v>
      </c>
      <c r="T97" s="15"/>
      <c r="U97" s="16"/>
      <c r="V97" s="16"/>
      <c r="W97" s="63">
        <v>3</v>
      </c>
      <c r="X97" s="48">
        <f t="shared" si="72"/>
        <v>3</v>
      </c>
      <c r="Y97" s="48">
        <f t="shared" si="73"/>
        <v>3</v>
      </c>
      <c r="Z97" s="114">
        <v>45401</v>
      </c>
    </row>
    <row r="98" spans="1:29" x14ac:dyDescent="0.15">
      <c r="A98" s="23"/>
      <c r="B98" s="15"/>
      <c r="C98" s="16"/>
      <c r="D98" s="17"/>
      <c r="E98" s="17"/>
      <c r="F98" s="48">
        <f t="shared" si="63"/>
        <v>0</v>
      </c>
      <c r="G98" s="15"/>
      <c r="H98" s="16"/>
      <c r="I98" s="16"/>
      <c r="J98" s="63"/>
      <c r="K98" s="48">
        <f t="shared" si="64"/>
        <v>0</v>
      </c>
      <c r="L98" s="48">
        <f t="shared" si="79"/>
        <v>0</v>
      </c>
      <c r="M98" s="52"/>
      <c r="N98" s="53" t="s">
        <v>225</v>
      </c>
      <c r="O98" s="15"/>
      <c r="P98" s="16"/>
      <c r="Q98" s="17">
        <v>4</v>
      </c>
      <c r="R98" s="17"/>
      <c r="S98" s="48">
        <f t="shared" si="71"/>
        <v>4</v>
      </c>
      <c r="T98" s="15"/>
      <c r="U98" s="16"/>
      <c r="V98" s="16">
        <v>4</v>
      </c>
      <c r="W98" s="63">
        <v>2</v>
      </c>
      <c r="X98" s="48">
        <f t="shared" si="72"/>
        <v>6</v>
      </c>
      <c r="Y98" s="48">
        <f t="shared" si="73"/>
        <v>10</v>
      </c>
      <c r="Z98" s="114">
        <v>45412</v>
      </c>
      <c r="AA98" s="25"/>
    </row>
    <row r="99" spans="1:29" x14ac:dyDescent="0.15">
      <c r="A99" s="23"/>
      <c r="B99" s="15"/>
      <c r="C99" s="16"/>
      <c r="D99" s="17"/>
      <c r="E99" s="17"/>
      <c r="F99" s="48">
        <f t="shared" si="63"/>
        <v>0</v>
      </c>
      <c r="G99" s="15"/>
      <c r="H99" s="16"/>
      <c r="I99" s="16"/>
      <c r="J99" s="63"/>
      <c r="K99" s="48">
        <f t="shared" si="64"/>
        <v>0</v>
      </c>
      <c r="L99" s="48">
        <f t="shared" si="79"/>
        <v>0</v>
      </c>
      <c r="M99" s="52"/>
      <c r="N99" s="53" t="s">
        <v>229</v>
      </c>
      <c r="O99" s="15"/>
      <c r="P99" s="16"/>
      <c r="Q99" s="17"/>
      <c r="R99" s="17"/>
      <c r="S99" s="48">
        <f t="shared" si="71"/>
        <v>0</v>
      </c>
      <c r="T99" s="15">
        <v>4</v>
      </c>
      <c r="U99" s="16"/>
      <c r="V99" s="16"/>
      <c r="W99" s="63"/>
      <c r="X99" s="48">
        <f t="shared" si="72"/>
        <v>4</v>
      </c>
      <c r="Y99" s="48">
        <f t="shared" si="73"/>
        <v>4</v>
      </c>
      <c r="Z99" s="114">
        <v>45421</v>
      </c>
      <c r="AA99" s="25"/>
    </row>
    <row r="100" spans="1:29" x14ac:dyDescent="0.15">
      <c r="A100" s="23"/>
      <c r="B100" s="18"/>
      <c r="C100" s="19"/>
      <c r="D100" s="20"/>
      <c r="E100" s="20"/>
      <c r="F100" s="48">
        <f t="shared" si="63"/>
        <v>0</v>
      </c>
      <c r="G100" s="18"/>
      <c r="H100" s="19"/>
      <c r="I100" s="19"/>
      <c r="J100" s="64"/>
      <c r="K100" s="48">
        <f t="shared" si="64"/>
        <v>0</v>
      </c>
      <c r="L100" s="48">
        <f t="shared" si="79"/>
        <v>0</v>
      </c>
      <c r="M100" s="52"/>
      <c r="N100" s="53" t="s">
        <v>231</v>
      </c>
      <c r="O100" s="18"/>
      <c r="P100" s="19"/>
      <c r="Q100" s="20"/>
      <c r="R100" s="20"/>
      <c r="S100" s="48">
        <f t="shared" si="71"/>
        <v>0</v>
      </c>
      <c r="T100" s="18">
        <v>4</v>
      </c>
      <c r="U100" s="19"/>
      <c r="V100" s="19"/>
      <c r="W100" s="64">
        <v>6</v>
      </c>
      <c r="X100" s="48">
        <f t="shared" si="72"/>
        <v>10</v>
      </c>
      <c r="Y100" s="48">
        <f t="shared" si="73"/>
        <v>10</v>
      </c>
      <c r="Z100" s="114">
        <v>45425</v>
      </c>
      <c r="AA100" s="25"/>
    </row>
    <row r="101" spans="1:29" x14ac:dyDescent="0.15">
      <c r="A101" s="54"/>
      <c r="B101" s="15"/>
      <c r="C101" s="16"/>
      <c r="D101" s="17"/>
      <c r="E101" s="17"/>
      <c r="F101" s="48">
        <f t="shared" si="63"/>
        <v>0</v>
      </c>
      <c r="G101" s="15"/>
      <c r="H101" s="16"/>
      <c r="I101" s="16"/>
      <c r="J101" s="63"/>
      <c r="K101" s="48">
        <f t="shared" si="64"/>
        <v>0</v>
      </c>
      <c r="L101" s="48">
        <f t="shared" si="79"/>
        <v>0</v>
      </c>
      <c r="M101" s="52"/>
      <c r="N101" s="53" t="s">
        <v>235</v>
      </c>
      <c r="O101" s="15"/>
      <c r="P101" s="16"/>
      <c r="Q101" s="17"/>
      <c r="R101" s="17"/>
      <c r="S101" s="48">
        <f t="shared" si="71"/>
        <v>0</v>
      </c>
      <c r="T101" s="15">
        <v>5</v>
      </c>
      <c r="U101" s="16"/>
      <c r="V101" s="16"/>
      <c r="W101" s="63"/>
      <c r="X101" s="48">
        <f t="shared" si="72"/>
        <v>5</v>
      </c>
      <c r="Y101" s="48">
        <f t="shared" si="73"/>
        <v>5</v>
      </c>
      <c r="Z101" s="114">
        <v>45429</v>
      </c>
      <c r="AA101" s="25"/>
    </row>
    <row r="102" spans="1:29" x14ac:dyDescent="0.15">
      <c r="A102" s="23"/>
      <c r="B102" s="15"/>
      <c r="C102" s="16"/>
      <c r="D102" s="17"/>
      <c r="E102" s="17"/>
      <c r="F102" s="48">
        <f t="shared" si="63"/>
        <v>0</v>
      </c>
      <c r="G102" s="15"/>
      <c r="H102" s="16"/>
      <c r="I102" s="16"/>
      <c r="J102" s="63"/>
      <c r="K102" s="48">
        <f t="shared" si="64"/>
        <v>0</v>
      </c>
      <c r="L102" s="48">
        <f t="shared" si="79"/>
        <v>0</v>
      </c>
      <c r="M102" s="52"/>
      <c r="N102" s="53" t="s">
        <v>236</v>
      </c>
      <c r="O102" s="15"/>
      <c r="P102" s="16"/>
      <c r="Q102" s="17"/>
      <c r="R102" s="17"/>
      <c r="S102" s="48">
        <f t="shared" si="71"/>
        <v>0</v>
      </c>
      <c r="T102" s="15"/>
      <c r="U102" s="16">
        <v>4</v>
      </c>
      <c r="V102" s="16"/>
      <c r="W102" s="63"/>
      <c r="X102" s="48">
        <f t="shared" si="72"/>
        <v>4</v>
      </c>
      <c r="Y102" s="48">
        <f t="shared" si="73"/>
        <v>4</v>
      </c>
      <c r="Z102" s="114">
        <v>45429</v>
      </c>
      <c r="AA102" s="25"/>
    </row>
    <row r="103" spans="1:29" x14ac:dyDescent="0.15">
      <c r="A103" s="23"/>
      <c r="B103" s="15"/>
      <c r="C103" s="16"/>
      <c r="D103" s="17"/>
      <c r="E103" s="17"/>
      <c r="F103" s="48">
        <f t="shared" si="63"/>
        <v>0</v>
      </c>
      <c r="G103" s="15"/>
      <c r="H103" s="16"/>
      <c r="I103" s="16"/>
      <c r="J103" s="63"/>
      <c r="K103" s="48">
        <f t="shared" si="64"/>
        <v>0</v>
      </c>
      <c r="L103" s="48">
        <f t="shared" si="79"/>
        <v>0</v>
      </c>
      <c r="M103" s="52"/>
      <c r="N103" s="53" t="s">
        <v>239</v>
      </c>
      <c r="O103" s="15"/>
      <c r="P103" s="16">
        <v>5</v>
      </c>
      <c r="Q103" s="17"/>
      <c r="R103" s="17"/>
      <c r="S103" s="48">
        <f t="shared" si="71"/>
        <v>5</v>
      </c>
      <c r="T103" s="15"/>
      <c r="U103" s="16">
        <v>4</v>
      </c>
      <c r="V103" s="16"/>
      <c r="W103" s="63"/>
      <c r="X103" s="48">
        <f t="shared" si="72"/>
        <v>4</v>
      </c>
      <c r="Y103" s="48">
        <f t="shared" si="73"/>
        <v>9</v>
      </c>
      <c r="Z103" s="114">
        <v>45433</v>
      </c>
    </row>
    <row r="104" spans="1:29" x14ac:dyDescent="0.15">
      <c r="A104" s="54"/>
      <c r="B104" s="15"/>
      <c r="C104" s="16"/>
      <c r="D104" s="17"/>
      <c r="E104" s="17"/>
      <c r="F104" s="48">
        <f t="shared" si="63"/>
        <v>0</v>
      </c>
      <c r="G104" s="15"/>
      <c r="H104" s="16"/>
      <c r="I104" s="16"/>
      <c r="J104" s="63"/>
      <c r="K104" s="48">
        <f t="shared" si="64"/>
        <v>0</v>
      </c>
      <c r="L104" s="48">
        <f t="shared" si="79"/>
        <v>0</v>
      </c>
      <c r="M104" s="52"/>
      <c r="N104" s="23" t="s">
        <v>240</v>
      </c>
      <c r="O104" s="15">
        <v>5</v>
      </c>
      <c r="P104" s="16">
        <v>12</v>
      </c>
      <c r="Q104" s="17">
        <v>3</v>
      </c>
      <c r="R104" s="17">
        <v>8</v>
      </c>
      <c r="S104" s="48">
        <f t="shared" si="71"/>
        <v>28</v>
      </c>
      <c r="T104" s="15">
        <v>3</v>
      </c>
      <c r="U104" s="16">
        <v>5</v>
      </c>
      <c r="V104" s="16">
        <v>5</v>
      </c>
      <c r="W104" s="63">
        <v>5</v>
      </c>
      <c r="X104" s="48">
        <f t="shared" si="72"/>
        <v>18</v>
      </c>
      <c r="Y104" s="48">
        <f t="shared" si="73"/>
        <v>46</v>
      </c>
      <c r="Z104" s="114">
        <v>45429</v>
      </c>
    </row>
    <row r="105" spans="1:29" x14ac:dyDescent="0.15">
      <c r="A105" s="24"/>
      <c r="B105" s="15"/>
      <c r="C105" s="16"/>
      <c r="D105" s="17"/>
      <c r="E105" s="17"/>
      <c r="F105" s="48">
        <f t="shared" si="63"/>
        <v>0</v>
      </c>
      <c r="G105" s="15"/>
      <c r="H105" s="16"/>
      <c r="I105" s="16"/>
      <c r="J105" s="63"/>
      <c r="K105" s="48">
        <f t="shared" si="64"/>
        <v>0</v>
      </c>
      <c r="L105" s="48">
        <f t="shared" si="79"/>
        <v>0</v>
      </c>
      <c r="M105" s="52"/>
      <c r="N105" s="9" t="s">
        <v>194</v>
      </c>
      <c r="O105" s="15"/>
      <c r="P105" s="16"/>
      <c r="Q105" s="17"/>
      <c r="R105" s="17"/>
      <c r="S105" s="48">
        <f t="shared" si="71"/>
        <v>0</v>
      </c>
      <c r="T105" s="15">
        <v>-3</v>
      </c>
      <c r="U105" s="16"/>
      <c r="V105" s="16"/>
      <c r="W105" s="63">
        <v>-5</v>
      </c>
      <c r="X105" s="48">
        <f t="shared" si="72"/>
        <v>-8</v>
      </c>
      <c r="Y105" s="48">
        <f t="shared" si="73"/>
        <v>-8</v>
      </c>
      <c r="Z105" s="115">
        <v>45427</v>
      </c>
    </row>
    <row r="106" spans="1:29" x14ac:dyDescent="0.15">
      <c r="A106" s="54"/>
      <c r="B106" s="15"/>
      <c r="C106" s="16"/>
      <c r="D106" s="17"/>
      <c r="E106" s="17"/>
      <c r="F106" s="48">
        <f t="shared" si="63"/>
        <v>0</v>
      </c>
      <c r="G106" s="15"/>
      <c r="H106" s="16"/>
      <c r="I106" s="16"/>
      <c r="J106" s="63"/>
      <c r="K106" s="48">
        <f t="shared" si="64"/>
        <v>0</v>
      </c>
      <c r="L106" s="48">
        <f t="shared" si="79"/>
        <v>0</v>
      </c>
      <c r="M106" s="52"/>
      <c r="N106" s="23" t="s">
        <v>241</v>
      </c>
      <c r="O106" s="15">
        <f>3+9</f>
        <v>12</v>
      </c>
      <c r="P106" s="16"/>
      <c r="Q106" s="17">
        <v>7</v>
      </c>
      <c r="R106" s="17">
        <v>4</v>
      </c>
      <c r="S106" s="48">
        <f t="shared" si="71"/>
        <v>23</v>
      </c>
      <c r="T106" s="15">
        <f>3+5</f>
        <v>8</v>
      </c>
      <c r="U106" s="16">
        <v>5</v>
      </c>
      <c r="V106" s="16">
        <v>3</v>
      </c>
      <c r="W106" s="63"/>
      <c r="X106" s="48">
        <f t="shared" si="72"/>
        <v>16</v>
      </c>
      <c r="Y106" s="48">
        <f t="shared" si="73"/>
        <v>39</v>
      </c>
      <c r="Z106" s="114">
        <v>45434</v>
      </c>
    </row>
    <row r="107" spans="1:29" x14ac:dyDescent="0.15">
      <c r="A107" s="26"/>
      <c r="B107" s="15"/>
      <c r="C107" s="16"/>
      <c r="D107" s="17"/>
      <c r="E107" s="17"/>
      <c r="F107" s="48">
        <f t="shared" si="63"/>
        <v>0</v>
      </c>
      <c r="G107" s="15"/>
      <c r="H107" s="16"/>
      <c r="I107" s="16"/>
      <c r="J107" s="63"/>
      <c r="K107" s="48">
        <f t="shared" si="64"/>
        <v>0</v>
      </c>
      <c r="L107" s="48">
        <f t="shared" si="79"/>
        <v>0</v>
      </c>
      <c r="M107" s="52"/>
      <c r="N107" s="9" t="s">
        <v>194</v>
      </c>
      <c r="O107" s="15"/>
      <c r="P107" s="16"/>
      <c r="Q107" s="17"/>
      <c r="R107" s="17"/>
      <c r="S107" s="48">
        <f t="shared" si="71"/>
        <v>0</v>
      </c>
      <c r="T107" s="15">
        <v>-8</v>
      </c>
      <c r="U107" s="16"/>
      <c r="V107" s="16"/>
      <c r="W107" s="63"/>
      <c r="X107" s="48">
        <f t="shared" si="72"/>
        <v>-8</v>
      </c>
      <c r="Y107" s="48">
        <f t="shared" si="73"/>
        <v>-8</v>
      </c>
      <c r="Z107" s="114">
        <v>45429</v>
      </c>
    </row>
    <row r="108" spans="1:29" x14ac:dyDescent="0.15">
      <c r="A108" s="54"/>
      <c r="B108" s="15"/>
      <c r="C108" s="16"/>
      <c r="D108" s="17"/>
      <c r="E108" s="17"/>
      <c r="F108" s="48">
        <f t="shared" si="63"/>
        <v>0</v>
      </c>
      <c r="G108" s="15"/>
      <c r="H108" s="16"/>
      <c r="I108" s="16"/>
      <c r="J108" s="63"/>
      <c r="K108" s="48">
        <f t="shared" si="64"/>
        <v>0</v>
      </c>
      <c r="L108" s="48">
        <f t="shared" si="79"/>
        <v>0</v>
      </c>
      <c r="M108" s="52"/>
      <c r="N108" s="23" t="s">
        <v>242</v>
      </c>
      <c r="O108" s="15"/>
      <c r="P108" s="16"/>
      <c r="Q108" s="17"/>
      <c r="R108" s="17"/>
      <c r="S108" s="48">
        <f t="shared" si="71"/>
        <v>0</v>
      </c>
      <c r="T108" s="15">
        <v>4</v>
      </c>
      <c r="U108" s="16">
        <v>1</v>
      </c>
      <c r="V108" s="16"/>
      <c r="W108" s="63"/>
      <c r="X108" s="48">
        <f t="shared" si="72"/>
        <v>5</v>
      </c>
      <c r="Y108" s="48">
        <f t="shared" si="73"/>
        <v>5</v>
      </c>
      <c r="Z108" s="114">
        <v>45433</v>
      </c>
      <c r="AA108" s="25"/>
      <c r="AB108" s="25"/>
      <c r="AC108" s="25"/>
    </row>
    <row r="109" spans="1:29" x14ac:dyDescent="0.15">
      <c r="A109" s="23"/>
      <c r="B109" s="15"/>
      <c r="C109" s="16"/>
      <c r="D109" s="17"/>
      <c r="E109" s="17"/>
      <c r="F109" s="48">
        <f t="shared" si="63"/>
        <v>0</v>
      </c>
      <c r="G109" s="15"/>
      <c r="H109" s="16"/>
      <c r="I109" s="16"/>
      <c r="J109" s="63"/>
      <c r="K109" s="48">
        <f t="shared" si="64"/>
        <v>0</v>
      </c>
      <c r="L109" s="48">
        <f t="shared" si="79"/>
        <v>0</v>
      </c>
      <c r="M109" s="25"/>
      <c r="N109" s="9" t="s">
        <v>194</v>
      </c>
      <c r="O109" s="15"/>
      <c r="P109" s="16"/>
      <c r="Q109" s="17"/>
      <c r="R109" s="17"/>
      <c r="S109" s="48">
        <f t="shared" si="71"/>
        <v>0</v>
      </c>
      <c r="T109" s="15">
        <v>-4</v>
      </c>
      <c r="U109" s="16"/>
      <c r="V109" s="16"/>
      <c r="W109" s="63"/>
      <c r="X109" s="48">
        <f t="shared" si="72"/>
        <v>-4</v>
      </c>
      <c r="Y109" s="48">
        <f t="shared" si="73"/>
        <v>-4</v>
      </c>
      <c r="Z109" s="114">
        <v>45432</v>
      </c>
      <c r="AA109" s="25"/>
      <c r="AB109" s="25"/>
      <c r="AC109" s="25"/>
    </row>
    <row r="110" spans="1:29" x14ac:dyDescent="0.15">
      <c r="A110" s="23"/>
      <c r="B110" s="15"/>
      <c r="C110" s="16"/>
      <c r="D110" s="17"/>
      <c r="E110" s="17"/>
      <c r="F110" s="48">
        <f t="shared" si="63"/>
        <v>0</v>
      </c>
      <c r="G110" s="15"/>
      <c r="H110" s="16"/>
      <c r="I110" s="16"/>
      <c r="J110" s="63"/>
      <c r="K110" s="48">
        <f t="shared" si="64"/>
        <v>0</v>
      </c>
      <c r="L110" s="48">
        <f t="shared" si="79"/>
        <v>0</v>
      </c>
      <c r="M110" s="25"/>
      <c r="N110" s="23" t="s">
        <v>243</v>
      </c>
      <c r="O110" s="15">
        <v>4</v>
      </c>
      <c r="P110" s="16">
        <v>8</v>
      </c>
      <c r="Q110" s="17">
        <v>4</v>
      </c>
      <c r="R110" s="17"/>
      <c r="S110" s="48">
        <f t="shared" si="71"/>
        <v>16</v>
      </c>
      <c r="T110" s="15">
        <v>4</v>
      </c>
      <c r="U110" s="16"/>
      <c r="V110" s="16">
        <v>9</v>
      </c>
      <c r="W110" s="63">
        <v>25</v>
      </c>
      <c r="X110" s="48">
        <f t="shared" si="72"/>
        <v>38</v>
      </c>
      <c r="Y110" s="48">
        <f t="shared" si="73"/>
        <v>54</v>
      </c>
      <c r="Z110" s="114">
        <v>45436</v>
      </c>
    </row>
    <row r="111" spans="1:29" x14ac:dyDescent="0.15">
      <c r="A111" s="23"/>
      <c r="B111" s="15"/>
      <c r="C111" s="16"/>
      <c r="D111" s="17"/>
      <c r="E111" s="17"/>
      <c r="F111" s="48">
        <f t="shared" si="63"/>
        <v>0</v>
      </c>
      <c r="G111" s="15"/>
      <c r="H111" s="16"/>
      <c r="I111" s="16"/>
      <c r="J111" s="63"/>
      <c r="K111" s="48">
        <f t="shared" si="64"/>
        <v>0</v>
      </c>
      <c r="L111" s="48">
        <f t="shared" si="79"/>
        <v>0</v>
      </c>
      <c r="M111" s="25"/>
      <c r="N111" s="9" t="s">
        <v>194</v>
      </c>
      <c r="O111" s="15"/>
      <c r="P111" s="16"/>
      <c r="Q111" s="17"/>
      <c r="R111" s="17"/>
      <c r="S111" s="48">
        <f t="shared" si="71"/>
        <v>0</v>
      </c>
      <c r="T111" s="15">
        <v>-4</v>
      </c>
      <c r="U111" s="16"/>
      <c r="V111" s="16">
        <v>-9</v>
      </c>
      <c r="W111" s="63">
        <v>-25</v>
      </c>
      <c r="X111" s="48">
        <f t="shared" si="72"/>
        <v>-38</v>
      </c>
      <c r="Y111" s="48">
        <f t="shared" si="73"/>
        <v>-38</v>
      </c>
      <c r="Z111" s="115">
        <v>45432</v>
      </c>
    </row>
    <row r="112" spans="1:29" x14ac:dyDescent="0.15">
      <c r="A112" s="23"/>
      <c r="B112" s="18"/>
      <c r="C112" s="19"/>
      <c r="D112" s="20"/>
      <c r="E112" s="20"/>
      <c r="F112" s="48">
        <f t="shared" si="63"/>
        <v>0</v>
      </c>
      <c r="G112" s="18"/>
      <c r="H112" s="19"/>
      <c r="I112" s="19"/>
      <c r="J112" s="64"/>
      <c r="K112" s="48">
        <f t="shared" si="64"/>
        <v>0</v>
      </c>
      <c r="L112" s="48">
        <f t="shared" si="79"/>
        <v>0</v>
      </c>
      <c r="M112" s="25"/>
      <c r="N112" s="23"/>
      <c r="O112" s="15"/>
      <c r="P112" s="16"/>
      <c r="Q112" s="17"/>
      <c r="R112" s="17"/>
      <c r="S112" s="48">
        <f t="shared" ref="S112:S113" si="80">SUM(O112:R112)</f>
        <v>0</v>
      </c>
      <c r="T112" s="15"/>
      <c r="U112" s="16"/>
      <c r="V112" s="16"/>
      <c r="W112" s="63"/>
      <c r="X112" s="48">
        <f t="shared" ref="X112:X113" si="81">SUM(T112:W112)</f>
        <v>0</v>
      </c>
      <c r="Y112" s="48">
        <f t="shared" ref="Y112:Y113" si="82">S112+X112</f>
        <v>0</v>
      </c>
    </row>
    <row r="113" spans="1:26" x14ac:dyDescent="0.15">
      <c r="A113" s="23"/>
      <c r="B113" s="16"/>
      <c r="C113" s="16"/>
      <c r="D113" s="17"/>
      <c r="E113" s="17"/>
      <c r="F113" s="48">
        <f t="shared" si="63"/>
        <v>0</v>
      </c>
      <c r="G113" s="16"/>
      <c r="H113" s="16"/>
      <c r="I113" s="16"/>
      <c r="J113" s="63"/>
      <c r="K113" s="48">
        <f t="shared" si="64"/>
        <v>0</v>
      </c>
      <c r="L113" s="48">
        <f t="shared" si="79"/>
        <v>0</v>
      </c>
      <c r="M113" s="25"/>
      <c r="N113" s="23"/>
      <c r="O113" s="15"/>
      <c r="P113" s="16"/>
      <c r="Q113" s="17"/>
      <c r="R113" s="17"/>
      <c r="S113" s="48">
        <f t="shared" si="80"/>
        <v>0</v>
      </c>
      <c r="T113" s="15"/>
      <c r="U113" s="16"/>
      <c r="V113" s="16"/>
      <c r="W113" s="63"/>
      <c r="X113" s="48">
        <f t="shared" si="81"/>
        <v>0</v>
      </c>
      <c r="Y113" s="48">
        <f t="shared" si="82"/>
        <v>0</v>
      </c>
    </row>
    <row r="114" spans="1:26" x14ac:dyDescent="0.15">
      <c r="A114" s="23"/>
      <c r="B114" s="15"/>
      <c r="C114" s="25"/>
      <c r="D114" s="17"/>
      <c r="E114" s="17"/>
      <c r="F114" s="48">
        <f t="shared" si="63"/>
        <v>0</v>
      </c>
      <c r="G114" s="15"/>
      <c r="H114" s="25"/>
      <c r="I114" s="16"/>
      <c r="J114" s="63"/>
      <c r="K114" s="48">
        <f t="shared" si="64"/>
        <v>0</v>
      </c>
      <c r="L114" s="48">
        <f t="shared" si="79"/>
        <v>0</v>
      </c>
      <c r="M114" s="25"/>
      <c r="N114" s="23" t="s">
        <v>180</v>
      </c>
      <c r="O114" s="15"/>
      <c r="P114" s="16"/>
      <c r="Q114" s="17"/>
      <c r="R114" s="17"/>
      <c r="S114" s="48">
        <f t="shared" ref="S114" si="83">SUM(O114:R114)</f>
        <v>0</v>
      </c>
      <c r="T114" s="15"/>
      <c r="U114" s="16"/>
      <c r="V114" s="16"/>
      <c r="W114" s="63"/>
      <c r="X114" s="48">
        <f t="shared" ref="X114" si="84">SUM(T114:W114)</f>
        <v>0</v>
      </c>
      <c r="Y114" s="48">
        <f t="shared" ref="Y114" si="85">S114+X114</f>
        <v>0</v>
      </c>
      <c r="Z114" s="76" t="s">
        <v>181</v>
      </c>
    </row>
    <row r="115" spans="1:26" x14ac:dyDescent="0.15">
      <c r="A115" s="23"/>
      <c r="B115" s="15"/>
      <c r="C115" s="16"/>
      <c r="D115" s="16"/>
      <c r="E115" s="63"/>
      <c r="F115" s="48">
        <f t="shared" si="63"/>
        <v>0</v>
      </c>
      <c r="G115" s="15"/>
      <c r="H115" s="16"/>
      <c r="I115" s="16"/>
      <c r="J115" s="63"/>
      <c r="K115" s="48">
        <f t="shared" si="64"/>
        <v>0</v>
      </c>
      <c r="L115" s="48">
        <f t="shared" si="79"/>
        <v>0</v>
      </c>
      <c r="M115" s="25"/>
      <c r="N115" s="158" t="s">
        <v>103</v>
      </c>
      <c r="O115" s="140"/>
      <c r="P115" s="142"/>
      <c r="Q115" s="142"/>
      <c r="R115" s="143"/>
      <c r="S115" s="144">
        <f t="shared" si="71"/>
        <v>0</v>
      </c>
      <c r="T115" s="140"/>
      <c r="U115" s="142"/>
      <c r="V115" s="142"/>
      <c r="W115" s="143"/>
      <c r="X115" s="144">
        <f t="shared" si="72"/>
        <v>0</v>
      </c>
      <c r="Y115" s="144">
        <f t="shared" si="73"/>
        <v>0</v>
      </c>
      <c r="Z115" s="76"/>
    </row>
    <row r="116" spans="1:26" ht="14.25" thickBot="1" x14ac:dyDescent="0.2">
      <c r="A116" s="26"/>
      <c r="B116" s="18"/>
      <c r="C116" s="19"/>
      <c r="D116" s="19"/>
      <c r="E116" s="64"/>
      <c r="F116" s="55">
        <f t="shared" si="63"/>
        <v>0</v>
      </c>
      <c r="G116" s="18"/>
      <c r="H116" s="19"/>
      <c r="I116" s="19"/>
      <c r="J116" s="64"/>
      <c r="K116" s="55">
        <f t="shared" si="64"/>
        <v>0</v>
      </c>
      <c r="L116" s="55">
        <f t="shared" si="79"/>
        <v>0</v>
      </c>
      <c r="M116" s="25"/>
      <c r="N116" s="53" t="s">
        <v>89</v>
      </c>
      <c r="O116" s="18"/>
      <c r="P116" s="19"/>
      <c r="Q116" s="19"/>
      <c r="R116" s="64"/>
      <c r="S116" s="55">
        <f t="shared" si="71"/>
        <v>0</v>
      </c>
      <c r="T116" s="18"/>
      <c r="U116" s="19"/>
      <c r="V116" s="19"/>
      <c r="W116" s="64"/>
      <c r="X116" s="55">
        <f>SUM(T116:W116)</f>
        <v>0</v>
      </c>
      <c r="Y116" s="55">
        <f t="shared" si="73"/>
        <v>0</v>
      </c>
      <c r="Z116" s="76" t="s">
        <v>90</v>
      </c>
    </row>
    <row r="117" spans="1:26" ht="14.25" thickBot="1" x14ac:dyDescent="0.2">
      <c r="A117" s="27" t="s">
        <v>12</v>
      </c>
      <c r="B117" s="57">
        <f>SUM(B91:B116)</f>
        <v>0</v>
      </c>
      <c r="C117" s="50">
        <f t="shared" ref="C117:D117" si="86">SUM(C91:C116)</f>
        <v>0</v>
      </c>
      <c r="D117" s="50">
        <f t="shared" si="86"/>
        <v>0</v>
      </c>
      <c r="E117" s="50">
        <f>SUM(E91:E116)</f>
        <v>0</v>
      </c>
      <c r="F117" s="59">
        <f t="shared" si="63"/>
        <v>0</v>
      </c>
      <c r="G117" s="57">
        <f t="shared" ref="G117:I117" si="87">SUM(G91:G116)</f>
        <v>0</v>
      </c>
      <c r="H117" s="50">
        <f t="shared" si="87"/>
        <v>0</v>
      </c>
      <c r="I117" s="50">
        <f t="shared" si="87"/>
        <v>0</v>
      </c>
      <c r="J117" s="58">
        <f>SUM(J91:J116)</f>
        <v>0</v>
      </c>
      <c r="K117" s="59">
        <f t="shared" si="64"/>
        <v>0</v>
      </c>
      <c r="L117" s="59">
        <f t="shared" ref="L117" si="88">SUM(L91:L116)</f>
        <v>0</v>
      </c>
      <c r="N117" s="27" t="s">
        <v>12</v>
      </c>
      <c r="O117" s="57">
        <f>SUM(O91:O116)</f>
        <v>39</v>
      </c>
      <c r="P117" s="50">
        <f t="shared" ref="P117:Q117" si="89">SUM(P91:P116)</f>
        <v>40</v>
      </c>
      <c r="Q117" s="50">
        <f t="shared" si="89"/>
        <v>22</v>
      </c>
      <c r="R117" s="50">
        <f>SUM(R91:R116)</f>
        <v>16</v>
      </c>
      <c r="S117" s="59">
        <f t="shared" si="71"/>
        <v>117</v>
      </c>
      <c r="T117" s="57">
        <f t="shared" ref="T117:V117" si="90">SUM(T91:T116)</f>
        <v>33</v>
      </c>
      <c r="U117" s="50">
        <f t="shared" si="90"/>
        <v>39</v>
      </c>
      <c r="V117" s="50">
        <f t="shared" si="90"/>
        <v>21</v>
      </c>
      <c r="W117" s="58">
        <f>SUM(W91:W116)</f>
        <v>13</v>
      </c>
      <c r="X117" s="59">
        <f t="shared" ref="X117:X118" si="91">SUM(T117:W117)</f>
        <v>106</v>
      </c>
      <c r="Y117" s="59">
        <f t="shared" si="73"/>
        <v>223</v>
      </c>
    </row>
    <row r="118" spans="1:26" ht="14.25" thickBot="1" x14ac:dyDescent="0.2">
      <c r="A118" s="29" t="s">
        <v>13</v>
      </c>
      <c r="B118" s="32">
        <f>B90-B117</f>
        <v>0</v>
      </c>
      <c r="C118" s="44">
        <f t="shared" ref="C118:D118" si="92">C90-C117</f>
        <v>0</v>
      </c>
      <c r="D118" s="44">
        <f t="shared" si="92"/>
        <v>0</v>
      </c>
      <c r="E118" s="44">
        <f>E90-E117</f>
        <v>0</v>
      </c>
      <c r="F118" s="28">
        <f t="shared" si="63"/>
        <v>0</v>
      </c>
      <c r="G118" s="32">
        <f t="shared" ref="G118:I118" si="93">G90-G117</f>
        <v>0</v>
      </c>
      <c r="H118" s="44">
        <f t="shared" si="93"/>
        <v>0</v>
      </c>
      <c r="I118" s="44">
        <f t="shared" si="93"/>
        <v>0</v>
      </c>
      <c r="J118" s="43">
        <f>J90-J117</f>
        <v>0</v>
      </c>
      <c r="K118" s="28">
        <f t="shared" si="64"/>
        <v>0</v>
      </c>
      <c r="L118" s="28">
        <f t="shared" ref="L118" si="94">L90-L117</f>
        <v>0</v>
      </c>
      <c r="N118" s="29" t="s">
        <v>13</v>
      </c>
      <c r="O118" s="32">
        <f>O90-O117</f>
        <v>36</v>
      </c>
      <c r="P118" s="44">
        <f t="shared" ref="P118:Q118" si="95">P90-P117</f>
        <v>72</v>
      </c>
      <c r="Q118" s="44">
        <f t="shared" si="95"/>
        <v>46</v>
      </c>
      <c r="R118" s="44">
        <f>R90-R117</f>
        <v>8</v>
      </c>
      <c r="S118" s="28">
        <f t="shared" si="71"/>
        <v>162</v>
      </c>
      <c r="T118" s="32">
        <f t="shared" ref="T118:V118" si="96">T90-T117</f>
        <v>0</v>
      </c>
      <c r="U118" s="44">
        <f t="shared" si="96"/>
        <v>11</v>
      </c>
      <c r="V118" s="44">
        <f t="shared" si="96"/>
        <v>0</v>
      </c>
      <c r="W118" s="43">
        <f>W90-W117</f>
        <v>0</v>
      </c>
      <c r="X118" s="28">
        <f t="shared" si="91"/>
        <v>11</v>
      </c>
      <c r="Y118" s="28">
        <f t="shared" si="73"/>
        <v>173</v>
      </c>
    </row>
    <row r="121" spans="1:26" ht="19.5" thickBot="1" x14ac:dyDescent="0.25">
      <c r="A121" s="288" t="s">
        <v>44</v>
      </c>
      <c r="B121" s="288"/>
      <c r="C121" s="288"/>
      <c r="D121" s="288"/>
      <c r="E121" s="288"/>
      <c r="F121" s="288"/>
      <c r="G121" s="33"/>
      <c r="H121" s="33" t="s">
        <v>14</v>
      </c>
      <c r="I121" s="33"/>
      <c r="J121" s="33"/>
      <c r="K121" s="33"/>
      <c r="L121" s="1"/>
      <c r="N121" s="70" t="s">
        <v>70</v>
      </c>
      <c r="O121" s="70"/>
      <c r="P121" s="70"/>
      <c r="Q121" s="70"/>
      <c r="R121" s="70"/>
      <c r="S121" s="70"/>
      <c r="T121" s="33"/>
      <c r="U121" s="33" t="s">
        <v>17</v>
      </c>
      <c r="V121" s="33"/>
      <c r="W121" s="33"/>
      <c r="X121" s="33"/>
      <c r="Y121" s="1"/>
    </row>
    <row r="122" spans="1:26" ht="14.25" thickBot="1" x14ac:dyDescent="0.2">
      <c r="A122" s="2" t="s">
        <v>0</v>
      </c>
      <c r="B122" s="294" t="s">
        <v>19</v>
      </c>
      <c r="C122" s="295"/>
      <c r="D122" s="295"/>
      <c r="E122" s="296"/>
      <c r="F122" s="38"/>
      <c r="G122" s="289" t="s">
        <v>18</v>
      </c>
      <c r="H122" s="290"/>
      <c r="I122" s="290"/>
      <c r="J122" s="291"/>
      <c r="K122" s="31"/>
      <c r="L122" s="292" t="s">
        <v>1</v>
      </c>
      <c r="N122" s="2" t="s">
        <v>0</v>
      </c>
      <c r="O122" s="294" t="s">
        <v>19</v>
      </c>
      <c r="P122" s="295"/>
      <c r="Q122" s="295"/>
      <c r="R122" s="296"/>
      <c r="S122" s="38"/>
      <c r="T122" s="289" t="s">
        <v>18</v>
      </c>
      <c r="U122" s="290"/>
      <c r="V122" s="290"/>
      <c r="W122" s="291"/>
      <c r="X122" s="31"/>
      <c r="Y122" s="292" t="s">
        <v>1</v>
      </c>
    </row>
    <row r="123" spans="1:26" ht="14.25" thickBot="1" x14ac:dyDescent="0.2">
      <c r="A123" s="2" t="s">
        <v>2</v>
      </c>
      <c r="B123" s="3" t="s">
        <v>3</v>
      </c>
      <c r="C123" s="4" t="s">
        <v>4</v>
      </c>
      <c r="D123" s="4" t="s">
        <v>5</v>
      </c>
      <c r="E123" s="60" t="s">
        <v>20</v>
      </c>
      <c r="F123" s="2" t="s">
        <v>6</v>
      </c>
      <c r="G123" s="30" t="s">
        <v>3</v>
      </c>
      <c r="H123" s="6" t="s">
        <v>4</v>
      </c>
      <c r="I123" s="6" t="s">
        <v>5</v>
      </c>
      <c r="J123" s="66" t="s">
        <v>20</v>
      </c>
      <c r="K123" s="2" t="s">
        <v>6</v>
      </c>
      <c r="L123" s="293"/>
      <c r="N123" s="2" t="s">
        <v>2</v>
      </c>
      <c r="O123" s="3" t="s">
        <v>3</v>
      </c>
      <c r="P123" s="4" t="s">
        <v>4</v>
      </c>
      <c r="Q123" s="4" t="s">
        <v>5</v>
      </c>
      <c r="R123" s="60" t="s">
        <v>20</v>
      </c>
      <c r="S123" s="2" t="s">
        <v>6</v>
      </c>
      <c r="T123" s="30" t="s">
        <v>3</v>
      </c>
      <c r="U123" s="6" t="s">
        <v>4</v>
      </c>
      <c r="V123" s="6" t="s">
        <v>5</v>
      </c>
      <c r="W123" s="66" t="s">
        <v>20</v>
      </c>
      <c r="X123" s="2" t="s">
        <v>6</v>
      </c>
      <c r="Y123" s="293"/>
    </row>
    <row r="124" spans="1:26" x14ac:dyDescent="0.15">
      <c r="A124" s="40" t="s">
        <v>13</v>
      </c>
      <c r="B124" s="41">
        <f>B118</f>
        <v>0</v>
      </c>
      <c r="C124" s="42">
        <f t="shared" ref="C124:L124" si="97">C118</f>
        <v>0</v>
      </c>
      <c r="D124" s="42">
        <f t="shared" si="97"/>
        <v>0</v>
      </c>
      <c r="E124" s="67">
        <f t="shared" si="97"/>
        <v>0</v>
      </c>
      <c r="F124" s="34">
        <f t="shared" si="97"/>
        <v>0</v>
      </c>
      <c r="G124" s="41">
        <f t="shared" si="97"/>
        <v>0</v>
      </c>
      <c r="H124" s="42">
        <f t="shared" si="97"/>
        <v>0</v>
      </c>
      <c r="I124" s="42">
        <f t="shared" si="97"/>
        <v>0</v>
      </c>
      <c r="J124" s="67">
        <f t="shared" si="97"/>
        <v>0</v>
      </c>
      <c r="K124" s="34">
        <f t="shared" si="97"/>
        <v>0</v>
      </c>
      <c r="L124" s="37">
        <f t="shared" si="97"/>
        <v>0</v>
      </c>
      <c r="M124" s="25"/>
      <c r="N124" s="40" t="s">
        <v>13</v>
      </c>
      <c r="O124" s="41">
        <f>O118</f>
        <v>36</v>
      </c>
      <c r="P124" s="42">
        <f t="shared" ref="P124:Y124" si="98">P118</f>
        <v>72</v>
      </c>
      <c r="Q124" s="42">
        <f t="shared" si="98"/>
        <v>46</v>
      </c>
      <c r="R124" s="67">
        <f t="shared" si="98"/>
        <v>8</v>
      </c>
      <c r="S124" s="34">
        <f t="shared" si="98"/>
        <v>162</v>
      </c>
      <c r="T124" s="41">
        <f t="shared" si="98"/>
        <v>0</v>
      </c>
      <c r="U124" s="42">
        <f t="shared" si="98"/>
        <v>11</v>
      </c>
      <c r="V124" s="42">
        <f t="shared" si="98"/>
        <v>0</v>
      </c>
      <c r="W124" s="67">
        <f t="shared" si="98"/>
        <v>0</v>
      </c>
      <c r="X124" s="34">
        <f t="shared" si="98"/>
        <v>11</v>
      </c>
      <c r="Y124" s="37">
        <f t="shared" si="98"/>
        <v>173</v>
      </c>
    </row>
    <row r="125" spans="1:26" x14ac:dyDescent="0.15">
      <c r="A125" s="9" t="s">
        <v>7</v>
      </c>
      <c r="B125" s="10"/>
      <c r="C125" s="11"/>
      <c r="D125" s="11"/>
      <c r="E125" s="62"/>
      <c r="F125" s="47">
        <f t="shared" ref="F125:F158" si="99">SUM(B125:E125)</f>
        <v>0</v>
      </c>
      <c r="G125" s="10"/>
      <c r="H125" s="11"/>
      <c r="I125" s="11"/>
      <c r="J125" s="62"/>
      <c r="K125" s="47">
        <f t="shared" ref="K125:K158" si="100">SUM(G125:J125)</f>
        <v>0</v>
      </c>
      <c r="L125" s="48">
        <f t="shared" ref="L125:L129" si="101">F125+K125</f>
        <v>0</v>
      </c>
      <c r="M125" s="52"/>
      <c r="N125" s="182" t="s">
        <v>194</v>
      </c>
      <c r="O125" s="15"/>
      <c r="P125" s="16"/>
      <c r="Q125" s="16"/>
      <c r="R125" s="63"/>
      <c r="S125" s="48">
        <f t="shared" ref="S125:S158" si="102">SUM(O125:R125)</f>
        <v>0</v>
      </c>
      <c r="T125" s="15">
        <v>3</v>
      </c>
      <c r="U125" s="16">
        <v>2</v>
      </c>
      <c r="V125" s="16"/>
      <c r="W125" s="63"/>
      <c r="X125" s="48">
        <f t="shared" ref="X125:X153" si="103">SUM(T125:W125)</f>
        <v>5</v>
      </c>
      <c r="Y125" s="48">
        <f>S125+X125</f>
        <v>5</v>
      </c>
      <c r="Z125" s="115">
        <v>45433</v>
      </c>
    </row>
    <row r="126" spans="1:26" x14ac:dyDescent="0.15">
      <c r="A126" s="9" t="s">
        <v>8</v>
      </c>
      <c r="B126" s="10"/>
      <c r="C126" s="11"/>
      <c r="D126" s="12"/>
      <c r="E126" s="12"/>
      <c r="F126" s="48">
        <f t="shared" si="99"/>
        <v>0</v>
      </c>
      <c r="G126" s="10"/>
      <c r="H126" s="11"/>
      <c r="I126" s="11"/>
      <c r="J126" s="62"/>
      <c r="K126" s="48">
        <f t="shared" si="100"/>
        <v>0</v>
      </c>
      <c r="L126" s="48">
        <f t="shared" si="101"/>
        <v>0</v>
      </c>
      <c r="M126" s="52"/>
      <c r="N126" s="182" t="s">
        <v>194</v>
      </c>
      <c r="O126" s="15"/>
      <c r="P126" s="16"/>
      <c r="Q126" s="16"/>
      <c r="R126" s="63"/>
      <c r="S126" s="48">
        <f t="shared" si="102"/>
        <v>0</v>
      </c>
      <c r="T126" s="15">
        <v>3</v>
      </c>
      <c r="U126" s="16"/>
      <c r="V126" s="16">
        <v>2</v>
      </c>
      <c r="W126" s="63"/>
      <c r="X126" s="48">
        <f t="shared" si="103"/>
        <v>5</v>
      </c>
      <c r="Y126" s="48">
        <f>S126+X126</f>
        <v>5</v>
      </c>
      <c r="Z126" s="115">
        <v>45435</v>
      </c>
    </row>
    <row r="127" spans="1:26" x14ac:dyDescent="0.15">
      <c r="A127" s="9" t="s">
        <v>9</v>
      </c>
      <c r="B127" s="15"/>
      <c r="C127" s="16"/>
      <c r="D127" s="17"/>
      <c r="E127" s="17"/>
      <c r="F127" s="48">
        <f t="shared" si="99"/>
        <v>0</v>
      </c>
      <c r="G127" s="15"/>
      <c r="H127" s="16"/>
      <c r="I127" s="16"/>
      <c r="J127" s="63"/>
      <c r="K127" s="48">
        <f t="shared" si="100"/>
        <v>0</v>
      </c>
      <c r="L127" s="48">
        <f t="shared" si="101"/>
        <v>0</v>
      </c>
      <c r="M127" s="52"/>
      <c r="N127" s="182" t="s">
        <v>194</v>
      </c>
      <c r="O127" s="15"/>
      <c r="P127" s="16"/>
      <c r="Q127" s="16"/>
      <c r="R127" s="63"/>
      <c r="S127" s="48">
        <f t="shared" si="102"/>
        <v>0</v>
      </c>
      <c r="T127" s="15">
        <v>3</v>
      </c>
      <c r="U127" s="16"/>
      <c r="V127" s="16"/>
      <c r="W127" s="63"/>
      <c r="X127" s="48">
        <f t="shared" si="103"/>
        <v>3</v>
      </c>
      <c r="Y127" s="48">
        <f t="shared" ref="Y127" si="104">S127+X127</f>
        <v>3</v>
      </c>
      <c r="Z127" s="115">
        <v>45436</v>
      </c>
    </row>
    <row r="128" spans="1:26" x14ac:dyDescent="0.15">
      <c r="A128" s="9" t="s">
        <v>10</v>
      </c>
      <c r="B128" s="15"/>
      <c r="C128" s="16"/>
      <c r="D128" s="17"/>
      <c r="E128" s="17"/>
      <c r="F128" s="48">
        <f t="shared" si="99"/>
        <v>0</v>
      </c>
      <c r="G128" s="15"/>
      <c r="H128" s="16"/>
      <c r="I128" s="16"/>
      <c r="J128" s="63"/>
      <c r="K128" s="48">
        <f t="shared" si="100"/>
        <v>0</v>
      </c>
      <c r="L128" s="48">
        <f t="shared" si="101"/>
        <v>0</v>
      </c>
      <c r="M128" s="25"/>
      <c r="N128" s="182" t="s">
        <v>194</v>
      </c>
      <c r="O128" s="10"/>
      <c r="P128" s="11"/>
      <c r="Q128" s="11"/>
      <c r="R128" s="62"/>
      <c r="S128" s="47">
        <f t="shared" si="102"/>
        <v>0</v>
      </c>
      <c r="T128" s="10"/>
      <c r="U128" s="11">
        <v>5</v>
      </c>
      <c r="V128" s="11"/>
      <c r="W128" s="62"/>
      <c r="X128" s="47">
        <f t="shared" si="103"/>
        <v>5</v>
      </c>
      <c r="Y128" s="47">
        <f>S128+X128</f>
        <v>5</v>
      </c>
      <c r="Z128" s="115">
        <v>45439</v>
      </c>
    </row>
    <row r="129" spans="1:27" ht="14.25" thickBot="1" x14ac:dyDescent="0.2">
      <c r="A129" s="9" t="s">
        <v>11</v>
      </c>
      <c r="B129" s="15"/>
      <c r="C129" s="16"/>
      <c r="D129" s="17"/>
      <c r="E129" s="17"/>
      <c r="F129" s="55">
        <f t="shared" si="99"/>
        <v>0</v>
      </c>
      <c r="G129" s="15"/>
      <c r="H129" s="16"/>
      <c r="I129" s="16"/>
      <c r="J129" s="64"/>
      <c r="K129" s="55">
        <f t="shared" si="100"/>
        <v>0</v>
      </c>
      <c r="L129" s="49">
        <f t="shared" si="101"/>
        <v>0</v>
      </c>
      <c r="M129" s="25"/>
      <c r="N129" s="182" t="s">
        <v>194</v>
      </c>
      <c r="O129" s="15"/>
      <c r="P129" s="16"/>
      <c r="Q129" s="68"/>
      <c r="R129" s="63"/>
      <c r="S129" s="55">
        <f t="shared" si="102"/>
        <v>0</v>
      </c>
      <c r="T129" s="15">
        <v>10</v>
      </c>
      <c r="U129" s="16">
        <v>10</v>
      </c>
      <c r="V129" s="16">
        <v>10</v>
      </c>
      <c r="W129" s="64"/>
      <c r="X129" s="55">
        <f t="shared" si="103"/>
        <v>30</v>
      </c>
      <c r="Y129" s="49">
        <f t="shared" ref="Y129:Y158" si="105">S129+X129</f>
        <v>30</v>
      </c>
      <c r="Z129" s="115">
        <v>45441</v>
      </c>
    </row>
    <row r="130" spans="1:27" ht="14.25" thickBot="1" x14ac:dyDescent="0.2">
      <c r="A130" s="21" t="s">
        <v>16</v>
      </c>
      <c r="B130" s="7">
        <f>SUM(B124:B129)</f>
        <v>0</v>
      </c>
      <c r="C130" s="8">
        <f t="shared" ref="C130:E130" si="106">SUM(C124:C129)</f>
        <v>0</v>
      </c>
      <c r="D130" s="22">
        <f t="shared" si="106"/>
        <v>0</v>
      </c>
      <c r="E130" s="22">
        <f t="shared" si="106"/>
        <v>0</v>
      </c>
      <c r="F130" s="28">
        <f t="shared" si="99"/>
        <v>0</v>
      </c>
      <c r="G130" s="7">
        <f t="shared" ref="G130:J130" si="107">SUM(G124:G129)</f>
        <v>0</v>
      </c>
      <c r="H130" s="8">
        <f t="shared" si="107"/>
        <v>0</v>
      </c>
      <c r="I130" s="8">
        <f t="shared" si="107"/>
        <v>0</v>
      </c>
      <c r="J130" s="65">
        <f t="shared" si="107"/>
        <v>0</v>
      </c>
      <c r="K130" s="28">
        <f t="shared" si="100"/>
        <v>0</v>
      </c>
      <c r="L130" s="35">
        <f t="shared" ref="L130" si="108">SUM(L124:L129)</f>
        <v>0</v>
      </c>
      <c r="N130" s="21" t="s">
        <v>16</v>
      </c>
      <c r="O130" s="7">
        <f>SUM(O124:O129)</f>
        <v>36</v>
      </c>
      <c r="P130" s="8">
        <f t="shared" ref="P130:R130" si="109">SUM(P124:P129)</f>
        <v>72</v>
      </c>
      <c r="Q130" s="22">
        <f t="shared" si="109"/>
        <v>46</v>
      </c>
      <c r="R130" s="22">
        <f t="shared" si="109"/>
        <v>8</v>
      </c>
      <c r="S130" s="28">
        <f t="shared" si="102"/>
        <v>162</v>
      </c>
      <c r="T130" s="7">
        <f t="shared" ref="T130:V130" si="110">SUM(T124:T129)</f>
        <v>19</v>
      </c>
      <c r="U130" s="8">
        <f t="shared" si="110"/>
        <v>28</v>
      </c>
      <c r="V130" s="8">
        <f t="shared" si="110"/>
        <v>12</v>
      </c>
      <c r="W130" s="65">
        <f>SUM(W124:W129)</f>
        <v>0</v>
      </c>
      <c r="X130" s="28">
        <f t="shared" si="103"/>
        <v>59</v>
      </c>
      <c r="Y130" s="35">
        <f t="shared" si="105"/>
        <v>221</v>
      </c>
    </row>
    <row r="131" spans="1:27" x14ac:dyDescent="0.15">
      <c r="A131" s="23"/>
      <c r="B131" s="39"/>
      <c r="C131" s="13"/>
      <c r="D131" s="14"/>
      <c r="E131" s="14"/>
      <c r="F131" s="46">
        <f t="shared" si="99"/>
        <v>0</v>
      </c>
      <c r="G131" s="39"/>
      <c r="H131" s="13"/>
      <c r="I131" s="13"/>
      <c r="J131" s="61"/>
      <c r="K131" s="46">
        <f t="shared" si="100"/>
        <v>0</v>
      </c>
      <c r="L131" s="46">
        <f t="shared" ref="L131:L156" si="111">F131+K131</f>
        <v>0</v>
      </c>
      <c r="M131" s="52"/>
      <c r="N131" s="23" t="s">
        <v>246</v>
      </c>
      <c r="O131" s="15">
        <v>3</v>
      </c>
      <c r="P131" s="16">
        <v>3</v>
      </c>
      <c r="Q131" s="17">
        <v>3</v>
      </c>
      <c r="R131" s="17"/>
      <c r="S131" s="48">
        <f t="shared" si="102"/>
        <v>9</v>
      </c>
      <c r="T131" s="15">
        <v>3</v>
      </c>
      <c r="U131" s="16">
        <v>3</v>
      </c>
      <c r="V131" s="16"/>
      <c r="W131" s="63"/>
      <c r="X131" s="48">
        <f t="shared" si="103"/>
        <v>6</v>
      </c>
      <c r="Y131" s="48">
        <f t="shared" si="105"/>
        <v>15</v>
      </c>
      <c r="Z131" s="114">
        <v>45439</v>
      </c>
    </row>
    <row r="132" spans="1:27" x14ac:dyDescent="0.15">
      <c r="A132" s="23"/>
      <c r="B132" s="15"/>
      <c r="C132" s="16"/>
      <c r="D132" s="17"/>
      <c r="E132" s="17"/>
      <c r="F132" s="48">
        <f t="shared" si="99"/>
        <v>0</v>
      </c>
      <c r="G132" s="15"/>
      <c r="H132" s="16"/>
      <c r="I132" s="16"/>
      <c r="J132" s="63"/>
      <c r="K132" s="48">
        <f t="shared" si="100"/>
        <v>0</v>
      </c>
      <c r="L132" s="48">
        <f t="shared" si="111"/>
        <v>0</v>
      </c>
      <c r="M132" s="52"/>
      <c r="N132" s="23" t="s">
        <v>248</v>
      </c>
      <c r="O132" s="15">
        <v>2</v>
      </c>
      <c r="P132" s="16"/>
      <c r="Q132" s="17"/>
      <c r="R132" s="17"/>
      <c r="S132" s="48">
        <f t="shared" ref="S132:S137" si="112">SUM(O132:R132)</f>
        <v>2</v>
      </c>
      <c r="T132" s="15">
        <v>3</v>
      </c>
      <c r="U132" s="16"/>
      <c r="V132" s="16">
        <v>2</v>
      </c>
      <c r="W132" s="63"/>
      <c r="X132" s="48">
        <f t="shared" ref="X132:X137" si="113">SUM(T132:W132)</f>
        <v>5</v>
      </c>
      <c r="Y132" s="48">
        <f t="shared" ref="Y132:Y137" si="114">S132+X132</f>
        <v>7</v>
      </c>
      <c r="Z132" s="114">
        <v>45441</v>
      </c>
    </row>
    <row r="133" spans="1:27" x14ac:dyDescent="0.15">
      <c r="A133" s="23"/>
      <c r="B133" s="15"/>
      <c r="C133" s="16"/>
      <c r="D133" s="17"/>
      <c r="E133" s="17"/>
      <c r="F133" s="48">
        <f t="shared" si="99"/>
        <v>0</v>
      </c>
      <c r="G133" s="15"/>
      <c r="H133" s="16"/>
      <c r="I133" s="16"/>
      <c r="J133" s="63"/>
      <c r="K133" s="48">
        <f t="shared" si="100"/>
        <v>0</v>
      </c>
      <c r="L133" s="48">
        <f t="shared" si="111"/>
        <v>0</v>
      </c>
      <c r="M133" s="52"/>
      <c r="N133" s="23" t="s">
        <v>249</v>
      </c>
      <c r="O133" s="15"/>
      <c r="P133" s="16">
        <v>3</v>
      </c>
      <c r="Q133" s="17">
        <v>3</v>
      </c>
      <c r="R133" s="17"/>
      <c r="S133" s="48">
        <f t="shared" si="112"/>
        <v>6</v>
      </c>
      <c r="T133" s="15"/>
      <c r="U133" s="16"/>
      <c r="V133" s="16"/>
      <c r="W133" s="63"/>
      <c r="X133" s="48">
        <f t="shared" si="113"/>
        <v>0</v>
      </c>
      <c r="Y133" s="48">
        <f t="shared" si="114"/>
        <v>6</v>
      </c>
      <c r="Z133" s="114">
        <v>45441</v>
      </c>
    </row>
    <row r="134" spans="1:27" x14ac:dyDescent="0.15">
      <c r="A134" s="54"/>
      <c r="B134" s="15"/>
      <c r="C134" s="16"/>
      <c r="D134" s="17"/>
      <c r="E134" s="17"/>
      <c r="F134" s="48">
        <f t="shared" si="99"/>
        <v>0</v>
      </c>
      <c r="G134" s="15"/>
      <c r="H134" s="16"/>
      <c r="I134" s="16"/>
      <c r="J134" s="63"/>
      <c r="K134" s="48">
        <f t="shared" si="100"/>
        <v>0</v>
      </c>
      <c r="L134" s="48">
        <f t="shared" si="111"/>
        <v>0</v>
      </c>
      <c r="M134" s="52"/>
      <c r="N134" s="23" t="s">
        <v>250</v>
      </c>
      <c r="O134" s="15">
        <v>3</v>
      </c>
      <c r="P134" s="16"/>
      <c r="Q134" s="17"/>
      <c r="R134" s="17"/>
      <c r="S134" s="48">
        <f t="shared" si="112"/>
        <v>3</v>
      </c>
      <c r="T134" s="15"/>
      <c r="U134" s="16"/>
      <c r="V134" s="16"/>
      <c r="W134" s="63"/>
      <c r="X134" s="48">
        <f t="shared" si="113"/>
        <v>0</v>
      </c>
      <c r="Y134" s="48">
        <f t="shared" si="114"/>
        <v>3</v>
      </c>
      <c r="Z134" s="114">
        <v>45441</v>
      </c>
    </row>
    <row r="135" spans="1:27" x14ac:dyDescent="0.15">
      <c r="A135" s="23"/>
      <c r="B135" s="15"/>
      <c r="C135" s="16"/>
      <c r="D135" s="17"/>
      <c r="E135" s="17"/>
      <c r="F135" s="48">
        <f t="shared" si="99"/>
        <v>0</v>
      </c>
      <c r="G135" s="15"/>
      <c r="H135" s="16"/>
      <c r="I135" s="16"/>
      <c r="J135" s="63"/>
      <c r="K135" s="48">
        <f t="shared" si="100"/>
        <v>0</v>
      </c>
      <c r="L135" s="48">
        <f t="shared" si="111"/>
        <v>0</v>
      </c>
      <c r="M135" s="52"/>
      <c r="N135" s="23" t="s">
        <v>251</v>
      </c>
      <c r="O135" s="15"/>
      <c r="P135" s="16"/>
      <c r="Q135" s="17"/>
      <c r="R135" s="17"/>
      <c r="S135" s="48">
        <f t="shared" si="112"/>
        <v>0</v>
      </c>
      <c r="T135" s="15">
        <v>3</v>
      </c>
      <c r="U135" s="16"/>
      <c r="V135" s="16"/>
      <c r="W135" s="63"/>
      <c r="X135" s="48">
        <f t="shared" si="113"/>
        <v>3</v>
      </c>
      <c r="Y135" s="48">
        <f t="shared" si="114"/>
        <v>3</v>
      </c>
      <c r="Z135" s="114">
        <v>45442</v>
      </c>
    </row>
    <row r="136" spans="1:27" x14ac:dyDescent="0.15">
      <c r="A136" s="23"/>
      <c r="B136" s="15"/>
      <c r="C136" s="16"/>
      <c r="D136" s="17"/>
      <c r="E136" s="17"/>
      <c r="F136" s="48">
        <f t="shared" si="99"/>
        <v>0</v>
      </c>
      <c r="G136" s="15"/>
      <c r="H136" s="16"/>
      <c r="I136" s="16"/>
      <c r="J136" s="63"/>
      <c r="K136" s="48">
        <f t="shared" si="100"/>
        <v>0</v>
      </c>
      <c r="L136" s="48">
        <f t="shared" si="111"/>
        <v>0</v>
      </c>
      <c r="M136" s="52"/>
      <c r="N136" s="23" t="s">
        <v>247</v>
      </c>
      <c r="O136" s="15"/>
      <c r="P136" s="16"/>
      <c r="Q136" s="17"/>
      <c r="R136" s="17"/>
      <c r="S136" s="48">
        <f t="shared" si="112"/>
        <v>0</v>
      </c>
      <c r="T136" s="15"/>
      <c r="U136" s="16">
        <v>10</v>
      </c>
      <c r="V136" s="16"/>
      <c r="W136" s="63"/>
      <c r="X136" s="48">
        <f t="shared" si="113"/>
        <v>10</v>
      </c>
      <c r="Y136" s="48">
        <f t="shared" si="114"/>
        <v>10</v>
      </c>
      <c r="Z136" s="114">
        <v>45446</v>
      </c>
    </row>
    <row r="137" spans="1:27" x14ac:dyDescent="0.15">
      <c r="A137" s="23"/>
      <c r="B137" s="15"/>
      <c r="C137" s="16"/>
      <c r="D137" s="17"/>
      <c r="E137" s="17"/>
      <c r="F137" s="48">
        <f t="shared" si="99"/>
        <v>0</v>
      </c>
      <c r="G137" s="15"/>
      <c r="H137" s="16"/>
      <c r="I137" s="16"/>
      <c r="J137" s="63"/>
      <c r="K137" s="48">
        <f t="shared" si="100"/>
        <v>0</v>
      </c>
      <c r="L137" s="48">
        <f t="shared" si="111"/>
        <v>0</v>
      </c>
      <c r="M137" s="52"/>
      <c r="N137" s="23" t="s">
        <v>252</v>
      </c>
      <c r="O137" s="15">
        <v>5</v>
      </c>
      <c r="P137" s="16"/>
      <c r="Q137" s="17"/>
      <c r="R137" s="17">
        <v>6</v>
      </c>
      <c r="S137" s="48">
        <f t="shared" si="112"/>
        <v>11</v>
      </c>
      <c r="T137" s="15"/>
      <c r="U137" s="16"/>
      <c r="V137" s="16"/>
      <c r="W137" s="63"/>
      <c r="X137" s="48">
        <f t="shared" si="113"/>
        <v>0</v>
      </c>
      <c r="Y137" s="48">
        <f t="shared" si="114"/>
        <v>11</v>
      </c>
      <c r="Z137" s="114">
        <v>45443</v>
      </c>
      <c r="AA137" s="25"/>
    </row>
    <row r="138" spans="1:27" x14ac:dyDescent="0.15">
      <c r="A138" s="23"/>
      <c r="B138" s="15"/>
      <c r="C138" s="16"/>
      <c r="D138" s="17"/>
      <c r="E138" s="17"/>
      <c r="F138" s="48">
        <f t="shared" si="99"/>
        <v>0</v>
      </c>
      <c r="G138" s="15"/>
      <c r="H138" s="16"/>
      <c r="I138" s="16"/>
      <c r="J138" s="63"/>
      <c r="K138" s="48">
        <f t="shared" si="100"/>
        <v>0</v>
      </c>
      <c r="L138" s="48">
        <f t="shared" si="111"/>
        <v>0</v>
      </c>
      <c r="M138" s="52"/>
      <c r="N138" s="23" t="s">
        <v>253</v>
      </c>
      <c r="O138" s="15"/>
      <c r="P138" s="16">
        <v>5</v>
      </c>
      <c r="Q138" s="17"/>
      <c r="R138" s="17"/>
      <c r="S138" s="48">
        <f t="shared" ref="S138:S151" si="115">SUM(O138:R138)</f>
        <v>5</v>
      </c>
      <c r="T138" s="15"/>
      <c r="U138" s="16">
        <v>5</v>
      </c>
      <c r="V138" s="16"/>
      <c r="W138" s="63"/>
      <c r="X138" s="48">
        <f t="shared" ref="X138:X151" si="116">SUM(T138:W138)</f>
        <v>5</v>
      </c>
      <c r="Y138" s="48">
        <f t="shared" ref="Y138:Y151" si="117">S138+X138</f>
        <v>10</v>
      </c>
      <c r="Z138" s="114">
        <v>45443</v>
      </c>
      <c r="AA138" s="25"/>
    </row>
    <row r="139" spans="1:27" x14ac:dyDescent="0.15">
      <c r="A139" s="23"/>
      <c r="B139" s="15"/>
      <c r="C139" s="16"/>
      <c r="D139" s="17"/>
      <c r="E139" s="17"/>
      <c r="F139" s="48">
        <f t="shared" si="99"/>
        <v>0</v>
      </c>
      <c r="G139" s="15"/>
      <c r="H139" s="16"/>
      <c r="I139" s="16"/>
      <c r="J139" s="63"/>
      <c r="K139" s="48">
        <f t="shared" si="100"/>
        <v>0</v>
      </c>
      <c r="L139" s="48">
        <f t="shared" si="111"/>
        <v>0</v>
      </c>
      <c r="M139" s="52"/>
      <c r="N139" s="23" t="s">
        <v>250</v>
      </c>
      <c r="O139" s="15"/>
      <c r="P139" s="16"/>
      <c r="Q139" s="17">
        <v>4</v>
      </c>
      <c r="R139" s="17"/>
      <c r="S139" s="48">
        <f t="shared" si="115"/>
        <v>4</v>
      </c>
      <c r="T139" s="15">
        <v>10</v>
      </c>
      <c r="U139" s="16">
        <v>10</v>
      </c>
      <c r="V139" s="16">
        <v>10</v>
      </c>
      <c r="W139" s="63"/>
      <c r="X139" s="48">
        <f t="shared" si="116"/>
        <v>30</v>
      </c>
      <c r="Y139" s="48">
        <f t="shared" si="117"/>
        <v>34</v>
      </c>
      <c r="Z139" s="114">
        <v>45446</v>
      </c>
    </row>
    <row r="140" spans="1:27" x14ac:dyDescent="0.15">
      <c r="A140" s="23"/>
      <c r="B140" s="18"/>
      <c r="C140" s="19"/>
      <c r="D140" s="20"/>
      <c r="E140" s="20"/>
      <c r="F140" s="48">
        <f t="shared" si="99"/>
        <v>0</v>
      </c>
      <c r="G140" s="18"/>
      <c r="H140" s="19"/>
      <c r="I140" s="19"/>
      <c r="J140" s="64"/>
      <c r="K140" s="48">
        <f t="shared" si="100"/>
        <v>0</v>
      </c>
      <c r="L140" s="48">
        <f t="shared" si="111"/>
        <v>0</v>
      </c>
      <c r="M140" s="52"/>
      <c r="N140" s="23" t="s">
        <v>251</v>
      </c>
      <c r="O140" s="15">
        <v>3</v>
      </c>
      <c r="P140" s="16"/>
      <c r="Q140" s="17"/>
      <c r="R140" s="17"/>
      <c r="S140" s="48">
        <f t="shared" si="115"/>
        <v>3</v>
      </c>
      <c r="T140" s="15"/>
      <c r="U140" s="16"/>
      <c r="V140" s="16"/>
      <c r="W140" s="63"/>
      <c r="X140" s="48">
        <f t="shared" si="116"/>
        <v>0</v>
      </c>
      <c r="Y140" s="48">
        <f t="shared" si="117"/>
        <v>3</v>
      </c>
      <c r="Z140" s="114">
        <v>45446</v>
      </c>
    </row>
    <row r="141" spans="1:27" x14ac:dyDescent="0.15">
      <c r="A141" s="54"/>
      <c r="B141" s="15"/>
      <c r="C141" s="16"/>
      <c r="D141" s="17"/>
      <c r="E141" s="17"/>
      <c r="F141" s="48">
        <f t="shared" si="99"/>
        <v>0</v>
      </c>
      <c r="G141" s="15"/>
      <c r="H141" s="16"/>
      <c r="I141" s="16"/>
      <c r="J141" s="63"/>
      <c r="K141" s="48">
        <f t="shared" si="100"/>
        <v>0</v>
      </c>
      <c r="L141" s="48">
        <f t="shared" si="111"/>
        <v>0</v>
      </c>
      <c r="M141" s="52"/>
      <c r="N141" s="23" t="s">
        <v>256</v>
      </c>
      <c r="O141" s="15">
        <v>5</v>
      </c>
      <c r="P141" s="16"/>
      <c r="Q141" s="17"/>
      <c r="R141" s="17"/>
      <c r="S141" s="48">
        <f t="shared" si="115"/>
        <v>5</v>
      </c>
      <c r="T141" s="15"/>
      <c r="U141" s="16"/>
      <c r="V141" s="16"/>
      <c r="W141" s="63"/>
      <c r="X141" s="48">
        <f t="shared" si="116"/>
        <v>0</v>
      </c>
      <c r="Y141" s="48">
        <f t="shared" si="117"/>
        <v>5</v>
      </c>
      <c r="Z141" s="114">
        <v>45448</v>
      </c>
    </row>
    <row r="142" spans="1:27" x14ac:dyDescent="0.15">
      <c r="A142" s="23"/>
      <c r="B142" s="15"/>
      <c r="C142" s="16"/>
      <c r="D142" s="17"/>
      <c r="E142" s="17"/>
      <c r="F142" s="48">
        <f t="shared" si="99"/>
        <v>0</v>
      </c>
      <c r="G142" s="15"/>
      <c r="H142" s="16"/>
      <c r="I142" s="16"/>
      <c r="J142" s="63"/>
      <c r="K142" s="48">
        <f t="shared" si="100"/>
        <v>0</v>
      </c>
      <c r="L142" s="48">
        <f t="shared" si="111"/>
        <v>0</v>
      </c>
      <c r="M142" s="52"/>
      <c r="N142" s="23" t="s">
        <v>257</v>
      </c>
      <c r="O142" s="15"/>
      <c r="P142" s="16"/>
      <c r="Q142" s="17"/>
      <c r="R142" s="17"/>
      <c r="S142" s="48">
        <f t="shared" si="115"/>
        <v>0</v>
      </c>
      <c r="T142" s="15">
        <v>5</v>
      </c>
      <c r="U142" s="16"/>
      <c r="V142" s="16"/>
      <c r="W142" s="63"/>
      <c r="X142" s="48">
        <f t="shared" si="116"/>
        <v>5</v>
      </c>
      <c r="Y142" s="48">
        <f t="shared" si="117"/>
        <v>5</v>
      </c>
      <c r="Z142" s="114">
        <v>45448</v>
      </c>
    </row>
    <row r="143" spans="1:27" x14ac:dyDescent="0.15">
      <c r="A143" s="23"/>
      <c r="B143" s="15"/>
      <c r="C143" s="16"/>
      <c r="D143" s="17"/>
      <c r="E143" s="17"/>
      <c r="F143" s="48">
        <f t="shared" si="99"/>
        <v>0</v>
      </c>
      <c r="G143" s="15"/>
      <c r="H143" s="16"/>
      <c r="I143" s="16"/>
      <c r="J143" s="63"/>
      <c r="K143" s="48">
        <f t="shared" si="100"/>
        <v>0</v>
      </c>
      <c r="L143" s="48">
        <f t="shared" si="111"/>
        <v>0</v>
      </c>
      <c r="M143" s="52"/>
      <c r="N143" s="182" t="s">
        <v>194</v>
      </c>
      <c r="O143" s="15"/>
      <c r="P143" s="16"/>
      <c r="Q143" s="17"/>
      <c r="R143" s="17"/>
      <c r="S143" s="48">
        <f t="shared" si="115"/>
        <v>0</v>
      </c>
      <c r="T143" s="15">
        <v>-5</v>
      </c>
      <c r="U143" s="16"/>
      <c r="V143" s="16"/>
      <c r="W143" s="63"/>
      <c r="X143" s="48">
        <f t="shared" si="116"/>
        <v>-5</v>
      </c>
      <c r="Y143" s="48">
        <f t="shared" si="117"/>
        <v>-5</v>
      </c>
      <c r="Z143" s="114">
        <v>45442</v>
      </c>
    </row>
    <row r="144" spans="1:27" x14ac:dyDescent="0.15">
      <c r="A144" s="54"/>
      <c r="B144" s="15"/>
      <c r="C144" s="16"/>
      <c r="D144" s="17"/>
      <c r="E144" s="17"/>
      <c r="F144" s="48">
        <f t="shared" si="99"/>
        <v>0</v>
      </c>
      <c r="G144" s="15"/>
      <c r="H144" s="16"/>
      <c r="I144" s="16"/>
      <c r="J144" s="63"/>
      <c r="K144" s="48">
        <f t="shared" si="100"/>
        <v>0</v>
      </c>
      <c r="L144" s="48">
        <f t="shared" si="111"/>
        <v>0</v>
      </c>
      <c r="M144" s="52"/>
      <c r="N144" s="23" t="s">
        <v>262</v>
      </c>
      <c r="O144" s="15">
        <v>10</v>
      </c>
      <c r="P144" s="16">
        <v>10</v>
      </c>
      <c r="Q144" s="17">
        <v>10</v>
      </c>
      <c r="R144" s="17">
        <v>6</v>
      </c>
      <c r="S144" s="48">
        <f t="shared" si="115"/>
        <v>36</v>
      </c>
      <c r="T144" s="15">
        <v>20</v>
      </c>
      <c r="U144" s="16">
        <v>10</v>
      </c>
      <c r="V144" s="16">
        <v>10</v>
      </c>
      <c r="W144" s="63">
        <v>10</v>
      </c>
      <c r="X144" s="48">
        <f t="shared" si="116"/>
        <v>50</v>
      </c>
      <c r="Y144" s="48">
        <f t="shared" si="117"/>
        <v>86</v>
      </c>
      <c r="Z144" s="114">
        <v>45453</v>
      </c>
    </row>
    <row r="145" spans="1:28" x14ac:dyDescent="0.15">
      <c r="A145" s="24"/>
      <c r="B145" s="15"/>
      <c r="C145" s="16"/>
      <c r="D145" s="17"/>
      <c r="E145" s="17"/>
      <c r="F145" s="48">
        <f t="shared" si="99"/>
        <v>0</v>
      </c>
      <c r="G145" s="15"/>
      <c r="H145" s="16"/>
      <c r="I145" s="16"/>
      <c r="J145" s="63"/>
      <c r="K145" s="48">
        <f t="shared" si="100"/>
        <v>0</v>
      </c>
      <c r="L145" s="48">
        <f t="shared" si="111"/>
        <v>0</v>
      </c>
      <c r="M145" s="52"/>
      <c r="N145" s="182" t="s">
        <v>194</v>
      </c>
      <c r="O145" s="15"/>
      <c r="P145" s="16"/>
      <c r="Q145" s="17"/>
      <c r="R145" s="17">
        <v>-4</v>
      </c>
      <c r="S145" s="48">
        <f t="shared" si="115"/>
        <v>-4</v>
      </c>
      <c r="T145" s="15">
        <v>-20</v>
      </c>
      <c r="U145" s="16">
        <v>-10</v>
      </c>
      <c r="V145" s="16">
        <v>-10</v>
      </c>
      <c r="W145" s="63">
        <v>-10</v>
      </c>
      <c r="X145" s="48">
        <f t="shared" si="116"/>
        <v>-50</v>
      </c>
      <c r="Y145" s="48">
        <f t="shared" si="117"/>
        <v>-54</v>
      </c>
      <c r="Z145" s="114">
        <v>45447</v>
      </c>
    </row>
    <row r="146" spans="1:28" x14ac:dyDescent="0.15">
      <c r="A146" s="54"/>
      <c r="B146" s="15"/>
      <c r="C146" s="16"/>
      <c r="D146" s="17"/>
      <c r="E146" s="17"/>
      <c r="F146" s="48">
        <f t="shared" si="99"/>
        <v>0</v>
      </c>
      <c r="G146" s="15"/>
      <c r="H146" s="16"/>
      <c r="I146" s="16"/>
      <c r="J146" s="63"/>
      <c r="K146" s="48">
        <f t="shared" si="100"/>
        <v>0</v>
      </c>
      <c r="L146" s="48">
        <f t="shared" si="111"/>
        <v>0</v>
      </c>
      <c r="M146" s="52"/>
      <c r="N146" s="23" t="s">
        <v>264</v>
      </c>
      <c r="O146" s="15"/>
      <c r="P146" s="16"/>
      <c r="Q146" s="17"/>
      <c r="R146" s="17"/>
      <c r="S146" s="48">
        <f t="shared" si="115"/>
        <v>0</v>
      </c>
      <c r="T146" s="15"/>
      <c r="U146" s="16">
        <v>10</v>
      </c>
      <c r="V146" s="16"/>
      <c r="W146" s="63"/>
      <c r="X146" s="48">
        <f t="shared" si="116"/>
        <v>10</v>
      </c>
      <c r="Y146" s="48">
        <f t="shared" si="117"/>
        <v>10</v>
      </c>
      <c r="Z146" s="114">
        <v>45467</v>
      </c>
    </row>
    <row r="147" spans="1:28" x14ac:dyDescent="0.15">
      <c r="A147" s="26"/>
      <c r="B147" s="15"/>
      <c r="C147" s="16"/>
      <c r="D147" s="17"/>
      <c r="E147" s="17"/>
      <c r="F147" s="48">
        <f t="shared" si="99"/>
        <v>0</v>
      </c>
      <c r="G147" s="15"/>
      <c r="H147" s="16"/>
      <c r="I147" s="16"/>
      <c r="J147" s="63"/>
      <c r="K147" s="48">
        <f t="shared" si="100"/>
        <v>0</v>
      </c>
      <c r="L147" s="48">
        <f t="shared" si="111"/>
        <v>0</v>
      </c>
      <c r="M147" s="52"/>
      <c r="N147" s="182" t="s">
        <v>194</v>
      </c>
      <c r="O147" s="15"/>
      <c r="P147" s="16"/>
      <c r="Q147" s="17"/>
      <c r="R147" s="17"/>
      <c r="S147" s="48">
        <f t="shared" si="115"/>
        <v>0</v>
      </c>
      <c r="T147" s="15"/>
      <c r="U147" s="16">
        <v>-10</v>
      </c>
      <c r="V147" s="16"/>
      <c r="W147" s="63"/>
      <c r="X147" s="48">
        <f t="shared" si="116"/>
        <v>-10</v>
      </c>
      <c r="Y147" s="48">
        <f t="shared" si="117"/>
        <v>-10</v>
      </c>
      <c r="Z147" s="114">
        <v>45454</v>
      </c>
    </row>
    <row r="148" spans="1:28" x14ac:dyDescent="0.15">
      <c r="A148" s="54"/>
      <c r="B148" s="15"/>
      <c r="C148" s="16"/>
      <c r="D148" s="17"/>
      <c r="E148" s="17"/>
      <c r="F148" s="48">
        <f t="shared" si="99"/>
        <v>0</v>
      </c>
      <c r="G148" s="15"/>
      <c r="H148" s="16"/>
      <c r="I148" s="16"/>
      <c r="J148" s="63"/>
      <c r="K148" s="48">
        <f t="shared" si="100"/>
        <v>0</v>
      </c>
      <c r="L148" s="48">
        <f t="shared" si="111"/>
        <v>0</v>
      </c>
      <c r="M148" s="52"/>
      <c r="N148" s="23" t="s">
        <v>273</v>
      </c>
      <c r="O148" s="15">
        <v>10</v>
      </c>
      <c r="P148" s="16">
        <v>10</v>
      </c>
      <c r="Q148" s="17"/>
      <c r="R148" s="17"/>
      <c r="S148" s="48">
        <f t="shared" si="115"/>
        <v>20</v>
      </c>
      <c r="T148" s="15"/>
      <c r="U148" s="16"/>
      <c r="V148" s="16"/>
      <c r="W148" s="63"/>
      <c r="X148" s="48">
        <f t="shared" si="116"/>
        <v>0</v>
      </c>
      <c r="Y148" s="48">
        <f t="shared" si="117"/>
        <v>20</v>
      </c>
      <c r="Z148" s="114">
        <v>45476</v>
      </c>
    </row>
    <row r="149" spans="1:28" x14ac:dyDescent="0.15">
      <c r="A149" s="23"/>
      <c r="B149" s="15"/>
      <c r="C149" s="16"/>
      <c r="D149" s="17"/>
      <c r="E149" s="17"/>
      <c r="F149" s="48">
        <f t="shared" si="99"/>
        <v>0</v>
      </c>
      <c r="G149" s="15"/>
      <c r="H149" s="16"/>
      <c r="I149" s="16"/>
      <c r="J149" s="63"/>
      <c r="K149" s="48">
        <f t="shared" si="100"/>
        <v>0</v>
      </c>
      <c r="L149" s="48">
        <f t="shared" si="111"/>
        <v>0</v>
      </c>
      <c r="M149" s="25"/>
      <c r="N149" s="182" t="s">
        <v>194</v>
      </c>
      <c r="O149" s="15">
        <v>-5</v>
      </c>
      <c r="P149" s="16"/>
      <c r="Q149" s="17"/>
      <c r="R149" s="17"/>
      <c r="S149" s="48">
        <f t="shared" si="115"/>
        <v>-5</v>
      </c>
      <c r="T149" s="15"/>
      <c r="U149" s="16"/>
      <c r="V149" s="16"/>
      <c r="W149" s="63"/>
      <c r="X149" s="48">
        <f t="shared" si="116"/>
        <v>0</v>
      </c>
      <c r="Y149" s="48">
        <f t="shared" si="117"/>
        <v>-5</v>
      </c>
      <c r="Z149" s="114">
        <v>45471</v>
      </c>
    </row>
    <row r="150" spans="1:28" x14ac:dyDescent="0.15">
      <c r="A150" s="23"/>
      <c r="B150" s="15"/>
      <c r="C150" s="16"/>
      <c r="D150" s="17"/>
      <c r="E150" s="17"/>
      <c r="F150" s="48">
        <f t="shared" si="99"/>
        <v>0</v>
      </c>
      <c r="G150" s="15"/>
      <c r="H150" s="16"/>
      <c r="I150" s="16"/>
      <c r="J150" s="63"/>
      <c r="K150" s="48">
        <f t="shared" si="100"/>
        <v>0</v>
      </c>
      <c r="L150" s="48">
        <f t="shared" si="111"/>
        <v>0</v>
      </c>
      <c r="M150" s="25"/>
      <c r="N150" s="23" t="s">
        <v>278</v>
      </c>
      <c r="O150" s="15"/>
      <c r="P150" s="16"/>
      <c r="Q150" s="17">
        <v>10</v>
      </c>
      <c r="R150" s="17"/>
      <c r="S150" s="48">
        <f t="shared" si="115"/>
        <v>10</v>
      </c>
      <c r="T150" s="15"/>
      <c r="U150" s="16"/>
      <c r="V150" s="16"/>
      <c r="W150" s="63"/>
      <c r="X150" s="48">
        <f t="shared" si="116"/>
        <v>0</v>
      </c>
      <c r="Y150" s="48">
        <f t="shared" si="117"/>
        <v>10</v>
      </c>
      <c r="Z150" s="114">
        <v>45478</v>
      </c>
    </row>
    <row r="151" spans="1:28" x14ac:dyDescent="0.15">
      <c r="A151" s="23"/>
      <c r="B151" s="15"/>
      <c r="C151" s="16"/>
      <c r="D151" s="17"/>
      <c r="E151" s="17"/>
      <c r="F151" s="48">
        <f t="shared" si="99"/>
        <v>0</v>
      </c>
      <c r="G151" s="15"/>
      <c r="H151" s="16"/>
      <c r="I151" s="16"/>
      <c r="J151" s="63"/>
      <c r="K151" s="48">
        <f t="shared" si="100"/>
        <v>0</v>
      </c>
      <c r="L151" s="48">
        <f t="shared" si="111"/>
        <v>0</v>
      </c>
      <c r="M151" s="25"/>
      <c r="N151" s="23" t="s">
        <v>281</v>
      </c>
      <c r="O151" s="15"/>
      <c r="P151" s="16">
        <v>10</v>
      </c>
      <c r="Q151" s="17"/>
      <c r="R151" s="17"/>
      <c r="S151" s="48">
        <f t="shared" si="115"/>
        <v>10</v>
      </c>
      <c r="T151" s="15">
        <v>10</v>
      </c>
      <c r="U151" s="16"/>
      <c r="V151" s="16"/>
      <c r="W151" s="63"/>
      <c r="X151" s="48">
        <f t="shared" si="116"/>
        <v>10</v>
      </c>
      <c r="Y151" s="48">
        <f t="shared" si="117"/>
        <v>20</v>
      </c>
      <c r="Z151" s="114">
        <v>45485</v>
      </c>
    </row>
    <row r="152" spans="1:28" x14ac:dyDescent="0.15">
      <c r="A152" s="23"/>
      <c r="B152" s="18"/>
      <c r="C152" s="19"/>
      <c r="D152" s="20"/>
      <c r="E152" s="20"/>
      <c r="F152" s="48">
        <f t="shared" si="99"/>
        <v>0</v>
      </c>
      <c r="G152" s="18"/>
      <c r="H152" s="19"/>
      <c r="I152" s="19"/>
      <c r="J152" s="64"/>
      <c r="K152" s="48">
        <f t="shared" si="100"/>
        <v>0</v>
      </c>
      <c r="L152" s="48">
        <f t="shared" si="111"/>
        <v>0</v>
      </c>
      <c r="M152" s="25"/>
      <c r="N152" s="182" t="s">
        <v>194</v>
      </c>
      <c r="O152" s="15"/>
      <c r="P152" s="16"/>
      <c r="Q152" s="17"/>
      <c r="R152" s="17"/>
      <c r="S152" s="48">
        <f t="shared" si="102"/>
        <v>0</v>
      </c>
      <c r="T152" s="15">
        <v>-10</v>
      </c>
      <c r="U152" s="16"/>
      <c r="V152" s="16"/>
      <c r="W152" s="63"/>
      <c r="X152" s="48">
        <f t="shared" si="103"/>
        <v>-10</v>
      </c>
      <c r="Y152" s="48">
        <f t="shared" si="105"/>
        <v>-10</v>
      </c>
      <c r="Z152" s="114">
        <v>45481</v>
      </c>
      <c r="AA152" s="80"/>
      <c r="AB152" s="80"/>
    </row>
    <row r="153" spans="1:28" x14ac:dyDescent="0.15">
      <c r="A153" s="23"/>
      <c r="B153" s="16"/>
      <c r="C153" s="16"/>
      <c r="D153" s="17"/>
      <c r="E153" s="17"/>
      <c r="F153" s="48">
        <f t="shared" si="99"/>
        <v>0</v>
      </c>
      <c r="G153" s="16"/>
      <c r="H153" s="16"/>
      <c r="I153" s="16"/>
      <c r="J153" s="63"/>
      <c r="K153" s="48">
        <f t="shared" si="100"/>
        <v>0</v>
      </c>
      <c r="L153" s="48">
        <f t="shared" si="111"/>
        <v>0</v>
      </c>
      <c r="M153" s="25"/>
      <c r="N153" s="23" t="s">
        <v>286</v>
      </c>
      <c r="O153" s="15"/>
      <c r="P153" s="16">
        <v>5</v>
      </c>
      <c r="Q153" s="17"/>
      <c r="R153" s="17"/>
      <c r="S153" s="48">
        <f t="shared" si="102"/>
        <v>5</v>
      </c>
      <c r="T153" s="15"/>
      <c r="U153" s="16">
        <v>5</v>
      </c>
      <c r="V153" s="16"/>
      <c r="W153" s="63"/>
      <c r="X153" s="48">
        <f t="shared" si="103"/>
        <v>5</v>
      </c>
      <c r="Y153" s="48">
        <f t="shared" si="105"/>
        <v>10</v>
      </c>
      <c r="Z153" s="114">
        <v>45503</v>
      </c>
      <c r="AA153" s="80"/>
      <c r="AB153" s="80"/>
    </row>
    <row r="154" spans="1:28" x14ac:dyDescent="0.15">
      <c r="A154" s="23"/>
      <c r="B154" s="15"/>
      <c r="C154" s="25"/>
      <c r="D154" s="17"/>
      <c r="E154" s="17"/>
      <c r="F154" s="48">
        <f t="shared" si="99"/>
        <v>0</v>
      </c>
      <c r="G154" s="15"/>
      <c r="H154" s="25"/>
      <c r="I154" s="16"/>
      <c r="J154" s="63"/>
      <c r="K154" s="48">
        <f t="shared" si="100"/>
        <v>0</v>
      </c>
      <c r="L154" s="48">
        <f t="shared" si="111"/>
        <v>0</v>
      </c>
      <c r="M154" s="25"/>
      <c r="N154" s="182" t="s">
        <v>194</v>
      </c>
      <c r="O154" s="15"/>
      <c r="P154" s="16"/>
      <c r="Q154" s="17"/>
      <c r="R154" s="17"/>
      <c r="S154" s="48">
        <f t="shared" ref="S154:S156" si="118">SUM(O154:R154)</f>
        <v>0</v>
      </c>
      <c r="T154" s="15"/>
      <c r="U154" s="16">
        <v>-5</v>
      </c>
      <c r="V154" s="16"/>
      <c r="W154" s="63"/>
      <c r="X154" s="48">
        <f t="shared" ref="X154:X156" si="119">SUM(T154:W154)</f>
        <v>-5</v>
      </c>
      <c r="Y154" s="48">
        <f t="shared" ref="Y154:Y156" si="120">S154+X154</f>
        <v>-5</v>
      </c>
      <c r="Z154" s="114">
        <v>45490</v>
      </c>
    </row>
    <row r="155" spans="1:28" x14ac:dyDescent="0.15">
      <c r="A155" s="23"/>
      <c r="B155" s="15"/>
      <c r="C155" s="16"/>
      <c r="D155" s="16"/>
      <c r="E155" s="63"/>
      <c r="F155" s="48">
        <f t="shared" si="99"/>
        <v>0</v>
      </c>
      <c r="G155" s="15"/>
      <c r="H155" s="16"/>
      <c r="I155" s="16"/>
      <c r="J155" s="63"/>
      <c r="K155" s="48">
        <f t="shared" si="100"/>
        <v>0</v>
      </c>
      <c r="L155" s="48">
        <f t="shared" si="111"/>
        <v>0</v>
      </c>
      <c r="M155" s="25"/>
      <c r="N155" s="23" t="s">
        <v>291</v>
      </c>
      <c r="O155" s="15"/>
      <c r="P155" s="16"/>
      <c r="Q155" s="17"/>
      <c r="R155" s="17">
        <v>3</v>
      </c>
      <c r="S155" s="48">
        <f t="shared" si="118"/>
        <v>3</v>
      </c>
      <c r="T155" s="15"/>
      <c r="U155" s="16"/>
      <c r="V155" s="16"/>
      <c r="W155" s="63"/>
      <c r="X155" s="48">
        <f t="shared" si="119"/>
        <v>0</v>
      </c>
      <c r="Y155" s="48">
        <f t="shared" si="120"/>
        <v>3</v>
      </c>
      <c r="Z155" s="114">
        <v>45503</v>
      </c>
    </row>
    <row r="156" spans="1:28" ht="14.25" thickBot="1" x14ac:dyDescent="0.2">
      <c r="A156" s="26"/>
      <c r="B156" s="18"/>
      <c r="C156" s="19"/>
      <c r="D156" s="19"/>
      <c r="E156" s="64"/>
      <c r="F156" s="55">
        <f t="shared" si="99"/>
        <v>0</v>
      </c>
      <c r="G156" s="18"/>
      <c r="H156" s="19"/>
      <c r="I156" s="19"/>
      <c r="J156" s="64"/>
      <c r="K156" s="55">
        <f t="shared" si="100"/>
        <v>0</v>
      </c>
      <c r="L156" s="55">
        <f t="shared" si="111"/>
        <v>0</v>
      </c>
      <c r="M156" s="25"/>
      <c r="N156" s="182" t="s">
        <v>194</v>
      </c>
      <c r="O156" s="15"/>
      <c r="P156" s="16"/>
      <c r="Q156" s="17"/>
      <c r="R156" s="17">
        <v>-3</v>
      </c>
      <c r="S156" s="48">
        <f t="shared" si="118"/>
        <v>-3</v>
      </c>
      <c r="T156" s="15"/>
      <c r="U156" s="16"/>
      <c r="V156" s="16"/>
      <c r="W156" s="63"/>
      <c r="X156" s="48">
        <f t="shared" si="119"/>
        <v>0</v>
      </c>
      <c r="Y156" s="48">
        <f t="shared" si="120"/>
        <v>-3</v>
      </c>
      <c r="Z156" s="114">
        <v>45497</v>
      </c>
    </row>
    <row r="157" spans="1:28" ht="14.25" thickBot="1" x14ac:dyDescent="0.2">
      <c r="A157" s="27" t="s">
        <v>12</v>
      </c>
      <c r="B157" s="57">
        <f>SUM(B131:B156)</f>
        <v>0</v>
      </c>
      <c r="C157" s="50">
        <f t="shared" ref="C157:D157" si="121">SUM(C131:C156)</f>
        <v>0</v>
      </c>
      <c r="D157" s="50">
        <f t="shared" si="121"/>
        <v>0</v>
      </c>
      <c r="E157" s="50">
        <f>SUM(E131:E156)</f>
        <v>0</v>
      </c>
      <c r="F157" s="59">
        <f t="shared" si="99"/>
        <v>0</v>
      </c>
      <c r="G157" s="57">
        <f t="shared" ref="G157:I157" si="122">SUM(G131:G156)</f>
        <v>0</v>
      </c>
      <c r="H157" s="50">
        <f t="shared" si="122"/>
        <v>0</v>
      </c>
      <c r="I157" s="50">
        <f t="shared" si="122"/>
        <v>0</v>
      </c>
      <c r="J157" s="58">
        <f>SUM(J131:J156)</f>
        <v>0</v>
      </c>
      <c r="K157" s="59">
        <f t="shared" si="100"/>
        <v>0</v>
      </c>
      <c r="L157" s="59">
        <f t="shared" ref="L157" si="123">SUM(L131:L156)</f>
        <v>0</v>
      </c>
      <c r="N157" s="27" t="s">
        <v>12</v>
      </c>
      <c r="O157" s="57">
        <f>SUM(O131:O156)</f>
        <v>36</v>
      </c>
      <c r="P157" s="50">
        <f t="shared" ref="P157:Q157" si="124">SUM(P131:P156)</f>
        <v>46</v>
      </c>
      <c r="Q157" s="50">
        <f t="shared" si="124"/>
        <v>30</v>
      </c>
      <c r="R157" s="50">
        <f>SUM(R131:R156)</f>
        <v>8</v>
      </c>
      <c r="S157" s="59">
        <f t="shared" si="102"/>
        <v>120</v>
      </c>
      <c r="T157" s="57">
        <f t="shared" ref="T157:V157" si="125">SUM(T131:T156)</f>
        <v>19</v>
      </c>
      <c r="U157" s="50">
        <f t="shared" si="125"/>
        <v>28</v>
      </c>
      <c r="V157" s="50">
        <f t="shared" si="125"/>
        <v>12</v>
      </c>
      <c r="W157" s="58">
        <f>SUM(W131:W156)</f>
        <v>0</v>
      </c>
      <c r="X157" s="59">
        <f t="shared" ref="X157:X158" si="126">SUM(T157:W157)</f>
        <v>59</v>
      </c>
      <c r="Y157" s="59">
        <f t="shared" si="105"/>
        <v>179</v>
      </c>
    </row>
    <row r="158" spans="1:28" ht="14.25" thickBot="1" x14ac:dyDescent="0.2">
      <c r="A158" s="29" t="s">
        <v>13</v>
      </c>
      <c r="B158" s="32">
        <f>B130-B157</f>
        <v>0</v>
      </c>
      <c r="C158" s="44">
        <f t="shared" ref="C158:D158" si="127">C130-C157</f>
        <v>0</v>
      </c>
      <c r="D158" s="44">
        <f t="shared" si="127"/>
        <v>0</v>
      </c>
      <c r="E158" s="44">
        <f>E130-E157</f>
        <v>0</v>
      </c>
      <c r="F158" s="28">
        <f t="shared" si="99"/>
        <v>0</v>
      </c>
      <c r="G158" s="32">
        <f t="shared" ref="G158:I158" si="128">G130-G157</f>
        <v>0</v>
      </c>
      <c r="H158" s="44">
        <f t="shared" si="128"/>
        <v>0</v>
      </c>
      <c r="I158" s="44">
        <f t="shared" si="128"/>
        <v>0</v>
      </c>
      <c r="J158" s="43">
        <f>J130-J157</f>
        <v>0</v>
      </c>
      <c r="K158" s="28">
        <f t="shared" si="100"/>
        <v>0</v>
      </c>
      <c r="L158" s="28">
        <f t="shared" ref="L158" si="129">L130-L157</f>
        <v>0</v>
      </c>
      <c r="N158" s="29" t="s">
        <v>13</v>
      </c>
      <c r="O158" s="32">
        <f>O130-O157</f>
        <v>0</v>
      </c>
      <c r="P158" s="44">
        <f t="shared" ref="P158:Q158" si="130">P130-P157</f>
        <v>26</v>
      </c>
      <c r="Q158" s="44">
        <f t="shared" si="130"/>
        <v>16</v>
      </c>
      <c r="R158" s="44">
        <f>R130-R157</f>
        <v>0</v>
      </c>
      <c r="S158" s="28">
        <f t="shared" si="102"/>
        <v>42</v>
      </c>
      <c r="T158" s="32">
        <f t="shared" ref="T158:V158" si="131">T130-T157</f>
        <v>0</v>
      </c>
      <c r="U158" s="44">
        <f t="shared" si="131"/>
        <v>0</v>
      </c>
      <c r="V158" s="44">
        <f t="shared" si="131"/>
        <v>0</v>
      </c>
      <c r="W158" s="43">
        <f>W130-W157</f>
        <v>0</v>
      </c>
      <c r="X158" s="28">
        <f t="shared" si="126"/>
        <v>0</v>
      </c>
      <c r="Y158" s="28">
        <f t="shared" si="105"/>
        <v>42</v>
      </c>
    </row>
    <row r="161" spans="1:26" ht="19.5" thickBot="1" x14ac:dyDescent="0.25">
      <c r="A161" s="288" t="s">
        <v>44</v>
      </c>
      <c r="B161" s="288"/>
      <c r="C161" s="288"/>
      <c r="D161" s="288"/>
      <c r="E161" s="288"/>
      <c r="F161" s="288"/>
      <c r="G161" s="33"/>
      <c r="H161" s="33" t="s">
        <v>14</v>
      </c>
      <c r="I161" s="33"/>
      <c r="J161" s="33"/>
      <c r="K161" s="33"/>
      <c r="L161" s="1"/>
      <c r="N161" s="70" t="s">
        <v>70</v>
      </c>
      <c r="O161" s="70"/>
      <c r="P161" s="70"/>
      <c r="Q161" s="70"/>
      <c r="R161" s="70"/>
      <c r="S161" s="70"/>
      <c r="T161" s="33"/>
      <c r="U161" s="33" t="s">
        <v>17</v>
      </c>
      <c r="V161" s="33"/>
      <c r="W161" s="33"/>
      <c r="X161" s="33"/>
      <c r="Y161" s="1"/>
    </row>
    <row r="162" spans="1:26" ht="14.25" thickBot="1" x14ac:dyDescent="0.2">
      <c r="A162" s="2" t="s">
        <v>0</v>
      </c>
      <c r="B162" s="294" t="s">
        <v>19</v>
      </c>
      <c r="C162" s="295"/>
      <c r="D162" s="295"/>
      <c r="E162" s="296"/>
      <c r="F162" s="38"/>
      <c r="G162" s="289" t="s">
        <v>18</v>
      </c>
      <c r="H162" s="290"/>
      <c r="I162" s="290"/>
      <c r="J162" s="291"/>
      <c r="K162" s="31"/>
      <c r="L162" s="292" t="s">
        <v>1</v>
      </c>
      <c r="N162" s="2" t="s">
        <v>0</v>
      </c>
      <c r="O162" s="294" t="s">
        <v>19</v>
      </c>
      <c r="P162" s="295"/>
      <c r="Q162" s="295"/>
      <c r="R162" s="296"/>
      <c r="S162" s="38"/>
      <c r="T162" s="289" t="s">
        <v>18</v>
      </c>
      <c r="U162" s="290"/>
      <c r="V162" s="290"/>
      <c r="W162" s="291"/>
      <c r="X162" s="31"/>
      <c r="Y162" s="292" t="s">
        <v>1</v>
      </c>
    </row>
    <row r="163" spans="1:26" ht="14.25" thickBot="1" x14ac:dyDescent="0.2">
      <c r="A163" s="2" t="s">
        <v>2</v>
      </c>
      <c r="B163" s="3" t="s">
        <v>3</v>
      </c>
      <c r="C163" s="4" t="s">
        <v>4</v>
      </c>
      <c r="D163" s="4" t="s">
        <v>5</v>
      </c>
      <c r="E163" s="60" t="s">
        <v>20</v>
      </c>
      <c r="F163" s="2" t="s">
        <v>6</v>
      </c>
      <c r="G163" s="30" t="s">
        <v>3</v>
      </c>
      <c r="H163" s="6" t="s">
        <v>4</v>
      </c>
      <c r="I163" s="6" t="s">
        <v>5</v>
      </c>
      <c r="J163" s="66" t="s">
        <v>20</v>
      </c>
      <c r="K163" s="2" t="s">
        <v>6</v>
      </c>
      <c r="L163" s="293"/>
      <c r="N163" s="2" t="s">
        <v>2</v>
      </c>
      <c r="O163" s="3" t="s">
        <v>3</v>
      </c>
      <c r="P163" s="4" t="s">
        <v>4</v>
      </c>
      <c r="Q163" s="4" t="s">
        <v>5</v>
      </c>
      <c r="R163" s="60" t="s">
        <v>20</v>
      </c>
      <c r="S163" s="2" t="s">
        <v>6</v>
      </c>
      <c r="T163" s="30" t="s">
        <v>3</v>
      </c>
      <c r="U163" s="6" t="s">
        <v>4</v>
      </c>
      <c r="V163" s="6" t="s">
        <v>5</v>
      </c>
      <c r="W163" s="66" t="s">
        <v>20</v>
      </c>
      <c r="X163" s="2" t="s">
        <v>6</v>
      </c>
      <c r="Y163" s="293"/>
    </row>
    <row r="164" spans="1:26" x14ac:dyDescent="0.15">
      <c r="A164" s="40" t="s">
        <v>13</v>
      </c>
      <c r="B164" s="41">
        <f>B158</f>
        <v>0</v>
      </c>
      <c r="C164" s="42">
        <f t="shared" ref="C164:L164" si="132">C158</f>
        <v>0</v>
      </c>
      <c r="D164" s="42">
        <f t="shared" si="132"/>
        <v>0</v>
      </c>
      <c r="E164" s="67">
        <f t="shared" si="132"/>
        <v>0</v>
      </c>
      <c r="F164" s="34">
        <f t="shared" si="132"/>
        <v>0</v>
      </c>
      <c r="G164" s="41">
        <f t="shared" si="132"/>
        <v>0</v>
      </c>
      <c r="H164" s="42">
        <f t="shared" si="132"/>
        <v>0</v>
      </c>
      <c r="I164" s="42">
        <f t="shared" si="132"/>
        <v>0</v>
      </c>
      <c r="J164" s="67">
        <f t="shared" si="132"/>
        <v>0</v>
      </c>
      <c r="K164" s="34">
        <f t="shared" si="132"/>
        <v>0</v>
      </c>
      <c r="L164" s="37">
        <f t="shared" si="132"/>
        <v>0</v>
      </c>
      <c r="M164" s="25"/>
      <c r="N164" s="40" t="s">
        <v>13</v>
      </c>
      <c r="O164" s="41">
        <f>O158</f>
        <v>0</v>
      </c>
      <c r="P164" s="42">
        <f t="shared" ref="P164:Y164" si="133">P158</f>
        <v>26</v>
      </c>
      <c r="Q164" s="42">
        <f t="shared" si="133"/>
        <v>16</v>
      </c>
      <c r="R164" s="67">
        <f t="shared" si="133"/>
        <v>0</v>
      </c>
      <c r="S164" s="34">
        <f t="shared" si="133"/>
        <v>42</v>
      </c>
      <c r="T164" s="41">
        <f t="shared" si="133"/>
        <v>0</v>
      </c>
      <c r="U164" s="42">
        <f t="shared" si="133"/>
        <v>0</v>
      </c>
      <c r="V164" s="42">
        <f t="shared" si="133"/>
        <v>0</v>
      </c>
      <c r="W164" s="67">
        <f t="shared" si="133"/>
        <v>0</v>
      </c>
      <c r="X164" s="34">
        <f t="shared" si="133"/>
        <v>0</v>
      </c>
      <c r="Y164" s="37">
        <f t="shared" si="133"/>
        <v>42</v>
      </c>
    </row>
    <row r="165" spans="1:26" x14ac:dyDescent="0.15">
      <c r="A165" s="9" t="s">
        <v>7</v>
      </c>
      <c r="B165" s="10"/>
      <c r="C165" s="11"/>
      <c r="D165" s="11"/>
      <c r="E165" s="62"/>
      <c r="F165" s="47">
        <f t="shared" ref="F165:F198" si="134">SUM(B165:E165)</f>
        <v>0</v>
      </c>
      <c r="G165" s="10"/>
      <c r="H165" s="11"/>
      <c r="I165" s="11"/>
      <c r="J165" s="62"/>
      <c r="K165" s="47">
        <f t="shared" ref="K165:K198" si="135">SUM(G165:J165)</f>
        <v>0</v>
      </c>
      <c r="L165" s="48">
        <f t="shared" ref="L165:L169" si="136">F165+K165</f>
        <v>0</v>
      </c>
      <c r="M165" s="52"/>
      <c r="N165" s="182" t="s">
        <v>194</v>
      </c>
      <c r="O165" s="15"/>
      <c r="P165" s="16"/>
      <c r="Q165" s="16"/>
      <c r="R165" s="63"/>
      <c r="S165" s="48">
        <f t="shared" ref="S165:S198" si="137">SUM(O165:R165)</f>
        <v>0</v>
      </c>
      <c r="T165" s="15"/>
      <c r="U165" s="16"/>
      <c r="V165" s="16">
        <v>5</v>
      </c>
      <c r="W165" s="63"/>
      <c r="X165" s="48">
        <f t="shared" ref="X165:X198" si="138">SUM(T165:W165)</f>
        <v>5</v>
      </c>
      <c r="Y165" s="48">
        <f>S165+X165</f>
        <v>5</v>
      </c>
      <c r="Z165" s="115">
        <v>45502</v>
      </c>
    </row>
    <row r="166" spans="1:26" x14ac:dyDescent="0.15">
      <c r="A166" s="9" t="s">
        <v>8</v>
      </c>
      <c r="B166" s="10"/>
      <c r="C166" s="11"/>
      <c r="D166" s="12"/>
      <c r="E166" s="12"/>
      <c r="F166" s="48">
        <f t="shared" si="134"/>
        <v>0</v>
      </c>
      <c r="G166" s="10"/>
      <c r="H166" s="11"/>
      <c r="I166" s="11"/>
      <c r="J166" s="62"/>
      <c r="K166" s="48">
        <f t="shared" si="135"/>
        <v>0</v>
      </c>
      <c r="L166" s="48">
        <f t="shared" si="136"/>
        <v>0</v>
      </c>
      <c r="M166" s="52"/>
      <c r="N166" s="182" t="s">
        <v>194</v>
      </c>
      <c r="O166" s="15">
        <v>3</v>
      </c>
      <c r="P166" s="16"/>
      <c r="Q166" s="16"/>
      <c r="R166" s="63"/>
      <c r="S166" s="48">
        <f t="shared" si="137"/>
        <v>3</v>
      </c>
      <c r="T166" s="15"/>
      <c r="U166" s="16"/>
      <c r="V166" s="16"/>
      <c r="W166" s="63"/>
      <c r="X166" s="48">
        <f t="shared" si="138"/>
        <v>0</v>
      </c>
      <c r="Y166" s="48">
        <f>S166+X166</f>
        <v>3</v>
      </c>
      <c r="Z166" s="115">
        <v>45511</v>
      </c>
    </row>
    <row r="167" spans="1:26" x14ac:dyDescent="0.15">
      <c r="A167" s="9" t="s">
        <v>9</v>
      </c>
      <c r="B167" s="15"/>
      <c r="C167" s="16"/>
      <c r="D167" s="17"/>
      <c r="E167" s="17"/>
      <c r="F167" s="48">
        <f t="shared" si="134"/>
        <v>0</v>
      </c>
      <c r="G167" s="15"/>
      <c r="H167" s="16"/>
      <c r="I167" s="16"/>
      <c r="J167" s="63"/>
      <c r="K167" s="48">
        <f t="shared" si="135"/>
        <v>0</v>
      </c>
      <c r="L167" s="48">
        <f t="shared" si="136"/>
        <v>0</v>
      </c>
      <c r="M167" s="52"/>
      <c r="N167" s="182" t="s">
        <v>194</v>
      </c>
      <c r="O167" s="15"/>
      <c r="P167" s="16"/>
      <c r="Q167" s="16"/>
      <c r="R167" s="63"/>
      <c r="S167" s="48">
        <f t="shared" si="137"/>
        <v>0</v>
      </c>
      <c r="T167" s="15"/>
      <c r="U167" s="16"/>
      <c r="V167" s="16">
        <v>3</v>
      </c>
      <c r="W167" s="63"/>
      <c r="X167" s="48">
        <f t="shared" si="138"/>
        <v>3</v>
      </c>
      <c r="Y167" s="48">
        <f t="shared" ref="Y167" si="139">S167+X167</f>
        <v>3</v>
      </c>
      <c r="Z167" s="115">
        <v>45520</v>
      </c>
    </row>
    <row r="168" spans="1:26" x14ac:dyDescent="0.15">
      <c r="A168" s="9" t="s">
        <v>10</v>
      </c>
      <c r="B168" s="15"/>
      <c r="C168" s="16"/>
      <c r="D168" s="17"/>
      <c r="E168" s="17"/>
      <c r="F168" s="48">
        <f t="shared" si="134"/>
        <v>0</v>
      </c>
      <c r="G168" s="15"/>
      <c r="H168" s="16"/>
      <c r="I168" s="16"/>
      <c r="J168" s="63"/>
      <c r="K168" s="48">
        <f t="shared" si="135"/>
        <v>0</v>
      </c>
      <c r="L168" s="48">
        <f t="shared" si="136"/>
        <v>0</v>
      </c>
      <c r="M168" s="25"/>
      <c r="N168" s="182" t="s">
        <v>194</v>
      </c>
      <c r="O168" s="10">
        <v>6</v>
      </c>
      <c r="P168" s="11"/>
      <c r="Q168" s="11"/>
      <c r="R168" s="62"/>
      <c r="S168" s="47">
        <f t="shared" si="137"/>
        <v>6</v>
      </c>
      <c r="T168" s="10">
        <v>6</v>
      </c>
      <c r="U168" s="11"/>
      <c r="V168" s="11"/>
      <c r="W168" s="62"/>
      <c r="X168" s="47">
        <f t="shared" si="138"/>
        <v>6</v>
      </c>
      <c r="Y168" s="47">
        <f>S168+X168</f>
        <v>12</v>
      </c>
      <c r="Z168" s="115">
        <v>45520</v>
      </c>
    </row>
    <row r="169" spans="1:26" ht="14.25" thickBot="1" x14ac:dyDescent="0.2">
      <c r="A169" s="9" t="s">
        <v>11</v>
      </c>
      <c r="B169" s="15"/>
      <c r="C169" s="16"/>
      <c r="D169" s="17"/>
      <c r="E169" s="17"/>
      <c r="F169" s="55">
        <f t="shared" si="134"/>
        <v>0</v>
      </c>
      <c r="G169" s="15"/>
      <c r="H169" s="16"/>
      <c r="I169" s="16"/>
      <c r="J169" s="64"/>
      <c r="K169" s="55">
        <f t="shared" si="135"/>
        <v>0</v>
      </c>
      <c r="L169" s="49">
        <f t="shared" si="136"/>
        <v>0</v>
      </c>
      <c r="M169" s="25"/>
      <c r="N169" s="182" t="s">
        <v>11</v>
      </c>
      <c r="O169" s="15"/>
      <c r="P169" s="16"/>
      <c r="Q169" s="68"/>
      <c r="R169" s="63"/>
      <c r="S169" s="55">
        <f t="shared" si="137"/>
        <v>0</v>
      </c>
      <c r="T169" s="15"/>
      <c r="U169" s="16"/>
      <c r="V169" s="16">
        <v>5</v>
      </c>
      <c r="W169" s="64"/>
      <c r="X169" s="55">
        <f t="shared" si="138"/>
        <v>5</v>
      </c>
      <c r="Y169" s="49">
        <f t="shared" ref="Y169:Y198" si="140">S169+X169</f>
        <v>5</v>
      </c>
      <c r="Z169" s="115">
        <v>45524</v>
      </c>
    </row>
    <row r="170" spans="1:26" ht="14.25" thickBot="1" x14ac:dyDescent="0.2">
      <c r="A170" s="21" t="s">
        <v>16</v>
      </c>
      <c r="B170" s="7">
        <f>SUM(B164:B169)</f>
        <v>0</v>
      </c>
      <c r="C170" s="8">
        <f t="shared" ref="C170:E170" si="141">SUM(C164:C169)</f>
        <v>0</v>
      </c>
      <c r="D170" s="22">
        <f t="shared" si="141"/>
        <v>0</v>
      </c>
      <c r="E170" s="22">
        <f t="shared" si="141"/>
        <v>0</v>
      </c>
      <c r="F170" s="28">
        <f t="shared" si="134"/>
        <v>0</v>
      </c>
      <c r="G170" s="7">
        <f t="shared" ref="G170:J170" si="142">SUM(G164:G169)</f>
        <v>0</v>
      </c>
      <c r="H170" s="8">
        <f t="shared" si="142"/>
        <v>0</v>
      </c>
      <c r="I170" s="8">
        <f t="shared" si="142"/>
        <v>0</v>
      </c>
      <c r="J170" s="65">
        <f t="shared" si="142"/>
        <v>0</v>
      </c>
      <c r="K170" s="28">
        <f t="shared" si="135"/>
        <v>0</v>
      </c>
      <c r="L170" s="35">
        <f t="shared" ref="L170" si="143">SUM(L164:L169)</f>
        <v>0</v>
      </c>
      <c r="N170" s="21" t="s">
        <v>16</v>
      </c>
      <c r="O170" s="7">
        <f>SUM(O164:O169)</f>
        <v>9</v>
      </c>
      <c r="P170" s="8">
        <f t="shared" ref="P170:R170" si="144">SUM(P164:P169)</f>
        <v>26</v>
      </c>
      <c r="Q170" s="22">
        <f t="shared" si="144"/>
        <v>16</v>
      </c>
      <c r="R170" s="22">
        <f t="shared" si="144"/>
        <v>0</v>
      </c>
      <c r="S170" s="28">
        <f t="shared" si="137"/>
        <v>51</v>
      </c>
      <c r="T170" s="7">
        <f t="shared" ref="T170:V170" si="145">SUM(T164:T169)</f>
        <v>6</v>
      </c>
      <c r="U170" s="8">
        <f t="shared" si="145"/>
        <v>0</v>
      </c>
      <c r="V170" s="8">
        <f t="shared" si="145"/>
        <v>13</v>
      </c>
      <c r="W170" s="65">
        <f>SUM(W164:W169)</f>
        <v>0</v>
      </c>
      <c r="X170" s="28">
        <f t="shared" si="138"/>
        <v>19</v>
      </c>
      <c r="Y170" s="35">
        <f t="shared" si="140"/>
        <v>70</v>
      </c>
    </row>
    <row r="171" spans="1:26" x14ac:dyDescent="0.15">
      <c r="A171" s="23"/>
      <c r="B171" s="39"/>
      <c r="C171" s="13"/>
      <c r="D171" s="14"/>
      <c r="E171" s="14"/>
      <c r="F171" s="46">
        <f t="shared" si="134"/>
        <v>0</v>
      </c>
      <c r="G171" s="39"/>
      <c r="H171" s="13"/>
      <c r="I171" s="13"/>
      <c r="J171" s="61"/>
      <c r="K171" s="46">
        <f t="shared" si="135"/>
        <v>0</v>
      </c>
      <c r="L171" s="46">
        <f t="shared" ref="L171:L196" si="146">F171+K171</f>
        <v>0</v>
      </c>
      <c r="M171" s="52"/>
      <c r="N171" s="23" t="s">
        <v>293</v>
      </c>
      <c r="O171" s="15"/>
      <c r="P171" s="16"/>
      <c r="Q171" s="17"/>
      <c r="R171" s="17"/>
      <c r="S171" s="48">
        <f t="shared" ref="S171:S191" si="147">SUM(O171:R171)</f>
        <v>0</v>
      </c>
      <c r="T171" s="15"/>
      <c r="U171" s="16"/>
      <c r="V171" s="16">
        <v>5</v>
      </c>
      <c r="W171" s="63"/>
      <c r="X171" s="48">
        <f t="shared" ref="X171:X191" si="148">SUM(T171:W171)</f>
        <v>5</v>
      </c>
      <c r="Y171" s="48">
        <f t="shared" ref="Y171:Y191" si="149">S171+X171</f>
        <v>5</v>
      </c>
      <c r="Z171" s="114">
        <v>45509</v>
      </c>
    </row>
    <row r="172" spans="1:26" x14ac:dyDescent="0.15">
      <c r="A172" s="23"/>
      <c r="B172" s="15"/>
      <c r="C172" s="16"/>
      <c r="D172" s="17"/>
      <c r="E172" s="17"/>
      <c r="F172" s="48">
        <f t="shared" si="134"/>
        <v>0</v>
      </c>
      <c r="G172" s="15"/>
      <c r="H172" s="16"/>
      <c r="I172" s="16"/>
      <c r="J172" s="63"/>
      <c r="K172" s="48">
        <f t="shared" si="135"/>
        <v>0</v>
      </c>
      <c r="L172" s="48">
        <f t="shared" si="146"/>
        <v>0</v>
      </c>
      <c r="M172" s="52"/>
      <c r="N172" s="23" t="s">
        <v>307</v>
      </c>
      <c r="O172" s="15">
        <v>3</v>
      </c>
      <c r="P172" s="16"/>
      <c r="Q172" s="17"/>
      <c r="R172" s="17"/>
      <c r="S172" s="48">
        <f t="shared" si="147"/>
        <v>3</v>
      </c>
      <c r="T172" s="15"/>
      <c r="U172" s="16"/>
      <c r="V172" s="16"/>
      <c r="W172" s="63"/>
      <c r="X172" s="48">
        <f t="shared" si="148"/>
        <v>0</v>
      </c>
      <c r="Y172" s="48">
        <f t="shared" si="149"/>
        <v>3</v>
      </c>
      <c r="Z172" s="114">
        <v>45524</v>
      </c>
    </row>
    <row r="173" spans="1:26" x14ac:dyDescent="0.15">
      <c r="A173" s="23"/>
      <c r="B173" s="15"/>
      <c r="C173" s="16"/>
      <c r="D173" s="17"/>
      <c r="E173" s="17"/>
      <c r="F173" s="48">
        <f t="shared" si="134"/>
        <v>0</v>
      </c>
      <c r="G173" s="15"/>
      <c r="H173" s="16"/>
      <c r="I173" s="16"/>
      <c r="J173" s="63"/>
      <c r="K173" s="48">
        <f t="shared" si="135"/>
        <v>0</v>
      </c>
      <c r="L173" s="48">
        <f t="shared" si="146"/>
        <v>0</v>
      </c>
      <c r="M173" s="52"/>
      <c r="N173" s="23" t="s">
        <v>309</v>
      </c>
      <c r="O173" s="15"/>
      <c r="P173" s="16"/>
      <c r="Q173" s="17"/>
      <c r="R173" s="17"/>
      <c r="S173" s="48">
        <f t="shared" si="147"/>
        <v>0</v>
      </c>
      <c r="T173" s="15"/>
      <c r="U173" s="16"/>
      <c r="V173" s="16">
        <v>3</v>
      </c>
      <c r="W173" s="63"/>
      <c r="X173" s="48">
        <f t="shared" si="148"/>
        <v>3</v>
      </c>
      <c r="Y173" s="48">
        <f t="shared" si="149"/>
        <v>3</v>
      </c>
      <c r="Z173" s="114">
        <v>45524</v>
      </c>
    </row>
    <row r="174" spans="1:26" x14ac:dyDescent="0.15">
      <c r="A174" s="54"/>
      <c r="B174" s="15"/>
      <c r="C174" s="16"/>
      <c r="D174" s="17"/>
      <c r="E174" s="17"/>
      <c r="F174" s="48">
        <f t="shared" si="134"/>
        <v>0</v>
      </c>
      <c r="G174" s="15"/>
      <c r="H174" s="16"/>
      <c r="I174" s="16"/>
      <c r="J174" s="63"/>
      <c r="K174" s="48">
        <f t="shared" si="135"/>
        <v>0</v>
      </c>
      <c r="L174" s="48">
        <f t="shared" si="146"/>
        <v>0</v>
      </c>
      <c r="M174" s="52"/>
      <c r="N174" s="23" t="s">
        <v>310</v>
      </c>
      <c r="O174" s="15">
        <v>6</v>
      </c>
      <c r="P174" s="16"/>
      <c r="Q174" s="17"/>
      <c r="R174" s="17"/>
      <c r="S174" s="48">
        <f t="shared" si="147"/>
        <v>6</v>
      </c>
      <c r="T174" s="15">
        <v>6</v>
      </c>
      <c r="U174" s="16"/>
      <c r="V174" s="16"/>
      <c r="W174" s="63"/>
      <c r="X174" s="48">
        <f t="shared" si="148"/>
        <v>6</v>
      </c>
      <c r="Y174" s="48">
        <f t="shared" si="149"/>
        <v>12</v>
      </c>
      <c r="Z174" s="114">
        <v>45531</v>
      </c>
    </row>
    <row r="175" spans="1:26" x14ac:dyDescent="0.15">
      <c r="A175" s="23"/>
      <c r="B175" s="15"/>
      <c r="C175" s="16"/>
      <c r="D175" s="17"/>
      <c r="E175" s="17"/>
      <c r="F175" s="48">
        <f t="shared" si="134"/>
        <v>0</v>
      </c>
      <c r="G175" s="15"/>
      <c r="H175" s="16"/>
      <c r="I175" s="16"/>
      <c r="J175" s="63"/>
      <c r="K175" s="48">
        <f t="shared" si="135"/>
        <v>0</v>
      </c>
      <c r="L175" s="48">
        <f t="shared" si="146"/>
        <v>0</v>
      </c>
      <c r="M175" s="52"/>
      <c r="N175" s="23" t="s">
        <v>312</v>
      </c>
      <c r="O175" s="15"/>
      <c r="P175" s="16"/>
      <c r="Q175" s="17"/>
      <c r="R175" s="17"/>
      <c r="S175" s="48">
        <f t="shared" si="147"/>
        <v>0</v>
      </c>
      <c r="T175" s="15"/>
      <c r="U175" s="16"/>
      <c r="V175" s="16">
        <v>5</v>
      </c>
      <c r="W175" s="63"/>
      <c r="X175" s="48">
        <f t="shared" si="148"/>
        <v>5</v>
      </c>
      <c r="Y175" s="48">
        <f t="shared" si="149"/>
        <v>5</v>
      </c>
      <c r="Z175" s="114">
        <v>45526</v>
      </c>
    </row>
    <row r="176" spans="1:26" x14ac:dyDescent="0.15">
      <c r="A176" s="23"/>
      <c r="B176" s="15"/>
      <c r="C176" s="16"/>
      <c r="D176" s="17"/>
      <c r="E176" s="17"/>
      <c r="F176" s="48">
        <f t="shared" si="134"/>
        <v>0</v>
      </c>
      <c r="G176" s="15"/>
      <c r="H176" s="16"/>
      <c r="I176" s="16"/>
      <c r="J176" s="63"/>
      <c r="K176" s="48">
        <f t="shared" si="135"/>
        <v>0</v>
      </c>
      <c r="L176" s="48">
        <f t="shared" si="146"/>
        <v>0</v>
      </c>
      <c r="M176" s="52"/>
      <c r="N176" s="23" t="s">
        <v>314</v>
      </c>
      <c r="O176" s="15"/>
      <c r="P176" s="16"/>
      <c r="Q176" s="17"/>
      <c r="R176" s="17"/>
      <c r="S176" s="48">
        <f t="shared" si="147"/>
        <v>0</v>
      </c>
      <c r="T176" s="15">
        <v>10</v>
      </c>
      <c r="U176" s="16"/>
      <c r="V176" s="16"/>
      <c r="W176" s="63"/>
      <c r="X176" s="48">
        <f t="shared" si="148"/>
        <v>10</v>
      </c>
      <c r="Y176" s="48">
        <f t="shared" si="149"/>
        <v>10</v>
      </c>
      <c r="Z176" s="114">
        <v>45534</v>
      </c>
    </row>
    <row r="177" spans="1:27" x14ac:dyDescent="0.15">
      <c r="A177" s="23"/>
      <c r="B177" s="15"/>
      <c r="C177" s="16"/>
      <c r="D177" s="17"/>
      <c r="E177" s="17"/>
      <c r="F177" s="48">
        <f t="shared" si="134"/>
        <v>0</v>
      </c>
      <c r="G177" s="15"/>
      <c r="H177" s="16"/>
      <c r="I177" s="16"/>
      <c r="J177" s="63"/>
      <c r="K177" s="48">
        <f t="shared" si="135"/>
        <v>0</v>
      </c>
      <c r="L177" s="48">
        <f t="shared" si="146"/>
        <v>0</v>
      </c>
      <c r="M177" s="52"/>
      <c r="N177" s="182" t="s">
        <v>194</v>
      </c>
      <c r="O177" s="15"/>
      <c r="P177" s="16"/>
      <c r="Q177" s="17"/>
      <c r="R177" s="17"/>
      <c r="S177" s="48">
        <f t="shared" si="147"/>
        <v>0</v>
      </c>
      <c r="T177" s="15">
        <v>-10</v>
      </c>
      <c r="U177" s="16"/>
      <c r="V177" s="16"/>
      <c r="W177" s="63"/>
      <c r="X177" s="48">
        <f t="shared" si="148"/>
        <v>-10</v>
      </c>
      <c r="Y177" s="48">
        <f t="shared" si="149"/>
        <v>-10</v>
      </c>
      <c r="Z177" s="114">
        <v>45525</v>
      </c>
    </row>
    <row r="178" spans="1:27" x14ac:dyDescent="0.15">
      <c r="A178" s="23"/>
      <c r="B178" s="15"/>
      <c r="C178" s="16"/>
      <c r="D178" s="17"/>
      <c r="E178" s="17"/>
      <c r="F178" s="48">
        <f t="shared" si="134"/>
        <v>0</v>
      </c>
      <c r="G178" s="15"/>
      <c r="H178" s="16"/>
      <c r="I178" s="16"/>
      <c r="J178" s="63"/>
      <c r="K178" s="48">
        <f t="shared" si="135"/>
        <v>0</v>
      </c>
      <c r="L178" s="48">
        <f t="shared" si="146"/>
        <v>0</v>
      </c>
      <c r="M178" s="52"/>
      <c r="N178" s="23" t="s">
        <v>319</v>
      </c>
      <c r="O178" s="15"/>
      <c r="P178" s="16"/>
      <c r="Q178" s="17"/>
      <c r="R178" s="17"/>
      <c r="S178" s="48">
        <f t="shared" si="147"/>
        <v>0</v>
      </c>
      <c r="T178" s="15">
        <v>10</v>
      </c>
      <c r="U178" s="16">
        <f>20+6</f>
        <v>26</v>
      </c>
      <c r="V178" s="16">
        <v>10</v>
      </c>
      <c r="W178" s="63"/>
      <c r="X178" s="48">
        <f t="shared" si="148"/>
        <v>46</v>
      </c>
      <c r="Y178" s="48">
        <f t="shared" si="149"/>
        <v>46</v>
      </c>
      <c r="Z178" s="114">
        <v>45537</v>
      </c>
      <c r="AA178" s="25"/>
    </row>
    <row r="179" spans="1:27" x14ac:dyDescent="0.15">
      <c r="A179" s="23"/>
      <c r="B179" s="15"/>
      <c r="C179" s="16"/>
      <c r="D179" s="17"/>
      <c r="E179" s="17"/>
      <c r="F179" s="48">
        <f t="shared" si="134"/>
        <v>0</v>
      </c>
      <c r="G179" s="15"/>
      <c r="H179" s="16"/>
      <c r="I179" s="16"/>
      <c r="J179" s="63"/>
      <c r="K179" s="48">
        <f t="shared" si="135"/>
        <v>0</v>
      </c>
      <c r="L179" s="48">
        <f t="shared" si="146"/>
        <v>0</v>
      </c>
      <c r="M179" s="52"/>
      <c r="N179" s="182" t="s">
        <v>194</v>
      </c>
      <c r="O179" s="15"/>
      <c r="P179" s="16"/>
      <c r="Q179" s="17"/>
      <c r="R179" s="17"/>
      <c r="S179" s="48">
        <f t="shared" si="147"/>
        <v>0</v>
      </c>
      <c r="T179" s="15">
        <v>-10</v>
      </c>
      <c r="U179" s="16">
        <v>-26</v>
      </c>
      <c r="V179" s="16">
        <v>-10</v>
      </c>
      <c r="W179" s="63"/>
      <c r="X179" s="48">
        <f t="shared" si="148"/>
        <v>-46</v>
      </c>
      <c r="Y179" s="48">
        <f t="shared" si="149"/>
        <v>-46</v>
      </c>
      <c r="Z179" s="114">
        <v>45537</v>
      </c>
      <c r="AA179" s="25"/>
    </row>
    <row r="180" spans="1:27" x14ac:dyDescent="0.15">
      <c r="A180" s="23"/>
      <c r="B180" s="18"/>
      <c r="C180" s="19"/>
      <c r="D180" s="20"/>
      <c r="E180" s="20"/>
      <c r="F180" s="48">
        <f t="shared" si="134"/>
        <v>0</v>
      </c>
      <c r="G180" s="18"/>
      <c r="H180" s="19"/>
      <c r="I180" s="19"/>
      <c r="J180" s="64"/>
      <c r="K180" s="48">
        <f t="shared" si="135"/>
        <v>0</v>
      </c>
      <c r="L180" s="48">
        <f t="shared" si="146"/>
        <v>0</v>
      </c>
      <c r="M180" s="52"/>
      <c r="N180" s="23" t="s">
        <v>324</v>
      </c>
      <c r="O180" s="15"/>
      <c r="P180" s="16"/>
      <c r="Q180" s="17"/>
      <c r="R180" s="17">
        <v>2</v>
      </c>
      <c r="S180" s="48">
        <f t="shared" si="147"/>
        <v>2</v>
      </c>
      <c r="T180" s="15"/>
      <c r="U180" s="16"/>
      <c r="V180" s="16"/>
      <c r="W180" s="63"/>
      <c r="X180" s="48">
        <f t="shared" si="148"/>
        <v>0</v>
      </c>
      <c r="Y180" s="48">
        <f t="shared" si="149"/>
        <v>2</v>
      </c>
      <c r="Z180" s="114">
        <v>45552</v>
      </c>
    </row>
    <row r="181" spans="1:27" x14ac:dyDescent="0.15">
      <c r="A181" s="54"/>
      <c r="B181" s="15"/>
      <c r="C181" s="16"/>
      <c r="D181" s="17"/>
      <c r="E181" s="17"/>
      <c r="F181" s="48">
        <f t="shared" si="134"/>
        <v>0</v>
      </c>
      <c r="G181" s="15"/>
      <c r="H181" s="16"/>
      <c r="I181" s="16"/>
      <c r="J181" s="63"/>
      <c r="K181" s="48">
        <f t="shared" si="135"/>
        <v>0</v>
      </c>
      <c r="L181" s="48">
        <f t="shared" si="146"/>
        <v>0</v>
      </c>
      <c r="M181" s="52"/>
      <c r="N181" s="182" t="s">
        <v>194</v>
      </c>
      <c r="O181" s="15"/>
      <c r="P181" s="16"/>
      <c r="Q181" s="17"/>
      <c r="R181" s="17">
        <v>-2</v>
      </c>
      <c r="S181" s="48">
        <f t="shared" si="147"/>
        <v>-2</v>
      </c>
      <c r="T181" s="15"/>
      <c r="U181" s="16"/>
      <c r="V181" s="16"/>
      <c r="W181" s="63"/>
      <c r="X181" s="48">
        <f t="shared" si="148"/>
        <v>0</v>
      </c>
      <c r="Y181" s="48">
        <f t="shared" si="149"/>
        <v>-2</v>
      </c>
      <c r="Z181" s="114">
        <v>45547</v>
      </c>
      <c r="AA181" s="25"/>
    </row>
    <row r="182" spans="1:27" x14ac:dyDescent="0.15">
      <c r="A182" s="23"/>
      <c r="B182" s="15"/>
      <c r="C182" s="16"/>
      <c r="D182" s="17"/>
      <c r="E182" s="17"/>
      <c r="F182" s="48">
        <f t="shared" si="134"/>
        <v>0</v>
      </c>
      <c r="G182" s="15"/>
      <c r="H182" s="16"/>
      <c r="I182" s="16"/>
      <c r="J182" s="63"/>
      <c r="K182" s="48">
        <f t="shared" si="135"/>
        <v>0</v>
      </c>
      <c r="L182" s="48">
        <f t="shared" si="146"/>
        <v>0</v>
      </c>
      <c r="M182" s="52"/>
      <c r="N182" s="23" t="s">
        <v>325</v>
      </c>
      <c r="O182" s="15"/>
      <c r="P182" s="16"/>
      <c r="Q182" s="17"/>
      <c r="R182" s="17">
        <v>2</v>
      </c>
      <c r="S182" s="48">
        <f t="shared" si="147"/>
        <v>2</v>
      </c>
      <c r="T182" s="15"/>
      <c r="U182" s="16"/>
      <c r="V182" s="16"/>
      <c r="W182" s="63"/>
      <c r="X182" s="48">
        <f t="shared" si="148"/>
        <v>0</v>
      </c>
      <c r="Y182" s="48">
        <f t="shared" si="149"/>
        <v>2</v>
      </c>
      <c r="Z182" s="114">
        <v>45555</v>
      </c>
      <c r="AA182" s="25"/>
    </row>
    <row r="183" spans="1:27" x14ac:dyDescent="0.15">
      <c r="A183" s="23"/>
      <c r="B183" s="15"/>
      <c r="C183" s="16"/>
      <c r="D183" s="17"/>
      <c r="E183" s="17"/>
      <c r="F183" s="48">
        <f t="shared" si="134"/>
        <v>0</v>
      </c>
      <c r="G183" s="15"/>
      <c r="H183" s="16"/>
      <c r="I183" s="16"/>
      <c r="J183" s="63"/>
      <c r="K183" s="48">
        <f t="shared" si="135"/>
        <v>0</v>
      </c>
      <c r="L183" s="48">
        <f t="shared" si="146"/>
        <v>0</v>
      </c>
      <c r="M183" s="52"/>
      <c r="N183" s="182" t="s">
        <v>194</v>
      </c>
      <c r="O183" s="15"/>
      <c r="P183" s="16"/>
      <c r="Q183" s="17"/>
      <c r="R183" s="17">
        <v>-2</v>
      </c>
      <c r="S183" s="48">
        <f t="shared" si="147"/>
        <v>-2</v>
      </c>
      <c r="T183" s="15"/>
      <c r="U183" s="16"/>
      <c r="V183" s="16"/>
      <c r="W183" s="63"/>
      <c r="X183" s="48">
        <f t="shared" si="148"/>
        <v>0</v>
      </c>
      <c r="Y183" s="48">
        <f t="shared" si="149"/>
        <v>-2</v>
      </c>
      <c r="Z183" s="114">
        <v>45552</v>
      </c>
      <c r="AA183" s="25"/>
    </row>
    <row r="184" spans="1:27" x14ac:dyDescent="0.15">
      <c r="A184" s="54"/>
      <c r="B184" s="15"/>
      <c r="C184" s="16"/>
      <c r="D184" s="17"/>
      <c r="E184" s="17"/>
      <c r="F184" s="48">
        <f t="shared" si="134"/>
        <v>0</v>
      </c>
      <c r="G184" s="15"/>
      <c r="H184" s="16"/>
      <c r="I184" s="16"/>
      <c r="J184" s="63"/>
      <c r="K184" s="48">
        <f t="shared" si="135"/>
        <v>0</v>
      </c>
      <c r="L184" s="48">
        <f t="shared" si="146"/>
        <v>0</v>
      </c>
      <c r="M184" s="52"/>
      <c r="N184" s="23" t="s">
        <v>328</v>
      </c>
      <c r="O184" s="15"/>
      <c r="P184" s="16">
        <v>6</v>
      </c>
      <c r="Q184" s="17"/>
      <c r="R184" s="17"/>
      <c r="S184" s="48">
        <f t="shared" si="147"/>
        <v>6</v>
      </c>
      <c r="T184" s="15"/>
      <c r="U184" s="16"/>
      <c r="V184" s="16"/>
      <c r="W184" s="63"/>
      <c r="X184" s="48">
        <f t="shared" si="148"/>
        <v>0</v>
      </c>
      <c r="Y184" s="48">
        <f t="shared" si="149"/>
        <v>6</v>
      </c>
      <c r="Z184" s="114">
        <v>45560</v>
      </c>
    </row>
    <row r="185" spans="1:27" x14ac:dyDescent="0.15">
      <c r="A185" s="24"/>
      <c r="B185" s="15"/>
      <c r="C185" s="16"/>
      <c r="D185" s="17"/>
      <c r="E185" s="17"/>
      <c r="F185" s="48">
        <f t="shared" si="134"/>
        <v>0</v>
      </c>
      <c r="G185" s="15"/>
      <c r="H185" s="16"/>
      <c r="I185" s="16"/>
      <c r="J185" s="63"/>
      <c r="K185" s="48">
        <f t="shared" si="135"/>
        <v>0</v>
      </c>
      <c r="L185" s="48">
        <f t="shared" si="146"/>
        <v>0</v>
      </c>
      <c r="M185" s="52"/>
      <c r="N185" s="23" t="s">
        <v>333</v>
      </c>
      <c r="O185" s="15"/>
      <c r="P185" s="16">
        <v>6</v>
      </c>
      <c r="Q185" s="17"/>
      <c r="R185" s="17"/>
      <c r="S185" s="48">
        <f t="shared" si="147"/>
        <v>6</v>
      </c>
      <c r="T185" s="15"/>
      <c r="U185" s="16"/>
      <c r="V185" s="16"/>
      <c r="W185" s="63"/>
      <c r="X185" s="48">
        <f t="shared" si="148"/>
        <v>0</v>
      </c>
      <c r="Y185" s="48">
        <f t="shared" si="149"/>
        <v>6</v>
      </c>
      <c r="Z185" s="114">
        <v>45572</v>
      </c>
    </row>
    <row r="186" spans="1:27" x14ac:dyDescent="0.15">
      <c r="A186" s="54"/>
      <c r="B186" s="15"/>
      <c r="C186" s="16"/>
      <c r="D186" s="17"/>
      <c r="E186" s="17"/>
      <c r="F186" s="48">
        <f t="shared" si="134"/>
        <v>0</v>
      </c>
      <c r="G186" s="15"/>
      <c r="H186" s="16"/>
      <c r="I186" s="16"/>
      <c r="J186" s="63"/>
      <c r="K186" s="48">
        <f t="shared" si="135"/>
        <v>0</v>
      </c>
      <c r="L186" s="48">
        <f t="shared" si="146"/>
        <v>0</v>
      </c>
      <c r="M186" s="52"/>
      <c r="N186" s="23" t="s">
        <v>333</v>
      </c>
      <c r="O186" s="15"/>
      <c r="P186" s="16"/>
      <c r="Q186" s="17"/>
      <c r="R186" s="17">
        <v>7</v>
      </c>
      <c r="S186" s="48">
        <f t="shared" si="147"/>
        <v>7</v>
      </c>
      <c r="T186" s="15"/>
      <c r="U186" s="16"/>
      <c r="V186" s="16"/>
      <c r="W186" s="63"/>
      <c r="X186" s="48">
        <f t="shared" si="148"/>
        <v>0</v>
      </c>
      <c r="Y186" s="48">
        <f t="shared" si="149"/>
        <v>7</v>
      </c>
      <c r="Z186" s="114">
        <v>45576</v>
      </c>
    </row>
    <row r="187" spans="1:27" x14ac:dyDescent="0.15">
      <c r="A187" s="26"/>
      <c r="B187" s="15"/>
      <c r="C187" s="16"/>
      <c r="D187" s="17"/>
      <c r="E187" s="17"/>
      <c r="F187" s="48">
        <f t="shared" si="134"/>
        <v>0</v>
      </c>
      <c r="G187" s="15"/>
      <c r="H187" s="16"/>
      <c r="I187" s="16"/>
      <c r="J187" s="63"/>
      <c r="K187" s="48">
        <f t="shared" si="135"/>
        <v>0</v>
      </c>
      <c r="L187" s="48">
        <f t="shared" si="146"/>
        <v>0</v>
      </c>
      <c r="M187" s="52"/>
      <c r="N187" s="182" t="s">
        <v>194</v>
      </c>
      <c r="O187" s="15"/>
      <c r="P187" s="16"/>
      <c r="Q187" s="17"/>
      <c r="R187" s="17">
        <v>-7</v>
      </c>
      <c r="S187" s="48">
        <f t="shared" si="147"/>
        <v>-7</v>
      </c>
      <c r="T187" s="15"/>
      <c r="U187" s="16"/>
      <c r="V187" s="16"/>
      <c r="W187" s="63"/>
      <c r="X187" s="48">
        <f t="shared" si="148"/>
        <v>0</v>
      </c>
      <c r="Y187" s="48">
        <f t="shared" si="149"/>
        <v>-7</v>
      </c>
      <c r="Z187" s="114">
        <v>45572</v>
      </c>
    </row>
    <row r="188" spans="1:27" x14ac:dyDescent="0.15">
      <c r="A188" s="54"/>
      <c r="B188" s="15"/>
      <c r="C188" s="16"/>
      <c r="D188" s="17"/>
      <c r="E188" s="17"/>
      <c r="F188" s="48">
        <f t="shared" si="134"/>
        <v>0</v>
      </c>
      <c r="G188" s="15"/>
      <c r="H188" s="16"/>
      <c r="I188" s="16"/>
      <c r="J188" s="63"/>
      <c r="K188" s="48">
        <f t="shared" si="135"/>
        <v>0</v>
      </c>
      <c r="L188" s="48">
        <f t="shared" si="146"/>
        <v>0</v>
      </c>
      <c r="M188" s="52"/>
      <c r="N188" s="182" t="s">
        <v>381</v>
      </c>
      <c r="O188" s="15"/>
      <c r="P188" s="16">
        <v>14</v>
      </c>
      <c r="Q188" s="17">
        <v>16</v>
      </c>
      <c r="R188" s="17"/>
      <c r="S188" s="48">
        <f t="shared" si="147"/>
        <v>30</v>
      </c>
      <c r="T188" s="15"/>
      <c r="U188" s="16"/>
      <c r="V188" s="16"/>
      <c r="W188" s="63"/>
      <c r="X188" s="48">
        <f t="shared" si="148"/>
        <v>0</v>
      </c>
      <c r="Y188" s="48">
        <f t="shared" si="149"/>
        <v>30</v>
      </c>
      <c r="Z188" s="114">
        <v>45705</v>
      </c>
    </row>
    <row r="189" spans="1:27" x14ac:dyDescent="0.15">
      <c r="A189" s="23"/>
      <c r="B189" s="15"/>
      <c r="C189" s="16"/>
      <c r="D189" s="17"/>
      <c r="E189" s="17"/>
      <c r="F189" s="48">
        <f t="shared" si="134"/>
        <v>0</v>
      </c>
      <c r="G189" s="15"/>
      <c r="H189" s="16"/>
      <c r="I189" s="16"/>
      <c r="J189" s="63"/>
      <c r="K189" s="48">
        <f t="shared" si="135"/>
        <v>0</v>
      </c>
      <c r="L189" s="48">
        <f t="shared" si="146"/>
        <v>0</v>
      </c>
      <c r="M189" s="25"/>
      <c r="N189" s="23"/>
      <c r="O189" s="15"/>
      <c r="P189" s="16"/>
      <c r="Q189" s="17"/>
      <c r="R189" s="17"/>
      <c r="S189" s="48">
        <f t="shared" si="147"/>
        <v>0</v>
      </c>
      <c r="T189" s="15"/>
      <c r="U189" s="16"/>
      <c r="V189" s="16"/>
      <c r="W189" s="63"/>
      <c r="X189" s="48">
        <f t="shared" si="148"/>
        <v>0</v>
      </c>
      <c r="Y189" s="48">
        <f t="shared" si="149"/>
        <v>0</v>
      </c>
      <c r="Z189" s="76"/>
    </row>
    <row r="190" spans="1:27" x14ac:dyDescent="0.15">
      <c r="A190" s="23"/>
      <c r="B190" s="15"/>
      <c r="C190" s="16"/>
      <c r="D190" s="17"/>
      <c r="E190" s="17"/>
      <c r="F190" s="48">
        <f t="shared" si="134"/>
        <v>0</v>
      </c>
      <c r="G190" s="15"/>
      <c r="H190" s="16"/>
      <c r="I190" s="16"/>
      <c r="J190" s="63"/>
      <c r="K190" s="48">
        <f t="shared" si="135"/>
        <v>0</v>
      </c>
      <c r="L190" s="48">
        <f t="shared" si="146"/>
        <v>0</v>
      </c>
      <c r="M190" s="25"/>
      <c r="N190" s="23"/>
      <c r="O190" s="15"/>
      <c r="P190" s="16"/>
      <c r="Q190" s="17"/>
      <c r="R190" s="17"/>
      <c r="S190" s="48">
        <f t="shared" si="147"/>
        <v>0</v>
      </c>
      <c r="T190" s="15"/>
      <c r="U190" s="16"/>
      <c r="V190" s="16"/>
      <c r="W190" s="63"/>
      <c r="X190" s="48">
        <f t="shared" si="148"/>
        <v>0</v>
      </c>
      <c r="Y190" s="48">
        <f t="shared" si="149"/>
        <v>0</v>
      </c>
    </row>
    <row r="191" spans="1:27" x14ac:dyDescent="0.15">
      <c r="A191" s="23"/>
      <c r="B191" s="15"/>
      <c r="C191" s="16"/>
      <c r="D191" s="17"/>
      <c r="E191" s="17"/>
      <c r="F191" s="48">
        <f t="shared" si="134"/>
        <v>0</v>
      </c>
      <c r="G191" s="15"/>
      <c r="H191" s="16"/>
      <c r="I191" s="16"/>
      <c r="J191" s="63"/>
      <c r="K191" s="48">
        <f t="shared" si="135"/>
        <v>0</v>
      </c>
      <c r="L191" s="48">
        <f t="shared" si="146"/>
        <v>0</v>
      </c>
      <c r="M191" s="25"/>
      <c r="N191" s="23"/>
      <c r="O191" s="15"/>
      <c r="P191" s="16"/>
      <c r="Q191" s="17"/>
      <c r="R191" s="17"/>
      <c r="S191" s="48">
        <f t="shared" si="147"/>
        <v>0</v>
      </c>
      <c r="T191" s="15"/>
      <c r="U191" s="16"/>
      <c r="V191" s="16"/>
      <c r="W191" s="63"/>
      <c r="X191" s="48">
        <f t="shared" si="148"/>
        <v>0</v>
      </c>
      <c r="Y191" s="48">
        <f t="shared" si="149"/>
        <v>0</v>
      </c>
    </row>
    <row r="192" spans="1:27" x14ac:dyDescent="0.15">
      <c r="A192" s="23"/>
      <c r="B192" s="18"/>
      <c r="C192" s="19"/>
      <c r="D192" s="20"/>
      <c r="E192" s="20"/>
      <c r="F192" s="48">
        <f t="shared" si="134"/>
        <v>0</v>
      </c>
      <c r="G192" s="18"/>
      <c r="H192" s="19"/>
      <c r="I192" s="19"/>
      <c r="J192" s="64"/>
      <c r="K192" s="48">
        <f t="shared" si="135"/>
        <v>0</v>
      </c>
      <c r="L192" s="48">
        <f t="shared" si="146"/>
        <v>0</v>
      </c>
      <c r="M192" s="25"/>
      <c r="N192" s="23"/>
      <c r="O192" s="15"/>
      <c r="P192" s="16"/>
      <c r="Q192" s="17"/>
      <c r="R192" s="17"/>
      <c r="S192" s="48">
        <f t="shared" ref="S192:S196" si="150">SUM(O192:R192)</f>
        <v>0</v>
      </c>
      <c r="T192" s="15"/>
      <c r="U192" s="16"/>
      <c r="V192" s="16"/>
      <c r="W192" s="63"/>
      <c r="X192" s="48">
        <f t="shared" ref="X192:X196" si="151">SUM(T192:W192)</f>
        <v>0</v>
      </c>
      <c r="Y192" s="48">
        <f t="shared" ref="Y192:Y196" si="152">S192+X192</f>
        <v>0</v>
      </c>
    </row>
    <row r="193" spans="1:25" x14ac:dyDescent="0.15">
      <c r="A193" s="23"/>
      <c r="B193" s="16"/>
      <c r="C193" s="16"/>
      <c r="D193" s="17"/>
      <c r="E193" s="17"/>
      <c r="F193" s="48">
        <f t="shared" si="134"/>
        <v>0</v>
      </c>
      <c r="G193" s="16"/>
      <c r="H193" s="16"/>
      <c r="I193" s="16"/>
      <c r="J193" s="63"/>
      <c r="K193" s="48">
        <f t="shared" si="135"/>
        <v>0</v>
      </c>
      <c r="L193" s="48">
        <f t="shared" si="146"/>
        <v>0</v>
      </c>
      <c r="M193" s="25"/>
      <c r="N193" s="23"/>
      <c r="O193" s="15"/>
      <c r="P193" s="16"/>
      <c r="Q193" s="17"/>
      <c r="R193" s="17"/>
      <c r="S193" s="48">
        <f t="shared" si="150"/>
        <v>0</v>
      </c>
      <c r="T193" s="15"/>
      <c r="U193" s="16"/>
      <c r="V193" s="16"/>
      <c r="W193" s="63"/>
      <c r="X193" s="48">
        <f t="shared" si="151"/>
        <v>0</v>
      </c>
      <c r="Y193" s="48">
        <f t="shared" si="152"/>
        <v>0</v>
      </c>
    </row>
    <row r="194" spans="1:25" x14ac:dyDescent="0.15">
      <c r="A194" s="23"/>
      <c r="B194" s="15"/>
      <c r="C194" s="25"/>
      <c r="D194" s="17"/>
      <c r="E194" s="17"/>
      <c r="F194" s="48">
        <f t="shared" si="134"/>
        <v>0</v>
      </c>
      <c r="G194" s="15"/>
      <c r="H194" s="25"/>
      <c r="I194" s="16"/>
      <c r="J194" s="63"/>
      <c r="K194" s="48">
        <f t="shared" si="135"/>
        <v>0</v>
      </c>
      <c r="L194" s="48">
        <f t="shared" si="146"/>
        <v>0</v>
      </c>
      <c r="M194" s="25"/>
      <c r="N194" s="23"/>
      <c r="O194" s="15"/>
      <c r="P194" s="16"/>
      <c r="Q194" s="17"/>
      <c r="R194" s="17"/>
      <c r="S194" s="48">
        <f t="shared" si="150"/>
        <v>0</v>
      </c>
      <c r="T194" s="15"/>
      <c r="U194" s="16"/>
      <c r="V194" s="16"/>
      <c r="W194" s="63"/>
      <c r="X194" s="48">
        <f t="shared" si="151"/>
        <v>0</v>
      </c>
      <c r="Y194" s="48">
        <f t="shared" si="152"/>
        <v>0</v>
      </c>
    </row>
    <row r="195" spans="1:25" x14ac:dyDescent="0.15">
      <c r="A195" s="23"/>
      <c r="B195" s="15"/>
      <c r="C195" s="16"/>
      <c r="D195" s="16"/>
      <c r="E195" s="63"/>
      <c r="F195" s="48">
        <f t="shared" si="134"/>
        <v>0</v>
      </c>
      <c r="G195" s="15"/>
      <c r="H195" s="16"/>
      <c r="I195" s="16"/>
      <c r="J195" s="63"/>
      <c r="K195" s="48">
        <f t="shared" si="135"/>
        <v>0</v>
      </c>
      <c r="L195" s="48">
        <f t="shared" si="146"/>
        <v>0</v>
      </c>
      <c r="M195" s="25"/>
      <c r="N195" s="23"/>
      <c r="O195" s="15"/>
      <c r="P195" s="16"/>
      <c r="Q195" s="17"/>
      <c r="R195" s="17"/>
      <c r="S195" s="48">
        <f t="shared" si="150"/>
        <v>0</v>
      </c>
      <c r="T195" s="15"/>
      <c r="U195" s="16"/>
      <c r="V195" s="16"/>
      <c r="W195" s="63"/>
      <c r="X195" s="48">
        <f t="shared" si="151"/>
        <v>0</v>
      </c>
      <c r="Y195" s="48">
        <f t="shared" si="152"/>
        <v>0</v>
      </c>
    </row>
    <row r="196" spans="1:25" ht="14.25" thickBot="1" x14ac:dyDescent="0.2">
      <c r="A196" s="26"/>
      <c r="B196" s="18"/>
      <c r="C196" s="19"/>
      <c r="D196" s="19"/>
      <c r="E196" s="64"/>
      <c r="F196" s="55">
        <f t="shared" si="134"/>
        <v>0</v>
      </c>
      <c r="G196" s="18"/>
      <c r="H196" s="19"/>
      <c r="I196" s="19"/>
      <c r="J196" s="64"/>
      <c r="K196" s="55">
        <f t="shared" si="135"/>
        <v>0</v>
      </c>
      <c r="L196" s="55">
        <f t="shared" si="146"/>
        <v>0</v>
      </c>
      <c r="M196" s="25"/>
      <c r="N196" s="23"/>
      <c r="O196" s="15"/>
      <c r="P196" s="16"/>
      <c r="Q196" s="17"/>
      <c r="R196" s="17"/>
      <c r="S196" s="48">
        <f t="shared" si="150"/>
        <v>0</v>
      </c>
      <c r="T196" s="15"/>
      <c r="U196" s="16"/>
      <c r="V196" s="16"/>
      <c r="W196" s="63"/>
      <c r="X196" s="48">
        <f t="shared" si="151"/>
        <v>0</v>
      </c>
      <c r="Y196" s="48">
        <f t="shared" si="152"/>
        <v>0</v>
      </c>
    </row>
    <row r="197" spans="1:25" ht="14.25" thickBot="1" x14ac:dyDescent="0.2">
      <c r="A197" s="27" t="s">
        <v>12</v>
      </c>
      <c r="B197" s="57">
        <f>SUM(B171:B196)</f>
        <v>0</v>
      </c>
      <c r="C197" s="50">
        <f t="shared" ref="C197:D197" si="153">SUM(C171:C196)</f>
        <v>0</v>
      </c>
      <c r="D197" s="50">
        <f t="shared" si="153"/>
        <v>0</v>
      </c>
      <c r="E197" s="50">
        <f>SUM(E171:E196)</f>
        <v>0</v>
      </c>
      <c r="F197" s="59">
        <f t="shared" si="134"/>
        <v>0</v>
      </c>
      <c r="G197" s="57">
        <f t="shared" ref="G197:I197" si="154">SUM(G171:G196)</f>
        <v>0</v>
      </c>
      <c r="H197" s="50">
        <f t="shared" si="154"/>
        <v>0</v>
      </c>
      <c r="I197" s="50">
        <f t="shared" si="154"/>
        <v>0</v>
      </c>
      <c r="J197" s="58">
        <f>SUM(J171:J196)</f>
        <v>0</v>
      </c>
      <c r="K197" s="59">
        <f t="shared" si="135"/>
        <v>0</v>
      </c>
      <c r="L197" s="59">
        <f t="shared" ref="L197" si="155">SUM(L171:L196)</f>
        <v>0</v>
      </c>
      <c r="N197" s="27" t="s">
        <v>12</v>
      </c>
      <c r="O197" s="57">
        <f>SUM(O171:O196)</f>
        <v>9</v>
      </c>
      <c r="P197" s="50">
        <f t="shared" ref="P197:Q197" si="156">SUM(P171:P196)</f>
        <v>26</v>
      </c>
      <c r="Q197" s="50">
        <f t="shared" si="156"/>
        <v>16</v>
      </c>
      <c r="R197" s="50">
        <f>SUM(R171:R196)</f>
        <v>0</v>
      </c>
      <c r="S197" s="59">
        <f t="shared" si="137"/>
        <v>51</v>
      </c>
      <c r="T197" s="57">
        <f t="shared" ref="T197:V197" si="157">SUM(T171:T196)</f>
        <v>6</v>
      </c>
      <c r="U197" s="50">
        <f t="shared" si="157"/>
        <v>0</v>
      </c>
      <c r="V197" s="50">
        <f t="shared" si="157"/>
        <v>13</v>
      </c>
      <c r="W197" s="58">
        <f>SUM(W171:W196)</f>
        <v>0</v>
      </c>
      <c r="X197" s="59">
        <f t="shared" si="138"/>
        <v>19</v>
      </c>
      <c r="Y197" s="59">
        <f t="shared" si="140"/>
        <v>70</v>
      </c>
    </row>
    <row r="198" spans="1:25" ht="14.25" thickBot="1" x14ac:dyDescent="0.2">
      <c r="A198" s="29" t="s">
        <v>13</v>
      </c>
      <c r="B198" s="32">
        <f>B170-B197</f>
        <v>0</v>
      </c>
      <c r="C198" s="44">
        <f t="shared" ref="C198:D198" si="158">C170-C197</f>
        <v>0</v>
      </c>
      <c r="D198" s="44">
        <f t="shared" si="158"/>
        <v>0</v>
      </c>
      <c r="E198" s="44">
        <f>E170-E197</f>
        <v>0</v>
      </c>
      <c r="F198" s="28">
        <f t="shared" si="134"/>
        <v>0</v>
      </c>
      <c r="G198" s="32">
        <f t="shared" ref="G198:I198" si="159">G170-G197</f>
        <v>0</v>
      </c>
      <c r="H198" s="44">
        <f t="shared" si="159"/>
        <v>0</v>
      </c>
      <c r="I198" s="44">
        <f t="shared" si="159"/>
        <v>0</v>
      </c>
      <c r="J198" s="43">
        <f>J170-J197</f>
        <v>0</v>
      </c>
      <c r="K198" s="28">
        <f t="shared" si="135"/>
        <v>0</v>
      </c>
      <c r="L198" s="28">
        <f t="shared" ref="L198" si="160">L170-L197</f>
        <v>0</v>
      </c>
      <c r="N198" s="29" t="s">
        <v>13</v>
      </c>
      <c r="O198" s="32">
        <f>O170-O197</f>
        <v>0</v>
      </c>
      <c r="P198" s="44">
        <f t="shared" ref="P198:Q198" si="161">P170-P197</f>
        <v>0</v>
      </c>
      <c r="Q198" s="44">
        <f t="shared" si="161"/>
        <v>0</v>
      </c>
      <c r="R198" s="44">
        <f>R170-R197</f>
        <v>0</v>
      </c>
      <c r="S198" s="28">
        <f t="shared" si="137"/>
        <v>0</v>
      </c>
      <c r="T198" s="32">
        <f t="shared" ref="T198:V198" si="162">T170-T197</f>
        <v>0</v>
      </c>
      <c r="U198" s="44">
        <f t="shared" si="162"/>
        <v>0</v>
      </c>
      <c r="V198" s="44">
        <f t="shared" si="162"/>
        <v>0</v>
      </c>
      <c r="W198" s="43">
        <f>W170-W197</f>
        <v>0</v>
      </c>
      <c r="X198" s="28">
        <f t="shared" si="138"/>
        <v>0</v>
      </c>
      <c r="Y198" s="28">
        <f t="shared" si="140"/>
        <v>0</v>
      </c>
    </row>
  </sheetData>
  <mergeCells count="35">
    <mergeCell ref="T122:W122"/>
    <mergeCell ref="Y122:Y123"/>
    <mergeCell ref="A121:F121"/>
    <mergeCell ref="B122:E122"/>
    <mergeCell ref="G122:J122"/>
    <mergeCell ref="L122:L123"/>
    <mergeCell ref="O122:R122"/>
    <mergeCell ref="A1:F1"/>
    <mergeCell ref="L2:L3"/>
    <mergeCell ref="O42:R42"/>
    <mergeCell ref="T42:W42"/>
    <mergeCell ref="Y2:Y3"/>
    <mergeCell ref="A41:F41"/>
    <mergeCell ref="Y42:Y43"/>
    <mergeCell ref="L42:L43"/>
    <mergeCell ref="B2:E2"/>
    <mergeCell ref="G2:J2"/>
    <mergeCell ref="O2:R2"/>
    <mergeCell ref="T2:W2"/>
    <mergeCell ref="B42:E42"/>
    <mergeCell ref="G42:J42"/>
    <mergeCell ref="T82:W82"/>
    <mergeCell ref="Y82:Y83"/>
    <mergeCell ref="A81:F81"/>
    <mergeCell ref="B82:E82"/>
    <mergeCell ref="G82:J82"/>
    <mergeCell ref="L82:L83"/>
    <mergeCell ref="O82:R82"/>
    <mergeCell ref="T162:W162"/>
    <mergeCell ref="Y162:Y163"/>
    <mergeCell ref="A161:F161"/>
    <mergeCell ref="B162:E162"/>
    <mergeCell ref="G162:J162"/>
    <mergeCell ref="L162:L163"/>
    <mergeCell ref="O162:R162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BK798"/>
  <sheetViews>
    <sheetView tabSelected="1" topLeftCell="A758" zoomScale="90" zoomScaleNormal="90" workbookViewId="0">
      <selection activeCell="AB777" sqref="AB777"/>
    </sheetView>
  </sheetViews>
  <sheetFormatPr defaultRowHeight="13.5" x14ac:dyDescent="0.15"/>
  <cols>
    <col min="1" max="1" width="26.875" customWidth="1"/>
    <col min="2" max="5" width="4.75" customWidth="1"/>
    <col min="6" max="6" width="5.5" customWidth="1"/>
    <col min="7" max="10" width="4.125" customWidth="1"/>
    <col min="11" max="11" width="5.5" customWidth="1"/>
    <col min="12" max="15" width="4.125" customWidth="1"/>
    <col min="16" max="16" width="5.5" customWidth="1"/>
    <col min="17" max="20" width="4.125" customWidth="1"/>
    <col min="21" max="21" width="5.5" customWidth="1"/>
    <col min="22" max="25" width="4.125" customWidth="1"/>
    <col min="26" max="26" width="5.5" customWidth="1"/>
    <col min="27" max="27" width="6" customWidth="1"/>
    <col min="28" max="28" width="12.5" style="113" customWidth="1"/>
    <col min="29" max="29" width="52.5" customWidth="1"/>
    <col min="30" max="33" width="4.875" customWidth="1"/>
    <col min="34" max="34" width="6.75" bestFit="1" customWidth="1"/>
    <col min="35" max="38" width="4.875" customWidth="1"/>
    <col min="39" max="39" width="5.5" bestFit="1" customWidth="1"/>
    <col min="40" max="43" width="4.875" customWidth="1"/>
    <col min="44" max="44" width="5.5" bestFit="1" customWidth="1"/>
    <col min="45" max="48" width="4.875" customWidth="1"/>
    <col min="49" max="49" width="6.25" customWidth="1"/>
    <col min="50" max="53" width="5.625" customWidth="1"/>
    <col min="54" max="54" width="5.5" bestFit="1" customWidth="1"/>
    <col min="55" max="55" width="7.875" customWidth="1"/>
    <col min="56" max="56" width="11" style="113" customWidth="1"/>
    <col min="57" max="57" width="9.375" style="113" customWidth="1"/>
    <col min="58" max="58" width="22.5" bestFit="1" customWidth="1"/>
    <col min="59" max="59" width="17" customWidth="1"/>
    <col min="60" max="61" width="5.75" customWidth="1"/>
  </cols>
  <sheetData>
    <row r="1" spans="1:59" ht="19.5" thickBot="1" x14ac:dyDescent="0.25">
      <c r="A1" s="288" t="s">
        <v>45</v>
      </c>
      <c r="B1" s="288"/>
      <c r="C1" s="288"/>
      <c r="D1" s="288"/>
      <c r="E1" s="288"/>
      <c r="F1" s="288"/>
      <c r="G1" s="288"/>
      <c r="H1" s="288"/>
      <c r="I1" s="28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9" t="s">
        <v>69</v>
      </c>
      <c r="AD1" s="79"/>
      <c r="AE1" s="79"/>
      <c r="AF1" s="79"/>
      <c r="AG1" s="79"/>
      <c r="AH1" s="79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78"/>
      <c r="AU1" s="78"/>
      <c r="AV1" s="78"/>
      <c r="AW1" s="78"/>
      <c r="AX1" s="78"/>
      <c r="AY1" s="78"/>
      <c r="AZ1" s="78"/>
      <c r="BA1" s="78"/>
      <c r="BB1" s="78"/>
      <c r="BC1" s="78"/>
    </row>
    <row r="2" spans="1:59" ht="14.25" thickBot="1" x14ac:dyDescent="0.2">
      <c r="A2" s="2" t="s">
        <v>0</v>
      </c>
      <c r="B2" s="256" t="s">
        <v>23</v>
      </c>
      <c r="C2" s="257"/>
      <c r="D2" s="257"/>
      <c r="E2" s="258"/>
      <c r="F2" s="81"/>
      <c r="G2" s="259" t="s">
        <v>24</v>
      </c>
      <c r="H2" s="260"/>
      <c r="I2" s="260"/>
      <c r="J2" s="261"/>
      <c r="K2" s="81"/>
      <c r="L2" s="262" t="s">
        <v>25</v>
      </c>
      <c r="M2" s="263"/>
      <c r="N2" s="263"/>
      <c r="O2" s="264"/>
      <c r="P2" s="81"/>
      <c r="Q2" s="265" t="s">
        <v>26</v>
      </c>
      <c r="R2" s="266"/>
      <c r="S2" s="266"/>
      <c r="T2" s="267"/>
      <c r="U2" s="81"/>
      <c r="V2" s="268" t="s">
        <v>27</v>
      </c>
      <c r="W2" s="269"/>
      <c r="X2" s="269"/>
      <c r="Y2" s="270"/>
      <c r="Z2" s="81"/>
      <c r="AA2" s="272" t="s">
        <v>6</v>
      </c>
      <c r="AB2" s="123"/>
      <c r="AC2" s="2" t="s">
        <v>0</v>
      </c>
      <c r="AD2" s="256" t="s">
        <v>23</v>
      </c>
      <c r="AE2" s="257"/>
      <c r="AF2" s="257"/>
      <c r="AG2" s="258"/>
      <c r="AH2" s="81"/>
      <c r="AI2" s="259" t="s">
        <v>24</v>
      </c>
      <c r="AJ2" s="260"/>
      <c r="AK2" s="260"/>
      <c r="AL2" s="261"/>
      <c r="AM2" s="81"/>
      <c r="AN2" s="262" t="s">
        <v>25</v>
      </c>
      <c r="AO2" s="263"/>
      <c r="AP2" s="263"/>
      <c r="AQ2" s="264"/>
      <c r="AR2" s="81"/>
      <c r="AS2" s="265" t="s">
        <v>26</v>
      </c>
      <c r="AT2" s="266"/>
      <c r="AU2" s="266"/>
      <c r="AV2" s="267"/>
      <c r="AW2" s="81"/>
      <c r="AX2" s="268" t="s">
        <v>27</v>
      </c>
      <c r="AY2" s="269"/>
      <c r="AZ2" s="269"/>
      <c r="BA2" s="270"/>
      <c r="BB2" s="81"/>
      <c r="BC2" s="272" t="s">
        <v>6</v>
      </c>
      <c r="BD2" s="113" t="s">
        <v>37</v>
      </c>
    </row>
    <row r="3" spans="1:59" ht="14.25" thickBot="1" x14ac:dyDescent="0.2">
      <c r="A3" s="2" t="s">
        <v>2</v>
      </c>
      <c r="B3" s="3" t="s">
        <v>3</v>
      </c>
      <c r="C3" s="4" t="s">
        <v>4</v>
      </c>
      <c r="D3" s="5" t="s">
        <v>5</v>
      </c>
      <c r="E3" s="5" t="s">
        <v>20</v>
      </c>
      <c r="F3" s="82" t="s">
        <v>6</v>
      </c>
      <c r="G3" s="3" t="s">
        <v>3</v>
      </c>
      <c r="H3" s="4" t="s">
        <v>4</v>
      </c>
      <c r="I3" s="5" t="s">
        <v>5</v>
      </c>
      <c r="J3" s="5" t="s">
        <v>20</v>
      </c>
      <c r="K3" s="82" t="s">
        <v>6</v>
      </c>
      <c r="L3" s="3" t="s">
        <v>3</v>
      </c>
      <c r="M3" s="4" t="s">
        <v>4</v>
      </c>
      <c r="N3" s="5" t="s">
        <v>5</v>
      </c>
      <c r="O3" s="5" t="s">
        <v>20</v>
      </c>
      <c r="P3" s="82" t="s">
        <v>6</v>
      </c>
      <c r="Q3" s="3" t="s">
        <v>3</v>
      </c>
      <c r="R3" s="4" t="s">
        <v>4</v>
      </c>
      <c r="S3" s="5" t="s">
        <v>5</v>
      </c>
      <c r="T3" s="5" t="s">
        <v>20</v>
      </c>
      <c r="U3" s="82" t="s">
        <v>6</v>
      </c>
      <c r="V3" s="3" t="s">
        <v>3</v>
      </c>
      <c r="W3" s="4" t="s">
        <v>4</v>
      </c>
      <c r="X3" s="5" t="s">
        <v>5</v>
      </c>
      <c r="Y3" s="5" t="s">
        <v>20</v>
      </c>
      <c r="Z3" s="82" t="s">
        <v>6</v>
      </c>
      <c r="AA3" s="273"/>
      <c r="AB3" s="124"/>
      <c r="AC3" s="2" t="s">
        <v>2</v>
      </c>
      <c r="AD3" s="3" t="s">
        <v>3</v>
      </c>
      <c r="AE3" s="4" t="s">
        <v>4</v>
      </c>
      <c r="AF3" s="5" t="s">
        <v>5</v>
      </c>
      <c r="AG3" s="5" t="s">
        <v>20</v>
      </c>
      <c r="AH3" s="82" t="s">
        <v>6</v>
      </c>
      <c r="AI3" s="3" t="s">
        <v>3</v>
      </c>
      <c r="AJ3" s="4" t="s">
        <v>4</v>
      </c>
      <c r="AK3" s="5" t="s">
        <v>5</v>
      </c>
      <c r="AL3" s="5" t="s">
        <v>20</v>
      </c>
      <c r="AM3" s="82" t="s">
        <v>6</v>
      </c>
      <c r="AN3" s="3" t="s">
        <v>3</v>
      </c>
      <c r="AO3" s="4" t="s">
        <v>4</v>
      </c>
      <c r="AP3" s="5" t="s">
        <v>5</v>
      </c>
      <c r="AQ3" s="5" t="s">
        <v>20</v>
      </c>
      <c r="AR3" s="82" t="s">
        <v>6</v>
      </c>
      <c r="AS3" s="3" t="s">
        <v>3</v>
      </c>
      <c r="AT3" s="4" t="s">
        <v>4</v>
      </c>
      <c r="AU3" s="5" t="s">
        <v>5</v>
      </c>
      <c r="AV3" s="5" t="s">
        <v>20</v>
      </c>
      <c r="AW3" s="82" t="s">
        <v>6</v>
      </c>
      <c r="AX3" s="3" t="s">
        <v>3</v>
      </c>
      <c r="AY3" s="4" t="s">
        <v>4</v>
      </c>
      <c r="AZ3" s="5" t="s">
        <v>5</v>
      </c>
      <c r="BA3" s="5" t="s">
        <v>20</v>
      </c>
      <c r="BB3" s="82" t="s">
        <v>6</v>
      </c>
      <c r="BC3" s="273"/>
      <c r="BF3" s="121" t="s">
        <v>38</v>
      </c>
    </row>
    <row r="4" spans="1:59" x14ac:dyDescent="0.15">
      <c r="A4" s="119" t="s">
        <v>15</v>
      </c>
      <c r="B4" s="39">
        <v>3</v>
      </c>
      <c r="C4" s="13">
        <v>3</v>
      </c>
      <c r="D4" s="14">
        <v>3</v>
      </c>
      <c r="E4" s="14">
        <v>2</v>
      </c>
      <c r="F4" s="83">
        <f>SUM(B4:E4)</f>
        <v>11</v>
      </c>
      <c r="G4" s="39">
        <v>3</v>
      </c>
      <c r="H4" s="13">
        <v>3</v>
      </c>
      <c r="I4" s="14">
        <v>3</v>
      </c>
      <c r="J4" s="14">
        <v>2</v>
      </c>
      <c r="K4" s="83">
        <f>SUM(G4:J4)</f>
        <v>11</v>
      </c>
      <c r="L4" s="39">
        <v>3</v>
      </c>
      <c r="M4" s="13">
        <v>3</v>
      </c>
      <c r="N4" s="14">
        <v>3</v>
      </c>
      <c r="O4" s="14">
        <v>2</v>
      </c>
      <c r="P4" s="83">
        <f>SUM(L4:O4)</f>
        <v>11</v>
      </c>
      <c r="Q4" s="39">
        <v>3</v>
      </c>
      <c r="R4" s="13">
        <v>3</v>
      </c>
      <c r="S4" s="14">
        <v>3</v>
      </c>
      <c r="T4" s="14">
        <v>2</v>
      </c>
      <c r="U4" s="83">
        <f>SUM(Q4:T4)</f>
        <v>11</v>
      </c>
      <c r="V4" s="39">
        <v>3</v>
      </c>
      <c r="W4" s="13">
        <v>3</v>
      </c>
      <c r="X4" s="14">
        <v>3</v>
      </c>
      <c r="Y4" s="14">
        <v>2</v>
      </c>
      <c r="Z4" s="83">
        <f>SUM(V4:Y4)</f>
        <v>11</v>
      </c>
      <c r="AA4" s="120">
        <f>Z4+U4+P4+K4+F4</f>
        <v>55</v>
      </c>
      <c r="AB4" s="125">
        <v>45175</v>
      </c>
      <c r="AC4" s="129" t="s">
        <v>15</v>
      </c>
      <c r="AD4" s="39">
        <v>10</v>
      </c>
      <c r="AE4" s="13">
        <v>10</v>
      </c>
      <c r="AF4" s="14">
        <v>10</v>
      </c>
      <c r="AG4" s="14">
        <v>10</v>
      </c>
      <c r="AH4" s="83">
        <f>SUM(AD4:AG4)</f>
        <v>40</v>
      </c>
      <c r="AI4" s="39">
        <v>10</v>
      </c>
      <c r="AJ4" s="13">
        <v>10</v>
      </c>
      <c r="AK4" s="14">
        <v>10</v>
      </c>
      <c r="AL4" s="14">
        <v>10</v>
      </c>
      <c r="AM4" s="83">
        <f>SUM(AI4:AL4)</f>
        <v>40</v>
      </c>
      <c r="AN4" s="39">
        <v>10</v>
      </c>
      <c r="AO4" s="13">
        <v>10</v>
      </c>
      <c r="AP4" s="14">
        <v>10</v>
      </c>
      <c r="AQ4" s="14">
        <v>10</v>
      </c>
      <c r="AR4" s="83">
        <f>SUM(AN4:AQ4)</f>
        <v>40</v>
      </c>
      <c r="AS4" s="39">
        <v>10</v>
      </c>
      <c r="AT4" s="13">
        <v>10</v>
      </c>
      <c r="AU4" s="14">
        <v>10</v>
      </c>
      <c r="AV4" s="14">
        <v>10</v>
      </c>
      <c r="AW4" s="83">
        <f>SUM(AS4:AV4)</f>
        <v>40</v>
      </c>
      <c r="AX4" s="39">
        <v>10</v>
      </c>
      <c r="AY4" s="13">
        <v>10</v>
      </c>
      <c r="AZ4" s="14">
        <v>10</v>
      </c>
      <c r="BA4" s="14">
        <v>10</v>
      </c>
      <c r="BB4" s="83">
        <f>SUM(AX4:BA4)</f>
        <v>40</v>
      </c>
      <c r="BC4" s="120">
        <f>BB4+AW4+AR4+AM4+AH4</f>
        <v>200</v>
      </c>
      <c r="BD4" s="114" t="s">
        <v>56</v>
      </c>
      <c r="BE4" s="114"/>
      <c r="BF4" s="97" t="s">
        <v>42</v>
      </c>
      <c r="BG4" s="97" t="s">
        <v>39</v>
      </c>
    </row>
    <row r="5" spans="1:59" x14ac:dyDescent="0.15">
      <c r="A5" s="9" t="s">
        <v>7</v>
      </c>
      <c r="B5" s="10">
        <v>3</v>
      </c>
      <c r="C5" s="11"/>
      <c r="D5" s="12"/>
      <c r="E5" s="12"/>
      <c r="F5" s="84">
        <f t="shared" ref="F5:F38" si="0">SUM(B5:E5)</f>
        <v>3</v>
      </c>
      <c r="G5" s="10">
        <v>3</v>
      </c>
      <c r="H5" s="11"/>
      <c r="I5" s="12"/>
      <c r="J5" s="12"/>
      <c r="K5" s="84">
        <f t="shared" ref="K5:K38" si="1">SUM(G5:J5)</f>
        <v>3</v>
      </c>
      <c r="L5" s="10">
        <v>3</v>
      </c>
      <c r="M5" s="11"/>
      <c r="N5" s="12"/>
      <c r="O5" s="12"/>
      <c r="P5" s="84">
        <f t="shared" ref="P5:P38" si="2">SUM(L5:O5)</f>
        <v>3</v>
      </c>
      <c r="Q5" s="10">
        <v>3</v>
      </c>
      <c r="R5" s="11"/>
      <c r="S5" s="12"/>
      <c r="T5" s="12"/>
      <c r="U5" s="84">
        <f t="shared" ref="U5:U38" si="3">SUM(Q5:T5)</f>
        <v>3</v>
      </c>
      <c r="V5" s="10">
        <v>3</v>
      </c>
      <c r="W5" s="11"/>
      <c r="X5" s="12"/>
      <c r="Y5" s="12"/>
      <c r="Z5" s="84">
        <f t="shared" ref="Z5:Z38" si="4">SUM(V5:Y5)</f>
        <v>3</v>
      </c>
      <c r="AA5" s="105">
        <f t="shared" ref="AA5:AA38" si="5">Z5+U5+P5+K5+F5</f>
        <v>15</v>
      </c>
      <c r="AB5" s="125">
        <v>45181</v>
      </c>
      <c r="AC5" s="117" t="s">
        <v>7</v>
      </c>
      <c r="AD5" s="10"/>
      <c r="AE5" s="11"/>
      <c r="AF5" s="12"/>
      <c r="AG5" s="12"/>
      <c r="AH5" s="84">
        <f t="shared" ref="AH5:AH38" si="6">SUM(AD5:AG5)</f>
        <v>0</v>
      </c>
      <c r="AI5" s="10"/>
      <c r="AJ5" s="11"/>
      <c r="AK5" s="12"/>
      <c r="AL5" s="12"/>
      <c r="AM5" s="84">
        <f t="shared" ref="AM5:AM38" si="7">SUM(AI5:AL5)</f>
        <v>0</v>
      </c>
      <c r="AN5" s="10"/>
      <c r="AO5" s="11"/>
      <c r="AP5" s="12"/>
      <c r="AQ5" s="12"/>
      <c r="AR5" s="84">
        <f t="shared" ref="AR5:AR38" si="8">SUM(AN5:AQ5)</f>
        <v>0</v>
      </c>
      <c r="AS5" s="10"/>
      <c r="AT5" s="11"/>
      <c r="AU5" s="12"/>
      <c r="AV5" s="12"/>
      <c r="AW5" s="84">
        <f t="shared" ref="AW5:AW38" si="9">SUM(AS5:AV5)</f>
        <v>0</v>
      </c>
      <c r="AX5" s="10"/>
      <c r="AY5" s="11"/>
      <c r="AZ5" s="12"/>
      <c r="BA5" s="12"/>
      <c r="BB5" s="84">
        <f t="shared" ref="BB5:BB38" si="10">SUM(AX5:BA5)</f>
        <v>0</v>
      </c>
      <c r="BC5" s="105">
        <f t="shared" ref="BC5:BC38" si="11">BB5+AW5+AR5+AM5+AH5</f>
        <v>0</v>
      </c>
      <c r="BF5" t="s">
        <v>57</v>
      </c>
    </row>
    <row r="6" spans="1:59" x14ac:dyDescent="0.15">
      <c r="A6" s="9" t="s">
        <v>8</v>
      </c>
      <c r="B6" s="10">
        <v>2</v>
      </c>
      <c r="C6" s="11">
        <v>5</v>
      </c>
      <c r="D6" s="12">
        <v>5</v>
      </c>
      <c r="E6" s="12">
        <v>6</v>
      </c>
      <c r="F6" s="84">
        <f t="shared" si="0"/>
        <v>18</v>
      </c>
      <c r="G6" s="10">
        <v>2</v>
      </c>
      <c r="H6" s="11">
        <v>5</v>
      </c>
      <c r="I6" s="12">
        <v>5</v>
      </c>
      <c r="J6" s="12">
        <v>6</v>
      </c>
      <c r="K6" s="85">
        <f t="shared" si="1"/>
        <v>18</v>
      </c>
      <c r="L6" s="10">
        <v>2</v>
      </c>
      <c r="M6" s="11">
        <v>5</v>
      </c>
      <c r="N6" s="12">
        <v>5</v>
      </c>
      <c r="O6" s="12">
        <v>6</v>
      </c>
      <c r="P6" s="85">
        <f t="shared" si="2"/>
        <v>18</v>
      </c>
      <c r="Q6" s="10">
        <v>2</v>
      </c>
      <c r="R6" s="11">
        <v>5</v>
      </c>
      <c r="S6" s="12">
        <v>5</v>
      </c>
      <c r="T6" s="12">
        <v>6</v>
      </c>
      <c r="U6" s="85">
        <f t="shared" si="3"/>
        <v>18</v>
      </c>
      <c r="V6" s="10">
        <v>2</v>
      </c>
      <c r="W6" s="11">
        <v>5</v>
      </c>
      <c r="X6" s="12">
        <v>5</v>
      </c>
      <c r="Y6" s="12">
        <v>6</v>
      </c>
      <c r="Z6" s="85">
        <f t="shared" si="4"/>
        <v>18</v>
      </c>
      <c r="AA6" s="105">
        <f t="shared" si="5"/>
        <v>90</v>
      </c>
      <c r="AB6" s="125">
        <v>45185</v>
      </c>
      <c r="AC6" s="118" t="s">
        <v>8</v>
      </c>
      <c r="AD6" s="72"/>
      <c r="AE6" s="73"/>
      <c r="AF6" s="98"/>
      <c r="AG6" s="98"/>
      <c r="AH6" s="99">
        <f t="shared" si="6"/>
        <v>0</v>
      </c>
      <c r="AI6" s="72"/>
      <c r="AJ6" s="73"/>
      <c r="AK6" s="98"/>
      <c r="AL6" s="98"/>
      <c r="AM6" s="99">
        <f t="shared" si="7"/>
        <v>0</v>
      </c>
      <c r="AN6" s="72"/>
      <c r="AO6" s="73"/>
      <c r="AP6" s="98"/>
      <c r="AQ6" s="98"/>
      <c r="AR6" s="99">
        <f t="shared" si="8"/>
        <v>0</v>
      </c>
      <c r="AS6" s="72"/>
      <c r="AT6" s="73"/>
      <c r="AU6" s="98"/>
      <c r="AV6" s="98"/>
      <c r="AW6" s="99">
        <f t="shared" si="9"/>
        <v>0</v>
      </c>
      <c r="AX6" s="72"/>
      <c r="AY6" s="73"/>
      <c r="AZ6" s="98"/>
      <c r="BA6" s="98"/>
      <c r="BB6" s="99">
        <f t="shared" si="10"/>
        <v>0</v>
      </c>
      <c r="BC6" s="111">
        <f t="shared" si="11"/>
        <v>0</v>
      </c>
      <c r="BD6" s="77">
        <v>45261</v>
      </c>
      <c r="BE6" s="77"/>
      <c r="BF6" s="97" t="s">
        <v>41</v>
      </c>
      <c r="BG6" s="97" t="s">
        <v>40</v>
      </c>
    </row>
    <row r="7" spans="1:59" x14ac:dyDescent="0.15">
      <c r="A7" s="9" t="s">
        <v>9</v>
      </c>
      <c r="B7" s="15">
        <v>10</v>
      </c>
      <c r="C7" s="16">
        <v>10</v>
      </c>
      <c r="D7" s="17">
        <v>10</v>
      </c>
      <c r="E7" s="17"/>
      <c r="F7" s="85">
        <f t="shared" si="0"/>
        <v>30</v>
      </c>
      <c r="G7" s="15">
        <v>10</v>
      </c>
      <c r="H7" s="16">
        <v>10</v>
      </c>
      <c r="I7" s="17">
        <v>10</v>
      </c>
      <c r="J7" s="17"/>
      <c r="K7" s="85">
        <f t="shared" si="1"/>
        <v>30</v>
      </c>
      <c r="L7" s="15">
        <v>10</v>
      </c>
      <c r="M7" s="16">
        <v>10</v>
      </c>
      <c r="N7" s="17">
        <v>10</v>
      </c>
      <c r="O7" s="17"/>
      <c r="P7" s="85">
        <f t="shared" si="2"/>
        <v>30</v>
      </c>
      <c r="Q7" s="15">
        <v>10</v>
      </c>
      <c r="R7" s="16">
        <v>10</v>
      </c>
      <c r="S7" s="17">
        <v>10</v>
      </c>
      <c r="T7" s="17"/>
      <c r="U7" s="85">
        <f t="shared" si="3"/>
        <v>30</v>
      </c>
      <c r="V7" s="15">
        <v>10</v>
      </c>
      <c r="W7" s="16">
        <v>10</v>
      </c>
      <c r="X7" s="17">
        <v>10</v>
      </c>
      <c r="Y7" s="17"/>
      <c r="Z7" s="85">
        <f t="shared" si="4"/>
        <v>30</v>
      </c>
      <c r="AA7" s="105">
        <f t="shared" si="5"/>
        <v>150</v>
      </c>
      <c r="AB7" s="125">
        <v>45189</v>
      </c>
      <c r="AC7" s="118" t="s">
        <v>9</v>
      </c>
      <c r="AD7" s="74"/>
      <c r="AE7" s="75"/>
      <c r="AF7" s="100"/>
      <c r="AG7" s="100"/>
      <c r="AH7" s="99">
        <f t="shared" si="6"/>
        <v>0</v>
      </c>
      <c r="AI7" s="74"/>
      <c r="AJ7" s="75"/>
      <c r="AK7" s="100"/>
      <c r="AL7" s="100"/>
      <c r="AM7" s="99">
        <f t="shared" si="7"/>
        <v>0</v>
      </c>
      <c r="AN7" s="74"/>
      <c r="AO7" s="75"/>
      <c r="AP7" s="100"/>
      <c r="AQ7" s="100"/>
      <c r="AR7" s="99">
        <f t="shared" si="8"/>
        <v>0</v>
      </c>
      <c r="AS7" s="74"/>
      <c r="AT7" s="75"/>
      <c r="AU7" s="100"/>
      <c r="AV7" s="100"/>
      <c r="AW7" s="99">
        <f t="shared" si="9"/>
        <v>0</v>
      </c>
      <c r="AX7" s="74"/>
      <c r="AY7" s="75"/>
      <c r="AZ7" s="100"/>
      <c r="BA7" s="100"/>
      <c r="BB7" s="99">
        <f t="shared" si="10"/>
        <v>0</v>
      </c>
      <c r="BC7" s="111">
        <f t="shared" si="11"/>
        <v>0</v>
      </c>
      <c r="BD7" s="77">
        <v>44986</v>
      </c>
      <c r="BE7" s="77"/>
      <c r="BF7" t="s">
        <v>121</v>
      </c>
      <c r="BG7" s="122"/>
    </row>
    <row r="8" spans="1:59" x14ac:dyDescent="0.15">
      <c r="A8" s="9" t="s">
        <v>10</v>
      </c>
      <c r="B8" s="15"/>
      <c r="C8" s="16"/>
      <c r="D8" s="17"/>
      <c r="E8" s="17"/>
      <c r="F8" s="85">
        <f t="shared" si="0"/>
        <v>0</v>
      </c>
      <c r="G8" s="15"/>
      <c r="H8" s="16"/>
      <c r="I8" s="17"/>
      <c r="J8" s="17"/>
      <c r="K8" s="85">
        <f t="shared" si="1"/>
        <v>0</v>
      </c>
      <c r="L8" s="15"/>
      <c r="M8" s="16"/>
      <c r="N8" s="17"/>
      <c r="O8" s="17"/>
      <c r="P8" s="85">
        <f t="shared" si="2"/>
        <v>0</v>
      </c>
      <c r="Q8" s="15"/>
      <c r="R8" s="16"/>
      <c r="S8" s="17"/>
      <c r="T8" s="17"/>
      <c r="U8" s="85">
        <f t="shared" si="3"/>
        <v>0</v>
      </c>
      <c r="V8" s="15">
        <v>5</v>
      </c>
      <c r="W8" s="16"/>
      <c r="X8" s="17"/>
      <c r="Y8" s="17"/>
      <c r="Z8" s="85">
        <f t="shared" si="4"/>
        <v>5</v>
      </c>
      <c r="AA8" s="105">
        <f t="shared" si="5"/>
        <v>5</v>
      </c>
      <c r="AB8" s="125">
        <v>45194</v>
      </c>
      <c r="AC8" s="117" t="s">
        <v>36</v>
      </c>
      <c r="AD8" s="15">
        <v>313</v>
      </c>
      <c r="AE8" s="16">
        <v>250</v>
      </c>
      <c r="AF8" s="17">
        <v>340</v>
      </c>
      <c r="AG8" s="17">
        <v>123</v>
      </c>
      <c r="AH8" s="85">
        <f t="shared" si="6"/>
        <v>1026</v>
      </c>
      <c r="AI8" s="15">
        <v>320</v>
      </c>
      <c r="AJ8" s="16">
        <v>250</v>
      </c>
      <c r="AK8" s="17">
        <v>340</v>
      </c>
      <c r="AL8" s="17">
        <v>140</v>
      </c>
      <c r="AM8" s="85">
        <f t="shared" si="7"/>
        <v>1050</v>
      </c>
      <c r="AN8" s="15">
        <v>242</v>
      </c>
      <c r="AO8" s="16">
        <v>150</v>
      </c>
      <c r="AP8" s="17">
        <v>126</v>
      </c>
      <c r="AQ8" s="17">
        <v>-40</v>
      </c>
      <c r="AR8" s="85">
        <f t="shared" si="8"/>
        <v>478</v>
      </c>
      <c r="AS8" s="15">
        <v>-235</v>
      </c>
      <c r="AT8" s="16">
        <v>-330</v>
      </c>
      <c r="AU8" s="17">
        <v>-40</v>
      </c>
      <c r="AV8" s="17">
        <v>-40</v>
      </c>
      <c r="AW8" s="85">
        <f t="shared" si="9"/>
        <v>-645</v>
      </c>
      <c r="AX8" s="15">
        <v>1120</v>
      </c>
      <c r="AY8" s="16">
        <v>1050</v>
      </c>
      <c r="AZ8" s="17">
        <v>571</v>
      </c>
      <c r="BA8" s="17">
        <v>210</v>
      </c>
      <c r="BB8" s="85">
        <f t="shared" si="10"/>
        <v>2951</v>
      </c>
      <c r="BC8" s="105">
        <f t="shared" si="11"/>
        <v>4860</v>
      </c>
      <c r="BD8" s="114"/>
      <c r="BE8" s="114"/>
      <c r="BF8" s="80" t="s">
        <v>224</v>
      </c>
      <c r="BG8" s="177">
        <v>2409180</v>
      </c>
    </row>
    <row r="9" spans="1:59" ht="14.25" thickBot="1" x14ac:dyDescent="0.2">
      <c r="A9" s="9" t="s">
        <v>11</v>
      </c>
      <c r="B9" s="15"/>
      <c r="C9" s="16"/>
      <c r="D9" s="17"/>
      <c r="E9" s="17"/>
      <c r="F9" s="86">
        <f t="shared" si="0"/>
        <v>0</v>
      </c>
      <c r="G9" s="15"/>
      <c r="H9" s="16"/>
      <c r="I9" s="17"/>
      <c r="J9" s="17"/>
      <c r="K9" s="86">
        <f t="shared" si="1"/>
        <v>0</v>
      </c>
      <c r="L9" s="15"/>
      <c r="M9" s="16"/>
      <c r="N9" s="17"/>
      <c r="O9" s="17">
        <v>5</v>
      </c>
      <c r="P9" s="86">
        <f t="shared" si="2"/>
        <v>5</v>
      </c>
      <c r="Q9" s="15"/>
      <c r="R9" s="16"/>
      <c r="S9" s="17"/>
      <c r="T9" s="17">
        <v>5</v>
      </c>
      <c r="U9" s="86">
        <f t="shared" si="3"/>
        <v>5</v>
      </c>
      <c r="V9" s="15"/>
      <c r="W9" s="16"/>
      <c r="X9" s="17"/>
      <c r="Y9" s="17">
        <v>5</v>
      </c>
      <c r="Z9" s="86">
        <f t="shared" si="4"/>
        <v>5</v>
      </c>
      <c r="AA9" s="106">
        <f t="shared" si="5"/>
        <v>15</v>
      </c>
      <c r="AB9" s="125">
        <v>45197</v>
      </c>
      <c r="AC9" s="130" t="s">
        <v>34</v>
      </c>
      <c r="AD9" s="10">
        <f>1020-10</f>
        <v>1010</v>
      </c>
      <c r="AE9" s="11">
        <f>1140-10</f>
        <v>1130</v>
      </c>
      <c r="AF9" s="12">
        <f>550-10</f>
        <v>540</v>
      </c>
      <c r="AG9" s="12">
        <f>200-10</f>
        <v>190</v>
      </c>
      <c r="AH9" s="84">
        <f>SUM(AD9:AG9)</f>
        <v>2870</v>
      </c>
      <c r="AI9" s="10">
        <f>1020-10</f>
        <v>1010</v>
      </c>
      <c r="AJ9" s="11">
        <f>1140-10</f>
        <v>1130</v>
      </c>
      <c r="AK9" s="12">
        <f>550-10</f>
        <v>540</v>
      </c>
      <c r="AL9" s="12">
        <f>200-10</f>
        <v>190</v>
      </c>
      <c r="AM9" s="84">
        <f>SUM(AI9:AL9)</f>
        <v>2870</v>
      </c>
      <c r="AN9" s="10">
        <f>550-10</f>
        <v>540</v>
      </c>
      <c r="AO9" s="11">
        <f>650-10</f>
        <v>640</v>
      </c>
      <c r="AP9" s="12">
        <f>370-10</f>
        <v>360</v>
      </c>
      <c r="AQ9" s="12">
        <f>200-10</f>
        <v>190</v>
      </c>
      <c r="AR9" s="84">
        <f>SUM(AN9:AQ9)</f>
        <v>1730</v>
      </c>
      <c r="AS9" s="10">
        <f>1020-10</f>
        <v>1010</v>
      </c>
      <c r="AT9" s="11">
        <f>1130-10</f>
        <v>1120</v>
      </c>
      <c r="AU9" s="12">
        <f>550-10</f>
        <v>540</v>
      </c>
      <c r="AV9" s="12">
        <f>200-10</f>
        <v>190</v>
      </c>
      <c r="AW9" s="84">
        <f>SUM(AS9:AV9)</f>
        <v>2860</v>
      </c>
      <c r="AX9" s="10">
        <f>600-10</f>
        <v>590</v>
      </c>
      <c r="AY9" s="11">
        <f>700-10</f>
        <v>690</v>
      </c>
      <c r="AZ9" s="12">
        <f>400-10</f>
        <v>390</v>
      </c>
      <c r="BA9" s="12">
        <f>200-10</f>
        <v>190</v>
      </c>
      <c r="BB9" s="84">
        <f>SUM(AX9:BA9)</f>
        <v>1860</v>
      </c>
      <c r="BC9" s="108">
        <f>BB9+AW9+AR9+AM9+AH9</f>
        <v>12190</v>
      </c>
      <c r="BD9" s="114" t="s">
        <v>54</v>
      </c>
      <c r="BE9" s="114"/>
    </row>
    <row r="10" spans="1:59" ht="14.25" thickBot="1" x14ac:dyDescent="0.2">
      <c r="A10" s="21" t="s">
        <v>16</v>
      </c>
      <c r="B10" s="7">
        <f>SUM(B4:B9)</f>
        <v>18</v>
      </c>
      <c r="C10" s="8">
        <f t="shared" ref="C10:E10" si="12">SUM(C4:C9)</f>
        <v>18</v>
      </c>
      <c r="D10" s="22">
        <f t="shared" si="12"/>
        <v>18</v>
      </c>
      <c r="E10" s="22">
        <f t="shared" si="12"/>
        <v>8</v>
      </c>
      <c r="F10" s="87">
        <f t="shared" si="0"/>
        <v>62</v>
      </c>
      <c r="G10" s="7">
        <f>SUM(G4:G9)</f>
        <v>18</v>
      </c>
      <c r="H10" s="8">
        <f t="shared" ref="H10:J10" si="13">SUM(H4:H9)</f>
        <v>18</v>
      </c>
      <c r="I10" s="22">
        <f t="shared" si="13"/>
        <v>18</v>
      </c>
      <c r="J10" s="22">
        <f t="shared" si="13"/>
        <v>8</v>
      </c>
      <c r="K10" s="87">
        <f t="shared" si="1"/>
        <v>62</v>
      </c>
      <c r="L10" s="7">
        <f>SUM(L4:L9)</f>
        <v>18</v>
      </c>
      <c r="M10" s="8">
        <f t="shared" ref="M10:O10" si="14">SUM(M4:M9)</f>
        <v>18</v>
      </c>
      <c r="N10" s="22">
        <f t="shared" si="14"/>
        <v>18</v>
      </c>
      <c r="O10" s="22">
        <f t="shared" si="14"/>
        <v>13</v>
      </c>
      <c r="P10" s="87">
        <f t="shared" si="2"/>
        <v>67</v>
      </c>
      <c r="Q10" s="7">
        <f>SUM(Q4:Q9)</f>
        <v>18</v>
      </c>
      <c r="R10" s="8">
        <f t="shared" ref="R10:T10" si="15">SUM(R4:R9)</f>
        <v>18</v>
      </c>
      <c r="S10" s="22">
        <f t="shared" si="15"/>
        <v>18</v>
      </c>
      <c r="T10" s="22">
        <f t="shared" si="15"/>
        <v>13</v>
      </c>
      <c r="U10" s="87">
        <f t="shared" si="3"/>
        <v>67</v>
      </c>
      <c r="V10" s="7">
        <f>SUM(V4:V9)</f>
        <v>23</v>
      </c>
      <c r="W10" s="8">
        <f t="shared" ref="W10:Y10" si="16">SUM(W4:W9)</f>
        <v>18</v>
      </c>
      <c r="X10" s="22">
        <f t="shared" si="16"/>
        <v>18</v>
      </c>
      <c r="Y10" s="22">
        <f t="shared" si="16"/>
        <v>13</v>
      </c>
      <c r="Z10" s="87">
        <f t="shared" si="4"/>
        <v>72</v>
      </c>
      <c r="AA10" s="107">
        <f t="shared" si="5"/>
        <v>330</v>
      </c>
      <c r="AB10" s="127"/>
      <c r="AC10" s="21" t="s">
        <v>16</v>
      </c>
      <c r="AD10" s="7">
        <f>SUM(AD4:AD9)</f>
        <v>1333</v>
      </c>
      <c r="AE10" s="8">
        <f t="shared" ref="AE10:AG10" si="17">SUM(AE4:AE9)</f>
        <v>1390</v>
      </c>
      <c r="AF10" s="22">
        <f t="shared" si="17"/>
        <v>890</v>
      </c>
      <c r="AG10" s="22">
        <f t="shared" si="17"/>
        <v>323</v>
      </c>
      <c r="AH10" s="87">
        <f t="shared" si="6"/>
        <v>3936</v>
      </c>
      <c r="AI10" s="7">
        <f>SUM(AI4:AI9)</f>
        <v>1340</v>
      </c>
      <c r="AJ10" s="8">
        <f t="shared" ref="AJ10:AL10" si="18">SUM(AJ4:AJ9)</f>
        <v>1390</v>
      </c>
      <c r="AK10" s="22">
        <f t="shared" si="18"/>
        <v>890</v>
      </c>
      <c r="AL10" s="22">
        <f t="shared" si="18"/>
        <v>340</v>
      </c>
      <c r="AM10" s="87">
        <f t="shared" si="7"/>
        <v>3960</v>
      </c>
      <c r="AN10" s="7">
        <f>SUM(AN4:AN9)</f>
        <v>792</v>
      </c>
      <c r="AO10" s="8">
        <f t="shared" ref="AO10:AQ10" si="19">SUM(AO4:AO9)</f>
        <v>800</v>
      </c>
      <c r="AP10" s="22">
        <f t="shared" si="19"/>
        <v>496</v>
      </c>
      <c r="AQ10" s="22">
        <f t="shared" si="19"/>
        <v>160</v>
      </c>
      <c r="AR10" s="87">
        <f t="shared" si="8"/>
        <v>2248</v>
      </c>
      <c r="AS10" s="7">
        <f>SUM(AS4:AS9)</f>
        <v>785</v>
      </c>
      <c r="AT10" s="8">
        <f t="shared" ref="AT10:AV10" si="20">SUM(AT4:AT9)</f>
        <v>800</v>
      </c>
      <c r="AU10" s="22">
        <f t="shared" si="20"/>
        <v>510</v>
      </c>
      <c r="AV10" s="22">
        <f t="shared" si="20"/>
        <v>160</v>
      </c>
      <c r="AW10" s="87">
        <f t="shared" si="9"/>
        <v>2255</v>
      </c>
      <c r="AX10" s="7">
        <f>SUM(AX4:AX9)</f>
        <v>1720</v>
      </c>
      <c r="AY10" s="8">
        <f t="shared" ref="AY10:BA10" si="21">SUM(AY4:AY9)</f>
        <v>1750</v>
      </c>
      <c r="AZ10" s="22">
        <f t="shared" si="21"/>
        <v>971</v>
      </c>
      <c r="BA10" s="22">
        <f t="shared" si="21"/>
        <v>410</v>
      </c>
      <c r="BB10" s="87">
        <f t="shared" si="10"/>
        <v>4851</v>
      </c>
      <c r="BC10" s="107">
        <f t="shared" si="11"/>
        <v>17250</v>
      </c>
    </row>
    <row r="11" spans="1:59" x14ac:dyDescent="0.15">
      <c r="A11" s="128" t="s">
        <v>43</v>
      </c>
      <c r="B11" s="39">
        <v>2</v>
      </c>
      <c r="C11" s="13"/>
      <c r="D11" s="14">
        <v>1</v>
      </c>
      <c r="E11" s="14"/>
      <c r="F11" s="83">
        <f t="shared" si="0"/>
        <v>3</v>
      </c>
      <c r="G11" s="39">
        <v>2</v>
      </c>
      <c r="H11" s="13"/>
      <c r="I11" s="14">
        <v>1</v>
      </c>
      <c r="J11" s="14"/>
      <c r="K11" s="83">
        <f t="shared" si="1"/>
        <v>3</v>
      </c>
      <c r="L11" s="39">
        <v>2</v>
      </c>
      <c r="M11" s="13"/>
      <c r="N11" s="14">
        <v>1</v>
      </c>
      <c r="O11" s="14"/>
      <c r="P11" s="83">
        <f t="shared" si="2"/>
        <v>3</v>
      </c>
      <c r="Q11" s="39">
        <v>2</v>
      </c>
      <c r="R11" s="13"/>
      <c r="S11" s="14">
        <v>1</v>
      </c>
      <c r="T11" s="14"/>
      <c r="U11" s="83">
        <f t="shared" si="3"/>
        <v>3</v>
      </c>
      <c r="V11" s="39">
        <v>2</v>
      </c>
      <c r="W11" s="13"/>
      <c r="X11" s="14">
        <v>1</v>
      </c>
      <c r="Y11" s="14"/>
      <c r="Z11" s="83">
        <f t="shared" si="4"/>
        <v>3</v>
      </c>
      <c r="AA11" s="108">
        <f t="shared" si="5"/>
        <v>15</v>
      </c>
      <c r="AB11" s="125">
        <v>45180</v>
      </c>
      <c r="AC11" s="45" t="s">
        <v>33</v>
      </c>
      <c r="AD11" s="39">
        <v>2</v>
      </c>
      <c r="AE11" s="13">
        <v>2</v>
      </c>
      <c r="AF11" s="14">
        <v>2</v>
      </c>
      <c r="AG11" s="14">
        <v>2</v>
      </c>
      <c r="AH11" s="83">
        <f t="shared" si="6"/>
        <v>8</v>
      </c>
      <c r="AI11" s="39">
        <v>2</v>
      </c>
      <c r="AJ11" s="13">
        <v>2</v>
      </c>
      <c r="AK11" s="14">
        <v>2</v>
      </c>
      <c r="AL11" s="14">
        <v>2</v>
      </c>
      <c r="AM11" s="83">
        <f t="shared" si="7"/>
        <v>8</v>
      </c>
      <c r="AN11" s="39">
        <v>2</v>
      </c>
      <c r="AO11" s="13">
        <v>2</v>
      </c>
      <c r="AP11" s="14">
        <v>2</v>
      </c>
      <c r="AQ11" s="14">
        <v>2</v>
      </c>
      <c r="AR11" s="83">
        <f t="shared" si="8"/>
        <v>8</v>
      </c>
      <c r="AS11" s="39">
        <v>2</v>
      </c>
      <c r="AT11" s="13">
        <v>2</v>
      </c>
      <c r="AU11" s="14">
        <v>2</v>
      </c>
      <c r="AV11" s="14">
        <v>2</v>
      </c>
      <c r="AW11" s="83">
        <f t="shared" si="9"/>
        <v>8</v>
      </c>
      <c r="AX11" s="39">
        <v>2</v>
      </c>
      <c r="AY11" s="13">
        <v>2</v>
      </c>
      <c r="AZ11" s="14">
        <v>2</v>
      </c>
      <c r="BA11" s="14">
        <v>2</v>
      </c>
      <c r="BB11" s="83">
        <f t="shared" si="10"/>
        <v>8</v>
      </c>
      <c r="BC11" s="108">
        <f t="shared" si="11"/>
        <v>40</v>
      </c>
      <c r="BD11" s="114">
        <v>45175</v>
      </c>
      <c r="BE11" s="114"/>
    </row>
    <row r="12" spans="1:59" x14ac:dyDescent="0.15">
      <c r="A12" s="102" t="s">
        <v>43</v>
      </c>
      <c r="B12" s="15">
        <v>1</v>
      </c>
      <c r="C12" s="16"/>
      <c r="D12" s="17"/>
      <c r="E12" s="17"/>
      <c r="F12" s="85">
        <f t="shared" si="0"/>
        <v>1</v>
      </c>
      <c r="G12" s="15">
        <v>1</v>
      </c>
      <c r="H12" s="16"/>
      <c r="I12" s="17"/>
      <c r="J12" s="17"/>
      <c r="K12" s="85">
        <f t="shared" si="1"/>
        <v>1</v>
      </c>
      <c r="L12" s="15">
        <v>1</v>
      </c>
      <c r="M12" s="16"/>
      <c r="N12" s="17"/>
      <c r="O12" s="17"/>
      <c r="P12" s="85">
        <f t="shared" si="2"/>
        <v>1</v>
      </c>
      <c r="Q12" s="15">
        <v>1</v>
      </c>
      <c r="R12" s="16"/>
      <c r="S12" s="17"/>
      <c r="T12" s="17"/>
      <c r="U12" s="85">
        <f t="shared" si="3"/>
        <v>1</v>
      </c>
      <c r="V12" s="15">
        <v>2</v>
      </c>
      <c r="W12" s="16"/>
      <c r="X12" s="17"/>
      <c r="Y12" s="17"/>
      <c r="Z12" s="85">
        <f t="shared" si="4"/>
        <v>2</v>
      </c>
      <c r="AA12" s="105">
        <f t="shared" si="5"/>
        <v>6</v>
      </c>
      <c r="AB12" s="125">
        <v>45181</v>
      </c>
      <c r="AC12" s="23" t="s">
        <v>35</v>
      </c>
      <c r="AD12" s="15">
        <v>3</v>
      </c>
      <c r="AE12" s="16">
        <v>3</v>
      </c>
      <c r="AF12" s="17">
        <v>3</v>
      </c>
      <c r="AG12" s="17">
        <v>2</v>
      </c>
      <c r="AH12" s="85">
        <f t="shared" si="6"/>
        <v>11</v>
      </c>
      <c r="AI12" s="15">
        <v>3</v>
      </c>
      <c r="AJ12" s="16">
        <v>3</v>
      </c>
      <c r="AK12" s="17">
        <v>3</v>
      </c>
      <c r="AL12" s="17">
        <v>2</v>
      </c>
      <c r="AM12" s="85">
        <f t="shared" si="7"/>
        <v>11</v>
      </c>
      <c r="AN12" s="15">
        <v>3</v>
      </c>
      <c r="AO12" s="16">
        <v>3</v>
      </c>
      <c r="AP12" s="17">
        <v>3</v>
      </c>
      <c r="AQ12" s="17">
        <v>2</v>
      </c>
      <c r="AR12" s="85">
        <f t="shared" si="8"/>
        <v>11</v>
      </c>
      <c r="AS12" s="15">
        <v>3</v>
      </c>
      <c r="AT12" s="16">
        <v>3</v>
      </c>
      <c r="AU12" s="17">
        <v>3</v>
      </c>
      <c r="AV12" s="17">
        <v>2</v>
      </c>
      <c r="AW12" s="85">
        <f t="shared" si="9"/>
        <v>11</v>
      </c>
      <c r="AX12" s="15">
        <v>3</v>
      </c>
      <c r="AY12" s="16">
        <v>3</v>
      </c>
      <c r="AZ12" s="17">
        <v>3</v>
      </c>
      <c r="BA12" s="17">
        <v>2</v>
      </c>
      <c r="BB12" s="85">
        <f t="shared" si="10"/>
        <v>11</v>
      </c>
      <c r="BC12" s="105">
        <f t="shared" si="11"/>
        <v>55</v>
      </c>
      <c r="BD12" s="114">
        <v>45175</v>
      </c>
      <c r="BE12" s="114"/>
    </row>
    <row r="13" spans="1:59" x14ac:dyDescent="0.15">
      <c r="A13" s="23" t="s">
        <v>46</v>
      </c>
      <c r="B13" s="15">
        <v>2</v>
      </c>
      <c r="C13" s="16"/>
      <c r="D13" s="17"/>
      <c r="E13" s="17"/>
      <c r="F13" s="85">
        <f t="shared" si="0"/>
        <v>2</v>
      </c>
      <c r="G13" s="15">
        <v>2</v>
      </c>
      <c r="H13" s="16"/>
      <c r="I13" s="17"/>
      <c r="J13" s="17"/>
      <c r="K13" s="85">
        <f t="shared" si="1"/>
        <v>2</v>
      </c>
      <c r="L13" s="15">
        <v>2</v>
      </c>
      <c r="M13" s="16"/>
      <c r="N13" s="17"/>
      <c r="O13" s="17"/>
      <c r="P13" s="85">
        <f t="shared" si="2"/>
        <v>2</v>
      </c>
      <c r="Q13" s="15">
        <v>2</v>
      </c>
      <c r="R13" s="16"/>
      <c r="S13" s="17"/>
      <c r="T13" s="17"/>
      <c r="U13" s="85">
        <f t="shared" si="3"/>
        <v>2</v>
      </c>
      <c r="V13" s="15">
        <v>2</v>
      </c>
      <c r="W13" s="16"/>
      <c r="X13" s="17"/>
      <c r="Y13" s="17"/>
      <c r="Z13" s="85">
        <f t="shared" si="4"/>
        <v>2</v>
      </c>
      <c r="AA13" s="105">
        <f t="shared" si="5"/>
        <v>10</v>
      </c>
      <c r="AB13" s="125">
        <v>45189</v>
      </c>
      <c r="AC13" s="23" t="s">
        <v>35</v>
      </c>
      <c r="AD13" s="15">
        <v>3</v>
      </c>
      <c r="AE13" s="16"/>
      <c r="AF13" s="17"/>
      <c r="AG13" s="17"/>
      <c r="AH13" s="85">
        <f t="shared" ref="AH13" si="22">SUM(AD13:AG13)</f>
        <v>3</v>
      </c>
      <c r="AI13" s="15">
        <v>3</v>
      </c>
      <c r="AJ13" s="16"/>
      <c r="AK13" s="17"/>
      <c r="AL13" s="17"/>
      <c r="AM13" s="85">
        <f t="shared" si="7"/>
        <v>3</v>
      </c>
      <c r="AN13" s="15">
        <v>3</v>
      </c>
      <c r="AO13" s="16"/>
      <c r="AP13" s="17"/>
      <c r="AQ13" s="17"/>
      <c r="AR13" s="85">
        <f t="shared" si="8"/>
        <v>3</v>
      </c>
      <c r="AS13" s="15">
        <v>3</v>
      </c>
      <c r="AT13" s="16"/>
      <c r="AU13" s="17"/>
      <c r="AV13" s="17"/>
      <c r="AW13" s="85">
        <f t="shared" si="9"/>
        <v>3</v>
      </c>
      <c r="AX13" s="15">
        <v>3</v>
      </c>
      <c r="AY13" s="16"/>
      <c r="AZ13" s="17"/>
      <c r="BA13" s="17"/>
      <c r="BB13" s="85">
        <f t="shared" si="10"/>
        <v>3</v>
      </c>
      <c r="BC13" s="105">
        <f t="shared" si="11"/>
        <v>15</v>
      </c>
      <c r="BD13" s="114">
        <v>45181</v>
      </c>
      <c r="BE13" s="114"/>
    </row>
    <row r="14" spans="1:59" x14ac:dyDescent="0.15">
      <c r="A14" s="102" t="s">
        <v>43</v>
      </c>
      <c r="B14" s="15">
        <v>1</v>
      </c>
      <c r="C14" s="16"/>
      <c r="D14" s="17"/>
      <c r="E14" s="17"/>
      <c r="F14" s="85">
        <f t="shared" si="0"/>
        <v>1</v>
      </c>
      <c r="G14" s="15">
        <v>1</v>
      </c>
      <c r="H14" s="16"/>
      <c r="I14" s="17"/>
      <c r="J14" s="17"/>
      <c r="K14" s="85">
        <f t="shared" si="1"/>
        <v>1</v>
      </c>
      <c r="L14" s="15">
        <v>3</v>
      </c>
      <c r="M14" s="16"/>
      <c r="N14" s="17"/>
      <c r="O14" s="17"/>
      <c r="P14" s="85">
        <f t="shared" si="2"/>
        <v>3</v>
      </c>
      <c r="Q14" s="15">
        <v>3</v>
      </c>
      <c r="R14" s="16"/>
      <c r="S14" s="17"/>
      <c r="T14" s="17"/>
      <c r="U14" s="85">
        <f t="shared" si="3"/>
        <v>3</v>
      </c>
      <c r="V14" s="15">
        <v>4</v>
      </c>
      <c r="W14" s="16"/>
      <c r="X14" s="17"/>
      <c r="Y14" s="17"/>
      <c r="Z14" s="85">
        <f t="shared" si="4"/>
        <v>4</v>
      </c>
      <c r="AA14" s="105">
        <f t="shared" si="5"/>
        <v>12</v>
      </c>
      <c r="AB14" s="125">
        <v>45189</v>
      </c>
      <c r="AC14" s="23" t="s">
        <v>35</v>
      </c>
      <c r="AD14" s="15">
        <v>2</v>
      </c>
      <c r="AE14" s="16">
        <v>5</v>
      </c>
      <c r="AF14" s="17">
        <v>5</v>
      </c>
      <c r="AG14" s="17">
        <v>6</v>
      </c>
      <c r="AH14" s="85">
        <f t="shared" si="6"/>
        <v>18</v>
      </c>
      <c r="AI14" s="15">
        <v>2</v>
      </c>
      <c r="AJ14" s="16">
        <v>5</v>
      </c>
      <c r="AK14" s="17">
        <v>5</v>
      </c>
      <c r="AL14" s="17">
        <v>6</v>
      </c>
      <c r="AM14" s="85">
        <f t="shared" si="7"/>
        <v>18</v>
      </c>
      <c r="AN14" s="15">
        <v>2</v>
      </c>
      <c r="AO14" s="16">
        <v>5</v>
      </c>
      <c r="AP14" s="17">
        <v>5</v>
      </c>
      <c r="AQ14" s="17">
        <v>6</v>
      </c>
      <c r="AR14" s="85">
        <f t="shared" si="8"/>
        <v>18</v>
      </c>
      <c r="AS14" s="15">
        <v>2</v>
      </c>
      <c r="AT14" s="16">
        <v>5</v>
      </c>
      <c r="AU14" s="17">
        <v>5</v>
      </c>
      <c r="AV14" s="17">
        <v>6</v>
      </c>
      <c r="AW14" s="85">
        <f t="shared" si="9"/>
        <v>18</v>
      </c>
      <c r="AX14" s="15">
        <v>2</v>
      </c>
      <c r="AY14" s="16">
        <v>5</v>
      </c>
      <c r="AZ14" s="17">
        <v>5</v>
      </c>
      <c r="BA14" s="17">
        <v>6</v>
      </c>
      <c r="BB14" s="85">
        <f t="shared" si="10"/>
        <v>18</v>
      </c>
      <c r="BC14" s="105">
        <f t="shared" si="11"/>
        <v>90</v>
      </c>
      <c r="BD14" s="114">
        <v>45185</v>
      </c>
      <c r="BE14" s="114"/>
    </row>
    <row r="15" spans="1:59" x14ac:dyDescent="0.15">
      <c r="A15" s="102" t="s">
        <v>43</v>
      </c>
      <c r="B15" s="15">
        <v>1</v>
      </c>
      <c r="C15" s="16"/>
      <c r="D15" s="17"/>
      <c r="E15" s="17"/>
      <c r="F15" s="85">
        <f t="shared" si="0"/>
        <v>1</v>
      </c>
      <c r="G15" s="15">
        <v>1</v>
      </c>
      <c r="H15" s="16"/>
      <c r="I15" s="17"/>
      <c r="J15" s="17"/>
      <c r="K15" s="85">
        <f t="shared" si="1"/>
        <v>1</v>
      </c>
      <c r="L15" s="15">
        <f>1+1</f>
        <v>2</v>
      </c>
      <c r="M15" s="16"/>
      <c r="N15" s="17"/>
      <c r="O15" s="17"/>
      <c r="P15" s="85">
        <f t="shared" si="2"/>
        <v>2</v>
      </c>
      <c r="Q15" s="15">
        <f>1+1</f>
        <v>2</v>
      </c>
      <c r="R15" s="16"/>
      <c r="S15" s="17"/>
      <c r="T15" s="17"/>
      <c r="U15" s="85">
        <f t="shared" si="3"/>
        <v>2</v>
      </c>
      <c r="V15" s="15">
        <f>1+1</f>
        <v>2</v>
      </c>
      <c r="W15" s="16"/>
      <c r="X15" s="17"/>
      <c r="Y15" s="17"/>
      <c r="Z15" s="85">
        <f t="shared" si="4"/>
        <v>2</v>
      </c>
      <c r="AA15" s="105">
        <f t="shared" si="5"/>
        <v>8</v>
      </c>
      <c r="AB15" s="125">
        <v>45190</v>
      </c>
      <c r="AC15" s="23" t="s">
        <v>35</v>
      </c>
      <c r="AD15" s="15">
        <v>10</v>
      </c>
      <c r="AE15" s="16">
        <v>10</v>
      </c>
      <c r="AF15" s="17">
        <v>10</v>
      </c>
      <c r="AG15" s="17"/>
      <c r="AH15" s="85">
        <f t="shared" ref="AH15" si="23">SUM(AD15:AG15)</f>
        <v>30</v>
      </c>
      <c r="AI15" s="15">
        <v>10</v>
      </c>
      <c r="AJ15" s="16">
        <v>10</v>
      </c>
      <c r="AK15" s="17">
        <v>10</v>
      </c>
      <c r="AL15" s="17"/>
      <c r="AM15" s="85">
        <f t="shared" si="7"/>
        <v>30</v>
      </c>
      <c r="AN15" s="15">
        <v>10</v>
      </c>
      <c r="AO15" s="16">
        <v>10</v>
      </c>
      <c r="AP15" s="17">
        <v>10</v>
      </c>
      <c r="AQ15" s="17"/>
      <c r="AR15" s="85">
        <f t="shared" si="8"/>
        <v>30</v>
      </c>
      <c r="AS15" s="15">
        <v>10</v>
      </c>
      <c r="AT15" s="16">
        <v>10</v>
      </c>
      <c r="AU15" s="17">
        <v>10</v>
      </c>
      <c r="AV15" s="17"/>
      <c r="AW15" s="85">
        <f t="shared" si="9"/>
        <v>30</v>
      </c>
      <c r="AX15" s="15">
        <v>10</v>
      </c>
      <c r="AY15" s="16">
        <v>10</v>
      </c>
      <c r="AZ15" s="17">
        <v>10</v>
      </c>
      <c r="BA15" s="17"/>
      <c r="BB15" s="85">
        <f t="shared" si="10"/>
        <v>30</v>
      </c>
      <c r="BC15" s="105">
        <f t="shared" si="11"/>
        <v>150</v>
      </c>
      <c r="BD15" s="114">
        <v>45189</v>
      </c>
      <c r="BE15" s="114"/>
      <c r="BF15" s="25"/>
    </row>
    <row r="16" spans="1:59" x14ac:dyDescent="0.15">
      <c r="A16" s="102" t="s">
        <v>43</v>
      </c>
      <c r="B16" s="15"/>
      <c r="C16" s="16">
        <v>1</v>
      </c>
      <c r="D16" s="17"/>
      <c r="E16" s="17">
        <v>1</v>
      </c>
      <c r="F16" s="85">
        <f t="shared" si="0"/>
        <v>2</v>
      </c>
      <c r="G16" s="15"/>
      <c r="H16" s="16">
        <v>1</v>
      </c>
      <c r="I16" s="17"/>
      <c r="J16" s="17">
        <v>1</v>
      </c>
      <c r="K16" s="85">
        <f t="shared" si="1"/>
        <v>2</v>
      </c>
      <c r="L16" s="15"/>
      <c r="M16" s="16">
        <v>1</v>
      </c>
      <c r="N16" s="17"/>
      <c r="O16" s="17">
        <v>2</v>
      </c>
      <c r="P16" s="85">
        <f t="shared" si="2"/>
        <v>3</v>
      </c>
      <c r="Q16" s="15"/>
      <c r="R16" s="16">
        <v>1</v>
      </c>
      <c r="S16" s="17"/>
      <c r="T16" s="17">
        <v>2</v>
      </c>
      <c r="U16" s="85">
        <f t="shared" si="3"/>
        <v>3</v>
      </c>
      <c r="V16" s="15"/>
      <c r="W16" s="16">
        <v>1</v>
      </c>
      <c r="X16" s="17"/>
      <c r="Y16" s="17">
        <v>2</v>
      </c>
      <c r="Z16" s="85">
        <f t="shared" si="4"/>
        <v>3</v>
      </c>
      <c r="AA16" s="105">
        <f t="shared" si="5"/>
        <v>13</v>
      </c>
      <c r="AB16" s="125">
        <v>45194</v>
      </c>
      <c r="AC16" s="23" t="s">
        <v>35</v>
      </c>
      <c r="AD16" s="15"/>
      <c r="AE16" s="16"/>
      <c r="AF16" s="17"/>
      <c r="AG16" s="17"/>
      <c r="AH16" s="85">
        <f t="shared" ref="AH16" si="24">SUM(AD16:AG16)</f>
        <v>0</v>
      </c>
      <c r="AI16" s="15"/>
      <c r="AJ16" s="16"/>
      <c r="AK16" s="17"/>
      <c r="AL16" s="17"/>
      <c r="AM16" s="85">
        <f t="shared" si="7"/>
        <v>0</v>
      </c>
      <c r="AN16" s="15"/>
      <c r="AO16" s="16"/>
      <c r="AP16" s="17"/>
      <c r="AQ16" s="17"/>
      <c r="AR16" s="85">
        <f t="shared" si="8"/>
        <v>0</v>
      </c>
      <c r="AS16" s="15"/>
      <c r="AT16" s="16"/>
      <c r="AU16" s="17"/>
      <c r="AV16" s="17"/>
      <c r="AW16" s="85">
        <f t="shared" si="9"/>
        <v>0</v>
      </c>
      <c r="AX16" s="15">
        <v>5</v>
      </c>
      <c r="AY16" s="16"/>
      <c r="AZ16" s="17"/>
      <c r="BA16" s="17"/>
      <c r="BB16" s="85">
        <f t="shared" si="10"/>
        <v>5</v>
      </c>
      <c r="BC16" s="105">
        <f t="shared" si="11"/>
        <v>5</v>
      </c>
      <c r="BD16" s="114">
        <v>45194</v>
      </c>
      <c r="BE16" s="114"/>
    </row>
    <row r="17" spans="1:57" x14ac:dyDescent="0.15">
      <c r="A17" s="23" t="s">
        <v>47</v>
      </c>
      <c r="B17" s="15">
        <v>1</v>
      </c>
      <c r="C17" s="16">
        <v>1</v>
      </c>
      <c r="D17" s="17"/>
      <c r="E17" s="17"/>
      <c r="F17" s="85">
        <f t="shared" si="0"/>
        <v>2</v>
      </c>
      <c r="G17" s="15">
        <v>1</v>
      </c>
      <c r="H17" s="16">
        <v>1</v>
      </c>
      <c r="I17" s="17"/>
      <c r="J17" s="17"/>
      <c r="K17" s="85">
        <f t="shared" si="1"/>
        <v>2</v>
      </c>
      <c r="L17" s="15"/>
      <c r="M17" s="16"/>
      <c r="N17" s="17"/>
      <c r="O17" s="17"/>
      <c r="P17" s="85">
        <f t="shared" si="2"/>
        <v>0</v>
      </c>
      <c r="Q17" s="15"/>
      <c r="R17" s="16"/>
      <c r="S17" s="17"/>
      <c r="T17" s="17"/>
      <c r="U17" s="85">
        <f t="shared" si="3"/>
        <v>0</v>
      </c>
      <c r="V17" s="15">
        <v>1</v>
      </c>
      <c r="W17" s="16">
        <v>1</v>
      </c>
      <c r="X17" s="17"/>
      <c r="Y17" s="17"/>
      <c r="Z17" s="85">
        <f t="shared" si="4"/>
        <v>2</v>
      </c>
      <c r="AA17" s="105">
        <f t="shared" si="5"/>
        <v>6</v>
      </c>
      <c r="AB17" s="125">
        <v>45196</v>
      </c>
      <c r="AC17" s="23" t="s">
        <v>35</v>
      </c>
      <c r="AD17" s="15"/>
      <c r="AE17" s="16"/>
      <c r="AF17" s="17"/>
      <c r="AG17" s="17"/>
      <c r="AH17" s="85">
        <f t="shared" ref="AH17" si="25">SUM(AD17:AG17)</f>
        <v>0</v>
      </c>
      <c r="AI17" s="15"/>
      <c r="AJ17" s="16"/>
      <c r="AK17" s="17"/>
      <c r="AL17" s="17"/>
      <c r="AM17" s="85">
        <f t="shared" si="7"/>
        <v>0</v>
      </c>
      <c r="AN17" s="15"/>
      <c r="AO17" s="16"/>
      <c r="AP17" s="17"/>
      <c r="AQ17" s="17">
        <v>5</v>
      </c>
      <c r="AR17" s="85">
        <f t="shared" si="8"/>
        <v>5</v>
      </c>
      <c r="AS17" s="15"/>
      <c r="AT17" s="16"/>
      <c r="AU17" s="17"/>
      <c r="AV17" s="17">
        <v>5</v>
      </c>
      <c r="AW17" s="85">
        <f t="shared" si="9"/>
        <v>5</v>
      </c>
      <c r="AX17" s="15"/>
      <c r="AY17" s="16"/>
      <c r="AZ17" s="17"/>
      <c r="BA17" s="17">
        <v>5</v>
      </c>
      <c r="BB17" s="85">
        <f t="shared" si="10"/>
        <v>5</v>
      </c>
      <c r="BC17" s="105">
        <f t="shared" si="11"/>
        <v>15</v>
      </c>
      <c r="BD17" s="114">
        <v>45197</v>
      </c>
      <c r="BE17" s="114"/>
    </row>
    <row r="18" spans="1:57" x14ac:dyDescent="0.15">
      <c r="A18" s="23" t="s">
        <v>48</v>
      </c>
      <c r="B18" s="15"/>
      <c r="C18" s="16"/>
      <c r="D18" s="17"/>
      <c r="E18" s="17"/>
      <c r="F18" s="85">
        <f t="shared" si="0"/>
        <v>0</v>
      </c>
      <c r="G18" s="15"/>
      <c r="H18" s="16"/>
      <c r="I18" s="17"/>
      <c r="J18" s="17"/>
      <c r="K18" s="85">
        <f t="shared" si="1"/>
        <v>0</v>
      </c>
      <c r="L18" s="15"/>
      <c r="M18" s="16"/>
      <c r="N18" s="17">
        <v>1</v>
      </c>
      <c r="O18" s="17">
        <v>1</v>
      </c>
      <c r="P18" s="85">
        <f t="shared" si="2"/>
        <v>2</v>
      </c>
      <c r="Q18" s="15"/>
      <c r="R18" s="16"/>
      <c r="S18" s="17">
        <v>1</v>
      </c>
      <c r="T18" s="17">
        <v>1</v>
      </c>
      <c r="U18" s="85">
        <f t="shared" si="3"/>
        <v>2</v>
      </c>
      <c r="V18" s="15"/>
      <c r="W18" s="16"/>
      <c r="X18" s="17">
        <v>1</v>
      </c>
      <c r="Y18" s="17">
        <v>1</v>
      </c>
      <c r="Z18" s="85">
        <f t="shared" si="4"/>
        <v>2</v>
      </c>
      <c r="AA18" s="105">
        <f t="shared" si="5"/>
        <v>6</v>
      </c>
      <c r="AB18" s="125">
        <v>45196</v>
      </c>
      <c r="AC18" s="23" t="s">
        <v>35</v>
      </c>
      <c r="AD18" s="15"/>
      <c r="AE18" s="16"/>
      <c r="AF18" s="17"/>
      <c r="AG18" s="17"/>
      <c r="AH18" s="85">
        <f t="shared" ref="AH18:AH19" si="26">SUM(AD18:AG18)</f>
        <v>0</v>
      </c>
      <c r="AI18" s="15"/>
      <c r="AJ18" s="16"/>
      <c r="AK18" s="17"/>
      <c r="AL18" s="17"/>
      <c r="AM18" s="85">
        <f t="shared" si="7"/>
        <v>0</v>
      </c>
      <c r="AN18" s="15">
        <v>5</v>
      </c>
      <c r="AO18" s="16"/>
      <c r="AP18" s="17"/>
      <c r="AQ18" s="17"/>
      <c r="AR18" s="85">
        <f t="shared" si="8"/>
        <v>5</v>
      </c>
      <c r="AS18" s="15">
        <v>5</v>
      </c>
      <c r="AT18" s="16"/>
      <c r="AU18" s="17"/>
      <c r="AV18" s="17"/>
      <c r="AW18" s="85">
        <f t="shared" si="9"/>
        <v>5</v>
      </c>
      <c r="AX18" s="15">
        <v>5</v>
      </c>
      <c r="AY18" s="16"/>
      <c r="AZ18" s="17"/>
      <c r="BA18" s="17"/>
      <c r="BB18" s="85">
        <f t="shared" si="10"/>
        <v>5</v>
      </c>
      <c r="BC18" s="105">
        <f t="shared" si="11"/>
        <v>15</v>
      </c>
      <c r="BD18" s="114">
        <v>45212</v>
      </c>
      <c r="BE18" s="114"/>
    </row>
    <row r="19" spans="1:57" x14ac:dyDescent="0.15">
      <c r="A19" s="23" t="s">
        <v>49</v>
      </c>
      <c r="B19" s="15">
        <v>1</v>
      </c>
      <c r="C19" s="16"/>
      <c r="D19" s="17"/>
      <c r="E19" s="17"/>
      <c r="F19" s="85">
        <f t="shared" si="0"/>
        <v>1</v>
      </c>
      <c r="G19" s="15">
        <v>1</v>
      </c>
      <c r="H19" s="16"/>
      <c r="I19" s="17"/>
      <c r="J19" s="17"/>
      <c r="K19" s="85">
        <f t="shared" si="1"/>
        <v>1</v>
      </c>
      <c r="L19" s="15">
        <v>1</v>
      </c>
      <c r="M19" s="16"/>
      <c r="N19" s="17"/>
      <c r="O19" s="17"/>
      <c r="P19" s="85">
        <f t="shared" si="2"/>
        <v>1</v>
      </c>
      <c r="Q19" s="15">
        <v>1</v>
      </c>
      <c r="R19" s="16"/>
      <c r="S19" s="17"/>
      <c r="T19" s="17"/>
      <c r="U19" s="85">
        <f t="shared" si="3"/>
        <v>1</v>
      </c>
      <c r="V19" s="15">
        <v>1</v>
      </c>
      <c r="W19" s="16"/>
      <c r="X19" s="17"/>
      <c r="Y19" s="17"/>
      <c r="Z19" s="85">
        <f t="shared" si="4"/>
        <v>1</v>
      </c>
      <c r="AA19" s="105">
        <f t="shared" si="5"/>
        <v>5</v>
      </c>
      <c r="AB19" s="125">
        <v>45196</v>
      </c>
      <c r="AC19" s="102" t="s">
        <v>91</v>
      </c>
      <c r="AD19" s="10">
        <v>360</v>
      </c>
      <c r="AE19" s="11">
        <v>370</v>
      </c>
      <c r="AF19" s="12">
        <v>270</v>
      </c>
      <c r="AG19" s="12"/>
      <c r="AH19" s="84">
        <f t="shared" si="26"/>
        <v>1000</v>
      </c>
      <c r="AI19" s="10">
        <v>360</v>
      </c>
      <c r="AJ19" s="11">
        <v>370</v>
      </c>
      <c r="AK19" s="12">
        <v>270</v>
      </c>
      <c r="AL19" s="12"/>
      <c r="AM19" s="84">
        <f t="shared" si="7"/>
        <v>1000</v>
      </c>
      <c r="AN19" s="10"/>
      <c r="AO19" s="11"/>
      <c r="AP19" s="12"/>
      <c r="AQ19" s="12"/>
      <c r="AR19" s="84">
        <f t="shared" si="8"/>
        <v>0</v>
      </c>
      <c r="AS19" s="10">
        <v>360</v>
      </c>
      <c r="AT19" s="11">
        <v>370</v>
      </c>
      <c r="AU19" s="12">
        <v>270</v>
      </c>
      <c r="AV19" s="12"/>
      <c r="AW19" s="84">
        <f t="shared" si="9"/>
        <v>1000</v>
      </c>
      <c r="AX19" s="10"/>
      <c r="AY19" s="11"/>
      <c r="AZ19" s="12"/>
      <c r="BA19" s="12"/>
      <c r="BB19" s="84">
        <f t="shared" si="10"/>
        <v>0</v>
      </c>
      <c r="BC19" s="108">
        <f t="shared" si="11"/>
        <v>3000</v>
      </c>
      <c r="BD19" s="114">
        <v>45239</v>
      </c>
      <c r="BE19" s="114"/>
    </row>
    <row r="20" spans="1:57" x14ac:dyDescent="0.15">
      <c r="A20" s="102" t="s">
        <v>43</v>
      </c>
      <c r="B20" s="18"/>
      <c r="C20" s="19"/>
      <c r="D20" s="20"/>
      <c r="E20" s="20"/>
      <c r="F20" s="85">
        <f t="shared" si="0"/>
        <v>0</v>
      </c>
      <c r="G20" s="18"/>
      <c r="H20" s="19"/>
      <c r="I20" s="20"/>
      <c r="J20" s="20"/>
      <c r="K20" s="85">
        <f t="shared" si="1"/>
        <v>0</v>
      </c>
      <c r="L20" s="18">
        <v>1</v>
      </c>
      <c r="M20" s="19"/>
      <c r="N20" s="20"/>
      <c r="O20" s="20"/>
      <c r="P20" s="85">
        <f t="shared" si="2"/>
        <v>1</v>
      </c>
      <c r="Q20" s="18">
        <v>1</v>
      </c>
      <c r="R20" s="19"/>
      <c r="S20" s="20"/>
      <c r="T20" s="20"/>
      <c r="U20" s="85">
        <f t="shared" si="3"/>
        <v>1</v>
      </c>
      <c r="V20" s="18">
        <v>1</v>
      </c>
      <c r="W20" s="19"/>
      <c r="X20" s="20"/>
      <c r="Y20" s="20"/>
      <c r="Z20" s="85">
        <f t="shared" si="4"/>
        <v>1</v>
      </c>
      <c r="AA20" s="105">
        <f t="shared" si="5"/>
        <v>3</v>
      </c>
      <c r="AB20" s="125">
        <v>45203</v>
      </c>
      <c r="AC20" s="23" t="s">
        <v>35</v>
      </c>
      <c r="AD20" s="18">
        <v>5</v>
      </c>
      <c r="AE20" s="19"/>
      <c r="AF20" s="20"/>
      <c r="AG20" s="20"/>
      <c r="AH20" s="85">
        <f t="shared" ref="AH20" si="27">SUM(AD20:AG20)</f>
        <v>5</v>
      </c>
      <c r="AI20" s="18">
        <v>5</v>
      </c>
      <c r="AJ20" s="19"/>
      <c r="AK20" s="20"/>
      <c r="AL20" s="20"/>
      <c r="AM20" s="85">
        <f t="shared" si="7"/>
        <v>5</v>
      </c>
      <c r="AN20" s="18">
        <v>5</v>
      </c>
      <c r="AO20" s="19"/>
      <c r="AP20" s="20"/>
      <c r="AQ20" s="20"/>
      <c r="AR20" s="85">
        <f t="shared" si="8"/>
        <v>5</v>
      </c>
      <c r="AS20" s="18">
        <v>5</v>
      </c>
      <c r="AT20" s="19"/>
      <c r="AU20" s="20"/>
      <c r="AV20" s="20"/>
      <c r="AW20" s="85">
        <f t="shared" si="9"/>
        <v>5</v>
      </c>
      <c r="AX20" s="18"/>
      <c r="AY20" s="19"/>
      <c r="AZ20" s="20"/>
      <c r="BA20" s="20"/>
      <c r="BB20" s="85">
        <f t="shared" si="10"/>
        <v>0</v>
      </c>
      <c r="BC20" s="105">
        <f t="shared" si="11"/>
        <v>20</v>
      </c>
      <c r="BD20" s="114">
        <v>45217</v>
      </c>
      <c r="BE20" s="114"/>
    </row>
    <row r="21" spans="1:57" x14ac:dyDescent="0.15">
      <c r="A21" s="102" t="s">
        <v>43</v>
      </c>
      <c r="B21" s="15"/>
      <c r="C21" s="16"/>
      <c r="D21" s="17">
        <v>1</v>
      </c>
      <c r="E21" s="17"/>
      <c r="F21" s="85">
        <f t="shared" si="0"/>
        <v>1</v>
      </c>
      <c r="G21" s="15"/>
      <c r="H21" s="16"/>
      <c r="I21" s="17">
        <v>1</v>
      </c>
      <c r="J21" s="17"/>
      <c r="K21" s="85">
        <f t="shared" si="1"/>
        <v>1</v>
      </c>
      <c r="L21" s="15"/>
      <c r="M21" s="16"/>
      <c r="N21" s="17">
        <v>1</v>
      </c>
      <c r="O21" s="17"/>
      <c r="P21" s="85">
        <f t="shared" si="2"/>
        <v>1</v>
      </c>
      <c r="Q21" s="15"/>
      <c r="R21" s="16"/>
      <c r="S21" s="17">
        <v>1</v>
      </c>
      <c r="T21" s="17"/>
      <c r="U21" s="85">
        <f t="shared" si="3"/>
        <v>1</v>
      </c>
      <c r="V21" s="15"/>
      <c r="W21" s="16"/>
      <c r="X21" s="17">
        <v>1</v>
      </c>
      <c r="Y21" s="17"/>
      <c r="Z21" s="85">
        <f t="shared" si="4"/>
        <v>1</v>
      </c>
      <c r="AA21" s="105">
        <f t="shared" si="5"/>
        <v>5</v>
      </c>
      <c r="AB21" s="125">
        <v>45204</v>
      </c>
      <c r="AC21" s="23" t="s">
        <v>74</v>
      </c>
      <c r="AD21" s="15"/>
      <c r="AE21" s="16">
        <v>4</v>
      </c>
      <c r="AF21" s="17">
        <v>3</v>
      </c>
      <c r="AG21" s="17"/>
      <c r="AH21" s="85">
        <f t="shared" si="6"/>
        <v>7</v>
      </c>
      <c r="AI21" s="15"/>
      <c r="AJ21" s="16">
        <v>4</v>
      </c>
      <c r="AK21" s="17">
        <v>3</v>
      </c>
      <c r="AL21" s="17"/>
      <c r="AM21" s="85">
        <f t="shared" si="7"/>
        <v>7</v>
      </c>
      <c r="AN21" s="15"/>
      <c r="AO21" s="16">
        <v>4</v>
      </c>
      <c r="AP21" s="17">
        <v>3</v>
      </c>
      <c r="AQ21" s="17"/>
      <c r="AR21" s="85">
        <f t="shared" si="8"/>
        <v>7</v>
      </c>
      <c r="AS21" s="15"/>
      <c r="AT21" s="16">
        <v>4</v>
      </c>
      <c r="AU21" s="17">
        <v>3</v>
      </c>
      <c r="AV21" s="17"/>
      <c r="AW21" s="85">
        <f t="shared" si="9"/>
        <v>7</v>
      </c>
      <c r="AX21" s="15"/>
      <c r="AY21" s="16">
        <v>4</v>
      </c>
      <c r="AZ21" s="17">
        <v>3</v>
      </c>
      <c r="BA21" s="17"/>
      <c r="BB21" s="85">
        <f t="shared" si="10"/>
        <v>7</v>
      </c>
      <c r="BC21" s="105">
        <f t="shared" si="11"/>
        <v>35</v>
      </c>
      <c r="BD21" s="114">
        <v>45223</v>
      </c>
      <c r="BE21" s="114"/>
    </row>
    <row r="22" spans="1:57" x14ac:dyDescent="0.15">
      <c r="A22" s="102" t="s">
        <v>43</v>
      </c>
      <c r="B22" s="15">
        <v>1</v>
      </c>
      <c r="C22" s="16"/>
      <c r="D22" s="17"/>
      <c r="E22" s="17"/>
      <c r="F22" s="85">
        <f t="shared" si="0"/>
        <v>1</v>
      </c>
      <c r="G22" s="15">
        <v>1</v>
      </c>
      <c r="H22" s="16"/>
      <c r="I22" s="17"/>
      <c r="J22" s="17"/>
      <c r="K22" s="85">
        <f t="shared" si="1"/>
        <v>1</v>
      </c>
      <c r="L22" s="15">
        <v>1</v>
      </c>
      <c r="M22" s="16"/>
      <c r="N22" s="17"/>
      <c r="O22" s="17"/>
      <c r="P22" s="85">
        <f t="shared" si="2"/>
        <v>1</v>
      </c>
      <c r="Q22" s="15">
        <v>1</v>
      </c>
      <c r="R22" s="16"/>
      <c r="S22" s="17"/>
      <c r="T22" s="17"/>
      <c r="U22" s="85">
        <f t="shared" si="3"/>
        <v>1</v>
      </c>
      <c r="V22" s="15">
        <v>1</v>
      </c>
      <c r="W22" s="16"/>
      <c r="X22" s="17"/>
      <c r="Y22" s="17"/>
      <c r="Z22" s="85">
        <f t="shared" si="4"/>
        <v>1</v>
      </c>
      <c r="AA22" s="105">
        <f t="shared" si="5"/>
        <v>5</v>
      </c>
      <c r="AB22" s="125">
        <v>45209</v>
      </c>
      <c r="AC22" s="54" t="s">
        <v>75</v>
      </c>
      <c r="AD22" s="15">
        <v>5</v>
      </c>
      <c r="AE22" s="16">
        <v>5</v>
      </c>
      <c r="AF22" s="17">
        <v>5</v>
      </c>
      <c r="AG22" s="17">
        <v>5</v>
      </c>
      <c r="AH22" s="85">
        <f t="shared" si="6"/>
        <v>20</v>
      </c>
      <c r="AI22" s="15">
        <v>5</v>
      </c>
      <c r="AJ22" s="16">
        <v>5</v>
      </c>
      <c r="AK22" s="17">
        <v>5</v>
      </c>
      <c r="AL22" s="17">
        <v>5</v>
      </c>
      <c r="AM22" s="85">
        <f t="shared" si="7"/>
        <v>20</v>
      </c>
      <c r="AN22" s="15">
        <v>5</v>
      </c>
      <c r="AO22" s="16">
        <v>5</v>
      </c>
      <c r="AP22" s="17">
        <v>5</v>
      </c>
      <c r="AQ22" s="17">
        <v>5</v>
      </c>
      <c r="AR22" s="85">
        <f t="shared" si="8"/>
        <v>20</v>
      </c>
      <c r="AS22" s="15">
        <v>5</v>
      </c>
      <c r="AT22" s="16">
        <v>5</v>
      </c>
      <c r="AU22" s="17">
        <v>5</v>
      </c>
      <c r="AV22" s="17">
        <v>5</v>
      </c>
      <c r="AW22" s="85">
        <f t="shared" si="9"/>
        <v>20</v>
      </c>
      <c r="AX22" s="15">
        <v>5</v>
      </c>
      <c r="AY22" s="16">
        <v>5</v>
      </c>
      <c r="AZ22" s="17">
        <v>5</v>
      </c>
      <c r="BA22" s="17">
        <v>5</v>
      </c>
      <c r="BB22" s="85">
        <f t="shared" si="10"/>
        <v>20</v>
      </c>
      <c r="BC22" s="105">
        <f t="shared" si="11"/>
        <v>100</v>
      </c>
      <c r="BD22" s="114">
        <v>45226</v>
      </c>
      <c r="BE22" s="114"/>
    </row>
    <row r="23" spans="1:57" x14ac:dyDescent="0.15">
      <c r="A23" s="23" t="s">
        <v>59</v>
      </c>
      <c r="B23" s="15"/>
      <c r="C23" s="16"/>
      <c r="D23" s="17">
        <v>2</v>
      </c>
      <c r="E23" s="17"/>
      <c r="F23" s="85">
        <f t="shared" si="0"/>
        <v>2</v>
      </c>
      <c r="G23" s="15"/>
      <c r="H23" s="16"/>
      <c r="I23" s="17">
        <v>2</v>
      </c>
      <c r="J23" s="17"/>
      <c r="K23" s="85">
        <f t="shared" si="1"/>
        <v>2</v>
      </c>
      <c r="L23" s="15"/>
      <c r="M23" s="16"/>
      <c r="N23" s="17">
        <v>2</v>
      </c>
      <c r="O23" s="17"/>
      <c r="P23" s="85">
        <f t="shared" si="2"/>
        <v>2</v>
      </c>
      <c r="Q23" s="15"/>
      <c r="R23" s="16"/>
      <c r="S23" s="17">
        <v>2</v>
      </c>
      <c r="T23" s="17"/>
      <c r="U23" s="85">
        <f t="shared" si="3"/>
        <v>2</v>
      </c>
      <c r="V23" s="15"/>
      <c r="W23" s="16"/>
      <c r="X23" s="17">
        <v>2</v>
      </c>
      <c r="Y23" s="17"/>
      <c r="Z23" s="85">
        <f t="shared" si="4"/>
        <v>2</v>
      </c>
      <c r="AA23" s="105">
        <f t="shared" si="5"/>
        <v>10</v>
      </c>
      <c r="AB23" s="125">
        <v>45211</v>
      </c>
      <c r="AC23" s="54" t="s">
        <v>79</v>
      </c>
      <c r="AD23" s="15"/>
      <c r="AE23" s="16"/>
      <c r="AF23" s="17"/>
      <c r="AG23" s="17"/>
      <c r="AH23" s="85">
        <f t="shared" si="6"/>
        <v>0</v>
      </c>
      <c r="AI23" s="15"/>
      <c r="AJ23" s="16"/>
      <c r="AK23" s="17"/>
      <c r="AL23" s="17">
        <v>1</v>
      </c>
      <c r="AM23" s="85">
        <f t="shared" si="7"/>
        <v>1</v>
      </c>
      <c r="AN23" s="15"/>
      <c r="AO23" s="16"/>
      <c r="AP23" s="17"/>
      <c r="AQ23" s="17"/>
      <c r="AR23" s="85">
        <f t="shared" si="8"/>
        <v>0</v>
      </c>
      <c r="AS23" s="15"/>
      <c r="AT23" s="16">
        <v>1</v>
      </c>
      <c r="AU23" s="17"/>
      <c r="AV23" s="17"/>
      <c r="AW23" s="85">
        <f t="shared" si="9"/>
        <v>1</v>
      </c>
      <c r="AX23" s="15"/>
      <c r="AY23" s="16"/>
      <c r="AZ23" s="17"/>
      <c r="BA23" s="17"/>
      <c r="BB23" s="85">
        <f t="shared" si="10"/>
        <v>0</v>
      </c>
      <c r="BC23" s="105">
        <f t="shared" si="11"/>
        <v>2</v>
      </c>
      <c r="BD23" s="114">
        <v>45232</v>
      </c>
      <c r="BE23" s="114"/>
    </row>
    <row r="24" spans="1:57" x14ac:dyDescent="0.15">
      <c r="A24" s="54" t="s">
        <v>61</v>
      </c>
      <c r="B24" s="15"/>
      <c r="C24" s="16"/>
      <c r="D24" s="17"/>
      <c r="E24" s="17"/>
      <c r="F24" s="85">
        <f t="shared" si="0"/>
        <v>0</v>
      </c>
      <c r="G24" s="15"/>
      <c r="H24" s="16"/>
      <c r="I24" s="17"/>
      <c r="J24" s="17"/>
      <c r="K24" s="85">
        <f t="shared" si="1"/>
        <v>0</v>
      </c>
      <c r="L24" s="15">
        <v>-5</v>
      </c>
      <c r="M24" s="16"/>
      <c r="N24" s="17"/>
      <c r="O24" s="17"/>
      <c r="P24" s="85">
        <f t="shared" si="2"/>
        <v>-5</v>
      </c>
      <c r="Q24" s="15">
        <v>-5</v>
      </c>
      <c r="R24" s="16"/>
      <c r="S24" s="17"/>
      <c r="T24" s="17"/>
      <c r="U24" s="85">
        <f t="shared" si="3"/>
        <v>-5</v>
      </c>
      <c r="V24" s="15">
        <v>-5</v>
      </c>
      <c r="W24" s="16"/>
      <c r="X24" s="17"/>
      <c r="Y24" s="17"/>
      <c r="Z24" s="85">
        <f t="shared" si="4"/>
        <v>-5</v>
      </c>
      <c r="AA24" s="105">
        <f t="shared" si="5"/>
        <v>-15</v>
      </c>
      <c r="AB24" s="125">
        <v>45212</v>
      </c>
      <c r="AC24" s="23" t="s">
        <v>35</v>
      </c>
      <c r="AD24" s="15">
        <v>5</v>
      </c>
      <c r="AE24" s="16"/>
      <c r="AF24" s="17"/>
      <c r="AG24" s="17">
        <v>5</v>
      </c>
      <c r="AH24" s="85">
        <f t="shared" si="6"/>
        <v>10</v>
      </c>
      <c r="AI24" s="15">
        <v>5</v>
      </c>
      <c r="AJ24" s="16"/>
      <c r="AK24" s="17"/>
      <c r="AL24" s="17">
        <v>5</v>
      </c>
      <c r="AM24" s="85">
        <f t="shared" si="7"/>
        <v>10</v>
      </c>
      <c r="AN24" s="15"/>
      <c r="AO24" s="16"/>
      <c r="AP24" s="17"/>
      <c r="AQ24" s="17"/>
      <c r="AR24" s="85">
        <f t="shared" si="8"/>
        <v>0</v>
      </c>
      <c r="AS24" s="15"/>
      <c r="AT24" s="16"/>
      <c r="AU24" s="17"/>
      <c r="AV24" s="17"/>
      <c r="AW24" s="85">
        <f t="shared" si="9"/>
        <v>0</v>
      </c>
      <c r="AX24" s="15">
        <v>5</v>
      </c>
      <c r="AY24" s="16"/>
      <c r="AZ24" s="17"/>
      <c r="BA24" s="17"/>
      <c r="BB24" s="85">
        <f t="shared" si="10"/>
        <v>5</v>
      </c>
      <c r="BC24" s="105">
        <f t="shared" si="11"/>
        <v>25</v>
      </c>
      <c r="BD24" s="114">
        <v>45245</v>
      </c>
      <c r="BE24" s="114"/>
    </row>
    <row r="25" spans="1:57" x14ac:dyDescent="0.15">
      <c r="A25" s="23" t="s">
        <v>66</v>
      </c>
      <c r="B25" s="15"/>
      <c r="C25" s="16">
        <v>1</v>
      </c>
      <c r="D25" s="17">
        <v>1</v>
      </c>
      <c r="E25" s="17"/>
      <c r="F25" s="85">
        <f t="shared" si="0"/>
        <v>2</v>
      </c>
      <c r="G25" s="15"/>
      <c r="H25" s="16">
        <v>1</v>
      </c>
      <c r="I25" s="17">
        <v>1</v>
      </c>
      <c r="J25" s="17"/>
      <c r="K25" s="85">
        <f t="shared" si="1"/>
        <v>2</v>
      </c>
      <c r="L25" s="15"/>
      <c r="M25" s="16">
        <v>1</v>
      </c>
      <c r="N25" s="17">
        <v>1</v>
      </c>
      <c r="O25" s="17"/>
      <c r="P25" s="85">
        <f t="shared" si="2"/>
        <v>2</v>
      </c>
      <c r="Q25" s="15"/>
      <c r="R25" s="16">
        <v>1</v>
      </c>
      <c r="S25" s="17">
        <v>1</v>
      </c>
      <c r="T25" s="17"/>
      <c r="U25" s="85">
        <f t="shared" si="3"/>
        <v>2</v>
      </c>
      <c r="V25" s="15"/>
      <c r="W25" s="16">
        <v>1</v>
      </c>
      <c r="X25" s="17">
        <v>1</v>
      </c>
      <c r="Y25" s="17"/>
      <c r="Z25" s="85">
        <f t="shared" si="4"/>
        <v>2</v>
      </c>
      <c r="AA25" s="105">
        <f t="shared" si="5"/>
        <v>10</v>
      </c>
      <c r="AB25" s="125">
        <v>45216</v>
      </c>
      <c r="AC25" s="54" t="s">
        <v>88</v>
      </c>
      <c r="AD25" s="15"/>
      <c r="AE25" s="16"/>
      <c r="AF25" s="17"/>
      <c r="AG25" s="17"/>
      <c r="AH25" s="85">
        <f t="shared" si="6"/>
        <v>0</v>
      </c>
      <c r="AI25" s="15"/>
      <c r="AJ25" s="16">
        <v>2</v>
      </c>
      <c r="AK25" s="17">
        <v>1</v>
      </c>
      <c r="AL25" s="17"/>
      <c r="AM25" s="85">
        <f t="shared" si="7"/>
        <v>3</v>
      </c>
      <c r="AN25" s="15">
        <v>4</v>
      </c>
      <c r="AO25" s="16">
        <v>5</v>
      </c>
      <c r="AP25" s="17"/>
      <c r="AQ25" s="17"/>
      <c r="AR25" s="85">
        <f t="shared" si="8"/>
        <v>9</v>
      </c>
      <c r="AS25" s="15">
        <v>2</v>
      </c>
      <c r="AT25" s="16">
        <v>4</v>
      </c>
      <c r="AU25" s="17">
        <v>2</v>
      </c>
      <c r="AV25" s="17"/>
      <c r="AW25" s="85">
        <f t="shared" si="9"/>
        <v>8</v>
      </c>
      <c r="AX25" s="15">
        <v>5</v>
      </c>
      <c r="AY25" s="16">
        <v>3</v>
      </c>
      <c r="AZ25" s="17">
        <v>4</v>
      </c>
      <c r="BA25" s="17"/>
      <c r="BB25" s="85">
        <f t="shared" si="10"/>
        <v>12</v>
      </c>
      <c r="BC25" s="105">
        <f t="shared" si="11"/>
        <v>32</v>
      </c>
      <c r="BD25" s="114">
        <v>45247</v>
      </c>
      <c r="BE25" s="114"/>
    </row>
    <row r="26" spans="1:57" x14ac:dyDescent="0.15">
      <c r="A26" s="102" t="s">
        <v>43</v>
      </c>
      <c r="B26" s="15">
        <f>2+1</f>
        <v>3</v>
      </c>
      <c r="C26" s="16"/>
      <c r="D26" s="17">
        <v>1</v>
      </c>
      <c r="E26" s="17"/>
      <c r="F26" s="85">
        <f t="shared" si="0"/>
        <v>4</v>
      </c>
      <c r="G26" s="15">
        <f>2+1</f>
        <v>3</v>
      </c>
      <c r="H26" s="16"/>
      <c r="I26" s="17">
        <v>1</v>
      </c>
      <c r="J26" s="17"/>
      <c r="K26" s="85">
        <f t="shared" si="1"/>
        <v>4</v>
      </c>
      <c r="L26" s="15">
        <f>2+1</f>
        <v>3</v>
      </c>
      <c r="M26" s="16"/>
      <c r="N26" s="17">
        <v>1</v>
      </c>
      <c r="O26" s="17"/>
      <c r="P26" s="85">
        <f t="shared" si="2"/>
        <v>4</v>
      </c>
      <c r="Q26" s="15">
        <f>2+1</f>
        <v>3</v>
      </c>
      <c r="R26" s="16"/>
      <c r="S26" s="17">
        <v>1</v>
      </c>
      <c r="T26" s="17"/>
      <c r="U26" s="85">
        <f t="shared" si="3"/>
        <v>4</v>
      </c>
      <c r="V26" s="15">
        <f>2+1</f>
        <v>3</v>
      </c>
      <c r="W26" s="16"/>
      <c r="X26" s="17">
        <v>1</v>
      </c>
      <c r="Y26" s="17"/>
      <c r="Z26" s="85">
        <f t="shared" si="4"/>
        <v>4</v>
      </c>
      <c r="AA26" s="105">
        <f t="shared" si="5"/>
        <v>20</v>
      </c>
      <c r="AB26" s="125">
        <v>45215</v>
      </c>
      <c r="AC26" s="102" t="s">
        <v>92</v>
      </c>
      <c r="AD26" s="15"/>
      <c r="AE26" s="16">
        <v>200</v>
      </c>
      <c r="AF26" s="17"/>
      <c r="AG26" s="17"/>
      <c r="AH26" s="85">
        <f t="shared" si="6"/>
        <v>200</v>
      </c>
      <c r="AI26" s="15"/>
      <c r="AJ26" s="16">
        <v>200</v>
      </c>
      <c r="AK26" s="17"/>
      <c r="AL26" s="17"/>
      <c r="AM26" s="85">
        <f t="shared" si="7"/>
        <v>200</v>
      </c>
      <c r="AN26" s="15"/>
      <c r="AO26" s="16"/>
      <c r="AP26" s="17"/>
      <c r="AQ26" s="17"/>
      <c r="AR26" s="85">
        <f t="shared" si="8"/>
        <v>0</v>
      </c>
      <c r="AS26" s="15"/>
      <c r="AT26" s="16">
        <v>200</v>
      </c>
      <c r="AU26" s="17"/>
      <c r="AV26" s="17"/>
      <c r="AW26" s="85">
        <f t="shared" si="9"/>
        <v>200</v>
      </c>
      <c r="AX26" s="15"/>
      <c r="AY26" s="16"/>
      <c r="AZ26" s="17"/>
      <c r="BA26" s="17"/>
      <c r="BB26" s="85">
        <f t="shared" si="10"/>
        <v>0</v>
      </c>
      <c r="BC26" s="105">
        <f t="shared" si="11"/>
        <v>600</v>
      </c>
      <c r="BD26" s="114">
        <v>45252</v>
      </c>
      <c r="BE26" s="114"/>
    </row>
    <row r="27" spans="1:57" x14ac:dyDescent="0.15">
      <c r="A27" s="54" t="s">
        <v>61</v>
      </c>
      <c r="B27" s="15">
        <v>-5</v>
      </c>
      <c r="C27" s="16"/>
      <c r="D27" s="17"/>
      <c r="E27" s="17"/>
      <c r="F27" s="85">
        <f t="shared" si="0"/>
        <v>-5</v>
      </c>
      <c r="G27" s="15">
        <v>-5</v>
      </c>
      <c r="H27" s="16"/>
      <c r="I27" s="17"/>
      <c r="J27" s="17"/>
      <c r="K27" s="85">
        <f t="shared" si="1"/>
        <v>-5</v>
      </c>
      <c r="L27" s="15">
        <v>-5</v>
      </c>
      <c r="M27" s="16"/>
      <c r="N27" s="17"/>
      <c r="O27" s="17"/>
      <c r="P27" s="85">
        <f t="shared" si="2"/>
        <v>-5</v>
      </c>
      <c r="Q27" s="15">
        <v>-5</v>
      </c>
      <c r="R27" s="16"/>
      <c r="S27" s="17"/>
      <c r="T27" s="17"/>
      <c r="U27" s="85">
        <f t="shared" si="3"/>
        <v>-5</v>
      </c>
      <c r="V27" s="15"/>
      <c r="W27" s="16"/>
      <c r="X27" s="17"/>
      <c r="Y27" s="17"/>
      <c r="Z27" s="85">
        <f t="shared" si="4"/>
        <v>0</v>
      </c>
      <c r="AA27" s="105">
        <f t="shared" si="5"/>
        <v>-20</v>
      </c>
      <c r="AB27" s="125">
        <v>45217</v>
      </c>
      <c r="AC27" s="102" t="s">
        <v>94</v>
      </c>
      <c r="AD27" s="15">
        <v>150</v>
      </c>
      <c r="AE27" s="16">
        <v>100</v>
      </c>
      <c r="AF27" s="17"/>
      <c r="AG27" s="17"/>
      <c r="AH27" s="85">
        <f t="shared" si="6"/>
        <v>250</v>
      </c>
      <c r="AI27" s="15">
        <v>150</v>
      </c>
      <c r="AJ27" s="16">
        <v>100</v>
      </c>
      <c r="AK27" s="17"/>
      <c r="AL27" s="17"/>
      <c r="AM27" s="85">
        <f t="shared" si="7"/>
        <v>250</v>
      </c>
      <c r="AN27" s="15"/>
      <c r="AO27" s="16"/>
      <c r="AP27" s="17"/>
      <c r="AQ27" s="17"/>
      <c r="AR27" s="85">
        <f t="shared" si="8"/>
        <v>0</v>
      </c>
      <c r="AS27" s="15">
        <v>150</v>
      </c>
      <c r="AT27" s="16">
        <v>100</v>
      </c>
      <c r="AU27" s="17"/>
      <c r="AV27" s="17"/>
      <c r="AW27" s="85">
        <f t="shared" si="9"/>
        <v>250</v>
      </c>
      <c r="AX27" s="15"/>
      <c r="AY27" s="16"/>
      <c r="AZ27" s="17"/>
      <c r="BA27" s="17"/>
      <c r="BB27" s="85">
        <f t="shared" si="10"/>
        <v>0</v>
      </c>
      <c r="BC27" s="105">
        <f t="shared" si="11"/>
        <v>750</v>
      </c>
      <c r="BD27" s="114">
        <v>45254</v>
      </c>
      <c r="BE27" s="114"/>
    </row>
    <row r="28" spans="1:57" x14ac:dyDescent="0.15">
      <c r="A28" s="23" t="s">
        <v>71</v>
      </c>
      <c r="B28" s="15">
        <v>1</v>
      </c>
      <c r="C28" s="16"/>
      <c r="D28" s="17"/>
      <c r="E28" s="17"/>
      <c r="F28" s="85">
        <f t="shared" si="0"/>
        <v>1</v>
      </c>
      <c r="G28" s="15">
        <v>1</v>
      </c>
      <c r="H28" s="16"/>
      <c r="I28" s="17"/>
      <c r="J28" s="17"/>
      <c r="K28" s="85">
        <f t="shared" si="1"/>
        <v>1</v>
      </c>
      <c r="L28" s="15">
        <v>1</v>
      </c>
      <c r="M28" s="16"/>
      <c r="N28" s="17"/>
      <c r="O28" s="17"/>
      <c r="P28" s="85">
        <f t="shared" si="2"/>
        <v>1</v>
      </c>
      <c r="Q28" s="15">
        <v>1</v>
      </c>
      <c r="R28" s="16"/>
      <c r="S28" s="17"/>
      <c r="T28" s="17"/>
      <c r="U28" s="85">
        <f t="shared" si="3"/>
        <v>1</v>
      </c>
      <c r="V28" s="15">
        <v>1</v>
      </c>
      <c r="W28" s="16"/>
      <c r="X28" s="17"/>
      <c r="Y28" s="17"/>
      <c r="Z28" s="85">
        <f t="shared" si="4"/>
        <v>1</v>
      </c>
      <c r="AA28" s="105">
        <f t="shared" si="5"/>
        <v>5</v>
      </c>
      <c r="AB28" s="125">
        <v>45218</v>
      </c>
      <c r="AC28" s="54" t="s">
        <v>95</v>
      </c>
      <c r="AD28" s="15"/>
      <c r="AE28" s="16">
        <v>2</v>
      </c>
      <c r="AF28" s="17">
        <v>1</v>
      </c>
      <c r="AG28" s="17">
        <v>1</v>
      </c>
      <c r="AH28" s="85">
        <f t="shared" si="6"/>
        <v>4</v>
      </c>
      <c r="AI28" s="15">
        <v>2</v>
      </c>
      <c r="AJ28" s="16">
        <v>1</v>
      </c>
      <c r="AK28" s="17">
        <v>2</v>
      </c>
      <c r="AL28" s="17">
        <v>1</v>
      </c>
      <c r="AM28" s="85">
        <f t="shared" si="7"/>
        <v>6</v>
      </c>
      <c r="AN28" s="15"/>
      <c r="AO28" s="16"/>
      <c r="AP28" s="17">
        <v>1</v>
      </c>
      <c r="AQ28" s="17"/>
      <c r="AR28" s="85">
        <f t="shared" si="8"/>
        <v>1</v>
      </c>
      <c r="AS28" s="15">
        <v>2</v>
      </c>
      <c r="AT28" s="16"/>
      <c r="AU28" s="17"/>
      <c r="AV28" s="17"/>
      <c r="AW28" s="85">
        <f t="shared" si="9"/>
        <v>2</v>
      </c>
      <c r="AX28" s="15"/>
      <c r="AY28" s="16">
        <v>1</v>
      </c>
      <c r="AZ28" s="17">
        <v>1</v>
      </c>
      <c r="BA28" s="17">
        <v>1</v>
      </c>
      <c r="BB28" s="85">
        <f t="shared" si="10"/>
        <v>3</v>
      </c>
      <c r="BC28" s="105">
        <f t="shared" si="11"/>
        <v>16</v>
      </c>
      <c r="BD28" s="114">
        <v>45254</v>
      </c>
      <c r="BE28" s="114"/>
    </row>
    <row r="29" spans="1:57" x14ac:dyDescent="0.15">
      <c r="A29" s="23" t="s">
        <v>72</v>
      </c>
      <c r="B29" s="15"/>
      <c r="C29" s="16">
        <v>1</v>
      </c>
      <c r="D29" s="17">
        <v>1</v>
      </c>
      <c r="E29" s="17"/>
      <c r="F29" s="85">
        <f t="shared" si="0"/>
        <v>2</v>
      </c>
      <c r="G29" s="15"/>
      <c r="H29" s="16">
        <v>1</v>
      </c>
      <c r="I29" s="17">
        <v>1</v>
      </c>
      <c r="J29" s="17"/>
      <c r="K29" s="85">
        <f t="shared" si="1"/>
        <v>2</v>
      </c>
      <c r="L29" s="15"/>
      <c r="M29" s="16">
        <v>1</v>
      </c>
      <c r="N29" s="17">
        <v>1</v>
      </c>
      <c r="O29" s="17"/>
      <c r="P29" s="85">
        <f t="shared" si="2"/>
        <v>2</v>
      </c>
      <c r="Q29" s="15"/>
      <c r="R29" s="16">
        <v>1</v>
      </c>
      <c r="S29" s="17">
        <v>1</v>
      </c>
      <c r="T29" s="17"/>
      <c r="U29" s="85">
        <f t="shared" si="3"/>
        <v>2</v>
      </c>
      <c r="V29" s="15"/>
      <c r="W29" s="16">
        <v>1</v>
      </c>
      <c r="X29" s="17">
        <v>1</v>
      </c>
      <c r="Y29" s="17"/>
      <c r="Z29" s="85">
        <f t="shared" si="4"/>
        <v>2</v>
      </c>
      <c r="AA29" s="105">
        <f t="shared" si="5"/>
        <v>10</v>
      </c>
      <c r="AB29" s="125">
        <v>45219</v>
      </c>
      <c r="AC29" s="23" t="s">
        <v>35</v>
      </c>
      <c r="AD29" s="15"/>
      <c r="AE29" s="16"/>
      <c r="AF29" s="17"/>
      <c r="AG29" s="17"/>
      <c r="AH29" s="85">
        <f t="shared" si="6"/>
        <v>0</v>
      </c>
      <c r="AI29" s="15">
        <v>3</v>
      </c>
      <c r="AJ29" s="16"/>
      <c r="AK29" s="17"/>
      <c r="AL29" s="17"/>
      <c r="AM29" s="85">
        <f t="shared" si="7"/>
        <v>3</v>
      </c>
      <c r="AN29" s="15"/>
      <c r="AO29" s="16"/>
      <c r="AP29" s="17">
        <v>3</v>
      </c>
      <c r="AQ29" s="17"/>
      <c r="AR29" s="85">
        <f t="shared" si="8"/>
        <v>3</v>
      </c>
      <c r="AS29" s="15">
        <v>3</v>
      </c>
      <c r="AT29" s="16">
        <v>3</v>
      </c>
      <c r="AU29" s="17"/>
      <c r="AV29" s="17"/>
      <c r="AW29" s="85">
        <f t="shared" si="9"/>
        <v>6</v>
      </c>
      <c r="AX29" s="15"/>
      <c r="AY29" s="16">
        <v>5</v>
      </c>
      <c r="AZ29" s="17"/>
      <c r="BA29" s="17"/>
      <c r="BB29" s="85">
        <f t="shared" si="10"/>
        <v>5</v>
      </c>
      <c r="BC29" s="105">
        <f t="shared" si="11"/>
        <v>17</v>
      </c>
      <c r="BD29" s="114">
        <v>45260</v>
      </c>
      <c r="BE29" s="114"/>
    </row>
    <row r="30" spans="1:57" x14ac:dyDescent="0.15">
      <c r="A30" s="23" t="s">
        <v>76</v>
      </c>
      <c r="B30" s="15"/>
      <c r="C30" s="16"/>
      <c r="D30" s="17">
        <v>1</v>
      </c>
      <c r="E30" s="17"/>
      <c r="F30" s="85">
        <f t="shared" si="0"/>
        <v>1</v>
      </c>
      <c r="G30" s="15"/>
      <c r="H30" s="16"/>
      <c r="I30" s="17">
        <v>1</v>
      </c>
      <c r="J30" s="17"/>
      <c r="K30" s="85">
        <f t="shared" si="1"/>
        <v>1</v>
      </c>
      <c r="L30" s="15"/>
      <c r="M30" s="16"/>
      <c r="N30" s="17">
        <v>1</v>
      </c>
      <c r="O30" s="17"/>
      <c r="P30" s="85">
        <f t="shared" si="2"/>
        <v>1</v>
      </c>
      <c r="Q30" s="15"/>
      <c r="R30" s="16"/>
      <c r="S30" s="17">
        <v>1</v>
      </c>
      <c r="T30" s="17"/>
      <c r="U30" s="85">
        <f t="shared" si="3"/>
        <v>1</v>
      </c>
      <c r="V30" s="15"/>
      <c r="W30" s="16"/>
      <c r="X30" s="17">
        <v>1</v>
      </c>
      <c r="Y30" s="17"/>
      <c r="Z30" s="85">
        <f t="shared" si="4"/>
        <v>1</v>
      </c>
      <c r="AA30" s="105">
        <f t="shared" si="5"/>
        <v>5</v>
      </c>
      <c r="AB30" s="125">
        <v>45224</v>
      </c>
      <c r="AC30" s="23"/>
      <c r="AD30" s="15"/>
      <c r="AE30" s="16"/>
      <c r="AF30" s="17"/>
      <c r="AG30" s="17"/>
      <c r="AH30" s="85"/>
      <c r="AI30" s="15"/>
      <c r="AJ30" s="16"/>
      <c r="AK30" s="17"/>
      <c r="AL30" s="17"/>
      <c r="AM30" s="85"/>
      <c r="AN30" s="15"/>
      <c r="AO30" s="16"/>
      <c r="AP30" s="17"/>
      <c r="AQ30" s="17"/>
      <c r="AR30" s="85"/>
      <c r="AS30" s="15"/>
      <c r="AT30" s="16"/>
      <c r="AU30" s="17"/>
      <c r="AV30" s="17"/>
      <c r="AW30" s="85"/>
      <c r="AX30" s="15"/>
      <c r="AY30" s="16"/>
      <c r="AZ30" s="17"/>
      <c r="BA30" s="17"/>
      <c r="BB30" s="85"/>
      <c r="BC30" s="105"/>
      <c r="BD30" s="115"/>
      <c r="BE30" s="115"/>
    </row>
    <row r="31" spans="1:57" x14ac:dyDescent="0.15">
      <c r="A31" s="23" t="s">
        <v>77</v>
      </c>
      <c r="B31" s="15"/>
      <c r="C31" s="16"/>
      <c r="D31" s="17">
        <v>1</v>
      </c>
      <c r="E31" s="17"/>
      <c r="F31" s="85">
        <f t="shared" si="0"/>
        <v>1</v>
      </c>
      <c r="G31" s="15"/>
      <c r="H31" s="16"/>
      <c r="I31" s="17">
        <v>1</v>
      </c>
      <c r="J31" s="17"/>
      <c r="K31" s="85">
        <f t="shared" si="1"/>
        <v>1</v>
      </c>
      <c r="L31" s="15"/>
      <c r="M31" s="16"/>
      <c r="N31" s="17">
        <v>1</v>
      </c>
      <c r="O31" s="17"/>
      <c r="P31" s="85">
        <f t="shared" si="2"/>
        <v>1</v>
      </c>
      <c r="Q31" s="15"/>
      <c r="R31" s="16"/>
      <c r="S31" s="17">
        <v>1</v>
      </c>
      <c r="T31" s="17"/>
      <c r="U31" s="85">
        <f t="shared" si="3"/>
        <v>1</v>
      </c>
      <c r="V31" s="15"/>
      <c r="W31" s="16"/>
      <c r="X31" s="17">
        <v>1</v>
      </c>
      <c r="Y31" s="17"/>
      <c r="Z31" s="85">
        <f t="shared" si="4"/>
        <v>1</v>
      </c>
      <c r="AA31" s="105">
        <f t="shared" si="5"/>
        <v>5</v>
      </c>
      <c r="AB31" s="125">
        <v>45225</v>
      </c>
      <c r="AC31" s="23"/>
      <c r="AD31" s="15"/>
      <c r="AE31" s="16"/>
      <c r="AF31" s="17"/>
      <c r="AG31" s="17"/>
      <c r="AH31" s="85">
        <f t="shared" si="6"/>
        <v>0</v>
      </c>
      <c r="AI31" s="15"/>
      <c r="AJ31" s="16"/>
      <c r="AK31" s="17"/>
      <c r="AL31" s="17"/>
      <c r="AM31" s="85">
        <f t="shared" si="7"/>
        <v>0</v>
      </c>
      <c r="AN31" s="15"/>
      <c r="AO31" s="16"/>
      <c r="AP31" s="17"/>
      <c r="AQ31" s="17"/>
      <c r="AR31" s="85">
        <f t="shared" si="8"/>
        <v>0</v>
      </c>
      <c r="AS31" s="15"/>
      <c r="AT31" s="16"/>
      <c r="AU31" s="17"/>
      <c r="AV31" s="17"/>
      <c r="AW31" s="85">
        <f t="shared" si="9"/>
        <v>0</v>
      </c>
      <c r="AX31" s="15"/>
      <c r="AY31" s="16"/>
      <c r="AZ31" s="17"/>
      <c r="BA31" s="17"/>
      <c r="BB31" s="85">
        <f t="shared" si="10"/>
        <v>0</v>
      </c>
      <c r="BC31" s="105">
        <f t="shared" si="11"/>
        <v>0</v>
      </c>
      <c r="BD31" s="115"/>
      <c r="BE31" s="115"/>
    </row>
    <row r="32" spans="1:57" x14ac:dyDescent="0.15">
      <c r="A32" s="102" t="s">
        <v>43</v>
      </c>
      <c r="B32" s="18"/>
      <c r="C32" s="19"/>
      <c r="D32" s="20"/>
      <c r="E32" s="20"/>
      <c r="F32" s="85">
        <f t="shared" si="0"/>
        <v>0</v>
      </c>
      <c r="G32" s="18"/>
      <c r="H32" s="19"/>
      <c r="I32" s="20"/>
      <c r="J32" s="20"/>
      <c r="K32" s="85">
        <f t="shared" si="1"/>
        <v>0</v>
      </c>
      <c r="L32" s="18"/>
      <c r="M32" s="19">
        <v>3</v>
      </c>
      <c r="N32" s="20"/>
      <c r="O32" s="20"/>
      <c r="P32" s="85">
        <f t="shared" si="2"/>
        <v>3</v>
      </c>
      <c r="Q32" s="18"/>
      <c r="R32" s="19">
        <v>3</v>
      </c>
      <c r="S32" s="20"/>
      <c r="T32" s="20"/>
      <c r="U32" s="85">
        <f t="shared" si="3"/>
        <v>3</v>
      </c>
      <c r="V32" s="18"/>
      <c r="W32" s="19">
        <v>3</v>
      </c>
      <c r="X32" s="20"/>
      <c r="Y32" s="20"/>
      <c r="Z32" s="85">
        <f t="shared" si="4"/>
        <v>3</v>
      </c>
      <c r="AA32" s="105">
        <f t="shared" si="5"/>
        <v>9</v>
      </c>
      <c r="AB32" s="125">
        <v>45224</v>
      </c>
      <c r="AC32" s="23"/>
      <c r="AD32" s="18"/>
      <c r="AE32" s="19"/>
      <c r="AF32" s="20"/>
      <c r="AG32" s="20"/>
      <c r="AH32" s="85">
        <f t="shared" si="6"/>
        <v>0</v>
      </c>
      <c r="AI32" s="18"/>
      <c r="AJ32" s="19"/>
      <c r="AK32" s="20"/>
      <c r="AL32" s="20"/>
      <c r="AM32" s="85">
        <f t="shared" si="7"/>
        <v>0</v>
      </c>
      <c r="AN32" s="18"/>
      <c r="AO32" s="19"/>
      <c r="AP32" s="20"/>
      <c r="AQ32" s="20"/>
      <c r="AR32" s="85">
        <f t="shared" si="8"/>
        <v>0</v>
      </c>
      <c r="AS32" s="18"/>
      <c r="AT32" s="19"/>
      <c r="AU32" s="20"/>
      <c r="AV32" s="20"/>
      <c r="AW32" s="85">
        <f t="shared" si="9"/>
        <v>0</v>
      </c>
      <c r="AX32" s="18"/>
      <c r="AY32" s="19"/>
      <c r="AZ32" s="20"/>
      <c r="BA32" s="20"/>
      <c r="BB32" s="85">
        <f t="shared" si="10"/>
        <v>0</v>
      </c>
      <c r="BC32" s="105">
        <f t="shared" si="11"/>
        <v>0</v>
      </c>
      <c r="BD32" s="115"/>
      <c r="BE32" s="115"/>
    </row>
    <row r="33" spans="1:57" x14ac:dyDescent="0.15">
      <c r="A33" s="23" t="s">
        <v>78</v>
      </c>
      <c r="B33" s="16"/>
      <c r="C33" s="16"/>
      <c r="D33" s="17"/>
      <c r="E33" s="17">
        <v>1</v>
      </c>
      <c r="F33" s="85">
        <f t="shared" si="0"/>
        <v>1</v>
      </c>
      <c r="G33" s="16"/>
      <c r="H33" s="16"/>
      <c r="I33" s="17"/>
      <c r="J33" s="17">
        <v>1</v>
      </c>
      <c r="K33" s="85">
        <f t="shared" si="1"/>
        <v>1</v>
      </c>
      <c r="L33" s="16"/>
      <c r="M33" s="16"/>
      <c r="N33" s="17"/>
      <c r="O33" s="17">
        <v>1</v>
      </c>
      <c r="P33" s="85">
        <f t="shared" si="2"/>
        <v>1</v>
      </c>
      <c r="Q33" s="16"/>
      <c r="R33" s="16"/>
      <c r="S33" s="17"/>
      <c r="T33" s="17">
        <v>1</v>
      </c>
      <c r="U33" s="85">
        <f t="shared" si="3"/>
        <v>1</v>
      </c>
      <c r="V33" s="16"/>
      <c r="W33" s="16"/>
      <c r="X33" s="17"/>
      <c r="Y33" s="17">
        <v>1</v>
      </c>
      <c r="Z33" s="85">
        <f t="shared" si="4"/>
        <v>1</v>
      </c>
      <c r="AA33" s="105">
        <f t="shared" si="5"/>
        <v>5</v>
      </c>
      <c r="AB33" s="125">
        <v>45230</v>
      </c>
      <c r="AC33" s="23"/>
      <c r="AD33" s="16"/>
      <c r="AE33" s="16"/>
      <c r="AF33" s="17"/>
      <c r="AG33" s="17"/>
      <c r="AH33" s="85">
        <f t="shared" si="6"/>
        <v>0</v>
      </c>
      <c r="AI33" s="16"/>
      <c r="AJ33" s="16"/>
      <c r="AK33" s="17"/>
      <c r="AL33" s="17"/>
      <c r="AM33" s="85">
        <f t="shared" si="7"/>
        <v>0</v>
      </c>
      <c r="AN33" s="16"/>
      <c r="AO33" s="16"/>
      <c r="AP33" s="17"/>
      <c r="AQ33" s="17"/>
      <c r="AR33" s="85">
        <f t="shared" si="8"/>
        <v>0</v>
      </c>
      <c r="AS33" s="16"/>
      <c r="AT33" s="16"/>
      <c r="AU33" s="17"/>
      <c r="AV33" s="17"/>
      <c r="AW33" s="85">
        <f t="shared" si="9"/>
        <v>0</v>
      </c>
      <c r="AX33" s="16"/>
      <c r="AY33" s="16"/>
      <c r="AZ33" s="17"/>
      <c r="BA33" s="17"/>
      <c r="BB33" s="85">
        <f t="shared" si="10"/>
        <v>0</v>
      </c>
      <c r="BC33" s="105">
        <f t="shared" si="11"/>
        <v>0</v>
      </c>
      <c r="BD33" s="115"/>
      <c r="BE33" s="115"/>
    </row>
    <row r="34" spans="1:57" x14ac:dyDescent="0.15">
      <c r="A34" s="23" t="s">
        <v>81</v>
      </c>
      <c r="B34" s="15"/>
      <c r="C34" s="25"/>
      <c r="D34" s="17"/>
      <c r="E34" s="17"/>
      <c r="F34" s="85">
        <f t="shared" si="0"/>
        <v>0</v>
      </c>
      <c r="G34" s="15"/>
      <c r="H34" s="25"/>
      <c r="I34" s="17"/>
      <c r="J34" s="17"/>
      <c r="K34" s="85">
        <f t="shared" si="1"/>
        <v>0</v>
      </c>
      <c r="L34" s="15"/>
      <c r="M34" s="25"/>
      <c r="N34" s="17"/>
      <c r="O34" s="17"/>
      <c r="P34" s="85">
        <f t="shared" si="2"/>
        <v>0</v>
      </c>
      <c r="Q34" s="15"/>
      <c r="R34" s="25">
        <v>1</v>
      </c>
      <c r="S34" s="17"/>
      <c r="T34" s="17"/>
      <c r="U34" s="85">
        <f t="shared" si="3"/>
        <v>1</v>
      </c>
      <c r="V34" s="15"/>
      <c r="W34" s="25"/>
      <c r="X34" s="17"/>
      <c r="Y34" s="17"/>
      <c r="Z34" s="85">
        <f t="shared" si="4"/>
        <v>0</v>
      </c>
      <c r="AA34" s="105">
        <f t="shared" si="5"/>
        <v>1</v>
      </c>
      <c r="AB34" s="125">
        <v>45232</v>
      </c>
      <c r="AC34" s="23" t="s">
        <v>30</v>
      </c>
      <c r="AD34" s="15"/>
      <c r="AE34" s="112"/>
      <c r="AF34" s="17"/>
      <c r="AG34" s="17"/>
      <c r="AH34" s="85">
        <f t="shared" si="6"/>
        <v>0</v>
      </c>
      <c r="AI34" s="15"/>
      <c r="AJ34" s="112"/>
      <c r="AK34" s="17"/>
      <c r="AL34" s="17"/>
      <c r="AM34" s="85">
        <f t="shared" si="7"/>
        <v>0</v>
      </c>
      <c r="AN34" s="15"/>
      <c r="AO34" s="112"/>
      <c r="AP34" s="17"/>
      <c r="AQ34" s="17"/>
      <c r="AR34" s="85">
        <f t="shared" si="8"/>
        <v>0</v>
      </c>
      <c r="AS34" s="15"/>
      <c r="AT34" s="112"/>
      <c r="AU34" s="17"/>
      <c r="AV34" s="17"/>
      <c r="AW34" s="85">
        <f t="shared" si="9"/>
        <v>0</v>
      </c>
      <c r="AX34" s="15"/>
      <c r="AY34" s="112"/>
      <c r="AZ34" s="17"/>
      <c r="BA34" s="17"/>
      <c r="BB34" s="85">
        <f t="shared" si="10"/>
        <v>0</v>
      </c>
      <c r="BC34" s="105">
        <f t="shared" si="11"/>
        <v>0</v>
      </c>
      <c r="BD34" s="114" t="s">
        <v>31</v>
      </c>
      <c r="BE34" s="114"/>
    </row>
    <row r="35" spans="1:57" x14ac:dyDescent="0.15">
      <c r="A35" s="23" t="s">
        <v>84</v>
      </c>
      <c r="B35" s="15">
        <v>1</v>
      </c>
      <c r="C35" s="16"/>
      <c r="D35" s="16"/>
      <c r="E35" s="63"/>
      <c r="F35" s="85">
        <f t="shared" si="0"/>
        <v>1</v>
      </c>
      <c r="G35" s="15">
        <v>1</v>
      </c>
      <c r="H35" s="16"/>
      <c r="I35" s="16"/>
      <c r="J35" s="63"/>
      <c r="K35" s="85">
        <f t="shared" si="1"/>
        <v>1</v>
      </c>
      <c r="L35" s="15">
        <v>1</v>
      </c>
      <c r="M35" s="16"/>
      <c r="N35" s="16"/>
      <c r="O35" s="63"/>
      <c r="P35" s="85">
        <f t="shared" si="2"/>
        <v>1</v>
      </c>
      <c r="Q35" s="15">
        <v>1</v>
      </c>
      <c r="R35" s="16"/>
      <c r="S35" s="16"/>
      <c r="T35" s="63"/>
      <c r="U35" s="85">
        <f t="shared" si="3"/>
        <v>1</v>
      </c>
      <c r="V35" s="15">
        <v>1</v>
      </c>
      <c r="W35" s="16"/>
      <c r="X35" s="16"/>
      <c r="Y35" s="63"/>
      <c r="Z35" s="85">
        <f t="shared" si="4"/>
        <v>1</v>
      </c>
      <c r="AA35" s="105">
        <f t="shared" si="5"/>
        <v>5</v>
      </c>
      <c r="AB35" s="125">
        <v>45238</v>
      </c>
      <c r="AC35" s="36" t="s">
        <v>52</v>
      </c>
      <c r="AD35" s="15"/>
      <c r="AE35" s="112"/>
      <c r="AF35" s="17"/>
      <c r="AG35" s="17"/>
      <c r="AH35" s="85">
        <f t="shared" ref="AH35" si="28">SUM(AD35:AG35)</f>
        <v>0</v>
      </c>
      <c r="AI35" s="15"/>
      <c r="AJ35" s="112"/>
      <c r="AK35" s="17"/>
      <c r="AL35" s="17"/>
      <c r="AM35" s="85">
        <f t="shared" ref="AM35" si="29">SUM(AI35:AL35)</f>
        <v>0</v>
      </c>
      <c r="AN35" s="15"/>
      <c r="AO35" s="112"/>
      <c r="AP35" s="17"/>
      <c r="AQ35" s="17"/>
      <c r="AR35" s="85">
        <f t="shared" ref="AR35" si="30">SUM(AN35:AQ35)</f>
        <v>0</v>
      </c>
      <c r="AS35" s="15"/>
      <c r="AT35" s="112"/>
      <c r="AU35" s="17"/>
      <c r="AV35" s="17"/>
      <c r="AW35" s="85">
        <f t="shared" ref="AW35" si="31">SUM(AS35:AV35)</f>
        <v>0</v>
      </c>
      <c r="AX35" s="15"/>
      <c r="AY35" s="112"/>
      <c r="AZ35" s="17"/>
      <c r="BA35" s="17"/>
      <c r="BB35" s="85">
        <f t="shared" ref="BB35" si="32">SUM(AX35:BA35)</f>
        <v>0</v>
      </c>
      <c r="BC35" s="108">
        <f t="shared" ref="BC35" si="33">BB35+AW35+AR35+AM35+AH35</f>
        <v>0</v>
      </c>
      <c r="BD35" s="114" t="s">
        <v>53</v>
      </c>
      <c r="BE35" s="114"/>
    </row>
    <row r="36" spans="1:57" ht="14.25" thickBot="1" x14ac:dyDescent="0.2">
      <c r="A36" s="23" t="s">
        <v>85</v>
      </c>
      <c r="B36" s="18">
        <v>1</v>
      </c>
      <c r="C36" s="19"/>
      <c r="D36" s="19"/>
      <c r="E36" s="64"/>
      <c r="F36" s="86">
        <f t="shared" si="0"/>
        <v>1</v>
      </c>
      <c r="G36" s="18">
        <v>1</v>
      </c>
      <c r="H36" s="19"/>
      <c r="I36" s="19"/>
      <c r="J36" s="64"/>
      <c r="K36" s="86">
        <f t="shared" si="1"/>
        <v>1</v>
      </c>
      <c r="L36" s="18">
        <v>1</v>
      </c>
      <c r="M36" s="19"/>
      <c r="N36" s="19"/>
      <c r="O36" s="64"/>
      <c r="P36" s="86">
        <f t="shared" si="2"/>
        <v>1</v>
      </c>
      <c r="Q36" s="18">
        <v>1</v>
      </c>
      <c r="R36" s="19"/>
      <c r="S36" s="19"/>
      <c r="T36" s="64"/>
      <c r="U36" s="86">
        <f t="shared" si="3"/>
        <v>1</v>
      </c>
      <c r="V36" s="18">
        <v>1</v>
      </c>
      <c r="W36" s="19"/>
      <c r="X36" s="19"/>
      <c r="Y36" s="64"/>
      <c r="Z36" s="86">
        <f t="shared" si="4"/>
        <v>1</v>
      </c>
      <c r="AA36" s="106">
        <f t="shared" si="5"/>
        <v>5</v>
      </c>
      <c r="AB36" s="125">
        <v>45243</v>
      </c>
      <c r="AC36" s="102" t="s">
        <v>32</v>
      </c>
      <c r="AD36" s="10">
        <v>0</v>
      </c>
      <c r="AE36" s="11">
        <v>0</v>
      </c>
      <c r="AF36" s="12">
        <v>0</v>
      </c>
      <c r="AG36" s="133"/>
      <c r="AH36" s="84">
        <f t="shared" ref="AH36" si="34">SUM(AD36:AG36)</f>
        <v>0</v>
      </c>
      <c r="AI36" s="10">
        <v>0</v>
      </c>
      <c r="AJ36" s="11">
        <v>0</v>
      </c>
      <c r="AK36" s="12">
        <v>0</v>
      </c>
      <c r="AL36" s="133"/>
      <c r="AM36" s="84">
        <f t="shared" ref="AM36" si="35">SUM(AI36:AL36)</f>
        <v>0</v>
      </c>
      <c r="AN36" s="134"/>
      <c r="AO36" s="135"/>
      <c r="AP36" s="133"/>
      <c r="AQ36" s="133"/>
      <c r="AR36" s="84">
        <f t="shared" ref="AR36" si="36">SUM(AN36:AQ36)</f>
        <v>0</v>
      </c>
      <c r="AS36" s="10">
        <v>0</v>
      </c>
      <c r="AT36" s="11">
        <v>0</v>
      </c>
      <c r="AU36" s="12">
        <v>0</v>
      </c>
      <c r="AV36" s="133"/>
      <c r="AW36" s="84">
        <f t="shared" ref="AW36" si="37">SUM(AS36:AV36)</f>
        <v>0</v>
      </c>
      <c r="AX36" s="134"/>
      <c r="AY36" s="135"/>
      <c r="AZ36" s="133"/>
      <c r="BA36" s="133"/>
      <c r="BB36" s="84">
        <f t="shared" ref="BB36" si="38">SUM(AX36:BA36)</f>
        <v>0</v>
      </c>
      <c r="BC36" s="108">
        <f t="shared" ref="BC36" si="39">BB36+AW36+AR36+AM36+AH36</f>
        <v>0</v>
      </c>
      <c r="BD36" s="114">
        <v>45239</v>
      </c>
      <c r="BE36" s="114"/>
    </row>
    <row r="37" spans="1:57" ht="14.25" thickBot="1" x14ac:dyDescent="0.2">
      <c r="A37" s="27" t="s">
        <v>12</v>
      </c>
      <c r="B37" s="57">
        <f>SUM(B11:B36)</f>
        <v>11</v>
      </c>
      <c r="C37" s="50">
        <f t="shared" ref="C37:D37" si="40">SUM(C11:C36)</f>
        <v>4</v>
      </c>
      <c r="D37" s="50">
        <f t="shared" si="40"/>
        <v>9</v>
      </c>
      <c r="E37" s="50">
        <f>SUM(E11:E36)</f>
        <v>2</v>
      </c>
      <c r="F37" s="88">
        <f t="shared" si="0"/>
        <v>26</v>
      </c>
      <c r="G37" s="57">
        <f>SUM(G11:G36)</f>
        <v>11</v>
      </c>
      <c r="H37" s="50">
        <f t="shared" ref="H37:I37" si="41">SUM(H11:H36)</f>
        <v>4</v>
      </c>
      <c r="I37" s="50">
        <f t="shared" si="41"/>
        <v>9</v>
      </c>
      <c r="J37" s="50">
        <f>SUM(J11:J36)</f>
        <v>2</v>
      </c>
      <c r="K37" s="88">
        <f t="shared" si="1"/>
        <v>26</v>
      </c>
      <c r="L37" s="57">
        <f>SUM(L11:L36)</f>
        <v>9</v>
      </c>
      <c r="M37" s="50">
        <f t="shared" ref="M37:N37" si="42">SUM(M11:M36)</f>
        <v>6</v>
      </c>
      <c r="N37" s="50">
        <f t="shared" si="42"/>
        <v>10</v>
      </c>
      <c r="O37" s="50">
        <f>SUM(O11:O36)</f>
        <v>4</v>
      </c>
      <c r="P37" s="88">
        <f t="shared" si="2"/>
        <v>29</v>
      </c>
      <c r="Q37" s="57">
        <f>SUM(Q11:Q36)</f>
        <v>9</v>
      </c>
      <c r="R37" s="50">
        <f t="shared" ref="R37:S37" si="43">SUM(R11:R36)</f>
        <v>7</v>
      </c>
      <c r="S37" s="50">
        <f t="shared" si="43"/>
        <v>10</v>
      </c>
      <c r="T37" s="50">
        <f>SUM(T11:T36)</f>
        <v>4</v>
      </c>
      <c r="U37" s="88">
        <f t="shared" si="3"/>
        <v>30</v>
      </c>
      <c r="V37" s="57">
        <f>SUM(V11:V36)</f>
        <v>17</v>
      </c>
      <c r="W37" s="50">
        <f t="shared" ref="W37:X37" si="44">SUM(W11:W36)</f>
        <v>7</v>
      </c>
      <c r="X37" s="50">
        <f t="shared" si="44"/>
        <v>10</v>
      </c>
      <c r="Y37" s="50">
        <f>SUM(Y11:Y36)</f>
        <v>4</v>
      </c>
      <c r="Z37" s="88">
        <f t="shared" si="4"/>
        <v>38</v>
      </c>
      <c r="AA37" s="109">
        <f t="shared" si="5"/>
        <v>149</v>
      </c>
      <c r="AB37" s="126"/>
      <c r="AC37" s="27" t="s">
        <v>12</v>
      </c>
      <c r="AD37" s="57">
        <f>SUM(AD11:AD36)</f>
        <v>545</v>
      </c>
      <c r="AE37" s="50">
        <f t="shared" ref="AE37:AF37" si="45">SUM(AE11:AE36)</f>
        <v>701</v>
      </c>
      <c r="AF37" s="50">
        <f t="shared" si="45"/>
        <v>299</v>
      </c>
      <c r="AG37" s="50">
        <f>SUM(AG11:AG36)</f>
        <v>21</v>
      </c>
      <c r="AH37" s="88">
        <f t="shared" si="6"/>
        <v>1566</v>
      </c>
      <c r="AI37" s="57">
        <f>SUM(AI11:AI36)</f>
        <v>550</v>
      </c>
      <c r="AJ37" s="50">
        <f t="shared" ref="AJ37:AK37" si="46">SUM(AJ11:AJ36)</f>
        <v>702</v>
      </c>
      <c r="AK37" s="50">
        <f t="shared" si="46"/>
        <v>301</v>
      </c>
      <c r="AL37" s="50">
        <f>SUM(AL11:AL36)</f>
        <v>22</v>
      </c>
      <c r="AM37" s="88">
        <f t="shared" si="7"/>
        <v>1575</v>
      </c>
      <c r="AN37" s="57">
        <f>SUM(AN11:AN36)</f>
        <v>39</v>
      </c>
      <c r="AO37" s="50">
        <f t="shared" ref="AO37:AP37" si="47">SUM(AO11:AO36)</f>
        <v>34</v>
      </c>
      <c r="AP37" s="50">
        <f t="shared" si="47"/>
        <v>32</v>
      </c>
      <c r="AQ37" s="50">
        <f>SUM(AQ11:AQ36)</f>
        <v>20</v>
      </c>
      <c r="AR37" s="88">
        <f t="shared" si="8"/>
        <v>125</v>
      </c>
      <c r="AS37" s="57">
        <f>SUM(AS11:AS36)</f>
        <v>552</v>
      </c>
      <c r="AT37" s="50">
        <f t="shared" ref="AT37:AU37" si="48">SUM(AT11:AT36)</f>
        <v>707</v>
      </c>
      <c r="AU37" s="50">
        <f t="shared" si="48"/>
        <v>300</v>
      </c>
      <c r="AV37" s="50">
        <f>SUM(AV11:AV36)</f>
        <v>20</v>
      </c>
      <c r="AW37" s="88">
        <f t="shared" si="9"/>
        <v>1579</v>
      </c>
      <c r="AX37" s="57">
        <f>SUM(AX11:AX36)</f>
        <v>45</v>
      </c>
      <c r="AY37" s="50">
        <f t="shared" ref="AY37:AZ37" si="49">SUM(AY11:AY36)</f>
        <v>38</v>
      </c>
      <c r="AZ37" s="50">
        <f t="shared" si="49"/>
        <v>33</v>
      </c>
      <c r="BA37" s="50">
        <f>SUM(BA11:BA36)</f>
        <v>21</v>
      </c>
      <c r="BB37" s="88">
        <f t="shared" si="10"/>
        <v>137</v>
      </c>
      <c r="BC37" s="109">
        <f t="shared" si="11"/>
        <v>4982</v>
      </c>
    </row>
    <row r="38" spans="1:57" ht="14.25" thickBot="1" x14ac:dyDescent="0.2">
      <c r="A38" s="21" t="s">
        <v>13</v>
      </c>
      <c r="B38" s="101">
        <f>B10-B37</f>
        <v>7</v>
      </c>
      <c r="C38" s="8">
        <f t="shared" ref="C38:D38" si="50">C10-C37</f>
        <v>14</v>
      </c>
      <c r="D38" s="8">
        <f t="shared" si="50"/>
        <v>9</v>
      </c>
      <c r="E38" s="8">
        <f>E10-E37</f>
        <v>6</v>
      </c>
      <c r="F38" s="87">
        <f t="shared" si="0"/>
        <v>36</v>
      </c>
      <c r="G38" s="101">
        <f>G10-G37</f>
        <v>7</v>
      </c>
      <c r="H38" s="8">
        <f t="shared" ref="H38:I38" si="51">H10-H37</f>
        <v>14</v>
      </c>
      <c r="I38" s="8">
        <f t="shared" si="51"/>
        <v>9</v>
      </c>
      <c r="J38" s="8">
        <f>J10-J37</f>
        <v>6</v>
      </c>
      <c r="K38" s="87">
        <f t="shared" si="1"/>
        <v>36</v>
      </c>
      <c r="L38" s="101">
        <f>L10-L37</f>
        <v>9</v>
      </c>
      <c r="M38" s="8">
        <f t="shared" ref="M38:N38" si="52">M10-M37</f>
        <v>12</v>
      </c>
      <c r="N38" s="8">
        <f t="shared" si="52"/>
        <v>8</v>
      </c>
      <c r="O38" s="8">
        <f>O10-O37</f>
        <v>9</v>
      </c>
      <c r="P38" s="87">
        <f t="shared" si="2"/>
        <v>38</v>
      </c>
      <c r="Q38" s="101">
        <f>Q10-Q37</f>
        <v>9</v>
      </c>
      <c r="R38" s="8">
        <f t="shared" ref="R38:S38" si="53">R10-R37</f>
        <v>11</v>
      </c>
      <c r="S38" s="8">
        <f t="shared" si="53"/>
        <v>8</v>
      </c>
      <c r="T38" s="8">
        <f>T10-T37</f>
        <v>9</v>
      </c>
      <c r="U38" s="87">
        <f t="shared" si="3"/>
        <v>37</v>
      </c>
      <c r="V38" s="101">
        <f>V10-V37</f>
        <v>6</v>
      </c>
      <c r="W38" s="8">
        <f t="shared" ref="W38:X38" si="54">W10-W37</f>
        <v>11</v>
      </c>
      <c r="X38" s="8">
        <f t="shared" si="54"/>
        <v>8</v>
      </c>
      <c r="Y38" s="8">
        <f>Y10-Y37</f>
        <v>9</v>
      </c>
      <c r="Z38" s="87">
        <f t="shared" si="4"/>
        <v>34</v>
      </c>
      <c r="AA38" s="107">
        <f t="shared" si="5"/>
        <v>181</v>
      </c>
      <c r="AB38" s="127"/>
      <c r="AC38" s="29" t="s">
        <v>13</v>
      </c>
      <c r="AD38" s="32">
        <f>AD10-AD37</f>
        <v>788</v>
      </c>
      <c r="AE38" s="44">
        <f t="shared" ref="AE38:AF38" si="55">AE10-AE37</f>
        <v>689</v>
      </c>
      <c r="AF38" s="44">
        <f t="shared" si="55"/>
        <v>591</v>
      </c>
      <c r="AG38" s="44">
        <f>AG10-AG37</f>
        <v>302</v>
      </c>
      <c r="AH38" s="87">
        <f t="shared" si="6"/>
        <v>2370</v>
      </c>
      <c r="AI38" s="32">
        <f>AI10-AI37</f>
        <v>790</v>
      </c>
      <c r="AJ38" s="44">
        <f t="shared" ref="AJ38:AK38" si="56">AJ10-AJ37</f>
        <v>688</v>
      </c>
      <c r="AK38" s="44">
        <f t="shared" si="56"/>
        <v>589</v>
      </c>
      <c r="AL38" s="44">
        <f>AL10-AL37</f>
        <v>318</v>
      </c>
      <c r="AM38" s="87">
        <f t="shared" si="7"/>
        <v>2385</v>
      </c>
      <c r="AN38" s="32">
        <f>AN10-AN37</f>
        <v>753</v>
      </c>
      <c r="AO38" s="44">
        <f t="shared" ref="AO38:AP38" si="57">AO10-AO37</f>
        <v>766</v>
      </c>
      <c r="AP38" s="44">
        <f t="shared" si="57"/>
        <v>464</v>
      </c>
      <c r="AQ38" s="44">
        <f>AQ10-AQ37</f>
        <v>140</v>
      </c>
      <c r="AR38" s="87">
        <f t="shared" si="8"/>
        <v>2123</v>
      </c>
      <c r="AS38" s="32">
        <f>AS10-AS37</f>
        <v>233</v>
      </c>
      <c r="AT38" s="44">
        <f t="shared" ref="AT38:AU38" si="58">AT10-AT37</f>
        <v>93</v>
      </c>
      <c r="AU38" s="44">
        <f t="shared" si="58"/>
        <v>210</v>
      </c>
      <c r="AV38" s="44">
        <f>AV10-AV37</f>
        <v>140</v>
      </c>
      <c r="AW38" s="87">
        <f t="shared" si="9"/>
        <v>676</v>
      </c>
      <c r="AX38" s="32">
        <f>AX10-AX37</f>
        <v>1675</v>
      </c>
      <c r="AY38" s="44">
        <f t="shared" ref="AY38:AZ38" si="59">AY10-AY37</f>
        <v>1712</v>
      </c>
      <c r="AZ38" s="44">
        <f t="shared" si="59"/>
        <v>938</v>
      </c>
      <c r="BA38" s="44">
        <f>BA10-BA37</f>
        <v>389</v>
      </c>
      <c r="BB38" s="87">
        <f t="shared" si="10"/>
        <v>4714</v>
      </c>
      <c r="BC38" s="107">
        <f t="shared" si="11"/>
        <v>12268</v>
      </c>
    </row>
    <row r="41" spans="1:57" ht="19.5" thickBot="1" x14ac:dyDescent="0.25">
      <c r="A41" s="288" t="s">
        <v>45</v>
      </c>
      <c r="B41" s="288"/>
      <c r="C41" s="288"/>
      <c r="D41" s="288"/>
      <c r="E41" s="288"/>
      <c r="F41" s="288"/>
      <c r="G41" s="288"/>
      <c r="H41" s="288"/>
      <c r="I41" s="28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C41" s="79" t="s">
        <v>69</v>
      </c>
      <c r="AD41" s="79"/>
      <c r="AE41" s="79"/>
      <c r="AF41" s="79"/>
      <c r="AG41" s="79"/>
      <c r="AH41" s="79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78"/>
      <c r="AU41" s="78"/>
      <c r="AV41" s="78"/>
      <c r="AW41" s="78"/>
      <c r="AX41" s="78"/>
      <c r="AY41" s="78"/>
      <c r="AZ41" s="78"/>
      <c r="BA41" s="78"/>
      <c r="BB41" s="78"/>
      <c r="BC41" s="78"/>
    </row>
    <row r="42" spans="1:57" ht="14.25" thickBot="1" x14ac:dyDescent="0.2">
      <c r="A42" s="2" t="s">
        <v>0</v>
      </c>
      <c r="B42" s="256" t="s">
        <v>23</v>
      </c>
      <c r="C42" s="257"/>
      <c r="D42" s="257"/>
      <c r="E42" s="258"/>
      <c r="F42" s="81"/>
      <c r="G42" s="259" t="s">
        <v>24</v>
      </c>
      <c r="H42" s="260"/>
      <c r="I42" s="260"/>
      <c r="J42" s="261"/>
      <c r="K42" s="81"/>
      <c r="L42" s="262" t="s">
        <v>25</v>
      </c>
      <c r="M42" s="263"/>
      <c r="N42" s="263"/>
      <c r="O42" s="264"/>
      <c r="P42" s="81"/>
      <c r="Q42" s="265" t="s">
        <v>26</v>
      </c>
      <c r="R42" s="266"/>
      <c r="S42" s="266"/>
      <c r="T42" s="267"/>
      <c r="U42" s="81"/>
      <c r="V42" s="268" t="s">
        <v>27</v>
      </c>
      <c r="W42" s="269"/>
      <c r="X42" s="269"/>
      <c r="Y42" s="270"/>
      <c r="Z42" s="81"/>
      <c r="AA42" s="272" t="s">
        <v>6</v>
      </c>
      <c r="AC42" s="2" t="s">
        <v>0</v>
      </c>
      <c r="AD42" s="256" t="s">
        <v>23</v>
      </c>
      <c r="AE42" s="257"/>
      <c r="AF42" s="257"/>
      <c r="AG42" s="258"/>
      <c r="AH42" s="81"/>
      <c r="AI42" s="259" t="s">
        <v>24</v>
      </c>
      <c r="AJ42" s="260"/>
      <c r="AK42" s="260"/>
      <c r="AL42" s="261"/>
      <c r="AM42" s="81"/>
      <c r="AN42" s="262" t="s">
        <v>25</v>
      </c>
      <c r="AO42" s="263"/>
      <c r="AP42" s="263"/>
      <c r="AQ42" s="264"/>
      <c r="AR42" s="81"/>
      <c r="AS42" s="265" t="s">
        <v>26</v>
      </c>
      <c r="AT42" s="266"/>
      <c r="AU42" s="266"/>
      <c r="AV42" s="267"/>
      <c r="AW42" s="81"/>
      <c r="AX42" s="268" t="s">
        <v>27</v>
      </c>
      <c r="AY42" s="269"/>
      <c r="AZ42" s="269"/>
      <c r="BA42" s="270"/>
      <c r="BB42" s="81"/>
      <c r="BC42" s="272" t="s">
        <v>6</v>
      </c>
    </row>
    <row r="43" spans="1:57" ht="14.25" thickBot="1" x14ac:dyDescent="0.2">
      <c r="A43" s="2" t="s">
        <v>2</v>
      </c>
      <c r="B43" s="3" t="s">
        <v>3</v>
      </c>
      <c r="C43" s="4" t="s">
        <v>4</v>
      </c>
      <c r="D43" s="5" t="s">
        <v>5</v>
      </c>
      <c r="E43" s="5" t="s">
        <v>20</v>
      </c>
      <c r="F43" s="82" t="s">
        <v>6</v>
      </c>
      <c r="G43" s="89" t="s">
        <v>3</v>
      </c>
      <c r="H43" s="4" t="s">
        <v>4</v>
      </c>
      <c r="I43" s="5" t="s">
        <v>5</v>
      </c>
      <c r="J43" s="5" t="s">
        <v>20</v>
      </c>
      <c r="K43" s="82" t="s">
        <v>6</v>
      </c>
      <c r="L43" s="89" t="s">
        <v>3</v>
      </c>
      <c r="M43" s="4" t="s">
        <v>4</v>
      </c>
      <c r="N43" s="5" t="s">
        <v>5</v>
      </c>
      <c r="O43" s="5" t="s">
        <v>20</v>
      </c>
      <c r="P43" s="82" t="s">
        <v>6</v>
      </c>
      <c r="Q43" s="89" t="s">
        <v>3</v>
      </c>
      <c r="R43" s="4" t="s">
        <v>4</v>
      </c>
      <c r="S43" s="5" t="s">
        <v>5</v>
      </c>
      <c r="T43" s="5" t="s">
        <v>20</v>
      </c>
      <c r="U43" s="82" t="s">
        <v>6</v>
      </c>
      <c r="V43" s="89" t="s">
        <v>3</v>
      </c>
      <c r="W43" s="4" t="s">
        <v>4</v>
      </c>
      <c r="X43" s="5" t="s">
        <v>5</v>
      </c>
      <c r="Y43" s="5" t="s">
        <v>20</v>
      </c>
      <c r="Z43" s="82" t="s">
        <v>6</v>
      </c>
      <c r="AA43" s="273"/>
      <c r="AC43" s="2" t="s">
        <v>2</v>
      </c>
      <c r="AD43" s="3" t="s">
        <v>3</v>
      </c>
      <c r="AE43" s="4" t="s">
        <v>4</v>
      </c>
      <c r="AF43" s="5" t="s">
        <v>5</v>
      </c>
      <c r="AG43" s="5" t="s">
        <v>20</v>
      </c>
      <c r="AH43" s="82" t="s">
        <v>6</v>
      </c>
      <c r="AI43" s="89" t="s">
        <v>3</v>
      </c>
      <c r="AJ43" s="4" t="s">
        <v>4</v>
      </c>
      <c r="AK43" s="5" t="s">
        <v>5</v>
      </c>
      <c r="AL43" s="5" t="s">
        <v>20</v>
      </c>
      <c r="AM43" s="82" t="s">
        <v>6</v>
      </c>
      <c r="AN43" s="89" t="s">
        <v>3</v>
      </c>
      <c r="AO43" s="4" t="s">
        <v>4</v>
      </c>
      <c r="AP43" s="5" t="s">
        <v>5</v>
      </c>
      <c r="AQ43" s="5" t="s">
        <v>20</v>
      </c>
      <c r="AR43" s="82" t="s">
        <v>6</v>
      </c>
      <c r="AS43" s="89" t="s">
        <v>3</v>
      </c>
      <c r="AT43" s="4" t="s">
        <v>4</v>
      </c>
      <c r="AU43" s="5" t="s">
        <v>5</v>
      </c>
      <c r="AV43" s="5" t="s">
        <v>20</v>
      </c>
      <c r="AW43" s="82" t="s">
        <v>6</v>
      </c>
      <c r="AX43" s="89" t="s">
        <v>3</v>
      </c>
      <c r="AY43" s="4" t="s">
        <v>4</v>
      </c>
      <c r="AZ43" s="5" t="s">
        <v>5</v>
      </c>
      <c r="BA43" s="5" t="s">
        <v>20</v>
      </c>
      <c r="BB43" s="82" t="s">
        <v>6</v>
      </c>
      <c r="BC43" s="276"/>
    </row>
    <row r="44" spans="1:57" x14ac:dyDescent="0.15">
      <c r="A44" s="40" t="s">
        <v>13</v>
      </c>
      <c r="B44" s="41">
        <f>B38</f>
        <v>7</v>
      </c>
      <c r="C44" s="42">
        <f>C38</f>
        <v>14</v>
      </c>
      <c r="D44" s="42">
        <f t="shared" ref="D44:AA44" si="60">D38</f>
        <v>9</v>
      </c>
      <c r="E44" s="94">
        <f t="shared" si="60"/>
        <v>6</v>
      </c>
      <c r="F44" s="95">
        <f t="shared" si="60"/>
        <v>36</v>
      </c>
      <c r="G44" s="96">
        <f t="shared" si="60"/>
        <v>7</v>
      </c>
      <c r="H44" s="42">
        <f t="shared" si="60"/>
        <v>14</v>
      </c>
      <c r="I44" s="42">
        <f t="shared" si="60"/>
        <v>9</v>
      </c>
      <c r="J44" s="94">
        <f t="shared" si="60"/>
        <v>6</v>
      </c>
      <c r="K44" s="95">
        <f t="shared" si="60"/>
        <v>36</v>
      </c>
      <c r="L44" s="96">
        <f t="shared" si="60"/>
        <v>9</v>
      </c>
      <c r="M44" s="42">
        <f t="shared" si="60"/>
        <v>12</v>
      </c>
      <c r="N44" s="42">
        <f t="shared" si="60"/>
        <v>8</v>
      </c>
      <c r="O44" s="94">
        <f t="shared" si="60"/>
        <v>9</v>
      </c>
      <c r="P44" s="95">
        <f t="shared" si="60"/>
        <v>38</v>
      </c>
      <c r="Q44" s="96">
        <f t="shared" si="60"/>
        <v>9</v>
      </c>
      <c r="R44" s="42">
        <f t="shared" si="60"/>
        <v>11</v>
      </c>
      <c r="S44" s="42">
        <f t="shared" si="60"/>
        <v>8</v>
      </c>
      <c r="T44" s="94">
        <f t="shared" si="60"/>
        <v>9</v>
      </c>
      <c r="U44" s="95">
        <f t="shared" si="60"/>
        <v>37</v>
      </c>
      <c r="V44" s="96">
        <f t="shared" si="60"/>
        <v>6</v>
      </c>
      <c r="W44" s="42">
        <f t="shared" si="60"/>
        <v>11</v>
      </c>
      <c r="X44" s="42">
        <f t="shared" si="60"/>
        <v>8</v>
      </c>
      <c r="Y44" s="94">
        <f t="shared" si="60"/>
        <v>9</v>
      </c>
      <c r="Z44" s="95">
        <f t="shared" si="60"/>
        <v>34</v>
      </c>
      <c r="AA44" s="104">
        <f t="shared" si="60"/>
        <v>181</v>
      </c>
      <c r="AC44" s="40" t="s">
        <v>13</v>
      </c>
      <c r="AD44" s="41">
        <f>AD38</f>
        <v>788</v>
      </c>
      <c r="AE44" s="42">
        <f>AE38</f>
        <v>689</v>
      </c>
      <c r="AF44" s="42">
        <f t="shared" ref="AF44:BC44" si="61">AF38</f>
        <v>591</v>
      </c>
      <c r="AG44" s="94">
        <f t="shared" si="61"/>
        <v>302</v>
      </c>
      <c r="AH44" s="95">
        <f t="shared" si="61"/>
        <v>2370</v>
      </c>
      <c r="AI44" s="96">
        <f t="shared" si="61"/>
        <v>790</v>
      </c>
      <c r="AJ44" s="42">
        <f t="shared" si="61"/>
        <v>688</v>
      </c>
      <c r="AK44" s="42">
        <f t="shared" si="61"/>
        <v>589</v>
      </c>
      <c r="AL44" s="94">
        <f t="shared" si="61"/>
        <v>318</v>
      </c>
      <c r="AM44" s="95">
        <f t="shared" si="61"/>
        <v>2385</v>
      </c>
      <c r="AN44" s="96">
        <f t="shared" si="61"/>
        <v>753</v>
      </c>
      <c r="AO44" s="42">
        <f t="shared" si="61"/>
        <v>766</v>
      </c>
      <c r="AP44" s="42">
        <f t="shared" si="61"/>
        <v>464</v>
      </c>
      <c r="AQ44" s="94">
        <f t="shared" si="61"/>
        <v>140</v>
      </c>
      <c r="AR44" s="95">
        <f t="shared" si="61"/>
        <v>2123</v>
      </c>
      <c r="AS44" s="96">
        <f t="shared" si="61"/>
        <v>233</v>
      </c>
      <c r="AT44" s="42">
        <f t="shared" si="61"/>
        <v>93</v>
      </c>
      <c r="AU44" s="42">
        <f t="shared" si="61"/>
        <v>210</v>
      </c>
      <c r="AV44" s="94">
        <f t="shared" si="61"/>
        <v>140</v>
      </c>
      <c r="AW44" s="95">
        <f t="shared" si="61"/>
        <v>676</v>
      </c>
      <c r="AX44" s="96">
        <f t="shared" si="61"/>
        <v>1675</v>
      </c>
      <c r="AY44" s="42">
        <f t="shared" si="61"/>
        <v>1712</v>
      </c>
      <c r="AZ44" s="42">
        <f t="shared" si="61"/>
        <v>938</v>
      </c>
      <c r="BA44" s="94">
        <f t="shared" si="61"/>
        <v>389</v>
      </c>
      <c r="BB44" s="95">
        <f t="shared" si="61"/>
        <v>4714</v>
      </c>
      <c r="BC44" s="104">
        <f t="shared" si="61"/>
        <v>12268</v>
      </c>
    </row>
    <row r="45" spans="1:57" x14ac:dyDescent="0.15">
      <c r="A45" s="9" t="s">
        <v>87</v>
      </c>
      <c r="B45" s="10">
        <v>1</v>
      </c>
      <c r="C45" s="11"/>
      <c r="D45" s="12"/>
      <c r="E45" s="12"/>
      <c r="F45" s="84">
        <f t="shared" ref="F45:F78" si="62">SUM(B45:E45)</f>
        <v>1</v>
      </c>
      <c r="G45" s="90">
        <v>1</v>
      </c>
      <c r="H45" s="11"/>
      <c r="I45" s="12"/>
      <c r="J45" s="12"/>
      <c r="K45" s="84">
        <f t="shared" ref="K45:K78" si="63">SUM(G45:J45)</f>
        <v>1</v>
      </c>
      <c r="L45" s="90">
        <v>1</v>
      </c>
      <c r="M45" s="11"/>
      <c r="N45" s="12"/>
      <c r="O45" s="12"/>
      <c r="P45" s="84">
        <f t="shared" ref="P45:P78" si="64">SUM(L45:O45)</f>
        <v>1</v>
      </c>
      <c r="Q45" s="90">
        <v>1</v>
      </c>
      <c r="R45" s="11"/>
      <c r="S45" s="12"/>
      <c r="T45" s="12"/>
      <c r="U45" s="84">
        <f t="shared" ref="U45:U78" si="65">SUM(Q45:T45)</f>
        <v>1</v>
      </c>
      <c r="V45" s="90">
        <v>1</v>
      </c>
      <c r="W45" s="11"/>
      <c r="X45" s="12"/>
      <c r="Y45" s="12"/>
      <c r="Z45" s="84">
        <f t="shared" ref="Z45:Z78" si="66">SUM(V45:Y45)</f>
        <v>1</v>
      </c>
      <c r="AA45" s="105">
        <f t="shared" ref="AA45:AA78" si="67">Z45+U45+P45+K45+F45</f>
        <v>5</v>
      </c>
      <c r="AB45" s="114">
        <v>45240</v>
      </c>
      <c r="AC45" s="9" t="s">
        <v>7</v>
      </c>
      <c r="AD45" s="10"/>
      <c r="AE45" s="11"/>
      <c r="AF45" s="12"/>
      <c r="AG45" s="12"/>
      <c r="AH45" s="84">
        <f t="shared" ref="AH45:AH78" si="68">SUM(AD45:AG45)</f>
        <v>0</v>
      </c>
      <c r="AI45" s="90"/>
      <c r="AJ45" s="11"/>
      <c r="AK45" s="12"/>
      <c r="AL45" s="12"/>
      <c r="AM45" s="84">
        <f t="shared" ref="AM45:AM78" si="69">SUM(AI45:AL45)</f>
        <v>0</v>
      </c>
      <c r="AN45" s="90"/>
      <c r="AO45" s="11"/>
      <c r="AP45" s="12"/>
      <c r="AQ45" s="12"/>
      <c r="AR45" s="84">
        <f t="shared" ref="AR45:AR78" si="70">SUM(AN45:AQ45)</f>
        <v>0</v>
      </c>
      <c r="AS45" s="90"/>
      <c r="AT45" s="11"/>
      <c r="AU45" s="12"/>
      <c r="AV45" s="12"/>
      <c r="AW45" s="84">
        <f t="shared" ref="AW45:AW78" si="71">SUM(AS45:AV45)</f>
        <v>0</v>
      </c>
      <c r="AX45" s="90"/>
      <c r="AY45" s="11"/>
      <c r="AZ45" s="12"/>
      <c r="BA45" s="12"/>
      <c r="BB45" s="84">
        <f t="shared" ref="BB45:BB78" si="72">SUM(AX45:BA45)</f>
        <v>0</v>
      </c>
      <c r="BC45" s="105">
        <f t="shared" ref="BC45:BC78" si="73">BB45+AW45+AR45+AM45+AH45</f>
        <v>0</v>
      </c>
    </row>
    <row r="46" spans="1:57" x14ac:dyDescent="0.15">
      <c r="A46" s="9" t="s">
        <v>8</v>
      </c>
      <c r="B46" s="10">
        <v>5</v>
      </c>
      <c r="C46" s="11"/>
      <c r="D46" s="12"/>
      <c r="E46" s="12">
        <v>5</v>
      </c>
      <c r="F46" s="85">
        <f t="shared" si="62"/>
        <v>10</v>
      </c>
      <c r="G46" s="90">
        <v>5</v>
      </c>
      <c r="H46" s="11"/>
      <c r="I46" s="12"/>
      <c r="J46" s="12">
        <v>5</v>
      </c>
      <c r="K46" s="85">
        <f t="shared" si="63"/>
        <v>10</v>
      </c>
      <c r="L46" s="90"/>
      <c r="M46" s="11"/>
      <c r="N46" s="12"/>
      <c r="O46" s="12"/>
      <c r="P46" s="85">
        <f t="shared" si="64"/>
        <v>0</v>
      </c>
      <c r="Q46" s="90"/>
      <c r="R46" s="11"/>
      <c r="S46" s="12"/>
      <c r="T46" s="12"/>
      <c r="U46" s="85">
        <f t="shared" si="65"/>
        <v>0</v>
      </c>
      <c r="V46" s="90">
        <v>5</v>
      </c>
      <c r="W46" s="11"/>
      <c r="X46" s="12"/>
      <c r="Y46" s="12"/>
      <c r="Z46" s="85">
        <f t="shared" si="66"/>
        <v>5</v>
      </c>
      <c r="AA46" s="105">
        <f t="shared" si="67"/>
        <v>25</v>
      </c>
      <c r="AB46" s="114">
        <v>45245</v>
      </c>
      <c r="AC46" s="9" t="s">
        <v>8</v>
      </c>
      <c r="AD46" s="10"/>
      <c r="AE46" s="11"/>
      <c r="AF46" s="12"/>
      <c r="AG46" s="12"/>
      <c r="AH46" s="84">
        <f t="shared" si="68"/>
        <v>0</v>
      </c>
      <c r="AI46" s="90"/>
      <c r="AJ46" s="11"/>
      <c r="AK46" s="12"/>
      <c r="AL46" s="12"/>
      <c r="AM46" s="84">
        <f t="shared" si="69"/>
        <v>0</v>
      </c>
      <c r="AN46" s="90"/>
      <c r="AO46" s="11"/>
      <c r="AP46" s="12"/>
      <c r="AQ46" s="12"/>
      <c r="AR46" s="84">
        <f t="shared" si="70"/>
        <v>0</v>
      </c>
      <c r="AS46" s="90">
        <v>100</v>
      </c>
      <c r="AT46" s="11">
        <v>100</v>
      </c>
      <c r="AU46" s="12"/>
      <c r="AV46" s="12"/>
      <c r="AW46" s="84">
        <f t="shared" si="71"/>
        <v>200</v>
      </c>
      <c r="AX46" s="90"/>
      <c r="AY46" s="11"/>
      <c r="AZ46" s="12"/>
      <c r="BA46" s="12"/>
      <c r="BB46" s="84">
        <f t="shared" si="72"/>
        <v>0</v>
      </c>
      <c r="BC46" s="105">
        <f t="shared" si="73"/>
        <v>200</v>
      </c>
      <c r="BD46" s="114" t="s">
        <v>200</v>
      </c>
      <c r="BE46" s="77"/>
    </row>
    <row r="47" spans="1:57" x14ac:dyDescent="0.15">
      <c r="A47" s="9" t="s">
        <v>9</v>
      </c>
      <c r="B47" s="15"/>
      <c r="C47" s="16"/>
      <c r="D47" s="17"/>
      <c r="E47" s="17"/>
      <c r="F47" s="85">
        <f t="shared" ref="F47" si="74">SUM(B47:E47)</f>
        <v>0</v>
      </c>
      <c r="G47" s="91">
        <v>3</v>
      </c>
      <c r="H47" s="16"/>
      <c r="I47" s="17"/>
      <c r="J47" s="17"/>
      <c r="K47" s="85">
        <f t="shared" ref="K47" si="75">SUM(G47:J47)</f>
        <v>3</v>
      </c>
      <c r="L47" s="91"/>
      <c r="M47" s="16"/>
      <c r="N47" s="17">
        <v>3</v>
      </c>
      <c r="O47" s="17"/>
      <c r="P47" s="85">
        <f t="shared" ref="P47" si="76">SUM(L47:O47)</f>
        <v>3</v>
      </c>
      <c r="Q47" s="91">
        <v>3</v>
      </c>
      <c r="R47" s="16">
        <v>3</v>
      </c>
      <c r="S47" s="17"/>
      <c r="T47" s="17"/>
      <c r="U47" s="85">
        <f t="shared" ref="U47" si="77">SUM(Q47:T47)</f>
        <v>6</v>
      </c>
      <c r="V47" s="91"/>
      <c r="W47" s="16">
        <v>5</v>
      </c>
      <c r="X47" s="17"/>
      <c r="Y47" s="17"/>
      <c r="Z47" s="85">
        <f t="shared" ref="Z47" si="78">SUM(V47:Y47)</f>
        <v>5</v>
      </c>
      <c r="AA47" s="105">
        <f t="shared" ref="AA47" si="79">Z47+U47+P47+K47+F47</f>
        <v>17</v>
      </c>
      <c r="AB47" s="114">
        <v>45260</v>
      </c>
      <c r="AC47" s="9" t="s">
        <v>9</v>
      </c>
      <c r="AD47" s="15"/>
      <c r="AE47" s="16"/>
      <c r="AF47" s="17"/>
      <c r="AG47" s="17"/>
      <c r="AH47" s="85">
        <f t="shared" si="68"/>
        <v>0</v>
      </c>
      <c r="AI47" s="91"/>
      <c r="AJ47" s="16"/>
      <c r="AK47" s="17"/>
      <c r="AL47" s="17"/>
      <c r="AM47" s="85">
        <f t="shared" si="69"/>
        <v>0</v>
      </c>
      <c r="AN47" s="91"/>
      <c r="AO47" s="16"/>
      <c r="AP47" s="17"/>
      <c r="AQ47" s="17"/>
      <c r="AR47" s="85">
        <f t="shared" si="70"/>
        <v>0</v>
      </c>
      <c r="AS47" s="91"/>
      <c r="AT47" s="16"/>
      <c r="AU47" s="17"/>
      <c r="AV47" s="17"/>
      <c r="AW47" s="85">
        <f t="shared" si="71"/>
        <v>0</v>
      </c>
      <c r="AX47" s="91"/>
      <c r="AY47" s="16"/>
      <c r="AZ47" s="17"/>
      <c r="BA47" s="17"/>
      <c r="BB47" s="85">
        <f t="shared" si="72"/>
        <v>0</v>
      </c>
      <c r="BC47" s="105">
        <f t="shared" si="73"/>
        <v>0</v>
      </c>
      <c r="BD47" s="76"/>
    </row>
    <row r="48" spans="1:57" x14ac:dyDescent="0.15">
      <c r="A48" s="9" t="s">
        <v>10</v>
      </c>
      <c r="B48" s="15">
        <v>5</v>
      </c>
      <c r="C48" s="16">
        <v>5</v>
      </c>
      <c r="D48" s="17"/>
      <c r="E48" s="17"/>
      <c r="F48" s="85">
        <f t="shared" si="62"/>
        <v>10</v>
      </c>
      <c r="G48" s="91">
        <v>5</v>
      </c>
      <c r="H48" s="16">
        <v>5</v>
      </c>
      <c r="I48" s="17"/>
      <c r="J48" s="17"/>
      <c r="K48" s="85">
        <f t="shared" si="63"/>
        <v>10</v>
      </c>
      <c r="L48" s="91">
        <v>5</v>
      </c>
      <c r="M48" s="16">
        <v>5</v>
      </c>
      <c r="N48" s="17"/>
      <c r="O48" s="17"/>
      <c r="P48" s="85">
        <f t="shared" si="64"/>
        <v>10</v>
      </c>
      <c r="Q48" s="91">
        <v>5</v>
      </c>
      <c r="R48" s="16"/>
      <c r="S48" s="17"/>
      <c r="T48" s="17"/>
      <c r="U48" s="85">
        <f t="shared" si="65"/>
        <v>5</v>
      </c>
      <c r="V48" s="91">
        <v>5</v>
      </c>
      <c r="W48" s="16">
        <v>5</v>
      </c>
      <c r="X48" s="17"/>
      <c r="Y48" s="17"/>
      <c r="Z48" s="85">
        <f t="shared" si="66"/>
        <v>10</v>
      </c>
      <c r="AA48" s="105">
        <f t="shared" si="67"/>
        <v>45</v>
      </c>
      <c r="AB48" s="114">
        <v>45279</v>
      </c>
      <c r="AC48" s="9" t="s">
        <v>10</v>
      </c>
      <c r="AD48" s="15"/>
      <c r="AE48" s="16"/>
      <c r="AF48" s="17"/>
      <c r="AG48" s="17"/>
      <c r="AH48" s="85">
        <f t="shared" si="68"/>
        <v>0</v>
      </c>
      <c r="AI48" s="91"/>
      <c r="AJ48" s="16"/>
      <c r="AK48" s="17"/>
      <c r="AL48" s="17"/>
      <c r="AM48" s="85">
        <f t="shared" si="69"/>
        <v>0</v>
      </c>
      <c r="AN48" s="91"/>
      <c r="AO48" s="16"/>
      <c r="AP48" s="17"/>
      <c r="AQ48" s="17"/>
      <c r="AR48" s="85">
        <f t="shared" si="70"/>
        <v>0</v>
      </c>
      <c r="AS48" s="91"/>
      <c r="AT48" s="16"/>
      <c r="AU48" s="17"/>
      <c r="AV48" s="17"/>
      <c r="AW48" s="85">
        <f t="shared" si="71"/>
        <v>0</v>
      </c>
      <c r="AX48" s="91"/>
      <c r="AY48" s="16"/>
      <c r="AZ48" s="17"/>
      <c r="BA48" s="17"/>
      <c r="BB48" s="85">
        <f t="shared" si="72"/>
        <v>0</v>
      </c>
      <c r="BC48" s="105">
        <f t="shared" si="73"/>
        <v>0</v>
      </c>
    </row>
    <row r="49" spans="1:58" ht="14.25" thickBot="1" x14ac:dyDescent="0.2">
      <c r="A49" s="9" t="s">
        <v>11</v>
      </c>
      <c r="B49" s="15">
        <v>5</v>
      </c>
      <c r="C49" s="16"/>
      <c r="D49" s="17"/>
      <c r="E49" s="17"/>
      <c r="F49" s="92">
        <f t="shared" si="62"/>
        <v>5</v>
      </c>
      <c r="G49" s="91">
        <v>5</v>
      </c>
      <c r="H49" s="16"/>
      <c r="I49" s="17"/>
      <c r="J49" s="17"/>
      <c r="K49" s="92">
        <f t="shared" si="63"/>
        <v>5</v>
      </c>
      <c r="L49" s="91">
        <v>5</v>
      </c>
      <c r="M49" s="16"/>
      <c r="N49" s="17"/>
      <c r="O49" s="17"/>
      <c r="P49" s="92">
        <f t="shared" si="64"/>
        <v>5</v>
      </c>
      <c r="Q49" s="91">
        <v>5</v>
      </c>
      <c r="R49" s="16"/>
      <c r="S49" s="17"/>
      <c r="T49" s="17"/>
      <c r="U49" s="92">
        <f t="shared" si="65"/>
        <v>5</v>
      </c>
      <c r="V49" s="91">
        <v>5</v>
      </c>
      <c r="W49" s="16">
        <v>5</v>
      </c>
      <c r="X49" s="17">
        <v>5</v>
      </c>
      <c r="Y49" s="17">
        <v>5</v>
      </c>
      <c r="Z49" s="92">
        <f t="shared" si="66"/>
        <v>20</v>
      </c>
      <c r="AA49" s="110">
        <f t="shared" si="67"/>
        <v>40</v>
      </c>
      <c r="AB49" s="114">
        <v>45307</v>
      </c>
      <c r="AC49" s="53" t="s">
        <v>105</v>
      </c>
      <c r="AD49" s="18"/>
      <c r="AE49" s="19"/>
      <c r="AF49" s="19"/>
      <c r="AG49" s="64"/>
      <c r="AH49" s="86">
        <f t="shared" si="68"/>
        <v>0</v>
      </c>
      <c r="AI49" s="18"/>
      <c r="AJ49" s="19"/>
      <c r="AK49" s="19"/>
      <c r="AL49" s="64"/>
      <c r="AM49" s="86">
        <f t="shared" si="69"/>
        <v>0</v>
      </c>
      <c r="AN49" s="18"/>
      <c r="AO49" s="19"/>
      <c r="AP49" s="19"/>
      <c r="AQ49" s="64"/>
      <c r="AR49" s="86">
        <f t="shared" si="70"/>
        <v>0</v>
      </c>
      <c r="AS49" s="18"/>
      <c r="AT49" s="19">
        <v>5</v>
      </c>
      <c r="AU49" s="19"/>
      <c r="AV49" s="64"/>
      <c r="AW49" s="86">
        <f t="shared" si="71"/>
        <v>5</v>
      </c>
      <c r="AX49" s="18"/>
      <c r="AY49" s="19"/>
      <c r="AZ49" s="19"/>
      <c r="BA49" s="64"/>
      <c r="BB49" s="86">
        <f t="shared" si="72"/>
        <v>0</v>
      </c>
      <c r="BC49" s="106">
        <f t="shared" si="73"/>
        <v>5</v>
      </c>
      <c r="BD49" s="114">
        <v>45279</v>
      </c>
      <c r="BE49" s="114"/>
    </row>
    <row r="50" spans="1:58" ht="14.25" thickBot="1" x14ac:dyDescent="0.2">
      <c r="A50" s="21" t="s">
        <v>16</v>
      </c>
      <c r="B50" s="7">
        <f>SUM(B44:B49)</f>
        <v>23</v>
      </c>
      <c r="C50" s="8">
        <f t="shared" ref="C50:E50" si="80">SUM(C44:C49)</f>
        <v>19</v>
      </c>
      <c r="D50" s="22">
        <f t="shared" si="80"/>
        <v>9</v>
      </c>
      <c r="E50" s="22">
        <f t="shared" si="80"/>
        <v>11</v>
      </c>
      <c r="F50" s="87">
        <f t="shared" si="62"/>
        <v>62</v>
      </c>
      <c r="G50" s="7">
        <f>SUM(G44:G49)</f>
        <v>26</v>
      </c>
      <c r="H50" s="8">
        <f t="shared" ref="H50:J50" si="81">SUM(H44:H49)</f>
        <v>19</v>
      </c>
      <c r="I50" s="22">
        <f t="shared" si="81"/>
        <v>9</v>
      </c>
      <c r="J50" s="22">
        <f t="shared" si="81"/>
        <v>11</v>
      </c>
      <c r="K50" s="87">
        <f t="shared" si="63"/>
        <v>65</v>
      </c>
      <c r="L50" s="7">
        <f>SUM(L44:L49)</f>
        <v>20</v>
      </c>
      <c r="M50" s="8">
        <f t="shared" ref="M50:O50" si="82">SUM(M44:M49)</f>
        <v>17</v>
      </c>
      <c r="N50" s="22">
        <f t="shared" si="82"/>
        <v>11</v>
      </c>
      <c r="O50" s="22">
        <f t="shared" si="82"/>
        <v>9</v>
      </c>
      <c r="P50" s="87">
        <f t="shared" si="64"/>
        <v>57</v>
      </c>
      <c r="Q50" s="7">
        <f>SUM(Q44:Q49)</f>
        <v>23</v>
      </c>
      <c r="R50" s="8">
        <f t="shared" ref="R50:T50" si="83">SUM(R44:R49)</f>
        <v>14</v>
      </c>
      <c r="S50" s="22">
        <f t="shared" si="83"/>
        <v>8</v>
      </c>
      <c r="T50" s="22">
        <f t="shared" si="83"/>
        <v>9</v>
      </c>
      <c r="U50" s="87">
        <f t="shared" si="65"/>
        <v>54</v>
      </c>
      <c r="V50" s="7">
        <f>SUM(V44:V49)</f>
        <v>22</v>
      </c>
      <c r="W50" s="8">
        <f t="shared" ref="W50:Y50" si="84">SUM(W44:W49)</f>
        <v>26</v>
      </c>
      <c r="X50" s="22">
        <f t="shared" si="84"/>
        <v>13</v>
      </c>
      <c r="Y50" s="22">
        <f t="shared" si="84"/>
        <v>14</v>
      </c>
      <c r="Z50" s="87">
        <f t="shared" si="66"/>
        <v>75</v>
      </c>
      <c r="AA50" s="107">
        <f t="shared" si="67"/>
        <v>313</v>
      </c>
      <c r="AC50" s="21" t="s">
        <v>16</v>
      </c>
      <c r="AD50" s="7">
        <f>SUM(AD44:AD49)</f>
        <v>788</v>
      </c>
      <c r="AE50" s="8">
        <f t="shared" ref="AE50:AG50" si="85">SUM(AE44:AE49)</f>
        <v>689</v>
      </c>
      <c r="AF50" s="22">
        <f t="shared" si="85"/>
        <v>591</v>
      </c>
      <c r="AG50" s="22">
        <f t="shared" si="85"/>
        <v>302</v>
      </c>
      <c r="AH50" s="87">
        <f t="shared" si="68"/>
        <v>2370</v>
      </c>
      <c r="AI50" s="7">
        <f>SUM(AI44:AI49)</f>
        <v>790</v>
      </c>
      <c r="AJ50" s="8">
        <f t="shared" ref="AJ50:AL50" si="86">SUM(AJ44:AJ49)</f>
        <v>688</v>
      </c>
      <c r="AK50" s="22">
        <f t="shared" si="86"/>
        <v>589</v>
      </c>
      <c r="AL50" s="22">
        <f t="shared" si="86"/>
        <v>318</v>
      </c>
      <c r="AM50" s="87">
        <f t="shared" si="69"/>
        <v>2385</v>
      </c>
      <c r="AN50" s="7">
        <f>SUM(AN44:AN49)</f>
        <v>753</v>
      </c>
      <c r="AO50" s="8">
        <f t="shared" ref="AO50:AQ50" si="87">SUM(AO44:AO49)</f>
        <v>766</v>
      </c>
      <c r="AP50" s="22">
        <f t="shared" si="87"/>
        <v>464</v>
      </c>
      <c r="AQ50" s="22">
        <f t="shared" si="87"/>
        <v>140</v>
      </c>
      <c r="AR50" s="87">
        <f t="shared" si="70"/>
        <v>2123</v>
      </c>
      <c r="AS50" s="7">
        <f>SUM(AS44:AS49)</f>
        <v>333</v>
      </c>
      <c r="AT50" s="8">
        <f t="shared" ref="AT50:AV50" si="88">SUM(AT44:AT49)</f>
        <v>198</v>
      </c>
      <c r="AU50" s="22">
        <f t="shared" si="88"/>
        <v>210</v>
      </c>
      <c r="AV50" s="22">
        <f t="shared" si="88"/>
        <v>140</v>
      </c>
      <c r="AW50" s="87">
        <f t="shared" si="71"/>
        <v>881</v>
      </c>
      <c r="AX50" s="7">
        <f>SUM(AX44:AX49)</f>
        <v>1675</v>
      </c>
      <c r="AY50" s="8">
        <f t="shared" ref="AY50:BA50" si="89">SUM(AY44:AY49)</f>
        <v>1712</v>
      </c>
      <c r="AZ50" s="22">
        <f t="shared" si="89"/>
        <v>938</v>
      </c>
      <c r="BA50" s="22">
        <f t="shared" si="89"/>
        <v>389</v>
      </c>
      <c r="BB50" s="87">
        <f t="shared" si="72"/>
        <v>4714</v>
      </c>
      <c r="BC50" s="107">
        <f t="shared" si="73"/>
        <v>12473</v>
      </c>
    </row>
    <row r="51" spans="1:58" x14ac:dyDescent="0.15">
      <c r="A51" s="45" t="s">
        <v>86</v>
      </c>
      <c r="B51" s="39">
        <v>1</v>
      </c>
      <c r="C51" s="13"/>
      <c r="D51" s="14">
        <v>1</v>
      </c>
      <c r="E51" s="14"/>
      <c r="F51" s="83">
        <f t="shared" si="62"/>
        <v>2</v>
      </c>
      <c r="G51" s="39">
        <v>2</v>
      </c>
      <c r="H51" s="13"/>
      <c r="I51" s="14"/>
      <c r="J51" s="14"/>
      <c r="K51" s="83">
        <f t="shared" si="63"/>
        <v>2</v>
      </c>
      <c r="L51" s="39"/>
      <c r="M51" s="13">
        <v>1</v>
      </c>
      <c r="N51" s="14"/>
      <c r="O51" s="14"/>
      <c r="P51" s="83">
        <f t="shared" si="64"/>
        <v>1</v>
      </c>
      <c r="Q51" s="39"/>
      <c r="R51" s="13">
        <v>1</v>
      </c>
      <c r="S51" s="14"/>
      <c r="T51" s="14"/>
      <c r="U51" s="83">
        <f t="shared" si="65"/>
        <v>1</v>
      </c>
      <c r="V51" s="39">
        <v>1</v>
      </c>
      <c r="W51" s="13">
        <v>1</v>
      </c>
      <c r="X51" s="14"/>
      <c r="Y51" s="14">
        <v>1</v>
      </c>
      <c r="Z51" s="83">
        <f t="shared" si="66"/>
        <v>3</v>
      </c>
      <c r="AA51" s="108">
        <f t="shared" si="67"/>
        <v>9</v>
      </c>
      <c r="AB51" s="115">
        <v>45245</v>
      </c>
      <c r="AC51" s="53" t="s">
        <v>97</v>
      </c>
      <c r="AD51" s="39">
        <v>3</v>
      </c>
      <c r="AE51" s="13">
        <v>3</v>
      </c>
      <c r="AF51" s="14">
        <v>3</v>
      </c>
      <c r="AG51" s="14">
        <v>2</v>
      </c>
      <c r="AH51" s="83">
        <f t="shared" si="68"/>
        <v>11</v>
      </c>
      <c r="AI51" s="39">
        <v>3</v>
      </c>
      <c r="AJ51" s="13">
        <v>3</v>
      </c>
      <c r="AK51" s="14">
        <v>3</v>
      </c>
      <c r="AL51" s="14">
        <v>2</v>
      </c>
      <c r="AM51" s="83">
        <f t="shared" si="69"/>
        <v>11</v>
      </c>
      <c r="AN51" s="39">
        <v>3</v>
      </c>
      <c r="AO51" s="13">
        <v>3</v>
      </c>
      <c r="AP51" s="14">
        <v>3</v>
      </c>
      <c r="AQ51" s="14">
        <v>2</v>
      </c>
      <c r="AR51" s="83">
        <f t="shared" si="70"/>
        <v>11</v>
      </c>
      <c r="AS51" s="39">
        <v>3</v>
      </c>
      <c r="AT51" s="13">
        <v>3</v>
      </c>
      <c r="AU51" s="14">
        <v>3</v>
      </c>
      <c r="AV51" s="14">
        <v>2</v>
      </c>
      <c r="AW51" s="83">
        <f t="shared" si="71"/>
        <v>11</v>
      </c>
      <c r="AX51" s="39">
        <v>3</v>
      </c>
      <c r="AY51" s="13">
        <v>3</v>
      </c>
      <c r="AZ51" s="14">
        <v>3</v>
      </c>
      <c r="BA51" s="14">
        <v>2</v>
      </c>
      <c r="BB51" s="83">
        <f t="shared" si="72"/>
        <v>11</v>
      </c>
      <c r="BC51" s="108">
        <f t="shared" si="73"/>
        <v>55</v>
      </c>
      <c r="BD51" s="114">
        <v>45264</v>
      </c>
      <c r="BE51" s="114"/>
    </row>
    <row r="52" spans="1:58" x14ac:dyDescent="0.15">
      <c r="A52" s="102" t="s">
        <v>43</v>
      </c>
      <c r="B52" s="15">
        <v>1</v>
      </c>
      <c r="C52" s="16"/>
      <c r="D52" s="17"/>
      <c r="E52" s="17"/>
      <c r="F52" s="85">
        <f t="shared" si="62"/>
        <v>1</v>
      </c>
      <c r="G52" s="15">
        <v>1</v>
      </c>
      <c r="H52" s="16"/>
      <c r="I52" s="17"/>
      <c r="J52" s="17"/>
      <c r="K52" s="85">
        <f t="shared" si="63"/>
        <v>1</v>
      </c>
      <c r="L52" s="15"/>
      <c r="M52" s="16">
        <v>1</v>
      </c>
      <c r="N52" s="17"/>
      <c r="O52" s="17"/>
      <c r="P52" s="85">
        <f t="shared" si="64"/>
        <v>1</v>
      </c>
      <c r="Q52" s="15"/>
      <c r="R52" s="16">
        <v>1</v>
      </c>
      <c r="S52" s="17"/>
      <c r="T52" s="17"/>
      <c r="U52" s="85">
        <f t="shared" si="65"/>
        <v>1</v>
      </c>
      <c r="V52" s="15">
        <v>1</v>
      </c>
      <c r="W52" s="16">
        <v>1</v>
      </c>
      <c r="X52" s="17"/>
      <c r="Y52" s="17"/>
      <c r="Z52" s="85">
        <f t="shared" si="66"/>
        <v>2</v>
      </c>
      <c r="AA52" s="105">
        <f t="shared" si="67"/>
        <v>6</v>
      </c>
      <c r="AB52" s="115">
        <v>45243</v>
      </c>
      <c r="AC52" s="53" t="s">
        <v>108</v>
      </c>
      <c r="AD52" s="15"/>
      <c r="AE52" s="16"/>
      <c r="AF52" s="17"/>
      <c r="AG52" s="17">
        <v>2</v>
      </c>
      <c r="AH52" s="85">
        <f t="shared" si="68"/>
        <v>2</v>
      </c>
      <c r="AI52" s="15"/>
      <c r="AJ52" s="16"/>
      <c r="AK52" s="17"/>
      <c r="AL52" s="17">
        <v>2</v>
      </c>
      <c r="AM52" s="85">
        <f t="shared" si="69"/>
        <v>2</v>
      </c>
      <c r="AN52" s="15"/>
      <c r="AO52" s="16"/>
      <c r="AP52" s="17"/>
      <c r="AQ52" s="17">
        <v>2</v>
      </c>
      <c r="AR52" s="85">
        <f t="shared" si="70"/>
        <v>2</v>
      </c>
      <c r="AS52" s="15"/>
      <c r="AT52" s="16"/>
      <c r="AU52" s="17"/>
      <c r="AV52" s="17">
        <v>2</v>
      </c>
      <c r="AW52" s="85">
        <f t="shared" si="71"/>
        <v>2</v>
      </c>
      <c r="AX52" s="15"/>
      <c r="AY52" s="16"/>
      <c r="AZ52" s="17"/>
      <c r="BA52" s="17">
        <v>2</v>
      </c>
      <c r="BB52" s="85">
        <f t="shared" si="72"/>
        <v>2</v>
      </c>
      <c r="BC52" s="105">
        <f t="shared" si="73"/>
        <v>10</v>
      </c>
      <c r="BD52" s="114">
        <v>45274</v>
      </c>
      <c r="BE52" s="114"/>
    </row>
    <row r="53" spans="1:58" x14ac:dyDescent="0.15">
      <c r="A53" s="102" t="s">
        <v>43</v>
      </c>
      <c r="B53" s="15">
        <v>1</v>
      </c>
      <c r="C53" s="16"/>
      <c r="D53" s="17"/>
      <c r="E53" s="17"/>
      <c r="F53" s="85">
        <f t="shared" si="62"/>
        <v>1</v>
      </c>
      <c r="G53" s="15">
        <v>1</v>
      </c>
      <c r="H53" s="16"/>
      <c r="I53" s="17"/>
      <c r="J53" s="17"/>
      <c r="K53" s="85">
        <f t="shared" si="63"/>
        <v>1</v>
      </c>
      <c r="L53" s="15">
        <v>1</v>
      </c>
      <c r="M53" s="16"/>
      <c r="N53" s="17"/>
      <c r="O53" s="17"/>
      <c r="P53" s="85">
        <f t="shared" si="64"/>
        <v>1</v>
      </c>
      <c r="Q53" s="15">
        <v>1</v>
      </c>
      <c r="R53" s="16"/>
      <c r="S53" s="17"/>
      <c r="T53" s="17"/>
      <c r="U53" s="85">
        <f t="shared" si="65"/>
        <v>1</v>
      </c>
      <c r="V53" s="15">
        <v>1</v>
      </c>
      <c r="W53" s="16"/>
      <c r="X53" s="17"/>
      <c r="Y53" s="17"/>
      <c r="Z53" s="85">
        <f t="shared" si="66"/>
        <v>1</v>
      </c>
      <c r="AA53" s="105">
        <f t="shared" si="67"/>
        <v>5</v>
      </c>
      <c r="AB53" s="115">
        <v>45245</v>
      </c>
      <c r="AC53" s="54" t="s">
        <v>109</v>
      </c>
      <c r="AD53" s="15"/>
      <c r="AE53" s="16"/>
      <c r="AF53" s="17"/>
      <c r="AG53" s="17"/>
      <c r="AH53" s="85">
        <f t="shared" si="68"/>
        <v>0</v>
      </c>
      <c r="AI53" s="15">
        <v>4</v>
      </c>
      <c r="AJ53" s="16"/>
      <c r="AK53" s="17"/>
      <c r="AL53" s="17"/>
      <c r="AM53" s="85">
        <f t="shared" si="69"/>
        <v>4</v>
      </c>
      <c r="AN53" s="15"/>
      <c r="AO53" s="16"/>
      <c r="AP53" s="17"/>
      <c r="AQ53" s="17"/>
      <c r="AR53" s="85">
        <f t="shared" si="70"/>
        <v>0</v>
      </c>
      <c r="AS53" s="15">
        <v>1</v>
      </c>
      <c r="AT53" s="16">
        <v>2</v>
      </c>
      <c r="AU53" s="17">
        <v>1</v>
      </c>
      <c r="AV53" s="17"/>
      <c r="AW53" s="85">
        <f t="shared" si="71"/>
        <v>4</v>
      </c>
      <c r="AX53" s="15"/>
      <c r="AY53" s="16">
        <v>4</v>
      </c>
      <c r="AZ53" s="17">
        <v>3</v>
      </c>
      <c r="BA53" s="17"/>
      <c r="BB53" s="85">
        <f t="shared" si="72"/>
        <v>7</v>
      </c>
      <c r="BC53" s="105">
        <f t="shared" si="73"/>
        <v>15</v>
      </c>
      <c r="BD53" s="114">
        <v>45275</v>
      </c>
      <c r="BE53" s="114"/>
    </row>
    <row r="54" spans="1:58" x14ac:dyDescent="0.15">
      <c r="A54" s="102" t="s">
        <v>43</v>
      </c>
      <c r="B54" s="15"/>
      <c r="C54" s="16"/>
      <c r="D54" s="17"/>
      <c r="E54" s="17"/>
      <c r="F54" s="85">
        <f t="shared" si="62"/>
        <v>0</v>
      </c>
      <c r="G54" s="15"/>
      <c r="H54" s="16"/>
      <c r="I54" s="17"/>
      <c r="J54" s="17"/>
      <c r="K54" s="85">
        <f t="shared" si="63"/>
        <v>0</v>
      </c>
      <c r="L54" s="15"/>
      <c r="M54" s="16">
        <v>1</v>
      </c>
      <c r="N54" s="17"/>
      <c r="O54" s="17"/>
      <c r="P54" s="85">
        <f t="shared" si="64"/>
        <v>1</v>
      </c>
      <c r="Q54" s="15"/>
      <c r="R54" s="16">
        <v>1</v>
      </c>
      <c r="S54" s="17"/>
      <c r="T54" s="17"/>
      <c r="U54" s="85">
        <f t="shared" si="65"/>
        <v>1</v>
      </c>
      <c r="V54" s="15"/>
      <c r="W54" s="16">
        <v>1</v>
      </c>
      <c r="X54" s="17"/>
      <c r="Y54" s="17"/>
      <c r="Z54" s="85">
        <f t="shared" si="66"/>
        <v>1</v>
      </c>
      <c r="AA54" s="105">
        <f t="shared" si="67"/>
        <v>3</v>
      </c>
      <c r="AB54" s="115">
        <v>45247</v>
      </c>
      <c r="AC54" s="23" t="s">
        <v>35</v>
      </c>
      <c r="AD54" s="15">
        <v>5</v>
      </c>
      <c r="AE54" s="16">
        <v>5</v>
      </c>
      <c r="AF54" s="17"/>
      <c r="AG54" s="17"/>
      <c r="AH54" s="85">
        <f t="shared" si="68"/>
        <v>10</v>
      </c>
      <c r="AI54" s="15">
        <v>5</v>
      </c>
      <c r="AJ54" s="16">
        <v>5</v>
      </c>
      <c r="AK54" s="17"/>
      <c r="AL54" s="17"/>
      <c r="AM54" s="85">
        <f t="shared" si="69"/>
        <v>10</v>
      </c>
      <c r="AN54" s="15">
        <v>5</v>
      </c>
      <c r="AO54" s="16">
        <v>5</v>
      </c>
      <c r="AP54" s="17"/>
      <c r="AQ54" s="17"/>
      <c r="AR54" s="85">
        <f t="shared" si="70"/>
        <v>10</v>
      </c>
      <c r="AS54" s="15">
        <v>5</v>
      </c>
      <c r="AT54" s="16"/>
      <c r="AU54" s="17"/>
      <c r="AV54" s="17"/>
      <c r="AW54" s="85">
        <f t="shared" si="71"/>
        <v>5</v>
      </c>
      <c r="AX54" s="15">
        <v>5</v>
      </c>
      <c r="AY54" s="16">
        <v>5</v>
      </c>
      <c r="AZ54" s="17"/>
      <c r="BA54" s="17"/>
      <c r="BB54" s="85">
        <f t="shared" si="72"/>
        <v>10</v>
      </c>
      <c r="BC54" s="105">
        <f t="shared" si="73"/>
        <v>45</v>
      </c>
      <c r="BD54" s="114">
        <v>45279</v>
      </c>
      <c r="BE54" s="114"/>
      <c r="BF54" s="25"/>
    </row>
    <row r="55" spans="1:58" x14ac:dyDescent="0.15">
      <c r="A55" s="23" t="s">
        <v>96</v>
      </c>
      <c r="B55" s="15"/>
      <c r="C55" s="16">
        <v>1</v>
      </c>
      <c r="D55" s="17"/>
      <c r="E55" s="17"/>
      <c r="F55" s="85">
        <f t="shared" si="62"/>
        <v>1</v>
      </c>
      <c r="G55" s="15">
        <v>1</v>
      </c>
      <c r="H55" s="16"/>
      <c r="I55" s="17"/>
      <c r="J55" s="17"/>
      <c r="K55" s="85">
        <f t="shared" si="63"/>
        <v>1</v>
      </c>
      <c r="L55" s="15"/>
      <c r="M55" s="16"/>
      <c r="N55" s="17">
        <v>1</v>
      </c>
      <c r="O55" s="17"/>
      <c r="P55" s="85">
        <f t="shared" si="64"/>
        <v>1</v>
      </c>
      <c r="Q55" s="15">
        <v>1</v>
      </c>
      <c r="R55" s="16"/>
      <c r="S55" s="17"/>
      <c r="T55" s="17"/>
      <c r="U55" s="85">
        <f t="shared" si="65"/>
        <v>1</v>
      </c>
      <c r="V55" s="15"/>
      <c r="W55" s="16">
        <v>1</v>
      </c>
      <c r="X55" s="17"/>
      <c r="Y55" s="17"/>
      <c r="Z55" s="85">
        <f t="shared" si="66"/>
        <v>1</v>
      </c>
      <c r="AA55" s="105">
        <f t="shared" si="67"/>
        <v>5</v>
      </c>
      <c r="AB55" s="115">
        <v>45251</v>
      </c>
      <c r="AC55" s="54" t="s">
        <v>115</v>
      </c>
      <c r="AD55" s="15"/>
      <c r="AE55" s="16"/>
      <c r="AF55" s="17"/>
      <c r="AG55" s="17"/>
      <c r="AH55" s="85">
        <f t="shared" si="68"/>
        <v>0</v>
      </c>
      <c r="AI55" s="15"/>
      <c r="AJ55" s="16"/>
      <c r="AK55" s="17"/>
      <c r="AL55" s="17"/>
      <c r="AM55" s="85">
        <f t="shared" si="69"/>
        <v>0</v>
      </c>
      <c r="AN55" s="15"/>
      <c r="AO55" s="16">
        <v>8</v>
      </c>
      <c r="AP55" s="17"/>
      <c r="AQ55" s="17"/>
      <c r="AR55" s="85">
        <f t="shared" si="70"/>
        <v>8</v>
      </c>
      <c r="AS55" s="15"/>
      <c r="AT55" s="16">
        <v>1</v>
      </c>
      <c r="AU55" s="17">
        <v>1</v>
      </c>
      <c r="AV55" s="17"/>
      <c r="AW55" s="85">
        <f t="shared" si="71"/>
        <v>2</v>
      </c>
      <c r="AX55" s="15"/>
      <c r="AY55" s="16"/>
      <c r="AZ55" s="17">
        <v>4</v>
      </c>
      <c r="BA55" s="17">
        <v>4</v>
      </c>
      <c r="BB55" s="85">
        <f t="shared" si="72"/>
        <v>8</v>
      </c>
      <c r="BC55" s="105">
        <f t="shared" si="73"/>
        <v>18</v>
      </c>
      <c r="BD55" s="114">
        <v>45282</v>
      </c>
      <c r="BE55" s="114"/>
      <c r="BF55" s="25"/>
    </row>
    <row r="56" spans="1:58" x14ac:dyDescent="0.15">
      <c r="A56" s="102" t="s">
        <v>43</v>
      </c>
      <c r="B56" s="15">
        <v>1</v>
      </c>
      <c r="C56" s="16"/>
      <c r="D56" s="17"/>
      <c r="E56" s="17"/>
      <c r="F56" s="85">
        <f t="shared" si="62"/>
        <v>1</v>
      </c>
      <c r="G56" s="15">
        <v>1</v>
      </c>
      <c r="H56" s="16"/>
      <c r="I56" s="17"/>
      <c r="J56" s="17"/>
      <c r="K56" s="85">
        <f t="shared" si="63"/>
        <v>1</v>
      </c>
      <c r="L56" s="15">
        <v>1</v>
      </c>
      <c r="M56" s="16"/>
      <c r="N56" s="17"/>
      <c r="O56" s="17"/>
      <c r="P56" s="85">
        <f t="shared" si="64"/>
        <v>1</v>
      </c>
      <c r="Q56" s="15">
        <v>1</v>
      </c>
      <c r="R56" s="16"/>
      <c r="S56" s="17"/>
      <c r="T56" s="17"/>
      <c r="U56" s="85">
        <f t="shared" si="65"/>
        <v>1</v>
      </c>
      <c r="V56" s="15">
        <v>1</v>
      </c>
      <c r="W56" s="16"/>
      <c r="X56" s="17"/>
      <c r="Y56" s="17"/>
      <c r="Z56" s="85">
        <f t="shared" si="66"/>
        <v>1</v>
      </c>
      <c r="AA56" s="105">
        <f t="shared" si="67"/>
        <v>5</v>
      </c>
      <c r="AB56" s="115">
        <v>45254</v>
      </c>
      <c r="AC56" s="102" t="s">
        <v>117</v>
      </c>
      <c r="AD56" s="15">
        <v>120</v>
      </c>
      <c r="AE56" s="16">
        <v>70</v>
      </c>
      <c r="AF56" s="17"/>
      <c r="AG56" s="17"/>
      <c r="AH56" s="85">
        <f t="shared" si="68"/>
        <v>190</v>
      </c>
      <c r="AI56" s="15">
        <v>120</v>
      </c>
      <c r="AJ56" s="16">
        <v>70</v>
      </c>
      <c r="AK56" s="17"/>
      <c r="AL56" s="17"/>
      <c r="AM56" s="85">
        <f t="shared" si="69"/>
        <v>190</v>
      </c>
      <c r="AN56" s="15"/>
      <c r="AO56" s="16"/>
      <c r="AP56" s="17"/>
      <c r="AQ56" s="17"/>
      <c r="AR56" s="85">
        <f t="shared" si="70"/>
        <v>0</v>
      </c>
      <c r="AS56" s="15">
        <v>120</v>
      </c>
      <c r="AT56" s="16">
        <v>70</v>
      </c>
      <c r="AU56" s="17"/>
      <c r="AV56" s="17"/>
      <c r="AW56" s="85">
        <f t="shared" si="71"/>
        <v>190</v>
      </c>
      <c r="AX56" s="15"/>
      <c r="AY56" s="16"/>
      <c r="AZ56" s="17"/>
      <c r="BA56" s="17"/>
      <c r="BB56" s="85">
        <f t="shared" si="72"/>
        <v>0</v>
      </c>
      <c r="BC56" s="105">
        <f t="shared" si="73"/>
        <v>570</v>
      </c>
      <c r="BD56" s="114">
        <v>45282</v>
      </c>
      <c r="BE56" s="114"/>
    </row>
    <row r="57" spans="1:58" x14ac:dyDescent="0.15">
      <c r="A57" s="102" t="s">
        <v>43</v>
      </c>
      <c r="B57" s="15"/>
      <c r="C57" s="16">
        <v>3</v>
      </c>
      <c r="D57" s="17"/>
      <c r="E57" s="17"/>
      <c r="F57" s="85">
        <f t="shared" si="62"/>
        <v>3</v>
      </c>
      <c r="G57" s="15"/>
      <c r="H57" s="16">
        <v>3</v>
      </c>
      <c r="I57" s="17"/>
      <c r="J57" s="17"/>
      <c r="K57" s="85">
        <f t="shared" si="63"/>
        <v>3</v>
      </c>
      <c r="L57" s="15"/>
      <c r="M57" s="16"/>
      <c r="N57" s="17"/>
      <c r="O57" s="17"/>
      <c r="P57" s="85">
        <f t="shared" si="64"/>
        <v>0</v>
      </c>
      <c r="Q57" s="15"/>
      <c r="R57" s="16">
        <v>1</v>
      </c>
      <c r="S57" s="17"/>
      <c r="T57" s="17"/>
      <c r="U57" s="85">
        <f t="shared" si="65"/>
        <v>1</v>
      </c>
      <c r="V57" s="15"/>
      <c r="W57" s="16">
        <v>4</v>
      </c>
      <c r="X57" s="17"/>
      <c r="Y57" s="17"/>
      <c r="Z57" s="85">
        <f t="shared" si="66"/>
        <v>4</v>
      </c>
      <c r="AA57" s="105">
        <f t="shared" si="67"/>
        <v>11</v>
      </c>
      <c r="AB57" s="115">
        <v>45258</v>
      </c>
      <c r="AC57" s="53" t="s">
        <v>118</v>
      </c>
      <c r="AD57" s="15"/>
      <c r="AE57" s="16">
        <v>5</v>
      </c>
      <c r="AF57" s="17"/>
      <c r="AG57" s="17"/>
      <c r="AH57" s="85">
        <f t="shared" si="68"/>
        <v>5</v>
      </c>
      <c r="AI57" s="15"/>
      <c r="AJ57" s="16">
        <v>5</v>
      </c>
      <c r="AK57" s="17"/>
      <c r="AL57" s="17"/>
      <c r="AM57" s="85">
        <f t="shared" si="69"/>
        <v>5</v>
      </c>
      <c r="AN57" s="15"/>
      <c r="AO57" s="16">
        <v>5</v>
      </c>
      <c r="AP57" s="17"/>
      <c r="AQ57" s="17"/>
      <c r="AR57" s="85">
        <f t="shared" si="70"/>
        <v>5</v>
      </c>
      <c r="AS57" s="15"/>
      <c r="AT57" s="16">
        <v>5</v>
      </c>
      <c r="AU57" s="17"/>
      <c r="AV57" s="17"/>
      <c r="AW57" s="85">
        <f t="shared" si="71"/>
        <v>5</v>
      </c>
      <c r="AX57" s="15"/>
      <c r="AY57" s="16">
        <v>5</v>
      </c>
      <c r="AZ57" s="17"/>
      <c r="BA57" s="17"/>
      <c r="BB57" s="85">
        <f t="shared" si="72"/>
        <v>5</v>
      </c>
      <c r="BC57" s="105">
        <f t="shared" si="73"/>
        <v>25</v>
      </c>
      <c r="BD57" s="114">
        <v>45285</v>
      </c>
      <c r="BE57" s="114"/>
    </row>
    <row r="58" spans="1:58" x14ac:dyDescent="0.15">
      <c r="A58" s="23" t="s">
        <v>98</v>
      </c>
      <c r="B58" s="15"/>
      <c r="C58" s="16"/>
      <c r="D58" s="17"/>
      <c r="E58" s="17"/>
      <c r="F58" s="85">
        <f t="shared" si="62"/>
        <v>0</v>
      </c>
      <c r="G58" s="15"/>
      <c r="H58" s="16"/>
      <c r="I58" s="17"/>
      <c r="J58" s="17"/>
      <c r="K58" s="85">
        <f t="shared" si="63"/>
        <v>0</v>
      </c>
      <c r="L58" s="15"/>
      <c r="M58" s="16">
        <v>1</v>
      </c>
      <c r="N58" s="17"/>
      <c r="O58" s="17"/>
      <c r="P58" s="85">
        <f t="shared" si="64"/>
        <v>1</v>
      </c>
      <c r="Q58" s="15"/>
      <c r="R58" s="16"/>
      <c r="S58" s="17"/>
      <c r="T58" s="17"/>
      <c r="U58" s="85">
        <f t="shared" si="65"/>
        <v>0</v>
      </c>
      <c r="V58" s="15"/>
      <c r="W58" s="16"/>
      <c r="X58" s="17"/>
      <c r="Y58" s="17"/>
      <c r="Z58" s="85">
        <f t="shared" si="66"/>
        <v>0</v>
      </c>
      <c r="AA58" s="105">
        <f t="shared" si="67"/>
        <v>1</v>
      </c>
      <c r="AB58" s="115">
        <v>45264</v>
      </c>
      <c r="AC58" s="53" t="s">
        <v>119</v>
      </c>
      <c r="AD58" s="15">
        <v>2</v>
      </c>
      <c r="AE58" s="16">
        <v>2</v>
      </c>
      <c r="AF58" s="17">
        <v>2</v>
      </c>
      <c r="AG58" s="17"/>
      <c r="AH58" s="85">
        <f t="shared" si="68"/>
        <v>6</v>
      </c>
      <c r="AI58" s="15">
        <v>2</v>
      </c>
      <c r="AJ58" s="16">
        <v>2</v>
      </c>
      <c r="AK58" s="17">
        <v>2</v>
      </c>
      <c r="AL58" s="17"/>
      <c r="AM58" s="85">
        <f t="shared" si="69"/>
        <v>6</v>
      </c>
      <c r="AN58" s="15">
        <v>2</v>
      </c>
      <c r="AO58" s="16">
        <v>2</v>
      </c>
      <c r="AP58" s="17">
        <v>2</v>
      </c>
      <c r="AQ58" s="17"/>
      <c r="AR58" s="85">
        <f t="shared" si="70"/>
        <v>6</v>
      </c>
      <c r="AS58" s="15">
        <v>2</v>
      </c>
      <c r="AT58" s="16">
        <v>2</v>
      </c>
      <c r="AU58" s="17">
        <v>2</v>
      </c>
      <c r="AV58" s="17"/>
      <c r="AW58" s="85">
        <f t="shared" si="71"/>
        <v>6</v>
      </c>
      <c r="AX58" s="15">
        <v>2</v>
      </c>
      <c r="AY58" s="16">
        <v>2</v>
      </c>
      <c r="AZ58" s="17">
        <v>2</v>
      </c>
      <c r="BA58" s="17"/>
      <c r="BB58" s="85">
        <f t="shared" si="72"/>
        <v>6</v>
      </c>
      <c r="BC58" s="105">
        <f t="shared" si="73"/>
        <v>30</v>
      </c>
      <c r="BD58" s="114">
        <v>45301</v>
      </c>
      <c r="BE58" s="114"/>
    </row>
    <row r="59" spans="1:58" x14ac:dyDescent="0.15">
      <c r="A59" s="102" t="s">
        <v>43</v>
      </c>
      <c r="B59" s="15"/>
      <c r="C59" s="16">
        <v>1</v>
      </c>
      <c r="D59" s="17"/>
      <c r="E59" s="17"/>
      <c r="F59" s="85">
        <f t="shared" si="62"/>
        <v>1</v>
      </c>
      <c r="G59" s="15"/>
      <c r="H59" s="16">
        <v>1</v>
      </c>
      <c r="I59" s="17"/>
      <c r="J59" s="17"/>
      <c r="K59" s="85">
        <f t="shared" si="63"/>
        <v>1</v>
      </c>
      <c r="L59" s="15"/>
      <c r="M59" s="16"/>
      <c r="N59" s="17"/>
      <c r="O59" s="17"/>
      <c r="P59" s="85">
        <f t="shared" si="64"/>
        <v>0</v>
      </c>
      <c r="Q59" s="15"/>
      <c r="R59" s="16"/>
      <c r="S59" s="17"/>
      <c r="T59" s="17"/>
      <c r="U59" s="85">
        <f t="shared" si="65"/>
        <v>0</v>
      </c>
      <c r="V59" s="15"/>
      <c r="W59" s="16">
        <v>1</v>
      </c>
      <c r="X59" s="17"/>
      <c r="Y59" s="17"/>
      <c r="Z59" s="85">
        <f t="shared" si="66"/>
        <v>1</v>
      </c>
      <c r="AA59" s="105">
        <f t="shared" si="67"/>
        <v>3</v>
      </c>
      <c r="AB59" s="115">
        <v>45265</v>
      </c>
      <c r="AC59" s="54" t="s">
        <v>123</v>
      </c>
      <c r="AD59" s="15">
        <v>2</v>
      </c>
      <c r="AE59" s="16">
        <v>1</v>
      </c>
      <c r="AF59" s="17">
        <v>1</v>
      </c>
      <c r="AG59" s="17">
        <v>1</v>
      </c>
      <c r="AH59" s="85">
        <f t="shared" si="68"/>
        <v>5</v>
      </c>
      <c r="AI59" s="15">
        <v>3</v>
      </c>
      <c r="AJ59" s="16">
        <v>1</v>
      </c>
      <c r="AK59" s="17">
        <v>1</v>
      </c>
      <c r="AL59" s="17">
        <v>2</v>
      </c>
      <c r="AM59" s="85">
        <f t="shared" si="69"/>
        <v>7</v>
      </c>
      <c r="AN59" s="15">
        <v>3</v>
      </c>
      <c r="AO59" s="16"/>
      <c r="AP59" s="17">
        <v>1</v>
      </c>
      <c r="AQ59" s="17">
        <v>3</v>
      </c>
      <c r="AR59" s="85">
        <f t="shared" si="70"/>
        <v>7</v>
      </c>
      <c r="AS59" s="15">
        <v>2</v>
      </c>
      <c r="AT59" s="16">
        <v>2</v>
      </c>
      <c r="AU59" s="17">
        <v>4</v>
      </c>
      <c r="AV59" s="17">
        <v>4</v>
      </c>
      <c r="AW59" s="85">
        <f t="shared" si="71"/>
        <v>12</v>
      </c>
      <c r="AX59" s="15"/>
      <c r="AY59" s="16">
        <v>2</v>
      </c>
      <c r="AZ59" s="17">
        <v>1</v>
      </c>
      <c r="BA59" s="17">
        <v>4</v>
      </c>
      <c r="BB59" s="85">
        <f t="shared" si="72"/>
        <v>7</v>
      </c>
      <c r="BC59" s="105">
        <f t="shared" si="73"/>
        <v>38</v>
      </c>
      <c r="BD59" s="114">
        <v>45306</v>
      </c>
      <c r="BE59" s="114"/>
    </row>
    <row r="60" spans="1:58" x14ac:dyDescent="0.15">
      <c r="A60" s="23" t="s">
        <v>96</v>
      </c>
      <c r="B60" s="18">
        <v>1</v>
      </c>
      <c r="C60" s="19">
        <v>1</v>
      </c>
      <c r="D60" s="20"/>
      <c r="E60" s="20"/>
      <c r="F60" s="85">
        <f t="shared" si="62"/>
        <v>2</v>
      </c>
      <c r="G60" s="18">
        <v>1</v>
      </c>
      <c r="H60" s="19">
        <v>1</v>
      </c>
      <c r="I60" s="20"/>
      <c r="J60" s="20"/>
      <c r="K60" s="85">
        <f t="shared" si="63"/>
        <v>2</v>
      </c>
      <c r="L60" s="18">
        <v>1</v>
      </c>
      <c r="M60" s="19">
        <v>1</v>
      </c>
      <c r="N60" s="20"/>
      <c r="O60" s="20"/>
      <c r="P60" s="85">
        <f t="shared" si="64"/>
        <v>2</v>
      </c>
      <c r="Q60" s="18">
        <v>1</v>
      </c>
      <c r="R60" s="19">
        <v>1</v>
      </c>
      <c r="S60" s="20"/>
      <c r="T60" s="20"/>
      <c r="U60" s="85">
        <f t="shared" si="65"/>
        <v>2</v>
      </c>
      <c r="V60" s="18">
        <v>1</v>
      </c>
      <c r="W60" s="19">
        <v>1</v>
      </c>
      <c r="X60" s="20"/>
      <c r="Y60" s="20"/>
      <c r="Z60" s="85">
        <f t="shared" si="66"/>
        <v>2</v>
      </c>
      <c r="AA60" s="105">
        <f t="shared" si="67"/>
        <v>10</v>
      </c>
      <c r="AB60" s="114">
        <v>45272</v>
      </c>
      <c r="AC60" s="23" t="s">
        <v>35</v>
      </c>
      <c r="AD60" s="18">
        <v>5</v>
      </c>
      <c r="AE60" s="19"/>
      <c r="AF60" s="20"/>
      <c r="AG60" s="20"/>
      <c r="AH60" s="85">
        <f t="shared" si="68"/>
        <v>5</v>
      </c>
      <c r="AI60" s="18">
        <v>5</v>
      </c>
      <c r="AJ60" s="19"/>
      <c r="AK60" s="20"/>
      <c r="AL60" s="20"/>
      <c r="AM60" s="85">
        <f t="shared" si="69"/>
        <v>5</v>
      </c>
      <c r="AN60" s="18">
        <v>5</v>
      </c>
      <c r="AO60" s="19"/>
      <c r="AP60" s="20"/>
      <c r="AQ60" s="20"/>
      <c r="AR60" s="85">
        <f t="shared" si="70"/>
        <v>5</v>
      </c>
      <c r="AS60" s="18">
        <v>5</v>
      </c>
      <c r="AT60" s="19"/>
      <c r="AU60" s="20"/>
      <c r="AV60" s="20"/>
      <c r="AW60" s="85">
        <f t="shared" si="71"/>
        <v>5</v>
      </c>
      <c r="AX60" s="18">
        <v>5</v>
      </c>
      <c r="AY60" s="19">
        <v>5</v>
      </c>
      <c r="AZ60" s="20">
        <v>5</v>
      </c>
      <c r="BA60" s="20">
        <v>5</v>
      </c>
      <c r="BB60" s="85">
        <f t="shared" si="72"/>
        <v>20</v>
      </c>
      <c r="BC60" s="105">
        <f t="shared" si="73"/>
        <v>40</v>
      </c>
      <c r="BD60" s="114">
        <v>45307</v>
      </c>
      <c r="BE60" s="114"/>
    </row>
    <row r="61" spans="1:58" x14ac:dyDescent="0.15">
      <c r="A61" s="23" t="s">
        <v>111</v>
      </c>
      <c r="B61" s="15">
        <v>1</v>
      </c>
      <c r="C61" s="16"/>
      <c r="D61" s="17"/>
      <c r="E61" s="17"/>
      <c r="F61" s="85">
        <f t="shared" si="62"/>
        <v>1</v>
      </c>
      <c r="G61" s="15">
        <v>1</v>
      </c>
      <c r="H61" s="16"/>
      <c r="I61" s="17"/>
      <c r="J61" s="17"/>
      <c r="K61" s="85">
        <f t="shared" si="63"/>
        <v>1</v>
      </c>
      <c r="L61" s="15">
        <v>1</v>
      </c>
      <c r="M61" s="16"/>
      <c r="N61" s="17"/>
      <c r="O61" s="17"/>
      <c r="P61" s="85">
        <f t="shared" si="64"/>
        <v>1</v>
      </c>
      <c r="Q61" s="15">
        <v>1</v>
      </c>
      <c r="R61" s="16"/>
      <c r="S61" s="17"/>
      <c r="T61" s="17"/>
      <c r="U61" s="85">
        <f t="shared" si="65"/>
        <v>1</v>
      </c>
      <c r="V61" s="15">
        <v>1</v>
      </c>
      <c r="W61" s="16"/>
      <c r="X61" s="17"/>
      <c r="Y61" s="17"/>
      <c r="Z61" s="85">
        <f t="shared" si="66"/>
        <v>1</v>
      </c>
      <c r="AA61" s="105">
        <f t="shared" si="67"/>
        <v>5</v>
      </c>
      <c r="AB61" s="115">
        <v>45276</v>
      </c>
      <c r="AC61" s="53" t="s">
        <v>140</v>
      </c>
      <c r="AD61" s="15">
        <v>3</v>
      </c>
      <c r="AE61" s="16"/>
      <c r="AF61" s="17">
        <v>2</v>
      </c>
      <c r="AG61" s="17">
        <v>1</v>
      </c>
      <c r="AH61" s="85">
        <f t="shared" si="68"/>
        <v>6</v>
      </c>
      <c r="AI61" s="15">
        <v>3</v>
      </c>
      <c r="AJ61" s="16"/>
      <c r="AK61" s="17">
        <v>2</v>
      </c>
      <c r="AL61" s="17">
        <v>1</v>
      </c>
      <c r="AM61" s="85">
        <f t="shared" si="69"/>
        <v>6</v>
      </c>
      <c r="AN61" s="15">
        <v>3</v>
      </c>
      <c r="AO61" s="16"/>
      <c r="AP61" s="17">
        <v>2</v>
      </c>
      <c r="AQ61" s="17">
        <v>1</v>
      </c>
      <c r="AR61" s="85">
        <f t="shared" si="70"/>
        <v>6</v>
      </c>
      <c r="AS61" s="15">
        <v>3</v>
      </c>
      <c r="AT61" s="16"/>
      <c r="AU61" s="17">
        <v>2</v>
      </c>
      <c r="AV61" s="17">
        <v>1</v>
      </c>
      <c r="AW61" s="85">
        <f t="shared" si="71"/>
        <v>6</v>
      </c>
      <c r="AX61" s="15">
        <v>3</v>
      </c>
      <c r="AY61" s="16"/>
      <c r="AZ61" s="17">
        <v>2</v>
      </c>
      <c r="BA61" s="17">
        <v>1</v>
      </c>
      <c r="BB61" s="85">
        <f t="shared" si="72"/>
        <v>6</v>
      </c>
      <c r="BC61" s="105">
        <f t="shared" si="73"/>
        <v>30</v>
      </c>
      <c r="BD61" s="114">
        <v>45314</v>
      </c>
      <c r="BE61" s="114"/>
      <c r="BF61" s="25"/>
    </row>
    <row r="62" spans="1:58" x14ac:dyDescent="0.15">
      <c r="A62" s="23" t="s">
        <v>112</v>
      </c>
      <c r="B62" s="15"/>
      <c r="C62" s="16">
        <v>1</v>
      </c>
      <c r="D62" s="17"/>
      <c r="E62" s="17"/>
      <c r="F62" s="85">
        <f t="shared" si="62"/>
        <v>1</v>
      </c>
      <c r="G62" s="15"/>
      <c r="H62" s="16">
        <v>1</v>
      </c>
      <c r="I62" s="17"/>
      <c r="J62" s="17"/>
      <c r="K62" s="85">
        <f t="shared" si="63"/>
        <v>1</v>
      </c>
      <c r="L62" s="15"/>
      <c r="M62" s="16">
        <v>1</v>
      </c>
      <c r="N62" s="17"/>
      <c r="O62" s="17"/>
      <c r="P62" s="85">
        <f t="shared" si="64"/>
        <v>1</v>
      </c>
      <c r="Q62" s="15"/>
      <c r="R62" s="16">
        <v>1</v>
      </c>
      <c r="S62" s="17"/>
      <c r="T62" s="17"/>
      <c r="U62" s="85">
        <f t="shared" si="65"/>
        <v>1</v>
      </c>
      <c r="V62" s="15"/>
      <c r="W62" s="16">
        <v>1</v>
      </c>
      <c r="X62" s="17"/>
      <c r="Y62" s="17"/>
      <c r="Z62" s="85">
        <f t="shared" si="66"/>
        <v>1</v>
      </c>
      <c r="AA62" s="105">
        <f t="shared" si="67"/>
        <v>5</v>
      </c>
      <c r="AB62" s="114">
        <v>45278</v>
      </c>
      <c r="AC62" s="138" t="s">
        <v>141</v>
      </c>
      <c r="AD62" s="15">
        <v>10</v>
      </c>
      <c r="AE62" s="16">
        <v>10</v>
      </c>
      <c r="AF62" s="17">
        <v>10</v>
      </c>
      <c r="AG62" s="17">
        <v>10</v>
      </c>
      <c r="AH62" s="85">
        <f t="shared" si="68"/>
        <v>40</v>
      </c>
      <c r="AI62" s="15">
        <v>10</v>
      </c>
      <c r="AJ62" s="16">
        <v>10</v>
      </c>
      <c r="AK62" s="17">
        <v>10</v>
      </c>
      <c r="AL62" s="17">
        <v>10</v>
      </c>
      <c r="AM62" s="85">
        <f t="shared" si="69"/>
        <v>40</v>
      </c>
      <c r="AN62" s="15"/>
      <c r="AO62" s="16"/>
      <c r="AP62" s="17"/>
      <c r="AQ62" s="17"/>
      <c r="AR62" s="85">
        <f t="shared" si="70"/>
        <v>0</v>
      </c>
      <c r="AS62" s="15"/>
      <c r="AT62" s="16"/>
      <c r="AU62" s="17"/>
      <c r="AV62" s="17"/>
      <c r="AW62" s="85">
        <f t="shared" si="71"/>
        <v>0</v>
      </c>
      <c r="AX62" s="15">
        <v>10</v>
      </c>
      <c r="AY62" s="16">
        <v>10</v>
      </c>
      <c r="AZ62" s="17">
        <v>10</v>
      </c>
      <c r="BA62" s="17">
        <v>10</v>
      </c>
      <c r="BB62" s="85">
        <f t="shared" si="72"/>
        <v>40</v>
      </c>
      <c r="BC62" s="105">
        <f t="shared" si="73"/>
        <v>120</v>
      </c>
      <c r="BD62" s="114">
        <v>45316</v>
      </c>
      <c r="BE62" s="114"/>
    </row>
    <row r="63" spans="1:58" x14ac:dyDescent="0.15">
      <c r="A63" s="23" t="s">
        <v>113</v>
      </c>
      <c r="B63" s="15">
        <v>1</v>
      </c>
      <c r="C63" s="16"/>
      <c r="D63" s="17"/>
      <c r="E63" s="17"/>
      <c r="F63" s="85">
        <f t="shared" si="62"/>
        <v>1</v>
      </c>
      <c r="G63" s="15">
        <v>1</v>
      </c>
      <c r="H63" s="16"/>
      <c r="I63" s="17"/>
      <c r="J63" s="17"/>
      <c r="K63" s="85">
        <f t="shared" si="63"/>
        <v>1</v>
      </c>
      <c r="L63" s="15"/>
      <c r="M63" s="16"/>
      <c r="N63" s="17"/>
      <c r="O63" s="17"/>
      <c r="P63" s="85">
        <f t="shared" si="64"/>
        <v>0</v>
      </c>
      <c r="Q63" s="15"/>
      <c r="R63" s="16"/>
      <c r="S63" s="17"/>
      <c r="T63" s="17"/>
      <c r="U63" s="85">
        <f t="shared" si="65"/>
        <v>0</v>
      </c>
      <c r="V63" s="15">
        <v>1</v>
      </c>
      <c r="W63" s="16"/>
      <c r="X63" s="17"/>
      <c r="Y63" s="17"/>
      <c r="Z63" s="85">
        <f t="shared" si="66"/>
        <v>1</v>
      </c>
      <c r="AA63" s="105">
        <f t="shared" si="67"/>
        <v>3</v>
      </c>
      <c r="AB63" s="115">
        <v>45279</v>
      </c>
      <c r="AC63" s="138" t="s">
        <v>142</v>
      </c>
      <c r="AD63" s="15"/>
      <c r="AE63" s="16"/>
      <c r="AF63" s="17"/>
      <c r="AG63" s="17"/>
      <c r="AH63" s="85">
        <f t="shared" si="68"/>
        <v>0</v>
      </c>
      <c r="AI63" s="15"/>
      <c r="AJ63" s="16"/>
      <c r="AK63" s="17"/>
      <c r="AL63" s="17"/>
      <c r="AM63" s="85">
        <f t="shared" si="69"/>
        <v>0</v>
      </c>
      <c r="AN63" s="15">
        <v>10</v>
      </c>
      <c r="AO63" s="16">
        <v>10</v>
      </c>
      <c r="AP63" s="17">
        <v>10</v>
      </c>
      <c r="AQ63" s="17">
        <v>10</v>
      </c>
      <c r="AR63" s="85">
        <f t="shared" si="70"/>
        <v>40</v>
      </c>
      <c r="AS63" s="15">
        <v>10</v>
      </c>
      <c r="AT63" s="16">
        <v>10</v>
      </c>
      <c r="AU63" s="17">
        <v>10</v>
      </c>
      <c r="AV63" s="17">
        <v>10</v>
      </c>
      <c r="AW63" s="85">
        <f t="shared" si="71"/>
        <v>40</v>
      </c>
      <c r="AX63" s="15">
        <v>10</v>
      </c>
      <c r="AY63" s="16">
        <v>10</v>
      </c>
      <c r="AZ63" s="17">
        <v>10</v>
      </c>
      <c r="BA63" s="17">
        <v>10</v>
      </c>
      <c r="BB63" s="85">
        <f t="shared" si="72"/>
        <v>40</v>
      </c>
      <c r="BC63" s="105">
        <f t="shared" si="73"/>
        <v>120</v>
      </c>
      <c r="BD63" s="114">
        <v>45316</v>
      </c>
      <c r="BE63" s="114"/>
    </row>
    <row r="64" spans="1:58" x14ac:dyDescent="0.15">
      <c r="A64" s="102" t="s">
        <v>43</v>
      </c>
      <c r="B64" s="15"/>
      <c r="C64" s="16"/>
      <c r="D64" s="17"/>
      <c r="E64" s="17"/>
      <c r="F64" s="85">
        <f t="shared" si="62"/>
        <v>0</v>
      </c>
      <c r="G64" s="15"/>
      <c r="H64" s="16"/>
      <c r="I64" s="17"/>
      <c r="J64" s="17"/>
      <c r="K64" s="85">
        <f t="shared" si="63"/>
        <v>0</v>
      </c>
      <c r="L64" s="15">
        <v>1</v>
      </c>
      <c r="M64" s="16"/>
      <c r="N64" s="17"/>
      <c r="O64" s="17"/>
      <c r="P64" s="85">
        <f t="shared" si="64"/>
        <v>1</v>
      </c>
      <c r="Q64" s="15">
        <v>1</v>
      </c>
      <c r="R64" s="16"/>
      <c r="S64" s="17"/>
      <c r="T64" s="17"/>
      <c r="U64" s="85">
        <f t="shared" si="65"/>
        <v>1</v>
      </c>
      <c r="V64" s="15">
        <v>1</v>
      </c>
      <c r="W64" s="16"/>
      <c r="X64" s="17"/>
      <c r="Y64" s="17"/>
      <c r="Z64" s="85">
        <f t="shared" si="66"/>
        <v>1</v>
      </c>
      <c r="AA64" s="105">
        <f t="shared" si="67"/>
        <v>3</v>
      </c>
      <c r="AB64" s="115">
        <v>45276</v>
      </c>
      <c r="AC64" s="23" t="s">
        <v>35</v>
      </c>
      <c r="AD64" s="15"/>
      <c r="AE64" s="16">
        <v>5</v>
      </c>
      <c r="AF64" s="17"/>
      <c r="AG64" s="17"/>
      <c r="AH64" s="85">
        <f t="shared" si="68"/>
        <v>5</v>
      </c>
      <c r="AI64" s="15"/>
      <c r="AJ64" s="16">
        <v>5</v>
      </c>
      <c r="AK64" s="17"/>
      <c r="AL64" s="17"/>
      <c r="AM64" s="85">
        <f t="shared" si="69"/>
        <v>5</v>
      </c>
      <c r="AN64" s="15"/>
      <c r="AO64" s="16">
        <v>5</v>
      </c>
      <c r="AP64" s="17"/>
      <c r="AQ64" s="17"/>
      <c r="AR64" s="85">
        <f t="shared" si="70"/>
        <v>5</v>
      </c>
      <c r="AS64" s="15"/>
      <c r="AT64" s="16"/>
      <c r="AU64" s="17">
        <v>5</v>
      </c>
      <c r="AV64" s="17"/>
      <c r="AW64" s="85">
        <f t="shared" si="71"/>
        <v>5</v>
      </c>
      <c r="AX64" s="15">
        <v>5</v>
      </c>
      <c r="AY64" s="16"/>
      <c r="AZ64" s="17"/>
      <c r="BA64" s="17"/>
      <c r="BB64" s="85">
        <f t="shared" si="72"/>
        <v>5</v>
      </c>
      <c r="BC64" s="105">
        <f t="shared" si="73"/>
        <v>25</v>
      </c>
      <c r="BD64" s="114">
        <v>45320</v>
      </c>
      <c r="BE64" s="114"/>
    </row>
    <row r="65" spans="1:58" x14ac:dyDescent="0.15">
      <c r="A65" s="53" t="s">
        <v>114</v>
      </c>
      <c r="B65" s="15">
        <v>3</v>
      </c>
      <c r="C65" s="16">
        <v>3</v>
      </c>
      <c r="D65" s="17"/>
      <c r="E65" s="17"/>
      <c r="F65" s="85">
        <f t="shared" si="62"/>
        <v>6</v>
      </c>
      <c r="G65" s="15">
        <v>3</v>
      </c>
      <c r="H65" s="16">
        <v>3</v>
      </c>
      <c r="I65" s="17"/>
      <c r="J65" s="17"/>
      <c r="K65" s="85">
        <f t="shared" si="63"/>
        <v>6</v>
      </c>
      <c r="L65" s="15">
        <v>3</v>
      </c>
      <c r="M65" s="16">
        <v>3</v>
      </c>
      <c r="N65" s="17"/>
      <c r="O65" s="17"/>
      <c r="P65" s="85">
        <f t="shared" si="64"/>
        <v>6</v>
      </c>
      <c r="Q65" s="15">
        <v>3</v>
      </c>
      <c r="R65" s="16">
        <v>3</v>
      </c>
      <c r="S65" s="17"/>
      <c r="T65" s="17"/>
      <c r="U65" s="85">
        <f t="shared" si="65"/>
        <v>6</v>
      </c>
      <c r="V65" s="15">
        <v>3</v>
      </c>
      <c r="W65" s="16">
        <v>3</v>
      </c>
      <c r="X65" s="17"/>
      <c r="Y65" s="17"/>
      <c r="Z65" s="85">
        <f t="shared" si="66"/>
        <v>6</v>
      </c>
      <c r="AA65" s="105">
        <f t="shared" si="67"/>
        <v>30</v>
      </c>
      <c r="AB65" s="114">
        <v>45281</v>
      </c>
      <c r="AC65" s="54" t="s">
        <v>147</v>
      </c>
      <c r="AD65" s="15"/>
      <c r="AE65" s="16"/>
      <c r="AF65" s="17"/>
      <c r="AG65" s="17"/>
      <c r="AH65" s="85">
        <f t="shared" si="68"/>
        <v>0</v>
      </c>
      <c r="AI65" s="15"/>
      <c r="AJ65" s="16"/>
      <c r="AK65" s="17"/>
      <c r="AL65" s="17">
        <v>2</v>
      </c>
      <c r="AM65" s="85">
        <f t="shared" si="69"/>
        <v>2</v>
      </c>
      <c r="AN65" s="15"/>
      <c r="AO65" s="16"/>
      <c r="AP65" s="17"/>
      <c r="AQ65" s="17"/>
      <c r="AR65" s="85">
        <f t="shared" si="70"/>
        <v>0</v>
      </c>
      <c r="AS65" s="15"/>
      <c r="AT65" s="16">
        <v>2</v>
      </c>
      <c r="AU65" s="17">
        <v>2</v>
      </c>
      <c r="AV65" s="17"/>
      <c r="AW65" s="85">
        <f t="shared" si="71"/>
        <v>4</v>
      </c>
      <c r="AX65" s="15"/>
      <c r="AY65" s="16"/>
      <c r="AZ65" s="17">
        <v>2</v>
      </c>
      <c r="BA65" s="17"/>
      <c r="BB65" s="85">
        <f t="shared" si="72"/>
        <v>2</v>
      </c>
      <c r="BC65" s="105">
        <f t="shared" si="73"/>
        <v>8</v>
      </c>
      <c r="BD65" s="114">
        <v>45324</v>
      </c>
      <c r="BE65" s="114"/>
    </row>
    <row r="66" spans="1:58" x14ac:dyDescent="0.15">
      <c r="A66" s="23" t="s">
        <v>96</v>
      </c>
      <c r="B66" s="15"/>
      <c r="C66" s="16"/>
      <c r="D66" s="17"/>
      <c r="E66" s="17"/>
      <c r="F66" s="85">
        <f t="shared" si="62"/>
        <v>0</v>
      </c>
      <c r="G66" s="15">
        <v>1</v>
      </c>
      <c r="H66" s="16"/>
      <c r="I66" s="17"/>
      <c r="J66" s="17"/>
      <c r="K66" s="85">
        <f t="shared" si="63"/>
        <v>1</v>
      </c>
      <c r="L66" s="15"/>
      <c r="M66" s="16"/>
      <c r="N66" s="17"/>
      <c r="O66" s="17"/>
      <c r="P66" s="85">
        <f t="shared" si="64"/>
        <v>0</v>
      </c>
      <c r="Q66" s="15"/>
      <c r="R66" s="16"/>
      <c r="S66" s="17"/>
      <c r="T66" s="17"/>
      <c r="U66" s="85">
        <f t="shared" si="65"/>
        <v>0</v>
      </c>
      <c r="V66" s="15"/>
      <c r="W66" s="16"/>
      <c r="X66" s="17"/>
      <c r="Y66" s="17"/>
      <c r="Z66" s="85">
        <f t="shared" si="66"/>
        <v>0</v>
      </c>
      <c r="AA66" s="105">
        <f t="shared" si="67"/>
        <v>1</v>
      </c>
      <c r="AB66" s="114">
        <v>45279</v>
      </c>
      <c r="AC66" s="138" t="s">
        <v>152</v>
      </c>
      <c r="AD66" s="15"/>
      <c r="AE66" s="16">
        <v>20</v>
      </c>
      <c r="AF66" s="17"/>
      <c r="AG66" s="17">
        <v>10</v>
      </c>
      <c r="AH66" s="85">
        <f t="shared" si="68"/>
        <v>30</v>
      </c>
      <c r="AI66" s="15"/>
      <c r="AJ66" s="16">
        <v>20</v>
      </c>
      <c r="AK66" s="17"/>
      <c r="AL66" s="17">
        <v>10</v>
      </c>
      <c r="AM66" s="85">
        <f t="shared" si="69"/>
        <v>30</v>
      </c>
      <c r="AN66" s="15"/>
      <c r="AO66" s="16"/>
      <c r="AP66" s="17"/>
      <c r="AQ66" s="17"/>
      <c r="AR66" s="85">
        <f t="shared" si="70"/>
        <v>0</v>
      </c>
      <c r="AS66" s="15"/>
      <c r="AT66" s="16"/>
      <c r="AU66" s="17"/>
      <c r="AV66" s="17"/>
      <c r="AW66" s="85">
        <f t="shared" si="71"/>
        <v>0</v>
      </c>
      <c r="AX66" s="15"/>
      <c r="AY66" s="16">
        <v>20</v>
      </c>
      <c r="AZ66" s="17"/>
      <c r="BA66" s="17">
        <v>10</v>
      </c>
      <c r="BB66" s="85">
        <f t="shared" si="72"/>
        <v>30</v>
      </c>
      <c r="BC66" s="105">
        <f t="shared" si="73"/>
        <v>90</v>
      </c>
      <c r="BD66" s="114">
        <v>45330</v>
      </c>
      <c r="BE66" s="114"/>
    </row>
    <row r="67" spans="1:58" x14ac:dyDescent="0.15">
      <c r="A67" s="23" t="s">
        <v>116</v>
      </c>
      <c r="B67" s="18"/>
      <c r="C67" s="19"/>
      <c r="D67" s="19"/>
      <c r="E67" s="64"/>
      <c r="F67" s="86">
        <f t="shared" ref="F67" si="90">SUM(B67:E67)</f>
        <v>0</v>
      </c>
      <c r="G67" s="18"/>
      <c r="H67" s="19"/>
      <c r="I67" s="19"/>
      <c r="J67" s="64"/>
      <c r="K67" s="86">
        <f t="shared" ref="K67" si="91">SUM(G67:J67)</f>
        <v>0</v>
      </c>
      <c r="L67" s="18"/>
      <c r="M67" s="19"/>
      <c r="N67" s="19"/>
      <c r="O67" s="64"/>
      <c r="P67" s="86">
        <f t="shared" ref="P67" si="92">SUM(L67:O67)</f>
        <v>0</v>
      </c>
      <c r="Q67" s="18"/>
      <c r="R67" s="19">
        <v>5</v>
      </c>
      <c r="S67" s="19"/>
      <c r="T67" s="64"/>
      <c r="U67" s="86">
        <f t="shared" ref="U67" si="93">SUM(Q67:T67)</f>
        <v>5</v>
      </c>
      <c r="V67" s="18"/>
      <c r="W67" s="19"/>
      <c r="X67" s="19"/>
      <c r="Y67" s="64"/>
      <c r="Z67" s="86">
        <f t="shared" ref="Z67" si="94">SUM(V67:Y67)</f>
        <v>0</v>
      </c>
      <c r="AA67" s="106">
        <f t="shared" ref="AA67" si="95">Z67+U67+P67+K67+F67</f>
        <v>5</v>
      </c>
      <c r="AB67" s="114">
        <v>45279</v>
      </c>
      <c r="AC67" s="138" t="s">
        <v>153</v>
      </c>
      <c r="AD67" s="15"/>
      <c r="AE67" s="16"/>
      <c r="AF67" s="17"/>
      <c r="AG67" s="17"/>
      <c r="AH67" s="85">
        <f t="shared" si="68"/>
        <v>0</v>
      </c>
      <c r="AI67" s="15"/>
      <c r="AJ67" s="16"/>
      <c r="AK67" s="17"/>
      <c r="AL67" s="17"/>
      <c r="AM67" s="85">
        <f t="shared" si="69"/>
        <v>0</v>
      </c>
      <c r="AN67" s="15">
        <v>20</v>
      </c>
      <c r="AO67" s="16">
        <v>40</v>
      </c>
      <c r="AP67" s="17"/>
      <c r="AQ67" s="17"/>
      <c r="AR67" s="85">
        <f t="shared" si="70"/>
        <v>60</v>
      </c>
      <c r="AS67" s="15">
        <v>20</v>
      </c>
      <c r="AT67" s="16">
        <v>40</v>
      </c>
      <c r="AU67" s="17"/>
      <c r="AV67" s="17"/>
      <c r="AW67" s="85">
        <f t="shared" si="71"/>
        <v>60</v>
      </c>
      <c r="AX67" s="15">
        <v>20</v>
      </c>
      <c r="AY67" s="16">
        <v>40</v>
      </c>
      <c r="AZ67" s="17"/>
      <c r="BA67" s="17"/>
      <c r="BB67" s="85">
        <f t="shared" si="72"/>
        <v>60</v>
      </c>
      <c r="BC67" s="105">
        <f t="shared" si="73"/>
        <v>180</v>
      </c>
      <c r="BD67" s="114">
        <v>45330</v>
      </c>
      <c r="BE67" s="114"/>
    </row>
    <row r="68" spans="1:58" x14ac:dyDescent="0.15">
      <c r="A68" s="102" t="s">
        <v>43</v>
      </c>
      <c r="B68" s="15"/>
      <c r="C68" s="16">
        <v>1</v>
      </c>
      <c r="D68" s="17"/>
      <c r="E68" s="17"/>
      <c r="F68" s="85">
        <f t="shared" si="62"/>
        <v>1</v>
      </c>
      <c r="G68" s="15"/>
      <c r="H68" s="16">
        <v>1</v>
      </c>
      <c r="I68" s="17"/>
      <c r="J68" s="17"/>
      <c r="K68" s="85">
        <f t="shared" si="63"/>
        <v>1</v>
      </c>
      <c r="L68" s="15"/>
      <c r="M68" s="16"/>
      <c r="N68" s="17"/>
      <c r="O68" s="17"/>
      <c r="P68" s="85">
        <f t="shared" si="64"/>
        <v>0</v>
      </c>
      <c r="Q68" s="15"/>
      <c r="R68" s="16"/>
      <c r="S68" s="17"/>
      <c r="T68" s="17"/>
      <c r="U68" s="85">
        <f t="shared" si="65"/>
        <v>0</v>
      </c>
      <c r="V68" s="15"/>
      <c r="W68" s="16">
        <v>1</v>
      </c>
      <c r="X68" s="17"/>
      <c r="Y68" s="17"/>
      <c r="Z68" s="85">
        <f t="shared" si="66"/>
        <v>1</v>
      </c>
      <c r="AA68" s="105">
        <f t="shared" si="67"/>
        <v>3</v>
      </c>
      <c r="AB68" s="114">
        <v>45280</v>
      </c>
      <c r="AC68" s="138" t="s">
        <v>154</v>
      </c>
      <c r="AD68" s="15">
        <v>10</v>
      </c>
      <c r="AE68" s="16"/>
      <c r="AF68" s="17"/>
      <c r="AG68" s="17"/>
      <c r="AH68" s="85">
        <f t="shared" si="68"/>
        <v>10</v>
      </c>
      <c r="AI68" s="15">
        <v>10</v>
      </c>
      <c r="AJ68" s="16"/>
      <c r="AK68" s="17"/>
      <c r="AL68" s="17"/>
      <c r="AM68" s="85">
        <f t="shared" si="69"/>
        <v>10</v>
      </c>
      <c r="AN68" s="15"/>
      <c r="AO68" s="16"/>
      <c r="AP68" s="17"/>
      <c r="AQ68" s="17"/>
      <c r="AR68" s="85">
        <f t="shared" si="70"/>
        <v>0</v>
      </c>
      <c r="AS68" s="15"/>
      <c r="AT68" s="16"/>
      <c r="AU68" s="17"/>
      <c r="AV68" s="17"/>
      <c r="AW68" s="85">
        <f t="shared" si="71"/>
        <v>0</v>
      </c>
      <c r="AX68" s="15">
        <v>10</v>
      </c>
      <c r="AY68" s="16"/>
      <c r="AZ68" s="17"/>
      <c r="BA68" s="17"/>
      <c r="BB68" s="85">
        <f t="shared" si="72"/>
        <v>10</v>
      </c>
      <c r="BC68" s="105">
        <f t="shared" si="73"/>
        <v>30</v>
      </c>
      <c r="BD68" s="114">
        <v>45331</v>
      </c>
      <c r="BE68" s="114"/>
    </row>
    <row r="69" spans="1:58" x14ac:dyDescent="0.15">
      <c r="A69" s="102" t="s">
        <v>43</v>
      </c>
      <c r="B69" s="15">
        <v>1</v>
      </c>
      <c r="C69" s="16"/>
      <c r="D69" s="17"/>
      <c r="E69" s="17"/>
      <c r="F69" s="85">
        <f t="shared" si="62"/>
        <v>1</v>
      </c>
      <c r="G69" s="15">
        <v>1</v>
      </c>
      <c r="H69" s="16"/>
      <c r="I69" s="17"/>
      <c r="J69" s="17"/>
      <c r="K69" s="85">
        <f t="shared" si="63"/>
        <v>1</v>
      </c>
      <c r="L69" s="15"/>
      <c r="M69" s="16"/>
      <c r="N69" s="17"/>
      <c r="O69" s="17"/>
      <c r="P69" s="85">
        <f t="shared" si="64"/>
        <v>0</v>
      </c>
      <c r="Q69" s="15"/>
      <c r="R69" s="16"/>
      <c r="S69" s="17"/>
      <c r="T69" s="17"/>
      <c r="U69" s="85">
        <f t="shared" si="65"/>
        <v>0</v>
      </c>
      <c r="V69" s="15">
        <v>1</v>
      </c>
      <c r="W69" s="16"/>
      <c r="X69" s="17"/>
      <c r="Y69" s="17"/>
      <c r="Z69" s="85">
        <f t="shared" si="66"/>
        <v>1</v>
      </c>
      <c r="AA69" s="105">
        <f t="shared" si="67"/>
        <v>3</v>
      </c>
      <c r="AB69" s="115">
        <v>45282</v>
      </c>
      <c r="AC69" s="138" t="s">
        <v>155</v>
      </c>
      <c r="AD69" s="15"/>
      <c r="AE69" s="16"/>
      <c r="AF69" s="17"/>
      <c r="AG69" s="17"/>
      <c r="AH69" s="85">
        <f t="shared" si="68"/>
        <v>0</v>
      </c>
      <c r="AI69" s="15"/>
      <c r="AJ69" s="16"/>
      <c r="AK69" s="17"/>
      <c r="AL69" s="17"/>
      <c r="AM69" s="85">
        <f t="shared" si="69"/>
        <v>0</v>
      </c>
      <c r="AN69" s="15">
        <v>5</v>
      </c>
      <c r="AO69" s="16"/>
      <c r="AP69" s="17">
        <v>10</v>
      </c>
      <c r="AQ69" s="17">
        <v>10</v>
      </c>
      <c r="AR69" s="85">
        <f t="shared" si="70"/>
        <v>25</v>
      </c>
      <c r="AS69" s="15">
        <v>5</v>
      </c>
      <c r="AT69" s="16"/>
      <c r="AU69" s="17">
        <v>10</v>
      </c>
      <c r="AV69" s="17">
        <v>10</v>
      </c>
      <c r="AW69" s="85">
        <f t="shared" si="71"/>
        <v>25</v>
      </c>
      <c r="AX69" s="15">
        <v>5</v>
      </c>
      <c r="AY69" s="16"/>
      <c r="AZ69" s="17">
        <v>10</v>
      </c>
      <c r="BA69" s="17">
        <v>10</v>
      </c>
      <c r="BB69" s="85">
        <f t="shared" si="72"/>
        <v>25</v>
      </c>
      <c r="BC69" s="105">
        <f t="shared" si="73"/>
        <v>75</v>
      </c>
      <c r="BD69" s="114">
        <v>45331</v>
      </c>
      <c r="BE69" s="114"/>
    </row>
    <row r="70" spans="1:58" x14ac:dyDescent="0.15">
      <c r="A70" s="102" t="s">
        <v>43</v>
      </c>
      <c r="B70" s="15"/>
      <c r="C70" s="16"/>
      <c r="D70" s="17"/>
      <c r="E70" s="17"/>
      <c r="F70" s="85">
        <f t="shared" si="62"/>
        <v>0</v>
      </c>
      <c r="G70" s="15"/>
      <c r="H70" s="16"/>
      <c r="I70" s="17"/>
      <c r="J70" s="17"/>
      <c r="K70" s="85">
        <f t="shared" si="63"/>
        <v>0</v>
      </c>
      <c r="L70" s="15"/>
      <c r="M70" s="16"/>
      <c r="N70" s="17">
        <v>1</v>
      </c>
      <c r="O70" s="17"/>
      <c r="P70" s="85">
        <f t="shared" si="64"/>
        <v>1</v>
      </c>
      <c r="Q70" s="15"/>
      <c r="R70" s="16"/>
      <c r="S70" s="17">
        <v>1</v>
      </c>
      <c r="T70" s="17"/>
      <c r="U70" s="85">
        <f t="shared" si="65"/>
        <v>1</v>
      </c>
      <c r="V70" s="15"/>
      <c r="W70" s="16"/>
      <c r="X70" s="17">
        <v>1</v>
      </c>
      <c r="Y70" s="17"/>
      <c r="Z70" s="85">
        <f t="shared" si="66"/>
        <v>1</v>
      </c>
      <c r="AA70" s="105">
        <f t="shared" si="67"/>
        <v>3</v>
      </c>
      <c r="AB70" s="115">
        <v>45285</v>
      </c>
      <c r="AC70" s="23"/>
      <c r="AD70" s="15"/>
      <c r="AE70" s="16"/>
      <c r="AF70" s="17"/>
      <c r="AG70" s="17"/>
      <c r="AH70" s="85">
        <f t="shared" si="68"/>
        <v>0</v>
      </c>
      <c r="AI70" s="15"/>
      <c r="AJ70" s="16"/>
      <c r="AK70" s="17"/>
      <c r="AL70" s="17"/>
      <c r="AM70" s="85">
        <f t="shared" si="69"/>
        <v>0</v>
      </c>
      <c r="AN70" s="15"/>
      <c r="AO70" s="16"/>
      <c r="AP70" s="17"/>
      <c r="AQ70" s="17"/>
      <c r="AR70" s="85">
        <f t="shared" si="70"/>
        <v>0</v>
      </c>
      <c r="AS70" s="15"/>
      <c r="AT70" s="16"/>
      <c r="AU70" s="17"/>
      <c r="AV70" s="17"/>
      <c r="AW70" s="85">
        <f t="shared" si="71"/>
        <v>0</v>
      </c>
      <c r="AX70" s="15"/>
      <c r="AY70" s="16"/>
      <c r="AZ70" s="17"/>
      <c r="BA70" s="17"/>
      <c r="BB70" s="85">
        <f t="shared" si="72"/>
        <v>0</v>
      </c>
      <c r="BC70" s="105">
        <f t="shared" si="73"/>
        <v>0</v>
      </c>
    </row>
    <row r="71" spans="1:58" x14ac:dyDescent="0.15">
      <c r="A71" s="23" t="s">
        <v>96</v>
      </c>
      <c r="B71" s="15"/>
      <c r="C71" s="16"/>
      <c r="D71" s="17"/>
      <c r="E71" s="17"/>
      <c r="F71" s="85">
        <f t="shared" si="62"/>
        <v>0</v>
      </c>
      <c r="G71" s="15"/>
      <c r="H71" s="16"/>
      <c r="I71" s="17"/>
      <c r="J71" s="17"/>
      <c r="K71" s="85">
        <f t="shared" si="63"/>
        <v>0</v>
      </c>
      <c r="L71" s="15"/>
      <c r="M71" s="16"/>
      <c r="N71" s="17"/>
      <c r="O71" s="17"/>
      <c r="P71" s="85">
        <f t="shared" si="64"/>
        <v>0</v>
      </c>
      <c r="Q71" s="15"/>
      <c r="R71" s="16"/>
      <c r="S71" s="17"/>
      <c r="T71" s="17"/>
      <c r="U71" s="85">
        <f t="shared" si="65"/>
        <v>0</v>
      </c>
      <c r="V71" s="15">
        <v>1</v>
      </c>
      <c r="W71" s="16"/>
      <c r="X71" s="17"/>
      <c r="Y71" s="17"/>
      <c r="Z71" s="85">
        <f t="shared" si="66"/>
        <v>1</v>
      </c>
      <c r="AA71" s="105">
        <f t="shared" si="67"/>
        <v>1</v>
      </c>
      <c r="AB71" s="114">
        <v>45286</v>
      </c>
      <c r="AC71" s="139" t="s">
        <v>134</v>
      </c>
      <c r="AD71" s="16"/>
      <c r="AE71" s="16"/>
      <c r="AF71" s="17"/>
      <c r="AG71" s="17"/>
      <c r="AH71" s="85">
        <f t="shared" si="68"/>
        <v>0</v>
      </c>
      <c r="AI71" s="16"/>
      <c r="AJ71" s="16"/>
      <c r="AK71" s="17"/>
      <c r="AL71" s="17"/>
      <c r="AM71" s="85">
        <f t="shared" si="69"/>
        <v>0</v>
      </c>
      <c r="AN71" s="140"/>
      <c r="AO71" s="141"/>
      <c r="AP71" s="142"/>
      <c r="AQ71" s="143"/>
      <c r="AR71" s="144">
        <f t="shared" si="70"/>
        <v>0</v>
      </c>
      <c r="AS71" s="140"/>
      <c r="AT71" s="141"/>
      <c r="AU71" s="142"/>
      <c r="AV71" s="143"/>
      <c r="AW71" s="144">
        <f t="shared" si="71"/>
        <v>0</v>
      </c>
      <c r="AX71" s="140"/>
      <c r="AY71" s="141"/>
      <c r="AZ71" s="142"/>
      <c r="BA71" s="143"/>
      <c r="BB71" s="144">
        <f t="shared" si="72"/>
        <v>0</v>
      </c>
      <c r="BC71" s="105">
        <f t="shared" si="73"/>
        <v>0</v>
      </c>
      <c r="BD71" s="76" t="s">
        <v>100</v>
      </c>
      <c r="BE71" s="76"/>
      <c r="BF71" s="25"/>
    </row>
    <row r="72" spans="1:58" x14ac:dyDescent="0.15">
      <c r="A72" s="102" t="s">
        <v>43</v>
      </c>
      <c r="B72" s="18"/>
      <c r="C72" s="19"/>
      <c r="D72" s="20"/>
      <c r="E72" s="20">
        <v>1</v>
      </c>
      <c r="F72" s="85">
        <f t="shared" si="62"/>
        <v>1</v>
      </c>
      <c r="G72" s="18"/>
      <c r="H72" s="19"/>
      <c r="I72" s="20"/>
      <c r="J72" s="20">
        <v>1</v>
      </c>
      <c r="K72" s="85">
        <f t="shared" si="63"/>
        <v>1</v>
      </c>
      <c r="L72" s="18"/>
      <c r="M72" s="19"/>
      <c r="N72" s="20">
        <v>1</v>
      </c>
      <c r="O72" s="20"/>
      <c r="P72" s="85">
        <f t="shared" si="64"/>
        <v>1</v>
      </c>
      <c r="Q72" s="18"/>
      <c r="R72" s="19"/>
      <c r="S72" s="20">
        <v>1</v>
      </c>
      <c r="T72" s="20"/>
      <c r="U72" s="85">
        <f t="shared" si="65"/>
        <v>1</v>
      </c>
      <c r="V72" s="18"/>
      <c r="W72" s="19"/>
      <c r="X72" s="20">
        <v>1</v>
      </c>
      <c r="Y72" s="20">
        <v>1</v>
      </c>
      <c r="Z72" s="85">
        <f t="shared" si="66"/>
        <v>2</v>
      </c>
      <c r="AA72" s="105">
        <f t="shared" si="67"/>
        <v>6</v>
      </c>
      <c r="AB72" s="114">
        <v>45296</v>
      </c>
      <c r="AC72" s="23" t="s">
        <v>104</v>
      </c>
      <c r="AD72" s="15"/>
      <c r="AE72" s="16"/>
      <c r="AF72" s="16"/>
      <c r="AG72" s="63"/>
      <c r="AH72" s="85">
        <f t="shared" si="68"/>
        <v>0</v>
      </c>
      <c r="AI72" s="15"/>
      <c r="AJ72" s="16"/>
      <c r="AK72" s="16"/>
      <c r="AL72" s="63"/>
      <c r="AM72" s="85">
        <f t="shared" si="69"/>
        <v>0</v>
      </c>
      <c r="AN72" s="15"/>
      <c r="AO72" s="16"/>
      <c r="AP72" s="16"/>
      <c r="AQ72" s="63"/>
      <c r="AR72" s="85">
        <f t="shared" si="70"/>
        <v>0</v>
      </c>
      <c r="AS72" s="15"/>
      <c r="AT72" s="16"/>
      <c r="AU72" s="16"/>
      <c r="AV72" s="63"/>
      <c r="AW72" s="85">
        <f t="shared" si="71"/>
        <v>0</v>
      </c>
      <c r="AX72" s="15"/>
      <c r="AY72" s="16"/>
      <c r="AZ72" s="16"/>
      <c r="BA72" s="63"/>
      <c r="BB72" s="85">
        <f t="shared" si="72"/>
        <v>0</v>
      </c>
      <c r="BC72" s="105">
        <f t="shared" si="73"/>
        <v>0</v>
      </c>
      <c r="BD72" s="76" t="s">
        <v>100</v>
      </c>
      <c r="BE72" s="76"/>
      <c r="BF72" s="25"/>
    </row>
    <row r="73" spans="1:58" x14ac:dyDescent="0.15">
      <c r="A73" s="23" t="s">
        <v>122</v>
      </c>
      <c r="B73" s="16"/>
      <c r="C73" s="16"/>
      <c r="D73" s="17"/>
      <c r="E73" s="17">
        <v>1</v>
      </c>
      <c r="F73" s="85">
        <f t="shared" si="62"/>
        <v>1</v>
      </c>
      <c r="G73" s="16"/>
      <c r="H73" s="16"/>
      <c r="I73" s="17"/>
      <c r="J73" s="17">
        <v>1</v>
      </c>
      <c r="K73" s="85">
        <f t="shared" si="63"/>
        <v>1</v>
      </c>
      <c r="L73" s="16"/>
      <c r="M73" s="16"/>
      <c r="N73" s="17"/>
      <c r="O73" s="17">
        <v>1</v>
      </c>
      <c r="P73" s="85">
        <f t="shared" si="64"/>
        <v>1</v>
      </c>
      <c r="Q73" s="16"/>
      <c r="R73" s="16"/>
      <c r="S73" s="17"/>
      <c r="T73" s="17">
        <v>1</v>
      </c>
      <c r="U73" s="85">
        <f t="shared" si="65"/>
        <v>1</v>
      </c>
      <c r="V73" s="16"/>
      <c r="W73" s="16"/>
      <c r="X73" s="17"/>
      <c r="Y73" s="17">
        <v>1</v>
      </c>
      <c r="Z73" s="85">
        <f t="shared" si="66"/>
        <v>1</v>
      </c>
      <c r="AA73" s="105">
        <f t="shared" si="67"/>
        <v>5</v>
      </c>
      <c r="AB73" s="114">
        <v>45302</v>
      </c>
      <c r="AC73" s="145" t="s">
        <v>135</v>
      </c>
      <c r="AD73" s="146"/>
      <c r="AE73" s="147"/>
      <c r="AF73" s="148"/>
      <c r="AG73" s="148"/>
      <c r="AH73" s="149">
        <f t="shared" si="68"/>
        <v>0</v>
      </c>
      <c r="AI73" s="146"/>
      <c r="AJ73" s="147"/>
      <c r="AK73" s="148"/>
      <c r="AL73" s="148"/>
      <c r="AM73" s="149">
        <f t="shared" si="69"/>
        <v>0</v>
      </c>
      <c r="AN73" s="10"/>
      <c r="AO73" s="25"/>
      <c r="AP73" s="12"/>
      <c r="AQ73" s="12"/>
      <c r="AR73" s="84">
        <f t="shared" si="70"/>
        <v>0</v>
      </c>
      <c r="AS73" s="10"/>
      <c r="AT73" s="25"/>
      <c r="AU73" s="12"/>
      <c r="AV73" s="12"/>
      <c r="AW73" s="84">
        <f t="shared" si="71"/>
        <v>0</v>
      </c>
      <c r="AX73" s="146"/>
      <c r="AY73" s="147"/>
      <c r="AZ73" s="148"/>
      <c r="BA73" s="148"/>
      <c r="BB73" s="149">
        <f t="shared" si="72"/>
        <v>0</v>
      </c>
      <c r="BC73" s="108">
        <f t="shared" si="73"/>
        <v>0</v>
      </c>
      <c r="BD73" s="76" t="s">
        <v>100</v>
      </c>
      <c r="BE73" s="76"/>
      <c r="BF73" s="25"/>
    </row>
    <row r="74" spans="1:58" x14ac:dyDescent="0.15">
      <c r="A74" s="23" t="s">
        <v>124</v>
      </c>
      <c r="B74" s="15">
        <v>1</v>
      </c>
      <c r="C74" s="25"/>
      <c r="D74" s="17"/>
      <c r="E74" s="17"/>
      <c r="F74" s="85">
        <f t="shared" si="62"/>
        <v>1</v>
      </c>
      <c r="G74" s="15">
        <v>1</v>
      </c>
      <c r="H74" s="25"/>
      <c r="I74" s="17"/>
      <c r="J74" s="17"/>
      <c r="K74" s="85">
        <f t="shared" si="63"/>
        <v>1</v>
      </c>
      <c r="L74" s="15">
        <v>1</v>
      </c>
      <c r="M74" s="25"/>
      <c r="N74" s="17"/>
      <c r="O74" s="17"/>
      <c r="P74" s="85">
        <f t="shared" si="64"/>
        <v>1</v>
      </c>
      <c r="Q74" s="15">
        <v>1</v>
      </c>
      <c r="R74" s="25"/>
      <c r="S74" s="17"/>
      <c r="T74" s="17"/>
      <c r="U74" s="85">
        <f t="shared" si="65"/>
        <v>1</v>
      </c>
      <c r="V74" s="15">
        <v>1</v>
      </c>
      <c r="W74" s="25"/>
      <c r="X74" s="17"/>
      <c r="Y74" s="17"/>
      <c r="Z74" s="85">
        <f t="shared" si="66"/>
        <v>1</v>
      </c>
      <c r="AA74" s="105">
        <f t="shared" si="67"/>
        <v>5</v>
      </c>
      <c r="AB74" s="114">
        <v>45301</v>
      </c>
      <c r="AC74" s="23" t="s">
        <v>104</v>
      </c>
      <c r="AD74" s="15"/>
      <c r="AE74" s="16"/>
      <c r="AF74" s="16"/>
      <c r="AG74" s="63"/>
      <c r="AH74" s="85">
        <f t="shared" si="68"/>
        <v>0</v>
      </c>
      <c r="AI74" s="15"/>
      <c r="AJ74" s="16"/>
      <c r="AK74" s="16"/>
      <c r="AL74" s="63"/>
      <c r="AM74" s="85">
        <f t="shared" si="69"/>
        <v>0</v>
      </c>
      <c r="AN74" s="15"/>
      <c r="AO74" s="16"/>
      <c r="AP74" s="16"/>
      <c r="AQ74" s="63"/>
      <c r="AR74" s="85">
        <f t="shared" si="70"/>
        <v>0</v>
      </c>
      <c r="AS74" s="15"/>
      <c r="AT74" s="16"/>
      <c r="AU74" s="16"/>
      <c r="AV74" s="63"/>
      <c r="AW74" s="85">
        <f t="shared" si="71"/>
        <v>0</v>
      </c>
      <c r="AX74" s="15"/>
      <c r="AY74" s="16"/>
      <c r="AZ74" s="16"/>
      <c r="BA74" s="63"/>
      <c r="BB74" s="85">
        <f t="shared" si="72"/>
        <v>0</v>
      </c>
      <c r="BC74" s="105">
        <f t="shared" si="73"/>
        <v>0</v>
      </c>
      <c r="BD74" s="76" t="s">
        <v>100</v>
      </c>
      <c r="BE74" s="76"/>
      <c r="BF74" s="25"/>
    </row>
    <row r="75" spans="1:58" x14ac:dyDescent="0.15">
      <c r="A75" s="23" t="s">
        <v>96</v>
      </c>
      <c r="B75" s="15"/>
      <c r="C75" s="16"/>
      <c r="D75" s="16"/>
      <c r="E75" s="63"/>
      <c r="F75" s="85">
        <f t="shared" si="62"/>
        <v>0</v>
      </c>
      <c r="G75" s="15"/>
      <c r="H75" s="16"/>
      <c r="I75" s="16"/>
      <c r="J75" s="63"/>
      <c r="K75" s="85">
        <f t="shared" si="63"/>
        <v>0</v>
      </c>
      <c r="L75" s="15">
        <v>1</v>
      </c>
      <c r="M75" s="16"/>
      <c r="N75" s="16"/>
      <c r="O75" s="63"/>
      <c r="P75" s="85">
        <f t="shared" si="64"/>
        <v>1</v>
      </c>
      <c r="Q75" s="15">
        <v>1</v>
      </c>
      <c r="R75" s="16"/>
      <c r="S75" s="16"/>
      <c r="T75" s="63"/>
      <c r="U75" s="85">
        <f t="shared" si="65"/>
        <v>1</v>
      </c>
      <c r="V75" s="15"/>
      <c r="W75" s="16"/>
      <c r="X75" s="16"/>
      <c r="Y75" s="63"/>
      <c r="Z75" s="85">
        <f t="shared" si="66"/>
        <v>0</v>
      </c>
      <c r="AA75" s="105">
        <f t="shared" si="67"/>
        <v>2</v>
      </c>
      <c r="AB75" s="114">
        <v>45306</v>
      </c>
      <c r="AC75" s="102" t="s">
        <v>93</v>
      </c>
      <c r="AD75" s="10">
        <v>0</v>
      </c>
      <c r="AE75" s="11">
        <v>0</v>
      </c>
      <c r="AF75" s="12">
        <v>0</v>
      </c>
      <c r="AG75" s="133"/>
      <c r="AH75" s="84">
        <f t="shared" si="68"/>
        <v>0</v>
      </c>
      <c r="AI75" s="10">
        <v>0</v>
      </c>
      <c r="AJ75" s="11">
        <v>0</v>
      </c>
      <c r="AK75" s="12">
        <v>0</v>
      </c>
      <c r="AL75" s="133"/>
      <c r="AM75" s="84">
        <f t="shared" si="69"/>
        <v>0</v>
      </c>
      <c r="AN75" s="134"/>
      <c r="AO75" s="135"/>
      <c r="AP75" s="133"/>
      <c r="AQ75" s="133"/>
      <c r="AR75" s="84">
        <f t="shared" si="70"/>
        <v>0</v>
      </c>
      <c r="AS75" s="10">
        <v>0</v>
      </c>
      <c r="AT75" s="11">
        <v>0</v>
      </c>
      <c r="AU75" s="12">
        <v>0</v>
      </c>
      <c r="AV75" s="133"/>
      <c r="AW75" s="84">
        <f t="shared" si="71"/>
        <v>0</v>
      </c>
      <c r="AX75" s="134"/>
      <c r="AY75" s="135"/>
      <c r="AZ75" s="133"/>
      <c r="BA75" s="133"/>
      <c r="BB75" s="84">
        <f t="shared" si="72"/>
        <v>0</v>
      </c>
      <c r="BC75" s="108">
        <f t="shared" si="73"/>
        <v>0</v>
      </c>
      <c r="BD75" s="76"/>
      <c r="BE75" s="76"/>
    </row>
    <row r="76" spans="1:58" ht="14.25" thickBot="1" x14ac:dyDescent="0.2">
      <c r="A76" s="23" t="s">
        <v>130</v>
      </c>
      <c r="B76" s="15">
        <v>1</v>
      </c>
      <c r="C76" s="16"/>
      <c r="D76" s="16"/>
      <c r="E76" s="63"/>
      <c r="F76" s="85">
        <f t="shared" ref="F76" si="96">SUM(B76:E76)</f>
        <v>1</v>
      </c>
      <c r="G76" s="15">
        <v>1</v>
      </c>
      <c r="H76" s="16"/>
      <c r="I76" s="16"/>
      <c r="J76" s="63"/>
      <c r="K76" s="85">
        <f t="shared" ref="K76" si="97">SUM(G76:J76)</f>
        <v>1</v>
      </c>
      <c r="L76" s="15">
        <v>1</v>
      </c>
      <c r="M76" s="16"/>
      <c r="N76" s="16"/>
      <c r="O76" s="63"/>
      <c r="P76" s="85">
        <f t="shared" ref="P76" si="98">SUM(L76:O76)</f>
        <v>1</v>
      </c>
      <c r="Q76" s="15">
        <v>1</v>
      </c>
      <c r="R76" s="16"/>
      <c r="S76" s="16"/>
      <c r="T76" s="63"/>
      <c r="U76" s="85">
        <f t="shared" ref="U76" si="99">SUM(Q76:T76)</f>
        <v>1</v>
      </c>
      <c r="V76" s="15">
        <v>2</v>
      </c>
      <c r="W76" s="16"/>
      <c r="X76" s="16"/>
      <c r="Y76" s="63"/>
      <c r="Z76" s="85">
        <f t="shared" ref="Z76" si="100">SUM(V76:Y76)</f>
        <v>2</v>
      </c>
      <c r="AA76" s="105">
        <f t="shared" ref="AA76" si="101">Z76+U76+P76+K76+F76</f>
        <v>6</v>
      </c>
      <c r="AB76" s="115">
        <v>45308</v>
      </c>
      <c r="AC76" s="53" t="s">
        <v>50</v>
      </c>
      <c r="AD76" s="18"/>
      <c r="AE76" s="19"/>
      <c r="AF76" s="19"/>
      <c r="AG76" s="64"/>
      <c r="AH76" s="86">
        <f t="shared" si="68"/>
        <v>0</v>
      </c>
      <c r="AI76" s="18"/>
      <c r="AJ76" s="19"/>
      <c r="AK76" s="19"/>
      <c r="AL76" s="64"/>
      <c r="AM76" s="86">
        <f t="shared" si="69"/>
        <v>0</v>
      </c>
      <c r="AN76" s="18"/>
      <c r="AO76" s="19"/>
      <c r="AP76" s="19"/>
      <c r="AQ76" s="64"/>
      <c r="AR76" s="86">
        <f t="shared" si="70"/>
        <v>0</v>
      </c>
      <c r="AS76" s="18"/>
      <c r="AT76" s="19"/>
      <c r="AU76" s="19"/>
      <c r="AV76" s="64"/>
      <c r="AW76" s="86">
        <f t="shared" si="71"/>
        <v>0</v>
      </c>
      <c r="AX76" s="18"/>
      <c r="AY76" s="19"/>
      <c r="AZ76" s="19"/>
      <c r="BA76" s="64"/>
      <c r="BB76" s="86">
        <f t="shared" si="72"/>
        <v>0</v>
      </c>
      <c r="BC76" s="106">
        <f t="shared" si="73"/>
        <v>0</v>
      </c>
      <c r="BD76" s="76" t="s">
        <v>51</v>
      </c>
      <c r="BE76" s="76"/>
    </row>
    <row r="77" spans="1:58" ht="14.25" thickBot="1" x14ac:dyDescent="0.2">
      <c r="A77" s="27" t="s">
        <v>12</v>
      </c>
      <c r="B77" s="57">
        <f>SUM(B51:B76)</f>
        <v>13</v>
      </c>
      <c r="C77" s="50">
        <f t="shared" ref="C77:D77" si="102">SUM(C51:C76)</f>
        <v>11</v>
      </c>
      <c r="D77" s="50">
        <f t="shared" si="102"/>
        <v>1</v>
      </c>
      <c r="E77" s="50">
        <f>SUM(E51:E76)</f>
        <v>2</v>
      </c>
      <c r="F77" s="88">
        <f t="shared" si="62"/>
        <v>27</v>
      </c>
      <c r="G77" s="57">
        <f>SUM(G51:G76)</f>
        <v>16</v>
      </c>
      <c r="H77" s="50">
        <f t="shared" ref="H77:I77" si="103">SUM(H51:H76)</f>
        <v>10</v>
      </c>
      <c r="I77" s="50">
        <f t="shared" si="103"/>
        <v>0</v>
      </c>
      <c r="J77" s="50">
        <f>SUM(J51:J76)</f>
        <v>2</v>
      </c>
      <c r="K77" s="88">
        <f t="shared" si="63"/>
        <v>28</v>
      </c>
      <c r="L77" s="57">
        <f>SUM(L51:L76)</f>
        <v>11</v>
      </c>
      <c r="M77" s="50">
        <f t="shared" ref="M77:N77" si="104">SUM(M51:M76)</f>
        <v>9</v>
      </c>
      <c r="N77" s="50">
        <f t="shared" si="104"/>
        <v>3</v>
      </c>
      <c r="O77" s="50">
        <f>SUM(O51:O76)</f>
        <v>1</v>
      </c>
      <c r="P77" s="88">
        <f t="shared" si="64"/>
        <v>24</v>
      </c>
      <c r="Q77" s="57">
        <f>SUM(Q51:Q76)</f>
        <v>12</v>
      </c>
      <c r="R77" s="50">
        <f t="shared" ref="R77:S77" si="105">SUM(R51:R76)</f>
        <v>14</v>
      </c>
      <c r="S77" s="50">
        <f t="shared" si="105"/>
        <v>2</v>
      </c>
      <c r="T77" s="50">
        <f>SUM(T51:T76)</f>
        <v>1</v>
      </c>
      <c r="U77" s="88">
        <f t="shared" si="65"/>
        <v>29</v>
      </c>
      <c r="V77" s="57">
        <f>SUM(V51:V76)</f>
        <v>16</v>
      </c>
      <c r="W77" s="50">
        <f t="shared" ref="W77:X77" si="106">SUM(W51:W76)</f>
        <v>15</v>
      </c>
      <c r="X77" s="50">
        <f t="shared" si="106"/>
        <v>2</v>
      </c>
      <c r="Y77" s="50">
        <f>SUM(Y51:Y76)</f>
        <v>3</v>
      </c>
      <c r="Z77" s="88">
        <f t="shared" si="66"/>
        <v>36</v>
      </c>
      <c r="AA77" s="109">
        <f t="shared" si="67"/>
        <v>144</v>
      </c>
      <c r="AC77" s="27" t="s">
        <v>12</v>
      </c>
      <c r="AD77" s="57">
        <f>SUM(AD51:AD76)</f>
        <v>160</v>
      </c>
      <c r="AE77" s="50">
        <f t="shared" ref="AE77:AF77" si="107">SUM(AE51:AE76)</f>
        <v>121</v>
      </c>
      <c r="AF77" s="50">
        <f t="shared" si="107"/>
        <v>18</v>
      </c>
      <c r="AG77" s="50">
        <f>SUM(AG51:AG76)</f>
        <v>26</v>
      </c>
      <c r="AH77" s="88">
        <f t="shared" si="68"/>
        <v>325</v>
      </c>
      <c r="AI77" s="57">
        <f>SUM(AI51:AI76)</f>
        <v>165</v>
      </c>
      <c r="AJ77" s="50">
        <f t="shared" ref="AJ77:AK77" si="108">SUM(AJ51:AJ76)</f>
        <v>121</v>
      </c>
      <c r="AK77" s="50">
        <f t="shared" si="108"/>
        <v>18</v>
      </c>
      <c r="AL77" s="50">
        <f>SUM(AL51:AL76)</f>
        <v>29</v>
      </c>
      <c r="AM77" s="88">
        <f t="shared" si="69"/>
        <v>333</v>
      </c>
      <c r="AN77" s="57">
        <f>SUM(AN51:AN76)</f>
        <v>56</v>
      </c>
      <c r="AO77" s="50">
        <f t="shared" ref="AO77:AP77" si="109">SUM(AO51:AO76)</f>
        <v>78</v>
      </c>
      <c r="AP77" s="50">
        <f t="shared" si="109"/>
        <v>28</v>
      </c>
      <c r="AQ77" s="50">
        <f>SUM(AQ51:AQ76)</f>
        <v>28</v>
      </c>
      <c r="AR77" s="88">
        <f t="shared" si="70"/>
        <v>190</v>
      </c>
      <c r="AS77" s="57">
        <f>SUM(AS51:AS76)</f>
        <v>176</v>
      </c>
      <c r="AT77" s="50">
        <f t="shared" ref="AT77:AU77" si="110">SUM(AT51:AT76)</f>
        <v>137</v>
      </c>
      <c r="AU77" s="50">
        <f t="shared" si="110"/>
        <v>40</v>
      </c>
      <c r="AV77" s="50">
        <f>SUM(AV51:AV76)</f>
        <v>29</v>
      </c>
      <c r="AW77" s="88">
        <f t="shared" si="71"/>
        <v>382</v>
      </c>
      <c r="AX77" s="57">
        <f>SUM(AX51:AX76)</f>
        <v>78</v>
      </c>
      <c r="AY77" s="50">
        <f t="shared" ref="AY77:AZ77" si="111">SUM(AY51:AY76)</f>
        <v>106</v>
      </c>
      <c r="AZ77" s="50">
        <f t="shared" si="111"/>
        <v>52</v>
      </c>
      <c r="BA77" s="50">
        <f>SUM(BA51:BA76)</f>
        <v>58</v>
      </c>
      <c r="BB77" s="88">
        <f t="shared" si="72"/>
        <v>294</v>
      </c>
      <c r="BC77" s="109">
        <f t="shared" si="73"/>
        <v>1524</v>
      </c>
    </row>
    <row r="78" spans="1:58" ht="14.25" thickBot="1" x14ac:dyDescent="0.2">
      <c r="A78" s="21" t="s">
        <v>13</v>
      </c>
      <c r="B78" s="101">
        <f>B50-B77</f>
        <v>10</v>
      </c>
      <c r="C78" s="8">
        <f t="shared" ref="C78:D78" si="112">C50-C77</f>
        <v>8</v>
      </c>
      <c r="D78" s="8">
        <f t="shared" si="112"/>
        <v>8</v>
      </c>
      <c r="E78" s="8">
        <f>E50-E77</f>
        <v>9</v>
      </c>
      <c r="F78" s="87">
        <f t="shared" si="62"/>
        <v>35</v>
      </c>
      <c r="G78" s="101">
        <f>G50-G77</f>
        <v>10</v>
      </c>
      <c r="H78" s="8">
        <f t="shared" ref="H78:I78" si="113">H50-H77</f>
        <v>9</v>
      </c>
      <c r="I78" s="8">
        <f t="shared" si="113"/>
        <v>9</v>
      </c>
      <c r="J78" s="8">
        <f>J50-J77</f>
        <v>9</v>
      </c>
      <c r="K78" s="87">
        <f t="shared" si="63"/>
        <v>37</v>
      </c>
      <c r="L78" s="101">
        <f>L50-L77</f>
        <v>9</v>
      </c>
      <c r="M78" s="8">
        <f t="shared" ref="M78:N78" si="114">M50-M77</f>
        <v>8</v>
      </c>
      <c r="N78" s="8">
        <f t="shared" si="114"/>
        <v>8</v>
      </c>
      <c r="O78" s="8">
        <f>O50-O77</f>
        <v>8</v>
      </c>
      <c r="P78" s="87">
        <f t="shared" si="64"/>
        <v>33</v>
      </c>
      <c r="Q78" s="101">
        <f>Q50-Q77</f>
        <v>11</v>
      </c>
      <c r="R78" s="8">
        <f t="shared" ref="R78:S78" si="115">R50-R77</f>
        <v>0</v>
      </c>
      <c r="S78" s="8">
        <f t="shared" si="115"/>
        <v>6</v>
      </c>
      <c r="T78" s="8">
        <f>T50-T77</f>
        <v>8</v>
      </c>
      <c r="U78" s="87">
        <f t="shared" si="65"/>
        <v>25</v>
      </c>
      <c r="V78" s="101">
        <f>V50-V77</f>
        <v>6</v>
      </c>
      <c r="W78" s="8">
        <f t="shared" ref="W78:X78" si="116">W50-W77</f>
        <v>11</v>
      </c>
      <c r="X78" s="8">
        <f t="shared" si="116"/>
        <v>11</v>
      </c>
      <c r="Y78" s="8">
        <f>Y50-Y77</f>
        <v>11</v>
      </c>
      <c r="Z78" s="87">
        <f t="shared" si="66"/>
        <v>39</v>
      </c>
      <c r="AA78" s="107">
        <f t="shared" si="67"/>
        <v>169</v>
      </c>
      <c r="AC78" s="29" t="s">
        <v>13</v>
      </c>
      <c r="AD78" s="32">
        <f>AD50-AD77</f>
        <v>628</v>
      </c>
      <c r="AE78" s="44">
        <f t="shared" ref="AE78:AF78" si="117">AE50-AE77</f>
        <v>568</v>
      </c>
      <c r="AF78" s="44">
        <f t="shared" si="117"/>
        <v>573</v>
      </c>
      <c r="AG78" s="44">
        <f>AG50-AG77</f>
        <v>276</v>
      </c>
      <c r="AH78" s="87">
        <f t="shared" si="68"/>
        <v>2045</v>
      </c>
      <c r="AI78" s="32">
        <f>AI50-AI77</f>
        <v>625</v>
      </c>
      <c r="AJ78" s="44">
        <f t="shared" ref="AJ78:AK78" si="118">AJ50-AJ77</f>
        <v>567</v>
      </c>
      <c r="AK78" s="44">
        <f t="shared" si="118"/>
        <v>571</v>
      </c>
      <c r="AL78" s="44">
        <f>AL50-AL77</f>
        <v>289</v>
      </c>
      <c r="AM78" s="87">
        <f t="shared" si="69"/>
        <v>2052</v>
      </c>
      <c r="AN78" s="32">
        <f>AN50-AN77</f>
        <v>697</v>
      </c>
      <c r="AO78" s="44">
        <f t="shared" ref="AO78:AP78" si="119">AO50-AO77</f>
        <v>688</v>
      </c>
      <c r="AP78" s="44">
        <f t="shared" si="119"/>
        <v>436</v>
      </c>
      <c r="AQ78" s="44">
        <f>AQ50-AQ77</f>
        <v>112</v>
      </c>
      <c r="AR78" s="87">
        <f t="shared" si="70"/>
        <v>1933</v>
      </c>
      <c r="AS78" s="32">
        <f>AS50-AS77</f>
        <v>157</v>
      </c>
      <c r="AT78" s="44">
        <f t="shared" ref="AT78:AU78" si="120">AT50-AT77</f>
        <v>61</v>
      </c>
      <c r="AU78" s="44">
        <f t="shared" si="120"/>
        <v>170</v>
      </c>
      <c r="AV78" s="44">
        <f>AV50-AV77</f>
        <v>111</v>
      </c>
      <c r="AW78" s="87">
        <f t="shared" si="71"/>
        <v>499</v>
      </c>
      <c r="AX78" s="32">
        <f>AX50-AX77</f>
        <v>1597</v>
      </c>
      <c r="AY78" s="44">
        <f t="shared" ref="AY78:AZ78" si="121">AY50-AY77</f>
        <v>1606</v>
      </c>
      <c r="AZ78" s="44">
        <f t="shared" si="121"/>
        <v>886</v>
      </c>
      <c r="BA78" s="44">
        <f>BA50-BA77</f>
        <v>331</v>
      </c>
      <c r="BB78" s="87">
        <f t="shared" si="72"/>
        <v>4420</v>
      </c>
      <c r="BC78" s="107">
        <f t="shared" si="73"/>
        <v>10949</v>
      </c>
    </row>
    <row r="81" spans="1:62" ht="19.5" thickBot="1" x14ac:dyDescent="0.25">
      <c r="A81" s="271" t="s">
        <v>22</v>
      </c>
      <c r="B81" s="271"/>
      <c r="C81" s="271"/>
      <c r="D81" s="271"/>
      <c r="E81" s="271"/>
      <c r="F81" s="271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C81" s="79" t="s">
        <v>69</v>
      </c>
      <c r="AD81" s="79"/>
      <c r="AE81" s="79"/>
      <c r="AF81" s="79"/>
      <c r="AG81" s="79"/>
      <c r="AH81" s="79"/>
      <c r="AI81" s="93"/>
      <c r="AJ81" s="93"/>
      <c r="AK81" s="93"/>
      <c r="AL81" s="93"/>
      <c r="AM81" s="93"/>
      <c r="AN81" s="93"/>
      <c r="AO81" s="93"/>
      <c r="AP81" s="93"/>
      <c r="AQ81" s="93"/>
      <c r="AR81" s="93"/>
      <c r="AS81" s="93"/>
      <c r="AT81" s="78"/>
      <c r="AU81" s="78"/>
      <c r="AV81" s="78"/>
      <c r="AW81" s="78"/>
      <c r="AX81" s="78"/>
      <c r="AY81" s="78"/>
      <c r="AZ81" s="78"/>
      <c r="BA81" s="78"/>
      <c r="BB81" s="78"/>
      <c r="BC81" s="78"/>
    </row>
    <row r="82" spans="1:62" ht="14.25" thickBot="1" x14ac:dyDescent="0.2">
      <c r="A82" s="2" t="s">
        <v>0</v>
      </c>
      <c r="B82" s="256" t="s">
        <v>23</v>
      </c>
      <c r="C82" s="257"/>
      <c r="D82" s="257"/>
      <c r="E82" s="258"/>
      <c r="F82" s="81"/>
      <c r="G82" s="259" t="s">
        <v>24</v>
      </c>
      <c r="H82" s="260"/>
      <c r="I82" s="260"/>
      <c r="J82" s="261"/>
      <c r="K82" s="81"/>
      <c r="L82" s="262" t="s">
        <v>25</v>
      </c>
      <c r="M82" s="263"/>
      <c r="N82" s="263"/>
      <c r="O82" s="264"/>
      <c r="P82" s="81"/>
      <c r="Q82" s="265" t="s">
        <v>26</v>
      </c>
      <c r="R82" s="266"/>
      <c r="S82" s="266"/>
      <c r="T82" s="267"/>
      <c r="U82" s="81"/>
      <c r="V82" s="268" t="s">
        <v>27</v>
      </c>
      <c r="W82" s="269"/>
      <c r="X82" s="269"/>
      <c r="Y82" s="270"/>
      <c r="Z82" s="81"/>
      <c r="AA82" s="272" t="s">
        <v>6</v>
      </c>
      <c r="AC82" s="2" t="s">
        <v>0</v>
      </c>
      <c r="AD82" s="256" t="s">
        <v>23</v>
      </c>
      <c r="AE82" s="257"/>
      <c r="AF82" s="257"/>
      <c r="AG82" s="258"/>
      <c r="AH82" s="81"/>
      <c r="AI82" s="259" t="s">
        <v>24</v>
      </c>
      <c r="AJ82" s="260"/>
      <c r="AK82" s="260"/>
      <c r="AL82" s="261"/>
      <c r="AM82" s="81"/>
      <c r="AN82" s="262" t="s">
        <v>25</v>
      </c>
      <c r="AO82" s="263"/>
      <c r="AP82" s="263"/>
      <c r="AQ82" s="264"/>
      <c r="AR82" s="81"/>
      <c r="AS82" s="265" t="s">
        <v>26</v>
      </c>
      <c r="AT82" s="266"/>
      <c r="AU82" s="266"/>
      <c r="AV82" s="267"/>
      <c r="AW82" s="81"/>
      <c r="AX82" s="268" t="s">
        <v>27</v>
      </c>
      <c r="AY82" s="269"/>
      <c r="AZ82" s="269"/>
      <c r="BA82" s="270"/>
      <c r="BB82" s="81"/>
      <c r="BC82" s="272" t="s">
        <v>6</v>
      </c>
    </row>
    <row r="83" spans="1:62" ht="14.25" thickBot="1" x14ac:dyDescent="0.2">
      <c r="A83" s="2" t="s">
        <v>2</v>
      </c>
      <c r="B83" s="3" t="s">
        <v>3</v>
      </c>
      <c r="C83" s="4" t="s">
        <v>4</v>
      </c>
      <c r="D83" s="5" t="s">
        <v>5</v>
      </c>
      <c r="E83" s="5" t="s">
        <v>20</v>
      </c>
      <c r="F83" s="82" t="s">
        <v>6</v>
      </c>
      <c r="G83" s="89" t="s">
        <v>3</v>
      </c>
      <c r="H83" s="4" t="s">
        <v>4</v>
      </c>
      <c r="I83" s="5" t="s">
        <v>5</v>
      </c>
      <c r="J83" s="5" t="s">
        <v>20</v>
      </c>
      <c r="K83" s="82" t="s">
        <v>6</v>
      </c>
      <c r="L83" s="89" t="s">
        <v>3</v>
      </c>
      <c r="M83" s="4" t="s">
        <v>4</v>
      </c>
      <c r="N83" s="5" t="s">
        <v>5</v>
      </c>
      <c r="O83" s="5" t="s">
        <v>20</v>
      </c>
      <c r="P83" s="82" t="s">
        <v>6</v>
      </c>
      <c r="Q83" s="89" t="s">
        <v>3</v>
      </c>
      <c r="R83" s="4" t="s">
        <v>4</v>
      </c>
      <c r="S83" s="5" t="s">
        <v>5</v>
      </c>
      <c r="T83" s="5" t="s">
        <v>20</v>
      </c>
      <c r="U83" s="82" t="s">
        <v>6</v>
      </c>
      <c r="V83" s="89" t="s">
        <v>3</v>
      </c>
      <c r="W83" s="4" t="s">
        <v>4</v>
      </c>
      <c r="X83" s="5" t="s">
        <v>5</v>
      </c>
      <c r="Y83" s="5" t="s">
        <v>20</v>
      </c>
      <c r="Z83" s="82" t="s">
        <v>6</v>
      </c>
      <c r="AA83" s="273"/>
      <c r="AC83" s="2" t="s">
        <v>2</v>
      </c>
      <c r="AD83" s="3" t="s">
        <v>3</v>
      </c>
      <c r="AE83" s="4" t="s">
        <v>4</v>
      </c>
      <c r="AF83" s="5" t="s">
        <v>5</v>
      </c>
      <c r="AG83" s="5" t="s">
        <v>20</v>
      </c>
      <c r="AH83" s="82" t="s">
        <v>6</v>
      </c>
      <c r="AI83" s="89" t="s">
        <v>3</v>
      </c>
      <c r="AJ83" s="4" t="s">
        <v>4</v>
      </c>
      <c r="AK83" s="5" t="s">
        <v>5</v>
      </c>
      <c r="AL83" s="5" t="s">
        <v>20</v>
      </c>
      <c r="AM83" s="82" t="s">
        <v>6</v>
      </c>
      <c r="AN83" s="89" t="s">
        <v>3</v>
      </c>
      <c r="AO83" s="4" t="s">
        <v>4</v>
      </c>
      <c r="AP83" s="5" t="s">
        <v>5</v>
      </c>
      <c r="AQ83" s="5" t="s">
        <v>20</v>
      </c>
      <c r="AR83" s="82" t="s">
        <v>6</v>
      </c>
      <c r="AS83" s="89" t="s">
        <v>3</v>
      </c>
      <c r="AT83" s="4" t="s">
        <v>4</v>
      </c>
      <c r="AU83" s="5" t="s">
        <v>5</v>
      </c>
      <c r="AV83" s="5" t="s">
        <v>20</v>
      </c>
      <c r="AW83" s="82" t="s">
        <v>6</v>
      </c>
      <c r="AX83" s="89" t="s">
        <v>3</v>
      </c>
      <c r="AY83" s="4" t="s">
        <v>4</v>
      </c>
      <c r="AZ83" s="5" t="s">
        <v>5</v>
      </c>
      <c r="BA83" s="5" t="s">
        <v>20</v>
      </c>
      <c r="BB83" s="82" t="s">
        <v>6</v>
      </c>
      <c r="BC83" s="276"/>
    </row>
    <row r="84" spans="1:62" ht="14.25" thickBot="1" x14ac:dyDescent="0.2">
      <c r="A84" s="40" t="s">
        <v>13</v>
      </c>
      <c r="B84" s="41">
        <f>B78</f>
        <v>10</v>
      </c>
      <c r="C84" s="42">
        <f>C78</f>
        <v>8</v>
      </c>
      <c r="D84" s="42">
        <f t="shared" ref="D84:AA84" si="122">D78</f>
        <v>8</v>
      </c>
      <c r="E84" s="94">
        <f t="shared" si="122"/>
        <v>9</v>
      </c>
      <c r="F84" s="95">
        <f t="shared" si="122"/>
        <v>35</v>
      </c>
      <c r="G84" s="96">
        <f t="shared" si="122"/>
        <v>10</v>
      </c>
      <c r="H84" s="42">
        <f t="shared" si="122"/>
        <v>9</v>
      </c>
      <c r="I84" s="42">
        <f t="shared" si="122"/>
        <v>9</v>
      </c>
      <c r="J84" s="94">
        <f t="shared" si="122"/>
        <v>9</v>
      </c>
      <c r="K84" s="95">
        <f t="shared" si="122"/>
        <v>37</v>
      </c>
      <c r="L84" s="96">
        <f t="shared" si="122"/>
        <v>9</v>
      </c>
      <c r="M84" s="42">
        <f t="shared" si="122"/>
        <v>8</v>
      </c>
      <c r="N84" s="42">
        <f t="shared" si="122"/>
        <v>8</v>
      </c>
      <c r="O84" s="94">
        <f t="shared" si="122"/>
        <v>8</v>
      </c>
      <c r="P84" s="95">
        <f t="shared" si="122"/>
        <v>33</v>
      </c>
      <c r="Q84" s="96">
        <f t="shared" si="122"/>
        <v>11</v>
      </c>
      <c r="R84" s="42">
        <f t="shared" si="122"/>
        <v>0</v>
      </c>
      <c r="S84" s="42">
        <f t="shared" si="122"/>
        <v>6</v>
      </c>
      <c r="T84" s="94">
        <f t="shared" si="122"/>
        <v>8</v>
      </c>
      <c r="U84" s="95">
        <f t="shared" si="122"/>
        <v>25</v>
      </c>
      <c r="V84" s="96">
        <f t="shared" si="122"/>
        <v>6</v>
      </c>
      <c r="W84" s="42">
        <f t="shared" si="122"/>
        <v>11</v>
      </c>
      <c r="X84" s="42">
        <f t="shared" si="122"/>
        <v>11</v>
      </c>
      <c r="Y84" s="94">
        <f t="shared" si="122"/>
        <v>11</v>
      </c>
      <c r="Z84" s="95">
        <f t="shared" si="122"/>
        <v>39</v>
      </c>
      <c r="AA84" s="104">
        <f t="shared" si="122"/>
        <v>169</v>
      </c>
      <c r="AC84" s="40" t="s">
        <v>13</v>
      </c>
      <c r="AD84" s="41">
        <f>AD78</f>
        <v>628</v>
      </c>
      <c r="AE84" s="42">
        <f>AE78</f>
        <v>568</v>
      </c>
      <c r="AF84" s="42">
        <f t="shared" ref="AF84:BC84" si="123">AF78</f>
        <v>573</v>
      </c>
      <c r="AG84" s="94">
        <f t="shared" si="123"/>
        <v>276</v>
      </c>
      <c r="AH84" s="95">
        <f t="shared" si="123"/>
        <v>2045</v>
      </c>
      <c r="AI84" s="96">
        <f t="shared" si="123"/>
        <v>625</v>
      </c>
      <c r="AJ84" s="42">
        <f t="shared" si="123"/>
        <v>567</v>
      </c>
      <c r="AK84" s="42">
        <f t="shared" si="123"/>
        <v>571</v>
      </c>
      <c r="AL84" s="94">
        <f t="shared" si="123"/>
        <v>289</v>
      </c>
      <c r="AM84" s="95">
        <f t="shared" si="123"/>
        <v>2052</v>
      </c>
      <c r="AN84" s="96">
        <f t="shared" si="123"/>
        <v>697</v>
      </c>
      <c r="AO84" s="42">
        <f t="shared" si="123"/>
        <v>688</v>
      </c>
      <c r="AP84" s="42">
        <f t="shared" si="123"/>
        <v>436</v>
      </c>
      <c r="AQ84" s="94">
        <f t="shared" si="123"/>
        <v>112</v>
      </c>
      <c r="AR84" s="95">
        <f t="shared" si="123"/>
        <v>1933</v>
      </c>
      <c r="AS84" s="96">
        <f t="shared" si="123"/>
        <v>157</v>
      </c>
      <c r="AT84" s="42">
        <f t="shared" si="123"/>
        <v>61</v>
      </c>
      <c r="AU84" s="42">
        <f t="shared" si="123"/>
        <v>170</v>
      </c>
      <c r="AV84" s="94">
        <f t="shared" si="123"/>
        <v>111</v>
      </c>
      <c r="AW84" s="95">
        <f t="shared" si="123"/>
        <v>499</v>
      </c>
      <c r="AX84" s="96">
        <f t="shared" si="123"/>
        <v>1597</v>
      </c>
      <c r="AY84" s="42">
        <f t="shared" si="123"/>
        <v>1606</v>
      </c>
      <c r="AZ84" s="42">
        <f t="shared" si="123"/>
        <v>886</v>
      </c>
      <c r="BA84" s="94">
        <f t="shared" si="123"/>
        <v>331</v>
      </c>
      <c r="BB84" s="95">
        <f t="shared" si="123"/>
        <v>4420</v>
      </c>
      <c r="BC84" s="104">
        <f t="shared" si="123"/>
        <v>10949</v>
      </c>
    </row>
    <row r="85" spans="1:62" ht="14.25" thickBot="1" x14ac:dyDescent="0.2">
      <c r="A85" s="9" t="s">
        <v>7</v>
      </c>
      <c r="B85" s="10"/>
      <c r="C85" s="11">
        <v>5</v>
      </c>
      <c r="D85" s="12"/>
      <c r="E85" s="12"/>
      <c r="F85" s="84">
        <f t="shared" ref="F85:F118" si="124">SUM(B85:E85)</f>
        <v>5</v>
      </c>
      <c r="G85" s="90"/>
      <c r="H85" s="11">
        <v>5</v>
      </c>
      <c r="I85" s="12"/>
      <c r="J85" s="12"/>
      <c r="K85" s="84">
        <f t="shared" ref="K85:K118" si="125">SUM(G85:J85)</f>
        <v>5</v>
      </c>
      <c r="L85" s="90"/>
      <c r="M85" s="11">
        <v>5</v>
      </c>
      <c r="N85" s="12"/>
      <c r="O85" s="12"/>
      <c r="P85" s="84">
        <f t="shared" ref="P85:P118" si="126">SUM(L85:O85)</f>
        <v>5</v>
      </c>
      <c r="Q85" s="90"/>
      <c r="R85" s="11"/>
      <c r="S85" s="12">
        <v>5</v>
      </c>
      <c r="T85" s="12"/>
      <c r="U85" s="84">
        <f t="shared" ref="U85:U118" si="127">SUM(Q85:T85)</f>
        <v>5</v>
      </c>
      <c r="V85" s="90">
        <v>5</v>
      </c>
      <c r="W85" s="11"/>
      <c r="X85" s="12"/>
      <c r="Y85" s="12"/>
      <c r="Z85" s="84">
        <f t="shared" ref="Z85:Z118" si="128">SUM(V85:Y85)</f>
        <v>5</v>
      </c>
      <c r="AA85" s="105">
        <f t="shared" ref="AA85:AA118" si="129">Z85+U85+P85+K85+F85</f>
        <v>25</v>
      </c>
      <c r="AB85" s="114">
        <v>45320</v>
      </c>
      <c r="AC85" s="9" t="s">
        <v>158</v>
      </c>
      <c r="AD85" s="10"/>
      <c r="AE85" s="11">
        <v>20</v>
      </c>
      <c r="AF85" s="12"/>
      <c r="AG85" s="12">
        <v>10</v>
      </c>
      <c r="AH85" s="84">
        <f t="shared" ref="AH85:AH118" si="130">SUM(AD85:AG85)</f>
        <v>30</v>
      </c>
      <c r="AI85" s="90"/>
      <c r="AJ85" s="11">
        <v>20</v>
      </c>
      <c r="AK85" s="12"/>
      <c r="AL85" s="12">
        <v>10</v>
      </c>
      <c r="AM85" s="84">
        <f t="shared" ref="AM85:AM118" si="131">SUM(AI85:AL85)</f>
        <v>30</v>
      </c>
      <c r="AN85" s="90">
        <v>20</v>
      </c>
      <c r="AO85" s="11">
        <v>40</v>
      </c>
      <c r="AP85" s="12"/>
      <c r="AQ85" s="12"/>
      <c r="AR85" s="84">
        <f t="shared" ref="AR85:AR118" si="132">SUM(AN85:AQ85)</f>
        <v>60</v>
      </c>
      <c r="AS85" s="90">
        <v>20</v>
      </c>
      <c r="AT85" s="11">
        <v>40</v>
      </c>
      <c r="AU85" s="12"/>
      <c r="AV85" s="12"/>
      <c r="AW85" s="84">
        <f t="shared" ref="AW85:AW118" si="133">SUM(AS85:AV85)</f>
        <v>60</v>
      </c>
      <c r="AX85" s="90">
        <v>20</v>
      </c>
      <c r="AY85" s="11">
        <v>60</v>
      </c>
      <c r="AZ85" s="12"/>
      <c r="BA85" s="12">
        <v>10</v>
      </c>
      <c r="BB85" s="84">
        <f t="shared" ref="BB85:BB118" si="134">SUM(AX85:BA85)</f>
        <v>90</v>
      </c>
      <c r="BC85" s="105">
        <f t="shared" ref="BC85:BC118" si="135">BB85+AW85+AR85+AM85+AH85</f>
        <v>270</v>
      </c>
      <c r="BD85" s="114">
        <v>45332</v>
      </c>
      <c r="BE85" s="162" t="s">
        <v>202</v>
      </c>
      <c r="BF85" s="166" t="s">
        <v>184</v>
      </c>
      <c r="BG85" s="167" t="s">
        <v>185</v>
      </c>
      <c r="BH85" s="167" t="s">
        <v>186</v>
      </c>
      <c r="BI85" s="168" t="s">
        <v>187</v>
      </c>
      <c r="BJ85" s="175" t="s">
        <v>205</v>
      </c>
    </row>
    <row r="86" spans="1:62" ht="14.25" thickBot="1" x14ac:dyDescent="0.2">
      <c r="A86" s="9" t="s">
        <v>8</v>
      </c>
      <c r="B86" s="10"/>
      <c r="C86" s="11"/>
      <c r="D86" s="12"/>
      <c r="E86" s="12">
        <v>5</v>
      </c>
      <c r="F86" s="85">
        <f t="shared" si="124"/>
        <v>5</v>
      </c>
      <c r="G86" s="90">
        <v>5</v>
      </c>
      <c r="H86" s="11"/>
      <c r="I86" s="12"/>
      <c r="J86" s="12">
        <v>5</v>
      </c>
      <c r="K86" s="85">
        <f t="shared" si="125"/>
        <v>10</v>
      </c>
      <c r="L86" s="90">
        <v>5</v>
      </c>
      <c r="M86" s="11"/>
      <c r="N86" s="12">
        <v>5</v>
      </c>
      <c r="O86" s="12">
        <v>5</v>
      </c>
      <c r="P86" s="85">
        <f t="shared" si="126"/>
        <v>15</v>
      </c>
      <c r="Q86" s="90"/>
      <c r="R86" s="11"/>
      <c r="S86" s="12"/>
      <c r="T86" s="12">
        <v>5</v>
      </c>
      <c r="U86" s="85">
        <f t="shared" si="127"/>
        <v>5</v>
      </c>
      <c r="V86" s="90"/>
      <c r="W86" s="11">
        <v>5</v>
      </c>
      <c r="X86" s="12"/>
      <c r="Y86" s="12"/>
      <c r="Z86" s="85">
        <f t="shared" si="128"/>
        <v>5</v>
      </c>
      <c r="AA86" s="105">
        <f t="shared" si="129"/>
        <v>40</v>
      </c>
      <c r="AB86" s="114">
        <v>45339</v>
      </c>
      <c r="AC86" s="9" t="s">
        <v>8</v>
      </c>
      <c r="AD86" s="10"/>
      <c r="AE86" s="11"/>
      <c r="AF86" s="12"/>
      <c r="AG86" s="12"/>
      <c r="AH86" s="85">
        <f t="shared" si="130"/>
        <v>0</v>
      </c>
      <c r="AI86" s="90"/>
      <c r="AJ86" s="11"/>
      <c r="AK86" s="12"/>
      <c r="AL86" s="12"/>
      <c r="AM86" s="85">
        <f t="shared" si="131"/>
        <v>0</v>
      </c>
      <c r="AN86" s="90"/>
      <c r="AO86" s="11"/>
      <c r="AP86" s="12"/>
      <c r="AQ86" s="12"/>
      <c r="AR86" s="85">
        <f t="shared" si="132"/>
        <v>0</v>
      </c>
      <c r="AS86" s="160">
        <f>200-100</f>
        <v>100</v>
      </c>
      <c r="AT86" s="142">
        <f>300-100</f>
        <v>200</v>
      </c>
      <c r="AU86" s="161">
        <v>100</v>
      </c>
      <c r="AV86" s="161">
        <v>100</v>
      </c>
      <c r="AW86" s="85">
        <f t="shared" si="133"/>
        <v>500</v>
      </c>
      <c r="AX86" s="90"/>
      <c r="AY86" s="11"/>
      <c r="AZ86" s="12"/>
      <c r="BA86" s="12"/>
      <c r="BB86" s="85">
        <f t="shared" si="134"/>
        <v>0</v>
      </c>
      <c r="BC86" s="105">
        <f t="shared" si="135"/>
        <v>500</v>
      </c>
      <c r="BD86" s="114" t="s">
        <v>201</v>
      </c>
      <c r="BE86" s="165" t="s">
        <v>189</v>
      </c>
      <c r="BF86" s="155">
        <v>875</v>
      </c>
      <c r="BG86" s="155">
        <v>1437</v>
      </c>
      <c r="BH86" s="155">
        <v>505</v>
      </c>
      <c r="BI86" s="169">
        <v>567</v>
      </c>
      <c r="BJ86" s="176">
        <f>SUM(BF86:BI86)</f>
        <v>3384</v>
      </c>
    </row>
    <row r="87" spans="1:62" x14ac:dyDescent="0.15">
      <c r="A87" s="9" t="s">
        <v>9</v>
      </c>
      <c r="B87" s="15"/>
      <c r="C87" s="16"/>
      <c r="D87" s="17"/>
      <c r="E87" s="17"/>
      <c r="F87" s="85">
        <f t="shared" si="124"/>
        <v>0</v>
      </c>
      <c r="G87" s="91"/>
      <c r="H87" s="16"/>
      <c r="I87" s="17"/>
      <c r="J87" s="17"/>
      <c r="K87" s="85">
        <f t="shared" si="125"/>
        <v>0</v>
      </c>
      <c r="L87" s="91"/>
      <c r="M87" s="16"/>
      <c r="N87" s="17"/>
      <c r="O87" s="17"/>
      <c r="P87" s="85">
        <f t="shared" si="126"/>
        <v>0</v>
      </c>
      <c r="Q87" s="91"/>
      <c r="R87" s="16">
        <v>5</v>
      </c>
      <c r="S87" s="17"/>
      <c r="T87" s="17"/>
      <c r="U87" s="85">
        <f t="shared" si="127"/>
        <v>5</v>
      </c>
      <c r="V87" s="91"/>
      <c r="W87" s="16"/>
      <c r="X87" s="17"/>
      <c r="Y87" s="17"/>
      <c r="Z87" s="85">
        <f t="shared" si="128"/>
        <v>0</v>
      </c>
      <c r="AA87" s="105">
        <f t="shared" si="129"/>
        <v>5</v>
      </c>
      <c r="AB87" s="114">
        <v>45343</v>
      </c>
      <c r="AC87" s="9" t="s">
        <v>158</v>
      </c>
      <c r="AD87" s="15">
        <v>5</v>
      </c>
      <c r="AE87" s="16">
        <v>6</v>
      </c>
      <c r="AF87" s="17">
        <v>7</v>
      </c>
      <c r="AG87" s="17">
        <v>16</v>
      </c>
      <c r="AH87" s="85">
        <f t="shared" ref="AH87" si="136">SUM(AD87:AG87)</f>
        <v>34</v>
      </c>
      <c r="AI87" s="91">
        <v>5</v>
      </c>
      <c r="AJ87" s="16">
        <v>6</v>
      </c>
      <c r="AK87" s="17">
        <v>7</v>
      </c>
      <c r="AL87" s="17">
        <v>16</v>
      </c>
      <c r="AM87" s="85">
        <f t="shared" ref="AM87" si="137">SUM(AI87:AL87)</f>
        <v>34</v>
      </c>
      <c r="AN87" s="91">
        <v>24</v>
      </c>
      <c r="AO87" s="16">
        <v>17</v>
      </c>
      <c r="AP87" s="17">
        <v>11</v>
      </c>
      <c r="AQ87" s="17">
        <v>13</v>
      </c>
      <c r="AR87" s="85">
        <f t="shared" ref="AR87" si="138">SUM(AN87:AQ87)</f>
        <v>65</v>
      </c>
      <c r="AS87" s="91">
        <v>24</v>
      </c>
      <c r="AT87" s="16">
        <v>17</v>
      </c>
      <c r="AU87" s="17">
        <v>11</v>
      </c>
      <c r="AV87" s="17">
        <v>13</v>
      </c>
      <c r="AW87" s="85">
        <f t="shared" ref="AW87" si="139">SUM(AS87:AV87)</f>
        <v>65</v>
      </c>
      <c r="AX87" s="91">
        <v>29</v>
      </c>
      <c r="AY87" s="16">
        <v>23</v>
      </c>
      <c r="AZ87" s="17">
        <v>18</v>
      </c>
      <c r="BA87" s="17">
        <v>29</v>
      </c>
      <c r="BB87" s="85">
        <f t="shared" ref="BB87" si="140">SUM(AX87:BA87)</f>
        <v>99</v>
      </c>
      <c r="BC87" s="105">
        <f t="shared" ref="BC87" si="141">BB87+AW87+AR87+AM87+AH87</f>
        <v>297</v>
      </c>
      <c r="BD87" s="114">
        <v>45387</v>
      </c>
      <c r="BE87" s="163">
        <v>45377</v>
      </c>
      <c r="BF87" s="164">
        <v>100</v>
      </c>
      <c r="BG87" s="164">
        <v>200</v>
      </c>
      <c r="BH87" s="164">
        <v>100</v>
      </c>
      <c r="BI87" s="170">
        <v>100</v>
      </c>
      <c r="BJ87" s="173"/>
    </row>
    <row r="88" spans="1:62" x14ac:dyDescent="0.15">
      <c r="A88" s="9" t="s">
        <v>171</v>
      </c>
      <c r="B88" s="15">
        <v>1</v>
      </c>
      <c r="C88" s="16"/>
      <c r="D88" s="17"/>
      <c r="E88" s="17"/>
      <c r="F88" s="85">
        <f t="shared" si="124"/>
        <v>1</v>
      </c>
      <c r="G88" s="91">
        <v>1</v>
      </c>
      <c r="H88" s="16"/>
      <c r="I88" s="17"/>
      <c r="J88" s="17"/>
      <c r="K88" s="85">
        <f t="shared" si="125"/>
        <v>1</v>
      </c>
      <c r="L88" s="91">
        <v>1</v>
      </c>
      <c r="M88" s="16"/>
      <c r="N88" s="17"/>
      <c r="O88" s="17"/>
      <c r="P88" s="85">
        <f t="shared" si="126"/>
        <v>1</v>
      </c>
      <c r="Q88" s="91">
        <v>1</v>
      </c>
      <c r="R88" s="16"/>
      <c r="S88" s="17"/>
      <c r="T88" s="17"/>
      <c r="U88" s="85">
        <f t="shared" si="127"/>
        <v>1</v>
      </c>
      <c r="V88" s="91">
        <v>2</v>
      </c>
      <c r="W88" s="16"/>
      <c r="X88" s="17"/>
      <c r="Y88" s="17"/>
      <c r="Z88" s="85">
        <f t="shared" si="128"/>
        <v>2</v>
      </c>
      <c r="AA88" s="105">
        <f t="shared" si="129"/>
        <v>6</v>
      </c>
      <c r="AB88" s="115">
        <v>45349</v>
      </c>
      <c r="AC88" s="9" t="s">
        <v>10</v>
      </c>
      <c r="AD88" s="15"/>
      <c r="AE88" s="16"/>
      <c r="AF88" s="17"/>
      <c r="AG88" s="17"/>
      <c r="AH88" s="85">
        <f t="shared" si="130"/>
        <v>0</v>
      </c>
      <c r="AI88" s="91"/>
      <c r="AJ88" s="16"/>
      <c r="AK88" s="17"/>
      <c r="AL88" s="17"/>
      <c r="AM88" s="85">
        <f t="shared" si="131"/>
        <v>0</v>
      </c>
      <c r="AN88" s="91"/>
      <c r="AO88" s="16"/>
      <c r="AP88" s="17"/>
      <c r="AQ88" s="17"/>
      <c r="AR88" s="85">
        <f t="shared" si="132"/>
        <v>0</v>
      </c>
      <c r="AS88" s="91"/>
      <c r="AT88" s="16"/>
      <c r="AU88" s="17"/>
      <c r="AV88" s="17"/>
      <c r="AW88" s="85">
        <f t="shared" si="133"/>
        <v>0</v>
      </c>
      <c r="AX88" s="91"/>
      <c r="AY88" s="16"/>
      <c r="AZ88" s="17"/>
      <c r="BA88" s="17"/>
      <c r="BB88" s="85">
        <f t="shared" si="134"/>
        <v>0</v>
      </c>
      <c r="BC88" s="105">
        <f t="shared" si="135"/>
        <v>0</v>
      </c>
      <c r="BE88" s="151" t="s">
        <v>188</v>
      </c>
      <c r="BF88" s="150">
        <v>550</v>
      </c>
      <c r="BG88" s="150">
        <v>650</v>
      </c>
      <c r="BH88" s="150">
        <v>300</v>
      </c>
      <c r="BI88" s="171">
        <v>100</v>
      </c>
      <c r="BJ88" s="173"/>
    </row>
    <row r="89" spans="1:62" ht="14.25" thickBot="1" x14ac:dyDescent="0.2">
      <c r="A89" s="9" t="s">
        <v>11</v>
      </c>
      <c r="B89" s="15"/>
      <c r="C89" s="16"/>
      <c r="D89" s="17"/>
      <c r="E89" s="17"/>
      <c r="F89" s="92">
        <f t="shared" si="124"/>
        <v>0</v>
      </c>
      <c r="G89" s="91"/>
      <c r="H89" s="16"/>
      <c r="I89" s="17"/>
      <c r="J89" s="17"/>
      <c r="K89" s="92">
        <f t="shared" si="125"/>
        <v>0</v>
      </c>
      <c r="L89" s="91"/>
      <c r="M89" s="16"/>
      <c r="N89" s="17"/>
      <c r="O89" s="17"/>
      <c r="P89" s="92">
        <f t="shared" si="126"/>
        <v>0</v>
      </c>
      <c r="Q89" s="91"/>
      <c r="R89" s="16">
        <v>5</v>
      </c>
      <c r="S89" s="17"/>
      <c r="T89" s="17"/>
      <c r="U89" s="92">
        <f t="shared" si="127"/>
        <v>5</v>
      </c>
      <c r="V89" s="91">
        <v>5</v>
      </c>
      <c r="W89" s="16">
        <v>5</v>
      </c>
      <c r="X89" s="17">
        <v>5</v>
      </c>
      <c r="Y89" s="17">
        <v>5</v>
      </c>
      <c r="Z89" s="92">
        <f t="shared" si="128"/>
        <v>20</v>
      </c>
      <c r="AA89" s="110">
        <f t="shared" si="129"/>
        <v>25</v>
      </c>
      <c r="AB89" s="114">
        <v>45350</v>
      </c>
      <c r="AC89" s="9" t="s">
        <v>11</v>
      </c>
      <c r="AD89" s="15"/>
      <c r="AE89" s="16"/>
      <c r="AF89" s="17"/>
      <c r="AG89" s="17"/>
      <c r="AH89" s="92">
        <f t="shared" si="130"/>
        <v>0</v>
      </c>
      <c r="AI89" s="91"/>
      <c r="AJ89" s="16"/>
      <c r="AK89" s="17"/>
      <c r="AL89" s="17"/>
      <c r="AM89" s="92">
        <f t="shared" si="131"/>
        <v>0</v>
      </c>
      <c r="AN89" s="91"/>
      <c r="AO89" s="16"/>
      <c r="AP89" s="17"/>
      <c r="AQ89" s="17"/>
      <c r="AR89" s="92">
        <f t="shared" si="132"/>
        <v>0</v>
      </c>
      <c r="AS89" s="91"/>
      <c r="AT89" s="16"/>
      <c r="AU89" s="17"/>
      <c r="AV89" s="17"/>
      <c r="AW89" s="92">
        <f t="shared" si="133"/>
        <v>0</v>
      </c>
      <c r="AX89" s="91"/>
      <c r="AY89" s="16"/>
      <c r="AZ89" s="17"/>
      <c r="BA89" s="17"/>
      <c r="BB89" s="92">
        <f t="shared" si="134"/>
        <v>0</v>
      </c>
      <c r="BC89" s="110">
        <f t="shared" si="135"/>
        <v>0</v>
      </c>
      <c r="BE89" s="152">
        <v>45444</v>
      </c>
      <c r="BF89" s="153">
        <v>250</v>
      </c>
      <c r="BG89" s="153">
        <v>250</v>
      </c>
      <c r="BH89" s="153">
        <v>100</v>
      </c>
      <c r="BI89" s="172">
        <v>0</v>
      </c>
      <c r="BJ89" s="173"/>
    </row>
    <row r="90" spans="1:62" ht="14.25" thickBot="1" x14ac:dyDescent="0.2">
      <c r="A90" s="21" t="s">
        <v>16</v>
      </c>
      <c r="B90" s="7">
        <f>SUM(B84:B89)</f>
        <v>11</v>
      </c>
      <c r="C90" s="8">
        <f t="shared" ref="C90:E90" si="142">SUM(C84:C89)</f>
        <v>13</v>
      </c>
      <c r="D90" s="22">
        <f t="shared" si="142"/>
        <v>8</v>
      </c>
      <c r="E90" s="22">
        <f t="shared" si="142"/>
        <v>14</v>
      </c>
      <c r="F90" s="87">
        <f t="shared" si="124"/>
        <v>46</v>
      </c>
      <c r="G90" s="7">
        <f>SUM(G84:G89)</f>
        <v>16</v>
      </c>
      <c r="H90" s="8">
        <f t="shared" ref="H90:J90" si="143">SUM(H84:H89)</f>
        <v>14</v>
      </c>
      <c r="I90" s="22">
        <f t="shared" si="143"/>
        <v>9</v>
      </c>
      <c r="J90" s="22">
        <f t="shared" si="143"/>
        <v>14</v>
      </c>
      <c r="K90" s="87">
        <f t="shared" si="125"/>
        <v>53</v>
      </c>
      <c r="L90" s="7">
        <f>SUM(L84:L89)</f>
        <v>15</v>
      </c>
      <c r="M90" s="8">
        <f t="shared" ref="M90:O90" si="144">SUM(M84:M89)</f>
        <v>13</v>
      </c>
      <c r="N90" s="22">
        <f t="shared" si="144"/>
        <v>13</v>
      </c>
      <c r="O90" s="22">
        <f t="shared" si="144"/>
        <v>13</v>
      </c>
      <c r="P90" s="87">
        <f t="shared" si="126"/>
        <v>54</v>
      </c>
      <c r="Q90" s="7">
        <f>SUM(Q84:Q89)</f>
        <v>12</v>
      </c>
      <c r="R90" s="8">
        <f t="shared" ref="R90:T90" si="145">SUM(R84:R89)</f>
        <v>10</v>
      </c>
      <c r="S90" s="22">
        <f t="shared" si="145"/>
        <v>11</v>
      </c>
      <c r="T90" s="22">
        <f t="shared" si="145"/>
        <v>13</v>
      </c>
      <c r="U90" s="87">
        <f t="shared" si="127"/>
        <v>46</v>
      </c>
      <c r="V90" s="7">
        <f>SUM(V84:V89)</f>
        <v>18</v>
      </c>
      <c r="W90" s="8">
        <f t="shared" ref="W90:Y90" si="146">SUM(W84:W89)</f>
        <v>21</v>
      </c>
      <c r="X90" s="22">
        <f t="shared" si="146"/>
        <v>16</v>
      </c>
      <c r="Y90" s="22">
        <f t="shared" si="146"/>
        <v>16</v>
      </c>
      <c r="Z90" s="87">
        <f t="shared" si="128"/>
        <v>71</v>
      </c>
      <c r="AA90" s="107">
        <f t="shared" si="129"/>
        <v>270</v>
      </c>
      <c r="AC90" s="21" t="s">
        <v>16</v>
      </c>
      <c r="AD90" s="7">
        <f>SUM(AD84:AD89)</f>
        <v>633</v>
      </c>
      <c r="AE90" s="8">
        <f t="shared" ref="AE90:AG90" si="147">SUM(AE84:AE89)</f>
        <v>594</v>
      </c>
      <c r="AF90" s="22">
        <f t="shared" si="147"/>
        <v>580</v>
      </c>
      <c r="AG90" s="22">
        <f t="shared" si="147"/>
        <v>302</v>
      </c>
      <c r="AH90" s="87">
        <f t="shared" si="130"/>
        <v>2109</v>
      </c>
      <c r="AI90" s="7">
        <f>SUM(AI84:AI89)</f>
        <v>630</v>
      </c>
      <c r="AJ90" s="8">
        <f t="shared" ref="AJ90:AL90" si="148">SUM(AJ84:AJ89)</f>
        <v>593</v>
      </c>
      <c r="AK90" s="22">
        <f t="shared" si="148"/>
        <v>578</v>
      </c>
      <c r="AL90" s="22">
        <f t="shared" si="148"/>
        <v>315</v>
      </c>
      <c r="AM90" s="87">
        <f t="shared" si="131"/>
        <v>2116</v>
      </c>
      <c r="AN90" s="7">
        <f>SUM(AN84:AN89)</f>
        <v>741</v>
      </c>
      <c r="AO90" s="8">
        <f t="shared" ref="AO90:AQ90" si="149">SUM(AO84:AO89)</f>
        <v>745</v>
      </c>
      <c r="AP90" s="22">
        <f t="shared" si="149"/>
        <v>447</v>
      </c>
      <c r="AQ90" s="22">
        <f t="shared" si="149"/>
        <v>125</v>
      </c>
      <c r="AR90" s="87">
        <f t="shared" si="132"/>
        <v>2058</v>
      </c>
      <c r="AS90" s="7">
        <f>SUM(AS84:AS89)</f>
        <v>301</v>
      </c>
      <c r="AT90" s="8">
        <f t="shared" ref="AT90:AV90" si="150">SUM(AT84:AT89)</f>
        <v>318</v>
      </c>
      <c r="AU90" s="22">
        <f t="shared" si="150"/>
        <v>281</v>
      </c>
      <c r="AV90" s="22">
        <f t="shared" si="150"/>
        <v>224</v>
      </c>
      <c r="AW90" s="87">
        <f t="shared" si="133"/>
        <v>1124</v>
      </c>
      <c r="AX90" s="7">
        <f>SUM(AX84:AX89)</f>
        <v>1646</v>
      </c>
      <c r="AY90" s="8">
        <f t="shared" ref="AY90:BA90" si="151">SUM(AY84:AY89)</f>
        <v>1689</v>
      </c>
      <c r="AZ90" s="22">
        <f t="shared" si="151"/>
        <v>904</v>
      </c>
      <c r="BA90" s="22">
        <f t="shared" si="151"/>
        <v>370</v>
      </c>
      <c r="BB90" s="87">
        <f t="shared" si="134"/>
        <v>4609</v>
      </c>
      <c r="BC90" s="107">
        <f t="shared" si="135"/>
        <v>12016</v>
      </c>
      <c r="BE90" s="154" t="s">
        <v>190</v>
      </c>
      <c r="BF90" s="155">
        <v>-25</v>
      </c>
      <c r="BG90" s="155">
        <v>337</v>
      </c>
      <c r="BH90" s="155">
        <v>5</v>
      </c>
      <c r="BI90" s="169">
        <v>367</v>
      </c>
      <c r="BJ90" s="174"/>
    </row>
    <row r="91" spans="1:62" x14ac:dyDescent="0.15">
      <c r="A91" s="23" t="s">
        <v>124</v>
      </c>
      <c r="B91" s="39"/>
      <c r="C91" s="13">
        <v>1</v>
      </c>
      <c r="D91" s="14"/>
      <c r="E91" s="14"/>
      <c r="F91" s="83">
        <f t="shared" si="124"/>
        <v>1</v>
      </c>
      <c r="G91" s="39"/>
      <c r="H91" s="13">
        <v>1</v>
      </c>
      <c r="I91" s="14"/>
      <c r="J91" s="14"/>
      <c r="K91" s="83">
        <f t="shared" si="125"/>
        <v>1</v>
      </c>
      <c r="L91" s="39"/>
      <c r="M91" s="13"/>
      <c r="N91" s="14"/>
      <c r="O91" s="14"/>
      <c r="P91" s="83">
        <f t="shared" si="126"/>
        <v>0</v>
      </c>
      <c r="Q91" s="39"/>
      <c r="R91" s="13"/>
      <c r="S91" s="14"/>
      <c r="T91" s="14"/>
      <c r="U91" s="83">
        <f t="shared" si="127"/>
        <v>0</v>
      </c>
      <c r="V91" s="39"/>
      <c r="W91" s="13">
        <v>1</v>
      </c>
      <c r="X91" s="14"/>
      <c r="Y91" s="14"/>
      <c r="Z91" s="83">
        <f t="shared" si="128"/>
        <v>1</v>
      </c>
      <c r="AA91" s="108">
        <f t="shared" si="129"/>
        <v>3</v>
      </c>
      <c r="AB91" s="115">
        <v>45307</v>
      </c>
      <c r="AC91" s="138" t="s">
        <v>156</v>
      </c>
      <c r="AD91" s="15"/>
      <c r="AE91" s="16">
        <v>20</v>
      </c>
      <c r="AF91" s="17"/>
      <c r="AG91" s="17">
        <v>10</v>
      </c>
      <c r="AH91" s="85">
        <f t="shared" si="130"/>
        <v>30</v>
      </c>
      <c r="AI91" s="15"/>
      <c r="AJ91" s="16">
        <v>20</v>
      </c>
      <c r="AK91" s="17"/>
      <c r="AL91" s="17">
        <v>10</v>
      </c>
      <c r="AM91" s="85">
        <f t="shared" si="131"/>
        <v>30</v>
      </c>
      <c r="AN91" s="15"/>
      <c r="AO91" s="16"/>
      <c r="AP91" s="17"/>
      <c r="AQ91" s="17"/>
      <c r="AR91" s="85">
        <f t="shared" si="132"/>
        <v>0</v>
      </c>
      <c r="AS91" s="15"/>
      <c r="AT91" s="16"/>
      <c r="AU91" s="17"/>
      <c r="AV91" s="17"/>
      <c r="AW91" s="85">
        <f t="shared" si="133"/>
        <v>0</v>
      </c>
      <c r="AX91" s="15"/>
      <c r="AY91" s="16">
        <v>20</v>
      </c>
      <c r="AZ91" s="17"/>
      <c r="BA91" s="17">
        <v>10</v>
      </c>
      <c r="BB91" s="85">
        <f t="shared" ref="BB91:BB114" si="152">SUM(AX91:BA91)</f>
        <v>30</v>
      </c>
      <c r="BC91" s="105">
        <f t="shared" ref="BC91:BC114" si="153">BB91+AW91+AR91+AM91+AH91</f>
        <v>90</v>
      </c>
      <c r="BD91" s="114">
        <v>45330</v>
      </c>
      <c r="BE91" s="114"/>
    </row>
    <row r="92" spans="1:62" x14ac:dyDescent="0.15">
      <c r="A92" s="23" t="s">
        <v>124</v>
      </c>
      <c r="B92" s="15"/>
      <c r="C92" s="16"/>
      <c r="D92" s="17"/>
      <c r="E92" s="17"/>
      <c r="F92" s="85">
        <f t="shared" si="124"/>
        <v>0</v>
      </c>
      <c r="G92" s="15"/>
      <c r="H92" s="16"/>
      <c r="I92" s="17"/>
      <c r="J92" s="17"/>
      <c r="K92" s="85">
        <f t="shared" si="125"/>
        <v>0</v>
      </c>
      <c r="L92" s="15"/>
      <c r="M92" s="16"/>
      <c r="N92" s="17"/>
      <c r="O92" s="17">
        <v>1</v>
      </c>
      <c r="P92" s="85">
        <f t="shared" si="126"/>
        <v>1</v>
      </c>
      <c r="Q92" s="15"/>
      <c r="R92" s="16"/>
      <c r="S92" s="17"/>
      <c r="T92" s="17">
        <v>1</v>
      </c>
      <c r="U92" s="85">
        <f t="shared" si="127"/>
        <v>1</v>
      </c>
      <c r="V92" s="15"/>
      <c r="W92" s="16"/>
      <c r="X92" s="17"/>
      <c r="Y92" s="17">
        <v>1</v>
      </c>
      <c r="Z92" s="85">
        <f t="shared" si="128"/>
        <v>1</v>
      </c>
      <c r="AA92" s="105">
        <f t="shared" si="129"/>
        <v>3</v>
      </c>
      <c r="AB92" s="115">
        <v>45309</v>
      </c>
      <c r="AC92" s="138" t="s">
        <v>157</v>
      </c>
      <c r="AD92" s="15"/>
      <c r="AE92" s="16"/>
      <c r="AF92" s="17"/>
      <c r="AG92" s="17"/>
      <c r="AH92" s="85">
        <f t="shared" si="130"/>
        <v>0</v>
      </c>
      <c r="AI92" s="15"/>
      <c r="AJ92" s="16"/>
      <c r="AK92" s="17"/>
      <c r="AL92" s="17"/>
      <c r="AM92" s="85">
        <f t="shared" si="131"/>
        <v>0</v>
      </c>
      <c r="AN92" s="15">
        <v>20</v>
      </c>
      <c r="AO92" s="16">
        <v>40</v>
      </c>
      <c r="AP92" s="17"/>
      <c r="AQ92" s="17"/>
      <c r="AR92" s="85">
        <f t="shared" si="132"/>
        <v>60</v>
      </c>
      <c r="AS92" s="15">
        <v>20</v>
      </c>
      <c r="AT92" s="16">
        <v>40</v>
      </c>
      <c r="AU92" s="17"/>
      <c r="AV92" s="17"/>
      <c r="AW92" s="85">
        <f t="shared" si="133"/>
        <v>60</v>
      </c>
      <c r="AX92" s="15">
        <v>20</v>
      </c>
      <c r="AY92" s="16">
        <v>40</v>
      </c>
      <c r="AZ92" s="17"/>
      <c r="BA92" s="17"/>
      <c r="BB92" s="85">
        <f t="shared" si="152"/>
        <v>60</v>
      </c>
      <c r="BC92" s="105">
        <f t="shared" si="153"/>
        <v>180</v>
      </c>
      <c r="BD92" s="114">
        <v>45330</v>
      </c>
      <c r="BE92" s="114"/>
    </row>
    <row r="93" spans="1:62" x14ac:dyDescent="0.15">
      <c r="A93" s="23" t="s">
        <v>124</v>
      </c>
      <c r="B93" s="15"/>
      <c r="C93" s="16"/>
      <c r="D93" s="17"/>
      <c r="E93" s="17"/>
      <c r="F93" s="85">
        <f t="shared" si="124"/>
        <v>0</v>
      </c>
      <c r="G93" s="15"/>
      <c r="H93" s="16"/>
      <c r="I93" s="17"/>
      <c r="J93" s="17"/>
      <c r="K93" s="85">
        <f t="shared" si="125"/>
        <v>0</v>
      </c>
      <c r="L93" s="15"/>
      <c r="M93" s="16"/>
      <c r="N93" s="17">
        <v>1</v>
      </c>
      <c r="O93" s="17"/>
      <c r="P93" s="85">
        <f t="shared" si="126"/>
        <v>1</v>
      </c>
      <c r="Q93" s="15"/>
      <c r="R93" s="16"/>
      <c r="S93" s="17">
        <v>1</v>
      </c>
      <c r="T93" s="17"/>
      <c r="U93" s="85">
        <f t="shared" si="127"/>
        <v>1</v>
      </c>
      <c r="V93" s="15"/>
      <c r="W93" s="16"/>
      <c r="X93" s="17">
        <v>1</v>
      </c>
      <c r="Y93" s="17"/>
      <c r="Z93" s="85">
        <f t="shared" si="128"/>
        <v>1</v>
      </c>
      <c r="AA93" s="105">
        <f t="shared" si="129"/>
        <v>3</v>
      </c>
      <c r="AB93" s="115">
        <v>45311</v>
      </c>
      <c r="AC93" s="138" t="s">
        <v>159</v>
      </c>
      <c r="AD93" s="15">
        <v>5</v>
      </c>
      <c r="AE93" s="16">
        <v>5</v>
      </c>
      <c r="AF93" s="17">
        <v>5</v>
      </c>
      <c r="AG93" s="17">
        <v>10</v>
      </c>
      <c r="AH93" s="85">
        <f t="shared" si="130"/>
        <v>25</v>
      </c>
      <c r="AI93" s="15">
        <v>5</v>
      </c>
      <c r="AJ93" s="16">
        <v>5</v>
      </c>
      <c r="AK93" s="17">
        <v>5</v>
      </c>
      <c r="AL93" s="17">
        <v>10</v>
      </c>
      <c r="AM93" s="85">
        <f t="shared" si="131"/>
        <v>25</v>
      </c>
      <c r="AN93" s="15"/>
      <c r="AO93" s="16"/>
      <c r="AP93" s="17"/>
      <c r="AQ93" s="17"/>
      <c r="AR93" s="85">
        <f t="shared" si="132"/>
        <v>0</v>
      </c>
      <c r="AS93" s="15"/>
      <c r="AT93" s="16"/>
      <c r="AU93" s="17"/>
      <c r="AV93" s="17"/>
      <c r="AW93" s="85">
        <f t="shared" si="133"/>
        <v>0</v>
      </c>
      <c r="AX93" s="15">
        <v>5</v>
      </c>
      <c r="AY93" s="16">
        <v>5</v>
      </c>
      <c r="AZ93" s="17">
        <v>5</v>
      </c>
      <c r="BA93" s="17">
        <v>10</v>
      </c>
      <c r="BB93" s="85">
        <f t="shared" si="152"/>
        <v>25</v>
      </c>
      <c r="BC93" s="105">
        <f t="shared" si="153"/>
        <v>75</v>
      </c>
      <c r="BD93" s="114">
        <v>45332</v>
      </c>
      <c r="BE93" s="114"/>
      <c r="BF93" s="25"/>
    </row>
    <row r="94" spans="1:62" x14ac:dyDescent="0.15">
      <c r="A94" s="23" t="s">
        <v>96</v>
      </c>
      <c r="B94" s="15">
        <v>1</v>
      </c>
      <c r="C94" s="16">
        <v>1</v>
      </c>
      <c r="D94" s="17">
        <v>1</v>
      </c>
      <c r="E94" s="17"/>
      <c r="F94" s="85">
        <f t="shared" si="124"/>
        <v>3</v>
      </c>
      <c r="G94" s="15">
        <v>2</v>
      </c>
      <c r="H94" s="16">
        <v>2</v>
      </c>
      <c r="I94" s="17">
        <v>1</v>
      </c>
      <c r="J94" s="17"/>
      <c r="K94" s="85">
        <f t="shared" si="125"/>
        <v>5</v>
      </c>
      <c r="L94" s="15">
        <v>2</v>
      </c>
      <c r="M94" s="16">
        <v>2</v>
      </c>
      <c r="N94" s="17"/>
      <c r="O94" s="17"/>
      <c r="P94" s="85">
        <f t="shared" si="126"/>
        <v>4</v>
      </c>
      <c r="Q94" s="15">
        <v>1</v>
      </c>
      <c r="R94" s="16"/>
      <c r="S94" s="17"/>
      <c r="T94" s="17"/>
      <c r="U94" s="85">
        <f t="shared" si="127"/>
        <v>1</v>
      </c>
      <c r="V94" s="15"/>
      <c r="W94" s="16"/>
      <c r="X94" s="17"/>
      <c r="Y94" s="17"/>
      <c r="Z94" s="85">
        <f t="shared" si="128"/>
        <v>0</v>
      </c>
      <c r="AA94" s="105">
        <f t="shared" si="129"/>
        <v>13</v>
      </c>
      <c r="AB94" s="114">
        <v>45314</v>
      </c>
      <c r="AC94" s="138" t="s">
        <v>160</v>
      </c>
      <c r="AD94" s="15"/>
      <c r="AE94" s="16"/>
      <c r="AF94" s="17"/>
      <c r="AG94" s="17"/>
      <c r="AH94" s="85">
        <f t="shared" si="130"/>
        <v>0</v>
      </c>
      <c r="AI94" s="15"/>
      <c r="AJ94" s="16"/>
      <c r="AK94" s="17"/>
      <c r="AL94" s="17"/>
      <c r="AM94" s="85">
        <f t="shared" si="131"/>
        <v>0</v>
      </c>
      <c r="AN94" s="15">
        <v>10</v>
      </c>
      <c r="AO94" s="16">
        <v>10</v>
      </c>
      <c r="AP94" s="17"/>
      <c r="AQ94" s="17">
        <v>10</v>
      </c>
      <c r="AR94" s="85">
        <f t="shared" si="132"/>
        <v>30</v>
      </c>
      <c r="AS94" s="15">
        <v>10</v>
      </c>
      <c r="AT94" s="16">
        <v>10</v>
      </c>
      <c r="AU94" s="17"/>
      <c r="AV94" s="17">
        <v>10</v>
      </c>
      <c r="AW94" s="85">
        <f t="shared" si="133"/>
        <v>30</v>
      </c>
      <c r="AX94" s="15">
        <v>10</v>
      </c>
      <c r="AY94" s="16">
        <v>10</v>
      </c>
      <c r="AZ94" s="17"/>
      <c r="BA94" s="17">
        <v>10</v>
      </c>
      <c r="BB94" s="85">
        <f t="shared" si="152"/>
        <v>30</v>
      </c>
      <c r="BC94" s="105">
        <f t="shared" si="153"/>
        <v>90</v>
      </c>
      <c r="BD94" s="114">
        <v>45332</v>
      </c>
      <c r="BE94" s="114"/>
      <c r="BF94" s="25"/>
    </row>
    <row r="95" spans="1:62" x14ac:dyDescent="0.15">
      <c r="A95" s="23" t="s">
        <v>124</v>
      </c>
      <c r="B95" s="15"/>
      <c r="C95" s="16"/>
      <c r="D95" s="17"/>
      <c r="E95" s="17">
        <v>1</v>
      </c>
      <c r="F95" s="85">
        <f t="shared" si="124"/>
        <v>1</v>
      </c>
      <c r="G95" s="15"/>
      <c r="H95" s="16"/>
      <c r="I95" s="17"/>
      <c r="J95" s="17">
        <v>1</v>
      </c>
      <c r="K95" s="85">
        <f t="shared" si="125"/>
        <v>1</v>
      </c>
      <c r="L95" s="15"/>
      <c r="M95" s="16"/>
      <c r="N95" s="17"/>
      <c r="O95" s="17"/>
      <c r="P95" s="85">
        <f t="shared" si="126"/>
        <v>0</v>
      </c>
      <c r="Q95" s="15"/>
      <c r="R95" s="16"/>
      <c r="S95" s="17"/>
      <c r="T95" s="17"/>
      <c r="U95" s="85">
        <f t="shared" si="127"/>
        <v>0</v>
      </c>
      <c r="V95" s="15"/>
      <c r="W95" s="16"/>
      <c r="X95" s="17"/>
      <c r="Y95" s="17">
        <v>1</v>
      </c>
      <c r="Z95" s="85">
        <f t="shared" si="128"/>
        <v>1</v>
      </c>
      <c r="AA95" s="105">
        <f t="shared" si="129"/>
        <v>3</v>
      </c>
      <c r="AB95" s="115">
        <v>45316</v>
      </c>
      <c r="AC95" s="54" t="s">
        <v>163</v>
      </c>
      <c r="AD95" s="15">
        <v>2</v>
      </c>
      <c r="AE95" s="16">
        <v>5</v>
      </c>
      <c r="AF95" s="17">
        <v>2</v>
      </c>
      <c r="AG95" s="17">
        <v>2</v>
      </c>
      <c r="AH95" s="85">
        <f t="shared" si="130"/>
        <v>11</v>
      </c>
      <c r="AI95" s="15">
        <v>2</v>
      </c>
      <c r="AJ95" s="16">
        <v>5</v>
      </c>
      <c r="AK95" s="17">
        <v>3</v>
      </c>
      <c r="AL95" s="17">
        <v>1</v>
      </c>
      <c r="AM95" s="85">
        <f t="shared" si="131"/>
        <v>11</v>
      </c>
      <c r="AN95" s="15">
        <v>3</v>
      </c>
      <c r="AO95" s="16"/>
      <c r="AP95" s="17">
        <v>2</v>
      </c>
      <c r="AQ95" s="17">
        <v>1</v>
      </c>
      <c r="AR95" s="85">
        <f t="shared" si="132"/>
        <v>6</v>
      </c>
      <c r="AS95" s="15">
        <v>3</v>
      </c>
      <c r="AT95" s="16">
        <v>3</v>
      </c>
      <c r="AU95" s="17">
        <v>4</v>
      </c>
      <c r="AV95" s="17"/>
      <c r="AW95" s="85">
        <f t="shared" si="133"/>
        <v>10</v>
      </c>
      <c r="AX95" s="15">
        <v>2</v>
      </c>
      <c r="AY95" s="16">
        <v>4</v>
      </c>
      <c r="AZ95" s="17">
        <v>1</v>
      </c>
      <c r="BA95" s="17"/>
      <c r="BB95" s="85">
        <f t="shared" si="152"/>
        <v>7</v>
      </c>
      <c r="BC95" s="105">
        <f t="shared" si="153"/>
        <v>45</v>
      </c>
      <c r="BD95" s="114">
        <v>45341</v>
      </c>
      <c r="BE95" s="114"/>
    </row>
    <row r="96" spans="1:62" x14ac:dyDescent="0.15">
      <c r="A96" s="23" t="s">
        <v>124</v>
      </c>
      <c r="B96" s="15"/>
      <c r="C96" s="16">
        <v>1</v>
      </c>
      <c r="D96" s="17"/>
      <c r="E96" s="17"/>
      <c r="F96" s="85">
        <f t="shared" si="124"/>
        <v>1</v>
      </c>
      <c r="G96" s="15"/>
      <c r="H96" s="16">
        <v>1</v>
      </c>
      <c r="I96" s="17"/>
      <c r="J96" s="17"/>
      <c r="K96" s="85">
        <f t="shared" si="125"/>
        <v>1</v>
      </c>
      <c r="L96" s="15"/>
      <c r="M96" s="16"/>
      <c r="N96" s="17"/>
      <c r="O96" s="17"/>
      <c r="P96" s="85">
        <f t="shared" si="126"/>
        <v>0</v>
      </c>
      <c r="Q96" s="15"/>
      <c r="R96" s="16"/>
      <c r="S96" s="17"/>
      <c r="T96" s="17"/>
      <c r="U96" s="85">
        <f t="shared" si="127"/>
        <v>0</v>
      </c>
      <c r="V96" s="15"/>
      <c r="W96" s="16">
        <v>1</v>
      </c>
      <c r="X96" s="17"/>
      <c r="Y96" s="17"/>
      <c r="Z96" s="85">
        <f t="shared" si="128"/>
        <v>1</v>
      </c>
      <c r="AA96" s="105">
        <f t="shared" si="129"/>
        <v>3</v>
      </c>
      <c r="AB96" s="115">
        <v>45317</v>
      </c>
      <c r="AC96" s="23" t="s">
        <v>35</v>
      </c>
      <c r="AD96" s="15"/>
      <c r="AE96" s="16"/>
      <c r="AF96" s="17"/>
      <c r="AG96" s="17">
        <v>5</v>
      </c>
      <c r="AH96" s="85">
        <f t="shared" si="130"/>
        <v>5</v>
      </c>
      <c r="AI96" s="15">
        <v>5</v>
      </c>
      <c r="AJ96" s="16"/>
      <c r="AK96" s="17"/>
      <c r="AL96" s="17">
        <v>5</v>
      </c>
      <c r="AM96" s="85">
        <f t="shared" si="131"/>
        <v>10</v>
      </c>
      <c r="AN96" s="15">
        <v>5</v>
      </c>
      <c r="AO96" s="16"/>
      <c r="AP96" s="17">
        <v>5</v>
      </c>
      <c r="AQ96" s="17">
        <v>5</v>
      </c>
      <c r="AR96" s="85">
        <f t="shared" si="132"/>
        <v>15</v>
      </c>
      <c r="AS96" s="15"/>
      <c r="AT96" s="16"/>
      <c r="AU96" s="17"/>
      <c r="AV96" s="17">
        <v>5</v>
      </c>
      <c r="AW96" s="85">
        <f t="shared" si="133"/>
        <v>5</v>
      </c>
      <c r="AX96" s="15"/>
      <c r="AY96" s="16">
        <v>5</v>
      </c>
      <c r="AZ96" s="17"/>
      <c r="BA96" s="17"/>
      <c r="BB96" s="85">
        <f t="shared" si="152"/>
        <v>5</v>
      </c>
      <c r="BC96" s="105">
        <f t="shared" si="153"/>
        <v>40</v>
      </c>
      <c r="BD96" s="114">
        <v>45339</v>
      </c>
      <c r="BE96" s="114"/>
    </row>
    <row r="97" spans="1:57" x14ac:dyDescent="0.15">
      <c r="A97" s="23" t="s">
        <v>124</v>
      </c>
      <c r="B97" s="15"/>
      <c r="C97" s="16">
        <v>1</v>
      </c>
      <c r="D97" s="17"/>
      <c r="E97" s="17"/>
      <c r="F97" s="85">
        <f t="shared" si="124"/>
        <v>1</v>
      </c>
      <c r="G97" s="15"/>
      <c r="H97" s="16">
        <v>1</v>
      </c>
      <c r="I97" s="17"/>
      <c r="J97" s="17"/>
      <c r="K97" s="85">
        <f t="shared" si="125"/>
        <v>1</v>
      </c>
      <c r="L97" s="15"/>
      <c r="M97" s="16"/>
      <c r="N97" s="17"/>
      <c r="O97" s="17"/>
      <c r="P97" s="85">
        <f t="shared" si="126"/>
        <v>0</v>
      </c>
      <c r="Q97" s="15"/>
      <c r="R97" s="16"/>
      <c r="S97" s="17"/>
      <c r="T97" s="17"/>
      <c r="U97" s="85">
        <f t="shared" si="127"/>
        <v>0</v>
      </c>
      <c r="V97" s="15"/>
      <c r="W97" s="16">
        <v>1</v>
      </c>
      <c r="X97" s="17"/>
      <c r="Y97" s="17"/>
      <c r="Z97" s="85">
        <f t="shared" si="128"/>
        <v>1</v>
      </c>
      <c r="AA97" s="105">
        <f t="shared" si="129"/>
        <v>3</v>
      </c>
      <c r="AB97" s="114">
        <v>45320</v>
      </c>
      <c r="AC97" s="23" t="s">
        <v>35</v>
      </c>
      <c r="AD97" s="15"/>
      <c r="AE97" s="16"/>
      <c r="AF97" s="17"/>
      <c r="AG97" s="17"/>
      <c r="AH97" s="85">
        <f t="shared" si="130"/>
        <v>0</v>
      </c>
      <c r="AI97" s="15"/>
      <c r="AJ97" s="16"/>
      <c r="AK97" s="17"/>
      <c r="AL97" s="17"/>
      <c r="AM97" s="85">
        <f t="shared" si="131"/>
        <v>0</v>
      </c>
      <c r="AN97" s="15"/>
      <c r="AO97" s="16"/>
      <c r="AP97" s="17"/>
      <c r="AQ97" s="17"/>
      <c r="AR97" s="85">
        <f t="shared" si="132"/>
        <v>0</v>
      </c>
      <c r="AS97" s="15"/>
      <c r="AT97" s="16">
        <v>5</v>
      </c>
      <c r="AU97" s="17"/>
      <c r="AV97" s="17"/>
      <c r="AW97" s="85">
        <f t="shared" si="133"/>
        <v>5</v>
      </c>
      <c r="AX97" s="15"/>
      <c r="AY97" s="16"/>
      <c r="AZ97" s="17"/>
      <c r="BA97" s="17"/>
      <c r="BB97" s="85">
        <f t="shared" si="152"/>
        <v>0</v>
      </c>
      <c r="BC97" s="105">
        <f t="shared" si="153"/>
        <v>5</v>
      </c>
      <c r="BD97" s="114">
        <v>45343</v>
      </c>
      <c r="BE97" s="114"/>
    </row>
    <row r="98" spans="1:57" x14ac:dyDescent="0.15">
      <c r="A98" s="23" t="s">
        <v>96</v>
      </c>
      <c r="B98" s="15"/>
      <c r="C98" s="16"/>
      <c r="D98" s="17"/>
      <c r="E98" s="17"/>
      <c r="F98" s="85">
        <f t="shared" si="124"/>
        <v>0</v>
      </c>
      <c r="G98" s="15"/>
      <c r="H98" s="16"/>
      <c r="I98" s="17"/>
      <c r="J98" s="17"/>
      <c r="K98" s="85">
        <f t="shared" si="125"/>
        <v>0</v>
      </c>
      <c r="L98" s="15"/>
      <c r="M98" s="16"/>
      <c r="N98" s="17">
        <v>1</v>
      </c>
      <c r="O98" s="17"/>
      <c r="P98" s="85">
        <f t="shared" si="126"/>
        <v>1</v>
      </c>
      <c r="Q98" s="15"/>
      <c r="R98" s="16"/>
      <c r="S98" s="17">
        <v>1</v>
      </c>
      <c r="T98" s="17"/>
      <c r="U98" s="85">
        <f t="shared" si="127"/>
        <v>1</v>
      </c>
      <c r="V98" s="15"/>
      <c r="W98" s="16"/>
      <c r="X98" s="17"/>
      <c r="Y98" s="17"/>
      <c r="Z98" s="85">
        <f t="shared" si="128"/>
        <v>0</v>
      </c>
      <c r="AA98" s="105">
        <f t="shared" si="129"/>
        <v>2</v>
      </c>
      <c r="AB98" s="114">
        <v>45322</v>
      </c>
      <c r="AC98" s="54" t="s">
        <v>168</v>
      </c>
      <c r="AD98" s="15"/>
      <c r="AE98" s="16">
        <v>1</v>
      </c>
      <c r="AF98" s="17"/>
      <c r="AG98" s="17"/>
      <c r="AH98" s="85">
        <f t="shared" si="130"/>
        <v>1</v>
      </c>
      <c r="AI98" s="15"/>
      <c r="AJ98" s="16"/>
      <c r="AK98" s="17"/>
      <c r="AL98" s="17"/>
      <c r="AM98" s="85">
        <f t="shared" si="131"/>
        <v>0</v>
      </c>
      <c r="AN98" s="15"/>
      <c r="AO98" s="16">
        <v>1</v>
      </c>
      <c r="AP98" s="17"/>
      <c r="AQ98" s="17">
        <v>1</v>
      </c>
      <c r="AR98" s="85">
        <f t="shared" si="132"/>
        <v>2</v>
      </c>
      <c r="AS98" s="15"/>
      <c r="AT98" s="16">
        <v>1</v>
      </c>
      <c r="AU98" s="17"/>
      <c r="AV98" s="17"/>
      <c r="AW98" s="85">
        <f t="shared" si="133"/>
        <v>1</v>
      </c>
      <c r="AX98" s="15"/>
      <c r="AY98" s="16">
        <v>1</v>
      </c>
      <c r="AZ98" s="17">
        <v>1</v>
      </c>
      <c r="BA98" s="17">
        <v>1</v>
      </c>
      <c r="BB98" s="85">
        <f t="shared" si="152"/>
        <v>3</v>
      </c>
      <c r="BC98" s="105">
        <f t="shared" si="153"/>
        <v>7</v>
      </c>
      <c r="BD98" s="114">
        <v>45352</v>
      </c>
      <c r="BE98" s="114"/>
    </row>
    <row r="99" spans="1:57" x14ac:dyDescent="0.15">
      <c r="A99" s="53" t="s">
        <v>149</v>
      </c>
      <c r="B99" s="15"/>
      <c r="C99" s="16"/>
      <c r="D99" s="17"/>
      <c r="E99" s="17">
        <v>1</v>
      </c>
      <c r="F99" s="85">
        <f t="shared" si="124"/>
        <v>1</v>
      </c>
      <c r="G99" s="15"/>
      <c r="H99" s="16"/>
      <c r="I99" s="17"/>
      <c r="J99" s="17">
        <v>1</v>
      </c>
      <c r="K99" s="85">
        <f t="shared" si="125"/>
        <v>1</v>
      </c>
      <c r="L99" s="15"/>
      <c r="M99" s="16"/>
      <c r="N99" s="17"/>
      <c r="O99" s="17">
        <v>1</v>
      </c>
      <c r="P99" s="85">
        <f t="shared" si="126"/>
        <v>1</v>
      </c>
      <c r="Q99" s="15"/>
      <c r="R99" s="16"/>
      <c r="S99" s="17"/>
      <c r="T99" s="17">
        <v>1</v>
      </c>
      <c r="U99" s="85">
        <f t="shared" si="127"/>
        <v>1</v>
      </c>
      <c r="V99" s="15"/>
      <c r="W99" s="16"/>
      <c r="X99" s="17"/>
      <c r="Y99" s="17">
        <v>1</v>
      </c>
      <c r="Z99" s="85">
        <f t="shared" si="128"/>
        <v>1</v>
      </c>
      <c r="AA99" s="105">
        <f t="shared" si="129"/>
        <v>5</v>
      </c>
      <c r="AB99" s="114">
        <v>45325</v>
      </c>
      <c r="AC99" s="23" t="s">
        <v>35</v>
      </c>
      <c r="AD99" s="15"/>
      <c r="AE99" s="16"/>
      <c r="AF99" s="17"/>
      <c r="AG99" s="17"/>
      <c r="AH99" s="85">
        <f t="shared" si="130"/>
        <v>0</v>
      </c>
      <c r="AI99" s="15"/>
      <c r="AJ99" s="16"/>
      <c r="AK99" s="17"/>
      <c r="AL99" s="17"/>
      <c r="AM99" s="85">
        <f t="shared" si="131"/>
        <v>0</v>
      </c>
      <c r="AN99" s="15"/>
      <c r="AO99" s="16"/>
      <c r="AP99" s="17"/>
      <c r="AQ99" s="17"/>
      <c r="AR99" s="85">
        <f t="shared" si="132"/>
        <v>0</v>
      </c>
      <c r="AS99" s="15"/>
      <c r="AT99" s="16">
        <v>5</v>
      </c>
      <c r="AU99" s="17"/>
      <c r="AV99" s="17"/>
      <c r="AW99" s="85">
        <f t="shared" si="133"/>
        <v>5</v>
      </c>
      <c r="AX99" s="15">
        <v>5</v>
      </c>
      <c r="AY99" s="16">
        <v>5</v>
      </c>
      <c r="AZ99" s="17">
        <v>5</v>
      </c>
      <c r="BA99" s="17">
        <v>5</v>
      </c>
      <c r="BB99" s="85">
        <f t="shared" si="152"/>
        <v>20</v>
      </c>
      <c r="BC99" s="105">
        <f t="shared" si="153"/>
        <v>25</v>
      </c>
      <c r="BD99" s="114">
        <v>45350</v>
      </c>
      <c r="BE99" s="114"/>
    </row>
    <row r="100" spans="1:57" x14ac:dyDescent="0.15">
      <c r="A100" s="23" t="s">
        <v>96</v>
      </c>
      <c r="B100" s="18">
        <v>1</v>
      </c>
      <c r="C100" s="19"/>
      <c r="D100" s="20"/>
      <c r="E100" s="20"/>
      <c r="F100" s="85">
        <f t="shared" si="124"/>
        <v>1</v>
      </c>
      <c r="G100" s="18">
        <v>2</v>
      </c>
      <c r="H100" s="19"/>
      <c r="I100" s="20">
        <v>1</v>
      </c>
      <c r="J100" s="20"/>
      <c r="K100" s="85">
        <f t="shared" si="125"/>
        <v>3</v>
      </c>
      <c r="L100" s="18"/>
      <c r="M100" s="19"/>
      <c r="N100" s="20">
        <v>1</v>
      </c>
      <c r="O100" s="20"/>
      <c r="P100" s="85">
        <f t="shared" si="126"/>
        <v>1</v>
      </c>
      <c r="Q100" s="18"/>
      <c r="R100" s="19"/>
      <c r="S100" s="20">
        <v>1</v>
      </c>
      <c r="T100" s="20"/>
      <c r="U100" s="85">
        <f t="shared" si="127"/>
        <v>1</v>
      </c>
      <c r="V100" s="18">
        <v>1</v>
      </c>
      <c r="W100" s="19"/>
      <c r="X100" s="20"/>
      <c r="Y100" s="20"/>
      <c r="Z100" s="85">
        <f t="shared" si="128"/>
        <v>1</v>
      </c>
      <c r="AA100" s="105">
        <f t="shared" si="129"/>
        <v>7</v>
      </c>
      <c r="AB100" s="114">
        <v>45327</v>
      </c>
      <c r="AC100" s="54" t="s">
        <v>173</v>
      </c>
      <c r="AD100" s="18"/>
      <c r="AE100" s="19">
        <v>2</v>
      </c>
      <c r="AF100" s="20">
        <v>1</v>
      </c>
      <c r="AG100" s="20"/>
      <c r="AH100" s="85">
        <f t="shared" si="130"/>
        <v>3</v>
      </c>
      <c r="AI100" s="18">
        <v>1</v>
      </c>
      <c r="AJ100" s="19"/>
      <c r="AK100" s="20">
        <v>1</v>
      </c>
      <c r="AL100" s="20">
        <v>2</v>
      </c>
      <c r="AM100" s="85">
        <f t="shared" si="131"/>
        <v>4</v>
      </c>
      <c r="AN100" s="18">
        <v>2</v>
      </c>
      <c r="AO100" s="19">
        <v>3</v>
      </c>
      <c r="AP100" s="20">
        <v>1</v>
      </c>
      <c r="AQ100" s="20"/>
      <c r="AR100" s="85">
        <f t="shared" si="132"/>
        <v>6</v>
      </c>
      <c r="AS100" s="18">
        <v>1</v>
      </c>
      <c r="AT100" s="19">
        <v>1</v>
      </c>
      <c r="AU100" s="20">
        <v>2</v>
      </c>
      <c r="AV100" s="20"/>
      <c r="AW100" s="85">
        <f t="shared" si="133"/>
        <v>4</v>
      </c>
      <c r="AX100" s="18">
        <v>1</v>
      </c>
      <c r="AY100" s="19">
        <v>1</v>
      </c>
      <c r="AZ100" s="20">
        <v>2</v>
      </c>
      <c r="BA100" s="20"/>
      <c r="BB100" s="85">
        <f t="shared" si="152"/>
        <v>4</v>
      </c>
      <c r="BC100" s="105">
        <f t="shared" si="153"/>
        <v>21</v>
      </c>
      <c r="BD100" s="114">
        <v>45362</v>
      </c>
      <c r="BE100" s="114"/>
    </row>
    <row r="101" spans="1:57" x14ac:dyDescent="0.15">
      <c r="A101" s="23" t="s">
        <v>124</v>
      </c>
      <c r="B101" s="15"/>
      <c r="C101" s="16"/>
      <c r="D101" s="17"/>
      <c r="E101" s="17">
        <v>1</v>
      </c>
      <c r="F101" s="85">
        <f t="shared" si="124"/>
        <v>1</v>
      </c>
      <c r="G101" s="15"/>
      <c r="H101" s="16"/>
      <c r="I101" s="17"/>
      <c r="J101" s="17">
        <v>1</v>
      </c>
      <c r="K101" s="85">
        <f t="shared" si="125"/>
        <v>1</v>
      </c>
      <c r="L101" s="15"/>
      <c r="M101" s="16"/>
      <c r="N101" s="17"/>
      <c r="O101" s="17"/>
      <c r="P101" s="85">
        <f t="shared" si="126"/>
        <v>0</v>
      </c>
      <c r="Q101" s="15"/>
      <c r="R101" s="16"/>
      <c r="S101" s="17"/>
      <c r="T101" s="17"/>
      <c r="U101" s="85">
        <f t="shared" si="127"/>
        <v>0</v>
      </c>
      <c r="V101" s="15"/>
      <c r="W101" s="16">
        <v>3</v>
      </c>
      <c r="X101" s="17"/>
      <c r="Y101" s="17">
        <v>1</v>
      </c>
      <c r="Z101" s="85">
        <f t="shared" si="128"/>
        <v>4</v>
      </c>
      <c r="AA101" s="105">
        <f t="shared" si="129"/>
        <v>6</v>
      </c>
      <c r="AB101" s="114">
        <v>45327</v>
      </c>
      <c r="AC101" s="23" t="s">
        <v>35</v>
      </c>
      <c r="AD101" s="15">
        <v>5</v>
      </c>
      <c r="AE101" s="16">
        <v>5</v>
      </c>
      <c r="AF101" s="17">
        <v>5</v>
      </c>
      <c r="AG101" s="17"/>
      <c r="AH101" s="85">
        <f t="shared" si="130"/>
        <v>15</v>
      </c>
      <c r="AI101" s="15"/>
      <c r="AJ101" s="16">
        <v>5</v>
      </c>
      <c r="AK101" s="17">
        <v>5</v>
      </c>
      <c r="AL101" s="17"/>
      <c r="AM101" s="85">
        <f t="shared" si="131"/>
        <v>10</v>
      </c>
      <c r="AN101" s="15"/>
      <c r="AO101" s="16"/>
      <c r="AP101" s="17"/>
      <c r="AQ101" s="17"/>
      <c r="AR101" s="85">
        <f t="shared" si="132"/>
        <v>0</v>
      </c>
      <c r="AS101" s="15">
        <v>5</v>
      </c>
      <c r="AT101" s="16">
        <v>5</v>
      </c>
      <c r="AU101" s="17">
        <v>5</v>
      </c>
      <c r="AV101" s="17"/>
      <c r="AW101" s="85">
        <f t="shared" si="133"/>
        <v>15</v>
      </c>
      <c r="AX101" s="15"/>
      <c r="AY101" s="16"/>
      <c r="AZ101" s="17"/>
      <c r="BA101" s="17"/>
      <c r="BB101" s="85">
        <f t="shared" si="152"/>
        <v>0</v>
      </c>
      <c r="BC101" s="105">
        <f t="shared" si="153"/>
        <v>40</v>
      </c>
      <c r="BD101" s="114">
        <v>45359</v>
      </c>
      <c r="BE101" s="114"/>
    </row>
    <row r="102" spans="1:57" x14ac:dyDescent="0.15">
      <c r="A102" s="23" t="s">
        <v>124</v>
      </c>
      <c r="B102" s="15"/>
      <c r="C102" s="16"/>
      <c r="D102" s="17"/>
      <c r="E102" s="17"/>
      <c r="F102" s="85">
        <f t="shared" si="124"/>
        <v>0</v>
      </c>
      <c r="G102" s="15"/>
      <c r="H102" s="16"/>
      <c r="I102" s="17"/>
      <c r="J102" s="17"/>
      <c r="K102" s="85">
        <f t="shared" si="125"/>
        <v>0</v>
      </c>
      <c r="L102" s="15">
        <v>1</v>
      </c>
      <c r="M102" s="16"/>
      <c r="N102" s="17"/>
      <c r="O102" s="17"/>
      <c r="P102" s="85">
        <f t="shared" si="126"/>
        <v>1</v>
      </c>
      <c r="Q102" s="15">
        <v>1</v>
      </c>
      <c r="R102" s="16"/>
      <c r="S102" s="17"/>
      <c r="T102" s="17"/>
      <c r="U102" s="85">
        <f t="shared" si="127"/>
        <v>1</v>
      </c>
      <c r="V102" s="15">
        <v>1</v>
      </c>
      <c r="W102" s="16"/>
      <c r="X102" s="17"/>
      <c r="Y102" s="17"/>
      <c r="Z102" s="85">
        <f t="shared" si="128"/>
        <v>1</v>
      </c>
      <c r="AA102" s="105">
        <f t="shared" si="129"/>
        <v>3</v>
      </c>
      <c r="AB102" s="114">
        <v>45328</v>
      </c>
      <c r="AC102" s="23" t="s">
        <v>35</v>
      </c>
      <c r="AD102" s="15"/>
      <c r="AE102" s="16"/>
      <c r="AF102" s="17"/>
      <c r="AG102" s="17">
        <v>5</v>
      </c>
      <c r="AH102" s="85">
        <f t="shared" si="130"/>
        <v>5</v>
      </c>
      <c r="AI102" s="15">
        <v>5</v>
      </c>
      <c r="AJ102" s="16"/>
      <c r="AK102" s="17"/>
      <c r="AL102" s="17"/>
      <c r="AM102" s="85">
        <f t="shared" si="131"/>
        <v>5</v>
      </c>
      <c r="AN102" s="15">
        <v>5</v>
      </c>
      <c r="AO102" s="16">
        <v>5</v>
      </c>
      <c r="AP102" s="17">
        <v>5</v>
      </c>
      <c r="AQ102" s="17"/>
      <c r="AR102" s="85">
        <f t="shared" si="132"/>
        <v>15</v>
      </c>
      <c r="AS102" s="15"/>
      <c r="AT102" s="16"/>
      <c r="AU102" s="17"/>
      <c r="AV102" s="17">
        <v>5</v>
      </c>
      <c r="AW102" s="85">
        <f t="shared" si="133"/>
        <v>5</v>
      </c>
      <c r="AX102" s="15"/>
      <c r="AY102" s="16"/>
      <c r="AZ102" s="17">
        <v>5</v>
      </c>
      <c r="BA102" s="17">
        <v>5</v>
      </c>
      <c r="BB102" s="85">
        <f t="shared" si="152"/>
        <v>10</v>
      </c>
      <c r="BC102" s="105">
        <f t="shared" si="153"/>
        <v>40</v>
      </c>
      <c r="BD102" s="114">
        <v>45363</v>
      </c>
      <c r="BE102" s="114"/>
    </row>
    <row r="103" spans="1:57" x14ac:dyDescent="0.15">
      <c r="A103" s="53" t="s">
        <v>161</v>
      </c>
      <c r="B103" s="15">
        <v>1</v>
      </c>
      <c r="C103" s="16"/>
      <c r="D103" s="17"/>
      <c r="E103" s="17"/>
      <c r="F103" s="85">
        <f t="shared" si="124"/>
        <v>1</v>
      </c>
      <c r="G103" s="15">
        <v>1</v>
      </c>
      <c r="H103" s="16"/>
      <c r="I103" s="17"/>
      <c r="J103" s="17"/>
      <c r="K103" s="85">
        <f t="shared" si="125"/>
        <v>1</v>
      </c>
      <c r="L103" s="15">
        <v>1</v>
      </c>
      <c r="M103" s="16"/>
      <c r="N103" s="17"/>
      <c r="O103" s="17"/>
      <c r="P103" s="85">
        <f t="shared" si="126"/>
        <v>1</v>
      </c>
      <c r="Q103" s="15">
        <v>1</v>
      </c>
      <c r="R103" s="16"/>
      <c r="S103" s="17"/>
      <c r="T103" s="17"/>
      <c r="U103" s="85">
        <f t="shared" si="127"/>
        <v>1</v>
      </c>
      <c r="V103" s="15">
        <v>1</v>
      </c>
      <c r="W103" s="16"/>
      <c r="X103" s="17"/>
      <c r="Y103" s="17"/>
      <c r="Z103" s="85">
        <f t="shared" si="128"/>
        <v>1</v>
      </c>
      <c r="AA103" s="105">
        <f t="shared" si="129"/>
        <v>5</v>
      </c>
      <c r="AB103" s="114">
        <v>45336</v>
      </c>
      <c r="AC103" s="23" t="s">
        <v>35</v>
      </c>
      <c r="AD103" s="15">
        <v>5</v>
      </c>
      <c r="AE103" s="16">
        <v>5</v>
      </c>
      <c r="AF103" s="17"/>
      <c r="AG103" s="17"/>
      <c r="AH103" s="85">
        <f t="shared" si="130"/>
        <v>10</v>
      </c>
      <c r="AI103" s="15"/>
      <c r="AJ103" s="16">
        <v>5</v>
      </c>
      <c r="AK103" s="17"/>
      <c r="AL103" s="17">
        <v>5</v>
      </c>
      <c r="AM103" s="85">
        <f t="shared" si="131"/>
        <v>10</v>
      </c>
      <c r="AN103" s="15"/>
      <c r="AO103" s="16"/>
      <c r="AP103" s="17"/>
      <c r="AQ103" s="17">
        <v>5</v>
      </c>
      <c r="AR103" s="85">
        <f t="shared" si="132"/>
        <v>5</v>
      </c>
      <c r="AS103" s="15"/>
      <c r="AT103" s="16">
        <v>5</v>
      </c>
      <c r="AU103" s="17"/>
      <c r="AV103" s="17"/>
      <c r="AW103" s="85">
        <f t="shared" si="133"/>
        <v>5</v>
      </c>
      <c r="AX103" s="15">
        <v>5</v>
      </c>
      <c r="AY103" s="16">
        <v>5</v>
      </c>
      <c r="AZ103" s="17"/>
      <c r="BA103" s="17"/>
      <c r="BB103" s="85">
        <f t="shared" si="152"/>
        <v>10</v>
      </c>
      <c r="BC103" s="105">
        <f t="shared" si="153"/>
        <v>40</v>
      </c>
      <c r="BD103" s="114">
        <v>45376</v>
      </c>
      <c r="BE103" s="76"/>
    </row>
    <row r="104" spans="1:57" x14ac:dyDescent="0.15">
      <c r="A104" s="54" t="s">
        <v>162</v>
      </c>
      <c r="B104" s="15"/>
      <c r="C104" s="16"/>
      <c r="D104" s="17"/>
      <c r="E104" s="17"/>
      <c r="F104" s="85">
        <f t="shared" si="124"/>
        <v>0</v>
      </c>
      <c r="G104" s="15"/>
      <c r="H104" s="16"/>
      <c r="I104" s="17"/>
      <c r="J104" s="17"/>
      <c r="K104" s="85">
        <f t="shared" si="125"/>
        <v>0</v>
      </c>
      <c r="L104" s="15"/>
      <c r="M104" s="16"/>
      <c r="N104" s="17"/>
      <c r="O104" s="17"/>
      <c r="P104" s="85">
        <f t="shared" si="126"/>
        <v>0</v>
      </c>
      <c r="Q104" s="15"/>
      <c r="R104" s="16"/>
      <c r="S104" s="17"/>
      <c r="T104" s="17"/>
      <c r="U104" s="85">
        <f t="shared" si="127"/>
        <v>0</v>
      </c>
      <c r="V104" s="15"/>
      <c r="W104" s="16"/>
      <c r="X104" s="17">
        <v>1</v>
      </c>
      <c r="Y104" s="17"/>
      <c r="Z104" s="85">
        <f t="shared" si="128"/>
        <v>1</v>
      </c>
      <c r="AA104" s="105">
        <f t="shared" si="129"/>
        <v>1</v>
      </c>
      <c r="AB104" s="115">
        <v>45336</v>
      </c>
      <c r="AC104" s="54" t="s">
        <v>191</v>
      </c>
      <c r="AD104" s="15"/>
      <c r="AE104" s="16"/>
      <c r="AF104" s="17"/>
      <c r="AG104" s="17"/>
      <c r="AH104" s="85">
        <f t="shared" si="130"/>
        <v>0</v>
      </c>
      <c r="AI104" s="15"/>
      <c r="AJ104" s="16"/>
      <c r="AK104" s="17"/>
      <c r="AL104" s="17"/>
      <c r="AM104" s="85">
        <f t="shared" si="131"/>
        <v>0</v>
      </c>
      <c r="AN104" s="15"/>
      <c r="AO104" s="16"/>
      <c r="AP104" s="17"/>
      <c r="AQ104" s="17"/>
      <c r="AR104" s="85">
        <f t="shared" si="132"/>
        <v>0</v>
      </c>
      <c r="AS104" s="15"/>
      <c r="AT104" s="16"/>
      <c r="AU104" s="17"/>
      <c r="AV104" s="17"/>
      <c r="AW104" s="85">
        <f t="shared" si="133"/>
        <v>0</v>
      </c>
      <c r="AX104" s="15">
        <v>3</v>
      </c>
      <c r="AY104" s="16"/>
      <c r="AZ104" s="17">
        <v>2</v>
      </c>
      <c r="BA104" s="17"/>
      <c r="BB104" s="85">
        <f t="shared" si="152"/>
        <v>5</v>
      </c>
      <c r="BC104" s="105">
        <f t="shared" si="153"/>
        <v>5</v>
      </c>
      <c r="BD104" s="114">
        <v>45380</v>
      </c>
      <c r="BE104" s="76"/>
    </row>
    <row r="105" spans="1:57" x14ac:dyDescent="0.15">
      <c r="A105" s="23" t="s">
        <v>124</v>
      </c>
      <c r="B105" s="15"/>
      <c r="C105" s="16">
        <v>1</v>
      </c>
      <c r="D105" s="17"/>
      <c r="E105" s="17"/>
      <c r="F105" s="85">
        <f t="shared" si="124"/>
        <v>1</v>
      </c>
      <c r="G105" s="15"/>
      <c r="H105" s="16">
        <v>1</v>
      </c>
      <c r="I105" s="17"/>
      <c r="J105" s="17"/>
      <c r="K105" s="85">
        <f t="shared" si="125"/>
        <v>1</v>
      </c>
      <c r="L105" s="15"/>
      <c r="M105" s="16"/>
      <c r="N105" s="17"/>
      <c r="O105" s="17"/>
      <c r="P105" s="85">
        <f t="shared" si="126"/>
        <v>0</v>
      </c>
      <c r="Q105" s="15"/>
      <c r="R105" s="16"/>
      <c r="S105" s="17"/>
      <c r="T105" s="17"/>
      <c r="U105" s="85">
        <f t="shared" si="127"/>
        <v>0</v>
      </c>
      <c r="V105" s="15"/>
      <c r="W105" s="16">
        <v>1</v>
      </c>
      <c r="X105" s="17"/>
      <c r="Y105" s="17"/>
      <c r="Z105" s="85">
        <f t="shared" si="128"/>
        <v>1</v>
      </c>
      <c r="AA105" s="105">
        <f t="shared" si="129"/>
        <v>3</v>
      </c>
      <c r="AB105" s="115">
        <v>45338</v>
      </c>
      <c r="AC105" s="24" t="s">
        <v>195</v>
      </c>
      <c r="AD105" s="15"/>
      <c r="AE105" s="16"/>
      <c r="AF105" s="17"/>
      <c r="AG105" s="17"/>
      <c r="AH105" s="85">
        <f t="shared" si="130"/>
        <v>0</v>
      </c>
      <c r="AI105" s="15"/>
      <c r="AJ105" s="16"/>
      <c r="AK105" s="17"/>
      <c r="AL105" s="17"/>
      <c r="AM105" s="85">
        <f t="shared" si="131"/>
        <v>0</v>
      </c>
      <c r="AN105" s="15">
        <v>5</v>
      </c>
      <c r="AO105" s="16"/>
      <c r="AP105" s="17"/>
      <c r="AQ105" s="17"/>
      <c r="AR105" s="85">
        <f t="shared" si="132"/>
        <v>5</v>
      </c>
      <c r="AS105" s="15">
        <v>5</v>
      </c>
      <c r="AT105" s="16"/>
      <c r="AU105" s="17"/>
      <c r="AV105" s="17"/>
      <c r="AW105" s="85">
        <f t="shared" si="133"/>
        <v>5</v>
      </c>
      <c r="AX105" s="15">
        <v>5</v>
      </c>
      <c r="AY105" s="16"/>
      <c r="AZ105" s="17"/>
      <c r="BA105" s="17"/>
      <c r="BB105" s="85">
        <f t="shared" si="152"/>
        <v>5</v>
      </c>
      <c r="BC105" s="105">
        <f t="shared" si="153"/>
        <v>15</v>
      </c>
      <c r="BD105" s="114">
        <v>45377</v>
      </c>
    </row>
    <row r="106" spans="1:57" x14ac:dyDescent="0.15">
      <c r="A106" s="23" t="s">
        <v>124</v>
      </c>
      <c r="B106" s="15"/>
      <c r="C106" s="16"/>
      <c r="D106" s="17"/>
      <c r="E106" s="17"/>
      <c r="F106" s="85">
        <f t="shared" si="124"/>
        <v>0</v>
      </c>
      <c r="G106" s="15"/>
      <c r="H106" s="16"/>
      <c r="I106" s="17"/>
      <c r="J106" s="17"/>
      <c r="K106" s="85">
        <f t="shared" si="125"/>
        <v>0</v>
      </c>
      <c r="L106" s="15"/>
      <c r="M106" s="16"/>
      <c r="N106" s="17"/>
      <c r="O106" s="17"/>
      <c r="P106" s="85">
        <f t="shared" si="126"/>
        <v>0</v>
      </c>
      <c r="Q106" s="15">
        <v>1</v>
      </c>
      <c r="R106" s="16"/>
      <c r="S106" s="17"/>
      <c r="T106" s="17"/>
      <c r="U106" s="85">
        <f t="shared" si="127"/>
        <v>1</v>
      </c>
      <c r="V106" s="15"/>
      <c r="W106" s="16"/>
      <c r="X106" s="17"/>
      <c r="Y106" s="17"/>
      <c r="Z106" s="85">
        <f t="shared" si="128"/>
        <v>0</v>
      </c>
      <c r="AA106" s="105">
        <f t="shared" si="129"/>
        <v>1</v>
      </c>
      <c r="AB106" s="115">
        <v>45341</v>
      </c>
      <c r="AC106" s="23" t="s">
        <v>35</v>
      </c>
      <c r="AD106" s="15"/>
      <c r="AE106" s="16"/>
      <c r="AF106" s="17"/>
      <c r="AG106" s="17"/>
      <c r="AH106" s="85">
        <f t="shared" si="130"/>
        <v>0</v>
      </c>
      <c r="AI106" s="15"/>
      <c r="AJ106" s="16"/>
      <c r="AK106" s="17"/>
      <c r="AL106" s="17"/>
      <c r="AM106" s="85">
        <f t="shared" si="131"/>
        <v>0</v>
      </c>
      <c r="AN106" s="15"/>
      <c r="AO106" s="16"/>
      <c r="AP106" s="17"/>
      <c r="AQ106" s="17"/>
      <c r="AR106" s="85">
        <f t="shared" si="132"/>
        <v>0</v>
      </c>
      <c r="AS106" s="15">
        <v>5</v>
      </c>
      <c r="AT106" s="16"/>
      <c r="AU106" s="17">
        <v>5</v>
      </c>
      <c r="AV106" s="17"/>
      <c r="AW106" s="85">
        <f t="shared" si="133"/>
        <v>10</v>
      </c>
      <c r="AX106" s="15"/>
      <c r="AY106" s="16">
        <v>5</v>
      </c>
      <c r="AZ106" s="17"/>
      <c r="BA106" s="17">
        <v>5</v>
      </c>
      <c r="BB106" s="85">
        <f t="shared" si="152"/>
        <v>10</v>
      </c>
      <c r="BC106" s="105">
        <f t="shared" si="153"/>
        <v>20</v>
      </c>
      <c r="BD106" s="114">
        <v>45381</v>
      </c>
    </row>
    <row r="107" spans="1:57" x14ac:dyDescent="0.15">
      <c r="A107" s="23" t="s">
        <v>124</v>
      </c>
      <c r="B107" s="15"/>
      <c r="C107" s="16"/>
      <c r="D107" s="17"/>
      <c r="E107" s="17"/>
      <c r="F107" s="85">
        <f t="shared" si="124"/>
        <v>0</v>
      </c>
      <c r="G107" s="15"/>
      <c r="H107" s="16"/>
      <c r="I107" s="17"/>
      <c r="J107" s="17"/>
      <c r="K107" s="85">
        <f t="shared" si="125"/>
        <v>0</v>
      </c>
      <c r="L107" s="15"/>
      <c r="M107" s="16"/>
      <c r="N107" s="17"/>
      <c r="O107" s="17"/>
      <c r="P107" s="85">
        <f t="shared" si="126"/>
        <v>0</v>
      </c>
      <c r="Q107" s="15"/>
      <c r="R107" s="16"/>
      <c r="S107" s="17"/>
      <c r="T107" s="17">
        <v>1</v>
      </c>
      <c r="U107" s="85">
        <f t="shared" si="127"/>
        <v>1</v>
      </c>
      <c r="V107" s="15"/>
      <c r="W107" s="16"/>
      <c r="X107" s="17"/>
      <c r="Y107" s="17"/>
      <c r="Z107" s="85">
        <f t="shared" si="128"/>
        <v>0</v>
      </c>
      <c r="AA107" s="105">
        <f t="shared" si="129"/>
        <v>1</v>
      </c>
      <c r="AB107" s="115">
        <v>45342</v>
      </c>
      <c r="AC107" s="54" t="s">
        <v>198</v>
      </c>
      <c r="AD107" s="15"/>
      <c r="AE107" s="16">
        <v>1</v>
      </c>
      <c r="AF107" s="17"/>
      <c r="AG107" s="17"/>
      <c r="AH107" s="85">
        <f t="shared" si="130"/>
        <v>1</v>
      </c>
      <c r="AI107" s="15"/>
      <c r="AJ107" s="16"/>
      <c r="AK107" s="17"/>
      <c r="AL107" s="17"/>
      <c r="AM107" s="85">
        <f t="shared" si="131"/>
        <v>0</v>
      </c>
      <c r="AN107" s="15"/>
      <c r="AO107" s="16"/>
      <c r="AP107" s="17"/>
      <c r="AQ107" s="17"/>
      <c r="AR107" s="85">
        <f t="shared" si="132"/>
        <v>0</v>
      </c>
      <c r="AS107" s="15"/>
      <c r="AT107" s="16"/>
      <c r="AU107" s="17"/>
      <c r="AV107" s="17"/>
      <c r="AW107" s="85">
        <f t="shared" si="133"/>
        <v>0</v>
      </c>
      <c r="AX107" s="15">
        <v>1</v>
      </c>
      <c r="AY107" s="16">
        <v>4</v>
      </c>
      <c r="AZ107" s="17">
        <v>3</v>
      </c>
      <c r="BA107" s="17"/>
      <c r="BB107" s="85">
        <f t="shared" si="152"/>
        <v>8</v>
      </c>
      <c r="BC107" s="105">
        <f t="shared" si="153"/>
        <v>9</v>
      </c>
      <c r="BD107" s="114">
        <v>45387</v>
      </c>
    </row>
    <row r="108" spans="1:57" x14ac:dyDescent="0.15">
      <c r="A108" s="23" t="s">
        <v>124</v>
      </c>
      <c r="B108" s="15"/>
      <c r="C108" s="16"/>
      <c r="D108" s="17"/>
      <c r="E108" s="17"/>
      <c r="F108" s="85">
        <f t="shared" si="124"/>
        <v>0</v>
      </c>
      <c r="G108" s="15"/>
      <c r="H108" s="16"/>
      <c r="I108" s="17"/>
      <c r="J108" s="17"/>
      <c r="K108" s="85">
        <f t="shared" si="125"/>
        <v>0</v>
      </c>
      <c r="L108" s="15"/>
      <c r="M108" s="16">
        <v>1</v>
      </c>
      <c r="N108" s="17"/>
      <c r="O108" s="17"/>
      <c r="P108" s="85">
        <f t="shared" si="126"/>
        <v>1</v>
      </c>
      <c r="Q108" s="15"/>
      <c r="R108" s="16">
        <v>2</v>
      </c>
      <c r="S108" s="17"/>
      <c r="T108" s="17"/>
      <c r="U108" s="85">
        <f t="shared" si="127"/>
        <v>2</v>
      </c>
      <c r="V108" s="15"/>
      <c r="W108" s="16">
        <v>1</v>
      </c>
      <c r="X108" s="17">
        <v>1</v>
      </c>
      <c r="Y108" s="17"/>
      <c r="Z108" s="85">
        <f t="shared" si="128"/>
        <v>2</v>
      </c>
      <c r="AA108" s="105">
        <f t="shared" si="129"/>
        <v>5</v>
      </c>
      <c r="AB108" s="115">
        <v>45343</v>
      </c>
      <c r="AC108" s="24" t="s">
        <v>195</v>
      </c>
      <c r="AD108" s="15"/>
      <c r="AE108" s="16"/>
      <c r="AF108" s="17"/>
      <c r="AG108" s="17"/>
      <c r="AH108" s="85">
        <f t="shared" si="130"/>
        <v>0</v>
      </c>
      <c r="AI108" s="15"/>
      <c r="AJ108" s="16"/>
      <c r="AK108" s="17"/>
      <c r="AL108" s="17"/>
      <c r="AM108" s="85">
        <f t="shared" si="131"/>
        <v>0</v>
      </c>
      <c r="AN108" s="15">
        <v>10</v>
      </c>
      <c r="AO108" s="16"/>
      <c r="AP108" s="17"/>
      <c r="AQ108" s="17"/>
      <c r="AR108" s="85">
        <f t="shared" si="132"/>
        <v>10</v>
      </c>
      <c r="AS108" s="15">
        <v>10</v>
      </c>
      <c r="AT108" s="16"/>
      <c r="AU108" s="17"/>
      <c r="AV108" s="17"/>
      <c r="AW108" s="85">
        <f t="shared" si="133"/>
        <v>10</v>
      </c>
      <c r="AX108" s="15">
        <v>10</v>
      </c>
      <c r="AY108" s="16"/>
      <c r="AZ108" s="17"/>
      <c r="BA108" s="17"/>
      <c r="BB108" s="85">
        <f t="shared" si="152"/>
        <v>10</v>
      </c>
      <c r="BC108" s="105">
        <f t="shared" si="153"/>
        <v>30</v>
      </c>
      <c r="BD108" s="114">
        <v>45384</v>
      </c>
    </row>
    <row r="109" spans="1:57" x14ac:dyDescent="0.15">
      <c r="A109" s="23" t="s">
        <v>124</v>
      </c>
      <c r="B109" s="15"/>
      <c r="C109" s="16"/>
      <c r="D109" s="17"/>
      <c r="E109" s="17"/>
      <c r="F109" s="85">
        <f t="shared" si="124"/>
        <v>0</v>
      </c>
      <c r="G109" s="15"/>
      <c r="H109" s="16"/>
      <c r="I109" s="17"/>
      <c r="J109" s="17"/>
      <c r="K109" s="85">
        <f t="shared" si="125"/>
        <v>0</v>
      </c>
      <c r="L109" s="15"/>
      <c r="M109" s="16"/>
      <c r="N109" s="17"/>
      <c r="O109" s="17"/>
      <c r="P109" s="85">
        <f t="shared" si="126"/>
        <v>0</v>
      </c>
      <c r="Q109" s="15"/>
      <c r="R109" s="16"/>
      <c r="S109" s="17"/>
      <c r="T109" s="17"/>
      <c r="U109" s="85">
        <f t="shared" si="127"/>
        <v>0</v>
      </c>
      <c r="V109" s="15"/>
      <c r="W109" s="16"/>
      <c r="X109" s="17">
        <v>1</v>
      </c>
      <c r="Y109" s="17"/>
      <c r="Z109" s="85">
        <f t="shared" si="128"/>
        <v>1</v>
      </c>
      <c r="AA109" s="105">
        <f t="shared" si="129"/>
        <v>1</v>
      </c>
      <c r="AB109" s="115">
        <v>45344</v>
      </c>
      <c r="AC109" s="23" t="s">
        <v>199</v>
      </c>
      <c r="AD109" s="15">
        <v>3</v>
      </c>
      <c r="AE109" s="16">
        <v>3</v>
      </c>
      <c r="AF109" s="17">
        <v>3</v>
      </c>
      <c r="AG109" s="17">
        <v>2</v>
      </c>
      <c r="AH109" s="85">
        <f t="shared" si="130"/>
        <v>11</v>
      </c>
      <c r="AI109" s="15">
        <v>3</v>
      </c>
      <c r="AJ109" s="16">
        <v>3</v>
      </c>
      <c r="AK109" s="17">
        <v>3</v>
      </c>
      <c r="AL109" s="17">
        <v>2</v>
      </c>
      <c r="AM109" s="85">
        <f t="shared" si="131"/>
        <v>11</v>
      </c>
      <c r="AN109" s="15">
        <v>3</v>
      </c>
      <c r="AO109" s="16">
        <v>3</v>
      </c>
      <c r="AP109" s="17">
        <v>3</v>
      </c>
      <c r="AQ109" s="17">
        <v>2</v>
      </c>
      <c r="AR109" s="85">
        <f t="shared" si="132"/>
        <v>11</v>
      </c>
      <c r="AS109" s="15">
        <v>3</v>
      </c>
      <c r="AT109" s="16">
        <v>3</v>
      </c>
      <c r="AU109" s="17">
        <v>3</v>
      </c>
      <c r="AV109" s="17">
        <v>2</v>
      </c>
      <c r="AW109" s="85">
        <f t="shared" si="133"/>
        <v>11</v>
      </c>
      <c r="AX109" s="15">
        <v>3</v>
      </c>
      <c r="AY109" s="16">
        <v>3</v>
      </c>
      <c r="AZ109" s="17">
        <v>3</v>
      </c>
      <c r="BA109" s="17">
        <v>2</v>
      </c>
      <c r="BB109" s="85">
        <f t="shared" si="152"/>
        <v>11</v>
      </c>
      <c r="BC109" s="105">
        <f t="shared" si="153"/>
        <v>55</v>
      </c>
      <c r="BD109" s="114">
        <v>45387</v>
      </c>
    </row>
    <row r="110" spans="1:57" x14ac:dyDescent="0.15">
      <c r="A110" s="23" t="s">
        <v>169</v>
      </c>
      <c r="B110" s="15">
        <v>2</v>
      </c>
      <c r="C110" s="16">
        <v>2</v>
      </c>
      <c r="D110" s="17">
        <v>2</v>
      </c>
      <c r="E110" s="17">
        <v>2</v>
      </c>
      <c r="F110" s="85">
        <f t="shared" si="124"/>
        <v>8</v>
      </c>
      <c r="G110" s="15">
        <v>2</v>
      </c>
      <c r="H110" s="16">
        <v>2</v>
      </c>
      <c r="I110" s="17">
        <v>2</v>
      </c>
      <c r="J110" s="17">
        <v>2</v>
      </c>
      <c r="K110" s="85">
        <f t="shared" si="125"/>
        <v>8</v>
      </c>
      <c r="L110" s="15"/>
      <c r="M110" s="16"/>
      <c r="N110" s="17"/>
      <c r="O110" s="17"/>
      <c r="P110" s="85">
        <f t="shared" si="126"/>
        <v>0</v>
      </c>
      <c r="Q110" s="15"/>
      <c r="R110" s="16"/>
      <c r="S110" s="17"/>
      <c r="T110" s="17"/>
      <c r="U110" s="85">
        <f t="shared" si="127"/>
        <v>0</v>
      </c>
      <c r="V110" s="15">
        <v>2</v>
      </c>
      <c r="W110" s="16">
        <v>2</v>
      </c>
      <c r="X110" s="17">
        <v>2</v>
      </c>
      <c r="Y110" s="17">
        <v>2</v>
      </c>
      <c r="Z110" s="85">
        <f t="shared" si="128"/>
        <v>8</v>
      </c>
      <c r="AA110" s="105">
        <f t="shared" si="129"/>
        <v>24</v>
      </c>
      <c r="AB110" s="114">
        <v>45351</v>
      </c>
      <c r="AC110" s="54" t="s">
        <v>219</v>
      </c>
      <c r="AD110" s="15"/>
      <c r="AE110" s="16">
        <v>1</v>
      </c>
      <c r="AF110" s="17"/>
      <c r="AG110" s="17"/>
      <c r="AH110" s="85">
        <f t="shared" si="130"/>
        <v>1</v>
      </c>
      <c r="AI110" s="15"/>
      <c r="AJ110" s="16"/>
      <c r="AK110" s="17"/>
      <c r="AL110" s="17"/>
      <c r="AM110" s="85">
        <f t="shared" si="131"/>
        <v>0</v>
      </c>
      <c r="AN110" s="15"/>
      <c r="AO110" s="16"/>
      <c r="AP110" s="17"/>
      <c r="AQ110" s="17"/>
      <c r="AR110" s="85">
        <f t="shared" si="132"/>
        <v>0</v>
      </c>
      <c r="AS110" s="15"/>
      <c r="AT110" s="16"/>
      <c r="AU110" s="17"/>
      <c r="AV110" s="17"/>
      <c r="AW110" s="85">
        <f t="shared" si="133"/>
        <v>0</v>
      </c>
      <c r="AX110" s="15"/>
      <c r="AY110" s="16"/>
      <c r="AZ110" s="17"/>
      <c r="BA110" s="17"/>
      <c r="BB110" s="85">
        <f t="shared" si="152"/>
        <v>0</v>
      </c>
      <c r="BC110" s="105">
        <f t="shared" si="153"/>
        <v>1</v>
      </c>
      <c r="BD110" s="114">
        <v>45404</v>
      </c>
    </row>
    <row r="111" spans="1:57" x14ac:dyDescent="0.15">
      <c r="A111" s="23" t="s">
        <v>170</v>
      </c>
      <c r="B111" s="15"/>
      <c r="C111" s="16"/>
      <c r="D111" s="17"/>
      <c r="E111" s="17"/>
      <c r="F111" s="85">
        <f t="shared" si="124"/>
        <v>0</v>
      </c>
      <c r="G111" s="15"/>
      <c r="H111" s="16"/>
      <c r="I111" s="17"/>
      <c r="J111" s="17"/>
      <c r="K111" s="85">
        <f t="shared" si="125"/>
        <v>0</v>
      </c>
      <c r="L111" s="15">
        <v>2</v>
      </c>
      <c r="M111" s="16">
        <v>2</v>
      </c>
      <c r="N111" s="17">
        <v>2</v>
      </c>
      <c r="O111" s="17">
        <v>2</v>
      </c>
      <c r="P111" s="85">
        <f t="shared" si="126"/>
        <v>8</v>
      </c>
      <c r="Q111" s="15">
        <v>2</v>
      </c>
      <c r="R111" s="16">
        <v>2</v>
      </c>
      <c r="S111" s="17">
        <v>2</v>
      </c>
      <c r="T111" s="17">
        <v>2</v>
      </c>
      <c r="U111" s="85">
        <f t="shared" si="127"/>
        <v>8</v>
      </c>
      <c r="V111" s="15">
        <v>2</v>
      </c>
      <c r="W111" s="16">
        <v>2</v>
      </c>
      <c r="X111" s="17">
        <v>2</v>
      </c>
      <c r="Y111" s="17">
        <v>2</v>
      </c>
      <c r="Z111" s="85">
        <f t="shared" si="128"/>
        <v>8</v>
      </c>
      <c r="AA111" s="105">
        <f t="shared" si="129"/>
        <v>24</v>
      </c>
      <c r="AB111" s="114">
        <v>45351</v>
      </c>
      <c r="AC111" s="24" t="s">
        <v>195</v>
      </c>
      <c r="AD111" s="15"/>
      <c r="AE111" s="16"/>
      <c r="AF111" s="17"/>
      <c r="AG111" s="17"/>
      <c r="AH111" s="85">
        <f t="shared" si="130"/>
        <v>0</v>
      </c>
      <c r="AI111" s="15"/>
      <c r="AJ111" s="16"/>
      <c r="AK111" s="17"/>
      <c r="AL111" s="17"/>
      <c r="AM111" s="85">
        <f t="shared" si="131"/>
        <v>0</v>
      </c>
      <c r="AN111" s="15"/>
      <c r="AO111" s="16"/>
      <c r="AP111" s="17"/>
      <c r="AQ111" s="17">
        <v>2</v>
      </c>
      <c r="AR111" s="85">
        <f t="shared" si="132"/>
        <v>2</v>
      </c>
      <c r="AS111" s="15"/>
      <c r="AT111" s="16"/>
      <c r="AU111" s="17"/>
      <c r="AV111" s="17">
        <v>2</v>
      </c>
      <c r="AW111" s="85">
        <f t="shared" si="133"/>
        <v>2</v>
      </c>
      <c r="AX111" s="15"/>
      <c r="AY111" s="16"/>
      <c r="AZ111" s="17"/>
      <c r="BA111" s="17">
        <v>2</v>
      </c>
      <c r="BB111" s="85">
        <f t="shared" si="152"/>
        <v>2</v>
      </c>
      <c r="BC111" s="105">
        <f t="shared" si="153"/>
        <v>6</v>
      </c>
      <c r="BD111" s="114">
        <v>45405</v>
      </c>
    </row>
    <row r="112" spans="1:57" x14ac:dyDescent="0.15">
      <c r="A112" s="23" t="s">
        <v>124</v>
      </c>
      <c r="B112" s="18"/>
      <c r="C112" s="19"/>
      <c r="D112" s="20"/>
      <c r="E112" s="20">
        <v>1</v>
      </c>
      <c r="F112" s="85">
        <f t="shared" si="124"/>
        <v>1</v>
      </c>
      <c r="G112" s="18"/>
      <c r="H112" s="19"/>
      <c r="I112" s="20"/>
      <c r="J112" s="20"/>
      <c r="K112" s="85">
        <f t="shared" si="125"/>
        <v>0</v>
      </c>
      <c r="L112" s="18"/>
      <c r="M112" s="19"/>
      <c r="N112" s="20"/>
      <c r="O112" s="20"/>
      <c r="P112" s="85">
        <f t="shared" si="126"/>
        <v>0</v>
      </c>
      <c r="Q112" s="18"/>
      <c r="R112" s="19"/>
      <c r="S112" s="20"/>
      <c r="T112" s="20"/>
      <c r="U112" s="85">
        <f t="shared" si="127"/>
        <v>0</v>
      </c>
      <c r="V112" s="18"/>
      <c r="W112" s="19"/>
      <c r="X112" s="20"/>
      <c r="Y112" s="20"/>
      <c r="Z112" s="85">
        <f t="shared" si="128"/>
        <v>0</v>
      </c>
      <c r="AA112" s="105">
        <f t="shared" si="129"/>
        <v>1</v>
      </c>
      <c r="AB112" s="115">
        <v>45351</v>
      </c>
      <c r="AC112" s="54"/>
      <c r="AD112" s="15"/>
      <c r="AE112" s="16"/>
      <c r="AF112" s="17"/>
      <c r="AG112" s="17"/>
      <c r="AH112" s="85">
        <f t="shared" ref="AH112:AH114" si="154">SUM(AD112:AG112)</f>
        <v>0</v>
      </c>
      <c r="AI112" s="15"/>
      <c r="AJ112" s="16"/>
      <c r="AK112" s="17"/>
      <c r="AL112" s="17"/>
      <c r="AM112" s="85">
        <f t="shared" ref="AM112:AM114" si="155">SUM(AI112:AL112)</f>
        <v>0</v>
      </c>
      <c r="AN112" s="15"/>
      <c r="AO112" s="16"/>
      <c r="AP112" s="17"/>
      <c r="AQ112" s="17"/>
      <c r="AR112" s="85">
        <f t="shared" ref="AR112:AR114" si="156">SUM(AN112:AQ112)</f>
        <v>0</v>
      </c>
      <c r="AS112" s="15"/>
      <c r="AT112" s="16"/>
      <c r="AU112" s="17"/>
      <c r="AV112" s="17"/>
      <c r="AW112" s="85">
        <f t="shared" ref="AW112:AW114" si="157">SUM(AS112:AV112)</f>
        <v>0</v>
      </c>
      <c r="AX112" s="15"/>
      <c r="AY112" s="16"/>
      <c r="AZ112" s="17"/>
      <c r="BA112" s="17"/>
      <c r="BB112" s="85">
        <f t="shared" si="152"/>
        <v>0</v>
      </c>
      <c r="BC112" s="105">
        <f t="shared" si="153"/>
        <v>0</v>
      </c>
    </row>
    <row r="113" spans="1:57" x14ac:dyDescent="0.15">
      <c r="A113" s="23" t="s">
        <v>124</v>
      </c>
      <c r="B113" s="16"/>
      <c r="C113" s="16">
        <v>1</v>
      </c>
      <c r="D113" s="17"/>
      <c r="E113" s="17"/>
      <c r="F113" s="85">
        <f t="shared" si="124"/>
        <v>1</v>
      </c>
      <c r="G113" s="16"/>
      <c r="H113" s="16">
        <v>1</v>
      </c>
      <c r="I113" s="17"/>
      <c r="J113" s="17"/>
      <c r="K113" s="85">
        <f t="shared" si="125"/>
        <v>1</v>
      </c>
      <c r="L113" s="16"/>
      <c r="M113" s="16"/>
      <c r="N113" s="17"/>
      <c r="O113" s="17"/>
      <c r="P113" s="85">
        <f t="shared" si="126"/>
        <v>0</v>
      </c>
      <c r="Q113" s="16"/>
      <c r="R113" s="16"/>
      <c r="S113" s="17"/>
      <c r="T113" s="17"/>
      <c r="U113" s="85">
        <f t="shared" si="127"/>
        <v>0</v>
      </c>
      <c r="V113" s="16"/>
      <c r="W113" s="16">
        <v>1</v>
      </c>
      <c r="X113" s="17"/>
      <c r="Y113" s="17"/>
      <c r="Z113" s="85">
        <f t="shared" si="128"/>
        <v>1</v>
      </c>
      <c r="AA113" s="105">
        <f t="shared" si="129"/>
        <v>3</v>
      </c>
      <c r="AB113" s="115">
        <v>45353</v>
      </c>
      <c r="AC113" s="54"/>
      <c r="AD113" s="15"/>
      <c r="AE113" s="16"/>
      <c r="AF113" s="17"/>
      <c r="AG113" s="17"/>
      <c r="AH113" s="85">
        <f t="shared" si="154"/>
        <v>0</v>
      </c>
      <c r="AI113" s="15"/>
      <c r="AJ113" s="16"/>
      <c r="AK113" s="17"/>
      <c r="AL113" s="17"/>
      <c r="AM113" s="85">
        <f t="shared" si="155"/>
        <v>0</v>
      </c>
      <c r="AN113" s="15"/>
      <c r="AO113" s="16"/>
      <c r="AP113" s="17"/>
      <c r="AQ113" s="17"/>
      <c r="AR113" s="85">
        <f t="shared" si="156"/>
        <v>0</v>
      </c>
      <c r="AS113" s="15"/>
      <c r="AT113" s="16"/>
      <c r="AU113" s="17"/>
      <c r="AV113" s="17"/>
      <c r="AW113" s="85">
        <f t="shared" si="157"/>
        <v>0</v>
      </c>
      <c r="AX113" s="15"/>
      <c r="AY113" s="16"/>
      <c r="AZ113" s="17"/>
      <c r="BA113" s="17"/>
      <c r="BB113" s="85">
        <f t="shared" si="152"/>
        <v>0</v>
      </c>
      <c r="BC113" s="105">
        <f t="shared" si="153"/>
        <v>0</v>
      </c>
    </row>
    <row r="114" spans="1:57" x14ac:dyDescent="0.15">
      <c r="A114" s="23" t="s">
        <v>96</v>
      </c>
      <c r="B114" s="15"/>
      <c r="C114" s="25"/>
      <c r="D114" s="17"/>
      <c r="E114" s="17"/>
      <c r="F114" s="85">
        <f t="shared" si="124"/>
        <v>0</v>
      </c>
      <c r="G114" s="15"/>
      <c r="H114" s="25">
        <v>1</v>
      </c>
      <c r="I114" s="17"/>
      <c r="J114" s="17"/>
      <c r="K114" s="85">
        <f t="shared" si="125"/>
        <v>1</v>
      </c>
      <c r="L114" s="15"/>
      <c r="M114" s="25">
        <v>1</v>
      </c>
      <c r="N114" s="17"/>
      <c r="O114" s="17"/>
      <c r="P114" s="85">
        <f t="shared" si="126"/>
        <v>1</v>
      </c>
      <c r="Q114" s="15"/>
      <c r="R114" s="25">
        <v>1</v>
      </c>
      <c r="S114" s="17"/>
      <c r="T114" s="17"/>
      <c r="U114" s="85">
        <f t="shared" si="127"/>
        <v>1</v>
      </c>
      <c r="V114" s="15"/>
      <c r="W114" s="25"/>
      <c r="X114" s="17"/>
      <c r="Y114" s="17"/>
      <c r="Z114" s="85">
        <f t="shared" si="128"/>
        <v>0</v>
      </c>
      <c r="AA114" s="105">
        <f t="shared" si="129"/>
        <v>3</v>
      </c>
      <c r="AB114" s="114">
        <v>45357</v>
      </c>
      <c r="AC114" s="54"/>
      <c r="AD114" s="15"/>
      <c r="AE114" s="16"/>
      <c r="AF114" s="17"/>
      <c r="AG114" s="17"/>
      <c r="AH114" s="85">
        <f t="shared" si="154"/>
        <v>0</v>
      </c>
      <c r="AI114" s="15"/>
      <c r="AJ114" s="16"/>
      <c r="AK114" s="17"/>
      <c r="AL114" s="17"/>
      <c r="AM114" s="85">
        <f t="shared" si="155"/>
        <v>0</v>
      </c>
      <c r="AN114" s="15"/>
      <c r="AO114" s="16"/>
      <c r="AP114" s="17"/>
      <c r="AQ114" s="17"/>
      <c r="AR114" s="85">
        <f t="shared" si="156"/>
        <v>0</v>
      </c>
      <c r="AS114" s="15"/>
      <c r="AT114" s="16"/>
      <c r="AU114" s="17"/>
      <c r="AV114" s="17"/>
      <c r="AW114" s="85">
        <f t="shared" si="157"/>
        <v>0</v>
      </c>
      <c r="AX114" s="15"/>
      <c r="AY114" s="16"/>
      <c r="AZ114" s="17"/>
      <c r="BA114" s="17"/>
      <c r="BB114" s="85">
        <f t="shared" si="152"/>
        <v>0</v>
      </c>
      <c r="BC114" s="105">
        <f t="shared" si="153"/>
        <v>0</v>
      </c>
    </row>
    <row r="115" spans="1:57" x14ac:dyDescent="0.15">
      <c r="A115" s="23" t="s">
        <v>124</v>
      </c>
      <c r="B115" s="15">
        <v>1</v>
      </c>
      <c r="C115" s="16"/>
      <c r="D115" s="16"/>
      <c r="E115" s="63"/>
      <c r="F115" s="85">
        <f t="shared" si="124"/>
        <v>1</v>
      </c>
      <c r="G115" s="15">
        <v>1</v>
      </c>
      <c r="H115" s="16"/>
      <c r="I115" s="16"/>
      <c r="J115" s="63"/>
      <c r="K115" s="85">
        <f t="shared" si="125"/>
        <v>1</v>
      </c>
      <c r="L115" s="15">
        <v>1</v>
      </c>
      <c r="M115" s="16"/>
      <c r="N115" s="16"/>
      <c r="O115" s="63"/>
      <c r="P115" s="85">
        <f t="shared" si="126"/>
        <v>1</v>
      </c>
      <c r="Q115" s="15">
        <v>1</v>
      </c>
      <c r="R115" s="16"/>
      <c r="S115" s="16"/>
      <c r="T115" s="63"/>
      <c r="U115" s="85">
        <f t="shared" si="127"/>
        <v>1</v>
      </c>
      <c r="V115" s="15">
        <v>1</v>
      </c>
      <c r="W115" s="16"/>
      <c r="X115" s="16"/>
      <c r="Y115" s="63"/>
      <c r="Z115" s="85">
        <f t="shared" si="128"/>
        <v>1</v>
      </c>
      <c r="AA115" s="105">
        <f t="shared" si="129"/>
        <v>5</v>
      </c>
      <c r="AB115" s="115">
        <v>45356</v>
      </c>
      <c r="AC115" s="23" t="s">
        <v>137</v>
      </c>
      <c r="AD115" s="15"/>
      <c r="AE115" s="16"/>
      <c r="AF115" s="17"/>
      <c r="AG115" s="17"/>
      <c r="AH115" s="85">
        <f t="shared" si="130"/>
        <v>0</v>
      </c>
      <c r="AI115" s="15"/>
      <c r="AJ115" s="16"/>
      <c r="AK115" s="17"/>
      <c r="AL115" s="17"/>
      <c r="AM115" s="85">
        <f t="shared" si="131"/>
        <v>0</v>
      </c>
      <c r="AN115" s="15"/>
      <c r="AO115" s="16"/>
      <c r="AP115" s="16"/>
      <c r="AQ115" s="63"/>
      <c r="AR115" s="85">
        <f t="shared" si="132"/>
        <v>0</v>
      </c>
      <c r="AS115" s="15"/>
      <c r="AT115" s="16"/>
      <c r="AU115" s="16"/>
      <c r="AV115" s="63"/>
      <c r="AW115" s="85">
        <f t="shared" si="133"/>
        <v>0</v>
      </c>
      <c r="AX115" s="15"/>
      <c r="AY115" s="16"/>
      <c r="AZ115" s="16"/>
      <c r="BA115" s="63"/>
      <c r="BB115" s="85">
        <f t="shared" ref="BB115:BB116" si="158">SUM(AX115:BA115)</f>
        <v>0</v>
      </c>
      <c r="BC115" s="105">
        <f t="shared" ref="BC115:BC116" si="159">BB115+AW115+AR115+AM115+AH115</f>
        <v>0</v>
      </c>
      <c r="BD115" s="76" t="s">
        <v>127</v>
      </c>
      <c r="BE115" s="76"/>
    </row>
    <row r="116" spans="1:57" ht="14.25" thickBot="1" x14ac:dyDescent="0.2">
      <c r="A116" s="23" t="s">
        <v>124</v>
      </c>
      <c r="B116" s="15"/>
      <c r="C116" s="16"/>
      <c r="D116" s="16"/>
      <c r="E116" s="63"/>
      <c r="F116" s="85">
        <f t="shared" ref="F116" si="160">SUM(B116:E116)</f>
        <v>0</v>
      </c>
      <c r="G116" s="15"/>
      <c r="H116" s="16"/>
      <c r="I116" s="16"/>
      <c r="J116" s="63"/>
      <c r="K116" s="85">
        <f t="shared" ref="K116" si="161">SUM(G116:J116)</f>
        <v>0</v>
      </c>
      <c r="L116" s="15"/>
      <c r="M116" s="16"/>
      <c r="N116" s="16"/>
      <c r="O116" s="63"/>
      <c r="P116" s="85">
        <f t="shared" ref="P116" si="162">SUM(L116:O116)</f>
        <v>0</v>
      </c>
      <c r="Q116" s="15"/>
      <c r="R116" s="16">
        <v>1</v>
      </c>
      <c r="S116" s="16"/>
      <c r="T116" s="63"/>
      <c r="U116" s="85">
        <f t="shared" ref="U116" si="163">SUM(Q116:T116)</f>
        <v>1</v>
      </c>
      <c r="V116" s="15"/>
      <c r="W116" s="16"/>
      <c r="X116" s="16"/>
      <c r="Y116" s="63"/>
      <c r="Z116" s="85">
        <f t="shared" ref="Z116" si="164">SUM(V116:Y116)</f>
        <v>0</v>
      </c>
      <c r="AA116" s="105">
        <f t="shared" ref="AA116" si="165">Z116+U116+P116+K116+F116</f>
        <v>1</v>
      </c>
      <c r="AB116" s="115">
        <v>45357</v>
      </c>
      <c r="AC116" s="23" t="s">
        <v>138</v>
      </c>
      <c r="AD116" s="15"/>
      <c r="AE116" s="16"/>
      <c r="AF116" s="17"/>
      <c r="AG116" s="17"/>
      <c r="AH116" s="85">
        <f t="shared" si="130"/>
        <v>0</v>
      </c>
      <c r="AI116" s="15"/>
      <c r="AJ116" s="16"/>
      <c r="AK116" s="16"/>
      <c r="AL116" s="63"/>
      <c r="AM116" s="85">
        <f t="shared" si="131"/>
        <v>0</v>
      </c>
      <c r="AN116" s="15"/>
      <c r="AO116" s="16"/>
      <c r="AP116" s="16"/>
      <c r="AQ116" s="63"/>
      <c r="AR116" s="85">
        <f t="shared" ref="AR116" si="166">SUM(AN116:AQ116)</f>
        <v>0</v>
      </c>
      <c r="AS116" s="15"/>
      <c r="AT116" s="16"/>
      <c r="AU116" s="16"/>
      <c r="AV116" s="63"/>
      <c r="AW116" s="85">
        <f t="shared" ref="AW116" si="167">SUM(AS116:AV116)</f>
        <v>0</v>
      </c>
      <c r="AX116" s="15"/>
      <c r="AY116" s="16"/>
      <c r="AZ116" s="16"/>
      <c r="BA116" s="63"/>
      <c r="BB116" s="85">
        <f t="shared" si="158"/>
        <v>0</v>
      </c>
      <c r="BC116" s="105">
        <f t="shared" si="159"/>
        <v>0</v>
      </c>
      <c r="BD116" s="76" t="s">
        <v>127</v>
      </c>
      <c r="BE116" s="76"/>
    </row>
    <row r="117" spans="1:57" ht="14.25" thickBot="1" x14ac:dyDescent="0.2">
      <c r="A117" s="27" t="s">
        <v>12</v>
      </c>
      <c r="B117" s="57">
        <f>SUM(B91:B116)</f>
        <v>6</v>
      </c>
      <c r="C117" s="50">
        <f t="shared" ref="C117:D117" si="168">SUM(C91:C116)</f>
        <v>8</v>
      </c>
      <c r="D117" s="50">
        <f t="shared" si="168"/>
        <v>3</v>
      </c>
      <c r="E117" s="50">
        <f>SUM(E91:E116)</f>
        <v>6</v>
      </c>
      <c r="F117" s="88">
        <f t="shared" si="124"/>
        <v>23</v>
      </c>
      <c r="G117" s="57">
        <f>SUM(G91:G116)</f>
        <v>8</v>
      </c>
      <c r="H117" s="50">
        <f t="shared" ref="H117:I117" si="169">SUM(H91:H116)</f>
        <v>10</v>
      </c>
      <c r="I117" s="50">
        <f t="shared" si="169"/>
        <v>4</v>
      </c>
      <c r="J117" s="50">
        <f>SUM(J91:J116)</f>
        <v>5</v>
      </c>
      <c r="K117" s="88">
        <f t="shared" si="125"/>
        <v>27</v>
      </c>
      <c r="L117" s="57">
        <f>SUM(L91:L116)</f>
        <v>7</v>
      </c>
      <c r="M117" s="50">
        <f t="shared" ref="M117:N117" si="170">SUM(M91:M116)</f>
        <v>6</v>
      </c>
      <c r="N117" s="50">
        <f t="shared" si="170"/>
        <v>5</v>
      </c>
      <c r="O117" s="50">
        <f>SUM(O91:O116)</f>
        <v>4</v>
      </c>
      <c r="P117" s="88">
        <f t="shared" si="126"/>
        <v>22</v>
      </c>
      <c r="Q117" s="57">
        <f>SUM(Q91:Q116)</f>
        <v>7</v>
      </c>
      <c r="R117" s="50">
        <f t="shared" ref="R117:S117" si="171">SUM(R91:R116)</f>
        <v>6</v>
      </c>
      <c r="S117" s="50">
        <f t="shared" si="171"/>
        <v>5</v>
      </c>
      <c r="T117" s="50">
        <f>SUM(T91:T116)</f>
        <v>5</v>
      </c>
      <c r="U117" s="88">
        <f t="shared" si="127"/>
        <v>23</v>
      </c>
      <c r="V117" s="57">
        <f>SUM(V91:V116)</f>
        <v>8</v>
      </c>
      <c r="W117" s="50">
        <f t="shared" ref="W117:X117" si="172">SUM(W91:W116)</f>
        <v>13</v>
      </c>
      <c r="X117" s="50">
        <f t="shared" si="172"/>
        <v>8</v>
      </c>
      <c r="Y117" s="50">
        <f>SUM(Y91:Y116)</f>
        <v>8</v>
      </c>
      <c r="Z117" s="88">
        <f t="shared" si="128"/>
        <v>37</v>
      </c>
      <c r="AA117" s="109">
        <f t="shared" si="129"/>
        <v>132</v>
      </c>
      <c r="AC117" s="27" t="s">
        <v>12</v>
      </c>
      <c r="AD117" s="57">
        <f>SUM(AD91:AD116)</f>
        <v>20</v>
      </c>
      <c r="AE117" s="50">
        <f t="shared" ref="AE117:AF117" si="173">SUM(AE91:AE116)</f>
        <v>48</v>
      </c>
      <c r="AF117" s="50">
        <f t="shared" si="173"/>
        <v>16</v>
      </c>
      <c r="AG117" s="50">
        <f>SUM(AG91:AG116)</f>
        <v>34</v>
      </c>
      <c r="AH117" s="88">
        <f t="shared" si="130"/>
        <v>118</v>
      </c>
      <c r="AI117" s="57">
        <f>SUM(AI91:AI116)</f>
        <v>21</v>
      </c>
      <c r="AJ117" s="50">
        <f t="shared" ref="AJ117:AK117" si="174">SUM(AJ91:AJ116)</f>
        <v>43</v>
      </c>
      <c r="AK117" s="50">
        <f t="shared" si="174"/>
        <v>17</v>
      </c>
      <c r="AL117" s="50">
        <f>SUM(AL91:AL116)</f>
        <v>35</v>
      </c>
      <c r="AM117" s="88">
        <f t="shared" si="131"/>
        <v>116</v>
      </c>
      <c r="AN117" s="57">
        <f>SUM(AN91:AN116)</f>
        <v>63</v>
      </c>
      <c r="AO117" s="50">
        <f t="shared" ref="AO117:AP117" si="175">SUM(AO91:AO116)</f>
        <v>62</v>
      </c>
      <c r="AP117" s="50">
        <f t="shared" si="175"/>
        <v>16</v>
      </c>
      <c r="AQ117" s="50">
        <f>SUM(AQ91:AQ116)</f>
        <v>26</v>
      </c>
      <c r="AR117" s="88">
        <f t="shared" si="132"/>
        <v>167</v>
      </c>
      <c r="AS117" s="57">
        <f>SUM(AS91:AS116)</f>
        <v>62</v>
      </c>
      <c r="AT117" s="50">
        <f t="shared" ref="AT117:AU117" si="176">SUM(AT91:AT116)</f>
        <v>78</v>
      </c>
      <c r="AU117" s="50">
        <f t="shared" si="176"/>
        <v>19</v>
      </c>
      <c r="AV117" s="50">
        <f>SUM(AV91:AV116)</f>
        <v>24</v>
      </c>
      <c r="AW117" s="88">
        <f t="shared" si="133"/>
        <v>183</v>
      </c>
      <c r="AX117" s="57">
        <f>SUM(AX91:AX116)</f>
        <v>70</v>
      </c>
      <c r="AY117" s="50">
        <f t="shared" ref="AY117:AZ117" si="177">SUM(AY91:AY116)</f>
        <v>108</v>
      </c>
      <c r="AZ117" s="50">
        <f t="shared" si="177"/>
        <v>27</v>
      </c>
      <c r="BA117" s="50">
        <f>SUM(BA91:BA116)</f>
        <v>50</v>
      </c>
      <c r="BB117" s="88">
        <f>SUM(AX117:BA117)</f>
        <v>255</v>
      </c>
      <c r="BC117" s="109">
        <f t="shared" si="135"/>
        <v>839</v>
      </c>
    </row>
    <row r="118" spans="1:57" ht="14.25" thickBot="1" x14ac:dyDescent="0.2">
      <c r="A118" s="21" t="s">
        <v>13</v>
      </c>
      <c r="B118" s="101">
        <f>B90-B117</f>
        <v>5</v>
      </c>
      <c r="C118" s="8">
        <f t="shared" ref="C118:D118" si="178">C90-C117</f>
        <v>5</v>
      </c>
      <c r="D118" s="8">
        <f t="shared" si="178"/>
        <v>5</v>
      </c>
      <c r="E118" s="8">
        <f>E90-E117</f>
        <v>8</v>
      </c>
      <c r="F118" s="87">
        <f t="shared" si="124"/>
        <v>23</v>
      </c>
      <c r="G118" s="101">
        <f>G90-G117</f>
        <v>8</v>
      </c>
      <c r="H118" s="8">
        <f t="shared" ref="H118:I118" si="179">H90-H117</f>
        <v>4</v>
      </c>
      <c r="I118" s="8">
        <f t="shared" si="179"/>
        <v>5</v>
      </c>
      <c r="J118" s="8">
        <f>J90-J117</f>
        <v>9</v>
      </c>
      <c r="K118" s="87">
        <f t="shared" si="125"/>
        <v>26</v>
      </c>
      <c r="L118" s="101">
        <f>L90-L117</f>
        <v>8</v>
      </c>
      <c r="M118" s="8">
        <f t="shared" ref="M118:N118" si="180">M90-M117</f>
        <v>7</v>
      </c>
      <c r="N118" s="8">
        <f t="shared" si="180"/>
        <v>8</v>
      </c>
      <c r="O118" s="8">
        <f>O90-O117</f>
        <v>9</v>
      </c>
      <c r="P118" s="87">
        <f t="shared" si="126"/>
        <v>32</v>
      </c>
      <c r="Q118" s="101">
        <f>Q90-Q117</f>
        <v>5</v>
      </c>
      <c r="R118" s="8">
        <f t="shared" ref="R118:S118" si="181">R90-R117</f>
        <v>4</v>
      </c>
      <c r="S118" s="8">
        <f t="shared" si="181"/>
        <v>6</v>
      </c>
      <c r="T118" s="8">
        <f>T90-T117</f>
        <v>8</v>
      </c>
      <c r="U118" s="87">
        <f t="shared" si="127"/>
        <v>23</v>
      </c>
      <c r="V118" s="101">
        <f>V90-V117</f>
        <v>10</v>
      </c>
      <c r="W118" s="8">
        <f t="shared" ref="W118:X118" si="182">W90-W117</f>
        <v>8</v>
      </c>
      <c r="X118" s="8">
        <f t="shared" si="182"/>
        <v>8</v>
      </c>
      <c r="Y118" s="8">
        <f>Y90-Y117</f>
        <v>8</v>
      </c>
      <c r="Z118" s="87">
        <f t="shared" si="128"/>
        <v>34</v>
      </c>
      <c r="AA118" s="107">
        <f t="shared" si="129"/>
        <v>138</v>
      </c>
      <c r="AC118" s="29" t="s">
        <v>13</v>
      </c>
      <c r="AD118" s="32">
        <f>AD90-AD117</f>
        <v>613</v>
      </c>
      <c r="AE118" s="44">
        <f t="shared" ref="AE118:AF118" si="183">AE90-AE117</f>
        <v>546</v>
      </c>
      <c r="AF118" s="44">
        <f t="shared" si="183"/>
        <v>564</v>
      </c>
      <c r="AG118" s="44">
        <f>AG90-AG117</f>
        <v>268</v>
      </c>
      <c r="AH118" s="87">
        <f t="shared" si="130"/>
        <v>1991</v>
      </c>
      <c r="AI118" s="32">
        <f>AI90-AI117</f>
        <v>609</v>
      </c>
      <c r="AJ118" s="44">
        <f t="shared" ref="AJ118:AK118" si="184">AJ90-AJ117</f>
        <v>550</v>
      </c>
      <c r="AK118" s="44">
        <f t="shared" si="184"/>
        <v>561</v>
      </c>
      <c r="AL118" s="44">
        <f>AL90-AL117</f>
        <v>280</v>
      </c>
      <c r="AM118" s="87">
        <f t="shared" si="131"/>
        <v>2000</v>
      </c>
      <c r="AN118" s="32">
        <f>AN90-AN117</f>
        <v>678</v>
      </c>
      <c r="AO118" s="44">
        <f t="shared" ref="AO118:AP118" si="185">AO90-AO117</f>
        <v>683</v>
      </c>
      <c r="AP118" s="44">
        <f t="shared" si="185"/>
        <v>431</v>
      </c>
      <c r="AQ118" s="44">
        <f>AQ90-AQ117</f>
        <v>99</v>
      </c>
      <c r="AR118" s="87">
        <f t="shared" si="132"/>
        <v>1891</v>
      </c>
      <c r="AS118" s="32">
        <f>AS90-AS117</f>
        <v>239</v>
      </c>
      <c r="AT118" s="44">
        <f t="shared" ref="AT118:AU118" si="186">AT90-AT117</f>
        <v>240</v>
      </c>
      <c r="AU118" s="44">
        <f t="shared" si="186"/>
        <v>262</v>
      </c>
      <c r="AV118" s="44">
        <f>AV90-AV117</f>
        <v>200</v>
      </c>
      <c r="AW118" s="87">
        <f t="shared" si="133"/>
        <v>941</v>
      </c>
      <c r="AX118" s="32">
        <f>AX90-AX117</f>
        <v>1576</v>
      </c>
      <c r="AY118" s="44">
        <f t="shared" ref="AY118:AZ118" si="187">AY90-AY117</f>
        <v>1581</v>
      </c>
      <c r="AZ118" s="44">
        <f t="shared" si="187"/>
        <v>877</v>
      </c>
      <c r="BA118" s="44">
        <f>BA90-BA117</f>
        <v>320</v>
      </c>
      <c r="BB118" s="87">
        <f t="shared" si="134"/>
        <v>4354</v>
      </c>
      <c r="BC118" s="107">
        <f t="shared" si="135"/>
        <v>11177</v>
      </c>
    </row>
    <row r="120" spans="1:57" x14ac:dyDescent="0.15">
      <c r="AD120">
        <v>730</v>
      </c>
      <c r="AE120">
        <v>780</v>
      </c>
      <c r="AF120">
        <v>370</v>
      </c>
    </row>
    <row r="121" spans="1:57" ht="19.5" thickBot="1" x14ac:dyDescent="0.25">
      <c r="A121" s="271" t="s">
        <v>22</v>
      </c>
      <c r="B121" s="271"/>
      <c r="C121" s="271"/>
      <c r="D121" s="271"/>
      <c r="E121" s="271"/>
      <c r="F121" s="271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C121" s="79" t="s">
        <v>69</v>
      </c>
      <c r="AD121" s="79"/>
      <c r="AE121" s="79"/>
      <c r="AF121" s="79"/>
      <c r="AG121" s="79"/>
      <c r="AH121" s="79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</row>
    <row r="122" spans="1:57" ht="14.25" thickBot="1" x14ac:dyDescent="0.2">
      <c r="A122" s="2" t="s">
        <v>0</v>
      </c>
      <c r="B122" s="256" t="s">
        <v>23</v>
      </c>
      <c r="C122" s="257"/>
      <c r="D122" s="257"/>
      <c r="E122" s="258"/>
      <c r="F122" s="81"/>
      <c r="G122" s="259" t="s">
        <v>24</v>
      </c>
      <c r="H122" s="260"/>
      <c r="I122" s="260"/>
      <c r="J122" s="261"/>
      <c r="K122" s="81"/>
      <c r="L122" s="262" t="s">
        <v>25</v>
      </c>
      <c r="M122" s="263"/>
      <c r="N122" s="263"/>
      <c r="O122" s="264"/>
      <c r="P122" s="81"/>
      <c r="Q122" s="265" t="s">
        <v>26</v>
      </c>
      <c r="R122" s="266"/>
      <c r="S122" s="266"/>
      <c r="T122" s="267"/>
      <c r="U122" s="81"/>
      <c r="V122" s="268" t="s">
        <v>27</v>
      </c>
      <c r="W122" s="269"/>
      <c r="X122" s="269"/>
      <c r="Y122" s="270"/>
      <c r="Z122" s="81"/>
      <c r="AA122" s="272" t="s">
        <v>6</v>
      </c>
      <c r="AC122" s="2" t="s">
        <v>0</v>
      </c>
      <c r="AD122" s="256" t="s">
        <v>23</v>
      </c>
      <c r="AE122" s="257"/>
      <c r="AF122" s="257"/>
      <c r="AG122" s="258"/>
      <c r="AH122" s="81"/>
      <c r="AI122" s="259" t="s">
        <v>24</v>
      </c>
      <c r="AJ122" s="260"/>
      <c r="AK122" s="260"/>
      <c r="AL122" s="261"/>
      <c r="AM122" s="81"/>
      <c r="AN122" s="262" t="s">
        <v>25</v>
      </c>
      <c r="AO122" s="263"/>
      <c r="AP122" s="263"/>
      <c r="AQ122" s="264"/>
      <c r="AR122" s="81"/>
      <c r="AS122" s="265" t="s">
        <v>26</v>
      </c>
      <c r="AT122" s="266"/>
      <c r="AU122" s="266"/>
      <c r="AV122" s="267"/>
      <c r="AW122" s="81"/>
      <c r="AX122" s="268" t="s">
        <v>27</v>
      </c>
      <c r="AY122" s="269"/>
      <c r="AZ122" s="269"/>
      <c r="BA122" s="270"/>
      <c r="BB122" s="81"/>
      <c r="BC122" s="272" t="s">
        <v>6</v>
      </c>
    </row>
    <row r="123" spans="1:57" ht="14.25" thickBot="1" x14ac:dyDescent="0.2">
      <c r="A123" s="2" t="s">
        <v>2</v>
      </c>
      <c r="B123" s="3" t="s">
        <v>3</v>
      </c>
      <c r="C123" s="4" t="s">
        <v>4</v>
      </c>
      <c r="D123" s="5" t="s">
        <v>5</v>
      </c>
      <c r="E123" s="5" t="s">
        <v>20</v>
      </c>
      <c r="F123" s="82" t="s">
        <v>6</v>
      </c>
      <c r="G123" s="89" t="s">
        <v>3</v>
      </c>
      <c r="H123" s="4" t="s">
        <v>4</v>
      </c>
      <c r="I123" s="5" t="s">
        <v>5</v>
      </c>
      <c r="J123" s="5" t="s">
        <v>20</v>
      </c>
      <c r="K123" s="82" t="s">
        <v>6</v>
      </c>
      <c r="L123" s="89" t="s">
        <v>3</v>
      </c>
      <c r="M123" s="4" t="s">
        <v>4</v>
      </c>
      <c r="N123" s="5" t="s">
        <v>5</v>
      </c>
      <c r="O123" s="5" t="s">
        <v>20</v>
      </c>
      <c r="P123" s="82" t="s">
        <v>6</v>
      </c>
      <c r="Q123" s="89" t="s">
        <v>3</v>
      </c>
      <c r="R123" s="4" t="s">
        <v>4</v>
      </c>
      <c r="S123" s="5" t="s">
        <v>5</v>
      </c>
      <c r="T123" s="5" t="s">
        <v>20</v>
      </c>
      <c r="U123" s="82" t="s">
        <v>6</v>
      </c>
      <c r="V123" s="89" t="s">
        <v>3</v>
      </c>
      <c r="W123" s="4" t="s">
        <v>4</v>
      </c>
      <c r="X123" s="5" t="s">
        <v>5</v>
      </c>
      <c r="Y123" s="5" t="s">
        <v>20</v>
      </c>
      <c r="Z123" s="82" t="s">
        <v>6</v>
      </c>
      <c r="AA123" s="273"/>
      <c r="AC123" s="2" t="s">
        <v>2</v>
      </c>
      <c r="AD123" s="3" t="s">
        <v>3</v>
      </c>
      <c r="AE123" s="4" t="s">
        <v>4</v>
      </c>
      <c r="AF123" s="5" t="s">
        <v>5</v>
      </c>
      <c r="AG123" s="5" t="s">
        <v>20</v>
      </c>
      <c r="AH123" s="82" t="s">
        <v>6</v>
      </c>
      <c r="AI123" s="89" t="s">
        <v>3</v>
      </c>
      <c r="AJ123" s="4" t="s">
        <v>4</v>
      </c>
      <c r="AK123" s="5" t="s">
        <v>5</v>
      </c>
      <c r="AL123" s="5" t="s">
        <v>20</v>
      </c>
      <c r="AM123" s="82" t="s">
        <v>6</v>
      </c>
      <c r="AN123" s="89" t="s">
        <v>3</v>
      </c>
      <c r="AO123" s="4" t="s">
        <v>4</v>
      </c>
      <c r="AP123" s="5" t="s">
        <v>5</v>
      </c>
      <c r="AQ123" s="5" t="s">
        <v>20</v>
      </c>
      <c r="AR123" s="82" t="s">
        <v>6</v>
      </c>
      <c r="AS123" s="89" t="s">
        <v>3</v>
      </c>
      <c r="AT123" s="4" t="s">
        <v>4</v>
      </c>
      <c r="AU123" s="5" t="s">
        <v>5</v>
      </c>
      <c r="AV123" s="5" t="s">
        <v>20</v>
      </c>
      <c r="AW123" s="82" t="s">
        <v>6</v>
      </c>
      <c r="AX123" s="89" t="s">
        <v>3</v>
      </c>
      <c r="AY123" s="4" t="s">
        <v>4</v>
      </c>
      <c r="AZ123" s="5" t="s">
        <v>5</v>
      </c>
      <c r="BA123" s="5" t="s">
        <v>20</v>
      </c>
      <c r="BB123" s="82" t="s">
        <v>6</v>
      </c>
      <c r="BC123" s="276"/>
    </row>
    <row r="124" spans="1:57" x14ac:dyDescent="0.15">
      <c r="A124" s="40" t="s">
        <v>13</v>
      </c>
      <c r="B124" s="41">
        <f>B118</f>
        <v>5</v>
      </c>
      <c r="C124" s="42">
        <f>C118</f>
        <v>5</v>
      </c>
      <c r="D124" s="42">
        <f t="shared" ref="D124:AA124" si="188">D118</f>
        <v>5</v>
      </c>
      <c r="E124" s="94">
        <f t="shared" si="188"/>
        <v>8</v>
      </c>
      <c r="F124" s="95">
        <f t="shared" si="188"/>
        <v>23</v>
      </c>
      <c r="G124" s="96">
        <f t="shared" si="188"/>
        <v>8</v>
      </c>
      <c r="H124" s="42">
        <f t="shared" si="188"/>
        <v>4</v>
      </c>
      <c r="I124" s="42">
        <f t="shared" si="188"/>
        <v>5</v>
      </c>
      <c r="J124" s="94">
        <f t="shared" si="188"/>
        <v>9</v>
      </c>
      <c r="K124" s="95">
        <f t="shared" si="188"/>
        <v>26</v>
      </c>
      <c r="L124" s="96">
        <f t="shared" si="188"/>
        <v>8</v>
      </c>
      <c r="M124" s="42">
        <f t="shared" si="188"/>
        <v>7</v>
      </c>
      <c r="N124" s="42">
        <f t="shared" si="188"/>
        <v>8</v>
      </c>
      <c r="O124" s="94">
        <f t="shared" si="188"/>
        <v>9</v>
      </c>
      <c r="P124" s="95">
        <f t="shared" si="188"/>
        <v>32</v>
      </c>
      <c r="Q124" s="96">
        <f t="shared" si="188"/>
        <v>5</v>
      </c>
      <c r="R124" s="42">
        <f t="shared" si="188"/>
        <v>4</v>
      </c>
      <c r="S124" s="42">
        <f t="shared" si="188"/>
        <v>6</v>
      </c>
      <c r="T124" s="94">
        <f t="shared" si="188"/>
        <v>8</v>
      </c>
      <c r="U124" s="95">
        <f t="shared" si="188"/>
        <v>23</v>
      </c>
      <c r="V124" s="96">
        <f t="shared" si="188"/>
        <v>10</v>
      </c>
      <c r="W124" s="42">
        <f t="shared" si="188"/>
        <v>8</v>
      </c>
      <c r="X124" s="42">
        <f t="shared" si="188"/>
        <v>8</v>
      </c>
      <c r="Y124" s="94">
        <f t="shared" si="188"/>
        <v>8</v>
      </c>
      <c r="Z124" s="95">
        <f t="shared" si="188"/>
        <v>34</v>
      </c>
      <c r="AA124" s="104">
        <f t="shared" si="188"/>
        <v>138</v>
      </c>
      <c r="AC124" s="131" t="s">
        <v>13</v>
      </c>
      <c r="AD124" s="96">
        <f>AD118</f>
        <v>613</v>
      </c>
      <c r="AE124" s="42">
        <f>AE118</f>
        <v>546</v>
      </c>
      <c r="AF124" s="42">
        <f t="shared" ref="AF124:BC124" si="189">AF118</f>
        <v>564</v>
      </c>
      <c r="AG124" s="94">
        <f t="shared" si="189"/>
        <v>268</v>
      </c>
      <c r="AH124" s="95">
        <f t="shared" si="189"/>
        <v>1991</v>
      </c>
      <c r="AI124" s="96">
        <f t="shared" si="189"/>
        <v>609</v>
      </c>
      <c r="AJ124" s="42">
        <f t="shared" si="189"/>
        <v>550</v>
      </c>
      <c r="AK124" s="42">
        <f t="shared" si="189"/>
        <v>561</v>
      </c>
      <c r="AL124" s="94">
        <f t="shared" si="189"/>
        <v>280</v>
      </c>
      <c r="AM124" s="95">
        <f t="shared" si="189"/>
        <v>2000</v>
      </c>
      <c r="AN124" s="96">
        <f t="shared" si="189"/>
        <v>678</v>
      </c>
      <c r="AO124" s="42">
        <f t="shared" si="189"/>
        <v>683</v>
      </c>
      <c r="AP124" s="42">
        <f t="shared" si="189"/>
        <v>431</v>
      </c>
      <c r="AQ124" s="94">
        <f t="shared" si="189"/>
        <v>99</v>
      </c>
      <c r="AR124" s="95">
        <f t="shared" si="189"/>
        <v>1891</v>
      </c>
      <c r="AS124" s="96">
        <f t="shared" si="189"/>
        <v>239</v>
      </c>
      <c r="AT124" s="42">
        <f t="shared" si="189"/>
        <v>240</v>
      </c>
      <c r="AU124" s="42">
        <f t="shared" si="189"/>
        <v>262</v>
      </c>
      <c r="AV124" s="94">
        <f t="shared" si="189"/>
        <v>200</v>
      </c>
      <c r="AW124" s="95">
        <f t="shared" si="189"/>
        <v>941</v>
      </c>
      <c r="AX124" s="96">
        <f t="shared" si="189"/>
        <v>1576</v>
      </c>
      <c r="AY124" s="42">
        <f t="shared" si="189"/>
        <v>1581</v>
      </c>
      <c r="AZ124" s="42">
        <f t="shared" si="189"/>
        <v>877</v>
      </c>
      <c r="BA124" s="94">
        <f t="shared" si="189"/>
        <v>320</v>
      </c>
      <c r="BB124" s="95">
        <f t="shared" si="189"/>
        <v>4354</v>
      </c>
      <c r="BC124" s="104">
        <f t="shared" si="189"/>
        <v>11177</v>
      </c>
    </row>
    <row r="125" spans="1:57" x14ac:dyDescent="0.15">
      <c r="A125" s="9" t="s">
        <v>7</v>
      </c>
      <c r="B125" s="10">
        <v>5</v>
      </c>
      <c r="C125" s="11">
        <v>5</v>
      </c>
      <c r="D125" s="12">
        <v>5</v>
      </c>
      <c r="E125" s="12"/>
      <c r="F125" s="84">
        <f t="shared" ref="F125:F158" si="190">SUM(B125:E125)</f>
        <v>15</v>
      </c>
      <c r="G125" s="90"/>
      <c r="H125" s="11">
        <v>5</v>
      </c>
      <c r="I125" s="12">
        <v>5</v>
      </c>
      <c r="J125" s="12"/>
      <c r="K125" s="84">
        <f t="shared" ref="K125:K158" si="191">SUM(G125:J125)</f>
        <v>10</v>
      </c>
      <c r="L125" s="90"/>
      <c r="M125" s="11"/>
      <c r="N125" s="12"/>
      <c r="O125" s="12"/>
      <c r="P125" s="84">
        <f t="shared" ref="P125:P158" si="192">SUM(L125:O125)</f>
        <v>0</v>
      </c>
      <c r="Q125" s="90">
        <v>5</v>
      </c>
      <c r="R125" s="11">
        <v>5</v>
      </c>
      <c r="S125" s="12">
        <v>5</v>
      </c>
      <c r="T125" s="12"/>
      <c r="U125" s="84">
        <f t="shared" ref="U125:U158" si="193">SUM(Q125:T125)</f>
        <v>15</v>
      </c>
      <c r="V125" s="90"/>
      <c r="W125" s="11"/>
      <c r="X125" s="12"/>
      <c r="Y125" s="12"/>
      <c r="Z125" s="84">
        <f t="shared" ref="Z125:Z158" si="194">SUM(V125:Y125)</f>
        <v>0</v>
      </c>
      <c r="AA125" s="105">
        <f t="shared" ref="AA125:AA158" si="195">Z125+U125+P125+K125+F125</f>
        <v>40</v>
      </c>
      <c r="AB125" s="114">
        <v>45359</v>
      </c>
      <c r="AC125" s="117" t="s">
        <v>7</v>
      </c>
      <c r="AD125" s="90"/>
      <c r="AE125" s="11"/>
      <c r="AF125" s="12"/>
      <c r="AG125" s="12"/>
      <c r="AH125" s="84">
        <f t="shared" ref="AH125:AH158" si="196">SUM(AD125:AG125)</f>
        <v>0</v>
      </c>
      <c r="AI125" s="90"/>
      <c r="AJ125" s="11"/>
      <c r="AK125" s="12"/>
      <c r="AL125" s="12"/>
      <c r="AM125" s="84">
        <f t="shared" ref="AM125:AM158" si="197">SUM(AI125:AL125)</f>
        <v>0</v>
      </c>
      <c r="AN125" s="90"/>
      <c r="AO125" s="11"/>
      <c r="AP125" s="12"/>
      <c r="AQ125" s="12"/>
      <c r="AR125" s="84">
        <f t="shared" ref="AR125:AR158" si="198">SUM(AN125:AQ125)</f>
        <v>0</v>
      </c>
      <c r="AS125" s="90"/>
      <c r="AT125" s="11"/>
      <c r="AU125" s="12"/>
      <c r="AV125" s="12"/>
      <c r="AW125" s="84">
        <f t="shared" ref="AW125:AW158" si="199">SUM(AS125:AV125)</f>
        <v>0</v>
      </c>
      <c r="AX125" s="90"/>
      <c r="AY125" s="11"/>
      <c r="AZ125" s="12"/>
      <c r="BA125" s="12"/>
      <c r="BB125" s="84">
        <f t="shared" ref="BB125:BB158" si="200">SUM(AX125:BA125)</f>
        <v>0</v>
      </c>
      <c r="BC125" s="105">
        <f t="shared" ref="BC125:BC158" si="201">BB125+AW125+AR125+AM125+AH125</f>
        <v>0</v>
      </c>
    </row>
    <row r="126" spans="1:57" x14ac:dyDescent="0.15">
      <c r="A126" s="9" t="s">
        <v>8</v>
      </c>
      <c r="B126" s="10"/>
      <c r="C126" s="11"/>
      <c r="D126" s="12"/>
      <c r="E126" s="12">
        <v>5</v>
      </c>
      <c r="F126" s="85">
        <f t="shared" si="190"/>
        <v>5</v>
      </c>
      <c r="G126" s="90">
        <v>5</v>
      </c>
      <c r="H126" s="11"/>
      <c r="I126" s="12"/>
      <c r="J126" s="12"/>
      <c r="K126" s="85">
        <f t="shared" si="191"/>
        <v>5</v>
      </c>
      <c r="L126" s="90">
        <v>5</v>
      </c>
      <c r="M126" s="11">
        <v>5</v>
      </c>
      <c r="N126" s="12">
        <v>5</v>
      </c>
      <c r="O126" s="12"/>
      <c r="P126" s="85">
        <f t="shared" si="192"/>
        <v>15</v>
      </c>
      <c r="Q126" s="90"/>
      <c r="R126" s="11"/>
      <c r="S126" s="12"/>
      <c r="T126" s="12">
        <v>5</v>
      </c>
      <c r="U126" s="85">
        <f t="shared" si="193"/>
        <v>5</v>
      </c>
      <c r="V126" s="90"/>
      <c r="W126" s="11"/>
      <c r="X126" s="12">
        <v>5</v>
      </c>
      <c r="Y126" s="12">
        <v>5</v>
      </c>
      <c r="Z126" s="85">
        <f t="shared" si="194"/>
        <v>10</v>
      </c>
      <c r="AA126" s="105">
        <f t="shared" si="195"/>
        <v>40</v>
      </c>
      <c r="AB126" s="114">
        <v>45363</v>
      </c>
      <c r="AC126" s="117" t="s">
        <v>8</v>
      </c>
      <c r="AD126" s="90"/>
      <c r="AE126" s="11"/>
      <c r="AF126" s="12"/>
      <c r="AG126" s="12"/>
      <c r="AH126" s="84">
        <f t="shared" ref="AH126:AH127" si="202">SUM(AD126:AG126)</f>
        <v>0</v>
      </c>
      <c r="AI126" s="90"/>
      <c r="AJ126" s="11"/>
      <c r="AK126" s="12"/>
      <c r="AL126" s="12"/>
      <c r="AM126" s="84">
        <f t="shared" ref="AM126:AM127" si="203">SUM(AI126:AL126)</f>
        <v>0</v>
      </c>
      <c r="AN126" s="90"/>
      <c r="AO126" s="11"/>
      <c r="AP126" s="12"/>
      <c r="AQ126" s="12"/>
      <c r="AR126" s="84">
        <f t="shared" ref="AR126:AR127" si="204">SUM(AN126:AQ126)</f>
        <v>0</v>
      </c>
      <c r="AS126" s="90"/>
      <c r="AT126" s="11"/>
      <c r="AU126" s="12"/>
      <c r="AV126" s="12"/>
      <c r="AW126" s="84">
        <f t="shared" ref="AW126:AW127" si="205">SUM(AS126:AV126)</f>
        <v>0</v>
      </c>
      <c r="AX126" s="90"/>
      <c r="AY126" s="11"/>
      <c r="AZ126" s="12"/>
      <c r="BA126" s="12"/>
      <c r="BB126" s="84">
        <f t="shared" ref="BB126:BB127" si="206">SUM(AX126:BA126)</f>
        <v>0</v>
      </c>
      <c r="BC126" s="105">
        <f t="shared" ref="BC126:BC127" si="207">BB126+AW126+AR126+AM126+AH126</f>
        <v>0</v>
      </c>
    </row>
    <row r="127" spans="1:57" x14ac:dyDescent="0.15">
      <c r="A127" s="9" t="s">
        <v>9</v>
      </c>
      <c r="B127" s="15">
        <v>5</v>
      </c>
      <c r="C127" s="16">
        <v>5</v>
      </c>
      <c r="D127" s="17"/>
      <c r="E127" s="17"/>
      <c r="F127" s="85">
        <f t="shared" si="190"/>
        <v>10</v>
      </c>
      <c r="G127" s="91"/>
      <c r="H127" s="16">
        <v>5</v>
      </c>
      <c r="I127" s="17"/>
      <c r="J127" s="17">
        <v>5</v>
      </c>
      <c r="K127" s="85">
        <f t="shared" si="191"/>
        <v>10</v>
      </c>
      <c r="L127" s="91"/>
      <c r="M127" s="16"/>
      <c r="N127" s="17"/>
      <c r="O127" s="17">
        <v>5</v>
      </c>
      <c r="P127" s="85">
        <f t="shared" si="192"/>
        <v>5</v>
      </c>
      <c r="Q127" s="91">
        <v>5</v>
      </c>
      <c r="R127" s="16">
        <v>5</v>
      </c>
      <c r="S127" s="17">
        <v>5</v>
      </c>
      <c r="T127" s="17"/>
      <c r="U127" s="85">
        <f t="shared" si="193"/>
        <v>15</v>
      </c>
      <c r="V127" s="91">
        <v>5</v>
      </c>
      <c r="W127" s="16">
        <v>10</v>
      </c>
      <c r="X127" s="17"/>
      <c r="Y127" s="17">
        <v>5</v>
      </c>
      <c r="Z127" s="85">
        <f t="shared" si="194"/>
        <v>20</v>
      </c>
      <c r="AA127" s="105">
        <f t="shared" si="195"/>
        <v>60</v>
      </c>
      <c r="AB127" s="114">
        <v>45376</v>
      </c>
      <c r="AC127" s="117" t="s">
        <v>9</v>
      </c>
      <c r="AD127" s="91">
        <f>200-4</f>
        <v>196</v>
      </c>
      <c r="AE127" s="16">
        <v>400</v>
      </c>
      <c r="AF127" s="17">
        <v>0</v>
      </c>
      <c r="AG127" s="17">
        <v>0</v>
      </c>
      <c r="AH127" s="85">
        <f t="shared" si="202"/>
        <v>596</v>
      </c>
      <c r="AI127" s="91">
        <f>200-6</f>
        <v>194</v>
      </c>
      <c r="AJ127" s="16">
        <f>400-1</f>
        <v>399</v>
      </c>
      <c r="AK127" s="17">
        <v>0</v>
      </c>
      <c r="AL127" s="17">
        <v>0</v>
      </c>
      <c r="AM127" s="85">
        <f t="shared" si="203"/>
        <v>593</v>
      </c>
      <c r="AN127" s="91">
        <f>200-4</f>
        <v>196</v>
      </c>
      <c r="AO127" s="16">
        <f>400-1</f>
        <v>399</v>
      </c>
      <c r="AP127" s="17">
        <v>0</v>
      </c>
      <c r="AQ127" s="17">
        <v>0</v>
      </c>
      <c r="AR127" s="85">
        <f t="shared" si="204"/>
        <v>595</v>
      </c>
      <c r="AS127" s="90">
        <v>0</v>
      </c>
      <c r="AT127" s="11">
        <v>0</v>
      </c>
      <c r="AU127" s="12">
        <v>0</v>
      </c>
      <c r="AV127" s="12">
        <v>0</v>
      </c>
      <c r="AW127" s="85">
        <f t="shared" si="205"/>
        <v>0</v>
      </c>
      <c r="AX127" s="91">
        <v>0</v>
      </c>
      <c r="AY127" s="16">
        <v>0</v>
      </c>
      <c r="AZ127" s="17">
        <v>0</v>
      </c>
      <c r="BA127" s="17">
        <v>0</v>
      </c>
      <c r="BB127" s="85">
        <f t="shared" si="206"/>
        <v>0</v>
      </c>
      <c r="BC127" s="105">
        <f t="shared" si="207"/>
        <v>1784</v>
      </c>
      <c r="BD127" s="114" t="s">
        <v>261</v>
      </c>
      <c r="BE127" s="136"/>
    </row>
    <row r="128" spans="1:57" x14ac:dyDescent="0.15">
      <c r="A128" s="9" t="s">
        <v>171</v>
      </c>
      <c r="B128" s="15">
        <v>2</v>
      </c>
      <c r="C128" s="16"/>
      <c r="D128" s="17"/>
      <c r="E128" s="17"/>
      <c r="F128" s="85">
        <f t="shared" si="190"/>
        <v>2</v>
      </c>
      <c r="G128" s="91">
        <v>2</v>
      </c>
      <c r="H128" s="16"/>
      <c r="I128" s="17"/>
      <c r="J128" s="17"/>
      <c r="K128" s="85">
        <f t="shared" si="191"/>
        <v>2</v>
      </c>
      <c r="L128" s="91"/>
      <c r="M128" s="16"/>
      <c r="N128" s="17"/>
      <c r="O128" s="17"/>
      <c r="P128" s="85">
        <f t="shared" si="192"/>
        <v>0</v>
      </c>
      <c r="Q128" s="91"/>
      <c r="R128" s="16"/>
      <c r="S128" s="17"/>
      <c r="T128" s="17"/>
      <c r="U128" s="85">
        <f t="shared" si="193"/>
        <v>0</v>
      </c>
      <c r="V128" s="91">
        <v>2</v>
      </c>
      <c r="W128" s="16"/>
      <c r="X128" s="17"/>
      <c r="Y128" s="17"/>
      <c r="Z128" s="85">
        <f t="shared" si="194"/>
        <v>2</v>
      </c>
      <c r="AA128" s="105">
        <f t="shared" si="195"/>
        <v>6</v>
      </c>
      <c r="AB128" s="114">
        <v>45377</v>
      </c>
      <c r="AC128" s="117" t="s">
        <v>227</v>
      </c>
      <c r="AD128" s="91"/>
      <c r="AE128" s="16"/>
      <c r="AF128" s="17"/>
      <c r="AG128" s="17"/>
      <c r="AH128" s="85">
        <f t="shared" si="196"/>
        <v>0</v>
      </c>
      <c r="AI128" s="91"/>
      <c r="AJ128" s="16"/>
      <c r="AK128" s="17"/>
      <c r="AL128" s="17"/>
      <c r="AM128" s="85">
        <f t="shared" si="197"/>
        <v>0</v>
      </c>
      <c r="AN128" s="91"/>
      <c r="AO128" s="16"/>
      <c r="AP128" s="17"/>
      <c r="AQ128" s="17"/>
      <c r="AR128" s="85">
        <f t="shared" si="198"/>
        <v>0</v>
      </c>
      <c r="AS128" s="90"/>
      <c r="AT128" s="11"/>
      <c r="AU128" s="12"/>
      <c r="AV128" s="12"/>
      <c r="AW128" s="85">
        <f t="shared" si="199"/>
        <v>0</v>
      </c>
      <c r="AX128" s="91"/>
      <c r="AY128" s="16"/>
      <c r="AZ128" s="17"/>
      <c r="BA128" s="17"/>
      <c r="BB128" s="85">
        <f t="shared" si="200"/>
        <v>0</v>
      </c>
      <c r="BC128" s="105">
        <f t="shared" si="201"/>
        <v>0</v>
      </c>
      <c r="BD128" s="76"/>
      <c r="BE128" s="136"/>
    </row>
    <row r="129" spans="1:57" ht="14.25" thickBot="1" x14ac:dyDescent="0.2">
      <c r="A129" s="9" t="s">
        <v>87</v>
      </c>
      <c r="B129" s="15"/>
      <c r="C129" s="16"/>
      <c r="D129" s="17"/>
      <c r="E129" s="17">
        <v>1</v>
      </c>
      <c r="F129" s="92">
        <f t="shared" si="190"/>
        <v>1</v>
      </c>
      <c r="G129" s="91"/>
      <c r="H129" s="16"/>
      <c r="I129" s="17"/>
      <c r="J129" s="17">
        <v>1</v>
      </c>
      <c r="K129" s="92">
        <f t="shared" si="191"/>
        <v>1</v>
      </c>
      <c r="L129" s="91">
        <v>1</v>
      </c>
      <c r="M129" s="16"/>
      <c r="N129" s="17"/>
      <c r="O129" s="17">
        <v>1</v>
      </c>
      <c r="P129" s="92">
        <f t="shared" si="192"/>
        <v>2</v>
      </c>
      <c r="Q129" s="91">
        <v>1</v>
      </c>
      <c r="R129" s="16"/>
      <c r="S129" s="17"/>
      <c r="T129" s="17">
        <v>1</v>
      </c>
      <c r="U129" s="92">
        <f t="shared" si="193"/>
        <v>2</v>
      </c>
      <c r="V129" s="91">
        <v>1</v>
      </c>
      <c r="W129" s="16"/>
      <c r="X129" s="17"/>
      <c r="Y129" s="17">
        <v>2</v>
      </c>
      <c r="Z129" s="92">
        <f t="shared" si="194"/>
        <v>3</v>
      </c>
      <c r="AA129" s="110">
        <f t="shared" si="195"/>
        <v>9</v>
      </c>
      <c r="AB129" s="114">
        <v>45391</v>
      </c>
      <c r="AC129" s="132" t="s">
        <v>11</v>
      </c>
      <c r="AD129" s="91"/>
      <c r="AE129" s="16"/>
      <c r="AF129" s="17"/>
      <c r="AG129" s="17"/>
      <c r="AH129" s="92">
        <f t="shared" si="196"/>
        <v>0</v>
      </c>
      <c r="AI129" s="91"/>
      <c r="AJ129" s="16"/>
      <c r="AK129" s="17"/>
      <c r="AL129" s="17"/>
      <c r="AM129" s="92">
        <f t="shared" si="197"/>
        <v>0</v>
      </c>
      <c r="AN129" s="91"/>
      <c r="AO129" s="16"/>
      <c r="AP129" s="17"/>
      <c r="AQ129" s="17"/>
      <c r="AR129" s="92">
        <f t="shared" si="198"/>
        <v>0</v>
      </c>
      <c r="AS129" s="91"/>
      <c r="AT129" s="16"/>
      <c r="AU129" s="17"/>
      <c r="AV129" s="17"/>
      <c r="AW129" s="92">
        <f t="shared" si="199"/>
        <v>0</v>
      </c>
      <c r="AX129" s="91"/>
      <c r="AY129" s="16"/>
      <c r="AZ129" s="17"/>
      <c r="BA129" s="17"/>
      <c r="BB129" s="92">
        <f t="shared" si="200"/>
        <v>0</v>
      </c>
      <c r="BC129" s="110">
        <f t="shared" si="201"/>
        <v>0</v>
      </c>
    </row>
    <row r="130" spans="1:57" ht="14.25" thickBot="1" x14ac:dyDescent="0.2">
      <c r="A130" s="21" t="s">
        <v>16</v>
      </c>
      <c r="B130" s="7">
        <f>SUM(B124:B129)</f>
        <v>17</v>
      </c>
      <c r="C130" s="8">
        <f t="shared" ref="C130:E130" si="208">SUM(C124:C129)</f>
        <v>15</v>
      </c>
      <c r="D130" s="22">
        <f t="shared" si="208"/>
        <v>10</v>
      </c>
      <c r="E130" s="22">
        <f t="shared" si="208"/>
        <v>14</v>
      </c>
      <c r="F130" s="87">
        <f t="shared" si="190"/>
        <v>56</v>
      </c>
      <c r="G130" s="7">
        <f>SUM(G124:G129)</f>
        <v>15</v>
      </c>
      <c r="H130" s="8">
        <f t="shared" ref="H130:J130" si="209">SUM(H124:H129)</f>
        <v>14</v>
      </c>
      <c r="I130" s="22">
        <f t="shared" si="209"/>
        <v>10</v>
      </c>
      <c r="J130" s="22">
        <f t="shared" si="209"/>
        <v>15</v>
      </c>
      <c r="K130" s="87">
        <f t="shared" si="191"/>
        <v>54</v>
      </c>
      <c r="L130" s="7">
        <f>SUM(L124:L129)</f>
        <v>14</v>
      </c>
      <c r="M130" s="8">
        <f t="shared" ref="M130:O130" si="210">SUM(M124:M129)</f>
        <v>12</v>
      </c>
      <c r="N130" s="22">
        <f t="shared" si="210"/>
        <v>13</v>
      </c>
      <c r="O130" s="22">
        <f t="shared" si="210"/>
        <v>15</v>
      </c>
      <c r="P130" s="87">
        <f t="shared" si="192"/>
        <v>54</v>
      </c>
      <c r="Q130" s="7">
        <f>SUM(Q124:Q129)</f>
        <v>16</v>
      </c>
      <c r="R130" s="8">
        <f t="shared" ref="R130:T130" si="211">SUM(R124:R129)</f>
        <v>14</v>
      </c>
      <c r="S130" s="22">
        <f t="shared" si="211"/>
        <v>16</v>
      </c>
      <c r="T130" s="22">
        <f t="shared" si="211"/>
        <v>14</v>
      </c>
      <c r="U130" s="87">
        <f t="shared" si="193"/>
        <v>60</v>
      </c>
      <c r="V130" s="7">
        <f>SUM(V124:V129)</f>
        <v>18</v>
      </c>
      <c r="W130" s="8">
        <f t="shared" ref="W130:Y130" si="212">SUM(W124:W129)</f>
        <v>18</v>
      </c>
      <c r="X130" s="22">
        <f t="shared" si="212"/>
        <v>13</v>
      </c>
      <c r="Y130" s="22">
        <f t="shared" si="212"/>
        <v>20</v>
      </c>
      <c r="Z130" s="87">
        <f t="shared" si="194"/>
        <v>69</v>
      </c>
      <c r="AA130" s="107">
        <f t="shared" si="195"/>
        <v>293</v>
      </c>
      <c r="AC130" s="21" t="s">
        <v>16</v>
      </c>
      <c r="AD130" s="7">
        <f>SUM(AD124:AD129)</f>
        <v>809</v>
      </c>
      <c r="AE130" s="8">
        <f t="shared" ref="AE130:AG130" si="213">SUM(AE124:AE129)</f>
        <v>946</v>
      </c>
      <c r="AF130" s="22">
        <f t="shared" si="213"/>
        <v>564</v>
      </c>
      <c r="AG130" s="22">
        <f t="shared" si="213"/>
        <v>268</v>
      </c>
      <c r="AH130" s="87">
        <f t="shared" si="196"/>
        <v>2587</v>
      </c>
      <c r="AI130" s="7">
        <f>SUM(AI124:AI129)</f>
        <v>803</v>
      </c>
      <c r="AJ130" s="8">
        <f t="shared" ref="AJ130:AL130" si="214">SUM(AJ124:AJ129)</f>
        <v>949</v>
      </c>
      <c r="AK130" s="22">
        <f t="shared" si="214"/>
        <v>561</v>
      </c>
      <c r="AL130" s="22">
        <f t="shared" si="214"/>
        <v>280</v>
      </c>
      <c r="AM130" s="87">
        <f t="shared" si="197"/>
        <v>2593</v>
      </c>
      <c r="AN130" s="7">
        <f>SUM(AN124:AN129)</f>
        <v>874</v>
      </c>
      <c r="AO130" s="8">
        <f t="shared" ref="AO130:AQ130" si="215">SUM(AO124:AO129)</f>
        <v>1082</v>
      </c>
      <c r="AP130" s="22">
        <f t="shared" si="215"/>
        <v>431</v>
      </c>
      <c r="AQ130" s="22">
        <f t="shared" si="215"/>
        <v>99</v>
      </c>
      <c r="AR130" s="87">
        <f t="shared" si="198"/>
        <v>2486</v>
      </c>
      <c r="AS130" s="7">
        <f>SUM(AS124:AS129)</f>
        <v>239</v>
      </c>
      <c r="AT130" s="8">
        <f t="shared" ref="AT130:AV130" si="216">SUM(AT124:AT129)</f>
        <v>240</v>
      </c>
      <c r="AU130" s="22">
        <f t="shared" si="216"/>
        <v>262</v>
      </c>
      <c r="AV130" s="22">
        <f t="shared" si="216"/>
        <v>200</v>
      </c>
      <c r="AW130" s="87">
        <f t="shared" si="199"/>
        <v>941</v>
      </c>
      <c r="AX130" s="7">
        <f>SUM(AX124:AX129)</f>
        <v>1576</v>
      </c>
      <c r="AY130" s="8">
        <f t="shared" ref="AY130:BA130" si="217">SUM(AY124:AY129)</f>
        <v>1581</v>
      </c>
      <c r="AZ130" s="22">
        <f t="shared" si="217"/>
        <v>877</v>
      </c>
      <c r="BA130" s="22">
        <f t="shared" si="217"/>
        <v>320</v>
      </c>
      <c r="BB130" s="87">
        <f t="shared" si="200"/>
        <v>4354</v>
      </c>
      <c r="BC130" s="107">
        <f t="shared" si="201"/>
        <v>12961</v>
      </c>
    </row>
    <row r="131" spans="1:57" x14ac:dyDescent="0.15">
      <c r="A131" s="23" t="s">
        <v>124</v>
      </c>
      <c r="B131" s="39"/>
      <c r="C131" s="13"/>
      <c r="D131" s="14"/>
      <c r="E131" s="14">
        <v>1</v>
      </c>
      <c r="F131" s="83">
        <f t="shared" si="190"/>
        <v>1</v>
      </c>
      <c r="G131" s="39"/>
      <c r="H131" s="13"/>
      <c r="I131" s="14"/>
      <c r="J131" s="14">
        <v>1</v>
      </c>
      <c r="K131" s="83">
        <f t="shared" si="191"/>
        <v>1</v>
      </c>
      <c r="L131" s="39"/>
      <c r="M131" s="13"/>
      <c r="N131" s="14"/>
      <c r="O131" s="14"/>
      <c r="P131" s="83">
        <f t="shared" si="192"/>
        <v>0</v>
      </c>
      <c r="Q131" s="39"/>
      <c r="R131" s="13"/>
      <c r="S131" s="14"/>
      <c r="T131" s="14"/>
      <c r="U131" s="83">
        <f t="shared" si="193"/>
        <v>0</v>
      </c>
      <c r="V131" s="39"/>
      <c r="W131" s="13"/>
      <c r="X131" s="14"/>
      <c r="Y131" s="14">
        <v>1</v>
      </c>
      <c r="Z131" s="83">
        <f t="shared" si="194"/>
        <v>1</v>
      </c>
      <c r="AA131" s="108">
        <f t="shared" si="195"/>
        <v>3</v>
      </c>
      <c r="AB131" s="115">
        <v>45358</v>
      </c>
      <c r="AC131" s="128" t="s">
        <v>221</v>
      </c>
      <c r="AD131" s="39">
        <v>500</v>
      </c>
      <c r="AE131" s="13">
        <v>500</v>
      </c>
      <c r="AF131" s="14">
        <v>270</v>
      </c>
      <c r="AG131" s="14">
        <v>0</v>
      </c>
      <c r="AH131" s="83">
        <f t="shared" si="196"/>
        <v>1270</v>
      </c>
      <c r="AI131" s="39">
        <v>500</v>
      </c>
      <c r="AJ131" s="13">
        <v>500</v>
      </c>
      <c r="AK131" s="14">
        <v>270</v>
      </c>
      <c r="AL131" s="14">
        <v>0</v>
      </c>
      <c r="AM131" s="83">
        <f t="shared" si="197"/>
        <v>1270</v>
      </c>
      <c r="AN131" s="39">
        <v>500</v>
      </c>
      <c r="AO131" s="13">
        <v>500</v>
      </c>
      <c r="AP131" s="14">
        <v>270</v>
      </c>
      <c r="AQ131" s="14">
        <v>0</v>
      </c>
      <c r="AR131" s="83">
        <f t="shared" si="198"/>
        <v>1270</v>
      </c>
      <c r="AS131" s="39"/>
      <c r="AT131" s="13"/>
      <c r="AU131" s="14"/>
      <c r="AV131" s="14"/>
      <c r="AW131" s="83">
        <f t="shared" si="199"/>
        <v>0</v>
      </c>
      <c r="AX131" s="39"/>
      <c r="AY131" s="13"/>
      <c r="AZ131" s="14"/>
      <c r="BA131" s="14"/>
      <c r="BB131" s="85">
        <f t="shared" si="200"/>
        <v>0</v>
      </c>
      <c r="BC131" s="105">
        <f t="shared" si="201"/>
        <v>3810</v>
      </c>
      <c r="BD131" s="114">
        <v>45391</v>
      </c>
      <c r="BE131" s="77"/>
    </row>
    <row r="132" spans="1:57" x14ac:dyDescent="0.15">
      <c r="A132" s="23" t="s">
        <v>174</v>
      </c>
      <c r="B132" s="15"/>
      <c r="C132" s="16"/>
      <c r="D132" s="17"/>
      <c r="E132" s="17"/>
      <c r="F132" s="85">
        <f t="shared" si="190"/>
        <v>0</v>
      </c>
      <c r="G132" s="15"/>
      <c r="H132" s="16"/>
      <c r="I132" s="17"/>
      <c r="J132" s="17"/>
      <c r="K132" s="85">
        <f t="shared" si="191"/>
        <v>0</v>
      </c>
      <c r="L132" s="15"/>
      <c r="M132" s="16"/>
      <c r="N132" s="17">
        <v>3</v>
      </c>
      <c r="O132" s="17">
        <v>3</v>
      </c>
      <c r="P132" s="85">
        <f t="shared" si="192"/>
        <v>6</v>
      </c>
      <c r="Q132" s="15"/>
      <c r="R132" s="16"/>
      <c r="S132" s="17">
        <v>3</v>
      </c>
      <c r="T132" s="17">
        <v>3</v>
      </c>
      <c r="U132" s="85">
        <f t="shared" si="193"/>
        <v>6</v>
      </c>
      <c r="V132" s="15"/>
      <c r="W132" s="16"/>
      <c r="X132" s="17">
        <v>3</v>
      </c>
      <c r="Y132" s="17">
        <v>3</v>
      </c>
      <c r="Z132" s="85">
        <f t="shared" si="194"/>
        <v>6</v>
      </c>
      <c r="AA132" s="105">
        <f t="shared" si="195"/>
        <v>18</v>
      </c>
      <c r="AB132" s="114">
        <v>45362</v>
      </c>
      <c r="AC132" s="102" t="s">
        <v>220</v>
      </c>
      <c r="AD132" s="15">
        <v>130</v>
      </c>
      <c r="AE132" s="16">
        <v>240</v>
      </c>
      <c r="AF132" s="17">
        <v>0</v>
      </c>
      <c r="AG132" s="17">
        <v>0</v>
      </c>
      <c r="AH132" s="85">
        <f t="shared" si="196"/>
        <v>370</v>
      </c>
      <c r="AI132" s="15">
        <v>130</v>
      </c>
      <c r="AJ132" s="16">
        <v>240</v>
      </c>
      <c r="AK132" s="17">
        <v>0</v>
      </c>
      <c r="AL132" s="17">
        <v>0</v>
      </c>
      <c r="AM132" s="85">
        <f t="shared" si="197"/>
        <v>370</v>
      </c>
      <c r="AN132" s="15">
        <v>130</v>
      </c>
      <c r="AO132" s="16">
        <v>240</v>
      </c>
      <c r="AP132" s="17">
        <v>0</v>
      </c>
      <c r="AQ132" s="17">
        <v>0</v>
      </c>
      <c r="AR132" s="85">
        <f t="shared" si="198"/>
        <v>370</v>
      </c>
      <c r="AS132" s="15"/>
      <c r="AT132" s="16"/>
      <c r="AU132" s="17"/>
      <c r="AV132" s="17"/>
      <c r="AW132" s="85">
        <f t="shared" si="199"/>
        <v>0</v>
      </c>
      <c r="AX132" s="15"/>
      <c r="AY132" s="16"/>
      <c r="AZ132" s="17"/>
      <c r="BA132" s="17"/>
      <c r="BB132" s="85">
        <f t="shared" si="200"/>
        <v>0</v>
      </c>
      <c r="BC132" s="105">
        <f t="shared" si="201"/>
        <v>1110</v>
      </c>
      <c r="BD132" s="178">
        <v>45418</v>
      </c>
      <c r="BE132" s="137"/>
    </row>
    <row r="133" spans="1:57" x14ac:dyDescent="0.15">
      <c r="A133" s="23" t="s">
        <v>176</v>
      </c>
      <c r="B133" s="15">
        <v>2</v>
      </c>
      <c r="C133" s="16"/>
      <c r="D133" s="17"/>
      <c r="E133" s="17">
        <v>2</v>
      </c>
      <c r="F133" s="85">
        <f t="shared" si="190"/>
        <v>4</v>
      </c>
      <c r="G133" s="15">
        <v>2</v>
      </c>
      <c r="H133" s="16"/>
      <c r="I133" s="17"/>
      <c r="J133" s="17">
        <v>2</v>
      </c>
      <c r="K133" s="85">
        <f t="shared" si="191"/>
        <v>4</v>
      </c>
      <c r="L133" s="15"/>
      <c r="M133" s="16"/>
      <c r="N133" s="17"/>
      <c r="O133" s="17"/>
      <c r="P133" s="85">
        <f t="shared" si="192"/>
        <v>0</v>
      </c>
      <c r="Q133" s="15"/>
      <c r="R133" s="16"/>
      <c r="S133" s="17"/>
      <c r="T133" s="17"/>
      <c r="U133" s="85">
        <f t="shared" si="193"/>
        <v>0</v>
      </c>
      <c r="V133" s="15">
        <v>2</v>
      </c>
      <c r="W133" s="16"/>
      <c r="X133" s="17"/>
      <c r="Y133" s="17">
        <v>2</v>
      </c>
      <c r="Z133" s="85">
        <f t="shared" si="194"/>
        <v>4</v>
      </c>
      <c r="AA133" s="105">
        <f t="shared" si="195"/>
        <v>12</v>
      </c>
      <c r="AB133" s="114">
        <v>45364</v>
      </c>
      <c r="AC133" s="102" t="s">
        <v>222</v>
      </c>
      <c r="AD133" s="15">
        <v>100</v>
      </c>
      <c r="AE133" s="16">
        <v>40</v>
      </c>
      <c r="AF133" s="17"/>
      <c r="AG133" s="17"/>
      <c r="AH133" s="85">
        <f t="shared" si="196"/>
        <v>140</v>
      </c>
      <c r="AI133" s="15">
        <v>100</v>
      </c>
      <c r="AJ133" s="16">
        <v>40</v>
      </c>
      <c r="AK133" s="17"/>
      <c r="AL133" s="17"/>
      <c r="AM133" s="85">
        <f t="shared" si="197"/>
        <v>140</v>
      </c>
      <c r="AN133" s="15">
        <v>100</v>
      </c>
      <c r="AO133" s="16">
        <v>40</v>
      </c>
      <c r="AP133" s="17"/>
      <c r="AQ133" s="17"/>
      <c r="AR133" s="85">
        <f t="shared" si="198"/>
        <v>140</v>
      </c>
      <c r="AS133" s="15"/>
      <c r="AT133" s="16"/>
      <c r="AU133" s="17"/>
      <c r="AV133" s="17"/>
      <c r="AW133" s="85">
        <f t="shared" si="199"/>
        <v>0</v>
      </c>
      <c r="AX133" s="15"/>
      <c r="AY133" s="16"/>
      <c r="AZ133" s="17"/>
      <c r="BA133" s="17"/>
      <c r="BB133" s="85">
        <f t="shared" si="200"/>
        <v>0</v>
      </c>
      <c r="BC133" s="105">
        <f t="shared" si="201"/>
        <v>420</v>
      </c>
      <c r="BD133" s="114">
        <v>45404</v>
      </c>
    </row>
    <row r="134" spans="1:57" x14ac:dyDescent="0.15">
      <c r="A134" s="23" t="s">
        <v>96</v>
      </c>
      <c r="B134" s="15">
        <v>1</v>
      </c>
      <c r="C134" s="16">
        <v>1</v>
      </c>
      <c r="D134" s="17"/>
      <c r="E134" s="17"/>
      <c r="F134" s="85">
        <f t="shared" si="190"/>
        <v>2</v>
      </c>
      <c r="G134" s="15">
        <v>2</v>
      </c>
      <c r="H134" s="16">
        <v>2</v>
      </c>
      <c r="I134" s="17">
        <v>1</v>
      </c>
      <c r="J134" s="17"/>
      <c r="K134" s="85">
        <f t="shared" si="191"/>
        <v>5</v>
      </c>
      <c r="L134" s="15">
        <v>2</v>
      </c>
      <c r="M134" s="16">
        <v>2</v>
      </c>
      <c r="N134" s="17">
        <v>1</v>
      </c>
      <c r="O134" s="17"/>
      <c r="P134" s="85">
        <f t="shared" si="192"/>
        <v>5</v>
      </c>
      <c r="Q134" s="15">
        <v>2</v>
      </c>
      <c r="R134" s="16">
        <v>2</v>
      </c>
      <c r="S134" s="17">
        <v>1</v>
      </c>
      <c r="T134" s="17"/>
      <c r="U134" s="85">
        <f t="shared" si="193"/>
        <v>5</v>
      </c>
      <c r="V134" s="15">
        <v>1</v>
      </c>
      <c r="W134" s="16">
        <v>1</v>
      </c>
      <c r="X134" s="17"/>
      <c r="Y134" s="17"/>
      <c r="Z134" s="85">
        <f t="shared" si="194"/>
        <v>2</v>
      </c>
      <c r="AA134" s="105">
        <f t="shared" si="195"/>
        <v>19</v>
      </c>
      <c r="AB134" s="114">
        <v>45363</v>
      </c>
      <c r="AC134" s="102" t="s">
        <v>223</v>
      </c>
      <c r="AD134" s="15"/>
      <c r="AE134" s="16"/>
      <c r="AF134" s="17">
        <v>100</v>
      </c>
      <c r="AG134" s="17"/>
      <c r="AH134" s="85">
        <f t="shared" si="196"/>
        <v>100</v>
      </c>
      <c r="AI134" s="15"/>
      <c r="AJ134" s="16"/>
      <c r="AK134" s="17">
        <v>100</v>
      </c>
      <c r="AL134" s="17"/>
      <c r="AM134" s="85">
        <f t="shared" si="197"/>
        <v>100</v>
      </c>
      <c r="AN134" s="15"/>
      <c r="AO134" s="16"/>
      <c r="AP134" s="17">
        <v>100</v>
      </c>
      <c r="AQ134" s="17"/>
      <c r="AR134" s="85">
        <f t="shared" si="198"/>
        <v>100</v>
      </c>
      <c r="AS134" s="15"/>
      <c r="AT134" s="16"/>
      <c r="AU134" s="17"/>
      <c r="AV134" s="17"/>
      <c r="AW134" s="85">
        <f t="shared" si="199"/>
        <v>0</v>
      </c>
      <c r="AX134" s="15"/>
      <c r="AY134" s="16"/>
      <c r="AZ134" s="17"/>
      <c r="BA134" s="17"/>
      <c r="BB134" s="85">
        <f t="shared" si="200"/>
        <v>0</v>
      </c>
      <c r="BC134" s="105">
        <f t="shared" si="201"/>
        <v>300</v>
      </c>
      <c r="BD134" s="114">
        <v>45405</v>
      </c>
      <c r="BE134" s="76"/>
    </row>
    <row r="135" spans="1:57" x14ac:dyDescent="0.15">
      <c r="A135" s="23" t="s">
        <v>177</v>
      </c>
      <c r="B135" s="15">
        <v>1</v>
      </c>
      <c r="C135" s="16">
        <v>3</v>
      </c>
      <c r="D135" s="17"/>
      <c r="E135" s="17"/>
      <c r="F135" s="85">
        <f t="shared" si="190"/>
        <v>4</v>
      </c>
      <c r="G135" s="15">
        <v>1</v>
      </c>
      <c r="H135" s="16">
        <v>3</v>
      </c>
      <c r="I135" s="17"/>
      <c r="J135" s="17"/>
      <c r="K135" s="85">
        <f t="shared" si="191"/>
        <v>4</v>
      </c>
      <c r="L135" s="15"/>
      <c r="M135" s="16"/>
      <c r="N135" s="17"/>
      <c r="O135" s="17"/>
      <c r="P135" s="85">
        <f t="shared" si="192"/>
        <v>0</v>
      </c>
      <c r="Q135" s="15"/>
      <c r="R135" s="16"/>
      <c r="S135" s="17"/>
      <c r="T135" s="17"/>
      <c r="U135" s="85">
        <f t="shared" si="193"/>
        <v>0</v>
      </c>
      <c r="V135" s="15">
        <v>1</v>
      </c>
      <c r="W135" s="16">
        <v>3</v>
      </c>
      <c r="X135" s="17"/>
      <c r="Y135" s="17"/>
      <c r="Z135" s="85">
        <f t="shared" si="194"/>
        <v>4</v>
      </c>
      <c r="AA135" s="105">
        <f t="shared" si="195"/>
        <v>12</v>
      </c>
      <c r="AB135" s="114">
        <v>45365</v>
      </c>
      <c r="AC135" s="54" t="s">
        <v>226</v>
      </c>
      <c r="AD135" s="15"/>
      <c r="AE135" s="16">
        <v>5</v>
      </c>
      <c r="AF135" s="17"/>
      <c r="AG135" s="17"/>
      <c r="AH135" s="85">
        <f t="shared" ref="AH135:AH152" si="218">SUM(AD135:AG135)</f>
        <v>5</v>
      </c>
      <c r="AI135" s="15"/>
      <c r="AJ135" s="16">
        <v>2</v>
      </c>
      <c r="AK135" s="17"/>
      <c r="AL135" s="17"/>
      <c r="AM135" s="85">
        <f t="shared" ref="AM135:AM152" si="219">SUM(AI135:AL135)</f>
        <v>2</v>
      </c>
      <c r="AN135" s="15"/>
      <c r="AO135" s="16">
        <v>3</v>
      </c>
      <c r="AP135" s="17"/>
      <c r="AQ135" s="17"/>
      <c r="AR135" s="85">
        <f t="shared" ref="AR135:AR152" si="220">SUM(AN135:AQ135)</f>
        <v>3</v>
      </c>
      <c r="AS135" s="15">
        <v>5</v>
      </c>
      <c r="AT135" s="16"/>
      <c r="AU135" s="17"/>
      <c r="AV135" s="17"/>
      <c r="AW135" s="85">
        <f t="shared" ref="AW135:AW152" si="221">SUM(AS135:AV135)</f>
        <v>5</v>
      </c>
      <c r="AX135" s="15">
        <v>6</v>
      </c>
      <c r="AY135" s="16"/>
      <c r="AZ135" s="17">
        <v>2</v>
      </c>
      <c r="BA135" s="17"/>
      <c r="BB135" s="85">
        <f t="shared" si="200"/>
        <v>8</v>
      </c>
      <c r="BC135" s="105">
        <f t="shared" si="201"/>
        <v>23</v>
      </c>
      <c r="BD135" s="114">
        <v>45413</v>
      </c>
    </row>
    <row r="136" spans="1:57" x14ac:dyDescent="0.15">
      <c r="A136" s="23" t="s">
        <v>182</v>
      </c>
      <c r="B136" s="15"/>
      <c r="C136" s="16">
        <v>1</v>
      </c>
      <c r="D136" s="17"/>
      <c r="E136" s="17"/>
      <c r="F136" s="85">
        <f t="shared" si="190"/>
        <v>1</v>
      </c>
      <c r="G136" s="15"/>
      <c r="H136" s="16">
        <v>1</v>
      </c>
      <c r="I136" s="17"/>
      <c r="J136" s="17"/>
      <c r="K136" s="85">
        <f t="shared" si="191"/>
        <v>1</v>
      </c>
      <c r="L136" s="15"/>
      <c r="M136" s="16"/>
      <c r="N136" s="17"/>
      <c r="O136" s="17"/>
      <c r="P136" s="85">
        <f t="shared" si="192"/>
        <v>0</v>
      </c>
      <c r="Q136" s="15"/>
      <c r="R136" s="16"/>
      <c r="S136" s="17"/>
      <c r="T136" s="17"/>
      <c r="U136" s="85">
        <f t="shared" si="193"/>
        <v>0</v>
      </c>
      <c r="V136" s="15"/>
      <c r="W136" s="16">
        <v>1</v>
      </c>
      <c r="X136" s="17"/>
      <c r="Y136" s="17"/>
      <c r="Z136" s="85">
        <f t="shared" si="194"/>
        <v>1</v>
      </c>
      <c r="AA136" s="105">
        <f t="shared" si="195"/>
        <v>3</v>
      </c>
      <c r="AB136" s="114">
        <v>45376</v>
      </c>
      <c r="AC136" s="54" t="s">
        <v>228</v>
      </c>
      <c r="AD136" s="15"/>
      <c r="AE136" s="16"/>
      <c r="AF136" s="17"/>
      <c r="AG136" s="17"/>
      <c r="AH136" s="85">
        <f t="shared" si="218"/>
        <v>0</v>
      </c>
      <c r="AI136" s="15"/>
      <c r="AJ136" s="16"/>
      <c r="AK136" s="17"/>
      <c r="AL136" s="17"/>
      <c r="AM136" s="85">
        <f t="shared" si="219"/>
        <v>0</v>
      </c>
      <c r="AN136" s="15"/>
      <c r="AO136" s="16"/>
      <c r="AP136" s="17"/>
      <c r="AQ136" s="17"/>
      <c r="AR136" s="85">
        <f t="shared" si="220"/>
        <v>0</v>
      </c>
      <c r="AS136" s="15"/>
      <c r="AT136" s="16">
        <v>1</v>
      </c>
      <c r="AU136" s="17"/>
      <c r="AV136" s="17"/>
      <c r="AW136" s="85">
        <f t="shared" si="221"/>
        <v>1</v>
      </c>
      <c r="AX136" s="15"/>
      <c r="AY136" s="16"/>
      <c r="AZ136" s="17"/>
      <c r="BA136" s="17"/>
      <c r="BB136" s="85">
        <f t="shared" si="200"/>
        <v>0</v>
      </c>
      <c r="BC136" s="105">
        <f t="shared" si="201"/>
        <v>1</v>
      </c>
      <c r="BD136" s="114">
        <v>45420</v>
      </c>
      <c r="BE136" s="76"/>
    </row>
    <row r="137" spans="1:57" x14ac:dyDescent="0.15">
      <c r="A137" s="23" t="s">
        <v>183</v>
      </c>
      <c r="B137" s="15"/>
      <c r="C137" s="16"/>
      <c r="D137" s="17"/>
      <c r="E137" s="17"/>
      <c r="F137" s="85">
        <f t="shared" si="190"/>
        <v>0</v>
      </c>
      <c r="G137" s="15"/>
      <c r="H137" s="16"/>
      <c r="I137" s="17"/>
      <c r="J137" s="17"/>
      <c r="K137" s="85">
        <f t="shared" si="191"/>
        <v>0</v>
      </c>
      <c r="L137" s="15"/>
      <c r="M137" s="16">
        <v>1</v>
      </c>
      <c r="N137" s="17"/>
      <c r="O137" s="17"/>
      <c r="P137" s="85">
        <f t="shared" si="192"/>
        <v>1</v>
      </c>
      <c r="Q137" s="15"/>
      <c r="R137" s="16">
        <v>1</v>
      </c>
      <c r="S137" s="17"/>
      <c r="T137" s="17"/>
      <c r="U137" s="85">
        <f t="shared" si="193"/>
        <v>1</v>
      </c>
      <c r="V137" s="15"/>
      <c r="W137" s="16">
        <v>1</v>
      </c>
      <c r="X137" s="17"/>
      <c r="Y137" s="17"/>
      <c r="Z137" s="85">
        <f t="shared" si="194"/>
        <v>1</v>
      </c>
      <c r="AA137" s="105">
        <f t="shared" si="195"/>
        <v>3</v>
      </c>
      <c r="AB137" s="114">
        <v>45376</v>
      </c>
      <c r="AC137" s="24" t="s">
        <v>195</v>
      </c>
      <c r="AD137" s="18"/>
      <c r="AE137" s="19"/>
      <c r="AF137" s="20"/>
      <c r="AG137" s="20"/>
      <c r="AH137" s="85">
        <f t="shared" si="218"/>
        <v>0</v>
      </c>
      <c r="AI137" s="18"/>
      <c r="AJ137" s="19"/>
      <c r="AK137" s="20"/>
      <c r="AL137" s="20"/>
      <c r="AM137" s="85">
        <f t="shared" si="219"/>
        <v>0</v>
      </c>
      <c r="AN137" s="18">
        <v>4</v>
      </c>
      <c r="AO137" s="19"/>
      <c r="AP137" s="20"/>
      <c r="AQ137" s="20"/>
      <c r="AR137" s="85">
        <f t="shared" si="220"/>
        <v>4</v>
      </c>
      <c r="AS137" s="18">
        <v>4</v>
      </c>
      <c r="AT137" s="19"/>
      <c r="AU137" s="20"/>
      <c r="AV137" s="20"/>
      <c r="AW137" s="85">
        <f t="shared" si="221"/>
        <v>4</v>
      </c>
      <c r="AX137" s="18">
        <v>4</v>
      </c>
      <c r="AY137" s="19"/>
      <c r="AZ137" s="20"/>
      <c r="BA137" s="20"/>
      <c r="BB137" s="85">
        <f t="shared" si="200"/>
        <v>4</v>
      </c>
      <c r="BC137" s="105">
        <f t="shared" si="201"/>
        <v>12</v>
      </c>
      <c r="BD137" s="115">
        <v>45413</v>
      </c>
      <c r="BE137" s="76"/>
    </row>
    <row r="138" spans="1:57" x14ac:dyDescent="0.15">
      <c r="A138" s="23" t="s">
        <v>124</v>
      </c>
      <c r="B138" s="15"/>
      <c r="C138" s="16"/>
      <c r="D138" s="17"/>
      <c r="E138" s="17"/>
      <c r="F138" s="85">
        <f t="shared" si="190"/>
        <v>0</v>
      </c>
      <c r="G138" s="15"/>
      <c r="H138" s="16"/>
      <c r="I138" s="17"/>
      <c r="J138" s="17"/>
      <c r="K138" s="85">
        <f t="shared" si="191"/>
        <v>0</v>
      </c>
      <c r="L138" s="15"/>
      <c r="M138" s="16">
        <v>1</v>
      </c>
      <c r="N138" s="17"/>
      <c r="O138" s="17"/>
      <c r="P138" s="85">
        <f t="shared" si="192"/>
        <v>1</v>
      </c>
      <c r="Q138" s="15"/>
      <c r="R138" s="16">
        <v>1</v>
      </c>
      <c r="S138" s="17"/>
      <c r="T138" s="17"/>
      <c r="U138" s="85">
        <f t="shared" si="193"/>
        <v>1</v>
      </c>
      <c r="V138" s="15"/>
      <c r="W138" s="16">
        <v>1</v>
      </c>
      <c r="X138" s="17"/>
      <c r="Y138" s="17"/>
      <c r="Z138" s="85">
        <f t="shared" si="194"/>
        <v>1</v>
      </c>
      <c r="AA138" s="105">
        <f t="shared" si="195"/>
        <v>3</v>
      </c>
      <c r="AB138" s="114">
        <v>45376</v>
      </c>
      <c r="AC138" s="24" t="s">
        <v>195</v>
      </c>
      <c r="AD138" s="15"/>
      <c r="AE138" s="16"/>
      <c r="AF138" s="17"/>
      <c r="AG138" s="17"/>
      <c r="AH138" s="85">
        <f t="shared" si="218"/>
        <v>0</v>
      </c>
      <c r="AI138" s="15"/>
      <c r="AJ138" s="16"/>
      <c r="AK138" s="17"/>
      <c r="AL138" s="17"/>
      <c r="AM138" s="85">
        <f t="shared" si="219"/>
        <v>0</v>
      </c>
      <c r="AN138" s="15">
        <v>4</v>
      </c>
      <c r="AO138" s="16"/>
      <c r="AP138" s="17"/>
      <c r="AQ138" s="17">
        <v>6</v>
      </c>
      <c r="AR138" s="85">
        <f t="shared" si="220"/>
        <v>10</v>
      </c>
      <c r="AS138" s="15">
        <v>4</v>
      </c>
      <c r="AT138" s="16"/>
      <c r="AU138" s="17"/>
      <c r="AV138" s="17">
        <v>6</v>
      </c>
      <c r="AW138" s="85">
        <f t="shared" si="221"/>
        <v>10</v>
      </c>
      <c r="AX138" s="15">
        <v>4</v>
      </c>
      <c r="AY138" s="16"/>
      <c r="AZ138" s="17"/>
      <c r="BA138" s="17">
        <v>6</v>
      </c>
      <c r="BB138" s="85">
        <f t="shared" si="200"/>
        <v>10</v>
      </c>
      <c r="BC138" s="105">
        <f t="shared" si="201"/>
        <v>30</v>
      </c>
      <c r="BD138" s="115">
        <v>45419</v>
      </c>
      <c r="BE138" s="76"/>
    </row>
    <row r="139" spans="1:57" x14ac:dyDescent="0.15">
      <c r="A139" s="23" t="s">
        <v>192</v>
      </c>
      <c r="B139" s="15">
        <v>1</v>
      </c>
      <c r="C139" s="16"/>
      <c r="D139" s="17"/>
      <c r="E139" s="17"/>
      <c r="F139" s="85">
        <f t="shared" si="190"/>
        <v>1</v>
      </c>
      <c r="G139" s="15">
        <v>1</v>
      </c>
      <c r="H139" s="16"/>
      <c r="I139" s="17"/>
      <c r="J139" s="17"/>
      <c r="K139" s="85">
        <f t="shared" si="191"/>
        <v>1</v>
      </c>
      <c r="L139" s="15"/>
      <c r="M139" s="16"/>
      <c r="N139" s="17"/>
      <c r="O139" s="17"/>
      <c r="P139" s="85">
        <f t="shared" si="192"/>
        <v>0</v>
      </c>
      <c r="Q139" s="15"/>
      <c r="R139" s="16"/>
      <c r="S139" s="17"/>
      <c r="T139" s="17"/>
      <c r="U139" s="85">
        <f t="shared" si="193"/>
        <v>0</v>
      </c>
      <c r="V139" s="15">
        <v>1</v>
      </c>
      <c r="W139" s="16"/>
      <c r="X139" s="17"/>
      <c r="Y139" s="17"/>
      <c r="Z139" s="85">
        <f t="shared" si="194"/>
        <v>1</v>
      </c>
      <c r="AA139" s="105">
        <f t="shared" si="195"/>
        <v>3</v>
      </c>
      <c r="AB139" s="114">
        <v>45379</v>
      </c>
      <c r="AC139" s="54" t="s">
        <v>232</v>
      </c>
      <c r="AD139" s="15">
        <v>2</v>
      </c>
      <c r="AE139" s="16">
        <v>12</v>
      </c>
      <c r="AF139" s="17"/>
      <c r="AG139" s="17"/>
      <c r="AH139" s="85">
        <f t="shared" si="218"/>
        <v>14</v>
      </c>
      <c r="AI139" s="15">
        <v>5</v>
      </c>
      <c r="AJ139" s="16"/>
      <c r="AK139" s="17"/>
      <c r="AL139" s="17"/>
      <c r="AM139" s="85">
        <f t="shared" si="219"/>
        <v>5</v>
      </c>
      <c r="AN139" s="15">
        <v>2</v>
      </c>
      <c r="AO139" s="16"/>
      <c r="AP139" s="17"/>
      <c r="AQ139" s="17"/>
      <c r="AR139" s="85">
        <f t="shared" si="220"/>
        <v>2</v>
      </c>
      <c r="AS139" s="15"/>
      <c r="AT139" s="16">
        <v>1</v>
      </c>
      <c r="AU139" s="17"/>
      <c r="AV139" s="17"/>
      <c r="AW139" s="85">
        <f t="shared" si="221"/>
        <v>1</v>
      </c>
      <c r="AX139" s="15"/>
      <c r="AY139" s="16">
        <v>3</v>
      </c>
      <c r="AZ139" s="17"/>
      <c r="BA139" s="17"/>
      <c r="BB139" s="85">
        <f t="shared" si="200"/>
        <v>3</v>
      </c>
      <c r="BC139" s="105">
        <f t="shared" si="201"/>
        <v>25</v>
      </c>
      <c r="BD139" s="114">
        <v>45426</v>
      </c>
    </row>
    <row r="140" spans="1:57" x14ac:dyDescent="0.15">
      <c r="A140" s="23" t="s">
        <v>124</v>
      </c>
      <c r="B140" s="18"/>
      <c r="C140" s="19"/>
      <c r="D140" s="20"/>
      <c r="E140" s="20"/>
      <c r="F140" s="85">
        <f t="shared" si="190"/>
        <v>0</v>
      </c>
      <c r="G140" s="18"/>
      <c r="H140" s="19"/>
      <c r="I140" s="20"/>
      <c r="J140" s="20"/>
      <c r="K140" s="85">
        <f t="shared" si="191"/>
        <v>0</v>
      </c>
      <c r="L140" s="18"/>
      <c r="M140" s="19"/>
      <c r="N140" s="20"/>
      <c r="O140" s="20"/>
      <c r="P140" s="85">
        <f t="shared" si="192"/>
        <v>0</v>
      </c>
      <c r="Q140" s="18"/>
      <c r="R140" s="19"/>
      <c r="S140" s="20"/>
      <c r="T140" s="20">
        <v>1</v>
      </c>
      <c r="U140" s="85">
        <f t="shared" si="193"/>
        <v>1</v>
      </c>
      <c r="V140" s="18"/>
      <c r="W140" s="19"/>
      <c r="X140" s="20"/>
      <c r="Y140" s="20">
        <v>1</v>
      </c>
      <c r="Z140" s="85">
        <f t="shared" si="194"/>
        <v>1</v>
      </c>
      <c r="AA140" s="105">
        <f t="shared" si="195"/>
        <v>2</v>
      </c>
      <c r="AB140" s="114">
        <v>45379</v>
      </c>
      <c r="AC140" s="24" t="s">
        <v>195</v>
      </c>
      <c r="AD140" s="15"/>
      <c r="AE140" s="16"/>
      <c r="AF140" s="17"/>
      <c r="AG140" s="17"/>
      <c r="AH140" s="85">
        <f t="shared" si="218"/>
        <v>0</v>
      </c>
      <c r="AI140" s="15"/>
      <c r="AJ140" s="16"/>
      <c r="AK140" s="17"/>
      <c r="AL140" s="17"/>
      <c r="AM140" s="85">
        <f t="shared" si="219"/>
        <v>0</v>
      </c>
      <c r="AN140" s="15">
        <v>5</v>
      </c>
      <c r="AO140" s="16"/>
      <c r="AP140" s="17"/>
      <c r="AQ140" s="17"/>
      <c r="AR140" s="85">
        <f t="shared" si="220"/>
        <v>5</v>
      </c>
      <c r="AS140" s="15">
        <v>5</v>
      </c>
      <c r="AT140" s="16"/>
      <c r="AU140" s="17"/>
      <c r="AV140" s="17"/>
      <c r="AW140" s="85">
        <f t="shared" si="221"/>
        <v>5</v>
      </c>
      <c r="AX140" s="15">
        <v>5</v>
      </c>
      <c r="AY140" s="16"/>
      <c r="AZ140" s="17"/>
      <c r="BA140" s="17"/>
      <c r="BB140" s="85">
        <f t="shared" si="200"/>
        <v>5</v>
      </c>
      <c r="BC140" s="105">
        <f t="shared" si="201"/>
        <v>15</v>
      </c>
      <c r="BD140" s="114">
        <v>45427</v>
      </c>
    </row>
    <row r="141" spans="1:57" x14ac:dyDescent="0.15">
      <c r="A141" s="23" t="s">
        <v>196</v>
      </c>
      <c r="B141" s="15"/>
      <c r="C141" s="16"/>
      <c r="D141" s="17">
        <v>1</v>
      </c>
      <c r="E141" s="17"/>
      <c r="F141" s="85">
        <f t="shared" si="190"/>
        <v>1</v>
      </c>
      <c r="G141" s="15"/>
      <c r="H141" s="16"/>
      <c r="I141" s="17">
        <v>1</v>
      </c>
      <c r="J141" s="17"/>
      <c r="K141" s="85">
        <f t="shared" si="191"/>
        <v>1</v>
      </c>
      <c r="L141" s="15"/>
      <c r="M141" s="16"/>
      <c r="N141" s="17"/>
      <c r="O141" s="17"/>
      <c r="P141" s="85">
        <f t="shared" si="192"/>
        <v>0</v>
      </c>
      <c r="Q141" s="15"/>
      <c r="R141" s="16"/>
      <c r="S141" s="17"/>
      <c r="T141" s="17"/>
      <c r="U141" s="85">
        <f t="shared" si="193"/>
        <v>0</v>
      </c>
      <c r="V141" s="15"/>
      <c r="W141" s="16"/>
      <c r="X141" s="17">
        <v>1</v>
      </c>
      <c r="Y141" s="17"/>
      <c r="Z141" s="85">
        <f t="shared" si="194"/>
        <v>1</v>
      </c>
      <c r="AA141" s="105">
        <f t="shared" si="195"/>
        <v>3</v>
      </c>
      <c r="AB141" s="114">
        <v>45383</v>
      </c>
      <c r="AC141" s="24" t="s">
        <v>195</v>
      </c>
      <c r="AD141" s="15"/>
      <c r="AE141" s="16"/>
      <c r="AF141" s="17"/>
      <c r="AG141" s="17"/>
      <c r="AH141" s="85">
        <f t="shared" si="218"/>
        <v>0</v>
      </c>
      <c r="AI141" s="15"/>
      <c r="AJ141" s="16"/>
      <c r="AK141" s="17"/>
      <c r="AL141" s="17"/>
      <c r="AM141" s="85">
        <f t="shared" si="219"/>
        <v>0</v>
      </c>
      <c r="AN141" s="15">
        <v>3</v>
      </c>
      <c r="AO141" s="16"/>
      <c r="AP141" s="17"/>
      <c r="AQ141" s="17">
        <v>5</v>
      </c>
      <c r="AR141" s="85">
        <f t="shared" si="220"/>
        <v>8</v>
      </c>
      <c r="AS141" s="15">
        <v>3</v>
      </c>
      <c r="AT141" s="16"/>
      <c r="AU141" s="17"/>
      <c r="AV141" s="17">
        <v>5</v>
      </c>
      <c r="AW141" s="85">
        <f t="shared" si="221"/>
        <v>8</v>
      </c>
      <c r="AX141" s="15">
        <v>3</v>
      </c>
      <c r="AY141" s="16"/>
      <c r="AZ141" s="17"/>
      <c r="BA141" s="17">
        <v>5</v>
      </c>
      <c r="BB141" s="85">
        <f t="shared" si="200"/>
        <v>8</v>
      </c>
      <c r="BC141" s="105">
        <f t="shared" si="201"/>
        <v>24</v>
      </c>
      <c r="BD141" s="115">
        <v>45427</v>
      </c>
    </row>
    <row r="142" spans="1:57" x14ac:dyDescent="0.15">
      <c r="A142" s="23" t="s">
        <v>98</v>
      </c>
      <c r="B142" s="15">
        <v>1</v>
      </c>
      <c r="C142" s="16"/>
      <c r="D142" s="17"/>
      <c r="E142" s="17"/>
      <c r="F142" s="85">
        <f t="shared" si="190"/>
        <v>1</v>
      </c>
      <c r="G142" s="15">
        <v>1</v>
      </c>
      <c r="H142" s="16"/>
      <c r="I142" s="17"/>
      <c r="J142" s="17"/>
      <c r="K142" s="85">
        <f t="shared" si="191"/>
        <v>1</v>
      </c>
      <c r="L142" s="15">
        <v>1</v>
      </c>
      <c r="M142" s="16"/>
      <c r="N142" s="17"/>
      <c r="O142" s="17"/>
      <c r="P142" s="85">
        <f t="shared" si="192"/>
        <v>1</v>
      </c>
      <c r="Q142" s="15">
        <v>1</v>
      </c>
      <c r="R142" s="16"/>
      <c r="S142" s="17"/>
      <c r="T142" s="17"/>
      <c r="U142" s="85">
        <f t="shared" si="193"/>
        <v>1</v>
      </c>
      <c r="V142" s="15">
        <v>1</v>
      </c>
      <c r="W142" s="16"/>
      <c r="X142" s="17"/>
      <c r="Y142" s="17"/>
      <c r="Z142" s="85">
        <f t="shared" si="194"/>
        <v>1</v>
      </c>
      <c r="AA142" s="105">
        <f t="shared" si="195"/>
        <v>5</v>
      </c>
      <c r="AB142" s="114">
        <v>45383</v>
      </c>
      <c r="AC142" s="24" t="s">
        <v>195</v>
      </c>
      <c r="AD142" s="15"/>
      <c r="AE142" s="16"/>
      <c r="AF142" s="17"/>
      <c r="AG142" s="17"/>
      <c r="AH142" s="85">
        <f t="shared" si="218"/>
        <v>0</v>
      </c>
      <c r="AI142" s="15"/>
      <c r="AJ142" s="16"/>
      <c r="AK142" s="17"/>
      <c r="AL142" s="17"/>
      <c r="AM142" s="85">
        <f t="shared" si="219"/>
        <v>0</v>
      </c>
      <c r="AN142" s="15">
        <f>3+5</f>
        <v>8</v>
      </c>
      <c r="AO142" s="16"/>
      <c r="AP142" s="17"/>
      <c r="AQ142" s="17"/>
      <c r="AR142" s="85">
        <f t="shared" si="220"/>
        <v>8</v>
      </c>
      <c r="AS142" s="15">
        <f>3+5</f>
        <v>8</v>
      </c>
      <c r="AT142" s="16"/>
      <c r="AU142" s="17"/>
      <c r="AV142" s="17"/>
      <c r="AW142" s="85">
        <f t="shared" si="221"/>
        <v>8</v>
      </c>
      <c r="AX142" s="15">
        <f>3+5</f>
        <v>8</v>
      </c>
      <c r="AY142" s="16"/>
      <c r="AZ142" s="17"/>
      <c r="BA142" s="17"/>
      <c r="BB142" s="85">
        <f t="shared" si="200"/>
        <v>8</v>
      </c>
      <c r="BC142" s="105">
        <f t="shared" si="201"/>
        <v>24</v>
      </c>
      <c r="BD142" s="115">
        <v>45429</v>
      </c>
    </row>
    <row r="143" spans="1:57" x14ac:dyDescent="0.15">
      <c r="A143" s="54" t="s">
        <v>96</v>
      </c>
      <c r="B143" s="15"/>
      <c r="C143" s="16"/>
      <c r="D143" s="17"/>
      <c r="E143" s="17"/>
      <c r="F143" s="85">
        <f t="shared" si="190"/>
        <v>0</v>
      </c>
      <c r="G143" s="15"/>
      <c r="H143" s="16"/>
      <c r="I143" s="17"/>
      <c r="J143" s="17"/>
      <c r="K143" s="85">
        <f t="shared" si="191"/>
        <v>0</v>
      </c>
      <c r="L143" s="15"/>
      <c r="M143" s="16"/>
      <c r="N143" s="17"/>
      <c r="O143" s="17"/>
      <c r="P143" s="85">
        <f t="shared" si="192"/>
        <v>0</v>
      </c>
      <c r="Q143" s="15"/>
      <c r="R143" s="16"/>
      <c r="S143" s="17">
        <v>1</v>
      </c>
      <c r="T143" s="17"/>
      <c r="U143" s="85">
        <f t="shared" si="193"/>
        <v>1</v>
      </c>
      <c r="V143" s="15"/>
      <c r="W143" s="16"/>
      <c r="X143" s="17"/>
      <c r="Y143" s="17"/>
      <c r="Z143" s="85">
        <f t="shared" si="194"/>
        <v>0</v>
      </c>
      <c r="AA143" s="105">
        <f t="shared" si="195"/>
        <v>1</v>
      </c>
      <c r="AB143" s="114">
        <v>45384</v>
      </c>
      <c r="AC143" s="24" t="s">
        <v>195</v>
      </c>
      <c r="AD143" s="15"/>
      <c r="AE143" s="16"/>
      <c r="AF143" s="17"/>
      <c r="AG143" s="17"/>
      <c r="AH143" s="85">
        <f t="shared" si="218"/>
        <v>0</v>
      </c>
      <c r="AI143" s="15"/>
      <c r="AJ143" s="16"/>
      <c r="AK143" s="17"/>
      <c r="AL143" s="17"/>
      <c r="AM143" s="85">
        <f t="shared" si="219"/>
        <v>0</v>
      </c>
      <c r="AN143" s="15">
        <v>4</v>
      </c>
      <c r="AO143" s="16"/>
      <c r="AP143" s="17"/>
      <c r="AQ143" s="17"/>
      <c r="AR143" s="85">
        <f t="shared" si="220"/>
        <v>4</v>
      </c>
      <c r="AS143" s="15">
        <v>4</v>
      </c>
      <c r="AT143" s="16"/>
      <c r="AU143" s="17"/>
      <c r="AV143" s="17"/>
      <c r="AW143" s="85">
        <f t="shared" si="221"/>
        <v>4</v>
      </c>
      <c r="AX143" s="15">
        <v>4</v>
      </c>
      <c r="AY143" s="16"/>
      <c r="AZ143" s="17"/>
      <c r="BA143" s="17"/>
      <c r="BB143" s="85">
        <f t="shared" si="200"/>
        <v>4</v>
      </c>
      <c r="BC143" s="105">
        <f t="shared" si="201"/>
        <v>12</v>
      </c>
      <c r="BD143" s="115">
        <v>45432</v>
      </c>
    </row>
    <row r="144" spans="1:57" x14ac:dyDescent="0.15">
      <c r="A144" s="53" t="s">
        <v>197</v>
      </c>
      <c r="B144" s="15"/>
      <c r="C144" s="16">
        <v>1</v>
      </c>
      <c r="D144" s="17"/>
      <c r="E144" s="17"/>
      <c r="F144" s="85">
        <f t="shared" si="190"/>
        <v>1</v>
      </c>
      <c r="G144" s="15"/>
      <c r="H144" s="16">
        <v>1</v>
      </c>
      <c r="I144" s="17"/>
      <c r="J144" s="17"/>
      <c r="K144" s="85">
        <f t="shared" si="191"/>
        <v>1</v>
      </c>
      <c r="L144" s="15"/>
      <c r="M144" s="16">
        <v>1</v>
      </c>
      <c r="N144" s="17"/>
      <c r="O144" s="17"/>
      <c r="P144" s="85">
        <f t="shared" si="192"/>
        <v>1</v>
      </c>
      <c r="Q144" s="15"/>
      <c r="R144" s="16">
        <v>1</v>
      </c>
      <c r="S144" s="17"/>
      <c r="T144" s="17"/>
      <c r="U144" s="85">
        <f t="shared" si="193"/>
        <v>1</v>
      </c>
      <c r="V144" s="15"/>
      <c r="W144" s="16">
        <v>1</v>
      </c>
      <c r="X144" s="17"/>
      <c r="Y144" s="17"/>
      <c r="Z144" s="85">
        <f t="shared" si="194"/>
        <v>1</v>
      </c>
      <c r="AA144" s="105">
        <f t="shared" si="195"/>
        <v>5</v>
      </c>
      <c r="AB144" s="114">
        <v>45386</v>
      </c>
      <c r="AC144" s="24" t="s">
        <v>195</v>
      </c>
      <c r="AD144" s="15"/>
      <c r="AE144" s="16"/>
      <c r="AF144" s="17"/>
      <c r="AG144" s="17"/>
      <c r="AH144" s="85">
        <f t="shared" si="218"/>
        <v>0</v>
      </c>
      <c r="AI144" s="15"/>
      <c r="AJ144" s="16"/>
      <c r="AK144" s="17"/>
      <c r="AL144" s="17"/>
      <c r="AM144" s="85">
        <f t="shared" si="219"/>
        <v>0</v>
      </c>
      <c r="AN144" s="15">
        <v>4</v>
      </c>
      <c r="AO144" s="16"/>
      <c r="AP144" s="17">
        <v>9</v>
      </c>
      <c r="AQ144" s="17">
        <v>25</v>
      </c>
      <c r="AR144" s="85">
        <f t="shared" si="220"/>
        <v>38</v>
      </c>
      <c r="AS144" s="15">
        <v>4</v>
      </c>
      <c r="AT144" s="16"/>
      <c r="AU144" s="17">
        <v>9</v>
      </c>
      <c r="AV144" s="17">
        <v>25</v>
      </c>
      <c r="AW144" s="85">
        <f t="shared" si="221"/>
        <v>38</v>
      </c>
      <c r="AX144" s="15">
        <v>4</v>
      </c>
      <c r="AY144" s="16"/>
      <c r="AZ144" s="17">
        <v>9</v>
      </c>
      <c r="BA144" s="17">
        <v>25</v>
      </c>
      <c r="BB144" s="85">
        <f t="shared" si="200"/>
        <v>38</v>
      </c>
      <c r="BC144" s="105">
        <f t="shared" si="201"/>
        <v>114</v>
      </c>
      <c r="BD144" s="114">
        <v>45432</v>
      </c>
    </row>
    <row r="145" spans="1:57" x14ac:dyDescent="0.15">
      <c r="A145" s="23" t="s">
        <v>207</v>
      </c>
      <c r="B145" s="15">
        <v>-1</v>
      </c>
      <c r="C145" s="16"/>
      <c r="D145" s="17"/>
      <c r="E145" s="17"/>
      <c r="F145" s="85">
        <f t="shared" si="190"/>
        <v>-1</v>
      </c>
      <c r="G145" s="15">
        <v>-1</v>
      </c>
      <c r="H145" s="16"/>
      <c r="I145" s="17"/>
      <c r="J145" s="17"/>
      <c r="K145" s="85">
        <f t="shared" si="191"/>
        <v>-1</v>
      </c>
      <c r="L145" s="15">
        <v>-1</v>
      </c>
      <c r="M145" s="16"/>
      <c r="N145" s="17"/>
      <c r="O145" s="17"/>
      <c r="P145" s="85">
        <f t="shared" si="192"/>
        <v>-1</v>
      </c>
      <c r="Q145" s="15">
        <v>-1</v>
      </c>
      <c r="R145" s="16"/>
      <c r="S145" s="17"/>
      <c r="T145" s="17"/>
      <c r="U145" s="85">
        <f t="shared" si="193"/>
        <v>-1</v>
      </c>
      <c r="V145" s="15">
        <v>-1</v>
      </c>
      <c r="W145" s="16"/>
      <c r="X145" s="17"/>
      <c r="Y145" s="17"/>
      <c r="Z145" s="85">
        <f t="shared" si="194"/>
        <v>-1</v>
      </c>
      <c r="AA145" s="105">
        <f t="shared" si="195"/>
        <v>-5</v>
      </c>
      <c r="AB145" s="114">
        <v>45388</v>
      </c>
      <c r="AC145" s="54" t="s">
        <v>244</v>
      </c>
      <c r="AD145" s="15"/>
      <c r="AE145" s="16"/>
      <c r="AF145" s="17"/>
      <c r="AG145" s="17"/>
      <c r="AH145" s="85">
        <f t="shared" si="218"/>
        <v>0</v>
      </c>
      <c r="AI145" s="15"/>
      <c r="AJ145" s="16"/>
      <c r="AK145" s="17"/>
      <c r="AL145" s="17"/>
      <c r="AM145" s="85">
        <f t="shared" si="219"/>
        <v>0</v>
      </c>
      <c r="AN145" s="15"/>
      <c r="AO145" s="16"/>
      <c r="AP145" s="17"/>
      <c r="AQ145" s="17"/>
      <c r="AR145" s="85">
        <f t="shared" si="220"/>
        <v>0</v>
      </c>
      <c r="AS145" s="15"/>
      <c r="AT145" s="16">
        <v>3</v>
      </c>
      <c r="AU145" s="17"/>
      <c r="AV145" s="17"/>
      <c r="AW145" s="85">
        <f t="shared" si="221"/>
        <v>3</v>
      </c>
      <c r="AX145" s="15"/>
      <c r="AY145" s="16">
        <v>2</v>
      </c>
      <c r="AZ145" s="17"/>
      <c r="BA145" s="17">
        <v>2</v>
      </c>
      <c r="BB145" s="85">
        <f t="shared" si="200"/>
        <v>4</v>
      </c>
      <c r="BC145" s="105">
        <f t="shared" si="201"/>
        <v>7</v>
      </c>
      <c r="BD145" s="114">
        <v>45439</v>
      </c>
    </row>
    <row r="146" spans="1:57" x14ac:dyDescent="0.15">
      <c r="A146" s="23" t="s">
        <v>208</v>
      </c>
      <c r="B146" s="15"/>
      <c r="C146" s="16"/>
      <c r="D146" s="17">
        <v>1</v>
      </c>
      <c r="E146" s="17"/>
      <c r="F146" s="85">
        <f t="shared" si="190"/>
        <v>1</v>
      </c>
      <c r="G146" s="15"/>
      <c r="H146" s="16"/>
      <c r="I146" s="17">
        <v>1</v>
      </c>
      <c r="J146" s="17"/>
      <c r="K146" s="85">
        <f t="shared" si="191"/>
        <v>1</v>
      </c>
      <c r="L146" s="15"/>
      <c r="M146" s="16"/>
      <c r="N146" s="17"/>
      <c r="O146" s="17"/>
      <c r="P146" s="85">
        <f t="shared" si="192"/>
        <v>0</v>
      </c>
      <c r="Q146" s="15"/>
      <c r="R146" s="16"/>
      <c r="S146" s="17"/>
      <c r="T146" s="17"/>
      <c r="U146" s="85">
        <f t="shared" si="193"/>
        <v>0</v>
      </c>
      <c r="V146" s="15"/>
      <c r="W146" s="16"/>
      <c r="X146" s="17">
        <v>1</v>
      </c>
      <c r="Y146" s="17"/>
      <c r="Z146" s="85">
        <f t="shared" si="194"/>
        <v>1</v>
      </c>
      <c r="AA146" s="105">
        <f t="shared" si="195"/>
        <v>3</v>
      </c>
      <c r="AB146" s="114">
        <v>45392</v>
      </c>
      <c r="AC146" s="24" t="s">
        <v>195</v>
      </c>
      <c r="AD146" s="15"/>
      <c r="AE146" s="16"/>
      <c r="AF146" s="17"/>
      <c r="AG146" s="17"/>
      <c r="AH146" s="85">
        <f t="shared" si="218"/>
        <v>0</v>
      </c>
      <c r="AI146" s="15"/>
      <c r="AJ146" s="16"/>
      <c r="AK146" s="17"/>
      <c r="AL146" s="17"/>
      <c r="AM146" s="85">
        <f t="shared" si="219"/>
        <v>0</v>
      </c>
      <c r="AN146" s="15">
        <v>3</v>
      </c>
      <c r="AO146" s="16"/>
      <c r="AP146" s="17"/>
      <c r="AQ146" s="17"/>
      <c r="AR146" s="85">
        <f t="shared" si="220"/>
        <v>3</v>
      </c>
      <c r="AS146" s="15">
        <v>3</v>
      </c>
      <c r="AT146" s="16"/>
      <c r="AU146" s="17"/>
      <c r="AV146" s="17"/>
      <c r="AW146" s="85">
        <f t="shared" si="221"/>
        <v>3</v>
      </c>
      <c r="AX146" s="15">
        <v>3</v>
      </c>
      <c r="AY146" s="16"/>
      <c r="AZ146" s="17"/>
      <c r="BA146" s="17"/>
      <c r="BB146" s="85">
        <f t="shared" si="200"/>
        <v>3</v>
      </c>
      <c r="BC146" s="105">
        <f t="shared" si="201"/>
        <v>9</v>
      </c>
      <c r="BD146" s="115">
        <v>45433</v>
      </c>
    </row>
    <row r="147" spans="1:57" x14ac:dyDescent="0.15">
      <c r="A147" s="23" t="s">
        <v>124</v>
      </c>
      <c r="B147" s="15"/>
      <c r="C147" s="16"/>
      <c r="D147" s="17"/>
      <c r="E147" s="17">
        <v>1</v>
      </c>
      <c r="F147" s="85">
        <f t="shared" si="190"/>
        <v>1</v>
      </c>
      <c r="G147" s="15"/>
      <c r="H147" s="16"/>
      <c r="I147" s="17"/>
      <c r="J147" s="17">
        <v>1</v>
      </c>
      <c r="K147" s="85">
        <f t="shared" si="191"/>
        <v>1</v>
      </c>
      <c r="L147" s="15"/>
      <c r="M147" s="16"/>
      <c r="N147" s="17"/>
      <c r="O147" s="17"/>
      <c r="P147" s="85">
        <f t="shared" si="192"/>
        <v>0</v>
      </c>
      <c r="Q147" s="15"/>
      <c r="R147" s="16"/>
      <c r="S147" s="17"/>
      <c r="T147" s="17"/>
      <c r="U147" s="85">
        <f t="shared" si="193"/>
        <v>0</v>
      </c>
      <c r="V147" s="15"/>
      <c r="W147" s="16"/>
      <c r="X147" s="17"/>
      <c r="Y147" s="17">
        <v>1</v>
      </c>
      <c r="Z147" s="85">
        <f t="shared" si="194"/>
        <v>1</v>
      </c>
      <c r="AA147" s="105">
        <f t="shared" si="195"/>
        <v>3</v>
      </c>
      <c r="AB147" s="114">
        <v>45390</v>
      </c>
      <c r="AC147" s="24" t="s">
        <v>195</v>
      </c>
      <c r="AD147" s="15"/>
      <c r="AE147" s="16"/>
      <c r="AF147" s="17"/>
      <c r="AG147" s="17"/>
      <c r="AH147" s="85">
        <f t="shared" si="218"/>
        <v>0</v>
      </c>
      <c r="AI147" s="15"/>
      <c r="AJ147" s="16"/>
      <c r="AK147" s="17"/>
      <c r="AL147" s="17"/>
      <c r="AM147" s="85">
        <f t="shared" si="219"/>
        <v>0</v>
      </c>
      <c r="AN147" s="15"/>
      <c r="AO147" s="16">
        <v>2</v>
      </c>
      <c r="AP147" s="17"/>
      <c r="AQ147" s="17"/>
      <c r="AR147" s="85">
        <f t="shared" si="220"/>
        <v>2</v>
      </c>
      <c r="AS147" s="15"/>
      <c r="AT147" s="16">
        <v>2</v>
      </c>
      <c r="AU147" s="17"/>
      <c r="AV147" s="17"/>
      <c r="AW147" s="85">
        <f t="shared" si="221"/>
        <v>2</v>
      </c>
      <c r="AX147" s="15"/>
      <c r="AY147" s="16">
        <v>2</v>
      </c>
      <c r="AZ147" s="17"/>
      <c r="BA147" s="17"/>
      <c r="BB147" s="85">
        <f t="shared" si="200"/>
        <v>2</v>
      </c>
      <c r="BC147" s="105">
        <f t="shared" si="201"/>
        <v>6</v>
      </c>
      <c r="BD147" s="115">
        <v>45433</v>
      </c>
    </row>
    <row r="148" spans="1:57" x14ac:dyDescent="0.15">
      <c r="A148" s="23" t="s">
        <v>209</v>
      </c>
      <c r="B148" s="15">
        <v>-1</v>
      </c>
      <c r="C148" s="16"/>
      <c r="D148" s="17"/>
      <c r="E148" s="17"/>
      <c r="F148" s="85">
        <f t="shared" si="190"/>
        <v>-1</v>
      </c>
      <c r="G148" s="15">
        <v>-1</v>
      </c>
      <c r="H148" s="16"/>
      <c r="I148" s="17"/>
      <c r="J148" s="17"/>
      <c r="K148" s="85">
        <f t="shared" si="191"/>
        <v>-1</v>
      </c>
      <c r="L148" s="15">
        <v>-1</v>
      </c>
      <c r="M148" s="16"/>
      <c r="N148" s="17"/>
      <c r="O148" s="17"/>
      <c r="P148" s="85">
        <f t="shared" si="192"/>
        <v>-1</v>
      </c>
      <c r="Q148" s="15">
        <v>-1</v>
      </c>
      <c r="R148" s="16"/>
      <c r="S148" s="17"/>
      <c r="T148" s="17"/>
      <c r="U148" s="85">
        <f t="shared" si="193"/>
        <v>-1</v>
      </c>
      <c r="V148" s="15">
        <v>-1</v>
      </c>
      <c r="W148" s="16"/>
      <c r="X148" s="17"/>
      <c r="Y148" s="17"/>
      <c r="Z148" s="85">
        <f t="shared" si="194"/>
        <v>-1</v>
      </c>
      <c r="AA148" s="105">
        <f t="shared" si="195"/>
        <v>-5</v>
      </c>
      <c r="AB148" s="114">
        <v>45390</v>
      </c>
      <c r="AC148" s="24" t="s">
        <v>195</v>
      </c>
      <c r="AD148" s="15"/>
      <c r="AE148" s="16"/>
      <c r="AF148" s="17"/>
      <c r="AG148" s="17"/>
      <c r="AH148" s="85">
        <f t="shared" si="218"/>
        <v>0</v>
      </c>
      <c r="AI148" s="15"/>
      <c r="AJ148" s="16"/>
      <c r="AK148" s="17"/>
      <c r="AL148" s="17"/>
      <c r="AM148" s="85">
        <f t="shared" si="219"/>
        <v>0</v>
      </c>
      <c r="AN148" s="15">
        <v>3</v>
      </c>
      <c r="AO148" s="16"/>
      <c r="AP148" s="17">
        <v>2</v>
      </c>
      <c r="AQ148" s="17"/>
      <c r="AR148" s="85">
        <f t="shared" si="220"/>
        <v>5</v>
      </c>
      <c r="AS148" s="15">
        <v>3</v>
      </c>
      <c r="AT148" s="16"/>
      <c r="AU148" s="17">
        <v>2</v>
      </c>
      <c r="AV148" s="17"/>
      <c r="AW148" s="85">
        <f t="shared" si="221"/>
        <v>5</v>
      </c>
      <c r="AX148" s="15">
        <v>3</v>
      </c>
      <c r="AY148" s="16"/>
      <c r="AZ148" s="17">
        <v>2</v>
      </c>
      <c r="BA148" s="17"/>
      <c r="BB148" s="85">
        <f t="shared" si="200"/>
        <v>5</v>
      </c>
      <c r="BC148" s="105">
        <f t="shared" si="201"/>
        <v>15</v>
      </c>
      <c r="BD148" s="115">
        <v>45435</v>
      </c>
    </row>
    <row r="149" spans="1:57" x14ac:dyDescent="0.15">
      <c r="A149" s="54" t="s">
        <v>211</v>
      </c>
      <c r="B149" s="15"/>
      <c r="C149" s="16">
        <v>2</v>
      </c>
      <c r="D149" s="17"/>
      <c r="E149" s="17"/>
      <c r="F149" s="85">
        <f t="shared" si="190"/>
        <v>2</v>
      </c>
      <c r="G149" s="15"/>
      <c r="H149" s="16"/>
      <c r="I149" s="17"/>
      <c r="J149" s="17"/>
      <c r="K149" s="85">
        <f t="shared" si="191"/>
        <v>0</v>
      </c>
      <c r="L149" s="15"/>
      <c r="M149" s="16"/>
      <c r="N149" s="17"/>
      <c r="O149" s="17"/>
      <c r="P149" s="85">
        <f t="shared" si="192"/>
        <v>0</v>
      </c>
      <c r="Q149" s="15"/>
      <c r="R149" s="16"/>
      <c r="S149" s="17"/>
      <c r="T149" s="17"/>
      <c r="U149" s="85">
        <f t="shared" si="193"/>
        <v>0</v>
      </c>
      <c r="V149" s="15"/>
      <c r="W149" s="16"/>
      <c r="X149" s="17"/>
      <c r="Y149" s="17"/>
      <c r="Z149" s="85">
        <f t="shared" si="194"/>
        <v>0</v>
      </c>
      <c r="AA149" s="105">
        <f t="shared" si="195"/>
        <v>2</v>
      </c>
      <c r="AB149" s="114">
        <v>45394</v>
      </c>
      <c r="AC149" s="24" t="s">
        <v>195</v>
      </c>
      <c r="AD149" s="18"/>
      <c r="AE149" s="19"/>
      <c r="AF149" s="20"/>
      <c r="AG149" s="20"/>
      <c r="AH149" s="85">
        <f t="shared" si="218"/>
        <v>0</v>
      </c>
      <c r="AI149" s="18"/>
      <c r="AJ149" s="19"/>
      <c r="AK149" s="20"/>
      <c r="AL149" s="20"/>
      <c r="AM149" s="85">
        <f t="shared" si="219"/>
        <v>0</v>
      </c>
      <c r="AN149" s="18">
        <v>3</v>
      </c>
      <c r="AO149" s="19"/>
      <c r="AP149" s="20"/>
      <c r="AQ149" s="20"/>
      <c r="AR149" s="85">
        <f t="shared" si="220"/>
        <v>3</v>
      </c>
      <c r="AS149" s="18">
        <v>3</v>
      </c>
      <c r="AT149" s="19"/>
      <c r="AU149" s="20"/>
      <c r="AV149" s="20"/>
      <c r="AW149" s="85">
        <f t="shared" si="221"/>
        <v>3</v>
      </c>
      <c r="AX149" s="18">
        <v>3</v>
      </c>
      <c r="AY149" s="19"/>
      <c r="AZ149" s="20"/>
      <c r="BA149" s="20"/>
      <c r="BB149" s="85">
        <f t="shared" si="200"/>
        <v>3</v>
      </c>
      <c r="BC149" s="105">
        <f t="shared" si="201"/>
        <v>9</v>
      </c>
      <c r="BD149" s="115">
        <v>45436</v>
      </c>
    </row>
    <row r="150" spans="1:57" x14ac:dyDescent="0.15">
      <c r="A150" s="23" t="s">
        <v>212</v>
      </c>
      <c r="B150" s="15"/>
      <c r="C150" s="16"/>
      <c r="D150" s="17">
        <v>1</v>
      </c>
      <c r="E150" s="17"/>
      <c r="F150" s="85">
        <f t="shared" si="190"/>
        <v>1</v>
      </c>
      <c r="G150" s="15"/>
      <c r="H150" s="16"/>
      <c r="I150" s="17">
        <v>1</v>
      </c>
      <c r="J150" s="17"/>
      <c r="K150" s="85">
        <f t="shared" si="191"/>
        <v>1</v>
      </c>
      <c r="L150" s="15"/>
      <c r="M150" s="16"/>
      <c r="N150" s="17"/>
      <c r="O150" s="17"/>
      <c r="P150" s="85">
        <f t="shared" si="192"/>
        <v>0</v>
      </c>
      <c r="Q150" s="15"/>
      <c r="R150" s="16"/>
      <c r="S150" s="17"/>
      <c r="T150" s="17"/>
      <c r="U150" s="85">
        <f t="shared" si="193"/>
        <v>0</v>
      </c>
      <c r="V150" s="15"/>
      <c r="W150" s="16"/>
      <c r="X150" s="17">
        <v>1</v>
      </c>
      <c r="Y150" s="17"/>
      <c r="Z150" s="85">
        <f t="shared" si="194"/>
        <v>1</v>
      </c>
      <c r="AA150" s="105">
        <f t="shared" si="195"/>
        <v>3</v>
      </c>
      <c r="AB150" s="114">
        <v>45393</v>
      </c>
      <c r="AC150" s="24" t="s">
        <v>195</v>
      </c>
      <c r="AD150" s="15"/>
      <c r="AE150" s="16"/>
      <c r="AF150" s="17"/>
      <c r="AG150" s="17"/>
      <c r="AH150" s="85">
        <f t="shared" si="218"/>
        <v>0</v>
      </c>
      <c r="AI150" s="15"/>
      <c r="AJ150" s="16"/>
      <c r="AK150" s="17"/>
      <c r="AL150" s="17"/>
      <c r="AM150" s="85">
        <f t="shared" si="219"/>
        <v>0</v>
      </c>
      <c r="AN150" s="15"/>
      <c r="AO150" s="16">
        <v>5</v>
      </c>
      <c r="AP150" s="17"/>
      <c r="AQ150" s="17"/>
      <c r="AR150" s="85">
        <f t="shared" si="220"/>
        <v>5</v>
      </c>
      <c r="AS150" s="15"/>
      <c r="AT150" s="16">
        <v>5</v>
      </c>
      <c r="AU150" s="17"/>
      <c r="AV150" s="17"/>
      <c r="AW150" s="85">
        <f t="shared" si="221"/>
        <v>5</v>
      </c>
      <c r="AX150" s="15"/>
      <c r="AY150" s="16">
        <v>5</v>
      </c>
      <c r="AZ150" s="17"/>
      <c r="BA150" s="17"/>
      <c r="BB150" s="85">
        <f t="shared" si="200"/>
        <v>5</v>
      </c>
      <c r="BC150" s="105">
        <f t="shared" si="201"/>
        <v>15</v>
      </c>
      <c r="BD150" s="114">
        <v>45439</v>
      </c>
    </row>
    <row r="151" spans="1:57" x14ac:dyDescent="0.15">
      <c r="A151" s="23" t="s">
        <v>124</v>
      </c>
      <c r="B151" s="15"/>
      <c r="C151" s="16">
        <v>1</v>
      </c>
      <c r="D151" s="17"/>
      <c r="E151" s="17"/>
      <c r="F151" s="85">
        <f t="shared" si="190"/>
        <v>1</v>
      </c>
      <c r="G151" s="15"/>
      <c r="H151" s="16">
        <v>1</v>
      </c>
      <c r="I151" s="17"/>
      <c r="J151" s="17"/>
      <c r="K151" s="85">
        <f t="shared" si="191"/>
        <v>1</v>
      </c>
      <c r="L151" s="15"/>
      <c r="M151" s="16">
        <v>1</v>
      </c>
      <c r="N151" s="17"/>
      <c r="O151" s="17"/>
      <c r="P151" s="85">
        <f t="shared" si="192"/>
        <v>1</v>
      </c>
      <c r="Q151" s="15"/>
      <c r="R151" s="16">
        <v>1</v>
      </c>
      <c r="S151" s="17"/>
      <c r="T151" s="17"/>
      <c r="U151" s="85">
        <f t="shared" si="193"/>
        <v>1</v>
      </c>
      <c r="V151" s="15"/>
      <c r="W151" s="16">
        <v>1</v>
      </c>
      <c r="X151" s="17"/>
      <c r="Y151" s="17"/>
      <c r="Z151" s="85">
        <f t="shared" si="194"/>
        <v>1</v>
      </c>
      <c r="AA151" s="105">
        <f t="shared" si="195"/>
        <v>5</v>
      </c>
      <c r="AB151" s="115">
        <v>45397</v>
      </c>
      <c r="AC151" s="54" t="s">
        <v>254</v>
      </c>
      <c r="AD151" s="18"/>
      <c r="AE151" s="19"/>
      <c r="AF151" s="20"/>
      <c r="AG151" s="20"/>
      <c r="AH151" s="85">
        <f t="shared" si="218"/>
        <v>0</v>
      </c>
      <c r="AI151" s="18"/>
      <c r="AJ151" s="19"/>
      <c r="AK151" s="20"/>
      <c r="AL151" s="20"/>
      <c r="AM151" s="85">
        <f t="shared" si="219"/>
        <v>0</v>
      </c>
      <c r="AN151" s="18"/>
      <c r="AO151" s="19">
        <v>1</v>
      </c>
      <c r="AP151" s="20">
        <v>1</v>
      </c>
      <c r="AQ151" s="20"/>
      <c r="AR151" s="85">
        <f t="shared" si="220"/>
        <v>2</v>
      </c>
      <c r="AS151" s="18"/>
      <c r="AT151" s="19"/>
      <c r="AU151" s="20"/>
      <c r="AV151" s="20"/>
      <c r="AW151" s="85">
        <f t="shared" si="221"/>
        <v>0</v>
      </c>
      <c r="AX151" s="18"/>
      <c r="AY151" s="19">
        <v>1</v>
      </c>
      <c r="AZ151" s="20">
        <v>3</v>
      </c>
      <c r="BA151" s="20">
        <v>1</v>
      </c>
      <c r="BB151" s="85">
        <f t="shared" si="200"/>
        <v>5</v>
      </c>
      <c r="BC151" s="105">
        <f t="shared" si="201"/>
        <v>7</v>
      </c>
      <c r="BD151" s="114">
        <v>45443</v>
      </c>
    </row>
    <row r="152" spans="1:57" x14ac:dyDescent="0.15">
      <c r="A152" s="54" t="s">
        <v>96</v>
      </c>
      <c r="B152" s="18">
        <v>1</v>
      </c>
      <c r="C152" s="19">
        <v>1</v>
      </c>
      <c r="D152" s="20">
        <v>1</v>
      </c>
      <c r="E152" s="20"/>
      <c r="F152" s="85">
        <f t="shared" si="190"/>
        <v>3</v>
      </c>
      <c r="G152" s="18"/>
      <c r="H152" s="19"/>
      <c r="I152" s="20"/>
      <c r="J152" s="20"/>
      <c r="K152" s="85">
        <f t="shared" si="191"/>
        <v>0</v>
      </c>
      <c r="L152" s="18">
        <v>1</v>
      </c>
      <c r="M152" s="19">
        <v>2</v>
      </c>
      <c r="N152" s="20">
        <v>1</v>
      </c>
      <c r="O152" s="20">
        <v>2</v>
      </c>
      <c r="P152" s="85">
        <f t="shared" si="192"/>
        <v>6</v>
      </c>
      <c r="Q152" s="18">
        <v>1</v>
      </c>
      <c r="R152" s="19">
        <v>2</v>
      </c>
      <c r="S152" s="20">
        <v>1</v>
      </c>
      <c r="T152" s="20">
        <v>2</v>
      </c>
      <c r="U152" s="85">
        <f t="shared" si="193"/>
        <v>6</v>
      </c>
      <c r="V152" s="18">
        <v>1</v>
      </c>
      <c r="W152" s="19">
        <v>1</v>
      </c>
      <c r="X152" s="20">
        <v>1</v>
      </c>
      <c r="Y152" s="20"/>
      <c r="Z152" s="85">
        <f t="shared" si="194"/>
        <v>3</v>
      </c>
      <c r="AA152" s="105">
        <f t="shared" si="195"/>
        <v>18</v>
      </c>
      <c r="AB152" s="114">
        <v>45407</v>
      </c>
      <c r="AC152" s="24" t="s">
        <v>195</v>
      </c>
      <c r="AD152" s="15"/>
      <c r="AE152" s="16"/>
      <c r="AF152" s="17"/>
      <c r="AG152" s="17"/>
      <c r="AH152" s="85">
        <f t="shared" si="218"/>
        <v>0</v>
      </c>
      <c r="AI152" s="15"/>
      <c r="AJ152" s="16"/>
      <c r="AK152" s="17"/>
      <c r="AL152" s="17"/>
      <c r="AM152" s="85">
        <f t="shared" si="219"/>
        <v>0</v>
      </c>
      <c r="AN152" s="15">
        <v>10</v>
      </c>
      <c r="AO152" s="16">
        <v>10</v>
      </c>
      <c r="AP152" s="17">
        <v>10</v>
      </c>
      <c r="AQ152" s="17"/>
      <c r="AR152" s="85">
        <f t="shared" si="220"/>
        <v>30</v>
      </c>
      <c r="AS152" s="15">
        <v>10</v>
      </c>
      <c r="AT152" s="16">
        <v>10</v>
      </c>
      <c r="AU152" s="17">
        <v>10</v>
      </c>
      <c r="AV152" s="17"/>
      <c r="AW152" s="85">
        <f t="shared" si="221"/>
        <v>30</v>
      </c>
      <c r="AX152" s="15">
        <v>10</v>
      </c>
      <c r="AY152" s="16">
        <v>10</v>
      </c>
      <c r="AZ152" s="17">
        <v>10</v>
      </c>
      <c r="BA152" s="17"/>
      <c r="BB152" s="85">
        <f t="shared" si="200"/>
        <v>30</v>
      </c>
      <c r="BC152" s="105">
        <f t="shared" si="201"/>
        <v>90</v>
      </c>
      <c r="BD152" s="115">
        <v>45439</v>
      </c>
    </row>
    <row r="153" spans="1:57" x14ac:dyDescent="0.15">
      <c r="A153" s="23" t="s">
        <v>124</v>
      </c>
      <c r="B153" s="16">
        <v>1</v>
      </c>
      <c r="C153" s="16"/>
      <c r="D153" s="17"/>
      <c r="E153" s="17"/>
      <c r="F153" s="85">
        <f t="shared" si="190"/>
        <v>1</v>
      </c>
      <c r="G153" s="16">
        <v>1</v>
      </c>
      <c r="H153" s="16"/>
      <c r="I153" s="17"/>
      <c r="J153" s="17"/>
      <c r="K153" s="85">
        <f t="shared" si="191"/>
        <v>1</v>
      </c>
      <c r="L153" s="16"/>
      <c r="M153" s="16"/>
      <c r="N153" s="17"/>
      <c r="O153" s="17"/>
      <c r="P153" s="85">
        <f t="shared" si="192"/>
        <v>0</v>
      </c>
      <c r="Q153" s="16"/>
      <c r="R153" s="16"/>
      <c r="S153" s="17"/>
      <c r="T153" s="17"/>
      <c r="U153" s="85">
        <f t="shared" si="193"/>
        <v>0</v>
      </c>
      <c r="V153" s="16">
        <v>1</v>
      </c>
      <c r="W153" s="16"/>
      <c r="X153" s="17"/>
      <c r="Y153" s="17"/>
      <c r="Z153" s="85">
        <f t="shared" si="194"/>
        <v>1</v>
      </c>
      <c r="AA153" s="105">
        <f t="shared" si="195"/>
        <v>3</v>
      </c>
      <c r="AB153" s="114">
        <v>45413</v>
      </c>
      <c r="AC153" s="24" t="s">
        <v>195</v>
      </c>
      <c r="AD153" s="15"/>
      <c r="AE153" s="16"/>
      <c r="AF153" s="17"/>
      <c r="AG153" s="17"/>
      <c r="AH153" s="85">
        <f t="shared" si="196"/>
        <v>0</v>
      </c>
      <c r="AI153" s="15"/>
      <c r="AJ153" s="16"/>
      <c r="AK153" s="17"/>
      <c r="AL153" s="17"/>
      <c r="AM153" s="85">
        <f t="shared" si="197"/>
        <v>0</v>
      </c>
      <c r="AN153" s="15">
        <v>5</v>
      </c>
      <c r="AO153" s="16"/>
      <c r="AP153" s="17"/>
      <c r="AQ153" s="17"/>
      <c r="AR153" s="85">
        <f t="shared" si="198"/>
        <v>5</v>
      </c>
      <c r="AS153" s="15">
        <v>5</v>
      </c>
      <c r="AT153" s="16"/>
      <c r="AU153" s="17"/>
      <c r="AV153" s="17"/>
      <c r="AW153" s="85">
        <f t="shared" si="199"/>
        <v>5</v>
      </c>
      <c r="AX153" s="15">
        <v>5</v>
      </c>
      <c r="AY153" s="16"/>
      <c r="AZ153" s="17"/>
      <c r="BA153" s="17"/>
      <c r="BB153" s="85">
        <f t="shared" si="200"/>
        <v>5</v>
      </c>
      <c r="BC153" s="105">
        <f t="shared" si="201"/>
        <v>15</v>
      </c>
      <c r="BD153" s="115">
        <v>45442</v>
      </c>
    </row>
    <row r="154" spans="1:57" x14ac:dyDescent="0.15">
      <c r="A154" s="23" t="s">
        <v>230</v>
      </c>
      <c r="B154" s="15"/>
      <c r="C154" s="25"/>
      <c r="D154" s="17"/>
      <c r="E154" s="17"/>
      <c r="F154" s="85">
        <f t="shared" si="190"/>
        <v>0</v>
      </c>
      <c r="G154" s="15"/>
      <c r="H154" s="25"/>
      <c r="I154" s="17"/>
      <c r="J154" s="17"/>
      <c r="K154" s="85">
        <f t="shared" si="191"/>
        <v>0</v>
      </c>
      <c r="L154" s="15"/>
      <c r="M154" s="25">
        <v>1</v>
      </c>
      <c r="N154" s="17"/>
      <c r="O154" s="17"/>
      <c r="P154" s="85">
        <f t="shared" si="192"/>
        <v>1</v>
      </c>
      <c r="Q154" s="15"/>
      <c r="R154" s="25">
        <v>1</v>
      </c>
      <c r="S154" s="17"/>
      <c r="T154" s="17"/>
      <c r="U154" s="85">
        <f t="shared" si="193"/>
        <v>1</v>
      </c>
      <c r="V154" s="15"/>
      <c r="W154" s="25">
        <v>1</v>
      </c>
      <c r="X154" s="17"/>
      <c r="Y154" s="17"/>
      <c r="Z154" s="85">
        <f t="shared" si="194"/>
        <v>1</v>
      </c>
      <c r="AA154" s="105">
        <f t="shared" si="195"/>
        <v>3</v>
      </c>
      <c r="AB154" s="114">
        <v>45419</v>
      </c>
      <c r="AC154" s="23"/>
      <c r="AD154" s="18"/>
      <c r="AE154" s="19"/>
      <c r="AF154" s="20"/>
      <c r="AG154" s="20"/>
      <c r="AH154" s="85">
        <f t="shared" ref="AH154" si="222">SUM(AD154:AG154)</f>
        <v>0</v>
      </c>
      <c r="AI154" s="18"/>
      <c r="AJ154" s="19"/>
      <c r="AK154" s="20"/>
      <c r="AL154" s="20"/>
      <c r="AM154" s="85">
        <f t="shared" ref="AM154" si="223">SUM(AI154:AL154)</f>
        <v>0</v>
      </c>
      <c r="AN154" s="18"/>
      <c r="AO154" s="19"/>
      <c r="AP154" s="20"/>
      <c r="AQ154" s="20"/>
      <c r="AR154" s="85">
        <f t="shared" ref="AR154" si="224">SUM(AN154:AQ154)</f>
        <v>0</v>
      </c>
      <c r="AS154" s="18"/>
      <c r="AT154" s="19"/>
      <c r="AU154" s="20"/>
      <c r="AV154" s="20"/>
      <c r="AW154" s="85">
        <f t="shared" ref="AW154" si="225">SUM(AS154:AV154)</f>
        <v>0</v>
      </c>
      <c r="AX154" s="18"/>
      <c r="AY154" s="19"/>
      <c r="AZ154" s="20"/>
      <c r="BA154" s="20"/>
      <c r="BB154" s="85">
        <f t="shared" si="200"/>
        <v>0</v>
      </c>
      <c r="BC154" s="105">
        <f t="shared" si="201"/>
        <v>0</v>
      </c>
      <c r="BD154" s="76"/>
    </row>
    <row r="155" spans="1:57" x14ac:dyDescent="0.15">
      <c r="A155" s="23" t="s">
        <v>124</v>
      </c>
      <c r="B155" s="15"/>
      <c r="C155" s="16"/>
      <c r="D155" s="16"/>
      <c r="E155" s="63"/>
      <c r="F155" s="85">
        <f t="shared" si="190"/>
        <v>0</v>
      </c>
      <c r="G155" s="15"/>
      <c r="H155" s="16"/>
      <c r="I155" s="16"/>
      <c r="J155" s="63"/>
      <c r="K155" s="85">
        <f t="shared" si="191"/>
        <v>0</v>
      </c>
      <c r="L155" s="15">
        <v>1</v>
      </c>
      <c r="M155" s="16"/>
      <c r="N155" s="16"/>
      <c r="O155" s="63"/>
      <c r="P155" s="85">
        <f t="shared" si="192"/>
        <v>1</v>
      </c>
      <c r="Q155" s="15">
        <v>1</v>
      </c>
      <c r="R155" s="16"/>
      <c r="S155" s="16"/>
      <c r="T155" s="63"/>
      <c r="U155" s="85">
        <f t="shared" si="193"/>
        <v>1</v>
      </c>
      <c r="V155" s="15">
        <v>1</v>
      </c>
      <c r="W155" s="16"/>
      <c r="X155" s="16"/>
      <c r="Y155" s="63"/>
      <c r="Z155" s="85">
        <f t="shared" si="194"/>
        <v>1</v>
      </c>
      <c r="AA155" s="105">
        <f t="shared" si="195"/>
        <v>3</v>
      </c>
      <c r="AB155" s="115">
        <v>45420</v>
      </c>
      <c r="AC155" s="23" t="s">
        <v>131</v>
      </c>
      <c r="AD155" s="15"/>
      <c r="AE155" s="16"/>
      <c r="AF155" s="16"/>
      <c r="AG155" s="63"/>
      <c r="AH155" s="85">
        <f t="shared" si="196"/>
        <v>0</v>
      </c>
      <c r="AI155" s="15"/>
      <c r="AJ155" s="16"/>
      <c r="AK155" s="16"/>
      <c r="AL155" s="63"/>
      <c r="AM155" s="85">
        <f t="shared" si="197"/>
        <v>0</v>
      </c>
      <c r="AN155" s="15"/>
      <c r="AO155" s="16"/>
      <c r="AP155" s="16"/>
      <c r="AQ155" s="63"/>
      <c r="AR155" s="85">
        <f t="shared" si="198"/>
        <v>0</v>
      </c>
      <c r="AS155" s="15"/>
      <c r="AT155" s="16"/>
      <c r="AU155" s="16"/>
      <c r="AV155" s="63"/>
      <c r="AW155" s="85">
        <f t="shared" si="199"/>
        <v>0</v>
      </c>
      <c r="AX155" s="15"/>
      <c r="AY155" s="16"/>
      <c r="AZ155" s="16"/>
      <c r="BA155" s="63"/>
      <c r="BB155" s="85">
        <f t="shared" si="200"/>
        <v>0</v>
      </c>
      <c r="BC155" s="105">
        <f t="shared" si="201"/>
        <v>0</v>
      </c>
      <c r="BD155" s="76" t="s">
        <v>132</v>
      </c>
      <c r="BE155" s="116"/>
    </row>
    <row r="156" spans="1:57" ht="14.25" thickBot="1" x14ac:dyDescent="0.2">
      <c r="A156" s="23" t="s">
        <v>233</v>
      </c>
      <c r="B156" s="18">
        <v>1</v>
      </c>
      <c r="C156" s="19"/>
      <c r="D156" s="19"/>
      <c r="E156" s="64"/>
      <c r="F156" s="86">
        <f t="shared" si="190"/>
        <v>1</v>
      </c>
      <c r="G156" s="18">
        <v>1</v>
      </c>
      <c r="H156" s="19"/>
      <c r="I156" s="19"/>
      <c r="J156" s="64"/>
      <c r="K156" s="86">
        <f t="shared" si="191"/>
        <v>1</v>
      </c>
      <c r="L156" s="18"/>
      <c r="M156" s="19"/>
      <c r="N156" s="19"/>
      <c r="O156" s="64"/>
      <c r="P156" s="86">
        <f t="shared" si="192"/>
        <v>0</v>
      </c>
      <c r="Q156" s="18"/>
      <c r="R156" s="19"/>
      <c r="S156" s="19"/>
      <c r="T156" s="64"/>
      <c r="U156" s="86">
        <f t="shared" si="193"/>
        <v>0</v>
      </c>
      <c r="V156" s="18">
        <v>1</v>
      </c>
      <c r="W156" s="19"/>
      <c r="X156" s="19"/>
      <c r="Y156" s="64"/>
      <c r="Z156" s="86">
        <f t="shared" si="194"/>
        <v>1</v>
      </c>
      <c r="AA156" s="106">
        <f t="shared" si="195"/>
        <v>3</v>
      </c>
      <c r="AB156" s="114">
        <v>45422</v>
      </c>
      <c r="AC156" s="102" t="s">
        <v>133</v>
      </c>
      <c r="AD156" s="15"/>
      <c r="AE156" s="16"/>
      <c r="AF156" s="16"/>
      <c r="AG156" s="179"/>
      <c r="AH156" s="85">
        <f t="shared" si="196"/>
        <v>0</v>
      </c>
      <c r="AI156" s="15"/>
      <c r="AJ156" s="16"/>
      <c r="AK156" s="16"/>
      <c r="AL156" s="179"/>
      <c r="AM156" s="85">
        <f t="shared" si="197"/>
        <v>0</v>
      </c>
      <c r="AN156" s="15"/>
      <c r="AO156" s="16"/>
      <c r="AP156" s="16"/>
      <c r="AQ156" s="179"/>
      <c r="AR156" s="85">
        <f t="shared" si="198"/>
        <v>0</v>
      </c>
      <c r="AS156" s="180"/>
      <c r="AT156" s="181"/>
      <c r="AU156" s="181"/>
      <c r="AV156" s="179"/>
      <c r="AW156" s="85">
        <f t="shared" si="199"/>
        <v>0</v>
      </c>
      <c r="AX156" s="180"/>
      <c r="AY156" s="181"/>
      <c r="AZ156" s="181"/>
      <c r="BA156" s="179"/>
      <c r="BB156" s="85">
        <f t="shared" si="200"/>
        <v>0</v>
      </c>
      <c r="BC156" s="105">
        <f t="shared" si="201"/>
        <v>0</v>
      </c>
      <c r="BD156" s="76" t="s">
        <v>101</v>
      </c>
      <c r="BE156" s="116"/>
    </row>
    <row r="157" spans="1:57" ht="14.25" thickBot="1" x14ac:dyDescent="0.2">
      <c r="A157" s="27" t="s">
        <v>12</v>
      </c>
      <c r="B157" s="57">
        <f>SUM(B131:B156)</f>
        <v>7</v>
      </c>
      <c r="C157" s="50">
        <f t="shared" ref="C157:D157" si="226">SUM(C131:C156)</f>
        <v>10</v>
      </c>
      <c r="D157" s="50">
        <f t="shared" si="226"/>
        <v>4</v>
      </c>
      <c r="E157" s="50">
        <f>SUM(E131:E156)</f>
        <v>4</v>
      </c>
      <c r="F157" s="88">
        <f t="shared" si="190"/>
        <v>25</v>
      </c>
      <c r="G157" s="57">
        <f>SUM(G131:G156)</f>
        <v>7</v>
      </c>
      <c r="H157" s="50">
        <f t="shared" ref="H157:I157" si="227">SUM(H131:H156)</f>
        <v>8</v>
      </c>
      <c r="I157" s="50">
        <f t="shared" si="227"/>
        <v>4</v>
      </c>
      <c r="J157" s="50">
        <f>SUM(J131:J156)</f>
        <v>4</v>
      </c>
      <c r="K157" s="88">
        <f t="shared" si="191"/>
        <v>23</v>
      </c>
      <c r="L157" s="57">
        <f>SUM(L131:L156)</f>
        <v>3</v>
      </c>
      <c r="M157" s="50">
        <f t="shared" ref="M157:N157" si="228">SUM(M131:M156)</f>
        <v>9</v>
      </c>
      <c r="N157" s="50">
        <f t="shared" si="228"/>
        <v>5</v>
      </c>
      <c r="O157" s="50">
        <f>SUM(O131:O156)</f>
        <v>5</v>
      </c>
      <c r="P157" s="88">
        <f t="shared" si="192"/>
        <v>22</v>
      </c>
      <c r="Q157" s="57">
        <f>SUM(Q131:Q156)</f>
        <v>3</v>
      </c>
      <c r="R157" s="50">
        <f t="shared" ref="R157:S157" si="229">SUM(R131:R156)</f>
        <v>9</v>
      </c>
      <c r="S157" s="50">
        <f t="shared" si="229"/>
        <v>6</v>
      </c>
      <c r="T157" s="50">
        <f>SUM(T131:T156)</f>
        <v>6</v>
      </c>
      <c r="U157" s="88">
        <f t="shared" si="193"/>
        <v>24</v>
      </c>
      <c r="V157" s="57">
        <f>SUM(V131:V156)</f>
        <v>8</v>
      </c>
      <c r="W157" s="50">
        <f t="shared" ref="W157:X157" si="230">SUM(W131:W156)</f>
        <v>11</v>
      </c>
      <c r="X157" s="50">
        <f t="shared" si="230"/>
        <v>7</v>
      </c>
      <c r="Y157" s="50">
        <f>SUM(Y131:Y156)</f>
        <v>8</v>
      </c>
      <c r="Z157" s="88">
        <f t="shared" si="194"/>
        <v>34</v>
      </c>
      <c r="AA157" s="109">
        <f t="shared" si="195"/>
        <v>128</v>
      </c>
      <c r="AC157" s="27" t="s">
        <v>12</v>
      </c>
      <c r="AD157" s="57">
        <f>SUM(AD131:AD156)</f>
        <v>732</v>
      </c>
      <c r="AE157" s="50">
        <f t="shared" ref="AE157:AF157" si="231">SUM(AE131:AE156)</f>
        <v>797</v>
      </c>
      <c r="AF157" s="50">
        <f t="shared" si="231"/>
        <v>370</v>
      </c>
      <c r="AG157" s="50">
        <f>SUM(AG131:AG156)</f>
        <v>0</v>
      </c>
      <c r="AH157" s="88">
        <f t="shared" si="196"/>
        <v>1899</v>
      </c>
      <c r="AI157" s="57">
        <f>SUM(AI131:AI156)</f>
        <v>735</v>
      </c>
      <c r="AJ157" s="50">
        <f t="shared" ref="AJ157:AK157" si="232">SUM(AJ131:AJ156)</f>
        <v>782</v>
      </c>
      <c r="AK157" s="50">
        <f t="shared" si="232"/>
        <v>370</v>
      </c>
      <c r="AL157" s="50">
        <f>SUM(AL131:AL156)</f>
        <v>0</v>
      </c>
      <c r="AM157" s="88">
        <f t="shared" si="197"/>
        <v>1887</v>
      </c>
      <c r="AN157" s="57">
        <f>SUM(AN131:AN156)</f>
        <v>788</v>
      </c>
      <c r="AO157" s="50">
        <f t="shared" ref="AO157:AP157" si="233">SUM(AO131:AO156)</f>
        <v>801</v>
      </c>
      <c r="AP157" s="50">
        <f t="shared" si="233"/>
        <v>392</v>
      </c>
      <c r="AQ157" s="50">
        <f>SUM(AQ131:AQ156)</f>
        <v>36</v>
      </c>
      <c r="AR157" s="88">
        <f t="shared" si="198"/>
        <v>2017</v>
      </c>
      <c r="AS157" s="57">
        <f>SUM(AS131:AS156)</f>
        <v>61</v>
      </c>
      <c r="AT157" s="50">
        <f t="shared" ref="AT157:AU157" si="234">SUM(AT131:AT156)</f>
        <v>22</v>
      </c>
      <c r="AU157" s="50">
        <f t="shared" si="234"/>
        <v>21</v>
      </c>
      <c r="AV157" s="50">
        <f>SUM(AV131:AV156)</f>
        <v>36</v>
      </c>
      <c r="AW157" s="88">
        <f t="shared" si="199"/>
        <v>140</v>
      </c>
      <c r="AX157" s="57">
        <f>SUM(AX131:AX156)</f>
        <v>62</v>
      </c>
      <c r="AY157" s="50">
        <f t="shared" ref="AY157:AZ157" si="235">SUM(AY131:AY156)</f>
        <v>23</v>
      </c>
      <c r="AZ157" s="50">
        <f t="shared" si="235"/>
        <v>26</v>
      </c>
      <c r="BA157" s="50">
        <f>SUM(BA131:BA156)</f>
        <v>39</v>
      </c>
      <c r="BB157" s="88">
        <f t="shared" si="200"/>
        <v>150</v>
      </c>
      <c r="BC157" s="109">
        <f t="shared" si="201"/>
        <v>6093</v>
      </c>
    </row>
    <row r="158" spans="1:57" ht="14.25" thickBot="1" x14ac:dyDescent="0.2">
      <c r="A158" s="21" t="s">
        <v>13</v>
      </c>
      <c r="B158" s="101">
        <f>B130-B157</f>
        <v>10</v>
      </c>
      <c r="C158" s="8">
        <f t="shared" ref="C158:D158" si="236">C130-C157</f>
        <v>5</v>
      </c>
      <c r="D158" s="8">
        <f t="shared" si="236"/>
        <v>6</v>
      </c>
      <c r="E158" s="8">
        <f>E130-E157</f>
        <v>10</v>
      </c>
      <c r="F158" s="87">
        <f t="shared" si="190"/>
        <v>31</v>
      </c>
      <c r="G158" s="101">
        <f>G130-G157</f>
        <v>8</v>
      </c>
      <c r="H158" s="8">
        <f t="shared" ref="H158:I158" si="237">H130-H157</f>
        <v>6</v>
      </c>
      <c r="I158" s="8">
        <f t="shared" si="237"/>
        <v>6</v>
      </c>
      <c r="J158" s="8">
        <f>J130-J157</f>
        <v>11</v>
      </c>
      <c r="K158" s="87">
        <f t="shared" si="191"/>
        <v>31</v>
      </c>
      <c r="L158" s="101">
        <f>L130-L157</f>
        <v>11</v>
      </c>
      <c r="M158" s="8">
        <f t="shared" ref="M158:N158" si="238">M130-M157</f>
        <v>3</v>
      </c>
      <c r="N158" s="8">
        <f t="shared" si="238"/>
        <v>8</v>
      </c>
      <c r="O158" s="8">
        <f>O130-O157</f>
        <v>10</v>
      </c>
      <c r="P158" s="87">
        <f t="shared" si="192"/>
        <v>32</v>
      </c>
      <c r="Q158" s="101">
        <f>Q130-Q157</f>
        <v>13</v>
      </c>
      <c r="R158" s="8">
        <f t="shared" ref="R158:S158" si="239">R130-R157</f>
        <v>5</v>
      </c>
      <c r="S158" s="8">
        <f t="shared" si="239"/>
        <v>10</v>
      </c>
      <c r="T158" s="8">
        <f>T130-T157</f>
        <v>8</v>
      </c>
      <c r="U158" s="87">
        <f t="shared" si="193"/>
        <v>36</v>
      </c>
      <c r="V158" s="101">
        <f>V130-V157</f>
        <v>10</v>
      </c>
      <c r="W158" s="8">
        <f t="shared" ref="W158:X158" si="240">W130-W157</f>
        <v>7</v>
      </c>
      <c r="X158" s="8">
        <f t="shared" si="240"/>
        <v>6</v>
      </c>
      <c r="Y158" s="8">
        <f>Y130-Y157</f>
        <v>12</v>
      </c>
      <c r="Z158" s="87">
        <f t="shared" si="194"/>
        <v>35</v>
      </c>
      <c r="AA158" s="107">
        <f t="shared" si="195"/>
        <v>165</v>
      </c>
      <c r="AC158" s="29" t="s">
        <v>13</v>
      </c>
      <c r="AD158" s="32">
        <f>AD130-AD157</f>
        <v>77</v>
      </c>
      <c r="AE158" s="44">
        <f t="shared" ref="AE158:AF158" si="241">AE130-AE157</f>
        <v>149</v>
      </c>
      <c r="AF158" s="44">
        <f t="shared" si="241"/>
        <v>194</v>
      </c>
      <c r="AG158" s="44">
        <f>AG130-AG157</f>
        <v>268</v>
      </c>
      <c r="AH158" s="87">
        <f t="shared" si="196"/>
        <v>688</v>
      </c>
      <c r="AI158" s="32">
        <f>AI130-AI157</f>
        <v>68</v>
      </c>
      <c r="AJ158" s="44">
        <f t="shared" ref="AJ158:AK158" si="242">AJ130-AJ157</f>
        <v>167</v>
      </c>
      <c r="AK158" s="44">
        <f t="shared" si="242"/>
        <v>191</v>
      </c>
      <c r="AL158" s="44">
        <f>AL130-AL157</f>
        <v>280</v>
      </c>
      <c r="AM158" s="87">
        <f t="shared" si="197"/>
        <v>706</v>
      </c>
      <c r="AN158" s="32">
        <f>AN130-AN157</f>
        <v>86</v>
      </c>
      <c r="AO158" s="44">
        <f t="shared" ref="AO158:AP158" si="243">AO130-AO157</f>
        <v>281</v>
      </c>
      <c r="AP158" s="44">
        <f t="shared" si="243"/>
        <v>39</v>
      </c>
      <c r="AQ158" s="44">
        <f>AQ130-AQ157</f>
        <v>63</v>
      </c>
      <c r="AR158" s="87">
        <f t="shared" si="198"/>
        <v>469</v>
      </c>
      <c r="AS158" s="32">
        <f>AS130-AS157</f>
        <v>178</v>
      </c>
      <c r="AT158" s="44">
        <f t="shared" ref="AT158:AU158" si="244">AT130-AT157</f>
        <v>218</v>
      </c>
      <c r="AU158" s="44">
        <f t="shared" si="244"/>
        <v>241</v>
      </c>
      <c r="AV158" s="44">
        <f>AV130-AV157</f>
        <v>164</v>
      </c>
      <c r="AW158" s="87">
        <f t="shared" si="199"/>
        <v>801</v>
      </c>
      <c r="AX158" s="32">
        <f>AX130-AX157</f>
        <v>1514</v>
      </c>
      <c r="AY158" s="44">
        <f t="shared" ref="AY158:AZ158" si="245">AY130-AY157</f>
        <v>1558</v>
      </c>
      <c r="AZ158" s="44">
        <f t="shared" si="245"/>
        <v>851</v>
      </c>
      <c r="BA158" s="44">
        <f>BA130-BA157</f>
        <v>281</v>
      </c>
      <c r="BB158" s="87">
        <f t="shared" si="200"/>
        <v>4204</v>
      </c>
      <c r="BC158" s="107">
        <f t="shared" si="201"/>
        <v>6868</v>
      </c>
    </row>
    <row r="161" spans="1:63" ht="19.5" thickBot="1" x14ac:dyDescent="0.25">
      <c r="A161" s="271" t="s">
        <v>22</v>
      </c>
      <c r="B161" s="271"/>
      <c r="C161" s="271"/>
      <c r="D161" s="271"/>
      <c r="E161" s="271"/>
      <c r="F161" s="271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C161" s="79" t="s">
        <v>69</v>
      </c>
      <c r="AD161" s="79"/>
      <c r="AE161" s="79"/>
      <c r="AF161" s="79"/>
      <c r="AG161" s="79"/>
      <c r="AH161" s="79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</row>
    <row r="162" spans="1:63" ht="14.25" thickBot="1" x14ac:dyDescent="0.2">
      <c r="A162" s="2" t="s">
        <v>0</v>
      </c>
      <c r="B162" s="256" t="s">
        <v>23</v>
      </c>
      <c r="C162" s="257"/>
      <c r="D162" s="257"/>
      <c r="E162" s="258"/>
      <c r="F162" s="81"/>
      <c r="G162" s="259" t="s">
        <v>24</v>
      </c>
      <c r="H162" s="260"/>
      <c r="I162" s="260"/>
      <c r="J162" s="261"/>
      <c r="K162" s="81"/>
      <c r="L162" s="262" t="s">
        <v>25</v>
      </c>
      <c r="M162" s="263"/>
      <c r="N162" s="263"/>
      <c r="O162" s="264"/>
      <c r="P162" s="81"/>
      <c r="Q162" s="265" t="s">
        <v>26</v>
      </c>
      <c r="R162" s="266"/>
      <c r="S162" s="266"/>
      <c r="T162" s="267"/>
      <c r="U162" s="81"/>
      <c r="V162" s="268" t="s">
        <v>27</v>
      </c>
      <c r="W162" s="269"/>
      <c r="X162" s="269"/>
      <c r="Y162" s="270"/>
      <c r="Z162" s="81"/>
      <c r="AA162" s="272" t="s">
        <v>6</v>
      </c>
      <c r="AC162" s="2" t="s">
        <v>0</v>
      </c>
      <c r="AD162" s="256" t="s">
        <v>23</v>
      </c>
      <c r="AE162" s="257"/>
      <c r="AF162" s="257"/>
      <c r="AG162" s="258"/>
      <c r="AH162" s="81"/>
      <c r="AI162" s="259" t="s">
        <v>24</v>
      </c>
      <c r="AJ162" s="260"/>
      <c r="AK162" s="260"/>
      <c r="AL162" s="261"/>
      <c r="AM162" s="81"/>
      <c r="AN162" s="262" t="s">
        <v>25</v>
      </c>
      <c r="AO162" s="263"/>
      <c r="AP162" s="263"/>
      <c r="AQ162" s="264"/>
      <c r="AR162" s="81"/>
      <c r="AS162" s="265" t="s">
        <v>26</v>
      </c>
      <c r="AT162" s="266"/>
      <c r="AU162" s="266"/>
      <c r="AV162" s="267"/>
      <c r="AW162" s="81"/>
      <c r="AX162" s="268" t="s">
        <v>27</v>
      </c>
      <c r="AY162" s="269"/>
      <c r="AZ162" s="269"/>
      <c r="BA162" s="270"/>
      <c r="BB162" s="81"/>
      <c r="BC162" s="272" t="s">
        <v>6</v>
      </c>
    </row>
    <row r="163" spans="1:63" ht="14.25" thickBot="1" x14ac:dyDescent="0.2">
      <c r="A163" s="2" t="s">
        <v>2</v>
      </c>
      <c r="B163" s="3" t="s">
        <v>3</v>
      </c>
      <c r="C163" s="4" t="s">
        <v>4</v>
      </c>
      <c r="D163" s="5" t="s">
        <v>5</v>
      </c>
      <c r="E163" s="5" t="s">
        <v>20</v>
      </c>
      <c r="F163" s="82" t="s">
        <v>6</v>
      </c>
      <c r="G163" s="89" t="s">
        <v>3</v>
      </c>
      <c r="H163" s="4" t="s">
        <v>4</v>
      </c>
      <c r="I163" s="5" t="s">
        <v>5</v>
      </c>
      <c r="J163" s="5" t="s">
        <v>20</v>
      </c>
      <c r="K163" s="82" t="s">
        <v>6</v>
      </c>
      <c r="L163" s="89" t="s">
        <v>3</v>
      </c>
      <c r="M163" s="4" t="s">
        <v>4</v>
      </c>
      <c r="N163" s="5" t="s">
        <v>5</v>
      </c>
      <c r="O163" s="5" t="s">
        <v>20</v>
      </c>
      <c r="P163" s="82" t="s">
        <v>6</v>
      </c>
      <c r="Q163" s="89" t="s">
        <v>3</v>
      </c>
      <c r="R163" s="4" t="s">
        <v>4</v>
      </c>
      <c r="S163" s="5" t="s">
        <v>5</v>
      </c>
      <c r="T163" s="5" t="s">
        <v>20</v>
      </c>
      <c r="U163" s="82" t="s">
        <v>6</v>
      </c>
      <c r="V163" s="89" t="s">
        <v>3</v>
      </c>
      <c r="W163" s="4" t="s">
        <v>4</v>
      </c>
      <c r="X163" s="5" t="s">
        <v>5</v>
      </c>
      <c r="Y163" s="5" t="s">
        <v>20</v>
      </c>
      <c r="Z163" s="82" t="s">
        <v>6</v>
      </c>
      <c r="AA163" s="273"/>
      <c r="AC163" s="2" t="s">
        <v>2</v>
      </c>
      <c r="AD163" s="3" t="s">
        <v>3</v>
      </c>
      <c r="AE163" s="4" t="s">
        <v>4</v>
      </c>
      <c r="AF163" s="5" t="s">
        <v>5</v>
      </c>
      <c r="AG163" s="5" t="s">
        <v>20</v>
      </c>
      <c r="AH163" s="82" t="s">
        <v>6</v>
      </c>
      <c r="AI163" s="89" t="s">
        <v>3</v>
      </c>
      <c r="AJ163" s="4" t="s">
        <v>4</v>
      </c>
      <c r="AK163" s="5" t="s">
        <v>5</v>
      </c>
      <c r="AL163" s="5" t="s">
        <v>20</v>
      </c>
      <c r="AM163" s="82" t="s">
        <v>6</v>
      </c>
      <c r="AN163" s="89" t="s">
        <v>3</v>
      </c>
      <c r="AO163" s="4" t="s">
        <v>4</v>
      </c>
      <c r="AP163" s="5" t="s">
        <v>5</v>
      </c>
      <c r="AQ163" s="5" t="s">
        <v>20</v>
      </c>
      <c r="AR163" s="82" t="s">
        <v>6</v>
      </c>
      <c r="AS163" s="89" t="s">
        <v>3</v>
      </c>
      <c r="AT163" s="4" t="s">
        <v>4</v>
      </c>
      <c r="AU163" s="5" t="s">
        <v>5</v>
      </c>
      <c r="AV163" s="5" t="s">
        <v>20</v>
      </c>
      <c r="AW163" s="82" t="s">
        <v>6</v>
      </c>
      <c r="AX163" s="89" t="s">
        <v>3</v>
      </c>
      <c r="AY163" s="4" t="s">
        <v>4</v>
      </c>
      <c r="AZ163" s="5" t="s">
        <v>5</v>
      </c>
      <c r="BA163" s="5" t="s">
        <v>20</v>
      </c>
      <c r="BB163" s="82" t="s">
        <v>6</v>
      </c>
      <c r="BC163" s="276"/>
    </row>
    <row r="164" spans="1:63" ht="14.25" thickBot="1" x14ac:dyDescent="0.2">
      <c r="A164" s="40" t="s">
        <v>13</v>
      </c>
      <c r="B164" s="41">
        <f>B158</f>
        <v>10</v>
      </c>
      <c r="C164" s="42">
        <f>C158</f>
        <v>5</v>
      </c>
      <c r="D164" s="42">
        <f t="shared" ref="D164:AA164" si="246">D158</f>
        <v>6</v>
      </c>
      <c r="E164" s="94">
        <f t="shared" si="246"/>
        <v>10</v>
      </c>
      <c r="F164" s="95">
        <f t="shared" si="246"/>
        <v>31</v>
      </c>
      <c r="G164" s="96">
        <f t="shared" si="246"/>
        <v>8</v>
      </c>
      <c r="H164" s="42">
        <f t="shared" si="246"/>
        <v>6</v>
      </c>
      <c r="I164" s="42">
        <f t="shared" si="246"/>
        <v>6</v>
      </c>
      <c r="J164" s="94">
        <f t="shared" si="246"/>
        <v>11</v>
      </c>
      <c r="K164" s="95">
        <f t="shared" si="246"/>
        <v>31</v>
      </c>
      <c r="L164" s="96">
        <f t="shared" si="246"/>
        <v>11</v>
      </c>
      <c r="M164" s="42">
        <f t="shared" si="246"/>
        <v>3</v>
      </c>
      <c r="N164" s="42">
        <f t="shared" si="246"/>
        <v>8</v>
      </c>
      <c r="O164" s="94">
        <f t="shared" si="246"/>
        <v>10</v>
      </c>
      <c r="P164" s="95">
        <f t="shared" si="246"/>
        <v>32</v>
      </c>
      <c r="Q164" s="96">
        <f t="shared" si="246"/>
        <v>13</v>
      </c>
      <c r="R164" s="42">
        <f t="shared" si="246"/>
        <v>5</v>
      </c>
      <c r="S164" s="42">
        <f t="shared" si="246"/>
        <v>10</v>
      </c>
      <c r="T164" s="94">
        <f t="shared" si="246"/>
        <v>8</v>
      </c>
      <c r="U164" s="95">
        <f t="shared" si="246"/>
        <v>36</v>
      </c>
      <c r="V164" s="96">
        <f t="shared" si="246"/>
        <v>10</v>
      </c>
      <c r="W164" s="42">
        <f t="shared" si="246"/>
        <v>7</v>
      </c>
      <c r="X164" s="42">
        <f t="shared" si="246"/>
        <v>6</v>
      </c>
      <c r="Y164" s="94">
        <f t="shared" si="246"/>
        <v>12</v>
      </c>
      <c r="Z164" s="95">
        <f t="shared" si="246"/>
        <v>35</v>
      </c>
      <c r="AA164" s="104">
        <f t="shared" si="246"/>
        <v>165</v>
      </c>
      <c r="AC164" s="131" t="s">
        <v>13</v>
      </c>
      <c r="AD164" s="96">
        <f>AD158</f>
        <v>77</v>
      </c>
      <c r="AE164" s="42">
        <f>AE158</f>
        <v>149</v>
      </c>
      <c r="AF164" s="42">
        <f t="shared" ref="AF164:BC164" si="247">AF158</f>
        <v>194</v>
      </c>
      <c r="AG164" s="94">
        <f t="shared" si="247"/>
        <v>268</v>
      </c>
      <c r="AH164" s="95">
        <f t="shared" si="247"/>
        <v>688</v>
      </c>
      <c r="AI164" s="96">
        <f t="shared" si="247"/>
        <v>68</v>
      </c>
      <c r="AJ164" s="42">
        <f t="shared" si="247"/>
        <v>167</v>
      </c>
      <c r="AK164" s="42">
        <f t="shared" si="247"/>
        <v>191</v>
      </c>
      <c r="AL164" s="94">
        <f t="shared" si="247"/>
        <v>280</v>
      </c>
      <c r="AM164" s="95">
        <f t="shared" si="247"/>
        <v>706</v>
      </c>
      <c r="AN164" s="96">
        <f t="shared" si="247"/>
        <v>86</v>
      </c>
      <c r="AO164" s="42">
        <f t="shared" si="247"/>
        <v>281</v>
      </c>
      <c r="AP164" s="42">
        <f t="shared" si="247"/>
        <v>39</v>
      </c>
      <c r="AQ164" s="94">
        <f t="shared" si="247"/>
        <v>63</v>
      </c>
      <c r="AR164" s="95">
        <f t="shared" si="247"/>
        <v>469</v>
      </c>
      <c r="AS164" s="96">
        <f t="shared" si="247"/>
        <v>178</v>
      </c>
      <c r="AT164" s="42">
        <f t="shared" si="247"/>
        <v>218</v>
      </c>
      <c r="AU164" s="42">
        <f t="shared" si="247"/>
        <v>241</v>
      </c>
      <c r="AV164" s="94">
        <f t="shared" si="247"/>
        <v>164</v>
      </c>
      <c r="AW164" s="95">
        <f t="shared" si="247"/>
        <v>801</v>
      </c>
      <c r="AX164" s="96">
        <f t="shared" si="247"/>
        <v>1514</v>
      </c>
      <c r="AY164" s="42">
        <f t="shared" si="247"/>
        <v>1558</v>
      </c>
      <c r="AZ164" s="42">
        <f t="shared" si="247"/>
        <v>851</v>
      </c>
      <c r="BA164" s="94">
        <f t="shared" si="247"/>
        <v>281</v>
      </c>
      <c r="BB164" s="95">
        <f t="shared" si="247"/>
        <v>4204</v>
      </c>
      <c r="BC164" s="104">
        <f t="shared" si="247"/>
        <v>6868</v>
      </c>
    </row>
    <row r="165" spans="1:63" x14ac:dyDescent="0.15">
      <c r="A165" s="9" t="s">
        <v>158</v>
      </c>
      <c r="B165" s="10"/>
      <c r="C165" s="11">
        <v>2</v>
      </c>
      <c r="D165" s="12">
        <v>1</v>
      </c>
      <c r="E165" s="12">
        <v>1</v>
      </c>
      <c r="F165" s="84">
        <f t="shared" ref="F165:F198" si="248">SUM(B165:E165)</f>
        <v>4</v>
      </c>
      <c r="G165" s="90"/>
      <c r="H165" s="11">
        <v>2</v>
      </c>
      <c r="I165" s="12">
        <v>1</v>
      </c>
      <c r="J165" s="12">
        <v>1</v>
      </c>
      <c r="K165" s="84">
        <f t="shared" ref="K165:K198" si="249">SUM(G165:J165)</f>
        <v>4</v>
      </c>
      <c r="L165" s="90">
        <v>1</v>
      </c>
      <c r="M165" s="11">
        <v>4</v>
      </c>
      <c r="N165" s="12"/>
      <c r="O165" s="12"/>
      <c r="P165" s="84">
        <f t="shared" ref="P165:P198" si="250">SUM(L165:O165)</f>
        <v>5</v>
      </c>
      <c r="Q165" s="90">
        <v>1</v>
      </c>
      <c r="R165" s="11">
        <v>4</v>
      </c>
      <c r="S165" s="12"/>
      <c r="T165" s="12"/>
      <c r="U165" s="84">
        <f t="shared" ref="U165:U198" si="251">SUM(Q165:T165)</f>
        <v>5</v>
      </c>
      <c r="V165" s="90">
        <v>1</v>
      </c>
      <c r="W165" s="11">
        <f>2+4</f>
        <v>6</v>
      </c>
      <c r="X165" s="12">
        <v>1</v>
      </c>
      <c r="Y165" s="12">
        <v>1</v>
      </c>
      <c r="Z165" s="84">
        <f t="shared" ref="Z165:Z198" si="252">SUM(V165:Y165)</f>
        <v>9</v>
      </c>
      <c r="AA165" s="105">
        <f t="shared" ref="AA165:AA198" si="253">Z165+U165+P165+K165+F165</f>
        <v>27</v>
      </c>
      <c r="AB165" s="115">
        <v>45400</v>
      </c>
      <c r="AC165" s="117" t="s">
        <v>7</v>
      </c>
      <c r="AD165" s="90"/>
      <c r="AE165" s="11"/>
      <c r="AF165" s="12"/>
      <c r="AG165" s="12"/>
      <c r="AH165" s="84">
        <f t="shared" ref="AH165:AH198" si="254">SUM(AD165:AG165)</f>
        <v>0</v>
      </c>
      <c r="AI165" s="90"/>
      <c r="AJ165" s="11"/>
      <c r="AK165" s="12"/>
      <c r="AL165" s="12"/>
      <c r="AM165" s="84">
        <f t="shared" ref="AM165:AM198" si="255">SUM(AI165:AL165)</f>
        <v>0</v>
      </c>
      <c r="AN165" s="90"/>
      <c r="AO165" s="11"/>
      <c r="AP165" s="12"/>
      <c r="AQ165" s="12"/>
      <c r="AR165" s="84">
        <f t="shared" ref="AR165:AR198" si="256">SUM(AN165:AQ165)</f>
        <v>0</v>
      </c>
      <c r="AS165" s="90"/>
      <c r="AT165" s="11"/>
      <c r="AU165" s="12"/>
      <c r="AV165" s="12"/>
      <c r="AW165" s="84">
        <f t="shared" ref="AW165:AW198" si="257">SUM(AS165:AV165)</f>
        <v>0</v>
      </c>
      <c r="AX165" s="90"/>
      <c r="AY165" s="11"/>
      <c r="AZ165" s="12"/>
      <c r="BA165" s="12"/>
      <c r="BB165" s="84">
        <f t="shared" ref="BB165:BB198" si="258">SUM(AX165:BA165)</f>
        <v>0</v>
      </c>
      <c r="BC165" s="105">
        <f t="shared" ref="BC165:BC198" si="259">BB165+AW165+AR165+AM165+AH165</f>
        <v>0</v>
      </c>
      <c r="BE165" s="277" t="s">
        <v>204</v>
      </c>
      <c r="BF165" s="279" t="s">
        <v>184</v>
      </c>
      <c r="BG165" s="281" t="s">
        <v>185</v>
      </c>
      <c r="BH165" s="281" t="s">
        <v>186</v>
      </c>
      <c r="BI165" s="283" t="s">
        <v>20</v>
      </c>
      <c r="BJ165" s="274" t="s">
        <v>205</v>
      </c>
    </row>
    <row r="166" spans="1:63" ht="14.25" thickBot="1" x14ac:dyDescent="0.2">
      <c r="A166" s="9" t="s">
        <v>171</v>
      </c>
      <c r="B166" s="10"/>
      <c r="C166" s="11"/>
      <c r="D166" s="12"/>
      <c r="E166" s="12"/>
      <c r="F166" s="85">
        <f t="shared" si="248"/>
        <v>0</v>
      </c>
      <c r="G166" s="90"/>
      <c r="H166" s="11"/>
      <c r="I166" s="12"/>
      <c r="J166" s="12"/>
      <c r="K166" s="85">
        <f t="shared" si="249"/>
        <v>0</v>
      </c>
      <c r="L166" s="90"/>
      <c r="M166" s="11">
        <v>1</v>
      </c>
      <c r="N166" s="12"/>
      <c r="O166" s="12"/>
      <c r="P166" s="85">
        <f t="shared" si="250"/>
        <v>1</v>
      </c>
      <c r="Q166" s="90"/>
      <c r="R166" s="11">
        <v>1</v>
      </c>
      <c r="S166" s="12"/>
      <c r="T166" s="12"/>
      <c r="U166" s="85">
        <f t="shared" si="251"/>
        <v>1</v>
      </c>
      <c r="V166" s="90"/>
      <c r="W166" s="11">
        <v>1</v>
      </c>
      <c r="X166" s="12"/>
      <c r="Y166" s="12"/>
      <c r="Z166" s="85">
        <f t="shared" si="252"/>
        <v>1</v>
      </c>
      <c r="AA166" s="105">
        <f t="shared" si="253"/>
        <v>3</v>
      </c>
      <c r="AB166" s="115">
        <v>45426</v>
      </c>
      <c r="AC166" s="117" t="s">
        <v>8</v>
      </c>
      <c r="AD166" s="90"/>
      <c r="AE166" s="11"/>
      <c r="AF166" s="12"/>
      <c r="AG166" s="12"/>
      <c r="AH166" s="84">
        <f t="shared" ref="AH166:AH168" si="260">SUM(AD166:AG166)</f>
        <v>0</v>
      </c>
      <c r="AI166" s="90"/>
      <c r="AJ166" s="11"/>
      <c r="AK166" s="12"/>
      <c r="AL166" s="12"/>
      <c r="AM166" s="84">
        <f t="shared" ref="AM166:AM168" si="261">SUM(AI166:AL166)</f>
        <v>0</v>
      </c>
      <c r="AN166" s="90"/>
      <c r="AO166" s="11"/>
      <c r="AP166" s="12"/>
      <c r="AQ166" s="12"/>
      <c r="AR166" s="84">
        <f t="shared" ref="AR166:AR168" si="262">SUM(AN166:AQ166)</f>
        <v>0</v>
      </c>
      <c r="AS166" s="90">
        <f>550+225</f>
        <v>775</v>
      </c>
      <c r="AT166" s="11">
        <f>650+250+337</f>
        <v>1237</v>
      </c>
      <c r="AU166" s="12">
        <f>300+100+5</f>
        <v>405</v>
      </c>
      <c r="AV166" s="12">
        <f>100+367</f>
        <v>467</v>
      </c>
      <c r="AW166" s="84">
        <f t="shared" ref="AW166:AW168" si="263">SUM(AS166:AV166)</f>
        <v>2884</v>
      </c>
      <c r="AX166" s="90"/>
      <c r="AY166" s="11"/>
      <c r="AZ166" s="12"/>
      <c r="BA166" s="12"/>
      <c r="BB166" s="84">
        <f t="shared" ref="BB166:BB168" si="264">SUM(AX166:BA166)</f>
        <v>0</v>
      </c>
      <c r="BC166" s="105">
        <f t="shared" ref="BC166:BC168" si="265">BB166+AW166+AR166+AM166+AH166</f>
        <v>2884</v>
      </c>
      <c r="BD166" s="114" t="s">
        <v>201</v>
      </c>
      <c r="BE166" s="278"/>
      <c r="BF166" s="280"/>
      <c r="BG166" s="282"/>
      <c r="BH166" s="282"/>
      <c r="BI166" s="284"/>
      <c r="BJ166" s="275"/>
    </row>
    <row r="167" spans="1:63" x14ac:dyDescent="0.15">
      <c r="A167" s="54" t="s">
        <v>258</v>
      </c>
      <c r="B167" s="15"/>
      <c r="C167" s="16"/>
      <c r="D167" s="17"/>
      <c r="E167" s="17"/>
      <c r="F167" s="85">
        <f t="shared" si="248"/>
        <v>0</v>
      </c>
      <c r="G167" s="15"/>
      <c r="H167" s="16"/>
      <c r="I167" s="17"/>
      <c r="J167" s="17"/>
      <c r="K167" s="85">
        <f t="shared" si="249"/>
        <v>0</v>
      </c>
      <c r="L167" s="15"/>
      <c r="M167" s="16"/>
      <c r="N167" s="17"/>
      <c r="O167" s="17"/>
      <c r="P167" s="85">
        <f t="shared" si="250"/>
        <v>0</v>
      </c>
      <c r="Q167" s="15"/>
      <c r="R167" s="16"/>
      <c r="S167" s="17"/>
      <c r="T167" s="17"/>
      <c r="U167" s="85">
        <f t="shared" si="251"/>
        <v>0</v>
      </c>
      <c r="V167" s="15"/>
      <c r="W167" s="16"/>
      <c r="X167" s="17">
        <v>1</v>
      </c>
      <c r="Y167" s="17"/>
      <c r="Z167" s="85">
        <f t="shared" si="252"/>
        <v>1</v>
      </c>
      <c r="AA167" s="105">
        <f t="shared" si="253"/>
        <v>1</v>
      </c>
      <c r="AB167" s="115">
        <v>45444</v>
      </c>
      <c r="AC167" s="117" t="s">
        <v>9</v>
      </c>
      <c r="AD167" s="90"/>
      <c r="AE167" s="11"/>
      <c r="AF167" s="12"/>
      <c r="AG167" s="12"/>
      <c r="AH167" s="84">
        <f t="shared" si="260"/>
        <v>0</v>
      </c>
      <c r="AI167" s="90"/>
      <c r="AJ167" s="11"/>
      <c r="AK167" s="12"/>
      <c r="AL167" s="12"/>
      <c r="AM167" s="84">
        <f t="shared" si="261"/>
        <v>0</v>
      </c>
      <c r="AN167" s="90"/>
      <c r="AO167" s="11"/>
      <c r="AP167" s="12"/>
      <c r="AQ167" s="12"/>
      <c r="AR167" s="84">
        <f t="shared" si="262"/>
        <v>0</v>
      </c>
      <c r="AS167" s="185"/>
      <c r="AT167" s="186"/>
      <c r="AU167" s="148"/>
      <c r="AV167" s="148"/>
      <c r="AW167" s="84">
        <f t="shared" si="263"/>
        <v>0</v>
      </c>
      <c r="AX167" s="90"/>
      <c r="AY167" s="11"/>
      <c r="AZ167" s="12"/>
      <c r="BA167" s="12"/>
      <c r="BB167" s="84">
        <f t="shared" si="264"/>
        <v>0</v>
      </c>
      <c r="BC167" s="105">
        <f t="shared" si="265"/>
        <v>0</v>
      </c>
      <c r="BE167" s="202" t="s">
        <v>23</v>
      </c>
      <c r="BF167" s="203">
        <v>2</v>
      </c>
      <c r="BG167" s="204">
        <v>269</v>
      </c>
      <c r="BH167" s="204">
        <v>-47</v>
      </c>
      <c r="BI167" s="205">
        <v>206</v>
      </c>
      <c r="BJ167" s="206">
        <f>SUM(BF167:BI167)</f>
        <v>430</v>
      </c>
    </row>
    <row r="168" spans="1:63" x14ac:dyDescent="0.15">
      <c r="A168" s="9" t="s">
        <v>10</v>
      </c>
      <c r="B168" s="15">
        <v>5</v>
      </c>
      <c r="C168" s="16">
        <v>5</v>
      </c>
      <c r="D168" s="17"/>
      <c r="E168" s="17"/>
      <c r="F168" s="85">
        <f t="shared" si="248"/>
        <v>10</v>
      </c>
      <c r="G168" s="91">
        <v>5</v>
      </c>
      <c r="H168" s="16">
        <v>5</v>
      </c>
      <c r="I168" s="17"/>
      <c r="J168" s="17"/>
      <c r="K168" s="85">
        <f t="shared" si="249"/>
        <v>10</v>
      </c>
      <c r="L168" s="91"/>
      <c r="M168" s="16">
        <v>5</v>
      </c>
      <c r="N168" s="17">
        <v>5</v>
      </c>
      <c r="O168" s="17"/>
      <c r="P168" s="85">
        <f t="shared" si="250"/>
        <v>10</v>
      </c>
      <c r="Q168" s="91"/>
      <c r="R168" s="16">
        <v>5</v>
      </c>
      <c r="S168" s="17"/>
      <c r="T168" s="17"/>
      <c r="U168" s="85">
        <f t="shared" si="251"/>
        <v>5</v>
      </c>
      <c r="V168" s="91"/>
      <c r="W168" s="16"/>
      <c r="X168" s="17">
        <v>5</v>
      </c>
      <c r="Y168" s="17"/>
      <c r="Z168" s="85">
        <f t="shared" si="252"/>
        <v>5</v>
      </c>
      <c r="AA168" s="105">
        <f t="shared" si="253"/>
        <v>40</v>
      </c>
      <c r="AB168" s="114">
        <v>45448</v>
      </c>
      <c r="AC168" s="117" t="s">
        <v>10</v>
      </c>
      <c r="AD168" s="90">
        <v>806</v>
      </c>
      <c r="AE168" s="11">
        <v>1119</v>
      </c>
      <c r="AF168" s="12">
        <v>303</v>
      </c>
      <c r="AG168" s="12">
        <v>206</v>
      </c>
      <c r="AH168" s="84">
        <f t="shared" si="260"/>
        <v>2434</v>
      </c>
      <c r="AI168" s="90">
        <v>813</v>
      </c>
      <c r="AJ168" s="11">
        <v>1115</v>
      </c>
      <c r="AK168" s="12">
        <v>317</v>
      </c>
      <c r="AL168" s="12">
        <v>208</v>
      </c>
      <c r="AM168" s="84">
        <f t="shared" si="261"/>
        <v>2453</v>
      </c>
      <c r="AN168" s="90">
        <v>493</v>
      </c>
      <c r="AO168" s="11">
        <v>650</v>
      </c>
      <c r="AP168" s="12">
        <v>399</v>
      </c>
      <c r="AQ168" s="12">
        <v>403</v>
      </c>
      <c r="AR168" s="84">
        <f t="shared" si="262"/>
        <v>1945</v>
      </c>
      <c r="AS168" s="185"/>
      <c r="AT168" s="186"/>
      <c r="AU168" s="148"/>
      <c r="AV168" s="148"/>
      <c r="AW168" s="84">
        <f t="shared" si="263"/>
        <v>0</v>
      </c>
      <c r="AX168" s="90"/>
      <c r="AY168" s="11"/>
      <c r="AZ168" s="12"/>
      <c r="BA168" s="12"/>
      <c r="BB168" s="84">
        <f t="shared" si="264"/>
        <v>0</v>
      </c>
      <c r="BC168" s="105">
        <f t="shared" si="265"/>
        <v>6832</v>
      </c>
      <c r="BD168" s="114" t="s">
        <v>255</v>
      </c>
      <c r="BE168" s="207" t="s">
        <v>24</v>
      </c>
      <c r="BF168" s="208">
        <v>7</v>
      </c>
      <c r="BG168" s="209">
        <v>264</v>
      </c>
      <c r="BH168" s="209">
        <v>-33</v>
      </c>
      <c r="BI168" s="210">
        <v>208</v>
      </c>
      <c r="BJ168" s="206">
        <f>SUM(BF168:BI168)</f>
        <v>446</v>
      </c>
    </row>
    <row r="169" spans="1:63" ht="14.25" thickBot="1" x14ac:dyDescent="0.2">
      <c r="A169" s="9" t="s">
        <v>171</v>
      </c>
      <c r="B169" s="15">
        <v>1</v>
      </c>
      <c r="C169" s="16">
        <v>2</v>
      </c>
      <c r="D169" s="17"/>
      <c r="E169" s="17"/>
      <c r="F169" s="92">
        <f t="shared" si="248"/>
        <v>3</v>
      </c>
      <c r="G169" s="91">
        <v>1</v>
      </c>
      <c r="H169" s="16">
        <v>2</v>
      </c>
      <c r="I169" s="17"/>
      <c r="J169" s="17"/>
      <c r="K169" s="92">
        <f t="shared" si="249"/>
        <v>3</v>
      </c>
      <c r="L169" s="91"/>
      <c r="M169" s="16">
        <v>1</v>
      </c>
      <c r="N169" s="17">
        <v>2</v>
      </c>
      <c r="O169" s="17"/>
      <c r="P169" s="92">
        <f t="shared" si="250"/>
        <v>3</v>
      </c>
      <c r="Q169" s="91"/>
      <c r="R169" s="16">
        <v>1</v>
      </c>
      <c r="S169" s="17">
        <v>2</v>
      </c>
      <c r="T169" s="17"/>
      <c r="U169" s="92">
        <f t="shared" si="251"/>
        <v>3</v>
      </c>
      <c r="V169" s="91">
        <v>1</v>
      </c>
      <c r="W169" s="16">
        <v>3</v>
      </c>
      <c r="X169" s="17">
        <v>2</v>
      </c>
      <c r="Y169" s="17"/>
      <c r="Z169" s="92">
        <f t="shared" si="252"/>
        <v>6</v>
      </c>
      <c r="AA169" s="110">
        <f t="shared" si="253"/>
        <v>18</v>
      </c>
      <c r="AB169" s="115">
        <v>45455</v>
      </c>
      <c r="AC169" s="132" t="s">
        <v>11</v>
      </c>
      <c r="AD169" s="91"/>
      <c r="AE169" s="16"/>
      <c r="AF169" s="17"/>
      <c r="AG169" s="17"/>
      <c r="AH169" s="92">
        <f t="shared" si="254"/>
        <v>0</v>
      </c>
      <c r="AI169" s="91"/>
      <c r="AJ169" s="16"/>
      <c r="AK169" s="17"/>
      <c r="AL169" s="17"/>
      <c r="AM169" s="92">
        <f t="shared" si="255"/>
        <v>0</v>
      </c>
      <c r="AN169" s="91"/>
      <c r="AO169" s="16"/>
      <c r="AP169" s="17"/>
      <c r="AQ169" s="17"/>
      <c r="AR169" s="92">
        <f t="shared" si="256"/>
        <v>0</v>
      </c>
      <c r="AS169" s="91"/>
      <c r="AT169" s="16"/>
      <c r="AU169" s="17"/>
      <c r="AV169" s="17"/>
      <c r="AW169" s="92">
        <f t="shared" si="257"/>
        <v>0</v>
      </c>
      <c r="AX169" s="91"/>
      <c r="AY169" s="16"/>
      <c r="AZ169" s="17"/>
      <c r="BA169" s="17"/>
      <c r="BB169" s="92">
        <f t="shared" si="258"/>
        <v>0</v>
      </c>
      <c r="BC169" s="110">
        <f t="shared" si="259"/>
        <v>0</v>
      </c>
      <c r="BD169" s="76" t="s">
        <v>277</v>
      </c>
      <c r="BE169" s="211" t="s">
        <v>25</v>
      </c>
      <c r="BF169" s="212">
        <v>139</v>
      </c>
      <c r="BG169" s="213">
        <v>301</v>
      </c>
      <c r="BH169" s="213">
        <v>149</v>
      </c>
      <c r="BI169" s="214">
        <v>203</v>
      </c>
      <c r="BJ169" s="215">
        <f>SUM(BF169:BI169)</f>
        <v>792</v>
      </c>
    </row>
    <row r="170" spans="1:63" ht="14.25" thickBot="1" x14ac:dyDescent="0.2">
      <c r="A170" s="21" t="s">
        <v>16</v>
      </c>
      <c r="B170" s="7">
        <f>SUM(B164:B169)</f>
        <v>16</v>
      </c>
      <c r="C170" s="8">
        <f t="shared" ref="C170:E170" si="266">SUM(C164:C169)</f>
        <v>14</v>
      </c>
      <c r="D170" s="22">
        <f t="shared" si="266"/>
        <v>7</v>
      </c>
      <c r="E170" s="22">
        <f t="shared" si="266"/>
        <v>11</v>
      </c>
      <c r="F170" s="87">
        <f t="shared" si="248"/>
        <v>48</v>
      </c>
      <c r="G170" s="7">
        <f>SUM(G164:G169)</f>
        <v>14</v>
      </c>
      <c r="H170" s="8">
        <f t="shared" ref="H170:J170" si="267">SUM(H164:H169)</f>
        <v>15</v>
      </c>
      <c r="I170" s="22">
        <f t="shared" si="267"/>
        <v>7</v>
      </c>
      <c r="J170" s="22">
        <f t="shared" si="267"/>
        <v>12</v>
      </c>
      <c r="K170" s="87">
        <f t="shared" si="249"/>
        <v>48</v>
      </c>
      <c r="L170" s="7">
        <f>SUM(L164:L169)</f>
        <v>12</v>
      </c>
      <c r="M170" s="8">
        <f t="shared" ref="M170:O170" si="268">SUM(M164:M169)</f>
        <v>14</v>
      </c>
      <c r="N170" s="22">
        <f t="shared" si="268"/>
        <v>15</v>
      </c>
      <c r="O170" s="22">
        <f t="shared" si="268"/>
        <v>10</v>
      </c>
      <c r="P170" s="87">
        <f t="shared" si="250"/>
        <v>51</v>
      </c>
      <c r="Q170" s="7">
        <f>SUM(Q164:Q169)</f>
        <v>14</v>
      </c>
      <c r="R170" s="8">
        <f t="shared" ref="R170:T170" si="269">SUM(R164:R169)</f>
        <v>16</v>
      </c>
      <c r="S170" s="22">
        <f t="shared" si="269"/>
        <v>12</v>
      </c>
      <c r="T170" s="22">
        <f t="shared" si="269"/>
        <v>8</v>
      </c>
      <c r="U170" s="87">
        <f t="shared" si="251"/>
        <v>50</v>
      </c>
      <c r="V170" s="7">
        <f>SUM(V164:V169)</f>
        <v>12</v>
      </c>
      <c r="W170" s="8">
        <f t="shared" ref="W170:Y170" si="270">SUM(W164:W169)</f>
        <v>17</v>
      </c>
      <c r="X170" s="22">
        <f t="shared" si="270"/>
        <v>15</v>
      </c>
      <c r="Y170" s="22">
        <f t="shared" si="270"/>
        <v>13</v>
      </c>
      <c r="Z170" s="87">
        <f t="shared" si="252"/>
        <v>57</v>
      </c>
      <c r="AA170" s="107">
        <f t="shared" si="253"/>
        <v>254</v>
      </c>
      <c r="AC170" s="21" t="s">
        <v>16</v>
      </c>
      <c r="AD170" s="7">
        <f>SUM(AD164:AD169)</f>
        <v>883</v>
      </c>
      <c r="AE170" s="8">
        <f t="shared" ref="AE170:AG170" si="271">SUM(AE164:AE169)</f>
        <v>1268</v>
      </c>
      <c r="AF170" s="22">
        <f t="shared" si="271"/>
        <v>497</v>
      </c>
      <c r="AG170" s="22">
        <f t="shared" si="271"/>
        <v>474</v>
      </c>
      <c r="AH170" s="87">
        <f t="shared" si="254"/>
        <v>3122</v>
      </c>
      <c r="AI170" s="7">
        <f>SUM(AI164:AI169)</f>
        <v>881</v>
      </c>
      <c r="AJ170" s="8">
        <f t="shared" ref="AJ170:AL170" si="272">SUM(AJ164:AJ169)</f>
        <v>1282</v>
      </c>
      <c r="AK170" s="22">
        <f t="shared" si="272"/>
        <v>508</v>
      </c>
      <c r="AL170" s="22">
        <f t="shared" si="272"/>
        <v>488</v>
      </c>
      <c r="AM170" s="87">
        <f t="shared" si="255"/>
        <v>3159</v>
      </c>
      <c r="AN170" s="7">
        <f>SUM(AN164:AN169)</f>
        <v>579</v>
      </c>
      <c r="AO170" s="8">
        <f t="shared" ref="AO170:AQ170" si="273">SUM(AO164:AO169)</f>
        <v>931</v>
      </c>
      <c r="AP170" s="22">
        <f t="shared" si="273"/>
        <v>438</v>
      </c>
      <c r="AQ170" s="22">
        <f t="shared" si="273"/>
        <v>466</v>
      </c>
      <c r="AR170" s="87">
        <f t="shared" si="256"/>
        <v>2414</v>
      </c>
      <c r="AS170" s="7">
        <f>SUM(AS164:AS169)</f>
        <v>953</v>
      </c>
      <c r="AT170" s="8">
        <f t="shared" ref="AT170:AV170" si="274">SUM(AT164:AT169)</f>
        <v>1455</v>
      </c>
      <c r="AU170" s="22">
        <f t="shared" si="274"/>
        <v>646</v>
      </c>
      <c r="AV170" s="22">
        <f t="shared" si="274"/>
        <v>631</v>
      </c>
      <c r="AW170" s="87">
        <f t="shared" si="257"/>
        <v>3685</v>
      </c>
      <c r="AX170" s="7">
        <f>SUM(AX164:AX169)</f>
        <v>1514</v>
      </c>
      <c r="AY170" s="8">
        <f t="shared" ref="AY170:BA170" si="275">SUM(AY164:AY169)</f>
        <v>1558</v>
      </c>
      <c r="AZ170" s="22">
        <f t="shared" si="275"/>
        <v>851</v>
      </c>
      <c r="BA170" s="22">
        <f t="shared" si="275"/>
        <v>281</v>
      </c>
      <c r="BB170" s="87">
        <f t="shared" si="258"/>
        <v>4204</v>
      </c>
      <c r="BC170" s="107">
        <f t="shared" si="259"/>
        <v>16584</v>
      </c>
      <c r="BD170" s="116"/>
      <c r="BE170" s="216" t="s">
        <v>205</v>
      </c>
      <c r="BF170" s="217">
        <f>SUM(BF167:BF169)</f>
        <v>148</v>
      </c>
      <c r="BG170" s="217">
        <f>SUM(BG167:BG169)</f>
        <v>834</v>
      </c>
      <c r="BH170" s="217">
        <f>SUM(BH167:BH169)</f>
        <v>69</v>
      </c>
      <c r="BI170" s="218">
        <f>SUM(BI167:BI169)</f>
        <v>617</v>
      </c>
      <c r="BJ170" s="219">
        <f>SUM(BF170:BI170)</f>
        <v>1668</v>
      </c>
      <c r="BK170" s="188"/>
    </row>
    <row r="171" spans="1:63" x14ac:dyDescent="0.15">
      <c r="A171" s="23" t="s">
        <v>124</v>
      </c>
      <c r="B171" s="39"/>
      <c r="C171" s="13"/>
      <c r="D171" s="14"/>
      <c r="E171" s="14"/>
      <c r="F171" s="83">
        <f t="shared" si="248"/>
        <v>0</v>
      </c>
      <c r="G171" s="39"/>
      <c r="H171" s="13"/>
      <c r="I171" s="14"/>
      <c r="J171" s="14"/>
      <c r="K171" s="83">
        <f t="shared" si="249"/>
        <v>0</v>
      </c>
      <c r="L171" s="39"/>
      <c r="M171" s="13">
        <v>1</v>
      </c>
      <c r="N171" s="14">
        <v>1</v>
      </c>
      <c r="O171" s="14"/>
      <c r="P171" s="83">
        <f t="shared" si="250"/>
        <v>2</v>
      </c>
      <c r="Q171" s="39"/>
      <c r="R171" s="13">
        <v>1</v>
      </c>
      <c r="S171" s="14">
        <v>1</v>
      </c>
      <c r="T171" s="14"/>
      <c r="U171" s="83">
        <f t="shared" si="251"/>
        <v>2</v>
      </c>
      <c r="V171" s="39"/>
      <c r="W171" s="13">
        <v>1</v>
      </c>
      <c r="X171" s="14">
        <v>2</v>
      </c>
      <c r="Y171" s="14"/>
      <c r="Z171" s="83">
        <f t="shared" si="252"/>
        <v>3</v>
      </c>
      <c r="AA171" s="108">
        <f t="shared" si="253"/>
        <v>7</v>
      </c>
      <c r="AB171" s="115">
        <v>45422</v>
      </c>
      <c r="AC171" s="102" t="s">
        <v>270</v>
      </c>
      <c r="AD171" s="15">
        <v>250</v>
      </c>
      <c r="AE171" s="16">
        <v>260</v>
      </c>
      <c r="AF171" s="16">
        <v>150</v>
      </c>
      <c r="AG171" s="179"/>
      <c r="AH171" s="85">
        <f t="shared" ref="AH171:AH174" si="276">SUM(AD171:AG171)</f>
        <v>660</v>
      </c>
      <c r="AI171" s="15">
        <v>250</v>
      </c>
      <c r="AJ171" s="16">
        <v>260</v>
      </c>
      <c r="AK171" s="16">
        <v>150</v>
      </c>
      <c r="AL171" s="179"/>
      <c r="AM171" s="85">
        <f t="shared" ref="AM171:AM174" si="277">SUM(AI171:AL171)</f>
        <v>660</v>
      </c>
      <c r="AN171" s="15">
        <v>250</v>
      </c>
      <c r="AO171" s="16">
        <v>260</v>
      </c>
      <c r="AP171" s="16">
        <v>150</v>
      </c>
      <c r="AQ171" s="179"/>
      <c r="AR171" s="85">
        <f t="shared" ref="AR171:AR174" si="278">SUM(AN171:AQ171)</f>
        <v>660</v>
      </c>
      <c r="AS171" s="15">
        <v>250</v>
      </c>
      <c r="AT171" s="16">
        <v>260</v>
      </c>
      <c r="AU171" s="16">
        <v>150</v>
      </c>
      <c r="AV171" s="179"/>
      <c r="AW171" s="85">
        <f t="shared" ref="AW171:AW174" si="279">SUM(AS171:AV171)</f>
        <v>660</v>
      </c>
      <c r="AX171" s="15">
        <v>250</v>
      </c>
      <c r="AY171" s="16">
        <v>260</v>
      </c>
      <c r="AZ171" s="16">
        <v>150</v>
      </c>
      <c r="BA171" s="179"/>
      <c r="BB171" s="85">
        <f t="shared" si="258"/>
        <v>660</v>
      </c>
      <c r="BC171" s="105">
        <f t="shared" si="259"/>
        <v>3300</v>
      </c>
      <c r="BD171" s="114">
        <v>45454</v>
      </c>
      <c r="BE171" s="76"/>
      <c r="BF171" s="25"/>
      <c r="BG171" s="25"/>
      <c r="BH171" s="25"/>
      <c r="BI171" s="25"/>
      <c r="BJ171" s="25"/>
    </row>
    <row r="172" spans="1:63" x14ac:dyDescent="0.15">
      <c r="A172" s="23" t="s">
        <v>234</v>
      </c>
      <c r="B172" s="15">
        <v>2</v>
      </c>
      <c r="C172" s="16"/>
      <c r="D172" s="17">
        <v>-1</v>
      </c>
      <c r="E172" s="17">
        <v>-1</v>
      </c>
      <c r="F172" s="85">
        <f t="shared" si="248"/>
        <v>0</v>
      </c>
      <c r="G172" s="15">
        <v>2</v>
      </c>
      <c r="H172" s="16"/>
      <c r="I172" s="17">
        <v>-1</v>
      </c>
      <c r="J172" s="17">
        <v>-1</v>
      </c>
      <c r="K172" s="85">
        <f t="shared" si="249"/>
        <v>0</v>
      </c>
      <c r="L172" s="15">
        <v>2</v>
      </c>
      <c r="M172" s="16"/>
      <c r="N172" s="17">
        <v>-1</v>
      </c>
      <c r="O172" s="17">
        <v>-1</v>
      </c>
      <c r="P172" s="85">
        <f t="shared" si="250"/>
        <v>0</v>
      </c>
      <c r="Q172" s="15">
        <v>2</v>
      </c>
      <c r="R172" s="16"/>
      <c r="S172" s="17">
        <v>-1</v>
      </c>
      <c r="T172" s="17">
        <v>-1</v>
      </c>
      <c r="U172" s="85">
        <f t="shared" si="251"/>
        <v>0</v>
      </c>
      <c r="V172" s="15">
        <v>2</v>
      </c>
      <c r="W172" s="16"/>
      <c r="X172" s="17">
        <v>-1</v>
      </c>
      <c r="Y172" s="17">
        <v>-1</v>
      </c>
      <c r="Z172" s="85">
        <f t="shared" si="252"/>
        <v>0</v>
      </c>
      <c r="AA172" s="105">
        <f t="shared" si="253"/>
        <v>0</v>
      </c>
      <c r="AB172" s="115">
        <v>45422</v>
      </c>
      <c r="AC172" s="102" t="s">
        <v>269</v>
      </c>
      <c r="AD172" s="10">
        <v>400</v>
      </c>
      <c r="AE172" s="11">
        <v>410</v>
      </c>
      <c r="AF172" s="12">
        <v>250</v>
      </c>
      <c r="AG172" s="133"/>
      <c r="AH172" s="84">
        <f t="shared" si="276"/>
        <v>1060</v>
      </c>
      <c r="AI172" s="10">
        <v>400</v>
      </c>
      <c r="AJ172" s="11">
        <v>410</v>
      </c>
      <c r="AK172" s="12">
        <v>250</v>
      </c>
      <c r="AL172" s="133"/>
      <c r="AM172" s="84">
        <f t="shared" si="277"/>
        <v>1060</v>
      </c>
      <c r="AN172" s="10"/>
      <c r="AO172" s="11"/>
      <c r="AP172" s="12"/>
      <c r="AQ172" s="133"/>
      <c r="AR172" s="84">
        <f t="shared" si="278"/>
        <v>0</v>
      </c>
      <c r="AS172" s="10">
        <v>400</v>
      </c>
      <c r="AT172" s="11">
        <v>410</v>
      </c>
      <c r="AU172" s="12">
        <v>250</v>
      </c>
      <c r="AV172" s="133"/>
      <c r="AW172" s="84">
        <f t="shared" si="279"/>
        <v>1060</v>
      </c>
      <c r="AX172" s="10"/>
      <c r="AY172" s="11"/>
      <c r="AZ172" s="12"/>
      <c r="BA172" s="133"/>
      <c r="BB172" s="85">
        <f t="shared" si="258"/>
        <v>0</v>
      </c>
      <c r="BC172" s="105">
        <f t="shared" si="259"/>
        <v>3180</v>
      </c>
      <c r="BD172" s="114">
        <v>45454</v>
      </c>
      <c r="BE172" s="76"/>
      <c r="BF172" s="147" t="s">
        <v>375</v>
      </c>
      <c r="BG172" s="25"/>
      <c r="BH172" s="25"/>
      <c r="BI172" s="25"/>
      <c r="BJ172" s="25"/>
    </row>
    <row r="173" spans="1:63" x14ac:dyDescent="0.15">
      <c r="A173" s="23" t="s">
        <v>124</v>
      </c>
      <c r="B173" s="15"/>
      <c r="C173" s="16">
        <v>2</v>
      </c>
      <c r="D173" s="17"/>
      <c r="E173" s="17"/>
      <c r="F173" s="85">
        <f t="shared" si="248"/>
        <v>2</v>
      </c>
      <c r="G173" s="15"/>
      <c r="H173" s="16">
        <v>1</v>
      </c>
      <c r="I173" s="17"/>
      <c r="J173" s="17"/>
      <c r="K173" s="85">
        <f t="shared" si="249"/>
        <v>1</v>
      </c>
      <c r="L173" s="15"/>
      <c r="M173" s="16">
        <v>1</v>
      </c>
      <c r="N173" s="17"/>
      <c r="O173" s="17"/>
      <c r="P173" s="85">
        <f t="shared" si="250"/>
        <v>1</v>
      </c>
      <c r="Q173" s="15"/>
      <c r="R173" s="16">
        <v>2</v>
      </c>
      <c r="S173" s="17"/>
      <c r="T173" s="17"/>
      <c r="U173" s="85">
        <f t="shared" si="251"/>
        <v>2</v>
      </c>
      <c r="V173" s="15"/>
      <c r="W173" s="16">
        <v>1</v>
      </c>
      <c r="X173" s="17"/>
      <c r="Y173" s="17"/>
      <c r="Z173" s="85">
        <f t="shared" si="252"/>
        <v>1</v>
      </c>
      <c r="AA173" s="105">
        <f t="shared" si="253"/>
        <v>7</v>
      </c>
      <c r="AB173" s="115">
        <v>45428</v>
      </c>
      <c r="AC173" s="54" t="s">
        <v>259</v>
      </c>
      <c r="AD173" s="15"/>
      <c r="AE173" s="16"/>
      <c r="AF173" s="17"/>
      <c r="AG173" s="17"/>
      <c r="AH173" s="85">
        <f t="shared" si="276"/>
        <v>0</v>
      </c>
      <c r="AI173" s="15"/>
      <c r="AJ173" s="16"/>
      <c r="AK173" s="17"/>
      <c r="AL173" s="17"/>
      <c r="AM173" s="85">
        <f t="shared" si="277"/>
        <v>0</v>
      </c>
      <c r="AN173" s="15"/>
      <c r="AO173" s="16"/>
      <c r="AP173" s="17"/>
      <c r="AQ173" s="17"/>
      <c r="AR173" s="85">
        <f t="shared" si="278"/>
        <v>0</v>
      </c>
      <c r="AS173" s="15">
        <v>2</v>
      </c>
      <c r="AT173" s="16"/>
      <c r="AU173" s="17"/>
      <c r="AV173" s="17"/>
      <c r="AW173" s="85">
        <f t="shared" si="279"/>
        <v>2</v>
      </c>
      <c r="AX173" s="15"/>
      <c r="AY173" s="16"/>
      <c r="AZ173" s="17"/>
      <c r="BA173" s="17"/>
      <c r="BB173" s="85">
        <f t="shared" si="258"/>
        <v>0</v>
      </c>
      <c r="BC173" s="105">
        <f t="shared" si="259"/>
        <v>2</v>
      </c>
      <c r="BD173" s="114">
        <v>45450</v>
      </c>
      <c r="BE173" s="76"/>
      <c r="BF173" s="147" t="s">
        <v>374</v>
      </c>
      <c r="BG173" s="25"/>
      <c r="BH173" s="25"/>
      <c r="BI173" s="25"/>
      <c r="BJ173" s="25"/>
    </row>
    <row r="174" spans="1:63" x14ac:dyDescent="0.15">
      <c r="A174" s="23" t="s">
        <v>124</v>
      </c>
      <c r="B174" s="15"/>
      <c r="C174" s="16">
        <v>1</v>
      </c>
      <c r="D174" s="17"/>
      <c r="E174" s="17"/>
      <c r="F174" s="85">
        <f t="shared" si="248"/>
        <v>1</v>
      </c>
      <c r="G174" s="15"/>
      <c r="H174" s="16">
        <v>1</v>
      </c>
      <c r="I174" s="17"/>
      <c r="J174" s="17"/>
      <c r="K174" s="85">
        <f t="shared" si="249"/>
        <v>1</v>
      </c>
      <c r="L174" s="15"/>
      <c r="M174" s="16"/>
      <c r="N174" s="17"/>
      <c r="O174" s="17"/>
      <c r="P174" s="85">
        <f t="shared" si="250"/>
        <v>0</v>
      </c>
      <c r="Q174" s="15"/>
      <c r="R174" s="16"/>
      <c r="S174" s="17"/>
      <c r="T174" s="17"/>
      <c r="U174" s="85">
        <f t="shared" si="251"/>
        <v>0</v>
      </c>
      <c r="V174" s="15"/>
      <c r="W174" s="16">
        <v>1</v>
      </c>
      <c r="X174" s="17"/>
      <c r="Y174" s="17"/>
      <c r="Z174" s="85">
        <f t="shared" si="252"/>
        <v>1</v>
      </c>
      <c r="AA174" s="105">
        <f t="shared" si="253"/>
        <v>3</v>
      </c>
      <c r="AB174" s="115">
        <v>45432</v>
      </c>
      <c r="AC174" s="23" t="s">
        <v>35</v>
      </c>
      <c r="AD174" s="15">
        <v>5</v>
      </c>
      <c r="AE174" s="16">
        <v>5</v>
      </c>
      <c r="AF174" s="17"/>
      <c r="AG174" s="17"/>
      <c r="AH174" s="85">
        <f t="shared" si="276"/>
        <v>10</v>
      </c>
      <c r="AI174" s="15">
        <v>5</v>
      </c>
      <c r="AJ174" s="16">
        <v>5</v>
      </c>
      <c r="AK174" s="17"/>
      <c r="AL174" s="17"/>
      <c r="AM174" s="85">
        <f t="shared" si="277"/>
        <v>10</v>
      </c>
      <c r="AN174" s="15"/>
      <c r="AO174" s="16">
        <v>5</v>
      </c>
      <c r="AP174" s="17">
        <v>5</v>
      </c>
      <c r="AQ174" s="17"/>
      <c r="AR174" s="85">
        <f t="shared" si="278"/>
        <v>10</v>
      </c>
      <c r="AS174" s="15"/>
      <c r="AT174" s="16">
        <v>5</v>
      </c>
      <c r="AU174" s="17"/>
      <c r="AV174" s="17"/>
      <c r="AW174" s="85">
        <f t="shared" si="279"/>
        <v>5</v>
      </c>
      <c r="AX174" s="15"/>
      <c r="AY174" s="16"/>
      <c r="AZ174" s="17">
        <v>5</v>
      </c>
      <c r="BA174" s="17"/>
      <c r="BB174" s="85">
        <f t="shared" si="258"/>
        <v>5</v>
      </c>
      <c r="BC174" s="105">
        <f t="shared" si="259"/>
        <v>40</v>
      </c>
      <c r="BD174" s="114">
        <v>45448</v>
      </c>
      <c r="BE174" s="76"/>
      <c r="BF174" s="147" t="s">
        <v>406</v>
      </c>
      <c r="BG174" s="25"/>
      <c r="BH174" s="25"/>
      <c r="BI174" s="25"/>
      <c r="BJ174" s="25"/>
    </row>
    <row r="175" spans="1:63" x14ac:dyDescent="0.15">
      <c r="A175" s="23" t="s">
        <v>124</v>
      </c>
      <c r="B175" s="15"/>
      <c r="C175" s="16"/>
      <c r="D175" s="17"/>
      <c r="E175" s="17"/>
      <c r="F175" s="85">
        <f t="shared" si="248"/>
        <v>0</v>
      </c>
      <c r="G175" s="15"/>
      <c r="H175" s="16"/>
      <c r="I175" s="17"/>
      <c r="J175" s="17"/>
      <c r="K175" s="85">
        <f t="shared" si="249"/>
        <v>0</v>
      </c>
      <c r="L175" s="15"/>
      <c r="M175" s="16"/>
      <c r="N175" s="17"/>
      <c r="O175" s="17"/>
      <c r="P175" s="85">
        <f t="shared" si="250"/>
        <v>0</v>
      </c>
      <c r="Q175" s="15"/>
      <c r="R175" s="16"/>
      <c r="S175" s="17"/>
      <c r="T175" s="17"/>
      <c r="U175" s="85">
        <f t="shared" si="251"/>
        <v>0</v>
      </c>
      <c r="V175" s="15"/>
      <c r="W175" s="16"/>
      <c r="X175" s="17">
        <v>2</v>
      </c>
      <c r="Y175" s="17"/>
      <c r="Z175" s="85">
        <f t="shared" si="252"/>
        <v>2</v>
      </c>
      <c r="AA175" s="105">
        <f t="shared" si="253"/>
        <v>2</v>
      </c>
      <c r="AB175" s="115">
        <v>45443</v>
      </c>
      <c r="AC175" s="24" t="s">
        <v>195</v>
      </c>
      <c r="AD175" s="15"/>
      <c r="AE175" s="16"/>
      <c r="AF175" s="17"/>
      <c r="AG175" s="17">
        <v>4</v>
      </c>
      <c r="AH175" s="85">
        <f t="shared" si="254"/>
        <v>4</v>
      </c>
      <c r="AI175" s="15"/>
      <c r="AJ175" s="16"/>
      <c r="AK175" s="17"/>
      <c r="AL175" s="17">
        <v>4</v>
      </c>
      <c r="AM175" s="85">
        <f t="shared" si="255"/>
        <v>4</v>
      </c>
      <c r="AN175" s="15">
        <v>20</v>
      </c>
      <c r="AO175" s="16">
        <v>10</v>
      </c>
      <c r="AP175" s="17">
        <v>10</v>
      </c>
      <c r="AQ175" s="17">
        <v>10</v>
      </c>
      <c r="AR175" s="85">
        <f t="shared" si="256"/>
        <v>50</v>
      </c>
      <c r="AS175" s="15">
        <v>20</v>
      </c>
      <c r="AT175" s="16">
        <v>10</v>
      </c>
      <c r="AU175" s="17">
        <v>10</v>
      </c>
      <c r="AV175" s="17">
        <v>10</v>
      </c>
      <c r="AW175" s="85">
        <f t="shared" si="257"/>
        <v>50</v>
      </c>
      <c r="AX175" s="15">
        <v>20</v>
      </c>
      <c r="AY175" s="16">
        <v>10</v>
      </c>
      <c r="AZ175" s="17">
        <v>10</v>
      </c>
      <c r="BA175" s="17">
        <v>14</v>
      </c>
      <c r="BB175" s="85">
        <f t="shared" si="258"/>
        <v>54</v>
      </c>
      <c r="BC175" s="105">
        <f t="shared" si="259"/>
        <v>162</v>
      </c>
      <c r="BD175" s="115">
        <v>45447</v>
      </c>
    </row>
    <row r="176" spans="1:63" x14ac:dyDescent="0.15">
      <c r="A176" s="23" t="s">
        <v>260</v>
      </c>
      <c r="B176" s="15">
        <v>1</v>
      </c>
      <c r="C176" s="16">
        <v>1</v>
      </c>
      <c r="D176" s="17"/>
      <c r="E176" s="17"/>
      <c r="F176" s="85">
        <f t="shared" si="248"/>
        <v>2</v>
      </c>
      <c r="G176" s="15"/>
      <c r="H176" s="16">
        <v>1</v>
      </c>
      <c r="I176" s="17"/>
      <c r="J176" s="17"/>
      <c r="K176" s="85">
        <f t="shared" si="249"/>
        <v>1</v>
      </c>
      <c r="L176" s="15"/>
      <c r="M176" s="16">
        <v>1</v>
      </c>
      <c r="N176" s="17"/>
      <c r="O176" s="17"/>
      <c r="P176" s="85">
        <f t="shared" si="250"/>
        <v>1</v>
      </c>
      <c r="Q176" s="15"/>
      <c r="R176" s="16"/>
      <c r="S176" s="17"/>
      <c r="T176" s="17"/>
      <c r="U176" s="85">
        <f t="shared" si="251"/>
        <v>0</v>
      </c>
      <c r="V176" s="15"/>
      <c r="W176" s="16"/>
      <c r="X176" s="17"/>
      <c r="Y176" s="17"/>
      <c r="Z176" s="85">
        <f t="shared" si="252"/>
        <v>0</v>
      </c>
      <c r="AA176" s="105">
        <f t="shared" si="253"/>
        <v>4</v>
      </c>
      <c r="AB176" s="114">
        <v>45448</v>
      </c>
      <c r="AC176" s="54" t="s">
        <v>263</v>
      </c>
      <c r="AD176" s="15">
        <v>1</v>
      </c>
      <c r="AE176" s="16"/>
      <c r="AF176" s="17"/>
      <c r="AG176" s="17"/>
      <c r="AH176" s="85">
        <f t="shared" si="254"/>
        <v>1</v>
      </c>
      <c r="AI176" s="15"/>
      <c r="AJ176" s="16"/>
      <c r="AK176" s="17"/>
      <c r="AL176" s="17"/>
      <c r="AM176" s="85">
        <f t="shared" si="255"/>
        <v>0</v>
      </c>
      <c r="AN176" s="15"/>
      <c r="AO176" s="16">
        <v>1</v>
      </c>
      <c r="AP176" s="17"/>
      <c r="AQ176" s="17"/>
      <c r="AR176" s="85">
        <f t="shared" si="256"/>
        <v>1</v>
      </c>
      <c r="AS176" s="15">
        <v>1</v>
      </c>
      <c r="AT176" s="16"/>
      <c r="AU176" s="17">
        <v>1</v>
      </c>
      <c r="AV176" s="17"/>
      <c r="AW176" s="85">
        <f t="shared" si="257"/>
        <v>2</v>
      </c>
      <c r="AX176" s="15"/>
      <c r="AY176" s="16"/>
      <c r="AZ176" s="17"/>
      <c r="BA176" s="17"/>
      <c r="BB176" s="85">
        <f t="shared" si="258"/>
        <v>0</v>
      </c>
      <c r="BC176" s="105">
        <f t="shared" si="259"/>
        <v>4</v>
      </c>
      <c r="BD176" s="114">
        <v>45460</v>
      </c>
    </row>
    <row r="177" spans="1:56" x14ac:dyDescent="0.15">
      <c r="A177" s="23" t="s">
        <v>124</v>
      </c>
      <c r="B177" s="15"/>
      <c r="C177" s="16"/>
      <c r="D177" s="17"/>
      <c r="E177" s="17"/>
      <c r="F177" s="85">
        <f t="shared" si="248"/>
        <v>0</v>
      </c>
      <c r="G177" s="15"/>
      <c r="H177" s="16"/>
      <c r="I177" s="17"/>
      <c r="J177" s="17"/>
      <c r="K177" s="85">
        <f t="shared" si="249"/>
        <v>0</v>
      </c>
      <c r="L177" s="15">
        <v>4</v>
      </c>
      <c r="M177" s="16"/>
      <c r="N177" s="17">
        <v>1</v>
      </c>
      <c r="O177" s="17"/>
      <c r="P177" s="85">
        <f t="shared" si="250"/>
        <v>5</v>
      </c>
      <c r="Q177" s="15"/>
      <c r="R177" s="16"/>
      <c r="S177" s="17">
        <v>1</v>
      </c>
      <c r="T177" s="17"/>
      <c r="U177" s="85">
        <f t="shared" si="251"/>
        <v>1</v>
      </c>
      <c r="V177" s="15"/>
      <c r="W177" s="16"/>
      <c r="X177" s="17">
        <v>1</v>
      </c>
      <c r="Y177" s="17"/>
      <c r="Z177" s="85">
        <f t="shared" si="252"/>
        <v>1</v>
      </c>
      <c r="AA177" s="105">
        <f t="shared" si="253"/>
        <v>7</v>
      </c>
      <c r="AB177" s="114">
        <v>45448</v>
      </c>
      <c r="AC177" s="24" t="s">
        <v>195</v>
      </c>
      <c r="AD177" s="15"/>
      <c r="AE177" s="16"/>
      <c r="AF177" s="17"/>
      <c r="AG177" s="17"/>
      <c r="AH177" s="85">
        <f t="shared" si="254"/>
        <v>0</v>
      </c>
      <c r="AI177" s="15"/>
      <c r="AJ177" s="16"/>
      <c r="AK177" s="17"/>
      <c r="AL177" s="17"/>
      <c r="AM177" s="85">
        <f t="shared" si="255"/>
        <v>0</v>
      </c>
      <c r="AN177" s="15"/>
      <c r="AO177" s="16">
        <v>10</v>
      </c>
      <c r="AP177" s="17"/>
      <c r="AQ177" s="17"/>
      <c r="AR177" s="85">
        <f t="shared" si="256"/>
        <v>10</v>
      </c>
      <c r="AS177" s="15"/>
      <c r="AT177" s="16">
        <v>10</v>
      </c>
      <c r="AU177" s="17"/>
      <c r="AV177" s="17"/>
      <c r="AW177" s="85">
        <f t="shared" si="257"/>
        <v>10</v>
      </c>
      <c r="AX177" s="15"/>
      <c r="AY177" s="16">
        <v>10</v>
      </c>
      <c r="AZ177" s="17"/>
      <c r="BA177" s="17"/>
      <c r="BB177" s="85">
        <f t="shared" si="258"/>
        <v>10</v>
      </c>
      <c r="BC177" s="105">
        <f t="shared" si="259"/>
        <v>30</v>
      </c>
      <c r="BD177" s="114">
        <v>45454</v>
      </c>
    </row>
    <row r="178" spans="1:56" x14ac:dyDescent="0.15">
      <c r="A178" s="23" t="s">
        <v>124</v>
      </c>
      <c r="B178" s="15"/>
      <c r="C178" s="16"/>
      <c r="D178" s="17"/>
      <c r="E178" s="17"/>
      <c r="F178" s="85">
        <f t="shared" si="248"/>
        <v>0</v>
      </c>
      <c r="G178" s="15"/>
      <c r="H178" s="16"/>
      <c r="I178" s="17"/>
      <c r="J178" s="17"/>
      <c r="K178" s="85">
        <f t="shared" si="249"/>
        <v>0</v>
      </c>
      <c r="L178" s="15"/>
      <c r="M178" s="16"/>
      <c r="N178" s="17">
        <v>2</v>
      </c>
      <c r="O178" s="17"/>
      <c r="P178" s="85">
        <f t="shared" si="250"/>
        <v>2</v>
      </c>
      <c r="Q178" s="15"/>
      <c r="R178" s="16"/>
      <c r="S178" s="17">
        <v>2</v>
      </c>
      <c r="T178" s="17"/>
      <c r="U178" s="85">
        <f t="shared" si="251"/>
        <v>2</v>
      </c>
      <c r="V178" s="15">
        <v>3</v>
      </c>
      <c r="W178" s="16"/>
      <c r="X178" s="17">
        <v>2</v>
      </c>
      <c r="Y178" s="17"/>
      <c r="Z178" s="85">
        <f t="shared" si="252"/>
        <v>5</v>
      </c>
      <c r="AA178" s="105">
        <f t="shared" si="253"/>
        <v>9</v>
      </c>
      <c r="AB178" s="115">
        <v>45449</v>
      </c>
      <c r="AC178" s="54" t="s">
        <v>268</v>
      </c>
      <c r="AD178" s="15"/>
      <c r="AE178" s="16"/>
      <c r="AF178" s="17"/>
      <c r="AG178" s="17"/>
      <c r="AH178" s="85">
        <f t="shared" si="254"/>
        <v>0</v>
      </c>
      <c r="AI178" s="15"/>
      <c r="AJ178" s="16"/>
      <c r="AK178" s="17"/>
      <c r="AL178" s="17">
        <v>2</v>
      </c>
      <c r="AM178" s="85">
        <f t="shared" si="255"/>
        <v>2</v>
      </c>
      <c r="AN178" s="15"/>
      <c r="AO178" s="16"/>
      <c r="AP178" s="17"/>
      <c r="AQ178" s="17"/>
      <c r="AR178" s="85">
        <f t="shared" si="256"/>
        <v>0</v>
      </c>
      <c r="AS178" s="15"/>
      <c r="AT178" s="16"/>
      <c r="AU178" s="17"/>
      <c r="AV178" s="17"/>
      <c r="AW178" s="85">
        <f t="shared" si="257"/>
        <v>0</v>
      </c>
      <c r="AX178" s="15"/>
      <c r="AY178" s="16"/>
      <c r="AZ178" s="17"/>
      <c r="BA178" s="17"/>
      <c r="BB178" s="85">
        <f t="shared" si="258"/>
        <v>0</v>
      </c>
      <c r="BC178" s="105">
        <f t="shared" si="259"/>
        <v>2</v>
      </c>
      <c r="BD178" s="114">
        <v>45467</v>
      </c>
    </row>
    <row r="179" spans="1:56" x14ac:dyDescent="0.15">
      <c r="A179" s="23" t="s">
        <v>124</v>
      </c>
      <c r="B179" s="15"/>
      <c r="C179" s="16"/>
      <c r="D179" s="17"/>
      <c r="E179" s="17"/>
      <c r="F179" s="85">
        <f t="shared" si="248"/>
        <v>0</v>
      </c>
      <c r="G179" s="15"/>
      <c r="H179" s="16">
        <v>1</v>
      </c>
      <c r="I179" s="17"/>
      <c r="J179" s="17"/>
      <c r="K179" s="85">
        <f t="shared" si="249"/>
        <v>1</v>
      </c>
      <c r="L179" s="15"/>
      <c r="M179" s="16"/>
      <c r="N179" s="17"/>
      <c r="O179" s="17"/>
      <c r="P179" s="85">
        <f t="shared" si="250"/>
        <v>0</v>
      </c>
      <c r="Q179" s="15"/>
      <c r="R179" s="16"/>
      <c r="S179" s="17"/>
      <c r="T179" s="17"/>
      <c r="U179" s="85">
        <f t="shared" si="251"/>
        <v>0</v>
      </c>
      <c r="V179" s="15"/>
      <c r="W179" s="16"/>
      <c r="X179" s="17"/>
      <c r="Y179" s="17"/>
      <c r="Z179" s="85">
        <f t="shared" si="252"/>
        <v>0</v>
      </c>
      <c r="AA179" s="105">
        <f t="shared" si="253"/>
        <v>1</v>
      </c>
      <c r="AB179" s="115">
        <v>45454</v>
      </c>
      <c r="AC179" s="102" t="s">
        <v>271</v>
      </c>
      <c r="AD179" s="15">
        <v>70</v>
      </c>
      <c r="AE179" s="16">
        <v>150</v>
      </c>
      <c r="AF179" s="17"/>
      <c r="AG179" s="17"/>
      <c r="AH179" s="85">
        <f t="shared" si="254"/>
        <v>220</v>
      </c>
      <c r="AI179" s="15">
        <v>70</v>
      </c>
      <c r="AJ179" s="16">
        <v>150</v>
      </c>
      <c r="AK179" s="17"/>
      <c r="AL179" s="17"/>
      <c r="AM179" s="85">
        <f t="shared" si="255"/>
        <v>220</v>
      </c>
      <c r="AN179" s="15"/>
      <c r="AO179" s="16"/>
      <c r="AP179" s="17"/>
      <c r="AQ179" s="17"/>
      <c r="AR179" s="85">
        <f t="shared" si="256"/>
        <v>0</v>
      </c>
      <c r="AS179" s="15">
        <v>70</v>
      </c>
      <c r="AT179" s="16">
        <v>150</v>
      </c>
      <c r="AU179" s="17"/>
      <c r="AV179" s="17"/>
      <c r="AW179" s="85">
        <f t="shared" si="257"/>
        <v>220</v>
      </c>
      <c r="AX179" s="15"/>
      <c r="AY179" s="16"/>
      <c r="AZ179" s="17"/>
      <c r="BA179" s="17"/>
      <c r="BB179" s="85">
        <f t="shared" si="258"/>
        <v>0</v>
      </c>
      <c r="BC179" s="105">
        <f t="shared" si="259"/>
        <v>660</v>
      </c>
      <c r="BD179" s="114">
        <v>45468</v>
      </c>
    </row>
    <row r="180" spans="1:56" x14ac:dyDescent="0.15">
      <c r="A180" s="23" t="s">
        <v>124</v>
      </c>
      <c r="B180" s="18"/>
      <c r="C180" s="19"/>
      <c r="D180" s="20"/>
      <c r="E180" s="20"/>
      <c r="F180" s="85">
        <f t="shared" si="248"/>
        <v>0</v>
      </c>
      <c r="G180" s="18"/>
      <c r="H180" s="19"/>
      <c r="I180" s="20"/>
      <c r="J180" s="20"/>
      <c r="K180" s="85">
        <f t="shared" si="249"/>
        <v>0</v>
      </c>
      <c r="L180" s="18">
        <v>1</v>
      </c>
      <c r="M180" s="19"/>
      <c r="N180" s="20"/>
      <c r="O180" s="20"/>
      <c r="P180" s="85">
        <f t="shared" si="250"/>
        <v>1</v>
      </c>
      <c r="Q180" s="18">
        <v>1</v>
      </c>
      <c r="R180" s="19"/>
      <c r="S180" s="20"/>
      <c r="T180" s="20"/>
      <c r="U180" s="85">
        <f t="shared" si="251"/>
        <v>1</v>
      </c>
      <c r="V180" s="18">
        <v>1</v>
      </c>
      <c r="W180" s="19"/>
      <c r="X180" s="20"/>
      <c r="Y180" s="20"/>
      <c r="Z180" s="85">
        <f t="shared" si="252"/>
        <v>1</v>
      </c>
      <c r="AA180" s="105">
        <f t="shared" si="253"/>
        <v>3</v>
      </c>
      <c r="AB180" s="115">
        <v>45458</v>
      </c>
      <c r="AC180" s="54" t="s">
        <v>272</v>
      </c>
      <c r="AD180" s="18"/>
      <c r="AE180" s="19"/>
      <c r="AF180" s="20"/>
      <c r="AG180" s="20"/>
      <c r="AH180" s="85">
        <f t="shared" si="254"/>
        <v>0</v>
      </c>
      <c r="AI180" s="18"/>
      <c r="AJ180" s="19"/>
      <c r="AK180" s="20">
        <v>1</v>
      </c>
      <c r="AL180" s="20"/>
      <c r="AM180" s="85">
        <f t="shared" si="255"/>
        <v>1</v>
      </c>
      <c r="AN180" s="18">
        <v>2</v>
      </c>
      <c r="AO180" s="19"/>
      <c r="AP180" s="20">
        <v>1</v>
      </c>
      <c r="AQ180" s="20"/>
      <c r="AR180" s="85">
        <f t="shared" si="256"/>
        <v>3</v>
      </c>
      <c r="AS180" s="18"/>
      <c r="AT180" s="19"/>
      <c r="AU180" s="20"/>
      <c r="AV180" s="20"/>
      <c r="AW180" s="85">
        <f t="shared" si="257"/>
        <v>0</v>
      </c>
      <c r="AX180" s="18"/>
      <c r="AY180" s="19"/>
      <c r="AZ180" s="20"/>
      <c r="BA180" s="20"/>
      <c r="BB180" s="85">
        <f t="shared" si="258"/>
        <v>0</v>
      </c>
      <c r="BC180" s="105">
        <f t="shared" si="259"/>
        <v>4</v>
      </c>
      <c r="BD180" s="114">
        <v>45471</v>
      </c>
    </row>
    <row r="181" spans="1:56" x14ac:dyDescent="0.15">
      <c r="A181" s="23" t="s">
        <v>124</v>
      </c>
      <c r="B181" s="15"/>
      <c r="C181" s="16"/>
      <c r="D181" s="17"/>
      <c r="E181" s="17"/>
      <c r="F181" s="85">
        <f t="shared" si="248"/>
        <v>0</v>
      </c>
      <c r="G181" s="15"/>
      <c r="H181" s="16"/>
      <c r="I181" s="17"/>
      <c r="J181" s="17"/>
      <c r="K181" s="85">
        <f t="shared" si="249"/>
        <v>0</v>
      </c>
      <c r="L181" s="15"/>
      <c r="M181" s="16"/>
      <c r="N181" s="17">
        <v>1</v>
      </c>
      <c r="O181" s="17"/>
      <c r="P181" s="85">
        <f t="shared" si="250"/>
        <v>1</v>
      </c>
      <c r="Q181" s="15"/>
      <c r="R181" s="16"/>
      <c r="S181" s="17">
        <v>1</v>
      </c>
      <c r="T181" s="17"/>
      <c r="U181" s="85">
        <f t="shared" si="251"/>
        <v>1</v>
      </c>
      <c r="V181" s="15"/>
      <c r="W181" s="16"/>
      <c r="X181" s="17">
        <v>1</v>
      </c>
      <c r="Y181" s="17"/>
      <c r="Z181" s="85">
        <f t="shared" si="252"/>
        <v>1</v>
      </c>
      <c r="AA181" s="105">
        <f t="shared" si="253"/>
        <v>3</v>
      </c>
      <c r="AB181" s="115">
        <v>45462</v>
      </c>
      <c r="AC181" s="24" t="s">
        <v>195</v>
      </c>
      <c r="AD181" s="15">
        <v>5</v>
      </c>
      <c r="AE181" s="16"/>
      <c r="AF181" s="17"/>
      <c r="AG181" s="17"/>
      <c r="AH181" s="85">
        <f t="shared" si="254"/>
        <v>5</v>
      </c>
      <c r="AI181" s="15">
        <v>5</v>
      </c>
      <c r="AJ181" s="16"/>
      <c r="AK181" s="17"/>
      <c r="AL181" s="17"/>
      <c r="AM181" s="85">
        <f t="shared" si="255"/>
        <v>5</v>
      </c>
      <c r="AN181" s="15"/>
      <c r="AO181" s="16"/>
      <c r="AP181" s="17"/>
      <c r="AQ181" s="17"/>
      <c r="AR181" s="85">
        <f t="shared" si="256"/>
        <v>0</v>
      </c>
      <c r="AS181" s="15"/>
      <c r="AT181" s="16"/>
      <c r="AU181" s="17"/>
      <c r="AV181" s="17"/>
      <c r="AW181" s="85">
        <f t="shared" si="257"/>
        <v>0</v>
      </c>
      <c r="AX181" s="15">
        <v>5</v>
      </c>
      <c r="AY181" s="16"/>
      <c r="AZ181" s="17"/>
      <c r="BA181" s="17"/>
      <c r="BB181" s="85">
        <f t="shared" si="258"/>
        <v>5</v>
      </c>
      <c r="BC181" s="105">
        <f t="shared" si="259"/>
        <v>15</v>
      </c>
      <c r="BD181" s="114">
        <v>45471</v>
      </c>
    </row>
    <row r="182" spans="1:56" x14ac:dyDescent="0.15">
      <c r="A182" s="23" t="s">
        <v>96</v>
      </c>
      <c r="B182" s="15"/>
      <c r="C182" s="16"/>
      <c r="D182" s="17"/>
      <c r="E182" s="17"/>
      <c r="F182" s="85">
        <f t="shared" si="248"/>
        <v>0</v>
      </c>
      <c r="G182" s="15"/>
      <c r="H182" s="16">
        <v>1</v>
      </c>
      <c r="I182" s="17"/>
      <c r="J182" s="17"/>
      <c r="K182" s="85">
        <f t="shared" si="249"/>
        <v>1</v>
      </c>
      <c r="L182" s="15"/>
      <c r="M182" s="16"/>
      <c r="N182" s="17">
        <v>1</v>
      </c>
      <c r="O182" s="17"/>
      <c r="P182" s="85">
        <f t="shared" si="250"/>
        <v>1</v>
      </c>
      <c r="Q182" s="15"/>
      <c r="R182" s="16">
        <v>1</v>
      </c>
      <c r="S182" s="17">
        <v>1</v>
      </c>
      <c r="T182" s="17"/>
      <c r="U182" s="85">
        <f t="shared" si="251"/>
        <v>2</v>
      </c>
      <c r="V182" s="15"/>
      <c r="W182" s="16">
        <v>1</v>
      </c>
      <c r="X182" s="17">
        <v>1</v>
      </c>
      <c r="Y182" s="17"/>
      <c r="Z182" s="85">
        <f t="shared" si="252"/>
        <v>2</v>
      </c>
      <c r="AA182" s="105">
        <f t="shared" si="253"/>
        <v>6</v>
      </c>
      <c r="AB182" s="114">
        <v>45463</v>
      </c>
      <c r="AC182" s="102" t="s">
        <v>274</v>
      </c>
      <c r="AD182" s="15">
        <v>20</v>
      </c>
      <c r="AE182" s="16"/>
      <c r="AF182" s="17"/>
      <c r="AG182" s="17"/>
      <c r="AH182" s="85">
        <f t="shared" si="254"/>
        <v>20</v>
      </c>
      <c r="AI182" s="15">
        <v>20</v>
      </c>
      <c r="AJ182" s="16"/>
      <c r="AK182" s="17"/>
      <c r="AL182" s="17"/>
      <c r="AM182" s="85">
        <f t="shared" si="255"/>
        <v>20</v>
      </c>
      <c r="AN182" s="15"/>
      <c r="AO182" s="16"/>
      <c r="AP182" s="17"/>
      <c r="AQ182" s="17"/>
      <c r="AR182" s="85">
        <f t="shared" si="256"/>
        <v>0</v>
      </c>
      <c r="AS182" s="15">
        <v>20</v>
      </c>
      <c r="AT182" s="16"/>
      <c r="AU182" s="17"/>
      <c r="AV182" s="17"/>
      <c r="AW182" s="85">
        <f t="shared" si="257"/>
        <v>20</v>
      </c>
      <c r="AX182" s="15"/>
      <c r="AY182" s="16"/>
      <c r="AZ182" s="17"/>
      <c r="BA182" s="17"/>
      <c r="BB182" s="85">
        <f t="shared" si="258"/>
        <v>0</v>
      </c>
      <c r="BC182" s="105">
        <f t="shared" si="259"/>
        <v>60</v>
      </c>
      <c r="BD182" s="114">
        <v>45474</v>
      </c>
    </row>
    <row r="183" spans="1:56" x14ac:dyDescent="0.15">
      <c r="A183" s="23" t="s">
        <v>124</v>
      </c>
      <c r="B183" s="15"/>
      <c r="C183" s="16"/>
      <c r="D183" s="17">
        <v>1</v>
      </c>
      <c r="E183" s="17"/>
      <c r="F183" s="85">
        <f t="shared" si="248"/>
        <v>1</v>
      </c>
      <c r="G183" s="15"/>
      <c r="H183" s="16"/>
      <c r="I183" s="17">
        <v>1</v>
      </c>
      <c r="J183" s="17"/>
      <c r="K183" s="85">
        <f t="shared" si="249"/>
        <v>1</v>
      </c>
      <c r="L183" s="15"/>
      <c r="M183" s="16"/>
      <c r="N183" s="17">
        <v>1</v>
      </c>
      <c r="O183" s="17"/>
      <c r="P183" s="85">
        <f t="shared" si="250"/>
        <v>1</v>
      </c>
      <c r="Q183" s="15"/>
      <c r="R183" s="16"/>
      <c r="S183" s="17">
        <v>1</v>
      </c>
      <c r="T183" s="17"/>
      <c r="U183" s="85">
        <f t="shared" si="251"/>
        <v>1</v>
      </c>
      <c r="V183" s="15"/>
      <c r="W183" s="16"/>
      <c r="X183" s="17">
        <v>1</v>
      </c>
      <c r="Y183" s="17"/>
      <c r="Z183" s="85">
        <f t="shared" si="252"/>
        <v>1</v>
      </c>
      <c r="AA183" s="105">
        <f t="shared" si="253"/>
        <v>5</v>
      </c>
      <c r="AB183" s="114">
        <v>45474</v>
      </c>
      <c r="AC183" s="54" t="s">
        <v>276</v>
      </c>
      <c r="AD183" s="15">
        <v>2</v>
      </c>
      <c r="AE183" s="16"/>
      <c r="AF183" s="17"/>
      <c r="AG183" s="17"/>
      <c r="AH183" s="85">
        <f t="shared" si="254"/>
        <v>2</v>
      </c>
      <c r="AI183" s="15"/>
      <c r="AJ183" s="16"/>
      <c r="AK183" s="17">
        <v>1</v>
      </c>
      <c r="AL183" s="17"/>
      <c r="AM183" s="85">
        <f t="shared" si="255"/>
        <v>1</v>
      </c>
      <c r="AN183" s="15"/>
      <c r="AO183" s="16"/>
      <c r="AP183" s="17">
        <v>1</v>
      </c>
      <c r="AQ183" s="17"/>
      <c r="AR183" s="85">
        <f t="shared" si="256"/>
        <v>1</v>
      </c>
      <c r="AS183" s="15">
        <v>2</v>
      </c>
      <c r="AT183" s="16">
        <v>1</v>
      </c>
      <c r="AU183" s="17"/>
      <c r="AV183" s="17"/>
      <c r="AW183" s="85">
        <f t="shared" si="257"/>
        <v>3</v>
      </c>
      <c r="AX183" s="15">
        <v>2</v>
      </c>
      <c r="AY183" s="16"/>
      <c r="AZ183" s="17">
        <v>1</v>
      </c>
      <c r="BA183" s="17"/>
      <c r="BB183" s="85">
        <f t="shared" si="258"/>
        <v>3</v>
      </c>
      <c r="BC183" s="105">
        <f t="shared" si="259"/>
        <v>10</v>
      </c>
      <c r="BD183" s="114">
        <v>45481</v>
      </c>
    </row>
    <row r="184" spans="1:56" x14ac:dyDescent="0.15">
      <c r="A184" s="54" t="s">
        <v>275</v>
      </c>
      <c r="B184" s="15"/>
      <c r="C184" s="16"/>
      <c r="D184" s="17"/>
      <c r="E184" s="17"/>
      <c r="F184" s="85">
        <f t="shared" si="248"/>
        <v>0</v>
      </c>
      <c r="G184" s="15"/>
      <c r="H184" s="16"/>
      <c r="I184" s="17"/>
      <c r="J184" s="17"/>
      <c r="K184" s="85">
        <f t="shared" si="249"/>
        <v>0</v>
      </c>
      <c r="L184" s="15"/>
      <c r="M184" s="16"/>
      <c r="N184" s="17"/>
      <c r="O184" s="17"/>
      <c r="P184" s="85">
        <f t="shared" si="250"/>
        <v>0</v>
      </c>
      <c r="Q184" s="15"/>
      <c r="R184" s="16"/>
      <c r="S184" s="17"/>
      <c r="T184" s="17"/>
      <c r="U184" s="85">
        <f t="shared" si="251"/>
        <v>0</v>
      </c>
      <c r="V184" s="15"/>
      <c r="W184" s="16"/>
      <c r="X184" s="17"/>
      <c r="Y184" s="17">
        <v>1</v>
      </c>
      <c r="Z184" s="85">
        <f t="shared" si="252"/>
        <v>1</v>
      </c>
      <c r="AA184" s="105">
        <f t="shared" si="253"/>
        <v>1</v>
      </c>
      <c r="AB184" s="114">
        <v>45477</v>
      </c>
      <c r="AC184" s="54" t="s">
        <v>280</v>
      </c>
      <c r="AD184" s="15"/>
      <c r="AE184" s="16"/>
      <c r="AF184" s="17"/>
      <c r="AG184" s="17"/>
      <c r="AH184" s="85">
        <f t="shared" si="254"/>
        <v>0</v>
      </c>
      <c r="AI184" s="15">
        <v>5</v>
      </c>
      <c r="AJ184" s="16">
        <v>1</v>
      </c>
      <c r="AK184" s="17">
        <v>2</v>
      </c>
      <c r="AL184" s="17"/>
      <c r="AM184" s="85">
        <f t="shared" si="255"/>
        <v>8</v>
      </c>
      <c r="AN184" s="15"/>
      <c r="AO184" s="16">
        <v>2</v>
      </c>
      <c r="AP184" s="17"/>
      <c r="AQ184" s="17">
        <v>1</v>
      </c>
      <c r="AR184" s="85">
        <f t="shared" si="256"/>
        <v>3</v>
      </c>
      <c r="AS184" s="15">
        <v>1</v>
      </c>
      <c r="AT184" s="16"/>
      <c r="AU184" s="17">
        <v>3</v>
      </c>
      <c r="AV184" s="17">
        <v>2</v>
      </c>
      <c r="AW184" s="85">
        <f t="shared" si="257"/>
        <v>6</v>
      </c>
      <c r="AX184" s="15">
        <v>1</v>
      </c>
      <c r="AY184" s="16">
        <v>3</v>
      </c>
      <c r="AZ184" s="17">
        <v>2</v>
      </c>
      <c r="BA184" s="17">
        <v>2</v>
      </c>
      <c r="BB184" s="85">
        <f t="shared" si="258"/>
        <v>8</v>
      </c>
      <c r="BC184" s="105">
        <f t="shared" si="259"/>
        <v>25</v>
      </c>
      <c r="BD184" s="114">
        <v>45485</v>
      </c>
    </row>
    <row r="185" spans="1:56" x14ac:dyDescent="0.15">
      <c r="A185" s="23" t="s">
        <v>124</v>
      </c>
      <c r="B185" s="15"/>
      <c r="C185" s="16"/>
      <c r="D185" s="17"/>
      <c r="E185" s="17"/>
      <c r="F185" s="85">
        <f t="shared" si="248"/>
        <v>0</v>
      </c>
      <c r="G185" s="15"/>
      <c r="H185" s="16"/>
      <c r="I185" s="17"/>
      <c r="J185" s="17"/>
      <c r="K185" s="85">
        <f t="shared" si="249"/>
        <v>0</v>
      </c>
      <c r="L185" s="15">
        <v>1</v>
      </c>
      <c r="M185" s="16"/>
      <c r="N185" s="17"/>
      <c r="O185" s="17"/>
      <c r="P185" s="85">
        <f t="shared" si="250"/>
        <v>1</v>
      </c>
      <c r="Q185" s="15">
        <v>1</v>
      </c>
      <c r="R185" s="16"/>
      <c r="S185" s="17"/>
      <c r="T185" s="17"/>
      <c r="U185" s="85">
        <f t="shared" si="251"/>
        <v>1</v>
      </c>
      <c r="V185" s="15">
        <v>1</v>
      </c>
      <c r="W185" s="16"/>
      <c r="X185" s="17"/>
      <c r="Y185" s="17"/>
      <c r="Z185" s="85">
        <f t="shared" si="252"/>
        <v>1</v>
      </c>
      <c r="AA185" s="105">
        <f t="shared" si="253"/>
        <v>3</v>
      </c>
      <c r="AB185" s="114">
        <v>45475</v>
      </c>
      <c r="AC185" s="24" t="s">
        <v>195</v>
      </c>
      <c r="AD185" s="15"/>
      <c r="AE185" s="16"/>
      <c r="AF185" s="17"/>
      <c r="AG185" s="17"/>
      <c r="AH185" s="85">
        <f t="shared" si="254"/>
        <v>0</v>
      </c>
      <c r="AI185" s="15"/>
      <c r="AJ185" s="16"/>
      <c r="AK185" s="17"/>
      <c r="AL185" s="17"/>
      <c r="AM185" s="85">
        <f t="shared" si="255"/>
        <v>0</v>
      </c>
      <c r="AN185" s="15">
        <v>10</v>
      </c>
      <c r="AO185" s="16"/>
      <c r="AP185" s="17"/>
      <c r="AQ185" s="17"/>
      <c r="AR185" s="85">
        <f t="shared" si="256"/>
        <v>10</v>
      </c>
      <c r="AS185" s="15">
        <v>10</v>
      </c>
      <c r="AT185" s="16"/>
      <c r="AU185" s="17"/>
      <c r="AV185" s="17"/>
      <c r="AW185" s="85">
        <f t="shared" si="257"/>
        <v>10</v>
      </c>
      <c r="AX185" s="15">
        <v>10</v>
      </c>
      <c r="AY185" s="16"/>
      <c r="AZ185" s="17"/>
      <c r="BA185" s="17"/>
      <c r="BB185" s="85">
        <f t="shared" si="258"/>
        <v>10</v>
      </c>
      <c r="BC185" s="105">
        <f t="shared" si="259"/>
        <v>30</v>
      </c>
      <c r="BD185" s="114">
        <v>45485</v>
      </c>
    </row>
    <row r="186" spans="1:56" x14ac:dyDescent="0.15">
      <c r="A186" s="23" t="s">
        <v>279</v>
      </c>
      <c r="B186" s="15">
        <v>-1</v>
      </c>
      <c r="C186" s="16"/>
      <c r="D186" s="16"/>
      <c r="E186" s="63"/>
      <c r="F186" s="85">
        <f t="shared" si="248"/>
        <v>-1</v>
      </c>
      <c r="G186" s="15">
        <v>-1</v>
      </c>
      <c r="H186" s="16"/>
      <c r="I186" s="16"/>
      <c r="J186" s="63"/>
      <c r="K186" s="85">
        <f t="shared" si="249"/>
        <v>-1</v>
      </c>
      <c r="L186" s="15"/>
      <c r="M186" s="16"/>
      <c r="N186" s="16"/>
      <c r="O186" s="63"/>
      <c r="P186" s="85">
        <f t="shared" si="250"/>
        <v>0</v>
      </c>
      <c r="Q186" s="15"/>
      <c r="R186" s="16"/>
      <c r="S186" s="16"/>
      <c r="T186" s="63"/>
      <c r="U186" s="85">
        <f t="shared" si="251"/>
        <v>0</v>
      </c>
      <c r="V186" s="15">
        <v>-1</v>
      </c>
      <c r="W186" s="16"/>
      <c r="X186" s="16"/>
      <c r="Y186" s="63"/>
      <c r="Z186" s="85">
        <f t="shared" si="252"/>
        <v>-1</v>
      </c>
      <c r="AA186" s="105">
        <f t="shared" si="253"/>
        <v>-3</v>
      </c>
      <c r="AB186" s="114">
        <v>45479</v>
      </c>
      <c r="AC186" s="23" t="s">
        <v>35</v>
      </c>
      <c r="AD186" s="15"/>
      <c r="AE186" s="16"/>
      <c r="AF186" s="17"/>
      <c r="AG186" s="17"/>
      <c r="AH186" s="85">
        <f t="shared" si="254"/>
        <v>0</v>
      </c>
      <c r="AI186" s="15"/>
      <c r="AJ186" s="16"/>
      <c r="AK186" s="17"/>
      <c r="AL186" s="17"/>
      <c r="AM186" s="85">
        <f t="shared" si="255"/>
        <v>0</v>
      </c>
      <c r="AN186" s="15">
        <v>5</v>
      </c>
      <c r="AO186" s="16"/>
      <c r="AP186" s="17"/>
      <c r="AQ186" s="17"/>
      <c r="AR186" s="85">
        <f t="shared" si="256"/>
        <v>5</v>
      </c>
      <c r="AS186" s="15"/>
      <c r="AT186" s="16"/>
      <c r="AU186" s="17">
        <v>5</v>
      </c>
      <c r="AV186" s="17"/>
      <c r="AW186" s="85">
        <f t="shared" si="257"/>
        <v>5</v>
      </c>
      <c r="AX186" s="15"/>
      <c r="AY186" s="16"/>
      <c r="AZ186" s="17">
        <v>5</v>
      </c>
      <c r="BA186" s="17"/>
      <c r="BB186" s="85">
        <f t="shared" si="258"/>
        <v>5</v>
      </c>
      <c r="BC186" s="105">
        <f t="shared" si="259"/>
        <v>15</v>
      </c>
      <c r="BD186" s="114">
        <v>45489</v>
      </c>
    </row>
    <row r="187" spans="1:56" x14ac:dyDescent="0.15">
      <c r="A187" s="23" t="s">
        <v>124</v>
      </c>
      <c r="B187" s="15"/>
      <c r="C187" s="16"/>
      <c r="D187" s="17"/>
      <c r="E187" s="17"/>
      <c r="F187" s="85">
        <f t="shared" ref="F187" si="280">SUM(B187:E187)</f>
        <v>0</v>
      </c>
      <c r="G187" s="15"/>
      <c r="H187" s="16"/>
      <c r="I187" s="17"/>
      <c r="J187" s="17"/>
      <c r="K187" s="85">
        <f t="shared" ref="K187" si="281">SUM(G187:J187)</f>
        <v>0</v>
      </c>
      <c r="L187" s="15"/>
      <c r="M187" s="16"/>
      <c r="N187" s="17"/>
      <c r="O187" s="17">
        <v>1</v>
      </c>
      <c r="P187" s="85">
        <f t="shared" ref="P187" si="282">SUM(L187:O187)</f>
        <v>1</v>
      </c>
      <c r="Q187" s="15"/>
      <c r="R187" s="16"/>
      <c r="S187" s="17"/>
      <c r="T187" s="17">
        <v>1</v>
      </c>
      <c r="U187" s="85">
        <f t="shared" ref="U187" si="283">SUM(Q187:T187)</f>
        <v>1</v>
      </c>
      <c r="V187" s="15"/>
      <c r="W187" s="16"/>
      <c r="X187" s="17"/>
      <c r="Y187" s="17">
        <v>1</v>
      </c>
      <c r="Z187" s="85">
        <f t="shared" ref="Z187" si="284">SUM(V187:Y187)</f>
        <v>1</v>
      </c>
      <c r="AA187" s="105">
        <f t="shared" ref="AA187" si="285">Z187+U187+P187+K187+F187</f>
        <v>3</v>
      </c>
      <c r="AB187" s="114">
        <v>45483</v>
      </c>
      <c r="AC187" s="23"/>
      <c r="AD187" s="15"/>
      <c r="AE187" s="16"/>
      <c r="AF187" s="17"/>
      <c r="AG187" s="17"/>
      <c r="AH187" s="85">
        <f t="shared" ref="AH187" si="286">SUM(AD187:AG187)</f>
        <v>0</v>
      </c>
      <c r="AI187" s="15"/>
      <c r="AJ187" s="16"/>
      <c r="AK187" s="17"/>
      <c r="AL187" s="17"/>
      <c r="AM187" s="85">
        <f t="shared" ref="AM187" si="287">SUM(AI187:AL187)</f>
        <v>0</v>
      </c>
      <c r="AN187" s="15"/>
      <c r="AO187" s="16"/>
      <c r="AP187" s="17"/>
      <c r="AQ187" s="17"/>
      <c r="AR187" s="85">
        <f t="shared" ref="AR187" si="288">SUM(AN187:AQ187)</f>
        <v>0</v>
      </c>
      <c r="AS187" s="15"/>
      <c r="AT187" s="16"/>
      <c r="AU187" s="17"/>
      <c r="AV187" s="17"/>
      <c r="AW187" s="85">
        <f t="shared" ref="AW187" si="289">SUM(AS187:AV187)</f>
        <v>0</v>
      </c>
      <c r="AX187" s="15"/>
      <c r="AY187" s="16"/>
      <c r="AZ187" s="17"/>
      <c r="BA187" s="17"/>
      <c r="BB187" s="85">
        <f t="shared" si="258"/>
        <v>0</v>
      </c>
      <c r="BC187" s="105">
        <f t="shared" si="259"/>
        <v>0</v>
      </c>
    </row>
    <row r="188" spans="1:56" x14ac:dyDescent="0.15">
      <c r="A188" s="23" t="s">
        <v>96</v>
      </c>
      <c r="B188" s="15"/>
      <c r="C188" s="16"/>
      <c r="D188" s="17"/>
      <c r="E188" s="17"/>
      <c r="F188" s="85">
        <f t="shared" si="248"/>
        <v>0</v>
      </c>
      <c r="G188" s="15"/>
      <c r="H188" s="16"/>
      <c r="I188" s="17"/>
      <c r="J188" s="17"/>
      <c r="K188" s="85">
        <f t="shared" si="249"/>
        <v>0</v>
      </c>
      <c r="L188" s="15"/>
      <c r="M188" s="16"/>
      <c r="N188" s="17"/>
      <c r="O188" s="17"/>
      <c r="P188" s="85">
        <f t="shared" si="250"/>
        <v>0</v>
      </c>
      <c r="Q188" s="15"/>
      <c r="R188" s="16"/>
      <c r="S188" s="17"/>
      <c r="T188" s="17"/>
      <c r="U188" s="85">
        <f t="shared" si="251"/>
        <v>0</v>
      </c>
      <c r="V188" s="15"/>
      <c r="W188" s="16">
        <v>2</v>
      </c>
      <c r="X188" s="17"/>
      <c r="Y188" s="17"/>
      <c r="Z188" s="85">
        <f t="shared" si="252"/>
        <v>2</v>
      </c>
      <c r="AA188" s="105">
        <f t="shared" si="253"/>
        <v>2</v>
      </c>
      <c r="AB188" s="114">
        <v>45489</v>
      </c>
      <c r="AC188" s="23"/>
      <c r="AD188" s="15"/>
      <c r="AE188" s="16"/>
      <c r="AF188" s="17"/>
      <c r="AG188" s="17"/>
      <c r="AH188" s="85">
        <f t="shared" si="254"/>
        <v>0</v>
      </c>
      <c r="AI188" s="15"/>
      <c r="AJ188" s="16"/>
      <c r="AK188" s="17"/>
      <c r="AL188" s="17"/>
      <c r="AM188" s="85">
        <f t="shared" si="255"/>
        <v>0</v>
      </c>
      <c r="AN188" s="15"/>
      <c r="AO188" s="16"/>
      <c r="AP188" s="17"/>
      <c r="AQ188" s="17"/>
      <c r="AR188" s="85">
        <f t="shared" si="256"/>
        <v>0</v>
      </c>
      <c r="AS188" s="15"/>
      <c r="AT188" s="16"/>
      <c r="AU188" s="17"/>
      <c r="AV188" s="17"/>
      <c r="AW188" s="85">
        <f t="shared" si="257"/>
        <v>0</v>
      </c>
      <c r="AX188" s="15"/>
      <c r="AY188" s="16"/>
      <c r="AZ188" s="17"/>
      <c r="BA188" s="17"/>
      <c r="BB188" s="85">
        <f t="shared" si="258"/>
        <v>0</v>
      </c>
      <c r="BC188" s="105">
        <f t="shared" si="259"/>
        <v>0</v>
      </c>
    </row>
    <row r="189" spans="1:56" x14ac:dyDescent="0.15">
      <c r="A189" s="23" t="s">
        <v>124</v>
      </c>
      <c r="B189" s="15"/>
      <c r="C189" s="16">
        <v>1</v>
      </c>
      <c r="D189" s="17"/>
      <c r="E189" s="17"/>
      <c r="F189" s="85">
        <f t="shared" si="248"/>
        <v>1</v>
      </c>
      <c r="G189" s="15"/>
      <c r="H189" s="16">
        <v>1</v>
      </c>
      <c r="I189" s="17"/>
      <c r="J189" s="17"/>
      <c r="K189" s="85">
        <f t="shared" si="249"/>
        <v>1</v>
      </c>
      <c r="L189" s="15"/>
      <c r="M189" s="16"/>
      <c r="N189" s="17"/>
      <c r="O189" s="17"/>
      <c r="P189" s="85">
        <f t="shared" si="250"/>
        <v>0</v>
      </c>
      <c r="Q189" s="15"/>
      <c r="R189" s="16"/>
      <c r="S189" s="17"/>
      <c r="T189" s="17"/>
      <c r="U189" s="85">
        <f t="shared" si="251"/>
        <v>0</v>
      </c>
      <c r="V189" s="15"/>
      <c r="W189" s="16">
        <v>1</v>
      </c>
      <c r="X189" s="17">
        <v>1</v>
      </c>
      <c r="Y189" s="17"/>
      <c r="Z189" s="85">
        <f t="shared" si="252"/>
        <v>2</v>
      </c>
      <c r="AA189" s="105">
        <f t="shared" si="253"/>
        <v>4</v>
      </c>
      <c r="AB189" s="114">
        <v>45484</v>
      </c>
      <c r="AC189" s="54"/>
      <c r="AD189" s="15"/>
      <c r="AE189" s="16"/>
      <c r="AF189" s="17"/>
      <c r="AG189" s="17"/>
      <c r="AH189" s="85">
        <f t="shared" si="254"/>
        <v>0</v>
      </c>
      <c r="AI189" s="15"/>
      <c r="AJ189" s="16"/>
      <c r="AK189" s="17"/>
      <c r="AL189" s="17"/>
      <c r="AM189" s="85">
        <f t="shared" si="255"/>
        <v>0</v>
      </c>
      <c r="AN189" s="15"/>
      <c r="AO189" s="16"/>
      <c r="AP189" s="17"/>
      <c r="AQ189" s="17"/>
      <c r="AR189" s="85">
        <f t="shared" si="256"/>
        <v>0</v>
      </c>
      <c r="AS189" s="15"/>
      <c r="AT189" s="16"/>
      <c r="AU189" s="17"/>
      <c r="AV189" s="17"/>
      <c r="AW189" s="85">
        <f t="shared" si="257"/>
        <v>0</v>
      </c>
      <c r="AX189" s="15"/>
      <c r="AY189" s="16"/>
      <c r="AZ189" s="17"/>
      <c r="BA189" s="17"/>
      <c r="BB189" s="85">
        <f t="shared" si="258"/>
        <v>0</v>
      </c>
      <c r="BC189" s="105">
        <f t="shared" si="259"/>
        <v>0</v>
      </c>
    </row>
    <row r="190" spans="1:56" x14ac:dyDescent="0.15">
      <c r="A190" s="23" t="s">
        <v>124</v>
      </c>
      <c r="B190" s="15"/>
      <c r="C190" s="16"/>
      <c r="D190" s="17"/>
      <c r="E190" s="17"/>
      <c r="F190" s="85">
        <f t="shared" si="248"/>
        <v>0</v>
      </c>
      <c r="G190" s="15"/>
      <c r="H190" s="16"/>
      <c r="I190" s="17"/>
      <c r="J190" s="17"/>
      <c r="K190" s="85">
        <f t="shared" si="249"/>
        <v>0</v>
      </c>
      <c r="L190" s="15"/>
      <c r="M190" s="16"/>
      <c r="N190" s="17">
        <v>1</v>
      </c>
      <c r="O190" s="17"/>
      <c r="P190" s="85">
        <f t="shared" si="250"/>
        <v>1</v>
      </c>
      <c r="Q190" s="15"/>
      <c r="R190" s="16"/>
      <c r="S190" s="17">
        <v>1</v>
      </c>
      <c r="T190" s="17"/>
      <c r="U190" s="85">
        <f t="shared" si="251"/>
        <v>1</v>
      </c>
      <c r="V190" s="15"/>
      <c r="W190" s="16"/>
      <c r="X190" s="17">
        <v>1</v>
      </c>
      <c r="Y190" s="17"/>
      <c r="Z190" s="85">
        <f t="shared" si="252"/>
        <v>1</v>
      </c>
      <c r="AA190" s="105">
        <f t="shared" si="253"/>
        <v>3</v>
      </c>
      <c r="AB190" s="114">
        <v>45485</v>
      </c>
      <c r="AC190" s="23"/>
      <c r="AD190" s="15"/>
      <c r="AE190" s="16"/>
      <c r="AF190" s="17"/>
      <c r="AG190" s="17"/>
      <c r="AH190" s="85">
        <f t="shared" si="254"/>
        <v>0</v>
      </c>
      <c r="AI190" s="15"/>
      <c r="AJ190" s="16"/>
      <c r="AK190" s="17"/>
      <c r="AL190" s="17"/>
      <c r="AM190" s="85">
        <f t="shared" si="255"/>
        <v>0</v>
      </c>
      <c r="AN190" s="15"/>
      <c r="AO190" s="16"/>
      <c r="AP190" s="17"/>
      <c r="AQ190" s="17"/>
      <c r="AR190" s="85">
        <f t="shared" si="256"/>
        <v>0</v>
      </c>
      <c r="AS190" s="15"/>
      <c r="AT190" s="16"/>
      <c r="AU190" s="17"/>
      <c r="AV190" s="17"/>
      <c r="AW190" s="85">
        <f t="shared" si="257"/>
        <v>0</v>
      </c>
      <c r="AX190" s="15"/>
      <c r="AY190" s="16"/>
      <c r="AZ190" s="17"/>
      <c r="BA190" s="17"/>
      <c r="BB190" s="85">
        <f t="shared" si="258"/>
        <v>0</v>
      </c>
      <c r="BC190" s="105">
        <f t="shared" si="259"/>
        <v>0</v>
      </c>
    </row>
    <row r="191" spans="1:56" x14ac:dyDescent="0.15">
      <c r="A191" s="23" t="s">
        <v>282</v>
      </c>
      <c r="B191" s="15"/>
      <c r="C191" s="16"/>
      <c r="D191" s="17"/>
      <c r="E191" s="17"/>
      <c r="F191" s="85">
        <f t="shared" si="248"/>
        <v>0</v>
      </c>
      <c r="G191" s="15"/>
      <c r="H191" s="16"/>
      <c r="I191" s="17"/>
      <c r="J191" s="17"/>
      <c r="K191" s="85">
        <f t="shared" si="249"/>
        <v>0</v>
      </c>
      <c r="L191" s="15">
        <v>-5</v>
      </c>
      <c r="M191" s="16"/>
      <c r="N191" s="17"/>
      <c r="O191" s="17"/>
      <c r="P191" s="85">
        <f t="shared" si="250"/>
        <v>-5</v>
      </c>
      <c r="Q191" s="15"/>
      <c r="R191" s="16"/>
      <c r="S191" s="17">
        <v>-5</v>
      </c>
      <c r="T191" s="17"/>
      <c r="U191" s="85">
        <f t="shared" si="251"/>
        <v>-5</v>
      </c>
      <c r="V191" s="15"/>
      <c r="W191" s="16"/>
      <c r="X191" s="17">
        <v>-5</v>
      </c>
      <c r="Y191" s="17"/>
      <c r="Z191" s="85">
        <f t="shared" si="252"/>
        <v>-5</v>
      </c>
      <c r="AA191" s="105">
        <f t="shared" si="253"/>
        <v>-15</v>
      </c>
      <c r="AB191" s="114">
        <v>45489</v>
      </c>
      <c r="AC191" s="23"/>
      <c r="AD191" s="15"/>
      <c r="AE191" s="16"/>
      <c r="AF191" s="17"/>
      <c r="AG191" s="17"/>
      <c r="AH191" s="85">
        <f t="shared" si="254"/>
        <v>0</v>
      </c>
      <c r="AI191" s="15"/>
      <c r="AJ191" s="16"/>
      <c r="AK191" s="17"/>
      <c r="AL191" s="17"/>
      <c r="AM191" s="85">
        <f t="shared" si="255"/>
        <v>0</v>
      </c>
      <c r="AN191" s="15"/>
      <c r="AO191" s="16"/>
      <c r="AP191" s="17"/>
      <c r="AQ191" s="17"/>
      <c r="AR191" s="85">
        <f t="shared" si="256"/>
        <v>0</v>
      </c>
      <c r="AS191" s="15"/>
      <c r="AT191" s="16"/>
      <c r="AU191" s="17"/>
      <c r="AV191" s="17"/>
      <c r="AW191" s="85">
        <f t="shared" si="257"/>
        <v>0</v>
      </c>
      <c r="AX191" s="15"/>
      <c r="AY191" s="16"/>
      <c r="AZ191" s="17"/>
      <c r="BA191" s="17"/>
      <c r="BB191" s="85">
        <f t="shared" si="258"/>
        <v>0</v>
      </c>
      <c r="BC191" s="105">
        <f t="shared" si="259"/>
        <v>0</v>
      </c>
    </row>
    <row r="192" spans="1:56" x14ac:dyDescent="0.15">
      <c r="A192" s="23" t="s">
        <v>124</v>
      </c>
      <c r="B192" s="18"/>
      <c r="C192" s="19"/>
      <c r="D192" s="20"/>
      <c r="E192" s="20"/>
      <c r="F192" s="85">
        <f t="shared" si="248"/>
        <v>0</v>
      </c>
      <c r="G192" s="18"/>
      <c r="H192" s="19"/>
      <c r="I192" s="20"/>
      <c r="J192" s="20"/>
      <c r="K192" s="85">
        <f t="shared" si="249"/>
        <v>0</v>
      </c>
      <c r="L192" s="18"/>
      <c r="M192" s="19"/>
      <c r="N192" s="20"/>
      <c r="O192" s="20"/>
      <c r="P192" s="85">
        <f t="shared" si="250"/>
        <v>0</v>
      </c>
      <c r="Q192" s="18"/>
      <c r="R192" s="19"/>
      <c r="S192" s="20">
        <v>1</v>
      </c>
      <c r="T192" s="20"/>
      <c r="U192" s="85">
        <f t="shared" si="251"/>
        <v>1</v>
      </c>
      <c r="V192" s="18"/>
      <c r="W192" s="19"/>
      <c r="X192" s="20"/>
      <c r="Y192" s="20"/>
      <c r="Z192" s="85">
        <f t="shared" si="252"/>
        <v>0</v>
      </c>
      <c r="AA192" s="105">
        <f t="shared" si="253"/>
        <v>1</v>
      </c>
      <c r="AB192" s="114">
        <v>45490</v>
      </c>
      <c r="AC192" s="23"/>
      <c r="AD192" s="18"/>
      <c r="AE192" s="19"/>
      <c r="AF192" s="20"/>
      <c r="AG192" s="20"/>
      <c r="AH192" s="85">
        <f t="shared" si="254"/>
        <v>0</v>
      </c>
      <c r="AI192" s="18"/>
      <c r="AJ192" s="19"/>
      <c r="AK192" s="20"/>
      <c r="AL192" s="20"/>
      <c r="AM192" s="85">
        <f t="shared" si="255"/>
        <v>0</v>
      </c>
      <c r="AN192" s="18"/>
      <c r="AO192" s="19"/>
      <c r="AP192" s="20"/>
      <c r="AQ192" s="20"/>
      <c r="AR192" s="85">
        <f t="shared" si="256"/>
        <v>0</v>
      </c>
      <c r="AS192" s="18"/>
      <c r="AT192" s="19"/>
      <c r="AU192" s="20"/>
      <c r="AV192" s="20"/>
      <c r="AW192" s="85">
        <f t="shared" si="257"/>
        <v>0</v>
      </c>
      <c r="AX192" s="18"/>
      <c r="AY192" s="19"/>
      <c r="AZ192" s="20"/>
      <c r="BA192" s="20"/>
      <c r="BB192" s="85">
        <f t="shared" si="258"/>
        <v>0</v>
      </c>
      <c r="BC192" s="105">
        <f t="shared" si="259"/>
        <v>0</v>
      </c>
    </row>
    <row r="193" spans="1:61" x14ac:dyDescent="0.15">
      <c r="A193" s="23" t="s">
        <v>124</v>
      </c>
      <c r="B193" s="16"/>
      <c r="C193" s="16"/>
      <c r="D193" s="17"/>
      <c r="E193" s="17"/>
      <c r="F193" s="85">
        <f t="shared" si="248"/>
        <v>0</v>
      </c>
      <c r="G193" s="16"/>
      <c r="H193" s="16"/>
      <c r="I193" s="17"/>
      <c r="J193" s="17"/>
      <c r="K193" s="85">
        <f t="shared" si="249"/>
        <v>0</v>
      </c>
      <c r="L193" s="16"/>
      <c r="M193" s="16"/>
      <c r="N193" s="17"/>
      <c r="O193" s="17"/>
      <c r="P193" s="85">
        <f t="shared" si="250"/>
        <v>0</v>
      </c>
      <c r="Q193" s="16"/>
      <c r="R193" s="16"/>
      <c r="S193" s="17"/>
      <c r="T193" s="17"/>
      <c r="U193" s="85">
        <f t="shared" si="251"/>
        <v>0</v>
      </c>
      <c r="V193" s="16">
        <v>1</v>
      </c>
      <c r="W193" s="16"/>
      <c r="X193" s="17"/>
      <c r="Y193" s="17"/>
      <c r="Z193" s="85">
        <f t="shared" si="252"/>
        <v>1</v>
      </c>
      <c r="AA193" s="105">
        <f t="shared" si="253"/>
        <v>1</v>
      </c>
      <c r="AB193" s="114">
        <v>45495</v>
      </c>
      <c r="AC193" s="23"/>
      <c r="AD193" s="16"/>
      <c r="AE193" s="16"/>
      <c r="AF193" s="17"/>
      <c r="AG193" s="17"/>
      <c r="AH193" s="85">
        <f t="shared" si="254"/>
        <v>0</v>
      </c>
      <c r="AI193" s="16"/>
      <c r="AJ193" s="16"/>
      <c r="AK193" s="17"/>
      <c r="AL193" s="17"/>
      <c r="AM193" s="85">
        <f t="shared" si="255"/>
        <v>0</v>
      </c>
      <c r="AN193" s="16"/>
      <c r="AO193" s="16"/>
      <c r="AP193" s="17"/>
      <c r="AQ193" s="17"/>
      <c r="AR193" s="85">
        <f t="shared" si="256"/>
        <v>0</v>
      </c>
      <c r="AS193" s="16"/>
      <c r="AT193" s="16"/>
      <c r="AU193" s="17"/>
      <c r="AV193" s="17"/>
      <c r="AW193" s="85">
        <f t="shared" si="257"/>
        <v>0</v>
      </c>
      <c r="AX193" s="16"/>
      <c r="AY193" s="16"/>
      <c r="AZ193" s="17"/>
      <c r="BA193" s="17"/>
      <c r="BB193" s="85">
        <f t="shared" si="258"/>
        <v>0</v>
      </c>
      <c r="BC193" s="105">
        <f t="shared" si="259"/>
        <v>0</v>
      </c>
    </row>
    <row r="194" spans="1:61" x14ac:dyDescent="0.15">
      <c r="A194" s="23" t="s">
        <v>124</v>
      </c>
      <c r="B194" s="15"/>
      <c r="C194" s="25">
        <v>1</v>
      </c>
      <c r="D194" s="17"/>
      <c r="E194" s="17"/>
      <c r="F194" s="85">
        <f t="shared" si="248"/>
        <v>1</v>
      </c>
      <c r="G194" s="15"/>
      <c r="H194" s="25">
        <v>1</v>
      </c>
      <c r="I194" s="17"/>
      <c r="J194" s="17"/>
      <c r="K194" s="85">
        <f t="shared" si="249"/>
        <v>1</v>
      </c>
      <c r="L194" s="15"/>
      <c r="M194" s="25"/>
      <c r="N194" s="17"/>
      <c r="O194" s="17"/>
      <c r="P194" s="85">
        <f t="shared" si="250"/>
        <v>0</v>
      </c>
      <c r="Q194" s="15"/>
      <c r="R194" s="25"/>
      <c r="S194" s="17">
        <v>1</v>
      </c>
      <c r="T194" s="17"/>
      <c r="U194" s="85">
        <f t="shared" si="251"/>
        <v>1</v>
      </c>
      <c r="V194" s="15"/>
      <c r="W194" s="25">
        <v>1</v>
      </c>
      <c r="X194" s="17"/>
      <c r="Y194" s="17"/>
      <c r="Z194" s="85">
        <f t="shared" si="252"/>
        <v>1</v>
      </c>
      <c r="AA194" s="105">
        <f t="shared" si="253"/>
        <v>4</v>
      </c>
      <c r="AB194" s="115">
        <v>45496</v>
      </c>
      <c r="AC194" s="23"/>
      <c r="AD194" s="15"/>
      <c r="AE194" s="25"/>
      <c r="AF194" s="17"/>
      <c r="AG194" s="17"/>
      <c r="AH194" s="85">
        <f t="shared" si="254"/>
        <v>0</v>
      </c>
      <c r="AI194" s="15"/>
      <c r="AJ194" s="25"/>
      <c r="AK194" s="17"/>
      <c r="AL194" s="17"/>
      <c r="AM194" s="85">
        <f t="shared" si="255"/>
        <v>0</v>
      </c>
      <c r="AN194" s="15"/>
      <c r="AO194" s="25"/>
      <c r="AP194" s="17"/>
      <c r="AQ194" s="17"/>
      <c r="AR194" s="85">
        <f t="shared" si="256"/>
        <v>0</v>
      </c>
      <c r="AS194" s="15"/>
      <c r="AT194" s="25"/>
      <c r="AU194" s="17"/>
      <c r="AV194" s="17"/>
      <c r="AW194" s="85">
        <f t="shared" si="257"/>
        <v>0</v>
      </c>
      <c r="AX194" s="15"/>
      <c r="AY194" s="25"/>
      <c r="AZ194" s="17"/>
      <c r="BA194" s="17"/>
      <c r="BB194" s="85">
        <f t="shared" si="258"/>
        <v>0</v>
      </c>
      <c r="BC194" s="105">
        <f t="shared" si="259"/>
        <v>0</v>
      </c>
    </row>
    <row r="195" spans="1:61" x14ac:dyDescent="0.15">
      <c r="A195" s="23" t="s">
        <v>289</v>
      </c>
      <c r="B195" s="15"/>
      <c r="C195" s="16"/>
      <c r="D195" s="16"/>
      <c r="E195" s="63"/>
      <c r="F195" s="85">
        <f t="shared" si="248"/>
        <v>0</v>
      </c>
      <c r="G195" s="15"/>
      <c r="H195" s="16"/>
      <c r="I195" s="16"/>
      <c r="J195" s="63"/>
      <c r="K195" s="85">
        <f t="shared" si="249"/>
        <v>0</v>
      </c>
      <c r="L195" s="15"/>
      <c r="M195" s="16"/>
      <c r="N195" s="16"/>
      <c r="O195" s="63"/>
      <c r="P195" s="85">
        <f t="shared" si="250"/>
        <v>0</v>
      </c>
      <c r="Q195" s="15"/>
      <c r="R195" s="16"/>
      <c r="S195" s="16">
        <v>-1</v>
      </c>
      <c r="T195" s="63"/>
      <c r="U195" s="85">
        <f t="shared" si="251"/>
        <v>-1</v>
      </c>
      <c r="V195" s="15"/>
      <c r="W195" s="16"/>
      <c r="X195" s="16"/>
      <c r="Y195" s="63"/>
      <c r="Z195" s="85">
        <f t="shared" si="252"/>
        <v>0</v>
      </c>
      <c r="AA195" s="105">
        <f t="shared" si="253"/>
        <v>-1</v>
      </c>
      <c r="AB195" s="115">
        <v>45496</v>
      </c>
      <c r="AC195" s="102" t="s">
        <v>237</v>
      </c>
      <c r="AD195" s="15"/>
      <c r="AE195" s="16"/>
      <c r="AF195" s="16"/>
      <c r="AG195" s="179"/>
      <c r="AH195" s="85">
        <f t="shared" si="254"/>
        <v>0</v>
      </c>
      <c r="AI195" s="15"/>
      <c r="AJ195" s="16"/>
      <c r="AK195" s="16"/>
      <c r="AL195" s="179"/>
      <c r="AM195" s="85">
        <f t="shared" si="255"/>
        <v>0</v>
      </c>
      <c r="AN195" s="15"/>
      <c r="AO195" s="16"/>
      <c r="AP195" s="16"/>
      <c r="AQ195" s="179"/>
      <c r="AR195" s="85">
        <f t="shared" si="256"/>
        <v>0</v>
      </c>
      <c r="AS195" s="15"/>
      <c r="AT195" s="16"/>
      <c r="AU195" s="16"/>
      <c r="AV195" s="179"/>
      <c r="AW195" s="85">
        <f t="shared" si="257"/>
        <v>0</v>
      </c>
      <c r="AX195" s="15"/>
      <c r="AY195" s="16"/>
      <c r="AZ195" s="16"/>
      <c r="BA195" s="179"/>
      <c r="BB195" s="85">
        <f t="shared" si="258"/>
        <v>0</v>
      </c>
      <c r="BC195" s="105">
        <f t="shared" si="259"/>
        <v>0</v>
      </c>
      <c r="BD195" s="114">
        <v>45454</v>
      </c>
    </row>
    <row r="196" spans="1:61" ht="14.25" thickBot="1" x14ac:dyDescent="0.2">
      <c r="A196" s="53"/>
      <c r="B196" s="18"/>
      <c r="C196" s="19"/>
      <c r="D196" s="19"/>
      <c r="E196" s="64"/>
      <c r="F196" s="86">
        <f t="shared" si="248"/>
        <v>0</v>
      </c>
      <c r="G196" s="18"/>
      <c r="H196" s="19"/>
      <c r="I196" s="19"/>
      <c r="J196" s="64"/>
      <c r="K196" s="86">
        <f t="shared" si="249"/>
        <v>0</v>
      </c>
      <c r="L196" s="18"/>
      <c r="M196" s="19"/>
      <c r="N196" s="19"/>
      <c r="O196" s="64"/>
      <c r="P196" s="86">
        <f t="shared" si="250"/>
        <v>0</v>
      </c>
      <c r="Q196" s="18"/>
      <c r="R196" s="19"/>
      <c r="S196" s="19"/>
      <c r="T196" s="64"/>
      <c r="U196" s="86">
        <f t="shared" si="251"/>
        <v>0</v>
      </c>
      <c r="V196" s="18"/>
      <c r="W196" s="19"/>
      <c r="X196" s="19"/>
      <c r="Y196" s="64"/>
      <c r="Z196" s="86">
        <f t="shared" si="252"/>
        <v>0</v>
      </c>
      <c r="AA196" s="106">
        <f t="shared" si="253"/>
        <v>0</v>
      </c>
      <c r="AC196" s="102" t="s">
        <v>238</v>
      </c>
      <c r="AD196" s="10"/>
      <c r="AE196" s="11"/>
      <c r="AF196" s="12"/>
      <c r="AG196" s="133"/>
      <c r="AH196" s="84">
        <f t="shared" si="254"/>
        <v>0</v>
      </c>
      <c r="AI196" s="10"/>
      <c r="AJ196" s="11"/>
      <c r="AK196" s="12"/>
      <c r="AL196" s="133"/>
      <c r="AM196" s="84">
        <f t="shared" si="255"/>
        <v>0</v>
      </c>
      <c r="AN196" s="10"/>
      <c r="AO196" s="11"/>
      <c r="AP196" s="12"/>
      <c r="AQ196" s="133"/>
      <c r="AR196" s="84">
        <f t="shared" si="256"/>
        <v>0</v>
      </c>
      <c r="AS196" s="10"/>
      <c r="AT196" s="11"/>
      <c r="AU196" s="12"/>
      <c r="AV196" s="133"/>
      <c r="AW196" s="84">
        <f t="shared" si="257"/>
        <v>0</v>
      </c>
      <c r="AX196" s="10"/>
      <c r="AY196" s="11"/>
      <c r="AZ196" s="12"/>
      <c r="BA196" s="133"/>
      <c r="BB196" s="85">
        <f t="shared" si="258"/>
        <v>0</v>
      </c>
      <c r="BC196" s="105">
        <f t="shared" si="259"/>
        <v>0</v>
      </c>
      <c r="BD196" s="114">
        <v>45454</v>
      </c>
    </row>
    <row r="197" spans="1:61" ht="14.25" thickBot="1" x14ac:dyDescent="0.2">
      <c r="A197" s="27" t="s">
        <v>12</v>
      </c>
      <c r="B197" s="57">
        <f>SUM(B171:B196)</f>
        <v>2</v>
      </c>
      <c r="C197" s="50">
        <f t="shared" ref="C197:D197" si="290">SUM(C171:C196)</f>
        <v>6</v>
      </c>
      <c r="D197" s="50">
        <f t="shared" si="290"/>
        <v>0</v>
      </c>
      <c r="E197" s="50">
        <f>SUM(E171:E196)</f>
        <v>-1</v>
      </c>
      <c r="F197" s="88">
        <f t="shared" si="248"/>
        <v>7</v>
      </c>
      <c r="G197" s="57">
        <f>SUM(G171:G196)</f>
        <v>1</v>
      </c>
      <c r="H197" s="50">
        <f t="shared" ref="H197:I197" si="291">SUM(H171:H196)</f>
        <v>7</v>
      </c>
      <c r="I197" s="50">
        <f t="shared" si="291"/>
        <v>0</v>
      </c>
      <c r="J197" s="50">
        <f>SUM(J171:J196)</f>
        <v>-1</v>
      </c>
      <c r="K197" s="88">
        <f t="shared" si="249"/>
        <v>7</v>
      </c>
      <c r="L197" s="57">
        <f>SUM(L171:L196)</f>
        <v>3</v>
      </c>
      <c r="M197" s="50">
        <f t="shared" ref="M197:N197" si="292">SUM(M171:M196)</f>
        <v>3</v>
      </c>
      <c r="N197" s="50">
        <f t="shared" si="292"/>
        <v>7</v>
      </c>
      <c r="O197" s="50">
        <f>SUM(O171:O196)</f>
        <v>0</v>
      </c>
      <c r="P197" s="88">
        <f t="shared" si="250"/>
        <v>13</v>
      </c>
      <c r="Q197" s="57">
        <f>SUM(Q171:Q196)</f>
        <v>4</v>
      </c>
      <c r="R197" s="50">
        <f t="shared" ref="R197:S197" si="293">SUM(R171:R196)</f>
        <v>4</v>
      </c>
      <c r="S197" s="50">
        <f t="shared" si="293"/>
        <v>3</v>
      </c>
      <c r="T197" s="50">
        <f>SUM(T171:T196)</f>
        <v>0</v>
      </c>
      <c r="U197" s="88">
        <f t="shared" si="251"/>
        <v>11</v>
      </c>
      <c r="V197" s="57">
        <f>SUM(V171:V196)</f>
        <v>7</v>
      </c>
      <c r="W197" s="50">
        <f t="shared" ref="W197:X197" si="294">SUM(W171:W196)</f>
        <v>8</v>
      </c>
      <c r="X197" s="50">
        <f t="shared" si="294"/>
        <v>6</v>
      </c>
      <c r="Y197" s="50">
        <f>SUM(Y171:Y196)</f>
        <v>1</v>
      </c>
      <c r="Z197" s="88">
        <f t="shared" si="252"/>
        <v>22</v>
      </c>
      <c r="AA197" s="109">
        <f t="shared" si="253"/>
        <v>60</v>
      </c>
      <c r="AC197" s="27" t="s">
        <v>12</v>
      </c>
      <c r="AD197" s="57">
        <f>SUM(AD171:AD196)</f>
        <v>753</v>
      </c>
      <c r="AE197" s="50">
        <f t="shared" ref="AE197:AF197" si="295">SUM(AE171:AE196)</f>
        <v>825</v>
      </c>
      <c r="AF197" s="50">
        <f t="shared" si="295"/>
        <v>400</v>
      </c>
      <c r="AG197" s="50">
        <f>SUM(AG171:AG196)</f>
        <v>4</v>
      </c>
      <c r="AH197" s="88">
        <f t="shared" si="254"/>
        <v>1982</v>
      </c>
      <c r="AI197" s="57">
        <f>SUM(AI171:AI196)</f>
        <v>755</v>
      </c>
      <c r="AJ197" s="50">
        <f t="shared" ref="AJ197:AK197" si="296">SUM(AJ171:AJ196)</f>
        <v>826</v>
      </c>
      <c r="AK197" s="50">
        <f t="shared" si="296"/>
        <v>404</v>
      </c>
      <c r="AL197" s="50">
        <f>SUM(AL171:AL196)</f>
        <v>6</v>
      </c>
      <c r="AM197" s="88">
        <f t="shared" si="255"/>
        <v>1991</v>
      </c>
      <c r="AN197" s="57">
        <f>SUM(AN171:AN196)</f>
        <v>287</v>
      </c>
      <c r="AO197" s="50">
        <f t="shared" ref="AO197:AP197" si="297">SUM(AO171:AO196)</f>
        <v>288</v>
      </c>
      <c r="AP197" s="50">
        <f t="shared" si="297"/>
        <v>167</v>
      </c>
      <c r="AQ197" s="50">
        <f>SUM(AQ171:AQ196)</f>
        <v>11</v>
      </c>
      <c r="AR197" s="88">
        <f t="shared" si="256"/>
        <v>753</v>
      </c>
      <c r="AS197" s="57">
        <f>SUM(AS171:AS196)</f>
        <v>776</v>
      </c>
      <c r="AT197" s="50">
        <f t="shared" ref="AT197:AU197" si="298">SUM(AT171:AT196)</f>
        <v>846</v>
      </c>
      <c r="AU197" s="50">
        <f t="shared" si="298"/>
        <v>419</v>
      </c>
      <c r="AV197" s="50">
        <f>SUM(AV171:AV196)</f>
        <v>12</v>
      </c>
      <c r="AW197" s="88">
        <f t="shared" si="257"/>
        <v>2053</v>
      </c>
      <c r="AX197" s="57">
        <f>SUM(AX171:AX196)</f>
        <v>288</v>
      </c>
      <c r="AY197" s="50">
        <f t="shared" ref="AY197:AZ197" si="299">SUM(AY171:AY196)</f>
        <v>283</v>
      </c>
      <c r="AZ197" s="50">
        <f t="shared" si="299"/>
        <v>173</v>
      </c>
      <c r="BA197" s="50">
        <f>SUM(BA171:BA196)</f>
        <v>16</v>
      </c>
      <c r="BB197" s="88">
        <f t="shared" si="258"/>
        <v>760</v>
      </c>
      <c r="BC197" s="109">
        <f t="shared" si="259"/>
        <v>7539</v>
      </c>
    </row>
    <row r="198" spans="1:61" ht="14.25" thickBot="1" x14ac:dyDescent="0.2">
      <c r="A198" s="21" t="s">
        <v>13</v>
      </c>
      <c r="B198" s="101">
        <f>B170-B197</f>
        <v>14</v>
      </c>
      <c r="C198" s="8">
        <f t="shared" ref="C198:D198" si="300">C170-C197</f>
        <v>8</v>
      </c>
      <c r="D198" s="8">
        <f t="shared" si="300"/>
        <v>7</v>
      </c>
      <c r="E198" s="8">
        <f>E170-E197</f>
        <v>12</v>
      </c>
      <c r="F198" s="87">
        <f t="shared" si="248"/>
        <v>41</v>
      </c>
      <c r="G198" s="101">
        <f>G170-G197</f>
        <v>13</v>
      </c>
      <c r="H198" s="8">
        <f t="shared" ref="H198:I198" si="301">H170-H197</f>
        <v>8</v>
      </c>
      <c r="I198" s="8">
        <f t="shared" si="301"/>
        <v>7</v>
      </c>
      <c r="J198" s="8">
        <f>J170-J197</f>
        <v>13</v>
      </c>
      <c r="K198" s="87">
        <f t="shared" si="249"/>
        <v>41</v>
      </c>
      <c r="L198" s="101">
        <f>L170-L197</f>
        <v>9</v>
      </c>
      <c r="M198" s="8">
        <f t="shared" ref="M198:N198" si="302">M170-M197</f>
        <v>11</v>
      </c>
      <c r="N198" s="8">
        <f t="shared" si="302"/>
        <v>8</v>
      </c>
      <c r="O198" s="8">
        <f>O170-O197</f>
        <v>10</v>
      </c>
      <c r="P198" s="87">
        <f t="shared" si="250"/>
        <v>38</v>
      </c>
      <c r="Q198" s="101">
        <f>Q170-Q197</f>
        <v>10</v>
      </c>
      <c r="R198" s="8">
        <f t="shared" ref="R198:S198" si="303">R170-R197</f>
        <v>12</v>
      </c>
      <c r="S198" s="8">
        <f t="shared" si="303"/>
        <v>9</v>
      </c>
      <c r="T198" s="8">
        <f>T170-T197</f>
        <v>8</v>
      </c>
      <c r="U198" s="87">
        <f t="shared" si="251"/>
        <v>39</v>
      </c>
      <c r="V198" s="101">
        <f>V170-V197</f>
        <v>5</v>
      </c>
      <c r="W198" s="8">
        <f t="shared" ref="W198:X198" si="304">W170-W197</f>
        <v>9</v>
      </c>
      <c r="X198" s="8">
        <f t="shared" si="304"/>
        <v>9</v>
      </c>
      <c r="Y198" s="8">
        <f>Y170-Y197</f>
        <v>12</v>
      </c>
      <c r="Z198" s="87">
        <f t="shared" si="252"/>
        <v>35</v>
      </c>
      <c r="AA198" s="107">
        <f t="shared" si="253"/>
        <v>194</v>
      </c>
      <c r="AC198" s="29" t="s">
        <v>13</v>
      </c>
      <c r="AD198" s="32">
        <f>AD170-AD197</f>
        <v>130</v>
      </c>
      <c r="AE198" s="44">
        <f t="shared" ref="AE198:AF198" si="305">AE170-AE197</f>
        <v>443</v>
      </c>
      <c r="AF198" s="44">
        <f t="shared" si="305"/>
        <v>97</v>
      </c>
      <c r="AG198" s="44">
        <f>AG170-AG197</f>
        <v>470</v>
      </c>
      <c r="AH198" s="87">
        <f t="shared" si="254"/>
        <v>1140</v>
      </c>
      <c r="AI198" s="32">
        <f>AI170-AI197</f>
        <v>126</v>
      </c>
      <c r="AJ198" s="44">
        <f t="shared" ref="AJ198:AK198" si="306">AJ170-AJ197</f>
        <v>456</v>
      </c>
      <c r="AK198" s="44">
        <f t="shared" si="306"/>
        <v>104</v>
      </c>
      <c r="AL198" s="44">
        <f>AL170-AL197</f>
        <v>482</v>
      </c>
      <c r="AM198" s="87">
        <f t="shared" si="255"/>
        <v>1168</v>
      </c>
      <c r="AN198" s="32">
        <f>AN170-AN197</f>
        <v>292</v>
      </c>
      <c r="AO198" s="44">
        <f t="shared" ref="AO198:AP198" si="307">AO170-AO197</f>
        <v>643</v>
      </c>
      <c r="AP198" s="44">
        <f t="shared" si="307"/>
        <v>271</v>
      </c>
      <c r="AQ198" s="44">
        <f>AQ170-AQ197</f>
        <v>455</v>
      </c>
      <c r="AR198" s="87">
        <f t="shared" si="256"/>
        <v>1661</v>
      </c>
      <c r="AS198" s="32">
        <f>AS170-AS197</f>
        <v>177</v>
      </c>
      <c r="AT198" s="44">
        <f t="shared" ref="AT198:AU198" si="308">AT170-AT197</f>
        <v>609</v>
      </c>
      <c r="AU198" s="44">
        <f t="shared" si="308"/>
        <v>227</v>
      </c>
      <c r="AV198" s="44">
        <f>AV170-AV197</f>
        <v>619</v>
      </c>
      <c r="AW198" s="87">
        <f t="shared" si="257"/>
        <v>1632</v>
      </c>
      <c r="AX198" s="32">
        <f>AX170-AX197</f>
        <v>1226</v>
      </c>
      <c r="AY198" s="44">
        <f t="shared" ref="AY198:AZ198" si="309">AY170-AY197</f>
        <v>1275</v>
      </c>
      <c r="AZ198" s="44">
        <f t="shared" si="309"/>
        <v>678</v>
      </c>
      <c r="BA198" s="44">
        <f>BA170-BA197</f>
        <v>265</v>
      </c>
      <c r="BB198" s="87">
        <f t="shared" si="258"/>
        <v>3444</v>
      </c>
      <c r="BC198" s="107">
        <f t="shared" si="259"/>
        <v>9045</v>
      </c>
    </row>
    <row r="201" spans="1:61" ht="19.5" thickBot="1" x14ac:dyDescent="0.25">
      <c r="A201" s="271" t="s">
        <v>22</v>
      </c>
      <c r="B201" s="271"/>
      <c r="C201" s="271"/>
      <c r="D201" s="271"/>
      <c r="E201" s="271"/>
      <c r="F201" s="271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C201" s="79" t="s">
        <v>69</v>
      </c>
      <c r="AD201" s="79"/>
      <c r="AE201" s="79"/>
      <c r="AF201" s="79"/>
      <c r="AG201" s="79"/>
      <c r="AH201" s="79"/>
      <c r="AI201" s="93"/>
      <c r="AJ201" s="93"/>
      <c r="AK201" s="93"/>
      <c r="AL201" s="93"/>
      <c r="AM201" s="93"/>
      <c r="AN201" s="93"/>
      <c r="AO201" s="93"/>
      <c r="AP201" s="93"/>
      <c r="AQ201" s="93"/>
      <c r="AR201" s="93"/>
      <c r="AS201" s="93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</row>
    <row r="202" spans="1:61" ht="14.25" thickBot="1" x14ac:dyDescent="0.2">
      <c r="A202" s="2" t="s">
        <v>0</v>
      </c>
      <c r="B202" s="256" t="s">
        <v>23</v>
      </c>
      <c r="C202" s="257"/>
      <c r="D202" s="257"/>
      <c r="E202" s="258"/>
      <c r="F202" s="81"/>
      <c r="G202" s="259" t="s">
        <v>24</v>
      </c>
      <c r="H202" s="260"/>
      <c r="I202" s="260"/>
      <c r="J202" s="261"/>
      <c r="K202" s="81"/>
      <c r="L202" s="262" t="s">
        <v>25</v>
      </c>
      <c r="M202" s="263"/>
      <c r="N202" s="263"/>
      <c r="O202" s="264"/>
      <c r="P202" s="81"/>
      <c r="Q202" s="265" t="s">
        <v>26</v>
      </c>
      <c r="R202" s="266"/>
      <c r="S202" s="266"/>
      <c r="T202" s="267"/>
      <c r="U202" s="81"/>
      <c r="V202" s="268" t="s">
        <v>27</v>
      </c>
      <c r="W202" s="269"/>
      <c r="X202" s="269"/>
      <c r="Y202" s="270"/>
      <c r="Z202" s="81"/>
      <c r="AA202" s="272" t="s">
        <v>6</v>
      </c>
      <c r="AC202" s="2" t="s">
        <v>0</v>
      </c>
      <c r="AD202" s="256" t="s">
        <v>23</v>
      </c>
      <c r="AE202" s="257"/>
      <c r="AF202" s="257"/>
      <c r="AG202" s="258"/>
      <c r="AH202" s="81"/>
      <c r="AI202" s="259" t="s">
        <v>24</v>
      </c>
      <c r="AJ202" s="260"/>
      <c r="AK202" s="260"/>
      <c r="AL202" s="261"/>
      <c r="AM202" s="81"/>
      <c r="AN202" s="262" t="s">
        <v>25</v>
      </c>
      <c r="AO202" s="263"/>
      <c r="AP202" s="263"/>
      <c r="AQ202" s="264"/>
      <c r="AR202" s="81"/>
      <c r="AS202" s="265" t="s">
        <v>26</v>
      </c>
      <c r="AT202" s="266"/>
      <c r="AU202" s="266"/>
      <c r="AV202" s="267"/>
      <c r="AW202" s="81"/>
      <c r="AX202" s="268" t="s">
        <v>27</v>
      </c>
      <c r="AY202" s="269"/>
      <c r="AZ202" s="269"/>
      <c r="BA202" s="270"/>
      <c r="BB202" s="81"/>
      <c r="BC202" s="272" t="s">
        <v>6</v>
      </c>
    </row>
    <row r="203" spans="1:61" ht="14.25" thickBot="1" x14ac:dyDescent="0.2">
      <c r="A203" s="2" t="s">
        <v>2</v>
      </c>
      <c r="B203" s="3" t="s">
        <v>3</v>
      </c>
      <c r="C203" s="4" t="s">
        <v>4</v>
      </c>
      <c r="D203" s="5" t="s">
        <v>5</v>
      </c>
      <c r="E203" s="5" t="s">
        <v>20</v>
      </c>
      <c r="F203" s="82" t="s">
        <v>6</v>
      </c>
      <c r="G203" s="89" t="s">
        <v>3</v>
      </c>
      <c r="H203" s="4" t="s">
        <v>4</v>
      </c>
      <c r="I203" s="5" t="s">
        <v>5</v>
      </c>
      <c r="J203" s="5" t="s">
        <v>20</v>
      </c>
      <c r="K203" s="82" t="s">
        <v>6</v>
      </c>
      <c r="L203" s="89" t="s">
        <v>3</v>
      </c>
      <c r="M203" s="4" t="s">
        <v>4</v>
      </c>
      <c r="N203" s="5" t="s">
        <v>5</v>
      </c>
      <c r="O203" s="5" t="s">
        <v>20</v>
      </c>
      <c r="P203" s="82" t="s">
        <v>6</v>
      </c>
      <c r="Q203" s="89" t="s">
        <v>3</v>
      </c>
      <c r="R203" s="4" t="s">
        <v>4</v>
      </c>
      <c r="S203" s="5" t="s">
        <v>5</v>
      </c>
      <c r="T203" s="5" t="s">
        <v>20</v>
      </c>
      <c r="U203" s="82" t="s">
        <v>6</v>
      </c>
      <c r="V203" s="89" t="s">
        <v>3</v>
      </c>
      <c r="W203" s="4" t="s">
        <v>4</v>
      </c>
      <c r="X203" s="5" t="s">
        <v>5</v>
      </c>
      <c r="Y203" s="5" t="s">
        <v>20</v>
      </c>
      <c r="Z203" s="82" t="s">
        <v>6</v>
      </c>
      <c r="AA203" s="273"/>
      <c r="AC203" s="2" t="s">
        <v>2</v>
      </c>
      <c r="AD203" s="3" t="s">
        <v>3</v>
      </c>
      <c r="AE203" s="4" t="s">
        <v>4</v>
      </c>
      <c r="AF203" s="5" t="s">
        <v>5</v>
      </c>
      <c r="AG203" s="5" t="s">
        <v>20</v>
      </c>
      <c r="AH203" s="82" t="s">
        <v>6</v>
      </c>
      <c r="AI203" s="89" t="s">
        <v>3</v>
      </c>
      <c r="AJ203" s="4" t="s">
        <v>4</v>
      </c>
      <c r="AK203" s="5" t="s">
        <v>5</v>
      </c>
      <c r="AL203" s="5" t="s">
        <v>20</v>
      </c>
      <c r="AM203" s="82" t="s">
        <v>6</v>
      </c>
      <c r="AN203" s="89" t="s">
        <v>3</v>
      </c>
      <c r="AO203" s="4" t="s">
        <v>4</v>
      </c>
      <c r="AP203" s="5" t="s">
        <v>5</v>
      </c>
      <c r="AQ203" s="5" t="s">
        <v>20</v>
      </c>
      <c r="AR203" s="82" t="s">
        <v>6</v>
      </c>
      <c r="AS203" s="89" t="s">
        <v>3</v>
      </c>
      <c r="AT203" s="4" t="s">
        <v>4</v>
      </c>
      <c r="AU203" s="5" t="s">
        <v>5</v>
      </c>
      <c r="AV203" s="5" t="s">
        <v>20</v>
      </c>
      <c r="AW203" s="82" t="s">
        <v>6</v>
      </c>
      <c r="AX203" s="89" t="s">
        <v>3</v>
      </c>
      <c r="AY203" s="4" t="s">
        <v>4</v>
      </c>
      <c r="AZ203" s="5" t="s">
        <v>5</v>
      </c>
      <c r="BA203" s="5" t="s">
        <v>20</v>
      </c>
      <c r="BB203" s="82" t="s">
        <v>6</v>
      </c>
      <c r="BC203" s="276"/>
    </row>
    <row r="204" spans="1:61" x14ac:dyDescent="0.15">
      <c r="A204" s="40" t="s">
        <v>13</v>
      </c>
      <c r="B204" s="41">
        <f>B198</f>
        <v>14</v>
      </c>
      <c r="C204" s="42">
        <f>C198</f>
        <v>8</v>
      </c>
      <c r="D204" s="42">
        <f t="shared" ref="D204:AA204" si="310">D198</f>
        <v>7</v>
      </c>
      <c r="E204" s="94">
        <f t="shared" si="310"/>
        <v>12</v>
      </c>
      <c r="F204" s="95">
        <f t="shared" si="310"/>
        <v>41</v>
      </c>
      <c r="G204" s="96">
        <f t="shared" si="310"/>
        <v>13</v>
      </c>
      <c r="H204" s="42">
        <f t="shared" si="310"/>
        <v>8</v>
      </c>
      <c r="I204" s="42">
        <f t="shared" si="310"/>
        <v>7</v>
      </c>
      <c r="J204" s="94">
        <f t="shared" si="310"/>
        <v>13</v>
      </c>
      <c r="K204" s="95">
        <f t="shared" si="310"/>
        <v>41</v>
      </c>
      <c r="L204" s="96">
        <f t="shared" si="310"/>
        <v>9</v>
      </c>
      <c r="M204" s="42">
        <f t="shared" si="310"/>
        <v>11</v>
      </c>
      <c r="N204" s="42">
        <f t="shared" si="310"/>
        <v>8</v>
      </c>
      <c r="O204" s="94">
        <f t="shared" si="310"/>
        <v>10</v>
      </c>
      <c r="P204" s="95">
        <f t="shared" si="310"/>
        <v>38</v>
      </c>
      <c r="Q204" s="96">
        <f t="shared" si="310"/>
        <v>10</v>
      </c>
      <c r="R204" s="42">
        <f t="shared" si="310"/>
        <v>12</v>
      </c>
      <c r="S204" s="42">
        <f t="shared" si="310"/>
        <v>9</v>
      </c>
      <c r="T204" s="94">
        <f t="shared" si="310"/>
        <v>8</v>
      </c>
      <c r="U204" s="95">
        <f t="shared" si="310"/>
        <v>39</v>
      </c>
      <c r="V204" s="96">
        <f t="shared" si="310"/>
        <v>5</v>
      </c>
      <c r="W204" s="42">
        <f t="shared" si="310"/>
        <v>9</v>
      </c>
      <c r="X204" s="42">
        <f t="shared" si="310"/>
        <v>9</v>
      </c>
      <c r="Y204" s="94">
        <f t="shared" si="310"/>
        <v>12</v>
      </c>
      <c r="Z204" s="95">
        <f t="shared" si="310"/>
        <v>35</v>
      </c>
      <c r="AA204" s="104">
        <f t="shared" si="310"/>
        <v>194</v>
      </c>
      <c r="AC204" s="131" t="s">
        <v>13</v>
      </c>
      <c r="AD204" s="96">
        <f>AD198</f>
        <v>130</v>
      </c>
      <c r="AE204" s="42">
        <f>AE198</f>
        <v>443</v>
      </c>
      <c r="AF204" s="42">
        <f t="shared" ref="AF204:BC204" si="311">AF198</f>
        <v>97</v>
      </c>
      <c r="AG204" s="94">
        <f t="shared" si="311"/>
        <v>470</v>
      </c>
      <c r="AH204" s="95">
        <f t="shared" si="311"/>
        <v>1140</v>
      </c>
      <c r="AI204" s="96">
        <f t="shared" si="311"/>
        <v>126</v>
      </c>
      <c r="AJ204" s="42">
        <f t="shared" si="311"/>
        <v>456</v>
      </c>
      <c r="AK204" s="42">
        <f t="shared" si="311"/>
        <v>104</v>
      </c>
      <c r="AL204" s="94">
        <f t="shared" si="311"/>
        <v>482</v>
      </c>
      <c r="AM204" s="95">
        <f t="shared" si="311"/>
        <v>1168</v>
      </c>
      <c r="AN204" s="96">
        <f t="shared" si="311"/>
        <v>292</v>
      </c>
      <c r="AO204" s="42">
        <f t="shared" si="311"/>
        <v>643</v>
      </c>
      <c r="AP204" s="42">
        <f t="shared" si="311"/>
        <v>271</v>
      </c>
      <c r="AQ204" s="94">
        <f t="shared" si="311"/>
        <v>455</v>
      </c>
      <c r="AR204" s="95">
        <f t="shared" si="311"/>
        <v>1661</v>
      </c>
      <c r="AS204" s="96">
        <f t="shared" si="311"/>
        <v>177</v>
      </c>
      <c r="AT204" s="42">
        <f t="shared" si="311"/>
        <v>609</v>
      </c>
      <c r="AU204" s="42">
        <f t="shared" si="311"/>
        <v>227</v>
      </c>
      <c r="AV204" s="94">
        <f t="shared" si="311"/>
        <v>619</v>
      </c>
      <c r="AW204" s="95">
        <f t="shared" si="311"/>
        <v>1632</v>
      </c>
      <c r="AX204" s="96">
        <f t="shared" si="311"/>
        <v>1226</v>
      </c>
      <c r="AY204" s="42">
        <f t="shared" si="311"/>
        <v>1275</v>
      </c>
      <c r="AZ204" s="42">
        <f t="shared" si="311"/>
        <v>678</v>
      </c>
      <c r="BA204" s="94">
        <f t="shared" si="311"/>
        <v>265</v>
      </c>
      <c r="BB204" s="95">
        <f t="shared" si="311"/>
        <v>3444</v>
      </c>
      <c r="BC204" s="104">
        <f t="shared" si="311"/>
        <v>9045</v>
      </c>
      <c r="BE204" s="286"/>
      <c r="BF204" s="285"/>
      <c r="BG204" s="285"/>
      <c r="BH204" s="285"/>
      <c r="BI204" s="285"/>
    </row>
    <row r="205" spans="1:61" x14ac:dyDescent="0.15">
      <c r="A205" s="9" t="s">
        <v>171</v>
      </c>
      <c r="B205" s="10">
        <v>1</v>
      </c>
      <c r="C205" s="11"/>
      <c r="D205" s="12"/>
      <c r="E205" s="12"/>
      <c r="F205" s="84">
        <f t="shared" ref="F205:F238" si="312">SUM(B205:E205)</f>
        <v>1</v>
      </c>
      <c r="G205" s="90">
        <v>1</v>
      </c>
      <c r="H205" s="11"/>
      <c r="I205" s="12"/>
      <c r="J205" s="12"/>
      <c r="K205" s="84">
        <f t="shared" ref="K205:K238" si="313">SUM(G205:J205)</f>
        <v>1</v>
      </c>
      <c r="L205" s="90">
        <v>1</v>
      </c>
      <c r="M205" s="11">
        <v>1</v>
      </c>
      <c r="N205" s="12"/>
      <c r="O205" s="12"/>
      <c r="P205" s="84">
        <f t="shared" ref="P205:P238" si="314">SUM(L205:O205)</f>
        <v>2</v>
      </c>
      <c r="Q205" s="90">
        <v>1</v>
      </c>
      <c r="R205" s="11">
        <v>1</v>
      </c>
      <c r="S205" s="12"/>
      <c r="T205" s="12"/>
      <c r="U205" s="84">
        <f t="shared" ref="U205:U238" si="315">SUM(Q205:T205)</f>
        <v>2</v>
      </c>
      <c r="V205" s="90">
        <v>2</v>
      </c>
      <c r="W205" s="11">
        <v>1</v>
      </c>
      <c r="X205" s="12"/>
      <c r="Y205" s="12"/>
      <c r="Z205" s="84">
        <f t="shared" ref="Z205:Z238" si="316">SUM(V205:Y205)</f>
        <v>3</v>
      </c>
      <c r="AA205" s="105">
        <f t="shared" ref="AA205:AA238" si="317">Z205+U205+P205+K205+F205</f>
        <v>9</v>
      </c>
      <c r="AB205" s="115">
        <v>45485</v>
      </c>
      <c r="AC205" s="117" t="s">
        <v>316</v>
      </c>
      <c r="AD205" s="90"/>
      <c r="AE205" s="11"/>
      <c r="AF205" s="12"/>
      <c r="AG205" s="12">
        <v>2</v>
      </c>
      <c r="AH205" s="84">
        <f t="shared" ref="AH205:AH207" si="318">SUM(AD205:AG205)</f>
        <v>2</v>
      </c>
      <c r="AI205" s="90"/>
      <c r="AJ205" s="11"/>
      <c r="AK205" s="12"/>
      <c r="AL205" s="12">
        <v>2</v>
      </c>
      <c r="AM205" s="84">
        <f t="shared" ref="AM205:AM207" si="319">SUM(AI205:AL205)</f>
        <v>2</v>
      </c>
      <c r="AN205" s="90"/>
      <c r="AO205" s="11"/>
      <c r="AP205" s="12">
        <v>5</v>
      </c>
      <c r="AQ205" s="12">
        <v>2</v>
      </c>
      <c r="AR205" s="84">
        <f t="shared" ref="AR205:AR207" si="320">SUM(AN205:AQ205)</f>
        <v>7</v>
      </c>
      <c r="AS205" s="90"/>
      <c r="AT205" s="11"/>
      <c r="AU205" s="12"/>
      <c r="AV205" s="12">
        <v>2</v>
      </c>
      <c r="AW205" s="84">
        <f t="shared" ref="AW205:AW207" si="321">SUM(AS205:AV205)</f>
        <v>2</v>
      </c>
      <c r="AX205" s="90"/>
      <c r="AY205" s="11"/>
      <c r="AZ205" s="12"/>
      <c r="BA205" s="12">
        <v>2</v>
      </c>
      <c r="BB205" s="84">
        <f t="shared" ref="BB205:BB207" si="322">SUM(AX205:BA205)</f>
        <v>2</v>
      </c>
      <c r="BC205" s="105">
        <f t="shared" ref="BC205:BC207" si="323">BB205+AW205+AR205+AM205+AH205</f>
        <v>15</v>
      </c>
      <c r="BD205" s="115">
        <v>45535</v>
      </c>
      <c r="BE205" s="287"/>
      <c r="BF205" s="285"/>
      <c r="BG205" s="285"/>
      <c r="BH205" s="285"/>
      <c r="BI205" s="285"/>
    </row>
    <row r="206" spans="1:61" x14ac:dyDescent="0.15">
      <c r="A206" s="9" t="s">
        <v>8</v>
      </c>
      <c r="B206" s="10"/>
      <c r="C206" s="11">
        <v>5</v>
      </c>
      <c r="D206" s="12">
        <v>5</v>
      </c>
      <c r="E206" s="12"/>
      <c r="F206" s="85">
        <f t="shared" si="312"/>
        <v>10</v>
      </c>
      <c r="G206" s="90"/>
      <c r="H206" s="11">
        <v>5</v>
      </c>
      <c r="I206" s="12">
        <v>5</v>
      </c>
      <c r="J206" s="12"/>
      <c r="K206" s="85">
        <f t="shared" si="313"/>
        <v>10</v>
      </c>
      <c r="L206" s="90"/>
      <c r="M206" s="11"/>
      <c r="N206" s="12">
        <v>5</v>
      </c>
      <c r="O206" s="12"/>
      <c r="P206" s="85">
        <f t="shared" si="314"/>
        <v>5</v>
      </c>
      <c r="Q206" s="90"/>
      <c r="R206" s="11"/>
      <c r="S206" s="12"/>
      <c r="T206" s="12"/>
      <c r="U206" s="85">
        <f t="shared" si="315"/>
        <v>0</v>
      </c>
      <c r="V206" s="90">
        <v>5</v>
      </c>
      <c r="W206" s="11"/>
      <c r="X206" s="12"/>
      <c r="Y206" s="12"/>
      <c r="Z206" s="85">
        <f t="shared" si="316"/>
        <v>5</v>
      </c>
      <c r="AA206" s="105">
        <f t="shared" si="317"/>
        <v>30</v>
      </c>
      <c r="AB206" s="114">
        <v>45514</v>
      </c>
      <c r="AC206" s="117" t="s">
        <v>316</v>
      </c>
      <c r="AD206" s="18">
        <v>8</v>
      </c>
      <c r="AE206" s="19">
        <v>7</v>
      </c>
      <c r="AF206" s="20">
        <v>7</v>
      </c>
      <c r="AG206" s="20">
        <v>8</v>
      </c>
      <c r="AH206" s="85">
        <f t="shared" si="318"/>
        <v>30</v>
      </c>
      <c r="AI206" s="18">
        <v>8</v>
      </c>
      <c r="AJ206" s="19">
        <v>7</v>
      </c>
      <c r="AK206" s="20">
        <v>7</v>
      </c>
      <c r="AL206" s="20">
        <v>8</v>
      </c>
      <c r="AM206" s="85">
        <f t="shared" si="319"/>
        <v>30</v>
      </c>
      <c r="AN206" s="18">
        <v>7</v>
      </c>
      <c r="AO206" s="19">
        <v>9</v>
      </c>
      <c r="AP206" s="20">
        <v>9</v>
      </c>
      <c r="AQ206" s="20">
        <v>6</v>
      </c>
      <c r="AR206" s="85">
        <f t="shared" si="320"/>
        <v>31</v>
      </c>
      <c r="AS206" s="15">
        <v>7</v>
      </c>
      <c r="AT206" s="16">
        <v>9</v>
      </c>
      <c r="AU206" s="17">
        <v>9</v>
      </c>
      <c r="AV206" s="192">
        <v>6</v>
      </c>
      <c r="AW206" s="85">
        <f t="shared" si="321"/>
        <v>31</v>
      </c>
      <c r="AX206" s="18">
        <v>15</v>
      </c>
      <c r="AY206" s="19">
        <v>16</v>
      </c>
      <c r="AZ206" s="20">
        <v>16</v>
      </c>
      <c r="BA206" s="20">
        <v>14</v>
      </c>
      <c r="BB206" s="85">
        <f t="shared" si="322"/>
        <v>61</v>
      </c>
      <c r="BC206" s="105">
        <f t="shared" si="323"/>
        <v>183</v>
      </c>
      <c r="BD206" s="115">
        <v>45535</v>
      </c>
      <c r="BE206" s="187"/>
      <c r="BF206" s="188"/>
      <c r="BG206" s="188"/>
      <c r="BH206" s="188"/>
      <c r="BI206" s="188"/>
    </row>
    <row r="207" spans="1:61" x14ac:dyDescent="0.15">
      <c r="A207" s="9" t="s">
        <v>171</v>
      </c>
      <c r="B207" s="15"/>
      <c r="C207" s="16"/>
      <c r="D207" s="17"/>
      <c r="E207" s="17"/>
      <c r="F207" s="85">
        <f t="shared" si="312"/>
        <v>0</v>
      </c>
      <c r="G207" s="91"/>
      <c r="H207" s="16"/>
      <c r="I207" s="17"/>
      <c r="J207" s="17"/>
      <c r="K207" s="85">
        <f t="shared" si="313"/>
        <v>0</v>
      </c>
      <c r="L207" s="91">
        <v>1</v>
      </c>
      <c r="M207" s="16"/>
      <c r="N207" s="17"/>
      <c r="O207" s="17"/>
      <c r="P207" s="85">
        <f t="shared" si="314"/>
        <v>1</v>
      </c>
      <c r="Q207" s="91">
        <v>1</v>
      </c>
      <c r="R207" s="16"/>
      <c r="S207" s="17"/>
      <c r="T207" s="17"/>
      <c r="U207" s="85">
        <f t="shared" si="315"/>
        <v>1</v>
      </c>
      <c r="V207" s="91">
        <v>1</v>
      </c>
      <c r="W207" s="16"/>
      <c r="X207" s="17"/>
      <c r="Y207" s="17"/>
      <c r="Z207" s="85">
        <f t="shared" si="316"/>
        <v>1</v>
      </c>
      <c r="AA207" s="105">
        <f t="shared" si="317"/>
        <v>3</v>
      </c>
      <c r="AB207" s="114">
        <v>45525</v>
      </c>
      <c r="AC207" s="117" t="s">
        <v>9</v>
      </c>
      <c r="AD207" s="91"/>
      <c r="AE207" s="16"/>
      <c r="AF207" s="17"/>
      <c r="AG207" s="17"/>
      <c r="AH207" s="85">
        <f t="shared" si="318"/>
        <v>0</v>
      </c>
      <c r="AI207" s="91"/>
      <c r="AJ207" s="16"/>
      <c r="AK207" s="17"/>
      <c r="AL207" s="17"/>
      <c r="AM207" s="85">
        <f t="shared" si="319"/>
        <v>0</v>
      </c>
      <c r="AN207" s="91"/>
      <c r="AO207" s="16"/>
      <c r="AP207" s="17"/>
      <c r="AQ207" s="17"/>
      <c r="AR207" s="85">
        <f t="shared" si="320"/>
        <v>0</v>
      </c>
      <c r="AS207" s="103"/>
      <c r="AT207" s="73"/>
      <c r="AU207" s="98"/>
      <c r="AV207" s="98"/>
      <c r="AW207" s="85">
        <f t="shared" si="321"/>
        <v>0</v>
      </c>
      <c r="AX207" s="91"/>
      <c r="AY207" s="16"/>
      <c r="AZ207" s="17"/>
      <c r="BA207" s="17"/>
      <c r="BB207" s="85">
        <f t="shared" si="322"/>
        <v>0</v>
      </c>
      <c r="BC207" s="105">
        <f t="shared" si="323"/>
        <v>0</v>
      </c>
      <c r="BE207" s="137"/>
      <c r="BF207" s="188"/>
      <c r="BG207" s="188"/>
      <c r="BH207" s="188"/>
      <c r="BI207" s="188"/>
    </row>
    <row r="208" spans="1:61" x14ac:dyDescent="0.15">
      <c r="A208" s="9" t="s">
        <v>317</v>
      </c>
      <c r="B208" s="15">
        <v>0</v>
      </c>
      <c r="C208" s="16">
        <v>-1</v>
      </c>
      <c r="D208" s="17">
        <v>0</v>
      </c>
      <c r="E208" s="17">
        <v>0</v>
      </c>
      <c r="F208" s="85">
        <f t="shared" si="312"/>
        <v>-1</v>
      </c>
      <c r="G208" s="91">
        <v>-1</v>
      </c>
      <c r="H208" s="16">
        <v>-1</v>
      </c>
      <c r="I208" s="17">
        <v>0</v>
      </c>
      <c r="J208" s="17">
        <v>0</v>
      </c>
      <c r="K208" s="85">
        <f t="shared" si="313"/>
        <v>-2</v>
      </c>
      <c r="L208" s="91">
        <v>0</v>
      </c>
      <c r="M208" s="16">
        <v>-2</v>
      </c>
      <c r="N208" s="17">
        <v>1</v>
      </c>
      <c r="O208" s="17">
        <v>0</v>
      </c>
      <c r="P208" s="85">
        <f t="shared" si="314"/>
        <v>-1</v>
      </c>
      <c r="Q208" s="91">
        <v>-3</v>
      </c>
      <c r="R208" s="16">
        <v>-2</v>
      </c>
      <c r="S208" s="17">
        <v>2</v>
      </c>
      <c r="T208" s="17">
        <v>0</v>
      </c>
      <c r="U208" s="85">
        <f t="shared" si="315"/>
        <v>-3</v>
      </c>
      <c r="V208" s="91">
        <v>0</v>
      </c>
      <c r="W208" s="16">
        <v>-1</v>
      </c>
      <c r="X208" s="17">
        <v>0</v>
      </c>
      <c r="Y208" s="17">
        <v>0</v>
      </c>
      <c r="Z208" s="85">
        <f t="shared" si="316"/>
        <v>-1</v>
      </c>
      <c r="AA208" s="105">
        <f t="shared" si="317"/>
        <v>-8</v>
      </c>
      <c r="AB208" s="115">
        <v>45526</v>
      </c>
      <c r="AC208" s="117" t="s">
        <v>10</v>
      </c>
      <c r="AD208" s="91"/>
      <c r="AE208" s="16"/>
      <c r="AF208" s="17"/>
      <c r="AG208" s="17"/>
      <c r="AH208" s="85">
        <f t="shared" ref="AH208:AH238" si="324">SUM(AD208:AG208)</f>
        <v>0</v>
      </c>
      <c r="AI208" s="91"/>
      <c r="AJ208" s="16"/>
      <c r="AK208" s="17"/>
      <c r="AL208" s="17"/>
      <c r="AM208" s="85">
        <f t="shared" ref="AM208:AM238" si="325">SUM(AI208:AL208)</f>
        <v>0</v>
      </c>
      <c r="AN208" s="91"/>
      <c r="AO208" s="16"/>
      <c r="AP208" s="17"/>
      <c r="AQ208" s="17"/>
      <c r="AR208" s="85">
        <f t="shared" ref="AR208:AR238" si="326">SUM(AN208:AQ208)</f>
        <v>0</v>
      </c>
      <c r="AS208" s="103"/>
      <c r="AT208" s="73"/>
      <c r="AU208" s="98"/>
      <c r="AV208" s="98"/>
      <c r="AW208" s="85">
        <f t="shared" ref="AW208:AW238" si="327">SUM(AS208:AV208)</f>
        <v>0</v>
      </c>
      <c r="AX208" s="91"/>
      <c r="AY208" s="16"/>
      <c r="AZ208" s="17"/>
      <c r="BA208" s="17"/>
      <c r="BB208" s="85">
        <f t="shared" ref="BB208:BB238" si="328">SUM(AX208:BA208)</f>
        <v>0</v>
      </c>
      <c r="BC208" s="105">
        <f t="shared" ref="BC208:BC238" si="329">BB208+AW208+AR208+AM208+AH208</f>
        <v>0</v>
      </c>
      <c r="BE208" s="137"/>
      <c r="BF208" s="188"/>
      <c r="BG208" s="188"/>
      <c r="BH208" s="188"/>
      <c r="BI208" s="188"/>
    </row>
    <row r="209" spans="1:58" ht="14.25" thickBot="1" x14ac:dyDescent="0.2">
      <c r="A209" s="9" t="s">
        <v>320</v>
      </c>
      <c r="B209" s="15">
        <v>8</v>
      </c>
      <c r="C209" s="16">
        <v>7</v>
      </c>
      <c r="D209" s="17">
        <v>7</v>
      </c>
      <c r="E209" s="17">
        <v>8</v>
      </c>
      <c r="F209" s="92">
        <f t="shared" si="312"/>
        <v>30</v>
      </c>
      <c r="G209" s="91">
        <v>8</v>
      </c>
      <c r="H209" s="16">
        <v>7</v>
      </c>
      <c r="I209" s="17">
        <v>7</v>
      </c>
      <c r="J209" s="17">
        <v>8</v>
      </c>
      <c r="K209" s="92">
        <f t="shared" si="313"/>
        <v>30</v>
      </c>
      <c r="L209" s="91">
        <v>7</v>
      </c>
      <c r="M209" s="16">
        <v>9</v>
      </c>
      <c r="N209" s="17">
        <v>9</v>
      </c>
      <c r="O209" s="17">
        <v>6</v>
      </c>
      <c r="P209" s="92">
        <f t="shared" si="314"/>
        <v>31</v>
      </c>
      <c r="Q209" s="91">
        <v>7</v>
      </c>
      <c r="R209" s="16">
        <v>9</v>
      </c>
      <c r="S209" s="17">
        <v>9</v>
      </c>
      <c r="T209" s="17">
        <v>6</v>
      </c>
      <c r="U209" s="92">
        <f t="shared" si="315"/>
        <v>31</v>
      </c>
      <c r="V209" s="91">
        <v>15</v>
      </c>
      <c r="W209" s="16">
        <v>16</v>
      </c>
      <c r="X209" s="17">
        <v>16</v>
      </c>
      <c r="Y209" s="17">
        <v>14</v>
      </c>
      <c r="Z209" s="92">
        <f t="shared" si="316"/>
        <v>61</v>
      </c>
      <c r="AA209" s="110">
        <f t="shared" si="317"/>
        <v>183</v>
      </c>
      <c r="AB209" s="115">
        <v>45534</v>
      </c>
      <c r="AC209" s="132" t="s">
        <v>11</v>
      </c>
      <c r="AD209" s="91"/>
      <c r="AE209" s="16"/>
      <c r="AF209" s="17"/>
      <c r="AG209" s="17"/>
      <c r="AH209" s="92">
        <f t="shared" si="324"/>
        <v>0</v>
      </c>
      <c r="AI209" s="91"/>
      <c r="AJ209" s="16"/>
      <c r="AK209" s="17"/>
      <c r="AL209" s="17"/>
      <c r="AM209" s="92">
        <f t="shared" si="325"/>
        <v>0</v>
      </c>
      <c r="AN209" s="91"/>
      <c r="AO209" s="16"/>
      <c r="AP209" s="17"/>
      <c r="AQ209" s="17"/>
      <c r="AR209" s="92">
        <f t="shared" si="326"/>
        <v>0</v>
      </c>
      <c r="AS209" s="91"/>
      <c r="AT209" s="16"/>
      <c r="AU209" s="17"/>
      <c r="AV209" s="17"/>
      <c r="AW209" s="92">
        <f t="shared" si="327"/>
        <v>0</v>
      </c>
      <c r="AX209" s="91"/>
      <c r="AY209" s="16"/>
      <c r="AZ209" s="17"/>
      <c r="BA209" s="17"/>
      <c r="BB209" s="92">
        <f t="shared" si="328"/>
        <v>0</v>
      </c>
      <c r="BC209" s="110">
        <f t="shared" si="329"/>
        <v>0</v>
      </c>
    </row>
    <row r="210" spans="1:58" ht="14.25" thickBot="1" x14ac:dyDescent="0.2">
      <c r="A210" s="21" t="s">
        <v>16</v>
      </c>
      <c r="B210" s="7">
        <f>SUM(B204:B209)</f>
        <v>23</v>
      </c>
      <c r="C210" s="8">
        <f t="shared" ref="C210:E210" si="330">SUM(C204:C209)</f>
        <v>19</v>
      </c>
      <c r="D210" s="22">
        <f t="shared" si="330"/>
        <v>19</v>
      </c>
      <c r="E210" s="22">
        <f t="shared" si="330"/>
        <v>20</v>
      </c>
      <c r="F210" s="87">
        <f t="shared" si="312"/>
        <v>81</v>
      </c>
      <c r="G210" s="7">
        <f>SUM(G204:G209)</f>
        <v>21</v>
      </c>
      <c r="H210" s="8">
        <f t="shared" ref="H210:J210" si="331">SUM(H204:H209)</f>
        <v>19</v>
      </c>
      <c r="I210" s="22">
        <f t="shared" si="331"/>
        <v>19</v>
      </c>
      <c r="J210" s="22">
        <f t="shared" si="331"/>
        <v>21</v>
      </c>
      <c r="K210" s="87">
        <f t="shared" si="313"/>
        <v>80</v>
      </c>
      <c r="L210" s="7">
        <f>SUM(L204:L209)</f>
        <v>18</v>
      </c>
      <c r="M210" s="8">
        <f t="shared" ref="M210:O210" si="332">SUM(M204:M209)</f>
        <v>19</v>
      </c>
      <c r="N210" s="22">
        <f t="shared" si="332"/>
        <v>23</v>
      </c>
      <c r="O210" s="22">
        <f t="shared" si="332"/>
        <v>16</v>
      </c>
      <c r="P210" s="87">
        <f t="shared" si="314"/>
        <v>76</v>
      </c>
      <c r="Q210" s="7">
        <f>SUM(Q204:Q209)</f>
        <v>16</v>
      </c>
      <c r="R210" s="8">
        <f t="shared" ref="R210:T210" si="333">SUM(R204:R209)</f>
        <v>20</v>
      </c>
      <c r="S210" s="22">
        <f t="shared" si="333"/>
        <v>20</v>
      </c>
      <c r="T210" s="22">
        <f t="shared" si="333"/>
        <v>14</v>
      </c>
      <c r="U210" s="87">
        <f t="shared" si="315"/>
        <v>70</v>
      </c>
      <c r="V210" s="7">
        <f>SUM(V204:V209)</f>
        <v>28</v>
      </c>
      <c r="W210" s="8">
        <f t="shared" ref="W210:Y210" si="334">SUM(W204:W209)</f>
        <v>25</v>
      </c>
      <c r="X210" s="22">
        <f t="shared" si="334"/>
        <v>25</v>
      </c>
      <c r="Y210" s="22">
        <f t="shared" si="334"/>
        <v>26</v>
      </c>
      <c r="Z210" s="87">
        <f t="shared" si="316"/>
        <v>104</v>
      </c>
      <c r="AA210" s="107">
        <f t="shared" si="317"/>
        <v>411</v>
      </c>
      <c r="AC210" s="21" t="s">
        <v>16</v>
      </c>
      <c r="AD210" s="7">
        <f>SUM(AD204:AD209)</f>
        <v>138</v>
      </c>
      <c r="AE210" s="8">
        <f t="shared" ref="AE210:AG210" si="335">SUM(AE204:AE209)</f>
        <v>450</v>
      </c>
      <c r="AF210" s="22">
        <f t="shared" si="335"/>
        <v>104</v>
      </c>
      <c r="AG210" s="22">
        <f t="shared" si="335"/>
        <v>480</v>
      </c>
      <c r="AH210" s="87">
        <f t="shared" si="324"/>
        <v>1172</v>
      </c>
      <c r="AI210" s="7">
        <f>SUM(AI204:AI209)</f>
        <v>134</v>
      </c>
      <c r="AJ210" s="8">
        <f t="shared" ref="AJ210:AL210" si="336">SUM(AJ204:AJ209)</f>
        <v>463</v>
      </c>
      <c r="AK210" s="22">
        <f t="shared" si="336"/>
        <v>111</v>
      </c>
      <c r="AL210" s="22">
        <f t="shared" si="336"/>
        <v>492</v>
      </c>
      <c r="AM210" s="87">
        <f t="shared" si="325"/>
        <v>1200</v>
      </c>
      <c r="AN210" s="7">
        <f>SUM(AN204:AN209)</f>
        <v>299</v>
      </c>
      <c r="AO210" s="8">
        <f t="shared" ref="AO210:AQ210" si="337">SUM(AO204:AO209)</f>
        <v>652</v>
      </c>
      <c r="AP210" s="22">
        <f t="shared" si="337"/>
        <v>285</v>
      </c>
      <c r="AQ210" s="22">
        <f t="shared" si="337"/>
        <v>463</v>
      </c>
      <c r="AR210" s="87">
        <f t="shared" si="326"/>
        <v>1699</v>
      </c>
      <c r="AS210" s="7">
        <f>SUM(AS204:AS209)</f>
        <v>184</v>
      </c>
      <c r="AT210" s="8">
        <f t="shared" ref="AT210:AV210" si="338">SUM(AT204:AT209)</f>
        <v>618</v>
      </c>
      <c r="AU210" s="22">
        <f t="shared" si="338"/>
        <v>236</v>
      </c>
      <c r="AV210" s="22">
        <f t="shared" si="338"/>
        <v>627</v>
      </c>
      <c r="AW210" s="87">
        <f t="shared" si="327"/>
        <v>1665</v>
      </c>
      <c r="AX210" s="7">
        <f>SUM(AX204:AX209)</f>
        <v>1241</v>
      </c>
      <c r="AY210" s="8">
        <f t="shared" ref="AY210:BA210" si="339">SUM(AY204:AY209)</f>
        <v>1291</v>
      </c>
      <c r="AZ210" s="22">
        <f t="shared" si="339"/>
        <v>694</v>
      </c>
      <c r="BA210" s="22">
        <f t="shared" si="339"/>
        <v>281</v>
      </c>
      <c r="BB210" s="87">
        <f t="shared" si="328"/>
        <v>3507</v>
      </c>
      <c r="BC210" s="107">
        <f t="shared" si="329"/>
        <v>9243</v>
      </c>
    </row>
    <row r="211" spans="1:58" x14ac:dyDescent="0.15">
      <c r="A211" s="23" t="s">
        <v>124</v>
      </c>
      <c r="B211" s="39"/>
      <c r="C211" s="13">
        <v>1</v>
      </c>
      <c r="D211" s="14"/>
      <c r="E211" s="14"/>
      <c r="F211" s="83">
        <f t="shared" si="312"/>
        <v>1</v>
      </c>
      <c r="G211" s="39"/>
      <c r="H211" s="13">
        <v>1</v>
      </c>
      <c r="I211" s="14"/>
      <c r="J211" s="14"/>
      <c r="K211" s="83">
        <f t="shared" si="313"/>
        <v>1</v>
      </c>
      <c r="L211" s="39"/>
      <c r="M211" s="13">
        <v>2</v>
      </c>
      <c r="N211" s="14"/>
      <c r="O211" s="14"/>
      <c r="P211" s="83">
        <f t="shared" si="314"/>
        <v>2</v>
      </c>
      <c r="Q211" s="39"/>
      <c r="R211" s="13"/>
      <c r="S211" s="14"/>
      <c r="T211" s="14"/>
      <c r="U211" s="83">
        <f t="shared" si="315"/>
        <v>0</v>
      </c>
      <c r="V211" s="39"/>
      <c r="W211" s="13"/>
      <c r="X211" s="14"/>
      <c r="Y211" s="14"/>
      <c r="Z211" s="83">
        <f t="shared" si="316"/>
        <v>0</v>
      </c>
      <c r="AA211" s="108">
        <f t="shared" si="317"/>
        <v>4</v>
      </c>
      <c r="AB211" s="115">
        <v>45498</v>
      </c>
      <c r="AC211" s="23" t="s">
        <v>283</v>
      </c>
      <c r="AD211" s="39">
        <v>10</v>
      </c>
      <c r="AE211" s="13">
        <v>10</v>
      </c>
      <c r="AF211" s="14">
        <v>10</v>
      </c>
      <c r="AG211" s="14">
        <v>10</v>
      </c>
      <c r="AH211" s="83">
        <f t="shared" si="324"/>
        <v>40</v>
      </c>
      <c r="AI211" s="39">
        <v>10</v>
      </c>
      <c r="AJ211" s="13">
        <v>10</v>
      </c>
      <c r="AK211" s="14">
        <v>10</v>
      </c>
      <c r="AL211" s="14">
        <v>10</v>
      </c>
      <c r="AM211" s="83">
        <f t="shared" si="325"/>
        <v>40</v>
      </c>
      <c r="AN211" s="39"/>
      <c r="AO211" s="13"/>
      <c r="AP211" s="14"/>
      <c r="AQ211" s="14"/>
      <c r="AR211" s="83">
        <f t="shared" si="326"/>
        <v>0</v>
      </c>
      <c r="AS211" s="39"/>
      <c r="AT211" s="13"/>
      <c r="AU211" s="14"/>
      <c r="AV211" s="14"/>
      <c r="AW211" s="83">
        <f t="shared" si="327"/>
        <v>0</v>
      </c>
      <c r="AX211" s="39">
        <v>10</v>
      </c>
      <c r="AY211" s="13">
        <v>10</v>
      </c>
      <c r="AZ211" s="14">
        <v>10</v>
      </c>
      <c r="BA211" s="14">
        <v>10</v>
      </c>
      <c r="BB211" s="83">
        <f t="shared" si="328"/>
        <v>40</v>
      </c>
      <c r="BC211" s="108">
        <f t="shared" si="329"/>
        <v>120</v>
      </c>
      <c r="BD211" s="114">
        <v>45491</v>
      </c>
      <c r="BE211" s="76"/>
    </row>
    <row r="212" spans="1:58" x14ac:dyDescent="0.15">
      <c r="A212" s="23" t="s">
        <v>124</v>
      </c>
      <c r="B212" s="15"/>
      <c r="C212" s="16"/>
      <c r="D212" s="17"/>
      <c r="E212" s="17"/>
      <c r="F212" s="85">
        <f t="shared" ref="F212" si="340">SUM(B212:E212)</f>
        <v>0</v>
      </c>
      <c r="G212" s="15"/>
      <c r="H212" s="16"/>
      <c r="I212" s="17"/>
      <c r="J212" s="17"/>
      <c r="K212" s="85">
        <f t="shared" ref="K212" si="341">SUM(G212:J212)</f>
        <v>0</v>
      </c>
      <c r="L212" s="15"/>
      <c r="M212" s="16"/>
      <c r="N212" s="17"/>
      <c r="O212" s="17">
        <v>1</v>
      </c>
      <c r="P212" s="85">
        <f t="shared" ref="P212" si="342">SUM(L212:O212)</f>
        <v>1</v>
      </c>
      <c r="Q212" s="15"/>
      <c r="R212" s="16"/>
      <c r="S212" s="17"/>
      <c r="T212" s="17">
        <v>1</v>
      </c>
      <c r="U212" s="85">
        <f t="shared" ref="U212" si="343">SUM(Q212:T212)</f>
        <v>1</v>
      </c>
      <c r="V212" s="15"/>
      <c r="W212" s="16"/>
      <c r="X212" s="17"/>
      <c r="Y212" s="17">
        <v>1</v>
      </c>
      <c r="Z212" s="85">
        <f t="shared" ref="Z212" si="344">SUM(V212:Y212)</f>
        <v>1</v>
      </c>
      <c r="AA212" s="105">
        <f t="shared" ref="AA212" si="345">Z212+U212+P212+K212+F212</f>
        <v>3</v>
      </c>
      <c r="AB212" s="115">
        <v>45499</v>
      </c>
      <c r="AC212" s="23" t="s">
        <v>292</v>
      </c>
      <c r="AD212" s="15"/>
      <c r="AE212" s="16"/>
      <c r="AF212" s="17"/>
      <c r="AG212" s="17"/>
      <c r="AH212" s="85">
        <f t="shared" si="324"/>
        <v>0</v>
      </c>
      <c r="AI212" s="15"/>
      <c r="AJ212" s="16"/>
      <c r="AK212" s="17"/>
      <c r="AL212" s="17"/>
      <c r="AM212" s="85">
        <f t="shared" si="325"/>
        <v>0</v>
      </c>
      <c r="AN212" s="15">
        <v>10</v>
      </c>
      <c r="AO212" s="16">
        <v>10</v>
      </c>
      <c r="AP212" s="17">
        <v>10</v>
      </c>
      <c r="AQ212" s="17">
        <v>10</v>
      </c>
      <c r="AR212" s="85">
        <f t="shared" si="326"/>
        <v>40</v>
      </c>
      <c r="AS212" s="15">
        <v>10</v>
      </c>
      <c r="AT212" s="16">
        <v>10</v>
      </c>
      <c r="AU212" s="17">
        <v>10</v>
      </c>
      <c r="AV212" s="17">
        <v>10</v>
      </c>
      <c r="AW212" s="85">
        <f t="shared" si="327"/>
        <v>40</v>
      </c>
      <c r="AX212" s="15">
        <v>10</v>
      </c>
      <c r="AY212" s="16">
        <v>10</v>
      </c>
      <c r="AZ212" s="17">
        <v>10</v>
      </c>
      <c r="BA212" s="17">
        <v>10</v>
      </c>
      <c r="BB212" s="85">
        <f t="shared" si="328"/>
        <v>40</v>
      </c>
      <c r="BC212" s="105">
        <f t="shared" si="329"/>
        <v>120</v>
      </c>
      <c r="BD212" s="114">
        <v>45491</v>
      </c>
      <c r="BE212" s="76"/>
    </row>
    <row r="213" spans="1:58" x14ac:dyDescent="0.15">
      <c r="A213" s="23" t="s">
        <v>124</v>
      </c>
      <c r="B213" s="15">
        <v>1</v>
      </c>
      <c r="C213" s="16">
        <v>1</v>
      </c>
      <c r="D213" s="17"/>
      <c r="E213" s="17"/>
      <c r="F213" s="85">
        <f t="shared" si="312"/>
        <v>2</v>
      </c>
      <c r="G213" s="15">
        <v>1</v>
      </c>
      <c r="H213" s="16">
        <v>1</v>
      </c>
      <c r="I213" s="17"/>
      <c r="J213" s="17"/>
      <c r="K213" s="85">
        <f t="shared" si="313"/>
        <v>2</v>
      </c>
      <c r="L213" s="15"/>
      <c r="M213" s="16"/>
      <c r="N213" s="17"/>
      <c r="O213" s="17"/>
      <c r="P213" s="85">
        <f t="shared" si="314"/>
        <v>0</v>
      </c>
      <c r="Q213" s="15"/>
      <c r="R213" s="16"/>
      <c r="S213" s="17"/>
      <c r="T213" s="17"/>
      <c r="U213" s="85">
        <f t="shared" si="315"/>
        <v>0</v>
      </c>
      <c r="V213" s="15">
        <v>1</v>
      </c>
      <c r="W213" s="16">
        <v>1</v>
      </c>
      <c r="X213" s="17"/>
      <c r="Y213" s="17"/>
      <c r="Z213" s="85">
        <f t="shared" si="316"/>
        <v>2</v>
      </c>
      <c r="AA213" s="105">
        <f t="shared" si="317"/>
        <v>6</v>
      </c>
      <c r="AB213" s="115">
        <v>45502</v>
      </c>
      <c r="AC213" s="54" t="s">
        <v>285</v>
      </c>
      <c r="AD213" s="15">
        <v>3</v>
      </c>
      <c r="AE213" s="16"/>
      <c r="AF213" s="17"/>
      <c r="AG213" s="17"/>
      <c r="AH213" s="85">
        <f t="shared" si="324"/>
        <v>3</v>
      </c>
      <c r="AI213" s="15"/>
      <c r="AJ213" s="16">
        <v>4</v>
      </c>
      <c r="AK213" s="17"/>
      <c r="AL213" s="17"/>
      <c r="AM213" s="85">
        <f t="shared" si="325"/>
        <v>4</v>
      </c>
      <c r="AN213" s="15">
        <v>3</v>
      </c>
      <c r="AO213" s="16">
        <v>1</v>
      </c>
      <c r="AP213" s="17">
        <v>1</v>
      </c>
      <c r="AQ213" s="17"/>
      <c r="AR213" s="85">
        <f t="shared" si="326"/>
        <v>5</v>
      </c>
      <c r="AS213" s="15">
        <v>2</v>
      </c>
      <c r="AT213" s="16"/>
      <c r="AU213" s="17"/>
      <c r="AV213" s="17">
        <v>1</v>
      </c>
      <c r="AW213" s="85">
        <f t="shared" si="327"/>
        <v>3</v>
      </c>
      <c r="AX213" s="15">
        <v>2</v>
      </c>
      <c r="AY213" s="16"/>
      <c r="AZ213" s="17"/>
      <c r="BA213" s="17"/>
      <c r="BB213" s="85">
        <f t="shared" si="328"/>
        <v>2</v>
      </c>
      <c r="BC213" s="105">
        <f t="shared" si="329"/>
        <v>17</v>
      </c>
      <c r="BD213" s="114">
        <v>45495</v>
      </c>
    </row>
    <row r="214" spans="1:58" x14ac:dyDescent="0.15">
      <c r="A214" s="23" t="s">
        <v>124</v>
      </c>
      <c r="B214" s="15"/>
      <c r="C214" s="16">
        <v>1</v>
      </c>
      <c r="D214" s="17"/>
      <c r="E214" s="17"/>
      <c r="F214" s="85">
        <f t="shared" si="312"/>
        <v>1</v>
      </c>
      <c r="G214" s="15"/>
      <c r="H214" s="16">
        <v>1</v>
      </c>
      <c r="I214" s="17"/>
      <c r="J214" s="17"/>
      <c r="K214" s="85">
        <f t="shared" si="313"/>
        <v>1</v>
      </c>
      <c r="L214" s="15"/>
      <c r="M214" s="16"/>
      <c r="N214" s="17"/>
      <c r="O214" s="17"/>
      <c r="P214" s="85">
        <f t="shared" si="314"/>
        <v>0</v>
      </c>
      <c r="Q214" s="15"/>
      <c r="R214" s="16"/>
      <c r="S214" s="17"/>
      <c r="T214" s="17"/>
      <c r="U214" s="85">
        <f t="shared" si="315"/>
        <v>0</v>
      </c>
      <c r="V214" s="15"/>
      <c r="W214" s="16"/>
      <c r="X214" s="17"/>
      <c r="Y214" s="17"/>
      <c r="Z214" s="85">
        <f t="shared" si="316"/>
        <v>0</v>
      </c>
      <c r="AA214" s="105">
        <f t="shared" si="317"/>
        <v>2</v>
      </c>
      <c r="AB214" s="115">
        <v>45504</v>
      </c>
      <c r="AC214" s="24" t="s">
        <v>195</v>
      </c>
      <c r="AD214" s="15"/>
      <c r="AE214" s="16"/>
      <c r="AF214" s="17"/>
      <c r="AG214" s="17"/>
      <c r="AH214" s="85">
        <f t="shared" si="324"/>
        <v>0</v>
      </c>
      <c r="AI214" s="15"/>
      <c r="AJ214" s="16"/>
      <c r="AK214" s="17"/>
      <c r="AL214" s="17"/>
      <c r="AM214" s="85">
        <f t="shared" si="325"/>
        <v>0</v>
      </c>
      <c r="AN214" s="15"/>
      <c r="AO214" s="16">
        <v>5</v>
      </c>
      <c r="AP214" s="17"/>
      <c r="AQ214" s="17"/>
      <c r="AR214" s="85">
        <f t="shared" si="326"/>
        <v>5</v>
      </c>
      <c r="AS214" s="15"/>
      <c r="AT214" s="16">
        <v>5</v>
      </c>
      <c r="AU214" s="17"/>
      <c r="AV214" s="17"/>
      <c r="AW214" s="85">
        <f t="shared" si="327"/>
        <v>5</v>
      </c>
      <c r="AX214" s="15"/>
      <c r="AY214" s="16">
        <v>5</v>
      </c>
      <c r="AZ214" s="17"/>
      <c r="BA214" s="17"/>
      <c r="BB214" s="85">
        <f t="shared" si="328"/>
        <v>5</v>
      </c>
      <c r="BC214" s="105">
        <f t="shared" si="329"/>
        <v>15</v>
      </c>
      <c r="BD214" s="114">
        <v>45490</v>
      </c>
    </row>
    <row r="215" spans="1:58" x14ac:dyDescent="0.15">
      <c r="A215" s="23" t="s">
        <v>124</v>
      </c>
      <c r="B215" s="15"/>
      <c r="C215" s="16"/>
      <c r="D215" s="17"/>
      <c r="E215" s="17"/>
      <c r="F215" s="85">
        <f t="shared" si="312"/>
        <v>0</v>
      </c>
      <c r="G215" s="15"/>
      <c r="H215" s="16"/>
      <c r="I215" s="17"/>
      <c r="J215" s="17"/>
      <c r="K215" s="85">
        <f t="shared" si="313"/>
        <v>0</v>
      </c>
      <c r="L215" s="15"/>
      <c r="M215" s="16"/>
      <c r="N215" s="17">
        <v>1</v>
      </c>
      <c r="O215" s="17"/>
      <c r="P215" s="85">
        <f t="shared" si="314"/>
        <v>1</v>
      </c>
      <c r="Q215" s="15"/>
      <c r="R215" s="16"/>
      <c r="S215" s="17">
        <v>1</v>
      </c>
      <c r="T215" s="17"/>
      <c r="U215" s="85">
        <f t="shared" si="315"/>
        <v>1</v>
      </c>
      <c r="V215" s="15"/>
      <c r="W215" s="16"/>
      <c r="X215" s="17">
        <v>1</v>
      </c>
      <c r="Y215" s="17"/>
      <c r="Z215" s="85">
        <f t="shared" si="316"/>
        <v>1</v>
      </c>
      <c r="AA215" s="105">
        <f t="shared" si="317"/>
        <v>3</v>
      </c>
      <c r="AB215" s="115">
        <v>45510</v>
      </c>
      <c r="AC215" s="102" t="s">
        <v>287</v>
      </c>
      <c r="AD215" s="15"/>
      <c r="AE215" s="16">
        <v>100</v>
      </c>
      <c r="AF215" s="17"/>
      <c r="AG215" s="17"/>
      <c r="AH215" s="85">
        <f t="shared" si="324"/>
        <v>100</v>
      </c>
      <c r="AI215" s="15"/>
      <c r="AJ215" s="16">
        <v>100</v>
      </c>
      <c r="AK215" s="17"/>
      <c r="AL215" s="17"/>
      <c r="AM215" s="85">
        <f t="shared" si="325"/>
        <v>100</v>
      </c>
      <c r="AN215" s="15"/>
      <c r="AO215" s="16"/>
      <c r="AP215" s="17"/>
      <c r="AQ215" s="17"/>
      <c r="AR215" s="85">
        <f t="shared" si="326"/>
        <v>0</v>
      </c>
      <c r="AS215" s="15"/>
      <c r="AT215" s="16">
        <v>100</v>
      </c>
      <c r="AU215" s="17"/>
      <c r="AV215" s="17"/>
      <c r="AW215" s="85">
        <f t="shared" si="327"/>
        <v>100</v>
      </c>
      <c r="AX215" s="15"/>
      <c r="AY215" s="16"/>
      <c r="AZ215" s="17"/>
      <c r="BA215" s="17"/>
      <c r="BB215" s="85">
        <f t="shared" si="328"/>
        <v>0</v>
      </c>
      <c r="BC215" s="105">
        <f t="shared" si="329"/>
        <v>300</v>
      </c>
      <c r="BD215" s="114">
        <v>45496</v>
      </c>
      <c r="BE215" s="76"/>
      <c r="BF215" s="25"/>
    </row>
    <row r="216" spans="1:58" x14ac:dyDescent="0.15">
      <c r="A216" s="23" t="s">
        <v>124</v>
      </c>
      <c r="B216" s="15"/>
      <c r="C216" s="16"/>
      <c r="D216" s="17"/>
      <c r="E216" s="17"/>
      <c r="F216" s="85">
        <f t="shared" si="312"/>
        <v>0</v>
      </c>
      <c r="G216" s="15"/>
      <c r="H216" s="16">
        <v>1</v>
      </c>
      <c r="I216" s="17"/>
      <c r="J216" s="17"/>
      <c r="K216" s="85">
        <f t="shared" si="313"/>
        <v>1</v>
      </c>
      <c r="L216" s="15"/>
      <c r="M216" s="16">
        <v>1</v>
      </c>
      <c r="N216" s="17"/>
      <c r="O216" s="17"/>
      <c r="P216" s="85">
        <f t="shared" si="314"/>
        <v>1</v>
      </c>
      <c r="Q216" s="15"/>
      <c r="R216" s="16"/>
      <c r="S216" s="17"/>
      <c r="T216" s="17"/>
      <c r="U216" s="85">
        <f t="shared" si="315"/>
        <v>0</v>
      </c>
      <c r="V216" s="15"/>
      <c r="W216" s="16"/>
      <c r="X216" s="17"/>
      <c r="Y216" s="17"/>
      <c r="Z216" s="85">
        <f t="shared" si="316"/>
        <v>0</v>
      </c>
      <c r="AA216" s="105">
        <f t="shared" si="317"/>
        <v>2</v>
      </c>
      <c r="AB216" s="115">
        <v>45511</v>
      </c>
      <c r="AC216" s="54" t="s">
        <v>288</v>
      </c>
      <c r="AD216" s="15"/>
      <c r="AE216" s="16"/>
      <c r="AF216" s="17"/>
      <c r="AG216" s="17"/>
      <c r="AH216" s="85">
        <f t="shared" si="324"/>
        <v>0</v>
      </c>
      <c r="AI216" s="15"/>
      <c r="AJ216" s="16"/>
      <c r="AK216" s="17"/>
      <c r="AL216" s="17"/>
      <c r="AM216" s="85">
        <f t="shared" si="325"/>
        <v>0</v>
      </c>
      <c r="AN216" s="15"/>
      <c r="AO216" s="16">
        <v>1</v>
      </c>
      <c r="AP216" s="17">
        <v>1</v>
      </c>
      <c r="AQ216" s="17"/>
      <c r="AR216" s="85">
        <f t="shared" si="326"/>
        <v>2</v>
      </c>
      <c r="AS216" s="15"/>
      <c r="AT216" s="16">
        <v>3</v>
      </c>
      <c r="AU216" s="17">
        <v>1</v>
      </c>
      <c r="AV216" s="17">
        <v>1</v>
      </c>
      <c r="AW216" s="85">
        <f t="shared" si="327"/>
        <v>5</v>
      </c>
      <c r="AX216" s="15">
        <v>1</v>
      </c>
      <c r="AY216" s="16">
        <v>1</v>
      </c>
      <c r="AZ216" s="17">
        <v>2</v>
      </c>
      <c r="BA216" s="17"/>
      <c r="BB216" s="85">
        <f t="shared" si="328"/>
        <v>4</v>
      </c>
      <c r="BC216" s="105">
        <f t="shared" si="329"/>
        <v>11</v>
      </c>
      <c r="BD216" s="114">
        <v>45502</v>
      </c>
    </row>
    <row r="217" spans="1:58" x14ac:dyDescent="0.15">
      <c r="A217" s="23" t="s">
        <v>308</v>
      </c>
      <c r="B217" s="15">
        <v>2</v>
      </c>
      <c r="C217" s="16"/>
      <c r="D217" s="17"/>
      <c r="E217" s="17"/>
      <c r="F217" s="85">
        <f t="shared" si="312"/>
        <v>2</v>
      </c>
      <c r="G217" s="15">
        <v>2</v>
      </c>
      <c r="H217" s="16"/>
      <c r="I217" s="17"/>
      <c r="J217" s="17"/>
      <c r="K217" s="85">
        <f t="shared" si="313"/>
        <v>2</v>
      </c>
      <c r="L217" s="15">
        <v>2</v>
      </c>
      <c r="M217" s="16"/>
      <c r="N217" s="17"/>
      <c r="O217" s="17"/>
      <c r="P217" s="85">
        <f t="shared" si="314"/>
        <v>2</v>
      </c>
      <c r="Q217" s="15">
        <v>2</v>
      </c>
      <c r="R217" s="16"/>
      <c r="S217" s="17"/>
      <c r="T217" s="17"/>
      <c r="U217" s="85">
        <f t="shared" si="315"/>
        <v>2</v>
      </c>
      <c r="V217" s="15">
        <v>2</v>
      </c>
      <c r="W217" s="16"/>
      <c r="X217" s="17"/>
      <c r="Y217" s="17"/>
      <c r="Z217" s="85">
        <f t="shared" si="316"/>
        <v>2</v>
      </c>
      <c r="AA217" s="105">
        <f t="shared" si="317"/>
        <v>10</v>
      </c>
      <c r="AB217" s="115">
        <v>45513</v>
      </c>
      <c r="AC217" s="102" t="s">
        <v>290</v>
      </c>
      <c r="AD217" s="15"/>
      <c r="AE217" s="16">
        <v>50</v>
      </c>
      <c r="AF217" s="17"/>
      <c r="AG217" s="17"/>
      <c r="AH217" s="85">
        <f t="shared" si="324"/>
        <v>50</v>
      </c>
      <c r="AI217" s="15"/>
      <c r="AJ217" s="16">
        <v>50</v>
      </c>
      <c r="AK217" s="17"/>
      <c r="AL217" s="17"/>
      <c r="AM217" s="85">
        <f t="shared" si="325"/>
        <v>50</v>
      </c>
      <c r="AN217" s="15"/>
      <c r="AO217" s="16"/>
      <c r="AP217" s="17"/>
      <c r="AQ217" s="17"/>
      <c r="AR217" s="85">
        <f t="shared" si="326"/>
        <v>0</v>
      </c>
      <c r="AS217" s="15"/>
      <c r="AT217" s="16">
        <v>50</v>
      </c>
      <c r="AU217" s="17"/>
      <c r="AV217" s="17"/>
      <c r="AW217" s="85">
        <f t="shared" si="327"/>
        <v>50</v>
      </c>
      <c r="AX217" s="15"/>
      <c r="AY217" s="16"/>
      <c r="AZ217" s="17"/>
      <c r="BA217" s="17"/>
      <c r="BB217" s="85">
        <f t="shared" si="328"/>
        <v>0</v>
      </c>
      <c r="BC217" s="105">
        <f t="shared" si="329"/>
        <v>150</v>
      </c>
      <c r="BD217" s="114">
        <v>45500</v>
      </c>
    </row>
    <row r="218" spans="1:58" x14ac:dyDescent="0.15">
      <c r="A218" s="23" t="s">
        <v>124</v>
      </c>
      <c r="B218" s="15"/>
      <c r="C218" s="16"/>
      <c r="D218" s="17"/>
      <c r="E218" s="17"/>
      <c r="F218" s="85">
        <f t="shared" si="312"/>
        <v>0</v>
      </c>
      <c r="G218" s="15"/>
      <c r="H218" s="16"/>
      <c r="I218" s="17"/>
      <c r="J218" s="17"/>
      <c r="K218" s="85">
        <f t="shared" si="313"/>
        <v>0</v>
      </c>
      <c r="L218" s="15"/>
      <c r="M218" s="16">
        <v>1</v>
      </c>
      <c r="N218" s="17"/>
      <c r="O218" s="17"/>
      <c r="P218" s="85">
        <f t="shared" si="314"/>
        <v>1</v>
      </c>
      <c r="Q218" s="15"/>
      <c r="R218" s="16">
        <v>1</v>
      </c>
      <c r="S218" s="17"/>
      <c r="T218" s="17"/>
      <c r="U218" s="85">
        <f t="shared" si="315"/>
        <v>1</v>
      </c>
      <c r="V218" s="15"/>
      <c r="W218" s="16">
        <v>1</v>
      </c>
      <c r="X218" s="17"/>
      <c r="Y218" s="17"/>
      <c r="Z218" s="85">
        <f t="shared" si="316"/>
        <v>1</v>
      </c>
      <c r="AA218" s="105">
        <f t="shared" si="317"/>
        <v>3</v>
      </c>
      <c r="AB218" s="115">
        <v>45521</v>
      </c>
      <c r="AC218" s="24" t="s">
        <v>195</v>
      </c>
      <c r="AD218" s="15"/>
      <c r="AE218" s="16"/>
      <c r="AF218" s="17"/>
      <c r="AG218" s="17">
        <v>3</v>
      </c>
      <c r="AH218" s="85">
        <f t="shared" si="324"/>
        <v>3</v>
      </c>
      <c r="AI218" s="15"/>
      <c r="AJ218" s="16"/>
      <c r="AK218" s="17"/>
      <c r="AL218" s="17">
        <v>3</v>
      </c>
      <c r="AM218" s="85">
        <f t="shared" si="325"/>
        <v>3</v>
      </c>
      <c r="AN218" s="15"/>
      <c r="AO218" s="16"/>
      <c r="AP218" s="17"/>
      <c r="AQ218" s="17"/>
      <c r="AR218" s="85">
        <f t="shared" si="326"/>
        <v>0</v>
      </c>
      <c r="AS218" s="15"/>
      <c r="AT218" s="16"/>
      <c r="AU218" s="17"/>
      <c r="AV218" s="17"/>
      <c r="AW218" s="85">
        <f t="shared" si="327"/>
        <v>0</v>
      </c>
      <c r="AX218" s="15"/>
      <c r="AY218" s="16"/>
      <c r="AZ218" s="17"/>
      <c r="BA218" s="17">
        <v>3</v>
      </c>
      <c r="BB218" s="85">
        <f t="shared" si="328"/>
        <v>3</v>
      </c>
      <c r="BC218" s="105">
        <f t="shared" si="329"/>
        <v>9</v>
      </c>
      <c r="BD218" s="115">
        <v>45497</v>
      </c>
    </row>
    <row r="219" spans="1:58" x14ac:dyDescent="0.15">
      <c r="A219" s="23" t="s">
        <v>315</v>
      </c>
      <c r="B219" s="15"/>
      <c r="C219" s="16"/>
      <c r="D219" s="17"/>
      <c r="E219" s="17">
        <v>2</v>
      </c>
      <c r="F219" s="85">
        <f t="shared" si="312"/>
        <v>2</v>
      </c>
      <c r="G219" s="15"/>
      <c r="H219" s="16"/>
      <c r="I219" s="17"/>
      <c r="J219" s="17">
        <v>2</v>
      </c>
      <c r="K219" s="85">
        <f t="shared" si="313"/>
        <v>2</v>
      </c>
      <c r="L219" s="15"/>
      <c r="M219" s="16"/>
      <c r="N219" s="17">
        <v>5</v>
      </c>
      <c r="O219" s="17">
        <v>2</v>
      </c>
      <c r="P219" s="85">
        <f t="shared" si="314"/>
        <v>7</v>
      </c>
      <c r="Q219" s="15"/>
      <c r="R219" s="16"/>
      <c r="S219" s="17"/>
      <c r="T219" s="17">
        <v>2</v>
      </c>
      <c r="U219" s="85">
        <f t="shared" si="315"/>
        <v>2</v>
      </c>
      <c r="V219" s="15"/>
      <c r="W219" s="16"/>
      <c r="X219" s="17"/>
      <c r="Y219" s="17">
        <v>2</v>
      </c>
      <c r="Z219" s="85">
        <f t="shared" si="316"/>
        <v>2</v>
      </c>
      <c r="AA219" s="105">
        <f t="shared" si="317"/>
        <v>15</v>
      </c>
      <c r="AB219" s="115">
        <v>45535</v>
      </c>
      <c r="AC219" s="23" t="s">
        <v>284</v>
      </c>
      <c r="AD219" s="15"/>
      <c r="AE219" s="16"/>
      <c r="AF219" s="17"/>
      <c r="AG219" s="17"/>
      <c r="AH219" s="85">
        <f t="shared" si="324"/>
        <v>0</v>
      </c>
      <c r="AI219" s="15"/>
      <c r="AJ219" s="16"/>
      <c r="AK219" s="17"/>
      <c r="AL219" s="17"/>
      <c r="AM219" s="85">
        <f t="shared" si="325"/>
        <v>0</v>
      </c>
      <c r="AN219" s="15"/>
      <c r="AO219" s="16"/>
      <c r="AP219" s="17">
        <v>10</v>
      </c>
      <c r="AQ219" s="17"/>
      <c r="AR219" s="85">
        <f t="shared" si="326"/>
        <v>10</v>
      </c>
      <c r="AS219" s="15"/>
      <c r="AT219" s="16"/>
      <c r="AU219" s="17">
        <v>10</v>
      </c>
      <c r="AV219" s="17"/>
      <c r="AW219" s="85">
        <f t="shared" si="327"/>
        <v>10</v>
      </c>
      <c r="AX219" s="15"/>
      <c r="AY219" s="16"/>
      <c r="AZ219" s="17">
        <v>10</v>
      </c>
      <c r="BA219" s="17"/>
      <c r="BB219" s="85">
        <f t="shared" si="328"/>
        <v>10</v>
      </c>
      <c r="BC219" s="105">
        <f t="shared" si="329"/>
        <v>30</v>
      </c>
      <c r="BD219" s="114">
        <v>45504</v>
      </c>
    </row>
    <row r="220" spans="1:58" x14ac:dyDescent="0.15">
      <c r="A220" s="23" t="s">
        <v>315</v>
      </c>
      <c r="B220" s="18">
        <v>8</v>
      </c>
      <c r="C220" s="19">
        <v>7</v>
      </c>
      <c r="D220" s="20">
        <v>7</v>
      </c>
      <c r="E220" s="20">
        <v>8</v>
      </c>
      <c r="F220" s="85">
        <f t="shared" si="312"/>
        <v>30</v>
      </c>
      <c r="G220" s="18">
        <v>8</v>
      </c>
      <c r="H220" s="19">
        <v>7</v>
      </c>
      <c r="I220" s="20">
        <v>7</v>
      </c>
      <c r="J220" s="20">
        <v>8</v>
      </c>
      <c r="K220" s="85">
        <f t="shared" si="313"/>
        <v>30</v>
      </c>
      <c r="L220" s="18">
        <v>7</v>
      </c>
      <c r="M220" s="19">
        <v>9</v>
      </c>
      <c r="N220" s="20">
        <v>9</v>
      </c>
      <c r="O220" s="20">
        <v>6</v>
      </c>
      <c r="P220" s="85">
        <f t="shared" si="314"/>
        <v>31</v>
      </c>
      <c r="Q220" s="18">
        <v>7</v>
      </c>
      <c r="R220" s="19">
        <v>9</v>
      </c>
      <c r="S220" s="20">
        <v>9</v>
      </c>
      <c r="T220" s="20">
        <v>6</v>
      </c>
      <c r="U220" s="85">
        <f t="shared" si="315"/>
        <v>31</v>
      </c>
      <c r="V220" s="18">
        <v>15</v>
      </c>
      <c r="W220" s="19">
        <v>16</v>
      </c>
      <c r="X220" s="20">
        <v>16</v>
      </c>
      <c r="Y220" s="20">
        <v>14</v>
      </c>
      <c r="Z220" s="85">
        <f t="shared" si="316"/>
        <v>61</v>
      </c>
      <c r="AA220" s="105">
        <f t="shared" si="317"/>
        <v>183</v>
      </c>
      <c r="AB220" s="115">
        <v>45535</v>
      </c>
      <c r="AC220" s="24" t="s">
        <v>195</v>
      </c>
      <c r="AD220" s="18"/>
      <c r="AE220" s="19"/>
      <c r="AF220" s="20"/>
      <c r="AG220" s="20"/>
      <c r="AH220" s="85">
        <f t="shared" si="324"/>
        <v>0</v>
      </c>
      <c r="AI220" s="18"/>
      <c r="AJ220" s="19"/>
      <c r="AK220" s="20"/>
      <c r="AL220" s="20"/>
      <c r="AM220" s="85">
        <f t="shared" si="325"/>
        <v>0</v>
      </c>
      <c r="AN220" s="18"/>
      <c r="AO220" s="19"/>
      <c r="AP220" s="20">
        <v>5</v>
      </c>
      <c r="AQ220" s="20"/>
      <c r="AR220" s="85">
        <f t="shared" si="326"/>
        <v>5</v>
      </c>
      <c r="AS220" s="18"/>
      <c r="AT220" s="19"/>
      <c r="AU220" s="20">
        <v>5</v>
      </c>
      <c r="AV220" s="20"/>
      <c r="AW220" s="85">
        <f t="shared" si="327"/>
        <v>5</v>
      </c>
      <c r="AX220" s="18"/>
      <c r="AY220" s="19"/>
      <c r="AZ220" s="20">
        <v>5</v>
      </c>
      <c r="BA220" s="20"/>
      <c r="BB220" s="85">
        <f t="shared" si="328"/>
        <v>5</v>
      </c>
      <c r="BC220" s="105">
        <f t="shared" si="329"/>
        <v>15</v>
      </c>
      <c r="BD220" s="114">
        <v>45502</v>
      </c>
    </row>
    <row r="221" spans="1:58" x14ac:dyDescent="0.15">
      <c r="A221" s="23" t="s">
        <v>124</v>
      </c>
      <c r="B221" s="15"/>
      <c r="C221" s="16">
        <v>1</v>
      </c>
      <c r="D221" s="17"/>
      <c r="E221" s="17"/>
      <c r="F221" s="85">
        <f t="shared" si="312"/>
        <v>1</v>
      </c>
      <c r="G221" s="15"/>
      <c r="H221" s="16">
        <v>1</v>
      </c>
      <c r="I221" s="17"/>
      <c r="J221" s="17"/>
      <c r="K221" s="85">
        <f t="shared" si="313"/>
        <v>1</v>
      </c>
      <c r="L221" s="15">
        <v>1</v>
      </c>
      <c r="M221" s="16">
        <v>1</v>
      </c>
      <c r="N221" s="17"/>
      <c r="O221" s="17"/>
      <c r="P221" s="85">
        <f t="shared" si="314"/>
        <v>2</v>
      </c>
      <c r="Q221" s="15">
        <v>1</v>
      </c>
      <c r="R221" s="16">
        <v>1</v>
      </c>
      <c r="S221" s="17"/>
      <c r="T221" s="17"/>
      <c r="U221" s="85">
        <f t="shared" si="315"/>
        <v>2</v>
      </c>
      <c r="V221" s="15">
        <v>1</v>
      </c>
      <c r="W221" s="16">
        <v>1</v>
      </c>
      <c r="X221" s="17"/>
      <c r="Y221" s="17"/>
      <c r="Z221" s="85">
        <f t="shared" si="316"/>
        <v>2</v>
      </c>
      <c r="AA221" s="105">
        <f t="shared" si="317"/>
        <v>8</v>
      </c>
      <c r="AB221" s="115">
        <v>45537</v>
      </c>
      <c r="AC221" s="54" t="s">
        <v>294</v>
      </c>
      <c r="AD221" s="15">
        <v>1</v>
      </c>
      <c r="AE221" s="16"/>
      <c r="AF221" s="17">
        <v>1</v>
      </c>
      <c r="AG221" s="17">
        <v>1</v>
      </c>
      <c r="AH221" s="85">
        <f t="shared" si="324"/>
        <v>3</v>
      </c>
      <c r="AI221" s="15"/>
      <c r="AJ221" s="16"/>
      <c r="AK221" s="17"/>
      <c r="AL221" s="17"/>
      <c r="AM221" s="85">
        <f t="shared" si="325"/>
        <v>0</v>
      </c>
      <c r="AN221" s="15">
        <v>1</v>
      </c>
      <c r="AO221" s="16">
        <v>1</v>
      </c>
      <c r="AP221" s="17">
        <v>1</v>
      </c>
      <c r="AQ221" s="17"/>
      <c r="AR221" s="85">
        <f t="shared" si="326"/>
        <v>3</v>
      </c>
      <c r="AS221" s="15"/>
      <c r="AT221" s="16"/>
      <c r="AU221" s="17"/>
      <c r="AV221" s="17">
        <v>3</v>
      </c>
      <c r="AW221" s="85">
        <f t="shared" si="327"/>
        <v>3</v>
      </c>
      <c r="AX221" s="15"/>
      <c r="AY221" s="16"/>
      <c r="AZ221" s="17"/>
      <c r="BA221" s="17">
        <v>4</v>
      </c>
      <c r="BB221" s="85">
        <f t="shared" si="328"/>
        <v>4</v>
      </c>
      <c r="BC221" s="105">
        <f t="shared" si="329"/>
        <v>13</v>
      </c>
      <c r="BD221" s="114">
        <v>45509</v>
      </c>
    </row>
    <row r="222" spans="1:58" x14ac:dyDescent="0.15">
      <c r="A222" s="23" t="s">
        <v>124</v>
      </c>
      <c r="B222" s="15"/>
      <c r="C222" s="16"/>
      <c r="D222" s="17"/>
      <c r="E222" s="17"/>
      <c r="F222" s="85">
        <f t="shared" si="312"/>
        <v>0</v>
      </c>
      <c r="G222" s="15"/>
      <c r="H222" s="16"/>
      <c r="I222" s="17"/>
      <c r="J222" s="17"/>
      <c r="K222" s="85">
        <f t="shared" si="313"/>
        <v>0</v>
      </c>
      <c r="L222" s="15"/>
      <c r="M222" s="16"/>
      <c r="N222" s="17"/>
      <c r="O222" s="17"/>
      <c r="P222" s="85">
        <f t="shared" si="314"/>
        <v>0</v>
      </c>
      <c r="Q222" s="15"/>
      <c r="R222" s="16"/>
      <c r="S222" s="17">
        <v>3</v>
      </c>
      <c r="T222" s="17"/>
      <c r="U222" s="85">
        <f t="shared" si="315"/>
        <v>3</v>
      </c>
      <c r="V222" s="15">
        <v>1</v>
      </c>
      <c r="W222" s="16"/>
      <c r="X222" s="17">
        <v>3</v>
      </c>
      <c r="Y222" s="17"/>
      <c r="Z222" s="85">
        <f t="shared" si="316"/>
        <v>4</v>
      </c>
      <c r="AA222" s="105">
        <f t="shared" si="317"/>
        <v>7</v>
      </c>
      <c r="AB222" s="115">
        <v>45539</v>
      </c>
      <c r="AC222" s="23" t="s">
        <v>295</v>
      </c>
      <c r="AD222" s="15">
        <v>20</v>
      </c>
      <c r="AE222" s="16"/>
      <c r="AF222" s="17">
        <v>10</v>
      </c>
      <c r="AG222" s="17"/>
      <c r="AH222" s="85">
        <f t="shared" si="324"/>
        <v>30</v>
      </c>
      <c r="AI222" s="15">
        <v>20</v>
      </c>
      <c r="AJ222" s="16"/>
      <c r="AK222" s="17">
        <v>10</v>
      </c>
      <c r="AL222" s="17"/>
      <c r="AM222" s="85">
        <f t="shared" si="325"/>
        <v>30</v>
      </c>
      <c r="AN222" s="15"/>
      <c r="AO222" s="16"/>
      <c r="AP222" s="17"/>
      <c r="AQ222" s="17"/>
      <c r="AR222" s="85">
        <f t="shared" si="326"/>
        <v>0</v>
      </c>
      <c r="AS222" s="15"/>
      <c r="AT222" s="16"/>
      <c r="AU222" s="17"/>
      <c r="AV222" s="17"/>
      <c r="AW222" s="85">
        <f t="shared" si="327"/>
        <v>0</v>
      </c>
      <c r="AX222" s="15">
        <v>20</v>
      </c>
      <c r="AY222" s="16"/>
      <c r="AZ222" s="17">
        <v>10</v>
      </c>
      <c r="BA222" s="17"/>
      <c r="BB222" s="85">
        <f t="shared" si="328"/>
        <v>30</v>
      </c>
      <c r="BC222" s="105">
        <f t="shared" si="329"/>
        <v>90</v>
      </c>
      <c r="BD222" s="114">
        <v>45504</v>
      </c>
    </row>
    <row r="223" spans="1:58" x14ac:dyDescent="0.15">
      <c r="A223" s="23" t="s">
        <v>124</v>
      </c>
      <c r="B223" s="15"/>
      <c r="C223" s="16"/>
      <c r="D223" s="17"/>
      <c r="E223" s="17"/>
      <c r="F223" s="85">
        <f t="shared" si="312"/>
        <v>0</v>
      </c>
      <c r="G223" s="15">
        <v>1</v>
      </c>
      <c r="H223" s="16"/>
      <c r="I223" s="17"/>
      <c r="J223" s="17"/>
      <c r="K223" s="85">
        <f t="shared" si="313"/>
        <v>1</v>
      </c>
      <c r="L223" s="15">
        <v>2</v>
      </c>
      <c r="M223" s="16"/>
      <c r="N223" s="17"/>
      <c r="O223" s="17"/>
      <c r="P223" s="85">
        <f t="shared" si="314"/>
        <v>2</v>
      </c>
      <c r="Q223" s="15"/>
      <c r="R223" s="16"/>
      <c r="S223" s="17"/>
      <c r="T223" s="17"/>
      <c r="U223" s="85">
        <f t="shared" si="315"/>
        <v>0</v>
      </c>
      <c r="V223" s="15"/>
      <c r="W223" s="16"/>
      <c r="X223" s="17"/>
      <c r="Y223" s="17"/>
      <c r="Z223" s="85">
        <f t="shared" si="316"/>
        <v>0</v>
      </c>
      <c r="AA223" s="105">
        <f t="shared" si="317"/>
        <v>3</v>
      </c>
      <c r="AB223" s="115">
        <v>45540</v>
      </c>
      <c r="AC223" s="23" t="s">
        <v>296</v>
      </c>
      <c r="AD223" s="15"/>
      <c r="AE223" s="16"/>
      <c r="AF223" s="17"/>
      <c r="AG223" s="17"/>
      <c r="AH223" s="85">
        <f t="shared" si="324"/>
        <v>0</v>
      </c>
      <c r="AI223" s="15"/>
      <c r="AJ223" s="16"/>
      <c r="AK223" s="17"/>
      <c r="AL223" s="17"/>
      <c r="AM223" s="85">
        <f t="shared" si="325"/>
        <v>0</v>
      </c>
      <c r="AN223" s="15"/>
      <c r="AO223" s="16">
        <v>20</v>
      </c>
      <c r="AP223" s="17"/>
      <c r="AQ223" s="17"/>
      <c r="AR223" s="85">
        <f t="shared" si="326"/>
        <v>20</v>
      </c>
      <c r="AS223" s="15"/>
      <c r="AT223" s="16">
        <v>20</v>
      </c>
      <c r="AU223" s="17"/>
      <c r="AV223" s="17"/>
      <c r="AW223" s="85">
        <f t="shared" si="327"/>
        <v>20</v>
      </c>
      <c r="AX223" s="15"/>
      <c r="AY223" s="16">
        <v>20</v>
      </c>
      <c r="AZ223" s="17"/>
      <c r="BA223" s="17"/>
      <c r="BB223" s="85">
        <f t="shared" si="328"/>
        <v>20</v>
      </c>
      <c r="BC223" s="105">
        <f t="shared" si="329"/>
        <v>60</v>
      </c>
      <c r="BD223" s="114">
        <v>45504</v>
      </c>
    </row>
    <row r="224" spans="1:58" x14ac:dyDescent="0.15">
      <c r="A224" s="23" t="s">
        <v>124</v>
      </c>
      <c r="B224" s="15"/>
      <c r="C224" s="16"/>
      <c r="D224" s="17"/>
      <c r="E224" s="17"/>
      <c r="F224" s="85">
        <f t="shared" si="312"/>
        <v>0</v>
      </c>
      <c r="G224" s="15"/>
      <c r="H224" s="16"/>
      <c r="I224" s="17"/>
      <c r="J224" s="17"/>
      <c r="K224" s="85">
        <f t="shared" si="313"/>
        <v>0</v>
      </c>
      <c r="L224" s="15"/>
      <c r="M224" s="16"/>
      <c r="N224" s="17">
        <v>1</v>
      </c>
      <c r="O224" s="17"/>
      <c r="P224" s="85">
        <f t="shared" si="314"/>
        <v>1</v>
      </c>
      <c r="Q224" s="15"/>
      <c r="R224" s="16"/>
      <c r="S224" s="17">
        <v>1</v>
      </c>
      <c r="T224" s="17"/>
      <c r="U224" s="85">
        <f t="shared" si="315"/>
        <v>1</v>
      </c>
      <c r="V224" s="15"/>
      <c r="W224" s="16"/>
      <c r="X224" s="17">
        <v>1</v>
      </c>
      <c r="Y224" s="17"/>
      <c r="Z224" s="85">
        <f t="shared" si="316"/>
        <v>1</v>
      </c>
      <c r="AA224" s="105">
        <f t="shared" si="317"/>
        <v>3</v>
      </c>
      <c r="AB224" s="115">
        <v>45541</v>
      </c>
      <c r="AC224" s="23" t="s">
        <v>297</v>
      </c>
      <c r="AD224" s="15"/>
      <c r="AE224" s="16">
        <v>5</v>
      </c>
      <c r="AF224" s="17"/>
      <c r="AG224" s="17">
        <v>5</v>
      </c>
      <c r="AH224" s="85">
        <f t="shared" si="324"/>
        <v>10</v>
      </c>
      <c r="AI224" s="15"/>
      <c r="AJ224" s="16">
        <v>5</v>
      </c>
      <c r="AK224" s="17"/>
      <c r="AL224" s="17">
        <v>5</v>
      </c>
      <c r="AM224" s="85">
        <f t="shared" si="325"/>
        <v>10</v>
      </c>
      <c r="AN224" s="15"/>
      <c r="AO224" s="16"/>
      <c r="AP224" s="17"/>
      <c r="AQ224" s="17"/>
      <c r="AR224" s="85">
        <f t="shared" si="326"/>
        <v>0</v>
      </c>
      <c r="AS224" s="15"/>
      <c r="AT224" s="16"/>
      <c r="AU224" s="17"/>
      <c r="AV224" s="17"/>
      <c r="AW224" s="85">
        <f t="shared" si="327"/>
        <v>0</v>
      </c>
      <c r="AX224" s="15"/>
      <c r="AY224" s="16">
        <v>5</v>
      </c>
      <c r="AZ224" s="17"/>
      <c r="BA224" s="17">
        <v>5</v>
      </c>
      <c r="BB224" s="85">
        <f t="shared" si="328"/>
        <v>10</v>
      </c>
      <c r="BC224" s="105">
        <f t="shared" si="329"/>
        <v>30</v>
      </c>
      <c r="BD224" s="114">
        <v>45505</v>
      </c>
    </row>
    <row r="225" spans="1:56" x14ac:dyDescent="0.15">
      <c r="A225" s="23" t="s">
        <v>124</v>
      </c>
      <c r="B225" s="15"/>
      <c r="C225" s="16"/>
      <c r="D225" s="17"/>
      <c r="E225" s="17"/>
      <c r="F225" s="85">
        <f t="shared" si="312"/>
        <v>0</v>
      </c>
      <c r="G225" s="15"/>
      <c r="H225" s="16">
        <v>1</v>
      </c>
      <c r="I225" s="17"/>
      <c r="J225" s="17"/>
      <c r="K225" s="85">
        <f t="shared" si="313"/>
        <v>1</v>
      </c>
      <c r="L225" s="15"/>
      <c r="M225" s="16"/>
      <c r="N225" s="17"/>
      <c r="O225" s="17"/>
      <c r="P225" s="85">
        <f t="shared" si="314"/>
        <v>0</v>
      </c>
      <c r="Q225" s="15"/>
      <c r="R225" s="16"/>
      <c r="S225" s="17"/>
      <c r="T225" s="17"/>
      <c r="U225" s="85">
        <f t="shared" si="315"/>
        <v>0</v>
      </c>
      <c r="V225" s="15"/>
      <c r="W225" s="16"/>
      <c r="X225" s="17">
        <v>2</v>
      </c>
      <c r="Y225" s="17"/>
      <c r="Z225" s="85">
        <f t="shared" si="316"/>
        <v>2</v>
      </c>
      <c r="AA225" s="105">
        <f t="shared" si="317"/>
        <v>3</v>
      </c>
      <c r="AB225" s="115">
        <v>45545</v>
      </c>
      <c r="AC225" s="23" t="s">
        <v>298</v>
      </c>
      <c r="AD225" s="15"/>
      <c r="AE225" s="16"/>
      <c r="AF225" s="17"/>
      <c r="AG225" s="17"/>
      <c r="AH225" s="85">
        <f t="shared" si="324"/>
        <v>0</v>
      </c>
      <c r="AI225" s="15"/>
      <c r="AJ225" s="16"/>
      <c r="AK225" s="17"/>
      <c r="AL225" s="17"/>
      <c r="AM225" s="85">
        <f t="shared" si="325"/>
        <v>0</v>
      </c>
      <c r="AN225" s="15">
        <v>10</v>
      </c>
      <c r="AO225" s="16"/>
      <c r="AP225" s="17"/>
      <c r="AQ225" s="17">
        <v>10</v>
      </c>
      <c r="AR225" s="85">
        <f t="shared" si="326"/>
        <v>20</v>
      </c>
      <c r="AS225" s="15">
        <v>10</v>
      </c>
      <c r="AT225" s="16"/>
      <c r="AU225" s="17"/>
      <c r="AV225" s="17">
        <v>10</v>
      </c>
      <c r="AW225" s="85">
        <f t="shared" si="327"/>
        <v>20</v>
      </c>
      <c r="AX225" s="15">
        <v>10</v>
      </c>
      <c r="AY225" s="16"/>
      <c r="AZ225" s="17"/>
      <c r="BA225" s="17">
        <v>10</v>
      </c>
      <c r="BB225" s="85">
        <f t="shared" si="328"/>
        <v>20</v>
      </c>
      <c r="BC225" s="105">
        <f t="shared" si="329"/>
        <v>60</v>
      </c>
      <c r="BD225" s="114">
        <v>45505</v>
      </c>
    </row>
    <row r="226" spans="1:56" x14ac:dyDescent="0.15">
      <c r="A226" s="54" t="s">
        <v>326</v>
      </c>
      <c r="B226" s="15">
        <v>-1</v>
      </c>
      <c r="C226" s="16">
        <v>-2</v>
      </c>
      <c r="D226" s="17">
        <v>-1</v>
      </c>
      <c r="E226" s="17">
        <v>-1</v>
      </c>
      <c r="F226" s="85">
        <f t="shared" si="312"/>
        <v>-5</v>
      </c>
      <c r="G226" s="15">
        <v>-1</v>
      </c>
      <c r="H226" s="16">
        <v>-2</v>
      </c>
      <c r="I226" s="17">
        <v>-1</v>
      </c>
      <c r="J226" s="17">
        <v>-1</v>
      </c>
      <c r="K226" s="85">
        <f t="shared" si="313"/>
        <v>-5</v>
      </c>
      <c r="L226" s="15">
        <v>-1</v>
      </c>
      <c r="M226" s="16">
        <v>-2</v>
      </c>
      <c r="N226" s="17">
        <v>-1</v>
      </c>
      <c r="O226" s="17">
        <v>-1</v>
      </c>
      <c r="P226" s="85">
        <f t="shared" si="314"/>
        <v>-5</v>
      </c>
      <c r="Q226" s="15">
        <v>-1</v>
      </c>
      <c r="R226" s="16">
        <v>-2</v>
      </c>
      <c r="S226" s="17">
        <v>-1</v>
      </c>
      <c r="T226" s="17">
        <v>-1</v>
      </c>
      <c r="U226" s="85">
        <f t="shared" si="315"/>
        <v>-5</v>
      </c>
      <c r="V226" s="15">
        <v>-1</v>
      </c>
      <c r="W226" s="16">
        <v>-2</v>
      </c>
      <c r="X226" s="17">
        <v>-1</v>
      </c>
      <c r="Y226" s="17">
        <v>-1</v>
      </c>
      <c r="Z226" s="85">
        <f t="shared" si="316"/>
        <v>-5</v>
      </c>
      <c r="AA226" s="105">
        <f t="shared" si="317"/>
        <v>-25</v>
      </c>
      <c r="AB226" s="115">
        <v>45553</v>
      </c>
      <c r="AC226" s="23" t="s">
        <v>299</v>
      </c>
      <c r="AD226" s="15"/>
      <c r="AE226" s="16">
        <v>15</v>
      </c>
      <c r="AF226" s="17">
        <v>5</v>
      </c>
      <c r="AG226" s="17">
        <v>5</v>
      </c>
      <c r="AH226" s="85">
        <f t="shared" si="324"/>
        <v>25</v>
      </c>
      <c r="AI226" s="15"/>
      <c r="AJ226" s="16">
        <v>15</v>
      </c>
      <c r="AK226" s="17">
        <v>5</v>
      </c>
      <c r="AL226" s="17">
        <v>5</v>
      </c>
      <c r="AM226" s="85">
        <f t="shared" si="325"/>
        <v>25</v>
      </c>
      <c r="AN226" s="15"/>
      <c r="AO226" s="16"/>
      <c r="AP226" s="17"/>
      <c r="AQ226" s="17"/>
      <c r="AR226" s="85">
        <f t="shared" si="326"/>
        <v>0</v>
      </c>
      <c r="AS226" s="15"/>
      <c r="AT226" s="16"/>
      <c r="AU226" s="17"/>
      <c r="AV226" s="17"/>
      <c r="AW226" s="85">
        <f t="shared" si="327"/>
        <v>0</v>
      </c>
      <c r="AX226" s="15"/>
      <c r="AY226" s="16">
        <v>15</v>
      </c>
      <c r="AZ226" s="17">
        <v>5</v>
      </c>
      <c r="BA226" s="17">
        <v>5</v>
      </c>
      <c r="BB226" s="85">
        <f t="shared" si="328"/>
        <v>25</v>
      </c>
      <c r="BC226" s="105">
        <f t="shared" si="329"/>
        <v>75</v>
      </c>
      <c r="BD226" s="114">
        <v>45506</v>
      </c>
    </row>
    <row r="227" spans="1:56" x14ac:dyDescent="0.15">
      <c r="A227" s="23" t="s">
        <v>124</v>
      </c>
      <c r="B227" s="15"/>
      <c r="C227" s="16"/>
      <c r="D227" s="17"/>
      <c r="E227" s="17"/>
      <c r="F227" s="85">
        <f t="shared" si="312"/>
        <v>0</v>
      </c>
      <c r="G227" s="15"/>
      <c r="H227" s="16"/>
      <c r="I227" s="17"/>
      <c r="J227" s="17"/>
      <c r="K227" s="85">
        <f t="shared" si="313"/>
        <v>0</v>
      </c>
      <c r="L227" s="15"/>
      <c r="M227" s="16">
        <v>1</v>
      </c>
      <c r="N227" s="17"/>
      <c r="O227" s="17"/>
      <c r="P227" s="85">
        <f t="shared" si="314"/>
        <v>1</v>
      </c>
      <c r="Q227" s="15"/>
      <c r="R227" s="16">
        <v>1</v>
      </c>
      <c r="S227" s="17"/>
      <c r="T227" s="17"/>
      <c r="U227" s="85">
        <f t="shared" si="315"/>
        <v>1</v>
      </c>
      <c r="V227" s="15"/>
      <c r="W227" s="16">
        <v>1</v>
      </c>
      <c r="X227" s="17"/>
      <c r="Y227" s="17"/>
      <c r="Z227" s="85">
        <f t="shared" si="316"/>
        <v>1</v>
      </c>
      <c r="AA227" s="105">
        <f t="shared" si="317"/>
        <v>3</v>
      </c>
      <c r="AB227" s="115">
        <v>45553</v>
      </c>
      <c r="AC227" s="23" t="s">
        <v>300</v>
      </c>
      <c r="AD227" s="15"/>
      <c r="AE227" s="16"/>
      <c r="AF227" s="17"/>
      <c r="AG227" s="17"/>
      <c r="AH227" s="85">
        <f t="shared" si="324"/>
        <v>0</v>
      </c>
      <c r="AI227" s="15"/>
      <c r="AJ227" s="16"/>
      <c r="AK227" s="17"/>
      <c r="AL227" s="17"/>
      <c r="AM227" s="85">
        <f t="shared" si="325"/>
        <v>0</v>
      </c>
      <c r="AN227" s="15"/>
      <c r="AO227" s="16">
        <v>5</v>
      </c>
      <c r="AP227" s="17"/>
      <c r="AQ227" s="17">
        <v>10</v>
      </c>
      <c r="AR227" s="85">
        <f t="shared" si="326"/>
        <v>15</v>
      </c>
      <c r="AS227" s="15"/>
      <c r="AT227" s="16">
        <v>5</v>
      </c>
      <c r="AU227" s="17"/>
      <c r="AV227" s="17">
        <v>10</v>
      </c>
      <c r="AW227" s="85">
        <f t="shared" si="327"/>
        <v>15</v>
      </c>
      <c r="AX227" s="15"/>
      <c r="AY227" s="16">
        <v>5</v>
      </c>
      <c r="AZ227" s="17"/>
      <c r="BA227" s="17">
        <v>10</v>
      </c>
      <c r="BB227" s="85">
        <f t="shared" si="328"/>
        <v>15</v>
      </c>
      <c r="BC227" s="105">
        <f t="shared" si="329"/>
        <v>45</v>
      </c>
      <c r="BD227" s="114">
        <v>45506</v>
      </c>
    </row>
    <row r="228" spans="1:56" x14ac:dyDescent="0.15">
      <c r="A228" s="23"/>
      <c r="B228" s="15"/>
      <c r="C228" s="16"/>
      <c r="D228" s="17"/>
      <c r="E228" s="17"/>
      <c r="F228" s="85">
        <f t="shared" si="312"/>
        <v>0</v>
      </c>
      <c r="G228" s="15"/>
      <c r="H228" s="16"/>
      <c r="I228" s="17"/>
      <c r="J228" s="17"/>
      <c r="K228" s="85">
        <f t="shared" si="313"/>
        <v>0</v>
      </c>
      <c r="L228" s="15"/>
      <c r="M228" s="16"/>
      <c r="N228" s="17"/>
      <c r="O228" s="17"/>
      <c r="P228" s="85">
        <f t="shared" si="314"/>
        <v>0</v>
      </c>
      <c r="Q228" s="15"/>
      <c r="R228" s="16"/>
      <c r="S228" s="17"/>
      <c r="T228" s="17"/>
      <c r="U228" s="85">
        <f t="shared" si="315"/>
        <v>0</v>
      </c>
      <c r="V228" s="15"/>
      <c r="W228" s="16"/>
      <c r="X228" s="17"/>
      <c r="Y228" s="17"/>
      <c r="Z228" s="85">
        <f t="shared" si="316"/>
        <v>0</v>
      </c>
      <c r="AA228" s="105">
        <f t="shared" si="317"/>
        <v>0</v>
      </c>
      <c r="AC228" s="23" t="s">
        <v>301</v>
      </c>
      <c r="AD228" s="15"/>
      <c r="AE228" s="16"/>
      <c r="AF228" s="17"/>
      <c r="AG228" s="17"/>
      <c r="AH228" s="85">
        <f t="shared" si="324"/>
        <v>0</v>
      </c>
      <c r="AI228" s="15"/>
      <c r="AJ228" s="16"/>
      <c r="AK228" s="17"/>
      <c r="AL228" s="17"/>
      <c r="AM228" s="85">
        <f t="shared" si="325"/>
        <v>0</v>
      </c>
      <c r="AN228" s="15">
        <v>10</v>
      </c>
      <c r="AO228" s="16"/>
      <c r="AP228" s="17">
        <v>10</v>
      </c>
      <c r="AQ228" s="17"/>
      <c r="AR228" s="85">
        <f t="shared" si="326"/>
        <v>20</v>
      </c>
      <c r="AS228" s="15">
        <v>10</v>
      </c>
      <c r="AT228" s="16"/>
      <c r="AU228" s="17">
        <v>10</v>
      </c>
      <c r="AV228" s="17"/>
      <c r="AW228" s="85">
        <f t="shared" si="327"/>
        <v>20</v>
      </c>
      <c r="AX228" s="15">
        <v>10</v>
      </c>
      <c r="AY228" s="16"/>
      <c r="AZ228" s="17">
        <v>10</v>
      </c>
      <c r="BA228" s="17"/>
      <c r="BB228" s="85">
        <f t="shared" si="328"/>
        <v>20</v>
      </c>
      <c r="BC228" s="105">
        <f t="shared" si="329"/>
        <v>60</v>
      </c>
      <c r="BD228" s="114">
        <v>45507</v>
      </c>
    </row>
    <row r="229" spans="1:56" x14ac:dyDescent="0.15">
      <c r="A229" s="54"/>
      <c r="B229" s="15"/>
      <c r="C229" s="16"/>
      <c r="D229" s="17"/>
      <c r="E229" s="17"/>
      <c r="F229" s="85">
        <f t="shared" si="312"/>
        <v>0</v>
      </c>
      <c r="G229" s="15"/>
      <c r="H229" s="16"/>
      <c r="I229" s="17"/>
      <c r="J229" s="17"/>
      <c r="K229" s="85">
        <f t="shared" si="313"/>
        <v>0</v>
      </c>
      <c r="L229" s="15"/>
      <c r="M229" s="16"/>
      <c r="N229" s="17"/>
      <c r="O229" s="17"/>
      <c r="P229" s="85">
        <f t="shared" si="314"/>
        <v>0</v>
      </c>
      <c r="Q229" s="15"/>
      <c r="R229" s="16"/>
      <c r="S229" s="17"/>
      <c r="T229" s="17"/>
      <c r="U229" s="85">
        <f t="shared" si="315"/>
        <v>0</v>
      </c>
      <c r="V229" s="15"/>
      <c r="W229" s="16"/>
      <c r="X229" s="17"/>
      <c r="Y229" s="17"/>
      <c r="Z229" s="85">
        <f t="shared" si="316"/>
        <v>0</v>
      </c>
      <c r="AA229" s="105">
        <f t="shared" si="317"/>
        <v>0</v>
      </c>
      <c r="AC229" s="54" t="s">
        <v>302</v>
      </c>
      <c r="AD229" s="15">
        <v>1</v>
      </c>
      <c r="AE229" s="16"/>
      <c r="AF229" s="17">
        <v>2</v>
      </c>
      <c r="AG229" s="17"/>
      <c r="AH229" s="85">
        <f t="shared" si="324"/>
        <v>3</v>
      </c>
      <c r="AI229" s="15"/>
      <c r="AJ229" s="16"/>
      <c r="AK229" s="17">
        <v>2</v>
      </c>
      <c r="AL229" s="17"/>
      <c r="AM229" s="85">
        <f t="shared" si="325"/>
        <v>2</v>
      </c>
      <c r="AN229" s="15">
        <v>2</v>
      </c>
      <c r="AO229" s="16"/>
      <c r="AP229" s="17">
        <v>2</v>
      </c>
      <c r="AQ229" s="17"/>
      <c r="AR229" s="85">
        <f t="shared" si="326"/>
        <v>4</v>
      </c>
      <c r="AS229" s="15"/>
      <c r="AT229" s="16">
        <v>1</v>
      </c>
      <c r="AU229" s="17"/>
      <c r="AV229" s="17"/>
      <c r="AW229" s="85">
        <f t="shared" si="327"/>
        <v>1</v>
      </c>
      <c r="AX229" s="15">
        <v>2</v>
      </c>
      <c r="AY229" s="16"/>
      <c r="AZ229" s="17"/>
      <c r="BA229" s="17"/>
      <c r="BB229" s="85">
        <f t="shared" si="328"/>
        <v>2</v>
      </c>
      <c r="BC229" s="105">
        <f t="shared" si="329"/>
        <v>12</v>
      </c>
      <c r="BD229" s="114">
        <v>45513</v>
      </c>
    </row>
    <row r="230" spans="1:56" x14ac:dyDescent="0.15">
      <c r="A230" s="23"/>
      <c r="B230" s="15"/>
      <c r="C230" s="16"/>
      <c r="D230" s="17"/>
      <c r="E230" s="17"/>
      <c r="F230" s="85">
        <f t="shared" si="312"/>
        <v>0</v>
      </c>
      <c r="G230" s="15"/>
      <c r="H230" s="16"/>
      <c r="I230" s="17"/>
      <c r="J230" s="17"/>
      <c r="K230" s="85">
        <f t="shared" si="313"/>
        <v>0</v>
      </c>
      <c r="L230" s="15"/>
      <c r="M230" s="16"/>
      <c r="N230" s="17"/>
      <c r="O230" s="17"/>
      <c r="P230" s="85">
        <f t="shared" si="314"/>
        <v>0</v>
      </c>
      <c r="Q230" s="15"/>
      <c r="R230" s="16"/>
      <c r="S230" s="17"/>
      <c r="T230" s="17"/>
      <c r="U230" s="85">
        <f t="shared" si="315"/>
        <v>0</v>
      </c>
      <c r="V230" s="15"/>
      <c r="W230" s="16"/>
      <c r="X230" s="17"/>
      <c r="Y230" s="17"/>
      <c r="Z230" s="85">
        <f t="shared" si="316"/>
        <v>0</v>
      </c>
      <c r="AA230" s="105">
        <f t="shared" si="317"/>
        <v>0</v>
      </c>
      <c r="AC230" s="23" t="s">
        <v>35</v>
      </c>
      <c r="AD230" s="15"/>
      <c r="AE230" s="16">
        <v>5</v>
      </c>
      <c r="AF230" s="17">
        <v>5</v>
      </c>
      <c r="AG230" s="17"/>
      <c r="AH230" s="85">
        <f t="shared" si="324"/>
        <v>10</v>
      </c>
      <c r="AI230" s="15"/>
      <c r="AJ230" s="16">
        <v>5</v>
      </c>
      <c r="AK230" s="17">
        <v>5</v>
      </c>
      <c r="AL230" s="17"/>
      <c r="AM230" s="85">
        <f t="shared" si="325"/>
        <v>10</v>
      </c>
      <c r="AN230" s="15"/>
      <c r="AO230" s="16"/>
      <c r="AP230" s="17">
        <v>5</v>
      </c>
      <c r="AQ230" s="17"/>
      <c r="AR230" s="85">
        <f t="shared" si="326"/>
        <v>5</v>
      </c>
      <c r="AS230" s="15"/>
      <c r="AT230" s="16"/>
      <c r="AU230" s="17"/>
      <c r="AV230" s="17"/>
      <c r="AW230" s="85">
        <f t="shared" si="327"/>
        <v>0</v>
      </c>
      <c r="AX230" s="15">
        <v>5</v>
      </c>
      <c r="AY230" s="16"/>
      <c r="AZ230" s="17"/>
      <c r="BA230" s="17"/>
      <c r="BB230" s="85">
        <f t="shared" si="328"/>
        <v>5</v>
      </c>
      <c r="BC230" s="105">
        <f t="shared" si="329"/>
        <v>30</v>
      </c>
      <c r="BD230" s="114">
        <v>45514</v>
      </c>
    </row>
    <row r="231" spans="1:56" x14ac:dyDescent="0.15">
      <c r="A231" s="23"/>
      <c r="B231" s="15"/>
      <c r="C231" s="16"/>
      <c r="D231" s="17"/>
      <c r="E231" s="17"/>
      <c r="F231" s="85">
        <f t="shared" si="312"/>
        <v>0</v>
      </c>
      <c r="G231" s="15"/>
      <c r="H231" s="16"/>
      <c r="I231" s="17"/>
      <c r="J231" s="17"/>
      <c r="K231" s="85">
        <f t="shared" si="313"/>
        <v>0</v>
      </c>
      <c r="L231" s="15"/>
      <c r="M231" s="16"/>
      <c r="N231" s="17"/>
      <c r="O231" s="17"/>
      <c r="P231" s="85">
        <f t="shared" si="314"/>
        <v>0</v>
      </c>
      <c r="Q231" s="15"/>
      <c r="R231" s="16"/>
      <c r="S231" s="17"/>
      <c r="T231" s="17"/>
      <c r="U231" s="85">
        <f t="shared" si="315"/>
        <v>0</v>
      </c>
      <c r="V231" s="15"/>
      <c r="W231" s="16"/>
      <c r="X231" s="17"/>
      <c r="Y231" s="17"/>
      <c r="Z231" s="85">
        <f t="shared" si="316"/>
        <v>0</v>
      </c>
      <c r="AA231" s="105">
        <f t="shared" si="317"/>
        <v>0</v>
      </c>
      <c r="AC231" s="24" t="s">
        <v>195</v>
      </c>
      <c r="AD231" s="15"/>
      <c r="AE231" s="16"/>
      <c r="AF231" s="17"/>
      <c r="AG231" s="17"/>
      <c r="AH231" s="85">
        <f t="shared" si="324"/>
        <v>0</v>
      </c>
      <c r="AI231" s="15"/>
      <c r="AJ231" s="16"/>
      <c r="AK231" s="17"/>
      <c r="AL231" s="17"/>
      <c r="AM231" s="85">
        <f t="shared" si="325"/>
        <v>0</v>
      </c>
      <c r="AN231" s="15"/>
      <c r="AO231" s="16"/>
      <c r="AP231" s="17">
        <v>3</v>
      </c>
      <c r="AQ231" s="17"/>
      <c r="AR231" s="85">
        <f t="shared" si="326"/>
        <v>3</v>
      </c>
      <c r="AS231" s="15"/>
      <c r="AT231" s="16"/>
      <c r="AU231" s="17">
        <v>3</v>
      </c>
      <c r="AV231" s="17"/>
      <c r="AW231" s="85">
        <f t="shared" si="327"/>
        <v>3</v>
      </c>
      <c r="AX231" s="15"/>
      <c r="AY231" s="16"/>
      <c r="AZ231" s="17">
        <v>3</v>
      </c>
      <c r="BA231" s="17"/>
      <c r="BB231" s="85">
        <f t="shared" si="328"/>
        <v>3</v>
      </c>
      <c r="BC231" s="105">
        <f t="shared" si="329"/>
        <v>9</v>
      </c>
      <c r="BD231" s="114">
        <v>45520</v>
      </c>
    </row>
    <row r="232" spans="1:56" x14ac:dyDescent="0.15">
      <c r="A232" s="23"/>
      <c r="B232" s="18"/>
      <c r="C232" s="19"/>
      <c r="D232" s="20"/>
      <c r="E232" s="20"/>
      <c r="F232" s="85">
        <f t="shared" si="312"/>
        <v>0</v>
      </c>
      <c r="G232" s="18"/>
      <c r="H232" s="19"/>
      <c r="I232" s="20"/>
      <c r="J232" s="20"/>
      <c r="K232" s="85">
        <f t="shared" si="313"/>
        <v>0</v>
      </c>
      <c r="L232" s="18"/>
      <c r="M232" s="19"/>
      <c r="N232" s="20"/>
      <c r="O232" s="20"/>
      <c r="P232" s="85">
        <f t="shared" si="314"/>
        <v>0</v>
      </c>
      <c r="Q232" s="18"/>
      <c r="R232" s="19"/>
      <c r="S232" s="20"/>
      <c r="T232" s="20"/>
      <c r="U232" s="85">
        <f t="shared" si="315"/>
        <v>0</v>
      </c>
      <c r="V232" s="18"/>
      <c r="W232" s="19"/>
      <c r="X232" s="20"/>
      <c r="Y232" s="20"/>
      <c r="Z232" s="85">
        <f t="shared" si="316"/>
        <v>0</v>
      </c>
      <c r="AA232" s="105">
        <f t="shared" si="317"/>
        <v>0</v>
      </c>
      <c r="AC232" s="24" t="s">
        <v>195</v>
      </c>
      <c r="AD232" s="15">
        <v>6</v>
      </c>
      <c r="AE232" s="16"/>
      <c r="AF232" s="17"/>
      <c r="AG232" s="17"/>
      <c r="AH232" s="85">
        <f t="shared" ref="AH232:AH233" si="346">SUM(AD232:AG232)</f>
        <v>6</v>
      </c>
      <c r="AI232" s="15">
        <v>6</v>
      </c>
      <c r="AJ232" s="16"/>
      <c r="AK232" s="17"/>
      <c r="AL232" s="17"/>
      <c r="AM232" s="85">
        <f t="shared" ref="AM232:AM233" si="347">SUM(AI232:AL232)</f>
        <v>6</v>
      </c>
      <c r="AN232" s="15">
        <v>6</v>
      </c>
      <c r="AO232" s="16"/>
      <c r="AP232" s="17"/>
      <c r="AQ232" s="17"/>
      <c r="AR232" s="85">
        <f t="shared" ref="AR232:AR233" si="348">SUM(AN232:AQ232)</f>
        <v>6</v>
      </c>
      <c r="AS232" s="15">
        <v>6</v>
      </c>
      <c r="AT232" s="16"/>
      <c r="AU232" s="17"/>
      <c r="AV232" s="17"/>
      <c r="AW232" s="85">
        <f t="shared" ref="AW232:AW233" si="349">SUM(AS232:AV232)</f>
        <v>6</v>
      </c>
      <c r="AX232" s="15">
        <v>12</v>
      </c>
      <c r="AY232" s="16"/>
      <c r="AZ232" s="17"/>
      <c r="BA232" s="17"/>
      <c r="BB232" s="85">
        <f t="shared" ref="BB232:BB233" si="350">SUM(AX232:BA232)</f>
        <v>12</v>
      </c>
      <c r="BC232" s="105">
        <f t="shared" ref="BC232:BC233" si="351">BB232+AW232+AR232+AM232+AH232</f>
        <v>36</v>
      </c>
      <c r="BD232" s="114">
        <v>45520</v>
      </c>
    </row>
    <row r="233" spans="1:56" x14ac:dyDescent="0.15">
      <c r="A233" s="23"/>
      <c r="B233" s="16"/>
      <c r="C233" s="16"/>
      <c r="D233" s="17"/>
      <c r="E233" s="17"/>
      <c r="F233" s="85">
        <f t="shared" si="312"/>
        <v>0</v>
      </c>
      <c r="G233" s="16"/>
      <c r="H233" s="16"/>
      <c r="I233" s="17"/>
      <c r="J233" s="17"/>
      <c r="K233" s="85">
        <f t="shared" si="313"/>
        <v>0</v>
      </c>
      <c r="L233" s="16"/>
      <c r="M233" s="16"/>
      <c r="N233" s="17"/>
      <c r="O233" s="17"/>
      <c r="P233" s="85">
        <f t="shared" si="314"/>
        <v>0</v>
      </c>
      <c r="Q233" s="16"/>
      <c r="R233" s="16"/>
      <c r="S233" s="17"/>
      <c r="T233" s="17"/>
      <c r="U233" s="85">
        <f t="shared" si="315"/>
        <v>0</v>
      </c>
      <c r="V233" s="16"/>
      <c r="W233" s="16"/>
      <c r="X233" s="17"/>
      <c r="Y233" s="17"/>
      <c r="Z233" s="85">
        <f t="shared" si="316"/>
        <v>0</v>
      </c>
      <c r="AA233" s="105">
        <f t="shared" si="317"/>
        <v>0</v>
      </c>
      <c r="AC233" s="23"/>
      <c r="AD233" s="15"/>
      <c r="AE233" s="16"/>
      <c r="AF233" s="17"/>
      <c r="AG233" s="17"/>
      <c r="AH233" s="85">
        <f t="shared" si="346"/>
        <v>0</v>
      </c>
      <c r="AI233" s="15"/>
      <c r="AJ233" s="16"/>
      <c r="AK233" s="17"/>
      <c r="AL233" s="17"/>
      <c r="AM233" s="85">
        <f t="shared" si="347"/>
        <v>0</v>
      </c>
      <c r="AN233" s="15"/>
      <c r="AO233" s="16"/>
      <c r="AP233" s="17"/>
      <c r="AQ233" s="17"/>
      <c r="AR233" s="85">
        <f t="shared" si="348"/>
        <v>0</v>
      </c>
      <c r="AS233" s="15"/>
      <c r="AT233" s="16"/>
      <c r="AU233" s="17"/>
      <c r="AV233" s="17"/>
      <c r="AW233" s="85">
        <f t="shared" si="349"/>
        <v>0</v>
      </c>
      <c r="AX233" s="15"/>
      <c r="AY233" s="16"/>
      <c r="AZ233" s="17"/>
      <c r="BA233" s="17"/>
      <c r="BB233" s="85">
        <f t="shared" si="350"/>
        <v>0</v>
      </c>
      <c r="BC233" s="105">
        <f t="shared" si="351"/>
        <v>0</v>
      </c>
    </row>
    <row r="234" spans="1:56" x14ac:dyDescent="0.15">
      <c r="A234" s="23"/>
      <c r="B234" s="15"/>
      <c r="C234" s="25"/>
      <c r="D234" s="17"/>
      <c r="E234" s="17"/>
      <c r="F234" s="85">
        <f t="shared" si="312"/>
        <v>0</v>
      </c>
      <c r="G234" s="15"/>
      <c r="H234" s="25"/>
      <c r="I234" s="17"/>
      <c r="J234" s="17"/>
      <c r="K234" s="85">
        <f t="shared" si="313"/>
        <v>0</v>
      </c>
      <c r="L234" s="15"/>
      <c r="M234" s="25"/>
      <c r="N234" s="17"/>
      <c r="O234" s="17"/>
      <c r="P234" s="85">
        <f t="shared" si="314"/>
        <v>0</v>
      </c>
      <c r="Q234" s="15"/>
      <c r="R234" s="25"/>
      <c r="S234" s="17"/>
      <c r="T234" s="17"/>
      <c r="U234" s="85">
        <f t="shared" si="315"/>
        <v>0</v>
      </c>
      <c r="V234" s="15"/>
      <c r="W234" s="25"/>
      <c r="X234" s="17"/>
      <c r="Y234" s="17"/>
      <c r="Z234" s="85">
        <f t="shared" si="316"/>
        <v>0</v>
      </c>
      <c r="AA234" s="105">
        <f t="shared" si="317"/>
        <v>0</v>
      </c>
      <c r="AC234" s="139" t="s">
        <v>245</v>
      </c>
      <c r="AD234" s="140"/>
      <c r="AE234" s="147"/>
      <c r="AF234" s="161"/>
      <c r="AG234" s="161"/>
      <c r="AH234" s="189">
        <f t="shared" si="324"/>
        <v>0</v>
      </c>
      <c r="AI234" s="140"/>
      <c r="AJ234" s="147"/>
      <c r="AK234" s="161"/>
      <c r="AL234" s="161"/>
      <c r="AM234" s="189">
        <f t="shared" si="325"/>
        <v>0</v>
      </c>
      <c r="AN234" s="140"/>
      <c r="AO234" s="147"/>
      <c r="AP234" s="161"/>
      <c r="AQ234" s="161"/>
      <c r="AR234" s="189">
        <f t="shared" si="326"/>
        <v>0</v>
      </c>
      <c r="AS234" s="140"/>
      <c r="AT234" s="147"/>
      <c r="AU234" s="161"/>
      <c r="AV234" s="161"/>
      <c r="AW234" s="189">
        <f t="shared" si="327"/>
        <v>0</v>
      </c>
      <c r="AX234" s="140"/>
      <c r="AY234" s="147"/>
      <c r="AZ234" s="161"/>
      <c r="BA234" s="161"/>
      <c r="BB234" s="189">
        <f t="shared" si="328"/>
        <v>0</v>
      </c>
      <c r="BC234" s="190">
        <f t="shared" si="329"/>
        <v>0</v>
      </c>
      <c r="BD234" s="159"/>
    </row>
    <row r="235" spans="1:56" x14ac:dyDescent="0.15">
      <c r="A235" s="23"/>
      <c r="B235" s="15"/>
      <c r="C235" s="16"/>
      <c r="D235" s="16"/>
      <c r="E235" s="63"/>
      <c r="F235" s="85">
        <f t="shared" si="312"/>
        <v>0</v>
      </c>
      <c r="G235" s="15"/>
      <c r="H235" s="16"/>
      <c r="I235" s="16"/>
      <c r="J235" s="63"/>
      <c r="K235" s="85">
        <f t="shared" si="313"/>
        <v>0</v>
      </c>
      <c r="L235" s="15"/>
      <c r="M235" s="16"/>
      <c r="N235" s="16"/>
      <c r="O235" s="63"/>
      <c r="P235" s="85">
        <f t="shared" si="314"/>
        <v>0</v>
      </c>
      <c r="Q235" s="15"/>
      <c r="R235" s="16"/>
      <c r="S235" s="16"/>
      <c r="T235" s="63"/>
      <c r="U235" s="85">
        <f t="shared" si="315"/>
        <v>0</v>
      </c>
      <c r="V235" s="15"/>
      <c r="W235" s="16"/>
      <c r="X235" s="16"/>
      <c r="Y235" s="63"/>
      <c r="Z235" s="85">
        <f t="shared" si="316"/>
        <v>0</v>
      </c>
      <c r="AA235" s="105">
        <f t="shared" si="317"/>
        <v>0</v>
      </c>
      <c r="AC235" s="23" t="s">
        <v>214</v>
      </c>
      <c r="AD235" s="15"/>
      <c r="AE235" s="16"/>
      <c r="AF235" s="16"/>
      <c r="AG235" s="63"/>
      <c r="AH235" s="85">
        <f t="shared" si="324"/>
        <v>0</v>
      </c>
      <c r="AI235" s="15"/>
      <c r="AJ235" s="16"/>
      <c r="AK235" s="16"/>
      <c r="AL235" s="63"/>
      <c r="AM235" s="85">
        <f t="shared" si="325"/>
        <v>0</v>
      </c>
      <c r="AN235" s="15"/>
      <c r="AO235" s="16"/>
      <c r="AP235" s="16"/>
      <c r="AQ235" s="63"/>
      <c r="AR235" s="85">
        <f t="shared" si="326"/>
        <v>0</v>
      </c>
      <c r="AS235" s="15"/>
      <c r="AT235" s="16"/>
      <c r="AU235" s="16"/>
      <c r="AV235" s="63"/>
      <c r="AW235" s="85">
        <f t="shared" si="327"/>
        <v>0</v>
      </c>
      <c r="AX235" s="15"/>
      <c r="AY235" s="16"/>
      <c r="AZ235" s="16"/>
      <c r="BA235" s="63"/>
      <c r="BB235" s="85">
        <f t="shared" si="328"/>
        <v>0</v>
      </c>
      <c r="BC235" s="105">
        <f t="shared" si="329"/>
        <v>0</v>
      </c>
      <c r="BD235" s="114" t="s">
        <v>217</v>
      </c>
    </row>
    <row r="236" spans="1:56" ht="14.25" thickBot="1" x14ac:dyDescent="0.2">
      <c r="A236" s="53"/>
      <c r="B236" s="18"/>
      <c r="C236" s="19"/>
      <c r="D236" s="19"/>
      <c r="E236" s="64"/>
      <c r="F236" s="86">
        <f t="shared" si="312"/>
        <v>0</v>
      </c>
      <c r="G236" s="18"/>
      <c r="H236" s="19"/>
      <c r="I236" s="19"/>
      <c r="J236" s="64"/>
      <c r="K236" s="86">
        <f t="shared" si="313"/>
        <v>0</v>
      </c>
      <c r="L236" s="18"/>
      <c r="M236" s="19"/>
      <c r="N236" s="19"/>
      <c r="O236" s="64"/>
      <c r="P236" s="86">
        <f t="shared" si="314"/>
        <v>0</v>
      </c>
      <c r="Q236" s="18"/>
      <c r="R236" s="19"/>
      <c r="S236" s="19"/>
      <c r="T236" s="64"/>
      <c r="U236" s="86">
        <f t="shared" si="315"/>
        <v>0</v>
      </c>
      <c r="V236" s="18"/>
      <c r="W236" s="19"/>
      <c r="X236" s="19"/>
      <c r="Y236" s="64"/>
      <c r="Z236" s="86">
        <f t="shared" si="316"/>
        <v>0</v>
      </c>
      <c r="AA236" s="106">
        <f t="shared" si="317"/>
        <v>0</v>
      </c>
      <c r="AC236" s="23" t="s">
        <v>213</v>
      </c>
      <c r="AD236" s="15"/>
      <c r="AE236" s="16"/>
      <c r="AF236" s="16"/>
      <c r="AG236" s="63"/>
      <c r="AH236" s="85">
        <f t="shared" si="324"/>
        <v>0</v>
      </c>
      <c r="AI236" s="15"/>
      <c r="AJ236" s="16"/>
      <c r="AK236" s="16"/>
      <c r="AL236" s="63"/>
      <c r="AM236" s="85">
        <f t="shared" si="325"/>
        <v>0</v>
      </c>
      <c r="AN236" s="15"/>
      <c r="AO236" s="16"/>
      <c r="AP236" s="16"/>
      <c r="AQ236" s="63"/>
      <c r="AR236" s="85">
        <f t="shared" si="326"/>
        <v>0</v>
      </c>
      <c r="AS236" s="15"/>
      <c r="AT236" s="16"/>
      <c r="AU236" s="16"/>
      <c r="AV236" s="63"/>
      <c r="AW236" s="85">
        <f t="shared" si="327"/>
        <v>0</v>
      </c>
      <c r="AX236" s="15"/>
      <c r="AY236" s="16"/>
      <c r="AZ236" s="16"/>
      <c r="BA236" s="63"/>
      <c r="BB236" s="85">
        <f t="shared" si="328"/>
        <v>0</v>
      </c>
      <c r="BC236" s="105">
        <f t="shared" si="329"/>
        <v>0</v>
      </c>
      <c r="BD236" s="114" t="s">
        <v>217</v>
      </c>
    </row>
    <row r="237" spans="1:56" ht="14.25" thickBot="1" x14ac:dyDescent="0.2">
      <c r="A237" s="27" t="s">
        <v>12</v>
      </c>
      <c r="B237" s="57">
        <f>SUM(B211:B236)</f>
        <v>10</v>
      </c>
      <c r="C237" s="50">
        <f t="shared" ref="C237:D237" si="352">SUM(C211:C236)</f>
        <v>9</v>
      </c>
      <c r="D237" s="50">
        <f t="shared" si="352"/>
        <v>6</v>
      </c>
      <c r="E237" s="50">
        <f>SUM(E211:E236)</f>
        <v>9</v>
      </c>
      <c r="F237" s="88">
        <f t="shared" si="312"/>
        <v>34</v>
      </c>
      <c r="G237" s="57">
        <f>SUM(G211:G236)</f>
        <v>11</v>
      </c>
      <c r="H237" s="50">
        <f t="shared" ref="H237:I237" si="353">SUM(H211:H236)</f>
        <v>11</v>
      </c>
      <c r="I237" s="50">
        <f t="shared" si="353"/>
        <v>6</v>
      </c>
      <c r="J237" s="50">
        <f>SUM(J211:J236)</f>
        <v>9</v>
      </c>
      <c r="K237" s="88">
        <f t="shared" si="313"/>
        <v>37</v>
      </c>
      <c r="L237" s="57">
        <f>SUM(L211:L236)</f>
        <v>11</v>
      </c>
      <c r="M237" s="50">
        <f t="shared" ref="M237:N237" si="354">SUM(M211:M236)</f>
        <v>13</v>
      </c>
      <c r="N237" s="50">
        <f t="shared" si="354"/>
        <v>15</v>
      </c>
      <c r="O237" s="50">
        <f>SUM(O211:O236)</f>
        <v>8</v>
      </c>
      <c r="P237" s="88">
        <f t="shared" si="314"/>
        <v>47</v>
      </c>
      <c r="Q237" s="57">
        <f>SUM(Q211:Q236)</f>
        <v>9</v>
      </c>
      <c r="R237" s="50">
        <f t="shared" ref="R237:S237" si="355">SUM(R211:R236)</f>
        <v>10</v>
      </c>
      <c r="S237" s="50">
        <f t="shared" si="355"/>
        <v>13</v>
      </c>
      <c r="T237" s="50">
        <f>SUM(T211:T236)</f>
        <v>8</v>
      </c>
      <c r="U237" s="88">
        <f t="shared" si="315"/>
        <v>40</v>
      </c>
      <c r="V237" s="57">
        <f>SUM(V211:V236)</f>
        <v>19</v>
      </c>
      <c r="W237" s="50">
        <f t="shared" ref="W237:X237" si="356">SUM(W211:W236)</f>
        <v>18</v>
      </c>
      <c r="X237" s="50">
        <f t="shared" si="356"/>
        <v>22</v>
      </c>
      <c r="Y237" s="50">
        <f>SUM(Y211:Y236)</f>
        <v>16</v>
      </c>
      <c r="Z237" s="88">
        <f t="shared" si="316"/>
        <v>75</v>
      </c>
      <c r="AA237" s="109">
        <f t="shared" si="317"/>
        <v>233</v>
      </c>
      <c r="AC237" s="27" t="s">
        <v>12</v>
      </c>
      <c r="AD237" s="57">
        <f>SUM(AD211:AD236)</f>
        <v>41</v>
      </c>
      <c r="AE237" s="50">
        <f t="shared" ref="AE237:AF237" si="357">SUM(AE211:AE236)</f>
        <v>185</v>
      </c>
      <c r="AF237" s="50">
        <f t="shared" si="357"/>
        <v>33</v>
      </c>
      <c r="AG237" s="50">
        <f>SUM(AG211:AG236)</f>
        <v>24</v>
      </c>
      <c r="AH237" s="88">
        <f t="shared" si="324"/>
        <v>283</v>
      </c>
      <c r="AI237" s="57">
        <f>SUM(AI211:AI236)</f>
        <v>36</v>
      </c>
      <c r="AJ237" s="50">
        <f t="shared" ref="AJ237:AK237" si="358">SUM(AJ211:AJ236)</f>
        <v>189</v>
      </c>
      <c r="AK237" s="50">
        <f t="shared" si="358"/>
        <v>32</v>
      </c>
      <c r="AL237" s="50">
        <f>SUM(AL211:AL236)</f>
        <v>23</v>
      </c>
      <c r="AM237" s="88">
        <f t="shared" si="325"/>
        <v>280</v>
      </c>
      <c r="AN237" s="57">
        <f>SUM(AN211:AN236)</f>
        <v>42</v>
      </c>
      <c r="AO237" s="50">
        <f t="shared" ref="AO237:AP237" si="359">SUM(AO211:AO236)</f>
        <v>43</v>
      </c>
      <c r="AP237" s="50">
        <f t="shared" si="359"/>
        <v>48</v>
      </c>
      <c r="AQ237" s="50">
        <f>SUM(AQ211:AQ236)</f>
        <v>30</v>
      </c>
      <c r="AR237" s="88">
        <f t="shared" si="326"/>
        <v>163</v>
      </c>
      <c r="AS237" s="57">
        <f>SUM(AS211:AS236)</f>
        <v>38</v>
      </c>
      <c r="AT237" s="50">
        <f t="shared" ref="AT237:AU237" si="360">SUM(AT211:AT236)</f>
        <v>194</v>
      </c>
      <c r="AU237" s="50">
        <f t="shared" si="360"/>
        <v>39</v>
      </c>
      <c r="AV237" s="50">
        <f>SUM(AV211:AV236)</f>
        <v>35</v>
      </c>
      <c r="AW237" s="88">
        <f t="shared" si="327"/>
        <v>306</v>
      </c>
      <c r="AX237" s="57">
        <f>SUM(AX211:AX236)</f>
        <v>82</v>
      </c>
      <c r="AY237" s="50">
        <f t="shared" ref="AY237:AZ237" si="361">SUM(AY211:AY236)</f>
        <v>71</v>
      </c>
      <c r="AZ237" s="50">
        <f t="shared" si="361"/>
        <v>65</v>
      </c>
      <c r="BA237" s="50">
        <f>SUM(BA211:BA236)</f>
        <v>57</v>
      </c>
      <c r="BB237" s="88">
        <f t="shared" si="328"/>
        <v>275</v>
      </c>
      <c r="BC237" s="109">
        <f t="shared" si="329"/>
        <v>1307</v>
      </c>
    </row>
    <row r="238" spans="1:56" ht="14.25" thickBot="1" x14ac:dyDescent="0.2">
      <c r="A238" s="21" t="s">
        <v>13</v>
      </c>
      <c r="B238" s="101">
        <f>B210-B237</f>
        <v>13</v>
      </c>
      <c r="C238" s="8">
        <f t="shared" ref="C238:D238" si="362">C210-C237</f>
        <v>10</v>
      </c>
      <c r="D238" s="8">
        <f t="shared" si="362"/>
        <v>13</v>
      </c>
      <c r="E238" s="8">
        <f>E210-E237</f>
        <v>11</v>
      </c>
      <c r="F238" s="87">
        <f t="shared" si="312"/>
        <v>47</v>
      </c>
      <c r="G238" s="101">
        <f>G210-G237</f>
        <v>10</v>
      </c>
      <c r="H238" s="8">
        <f t="shared" ref="H238:I238" si="363">H210-H237</f>
        <v>8</v>
      </c>
      <c r="I238" s="8">
        <f t="shared" si="363"/>
        <v>13</v>
      </c>
      <c r="J238" s="8">
        <f>J210-J237</f>
        <v>12</v>
      </c>
      <c r="K238" s="87">
        <f t="shared" si="313"/>
        <v>43</v>
      </c>
      <c r="L238" s="101">
        <f>L210-L237</f>
        <v>7</v>
      </c>
      <c r="M238" s="8">
        <f t="shared" ref="M238:N238" si="364">M210-M237</f>
        <v>6</v>
      </c>
      <c r="N238" s="8">
        <f t="shared" si="364"/>
        <v>8</v>
      </c>
      <c r="O238" s="8">
        <f>O210-O237</f>
        <v>8</v>
      </c>
      <c r="P238" s="87">
        <f t="shared" si="314"/>
        <v>29</v>
      </c>
      <c r="Q238" s="101">
        <f>Q210-Q237</f>
        <v>7</v>
      </c>
      <c r="R238" s="8">
        <f t="shared" ref="R238:S238" si="365">R210-R237</f>
        <v>10</v>
      </c>
      <c r="S238" s="8">
        <f t="shared" si="365"/>
        <v>7</v>
      </c>
      <c r="T238" s="8">
        <f>T210-T237</f>
        <v>6</v>
      </c>
      <c r="U238" s="87">
        <f t="shared" si="315"/>
        <v>30</v>
      </c>
      <c r="V238" s="101">
        <f>V210-V237</f>
        <v>9</v>
      </c>
      <c r="W238" s="8">
        <f t="shared" ref="W238:X238" si="366">W210-W237</f>
        <v>7</v>
      </c>
      <c r="X238" s="8">
        <f t="shared" si="366"/>
        <v>3</v>
      </c>
      <c r="Y238" s="8">
        <f>Y210-Y237</f>
        <v>10</v>
      </c>
      <c r="Z238" s="87">
        <f t="shared" si="316"/>
        <v>29</v>
      </c>
      <c r="AA238" s="107">
        <f t="shared" si="317"/>
        <v>178</v>
      </c>
      <c r="AC238" s="29" t="s">
        <v>13</v>
      </c>
      <c r="AD238" s="32">
        <f>AD210-AD237</f>
        <v>97</v>
      </c>
      <c r="AE238" s="44">
        <f t="shared" ref="AE238:AF238" si="367">AE210-AE237</f>
        <v>265</v>
      </c>
      <c r="AF238" s="44">
        <f t="shared" si="367"/>
        <v>71</v>
      </c>
      <c r="AG238" s="44">
        <f>AG210-AG237</f>
        <v>456</v>
      </c>
      <c r="AH238" s="87">
        <f t="shared" si="324"/>
        <v>889</v>
      </c>
      <c r="AI238" s="32">
        <f>AI210-AI237</f>
        <v>98</v>
      </c>
      <c r="AJ238" s="44">
        <f t="shared" ref="AJ238:AK238" si="368">AJ210-AJ237</f>
        <v>274</v>
      </c>
      <c r="AK238" s="44">
        <f t="shared" si="368"/>
        <v>79</v>
      </c>
      <c r="AL238" s="44">
        <f>AL210-AL237</f>
        <v>469</v>
      </c>
      <c r="AM238" s="87">
        <f t="shared" si="325"/>
        <v>920</v>
      </c>
      <c r="AN238" s="32">
        <f>AN210-AN237</f>
        <v>257</v>
      </c>
      <c r="AO238" s="44">
        <f t="shared" ref="AO238:AP238" si="369">AO210-AO237</f>
        <v>609</v>
      </c>
      <c r="AP238" s="44">
        <f t="shared" si="369"/>
        <v>237</v>
      </c>
      <c r="AQ238" s="44">
        <f>AQ210-AQ237</f>
        <v>433</v>
      </c>
      <c r="AR238" s="87">
        <f t="shared" si="326"/>
        <v>1536</v>
      </c>
      <c r="AS238" s="32">
        <f>AS210-AS237</f>
        <v>146</v>
      </c>
      <c r="AT238" s="44">
        <f t="shared" ref="AT238:AU238" si="370">AT210-AT237</f>
        <v>424</v>
      </c>
      <c r="AU238" s="44">
        <f t="shared" si="370"/>
        <v>197</v>
      </c>
      <c r="AV238" s="44">
        <f>AV210-AV237</f>
        <v>592</v>
      </c>
      <c r="AW238" s="87">
        <f t="shared" si="327"/>
        <v>1359</v>
      </c>
      <c r="AX238" s="32">
        <f>AX210-AX237</f>
        <v>1159</v>
      </c>
      <c r="AY238" s="44">
        <f t="shared" ref="AY238:AZ238" si="371">AY210-AY237</f>
        <v>1220</v>
      </c>
      <c r="AZ238" s="44">
        <f t="shared" si="371"/>
        <v>629</v>
      </c>
      <c r="BA238" s="44">
        <f>BA210-BA237</f>
        <v>224</v>
      </c>
      <c r="BB238" s="87">
        <f t="shared" si="328"/>
        <v>3232</v>
      </c>
      <c r="BC238" s="107">
        <f t="shared" si="329"/>
        <v>7936</v>
      </c>
    </row>
    <row r="241" spans="1:56" ht="19.5" thickBot="1" x14ac:dyDescent="0.25">
      <c r="A241" s="271" t="s">
        <v>22</v>
      </c>
      <c r="B241" s="271"/>
      <c r="C241" s="271"/>
      <c r="D241" s="271"/>
      <c r="E241" s="271"/>
      <c r="F241" s="271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C241" s="79" t="s">
        <v>69</v>
      </c>
      <c r="AD241" s="79"/>
      <c r="AE241" s="79"/>
      <c r="AF241" s="79"/>
      <c r="AG241" s="79"/>
      <c r="AH241" s="79"/>
      <c r="AI241" s="93"/>
      <c r="AJ241" s="93"/>
      <c r="AK241" s="93"/>
      <c r="AL241" s="93"/>
      <c r="AM241" s="93"/>
      <c r="AN241" s="93"/>
      <c r="AO241" s="93"/>
      <c r="AP241" s="93"/>
      <c r="AQ241" s="93"/>
      <c r="AR241" s="93"/>
      <c r="AS241" s="93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</row>
    <row r="242" spans="1:56" ht="14.25" thickBot="1" x14ac:dyDescent="0.2">
      <c r="A242" s="2" t="s">
        <v>0</v>
      </c>
      <c r="B242" s="256" t="s">
        <v>23</v>
      </c>
      <c r="C242" s="257"/>
      <c r="D242" s="257"/>
      <c r="E242" s="258"/>
      <c r="F242" s="81"/>
      <c r="G242" s="259" t="s">
        <v>24</v>
      </c>
      <c r="H242" s="260"/>
      <c r="I242" s="260"/>
      <c r="J242" s="261"/>
      <c r="K242" s="81"/>
      <c r="L242" s="262" t="s">
        <v>25</v>
      </c>
      <c r="M242" s="263"/>
      <c r="N242" s="263"/>
      <c r="O242" s="264"/>
      <c r="P242" s="81"/>
      <c r="Q242" s="265" t="s">
        <v>26</v>
      </c>
      <c r="R242" s="266"/>
      <c r="S242" s="266"/>
      <c r="T242" s="267"/>
      <c r="U242" s="81"/>
      <c r="V242" s="268" t="s">
        <v>27</v>
      </c>
      <c r="W242" s="269"/>
      <c r="X242" s="269"/>
      <c r="Y242" s="270"/>
      <c r="Z242" s="81"/>
      <c r="AA242" s="272" t="s">
        <v>6</v>
      </c>
      <c r="AC242" s="2" t="s">
        <v>0</v>
      </c>
      <c r="AD242" s="256" t="s">
        <v>23</v>
      </c>
      <c r="AE242" s="257"/>
      <c r="AF242" s="257"/>
      <c r="AG242" s="258"/>
      <c r="AH242" s="81"/>
      <c r="AI242" s="259" t="s">
        <v>24</v>
      </c>
      <c r="AJ242" s="260"/>
      <c r="AK242" s="260"/>
      <c r="AL242" s="261"/>
      <c r="AM242" s="81"/>
      <c r="AN242" s="262" t="s">
        <v>25</v>
      </c>
      <c r="AO242" s="263"/>
      <c r="AP242" s="263"/>
      <c r="AQ242" s="264"/>
      <c r="AR242" s="81"/>
      <c r="AS242" s="265" t="s">
        <v>26</v>
      </c>
      <c r="AT242" s="266"/>
      <c r="AU242" s="266"/>
      <c r="AV242" s="267"/>
      <c r="AW242" s="81"/>
      <c r="AX242" s="268" t="s">
        <v>27</v>
      </c>
      <c r="AY242" s="269"/>
      <c r="AZ242" s="269"/>
      <c r="BA242" s="270"/>
      <c r="BB242" s="81"/>
      <c r="BC242" s="183" t="s">
        <v>6</v>
      </c>
    </row>
    <row r="243" spans="1:56" ht="14.25" thickBot="1" x14ac:dyDescent="0.2">
      <c r="A243" s="2" t="s">
        <v>2</v>
      </c>
      <c r="B243" s="3" t="s">
        <v>3</v>
      </c>
      <c r="C243" s="4" t="s">
        <v>4</v>
      </c>
      <c r="D243" s="5" t="s">
        <v>5</v>
      </c>
      <c r="E243" s="5" t="s">
        <v>20</v>
      </c>
      <c r="F243" s="82" t="s">
        <v>6</v>
      </c>
      <c r="G243" s="89" t="s">
        <v>3</v>
      </c>
      <c r="H243" s="4" t="s">
        <v>4</v>
      </c>
      <c r="I243" s="5" t="s">
        <v>5</v>
      </c>
      <c r="J243" s="5" t="s">
        <v>20</v>
      </c>
      <c r="K243" s="82" t="s">
        <v>6</v>
      </c>
      <c r="L243" s="89" t="s">
        <v>3</v>
      </c>
      <c r="M243" s="4" t="s">
        <v>4</v>
      </c>
      <c r="N243" s="5" t="s">
        <v>5</v>
      </c>
      <c r="O243" s="5" t="s">
        <v>20</v>
      </c>
      <c r="P243" s="82" t="s">
        <v>6</v>
      </c>
      <c r="Q243" s="89" t="s">
        <v>3</v>
      </c>
      <c r="R243" s="4" t="s">
        <v>4</v>
      </c>
      <c r="S243" s="5" t="s">
        <v>5</v>
      </c>
      <c r="T243" s="5" t="s">
        <v>20</v>
      </c>
      <c r="U243" s="82" t="s">
        <v>6</v>
      </c>
      <c r="V243" s="89" t="s">
        <v>3</v>
      </c>
      <c r="W243" s="4" t="s">
        <v>4</v>
      </c>
      <c r="X243" s="5" t="s">
        <v>5</v>
      </c>
      <c r="Y243" s="5" t="s">
        <v>20</v>
      </c>
      <c r="Z243" s="82" t="s">
        <v>6</v>
      </c>
      <c r="AA243" s="273"/>
      <c r="AC243" s="2" t="s">
        <v>2</v>
      </c>
      <c r="AD243" s="3" t="s">
        <v>3</v>
      </c>
      <c r="AE243" s="4" t="s">
        <v>4</v>
      </c>
      <c r="AF243" s="5" t="s">
        <v>5</v>
      </c>
      <c r="AG243" s="5" t="s">
        <v>20</v>
      </c>
      <c r="AH243" s="82" t="s">
        <v>6</v>
      </c>
      <c r="AI243" s="89" t="s">
        <v>3</v>
      </c>
      <c r="AJ243" s="4" t="s">
        <v>4</v>
      </c>
      <c r="AK243" s="5" t="s">
        <v>5</v>
      </c>
      <c r="AL243" s="5" t="s">
        <v>20</v>
      </c>
      <c r="AM243" s="82" t="s">
        <v>6</v>
      </c>
      <c r="AN243" s="89" t="s">
        <v>3</v>
      </c>
      <c r="AO243" s="4" t="s">
        <v>4</v>
      </c>
      <c r="AP243" s="5" t="s">
        <v>5</v>
      </c>
      <c r="AQ243" s="5" t="s">
        <v>20</v>
      </c>
      <c r="AR243" s="82" t="s">
        <v>6</v>
      </c>
      <c r="AS243" s="89" t="s">
        <v>3</v>
      </c>
      <c r="AT243" s="4" t="s">
        <v>4</v>
      </c>
      <c r="AU243" s="5" t="s">
        <v>5</v>
      </c>
      <c r="AV243" s="5" t="s">
        <v>20</v>
      </c>
      <c r="AW243" s="82" t="s">
        <v>6</v>
      </c>
      <c r="AX243" s="89" t="s">
        <v>3</v>
      </c>
      <c r="AY243" s="4" t="s">
        <v>4</v>
      </c>
      <c r="AZ243" s="5" t="s">
        <v>5</v>
      </c>
      <c r="BA243" s="5" t="s">
        <v>20</v>
      </c>
      <c r="BB243" s="82" t="s">
        <v>6</v>
      </c>
      <c r="BC243" s="184"/>
    </row>
    <row r="244" spans="1:56" x14ac:dyDescent="0.15">
      <c r="A244" s="40" t="s">
        <v>13</v>
      </c>
      <c r="B244" s="41">
        <f>B238</f>
        <v>13</v>
      </c>
      <c r="C244" s="42">
        <f>C238</f>
        <v>10</v>
      </c>
      <c r="D244" s="42">
        <f t="shared" ref="D244:AA244" si="372">D238</f>
        <v>13</v>
      </c>
      <c r="E244" s="94">
        <f t="shared" si="372"/>
        <v>11</v>
      </c>
      <c r="F244" s="95">
        <f t="shared" si="372"/>
        <v>47</v>
      </c>
      <c r="G244" s="96">
        <f t="shared" si="372"/>
        <v>10</v>
      </c>
      <c r="H244" s="42">
        <f t="shared" si="372"/>
        <v>8</v>
      </c>
      <c r="I244" s="42">
        <f t="shared" si="372"/>
        <v>13</v>
      </c>
      <c r="J244" s="94">
        <f t="shared" si="372"/>
        <v>12</v>
      </c>
      <c r="K244" s="95">
        <f t="shared" si="372"/>
        <v>43</v>
      </c>
      <c r="L244" s="96">
        <f t="shared" si="372"/>
        <v>7</v>
      </c>
      <c r="M244" s="42">
        <f t="shared" si="372"/>
        <v>6</v>
      </c>
      <c r="N244" s="42">
        <f t="shared" si="372"/>
        <v>8</v>
      </c>
      <c r="O244" s="94">
        <f t="shared" si="372"/>
        <v>8</v>
      </c>
      <c r="P244" s="95">
        <f t="shared" si="372"/>
        <v>29</v>
      </c>
      <c r="Q244" s="96">
        <f t="shared" si="372"/>
        <v>7</v>
      </c>
      <c r="R244" s="42">
        <f t="shared" si="372"/>
        <v>10</v>
      </c>
      <c r="S244" s="42">
        <f t="shared" si="372"/>
        <v>7</v>
      </c>
      <c r="T244" s="94">
        <f t="shared" si="372"/>
        <v>6</v>
      </c>
      <c r="U244" s="95">
        <f t="shared" si="372"/>
        <v>30</v>
      </c>
      <c r="V244" s="96">
        <f t="shared" si="372"/>
        <v>9</v>
      </c>
      <c r="W244" s="42">
        <f t="shared" si="372"/>
        <v>7</v>
      </c>
      <c r="X244" s="42">
        <f t="shared" si="372"/>
        <v>3</v>
      </c>
      <c r="Y244" s="94">
        <f t="shared" si="372"/>
        <v>10</v>
      </c>
      <c r="Z244" s="95">
        <f t="shared" si="372"/>
        <v>29</v>
      </c>
      <c r="AA244" s="104">
        <f t="shared" si="372"/>
        <v>178</v>
      </c>
      <c r="AC244" s="131" t="s">
        <v>13</v>
      </c>
      <c r="AD244" s="96">
        <f>AD238</f>
        <v>97</v>
      </c>
      <c r="AE244" s="42">
        <f>AE238</f>
        <v>265</v>
      </c>
      <c r="AF244" s="42">
        <f t="shared" ref="AF244:BC244" si="373">AF238</f>
        <v>71</v>
      </c>
      <c r="AG244" s="94">
        <f t="shared" si="373"/>
        <v>456</v>
      </c>
      <c r="AH244" s="95">
        <f t="shared" si="373"/>
        <v>889</v>
      </c>
      <c r="AI244" s="96">
        <f t="shared" si="373"/>
        <v>98</v>
      </c>
      <c r="AJ244" s="42">
        <f t="shared" si="373"/>
        <v>274</v>
      </c>
      <c r="AK244" s="42">
        <f t="shared" si="373"/>
        <v>79</v>
      </c>
      <c r="AL244" s="94">
        <f t="shared" si="373"/>
        <v>469</v>
      </c>
      <c r="AM244" s="95">
        <f t="shared" si="373"/>
        <v>920</v>
      </c>
      <c r="AN244" s="96">
        <f t="shared" si="373"/>
        <v>257</v>
      </c>
      <c r="AO244" s="42">
        <f t="shared" si="373"/>
        <v>609</v>
      </c>
      <c r="AP244" s="42">
        <f t="shared" si="373"/>
        <v>237</v>
      </c>
      <c r="AQ244" s="94">
        <f t="shared" si="373"/>
        <v>433</v>
      </c>
      <c r="AR244" s="95">
        <f t="shared" si="373"/>
        <v>1536</v>
      </c>
      <c r="AS244" s="96">
        <f t="shared" si="373"/>
        <v>146</v>
      </c>
      <c r="AT244" s="42">
        <f t="shared" si="373"/>
        <v>424</v>
      </c>
      <c r="AU244" s="42">
        <f t="shared" si="373"/>
        <v>197</v>
      </c>
      <c r="AV244" s="94">
        <f t="shared" si="373"/>
        <v>592</v>
      </c>
      <c r="AW244" s="95">
        <f t="shared" si="373"/>
        <v>1359</v>
      </c>
      <c r="AX244" s="96">
        <f t="shared" si="373"/>
        <v>1159</v>
      </c>
      <c r="AY244" s="42">
        <f t="shared" si="373"/>
        <v>1220</v>
      </c>
      <c r="AZ244" s="42">
        <f t="shared" si="373"/>
        <v>629</v>
      </c>
      <c r="BA244" s="94">
        <f t="shared" si="373"/>
        <v>224</v>
      </c>
      <c r="BB244" s="95">
        <f t="shared" si="373"/>
        <v>3232</v>
      </c>
      <c r="BC244" s="104">
        <f t="shared" si="373"/>
        <v>7936</v>
      </c>
    </row>
    <row r="245" spans="1:56" x14ac:dyDescent="0.15">
      <c r="A245" s="9" t="s">
        <v>7</v>
      </c>
      <c r="B245" s="10"/>
      <c r="C245" s="11"/>
      <c r="D245" s="12"/>
      <c r="E245" s="12"/>
      <c r="F245" s="84">
        <f t="shared" ref="F245:F278" si="374">SUM(B245:E245)</f>
        <v>0</v>
      </c>
      <c r="G245" s="90"/>
      <c r="H245" s="11">
        <v>3</v>
      </c>
      <c r="I245" s="12"/>
      <c r="J245" s="12"/>
      <c r="K245" s="84">
        <f t="shared" ref="K245:K278" si="375">SUM(G245:J245)</f>
        <v>3</v>
      </c>
      <c r="L245" s="90"/>
      <c r="M245" s="11">
        <v>3</v>
      </c>
      <c r="N245" s="12"/>
      <c r="O245" s="12"/>
      <c r="P245" s="84">
        <f t="shared" ref="P245:P278" si="376">SUM(L245:O245)</f>
        <v>3</v>
      </c>
      <c r="Q245" s="90"/>
      <c r="R245" s="11"/>
      <c r="S245" s="12"/>
      <c r="T245" s="12"/>
      <c r="U245" s="84">
        <f t="shared" ref="U245:U278" si="377">SUM(Q245:T245)</f>
        <v>0</v>
      </c>
      <c r="V245" s="90"/>
      <c r="W245" s="11"/>
      <c r="X245" s="12">
        <v>5</v>
      </c>
      <c r="Y245" s="12"/>
      <c r="Z245" s="84">
        <f t="shared" ref="Z245:Z278" si="378">SUM(V245:Y245)</f>
        <v>5</v>
      </c>
      <c r="AA245" s="105">
        <f t="shared" ref="AA245:AA278" si="379">Z245+U245+P245+K245+F245</f>
        <v>11</v>
      </c>
      <c r="AB245" s="114">
        <v>45548</v>
      </c>
      <c r="AC245" s="117" t="s">
        <v>7</v>
      </c>
      <c r="AD245" s="90"/>
      <c r="AE245" s="11"/>
      <c r="AF245" s="12"/>
      <c r="AG245" s="12"/>
      <c r="AH245" s="84">
        <f t="shared" ref="AH245:AH247" si="380">SUM(AD245:AG245)</f>
        <v>0</v>
      </c>
      <c r="AI245" s="90"/>
      <c r="AJ245" s="11"/>
      <c r="AK245" s="12"/>
      <c r="AL245" s="12"/>
      <c r="AM245" s="84">
        <f t="shared" ref="AM245:AM247" si="381">SUM(AI245:AL245)</f>
        <v>0</v>
      </c>
      <c r="AN245" s="90"/>
      <c r="AO245" s="11"/>
      <c r="AP245" s="12"/>
      <c r="AQ245" s="12"/>
      <c r="AR245" s="84">
        <f t="shared" ref="AR245:AR247" si="382">SUM(AN245:AQ245)</f>
        <v>0</v>
      </c>
      <c r="AS245" s="90"/>
      <c r="AT245" s="11"/>
      <c r="AU245" s="12"/>
      <c r="AV245" s="12"/>
      <c r="AW245" s="84">
        <f t="shared" ref="AW245:AW247" si="383">SUM(AS245:AV245)</f>
        <v>0</v>
      </c>
      <c r="AX245" s="90"/>
      <c r="AY245" s="11"/>
      <c r="AZ245" s="12"/>
      <c r="BA245" s="12"/>
      <c r="BB245" s="84">
        <f t="shared" ref="BB245:BB247" si="384">SUM(AX245:BA245)</f>
        <v>0</v>
      </c>
      <c r="BC245" s="105">
        <f t="shared" ref="BC245:BC247" si="385">BB245+AW245+AR245+AM245+AH245</f>
        <v>0</v>
      </c>
    </row>
    <row r="246" spans="1:56" x14ac:dyDescent="0.15">
      <c r="A246" s="182" t="s">
        <v>171</v>
      </c>
      <c r="B246" s="15">
        <v>1</v>
      </c>
      <c r="C246" s="16"/>
      <c r="D246" s="17"/>
      <c r="E246" s="17"/>
      <c r="F246" s="85">
        <f t="shared" si="374"/>
        <v>1</v>
      </c>
      <c r="G246" s="91">
        <v>1</v>
      </c>
      <c r="H246" s="16"/>
      <c r="I246" s="17"/>
      <c r="J246" s="17"/>
      <c r="K246" s="85">
        <f t="shared" si="375"/>
        <v>1</v>
      </c>
      <c r="L246" s="91"/>
      <c r="M246" s="16"/>
      <c r="N246" s="17"/>
      <c r="O246" s="17"/>
      <c r="P246" s="85">
        <f t="shared" si="376"/>
        <v>0</v>
      </c>
      <c r="Q246" s="91"/>
      <c r="R246" s="16"/>
      <c r="S246" s="17"/>
      <c r="T246" s="17"/>
      <c r="U246" s="85">
        <f t="shared" si="377"/>
        <v>0</v>
      </c>
      <c r="V246" s="91">
        <v>1</v>
      </c>
      <c r="W246" s="16"/>
      <c r="X246" s="17"/>
      <c r="Y246" s="17"/>
      <c r="Z246" s="85">
        <f t="shared" si="378"/>
        <v>1</v>
      </c>
      <c r="AA246" s="105">
        <f t="shared" si="379"/>
        <v>3</v>
      </c>
      <c r="AB246" s="114">
        <v>45555</v>
      </c>
      <c r="AC246" s="117" t="s">
        <v>158</v>
      </c>
      <c r="AD246" s="90">
        <v>44</v>
      </c>
      <c r="AE246" s="11">
        <v>29</v>
      </c>
      <c r="AF246" s="12">
        <v>18</v>
      </c>
      <c r="AG246" s="12">
        <v>16</v>
      </c>
      <c r="AH246" s="84">
        <f t="shared" si="380"/>
        <v>107</v>
      </c>
      <c r="AI246" s="90">
        <v>44</v>
      </c>
      <c r="AJ246" s="11">
        <v>23</v>
      </c>
      <c r="AK246" s="12">
        <v>18</v>
      </c>
      <c r="AL246" s="12">
        <v>16</v>
      </c>
      <c r="AM246" s="84">
        <f t="shared" si="381"/>
        <v>101</v>
      </c>
      <c r="AN246" s="90"/>
      <c r="AO246" s="11"/>
      <c r="AP246" s="12"/>
      <c r="AQ246" s="12"/>
      <c r="AR246" s="84">
        <f t="shared" si="382"/>
        <v>0</v>
      </c>
      <c r="AS246" s="90"/>
      <c r="AT246" s="11"/>
      <c r="AU246" s="12"/>
      <c r="AV246" s="12"/>
      <c r="AW246" s="84">
        <f t="shared" si="383"/>
        <v>0</v>
      </c>
      <c r="AX246" s="90">
        <v>23</v>
      </c>
      <c r="AY246" s="11">
        <v>15</v>
      </c>
      <c r="AZ246" s="12">
        <v>18</v>
      </c>
      <c r="BA246" s="12">
        <v>16</v>
      </c>
      <c r="BB246" s="84">
        <f t="shared" si="384"/>
        <v>72</v>
      </c>
      <c r="BC246" s="105">
        <f t="shared" si="385"/>
        <v>280</v>
      </c>
      <c r="BD246" s="114">
        <v>45542</v>
      </c>
    </row>
    <row r="247" spans="1:56" x14ac:dyDescent="0.15">
      <c r="A247" s="102" t="s">
        <v>336</v>
      </c>
      <c r="B247" s="10"/>
      <c r="C247" s="11"/>
      <c r="D247" s="12">
        <v>1</v>
      </c>
      <c r="E247" s="12"/>
      <c r="F247" s="84">
        <f t="shared" si="374"/>
        <v>1</v>
      </c>
      <c r="G247" s="10">
        <v>1</v>
      </c>
      <c r="H247" s="11"/>
      <c r="I247" s="12"/>
      <c r="J247" s="12"/>
      <c r="K247" s="84">
        <f t="shared" si="375"/>
        <v>1</v>
      </c>
      <c r="L247" s="10"/>
      <c r="M247" s="11"/>
      <c r="N247" s="12"/>
      <c r="O247" s="12"/>
      <c r="P247" s="84">
        <f t="shared" si="376"/>
        <v>0</v>
      </c>
      <c r="Q247" s="10"/>
      <c r="R247" s="11"/>
      <c r="S247" s="12"/>
      <c r="T247" s="12"/>
      <c r="U247" s="84">
        <f t="shared" si="377"/>
        <v>0</v>
      </c>
      <c r="V247" s="10"/>
      <c r="W247" s="11"/>
      <c r="X247" s="12"/>
      <c r="Y247" s="12">
        <v>1</v>
      </c>
      <c r="Z247" s="84">
        <f t="shared" si="378"/>
        <v>1</v>
      </c>
      <c r="AA247" s="108">
        <f t="shared" si="379"/>
        <v>3</v>
      </c>
      <c r="AB247" s="115">
        <v>45570</v>
      </c>
      <c r="AC247" s="117" t="s">
        <v>158</v>
      </c>
      <c r="AD247" s="90"/>
      <c r="AE247" s="11"/>
      <c r="AF247" s="12"/>
      <c r="AG247" s="12"/>
      <c r="AH247" s="84">
        <f t="shared" si="380"/>
        <v>0</v>
      </c>
      <c r="AI247" s="90"/>
      <c r="AJ247" s="11"/>
      <c r="AK247" s="12"/>
      <c r="AL247" s="12"/>
      <c r="AM247" s="84">
        <f t="shared" si="381"/>
        <v>0</v>
      </c>
      <c r="AN247" s="90">
        <v>18</v>
      </c>
      <c r="AO247" s="11">
        <v>19</v>
      </c>
      <c r="AP247" s="12">
        <v>18</v>
      </c>
      <c r="AQ247" s="12">
        <v>21</v>
      </c>
      <c r="AR247" s="84">
        <f t="shared" si="382"/>
        <v>76</v>
      </c>
      <c r="AS247" s="90">
        <v>18</v>
      </c>
      <c r="AT247" s="11">
        <v>19</v>
      </c>
      <c r="AU247" s="12">
        <v>18</v>
      </c>
      <c r="AV247" s="12">
        <v>21</v>
      </c>
      <c r="AW247" s="84">
        <f t="shared" si="383"/>
        <v>76</v>
      </c>
      <c r="AX247" s="90">
        <v>18</v>
      </c>
      <c r="AY247" s="11">
        <v>19</v>
      </c>
      <c r="AZ247" s="12">
        <v>18</v>
      </c>
      <c r="BA247" s="12">
        <v>21</v>
      </c>
      <c r="BB247" s="84">
        <f t="shared" si="384"/>
        <v>76</v>
      </c>
      <c r="BC247" s="105">
        <f t="shared" si="385"/>
        <v>228</v>
      </c>
      <c r="BD247" s="114">
        <v>45542</v>
      </c>
    </row>
    <row r="248" spans="1:56" x14ac:dyDescent="0.15">
      <c r="A248" s="9" t="s">
        <v>10</v>
      </c>
      <c r="B248" s="15"/>
      <c r="C248" s="16"/>
      <c r="D248" s="17"/>
      <c r="E248" s="17"/>
      <c r="F248" s="85">
        <f t="shared" si="374"/>
        <v>0</v>
      </c>
      <c r="G248" s="91"/>
      <c r="H248" s="16"/>
      <c r="I248" s="17"/>
      <c r="J248" s="17"/>
      <c r="K248" s="85">
        <f t="shared" si="375"/>
        <v>0</v>
      </c>
      <c r="L248" s="91">
        <v>10</v>
      </c>
      <c r="M248" s="16"/>
      <c r="N248" s="17">
        <v>5</v>
      </c>
      <c r="O248" s="17"/>
      <c r="P248" s="85">
        <f t="shared" si="376"/>
        <v>15</v>
      </c>
      <c r="Q248" s="91">
        <v>3</v>
      </c>
      <c r="R248" s="16"/>
      <c r="S248" s="17">
        <v>3</v>
      </c>
      <c r="T248" s="17">
        <v>3</v>
      </c>
      <c r="U248" s="85">
        <f t="shared" si="377"/>
        <v>9</v>
      </c>
      <c r="V248" s="91">
        <v>5</v>
      </c>
      <c r="W248" s="16">
        <v>5</v>
      </c>
      <c r="X248" s="17">
        <v>5</v>
      </c>
      <c r="Y248" s="17"/>
      <c r="Z248" s="85">
        <f t="shared" si="378"/>
        <v>15</v>
      </c>
      <c r="AA248" s="105">
        <f t="shared" si="379"/>
        <v>39</v>
      </c>
      <c r="AB248" s="114">
        <v>45574</v>
      </c>
      <c r="AC248" s="117" t="s">
        <v>10</v>
      </c>
      <c r="AD248" s="90"/>
      <c r="AE248" s="11"/>
      <c r="AF248" s="12"/>
      <c r="AG248" s="12"/>
      <c r="AH248" s="84">
        <f t="shared" ref="AH248:AH278" si="386">SUM(AD248:AG248)</f>
        <v>0</v>
      </c>
      <c r="AI248" s="90"/>
      <c r="AJ248" s="11"/>
      <c r="AK248" s="12"/>
      <c r="AL248" s="12"/>
      <c r="AM248" s="84">
        <f t="shared" ref="AM248:AM278" si="387">SUM(AI248:AL248)</f>
        <v>0</v>
      </c>
      <c r="AN248" s="90"/>
      <c r="AO248" s="11"/>
      <c r="AP248" s="12"/>
      <c r="AQ248" s="12"/>
      <c r="AR248" s="84">
        <f t="shared" ref="AR248:AR278" si="388">SUM(AN248:AQ248)</f>
        <v>0</v>
      </c>
      <c r="AS248" s="90"/>
      <c r="AT248" s="11"/>
      <c r="AU248" s="12"/>
      <c r="AV248" s="12"/>
      <c r="AW248" s="84">
        <f t="shared" ref="AW248:AW278" si="389">SUM(AS248:AV248)</f>
        <v>0</v>
      </c>
      <c r="AX248" s="90"/>
      <c r="AY248" s="11"/>
      <c r="AZ248" s="12"/>
      <c r="BA248" s="12"/>
      <c r="BB248" s="84">
        <f t="shared" ref="BB248:BB278" si="390">SUM(AX248:BA248)</f>
        <v>0</v>
      </c>
      <c r="BC248" s="105">
        <f t="shared" ref="BC248:BC278" si="391">BB248+AW248+AR248+AM248+AH248</f>
        <v>0</v>
      </c>
    </row>
    <row r="249" spans="1:56" ht="14.25" thickBot="1" x14ac:dyDescent="0.2">
      <c r="A249" s="9" t="s">
        <v>11</v>
      </c>
      <c r="B249" s="15"/>
      <c r="C249" s="16"/>
      <c r="D249" s="17"/>
      <c r="E249" s="17"/>
      <c r="F249" s="92">
        <f t="shared" si="374"/>
        <v>0</v>
      </c>
      <c r="G249" s="91"/>
      <c r="H249" s="16"/>
      <c r="I249" s="17"/>
      <c r="J249" s="17"/>
      <c r="K249" s="92">
        <f t="shared" si="375"/>
        <v>0</v>
      </c>
      <c r="L249" s="91"/>
      <c r="M249" s="16">
        <v>5</v>
      </c>
      <c r="N249" s="17"/>
      <c r="O249" s="17"/>
      <c r="P249" s="92">
        <f t="shared" si="376"/>
        <v>5</v>
      </c>
      <c r="Q249" s="91"/>
      <c r="R249" s="16">
        <v>3</v>
      </c>
      <c r="S249" s="17"/>
      <c r="T249" s="17"/>
      <c r="U249" s="92">
        <f t="shared" si="377"/>
        <v>3</v>
      </c>
      <c r="V249" s="91"/>
      <c r="W249" s="16">
        <v>10</v>
      </c>
      <c r="X249" s="17">
        <v>3</v>
      </c>
      <c r="Y249" s="17"/>
      <c r="Z249" s="92">
        <f t="shared" si="378"/>
        <v>13</v>
      </c>
      <c r="AA249" s="110">
        <f t="shared" si="379"/>
        <v>21</v>
      </c>
      <c r="AB249" s="114">
        <v>45576</v>
      </c>
      <c r="AC249" s="132" t="s">
        <v>11</v>
      </c>
      <c r="AD249" s="91"/>
      <c r="AE249" s="16"/>
      <c r="AF249" s="17"/>
      <c r="AG249" s="17"/>
      <c r="AH249" s="92">
        <f t="shared" si="386"/>
        <v>0</v>
      </c>
      <c r="AI249" s="91"/>
      <c r="AJ249" s="16"/>
      <c r="AK249" s="17"/>
      <c r="AL249" s="17"/>
      <c r="AM249" s="92">
        <f t="shared" si="387"/>
        <v>0</v>
      </c>
      <c r="AN249" s="91"/>
      <c r="AO249" s="16"/>
      <c r="AP249" s="17"/>
      <c r="AQ249" s="17"/>
      <c r="AR249" s="92">
        <f t="shared" si="388"/>
        <v>0</v>
      </c>
      <c r="AS249" s="91"/>
      <c r="AT249" s="16"/>
      <c r="AU249" s="17"/>
      <c r="AV249" s="17"/>
      <c r="AW249" s="92">
        <f t="shared" si="389"/>
        <v>0</v>
      </c>
      <c r="AX249" s="91"/>
      <c r="AY249" s="16"/>
      <c r="AZ249" s="17"/>
      <c r="BA249" s="17"/>
      <c r="BB249" s="92">
        <f t="shared" si="390"/>
        <v>0</v>
      </c>
      <c r="BC249" s="110">
        <f t="shared" si="391"/>
        <v>0</v>
      </c>
    </row>
    <row r="250" spans="1:56" ht="14.25" thickBot="1" x14ac:dyDescent="0.2">
      <c r="A250" s="21" t="s">
        <v>16</v>
      </c>
      <c r="B250" s="7">
        <f>SUM(B244:B249)</f>
        <v>14</v>
      </c>
      <c r="C250" s="8">
        <f t="shared" ref="C250:E250" si="392">SUM(C244:C249)</f>
        <v>10</v>
      </c>
      <c r="D250" s="22">
        <f t="shared" si="392"/>
        <v>14</v>
      </c>
      <c r="E250" s="22">
        <f t="shared" si="392"/>
        <v>11</v>
      </c>
      <c r="F250" s="87">
        <f t="shared" si="374"/>
        <v>49</v>
      </c>
      <c r="G250" s="7">
        <f>SUM(G244:G249)</f>
        <v>12</v>
      </c>
      <c r="H250" s="8">
        <f t="shared" ref="H250:J250" si="393">SUM(H244:H249)</f>
        <v>11</v>
      </c>
      <c r="I250" s="22">
        <f t="shared" si="393"/>
        <v>13</v>
      </c>
      <c r="J250" s="22">
        <f t="shared" si="393"/>
        <v>12</v>
      </c>
      <c r="K250" s="87">
        <f t="shared" si="375"/>
        <v>48</v>
      </c>
      <c r="L250" s="7">
        <f>SUM(L244:L249)</f>
        <v>17</v>
      </c>
      <c r="M250" s="8">
        <f t="shared" ref="M250:O250" si="394">SUM(M244:M249)</f>
        <v>14</v>
      </c>
      <c r="N250" s="22">
        <f t="shared" si="394"/>
        <v>13</v>
      </c>
      <c r="O250" s="22">
        <f t="shared" si="394"/>
        <v>8</v>
      </c>
      <c r="P250" s="87">
        <f t="shared" si="376"/>
        <v>52</v>
      </c>
      <c r="Q250" s="7">
        <f>SUM(Q244:Q249)</f>
        <v>10</v>
      </c>
      <c r="R250" s="8">
        <f t="shared" ref="R250:T250" si="395">SUM(R244:R249)</f>
        <v>13</v>
      </c>
      <c r="S250" s="22">
        <f t="shared" si="395"/>
        <v>10</v>
      </c>
      <c r="T250" s="22">
        <f t="shared" si="395"/>
        <v>9</v>
      </c>
      <c r="U250" s="87">
        <f t="shared" si="377"/>
        <v>42</v>
      </c>
      <c r="V250" s="7">
        <f>SUM(V244:V249)</f>
        <v>15</v>
      </c>
      <c r="W250" s="8">
        <f t="shared" ref="W250:Y250" si="396">SUM(W244:W249)</f>
        <v>22</v>
      </c>
      <c r="X250" s="22">
        <f t="shared" si="396"/>
        <v>16</v>
      </c>
      <c r="Y250" s="22">
        <f t="shared" si="396"/>
        <v>11</v>
      </c>
      <c r="Z250" s="87">
        <f t="shared" si="378"/>
        <v>64</v>
      </c>
      <c r="AA250" s="107">
        <f t="shared" si="379"/>
        <v>255</v>
      </c>
      <c r="AC250" s="21" t="s">
        <v>16</v>
      </c>
      <c r="AD250" s="7">
        <f>SUM(AD244:AD249)</f>
        <v>141</v>
      </c>
      <c r="AE250" s="8">
        <f t="shared" ref="AE250:AG250" si="397">SUM(AE244:AE249)</f>
        <v>294</v>
      </c>
      <c r="AF250" s="22">
        <f t="shared" si="397"/>
        <v>89</v>
      </c>
      <c r="AG250" s="22">
        <f t="shared" si="397"/>
        <v>472</v>
      </c>
      <c r="AH250" s="87">
        <f t="shared" si="386"/>
        <v>996</v>
      </c>
      <c r="AI250" s="7">
        <f>SUM(AI244:AI249)</f>
        <v>142</v>
      </c>
      <c r="AJ250" s="8">
        <f t="shared" ref="AJ250:AL250" si="398">SUM(AJ244:AJ249)</f>
        <v>297</v>
      </c>
      <c r="AK250" s="22">
        <f t="shared" si="398"/>
        <v>97</v>
      </c>
      <c r="AL250" s="22">
        <f t="shared" si="398"/>
        <v>485</v>
      </c>
      <c r="AM250" s="87">
        <f t="shared" si="387"/>
        <v>1021</v>
      </c>
      <c r="AN250" s="7">
        <f>SUM(AN244:AN249)</f>
        <v>275</v>
      </c>
      <c r="AO250" s="8">
        <f t="shared" ref="AO250:AQ250" si="399">SUM(AO244:AO249)</f>
        <v>628</v>
      </c>
      <c r="AP250" s="22">
        <f t="shared" si="399"/>
        <v>255</v>
      </c>
      <c r="AQ250" s="22">
        <f t="shared" si="399"/>
        <v>454</v>
      </c>
      <c r="AR250" s="87">
        <f t="shared" si="388"/>
        <v>1612</v>
      </c>
      <c r="AS250" s="7">
        <f>SUM(AS244:AS249)</f>
        <v>164</v>
      </c>
      <c r="AT250" s="8">
        <f t="shared" ref="AT250:AV250" si="400">SUM(AT244:AT249)</f>
        <v>443</v>
      </c>
      <c r="AU250" s="22">
        <f t="shared" si="400"/>
        <v>215</v>
      </c>
      <c r="AV250" s="22">
        <f t="shared" si="400"/>
        <v>613</v>
      </c>
      <c r="AW250" s="87">
        <f t="shared" si="389"/>
        <v>1435</v>
      </c>
      <c r="AX250" s="7">
        <f>SUM(AX244:AX249)</f>
        <v>1200</v>
      </c>
      <c r="AY250" s="8">
        <f t="shared" ref="AY250:BA250" si="401">SUM(AY244:AY249)</f>
        <v>1254</v>
      </c>
      <c r="AZ250" s="22">
        <f t="shared" si="401"/>
        <v>665</v>
      </c>
      <c r="BA250" s="22">
        <f t="shared" si="401"/>
        <v>261</v>
      </c>
      <c r="BB250" s="87">
        <f t="shared" si="390"/>
        <v>3380</v>
      </c>
      <c r="BC250" s="107">
        <f t="shared" si="391"/>
        <v>8444</v>
      </c>
    </row>
    <row r="251" spans="1:56" x14ac:dyDescent="0.15">
      <c r="A251" s="45" t="s">
        <v>96</v>
      </c>
      <c r="B251" s="39"/>
      <c r="C251" s="13"/>
      <c r="D251" s="14"/>
      <c r="E251" s="14"/>
      <c r="F251" s="83">
        <f t="shared" si="374"/>
        <v>0</v>
      </c>
      <c r="G251" s="39"/>
      <c r="H251" s="13"/>
      <c r="I251" s="14"/>
      <c r="J251" s="14"/>
      <c r="K251" s="83">
        <f t="shared" si="375"/>
        <v>0</v>
      </c>
      <c r="L251" s="39"/>
      <c r="M251" s="13"/>
      <c r="N251" s="14"/>
      <c r="O251" s="14"/>
      <c r="P251" s="83">
        <f t="shared" si="376"/>
        <v>0</v>
      </c>
      <c r="Q251" s="39"/>
      <c r="R251" s="13"/>
      <c r="S251" s="14"/>
      <c r="T251" s="14"/>
      <c r="U251" s="83">
        <f t="shared" si="377"/>
        <v>0</v>
      </c>
      <c r="V251" s="39"/>
      <c r="W251" s="13"/>
      <c r="X251" s="14">
        <v>2</v>
      </c>
      <c r="Y251" s="14"/>
      <c r="Z251" s="83">
        <f t="shared" si="378"/>
        <v>2</v>
      </c>
      <c r="AA251" s="108">
        <f t="shared" si="379"/>
        <v>2</v>
      </c>
      <c r="AB251" s="114">
        <v>45542</v>
      </c>
      <c r="AC251" s="23" t="s">
        <v>303</v>
      </c>
      <c r="AD251" s="15">
        <v>10</v>
      </c>
      <c r="AE251" s="16">
        <v>10</v>
      </c>
      <c r="AF251" s="17">
        <v>10</v>
      </c>
      <c r="AG251" s="17">
        <v>7</v>
      </c>
      <c r="AH251" s="85">
        <f t="shared" si="386"/>
        <v>37</v>
      </c>
      <c r="AI251" s="15">
        <v>10</v>
      </c>
      <c r="AJ251" s="16">
        <v>10</v>
      </c>
      <c r="AK251" s="17">
        <v>10</v>
      </c>
      <c r="AL251" s="17">
        <v>7</v>
      </c>
      <c r="AM251" s="85">
        <f t="shared" si="387"/>
        <v>37</v>
      </c>
      <c r="AN251" s="15"/>
      <c r="AO251" s="16"/>
      <c r="AP251" s="17"/>
      <c r="AQ251" s="17"/>
      <c r="AR251" s="85">
        <f t="shared" si="388"/>
        <v>0</v>
      </c>
      <c r="AS251" s="15"/>
      <c r="AT251" s="16"/>
      <c r="AU251" s="17"/>
      <c r="AV251" s="17"/>
      <c r="AW251" s="85">
        <f t="shared" si="389"/>
        <v>0</v>
      </c>
      <c r="AX251" s="15">
        <v>10</v>
      </c>
      <c r="AY251" s="16">
        <v>10</v>
      </c>
      <c r="AZ251" s="17">
        <v>10</v>
      </c>
      <c r="BA251" s="17">
        <v>7</v>
      </c>
      <c r="BB251" s="85">
        <f t="shared" si="390"/>
        <v>37</v>
      </c>
      <c r="BC251" s="105">
        <f t="shared" si="391"/>
        <v>111</v>
      </c>
      <c r="BD251" s="114">
        <v>45512</v>
      </c>
    </row>
    <row r="252" spans="1:56" x14ac:dyDescent="0.15">
      <c r="A252" s="23" t="s">
        <v>124</v>
      </c>
      <c r="B252" s="15"/>
      <c r="C252" s="16"/>
      <c r="D252" s="17"/>
      <c r="E252" s="17">
        <v>1</v>
      </c>
      <c r="F252" s="85">
        <f t="shared" si="374"/>
        <v>1</v>
      </c>
      <c r="G252" s="15"/>
      <c r="H252" s="16"/>
      <c r="I252" s="17"/>
      <c r="J252" s="17">
        <v>1</v>
      </c>
      <c r="K252" s="85">
        <f t="shared" si="375"/>
        <v>1</v>
      </c>
      <c r="L252" s="15">
        <v>2</v>
      </c>
      <c r="M252" s="16"/>
      <c r="N252" s="17"/>
      <c r="O252" s="17">
        <v>1</v>
      </c>
      <c r="P252" s="85">
        <f t="shared" si="376"/>
        <v>3</v>
      </c>
      <c r="Q252" s="15">
        <v>2</v>
      </c>
      <c r="R252" s="16"/>
      <c r="S252" s="17"/>
      <c r="T252" s="17">
        <v>1</v>
      </c>
      <c r="U252" s="85">
        <f t="shared" si="377"/>
        <v>3</v>
      </c>
      <c r="V252" s="15">
        <v>2</v>
      </c>
      <c r="W252" s="16"/>
      <c r="X252" s="17"/>
      <c r="Y252" s="17">
        <v>1</v>
      </c>
      <c r="Z252" s="85">
        <f t="shared" si="378"/>
        <v>3</v>
      </c>
      <c r="AA252" s="105">
        <f t="shared" si="379"/>
        <v>11</v>
      </c>
      <c r="AB252" s="114">
        <v>45552</v>
      </c>
      <c r="AC252" s="23" t="s">
        <v>544</v>
      </c>
      <c r="AD252" s="15"/>
      <c r="AE252" s="16"/>
      <c r="AF252" s="17"/>
      <c r="AG252" s="17"/>
      <c r="AH252" s="85">
        <f t="shared" si="386"/>
        <v>0</v>
      </c>
      <c r="AI252" s="15"/>
      <c r="AJ252" s="16"/>
      <c r="AK252" s="17"/>
      <c r="AL252" s="17"/>
      <c r="AM252" s="85">
        <f t="shared" si="387"/>
        <v>0</v>
      </c>
      <c r="AN252" s="15">
        <v>8</v>
      </c>
      <c r="AO252" s="16">
        <v>6</v>
      </c>
      <c r="AP252" s="17">
        <v>8</v>
      </c>
      <c r="AQ252" s="17">
        <v>6</v>
      </c>
      <c r="AR252" s="85">
        <f t="shared" si="388"/>
        <v>28</v>
      </c>
      <c r="AS252" s="15">
        <v>8</v>
      </c>
      <c r="AT252" s="16">
        <v>6</v>
      </c>
      <c r="AU252" s="17">
        <v>8</v>
      </c>
      <c r="AV252" s="17">
        <v>6</v>
      </c>
      <c r="AW252" s="85">
        <f t="shared" si="389"/>
        <v>28</v>
      </c>
      <c r="AX252" s="15">
        <v>8</v>
      </c>
      <c r="AY252" s="16">
        <v>6</v>
      </c>
      <c r="AZ252" s="17">
        <v>8</v>
      </c>
      <c r="BA252" s="17">
        <v>6</v>
      </c>
      <c r="BB252" s="85">
        <f t="shared" si="390"/>
        <v>28</v>
      </c>
      <c r="BC252" s="105">
        <f t="shared" si="391"/>
        <v>84</v>
      </c>
      <c r="BD252" s="114">
        <v>45512</v>
      </c>
    </row>
    <row r="253" spans="1:56" x14ac:dyDescent="0.15">
      <c r="A253" s="23" t="s">
        <v>124</v>
      </c>
      <c r="B253" s="15"/>
      <c r="C253" s="16"/>
      <c r="D253" s="17"/>
      <c r="E253" s="17"/>
      <c r="F253" s="85">
        <f t="shared" si="374"/>
        <v>0</v>
      </c>
      <c r="G253" s="15"/>
      <c r="H253" s="16"/>
      <c r="I253" s="17"/>
      <c r="J253" s="17"/>
      <c r="K253" s="85">
        <f t="shared" si="375"/>
        <v>0</v>
      </c>
      <c r="L253" s="15"/>
      <c r="M253" s="16"/>
      <c r="N253" s="17"/>
      <c r="O253" s="17"/>
      <c r="P253" s="85">
        <f t="shared" si="376"/>
        <v>0</v>
      </c>
      <c r="Q253" s="15"/>
      <c r="R253" s="16">
        <v>1</v>
      </c>
      <c r="S253" s="17"/>
      <c r="T253" s="17"/>
      <c r="U253" s="85">
        <f t="shared" si="377"/>
        <v>1</v>
      </c>
      <c r="V253" s="15"/>
      <c r="W253" s="16"/>
      <c r="X253" s="17"/>
      <c r="Y253" s="17"/>
      <c r="Z253" s="85">
        <f t="shared" si="378"/>
        <v>0</v>
      </c>
      <c r="AA253" s="105">
        <f t="shared" si="379"/>
        <v>1</v>
      </c>
      <c r="AB253" s="115">
        <v>45555</v>
      </c>
      <c r="AC253" s="24" t="s">
        <v>195</v>
      </c>
      <c r="AD253" s="15">
        <v>3</v>
      </c>
      <c r="AE253" s="16"/>
      <c r="AF253" s="17"/>
      <c r="AG253" s="17"/>
      <c r="AH253" s="85">
        <f t="shared" si="386"/>
        <v>3</v>
      </c>
      <c r="AI253" s="15">
        <v>3</v>
      </c>
      <c r="AJ253" s="16"/>
      <c r="AK253" s="17"/>
      <c r="AL253" s="17"/>
      <c r="AM253" s="85">
        <f t="shared" si="387"/>
        <v>3</v>
      </c>
      <c r="AN253" s="15"/>
      <c r="AO253" s="16"/>
      <c r="AP253" s="17"/>
      <c r="AQ253" s="17"/>
      <c r="AR253" s="85">
        <f t="shared" si="388"/>
        <v>0</v>
      </c>
      <c r="AS253" s="15"/>
      <c r="AT253" s="16"/>
      <c r="AU253" s="17"/>
      <c r="AV253" s="17"/>
      <c r="AW253" s="85">
        <f t="shared" si="389"/>
        <v>0</v>
      </c>
      <c r="AX253" s="15">
        <v>3</v>
      </c>
      <c r="AY253" s="16"/>
      <c r="AZ253" s="17"/>
      <c r="BA253" s="17"/>
      <c r="BB253" s="85">
        <f t="shared" si="390"/>
        <v>3</v>
      </c>
      <c r="BC253" s="105">
        <f t="shared" si="391"/>
        <v>9</v>
      </c>
      <c r="BD253" s="114">
        <v>45511</v>
      </c>
    </row>
    <row r="254" spans="1:56" x14ac:dyDescent="0.15">
      <c r="A254" s="23" t="s">
        <v>124</v>
      </c>
      <c r="B254" s="15"/>
      <c r="C254" s="16"/>
      <c r="D254" s="17">
        <v>2</v>
      </c>
      <c r="E254" s="17"/>
      <c r="F254" s="85">
        <f t="shared" si="374"/>
        <v>2</v>
      </c>
      <c r="G254" s="15"/>
      <c r="H254" s="16"/>
      <c r="I254" s="17">
        <v>2</v>
      </c>
      <c r="J254" s="17"/>
      <c r="K254" s="85">
        <f t="shared" si="375"/>
        <v>2</v>
      </c>
      <c r="L254" s="15"/>
      <c r="M254" s="16"/>
      <c r="N254" s="17">
        <v>1</v>
      </c>
      <c r="O254" s="17"/>
      <c r="P254" s="85">
        <f t="shared" si="376"/>
        <v>1</v>
      </c>
      <c r="Q254" s="15"/>
      <c r="R254" s="16"/>
      <c r="S254" s="17"/>
      <c r="T254" s="17"/>
      <c r="U254" s="85">
        <f t="shared" si="377"/>
        <v>0</v>
      </c>
      <c r="V254" s="15"/>
      <c r="W254" s="16"/>
      <c r="X254" s="17">
        <v>1</v>
      </c>
      <c r="Y254" s="17"/>
      <c r="Z254" s="85">
        <f t="shared" si="378"/>
        <v>1</v>
      </c>
      <c r="AA254" s="105">
        <f t="shared" si="379"/>
        <v>6</v>
      </c>
      <c r="AB254" s="114">
        <v>45556</v>
      </c>
      <c r="AC254" s="54" t="s">
        <v>311</v>
      </c>
      <c r="AD254" s="15"/>
      <c r="AE254" s="16"/>
      <c r="AF254" s="17"/>
      <c r="AG254" s="17"/>
      <c r="AH254" s="85">
        <f t="shared" si="386"/>
        <v>0</v>
      </c>
      <c r="AI254" s="15"/>
      <c r="AJ254" s="16">
        <v>5</v>
      </c>
      <c r="AK254" s="17"/>
      <c r="AL254" s="17"/>
      <c r="AM254" s="85">
        <f t="shared" si="387"/>
        <v>5</v>
      </c>
      <c r="AN254" s="15">
        <v>1</v>
      </c>
      <c r="AO254" s="16"/>
      <c r="AP254" s="17"/>
      <c r="AQ254" s="17">
        <v>1</v>
      </c>
      <c r="AR254" s="85">
        <f t="shared" si="388"/>
        <v>2</v>
      </c>
      <c r="AS254" s="15"/>
      <c r="AT254" s="16"/>
      <c r="AU254" s="17"/>
      <c r="AV254" s="17">
        <v>2</v>
      </c>
      <c r="AW254" s="85">
        <f t="shared" si="389"/>
        <v>2</v>
      </c>
      <c r="AX254" s="15"/>
      <c r="AY254" s="16">
        <v>1</v>
      </c>
      <c r="AZ254" s="17"/>
      <c r="BA254" s="17"/>
      <c r="BB254" s="85">
        <f t="shared" si="390"/>
        <v>1</v>
      </c>
      <c r="BC254" s="105">
        <f t="shared" si="391"/>
        <v>10</v>
      </c>
      <c r="BD254" s="114">
        <v>45530</v>
      </c>
    </row>
    <row r="255" spans="1:56" x14ac:dyDescent="0.15">
      <c r="A255" s="102" t="s">
        <v>96</v>
      </c>
      <c r="B255" s="15"/>
      <c r="C255" s="16"/>
      <c r="D255" s="17"/>
      <c r="E255" s="17"/>
      <c r="F255" s="85">
        <f t="shared" si="374"/>
        <v>0</v>
      </c>
      <c r="G255" s="15"/>
      <c r="H255" s="16">
        <v>1</v>
      </c>
      <c r="I255" s="17"/>
      <c r="J255" s="17"/>
      <c r="K255" s="85">
        <f t="shared" si="375"/>
        <v>1</v>
      </c>
      <c r="L255" s="15"/>
      <c r="M255" s="16">
        <v>1</v>
      </c>
      <c r="N255" s="17"/>
      <c r="O255" s="17"/>
      <c r="P255" s="85">
        <f t="shared" si="376"/>
        <v>1</v>
      </c>
      <c r="Q255" s="15"/>
      <c r="R255" s="16"/>
      <c r="S255" s="17"/>
      <c r="T255" s="17"/>
      <c r="U255" s="85">
        <f t="shared" si="377"/>
        <v>0</v>
      </c>
      <c r="V255" s="15"/>
      <c r="W255" s="16"/>
      <c r="X255" s="17"/>
      <c r="Y255" s="17"/>
      <c r="Z255" s="85">
        <f t="shared" si="378"/>
        <v>0</v>
      </c>
      <c r="AA255" s="105">
        <f t="shared" si="379"/>
        <v>2</v>
      </c>
      <c r="AB255" s="114">
        <v>45560</v>
      </c>
      <c r="AC255" s="24" t="s">
        <v>195</v>
      </c>
      <c r="AD255" s="15"/>
      <c r="AE255" s="16"/>
      <c r="AF255" s="17"/>
      <c r="AG255" s="17"/>
      <c r="AH255" s="85">
        <f t="shared" si="386"/>
        <v>0</v>
      </c>
      <c r="AI255" s="15"/>
      <c r="AJ255" s="16"/>
      <c r="AK255" s="17"/>
      <c r="AL255" s="17"/>
      <c r="AM255" s="85">
        <f t="shared" si="387"/>
        <v>0</v>
      </c>
      <c r="AN255" s="15"/>
      <c r="AO255" s="16"/>
      <c r="AP255" s="17">
        <v>5</v>
      </c>
      <c r="AQ255" s="17"/>
      <c r="AR255" s="85">
        <f t="shared" si="388"/>
        <v>5</v>
      </c>
      <c r="AS255" s="15"/>
      <c r="AT255" s="16"/>
      <c r="AU255" s="17">
        <v>5</v>
      </c>
      <c r="AV255" s="17"/>
      <c r="AW255" s="85">
        <f t="shared" si="389"/>
        <v>5</v>
      </c>
      <c r="AX255" s="15"/>
      <c r="AY255" s="16"/>
      <c r="AZ255" s="17">
        <v>5</v>
      </c>
      <c r="BA255" s="17"/>
      <c r="BB255" s="85">
        <f t="shared" si="390"/>
        <v>5</v>
      </c>
      <c r="BC255" s="105">
        <f t="shared" si="391"/>
        <v>15</v>
      </c>
      <c r="BD255" s="115">
        <v>45524</v>
      </c>
    </row>
    <row r="256" spans="1:56" x14ac:dyDescent="0.15">
      <c r="A256" s="23" t="s">
        <v>124</v>
      </c>
      <c r="B256" s="15">
        <v>1</v>
      </c>
      <c r="C256" s="16"/>
      <c r="D256" s="17"/>
      <c r="E256" s="17"/>
      <c r="F256" s="85">
        <f t="shared" si="374"/>
        <v>1</v>
      </c>
      <c r="G256" s="15">
        <v>1</v>
      </c>
      <c r="H256" s="16"/>
      <c r="I256" s="17"/>
      <c r="J256" s="17"/>
      <c r="K256" s="85">
        <f t="shared" si="375"/>
        <v>1</v>
      </c>
      <c r="L256" s="15"/>
      <c r="M256" s="16"/>
      <c r="N256" s="17"/>
      <c r="O256" s="17"/>
      <c r="P256" s="85">
        <f t="shared" si="376"/>
        <v>0</v>
      </c>
      <c r="Q256" s="15"/>
      <c r="R256" s="16"/>
      <c r="S256" s="17"/>
      <c r="T256" s="17"/>
      <c r="U256" s="85">
        <f t="shared" si="377"/>
        <v>0</v>
      </c>
      <c r="V256" s="15">
        <v>1</v>
      </c>
      <c r="W256" s="16"/>
      <c r="X256" s="17"/>
      <c r="Y256" s="17"/>
      <c r="Z256" s="85">
        <f t="shared" si="378"/>
        <v>1</v>
      </c>
      <c r="AA256" s="105">
        <f t="shared" si="379"/>
        <v>3</v>
      </c>
      <c r="AB256" s="114">
        <v>45560</v>
      </c>
      <c r="AC256" s="24" t="s">
        <v>195</v>
      </c>
      <c r="AD256" s="15"/>
      <c r="AE256" s="16"/>
      <c r="AF256" s="17"/>
      <c r="AG256" s="17"/>
      <c r="AH256" s="85">
        <f t="shared" si="386"/>
        <v>0</v>
      </c>
      <c r="AI256" s="15"/>
      <c r="AJ256" s="16"/>
      <c r="AK256" s="17"/>
      <c r="AL256" s="17"/>
      <c r="AM256" s="85">
        <f t="shared" si="387"/>
        <v>0</v>
      </c>
      <c r="AN256" s="15">
        <v>10</v>
      </c>
      <c r="AO256" s="16"/>
      <c r="AP256" s="17"/>
      <c r="AQ256" s="17"/>
      <c r="AR256" s="85">
        <f t="shared" si="388"/>
        <v>10</v>
      </c>
      <c r="AS256" s="15">
        <v>10</v>
      </c>
      <c r="AT256" s="16"/>
      <c r="AU256" s="17"/>
      <c r="AV256" s="17"/>
      <c r="AW256" s="85">
        <f t="shared" si="389"/>
        <v>10</v>
      </c>
      <c r="AX256" s="15">
        <v>10</v>
      </c>
      <c r="AY256" s="16"/>
      <c r="AZ256" s="17"/>
      <c r="BA256" s="17"/>
      <c r="BB256" s="85">
        <f t="shared" si="390"/>
        <v>10</v>
      </c>
      <c r="BC256" s="105">
        <f t="shared" si="391"/>
        <v>30</v>
      </c>
      <c r="BD256" s="115">
        <v>45525</v>
      </c>
    </row>
    <row r="257" spans="1:56" x14ac:dyDescent="0.15">
      <c r="A257" s="23" t="s">
        <v>330</v>
      </c>
      <c r="B257" s="15"/>
      <c r="C257" s="16"/>
      <c r="D257" s="17"/>
      <c r="E257" s="17"/>
      <c r="F257" s="85">
        <f t="shared" si="374"/>
        <v>0</v>
      </c>
      <c r="G257" s="15"/>
      <c r="H257" s="16"/>
      <c r="I257" s="17"/>
      <c r="J257" s="17"/>
      <c r="K257" s="85">
        <f t="shared" si="375"/>
        <v>0</v>
      </c>
      <c r="L257" s="15"/>
      <c r="M257" s="16"/>
      <c r="N257" s="17"/>
      <c r="O257" s="17">
        <v>1</v>
      </c>
      <c r="P257" s="85">
        <f t="shared" si="376"/>
        <v>1</v>
      </c>
      <c r="Q257" s="15"/>
      <c r="R257" s="16"/>
      <c r="S257" s="17"/>
      <c r="T257" s="17">
        <v>1</v>
      </c>
      <c r="U257" s="85">
        <f t="shared" si="377"/>
        <v>1</v>
      </c>
      <c r="V257" s="15"/>
      <c r="W257" s="16"/>
      <c r="X257" s="17"/>
      <c r="Y257" s="17">
        <v>1</v>
      </c>
      <c r="Z257" s="85">
        <f t="shared" si="378"/>
        <v>1</v>
      </c>
      <c r="AA257" s="105">
        <f t="shared" si="379"/>
        <v>3</v>
      </c>
      <c r="AB257" s="114">
        <v>45562</v>
      </c>
      <c r="AC257" s="54" t="s">
        <v>318</v>
      </c>
      <c r="AD257" s="15"/>
      <c r="AE257" s="16"/>
      <c r="AF257" s="17"/>
      <c r="AG257" s="17">
        <v>1</v>
      </c>
      <c r="AH257" s="85">
        <f t="shared" si="386"/>
        <v>1</v>
      </c>
      <c r="AI257" s="15"/>
      <c r="AJ257" s="16"/>
      <c r="AK257" s="17"/>
      <c r="AL257" s="17"/>
      <c r="AM257" s="85">
        <f t="shared" si="387"/>
        <v>0</v>
      </c>
      <c r="AN257" s="15">
        <v>1</v>
      </c>
      <c r="AO257" s="16"/>
      <c r="AP257" s="17"/>
      <c r="AQ257" s="17"/>
      <c r="AR257" s="85">
        <f t="shared" si="388"/>
        <v>1</v>
      </c>
      <c r="AS257" s="15"/>
      <c r="AT257" s="16">
        <v>3</v>
      </c>
      <c r="AU257" s="17">
        <v>2</v>
      </c>
      <c r="AV257" s="17"/>
      <c r="AW257" s="85">
        <f t="shared" si="389"/>
        <v>5</v>
      </c>
      <c r="AX257" s="15"/>
      <c r="AY257" s="16"/>
      <c r="AZ257" s="17">
        <v>1</v>
      </c>
      <c r="BA257" s="17">
        <v>1</v>
      </c>
      <c r="BB257" s="85">
        <f t="shared" si="390"/>
        <v>2</v>
      </c>
      <c r="BC257" s="105">
        <f t="shared" si="391"/>
        <v>9</v>
      </c>
      <c r="BD257" s="114">
        <v>45534</v>
      </c>
    </row>
    <row r="258" spans="1:56" x14ac:dyDescent="0.15">
      <c r="A258" s="23" t="s">
        <v>331</v>
      </c>
      <c r="B258" s="15"/>
      <c r="C258" s="16"/>
      <c r="D258" s="17"/>
      <c r="E258" s="17"/>
      <c r="F258" s="85">
        <f t="shared" si="374"/>
        <v>0</v>
      </c>
      <c r="G258" s="15"/>
      <c r="H258" s="16"/>
      <c r="I258" s="17"/>
      <c r="J258" s="17"/>
      <c r="K258" s="85">
        <f t="shared" si="375"/>
        <v>0</v>
      </c>
      <c r="L258" s="15">
        <v>1</v>
      </c>
      <c r="M258" s="16"/>
      <c r="N258" s="17"/>
      <c r="O258" s="17"/>
      <c r="P258" s="85">
        <f t="shared" si="376"/>
        <v>1</v>
      </c>
      <c r="Q258" s="15">
        <v>1</v>
      </c>
      <c r="R258" s="16"/>
      <c r="S258" s="17"/>
      <c r="T258" s="17"/>
      <c r="U258" s="85">
        <f t="shared" si="377"/>
        <v>1</v>
      </c>
      <c r="V258" s="15">
        <v>1</v>
      </c>
      <c r="W258" s="16"/>
      <c r="X258" s="17"/>
      <c r="Y258" s="17"/>
      <c r="Z258" s="85">
        <f t="shared" si="378"/>
        <v>1</v>
      </c>
      <c r="AA258" s="105">
        <f t="shared" si="379"/>
        <v>3</v>
      </c>
      <c r="AB258" s="114">
        <v>45554</v>
      </c>
      <c r="AC258" s="24" t="s">
        <v>195</v>
      </c>
      <c r="AD258" s="15"/>
      <c r="AE258" s="16"/>
      <c r="AF258" s="17"/>
      <c r="AG258" s="17"/>
      <c r="AH258" s="85">
        <f t="shared" si="386"/>
        <v>0</v>
      </c>
      <c r="AI258" s="15"/>
      <c r="AJ258" s="16"/>
      <c r="AK258" s="17"/>
      <c r="AL258" s="17"/>
      <c r="AM258" s="85">
        <f t="shared" si="387"/>
        <v>0</v>
      </c>
      <c r="AN258" s="15">
        <v>10</v>
      </c>
      <c r="AO258" s="16">
        <v>26</v>
      </c>
      <c r="AP258" s="17">
        <v>10</v>
      </c>
      <c r="AQ258" s="17"/>
      <c r="AR258" s="85">
        <f t="shared" si="388"/>
        <v>46</v>
      </c>
      <c r="AS258" s="15">
        <v>10</v>
      </c>
      <c r="AT258" s="16">
        <v>26</v>
      </c>
      <c r="AU258" s="17">
        <v>10</v>
      </c>
      <c r="AV258" s="17"/>
      <c r="AW258" s="85">
        <f t="shared" si="389"/>
        <v>46</v>
      </c>
      <c r="AX258" s="15">
        <v>10</v>
      </c>
      <c r="AY258" s="16">
        <v>26</v>
      </c>
      <c r="AZ258" s="17">
        <v>10</v>
      </c>
      <c r="BA258" s="17"/>
      <c r="BB258" s="85">
        <f t="shared" si="390"/>
        <v>46</v>
      </c>
      <c r="BC258" s="105">
        <f t="shared" si="391"/>
        <v>138</v>
      </c>
      <c r="BD258" s="114">
        <v>45537</v>
      </c>
    </row>
    <row r="259" spans="1:56" x14ac:dyDescent="0.15">
      <c r="A259" s="23" t="s">
        <v>330</v>
      </c>
      <c r="B259" s="15"/>
      <c r="C259" s="16"/>
      <c r="D259" s="17"/>
      <c r="E259" s="17"/>
      <c r="F259" s="85">
        <f t="shared" si="374"/>
        <v>0</v>
      </c>
      <c r="G259" s="15"/>
      <c r="H259" s="16"/>
      <c r="I259" s="17"/>
      <c r="J259" s="17"/>
      <c r="K259" s="85">
        <f t="shared" si="375"/>
        <v>0</v>
      </c>
      <c r="L259" s="15">
        <v>1</v>
      </c>
      <c r="M259" s="16"/>
      <c r="N259" s="17"/>
      <c r="O259" s="17"/>
      <c r="P259" s="85">
        <f t="shared" si="376"/>
        <v>1</v>
      </c>
      <c r="Q259" s="15">
        <v>1</v>
      </c>
      <c r="R259" s="16"/>
      <c r="S259" s="17"/>
      <c r="T259" s="17"/>
      <c r="U259" s="85">
        <f t="shared" si="377"/>
        <v>1</v>
      </c>
      <c r="V259" s="15">
        <v>1</v>
      </c>
      <c r="W259" s="16"/>
      <c r="X259" s="17"/>
      <c r="Y259" s="17"/>
      <c r="Z259" s="85">
        <f t="shared" si="378"/>
        <v>1</v>
      </c>
      <c r="AA259" s="105">
        <f t="shared" si="379"/>
        <v>3</v>
      </c>
      <c r="AB259" s="114">
        <v>45565</v>
      </c>
      <c r="AC259" s="54" t="s">
        <v>322</v>
      </c>
      <c r="AD259" s="15"/>
      <c r="AE259" s="16"/>
      <c r="AF259" s="17"/>
      <c r="AG259" s="17"/>
      <c r="AH259" s="85">
        <f t="shared" si="386"/>
        <v>0</v>
      </c>
      <c r="AI259" s="15"/>
      <c r="AJ259" s="16"/>
      <c r="AK259" s="17"/>
      <c r="AL259" s="17"/>
      <c r="AM259" s="85">
        <f t="shared" si="387"/>
        <v>0</v>
      </c>
      <c r="AN259" s="15"/>
      <c r="AO259" s="16"/>
      <c r="AP259" s="17"/>
      <c r="AQ259" s="17"/>
      <c r="AR259" s="85">
        <f t="shared" si="388"/>
        <v>0</v>
      </c>
      <c r="AS259" s="15">
        <v>4</v>
      </c>
      <c r="AT259" s="16"/>
      <c r="AU259" s="17"/>
      <c r="AV259" s="17"/>
      <c r="AW259" s="85">
        <f t="shared" si="389"/>
        <v>4</v>
      </c>
      <c r="AX259" s="15">
        <v>1</v>
      </c>
      <c r="AY259" s="16"/>
      <c r="AZ259" s="17"/>
      <c r="BA259" s="17"/>
      <c r="BB259" s="85">
        <f t="shared" si="390"/>
        <v>1</v>
      </c>
      <c r="BC259" s="105">
        <f t="shared" si="391"/>
        <v>5</v>
      </c>
      <c r="BD259" s="114">
        <v>45544</v>
      </c>
    </row>
    <row r="260" spans="1:56" x14ac:dyDescent="0.15">
      <c r="A260" s="23" t="s">
        <v>332</v>
      </c>
      <c r="B260" s="18"/>
      <c r="C260" s="19">
        <v>1</v>
      </c>
      <c r="D260" s="20"/>
      <c r="E260" s="20"/>
      <c r="F260" s="85">
        <f t="shared" si="374"/>
        <v>1</v>
      </c>
      <c r="G260" s="18"/>
      <c r="H260" s="19">
        <v>1</v>
      </c>
      <c r="I260" s="20"/>
      <c r="J260" s="20"/>
      <c r="K260" s="85">
        <f t="shared" si="375"/>
        <v>1</v>
      </c>
      <c r="L260" s="18"/>
      <c r="M260" s="19"/>
      <c r="N260" s="20"/>
      <c r="O260" s="20"/>
      <c r="P260" s="85">
        <f t="shared" si="376"/>
        <v>0</v>
      </c>
      <c r="Q260" s="18"/>
      <c r="R260" s="19"/>
      <c r="S260" s="20"/>
      <c r="T260" s="20"/>
      <c r="U260" s="85">
        <f t="shared" si="377"/>
        <v>0</v>
      </c>
      <c r="V260" s="18"/>
      <c r="W260" s="19">
        <v>1</v>
      </c>
      <c r="X260" s="20"/>
      <c r="Y260" s="20"/>
      <c r="Z260" s="85">
        <f t="shared" si="378"/>
        <v>1</v>
      </c>
      <c r="AA260" s="105">
        <f t="shared" si="379"/>
        <v>3</v>
      </c>
      <c r="AB260" s="114">
        <v>45567</v>
      </c>
      <c r="AC260" s="54" t="s">
        <v>323</v>
      </c>
      <c r="AD260" s="18"/>
      <c r="AE260" s="19"/>
      <c r="AF260" s="20">
        <v>1</v>
      </c>
      <c r="AG260" s="20"/>
      <c r="AH260" s="85">
        <f t="shared" si="386"/>
        <v>1</v>
      </c>
      <c r="AI260" s="18"/>
      <c r="AJ260" s="19"/>
      <c r="AK260" s="20">
        <v>1</v>
      </c>
      <c r="AL260" s="20">
        <v>1</v>
      </c>
      <c r="AM260" s="85">
        <f t="shared" si="387"/>
        <v>2</v>
      </c>
      <c r="AN260" s="18"/>
      <c r="AO260" s="19"/>
      <c r="AP260" s="20"/>
      <c r="AQ260" s="20">
        <v>1</v>
      </c>
      <c r="AR260" s="85">
        <f t="shared" si="388"/>
        <v>1</v>
      </c>
      <c r="AS260" s="18"/>
      <c r="AT260" s="19">
        <v>2</v>
      </c>
      <c r="AU260" s="20">
        <v>1</v>
      </c>
      <c r="AV260" s="20"/>
      <c r="AW260" s="85">
        <f t="shared" si="389"/>
        <v>3</v>
      </c>
      <c r="AX260" s="18"/>
      <c r="AY260" s="19">
        <v>3</v>
      </c>
      <c r="AZ260" s="20"/>
      <c r="BA260" s="20"/>
      <c r="BB260" s="85">
        <f t="shared" si="390"/>
        <v>3</v>
      </c>
      <c r="BC260" s="105">
        <f t="shared" si="391"/>
        <v>10</v>
      </c>
      <c r="BD260" s="114">
        <v>45548</v>
      </c>
    </row>
    <row r="261" spans="1:56" x14ac:dyDescent="0.15">
      <c r="A261" s="23" t="s">
        <v>330</v>
      </c>
      <c r="B261" s="15"/>
      <c r="C261" s="16"/>
      <c r="D261" s="17"/>
      <c r="E261" s="17"/>
      <c r="F261" s="85">
        <f t="shared" si="374"/>
        <v>0</v>
      </c>
      <c r="G261" s="15"/>
      <c r="H261" s="16"/>
      <c r="I261" s="17"/>
      <c r="J261" s="17"/>
      <c r="K261" s="85">
        <f t="shared" si="375"/>
        <v>0</v>
      </c>
      <c r="L261" s="15">
        <v>1</v>
      </c>
      <c r="M261" s="16"/>
      <c r="N261" s="17"/>
      <c r="O261" s="17"/>
      <c r="P261" s="85">
        <f t="shared" si="376"/>
        <v>1</v>
      </c>
      <c r="Q261" s="15">
        <v>1</v>
      </c>
      <c r="R261" s="16"/>
      <c r="S261" s="17"/>
      <c r="T261" s="17"/>
      <c r="U261" s="85">
        <f t="shared" si="377"/>
        <v>1</v>
      </c>
      <c r="V261" s="15">
        <v>1</v>
      </c>
      <c r="W261" s="16"/>
      <c r="X261" s="17"/>
      <c r="Y261" s="17"/>
      <c r="Z261" s="85">
        <f t="shared" si="378"/>
        <v>1</v>
      </c>
      <c r="AA261" s="105">
        <f t="shared" si="379"/>
        <v>3</v>
      </c>
      <c r="AB261" s="114">
        <v>45568</v>
      </c>
      <c r="AC261" s="23" t="s">
        <v>35</v>
      </c>
      <c r="AD261" s="15"/>
      <c r="AE261" s="16"/>
      <c r="AF261" s="17"/>
      <c r="AG261" s="17"/>
      <c r="AH261" s="85">
        <f t="shared" si="386"/>
        <v>0</v>
      </c>
      <c r="AI261" s="15"/>
      <c r="AJ261" s="16">
        <v>3</v>
      </c>
      <c r="AK261" s="17"/>
      <c r="AL261" s="17"/>
      <c r="AM261" s="85">
        <f t="shared" si="387"/>
        <v>3</v>
      </c>
      <c r="AN261" s="15"/>
      <c r="AO261" s="16">
        <v>3</v>
      </c>
      <c r="AP261" s="17"/>
      <c r="AQ261" s="17"/>
      <c r="AR261" s="85">
        <f t="shared" si="388"/>
        <v>3</v>
      </c>
      <c r="AS261" s="15"/>
      <c r="AT261" s="16"/>
      <c r="AU261" s="17"/>
      <c r="AV261" s="17"/>
      <c r="AW261" s="85">
        <f t="shared" si="389"/>
        <v>0</v>
      </c>
      <c r="AX261" s="15"/>
      <c r="AY261" s="16"/>
      <c r="AZ261" s="17">
        <v>5</v>
      </c>
      <c r="BA261" s="17"/>
      <c r="BB261" s="85">
        <f t="shared" si="390"/>
        <v>5</v>
      </c>
      <c r="BC261" s="105">
        <f t="shared" si="391"/>
        <v>11</v>
      </c>
      <c r="BD261" s="114">
        <v>45548</v>
      </c>
    </row>
    <row r="262" spans="1:56" x14ac:dyDescent="0.15">
      <c r="A262" s="54" t="s">
        <v>335</v>
      </c>
      <c r="B262" s="15"/>
      <c r="C262" s="16">
        <v>2</v>
      </c>
      <c r="D262" s="17"/>
      <c r="E262" s="17"/>
      <c r="F262" s="85">
        <f t="shared" si="374"/>
        <v>2</v>
      </c>
      <c r="G262" s="15"/>
      <c r="H262" s="16">
        <v>2</v>
      </c>
      <c r="I262" s="17"/>
      <c r="J262" s="17"/>
      <c r="K262" s="85">
        <f t="shared" si="375"/>
        <v>2</v>
      </c>
      <c r="L262" s="15"/>
      <c r="M262" s="16">
        <v>2</v>
      </c>
      <c r="N262" s="17"/>
      <c r="O262" s="17"/>
      <c r="P262" s="85">
        <f t="shared" si="376"/>
        <v>2</v>
      </c>
      <c r="Q262" s="15"/>
      <c r="R262" s="16">
        <v>2</v>
      </c>
      <c r="S262" s="17"/>
      <c r="T262" s="17"/>
      <c r="U262" s="85">
        <f t="shared" si="377"/>
        <v>2</v>
      </c>
      <c r="V262" s="15"/>
      <c r="W262" s="16">
        <v>4</v>
      </c>
      <c r="X262" s="17"/>
      <c r="Y262" s="17"/>
      <c r="Z262" s="85">
        <f t="shared" si="378"/>
        <v>4</v>
      </c>
      <c r="AA262" s="105">
        <f t="shared" si="379"/>
        <v>12</v>
      </c>
      <c r="AB262" s="114">
        <v>45567</v>
      </c>
      <c r="AC262" s="24" t="s">
        <v>195</v>
      </c>
      <c r="AD262" s="15"/>
      <c r="AE262" s="16"/>
      <c r="AF262" s="17"/>
      <c r="AG262" s="17">
        <v>2</v>
      </c>
      <c r="AH262" s="85">
        <f t="shared" si="386"/>
        <v>2</v>
      </c>
      <c r="AI262" s="15"/>
      <c r="AJ262" s="16"/>
      <c r="AK262" s="17"/>
      <c r="AL262" s="17">
        <v>2</v>
      </c>
      <c r="AM262" s="85">
        <f t="shared" si="387"/>
        <v>2</v>
      </c>
      <c r="AN262" s="15"/>
      <c r="AO262" s="16"/>
      <c r="AP262" s="17"/>
      <c r="AQ262" s="17"/>
      <c r="AR262" s="85">
        <f t="shared" si="388"/>
        <v>0</v>
      </c>
      <c r="AS262" s="15"/>
      <c r="AT262" s="16"/>
      <c r="AU262" s="17"/>
      <c r="AV262" s="17"/>
      <c r="AW262" s="85">
        <f t="shared" si="389"/>
        <v>0</v>
      </c>
      <c r="AX262" s="15"/>
      <c r="AY262" s="16"/>
      <c r="AZ262" s="17"/>
      <c r="BA262" s="17">
        <v>2</v>
      </c>
      <c r="BB262" s="85">
        <f t="shared" si="390"/>
        <v>2</v>
      </c>
      <c r="BC262" s="105">
        <f t="shared" si="391"/>
        <v>6</v>
      </c>
      <c r="BD262" s="114">
        <v>45547</v>
      </c>
    </row>
    <row r="263" spans="1:56" x14ac:dyDescent="0.15">
      <c r="A263" s="23" t="s">
        <v>330</v>
      </c>
      <c r="B263" s="15"/>
      <c r="C263" s="16"/>
      <c r="D263" s="17"/>
      <c r="E263" s="17"/>
      <c r="F263" s="85">
        <f t="shared" si="374"/>
        <v>0</v>
      </c>
      <c r="G263" s="15"/>
      <c r="H263" s="16"/>
      <c r="I263" s="17"/>
      <c r="J263" s="17"/>
      <c r="K263" s="85">
        <f t="shared" si="375"/>
        <v>0</v>
      </c>
      <c r="L263" s="15"/>
      <c r="M263" s="16"/>
      <c r="N263" s="17">
        <v>1</v>
      </c>
      <c r="O263" s="17"/>
      <c r="P263" s="85">
        <f t="shared" si="376"/>
        <v>1</v>
      </c>
      <c r="Q263" s="15"/>
      <c r="R263" s="16"/>
      <c r="S263" s="17">
        <v>1</v>
      </c>
      <c r="T263" s="17"/>
      <c r="U263" s="85">
        <f t="shared" si="377"/>
        <v>1</v>
      </c>
      <c r="V263" s="15"/>
      <c r="W263" s="16"/>
      <c r="X263" s="17">
        <v>1</v>
      </c>
      <c r="Y263" s="17"/>
      <c r="Z263" s="85">
        <f t="shared" si="378"/>
        <v>1</v>
      </c>
      <c r="AA263" s="105">
        <f t="shared" si="379"/>
        <v>3</v>
      </c>
      <c r="AB263" s="114">
        <v>45572</v>
      </c>
      <c r="AC263" s="24" t="s">
        <v>195</v>
      </c>
      <c r="AD263" s="15"/>
      <c r="AE263" s="16"/>
      <c r="AF263" s="17"/>
      <c r="AG263" s="17">
        <v>2</v>
      </c>
      <c r="AH263" s="85">
        <f t="shared" si="386"/>
        <v>2</v>
      </c>
      <c r="AI263" s="15"/>
      <c r="AJ263" s="16"/>
      <c r="AK263" s="17"/>
      <c r="AL263" s="17">
        <v>2</v>
      </c>
      <c r="AM263" s="85">
        <f t="shared" si="387"/>
        <v>2</v>
      </c>
      <c r="AN263" s="15"/>
      <c r="AO263" s="16"/>
      <c r="AP263" s="17"/>
      <c r="AQ263" s="17"/>
      <c r="AR263" s="85">
        <f t="shared" si="388"/>
        <v>0</v>
      </c>
      <c r="AS263" s="15"/>
      <c r="AT263" s="16"/>
      <c r="AU263" s="17"/>
      <c r="AV263" s="17"/>
      <c r="AW263" s="85">
        <f t="shared" si="389"/>
        <v>0</v>
      </c>
      <c r="AX263" s="15"/>
      <c r="AY263" s="16"/>
      <c r="AZ263" s="17"/>
      <c r="BA263" s="17">
        <v>2</v>
      </c>
      <c r="BB263" s="85">
        <f t="shared" si="390"/>
        <v>2</v>
      </c>
      <c r="BC263" s="105">
        <f t="shared" si="391"/>
        <v>6</v>
      </c>
      <c r="BD263" s="114">
        <v>45552</v>
      </c>
    </row>
    <row r="264" spans="1:56" x14ac:dyDescent="0.15">
      <c r="A264" s="23" t="s">
        <v>330</v>
      </c>
      <c r="B264" s="15"/>
      <c r="C264" s="16"/>
      <c r="D264" s="17"/>
      <c r="E264" s="17"/>
      <c r="F264" s="85">
        <f t="shared" si="374"/>
        <v>0</v>
      </c>
      <c r="G264" s="15"/>
      <c r="H264" s="16"/>
      <c r="I264" s="17"/>
      <c r="J264" s="17"/>
      <c r="K264" s="85">
        <f t="shared" si="375"/>
        <v>0</v>
      </c>
      <c r="L264" s="15"/>
      <c r="M264" s="16">
        <v>1</v>
      </c>
      <c r="N264" s="17"/>
      <c r="O264" s="17"/>
      <c r="P264" s="85">
        <f t="shared" si="376"/>
        <v>1</v>
      </c>
      <c r="Q264" s="15"/>
      <c r="R264" s="16">
        <v>1</v>
      </c>
      <c r="S264" s="17"/>
      <c r="T264" s="17"/>
      <c r="U264" s="85">
        <f t="shared" si="377"/>
        <v>1</v>
      </c>
      <c r="V264" s="15"/>
      <c r="W264" s="16">
        <v>1</v>
      </c>
      <c r="X264" s="17"/>
      <c r="Y264" s="17"/>
      <c r="Z264" s="85">
        <f t="shared" si="378"/>
        <v>1</v>
      </c>
      <c r="AA264" s="105">
        <f t="shared" si="379"/>
        <v>3</v>
      </c>
      <c r="AB264" s="114">
        <v>45574</v>
      </c>
      <c r="AC264" s="54" t="s">
        <v>327</v>
      </c>
      <c r="AD264" s="15"/>
      <c r="AE264" s="16"/>
      <c r="AF264" s="17"/>
      <c r="AG264" s="17"/>
      <c r="AH264" s="85">
        <f t="shared" si="386"/>
        <v>0</v>
      </c>
      <c r="AI264" s="15"/>
      <c r="AJ264" s="16">
        <v>1</v>
      </c>
      <c r="AK264" s="17">
        <v>2</v>
      </c>
      <c r="AL264" s="17"/>
      <c r="AM264" s="85">
        <f t="shared" si="387"/>
        <v>3</v>
      </c>
      <c r="AN264" s="15"/>
      <c r="AO264" s="16"/>
      <c r="AP264" s="17"/>
      <c r="AQ264" s="17"/>
      <c r="AR264" s="85">
        <f t="shared" si="388"/>
        <v>0</v>
      </c>
      <c r="AS264" s="15">
        <v>4</v>
      </c>
      <c r="AT264" s="16">
        <v>4</v>
      </c>
      <c r="AU264" s="17">
        <v>4</v>
      </c>
      <c r="AV264" s="17">
        <v>2</v>
      </c>
      <c r="AW264" s="85">
        <f t="shared" si="389"/>
        <v>14</v>
      </c>
      <c r="AX264" s="15">
        <v>4</v>
      </c>
      <c r="AY264" s="16">
        <v>3</v>
      </c>
      <c r="AZ264" s="17">
        <v>1</v>
      </c>
      <c r="BA264" s="17">
        <v>2</v>
      </c>
      <c r="BB264" s="85">
        <f t="shared" si="390"/>
        <v>10</v>
      </c>
      <c r="BC264" s="105">
        <f t="shared" si="391"/>
        <v>27</v>
      </c>
      <c r="BD264" s="114">
        <v>45560</v>
      </c>
    </row>
    <row r="265" spans="1:56" x14ac:dyDescent="0.15">
      <c r="A265" s="54" t="s">
        <v>337</v>
      </c>
      <c r="B265" s="15"/>
      <c r="C265" s="16"/>
      <c r="D265" s="17">
        <v>1</v>
      </c>
      <c r="E265" s="17"/>
      <c r="F265" s="85">
        <f t="shared" si="374"/>
        <v>1</v>
      </c>
      <c r="G265" s="15">
        <v>1</v>
      </c>
      <c r="H265" s="16"/>
      <c r="I265" s="17">
        <v>3</v>
      </c>
      <c r="J265" s="17"/>
      <c r="K265" s="85">
        <f t="shared" si="375"/>
        <v>4</v>
      </c>
      <c r="L265" s="15">
        <v>4</v>
      </c>
      <c r="M265" s="16"/>
      <c r="N265" s="17">
        <v>3</v>
      </c>
      <c r="O265" s="17"/>
      <c r="P265" s="85">
        <f t="shared" si="376"/>
        <v>7</v>
      </c>
      <c r="Q265" s="15">
        <v>1</v>
      </c>
      <c r="R265" s="16"/>
      <c r="S265" s="17">
        <v>2</v>
      </c>
      <c r="T265" s="17">
        <v>1</v>
      </c>
      <c r="U265" s="85">
        <f t="shared" si="377"/>
        <v>4</v>
      </c>
      <c r="V265" s="15">
        <v>3</v>
      </c>
      <c r="W265" s="16">
        <v>2</v>
      </c>
      <c r="X265" s="17">
        <v>3</v>
      </c>
      <c r="Y265" s="17"/>
      <c r="Z265" s="85">
        <f t="shared" si="378"/>
        <v>8</v>
      </c>
      <c r="AA265" s="105">
        <f t="shared" si="379"/>
        <v>24</v>
      </c>
      <c r="AB265" s="114">
        <v>45576</v>
      </c>
      <c r="AC265" s="54" t="s">
        <v>329</v>
      </c>
      <c r="AD265" s="15"/>
      <c r="AE265" s="16"/>
      <c r="AF265" s="17"/>
      <c r="AG265" s="17"/>
      <c r="AH265" s="85">
        <f t="shared" si="386"/>
        <v>0</v>
      </c>
      <c r="AI265" s="15"/>
      <c r="AJ265" s="16"/>
      <c r="AK265" s="17"/>
      <c r="AL265" s="17"/>
      <c r="AM265" s="85">
        <f t="shared" si="387"/>
        <v>0</v>
      </c>
      <c r="AN265" s="15"/>
      <c r="AO265" s="16"/>
      <c r="AP265" s="17"/>
      <c r="AQ265" s="17">
        <v>4</v>
      </c>
      <c r="AR265" s="85">
        <f t="shared" si="388"/>
        <v>4</v>
      </c>
      <c r="AS265" s="15"/>
      <c r="AT265" s="16"/>
      <c r="AU265" s="17"/>
      <c r="AV265" s="17">
        <v>3</v>
      </c>
      <c r="AW265" s="85">
        <f t="shared" si="389"/>
        <v>3</v>
      </c>
      <c r="AX265" s="15"/>
      <c r="AY265" s="16">
        <v>2</v>
      </c>
      <c r="AZ265" s="17"/>
      <c r="BA265" s="17"/>
      <c r="BB265" s="85">
        <f t="shared" si="390"/>
        <v>2</v>
      </c>
      <c r="BC265" s="105">
        <f t="shared" si="391"/>
        <v>9</v>
      </c>
      <c r="BD265" s="114">
        <v>45565</v>
      </c>
    </row>
    <row r="266" spans="1:56" x14ac:dyDescent="0.15">
      <c r="A266" s="23" t="s">
        <v>124</v>
      </c>
      <c r="B266" s="15"/>
      <c r="C266" s="16">
        <v>1</v>
      </c>
      <c r="D266" s="17"/>
      <c r="E266" s="17"/>
      <c r="F266" s="85">
        <f t="shared" si="374"/>
        <v>1</v>
      </c>
      <c r="G266" s="15"/>
      <c r="H266" s="16">
        <v>1</v>
      </c>
      <c r="I266" s="17"/>
      <c r="J266" s="17"/>
      <c r="K266" s="85">
        <f t="shared" si="375"/>
        <v>1</v>
      </c>
      <c r="L266" s="15"/>
      <c r="M266" s="16">
        <v>2</v>
      </c>
      <c r="N266" s="17"/>
      <c r="O266" s="17"/>
      <c r="P266" s="85">
        <f t="shared" si="376"/>
        <v>2</v>
      </c>
      <c r="Q266" s="15"/>
      <c r="R266" s="16">
        <v>2</v>
      </c>
      <c r="S266" s="17"/>
      <c r="T266" s="17"/>
      <c r="U266" s="85">
        <f t="shared" si="377"/>
        <v>2</v>
      </c>
      <c r="V266" s="15"/>
      <c r="W266" s="16">
        <v>4</v>
      </c>
      <c r="X266" s="17"/>
      <c r="Y266" s="17"/>
      <c r="Z266" s="85">
        <f t="shared" si="378"/>
        <v>4</v>
      </c>
      <c r="AA266" s="105">
        <f t="shared" si="379"/>
        <v>10</v>
      </c>
      <c r="AB266" s="114">
        <v>45575</v>
      </c>
      <c r="AC266" s="54" t="s">
        <v>334</v>
      </c>
      <c r="AD266" s="15"/>
      <c r="AE266" s="16"/>
      <c r="AF266" s="17"/>
      <c r="AG266" s="17">
        <v>1</v>
      </c>
      <c r="AH266" s="85">
        <f t="shared" si="386"/>
        <v>1</v>
      </c>
      <c r="AI266" s="15"/>
      <c r="AJ266" s="16"/>
      <c r="AK266" s="17"/>
      <c r="AL266" s="17"/>
      <c r="AM266" s="85">
        <f t="shared" si="387"/>
        <v>0</v>
      </c>
      <c r="AN266" s="15">
        <v>1</v>
      </c>
      <c r="AO266" s="16"/>
      <c r="AP266" s="17"/>
      <c r="AQ266" s="17"/>
      <c r="AR266" s="85">
        <f t="shared" si="388"/>
        <v>1</v>
      </c>
      <c r="AS266" s="15">
        <v>1</v>
      </c>
      <c r="AT266" s="16"/>
      <c r="AU266" s="17">
        <v>3</v>
      </c>
      <c r="AV266" s="17">
        <v>1</v>
      </c>
      <c r="AW266" s="85">
        <f t="shared" si="389"/>
        <v>5</v>
      </c>
      <c r="AX266" s="15">
        <v>4</v>
      </c>
      <c r="AY266" s="16"/>
      <c r="AZ266" s="17">
        <v>3</v>
      </c>
      <c r="BA266" s="17">
        <v>1</v>
      </c>
      <c r="BB266" s="85">
        <f t="shared" si="390"/>
        <v>8</v>
      </c>
      <c r="BC266" s="105">
        <f t="shared" si="391"/>
        <v>15</v>
      </c>
      <c r="BD266" s="114">
        <v>45569</v>
      </c>
    </row>
    <row r="267" spans="1:56" x14ac:dyDescent="0.15">
      <c r="A267" s="23" t="s">
        <v>330</v>
      </c>
      <c r="B267" s="15"/>
      <c r="C267" s="16"/>
      <c r="D267" s="17"/>
      <c r="E267" s="17"/>
      <c r="F267" s="85">
        <f t="shared" si="374"/>
        <v>0</v>
      </c>
      <c r="G267" s="15"/>
      <c r="H267" s="16"/>
      <c r="I267" s="17"/>
      <c r="J267" s="17"/>
      <c r="K267" s="85">
        <f t="shared" si="375"/>
        <v>0</v>
      </c>
      <c r="L267" s="15"/>
      <c r="M267" s="16"/>
      <c r="N267" s="17">
        <v>1</v>
      </c>
      <c r="O267" s="17"/>
      <c r="P267" s="85">
        <f t="shared" si="376"/>
        <v>1</v>
      </c>
      <c r="Q267" s="15"/>
      <c r="R267" s="16"/>
      <c r="S267" s="17">
        <v>1</v>
      </c>
      <c r="T267" s="17"/>
      <c r="U267" s="85">
        <f t="shared" si="377"/>
        <v>1</v>
      </c>
      <c r="V267" s="15"/>
      <c r="W267" s="16"/>
      <c r="X267" s="17">
        <v>1</v>
      </c>
      <c r="Y267" s="17"/>
      <c r="Z267" s="85">
        <f t="shared" si="378"/>
        <v>1</v>
      </c>
      <c r="AA267" s="105">
        <f t="shared" si="379"/>
        <v>3</v>
      </c>
      <c r="AB267" s="114">
        <v>45576</v>
      </c>
      <c r="AC267" s="24" t="s">
        <v>195</v>
      </c>
      <c r="AD267" s="15"/>
      <c r="AE267" s="16"/>
      <c r="AF267" s="17"/>
      <c r="AG267" s="17">
        <v>7</v>
      </c>
      <c r="AH267" s="85">
        <f t="shared" si="386"/>
        <v>7</v>
      </c>
      <c r="AI267" s="15"/>
      <c r="AJ267" s="16"/>
      <c r="AK267" s="17"/>
      <c r="AL267" s="17">
        <v>7</v>
      </c>
      <c r="AM267" s="85">
        <f t="shared" si="387"/>
        <v>7</v>
      </c>
      <c r="AN267" s="15"/>
      <c r="AO267" s="16"/>
      <c r="AP267" s="17"/>
      <c r="AQ267" s="17"/>
      <c r="AR267" s="85">
        <f t="shared" si="388"/>
        <v>0</v>
      </c>
      <c r="AS267" s="15"/>
      <c r="AT267" s="16"/>
      <c r="AU267" s="17"/>
      <c r="AV267" s="17"/>
      <c r="AW267" s="85">
        <f t="shared" si="389"/>
        <v>0</v>
      </c>
      <c r="AX267" s="15"/>
      <c r="AY267" s="16"/>
      <c r="AZ267" s="17"/>
      <c r="BA267" s="17">
        <v>7</v>
      </c>
      <c r="BB267" s="85">
        <f t="shared" si="390"/>
        <v>7</v>
      </c>
      <c r="BC267" s="105">
        <f t="shared" si="391"/>
        <v>21</v>
      </c>
      <c r="BD267" s="114">
        <v>45572</v>
      </c>
    </row>
    <row r="268" spans="1:56" x14ac:dyDescent="0.15">
      <c r="A268" s="23" t="s">
        <v>124</v>
      </c>
      <c r="B268" s="15">
        <v>2</v>
      </c>
      <c r="C268" s="16"/>
      <c r="D268" s="17"/>
      <c r="E268" s="17"/>
      <c r="F268" s="85">
        <f t="shared" si="374"/>
        <v>2</v>
      </c>
      <c r="G268" s="15">
        <v>2</v>
      </c>
      <c r="H268" s="16"/>
      <c r="I268" s="17"/>
      <c r="J268" s="17"/>
      <c r="K268" s="85">
        <f t="shared" si="375"/>
        <v>2</v>
      </c>
      <c r="L268" s="15">
        <v>3</v>
      </c>
      <c r="M268" s="16"/>
      <c r="N268" s="17"/>
      <c r="O268" s="17"/>
      <c r="P268" s="85">
        <f t="shared" si="376"/>
        <v>3</v>
      </c>
      <c r="Q268" s="15">
        <v>2</v>
      </c>
      <c r="R268" s="16"/>
      <c r="S268" s="17">
        <v>3</v>
      </c>
      <c r="T268" s="17"/>
      <c r="U268" s="85">
        <f t="shared" si="377"/>
        <v>5</v>
      </c>
      <c r="V268" s="15">
        <v>2</v>
      </c>
      <c r="W268" s="16"/>
      <c r="X268" s="17"/>
      <c r="Y268" s="17"/>
      <c r="Z268" s="85">
        <f t="shared" si="378"/>
        <v>2</v>
      </c>
      <c r="AA268" s="105">
        <f t="shared" si="379"/>
        <v>14</v>
      </c>
      <c r="AB268" s="114">
        <v>45580</v>
      </c>
      <c r="AC268" s="23" t="s">
        <v>338</v>
      </c>
      <c r="AD268" s="15"/>
      <c r="AE268" s="16"/>
      <c r="AF268" s="17"/>
      <c r="AG268" s="17"/>
      <c r="AH268" s="85">
        <f t="shared" si="386"/>
        <v>0</v>
      </c>
      <c r="AI268" s="15"/>
      <c r="AJ268" s="16"/>
      <c r="AK268" s="17"/>
      <c r="AL268" s="17"/>
      <c r="AM268" s="85">
        <f t="shared" si="387"/>
        <v>0</v>
      </c>
      <c r="AN268" s="15">
        <v>10</v>
      </c>
      <c r="AO268" s="16"/>
      <c r="AP268" s="17">
        <v>5</v>
      </c>
      <c r="AQ268" s="17"/>
      <c r="AR268" s="85">
        <f t="shared" si="388"/>
        <v>15</v>
      </c>
      <c r="AS268" s="15">
        <v>3</v>
      </c>
      <c r="AT268" s="16"/>
      <c r="AU268" s="17">
        <v>3</v>
      </c>
      <c r="AV268" s="17">
        <v>3</v>
      </c>
      <c r="AW268" s="85">
        <f t="shared" si="389"/>
        <v>9</v>
      </c>
      <c r="AX268" s="15">
        <v>5</v>
      </c>
      <c r="AY268" s="16">
        <v>5</v>
      </c>
      <c r="AZ268" s="17">
        <v>5</v>
      </c>
      <c r="BA268" s="17"/>
      <c r="BB268" s="85">
        <f t="shared" si="390"/>
        <v>15</v>
      </c>
      <c r="BC268" s="105">
        <f t="shared" si="391"/>
        <v>39</v>
      </c>
      <c r="BD268" s="114">
        <v>45574</v>
      </c>
    </row>
    <row r="269" spans="1:56" x14ac:dyDescent="0.15">
      <c r="A269" s="54" t="s">
        <v>339</v>
      </c>
      <c r="B269" s="15"/>
      <c r="C269" s="16"/>
      <c r="D269" s="17"/>
      <c r="E269" s="17"/>
      <c r="F269" s="85">
        <f t="shared" si="374"/>
        <v>0</v>
      </c>
      <c r="G269" s="15"/>
      <c r="H269" s="16"/>
      <c r="I269" s="17"/>
      <c r="J269" s="17"/>
      <c r="K269" s="85">
        <f t="shared" si="375"/>
        <v>0</v>
      </c>
      <c r="L269" s="15">
        <v>1</v>
      </c>
      <c r="M269" s="16"/>
      <c r="N269" s="17"/>
      <c r="O269" s="17"/>
      <c r="P269" s="85">
        <f t="shared" si="376"/>
        <v>1</v>
      </c>
      <c r="Q269" s="15">
        <v>3</v>
      </c>
      <c r="R269" s="16"/>
      <c r="S269" s="17"/>
      <c r="T269" s="17"/>
      <c r="U269" s="85">
        <f t="shared" si="377"/>
        <v>3</v>
      </c>
      <c r="V269" s="15"/>
      <c r="W269" s="16"/>
      <c r="X269" s="17"/>
      <c r="Y269" s="17"/>
      <c r="Z269" s="85">
        <f t="shared" si="378"/>
        <v>0</v>
      </c>
      <c r="AA269" s="105">
        <f t="shared" si="379"/>
        <v>4</v>
      </c>
      <c r="AB269" s="114">
        <v>45586</v>
      </c>
      <c r="AC269" s="23" t="s">
        <v>35</v>
      </c>
      <c r="AD269" s="15"/>
      <c r="AE269" s="16"/>
      <c r="AF269" s="17"/>
      <c r="AG269" s="17"/>
      <c r="AH269" s="85">
        <f t="shared" si="386"/>
        <v>0</v>
      </c>
      <c r="AI269" s="15"/>
      <c r="AJ269" s="16"/>
      <c r="AK269" s="17"/>
      <c r="AL269" s="17"/>
      <c r="AM269" s="85">
        <f t="shared" si="387"/>
        <v>0</v>
      </c>
      <c r="AN269" s="15"/>
      <c r="AO269" s="16">
        <v>5</v>
      </c>
      <c r="AP269" s="17"/>
      <c r="AQ269" s="17"/>
      <c r="AR269" s="85">
        <f t="shared" si="388"/>
        <v>5</v>
      </c>
      <c r="AS269" s="15"/>
      <c r="AT269" s="16">
        <v>3</v>
      </c>
      <c r="AU269" s="17"/>
      <c r="AV269" s="17"/>
      <c r="AW269" s="85">
        <f t="shared" si="389"/>
        <v>3</v>
      </c>
      <c r="AX269" s="15"/>
      <c r="AY269" s="16">
        <v>10</v>
      </c>
      <c r="AZ269" s="17">
        <v>3</v>
      </c>
      <c r="BA269" s="17"/>
      <c r="BB269" s="85">
        <f t="shared" si="390"/>
        <v>13</v>
      </c>
      <c r="BC269" s="105">
        <f t="shared" si="391"/>
        <v>21</v>
      </c>
      <c r="BD269" s="114">
        <v>45576</v>
      </c>
    </row>
    <row r="270" spans="1:56" x14ac:dyDescent="0.15">
      <c r="A270" s="23" t="s">
        <v>332</v>
      </c>
      <c r="B270" s="15"/>
      <c r="C270" s="16">
        <v>1</v>
      </c>
      <c r="D270" s="17"/>
      <c r="E270" s="17"/>
      <c r="F270" s="85">
        <f t="shared" si="374"/>
        <v>1</v>
      </c>
      <c r="G270" s="15"/>
      <c r="H270" s="16">
        <v>1</v>
      </c>
      <c r="I270" s="17"/>
      <c r="J270" s="17"/>
      <c r="K270" s="85">
        <f t="shared" si="375"/>
        <v>1</v>
      </c>
      <c r="L270" s="15"/>
      <c r="M270" s="16"/>
      <c r="N270" s="17"/>
      <c r="O270" s="17"/>
      <c r="P270" s="85">
        <f t="shared" si="376"/>
        <v>0</v>
      </c>
      <c r="Q270" s="15"/>
      <c r="R270" s="16"/>
      <c r="S270" s="17"/>
      <c r="T270" s="17"/>
      <c r="U270" s="85">
        <f t="shared" si="377"/>
        <v>0</v>
      </c>
      <c r="V270" s="15"/>
      <c r="W270" s="16">
        <v>1</v>
      </c>
      <c r="X270" s="17"/>
      <c r="Y270" s="17"/>
      <c r="Z270" s="85">
        <f t="shared" si="378"/>
        <v>1</v>
      </c>
      <c r="AA270" s="105">
        <f t="shared" si="379"/>
        <v>3</v>
      </c>
      <c r="AB270" s="114">
        <v>45583</v>
      </c>
      <c r="AC270" s="23" t="s">
        <v>35</v>
      </c>
      <c r="AD270" s="15"/>
      <c r="AE270" s="16"/>
      <c r="AF270" s="17"/>
      <c r="AG270" s="17"/>
      <c r="AH270" s="85">
        <f t="shared" si="386"/>
        <v>0</v>
      </c>
      <c r="AI270" s="15"/>
      <c r="AJ270" s="16"/>
      <c r="AK270" s="17"/>
      <c r="AL270" s="17"/>
      <c r="AM270" s="85">
        <f t="shared" si="387"/>
        <v>0</v>
      </c>
      <c r="AN270" s="15"/>
      <c r="AO270" s="16"/>
      <c r="AP270" s="17"/>
      <c r="AQ270" s="17"/>
      <c r="AR270" s="85">
        <f t="shared" si="388"/>
        <v>0</v>
      </c>
      <c r="AS270" s="15">
        <v>5</v>
      </c>
      <c r="AT270" s="16"/>
      <c r="AU270" s="17">
        <v>5</v>
      </c>
      <c r="AV270" s="17"/>
      <c r="AW270" s="85">
        <f t="shared" si="389"/>
        <v>10</v>
      </c>
      <c r="AX270" s="15"/>
      <c r="AY270" s="16"/>
      <c r="AZ270" s="17"/>
      <c r="BA270" s="17"/>
      <c r="BB270" s="85">
        <f t="shared" si="390"/>
        <v>0</v>
      </c>
      <c r="BC270" s="105">
        <f t="shared" si="391"/>
        <v>10</v>
      </c>
      <c r="BD270" s="114">
        <v>45582</v>
      </c>
    </row>
    <row r="271" spans="1:56" x14ac:dyDescent="0.15">
      <c r="A271" s="23" t="s">
        <v>330</v>
      </c>
      <c r="B271" s="15"/>
      <c r="C271" s="16"/>
      <c r="D271" s="17"/>
      <c r="E271" s="17"/>
      <c r="F271" s="85">
        <f t="shared" si="374"/>
        <v>0</v>
      </c>
      <c r="G271" s="15"/>
      <c r="H271" s="16"/>
      <c r="I271" s="17"/>
      <c r="J271" s="17"/>
      <c r="K271" s="85">
        <f t="shared" si="375"/>
        <v>0</v>
      </c>
      <c r="L271" s="15"/>
      <c r="M271" s="16">
        <v>1</v>
      </c>
      <c r="N271" s="17"/>
      <c r="O271" s="17"/>
      <c r="P271" s="85">
        <f t="shared" si="376"/>
        <v>1</v>
      </c>
      <c r="Q271" s="15"/>
      <c r="R271" s="16">
        <v>1</v>
      </c>
      <c r="S271" s="17"/>
      <c r="T271" s="17"/>
      <c r="U271" s="85">
        <f t="shared" si="377"/>
        <v>1</v>
      </c>
      <c r="V271" s="15"/>
      <c r="W271" s="16">
        <v>1</v>
      </c>
      <c r="X271" s="17"/>
      <c r="Y271" s="17"/>
      <c r="Z271" s="85">
        <f t="shared" si="378"/>
        <v>1</v>
      </c>
      <c r="AA271" s="105">
        <f t="shared" si="379"/>
        <v>3</v>
      </c>
      <c r="AB271" s="114">
        <v>45583</v>
      </c>
      <c r="AC271" s="23" t="s">
        <v>35</v>
      </c>
      <c r="AD271" s="15"/>
      <c r="AE271" s="16">
        <v>3</v>
      </c>
      <c r="AF271" s="17"/>
      <c r="AG271" s="17"/>
      <c r="AH271" s="85">
        <f t="shared" si="386"/>
        <v>3</v>
      </c>
      <c r="AI271" s="15">
        <v>3</v>
      </c>
      <c r="AJ271" s="16">
        <v>3</v>
      </c>
      <c r="AK271" s="17"/>
      <c r="AL271" s="17"/>
      <c r="AM271" s="85">
        <f t="shared" si="387"/>
        <v>6</v>
      </c>
      <c r="AN271" s="15">
        <v>5</v>
      </c>
      <c r="AO271" s="16"/>
      <c r="AP271" s="17"/>
      <c r="AQ271" s="17"/>
      <c r="AR271" s="85">
        <f t="shared" si="388"/>
        <v>5</v>
      </c>
      <c r="AS271" s="15">
        <v>5</v>
      </c>
      <c r="AT271" s="16">
        <v>5</v>
      </c>
      <c r="AU271" s="17"/>
      <c r="AV271" s="17"/>
      <c r="AW271" s="85">
        <f t="shared" si="389"/>
        <v>10</v>
      </c>
      <c r="AX271" s="15">
        <v>3</v>
      </c>
      <c r="AY271" s="16"/>
      <c r="AZ271" s="17">
        <v>3</v>
      </c>
      <c r="BA271" s="17"/>
      <c r="BB271" s="85">
        <f t="shared" si="390"/>
        <v>6</v>
      </c>
      <c r="BC271" s="105">
        <f t="shared" si="391"/>
        <v>30</v>
      </c>
      <c r="BD271" s="114">
        <v>45588</v>
      </c>
    </row>
    <row r="272" spans="1:56" x14ac:dyDescent="0.15">
      <c r="A272" s="23" t="s">
        <v>340</v>
      </c>
      <c r="B272" s="18"/>
      <c r="C272" s="19"/>
      <c r="D272" s="20"/>
      <c r="E272" s="20"/>
      <c r="F272" s="85">
        <f t="shared" si="374"/>
        <v>0</v>
      </c>
      <c r="G272" s="18"/>
      <c r="H272" s="19"/>
      <c r="I272" s="20"/>
      <c r="J272" s="20"/>
      <c r="K272" s="85">
        <f t="shared" si="375"/>
        <v>0</v>
      </c>
      <c r="L272" s="18"/>
      <c r="M272" s="19"/>
      <c r="N272" s="20"/>
      <c r="O272" s="20"/>
      <c r="P272" s="85">
        <f t="shared" si="376"/>
        <v>0</v>
      </c>
      <c r="Q272" s="18">
        <v>-5</v>
      </c>
      <c r="R272" s="19"/>
      <c r="S272" s="20">
        <v>-5</v>
      </c>
      <c r="T272" s="20"/>
      <c r="U272" s="85">
        <f t="shared" si="377"/>
        <v>-10</v>
      </c>
      <c r="V272" s="18"/>
      <c r="W272" s="19"/>
      <c r="X272" s="20"/>
      <c r="Y272" s="20"/>
      <c r="Z272" s="85">
        <f t="shared" si="378"/>
        <v>0</v>
      </c>
      <c r="AA272" s="105">
        <f t="shared" si="379"/>
        <v>-10</v>
      </c>
      <c r="AB272" s="114">
        <v>45582</v>
      </c>
      <c r="AC272" s="23"/>
      <c r="AD272" s="18"/>
      <c r="AE272" s="19"/>
      <c r="AF272" s="20"/>
      <c r="AG272" s="20"/>
      <c r="AH272" s="85">
        <f t="shared" si="386"/>
        <v>0</v>
      </c>
      <c r="AI272" s="18"/>
      <c r="AJ272" s="19"/>
      <c r="AK272" s="20"/>
      <c r="AL272" s="20"/>
      <c r="AM272" s="85">
        <f t="shared" si="387"/>
        <v>0</v>
      </c>
      <c r="AN272" s="18"/>
      <c r="AO272" s="19"/>
      <c r="AP272" s="20"/>
      <c r="AQ272" s="20"/>
      <c r="AR272" s="85">
        <f t="shared" si="388"/>
        <v>0</v>
      </c>
      <c r="AS272" s="18"/>
      <c r="AT272" s="19"/>
      <c r="AU272" s="20"/>
      <c r="AV272" s="20"/>
      <c r="AW272" s="85">
        <f t="shared" si="389"/>
        <v>0</v>
      </c>
      <c r="AX272" s="18"/>
      <c r="AY272" s="19"/>
      <c r="AZ272" s="20"/>
      <c r="BA272" s="20"/>
      <c r="BB272" s="85">
        <f t="shared" si="390"/>
        <v>0</v>
      </c>
      <c r="BC272" s="105">
        <f t="shared" si="391"/>
        <v>0</v>
      </c>
    </row>
    <row r="273" spans="1:56" x14ac:dyDescent="0.15">
      <c r="A273" s="23" t="s">
        <v>124</v>
      </c>
      <c r="B273" s="16"/>
      <c r="C273" s="16"/>
      <c r="D273" s="17"/>
      <c r="E273" s="17"/>
      <c r="F273" s="85">
        <f t="shared" si="374"/>
        <v>0</v>
      </c>
      <c r="G273" s="16"/>
      <c r="H273" s="16">
        <v>1</v>
      </c>
      <c r="I273" s="17"/>
      <c r="J273" s="17"/>
      <c r="K273" s="85">
        <f t="shared" si="375"/>
        <v>1</v>
      </c>
      <c r="L273" s="16"/>
      <c r="M273" s="16">
        <v>1</v>
      </c>
      <c r="N273" s="17"/>
      <c r="O273" s="17"/>
      <c r="P273" s="85">
        <f t="shared" si="376"/>
        <v>1</v>
      </c>
      <c r="Q273" s="16"/>
      <c r="R273" s="16">
        <v>2</v>
      </c>
      <c r="S273" s="17">
        <v>1</v>
      </c>
      <c r="T273" s="17"/>
      <c r="U273" s="85">
        <f t="shared" si="377"/>
        <v>3</v>
      </c>
      <c r="V273" s="16"/>
      <c r="W273" s="16">
        <v>2</v>
      </c>
      <c r="X273" s="17"/>
      <c r="Y273" s="17"/>
      <c r="Z273" s="85">
        <f t="shared" si="378"/>
        <v>2</v>
      </c>
      <c r="AA273" s="105">
        <f t="shared" si="379"/>
        <v>7</v>
      </c>
      <c r="AB273" s="114">
        <v>45581</v>
      </c>
      <c r="AC273" s="23" t="s">
        <v>266</v>
      </c>
      <c r="AD273" s="18"/>
      <c r="AE273" s="19"/>
      <c r="AF273" s="20"/>
      <c r="AG273" s="20"/>
      <c r="AH273" s="85">
        <f t="shared" si="386"/>
        <v>0</v>
      </c>
      <c r="AI273" s="18"/>
      <c r="AJ273" s="19"/>
      <c r="AK273" s="20"/>
      <c r="AL273" s="20"/>
      <c r="AM273" s="85">
        <f t="shared" si="387"/>
        <v>0</v>
      </c>
      <c r="AN273" s="18"/>
      <c r="AO273" s="19"/>
      <c r="AP273" s="20"/>
      <c r="AQ273" s="20"/>
      <c r="AR273" s="85">
        <f t="shared" si="388"/>
        <v>0</v>
      </c>
      <c r="AS273" s="18"/>
      <c r="AT273" s="19"/>
      <c r="AU273" s="20"/>
      <c r="AV273" s="20"/>
      <c r="AW273" s="85">
        <f t="shared" si="389"/>
        <v>0</v>
      </c>
      <c r="AX273" s="18"/>
      <c r="AY273" s="19"/>
      <c r="AZ273" s="20"/>
      <c r="BA273" s="20"/>
      <c r="BB273" s="85">
        <f t="shared" si="390"/>
        <v>0</v>
      </c>
      <c r="BC273" s="105">
        <f t="shared" si="391"/>
        <v>0</v>
      </c>
      <c r="BD273" s="76" t="s">
        <v>267</v>
      </c>
    </row>
    <row r="274" spans="1:56" x14ac:dyDescent="0.15">
      <c r="A274" s="23" t="s">
        <v>332</v>
      </c>
      <c r="B274" s="15"/>
      <c r="C274" s="25"/>
      <c r="D274" s="17"/>
      <c r="E274" s="17">
        <v>1</v>
      </c>
      <c r="F274" s="85">
        <f t="shared" si="374"/>
        <v>1</v>
      </c>
      <c r="G274" s="15"/>
      <c r="H274" s="25"/>
      <c r="I274" s="17"/>
      <c r="J274" s="17">
        <v>1</v>
      </c>
      <c r="K274" s="85">
        <f t="shared" si="375"/>
        <v>1</v>
      </c>
      <c r="L274" s="15"/>
      <c r="M274" s="25"/>
      <c r="N274" s="17"/>
      <c r="O274" s="17"/>
      <c r="P274" s="85">
        <f t="shared" si="376"/>
        <v>0</v>
      </c>
      <c r="Q274" s="15"/>
      <c r="R274" s="25"/>
      <c r="S274" s="17"/>
      <c r="T274" s="17"/>
      <c r="U274" s="85">
        <f t="shared" si="377"/>
        <v>0</v>
      </c>
      <c r="V274" s="15"/>
      <c r="W274" s="25"/>
      <c r="X274" s="17"/>
      <c r="Y274" s="17">
        <v>1</v>
      </c>
      <c r="Z274" s="85">
        <f t="shared" si="378"/>
        <v>1</v>
      </c>
      <c r="AA274" s="105">
        <f t="shared" si="379"/>
        <v>3</v>
      </c>
      <c r="AB274" s="114">
        <v>45586</v>
      </c>
      <c r="AC274" s="23" t="s">
        <v>265</v>
      </c>
      <c r="AD274" s="16"/>
      <c r="AE274" s="16"/>
      <c r="AF274" s="17"/>
      <c r="AG274" s="17"/>
      <c r="AH274" s="85">
        <f t="shared" si="386"/>
        <v>0</v>
      </c>
      <c r="AI274" s="16"/>
      <c r="AJ274" s="16"/>
      <c r="AK274" s="17"/>
      <c r="AL274" s="17"/>
      <c r="AM274" s="85">
        <f t="shared" si="387"/>
        <v>0</v>
      </c>
      <c r="AN274" s="16"/>
      <c r="AO274" s="16"/>
      <c r="AP274" s="17"/>
      <c r="AQ274" s="17"/>
      <c r="AR274" s="85">
        <f t="shared" si="388"/>
        <v>0</v>
      </c>
      <c r="AS274" s="16"/>
      <c r="AT274" s="16"/>
      <c r="AU274" s="17"/>
      <c r="AV274" s="17"/>
      <c r="AW274" s="85">
        <f t="shared" si="389"/>
        <v>0</v>
      </c>
      <c r="AX274" s="16"/>
      <c r="AY274" s="16"/>
      <c r="AZ274" s="17"/>
      <c r="BA274" s="17"/>
      <c r="BB274" s="85">
        <f t="shared" si="390"/>
        <v>0</v>
      </c>
      <c r="BC274" s="105">
        <f t="shared" si="391"/>
        <v>0</v>
      </c>
      <c r="BD274" s="76" t="s">
        <v>267</v>
      </c>
    </row>
    <row r="275" spans="1:56" x14ac:dyDescent="0.15">
      <c r="A275" s="54" t="s">
        <v>341</v>
      </c>
      <c r="B275" s="15"/>
      <c r="C275" s="16"/>
      <c r="D275" s="16">
        <v>1</v>
      </c>
      <c r="E275" s="63">
        <v>4</v>
      </c>
      <c r="F275" s="85">
        <f t="shared" si="374"/>
        <v>5</v>
      </c>
      <c r="G275" s="15">
        <v>3</v>
      </c>
      <c r="H275" s="16"/>
      <c r="I275" s="16"/>
      <c r="J275" s="63">
        <v>3</v>
      </c>
      <c r="K275" s="85">
        <f t="shared" si="375"/>
        <v>6</v>
      </c>
      <c r="L275" s="15">
        <v>2</v>
      </c>
      <c r="M275" s="16"/>
      <c r="N275" s="16">
        <v>1</v>
      </c>
      <c r="O275" s="63"/>
      <c r="P275" s="85">
        <f t="shared" si="376"/>
        <v>3</v>
      </c>
      <c r="Q275" s="15">
        <v>2</v>
      </c>
      <c r="R275" s="16">
        <v>1</v>
      </c>
      <c r="S275" s="16">
        <v>1</v>
      </c>
      <c r="T275" s="63"/>
      <c r="U275" s="85">
        <f t="shared" si="377"/>
        <v>4</v>
      </c>
      <c r="V275" s="15"/>
      <c r="W275" s="16"/>
      <c r="X275" s="16">
        <v>4</v>
      </c>
      <c r="Y275" s="63">
        <v>1</v>
      </c>
      <c r="Z275" s="85">
        <f t="shared" si="378"/>
        <v>5</v>
      </c>
      <c r="AA275" s="105">
        <f t="shared" si="379"/>
        <v>23</v>
      </c>
      <c r="AB275" s="114">
        <v>45590</v>
      </c>
      <c r="AC275" s="23" t="s">
        <v>304</v>
      </c>
      <c r="AD275" s="18"/>
      <c r="AE275" s="19"/>
      <c r="AF275" s="20"/>
      <c r="AG275" s="20"/>
      <c r="AH275" s="85">
        <f t="shared" ref="AH275:AH276" si="402">SUM(AD275:AG275)</f>
        <v>0</v>
      </c>
      <c r="AI275" s="18"/>
      <c r="AJ275" s="19"/>
      <c r="AK275" s="20"/>
      <c r="AL275" s="20"/>
      <c r="AM275" s="85">
        <f t="shared" ref="AM275:AM276" si="403">SUM(AI275:AL275)</f>
        <v>0</v>
      </c>
      <c r="AN275" s="18"/>
      <c r="AO275" s="19"/>
      <c r="AP275" s="20"/>
      <c r="AQ275" s="20"/>
      <c r="AR275" s="85">
        <f t="shared" ref="AR275:AR276" si="404">SUM(AN275:AQ275)</f>
        <v>0</v>
      </c>
      <c r="AS275" s="18"/>
      <c r="AT275" s="19"/>
      <c r="AU275" s="20"/>
      <c r="AV275" s="20"/>
      <c r="AW275" s="85">
        <f t="shared" ref="AW275:AW276" si="405">SUM(AS275:AV275)</f>
        <v>0</v>
      </c>
      <c r="AX275" s="18"/>
      <c r="AY275" s="19"/>
      <c r="AZ275" s="20"/>
      <c r="BA275" s="20"/>
      <c r="BB275" s="85">
        <f t="shared" ref="BB275:BB276" si="406">SUM(AX275:BA275)</f>
        <v>0</v>
      </c>
      <c r="BC275" s="105">
        <f t="shared" ref="BC275:BC276" si="407">BB275+AW275+AR275+AM275+AH275</f>
        <v>0</v>
      </c>
      <c r="BD275" s="76" t="s">
        <v>306</v>
      </c>
    </row>
    <row r="276" spans="1:56" ht="14.25" thickBot="1" x14ac:dyDescent="0.2">
      <c r="A276" s="23" t="s">
        <v>124</v>
      </c>
      <c r="B276" s="15">
        <v>1</v>
      </c>
      <c r="C276" s="16"/>
      <c r="D276" s="16"/>
      <c r="E276" s="63"/>
      <c r="F276" s="85">
        <f t="shared" ref="F276" si="408">SUM(B276:E276)</f>
        <v>1</v>
      </c>
      <c r="G276" s="15">
        <f>1+1</f>
        <v>2</v>
      </c>
      <c r="H276" s="16"/>
      <c r="I276" s="16"/>
      <c r="J276" s="63"/>
      <c r="K276" s="85">
        <f t="shared" ref="K276" si="409">SUM(G276:J276)</f>
        <v>2</v>
      </c>
      <c r="L276" s="15">
        <v>1</v>
      </c>
      <c r="M276" s="16"/>
      <c r="N276" s="16"/>
      <c r="O276" s="63"/>
      <c r="P276" s="85">
        <f t="shared" ref="P276" si="410">SUM(L276:O276)</f>
        <v>1</v>
      </c>
      <c r="Q276" s="15">
        <v>1</v>
      </c>
      <c r="R276" s="16"/>
      <c r="S276" s="16"/>
      <c r="T276" s="63"/>
      <c r="U276" s="85">
        <f t="shared" ref="U276" si="411">SUM(Q276:T276)</f>
        <v>1</v>
      </c>
      <c r="V276" s="15">
        <v>1</v>
      </c>
      <c r="W276" s="16"/>
      <c r="X276" s="16"/>
      <c r="Y276" s="63"/>
      <c r="Z276" s="85">
        <f t="shared" ref="Z276" si="412">SUM(V276:Y276)</f>
        <v>1</v>
      </c>
      <c r="AA276" s="105">
        <f t="shared" ref="AA276" si="413">Z276+U276+P276+K276+F276</f>
        <v>6</v>
      </c>
      <c r="AB276" s="115">
        <v>45590</v>
      </c>
      <c r="AC276" s="23" t="s">
        <v>305</v>
      </c>
      <c r="AD276" s="16"/>
      <c r="AE276" s="16"/>
      <c r="AF276" s="17"/>
      <c r="AG276" s="17"/>
      <c r="AH276" s="85">
        <f t="shared" si="402"/>
        <v>0</v>
      </c>
      <c r="AI276" s="16"/>
      <c r="AJ276" s="16"/>
      <c r="AK276" s="17"/>
      <c r="AL276" s="17"/>
      <c r="AM276" s="85">
        <f t="shared" si="403"/>
        <v>0</v>
      </c>
      <c r="AN276" s="16"/>
      <c r="AO276" s="16"/>
      <c r="AP276" s="17"/>
      <c r="AQ276" s="17"/>
      <c r="AR276" s="85">
        <f t="shared" si="404"/>
        <v>0</v>
      </c>
      <c r="AS276" s="16"/>
      <c r="AT276" s="16"/>
      <c r="AU276" s="17"/>
      <c r="AV276" s="17"/>
      <c r="AW276" s="85">
        <f t="shared" si="405"/>
        <v>0</v>
      </c>
      <c r="AX276" s="16"/>
      <c r="AY276" s="16"/>
      <c r="AZ276" s="17"/>
      <c r="BA276" s="17"/>
      <c r="BB276" s="85">
        <f t="shared" si="406"/>
        <v>0</v>
      </c>
      <c r="BC276" s="105">
        <f t="shared" si="407"/>
        <v>0</v>
      </c>
      <c r="BD276" s="76" t="s">
        <v>306</v>
      </c>
    </row>
    <row r="277" spans="1:56" ht="14.25" thickBot="1" x14ac:dyDescent="0.2">
      <c r="A277" s="27" t="s">
        <v>12</v>
      </c>
      <c r="B277" s="57">
        <f>SUM(B251:B276)</f>
        <v>4</v>
      </c>
      <c r="C277" s="50">
        <f t="shared" ref="C277:D277" si="414">SUM(C251:C276)</f>
        <v>5</v>
      </c>
      <c r="D277" s="50">
        <f t="shared" si="414"/>
        <v>4</v>
      </c>
      <c r="E277" s="50">
        <f>SUM(E251:E276)</f>
        <v>6</v>
      </c>
      <c r="F277" s="88">
        <f t="shared" si="374"/>
        <v>19</v>
      </c>
      <c r="G277" s="57">
        <f>SUM(G251:G276)</f>
        <v>9</v>
      </c>
      <c r="H277" s="50">
        <f t="shared" ref="H277:I277" si="415">SUM(H251:H276)</f>
        <v>7</v>
      </c>
      <c r="I277" s="50">
        <f t="shared" si="415"/>
        <v>5</v>
      </c>
      <c r="J277" s="50">
        <f>SUM(J251:J276)</f>
        <v>5</v>
      </c>
      <c r="K277" s="88">
        <f t="shared" si="375"/>
        <v>26</v>
      </c>
      <c r="L277" s="57">
        <f>SUM(L251:L276)</f>
        <v>16</v>
      </c>
      <c r="M277" s="50">
        <f t="shared" ref="M277:N277" si="416">SUM(M251:M276)</f>
        <v>8</v>
      </c>
      <c r="N277" s="50">
        <f t="shared" si="416"/>
        <v>7</v>
      </c>
      <c r="O277" s="50">
        <f>SUM(O251:O276)</f>
        <v>2</v>
      </c>
      <c r="P277" s="88">
        <f t="shared" si="376"/>
        <v>33</v>
      </c>
      <c r="Q277" s="57">
        <f>SUM(Q251:Q276)</f>
        <v>9</v>
      </c>
      <c r="R277" s="50">
        <f t="shared" ref="R277:S277" si="417">SUM(R251:R276)</f>
        <v>10</v>
      </c>
      <c r="S277" s="50">
        <f t="shared" si="417"/>
        <v>4</v>
      </c>
      <c r="T277" s="50">
        <f>SUM(T251:T276)</f>
        <v>3</v>
      </c>
      <c r="U277" s="88">
        <f t="shared" si="377"/>
        <v>26</v>
      </c>
      <c r="V277" s="57">
        <f>SUM(V251:V276)</f>
        <v>12</v>
      </c>
      <c r="W277" s="50">
        <f t="shared" ref="W277:X277" si="418">SUM(W251:W276)</f>
        <v>16</v>
      </c>
      <c r="X277" s="50">
        <f t="shared" si="418"/>
        <v>12</v>
      </c>
      <c r="Y277" s="50">
        <f>SUM(Y251:Y276)</f>
        <v>4</v>
      </c>
      <c r="Z277" s="88">
        <f t="shared" si="378"/>
        <v>44</v>
      </c>
      <c r="AA277" s="109">
        <f t="shared" si="379"/>
        <v>148</v>
      </c>
      <c r="AC277" s="27" t="s">
        <v>12</v>
      </c>
      <c r="AD277" s="57">
        <f>SUM(AD251:AD276)</f>
        <v>13</v>
      </c>
      <c r="AE277" s="50">
        <f t="shared" ref="AE277:AF277" si="419">SUM(AE251:AE276)</f>
        <v>13</v>
      </c>
      <c r="AF277" s="50">
        <f t="shared" si="419"/>
        <v>11</v>
      </c>
      <c r="AG277" s="50">
        <f>SUM(AG251:AG276)</f>
        <v>20</v>
      </c>
      <c r="AH277" s="88">
        <f t="shared" si="386"/>
        <v>57</v>
      </c>
      <c r="AI277" s="57">
        <f>SUM(AI251:AI276)</f>
        <v>16</v>
      </c>
      <c r="AJ277" s="50">
        <f t="shared" ref="AJ277:AK277" si="420">SUM(AJ251:AJ276)</f>
        <v>22</v>
      </c>
      <c r="AK277" s="50">
        <f t="shared" si="420"/>
        <v>13</v>
      </c>
      <c r="AL277" s="50">
        <f>SUM(AL251:AL276)</f>
        <v>19</v>
      </c>
      <c r="AM277" s="88">
        <f t="shared" si="387"/>
        <v>70</v>
      </c>
      <c r="AN277" s="57">
        <f>SUM(AN251:AN276)</f>
        <v>46</v>
      </c>
      <c r="AO277" s="50">
        <f t="shared" ref="AO277:AP277" si="421">SUM(AO251:AO276)</f>
        <v>40</v>
      </c>
      <c r="AP277" s="50">
        <f t="shared" si="421"/>
        <v>28</v>
      </c>
      <c r="AQ277" s="50">
        <f>SUM(AQ251:AQ276)</f>
        <v>12</v>
      </c>
      <c r="AR277" s="88">
        <f t="shared" si="388"/>
        <v>126</v>
      </c>
      <c r="AS277" s="57">
        <f>SUM(AS251:AS276)</f>
        <v>50</v>
      </c>
      <c r="AT277" s="50">
        <f t="shared" ref="AT277:AU277" si="422">SUM(AT251:AT276)</f>
        <v>49</v>
      </c>
      <c r="AU277" s="50">
        <f t="shared" si="422"/>
        <v>41</v>
      </c>
      <c r="AV277" s="50">
        <f>SUM(AV251:AV276)</f>
        <v>17</v>
      </c>
      <c r="AW277" s="88">
        <f t="shared" si="389"/>
        <v>157</v>
      </c>
      <c r="AX277" s="57">
        <f>SUM(AX251:AX276)</f>
        <v>58</v>
      </c>
      <c r="AY277" s="50">
        <f t="shared" ref="AY277:AZ277" si="423">SUM(AY251:AY276)</f>
        <v>66</v>
      </c>
      <c r="AZ277" s="50">
        <f t="shared" si="423"/>
        <v>54</v>
      </c>
      <c r="BA277" s="50">
        <f>SUM(BA251:BA276)</f>
        <v>28</v>
      </c>
      <c r="BB277" s="88">
        <f t="shared" si="390"/>
        <v>206</v>
      </c>
      <c r="BC277" s="109">
        <f t="shared" si="391"/>
        <v>616</v>
      </c>
    </row>
    <row r="278" spans="1:56" ht="14.25" thickBot="1" x14ac:dyDescent="0.2">
      <c r="A278" s="21" t="s">
        <v>13</v>
      </c>
      <c r="B278" s="101">
        <f>B250-B277</f>
        <v>10</v>
      </c>
      <c r="C278" s="8">
        <f t="shared" ref="C278:D278" si="424">C250-C277</f>
        <v>5</v>
      </c>
      <c r="D278" s="8">
        <f t="shared" si="424"/>
        <v>10</v>
      </c>
      <c r="E278" s="8">
        <f>E250-E277</f>
        <v>5</v>
      </c>
      <c r="F278" s="87">
        <f t="shared" si="374"/>
        <v>30</v>
      </c>
      <c r="G278" s="101">
        <f>G250-G277</f>
        <v>3</v>
      </c>
      <c r="H278" s="8">
        <f t="shared" ref="H278:I278" si="425">H250-H277</f>
        <v>4</v>
      </c>
      <c r="I278" s="8">
        <f t="shared" si="425"/>
        <v>8</v>
      </c>
      <c r="J278" s="8">
        <f>J250-J277</f>
        <v>7</v>
      </c>
      <c r="K278" s="87">
        <f t="shared" si="375"/>
        <v>22</v>
      </c>
      <c r="L278" s="101">
        <f>L250-L277</f>
        <v>1</v>
      </c>
      <c r="M278" s="8">
        <f t="shared" ref="M278:N278" si="426">M250-M277</f>
        <v>6</v>
      </c>
      <c r="N278" s="8">
        <f t="shared" si="426"/>
        <v>6</v>
      </c>
      <c r="O278" s="8">
        <f>O250-O277</f>
        <v>6</v>
      </c>
      <c r="P278" s="87">
        <f t="shared" si="376"/>
        <v>19</v>
      </c>
      <c r="Q278" s="101">
        <f>Q250-Q277</f>
        <v>1</v>
      </c>
      <c r="R278" s="8">
        <f t="shared" ref="R278:S278" si="427">R250-R277</f>
        <v>3</v>
      </c>
      <c r="S278" s="8">
        <f t="shared" si="427"/>
        <v>6</v>
      </c>
      <c r="T278" s="8">
        <f>T250-T277</f>
        <v>6</v>
      </c>
      <c r="U278" s="87">
        <f t="shared" si="377"/>
        <v>16</v>
      </c>
      <c r="V278" s="101">
        <f>V250-V277</f>
        <v>3</v>
      </c>
      <c r="W278" s="8">
        <f t="shared" ref="W278:X278" si="428">W250-W277</f>
        <v>6</v>
      </c>
      <c r="X278" s="8">
        <f t="shared" si="428"/>
        <v>4</v>
      </c>
      <c r="Y278" s="8">
        <f>Y250-Y277</f>
        <v>7</v>
      </c>
      <c r="Z278" s="87">
        <f t="shared" si="378"/>
        <v>20</v>
      </c>
      <c r="AA278" s="107">
        <f t="shared" si="379"/>
        <v>107</v>
      </c>
      <c r="AC278" s="29" t="s">
        <v>13</v>
      </c>
      <c r="AD278" s="32">
        <f>AD250-AD277</f>
        <v>128</v>
      </c>
      <c r="AE278" s="44">
        <f t="shared" ref="AE278:AF278" si="429">AE250-AE277</f>
        <v>281</v>
      </c>
      <c r="AF278" s="44">
        <f t="shared" si="429"/>
        <v>78</v>
      </c>
      <c r="AG278" s="44">
        <f>AG250-AG277</f>
        <v>452</v>
      </c>
      <c r="AH278" s="87">
        <f t="shared" si="386"/>
        <v>939</v>
      </c>
      <c r="AI278" s="32">
        <f>AI250-AI277</f>
        <v>126</v>
      </c>
      <c r="AJ278" s="44">
        <f t="shared" ref="AJ278:AK278" si="430">AJ250-AJ277</f>
        <v>275</v>
      </c>
      <c r="AK278" s="44">
        <f t="shared" si="430"/>
        <v>84</v>
      </c>
      <c r="AL278" s="44">
        <f>AL250-AL277</f>
        <v>466</v>
      </c>
      <c r="AM278" s="87">
        <f t="shared" si="387"/>
        <v>951</v>
      </c>
      <c r="AN278" s="32">
        <f>AN250-AN277</f>
        <v>229</v>
      </c>
      <c r="AO278" s="44">
        <f t="shared" ref="AO278:AP278" si="431">AO250-AO277</f>
        <v>588</v>
      </c>
      <c r="AP278" s="44">
        <f t="shared" si="431"/>
        <v>227</v>
      </c>
      <c r="AQ278" s="44">
        <f>AQ250-AQ277</f>
        <v>442</v>
      </c>
      <c r="AR278" s="87">
        <f t="shared" si="388"/>
        <v>1486</v>
      </c>
      <c r="AS278" s="32">
        <f>AS250-AS277</f>
        <v>114</v>
      </c>
      <c r="AT278" s="44">
        <f t="shared" ref="AT278:AU278" si="432">AT250-AT277</f>
        <v>394</v>
      </c>
      <c r="AU278" s="44">
        <f t="shared" si="432"/>
        <v>174</v>
      </c>
      <c r="AV278" s="44">
        <f>AV250-AV277</f>
        <v>596</v>
      </c>
      <c r="AW278" s="87">
        <f t="shared" si="389"/>
        <v>1278</v>
      </c>
      <c r="AX278" s="32">
        <f>AX250-AX277</f>
        <v>1142</v>
      </c>
      <c r="AY278" s="44">
        <f t="shared" ref="AY278:AZ278" si="433">AY250-AY277</f>
        <v>1188</v>
      </c>
      <c r="AZ278" s="44">
        <f t="shared" si="433"/>
        <v>611</v>
      </c>
      <c r="BA278" s="44">
        <f>BA250-BA277</f>
        <v>233</v>
      </c>
      <c r="BB278" s="87">
        <f t="shared" si="390"/>
        <v>3174</v>
      </c>
      <c r="BC278" s="107">
        <f t="shared" si="391"/>
        <v>7828</v>
      </c>
    </row>
    <row r="281" spans="1:56" ht="19.5" thickBot="1" x14ac:dyDescent="0.25">
      <c r="A281" s="271" t="s">
        <v>22</v>
      </c>
      <c r="B281" s="271"/>
      <c r="C281" s="271"/>
      <c r="D281" s="271"/>
      <c r="E281" s="271"/>
      <c r="F281" s="271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C281" s="79" t="s">
        <v>69</v>
      </c>
      <c r="AD281" s="79"/>
      <c r="AE281" s="79"/>
      <c r="AF281" s="79"/>
      <c r="AG281" s="79"/>
      <c r="AH281" s="79"/>
      <c r="AI281" s="93"/>
      <c r="AJ281" s="93"/>
      <c r="AK281" s="93"/>
      <c r="AL281" s="93"/>
      <c r="AM281" s="93"/>
      <c r="AN281" s="93"/>
      <c r="AO281" s="93"/>
      <c r="AP281" s="93"/>
      <c r="AQ281" s="93"/>
      <c r="AR281" s="93"/>
      <c r="AS281" s="93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</row>
    <row r="282" spans="1:56" ht="14.25" thickBot="1" x14ac:dyDescent="0.2">
      <c r="A282" s="2" t="s">
        <v>0</v>
      </c>
      <c r="B282" s="256" t="s">
        <v>23</v>
      </c>
      <c r="C282" s="257"/>
      <c r="D282" s="257"/>
      <c r="E282" s="258"/>
      <c r="F282" s="81"/>
      <c r="G282" s="259" t="s">
        <v>24</v>
      </c>
      <c r="H282" s="260"/>
      <c r="I282" s="260"/>
      <c r="J282" s="261"/>
      <c r="K282" s="81"/>
      <c r="L282" s="262" t="s">
        <v>25</v>
      </c>
      <c r="M282" s="263"/>
      <c r="N282" s="263"/>
      <c r="O282" s="264"/>
      <c r="P282" s="81"/>
      <c r="Q282" s="265" t="s">
        <v>26</v>
      </c>
      <c r="R282" s="266"/>
      <c r="S282" s="266"/>
      <c r="T282" s="267"/>
      <c r="U282" s="81"/>
      <c r="V282" s="268" t="s">
        <v>27</v>
      </c>
      <c r="W282" s="269"/>
      <c r="X282" s="269"/>
      <c r="Y282" s="270"/>
      <c r="Z282" s="81"/>
      <c r="AA282" s="272" t="s">
        <v>6</v>
      </c>
      <c r="AC282" s="2" t="s">
        <v>0</v>
      </c>
      <c r="AD282" s="256" t="s">
        <v>23</v>
      </c>
      <c r="AE282" s="257"/>
      <c r="AF282" s="257"/>
      <c r="AG282" s="258"/>
      <c r="AH282" s="81"/>
      <c r="AI282" s="259" t="s">
        <v>24</v>
      </c>
      <c r="AJ282" s="260"/>
      <c r="AK282" s="260"/>
      <c r="AL282" s="261"/>
      <c r="AM282" s="81"/>
      <c r="AN282" s="262" t="s">
        <v>25</v>
      </c>
      <c r="AO282" s="263"/>
      <c r="AP282" s="263"/>
      <c r="AQ282" s="264"/>
      <c r="AR282" s="81"/>
      <c r="AS282" s="265" t="s">
        <v>26</v>
      </c>
      <c r="AT282" s="266"/>
      <c r="AU282" s="266"/>
      <c r="AV282" s="267"/>
      <c r="AW282" s="81"/>
      <c r="AX282" s="268" t="s">
        <v>27</v>
      </c>
      <c r="AY282" s="269"/>
      <c r="AZ282" s="269"/>
      <c r="BA282" s="270"/>
      <c r="BB282" s="81"/>
      <c r="BC282" s="183" t="s">
        <v>6</v>
      </c>
    </row>
    <row r="283" spans="1:56" ht="14.25" thickBot="1" x14ac:dyDescent="0.2">
      <c r="A283" s="2" t="s">
        <v>2</v>
      </c>
      <c r="B283" s="3" t="s">
        <v>3</v>
      </c>
      <c r="C283" s="4" t="s">
        <v>4</v>
      </c>
      <c r="D283" s="5" t="s">
        <v>5</v>
      </c>
      <c r="E283" s="5" t="s">
        <v>20</v>
      </c>
      <c r="F283" s="82" t="s">
        <v>6</v>
      </c>
      <c r="G283" s="89" t="s">
        <v>3</v>
      </c>
      <c r="H283" s="4" t="s">
        <v>4</v>
      </c>
      <c r="I283" s="5" t="s">
        <v>5</v>
      </c>
      <c r="J283" s="5" t="s">
        <v>20</v>
      </c>
      <c r="K283" s="82" t="s">
        <v>6</v>
      </c>
      <c r="L283" s="89" t="s">
        <v>3</v>
      </c>
      <c r="M283" s="4" t="s">
        <v>4</v>
      </c>
      <c r="N283" s="5" t="s">
        <v>5</v>
      </c>
      <c r="O283" s="5" t="s">
        <v>20</v>
      </c>
      <c r="P283" s="82" t="s">
        <v>6</v>
      </c>
      <c r="Q283" s="89" t="s">
        <v>3</v>
      </c>
      <c r="R283" s="4" t="s">
        <v>4</v>
      </c>
      <c r="S283" s="5" t="s">
        <v>5</v>
      </c>
      <c r="T283" s="5" t="s">
        <v>20</v>
      </c>
      <c r="U283" s="82" t="s">
        <v>6</v>
      </c>
      <c r="V283" s="89" t="s">
        <v>3</v>
      </c>
      <c r="W283" s="4" t="s">
        <v>4</v>
      </c>
      <c r="X283" s="5" t="s">
        <v>5</v>
      </c>
      <c r="Y283" s="5" t="s">
        <v>20</v>
      </c>
      <c r="Z283" s="82" t="s">
        <v>6</v>
      </c>
      <c r="AA283" s="273"/>
      <c r="AC283" s="2" t="s">
        <v>2</v>
      </c>
      <c r="AD283" s="3" t="s">
        <v>3</v>
      </c>
      <c r="AE283" s="4" t="s">
        <v>4</v>
      </c>
      <c r="AF283" s="5" t="s">
        <v>5</v>
      </c>
      <c r="AG283" s="5" t="s">
        <v>20</v>
      </c>
      <c r="AH283" s="82" t="s">
        <v>6</v>
      </c>
      <c r="AI283" s="89" t="s">
        <v>3</v>
      </c>
      <c r="AJ283" s="4" t="s">
        <v>4</v>
      </c>
      <c r="AK283" s="5" t="s">
        <v>5</v>
      </c>
      <c r="AL283" s="5" t="s">
        <v>20</v>
      </c>
      <c r="AM283" s="82" t="s">
        <v>6</v>
      </c>
      <c r="AN283" s="89" t="s">
        <v>3</v>
      </c>
      <c r="AO283" s="4" t="s">
        <v>4</v>
      </c>
      <c r="AP283" s="5" t="s">
        <v>5</v>
      </c>
      <c r="AQ283" s="5" t="s">
        <v>20</v>
      </c>
      <c r="AR283" s="82" t="s">
        <v>6</v>
      </c>
      <c r="AS283" s="89" t="s">
        <v>3</v>
      </c>
      <c r="AT283" s="4" t="s">
        <v>4</v>
      </c>
      <c r="AU283" s="5" t="s">
        <v>5</v>
      </c>
      <c r="AV283" s="5" t="s">
        <v>20</v>
      </c>
      <c r="AW283" s="82" t="s">
        <v>6</v>
      </c>
      <c r="AX283" s="89" t="s">
        <v>3</v>
      </c>
      <c r="AY283" s="4" t="s">
        <v>4</v>
      </c>
      <c r="AZ283" s="5" t="s">
        <v>5</v>
      </c>
      <c r="BA283" s="5" t="s">
        <v>20</v>
      </c>
      <c r="BB283" s="82" t="s">
        <v>6</v>
      </c>
      <c r="BC283" s="184"/>
    </row>
    <row r="284" spans="1:56" x14ac:dyDescent="0.15">
      <c r="A284" s="40" t="s">
        <v>13</v>
      </c>
      <c r="B284" s="41">
        <f>B278</f>
        <v>10</v>
      </c>
      <c r="C284" s="42">
        <f>C278</f>
        <v>5</v>
      </c>
      <c r="D284" s="42">
        <f t="shared" ref="D284:AA284" si="434">D278</f>
        <v>10</v>
      </c>
      <c r="E284" s="94">
        <f t="shared" si="434"/>
        <v>5</v>
      </c>
      <c r="F284" s="95">
        <f t="shared" si="434"/>
        <v>30</v>
      </c>
      <c r="G284" s="96">
        <f t="shared" si="434"/>
        <v>3</v>
      </c>
      <c r="H284" s="42">
        <f t="shared" si="434"/>
        <v>4</v>
      </c>
      <c r="I284" s="42">
        <f t="shared" si="434"/>
        <v>8</v>
      </c>
      <c r="J284" s="94">
        <f t="shared" si="434"/>
        <v>7</v>
      </c>
      <c r="K284" s="95">
        <f t="shared" si="434"/>
        <v>22</v>
      </c>
      <c r="L284" s="96">
        <f t="shared" si="434"/>
        <v>1</v>
      </c>
      <c r="M284" s="42">
        <f t="shared" si="434"/>
        <v>6</v>
      </c>
      <c r="N284" s="42">
        <f t="shared" si="434"/>
        <v>6</v>
      </c>
      <c r="O284" s="94">
        <f t="shared" si="434"/>
        <v>6</v>
      </c>
      <c r="P284" s="95">
        <f t="shared" si="434"/>
        <v>19</v>
      </c>
      <c r="Q284" s="96">
        <f t="shared" si="434"/>
        <v>1</v>
      </c>
      <c r="R284" s="42">
        <f t="shared" si="434"/>
        <v>3</v>
      </c>
      <c r="S284" s="42">
        <f t="shared" si="434"/>
        <v>6</v>
      </c>
      <c r="T284" s="94">
        <f t="shared" si="434"/>
        <v>6</v>
      </c>
      <c r="U284" s="95">
        <f t="shared" si="434"/>
        <v>16</v>
      </c>
      <c r="V284" s="96">
        <f t="shared" si="434"/>
        <v>3</v>
      </c>
      <c r="W284" s="42">
        <f t="shared" si="434"/>
        <v>6</v>
      </c>
      <c r="X284" s="42">
        <f t="shared" si="434"/>
        <v>4</v>
      </c>
      <c r="Y284" s="94">
        <f t="shared" si="434"/>
        <v>7</v>
      </c>
      <c r="Z284" s="95">
        <f t="shared" si="434"/>
        <v>20</v>
      </c>
      <c r="AA284" s="104">
        <f t="shared" si="434"/>
        <v>107</v>
      </c>
      <c r="AC284" s="131" t="s">
        <v>13</v>
      </c>
      <c r="AD284" s="96">
        <f>AD278</f>
        <v>128</v>
      </c>
      <c r="AE284" s="42">
        <f>AE278</f>
        <v>281</v>
      </c>
      <c r="AF284" s="42">
        <f t="shared" ref="AF284:BC284" si="435">AF278</f>
        <v>78</v>
      </c>
      <c r="AG284" s="94">
        <f t="shared" si="435"/>
        <v>452</v>
      </c>
      <c r="AH284" s="95">
        <f t="shared" si="435"/>
        <v>939</v>
      </c>
      <c r="AI284" s="96">
        <f t="shared" si="435"/>
        <v>126</v>
      </c>
      <c r="AJ284" s="42">
        <f t="shared" si="435"/>
        <v>275</v>
      </c>
      <c r="AK284" s="42">
        <f t="shared" si="435"/>
        <v>84</v>
      </c>
      <c r="AL284" s="94">
        <f t="shared" si="435"/>
        <v>466</v>
      </c>
      <c r="AM284" s="95">
        <f t="shared" si="435"/>
        <v>951</v>
      </c>
      <c r="AN284" s="96">
        <f t="shared" si="435"/>
        <v>229</v>
      </c>
      <c r="AO284" s="42">
        <f t="shared" si="435"/>
        <v>588</v>
      </c>
      <c r="AP284" s="42">
        <f t="shared" si="435"/>
        <v>227</v>
      </c>
      <c r="AQ284" s="94">
        <f t="shared" si="435"/>
        <v>442</v>
      </c>
      <c r="AR284" s="95">
        <f t="shared" si="435"/>
        <v>1486</v>
      </c>
      <c r="AS284" s="96">
        <f t="shared" si="435"/>
        <v>114</v>
      </c>
      <c r="AT284" s="42">
        <f t="shared" si="435"/>
        <v>394</v>
      </c>
      <c r="AU284" s="42">
        <f t="shared" si="435"/>
        <v>174</v>
      </c>
      <c r="AV284" s="94">
        <f t="shared" si="435"/>
        <v>596</v>
      </c>
      <c r="AW284" s="95">
        <f t="shared" si="435"/>
        <v>1278</v>
      </c>
      <c r="AX284" s="96">
        <f t="shared" si="435"/>
        <v>1142</v>
      </c>
      <c r="AY284" s="42">
        <f t="shared" si="435"/>
        <v>1188</v>
      </c>
      <c r="AZ284" s="42">
        <f t="shared" si="435"/>
        <v>611</v>
      </c>
      <c r="BA284" s="94">
        <f t="shared" si="435"/>
        <v>233</v>
      </c>
      <c r="BB284" s="95">
        <f t="shared" si="435"/>
        <v>3174</v>
      </c>
      <c r="BC284" s="104">
        <f t="shared" si="435"/>
        <v>7828</v>
      </c>
    </row>
    <row r="285" spans="1:56" x14ac:dyDescent="0.15">
      <c r="A285" s="9" t="s">
        <v>7</v>
      </c>
      <c r="B285" s="10"/>
      <c r="C285" s="11">
        <v>3</v>
      </c>
      <c r="D285" s="12"/>
      <c r="E285" s="12"/>
      <c r="F285" s="84">
        <f t="shared" ref="F285:F318" si="436">SUM(B285:E285)</f>
        <v>3</v>
      </c>
      <c r="G285" s="90">
        <v>3</v>
      </c>
      <c r="H285" s="11">
        <v>3</v>
      </c>
      <c r="I285" s="12"/>
      <c r="J285" s="12"/>
      <c r="K285" s="84">
        <f t="shared" ref="K285:K318" si="437">SUM(G285:J285)</f>
        <v>6</v>
      </c>
      <c r="L285" s="90">
        <v>5</v>
      </c>
      <c r="M285" s="11"/>
      <c r="N285" s="12"/>
      <c r="O285" s="12"/>
      <c r="P285" s="84">
        <f t="shared" ref="P285:P318" si="438">SUM(L285:O285)</f>
        <v>5</v>
      </c>
      <c r="Q285" s="90">
        <v>5</v>
      </c>
      <c r="R285" s="11">
        <v>5</v>
      </c>
      <c r="S285" s="12"/>
      <c r="T285" s="12"/>
      <c r="U285" s="84">
        <f t="shared" ref="U285:U318" si="439">SUM(Q285:T285)</f>
        <v>10</v>
      </c>
      <c r="V285" s="90">
        <v>3</v>
      </c>
      <c r="W285" s="11"/>
      <c r="X285" s="12">
        <v>3</v>
      </c>
      <c r="Y285" s="12"/>
      <c r="Z285" s="84">
        <f t="shared" ref="Z285:Z318" si="440">SUM(V285:Y285)</f>
        <v>6</v>
      </c>
      <c r="AA285" s="105">
        <f t="shared" ref="AA285:AA318" si="441">Z285+U285+P285+K285+F285</f>
        <v>30</v>
      </c>
      <c r="AB285" s="114">
        <v>45588</v>
      </c>
      <c r="AC285" s="117" t="s">
        <v>361</v>
      </c>
      <c r="AD285" s="90">
        <v>5</v>
      </c>
      <c r="AE285" s="11">
        <v>1</v>
      </c>
      <c r="AF285" s="12">
        <v>8</v>
      </c>
      <c r="AG285" s="12">
        <v>6</v>
      </c>
      <c r="AH285" s="84">
        <f t="shared" ref="AH285:AH286" si="442">SUM(AD285:AG285)</f>
        <v>20</v>
      </c>
      <c r="AI285" s="90">
        <v>5</v>
      </c>
      <c r="AJ285" s="11">
        <v>1</v>
      </c>
      <c r="AK285" s="12">
        <v>8</v>
      </c>
      <c r="AL285" s="12">
        <v>6</v>
      </c>
      <c r="AM285" s="84">
        <f t="shared" ref="AM285:AM286" si="443">SUM(AI285:AL285)</f>
        <v>20</v>
      </c>
      <c r="AN285" s="90"/>
      <c r="AO285" s="11"/>
      <c r="AP285" s="12"/>
      <c r="AQ285" s="12"/>
      <c r="AR285" s="84">
        <f t="shared" ref="AR285:AR286" si="444">SUM(AN285:AQ285)</f>
        <v>0</v>
      </c>
      <c r="AS285" s="90"/>
      <c r="AT285" s="11"/>
      <c r="AU285" s="12"/>
      <c r="AV285" s="12"/>
      <c r="AW285" s="84">
        <f t="shared" ref="AW285:AW286" si="445">SUM(AS285:AV285)</f>
        <v>0</v>
      </c>
      <c r="AX285" s="90">
        <v>5</v>
      </c>
      <c r="AY285" s="11">
        <v>1</v>
      </c>
      <c r="AZ285" s="12">
        <v>8</v>
      </c>
      <c r="BA285" s="12">
        <v>6</v>
      </c>
      <c r="BB285" s="84">
        <f t="shared" ref="BB285:BB286" si="446">SUM(AX285:BA285)</f>
        <v>20</v>
      </c>
      <c r="BC285" s="105">
        <f t="shared" ref="BC285:BC286" si="447">BB285+AW285+AR285+AM285+AH285</f>
        <v>60</v>
      </c>
      <c r="BD285" s="114">
        <v>45664</v>
      </c>
    </row>
    <row r="286" spans="1:56" x14ac:dyDescent="0.15">
      <c r="A286" s="9" t="s">
        <v>8</v>
      </c>
      <c r="B286" s="10"/>
      <c r="C286" s="11"/>
      <c r="D286" s="12"/>
      <c r="E286" s="12"/>
      <c r="F286" s="85">
        <f t="shared" si="436"/>
        <v>0</v>
      </c>
      <c r="G286" s="90"/>
      <c r="H286" s="11"/>
      <c r="I286" s="12"/>
      <c r="J286" s="12"/>
      <c r="K286" s="85">
        <f t="shared" si="437"/>
        <v>0</v>
      </c>
      <c r="L286" s="90"/>
      <c r="M286" s="11"/>
      <c r="N286" s="12"/>
      <c r="O286" s="12"/>
      <c r="P286" s="85">
        <f t="shared" si="438"/>
        <v>0</v>
      </c>
      <c r="Q286" s="90">
        <v>5</v>
      </c>
      <c r="R286" s="11"/>
      <c r="S286" s="12">
        <v>5</v>
      </c>
      <c r="T286" s="12">
        <v>5</v>
      </c>
      <c r="U286" s="85">
        <f t="shared" si="439"/>
        <v>15</v>
      </c>
      <c r="V286" s="90">
        <v>5</v>
      </c>
      <c r="W286" s="11"/>
      <c r="X286" s="12"/>
      <c r="Y286" s="12"/>
      <c r="Z286" s="85">
        <f t="shared" si="440"/>
        <v>5</v>
      </c>
      <c r="AA286" s="105">
        <f t="shared" si="441"/>
        <v>20</v>
      </c>
      <c r="AB286" s="114">
        <v>45594</v>
      </c>
      <c r="AC286" s="117" t="s">
        <v>362</v>
      </c>
      <c r="AD286" s="91"/>
      <c r="AE286" s="16"/>
      <c r="AF286" s="17"/>
      <c r="AG286" s="17"/>
      <c r="AH286" s="85">
        <f t="shared" si="442"/>
        <v>0</v>
      </c>
      <c r="AI286" s="91"/>
      <c r="AJ286" s="16"/>
      <c r="AK286" s="17"/>
      <c r="AL286" s="17"/>
      <c r="AM286" s="85">
        <f t="shared" si="443"/>
        <v>0</v>
      </c>
      <c r="AN286" s="91">
        <v>15</v>
      </c>
      <c r="AO286" s="16">
        <v>4</v>
      </c>
      <c r="AP286" s="17">
        <v>5</v>
      </c>
      <c r="AQ286" s="17">
        <v>5</v>
      </c>
      <c r="AR286" s="85">
        <f t="shared" si="444"/>
        <v>29</v>
      </c>
      <c r="AS286" s="90">
        <v>15</v>
      </c>
      <c r="AT286" s="11">
        <v>4</v>
      </c>
      <c r="AU286" s="12">
        <v>5</v>
      </c>
      <c r="AV286" s="12">
        <v>5</v>
      </c>
      <c r="AW286" s="85">
        <f t="shared" si="445"/>
        <v>29</v>
      </c>
      <c r="AX286" s="91">
        <v>15</v>
      </c>
      <c r="AY286" s="16">
        <v>4</v>
      </c>
      <c r="AZ286" s="17">
        <v>5</v>
      </c>
      <c r="BA286" s="17">
        <v>5</v>
      </c>
      <c r="BB286" s="85">
        <f t="shared" si="446"/>
        <v>29</v>
      </c>
      <c r="BC286" s="105">
        <f t="shared" si="447"/>
        <v>87</v>
      </c>
      <c r="BD286" s="115">
        <v>45664</v>
      </c>
    </row>
    <row r="287" spans="1:56" x14ac:dyDescent="0.15">
      <c r="A287" s="9" t="s">
        <v>9</v>
      </c>
      <c r="B287" s="15"/>
      <c r="C287" s="16"/>
      <c r="D287" s="17"/>
      <c r="E287" s="17">
        <v>3</v>
      </c>
      <c r="F287" s="85">
        <f t="shared" si="436"/>
        <v>3</v>
      </c>
      <c r="G287" s="91"/>
      <c r="H287" s="16">
        <v>3</v>
      </c>
      <c r="I287" s="17"/>
      <c r="J287" s="17"/>
      <c r="K287" s="85">
        <f t="shared" si="437"/>
        <v>3</v>
      </c>
      <c r="L287" s="91"/>
      <c r="M287" s="16"/>
      <c r="N287" s="17"/>
      <c r="O287" s="17"/>
      <c r="P287" s="85">
        <f t="shared" si="438"/>
        <v>0</v>
      </c>
      <c r="Q287" s="91"/>
      <c r="R287" s="16"/>
      <c r="S287" s="17"/>
      <c r="T287" s="17"/>
      <c r="U287" s="85">
        <f t="shared" si="439"/>
        <v>0</v>
      </c>
      <c r="V287" s="91"/>
      <c r="W287" s="16"/>
      <c r="X287" s="17">
        <v>3</v>
      </c>
      <c r="Y287" s="17"/>
      <c r="Z287" s="85">
        <f t="shared" si="440"/>
        <v>3</v>
      </c>
      <c r="AA287" s="105">
        <f t="shared" si="441"/>
        <v>9</v>
      </c>
      <c r="AB287" s="114">
        <v>45602</v>
      </c>
      <c r="AC287" s="117" t="s">
        <v>9</v>
      </c>
      <c r="AD287" s="91"/>
      <c r="AE287" s="16"/>
      <c r="AF287" s="17"/>
      <c r="AG287" s="17"/>
      <c r="AH287" s="85">
        <f t="shared" ref="AH287" si="448">SUM(AD287:AG287)</f>
        <v>0</v>
      </c>
      <c r="AI287" s="91"/>
      <c r="AJ287" s="16"/>
      <c r="AK287" s="17"/>
      <c r="AL287" s="17"/>
      <c r="AM287" s="85">
        <f t="shared" ref="AM287" si="449">SUM(AI287:AL287)</f>
        <v>0</v>
      </c>
      <c r="AN287" s="91"/>
      <c r="AO287" s="16"/>
      <c r="AP287" s="17"/>
      <c r="AQ287" s="17"/>
      <c r="AR287" s="85">
        <f t="shared" ref="AR287" si="450">SUM(AN287:AQ287)</f>
        <v>0</v>
      </c>
      <c r="AS287" s="90"/>
      <c r="AT287" s="11"/>
      <c r="AU287" s="12"/>
      <c r="AV287" s="12"/>
      <c r="AW287" s="85">
        <f t="shared" ref="AW287" si="451">SUM(AS287:AV287)</f>
        <v>0</v>
      </c>
      <c r="AX287" s="91"/>
      <c r="AY287" s="16"/>
      <c r="AZ287" s="17"/>
      <c r="BA287" s="17"/>
      <c r="BB287" s="85">
        <f t="shared" ref="BB287" si="452">SUM(AX287:BA287)</f>
        <v>0</v>
      </c>
      <c r="BC287" s="105">
        <f t="shared" ref="BC287" si="453">BB287+AW287+AR287+AM287+AH287</f>
        <v>0</v>
      </c>
    </row>
    <row r="288" spans="1:56" x14ac:dyDescent="0.15">
      <c r="A288" s="9" t="s">
        <v>10</v>
      </c>
      <c r="B288" s="15"/>
      <c r="C288" s="16"/>
      <c r="D288" s="17"/>
      <c r="E288" s="17"/>
      <c r="F288" s="85">
        <f t="shared" si="436"/>
        <v>0</v>
      </c>
      <c r="G288" s="91"/>
      <c r="H288" s="16"/>
      <c r="I288" s="17">
        <v>3</v>
      </c>
      <c r="J288" s="17"/>
      <c r="K288" s="85">
        <f t="shared" si="437"/>
        <v>3</v>
      </c>
      <c r="L288" s="91">
        <v>3</v>
      </c>
      <c r="M288" s="16"/>
      <c r="N288" s="17">
        <v>3</v>
      </c>
      <c r="O288" s="17"/>
      <c r="P288" s="85">
        <f t="shared" si="438"/>
        <v>6</v>
      </c>
      <c r="Q288" s="91"/>
      <c r="R288" s="16">
        <v>3</v>
      </c>
      <c r="S288" s="17"/>
      <c r="T288" s="17"/>
      <c r="U288" s="85">
        <f t="shared" si="439"/>
        <v>3</v>
      </c>
      <c r="V288" s="91"/>
      <c r="W288" s="16"/>
      <c r="X288" s="17">
        <v>3</v>
      </c>
      <c r="Y288" s="17">
        <v>3</v>
      </c>
      <c r="Z288" s="85">
        <f t="shared" si="440"/>
        <v>6</v>
      </c>
      <c r="AA288" s="105">
        <f t="shared" si="441"/>
        <v>18</v>
      </c>
      <c r="AB288" s="114">
        <v>45607</v>
      </c>
      <c r="AC288" s="117" t="s">
        <v>10</v>
      </c>
      <c r="AD288" s="91"/>
      <c r="AE288" s="16"/>
      <c r="AF288" s="17"/>
      <c r="AG288" s="17"/>
      <c r="AH288" s="85">
        <f t="shared" ref="AH288:AH318" si="454">SUM(AD288:AG288)</f>
        <v>0</v>
      </c>
      <c r="AI288" s="91"/>
      <c r="AJ288" s="16"/>
      <c r="AK288" s="17"/>
      <c r="AL288" s="17"/>
      <c r="AM288" s="85">
        <f t="shared" ref="AM288:AM318" si="455">SUM(AI288:AL288)</f>
        <v>0</v>
      </c>
      <c r="AN288" s="91"/>
      <c r="AO288" s="16"/>
      <c r="AP288" s="17"/>
      <c r="AQ288" s="17"/>
      <c r="AR288" s="85">
        <f t="shared" ref="AR288:AR318" si="456">SUM(AN288:AQ288)</f>
        <v>0</v>
      </c>
      <c r="AS288" s="90"/>
      <c r="AT288" s="11"/>
      <c r="AU288" s="12"/>
      <c r="AV288" s="12"/>
      <c r="AW288" s="85">
        <f t="shared" ref="AW288:AW318" si="457">SUM(AS288:AV288)</f>
        <v>0</v>
      </c>
      <c r="AX288" s="91"/>
      <c r="AY288" s="16"/>
      <c r="AZ288" s="17"/>
      <c r="BA288" s="17"/>
      <c r="BB288" s="85">
        <f t="shared" ref="BB288:BB318" si="458">SUM(AX288:BA288)</f>
        <v>0</v>
      </c>
      <c r="BC288" s="105">
        <f t="shared" ref="BC288:BC318" si="459">BB288+AW288+AR288+AM288+AH288</f>
        <v>0</v>
      </c>
    </row>
    <row r="289" spans="1:56" ht="14.25" thickBot="1" x14ac:dyDescent="0.2">
      <c r="A289" s="9" t="s">
        <v>11</v>
      </c>
      <c r="B289" s="15"/>
      <c r="C289" s="16"/>
      <c r="D289" s="17"/>
      <c r="E289" s="17"/>
      <c r="F289" s="92">
        <f t="shared" si="436"/>
        <v>0</v>
      </c>
      <c r="G289" s="91"/>
      <c r="H289" s="16"/>
      <c r="I289" s="17"/>
      <c r="J289" s="17"/>
      <c r="K289" s="92">
        <f t="shared" si="437"/>
        <v>0</v>
      </c>
      <c r="L289" s="91">
        <v>3</v>
      </c>
      <c r="M289" s="16">
        <v>3</v>
      </c>
      <c r="N289" s="17"/>
      <c r="O289" s="17"/>
      <c r="P289" s="92">
        <f t="shared" si="438"/>
        <v>6</v>
      </c>
      <c r="Q289" s="91">
        <v>3</v>
      </c>
      <c r="R289" s="16">
        <v>3</v>
      </c>
      <c r="S289" s="17"/>
      <c r="T289" s="17"/>
      <c r="U289" s="92">
        <f t="shared" si="439"/>
        <v>6</v>
      </c>
      <c r="V289" s="91">
        <v>3</v>
      </c>
      <c r="W289" s="16">
        <v>5</v>
      </c>
      <c r="X289" s="17"/>
      <c r="Y289" s="17">
        <v>3</v>
      </c>
      <c r="Z289" s="92">
        <f t="shared" si="440"/>
        <v>11</v>
      </c>
      <c r="AA289" s="110">
        <f t="shared" si="441"/>
        <v>23</v>
      </c>
      <c r="AB289" s="114">
        <v>45622</v>
      </c>
      <c r="AC289" s="132" t="s">
        <v>11</v>
      </c>
      <c r="AD289" s="91"/>
      <c r="AE289" s="16"/>
      <c r="AF289" s="17"/>
      <c r="AG289" s="17"/>
      <c r="AH289" s="92">
        <f t="shared" si="454"/>
        <v>0</v>
      </c>
      <c r="AI289" s="91"/>
      <c r="AJ289" s="16"/>
      <c r="AK289" s="17"/>
      <c r="AL289" s="17"/>
      <c r="AM289" s="92">
        <f t="shared" si="455"/>
        <v>0</v>
      </c>
      <c r="AN289" s="91"/>
      <c r="AO289" s="16"/>
      <c r="AP289" s="17"/>
      <c r="AQ289" s="17"/>
      <c r="AR289" s="92">
        <f t="shared" si="456"/>
        <v>0</v>
      </c>
      <c r="AS289" s="91"/>
      <c r="AT289" s="16"/>
      <c r="AU289" s="17"/>
      <c r="AV289" s="17"/>
      <c r="AW289" s="92">
        <f t="shared" si="457"/>
        <v>0</v>
      </c>
      <c r="AX289" s="91"/>
      <c r="AY289" s="16"/>
      <c r="AZ289" s="17"/>
      <c r="BA289" s="17"/>
      <c r="BB289" s="92">
        <f t="shared" si="458"/>
        <v>0</v>
      </c>
      <c r="BC289" s="110">
        <f t="shared" si="459"/>
        <v>0</v>
      </c>
    </row>
    <row r="290" spans="1:56" ht="14.25" thickBot="1" x14ac:dyDescent="0.2">
      <c r="A290" s="21" t="s">
        <v>16</v>
      </c>
      <c r="B290" s="7">
        <f>SUM(B284:B289)</f>
        <v>10</v>
      </c>
      <c r="C290" s="8">
        <f t="shared" ref="C290:E290" si="460">SUM(C284:C289)</f>
        <v>8</v>
      </c>
      <c r="D290" s="22">
        <f t="shared" si="460"/>
        <v>10</v>
      </c>
      <c r="E290" s="22">
        <f t="shared" si="460"/>
        <v>8</v>
      </c>
      <c r="F290" s="87">
        <f t="shared" si="436"/>
        <v>36</v>
      </c>
      <c r="G290" s="7">
        <f>SUM(G284:G289)</f>
        <v>6</v>
      </c>
      <c r="H290" s="8">
        <f t="shared" ref="H290:J290" si="461">SUM(H284:H289)</f>
        <v>10</v>
      </c>
      <c r="I290" s="22">
        <f t="shared" si="461"/>
        <v>11</v>
      </c>
      <c r="J290" s="22">
        <f t="shared" si="461"/>
        <v>7</v>
      </c>
      <c r="K290" s="87">
        <f t="shared" si="437"/>
        <v>34</v>
      </c>
      <c r="L290" s="7">
        <f>SUM(L284:L289)</f>
        <v>12</v>
      </c>
      <c r="M290" s="8">
        <f t="shared" ref="M290:O290" si="462">SUM(M284:M289)</f>
        <v>9</v>
      </c>
      <c r="N290" s="22">
        <f t="shared" si="462"/>
        <v>9</v>
      </c>
      <c r="O290" s="22">
        <f t="shared" si="462"/>
        <v>6</v>
      </c>
      <c r="P290" s="87">
        <f t="shared" si="438"/>
        <v>36</v>
      </c>
      <c r="Q290" s="7">
        <f>SUM(Q284:Q289)</f>
        <v>14</v>
      </c>
      <c r="R290" s="8">
        <f t="shared" ref="R290:T290" si="463">SUM(R284:R289)</f>
        <v>14</v>
      </c>
      <c r="S290" s="22">
        <f t="shared" si="463"/>
        <v>11</v>
      </c>
      <c r="T290" s="22">
        <f t="shared" si="463"/>
        <v>11</v>
      </c>
      <c r="U290" s="87">
        <f t="shared" si="439"/>
        <v>50</v>
      </c>
      <c r="V290" s="7">
        <f>SUM(V284:V289)</f>
        <v>14</v>
      </c>
      <c r="W290" s="8">
        <f t="shared" ref="W290:Y290" si="464">SUM(W284:W289)</f>
        <v>11</v>
      </c>
      <c r="X290" s="22">
        <f t="shared" si="464"/>
        <v>13</v>
      </c>
      <c r="Y290" s="22">
        <f t="shared" si="464"/>
        <v>13</v>
      </c>
      <c r="Z290" s="87">
        <f t="shared" si="440"/>
        <v>51</v>
      </c>
      <c r="AA290" s="107">
        <f t="shared" si="441"/>
        <v>207</v>
      </c>
      <c r="AC290" s="21" t="s">
        <v>16</v>
      </c>
      <c r="AD290" s="7">
        <f>SUM(AD284:AD289)</f>
        <v>133</v>
      </c>
      <c r="AE290" s="8">
        <f t="shared" ref="AE290:AG290" si="465">SUM(AE284:AE289)</f>
        <v>282</v>
      </c>
      <c r="AF290" s="22">
        <f t="shared" si="465"/>
        <v>86</v>
      </c>
      <c r="AG290" s="22">
        <f t="shared" si="465"/>
        <v>458</v>
      </c>
      <c r="AH290" s="87">
        <f t="shared" si="454"/>
        <v>959</v>
      </c>
      <c r="AI290" s="7">
        <f>SUM(AI284:AI289)</f>
        <v>131</v>
      </c>
      <c r="AJ290" s="8">
        <f t="shared" ref="AJ290:AL290" si="466">SUM(AJ284:AJ289)</f>
        <v>276</v>
      </c>
      <c r="AK290" s="22">
        <f t="shared" si="466"/>
        <v>92</v>
      </c>
      <c r="AL290" s="22">
        <f t="shared" si="466"/>
        <v>472</v>
      </c>
      <c r="AM290" s="87">
        <f t="shared" si="455"/>
        <v>971</v>
      </c>
      <c r="AN290" s="7">
        <f>SUM(AN284:AN289)</f>
        <v>244</v>
      </c>
      <c r="AO290" s="8">
        <f t="shared" ref="AO290:AQ290" si="467">SUM(AO284:AO289)</f>
        <v>592</v>
      </c>
      <c r="AP290" s="22">
        <f t="shared" si="467"/>
        <v>232</v>
      </c>
      <c r="AQ290" s="22">
        <f t="shared" si="467"/>
        <v>447</v>
      </c>
      <c r="AR290" s="87">
        <f t="shared" si="456"/>
        <v>1515</v>
      </c>
      <c r="AS290" s="7">
        <f>SUM(AS284:AS289)</f>
        <v>129</v>
      </c>
      <c r="AT290" s="8">
        <f t="shared" ref="AT290:AV290" si="468">SUM(AT284:AT289)</f>
        <v>398</v>
      </c>
      <c r="AU290" s="22">
        <f t="shared" si="468"/>
        <v>179</v>
      </c>
      <c r="AV290" s="22">
        <f t="shared" si="468"/>
        <v>601</v>
      </c>
      <c r="AW290" s="87">
        <f t="shared" si="457"/>
        <v>1307</v>
      </c>
      <c r="AX290" s="7">
        <f>SUM(AX284:AX289)</f>
        <v>1162</v>
      </c>
      <c r="AY290" s="8">
        <f t="shared" ref="AY290:BA290" si="469">SUM(AY284:AY289)</f>
        <v>1193</v>
      </c>
      <c r="AZ290" s="22">
        <f t="shared" si="469"/>
        <v>624</v>
      </c>
      <c r="BA290" s="22">
        <f t="shared" si="469"/>
        <v>244</v>
      </c>
      <c r="BB290" s="87">
        <f t="shared" si="458"/>
        <v>3223</v>
      </c>
      <c r="BC290" s="107">
        <f t="shared" si="459"/>
        <v>7975</v>
      </c>
    </row>
    <row r="291" spans="1:56" x14ac:dyDescent="0.15">
      <c r="A291" s="54" t="s">
        <v>342</v>
      </c>
      <c r="B291" s="39"/>
      <c r="C291" s="13"/>
      <c r="D291" s="14"/>
      <c r="E291" s="14"/>
      <c r="F291" s="83">
        <f t="shared" si="436"/>
        <v>0</v>
      </c>
      <c r="G291" s="39"/>
      <c r="H291" s="13">
        <v>3</v>
      </c>
      <c r="I291" s="14"/>
      <c r="J291" s="14"/>
      <c r="K291" s="83">
        <f t="shared" si="437"/>
        <v>3</v>
      </c>
      <c r="L291" s="39">
        <v>2</v>
      </c>
      <c r="M291" s="13"/>
      <c r="N291" s="14">
        <v>2</v>
      </c>
      <c r="O291" s="14"/>
      <c r="P291" s="83">
        <f t="shared" si="438"/>
        <v>4</v>
      </c>
      <c r="Q291" s="39">
        <v>4</v>
      </c>
      <c r="R291" s="13">
        <v>3</v>
      </c>
      <c r="S291" s="14">
        <v>5</v>
      </c>
      <c r="T291" s="14">
        <v>3</v>
      </c>
      <c r="U291" s="83">
        <f t="shared" si="439"/>
        <v>15</v>
      </c>
      <c r="V291" s="39">
        <v>5</v>
      </c>
      <c r="W291" s="13"/>
      <c r="X291" s="14">
        <v>2</v>
      </c>
      <c r="Y291" s="14"/>
      <c r="Z291" s="83">
        <f t="shared" si="440"/>
        <v>7</v>
      </c>
      <c r="AA291" s="108">
        <f t="shared" si="441"/>
        <v>29</v>
      </c>
      <c r="AB291" s="114">
        <v>45596</v>
      </c>
      <c r="AC291" s="23" t="s">
        <v>343</v>
      </c>
      <c r="AD291" s="15"/>
      <c r="AE291" s="16"/>
      <c r="AF291" s="17"/>
      <c r="AG291" s="17"/>
      <c r="AH291" s="85">
        <f t="shared" si="454"/>
        <v>0</v>
      </c>
      <c r="AI291" s="15"/>
      <c r="AJ291" s="16"/>
      <c r="AK291" s="17"/>
      <c r="AL291" s="17"/>
      <c r="AM291" s="85">
        <f t="shared" si="455"/>
        <v>0</v>
      </c>
      <c r="AN291" s="15">
        <v>5</v>
      </c>
      <c r="AO291" s="16"/>
      <c r="AP291" s="17">
        <v>5</v>
      </c>
      <c r="AQ291" s="17">
        <v>5</v>
      </c>
      <c r="AR291" s="85">
        <f t="shared" si="456"/>
        <v>15</v>
      </c>
      <c r="AS291" s="15">
        <v>5</v>
      </c>
      <c r="AT291" s="16"/>
      <c r="AU291" s="17"/>
      <c r="AV291" s="17"/>
      <c r="AW291" s="85">
        <f t="shared" si="457"/>
        <v>5</v>
      </c>
      <c r="AX291" s="15"/>
      <c r="AY291" s="16"/>
      <c r="AZ291" s="17"/>
      <c r="BA291" s="17"/>
      <c r="BB291" s="85">
        <f t="shared" si="458"/>
        <v>0</v>
      </c>
      <c r="BC291" s="105">
        <f t="shared" si="459"/>
        <v>20</v>
      </c>
      <c r="BD291" s="114">
        <v>45594</v>
      </c>
    </row>
    <row r="292" spans="1:56" x14ac:dyDescent="0.15">
      <c r="A292" s="23" t="s">
        <v>344</v>
      </c>
      <c r="B292" s="15"/>
      <c r="C292" s="16"/>
      <c r="D292" s="17"/>
      <c r="E292" s="17"/>
      <c r="F292" s="85">
        <f t="shared" si="436"/>
        <v>0</v>
      </c>
      <c r="G292" s="15"/>
      <c r="H292" s="16"/>
      <c r="I292" s="17"/>
      <c r="J292" s="17"/>
      <c r="K292" s="85">
        <f t="shared" si="437"/>
        <v>0</v>
      </c>
      <c r="L292" s="15"/>
      <c r="M292" s="16"/>
      <c r="N292" s="17"/>
      <c r="O292" s="17"/>
      <c r="P292" s="85">
        <f t="shared" si="438"/>
        <v>0</v>
      </c>
      <c r="Q292" s="15"/>
      <c r="R292" s="16"/>
      <c r="S292" s="17"/>
      <c r="T292" s="17"/>
      <c r="U292" s="85">
        <f t="shared" si="439"/>
        <v>0</v>
      </c>
      <c r="V292" s="15"/>
      <c r="W292" s="16"/>
      <c r="X292" s="17">
        <v>2</v>
      </c>
      <c r="Y292" s="17"/>
      <c r="Z292" s="85">
        <f t="shared" si="440"/>
        <v>2</v>
      </c>
      <c r="AA292" s="105">
        <f t="shared" si="441"/>
        <v>2</v>
      </c>
      <c r="AB292" s="114">
        <v>45598</v>
      </c>
      <c r="AC292" s="23" t="s">
        <v>35</v>
      </c>
      <c r="AD292" s="15"/>
      <c r="AE292" s="16"/>
      <c r="AF292" s="17"/>
      <c r="AG292" s="17">
        <v>3</v>
      </c>
      <c r="AH292" s="85">
        <f t="shared" si="454"/>
        <v>3</v>
      </c>
      <c r="AI292" s="15"/>
      <c r="AJ292" s="16">
        <v>3</v>
      </c>
      <c r="AK292" s="17"/>
      <c r="AL292" s="17"/>
      <c r="AM292" s="85">
        <f t="shared" si="455"/>
        <v>3</v>
      </c>
      <c r="AN292" s="15"/>
      <c r="AO292" s="16"/>
      <c r="AP292" s="17"/>
      <c r="AQ292" s="17"/>
      <c r="AR292" s="85">
        <f t="shared" si="456"/>
        <v>0</v>
      </c>
      <c r="AS292" s="15"/>
      <c r="AT292" s="16"/>
      <c r="AU292" s="17"/>
      <c r="AV292" s="17"/>
      <c r="AW292" s="85">
        <f t="shared" si="457"/>
        <v>0</v>
      </c>
      <c r="AX292" s="15"/>
      <c r="AY292" s="16"/>
      <c r="AZ292" s="17">
        <v>3</v>
      </c>
      <c r="BA292" s="17"/>
      <c r="BB292" s="85">
        <f t="shared" si="458"/>
        <v>3</v>
      </c>
      <c r="BC292" s="105">
        <f t="shared" si="459"/>
        <v>9</v>
      </c>
      <c r="BD292" s="114">
        <v>45602</v>
      </c>
    </row>
    <row r="293" spans="1:56" x14ac:dyDescent="0.15">
      <c r="A293" s="23" t="s">
        <v>43</v>
      </c>
      <c r="B293" s="15"/>
      <c r="C293" s="16">
        <v>1</v>
      </c>
      <c r="D293" s="17"/>
      <c r="E293" s="17"/>
      <c r="F293" s="85">
        <f t="shared" si="436"/>
        <v>1</v>
      </c>
      <c r="G293" s="15"/>
      <c r="H293" s="16">
        <v>1</v>
      </c>
      <c r="I293" s="17"/>
      <c r="J293" s="17"/>
      <c r="K293" s="85">
        <f t="shared" si="437"/>
        <v>1</v>
      </c>
      <c r="L293" s="15"/>
      <c r="M293" s="16"/>
      <c r="N293" s="17"/>
      <c r="O293" s="17"/>
      <c r="P293" s="85">
        <f t="shared" si="438"/>
        <v>0</v>
      </c>
      <c r="Q293" s="15"/>
      <c r="R293" s="16"/>
      <c r="S293" s="17"/>
      <c r="T293" s="17"/>
      <c r="U293" s="85">
        <f t="shared" si="439"/>
        <v>0</v>
      </c>
      <c r="V293" s="15"/>
      <c r="W293" s="16">
        <v>1</v>
      </c>
      <c r="X293" s="17"/>
      <c r="Y293" s="17"/>
      <c r="Z293" s="85">
        <f t="shared" si="440"/>
        <v>1</v>
      </c>
      <c r="AA293" s="105">
        <f t="shared" si="441"/>
        <v>3</v>
      </c>
      <c r="AB293" s="114">
        <v>45601</v>
      </c>
      <c r="AC293" s="23" t="s">
        <v>35</v>
      </c>
      <c r="AD293" s="15"/>
      <c r="AE293" s="16"/>
      <c r="AF293" s="17"/>
      <c r="AG293" s="17"/>
      <c r="AH293" s="85">
        <f t="shared" si="454"/>
        <v>0</v>
      </c>
      <c r="AI293" s="15"/>
      <c r="AJ293" s="16"/>
      <c r="AK293" s="17">
        <v>3</v>
      </c>
      <c r="AL293" s="17"/>
      <c r="AM293" s="85">
        <f t="shared" si="455"/>
        <v>3</v>
      </c>
      <c r="AN293" s="15">
        <v>3</v>
      </c>
      <c r="AO293" s="16"/>
      <c r="AP293" s="17">
        <v>3</v>
      </c>
      <c r="AQ293" s="17"/>
      <c r="AR293" s="85">
        <f t="shared" si="456"/>
        <v>6</v>
      </c>
      <c r="AS293" s="15"/>
      <c r="AT293" s="16">
        <v>3</v>
      </c>
      <c r="AU293" s="17"/>
      <c r="AV293" s="17"/>
      <c r="AW293" s="85">
        <f t="shared" si="457"/>
        <v>3</v>
      </c>
      <c r="AX293" s="15"/>
      <c r="AY293" s="16"/>
      <c r="AZ293" s="17">
        <v>3</v>
      </c>
      <c r="BA293" s="17">
        <v>3</v>
      </c>
      <c r="BB293" s="85">
        <f t="shared" si="458"/>
        <v>6</v>
      </c>
      <c r="BC293" s="105">
        <f t="shared" si="459"/>
        <v>18</v>
      </c>
      <c r="BD293" s="114">
        <v>45607</v>
      </c>
    </row>
    <row r="294" spans="1:56" x14ac:dyDescent="0.15">
      <c r="A294" s="54" t="s">
        <v>345</v>
      </c>
      <c r="B294" s="15"/>
      <c r="C294" s="16"/>
      <c r="D294" s="17"/>
      <c r="E294" s="17">
        <v>2</v>
      </c>
      <c r="F294" s="85">
        <f t="shared" si="436"/>
        <v>2</v>
      </c>
      <c r="G294" s="15"/>
      <c r="H294" s="16"/>
      <c r="I294" s="17">
        <v>4</v>
      </c>
      <c r="J294" s="17"/>
      <c r="K294" s="85">
        <f t="shared" si="437"/>
        <v>4</v>
      </c>
      <c r="L294" s="15"/>
      <c r="M294" s="16"/>
      <c r="N294" s="17">
        <v>1</v>
      </c>
      <c r="O294" s="17"/>
      <c r="P294" s="85">
        <f t="shared" si="438"/>
        <v>1</v>
      </c>
      <c r="Q294" s="15">
        <v>1</v>
      </c>
      <c r="R294" s="16">
        <v>1</v>
      </c>
      <c r="S294" s="17"/>
      <c r="T294" s="17"/>
      <c r="U294" s="85">
        <f t="shared" si="439"/>
        <v>2</v>
      </c>
      <c r="V294" s="15"/>
      <c r="W294" s="16"/>
      <c r="X294" s="17">
        <v>2</v>
      </c>
      <c r="Y294" s="17">
        <v>4</v>
      </c>
      <c r="Z294" s="85">
        <f t="shared" si="440"/>
        <v>6</v>
      </c>
      <c r="AA294" s="105">
        <f t="shared" si="441"/>
        <v>15</v>
      </c>
      <c r="AB294" s="114">
        <v>45607</v>
      </c>
      <c r="AC294" s="54" t="s">
        <v>347</v>
      </c>
      <c r="AD294" s="15">
        <v>1</v>
      </c>
      <c r="AE294" s="16"/>
      <c r="AF294" s="17"/>
      <c r="AG294" s="17"/>
      <c r="AH294" s="85">
        <f t="shared" si="454"/>
        <v>1</v>
      </c>
      <c r="AI294" s="15">
        <v>2</v>
      </c>
      <c r="AJ294" s="16">
        <v>1</v>
      </c>
      <c r="AK294" s="17">
        <v>1</v>
      </c>
      <c r="AL294" s="17">
        <v>1</v>
      </c>
      <c r="AM294" s="85">
        <f t="shared" si="455"/>
        <v>5</v>
      </c>
      <c r="AN294" s="15">
        <v>3</v>
      </c>
      <c r="AO294" s="16">
        <v>1</v>
      </c>
      <c r="AP294" s="17"/>
      <c r="AQ294" s="17"/>
      <c r="AR294" s="85">
        <f t="shared" si="456"/>
        <v>4</v>
      </c>
      <c r="AS294" s="15">
        <v>5</v>
      </c>
      <c r="AT294" s="16">
        <v>4</v>
      </c>
      <c r="AU294" s="17"/>
      <c r="AV294" s="17">
        <v>3</v>
      </c>
      <c r="AW294" s="85">
        <f t="shared" si="457"/>
        <v>12</v>
      </c>
      <c r="AX294" s="15">
        <v>4</v>
      </c>
      <c r="AY294" s="16">
        <v>4</v>
      </c>
      <c r="AZ294" s="17">
        <v>3</v>
      </c>
      <c r="BA294" s="17"/>
      <c r="BB294" s="85">
        <f t="shared" si="458"/>
        <v>11</v>
      </c>
      <c r="BC294" s="105">
        <f t="shared" si="459"/>
        <v>33</v>
      </c>
      <c r="BD294" s="114">
        <v>45618</v>
      </c>
    </row>
    <row r="295" spans="1:56" x14ac:dyDescent="0.15">
      <c r="A295" s="23" t="s">
        <v>330</v>
      </c>
      <c r="B295" s="15"/>
      <c r="C295" s="16"/>
      <c r="D295" s="17"/>
      <c r="E295" s="17"/>
      <c r="F295" s="85">
        <f t="shared" si="436"/>
        <v>0</v>
      </c>
      <c r="G295" s="15"/>
      <c r="H295" s="16"/>
      <c r="I295" s="17"/>
      <c r="J295" s="17"/>
      <c r="K295" s="85">
        <f t="shared" si="437"/>
        <v>0</v>
      </c>
      <c r="L295" s="15">
        <v>1</v>
      </c>
      <c r="M295" s="16"/>
      <c r="N295" s="17"/>
      <c r="O295" s="17"/>
      <c r="P295" s="85">
        <f t="shared" si="438"/>
        <v>1</v>
      </c>
      <c r="Q295" s="15">
        <v>1</v>
      </c>
      <c r="R295" s="16"/>
      <c r="S295" s="17"/>
      <c r="T295" s="17"/>
      <c r="U295" s="85">
        <f t="shared" si="439"/>
        <v>1</v>
      </c>
      <c r="V295" s="15">
        <v>1</v>
      </c>
      <c r="W295" s="16"/>
      <c r="X295" s="17"/>
      <c r="Y295" s="17"/>
      <c r="Z295" s="85">
        <f t="shared" si="440"/>
        <v>1</v>
      </c>
      <c r="AA295" s="105">
        <f t="shared" si="441"/>
        <v>3</v>
      </c>
      <c r="AB295" s="114">
        <v>45604</v>
      </c>
      <c r="AC295" s="23" t="s">
        <v>35</v>
      </c>
      <c r="AD295" s="15"/>
      <c r="AE295" s="16"/>
      <c r="AF295" s="17"/>
      <c r="AG295" s="17"/>
      <c r="AH295" s="85">
        <f t="shared" si="454"/>
        <v>0</v>
      </c>
      <c r="AI295" s="15"/>
      <c r="AJ295" s="16"/>
      <c r="AK295" s="17"/>
      <c r="AL295" s="17"/>
      <c r="AM295" s="85">
        <f t="shared" si="455"/>
        <v>0</v>
      </c>
      <c r="AN295" s="15">
        <v>3</v>
      </c>
      <c r="AO295" s="16">
        <v>3</v>
      </c>
      <c r="AP295" s="17"/>
      <c r="AQ295" s="17"/>
      <c r="AR295" s="85">
        <f t="shared" si="456"/>
        <v>6</v>
      </c>
      <c r="AS295" s="15">
        <v>3</v>
      </c>
      <c r="AT295" s="16">
        <v>3</v>
      </c>
      <c r="AU295" s="17"/>
      <c r="AV295" s="17"/>
      <c r="AW295" s="85">
        <f t="shared" si="457"/>
        <v>6</v>
      </c>
      <c r="AX295" s="15">
        <v>3</v>
      </c>
      <c r="AY295" s="16">
        <v>5</v>
      </c>
      <c r="AZ295" s="17"/>
      <c r="BA295" s="17">
        <v>3</v>
      </c>
      <c r="BB295" s="85">
        <f t="shared" si="458"/>
        <v>11</v>
      </c>
      <c r="BC295" s="105">
        <f t="shared" si="459"/>
        <v>23</v>
      </c>
      <c r="BD295" s="114">
        <v>45622</v>
      </c>
    </row>
    <row r="296" spans="1:56" x14ac:dyDescent="0.15">
      <c r="A296" s="23" t="s">
        <v>43</v>
      </c>
      <c r="B296" s="15"/>
      <c r="C296" s="16"/>
      <c r="D296" s="17"/>
      <c r="E296" s="17"/>
      <c r="F296" s="85">
        <f t="shared" si="436"/>
        <v>0</v>
      </c>
      <c r="G296" s="15"/>
      <c r="H296" s="16"/>
      <c r="I296" s="17"/>
      <c r="J296" s="17"/>
      <c r="K296" s="85">
        <f t="shared" si="437"/>
        <v>0</v>
      </c>
      <c r="L296" s="15"/>
      <c r="M296" s="16"/>
      <c r="N296" s="17"/>
      <c r="O296" s="17"/>
      <c r="P296" s="85">
        <f t="shared" si="438"/>
        <v>0</v>
      </c>
      <c r="Q296" s="15"/>
      <c r="R296" s="16"/>
      <c r="S296" s="17"/>
      <c r="T296" s="17"/>
      <c r="U296" s="85">
        <f t="shared" si="439"/>
        <v>0</v>
      </c>
      <c r="V296" s="15"/>
      <c r="W296" s="16">
        <v>1</v>
      </c>
      <c r="X296" s="17"/>
      <c r="Y296" s="17"/>
      <c r="Z296" s="85">
        <f t="shared" si="440"/>
        <v>1</v>
      </c>
      <c r="AA296" s="105">
        <f t="shared" si="441"/>
        <v>1</v>
      </c>
      <c r="AB296" s="114">
        <v>45607</v>
      </c>
      <c r="AC296" s="54" t="s">
        <v>349</v>
      </c>
      <c r="AD296" s="15"/>
      <c r="AE296" s="16"/>
      <c r="AF296" s="17"/>
      <c r="AG296" s="17"/>
      <c r="AH296" s="85">
        <f t="shared" si="454"/>
        <v>0</v>
      </c>
      <c r="AI296" s="15"/>
      <c r="AJ296" s="16"/>
      <c r="AK296" s="17"/>
      <c r="AL296" s="17"/>
      <c r="AM296" s="85">
        <f t="shared" si="455"/>
        <v>0</v>
      </c>
      <c r="AN296" s="15">
        <v>1</v>
      </c>
      <c r="AO296" s="16"/>
      <c r="AP296" s="17"/>
      <c r="AQ296" s="17">
        <v>1</v>
      </c>
      <c r="AR296" s="85">
        <f t="shared" si="456"/>
        <v>2</v>
      </c>
      <c r="AS296" s="15"/>
      <c r="AT296" s="16"/>
      <c r="AU296" s="17"/>
      <c r="AV296" s="17">
        <v>1</v>
      </c>
      <c r="AW296" s="85">
        <f t="shared" si="457"/>
        <v>1</v>
      </c>
      <c r="AX296" s="15">
        <v>1</v>
      </c>
      <c r="AY296" s="16">
        <v>1</v>
      </c>
      <c r="AZ296" s="17">
        <v>2</v>
      </c>
      <c r="BA296" s="17"/>
      <c r="BB296" s="85">
        <f t="shared" si="458"/>
        <v>4</v>
      </c>
      <c r="BC296" s="105">
        <f t="shared" si="459"/>
        <v>7</v>
      </c>
      <c r="BD296" s="114">
        <v>45625</v>
      </c>
    </row>
    <row r="297" spans="1:56" x14ac:dyDescent="0.15">
      <c r="A297" s="23" t="s">
        <v>43</v>
      </c>
      <c r="B297" s="15"/>
      <c r="C297" s="16"/>
      <c r="D297" s="17"/>
      <c r="E297" s="17">
        <v>1</v>
      </c>
      <c r="F297" s="85">
        <f t="shared" si="436"/>
        <v>1</v>
      </c>
      <c r="G297" s="15"/>
      <c r="H297" s="16"/>
      <c r="I297" s="17"/>
      <c r="J297" s="17">
        <v>1</v>
      </c>
      <c r="K297" s="85">
        <f t="shared" si="437"/>
        <v>1</v>
      </c>
      <c r="L297" s="15">
        <v>1</v>
      </c>
      <c r="M297" s="16"/>
      <c r="N297" s="17"/>
      <c r="O297" s="17"/>
      <c r="P297" s="85">
        <f t="shared" si="438"/>
        <v>1</v>
      </c>
      <c r="Q297" s="15">
        <v>1</v>
      </c>
      <c r="R297" s="16"/>
      <c r="S297" s="17"/>
      <c r="T297" s="17"/>
      <c r="U297" s="85">
        <f t="shared" si="439"/>
        <v>1</v>
      </c>
      <c r="V297" s="15">
        <v>1</v>
      </c>
      <c r="W297" s="16"/>
      <c r="X297" s="17"/>
      <c r="Y297" s="17">
        <v>1</v>
      </c>
      <c r="Z297" s="85">
        <f t="shared" si="440"/>
        <v>2</v>
      </c>
      <c r="AA297" s="105">
        <f t="shared" si="441"/>
        <v>6</v>
      </c>
      <c r="AB297" s="115">
        <v>45608</v>
      </c>
      <c r="AC297" s="54" t="s">
        <v>351</v>
      </c>
      <c r="AD297" s="15"/>
      <c r="AE297" s="16"/>
      <c r="AF297" s="17">
        <v>5</v>
      </c>
      <c r="AG297" s="17"/>
      <c r="AH297" s="85">
        <f t="shared" si="454"/>
        <v>5</v>
      </c>
      <c r="AI297" s="15"/>
      <c r="AJ297" s="16"/>
      <c r="AK297" s="17"/>
      <c r="AL297" s="17"/>
      <c r="AM297" s="85">
        <f t="shared" si="455"/>
        <v>0</v>
      </c>
      <c r="AN297" s="15"/>
      <c r="AO297" s="16"/>
      <c r="AP297" s="17"/>
      <c r="AQ297" s="17"/>
      <c r="AR297" s="85">
        <f t="shared" si="456"/>
        <v>0</v>
      </c>
      <c r="AS297" s="15"/>
      <c r="AT297" s="16">
        <v>1</v>
      </c>
      <c r="AU297" s="17"/>
      <c r="AV297" s="17"/>
      <c r="AW297" s="85">
        <f t="shared" si="457"/>
        <v>1</v>
      </c>
      <c r="AX297" s="15">
        <v>1</v>
      </c>
      <c r="AY297" s="16"/>
      <c r="AZ297" s="17"/>
      <c r="BA297" s="17"/>
      <c r="BB297" s="85">
        <f t="shared" si="458"/>
        <v>1</v>
      </c>
      <c r="BC297" s="105">
        <f t="shared" si="459"/>
        <v>7</v>
      </c>
      <c r="BD297" s="114">
        <v>45632</v>
      </c>
    </row>
    <row r="298" spans="1:56" x14ac:dyDescent="0.15">
      <c r="A298" s="23" t="s">
        <v>43</v>
      </c>
      <c r="B298" s="15"/>
      <c r="C298" s="16"/>
      <c r="D298" s="17"/>
      <c r="E298" s="17"/>
      <c r="F298" s="85">
        <f t="shared" si="436"/>
        <v>0</v>
      </c>
      <c r="G298" s="15"/>
      <c r="H298" s="16"/>
      <c r="I298" s="17"/>
      <c r="J298" s="17">
        <v>1</v>
      </c>
      <c r="K298" s="85">
        <f t="shared" si="437"/>
        <v>1</v>
      </c>
      <c r="L298" s="15"/>
      <c r="M298" s="16"/>
      <c r="N298" s="17"/>
      <c r="O298" s="17">
        <v>1</v>
      </c>
      <c r="P298" s="85">
        <f t="shared" si="438"/>
        <v>1</v>
      </c>
      <c r="Q298" s="15"/>
      <c r="R298" s="16"/>
      <c r="S298" s="17"/>
      <c r="T298" s="17">
        <v>1</v>
      </c>
      <c r="U298" s="85">
        <f t="shared" si="439"/>
        <v>1</v>
      </c>
      <c r="V298" s="15"/>
      <c r="W298" s="16"/>
      <c r="X298" s="17"/>
      <c r="Y298" s="17">
        <v>1</v>
      </c>
      <c r="Z298" s="85">
        <f t="shared" si="440"/>
        <v>1</v>
      </c>
      <c r="AA298" s="105">
        <f t="shared" si="441"/>
        <v>4</v>
      </c>
      <c r="AB298" s="115">
        <v>45618</v>
      </c>
      <c r="AC298" s="23" t="s">
        <v>353</v>
      </c>
      <c r="AD298" s="15"/>
      <c r="AE298" s="16"/>
      <c r="AF298" s="17"/>
      <c r="AG298" s="17"/>
      <c r="AH298" s="85">
        <f t="shared" si="454"/>
        <v>0</v>
      </c>
      <c r="AI298" s="15"/>
      <c r="AJ298" s="16"/>
      <c r="AK298" s="17"/>
      <c r="AL298" s="17"/>
      <c r="AM298" s="85">
        <f t="shared" si="455"/>
        <v>0</v>
      </c>
      <c r="AN298" s="15"/>
      <c r="AO298" s="16">
        <v>5</v>
      </c>
      <c r="AP298" s="17"/>
      <c r="AQ298" s="17"/>
      <c r="AR298" s="85">
        <f t="shared" si="456"/>
        <v>5</v>
      </c>
      <c r="AS298" s="15"/>
      <c r="AT298" s="16"/>
      <c r="AU298" s="17"/>
      <c r="AV298" s="17"/>
      <c r="AW298" s="85">
        <f t="shared" si="457"/>
        <v>0</v>
      </c>
      <c r="AX298" s="15"/>
      <c r="AY298" s="16"/>
      <c r="AZ298" s="17"/>
      <c r="BA298" s="17"/>
      <c r="BB298" s="85">
        <f t="shared" si="458"/>
        <v>0</v>
      </c>
      <c r="BC298" s="105">
        <f t="shared" si="459"/>
        <v>5</v>
      </c>
      <c r="BD298" s="114">
        <v>45631</v>
      </c>
    </row>
    <row r="299" spans="1:56" x14ac:dyDescent="0.15">
      <c r="A299" s="23" t="s">
        <v>348</v>
      </c>
      <c r="B299" s="15">
        <v>1</v>
      </c>
      <c r="C299" s="16"/>
      <c r="D299" s="17"/>
      <c r="E299" s="17"/>
      <c r="F299" s="85">
        <f t="shared" si="436"/>
        <v>1</v>
      </c>
      <c r="G299" s="15">
        <v>1</v>
      </c>
      <c r="H299" s="16"/>
      <c r="I299" s="17"/>
      <c r="J299" s="17"/>
      <c r="K299" s="85">
        <f t="shared" si="437"/>
        <v>1</v>
      </c>
      <c r="L299" s="15">
        <v>1</v>
      </c>
      <c r="M299" s="16"/>
      <c r="N299" s="17"/>
      <c r="O299" s="17"/>
      <c r="P299" s="85">
        <f t="shared" si="438"/>
        <v>1</v>
      </c>
      <c r="Q299" s="15"/>
      <c r="R299" s="16"/>
      <c r="S299" s="17"/>
      <c r="T299" s="17"/>
      <c r="U299" s="85">
        <f t="shared" si="439"/>
        <v>0</v>
      </c>
      <c r="V299" s="15"/>
      <c r="W299" s="16"/>
      <c r="X299" s="17"/>
      <c r="Y299" s="17"/>
      <c r="Z299" s="85">
        <f t="shared" si="440"/>
        <v>0</v>
      </c>
      <c r="AA299" s="105">
        <f t="shared" si="441"/>
        <v>3</v>
      </c>
      <c r="AB299" s="115">
        <v>45621</v>
      </c>
      <c r="AC299" s="23" t="s">
        <v>35</v>
      </c>
      <c r="AD299" s="15"/>
      <c r="AE299" s="16">
        <v>3</v>
      </c>
      <c r="AF299" s="17"/>
      <c r="AG299" s="17"/>
      <c r="AH299" s="85">
        <f t="shared" si="454"/>
        <v>3</v>
      </c>
      <c r="AI299" s="15">
        <v>3</v>
      </c>
      <c r="AJ299" s="16">
        <v>3</v>
      </c>
      <c r="AK299" s="17"/>
      <c r="AL299" s="17"/>
      <c r="AM299" s="85">
        <f t="shared" si="455"/>
        <v>6</v>
      </c>
      <c r="AN299" s="15"/>
      <c r="AO299" s="16"/>
      <c r="AP299" s="17">
        <v>3</v>
      </c>
      <c r="AQ299" s="17"/>
      <c r="AR299" s="85">
        <f t="shared" si="456"/>
        <v>3</v>
      </c>
      <c r="AS299" s="15"/>
      <c r="AT299" s="16"/>
      <c r="AU299" s="17"/>
      <c r="AV299" s="17"/>
      <c r="AW299" s="85">
        <f t="shared" si="457"/>
        <v>0</v>
      </c>
      <c r="AX299" s="15">
        <v>3</v>
      </c>
      <c r="AY299" s="16">
        <v>3</v>
      </c>
      <c r="AZ299" s="17"/>
      <c r="BA299" s="17"/>
      <c r="BB299" s="85">
        <f t="shared" si="458"/>
        <v>6</v>
      </c>
      <c r="BC299" s="105">
        <f t="shared" si="459"/>
        <v>18</v>
      </c>
      <c r="BD299" s="114">
        <v>45633</v>
      </c>
    </row>
    <row r="300" spans="1:56" x14ac:dyDescent="0.15">
      <c r="A300" s="23" t="s">
        <v>43</v>
      </c>
      <c r="B300" s="18"/>
      <c r="C300" s="19"/>
      <c r="D300" s="20">
        <v>1</v>
      </c>
      <c r="E300" s="20"/>
      <c r="F300" s="85">
        <f t="shared" si="436"/>
        <v>1</v>
      </c>
      <c r="G300" s="18"/>
      <c r="H300" s="19"/>
      <c r="I300" s="20">
        <v>1</v>
      </c>
      <c r="J300" s="20"/>
      <c r="K300" s="85">
        <f t="shared" si="437"/>
        <v>1</v>
      </c>
      <c r="L300" s="18"/>
      <c r="M300" s="19">
        <v>3</v>
      </c>
      <c r="N300" s="20"/>
      <c r="O300" s="20"/>
      <c r="P300" s="85">
        <f t="shared" si="438"/>
        <v>3</v>
      </c>
      <c r="Q300" s="18"/>
      <c r="R300" s="19">
        <v>3</v>
      </c>
      <c r="S300" s="20"/>
      <c r="T300" s="20"/>
      <c r="U300" s="85">
        <f t="shared" si="439"/>
        <v>3</v>
      </c>
      <c r="V300" s="18"/>
      <c r="W300" s="19">
        <v>3</v>
      </c>
      <c r="X300" s="20"/>
      <c r="Y300" s="20"/>
      <c r="Z300" s="85">
        <f t="shared" si="440"/>
        <v>3</v>
      </c>
      <c r="AA300" s="105">
        <f t="shared" si="441"/>
        <v>11</v>
      </c>
      <c r="AB300" s="115">
        <v>45621</v>
      </c>
      <c r="AC300" s="54" t="s">
        <v>356</v>
      </c>
      <c r="AD300" s="18"/>
      <c r="AE300" s="19"/>
      <c r="AF300" s="20"/>
      <c r="AG300" s="20"/>
      <c r="AH300" s="85">
        <f t="shared" si="454"/>
        <v>0</v>
      </c>
      <c r="AI300" s="18"/>
      <c r="AJ300" s="19"/>
      <c r="AK300" s="20"/>
      <c r="AL300" s="20"/>
      <c r="AM300" s="85">
        <f t="shared" si="455"/>
        <v>0</v>
      </c>
      <c r="AN300" s="18"/>
      <c r="AO300" s="19">
        <v>2</v>
      </c>
      <c r="AP300" s="20"/>
      <c r="AQ300" s="20"/>
      <c r="AR300" s="85">
        <f t="shared" si="456"/>
        <v>2</v>
      </c>
      <c r="AS300" s="18">
        <v>1</v>
      </c>
      <c r="AT300" s="19"/>
      <c r="AU300" s="20"/>
      <c r="AV300" s="20"/>
      <c r="AW300" s="85">
        <f t="shared" si="457"/>
        <v>1</v>
      </c>
      <c r="AX300" s="18"/>
      <c r="AY300" s="19">
        <v>8</v>
      </c>
      <c r="AZ300" s="20"/>
      <c r="BA300" s="20">
        <v>1</v>
      </c>
      <c r="BB300" s="85">
        <f t="shared" si="458"/>
        <v>9</v>
      </c>
      <c r="BC300" s="105">
        <f t="shared" si="459"/>
        <v>12</v>
      </c>
      <c r="BD300" s="114">
        <v>45639</v>
      </c>
    </row>
    <row r="301" spans="1:56" x14ac:dyDescent="0.15">
      <c r="A301" s="23" t="s">
        <v>43</v>
      </c>
      <c r="B301" s="15"/>
      <c r="C301" s="16"/>
      <c r="D301" s="17"/>
      <c r="E301" s="17"/>
      <c r="F301" s="85">
        <f t="shared" si="436"/>
        <v>0</v>
      </c>
      <c r="G301" s="15"/>
      <c r="H301" s="16"/>
      <c r="I301" s="17"/>
      <c r="J301" s="17"/>
      <c r="K301" s="85">
        <f t="shared" si="437"/>
        <v>0</v>
      </c>
      <c r="L301" s="15"/>
      <c r="M301" s="16">
        <v>2</v>
      </c>
      <c r="N301" s="17"/>
      <c r="O301" s="17"/>
      <c r="P301" s="85">
        <f t="shared" si="438"/>
        <v>2</v>
      </c>
      <c r="Q301" s="15"/>
      <c r="R301" s="16"/>
      <c r="S301" s="17"/>
      <c r="T301" s="17"/>
      <c r="U301" s="85">
        <f t="shared" si="439"/>
        <v>0</v>
      </c>
      <c r="V301" s="15"/>
      <c r="W301" s="16"/>
      <c r="X301" s="17"/>
      <c r="Y301" s="17"/>
      <c r="Z301" s="85">
        <f t="shared" si="440"/>
        <v>0</v>
      </c>
      <c r="AA301" s="105">
        <f t="shared" si="441"/>
        <v>2</v>
      </c>
      <c r="AB301" s="114">
        <v>45622</v>
      </c>
      <c r="AC301" s="23" t="s">
        <v>35</v>
      </c>
      <c r="AD301" s="15"/>
      <c r="AE301" s="16"/>
      <c r="AF301" s="17"/>
      <c r="AG301" s="17"/>
      <c r="AH301" s="85">
        <f t="shared" si="454"/>
        <v>0</v>
      </c>
      <c r="AI301" s="15"/>
      <c r="AJ301" s="16"/>
      <c r="AK301" s="17">
        <v>3</v>
      </c>
      <c r="AL301" s="17"/>
      <c r="AM301" s="85">
        <f t="shared" si="455"/>
        <v>3</v>
      </c>
      <c r="AN301" s="15">
        <v>3</v>
      </c>
      <c r="AO301" s="16"/>
      <c r="AP301" s="17">
        <v>3</v>
      </c>
      <c r="AQ301" s="17"/>
      <c r="AR301" s="85">
        <f t="shared" si="456"/>
        <v>6</v>
      </c>
      <c r="AS301" s="15">
        <v>3</v>
      </c>
      <c r="AT301" s="16"/>
      <c r="AU301" s="17">
        <v>3</v>
      </c>
      <c r="AV301" s="17"/>
      <c r="AW301" s="85">
        <f t="shared" si="457"/>
        <v>6</v>
      </c>
      <c r="AX301" s="15">
        <v>3</v>
      </c>
      <c r="AY301" s="16"/>
      <c r="AZ301" s="17">
        <v>3</v>
      </c>
      <c r="BA301" s="17"/>
      <c r="BB301" s="85">
        <f t="shared" si="458"/>
        <v>6</v>
      </c>
      <c r="BC301" s="105">
        <f t="shared" si="459"/>
        <v>21</v>
      </c>
      <c r="BD301" s="114">
        <v>45638</v>
      </c>
    </row>
    <row r="302" spans="1:56" x14ac:dyDescent="0.15">
      <c r="A302" s="54" t="s">
        <v>350</v>
      </c>
      <c r="B302" s="15"/>
      <c r="C302" s="16">
        <v>1</v>
      </c>
      <c r="D302" s="17"/>
      <c r="E302" s="17"/>
      <c r="F302" s="85">
        <f t="shared" si="436"/>
        <v>1</v>
      </c>
      <c r="G302" s="15"/>
      <c r="H302" s="16"/>
      <c r="I302" s="17"/>
      <c r="J302" s="17"/>
      <c r="K302" s="85">
        <f t="shared" si="437"/>
        <v>0</v>
      </c>
      <c r="L302" s="15"/>
      <c r="M302" s="16"/>
      <c r="N302" s="17"/>
      <c r="O302" s="17"/>
      <c r="P302" s="85">
        <f t="shared" si="438"/>
        <v>0</v>
      </c>
      <c r="Q302" s="15"/>
      <c r="R302" s="16"/>
      <c r="S302" s="17"/>
      <c r="T302" s="17"/>
      <c r="U302" s="85">
        <f t="shared" si="439"/>
        <v>0</v>
      </c>
      <c r="V302" s="15"/>
      <c r="W302" s="16"/>
      <c r="X302" s="17"/>
      <c r="Y302" s="17"/>
      <c r="Z302" s="85">
        <f t="shared" si="440"/>
        <v>0</v>
      </c>
      <c r="AA302" s="105">
        <f t="shared" si="441"/>
        <v>1</v>
      </c>
      <c r="AB302" s="114">
        <v>45624</v>
      </c>
      <c r="AC302" s="23" t="s">
        <v>35</v>
      </c>
      <c r="AD302" s="15"/>
      <c r="AE302" s="16"/>
      <c r="AF302" s="17"/>
      <c r="AG302" s="17">
        <v>3</v>
      </c>
      <c r="AH302" s="85">
        <f t="shared" si="454"/>
        <v>3</v>
      </c>
      <c r="AI302" s="15">
        <v>3</v>
      </c>
      <c r="AJ302" s="16"/>
      <c r="AK302" s="17"/>
      <c r="AL302" s="17"/>
      <c r="AM302" s="85">
        <f t="shared" si="455"/>
        <v>3</v>
      </c>
      <c r="AN302" s="15">
        <v>3</v>
      </c>
      <c r="AO302" s="16">
        <v>3</v>
      </c>
      <c r="AP302" s="17"/>
      <c r="AQ302" s="17">
        <v>3</v>
      </c>
      <c r="AR302" s="85">
        <f t="shared" si="456"/>
        <v>9</v>
      </c>
      <c r="AS302" s="15">
        <v>3</v>
      </c>
      <c r="AT302" s="16">
        <v>3</v>
      </c>
      <c r="AU302" s="17"/>
      <c r="AV302" s="17"/>
      <c r="AW302" s="85">
        <f t="shared" si="457"/>
        <v>6</v>
      </c>
      <c r="AX302" s="15"/>
      <c r="AY302" s="16"/>
      <c r="AZ302" s="17"/>
      <c r="BA302" s="17"/>
      <c r="BB302" s="85">
        <f t="shared" si="458"/>
        <v>0</v>
      </c>
      <c r="BC302" s="105">
        <f t="shared" si="459"/>
        <v>21</v>
      </c>
      <c r="BD302" s="114">
        <v>45644</v>
      </c>
    </row>
    <row r="303" spans="1:56" x14ac:dyDescent="0.15">
      <c r="A303" s="23" t="s">
        <v>43</v>
      </c>
      <c r="B303" s="15"/>
      <c r="C303" s="16">
        <v>1</v>
      </c>
      <c r="D303" s="17"/>
      <c r="E303" s="17"/>
      <c r="F303" s="85">
        <f t="shared" si="436"/>
        <v>1</v>
      </c>
      <c r="G303" s="15"/>
      <c r="H303" s="16">
        <v>1</v>
      </c>
      <c r="I303" s="17"/>
      <c r="J303" s="17"/>
      <c r="K303" s="85">
        <f t="shared" si="437"/>
        <v>1</v>
      </c>
      <c r="L303" s="15"/>
      <c r="M303" s="16">
        <v>1</v>
      </c>
      <c r="N303" s="17"/>
      <c r="O303" s="17"/>
      <c r="P303" s="85">
        <f t="shared" si="438"/>
        <v>1</v>
      </c>
      <c r="Q303" s="15"/>
      <c r="R303" s="16">
        <v>1</v>
      </c>
      <c r="S303" s="17"/>
      <c r="T303" s="17"/>
      <c r="U303" s="85">
        <f t="shared" si="439"/>
        <v>1</v>
      </c>
      <c r="V303" s="15"/>
      <c r="W303" s="16">
        <v>1</v>
      </c>
      <c r="X303" s="17"/>
      <c r="Y303" s="17"/>
      <c r="Z303" s="85">
        <f t="shared" si="440"/>
        <v>1</v>
      </c>
      <c r="AA303" s="105">
        <f t="shared" si="441"/>
        <v>5</v>
      </c>
      <c r="AB303" s="114">
        <v>45623</v>
      </c>
      <c r="AC303" s="23" t="s">
        <v>35</v>
      </c>
      <c r="AD303" s="15"/>
      <c r="AE303" s="16"/>
      <c r="AF303" s="17">
        <v>3</v>
      </c>
      <c r="AG303" s="17"/>
      <c r="AH303" s="85">
        <f t="shared" si="454"/>
        <v>3</v>
      </c>
      <c r="AI303" s="15"/>
      <c r="AJ303" s="16"/>
      <c r="AK303" s="17">
        <v>3</v>
      </c>
      <c r="AL303" s="17">
        <v>3</v>
      </c>
      <c r="AM303" s="85">
        <f t="shared" si="455"/>
        <v>6</v>
      </c>
      <c r="AN303" s="15"/>
      <c r="AO303" s="16"/>
      <c r="AP303" s="17">
        <v>3</v>
      </c>
      <c r="AQ303" s="17"/>
      <c r="AR303" s="85">
        <f t="shared" si="456"/>
        <v>3</v>
      </c>
      <c r="AS303" s="15">
        <v>3</v>
      </c>
      <c r="AT303" s="16">
        <v>3</v>
      </c>
      <c r="AU303" s="17"/>
      <c r="AV303" s="17"/>
      <c r="AW303" s="85">
        <f t="shared" si="457"/>
        <v>6</v>
      </c>
      <c r="AX303" s="15">
        <v>3</v>
      </c>
      <c r="AY303" s="16"/>
      <c r="AZ303" s="17">
        <v>5</v>
      </c>
      <c r="BA303" s="17"/>
      <c r="BB303" s="85">
        <f t="shared" si="458"/>
        <v>8</v>
      </c>
      <c r="BC303" s="105">
        <f t="shared" si="459"/>
        <v>26</v>
      </c>
      <c r="BD303" s="114">
        <v>45651</v>
      </c>
    </row>
    <row r="304" spans="1:56" x14ac:dyDescent="0.15">
      <c r="A304" s="54" t="s">
        <v>96</v>
      </c>
      <c r="B304" s="15">
        <v>1</v>
      </c>
      <c r="C304" s="16">
        <v>1</v>
      </c>
      <c r="D304" s="17"/>
      <c r="E304" s="17"/>
      <c r="F304" s="85">
        <f t="shared" si="436"/>
        <v>2</v>
      </c>
      <c r="G304" s="15">
        <v>1</v>
      </c>
      <c r="H304" s="16">
        <v>1</v>
      </c>
      <c r="I304" s="17"/>
      <c r="J304" s="17"/>
      <c r="K304" s="85">
        <f t="shared" si="437"/>
        <v>2</v>
      </c>
      <c r="L304" s="15">
        <v>1</v>
      </c>
      <c r="M304" s="16">
        <v>1</v>
      </c>
      <c r="N304" s="17"/>
      <c r="O304" s="17"/>
      <c r="P304" s="85">
        <f t="shared" si="438"/>
        <v>2</v>
      </c>
      <c r="Q304" s="15">
        <v>1</v>
      </c>
      <c r="R304" s="16">
        <v>1</v>
      </c>
      <c r="S304" s="17"/>
      <c r="T304" s="17"/>
      <c r="U304" s="85">
        <f t="shared" si="439"/>
        <v>2</v>
      </c>
      <c r="V304" s="15">
        <v>1</v>
      </c>
      <c r="W304" s="16">
        <v>1</v>
      </c>
      <c r="X304" s="17"/>
      <c r="Y304" s="17"/>
      <c r="Z304" s="85">
        <f t="shared" si="440"/>
        <v>2</v>
      </c>
      <c r="AA304" s="105">
        <f t="shared" si="441"/>
        <v>10</v>
      </c>
      <c r="AB304" s="114">
        <v>45630</v>
      </c>
      <c r="AC304" s="23" t="s">
        <v>35</v>
      </c>
      <c r="AD304" s="15"/>
      <c r="AE304" s="16"/>
      <c r="AF304" s="17"/>
      <c r="AG304" s="17"/>
      <c r="AH304" s="85">
        <f t="shared" si="454"/>
        <v>0</v>
      </c>
      <c r="AI304" s="15">
        <v>3</v>
      </c>
      <c r="AJ304" s="16">
        <v>3</v>
      </c>
      <c r="AK304" s="17"/>
      <c r="AL304" s="17"/>
      <c r="AM304" s="85">
        <f t="shared" si="455"/>
        <v>6</v>
      </c>
      <c r="AN304" s="15">
        <v>3</v>
      </c>
      <c r="AO304" s="16">
        <v>3</v>
      </c>
      <c r="AP304" s="17"/>
      <c r="AQ304" s="17"/>
      <c r="AR304" s="85">
        <f t="shared" si="456"/>
        <v>6</v>
      </c>
      <c r="AS304" s="15"/>
      <c r="AT304" s="16"/>
      <c r="AU304" s="17"/>
      <c r="AV304" s="17"/>
      <c r="AW304" s="85">
        <f t="shared" si="457"/>
        <v>0</v>
      </c>
      <c r="AX304" s="15">
        <v>3</v>
      </c>
      <c r="AY304" s="16">
        <v>3</v>
      </c>
      <c r="AZ304" s="17"/>
      <c r="BA304" s="17"/>
      <c r="BB304" s="85">
        <f t="shared" si="458"/>
        <v>6</v>
      </c>
      <c r="BC304" s="105">
        <f t="shared" si="459"/>
        <v>18</v>
      </c>
      <c r="BD304" s="114">
        <v>45668</v>
      </c>
    </row>
    <row r="305" spans="1:56" x14ac:dyDescent="0.15">
      <c r="A305" s="24" t="s">
        <v>352</v>
      </c>
      <c r="B305" s="15"/>
      <c r="C305" s="16"/>
      <c r="D305" s="17"/>
      <c r="E305" s="17"/>
      <c r="F305" s="85">
        <f t="shared" si="436"/>
        <v>0</v>
      </c>
      <c r="G305" s="15"/>
      <c r="H305" s="16"/>
      <c r="I305" s="17"/>
      <c r="J305" s="17"/>
      <c r="K305" s="85">
        <f t="shared" si="437"/>
        <v>0</v>
      </c>
      <c r="L305" s="15"/>
      <c r="M305" s="16">
        <v>-5</v>
      </c>
      <c r="N305" s="17"/>
      <c r="O305" s="17"/>
      <c r="P305" s="85">
        <f t="shared" si="438"/>
        <v>-5</v>
      </c>
      <c r="Q305" s="15"/>
      <c r="R305" s="16"/>
      <c r="S305" s="17"/>
      <c r="T305" s="17"/>
      <c r="U305" s="85">
        <f t="shared" si="439"/>
        <v>0</v>
      </c>
      <c r="V305" s="15"/>
      <c r="W305" s="16"/>
      <c r="X305" s="17"/>
      <c r="Y305" s="17"/>
      <c r="Z305" s="85">
        <f t="shared" si="440"/>
        <v>0</v>
      </c>
      <c r="AA305" s="105">
        <f t="shared" si="441"/>
        <v>-5</v>
      </c>
      <c r="AB305" s="114">
        <v>45631</v>
      </c>
      <c r="AC305" s="23" t="s">
        <v>35</v>
      </c>
      <c r="AD305" s="15"/>
      <c r="AE305" s="16"/>
      <c r="AF305" s="17"/>
      <c r="AG305" s="17"/>
      <c r="AH305" s="85">
        <f t="shared" si="454"/>
        <v>0</v>
      </c>
      <c r="AI305" s="15"/>
      <c r="AJ305" s="16"/>
      <c r="AK305" s="17"/>
      <c r="AL305" s="17"/>
      <c r="AM305" s="85">
        <f t="shared" si="455"/>
        <v>0</v>
      </c>
      <c r="AN305" s="15"/>
      <c r="AO305" s="16"/>
      <c r="AP305" s="17"/>
      <c r="AQ305" s="17"/>
      <c r="AR305" s="85">
        <f t="shared" si="456"/>
        <v>0</v>
      </c>
      <c r="AS305" s="15">
        <v>5</v>
      </c>
      <c r="AT305" s="16">
        <v>5</v>
      </c>
      <c r="AU305" s="17"/>
      <c r="AV305" s="17"/>
      <c r="AW305" s="85">
        <f t="shared" si="457"/>
        <v>10</v>
      </c>
      <c r="AX305" s="15"/>
      <c r="AY305" s="16"/>
      <c r="AZ305" s="17"/>
      <c r="BA305" s="17"/>
      <c r="BB305" s="85">
        <f t="shared" si="458"/>
        <v>0</v>
      </c>
      <c r="BC305" s="105">
        <f t="shared" si="459"/>
        <v>10</v>
      </c>
      <c r="BD305" s="114">
        <v>45672</v>
      </c>
    </row>
    <row r="306" spans="1:56" x14ac:dyDescent="0.15">
      <c r="A306" s="23" t="s">
        <v>43</v>
      </c>
      <c r="B306" s="15"/>
      <c r="C306" s="16">
        <v>1</v>
      </c>
      <c r="D306" s="17"/>
      <c r="E306" s="17"/>
      <c r="F306" s="85">
        <f t="shared" si="436"/>
        <v>1</v>
      </c>
      <c r="G306" s="15"/>
      <c r="H306" s="16">
        <v>1</v>
      </c>
      <c r="I306" s="17"/>
      <c r="J306" s="17"/>
      <c r="K306" s="85">
        <f t="shared" si="437"/>
        <v>1</v>
      </c>
      <c r="L306" s="15">
        <v>1</v>
      </c>
      <c r="M306" s="16">
        <v>1</v>
      </c>
      <c r="N306" s="17">
        <v>3</v>
      </c>
      <c r="O306" s="17"/>
      <c r="P306" s="85">
        <f t="shared" si="438"/>
        <v>5</v>
      </c>
      <c r="Q306" s="15">
        <v>2</v>
      </c>
      <c r="R306" s="16"/>
      <c r="S306" s="17"/>
      <c r="T306" s="17"/>
      <c r="U306" s="85">
        <f t="shared" si="439"/>
        <v>2</v>
      </c>
      <c r="V306" s="15">
        <v>3</v>
      </c>
      <c r="W306" s="16"/>
      <c r="X306" s="17"/>
      <c r="Y306" s="17"/>
      <c r="Z306" s="85">
        <f t="shared" si="440"/>
        <v>3</v>
      </c>
      <c r="AA306" s="105">
        <f t="shared" si="441"/>
        <v>12</v>
      </c>
      <c r="AB306" s="114">
        <v>45631</v>
      </c>
      <c r="AC306" s="23" t="s">
        <v>35</v>
      </c>
      <c r="AD306" s="15"/>
      <c r="AE306" s="16">
        <v>5</v>
      </c>
      <c r="AF306" s="17"/>
      <c r="AG306" s="17"/>
      <c r="AH306" s="85">
        <f t="shared" si="454"/>
        <v>5</v>
      </c>
      <c r="AI306" s="15">
        <v>5</v>
      </c>
      <c r="AJ306" s="16"/>
      <c r="AK306" s="17"/>
      <c r="AL306" s="17"/>
      <c r="AM306" s="85">
        <f t="shared" si="455"/>
        <v>5</v>
      </c>
      <c r="AN306" s="15"/>
      <c r="AO306" s="16"/>
      <c r="AP306" s="17"/>
      <c r="AQ306" s="17"/>
      <c r="AR306" s="85">
        <f t="shared" si="456"/>
        <v>0</v>
      </c>
      <c r="AS306" s="15"/>
      <c r="AT306" s="16"/>
      <c r="AU306" s="17"/>
      <c r="AV306" s="17">
        <v>5</v>
      </c>
      <c r="AW306" s="85">
        <f t="shared" si="457"/>
        <v>5</v>
      </c>
      <c r="AX306" s="15">
        <v>5</v>
      </c>
      <c r="AY306" s="16"/>
      <c r="AZ306" s="17"/>
      <c r="BA306" s="17">
        <v>5</v>
      </c>
      <c r="BB306" s="85">
        <f t="shared" si="458"/>
        <v>10</v>
      </c>
      <c r="BC306" s="105">
        <f t="shared" si="459"/>
        <v>25</v>
      </c>
      <c r="BD306" s="114">
        <v>45673</v>
      </c>
    </row>
    <row r="307" spans="1:56" x14ac:dyDescent="0.15">
      <c r="A307" s="24" t="s">
        <v>61</v>
      </c>
      <c r="B307" s="15"/>
      <c r="C307" s="16">
        <v>-3</v>
      </c>
      <c r="D307" s="17"/>
      <c r="E307" s="17"/>
      <c r="F307" s="85">
        <f t="shared" si="436"/>
        <v>-3</v>
      </c>
      <c r="G307" s="15">
        <v>-3</v>
      </c>
      <c r="H307" s="16">
        <v>-3</v>
      </c>
      <c r="I307" s="17"/>
      <c r="J307" s="17"/>
      <c r="K307" s="85">
        <f t="shared" si="437"/>
        <v>-6</v>
      </c>
      <c r="L307" s="15"/>
      <c r="M307" s="16"/>
      <c r="N307" s="17">
        <v>-3</v>
      </c>
      <c r="O307" s="17"/>
      <c r="P307" s="85">
        <f t="shared" si="438"/>
        <v>-3</v>
      </c>
      <c r="Q307" s="15"/>
      <c r="R307" s="16"/>
      <c r="S307" s="17"/>
      <c r="T307" s="17"/>
      <c r="U307" s="85">
        <f t="shared" si="439"/>
        <v>0</v>
      </c>
      <c r="V307" s="15">
        <v>-3</v>
      </c>
      <c r="W307" s="16">
        <v>-3</v>
      </c>
      <c r="X307" s="17"/>
      <c r="Y307" s="17"/>
      <c r="Z307" s="85">
        <f t="shared" si="440"/>
        <v>-6</v>
      </c>
      <c r="AA307" s="105">
        <f t="shared" si="441"/>
        <v>-18</v>
      </c>
      <c r="AB307" s="114">
        <v>45633</v>
      </c>
      <c r="AC307" s="23"/>
      <c r="AD307" s="15"/>
      <c r="AE307" s="16"/>
      <c r="AF307" s="17"/>
      <c r="AG307" s="17"/>
      <c r="AH307" s="85">
        <f t="shared" si="454"/>
        <v>0</v>
      </c>
      <c r="AI307" s="15"/>
      <c r="AJ307" s="16"/>
      <c r="AK307" s="17"/>
      <c r="AL307" s="17"/>
      <c r="AM307" s="85">
        <f t="shared" si="455"/>
        <v>0</v>
      </c>
      <c r="AN307" s="15"/>
      <c r="AO307" s="16"/>
      <c r="AP307" s="17"/>
      <c r="AQ307" s="17"/>
      <c r="AR307" s="85">
        <f t="shared" si="456"/>
        <v>0</v>
      </c>
      <c r="AS307" s="15"/>
      <c r="AT307" s="16"/>
      <c r="AU307" s="17"/>
      <c r="AV307" s="17"/>
      <c r="AW307" s="85">
        <f t="shared" si="457"/>
        <v>0</v>
      </c>
      <c r="AX307" s="15"/>
      <c r="AY307" s="16"/>
      <c r="AZ307" s="17"/>
      <c r="BA307" s="17"/>
      <c r="BB307" s="85">
        <f t="shared" si="458"/>
        <v>0</v>
      </c>
      <c r="BC307" s="105">
        <f t="shared" si="459"/>
        <v>0</v>
      </c>
      <c r="BD307" s="76"/>
    </row>
    <row r="308" spans="1:56" x14ac:dyDescent="0.15">
      <c r="A308" s="23" t="s">
        <v>332</v>
      </c>
      <c r="B308" s="15"/>
      <c r="C308" s="16"/>
      <c r="D308" s="17">
        <v>1</v>
      </c>
      <c r="E308" s="17"/>
      <c r="F308" s="85">
        <f t="shared" si="436"/>
        <v>1</v>
      </c>
      <c r="G308" s="15"/>
      <c r="H308" s="16"/>
      <c r="I308" s="17">
        <v>1</v>
      </c>
      <c r="J308" s="17"/>
      <c r="K308" s="85">
        <f t="shared" si="437"/>
        <v>1</v>
      </c>
      <c r="L308" s="15"/>
      <c r="M308" s="16"/>
      <c r="N308" s="17"/>
      <c r="O308" s="17"/>
      <c r="P308" s="85">
        <f t="shared" si="438"/>
        <v>0</v>
      </c>
      <c r="Q308" s="15"/>
      <c r="R308" s="16"/>
      <c r="S308" s="17"/>
      <c r="T308" s="17"/>
      <c r="U308" s="85">
        <f t="shared" si="439"/>
        <v>0</v>
      </c>
      <c r="V308" s="15"/>
      <c r="W308" s="16"/>
      <c r="X308" s="17">
        <v>1</v>
      </c>
      <c r="Y308" s="17"/>
      <c r="Z308" s="85">
        <f t="shared" si="440"/>
        <v>1</v>
      </c>
      <c r="AA308" s="105">
        <f t="shared" si="441"/>
        <v>3</v>
      </c>
      <c r="AB308" s="114">
        <v>45638</v>
      </c>
      <c r="AC308" s="23"/>
      <c r="AD308" s="15"/>
      <c r="AE308" s="16"/>
      <c r="AF308" s="17"/>
      <c r="AG308" s="17"/>
      <c r="AH308" s="85">
        <f t="shared" si="454"/>
        <v>0</v>
      </c>
      <c r="AI308" s="15"/>
      <c r="AJ308" s="16"/>
      <c r="AK308" s="17"/>
      <c r="AL308" s="17"/>
      <c r="AM308" s="85">
        <f t="shared" si="455"/>
        <v>0</v>
      </c>
      <c r="AN308" s="15"/>
      <c r="AO308" s="16"/>
      <c r="AP308" s="17"/>
      <c r="AQ308" s="17"/>
      <c r="AR308" s="85">
        <f t="shared" si="456"/>
        <v>0</v>
      </c>
      <c r="AS308" s="15"/>
      <c r="AT308" s="16"/>
      <c r="AU308" s="17"/>
      <c r="AV308" s="17"/>
      <c r="AW308" s="85">
        <f t="shared" si="457"/>
        <v>0</v>
      </c>
      <c r="AX308" s="15"/>
      <c r="AY308" s="16"/>
      <c r="AZ308" s="17"/>
      <c r="BA308" s="17"/>
      <c r="BB308" s="85">
        <f t="shared" si="458"/>
        <v>0</v>
      </c>
      <c r="BC308" s="105">
        <f t="shared" si="459"/>
        <v>0</v>
      </c>
    </row>
    <row r="309" spans="1:56" x14ac:dyDescent="0.15">
      <c r="A309" s="23" t="s">
        <v>332</v>
      </c>
      <c r="B309" s="15"/>
      <c r="C309" s="16"/>
      <c r="D309" s="17">
        <v>1</v>
      </c>
      <c r="E309" s="17"/>
      <c r="F309" s="85">
        <f t="shared" si="436"/>
        <v>1</v>
      </c>
      <c r="G309" s="15"/>
      <c r="H309" s="16"/>
      <c r="I309" s="17">
        <v>1</v>
      </c>
      <c r="J309" s="17"/>
      <c r="K309" s="85">
        <f t="shared" si="437"/>
        <v>1</v>
      </c>
      <c r="L309" s="15"/>
      <c r="M309" s="16"/>
      <c r="N309" s="17"/>
      <c r="O309" s="17"/>
      <c r="P309" s="85">
        <f t="shared" si="438"/>
        <v>0</v>
      </c>
      <c r="Q309" s="15"/>
      <c r="R309" s="16"/>
      <c r="S309" s="17"/>
      <c r="T309" s="17"/>
      <c r="U309" s="85">
        <f t="shared" si="439"/>
        <v>0</v>
      </c>
      <c r="V309" s="15"/>
      <c r="W309" s="16"/>
      <c r="X309" s="17">
        <v>1</v>
      </c>
      <c r="Y309" s="17"/>
      <c r="Z309" s="85">
        <f t="shared" si="440"/>
        <v>1</v>
      </c>
      <c r="AA309" s="105">
        <f t="shared" si="441"/>
        <v>3</v>
      </c>
      <c r="AB309" s="114">
        <v>45639</v>
      </c>
      <c r="AC309" s="54"/>
      <c r="AD309" s="15"/>
      <c r="AE309" s="16"/>
      <c r="AF309" s="17"/>
      <c r="AG309" s="17"/>
      <c r="AH309" s="85">
        <f t="shared" si="454"/>
        <v>0</v>
      </c>
      <c r="AI309" s="15"/>
      <c r="AJ309" s="16"/>
      <c r="AK309" s="17"/>
      <c r="AL309" s="17"/>
      <c r="AM309" s="85">
        <f t="shared" si="455"/>
        <v>0</v>
      </c>
      <c r="AN309" s="15"/>
      <c r="AO309" s="16"/>
      <c r="AP309" s="17"/>
      <c r="AQ309" s="17"/>
      <c r="AR309" s="85">
        <f t="shared" si="456"/>
        <v>0</v>
      </c>
      <c r="AS309" s="15"/>
      <c r="AT309" s="16"/>
      <c r="AU309" s="17"/>
      <c r="AV309" s="17"/>
      <c r="AW309" s="85">
        <f t="shared" si="457"/>
        <v>0</v>
      </c>
      <c r="AX309" s="15"/>
      <c r="AY309" s="16"/>
      <c r="AZ309" s="17"/>
      <c r="BA309" s="17"/>
      <c r="BB309" s="85">
        <f t="shared" si="458"/>
        <v>0</v>
      </c>
      <c r="BC309" s="105">
        <f t="shared" si="459"/>
        <v>0</v>
      </c>
    </row>
    <row r="310" spans="1:56" x14ac:dyDescent="0.15">
      <c r="A310" s="23" t="s">
        <v>330</v>
      </c>
      <c r="B310" s="15"/>
      <c r="C310" s="16"/>
      <c r="D310" s="17"/>
      <c r="E310" s="17"/>
      <c r="F310" s="85">
        <f t="shared" si="436"/>
        <v>0</v>
      </c>
      <c r="G310" s="15"/>
      <c r="H310" s="16"/>
      <c r="I310" s="17"/>
      <c r="J310" s="17"/>
      <c r="K310" s="85">
        <f t="shared" si="437"/>
        <v>0</v>
      </c>
      <c r="L310" s="15"/>
      <c r="M310" s="16"/>
      <c r="N310" s="17">
        <v>2</v>
      </c>
      <c r="O310" s="17"/>
      <c r="P310" s="85">
        <f t="shared" si="438"/>
        <v>2</v>
      </c>
      <c r="Q310" s="15"/>
      <c r="R310" s="16"/>
      <c r="S310" s="17">
        <v>2</v>
      </c>
      <c r="T310" s="17"/>
      <c r="U310" s="85">
        <f t="shared" si="439"/>
        <v>2</v>
      </c>
      <c r="V310" s="15"/>
      <c r="W310" s="16"/>
      <c r="X310" s="17">
        <v>2</v>
      </c>
      <c r="Y310" s="17"/>
      <c r="Z310" s="85">
        <f t="shared" si="440"/>
        <v>2</v>
      </c>
      <c r="AA310" s="105">
        <f t="shared" si="441"/>
        <v>6</v>
      </c>
      <c r="AB310" s="114">
        <v>45639</v>
      </c>
      <c r="AC310" s="23"/>
      <c r="AD310" s="15"/>
      <c r="AE310" s="16"/>
      <c r="AF310" s="17"/>
      <c r="AG310" s="17"/>
      <c r="AH310" s="85">
        <f t="shared" si="454"/>
        <v>0</v>
      </c>
      <c r="AI310" s="15"/>
      <c r="AJ310" s="16"/>
      <c r="AK310" s="17"/>
      <c r="AL310" s="17"/>
      <c r="AM310" s="85">
        <f t="shared" si="455"/>
        <v>0</v>
      </c>
      <c r="AN310" s="15"/>
      <c r="AO310" s="16"/>
      <c r="AP310" s="17"/>
      <c r="AQ310" s="17"/>
      <c r="AR310" s="85">
        <f t="shared" si="456"/>
        <v>0</v>
      </c>
      <c r="AS310" s="15"/>
      <c r="AT310" s="16"/>
      <c r="AU310" s="17"/>
      <c r="AV310" s="17"/>
      <c r="AW310" s="85">
        <f t="shared" si="457"/>
        <v>0</v>
      </c>
      <c r="AX310" s="15"/>
      <c r="AY310" s="16"/>
      <c r="AZ310" s="17"/>
      <c r="BA310" s="17"/>
      <c r="BB310" s="85">
        <f t="shared" si="458"/>
        <v>0</v>
      </c>
      <c r="BC310" s="105">
        <f t="shared" si="459"/>
        <v>0</v>
      </c>
    </row>
    <row r="311" spans="1:56" x14ac:dyDescent="0.15">
      <c r="A311" s="23" t="s">
        <v>43</v>
      </c>
      <c r="B311" s="15"/>
      <c r="C311" s="16"/>
      <c r="D311" s="17"/>
      <c r="E311" s="17"/>
      <c r="F311" s="85">
        <f t="shared" si="436"/>
        <v>0</v>
      </c>
      <c r="G311" s="15"/>
      <c r="H311" s="16"/>
      <c r="I311" s="17"/>
      <c r="J311" s="17"/>
      <c r="K311" s="85">
        <f t="shared" si="437"/>
        <v>0</v>
      </c>
      <c r="L311" s="15">
        <v>1</v>
      </c>
      <c r="M311" s="16"/>
      <c r="N311" s="17"/>
      <c r="O311" s="17"/>
      <c r="P311" s="85">
        <f t="shared" si="438"/>
        <v>1</v>
      </c>
      <c r="Q311" s="15">
        <v>1</v>
      </c>
      <c r="R311" s="16"/>
      <c r="S311" s="17"/>
      <c r="T311" s="17"/>
      <c r="U311" s="85">
        <f t="shared" si="439"/>
        <v>1</v>
      </c>
      <c r="V311" s="15">
        <v>1</v>
      </c>
      <c r="W311" s="16"/>
      <c r="X311" s="17"/>
      <c r="Y311" s="17"/>
      <c r="Z311" s="85">
        <f t="shared" si="440"/>
        <v>1</v>
      </c>
      <c r="AA311" s="105">
        <f t="shared" si="441"/>
        <v>3</v>
      </c>
      <c r="AB311" s="114">
        <v>45637</v>
      </c>
      <c r="AC311" s="23"/>
      <c r="AD311" s="15"/>
      <c r="AE311" s="16"/>
      <c r="AF311" s="17"/>
      <c r="AG311" s="17"/>
      <c r="AH311" s="85">
        <f t="shared" si="454"/>
        <v>0</v>
      </c>
      <c r="AI311" s="15"/>
      <c r="AJ311" s="16"/>
      <c r="AK311" s="17"/>
      <c r="AL311" s="17"/>
      <c r="AM311" s="85">
        <f t="shared" si="455"/>
        <v>0</v>
      </c>
      <c r="AN311" s="15"/>
      <c r="AO311" s="16"/>
      <c r="AP311" s="17"/>
      <c r="AQ311" s="17"/>
      <c r="AR311" s="85">
        <f t="shared" si="456"/>
        <v>0</v>
      </c>
      <c r="AS311" s="15"/>
      <c r="AT311" s="16"/>
      <c r="AU311" s="17"/>
      <c r="AV311" s="17"/>
      <c r="AW311" s="85">
        <f t="shared" si="457"/>
        <v>0</v>
      </c>
      <c r="AX311" s="15"/>
      <c r="AY311" s="16"/>
      <c r="AZ311" s="17"/>
      <c r="BA311" s="17"/>
      <c r="BB311" s="85">
        <f t="shared" si="458"/>
        <v>0</v>
      </c>
      <c r="BC311" s="105">
        <f t="shared" si="459"/>
        <v>0</v>
      </c>
    </row>
    <row r="312" spans="1:56" x14ac:dyDescent="0.15">
      <c r="A312" s="24" t="s">
        <v>61</v>
      </c>
      <c r="B312" s="18"/>
      <c r="C312" s="19"/>
      <c r="D312" s="20"/>
      <c r="E312" s="20"/>
      <c r="F312" s="85">
        <f t="shared" si="436"/>
        <v>0</v>
      </c>
      <c r="G312" s="18"/>
      <c r="H312" s="19"/>
      <c r="I312" s="20">
        <v>-3</v>
      </c>
      <c r="J312" s="20"/>
      <c r="K312" s="85">
        <f t="shared" si="437"/>
        <v>-3</v>
      </c>
      <c r="L312" s="18">
        <v>-3</v>
      </c>
      <c r="M312" s="19"/>
      <c r="N312" s="20">
        <v>-3</v>
      </c>
      <c r="O312" s="20"/>
      <c r="P312" s="85">
        <f t="shared" si="438"/>
        <v>-6</v>
      </c>
      <c r="Q312" s="18">
        <v>-3</v>
      </c>
      <c r="R312" s="19"/>
      <c r="S312" s="20">
        <v>-3</v>
      </c>
      <c r="T312" s="20"/>
      <c r="U312" s="85">
        <f t="shared" si="439"/>
        <v>-6</v>
      </c>
      <c r="V312" s="18">
        <v>-3</v>
      </c>
      <c r="W312" s="19"/>
      <c r="X312" s="20">
        <v>-3</v>
      </c>
      <c r="Y312" s="20"/>
      <c r="Z312" s="85">
        <f t="shared" si="440"/>
        <v>-6</v>
      </c>
      <c r="AA312" s="105">
        <f t="shared" si="441"/>
        <v>-21</v>
      </c>
      <c r="AB312" s="114">
        <v>45638</v>
      </c>
      <c r="AC312" s="23"/>
      <c r="AD312" s="18"/>
      <c r="AE312" s="19"/>
      <c r="AF312" s="20"/>
      <c r="AG312" s="20"/>
      <c r="AH312" s="85">
        <f t="shared" si="454"/>
        <v>0</v>
      </c>
      <c r="AI312" s="18"/>
      <c r="AJ312" s="19"/>
      <c r="AK312" s="20"/>
      <c r="AL312" s="20"/>
      <c r="AM312" s="85">
        <f t="shared" si="455"/>
        <v>0</v>
      </c>
      <c r="AN312" s="18"/>
      <c r="AO312" s="19"/>
      <c r="AP312" s="20"/>
      <c r="AQ312" s="20"/>
      <c r="AR312" s="85">
        <f t="shared" si="456"/>
        <v>0</v>
      </c>
      <c r="AS312" s="18"/>
      <c r="AT312" s="19"/>
      <c r="AU312" s="20"/>
      <c r="AV312" s="20"/>
      <c r="AW312" s="85">
        <f t="shared" si="457"/>
        <v>0</v>
      </c>
      <c r="AX312" s="18"/>
      <c r="AY312" s="19"/>
      <c r="AZ312" s="20"/>
      <c r="BA312" s="20"/>
      <c r="BB312" s="85">
        <f t="shared" si="458"/>
        <v>0</v>
      </c>
      <c r="BC312" s="105">
        <f t="shared" si="459"/>
        <v>0</v>
      </c>
    </row>
    <row r="313" spans="1:56" x14ac:dyDescent="0.15">
      <c r="A313" s="23" t="s">
        <v>330</v>
      </c>
      <c r="B313" s="16"/>
      <c r="C313" s="16"/>
      <c r="D313" s="17"/>
      <c r="E313" s="17"/>
      <c r="F313" s="85">
        <f t="shared" si="436"/>
        <v>0</v>
      </c>
      <c r="G313" s="16"/>
      <c r="H313" s="16"/>
      <c r="I313" s="17"/>
      <c r="J313" s="17"/>
      <c r="K313" s="85">
        <f t="shared" si="437"/>
        <v>0</v>
      </c>
      <c r="L313" s="16">
        <v>1</v>
      </c>
      <c r="M313" s="16"/>
      <c r="N313" s="17"/>
      <c r="O313" s="17"/>
      <c r="P313" s="85">
        <f t="shared" si="438"/>
        <v>1</v>
      </c>
      <c r="Q313" s="16">
        <v>1</v>
      </c>
      <c r="R313" s="16"/>
      <c r="S313" s="17"/>
      <c r="T313" s="17"/>
      <c r="U313" s="85">
        <f t="shared" si="439"/>
        <v>1</v>
      </c>
      <c r="V313" s="16">
        <v>1</v>
      </c>
      <c r="W313" s="16"/>
      <c r="X313" s="17"/>
      <c r="Y313" s="17"/>
      <c r="Z313" s="85">
        <f t="shared" si="440"/>
        <v>1</v>
      </c>
      <c r="AA313" s="105">
        <f t="shared" si="441"/>
        <v>3</v>
      </c>
      <c r="AB313" s="114">
        <v>45639</v>
      </c>
      <c r="AC313" s="23"/>
      <c r="AD313" s="16"/>
      <c r="AE313" s="16"/>
      <c r="AF313" s="17"/>
      <c r="AG313" s="17"/>
      <c r="AH313" s="85">
        <f t="shared" si="454"/>
        <v>0</v>
      </c>
      <c r="AI313" s="16"/>
      <c r="AJ313" s="16"/>
      <c r="AK313" s="17"/>
      <c r="AL313" s="17"/>
      <c r="AM313" s="85">
        <f t="shared" si="455"/>
        <v>0</v>
      </c>
      <c r="AN313" s="16"/>
      <c r="AO313" s="16"/>
      <c r="AP313" s="17"/>
      <c r="AQ313" s="17"/>
      <c r="AR313" s="85">
        <f t="shared" si="456"/>
        <v>0</v>
      </c>
      <c r="AS313" s="16"/>
      <c r="AT313" s="16"/>
      <c r="AU313" s="17"/>
      <c r="AV313" s="17"/>
      <c r="AW313" s="85">
        <f t="shared" si="457"/>
        <v>0</v>
      </c>
      <c r="AX313" s="16"/>
      <c r="AY313" s="16"/>
      <c r="AZ313" s="17"/>
      <c r="BA313" s="17"/>
      <c r="BB313" s="85">
        <f t="shared" si="458"/>
        <v>0</v>
      </c>
      <c r="BC313" s="105">
        <f t="shared" si="459"/>
        <v>0</v>
      </c>
    </row>
    <row r="314" spans="1:56" x14ac:dyDescent="0.15">
      <c r="A314" s="23" t="s">
        <v>332</v>
      </c>
      <c r="B314" s="15"/>
      <c r="C314" s="25"/>
      <c r="D314" s="17"/>
      <c r="E314" s="17">
        <v>1</v>
      </c>
      <c r="F314" s="85">
        <f t="shared" si="436"/>
        <v>1</v>
      </c>
      <c r="G314" s="15"/>
      <c r="H314" s="25"/>
      <c r="I314" s="17"/>
      <c r="J314" s="17">
        <v>1</v>
      </c>
      <c r="K314" s="85">
        <f t="shared" si="437"/>
        <v>1</v>
      </c>
      <c r="L314" s="15"/>
      <c r="M314" s="25"/>
      <c r="N314" s="17"/>
      <c r="O314" s="17"/>
      <c r="P314" s="85">
        <f t="shared" si="438"/>
        <v>0</v>
      </c>
      <c r="Q314" s="15"/>
      <c r="R314" s="25"/>
      <c r="S314" s="17"/>
      <c r="T314" s="17"/>
      <c r="U314" s="85">
        <f t="shared" si="439"/>
        <v>0</v>
      </c>
      <c r="V314" s="15"/>
      <c r="W314" s="25"/>
      <c r="X314" s="17"/>
      <c r="Y314" s="17">
        <v>1</v>
      </c>
      <c r="Z314" s="85">
        <f t="shared" si="440"/>
        <v>1</v>
      </c>
      <c r="AA314" s="105">
        <f t="shared" si="441"/>
        <v>3</v>
      </c>
      <c r="AB314" s="114">
        <v>45644</v>
      </c>
      <c r="AC314" s="23"/>
      <c r="AD314" s="16"/>
      <c r="AE314" s="16"/>
      <c r="AF314" s="17"/>
      <c r="AG314" s="17"/>
      <c r="AH314" s="85">
        <f t="shared" ref="AH314" si="470">SUM(AD314:AG314)</f>
        <v>0</v>
      </c>
      <c r="AI314" s="16"/>
      <c r="AJ314" s="16"/>
      <c r="AK314" s="17"/>
      <c r="AL314" s="17"/>
      <c r="AM314" s="85">
        <f t="shared" ref="AM314" si="471">SUM(AI314:AL314)</f>
        <v>0</v>
      </c>
      <c r="AN314" s="16"/>
      <c r="AO314" s="16"/>
      <c r="AP314" s="17"/>
      <c r="AQ314" s="17"/>
      <c r="AR314" s="85">
        <f t="shared" ref="AR314" si="472">SUM(AN314:AQ314)</f>
        <v>0</v>
      </c>
      <c r="AS314" s="16"/>
      <c r="AT314" s="16"/>
      <c r="AU314" s="17"/>
      <c r="AV314" s="17"/>
      <c r="AW314" s="85">
        <f t="shared" ref="AW314" si="473">SUM(AS314:AV314)</f>
        <v>0</v>
      </c>
      <c r="AX314" s="16"/>
      <c r="AY314" s="16"/>
      <c r="AZ314" s="17"/>
      <c r="BA314" s="17"/>
      <c r="BB314" s="85">
        <f t="shared" ref="BB314" si="474">SUM(AX314:BA314)</f>
        <v>0</v>
      </c>
      <c r="BC314" s="105">
        <f t="shared" ref="BC314" si="475">BB314+AW314+AR314+AM314+AH314</f>
        <v>0</v>
      </c>
    </row>
    <row r="315" spans="1:56" x14ac:dyDescent="0.15">
      <c r="A315" s="23" t="s">
        <v>330</v>
      </c>
      <c r="B315" s="15"/>
      <c r="C315" s="16"/>
      <c r="D315" s="16"/>
      <c r="E315" s="63"/>
      <c r="F315" s="85">
        <f t="shared" si="436"/>
        <v>0</v>
      </c>
      <c r="G315" s="15"/>
      <c r="H315" s="16"/>
      <c r="I315" s="16"/>
      <c r="J315" s="63"/>
      <c r="K315" s="85">
        <f t="shared" si="437"/>
        <v>0</v>
      </c>
      <c r="L315" s="15"/>
      <c r="M315" s="16"/>
      <c r="N315" s="16"/>
      <c r="O315" s="63">
        <v>1</v>
      </c>
      <c r="P315" s="85">
        <f t="shared" si="438"/>
        <v>1</v>
      </c>
      <c r="Q315" s="15"/>
      <c r="R315" s="16"/>
      <c r="S315" s="16"/>
      <c r="T315" s="63">
        <v>1</v>
      </c>
      <c r="U315" s="85">
        <f t="shared" si="439"/>
        <v>1</v>
      </c>
      <c r="V315" s="15"/>
      <c r="W315" s="16"/>
      <c r="X315" s="16"/>
      <c r="Y315" s="63">
        <v>1</v>
      </c>
      <c r="Z315" s="85">
        <f t="shared" si="440"/>
        <v>1</v>
      </c>
      <c r="AA315" s="105">
        <f t="shared" si="441"/>
        <v>3</v>
      </c>
      <c r="AB315" s="114">
        <v>45644</v>
      </c>
      <c r="AC315" s="23"/>
      <c r="AD315" s="16"/>
      <c r="AE315" s="16"/>
      <c r="AF315" s="17"/>
      <c r="AG315" s="17"/>
      <c r="AH315" s="85">
        <f t="shared" ref="AH315" si="476">SUM(AD315:AG315)</f>
        <v>0</v>
      </c>
      <c r="AI315" s="16"/>
      <c r="AJ315" s="16"/>
      <c r="AK315" s="17"/>
      <c r="AL315" s="17"/>
      <c r="AM315" s="85">
        <f t="shared" ref="AM315" si="477">SUM(AI315:AL315)</f>
        <v>0</v>
      </c>
      <c r="AN315" s="16"/>
      <c r="AO315" s="16"/>
      <c r="AP315" s="17"/>
      <c r="AQ315" s="17"/>
      <c r="AR315" s="85">
        <f t="shared" ref="AR315" si="478">SUM(AN315:AQ315)</f>
        <v>0</v>
      </c>
      <c r="AS315" s="16"/>
      <c r="AT315" s="16"/>
      <c r="AU315" s="17"/>
      <c r="AV315" s="17"/>
      <c r="AW315" s="85">
        <f t="shared" ref="AW315" si="479">SUM(AS315:AV315)</f>
        <v>0</v>
      </c>
      <c r="AX315" s="16"/>
      <c r="AY315" s="16"/>
      <c r="AZ315" s="17"/>
      <c r="BA315" s="17"/>
      <c r="BB315" s="85">
        <f t="shared" ref="BB315" si="480">SUM(AX315:BA315)</f>
        <v>0</v>
      </c>
      <c r="BC315" s="105">
        <f t="shared" ref="BC315" si="481">BB315+AW315+AR315+AM315+AH315</f>
        <v>0</v>
      </c>
    </row>
    <row r="316" spans="1:56" ht="14.25" thickBot="1" x14ac:dyDescent="0.2">
      <c r="A316" s="23"/>
      <c r="B316" s="15"/>
      <c r="C316" s="16"/>
      <c r="D316" s="16"/>
      <c r="E316" s="63"/>
      <c r="F316" s="85">
        <f t="shared" si="436"/>
        <v>0</v>
      </c>
      <c r="G316" s="15"/>
      <c r="H316" s="16"/>
      <c r="I316" s="16"/>
      <c r="J316" s="63"/>
      <c r="K316" s="85">
        <f t="shared" si="437"/>
        <v>0</v>
      </c>
      <c r="L316" s="15"/>
      <c r="M316" s="16"/>
      <c r="N316" s="16"/>
      <c r="O316" s="63"/>
      <c r="P316" s="85">
        <f t="shared" si="438"/>
        <v>0</v>
      </c>
      <c r="Q316" s="15"/>
      <c r="R316" s="16"/>
      <c r="S316" s="16"/>
      <c r="T316" s="63"/>
      <c r="U316" s="85">
        <f t="shared" si="439"/>
        <v>0</v>
      </c>
      <c r="V316" s="15"/>
      <c r="W316" s="16"/>
      <c r="X316" s="16"/>
      <c r="Y316" s="63"/>
      <c r="Z316" s="85">
        <f t="shared" si="440"/>
        <v>0</v>
      </c>
      <c r="AA316" s="105">
        <f t="shared" si="441"/>
        <v>0</v>
      </c>
      <c r="AC316" s="23"/>
      <c r="AD316" s="16"/>
      <c r="AE316" s="16"/>
      <c r="AF316" s="17"/>
      <c r="AG316" s="17"/>
      <c r="AH316" s="85">
        <f t="shared" ref="AH316" si="482">SUM(AD316:AG316)</f>
        <v>0</v>
      </c>
      <c r="AI316" s="16"/>
      <c r="AJ316" s="16"/>
      <c r="AK316" s="17"/>
      <c r="AL316" s="17"/>
      <c r="AM316" s="85">
        <f t="shared" ref="AM316" si="483">SUM(AI316:AL316)</f>
        <v>0</v>
      </c>
      <c r="AN316" s="16"/>
      <c r="AO316" s="16"/>
      <c r="AP316" s="17"/>
      <c r="AQ316" s="17"/>
      <c r="AR316" s="85">
        <f t="shared" ref="AR316" si="484">SUM(AN316:AQ316)</f>
        <v>0</v>
      </c>
      <c r="AS316" s="16"/>
      <c r="AT316" s="16"/>
      <c r="AU316" s="17"/>
      <c r="AV316" s="17"/>
      <c r="AW316" s="85">
        <f t="shared" ref="AW316" si="485">SUM(AS316:AV316)</f>
        <v>0</v>
      </c>
      <c r="AX316" s="16"/>
      <c r="AY316" s="16"/>
      <c r="AZ316" s="17"/>
      <c r="BA316" s="17"/>
      <c r="BB316" s="85">
        <f t="shared" ref="BB316" si="486">SUM(AX316:BA316)</f>
        <v>0</v>
      </c>
      <c r="BC316" s="105">
        <f t="shared" ref="BC316" si="487">BB316+AW316+AR316+AM316+AH316</f>
        <v>0</v>
      </c>
    </row>
    <row r="317" spans="1:56" ht="14.25" thickBot="1" x14ac:dyDescent="0.2">
      <c r="A317" s="27" t="s">
        <v>12</v>
      </c>
      <c r="B317" s="57">
        <f>SUM(B291:B316)</f>
        <v>2</v>
      </c>
      <c r="C317" s="50">
        <f t="shared" ref="C317:D317" si="488">SUM(C291:C316)</f>
        <v>2</v>
      </c>
      <c r="D317" s="50">
        <f t="shared" si="488"/>
        <v>3</v>
      </c>
      <c r="E317" s="50">
        <f>SUM(E291:E316)</f>
        <v>4</v>
      </c>
      <c r="F317" s="88">
        <f t="shared" si="436"/>
        <v>11</v>
      </c>
      <c r="G317" s="57">
        <f>SUM(G291:G316)</f>
        <v>-1</v>
      </c>
      <c r="H317" s="50">
        <f t="shared" ref="H317:I317" si="489">SUM(H291:H316)</f>
        <v>4</v>
      </c>
      <c r="I317" s="50">
        <f t="shared" si="489"/>
        <v>4</v>
      </c>
      <c r="J317" s="50">
        <f>SUM(J291:J316)</f>
        <v>3</v>
      </c>
      <c r="K317" s="88">
        <f t="shared" si="437"/>
        <v>10</v>
      </c>
      <c r="L317" s="57">
        <f>SUM(L291:L316)</f>
        <v>6</v>
      </c>
      <c r="M317" s="50">
        <f t="shared" ref="M317:N317" si="490">SUM(M291:M316)</f>
        <v>3</v>
      </c>
      <c r="N317" s="50">
        <f t="shared" si="490"/>
        <v>2</v>
      </c>
      <c r="O317" s="50">
        <f>SUM(O291:O316)</f>
        <v>2</v>
      </c>
      <c r="P317" s="88">
        <f t="shared" si="438"/>
        <v>13</v>
      </c>
      <c r="Q317" s="57">
        <f>SUM(Q291:Q316)</f>
        <v>9</v>
      </c>
      <c r="R317" s="50">
        <f t="shared" ref="R317:S317" si="491">SUM(R291:R316)</f>
        <v>9</v>
      </c>
      <c r="S317" s="50">
        <f t="shared" si="491"/>
        <v>4</v>
      </c>
      <c r="T317" s="50">
        <f>SUM(T291:T316)</f>
        <v>5</v>
      </c>
      <c r="U317" s="88">
        <f t="shared" si="439"/>
        <v>27</v>
      </c>
      <c r="V317" s="57">
        <f>SUM(V291:V316)</f>
        <v>7</v>
      </c>
      <c r="W317" s="50">
        <f t="shared" ref="W317:X317" si="492">SUM(W291:W316)</f>
        <v>4</v>
      </c>
      <c r="X317" s="50">
        <f t="shared" si="492"/>
        <v>7</v>
      </c>
      <c r="Y317" s="50">
        <f>SUM(Y291:Y316)</f>
        <v>8</v>
      </c>
      <c r="Z317" s="88">
        <f t="shared" si="440"/>
        <v>26</v>
      </c>
      <c r="AA317" s="109">
        <f t="shared" si="441"/>
        <v>87</v>
      </c>
      <c r="AC317" s="27" t="s">
        <v>12</v>
      </c>
      <c r="AD317" s="57">
        <f>SUM(AD291:AD316)</f>
        <v>1</v>
      </c>
      <c r="AE317" s="50">
        <f t="shared" ref="AE317:AF317" si="493">SUM(AE291:AE316)</f>
        <v>8</v>
      </c>
      <c r="AF317" s="50">
        <f t="shared" si="493"/>
        <v>8</v>
      </c>
      <c r="AG317" s="50">
        <f>SUM(AG291:AG316)</f>
        <v>6</v>
      </c>
      <c r="AH317" s="88">
        <f t="shared" si="454"/>
        <v>23</v>
      </c>
      <c r="AI317" s="57">
        <f>SUM(AI291:AI316)</f>
        <v>16</v>
      </c>
      <c r="AJ317" s="50">
        <f t="shared" ref="AJ317:AK317" si="494">SUM(AJ291:AJ316)</f>
        <v>10</v>
      </c>
      <c r="AK317" s="50">
        <f t="shared" si="494"/>
        <v>10</v>
      </c>
      <c r="AL317" s="50">
        <f>SUM(AL291:AL316)</f>
        <v>4</v>
      </c>
      <c r="AM317" s="88">
        <f t="shared" si="455"/>
        <v>40</v>
      </c>
      <c r="AN317" s="57">
        <f>SUM(AN291:AN316)</f>
        <v>24</v>
      </c>
      <c r="AO317" s="50">
        <f t="shared" ref="AO317:AP317" si="495">SUM(AO291:AO316)</f>
        <v>17</v>
      </c>
      <c r="AP317" s="50">
        <f t="shared" si="495"/>
        <v>17</v>
      </c>
      <c r="AQ317" s="50">
        <f>SUM(AQ291:AQ316)</f>
        <v>9</v>
      </c>
      <c r="AR317" s="88">
        <f t="shared" si="456"/>
        <v>67</v>
      </c>
      <c r="AS317" s="57">
        <f>SUM(AS291:AS316)</f>
        <v>28</v>
      </c>
      <c r="AT317" s="50">
        <f t="shared" ref="AT317:AU317" si="496">SUM(AT291:AT316)</f>
        <v>22</v>
      </c>
      <c r="AU317" s="50">
        <f t="shared" si="496"/>
        <v>3</v>
      </c>
      <c r="AV317" s="50">
        <f>SUM(AV291:AV316)</f>
        <v>9</v>
      </c>
      <c r="AW317" s="88">
        <f t="shared" si="457"/>
        <v>62</v>
      </c>
      <c r="AX317" s="57">
        <f>SUM(AX291:AX316)</f>
        <v>26</v>
      </c>
      <c r="AY317" s="50">
        <f t="shared" ref="AY317:AZ317" si="497">SUM(AY291:AY316)</f>
        <v>24</v>
      </c>
      <c r="AZ317" s="50">
        <f t="shared" si="497"/>
        <v>19</v>
      </c>
      <c r="BA317" s="50">
        <f>SUM(BA291:BA316)</f>
        <v>12</v>
      </c>
      <c r="BB317" s="88">
        <f t="shared" si="458"/>
        <v>81</v>
      </c>
      <c r="BC317" s="109">
        <f t="shared" si="459"/>
        <v>273</v>
      </c>
    </row>
    <row r="318" spans="1:56" ht="14.25" thickBot="1" x14ac:dyDescent="0.2">
      <c r="A318" s="21" t="s">
        <v>13</v>
      </c>
      <c r="B318" s="101">
        <f>B290-B317</f>
        <v>8</v>
      </c>
      <c r="C318" s="8">
        <f t="shared" ref="C318:D318" si="498">C290-C317</f>
        <v>6</v>
      </c>
      <c r="D318" s="8">
        <f t="shared" si="498"/>
        <v>7</v>
      </c>
      <c r="E318" s="8">
        <f>E290-E317</f>
        <v>4</v>
      </c>
      <c r="F318" s="87">
        <f t="shared" si="436"/>
        <v>25</v>
      </c>
      <c r="G318" s="101">
        <f>G290-G317</f>
        <v>7</v>
      </c>
      <c r="H318" s="8">
        <f t="shared" ref="H318:I318" si="499">H290-H317</f>
        <v>6</v>
      </c>
      <c r="I318" s="8">
        <f t="shared" si="499"/>
        <v>7</v>
      </c>
      <c r="J318" s="8">
        <f>J290-J317</f>
        <v>4</v>
      </c>
      <c r="K318" s="87">
        <f t="shared" si="437"/>
        <v>24</v>
      </c>
      <c r="L318" s="101">
        <f>L290-L317</f>
        <v>6</v>
      </c>
      <c r="M318" s="8">
        <f t="shared" ref="M318:N318" si="500">M290-M317</f>
        <v>6</v>
      </c>
      <c r="N318" s="8">
        <f t="shared" si="500"/>
        <v>7</v>
      </c>
      <c r="O318" s="8">
        <f>O290-O317</f>
        <v>4</v>
      </c>
      <c r="P318" s="87">
        <f t="shared" si="438"/>
        <v>23</v>
      </c>
      <c r="Q318" s="101">
        <f>Q290-Q317</f>
        <v>5</v>
      </c>
      <c r="R318" s="8">
        <f t="shared" ref="R318:S318" si="501">R290-R317</f>
        <v>5</v>
      </c>
      <c r="S318" s="8">
        <f t="shared" si="501"/>
        <v>7</v>
      </c>
      <c r="T318" s="8">
        <f>T290-T317</f>
        <v>6</v>
      </c>
      <c r="U318" s="87">
        <f t="shared" si="439"/>
        <v>23</v>
      </c>
      <c r="V318" s="101">
        <f>V290-V317</f>
        <v>7</v>
      </c>
      <c r="W318" s="8">
        <f t="shared" ref="W318:X318" si="502">W290-W317</f>
        <v>7</v>
      </c>
      <c r="X318" s="8">
        <f t="shared" si="502"/>
        <v>6</v>
      </c>
      <c r="Y318" s="8">
        <f>Y290-Y317</f>
        <v>5</v>
      </c>
      <c r="Z318" s="87">
        <f t="shared" si="440"/>
        <v>25</v>
      </c>
      <c r="AA318" s="107">
        <f t="shared" si="441"/>
        <v>120</v>
      </c>
      <c r="AC318" s="29" t="s">
        <v>13</v>
      </c>
      <c r="AD318" s="32">
        <f>AD290-AD317</f>
        <v>132</v>
      </c>
      <c r="AE318" s="44">
        <f t="shared" ref="AE318:AF318" si="503">AE290-AE317</f>
        <v>274</v>
      </c>
      <c r="AF318" s="44">
        <f t="shared" si="503"/>
        <v>78</v>
      </c>
      <c r="AG318" s="44">
        <f>AG290-AG317</f>
        <v>452</v>
      </c>
      <c r="AH318" s="87">
        <f t="shared" si="454"/>
        <v>936</v>
      </c>
      <c r="AI318" s="32">
        <f>AI290-AI317</f>
        <v>115</v>
      </c>
      <c r="AJ318" s="44">
        <f t="shared" ref="AJ318:AK318" si="504">AJ290-AJ317</f>
        <v>266</v>
      </c>
      <c r="AK318" s="44">
        <f t="shared" si="504"/>
        <v>82</v>
      </c>
      <c r="AL318" s="44">
        <f>AL290-AL317</f>
        <v>468</v>
      </c>
      <c r="AM318" s="87">
        <f t="shared" si="455"/>
        <v>931</v>
      </c>
      <c r="AN318" s="32">
        <f>AN290-AN317</f>
        <v>220</v>
      </c>
      <c r="AO318" s="44">
        <f t="shared" ref="AO318:AP318" si="505">AO290-AO317</f>
        <v>575</v>
      </c>
      <c r="AP318" s="44">
        <f t="shared" si="505"/>
        <v>215</v>
      </c>
      <c r="AQ318" s="44">
        <f>AQ290-AQ317</f>
        <v>438</v>
      </c>
      <c r="AR318" s="87">
        <f t="shared" si="456"/>
        <v>1448</v>
      </c>
      <c r="AS318" s="32">
        <f>AS290-AS317</f>
        <v>101</v>
      </c>
      <c r="AT318" s="44">
        <f t="shared" ref="AT318:AU318" si="506">AT290-AT317</f>
        <v>376</v>
      </c>
      <c r="AU318" s="44">
        <f t="shared" si="506"/>
        <v>176</v>
      </c>
      <c r="AV318" s="44">
        <f>AV290-AV317</f>
        <v>592</v>
      </c>
      <c r="AW318" s="87">
        <f t="shared" si="457"/>
        <v>1245</v>
      </c>
      <c r="AX318" s="32">
        <f>AX290-AX317</f>
        <v>1136</v>
      </c>
      <c r="AY318" s="44">
        <f t="shared" ref="AY318:AZ318" si="507">AY290-AY317</f>
        <v>1169</v>
      </c>
      <c r="AZ318" s="44">
        <f t="shared" si="507"/>
        <v>605</v>
      </c>
      <c r="BA318" s="44">
        <f>BA290-BA317</f>
        <v>232</v>
      </c>
      <c r="BB318" s="87">
        <f t="shared" si="458"/>
        <v>3142</v>
      </c>
      <c r="BC318" s="107">
        <f t="shared" si="459"/>
        <v>7702</v>
      </c>
    </row>
    <row r="319" spans="1:56" x14ac:dyDescent="0.15">
      <c r="AD319" s="80"/>
      <c r="AE319" s="80"/>
      <c r="AF319" s="80"/>
      <c r="AG319" s="80"/>
      <c r="AH319" s="191"/>
    </row>
    <row r="321" spans="1:56" ht="19.5" thickBot="1" x14ac:dyDescent="0.25">
      <c r="A321" s="271" t="s">
        <v>22</v>
      </c>
      <c r="B321" s="271"/>
      <c r="C321" s="271"/>
      <c r="D321" s="271"/>
      <c r="E321" s="271"/>
      <c r="F321" s="271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C321" s="79" t="s">
        <v>69</v>
      </c>
      <c r="AD321" s="79"/>
      <c r="AE321" s="79"/>
      <c r="AF321" s="79"/>
      <c r="AG321" s="79"/>
      <c r="AH321" s="79"/>
      <c r="AI321" s="93"/>
      <c r="AJ321" s="93"/>
      <c r="AK321" s="93"/>
      <c r="AL321" s="93"/>
      <c r="AM321" s="93"/>
      <c r="AN321" s="93"/>
      <c r="AO321" s="93"/>
      <c r="AP321" s="93"/>
      <c r="AQ321" s="93"/>
      <c r="AR321" s="93"/>
      <c r="AS321" s="93"/>
      <c r="AT321" s="78"/>
      <c r="AU321" s="78"/>
      <c r="AV321" s="78"/>
      <c r="AW321" s="78"/>
      <c r="AX321" s="78"/>
      <c r="AY321" s="78"/>
      <c r="AZ321" s="78"/>
      <c r="BA321" s="78"/>
      <c r="BB321" s="78"/>
      <c r="BC321" s="78"/>
    </row>
    <row r="322" spans="1:56" ht="14.25" thickBot="1" x14ac:dyDescent="0.2">
      <c r="A322" s="2" t="s">
        <v>0</v>
      </c>
      <c r="B322" s="256" t="s">
        <v>23</v>
      </c>
      <c r="C322" s="257"/>
      <c r="D322" s="257"/>
      <c r="E322" s="258"/>
      <c r="F322" s="81"/>
      <c r="G322" s="259" t="s">
        <v>24</v>
      </c>
      <c r="H322" s="260"/>
      <c r="I322" s="260"/>
      <c r="J322" s="261"/>
      <c r="K322" s="81"/>
      <c r="L322" s="262" t="s">
        <v>25</v>
      </c>
      <c r="M322" s="263"/>
      <c r="N322" s="263"/>
      <c r="O322" s="264"/>
      <c r="P322" s="81"/>
      <c r="Q322" s="265" t="s">
        <v>26</v>
      </c>
      <c r="R322" s="266"/>
      <c r="S322" s="266"/>
      <c r="T322" s="267"/>
      <c r="U322" s="81"/>
      <c r="V322" s="268" t="s">
        <v>27</v>
      </c>
      <c r="W322" s="269"/>
      <c r="X322" s="269"/>
      <c r="Y322" s="270"/>
      <c r="Z322" s="81"/>
      <c r="AA322" s="272" t="s">
        <v>6</v>
      </c>
      <c r="AC322" s="2" t="s">
        <v>0</v>
      </c>
      <c r="AD322" s="256" t="s">
        <v>23</v>
      </c>
      <c r="AE322" s="257"/>
      <c r="AF322" s="257"/>
      <c r="AG322" s="258"/>
      <c r="AH322" s="81"/>
      <c r="AI322" s="259" t="s">
        <v>24</v>
      </c>
      <c r="AJ322" s="260"/>
      <c r="AK322" s="260"/>
      <c r="AL322" s="261"/>
      <c r="AM322" s="81"/>
      <c r="AN322" s="262" t="s">
        <v>25</v>
      </c>
      <c r="AO322" s="263"/>
      <c r="AP322" s="263"/>
      <c r="AQ322" s="264"/>
      <c r="AR322" s="81"/>
      <c r="AS322" s="265" t="s">
        <v>26</v>
      </c>
      <c r="AT322" s="266"/>
      <c r="AU322" s="266"/>
      <c r="AV322" s="267"/>
      <c r="AW322" s="81"/>
      <c r="AX322" s="268" t="s">
        <v>27</v>
      </c>
      <c r="AY322" s="269"/>
      <c r="AZ322" s="269"/>
      <c r="BA322" s="270"/>
      <c r="BB322" s="81"/>
      <c r="BC322" s="183" t="s">
        <v>6</v>
      </c>
    </row>
    <row r="323" spans="1:56" ht="14.25" thickBot="1" x14ac:dyDescent="0.2">
      <c r="A323" s="2" t="s">
        <v>2</v>
      </c>
      <c r="B323" s="3" t="s">
        <v>3</v>
      </c>
      <c r="C323" s="4" t="s">
        <v>4</v>
      </c>
      <c r="D323" s="5" t="s">
        <v>5</v>
      </c>
      <c r="E323" s="5" t="s">
        <v>20</v>
      </c>
      <c r="F323" s="82" t="s">
        <v>6</v>
      </c>
      <c r="G323" s="89" t="s">
        <v>3</v>
      </c>
      <c r="H323" s="4" t="s">
        <v>4</v>
      </c>
      <c r="I323" s="5" t="s">
        <v>5</v>
      </c>
      <c r="J323" s="5" t="s">
        <v>20</v>
      </c>
      <c r="K323" s="82" t="s">
        <v>6</v>
      </c>
      <c r="L323" s="89" t="s">
        <v>3</v>
      </c>
      <c r="M323" s="4" t="s">
        <v>4</v>
      </c>
      <c r="N323" s="5" t="s">
        <v>5</v>
      </c>
      <c r="O323" s="5" t="s">
        <v>20</v>
      </c>
      <c r="P323" s="82" t="s">
        <v>6</v>
      </c>
      <c r="Q323" s="89" t="s">
        <v>3</v>
      </c>
      <c r="R323" s="4" t="s">
        <v>4</v>
      </c>
      <c r="S323" s="5" t="s">
        <v>5</v>
      </c>
      <c r="T323" s="5" t="s">
        <v>20</v>
      </c>
      <c r="U323" s="82" t="s">
        <v>6</v>
      </c>
      <c r="V323" s="89" t="s">
        <v>3</v>
      </c>
      <c r="W323" s="4" t="s">
        <v>4</v>
      </c>
      <c r="X323" s="5" t="s">
        <v>5</v>
      </c>
      <c r="Y323" s="5" t="s">
        <v>20</v>
      </c>
      <c r="Z323" s="82" t="s">
        <v>6</v>
      </c>
      <c r="AA323" s="273"/>
      <c r="AC323" s="2" t="s">
        <v>2</v>
      </c>
      <c r="AD323" s="3" t="s">
        <v>3</v>
      </c>
      <c r="AE323" s="4" t="s">
        <v>4</v>
      </c>
      <c r="AF323" s="5" t="s">
        <v>5</v>
      </c>
      <c r="AG323" s="5" t="s">
        <v>20</v>
      </c>
      <c r="AH323" s="82" t="s">
        <v>6</v>
      </c>
      <c r="AI323" s="89" t="s">
        <v>3</v>
      </c>
      <c r="AJ323" s="4" t="s">
        <v>4</v>
      </c>
      <c r="AK323" s="5" t="s">
        <v>5</v>
      </c>
      <c r="AL323" s="5" t="s">
        <v>20</v>
      </c>
      <c r="AM323" s="82" t="s">
        <v>6</v>
      </c>
      <c r="AN323" s="89" t="s">
        <v>3</v>
      </c>
      <c r="AO323" s="4" t="s">
        <v>4</v>
      </c>
      <c r="AP323" s="5" t="s">
        <v>5</v>
      </c>
      <c r="AQ323" s="5" t="s">
        <v>20</v>
      </c>
      <c r="AR323" s="82" t="s">
        <v>6</v>
      </c>
      <c r="AS323" s="89" t="s">
        <v>3</v>
      </c>
      <c r="AT323" s="4" t="s">
        <v>4</v>
      </c>
      <c r="AU323" s="5" t="s">
        <v>5</v>
      </c>
      <c r="AV323" s="5" t="s">
        <v>20</v>
      </c>
      <c r="AW323" s="82" t="s">
        <v>6</v>
      </c>
      <c r="AX323" s="89" t="s">
        <v>3</v>
      </c>
      <c r="AY323" s="4" t="s">
        <v>4</v>
      </c>
      <c r="AZ323" s="5" t="s">
        <v>5</v>
      </c>
      <c r="BA323" s="5" t="s">
        <v>20</v>
      </c>
      <c r="BB323" s="82" t="s">
        <v>6</v>
      </c>
      <c r="BC323" s="184"/>
    </row>
    <row r="324" spans="1:56" x14ac:dyDescent="0.15">
      <c r="A324" s="40" t="s">
        <v>13</v>
      </c>
      <c r="B324" s="41">
        <f>B318</f>
        <v>8</v>
      </c>
      <c r="C324" s="42">
        <f>C318</f>
        <v>6</v>
      </c>
      <c r="D324" s="42">
        <f t="shared" ref="D324:AA324" si="508">D318</f>
        <v>7</v>
      </c>
      <c r="E324" s="94">
        <f t="shared" si="508"/>
        <v>4</v>
      </c>
      <c r="F324" s="95">
        <f t="shared" si="508"/>
        <v>25</v>
      </c>
      <c r="G324" s="96">
        <f t="shared" si="508"/>
        <v>7</v>
      </c>
      <c r="H324" s="42">
        <f t="shared" si="508"/>
        <v>6</v>
      </c>
      <c r="I324" s="42">
        <f t="shared" si="508"/>
        <v>7</v>
      </c>
      <c r="J324" s="94">
        <f t="shared" si="508"/>
        <v>4</v>
      </c>
      <c r="K324" s="95">
        <f t="shared" si="508"/>
        <v>24</v>
      </c>
      <c r="L324" s="96">
        <f t="shared" si="508"/>
        <v>6</v>
      </c>
      <c r="M324" s="42">
        <f t="shared" si="508"/>
        <v>6</v>
      </c>
      <c r="N324" s="42">
        <f t="shared" si="508"/>
        <v>7</v>
      </c>
      <c r="O324" s="94">
        <f t="shared" si="508"/>
        <v>4</v>
      </c>
      <c r="P324" s="95">
        <f t="shared" si="508"/>
        <v>23</v>
      </c>
      <c r="Q324" s="96">
        <f t="shared" si="508"/>
        <v>5</v>
      </c>
      <c r="R324" s="42">
        <f t="shared" si="508"/>
        <v>5</v>
      </c>
      <c r="S324" s="42">
        <f t="shared" si="508"/>
        <v>7</v>
      </c>
      <c r="T324" s="94">
        <f t="shared" si="508"/>
        <v>6</v>
      </c>
      <c r="U324" s="95">
        <f t="shared" si="508"/>
        <v>23</v>
      </c>
      <c r="V324" s="96">
        <f t="shared" si="508"/>
        <v>7</v>
      </c>
      <c r="W324" s="42">
        <f t="shared" si="508"/>
        <v>7</v>
      </c>
      <c r="X324" s="42">
        <f t="shared" si="508"/>
        <v>6</v>
      </c>
      <c r="Y324" s="94">
        <f t="shared" si="508"/>
        <v>5</v>
      </c>
      <c r="Z324" s="95">
        <f t="shared" si="508"/>
        <v>25</v>
      </c>
      <c r="AA324" s="104">
        <f t="shared" si="508"/>
        <v>120</v>
      </c>
      <c r="AC324" s="131" t="s">
        <v>13</v>
      </c>
      <c r="AD324" s="96">
        <f>AD318</f>
        <v>132</v>
      </c>
      <c r="AE324" s="42">
        <f>AE318</f>
        <v>274</v>
      </c>
      <c r="AF324" s="42">
        <f t="shared" ref="AF324:BC324" si="509">AF318</f>
        <v>78</v>
      </c>
      <c r="AG324" s="94">
        <f t="shared" si="509"/>
        <v>452</v>
      </c>
      <c r="AH324" s="95">
        <f t="shared" si="509"/>
        <v>936</v>
      </c>
      <c r="AI324" s="96">
        <f t="shared" si="509"/>
        <v>115</v>
      </c>
      <c r="AJ324" s="42">
        <f t="shared" si="509"/>
        <v>266</v>
      </c>
      <c r="AK324" s="42">
        <f t="shared" si="509"/>
        <v>82</v>
      </c>
      <c r="AL324" s="94">
        <f t="shared" si="509"/>
        <v>468</v>
      </c>
      <c r="AM324" s="95">
        <f t="shared" si="509"/>
        <v>931</v>
      </c>
      <c r="AN324" s="96">
        <f t="shared" si="509"/>
        <v>220</v>
      </c>
      <c r="AO324" s="42">
        <f t="shared" si="509"/>
        <v>575</v>
      </c>
      <c r="AP324" s="42">
        <f t="shared" si="509"/>
        <v>215</v>
      </c>
      <c r="AQ324" s="94">
        <f t="shared" si="509"/>
        <v>438</v>
      </c>
      <c r="AR324" s="95">
        <f t="shared" si="509"/>
        <v>1448</v>
      </c>
      <c r="AS324" s="96">
        <f t="shared" si="509"/>
        <v>101</v>
      </c>
      <c r="AT324" s="42">
        <f t="shared" si="509"/>
        <v>376</v>
      </c>
      <c r="AU324" s="42">
        <f t="shared" si="509"/>
        <v>176</v>
      </c>
      <c r="AV324" s="94">
        <f t="shared" si="509"/>
        <v>592</v>
      </c>
      <c r="AW324" s="95">
        <f t="shared" si="509"/>
        <v>1245</v>
      </c>
      <c r="AX324" s="96">
        <f t="shared" si="509"/>
        <v>1136</v>
      </c>
      <c r="AY324" s="42">
        <f t="shared" si="509"/>
        <v>1169</v>
      </c>
      <c r="AZ324" s="42">
        <f t="shared" si="509"/>
        <v>605</v>
      </c>
      <c r="BA324" s="94">
        <f t="shared" si="509"/>
        <v>232</v>
      </c>
      <c r="BB324" s="95">
        <f t="shared" si="509"/>
        <v>3142</v>
      </c>
      <c r="BC324" s="104">
        <f t="shared" si="509"/>
        <v>7702</v>
      </c>
    </row>
    <row r="325" spans="1:56" x14ac:dyDescent="0.15">
      <c r="A325" s="9" t="s">
        <v>7</v>
      </c>
      <c r="B325" s="10"/>
      <c r="C325" s="11"/>
      <c r="D325" s="12"/>
      <c r="E325" s="12">
        <v>3</v>
      </c>
      <c r="F325" s="84">
        <f t="shared" ref="F325:F358" si="510">SUM(B325:E325)</f>
        <v>3</v>
      </c>
      <c r="G325" s="90">
        <v>3</v>
      </c>
      <c r="H325" s="11"/>
      <c r="I325" s="12"/>
      <c r="J325" s="12"/>
      <c r="K325" s="84">
        <f t="shared" ref="K325:K358" si="511">SUM(G325:J325)</f>
        <v>3</v>
      </c>
      <c r="L325" s="90">
        <v>3</v>
      </c>
      <c r="M325" s="11">
        <v>3</v>
      </c>
      <c r="N325" s="12"/>
      <c r="O325" s="12">
        <v>3</v>
      </c>
      <c r="P325" s="84">
        <f t="shared" ref="P325:P358" si="512">SUM(L325:O325)</f>
        <v>9</v>
      </c>
      <c r="Q325" s="90">
        <v>3</v>
      </c>
      <c r="R325" s="11">
        <v>3</v>
      </c>
      <c r="S325" s="12"/>
      <c r="T325" s="12"/>
      <c r="U325" s="84">
        <f t="shared" ref="U325:U358" si="513">SUM(Q325:T325)</f>
        <v>6</v>
      </c>
      <c r="V325" s="90"/>
      <c r="W325" s="11"/>
      <c r="X325" s="12"/>
      <c r="Y325" s="12"/>
      <c r="Z325" s="84">
        <f t="shared" ref="Z325:Z358" si="514">SUM(V325:Y325)</f>
        <v>0</v>
      </c>
      <c r="AA325" s="105">
        <f t="shared" ref="AA325:AA358" si="515">Z325+U325+P325+K325+F325</f>
        <v>21</v>
      </c>
      <c r="AB325" s="114">
        <v>45644</v>
      </c>
      <c r="AC325" s="117" t="s">
        <v>313</v>
      </c>
      <c r="AD325" s="90"/>
      <c r="AE325" s="11"/>
      <c r="AF325" s="12"/>
      <c r="AG325" s="12"/>
      <c r="AH325" s="84">
        <f t="shared" ref="AH325:AH327" si="516">SUM(AD325:AG325)</f>
        <v>0</v>
      </c>
      <c r="AI325" s="90"/>
      <c r="AJ325" s="11"/>
      <c r="AK325" s="12"/>
      <c r="AL325" s="12"/>
      <c r="AM325" s="84">
        <f t="shared" ref="AM325:AM327" si="517">SUM(AI325:AL325)</f>
        <v>0</v>
      </c>
      <c r="AN325" s="90"/>
      <c r="AO325" s="11"/>
      <c r="AP325" s="12"/>
      <c r="AQ325" s="12"/>
      <c r="AR325" s="84">
        <f t="shared" ref="AR325:AR327" si="518">SUM(AN325:AQ325)</f>
        <v>0</v>
      </c>
      <c r="AS325" s="90"/>
      <c r="AT325" s="11"/>
      <c r="AU325" s="12"/>
      <c r="AV325" s="12"/>
      <c r="AW325" s="84">
        <f t="shared" ref="AW325:AW327" si="519">SUM(AS325:AV325)</f>
        <v>0</v>
      </c>
      <c r="AX325" s="90"/>
      <c r="AY325" s="11"/>
      <c r="AZ325" s="12"/>
      <c r="BA325" s="12"/>
      <c r="BB325" s="84">
        <f t="shared" ref="BB325:BB327" si="520">SUM(AX325:BA325)</f>
        <v>0</v>
      </c>
      <c r="BC325" s="105">
        <f t="shared" ref="BC325:BC327" si="521">BB325+AW325+AR325+AM325+AH325</f>
        <v>0</v>
      </c>
      <c r="BD325" s="76"/>
    </row>
    <row r="326" spans="1:56" x14ac:dyDescent="0.15">
      <c r="A326" s="9" t="s">
        <v>8</v>
      </c>
      <c r="B326" s="10"/>
      <c r="C326" s="11"/>
      <c r="D326" s="12">
        <v>3</v>
      </c>
      <c r="E326" s="12"/>
      <c r="F326" s="85">
        <f t="shared" si="510"/>
        <v>3</v>
      </c>
      <c r="G326" s="90"/>
      <c r="H326" s="11"/>
      <c r="I326" s="12">
        <v>3</v>
      </c>
      <c r="J326" s="12">
        <v>3</v>
      </c>
      <c r="K326" s="85">
        <f t="shared" si="511"/>
        <v>6</v>
      </c>
      <c r="L326" s="90"/>
      <c r="M326" s="11"/>
      <c r="N326" s="12">
        <v>3</v>
      </c>
      <c r="O326" s="12"/>
      <c r="P326" s="85">
        <f t="shared" si="512"/>
        <v>3</v>
      </c>
      <c r="Q326" s="90">
        <v>3</v>
      </c>
      <c r="R326" s="11">
        <v>3</v>
      </c>
      <c r="S326" s="12"/>
      <c r="T326" s="12"/>
      <c r="U326" s="85">
        <f t="shared" si="513"/>
        <v>6</v>
      </c>
      <c r="V326" s="90">
        <v>3</v>
      </c>
      <c r="W326" s="11"/>
      <c r="X326" s="12">
        <v>5</v>
      </c>
      <c r="Y326" s="12"/>
      <c r="Z326" s="85">
        <f t="shared" si="514"/>
        <v>8</v>
      </c>
      <c r="AA326" s="105">
        <f t="shared" si="515"/>
        <v>26</v>
      </c>
      <c r="AB326" s="114">
        <v>45651</v>
      </c>
      <c r="AC326" s="117" t="s">
        <v>321</v>
      </c>
      <c r="AD326" s="90">
        <v>850</v>
      </c>
      <c r="AE326" s="11">
        <v>650</v>
      </c>
      <c r="AF326" s="12">
        <v>400</v>
      </c>
      <c r="AG326" s="12">
        <v>0</v>
      </c>
      <c r="AH326" s="84">
        <f t="shared" si="516"/>
        <v>1900</v>
      </c>
      <c r="AI326" s="90">
        <v>850</v>
      </c>
      <c r="AJ326" s="11">
        <v>650</v>
      </c>
      <c r="AK326" s="12">
        <v>400</v>
      </c>
      <c r="AL326" s="12">
        <v>0</v>
      </c>
      <c r="AM326" s="84">
        <f t="shared" si="517"/>
        <v>1900</v>
      </c>
      <c r="AN326" s="90">
        <v>700</v>
      </c>
      <c r="AO326" s="11">
        <v>300</v>
      </c>
      <c r="AP326" s="12">
        <v>200</v>
      </c>
      <c r="AQ326" s="12"/>
      <c r="AR326" s="84">
        <f t="shared" si="518"/>
        <v>1200</v>
      </c>
      <c r="AS326" s="90"/>
      <c r="AT326" s="11"/>
      <c r="AU326" s="12"/>
      <c r="AV326" s="12"/>
      <c r="AW326" s="84">
        <f t="shared" si="519"/>
        <v>0</v>
      </c>
      <c r="AX326" s="90"/>
      <c r="AY326" s="11"/>
      <c r="AZ326" s="12"/>
      <c r="BA326" s="12"/>
      <c r="BB326" s="84">
        <f t="shared" si="520"/>
        <v>0</v>
      </c>
      <c r="BC326" s="105">
        <f t="shared" si="521"/>
        <v>5000</v>
      </c>
      <c r="BD326" s="114" t="s">
        <v>376</v>
      </c>
    </row>
    <row r="327" spans="1:56" x14ac:dyDescent="0.15">
      <c r="A327" s="9" t="s">
        <v>9</v>
      </c>
      <c r="B327" s="15"/>
      <c r="C327" s="16"/>
      <c r="D327" s="17"/>
      <c r="E327" s="17"/>
      <c r="F327" s="85">
        <f t="shared" si="510"/>
        <v>0</v>
      </c>
      <c r="G327" s="91">
        <v>3</v>
      </c>
      <c r="H327" s="16">
        <v>3</v>
      </c>
      <c r="I327" s="17"/>
      <c r="J327" s="17"/>
      <c r="K327" s="85">
        <f t="shared" si="511"/>
        <v>6</v>
      </c>
      <c r="L327" s="91">
        <v>3</v>
      </c>
      <c r="M327" s="16">
        <v>3</v>
      </c>
      <c r="N327" s="17"/>
      <c r="O327" s="17"/>
      <c r="P327" s="85">
        <f t="shared" si="512"/>
        <v>6</v>
      </c>
      <c r="Q327" s="91"/>
      <c r="R327" s="16"/>
      <c r="S327" s="17"/>
      <c r="T327" s="17"/>
      <c r="U327" s="85">
        <f t="shared" si="513"/>
        <v>0</v>
      </c>
      <c r="V327" s="91">
        <v>3</v>
      </c>
      <c r="W327" s="16">
        <v>3</v>
      </c>
      <c r="X327" s="17"/>
      <c r="Y327" s="17"/>
      <c r="Z327" s="85">
        <f t="shared" si="514"/>
        <v>6</v>
      </c>
      <c r="AA327" s="105">
        <f t="shared" si="515"/>
        <v>18</v>
      </c>
      <c r="AB327" s="114">
        <v>45668</v>
      </c>
      <c r="AC327" s="117" t="s">
        <v>36</v>
      </c>
      <c r="AD327" s="91">
        <v>2</v>
      </c>
      <c r="AE327" s="16">
        <v>15</v>
      </c>
      <c r="AF327" s="17">
        <v>9</v>
      </c>
      <c r="AG327" s="17"/>
      <c r="AH327" s="85">
        <f t="shared" si="516"/>
        <v>26</v>
      </c>
      <c r="AI327" s="91">
        <v>9</v>
      </c>
      <c r="AJ327" s="16">
        <v>-11</v>
      </c>
      <c r="AK327" s="17"/>
      <c r="AL327" s="17"/>
      <c r="AM327" s="85">
        <f t="shared" si="517"/>
        <v>-2</v>
      </c>
      <c r="AN327" s="91">
        <v>-8</v>
      </c>
      <c r="AO327" s="16">
        <v>7</v>
      </c>
      <c r="AP327" s="17">
        <v>15</v>
      </c>
      <c r="AQ327" s="17"/>
      <c r="AR327" s="85">
        <f t="shared" si="518"/>
        <v>14</v>
      </c>
      <c r="AS327" s="90"/>
      <c r="AT327" s="11"/>
      <c r="AU327" s="12"/>
      <c r="AV327" s="12"/>
      <c r="AW327" s="85">
        <f t="shared" si="519"/>
        <v>0</v>
      </c>
      <c r="AX327" s="91"/>
      <c r="AY327" s="16"/>
      <c r="AZ327" s="17"/>
      <c r="BA327" s="17"/>
      <c r="BB327" s="85">
        <f t="shared" si="520"/>
        <v>0</v>
      </c>
      <c r="BC327" s="105">
        <f t="shared" si="521"/>
        <v>38</v>
      </c>
      <c r="BD327" s="76"/>
    </row>
    <row r="328" spans="1:56" x14ac:dyDescent="0.15">
      <c r="A328" s="9" t="s">
        <v>10</v>
      </c>
      <c r="B328" s="15"/>
      <c r="C328" s="16"/>
      <c r="D328" s="17"/>
      <c r="E328" s="17"/>
      <c r="F328" s="85">
        <f t="shared" si="510"/>
        <v>0</v>
      </c>
      <c r="G328" s="91"/>
      <c r="H328" s="16"/>
      <c r="I328" s="17"/>
      <c r="J328" s="17"/>
      <c r="K328" s="85">
        <f t="shared" si="511"/>
        <v>0</v>
      </c>
      <c r="L328" s="91"/>
      <c r="M328" s="16"/>
      <c r="N328" s="17"/>
      <c r="O328" s="17"/>
      <c r="P328" s="85">
        <f t="shared" si="512"/>
        <v>0</v>
      </c>
      <c r="Q328" s="91">
        <v>5</v>
      </c>
      <c r="R328" s="16">
        <v>5</v>
      </c>
      <c r="S328" s="17"/>
      <c r="T328" s="17"/>
      <c r="U328" s="85">
        <f t="shared" si="513"/>
        <v>10</v>
      </c>
      <c r="V328" s="91"/>
      <c r="W328" s="16"/>
      <c r="X328" s="17"/>
      <c r="Y328" s="17"/>
      <c r="Z328" s="85">
        <f t="shared" si="514"/>
        <v>0</v>
      </c>
      <c r="AA328" s="105">
        <f t="shared" si="515"/>
        <v>10</v>
      </c>
      <c r="AB328" s="114">
        <v>45672</v>
      </c>
      <c r="AC328" s="117" t="s">
        <v>380</v>
      </c>
      <c r="AD328" s="91"/>
      <c r="AE328" s="16">
        <v>14</v>
      </c>
      <c r="AF328" s="17">
        <v>16</v>
      </c>
      <c r="AG328" s="17"/>
      <c r="AH328" s="85">
        <f t="shared" ref="AH328:AH358" si="522">SUM(AD328:AG328)</f>
        <v>30</v>
      </c>
      <c r="AI328" s="91"/>
      <c r="AJ328" s="16">
        <v>14</v>
      </c>
      <c r="AK328" s="17">
        <v>16</v>
      </c>
      <c r="AL328" s="17"/>
      <c r="AM328" s="85">
        <f t="shared" ref="AM328:AM358" si="523">SUM(AI328:AL328)</f>
        <v>30</v>
      </c>
      <c r="AN328" s="91"/>
      <c r="AO328" s="16"/>
      <c r="AP328" s="17"/>
      <c r="AQ328" s="17"/>
      <c r="AR328" s="85">
        <f t="shared" ref="AR328:AR358" si="524">SUM(AN328:AQ328)</f>
        <v>0</v>
      </c>
      <c r="AS328" s="90"/>
      <c r="AT328" s="11"/>
      <c r="AU328" s="12"/>
      <c r="AV328" s="12"/>
      <c r="AW328" s="85">
        <f t="shared" ref="AW328:AW358" si="525">SUM(AS328:AV328)</f>
        <v>0</v>
      </c>
      <c r="AX328" s="91"/>
      <c r="AY328" s="16">
        <v>14</v>
      </c>
      <c r="AZ328" s="17">
        <v>16</v>
      </c>
      <c r="BA328" s="17"/>
      <c r="BB328" s="85">
        <f t="shared" ref="BB328:BB358" si="526">SUM(AX328:BA328)</f>
        <v>30</v>
      </c>
      <c r="BC328" s="105">
        <f t="shared" ref="BC328:BC358" si="527">BB328+AW328+AR328+AM328+AH328</f>
        <v>90</v>
      </c>
      <c r="BD328" s="115">
        <v>45705</v>
      </c>
    </row>
    <row r="329" spans="1:56" ht="14.25" thickBot="1" x14ac:dyDescent="0.2">
      <c r="A329" s="9" t="s">
        <v>11</v>
      </c>
      <c r="B329" s="15"/>
      <c r="C329" s="16">
        <v>5</v>
      </c>
      <c r="D329" s="17"/>
      <c r="E329" s="17"/>
      <c r="F329" s="92">
        <f t="shared" si="510"/>
        <v>5</v>
      </c>
      <c r="G329" s="91">
        <v>5</v>
      </c>
      <c r="H329" s="16"/>
      <c r="I329" s="17"/>
      <c r="J329" s="17"/>
      <c r="K329" s="92">
        <f t="shared" si="511"/>
        <v>5</v>
      </c>
      <c r="L329" s="91"/>
      <c r="M329" s="16"/>
      <c r="N329" s="17"/>
      <c r="O329" s="17"/>
      <c r="P329" s="92">
        <f t="shared" si="512"/>
        <v>0</v>
      </c>
      <c r="Q329" s="91"/>
      <c r="R329" s="16"/>
      <c r="S329" s="17"/>
      <c r="T329" s="17">
        <v>5</v>
      </c>
      <c r="U329" s="92">
        <f t="shared" si="513"/>
        <v>5</v>
      </c>
      <c r="V329" s="91">
        <v>5</v>
      </c>
      <c r="W329" s="16"/>
      <c r="X329" s="17"/>
      <c r="Y329" s="17">
        <v>5</v>
      </c>
      <c r="Z329" s="92">
        <f t="shared" si="514"/>
        <v>10</v>
      </c>
      <c r="AA329" s="110">
        <f t="shared" si="515"/>
        <v>25</v>
      </c>
      <c r="AB329" s="114">
        <v>45673</v>
      </c>
      <c r="AC329" s="132" t="s">
        <v>11</v>
      </c>
      <c r="AD329" s="91"/>
      <c r="AE329" s="16"/>
      <c r="AF329" s="17"/>
      <c r="AG329" s="17"/>
      <c r="AH329" s="92">
        <f t="shared" si="522"/>
        <v>0</v>
      </c>
      <c r="AI329" s="91"/>
      <c r="AJ329" s="16"/>
      <c r="AK329" s="17"/>
      <c r="AL329" s="17"/>
      <c r="AM329" s="92">
        <f t="shared" si="523"/>
        <v>0</v>
      </c>
      <c r="AN329" s="91"/>
      <c r="AO329" s="16"/>
      <c r="AP329" s="17"/>
      <c r="AQ329" s="17"/>
      <c r="AR329" s="92">
        <f t="shared" si="524"/>
        <v>0</v>
      </c>
      <c r="AS329" s="91"/>
      <c r="AT329" s="16"/>
      <c r="AU329" s="17"/>
      <c r="AV329" s="17"/>
      <c r="AW329" s="92">
        <f t="shared" si="525"/>
        <v>0</v>
      </c>
      <c r="AX329" s="91"/>
      <c r="AY329" s="16"/>
      <c r="AZ329" s="17"/>
      <c r="BA329" s="17"/>
      <c r="BB329" s="92">
        <f t="shared" si="526"/>
        <v>0</v>
      </c>
      <c r="BC329" s="110">
        <f t="shared" si="527"/>
        <v>0</v>
      </c>
    </row>
    <row r="330" spans="1:56" ht="14.25" thickBot="1" x14ac:dyDescent="0.2">
      <c r="A330" s="21" t="s">
        <v>16</v>
      </c>
      <c r="B330" s="7">
        <f>SUM(B324:B329)</f>
        <v>8</v>
      </c>
      <c r="C330" s="8">
        <f t="shared" ref="C330:E330" si="528">SUM(C324:C329)</f>
        <v>11</v>
      </c>
      <c r="D330" s="22">
        <f t="shared" si="528"/>
        <v>10</v>
      </c>
      <c r="E330" s="22">
        <f t="shared" si="528"/>
        <v>7</v>
      </c>
      <c r="F330" s="87">
        <f t="shared" si="510"/>
        <v>36</v>
      </c>
      <c r="G330" s="7">
        <f>SUM(G324:G329)</f>
        <v>18</v>
      </c>
      <c r="H330" s="8">
        <f t="shared" ref="H330:J330" si="529">SUM(H324:H329)</f>
        <v>9</v>
      </c>
      <c r="I330" s="22">
        <f t="shared" si="529"/>
        <v>10</v>
      </c>
      <c r="J330" s="22">
        <f t="shared" si="529"/>
        <v>7</v>
      </c>
      <c r="K330" s="87">
        <f t="shared" si="511"/>
        <v>44</v>
      </c>
      <c r="L330" s="7">
        <f>SUM(L324:L329)</f>
        <v>12</v>
      </c>
      <c r="M330" s="8">
        <f t="shared" ref="M330:O330" si="530">SUM(M324:M329)</f>
        <v>12</v>
      </c>
      <c r="N330" s="22">
        <f t="shared" si="530"/>
        <v>10</v>
      </c>
      <c r="O330" s="22">
        <f t="shared" si="530"/>
        <v>7</v>
      </c>
      <c r="P330" s="87">
        <f t="shared" si="512"/>
        <v>41</v>
      </c>
      <c r="Q330" s="7">
        <f>SUM(Q324:Q329)</f>
        <v>16</v>
      </c>
      <c r="R330" s="8">
        <f t="shared" ref="R330:T330" si="531">SUM(R324:R329)</f>
        <v>16</v>
      </c>
      <c r="S330" s="22">
        <f t="shared" si="531"/>
        <v>7</v>
      </c>
      <c r="T330" s="22">
        <f t="shared" si="531"/>
        <v>11</v>
      </c>
      <c r="U330" s="87">
        <f t="shared" si="513"/>
        <v>50</v>
      </c>
      <c r="V330" s="7">
        <f>SUM(V324:V329)</f>
        <v>18</v>
      </c>
      <c r="W330" s="8">
        <f t="shared" ref="W330:Y330" si="532">SUM(W324:W329)</f>
        <v>10</v>
      </c>
      <c r="X330" s="22">
        <f t="shared" si="532"/>
        <v>11</v>
      </c>
      <c r="Y330" s="22">
        <f t="shared" si="532"/>
        <v>10</v>
      </c>
      <c r="Z330" s="87">
        <f t="shared" si="514"/>
        <v>49</v>
      </c>
      <c r="AA330" s="107">
        <f t="shared" si="515"/>
        <v>220</v>
      </c>
      <c r="AC330" s="21" t="s">
        <v>16</v>
      </c>
      <c r="AD330" s="7">
        <f>SUM(AD324:AD329)</f>
        <v>984</v>
      </c>
      <c r="AE330" s="8">
        <f t="shared" ref="AE330:AG330" si="533">SUM(AE324:AE329)</f>
        <v>953</v>
      </c>
      <c r="AF330" s="22">
        <f t="shared" si="533"/>
        <v>503</v>
      </c>
      <c r="AG330" s="22">
        <f t="shared" si="533"/>
        <v>452</v>
      </c>
      <c r="AH330" s="87">
        <f t="shared" si="522"/>
        <v>2892</v>
      </c>
      <c r="AI330" s="7">
        <f>SUM(AI324:AI329)</f>
        <v>974</v>
      </c>
      <c r="AJ330" s="8">
        <f t="shared" ref="AJ330:AL330" si="534">SUM(AJ324:AJ329)</f>
        <v>919</v>
      </c>
      <c r="AK330" s="22">
        <f t="shared" si="534"/>
        <v>498</v>
      </c>
      <c r="AL330" s="22">
        <f t="shared" si="534"/>
        <v>468</v>
      </c>
      <c r="AM330" s="87">
        <f t="shared" si="523"/>
        <v>2859</v>
      </c>
      <c r="AN330" s="7">
        <f>SUM(AN324:AN329)</f>
        <v>912</v>
      </c>
      <c r="AO330" s="8">
        <f t="shared" ref="AO330:AQ330" si="535">SUM(AO324:AO329)</f>
        <v>882</v>
      </c>
      <c r="AP330" s="22">
        <f t="shared" si="535"/>
        <v>430</v>
      </c>
      <c r="AQ330" s="22">
        <f t="shared" si="535"/>
        <v>438</v>
      </c>
      <c r="AR330" s="87">
        <f t="shared" si="524"/>
        <v>2662</v>
      </c>
      <c r="AS330" s="7">
        <f>SUM(AS324:AS329)</f>
        <v>101</v>
      </c>
      <c r="AT330" s="8">
        <f t="shared" ref="AT330:AV330" si="536">SUM(AT324:AT329)</f>
        <v>376</v>
      </c>
      <c r="AU330" s="22">
        <f t="shared" si="536"/>
        <v>176</v>
      </c>
      <c r="AV330" s="22">
        <f t="shared" si="536"/>
        <v>592</v>
      </c>
      <c r="AW330" s="87">
        <f t="shared" si="525"/>
        <v>1245</v>
      </c>
      <c r="AX330" s="7">
        <f>SUM(AX324:AX329)</f>
        <v>1136</v>
      </c>
      <c r="AY330" s="8">
        <f t="shared" ref="AY330:BA330" si="537">SUM(AY324:AY329)</f>
        <v>1183</v>
      </c>
      <c r="AZ330" s="22">
        <f t="shared" si="537"/>
        <v>621</v>
      </c>
      <c r="BA330" s="22">
        <f t="shared" si="537"/>
        <v>232</v>
      </c>
      <c r="BB330" s="87">
        <f t="shared" si="526"/>
        <v>3172</v>
      </c>
      <c r="BC330" s="107">
        <f t="shared" si="527"/>
        <v>12830</v>
      </c>
    </row>
    <row r="331" spans="1:56" x14ac:dyDescent="0.15">
      <c r="A331" s="45" t="s">
        <v>357</v>
      </c>
      <c r="B331" s="39"/>
      <c r="C331" s="13"/>
      <c r="D331" s="14"/>
      <c r="E331" s="14"/>
      <c r="F331" s="83">
        <f t="shared" si="510"/>
        <v>0</v>
      </c>
      <c r="G331" s="39"/>
      <c r="H331" s="13"/>
      <c r="I331" s="14"/>
      <c r="J331" s="14"/>
      <c r="K331" s="83">
        <f t="shared" si="511"/>
        <v>0</v>
      </c>
      <c r="L331" s="39"/>
      <c r="M331" s="13"/>
      <c r="N331" s="14"/>
      <c r="O331" s="14"/>
      <c r="P331" s="83">
        <f t="shared" si="512"/>
        <v>0</v>
      </c>
      <c r="Q331" s="39"/>
      <c r="R331" s="13"/>
      <c r="S331" s="14"/>
      <c r="T331" s="14"/>
      <c r="U331" s="83">
        <f t="shared" si="513"/>
        <v>0</v>
      </c>
      <c r="V331" s="39">
        <v>1</v>
      </c>
      <c r="W331" s="13"/>
      <c r="X331" s="14">
        <v>1</v>
      </c>
      <c r="Y331" s="14"/>
      <c r="Z331" s="83">
        <f t="shared" si="514"/>
        <v>2</v>
      </c>
      <c r="AA331" s="108">
        <f t="shared" si="515"/>
        <v>2</v>
      </c>
      <c r="AB331" s="114">
        <v>45642</v>
      </c>
      <c r="AC331" s="23" t="s">
        <v>363</v>
      </c>
      <c r="AD331" s="10">
        <v>400</v>
      </c>
      <c r="AE331" s="11">
        <v>400</v>
      </c>
      <c r="AF331" s="12">
        <v>100</v>
      </c>
      <c r="AG331" s="12"/>
      <c r="AH331" s="84">
        <f t="shared" si="522"/>
        <v>900</v>
      </c>
      <c r="AI331" s="10">
        <v>400</v>
      </c>
      <c r="AJ331" s="11">
        <v>400</v>
      </c>
      <c r="AK331" s="12">
        <v>100</v>
      </c>
      <c r="AL331" s="12"/>
      <c r="AM331" s="84">
        <f t="shared" si="523"/>
        <v>900</v>
      </c>
      <c r="AN331" s="10">
        <v>400</v>
      </c>
      <c r="AO331" s="11">
        <v>400</v>
      </c>
      <c r="AP331" s="12">
        <v>100</v>
      </c>
      <c r="AQ331" s="12"/>
      <c r="AR331" s="84">
        <f t="shared" si="524"/>
        <v>900</v>
      </c>
      <c r="AS331" s="10">
        <v>0</v>
      </c>
      <c r="AT331" s="11">
        <v>0</v>
      </c>
      <c r="AU331" s="12">
        <v>0</v>
      </c>
      <c r="AV331" s="12"/>
      <c r="AW331" s="84">
        <f t="shared" si="525"/>
        <v>0</v>
      </c>
      <c r="AX331" s="10"/>
      <c r="AY331" s="11"/>
      <c r="AZ331" s="12"/>
      <c r="BA331" s="12"/>
      <c r="BB331" s="84">
        <f t="shared" si="526"/>
        <v>0</v>
      </c>
      <c r="BC331" s="108">
        <f t="shared" si="527"/>
        <v>2700</v>
      </c>
      <c r="BD331" s="114">
        <v>45694</v>
      </c>
    </row>
    <row r="332" spans="1:56" x14ac:dyDescent="0.15">
      <c r="A332" s="54" t="s">
        <v>358</v>
      </c>
      <c r="B332" s="15"/>
      <c r="C332" s="16"/>
      <c r="D332" s="17"/>
      <c r="E332" s="17"/>
      <c r="F332" s="85">
        <f t="shared" si="510"/>
        <v>0</v>
      </c>
      <c r="G332" s="15">
        <v>3</v>
      </c>
      <c r="H332" s="16">
        <v>1</v>
      </c>
      <c r="I332" s="17"/>
      <c r="J332" s="17"/>
      <c r="K332" s="85">
        <f t="shared" si="511"/>
        <v>4</v>
      </c>
      <c r="L332" s="15">
        <v>3</v>
      </c>
      <c r="M332" s="16">
        <v>3</v>
      </c>
      <c r="N332" s="17"/>
      <c r="O332" s="17"/>
      <c r="P332" s="85">
        <f t="shared" si="512"/>
        <v>6</v>
      </c>
      <c r="Q332" s="15">
        <v>1</v>
      </c>
      <c r="R332" s="16">
        <v>1</v>
      </c>
      <c r="S332" s="17"/>
      <c r="T332" s="17"/>
      <c r="U332" s="85">
        <f t="shared" si="513"/>
        <v>2</v>
      </c>
      <c r="V332" s="15"/>
      <c r="W332" s="16"/>
      <c r="X332" s="17"/>
      <c r="Y332" s="17"/>
      <c r="Z332" s="85">
        <f t="shared" si="514"/>
        <v>0</v>
      </c>
      <c r="AA332" s="105">
        <f t="shared" si="515"/>
        <v>12</v>
      </c>
      <c r="AB332" s="114">
        <v>45646</v>
      </c>
      <c r="AC332" s="23" t="s">
        <v>35</v>
      </c>
      <c r="AD332" s="15">
        <v>3</v>
      </c>
      <c r="AE332" s="16">
        <v>3</v>
      </c>
      <c r="AF332" s="17">
        <v>3</v>
      </c>
      <c r="AG332" s="17">
        <v>3</v>
      </c>
      <c r="AH332" s="85">
        <f t="shared" si="522"/>
        <v>12</v>
      </c>
      <c r="AI332" s="15">
        <v>3</v>
      </c>
      <c r="AJ332" s="16">
        <v>3</v>
      </c>
      <c r="AK332" s="17">
        <v>3</v>
      </c>
      <c r="AL332" s="17">
        <v>3</v>
      </c>
      <c r="AM332" s="85">
        <f t="shared" si="523"/>
        <v>12</v>
      </c>
      <c r="AN332" s="15">
        <v>3</v>
      </c>
      <c r="AO332" s="16">
        <v>3</v>
      </c>
      <c r="AP332" s="17">
        <v>3</v>
      </c>
      <c r="AQ332" s="17">
        <v>3</v>
      </c>
      <c r="AR332" s="85">
        <f t="shared" si="524"/>
        <v>12</v>
      </c>
      <c r="AS332" s="15">
        <v>3</v>
      </c>
      <c r="AT332" s="16">
        <v>3</v>
      </c>
      <c r="AU332" s="17">
        <v>3</v>
      </c>
      <c r="AV332" s="17">
        <v>3</v>
      </c>
      <c r="AW332" s="85">
        <f t="shared" si="525"/>
        <v>12</v>
      </c>
      <c r="AX332" s="15">
        <v>5</v>
      </c>
      <c r="AY332" s="16">
        <v>3</v>
      </c>
      <c r="AZ332" s="17">
        <v>3</v>
      </c>
      <c r="BA332" s="17">
        <v>3</v>
      </c>
      <c r="BB332" s="85">
        <f t="shared" si="526"/>
        <v>14</v>
      </c>
      <c r="BC332" s="105">
        <f t="shared" si="527"/>
        <v>62</v>
      </c>
      <c r="BD332" s="114">
        <v>45675</v>
      </c>
    </row>
    <row r="333" spans="1:56" x14ac:dyDescent="0.15">
      <c r="A333" s="23" t="s">
        <v>43</v>
      </c>
      <c r="B333" s="15"/>
      <c r="C333" s="16"/>
      <c r="D333" s="17"/>
      <c r="E333" s="17"/>
      <c r="F333" s="85">
        <f t="shared" si="510"/>
        <v>0</v>
      </c>
      <c r="G333" s="15"/>
      <c r="H333" s="16"/>
      <c r="I333" s="17"/>
      <c r="J333" s="17"/>
      <c r="K333" s="85">
        <f t="shared" si="511"/>
        <v>0</v>
      </c>
      <c r="L333" s="15"/>
      <c r="M333" s="16"/>
      <c r="N333" s="17"/>
      <c r="O333" s="17"/>
      <c r="P333" s="85">
        <f t="shared" si="512"/>
        <v>0</v>
      </c>
      <c r="Q333" s="15">
        <v>1</v>
      </c>
      <c r="R333" s="16"/>
      <c r="S333" s="17"/>
      <c r="T333" s="17"/>
      <c r="U333" s="85">
        <f t="shared" si="513"/>
        <v>1</v>
      </c>
      <c r="V333" s="15"/>
      <c r="W333" s="16"/>
      <c r="X333" s="17"/>
      <c r="Y333" s="17"/>
      <c r="Z333" s="85">
        <f t="shared" si="514"/>
        <v>0</v>
      </c>
      <c r="AA333" s="105">
        <f t="shared" si="515"/>
        <v>1</v>
      </c>
      <c r="AB333" s="114">
        <v>45643</v>
      </c>
      <c r="AC333" s="54" t="s">
        <v>371</v>
      </c>
      <c r="AD333" s="15"/>
      <c r="AE333" s="16"/>
      <c r="AF333" s="17">
        <v>6</v>
      </c>
      <c r="AG333" s="17"/>
      <c r="AH333" s="85">
        <f t="shared" si="522"/>
        <v>6</v>
      </c>
      <c r="AI333" s="15"/>
      <c r="AJ333" s="16"/>
      <c r="AK333" s="17">
        <v>4</v>
      </c>
      <c r="AL333" s="17"/>
      <c r="AM333" s="85">
        <f t="shared" si="523"/>
        <v>4</v>
      </c>
      <c r="AN333" s="15"/>
      <c r="AO333" s="16"/>
      <c r="AP333" s="17">
        <v>3</v>
      </c>
      <c r="AQ333" s="17"/>
      <c r="AR333" s="85">
        <f t="shared" si="524"/>
        <v>3</v>
      </c>
      <c r="AS333" s="15">
        <v>2</v>
      </c>
      <c r="AT333" s="16"/>
      <c r="AU333" s="17">
        <v>4</v>
      </c>
      <c r="AV333" s="17"/>
      <c r="AW333" s="85">
        <f t="shared" si="525"/>
        <v>6</v>
      </c>
      <c r="AX333" s="15"/>
      <c r="AY333" s="16"/>
      <c r="AZ333" s="17">
        <v>4</v>
      </c>
      <c r="BA333" s="17"/>
      <c r="BB333" s="85">
        <f t="shared" si="526"/>
        <v>4</v>
      </c>
      <c r="BC333" s="105">
        <f t="shared" si="527"/>
        <v>23</v>
      </c>
      <c r="BD333" s="114">
        <v>45681</v>
      </c>
    </row>
    <row r="334" spans="1:56" x14ac:dyDescent="0.15">
      <c r="A334" s="23" t="s">
        <v>332</v>
      </c>
      <c r="B334" s="15"/>
      <c r="C334" s="16"/>
      <c r="D334" s="17">
        <v>1</v>
      </c>
      <c r="E334" s="17"/>
      <c r="F334" s="85">
        <f t="shared" si="510"/>
        <v>1</v>
      </c>
      <c r="G334" s="15"/>
      <c r="H334" s="16"/>
      <c r="I334" s="17">
        <v>1</v>
      </c>
      <c r="J334" s="17"/>
      <c r="K334" s="85">
        <f t="shared" si="511"/>
        <v>1</v>
      </c>
      <c r="L334" s="15"/>
      <c r="M334" s="16"/>
      <c r="N334" s="17"/>
      <c r="O334" s="17"/>
      <c r="P334" s="85">
        <f t="shared" si="512"/>
        <v>0</v>
      </c>
      <c r="Q334" s="15"/>
      <c r="R334" s="16"/>
      <c r="S334" s="17"/>
      <c r="T334" s="17"/>
      <c r="U334" s="85">
        <f t="shared" si="513"/>
        <v>0</v>
      </c>
      <c r="V334" s="15"/>
      <c r="W334" s="16"/>
      <c r="X334" s="17">
        <v>1</v>
      </c>
      <c r="Y334" s="17"/>
      <c r="Z334" s="85">
        <f t="shared" si="514"/>
        <v>1</v>
      </c>
      <c r="AA334" s="105">
        <f t="shared" si="515"/>
        <v>3</v>
      </c>
      <c r="AB334" s="114">
        <v>45646</v>
      </c>
      <c r="AC334" s="54" t="s">
        <v>373</v>
      </c>
      <c r="AD334" s="15">
        <v>1</v>
      </c>
      <c r="AE334" s="16">
        <v>5</v>
      </c>
      <c r="AF334" s="17"/>
      <c r="AG334" s="17"/>
      <c r="AH334" s="85">
        <f t="shared" si="522"/>
        <v>6</v>
      </c>
      <c r="AI334" s="15"/>
      <c r="AJ334" s="16">
        <v>1</v>
      </c>
      <c r="AK334" s="17"/>
      <c r="AL334" s="17"/>
      <c r="AM334" s="85">
        <f t="shared" si="523"/>
        <v>1</v>
      </c>
      <c r="AN334" s="15"/>
      <c r="AO334" s="16">
        <v>4</v>
      </c>
      <c r="AP334" s="17"/>
      <c r="AQ334" s="17"/>
      <c r="AR334" s="85">
        <f t="shared" si="524"/>
        <v>4</v>
      </c>
      <c r="AS334" s="15"/>
      <c r="AT334" s="16">
        <v>1</v>
      </c>
      <c r="AU334" s="17"/>
      <c r="AV334" s="17"/>
      <c r="AW334" s="85">
        <f t="shared" si="525"/>
        <v>1</v>
      </c>
      <c r="AX334" s="15">
        <v>2</v>
      </c>
      <c r="AY334" s="16">
        <v>6</v>
      </c>
      <c r="AZ334" s="17"/>
      <c r="BA334" s="17"/>
      <c r="BB334" s="85">
        <f t="shared" si="526"/>
        <v>8</v>
      </c>
      <c r="BC334" s="105">
        <f t="shared" si="527"/>
        <v>20</v>
      </c>
      <c r="BD334" s="114">
        <v>45688</v>
      </c>
    </row>
    <row r="335" spans="1:56" x14ac:dyDescent="0.15">
      <c r="A335" s="54" t="s">
        <v>96</v>
      </c>
      <c r="B335" s="15"/>
      <c r="C335" s="16"/>
      <c r="D335" s="17"/>
      <c r="E335" s="17"/>
      <c r="F335" s="85">
        <f t="shared" si="510"/>
        <v>0</v>
      </c>
      <c r="G335" s="15"/>
      <c r="H335" s="16"/>
      <c r="I335" s="17"/>
      <c r="J335" s="17"/>
      <c r="K335" s="85">
        <f t="shared" si="511"/>
        <v>0</v>
      </c>
      <c r="L335" s="15"/>
      <c r="M335" s="16"/>
      <c r="N335" s="17"/>
      <c r="O335" s="17"/>
      <c r="P335" s="85">
        <f t="shared" si="512"/>
        <v>0</v>
      </c>
      <c r="Q335" s="15"/>
      <c r="R335" s="16">
        <v>1</v>
      </c>
      <c r="S335" s="17"/>
      <c r="T335" s="17"/>
      <c r="U335" s="85">
        <f t="shared" si="513"/>
        <v>1</v>
      </c>
      <c r="V335" s="15"/>
      <c r="W335" s="16"/>
      <c r="X335" s="17"/>
      <c r="Y335" s="17"/>
      <c r="Z335" s="85">
        <f t="shared" si="514"/>
        <v>0</v>
      </c>
      <c r="AA335" s="105">
        <f t="shared" si="515"/>
        <v>1</v>
      </c>
      <c r="AB335" s="114">
        <v>45645</v>
      </c>
      <c r="AC335" s="23" t="s">
        <v>35</v>
      </c>
      <c r="AD335" s="15">
        <v>4</v>
      </c>
      <c r="AE335" s="16"/>
      <c r="AF335" s="17"/>
      <c r="AG335" s="17">
        <v>3</v>
      </c>
      <c r="AH335" s="85">
        <f t="shared" si="522"/>
        <v>7</v>
      </c>
      <c r="AI335" s="15"/>
      <c r="AJ335" s="16"/>
      <c r="AK335" s="17"/>
      <c r="AL335" s="17">
        <v>3</v>
      </c>
      <c r="AM335" s="85">
        <f t="shared" si="523"/>
        <v>3</v>
      </c>
      <c r="AN335" s="15">
        <v>3</v>
      </c>
      <c r="AO335" s="16">
        <v>10</v>
      </c>
      <c r="AP335" s="17"/>
      <c r="AQ335" s="17"/>
      <c r="AR335" s="85">
        <f t="shared" si="524"/>
        <v>13</v>
      </c>
      <c r="AS335" s="15"/>
      <c r="AT335" s="16"/>
      <c r="AU335" s="17">
        <v>5</v>
      </c>
      <c r="AV335" s="17"/>
      <c r="AW335" s="85">
        <f t="shared" si="525"/>
        <v>5</v>
      </c>
      <c r="AX335" s="15"/>
      <c r="AY335" s="16">
        <v>5</v>
      </c>
      <c r="AZ335" s="17"/>
      <c r="BA335" s="17"/>
      <c r="BB335" s="85">
        <f t="shared" si="526"/>
        <v>5</v>
      </c>
      <c r="BC335" s="105">
        <f t="shared" si="527"/>
        <v>33</v>
      </c>
      <c r="BD335" s="114">
        <v>45700</v>
      </c>
    </row>
    <row r="336" spans="1:56" x14ac:dyDescent="0.15">
      <c r="A336" s="23" t="s">
        <v>43</v>
      </c>
      <c r="B336" s="15"/>
      <c r="C336" s="16"/>
      <c r="D336" s="17">
        <v>1</v>
      </c>
      <c r="E336" s="17"/>
      <c r="F336" s="85">
        <f t="shared" si="510"/>
        <v>1</v>
      </c>
      <c r="G336" s="15"/>
      <c r="H336" s="16"/>
      <c r="I336" s="17">
        <v>1</v>
      </c>
      <c r="J336" s="17"/>
      <c r="K336" s="85">
        <f t="shared" si="511"/>
        <v>1</v>
      </c>
      <c r="L336" s="15"/>
      <c r="M336" s="16"/>
      <c r="N336" s="17">
        <v>1</v>
      </c>
      <c r="O336" s="17"/>
      <c r="P336" s="85">
        <f t="shared" si="512"/>
        <v>1</v>
      </c>
      <c r="Q336" s="15"/>
      <c r="R336" s="16"/>
      <c r="S336" s="17"/>
      <c r="T336" s="17"/>
      <c r="U336" s="85">
        <f t="shared" si="513"/>
        <v>0</v>
      </c>
      <c r="V336" s="15"/>
      <c r="W336" s="16"/>
      <c r="X336" s="17">
        <v>1</v>
      </c>
      <c r="Y336" s="17"/>
      <c r="Z336" s="85">
        <f t="shared" si="514"/>
        <v>1</v>
      </c>
      <c r="AA336" s="105">
        <f t="shared" si="515"/>
        <v>4</v>
      </c>
      <c r="AB336" s="114">
        <v>45647</v>
      </c>
      <c r="AC336" s="23"/>
      <c r="AD336" s="15"/>
      <c r="AE336" s="16"/>
      <c r="AF336" s="17"/>
      <c r="AG336" s="17"/>
      <c r="AH336" s="85">
        <f t="shared" si="522"/>
        <v>0</v>
      </c>
      <c r="AI336" s="15"/>
      <c r="AJ336" s="16"/>
      <c r="AK336" s="17"/>
      <c r="AL336" s="17"/>
      <c r="AM336" s="85">
        <f t="shared" si="523"/>
        <v>0</v>
      </c>
      <c r="AN336" s="15"/>
      <c r="AO336" s="16"/>
      <c r="AP336" s="17"/>
      <c r="AQ336" s="17"/>
      <c r="AR336" s="85">
        <f t="shared" si="524"/>
        <v>0</v>
      </c>
      <c r="AS336" s="15"/>
      <c r="AT336" s="16"/>
      <c r="AU336" s="17"/>
      <c r="AV336" s="17"/>
      <c r="AW336" s="85">
        <f t="shared" si="525"/>
        <v>0</v>
      </c>
      <c r="AX336" s="15"/>
      <c r="AY336" s="16"/>
      <c r="AZ336" s="17"/>
      <c r="BA336" s="17"/>
      <c r="BB336" s="85">
        <f t="shared" si="526"/>
        <v>0</v>
      </c>
      <c r="BC336" s="105">
        <f t="shared" si="527"/>
        <v>0</v>
      </c>
      <c r="BD336" s="76"/>
    </row>
    <row r="337" spans="1:56" x14ac:dyDescent="0.15">
      <c r="A337" s="23" t="s">
        <v>43</v>
      </c>
      <c r="B337" s="15"/>
      <c r="C337" s="16"/>
      <c r="D337" s="17">
        <v>1</v>
      </c>
      <c r="E337" s="17"/>
      <c r="F337" s="85">
        <f t="shared" si="510"/>
        <v>1</v>
      </c>
      <c r="G337" s="15"/>
      <c r="H337" s="16"/>
      <c r="I337" s="17">
        <v>1</v>
      </c>
      <c r="J337" s="17"/>
      <c r="K337" s="85">
        <f t="shared" si="511"/>
        <v>1</v>
      </c>
      <c r="L337" s="15"/>
      <c r="M337" s="16">
        <v>1</v>
      </c>
      <c r="N337" s="17"/>
      <c r="O337" s="17"/>
      <c r="P337" s="85">
        <f t="shared" si="512"/>
        <v>1</v>
      </c>
      <c r="Q337" s="15"/>
      <c r="R337" s="16">
        <v>1</v>
      </c>
      <c r="S337" s="17"/>
      <c r="T337" s="17"/>
      <c r="U337" s="85">
        <f t="shared" si="513"/>
        <v>1</v>
      </c>
      <c r="V337" s="15"/>
      <c r="W337" s="16">
        <v>1</v>
      </c>
      <c r="X337" s="17">
        <v>1</v>
      </c>
      <c r="Y337" s="17"/>
      <c r="Z337" s="85">
        <f t="shared" si="514"/>
        <v>2</v>
      </c>
      <c r="AA337" s="105">
        <f t="shared" si="515"/>
        <v>6</v>
      </c>
      <c r="AB337" s="114">
        <v>45649</v>
      </c>
      <c r="AC337" s="23"/>
      <c r="AD337" s="15"/>
      <c r="AE337" s="16"/>
      <c r="AF337" s="17"/>
      <c r="AG337" s="17"/>
      <c r="AH337" s="85">
        <f t="shared" si="522"/>
        <v>0</v>
      </c>
      <c r="AI337" s="15"/>
      <c r="AJ337" s="16"/>
      <c r="AK337" s="17"/>
      <c r="AL337" s="17"/>
      <c r="AM337" s="85">
        <f t="shared" si="523"/>
        <v>0</v>
      </c>
      <c r="AN337" s="15"/>
      <c r="AO337" s="16"/>
      <c r="AP337" s="17"/>
      <c r="AQ337" s="17"/>
      <c r="AR337" s="85">
        <f t="shared" si="524"/>
        <v>0</v>
      </c>
      <c r="AS337" s="15"/>
      <c r="AT337" s="16"/>
      <c r="AU337" s="17"/>
      <c r="AV337" s="17"/>
      <c r="AW337" s="85">
        <f t="shared" si="525"/>
        <v>0</v>
      </c>
      <c r="AX337" s="15"/>
      <c r="AY337" s="16"/>
      <c r="AZ337" s="17"/>
      <c r="BA337" s="17"/>
      <c r="BB337" s="85">
        <f t="shared" si="526"/>
        <v>0</v>
      </c>
      <c r="BC337" s="105">
        <f t="shared" si="527"/>
        <v>0</v>
      </c>
      <c r="BD337" s="76"/>
    </row>
    <row r="338" spans="1:56" x14ac:dyDescent="0.15">
      <c r="A338" s="54" t="s">
        <v>359</v>
      </c>
      <c r="B338" s="15"/>
      <c r="C338" s="16"/>
      <c r="D338" s="17">
        <v>1</v>
      </c>
      <c r="E338" s="17"/>
      <c r="F338" s="85">
        <f t="shared" si="510"/>
        <v>1</v>
      </c>
      <c r="G338" s="15">
        <v>1</v>
      </c>
      <c r="H338" s="16"/>
      <c r="I338" s="17"/>
      <c r="J338" s="17"/>
      <c r="K338" s="85">
        <f t="shared" si="511"/>
        <v>1</v>
      </c>
      <c r="L338" s="15">
        <v>1</v>
      </c>
      <c r="M338" s="16"/>
      <c r="N338" s="17">
        <v>3</v>
      </c>
      <c r="O338" s="17"/>
      <c r="P338" s="85">
        <f t="shared" si="512"/>
        <v>4</v>
      </c>
      <c r="Q338" s="15">
        <v>2</v>
      </c>
      <c r="R338" s="16">
        <v>1</v>
      </c>
      <c r="S338" s="17">
        <v>2</v>
      </c>
      <c r="T338" s="17"/>
      <c r="U338" s="85">
        <f t="shared" si="513"/>
        <v>5</v>
      </c>
      <c r="V338" s="15">
        <v>2</v>
      </c>
      <c r="W338" s="16"/>
      <c r="X338" s="17">
        <v>1</v>
      </c>
      <c r="Y338" s="17"/>
      <c r="Z338" s="85">
        <f t="shared" si="514"/>
        <v>3</v>
      </c>
      <c r="AA338" s="105">
        <f t="shared" si="515"/>
        <v>14</v>
      </c>
      <c r="AB338" s="114">
        <v>45653</v>
      </c>
      <c r="AC338" s="23"/>
      <c r="AD338" s="15"/>
      <c r="AE338" s="16"/>
      <c r="AF338" s="17"/>
      <c r="AG338" s="17"/>
      <c r="AH338" s="85">
        <f t="shared" si="522"/>
        <v>0</v>
      </c>
      <c r="AI338" s="15"/>
      <c r="AJ338" s="16"/>
      <c r="AK338" s="17"/>
      <c r="AL338" s="17"/>
      <c r="AM338" s="85">
        <f t="shared" si="523"/>
        <v>0</v>
      </c>
      <c r="AN338" s="15"/>
      <c r="AO338" s="16"/>
      <c r="AP338" s="17"/>
      <c r="AQ338" s="17"/>
      <c r="AR338" s="85">
        <f t="shared" si="524"/>
        <v>0</v>
      </c>
      <c r="AS338" s="15"/>
      <c r="AT338" s="16"/>
      <c r="AU338" s="17"/>
      <c r="AV338" s="17"/>
      <c r="AW338" s="85">
        <f t="shared" si="525"/>
        <v>0</v>
      </c>
      <c r="AX338" s="15"/>
      <c r="AY338" s="16"/>
      <c r="AZ338" s="17"/>
      <c r="BA338" s="17"/>
      <c r="BB338" s="85">
        <f t="shared" si="526"/>
        <v>0</v>
      </c>
      <c r="BC338" s="105">
        <f t="shared" si="527"/>
        <v>0</v>
      </c>
      <c r="BD338" s="76"/>
    </row>
    <row r="339" spans="1:56" x14ac:dyDescent="0.15">
      <c r="A339" s="23" t="s">
        <v>43</v>
      </c>
      <c r="B339" s="15"/>
      <c r="C339" s="16">
        <v>1</v>
      </c>
      <c r="D339" s="17"/>
      <c r="E339" s="17"/>
      <c r="F339" s="85">
        <f t="shared" si="510"/>
        <v>1</v>
      </c>
      <c r="G339" s="15"/>
      <c r="H339" s="16">
        <v>1</v>
      </c>
      <c r="I339" s="17"/>
      <c r="J339" s="17"/>
      <c r="K339" s="85">
        <f t="shared" si="511"/>
        <v>1</v>
      </c>
      <c r="L339" s="15"/>
      <c r="M339" s="16">
        <v>1</v>
      </c>
      <c r="N339" s="17"/>
      <c r="O339" s="17"/>
      <c r="P339" s="85">
        <f t="shared" si="512"/>
        <v>1</v>
      </c>
      <c r="Q339" s="15"/>
      <c r="R339" s="16">
        <v>1</v>
      </c>
      <c r="S339" s="17"/>
      <c r="T339" s="17"/>
      <c r="U339" s="85">
        <f t="shared" si="513"/>
        <v>1</v>
      </c>
      <c r="V339" s="15"/>
      <c r="W339" s="16">
        <v>1</v>
      </c>
      <c r="X339" s="17"/>
      <c r="Y339" s="17"/>
      <c r="Z339" s="85">
        <f t="shared" si="514"/>
        <v>1</v>
      </c>
      <c r="AA339" s="105">
        <f t="shared" si="515"/>
        <v>5</v>
      </c>
      <c r="AB339" s="114">
        <v>45651</v>
      </c>
      <c r="AC339" s="23"/>
      <c r="AD339" s="15"/>
      <c r="AE339" s="16"/>
      <c r="AF339" s="17"/>
      <c r="AG339" s="17"/>
      <c r="AH339" s="85">
        <f t="shared" si="522"/>
        <v>0</v>
      </c>
      <c r="AI339" s="15"/>
      <c r="AJ339" s="16"/>
      <c r="AK339" s="17"/>
      <c r="AL339" s="17"/>
      <c r="AM339" s="85">
        <f t="shared" si="523"/>
        <v>0</v>
      </c>
      <c r="AN339" s="15"/>
      <c r="AO339" s="16"/>
      <c r="AP339" s="17"/>
      <c r="AQ339" s="17"/>
      <c r="AR339" s="85">
        <f t="shared" si="524"/>
        <v>0</v>
      </c>
      <c r="AS339" s="15"/>
      <c r="AT339" s="16"/>
      <c r="AU339" s="17"/>
      <c r="AV339" s="17"/>
      <c r="AW339" s="85">
        <f t="shared" si="525"/>
        <v>0</v>
      </c>
      <c r="AX339" s="15"/>
      <c r="AY339" s="16"/>
      <c r="AZ339" s="17"/>
      <c r="BA339" s="17"/>
      <c r="BB339" s="85">
        <f t="shared" si="526"/>
        <v>0</v>
      </c>
      <c r="BC339" s="105">
        <f t="shared" si="527"/>
        <v>0</v>
      </c>
      <c r="BD339" s="76"/>
    </row>
    <row r="340" spans="1:56" x14ac:dyDescent="0.15">
      <c r="A340" s="23" t="s">
        <v>330</v>
      </c>
      <c r="B340" s="18"/>
      <c r="C340" s="19"/>
      <c r="D340" s="20"/>
      <c r="E340" s="20"/>
      <c r="F340" s="85">
        <f t="shared" si="510"/>
        <v>0</v>
      </c>
      <c r="G340" s="18"/>
      <c r="H340" s="19"/>
      <c r="I340" s="20"/>
      <c r="J340" s="20"/>
      <c r="K340" s="85">
        <f t="shared" si="511"/>
        <v>0</v>
      </c>
      <c r="L340" s="18"/>
      <c r="M340" s="19">
        <v>1</v>
      </c>
      <c r="N340" s="20"/>
      <c r="O340" s="20"/>
      <c r="P340" s="85">
        <f t="shared" si="512"/>
        <v>1</v>
      </c>
      <c r="Q340" s="18"/>
      <c r="R340" s="19">
        <v>1</v>
      </c>
      <c r="S340" s="20"/>
      <c r="T340" s="20"/>
      <c r="U340" s="85">
        <f t="shared" si="513"/>
        <v>1</v>
      </c>
      <c r="V340" s="18"/>
      <c r="W340" s="19">
        <v>1</v>
      </c>
      <c r="X340" s="20"/>
      <c r="Y340" s="20"/>
      <c r="Z340" s="85">
        <f t="shared" si="514"/>
        <v>1</v>
      </c>
      <c r="AA340" s="105">
        <f t="shared" si="515"/>
        <v>3</v>
      </c>
      <c r="AB340" s="114">
        <v>45297</v>
      </c>
      <c r="AC340" s="23"/>
      <c r="AD340" s="18"/>
      <c r="AE340" s="19"/>
      <c r="AF340" s="20"/>
      <c r="AG340" s="20"/>
      <c r="AH340" s="85">
        <f t="shared" si="522"/>
        <v>0</v>
      </c>
      <c r="AI340" s="18"/>
      <c r="AJ340" s="19"/>
      <c r="AK340" s="20"/>
      <c r="AL340" s="20"/>
      <c r="AM340" s="85">
        <f t="shared" si="523"/>
        <v>0</v>
      </c>
      <c r="AN340" s="18"/>
      <c r="AO340" s="19"/>
      <c r="AP340" s="20"/>
      <c r="AQ340" s="20"/>
      <c r="AR340" s="85">
        <f t="shared" si="524"/>
        <v>0</v>
      </c>
      <c r="AS340" s="18"/>
      <c r="AT340" s="19"/>
      <c r="AU340" s="20"/>
      <c r="AV340" s="20"/>
      <c r="AW340" s="85">
        <f t="shared" si="525"/>
        <v>0</v>
      </c>
      <c r="AX340" s="18"/>
      <c r="AY340" s="19"/>
      <c r="AZ340" s="20"/>
      <c r="BA340" s="20"/>
      <c r="BB340" s="85">
        <f t="shared" si="526"/>
        <v>0</v>
      </c>
      <c r="BC340" s="105">
        <f t="shared" si="527"/>
        <v>0</v>
      </c>
      <c r="BD340" s="76"/>
    </row>
    <row r="341" spans="1:56" x14ac:dyDescent="0.15">
      <c r="A341" s="23" t="s">
        <v>43</v>
      </c>
      <c r="B341" s="15">
        <v>2</v>
      </c>
      <c r="C341" s="16">
        <v>1</v>
      </c>
      <c r="D341" s="17"/>
      <c r="E341" s="17">
        <v>1</v>
      </c>
      <c r="F341" s="85">
        <f t="shared" si="510"/>
        <v>4</v>
      </c>
      <c r="G341" s="15">
        <v>2</v>
      </c>
      <c r="H341" s="16">
        <v>1</v>
      </c>
      <c r="I341" s="17"/>
      <c r="J341" s="17">
        <v>1</v>
      </c>
      <c r="K341" s="85">
        <f t="shared" si="511"/>
        <v>4</v>
      </c>
      <c r="L341" s="15">
        <v>1</v>
      </c>
      <c r="M341" s="16"/>
      <c r="N341" s="17"/>
      <c r="O341" s="17">
        <v>1</v>
      </c>
      <c r="P341" s="85">
        <f t="shared" si="512"/>
        <v>2</v>
      </c>
      <c r="Q341" s="15">
        <v>1</v>
      </c>
      <c r="R341" s="16"/>
      <c r="S341" s="17"/>
      <c r="T341" s="17">
        <v>1</v>
      </c>
      <c r="U341" s="85">
        <f t="shared" si="513"/>
        <v>2</v>
      </c>
      <c r="V341" s="15">
        <v>3</v>
      </c>
      <c r="W341" s="16">
        <v>1</v>
      </c>
      <c r="X341" s="17"/>
      <c r="Y341" s="17">
        <v>1</v>
      </c>
      <c r="Z341" s="85">
        <f t="shared" si="514"/>
        <v>5</v>
      </c>
      <c r="AA341" s="105">
        <f t="shared" si="515"/>
        <v>17</v>
      </c>
      <c r="AB341" s="114">
        <v>45663</v>
      </c>
      <c r="AC341" s="23"/>
      <c r="AD341" s="15"/>
      <c r="AE341" s="16"/>
      <c r="AF341" s="17"/>
      <c r="AG341" s="17"/>
      <c r="AH341" s="85">
        <f t="shared" si="522"/>
        <v>0</v>
      </c>
      <c r="AI341" s="15"/>
      <c r="AJ341" s="16"/>
      <c r="AK341" s="17"/>
      <c r="AL341" s="17"/>
      <c r="AM341" s="85">
        <f t="shared" si="523"/>
        <v>0</v>
      </c>
      <c r="AN341" s="15"/>
      <c r="AO341" s="16"/>
      <c r="AP341" s="17"/>
      <c r="AQ341" s="17"/>
      <c r="AR341" s="85">
        <f t="shared" si="524"/>
        <v>0</v>
      </c>
      <c r="AS341" s="15"/>
      <c r="AT341" s="16"/>
      <c r="AU341" s="17"/>
      <c r="AV341" s="17"/>
      <c r="AW341" s="85">
        <f t="shared" si="525"/>
        <v>0</v>
      </c>
      <c r="AX341" s="15"/>
      <c r="AY341" s="16"/>
      <c r="AZ341" s="17"/>
      <c r="BA341" s="17"/>
      <c r="BB341" s="85">
        <f t="shared" si="526"/>
        <v>0</v>
      </c>
      <c r="BC341" s="105">
        <f t="shared" si="527"/>
        <v>0</v>
      </c>
      <c r="BD341" s="76"/>
    </row>
    <row r="342" spans="1:56" x14ac:dyDescent="0.15">
      <c r="A342" s="54" t="s">
        <v>360</v>
      </c>
      <c r="B342" s="15"/>
      <c r="C342" s="16"/>
      <c r="D342" s="17"/>
      <c r="E342" s="17"/>
      <c r="F342" s="85">
        <f t="shared" si="510"/>
        <v>0</v>
      </c>
      <c r="G342" s="15">
        <v>2</v>
      </c>
      <c r="H342" s="16"/>
      <c r="I342" s="17"/>
      <c r="J342" s="17">
        <v>1</v>
      </c>
      <c r="K342" s="85">
        <f t="shared" si="511"/>
        <v>3</v>
      </c>
      <c r="L342" s="15">
        <v>1</v>
      </c>
      <c r="M342" s="16">
        <v>1</v>
      </c>
      <c r="N342" s="17"/>
      <c r="O342" s="17"/>
      <c r="P342" s="85">
        <f t="shared" si="512"/>
        <v>2</v>
      </c>
      <c r="Q342" s="15">
        <v>1</v>
      </c>
      <c r="R342" s="16">
        <v>1</v>
      </c>
      <c r="S342" s="17"/>
      <c r="T342" s="17"/>
      <c r="U342" s="85">
        <f t="shared" si="513"/>
        <v>2</v>
      </c>
      <c r="V342" s="15">
        <v>2</v>
      </c>
      <c r="W342" s="16"/>
      <c r="X342" s="17"/>
      <c r="Y342" s="17"/>
      <c r="Z342" s="85">
        <f t="shared" si="514"/>
        <v>2</v>
      </c>
      <c r="AA342" s="105">
        <f t="shared" si="515"/>
        <v>9</v>
      </c>
      <c r="AB342" s="114">
        <v>45667</v>
      </c>
      <c r="AC342" s="54"/>
      <c r="AD342" s="15"/>
      <c r="AE342" s="16"/>
      <c r="AF342" s="17"/>
      <c r="AG342" s="17"/>
      <c r="AH342" s="85">
        <f t="shared" si="522"/>
        <v>0</v>
      </c>
      <c r="AI342" s="15"/>
      <c r="AJ342" s="16"/>
      <c r="AK342" s="17"/>
      <c r="AL342" s="17"/>
      <c r="AM342" s="85">
        <f t="shared" si="523"/>
        <v>0</v>
      </c>
      <c r="AN342" s="15"/>
      <c r="AO342" s="16"/>
      <c r="AP342" s="17"/>
      <c r="AQ342" s="17"/>
      <c r="AR342" s="85">
        <f t="shared" si="524"/>
        <v>0</v>
      </c>
      <c r="AS342" s="15"/>
      <c r="AT342" s="16"/>
      <c r="AU342" s="17"/>
      <c r="AV342" s="17"/>
      <c r="AW342" s="85">
        <f t="shared" si="525"/>
        <v>0</v>
      </c>
      <c r="AX342" s="15"/>
      <c r="AY342" s="16"/>
      <c r="AZ342" s="17"/>
      <c r="BA342" s="17"/>
      <c r="BB342" s="85">
        <f t="shared" si="526"/>
        <v>0</v>
      </c>
      <c r="BC342" s="105">
        <f t="shared" si="527"/>
        <v>0</v>
      </c>
      <c r="BD342" s="76"/>
    </row>
    <row r="343" spans="1:56" x14ac:dyDescent="0.15">
      <c r="A343" s="23" t="s">
        <v>330</v>
      </c>
      <c r="B343" s="15"/>
      <c r="C343" s="16"/>
      <c r="D343" s="17"/>
      <c r="E343" s="17"/>
      <c r="F343" s="85">
        <f t="shared" ref="F343:F344" si="538">SUM(B343:E343)</f>
        <v>0</v>
      </c>
      <c r="G343" s="15"/>
      <c r="H343" s="16"/>
      <c r="I343" s="17"/>
      <c r="J343" s="17"/>
      <c r="K343" s="85">
        <f t="shared" ref="K343:K344" si="539">SUM(G343:J343)</f>
        <v>0</v>
      </c>
      <c r="L343" s="15"/>
      <c r="M343" s="16">
        <v>1</v>
      </c>
      <c r="N343" s="17"/>
      <c r="O343" s="17"/>
      <c r="P343" s="85">
        <f t="shared" ref="P343:P344" si="540">SUM(L343:O343)</f>
        <v>1</v>
      </c>
      <c r="Q343" s="15"/>
      <c r="R343" s="16">
        <v>1</v>
      </c>
      <c r="S343" s="17"/>
      <c r="T343" s="17"/>
      <c r="U343" s="85">
        <f t="shared" ref="U343:U344" si="541">SUM(Q343:T343)</f>
        <v>1</v>
      </c>
      <c r="V343" s="15"/>
      <c r="W343" s="16">
        <v>1</v>
      </c>
      <c r="X343" s="17"/>
      <c r="Y343" s="17"/>
      <c r="Z343" s="85">
        <f t="shared" ref="Z343:Z344" si="542">SUM(V343:Y343)</f>
        <v>1</v>
      </c>
      <c r="AA343" s="105">
        <f t="shared" ref="AA343:AA344" si="543">Z343+U343+P343+K343+F343</f>
        <v>3</v>
      </c>
      <c r="AB343" s="114">
        <v>45673</v>
      </c>
      <c r="AC343" s="54"/>
      <c r="AD343" s="15"/>
      <c r="AE343" s="16"/>
      <c r="AF343" s="17"/>
      <c r="AG343" s="17"/>
      <c r="AH343" s="85">
        <f t="shared" si="522"/>
        <v>0</v>
      </c>
      <c r="AI343" s="15"/>
      <c r="AJ343" s="16"/>
      <c r="AK343" s="17"/>
      <c r="AL343" s="17"/>
      <c r="AM343" s="85">
        <f t="shared" si="523"/>
        <v>0</v>
      </c>
      <c r="AN343" s="15"/>
      <c r="AO343" s="16"/>
      <c r="AP343" s="17"/>
      <c r="AQ343" s="17"/>
      <c r="AR343" s="85">
        <f t="shared" si="524"/>
        <v>0</v>
      </c>
      <c r="AS343" s="15"/>
      <c r="AT343" s="16"/>
      <c r="AU343" s="17"/>
      <c r="AV343" s="17"/>
      <c r="AW343" s="85">
        <f t="shared" si="525"/>
        <v>0</v>
      </c>
      <c r="AX343" s="15"/>
      <c r="AY343" s="16"/>
      <c r="AZ343" s="17"/>
      <c r="BA343" s="17"/>
      <c r="BB343" s="85">
        <f t="shared" si="526"/>
        <v>0</v>
      </c>
      <c r="BC343" s="105">
        <f t="shared" si="527"/>
        <v>0</v>
      </c>
      <c r="BD343" s="76"/>
    </row>
    <row r="344" spans="1:56" x14ac:dyDescent="0.15">
      <c r="A344" s="23" t="s">
        <v>289</v>
      </c>
      <c r="B344" s="15">
        <v>-2</v>
      </c>
      <c r="C344" s="16"/>
      <c r="D344" s="17"/>
      <c r="E344" s="17"/>
      <c r="F344" s="85">
        <f t="shared" si="538"/>
        <v>-2</v>
      </c>
      <c r="G344" s="15">
        <v>-1</v>
      </c>
      <c r="H344" s="16"/>
      <c r="I344" s="17"/>
      <c r="J344" s="17"/>
      <c r="K344" s="85">
        <f t="shared" si="539"/>
        <v>-1</v>
      </c>
      <c r="L344" s="15"/>
      <c r="M344" s="16"/>
      <c r="N344" s="17"/>
      <c r="O344" s="17"/>
      <c r="P344" s="85">
        <f t="shared" si="540"/>
        <v>0</v>
      </c>
      <c r="Q344" s="15"/>
      <c r="R344" s="16"/>
      <c r="S344" s="17"/>
      <c r="T344" s="17"/>
      <c r="U344" s="85">
        <f t="shared" si="541"/>
        <v>0</v>
      </c>
      <c r="V344" s="15">
        <v>-2</v>
      </c>
      <c r="W344" s="16"/>
      <c r="X344" s="17"/>
      <c r="Y344" s="17"/>
      <c r="Z344" s="85">
        <f t="shared" si="542"/>
        <v>-2</v>
      </c>
      <c r="AA344" s="105">
        <f t="shared" si="543"/>
        <v>-5</v>
      </c>
      <c r="AB344" s="114">
        <v>45671</v>
      </c>
      <c r="AC344" s="54"/>
      <c r="AD344" s="15"/>
      <c r="AE344" s="16"/>
      <c r="AF344" s="17"/>
      <c r="AG344" s="17"/>
      <c r="AH344" s="85">
        <f t="shared" si="522"/>
        <v>0</v>
      </c>
      <c r="AI344" s="15"/>
      <c r="AJ344" s="16"/>
      <c r="AK344" s="17"/>
      <c r="AL344" s="17"/>
      <c r="AM344" s="85">
        <f t="shared" si="523"/>
        <v>0</v>
      </c>
      <c r="AN344" s="15"/>
      <c r="AO344" s="16"/>
      <c r="AP344" s="17"/>
      <c r="AQ344" s="17"/>
      <c r="AR344" s="85">
        <f t="shared" si="524"/>
        <v>0</v>
      </c>
      <c r="AS344" s="15"/>
      <c r="AT344" s="16"/>
      <c r="AU344" s="17"/>
      <c r="AV344" s="17"/>
      <c r="AW344" s="85">
        <f t="shared" si="525"/>
        <v>0</v>
      </c>
      <c r="AX344" s="15"/>
      <c r="AY344" s="16"/>
      <c r="AZ344" s="17"/>
      <c r="BA344" s="17"/>
      <c r="BB344" s="85">
        <f t="shared" si="526"/>
        <v>0</v>
      </c>
      <c r="BC344" s="105">
        <f t="shared" si="527"/>
        <v>0</v>
      </c>
      <c r="BD344" s="76"/>
    </row>
    <row r="345" spans="1:56" x14ac:dyDescent="0.15">
      <c r="A345" s="23" t="s">
        <v>43</v>
      </c>
      <c r="B345" s="15">
        <f>1+1</f>
        <v>2</v>
      </c>
      <c r="C345" s="16"/>
      <c r="D345" s="17"/>
      <c r="E345" s="17"/>
      <c r="F345" s="85">
        <f t="shared" si="510"/>
        <v>2</v>
      </c>
      <c r="G345" s="15">
        <v>1</v>
      </c>
      <c r="H345" s="16"/>
      <c r="I345" s="17"/>
      <c r="J345" s="17"/>
      <c r="K345" s="85">
        <f t="shared" si="511"/>
        <v>1</v>
      </c>
      <c r="L345" s="15">
        <v>1</v>
      </c>
      <c r="M345" s="16"/>
      <c r="N345" s="17"/>
      <c r="O345" s="17"/>
      <c r="P345" s="85">
        <f t="shared" si="512"/>
        <v>1</v>
      </c>
      <c r="Q345" s="15">
        <f>2+1</f>
        <v>3</v>
      </c>
      <c r="R345" s="16"/>
      <c r="S345" s="17"/>
      <c r="T345" s="17"/>
      <c r="U345" s="85">
        <f t="shared" si="513"/>
        <v>3</v>
      </c>
      <c r="V345" s="15">
        <f>2+1</f>
        <v>3</v>
      </c>
      <c r="W345" s="16"/>
      <c r="X345" s="17"/>
      <c r="Y345" s="17"/>
      <c r="Z345" s="85">
        <f t="shared" si="514"/>
        <v>3</v>
      </c>
      <c r="AA345" s="105">
        <f t="shared" si="515"/>
        <v>10</v>
      </c>
      <c r="AB345" s="114">
        <v>45671</v>
      </c>
      <c r="AC345" s="24"/>
      <c r="AD345" s="15"/>
      <c r="AE345" s="16"/>
      <c r="AF345" s="17"/>
      <c r="AG345" s="17"/>
      <c r="AH345" s="85">
        <f t="shared" si="522"/>
        <v>0</v>
      </c>
      <c r="AI345" s="15"/>
      <c r="AJ345" s="16"/>
      <c r="AK345" s="17"/>
      <c r="AL345" s="17"/>
      <c r="AM345" s="85">
        <f t="shared" si="523"/>
        <v>0</v>
      </c>
      <c r="AN345" s="15"/>
      <c r="AO345" s="16"/>
      <c r="AP345" s="17"/>
      <c r="AQ345" s="17"/>
      <c r="AR345" s="85">
        <f t="shared" si="524"/>
        <v>0</v>
      </c>
      <c r="AS345" s="15"/>
      <c r="AT345" s="16"/>
      <c r="AU345" s="17"/>
      <c r="AV345" s="17"/>
      <c r="AW345" s="85">
        <f t="shared" si="525"/>
        <v>0</v>
      </c>
      <c r="AX345" s="15"/>
      <c r="AY345" s="16"/>
      <c r="AZ345" s="17"/>
      <c r="BA345" s="17"/>
      <c r="BB345" s="85">
        <f t="shared" si="526"/>
        <v>0</v>
      </c>
      <c r="BC345" s="105">
        <f t="shared" si="527"/>
        <v>0</v>
      </c>
      <c r="BD345" s="76"/>
    </row>
    <row r="346" spans="1:56" x14ac:dyDescent="0.15">
      <c r="A346" s="54" t="s">
        <v>364</v>
      </c>
      <c r="B346" s="15"/>
      <c r="C346" s="16"/>
      <c r="D346" s="17"/>
      <c r="E346" s="17"/>
      <c r="F346" s="85">
        <f t="shared" si="510"/>
        <v>0</v>
      </c>
      <c r="G346" s="15">
        <v>3</v>
      </c>
      <c r="H346" s="16"/>
      <c r="I346" s="17"/>
      <c r="J346" s="17"/>
      <c r="K346" s="85">
        <f t="shared" si="511"/>
        <v>3</v>
      </c>
      <c r="L346" s="15">
        <v>1</v>
      </c>
      <c r="M346" s="16"/>
      <c r="N346" s="17">
        <v>1</v>
      </c>
      <c r="O346" s="17"/>
      <c r="P346" s="85">
        <f t="shared" si="512"/>
        <v>2</v>
      </c>
      <c r="Q346" s="15">
        <v>1</v>
      </c>
      <c r="R346" s="16"/>
      <c r="S346" s="17"/>
      <c r="T346" s="17">
        <v>1</v>
      </c>
      <c r="U346" s="85">
        <f t="shared" si="513"/>
        <v>2</v>
      </c>
      <c r="V346" s="15"/>
      <c r="W346" s="16"/>
      <c r="X346" s="17"/>
      <c r="Y346" s="17">
        <v>1</v>
      </c>
      <c r="Z346" s="85">
        <f t="shared" si="514"/>
        <v>1</v>
      </c>
      <c r="AA346" s="105">
        <f t="shared" si="515"/>
        <v>8</v>
      </c>
      <c r="AB346" s="114">
        <v>45674</v>
      </c>
      <c r="AC346" s="54"/>
      <c r="AD346" s="15"/>
      <c r="AE346" s="16"/>
      <c r="AF346" s="17"/>
      <c r="AG346" s="17"/>
      <c r="AH346" s="85">
        <f t="shared" si="522"/>
        <v>0</v>
      </c>
      <c r="AI346" s="15"/>
      <c r="AJ346" s="16"/>
      <c r="AK346" s="17"/>
      <c r="AL346" s="17"/>
      <c r="AM346" s="85">
        <f t="shared" si="523"/>
        <v>0</v>
      </c>
      <c r="AN346" s="15"/>
      <c r="AO346" s="16"/>
      <c r="AP346" s="17"/>
      <c r="AQ346" s="17"/>
      <c r="AR346" s="85">
        <f t="shared" si="524"/>
        <v>0</v>
      </c>
      <c r="AS346" s="15"/>
      <c r="AT346" s="16"/>
      <c r="AU346" s="17"/>
      <c r="AV346" s="17"/>
      <c r="AW346" s="85">
        <f t="shared" si="525"/>
        <v>0</v>
      </c>
      <c r="AX346" s="15"/>
      <c r="AY346" s="16"/>
      <c r="AZ346" s="17"/>
      <c r="BA346" s="17"/>
      <c r="BB346" s="85">
        <f t="shared" si="526"/>
        <v>0</v>
      </c>
      <c r="BC346" s="105">
        <f t="shared" si="527"/>
        <v>0</v>
      </c>
      <c r="BD346" s="76"/>
    </row>
    <row r="347" spans="1:56" x14ac:dyDescent="0.15">
      <c r="A347" s="23" t="s">
        <v>43</v>
      </c>
      <c r="B347" s="15"/>
      <c r="C347" s="16"/>
      <c r="D347" s="17"/>
      <c r="E347" s="17"/>
      <c r="F347" s="85">
        <f t="shared" si="510"/>
        <v>0</v>
      </c>
      <c r="G347" s="15"/>
      <c r="H347" s="16"/>
      <c r="I347" s="17"/>
      <c r="J347" s="17"/>
      <c r="K347" s="85">
        <f t="shared" si="511"/>
        <v>0</v>
      </c>
      <c r="L347" s="15">
        <v>1</v>
      </c>
      <c r="M347" s="16"/>
      <c r="N347" s="17"/>
      <c r="O347" s="17"/>
      <c r="P347" s="85">
        <f t="shared" si="512"/>
        <v>1</v>
      </c>
      <c r="Q347" s="15">
        <v>1</v>
      </c>
      <c r="R347" s="16"/>
      <c r="S347" s="17"/>
      <c r="T347" s="17"/>
      <c r="U347" s="85">
        <f t="shared" si="513"/>
        <v>1</v>
      </c>
      <c r="V347" s="15">
        <f>6+1</f>
        <v>7</v>
      </c>
      <c r="W347" s="16">
        <v>1</v>
      </c>
      <c r="X347" s="17"/>
      <c r="Y347" s="17"/>
      <c r="Z347" s="85">
        <f t="shared" si="514"/>
        <v>8</v>
      </c>
      <c r="AA347" s="105">
        <f t="shared" si="515"/>
        <v>10</v>
      </c>
      <c r="AB347" s="114">
        <v>45673</v>
      </c>
      <c r="AC347" s="23"/>
      <c r="AD347" s="15"/>
      <c r="AE347" s="16"/>
      <c r="AF347" s="17"/>
      <c r="AG347" s="17"/>
      <c r="AH347" s="85">
        <f t="shared" si="522"/>
        <v>0</v>
      </c>
      <c r="AI347" s="15"/>
      <c r="AJ347" s="16"/>
      <c r="AK347" s="17"/>
      <c r="AL347" s="17"/>
      <c r="AM347" s="85">
        <f t="shared" si="523"/>
        <v>0</v>
      </c>
      <c r="AN347" s="15"/>
      <c r="AO347" s="16"/>
      <c r="AP347" s="17"/>
      <c r="AQ347" s="17"/>
      <c r="AR347" s="85">
        <f t="shared" si="524"/>
        <v>0</v>
      </c>
      <c r="AS347" s="15"/>
      <c r="AT347" s="16"/>
      <c r="AU347" s="17"/>
      <c r="AV347" s="17"/>
      <c r="AW347" s="85">
        <f t="shared" si="525"/>
        <v>0</v>
      </c>
      <c r="AX347" s="15"/>
      <c r="AY347" s="16"/>
      <c r="AZ347" s="17"/>
      <c r="BA347" s="17"/>
      <c r="BB347" s="85">
        <f t="shared" si="526"/>
        <v>0</v>
      </c>
      <c r="BC347" s="105">
        <f t="shared" si="527"/>
        <v>0</v>
      </c>
      <c r="BD347" s="76"/>
    </row>
    <row r="348" spans="1:56" x14ac:dyDescent="0.15">
      <c r="A348" s="23" t="s">
        <v>43</v>
      </c>
      <c r="B348" s="15"/>
      <c r="C348" s="16"/>
      <c r="D348" s="17"/>
      <c r="E348" s="17"/>
      <c r="F348" s="85">
        <f t="shared" si="510"/>
        <v>0</v>
      </c>
      <c r="G348" s="15"/>
      <c r="H348" s="16"/>
      <c r="I348" s="17"/>
      <c r="J348" s="17"/>
      <c r="K348" s="85">
        <f t="shared" si="511"/>
        <v>0</v>
      </c>
      <c r="L348" s="15"/>
      <c r="M348" s="16"/>
      <c r="N348" s="17"/>
      <c r="O348" s="17">
        <v>1</v>
      </c>
      <c r="P348" s="85">
        <f t="shared" si="512"/>
        <v>1</v>
      </c>
      <c r="Q348" s="15"/>
      <c r="R348" s="16"/>
      <c r="S348" s="17"/>
      <c r="T348" s="17"/>
      <c r="U348" s="85">
        <f t="shared" si="513"/>
        <v>0</v>
      </c>
      <c r="V348" s="15"/>
      <c r="W348" s="16"/>
      <c r="X348" s="17"/>
      <c r="Y348" s="17"/>
      <c r="Z348" s="85">
        <f t="shared" si="514"/>
        <v>0</v>
      </c>
      <c r="AA348" s="105">
        <f t="shared" si="515"/>
        <v>1</v>
      </c>
      <c r="AB348" s="114">
        <v>45677</v>
      </c>
      <c r="AC348" s="23"/>
      <c r="AD348" s="15"/>
      <c r="AE348" s="16"/>
      <c r="AF348" s="17"/>
      <c r="AG348" s="17"/>
      <c r="AH348" s="85">
        <f t="shared" si="522"/>
        <v>0</v>
      </c>
      <c r="AI348" s="15"/>
      <c r="AJ348" s="16"/>
      <c r="AK348" s="17"/>
      <c r="AL348" s="17"/>
      <c r="AM348" s="85">
        <f t="shared" si="523"/>
        <v>0</v>
      </c>
      <c r="AN348" s="15"/>
      <c r="AO348" s="16"/>
      <c r="AP348" s="17"/>
      <c r="AQ348" s="17"/>
      <c r="AR348" s="85">
        <f t="shared" si="524"/>
        <v>0</v>
      </c>
      <c r="AS348" s="15"/>
      <c r="AT348" s="16"/>
      <c r="AU348" s="17"/>
      <c r="AV348" s="17"/>
      <c r="AW348" s="85">
        <f t="shared" si="525"/>
        <v>0</v>
      </c>
      <c r="AX348" s="15"/>
      <c r="AY348" s="16"/>
      <c r="AZ348" s="17"/>
      <c r="BA348" s="17"/>
      <c r="BB348" s="85">
        <f t="shared" si="526"/>
        <v>0</v>
      </c>
      <c r="BC348" s="105">
        <f t="shared" si="527"/>
        <v>0</v>
      </c>
      <c r="BD348" s="76"/>
    </row>
    <row r="349" spans="1:56" x14ac:dyDescent="0.15">
      <c r="A349" s="54" t="s">
        <v>372</v>
      </c>
      <c r="B349" s="15">
        <v>-3</v>
      </c>
      <c r="C349" s="16">
        <v>-3</v>
      </c>
      <c r="D349" s="17">
        <v>-3</v>
      </c>
      <c r="E349" s="17">
        <v>-3</v>
      </c>
      <c r="F349" s="85">
        <f t="shared" si="510"/>
        <v>-12</v>
      </c>
      <c r="G349" s="15">
        <v>-3</v>
      </c>
      <c r="H349" s="16">
        <v>-3</v>
      </c>
      <c r="I349" s="17">
        <v>-3</v>
      </c>
      <c r="J349" s="17">
        <v>-3</v>
      </c>
      <c r="K349" s="85">
        <f t="shared" si="511"/>
        <v>-12</v>
      </c>
      <c r="L349" s="15">
        <v>-3</v>
      </c>
      <c r="M349" s="16">
        <v>-3</v>
      </c>
      <c r="N349" s="17">
        <v>-3</v>
      </c>
      <c r="O349" s="17">
        <v>-3</v>
      </c>
      <c r="P349" s="85">
        <f t="shared" si="512"/>
        <v>-12</v>
      </c>
      <c r="Q349" s="15">
        <v>-3</v>
      </c>
      <c r="R349" s="16">
        <v>-3</v>
      </c>
      <c r="S349" s="17">
        <v>-3</v>
      </c>
      <c r="T349" s="17">
        <v>-3</v>
      </c>
      <c r="U349" s="85">
        <f t="shared" si="513"/>
        <v>-12</v>
      </c>
      <c r="V349" s="15">
        <v>-5</v>
      </c>
      <c r="W349" s="16">
        <v>-3</v>
      </c>
      <c r="X349" s="17">
        <v>-3</v>
      </c>
      <c r="Y349" s="17">
        <v>-3</v>
      </c>
      <c r="Z349" s="85">
        <f t="shared" si="514"/>
        <v>-14</v>
      </c>
      <c r="AA349" s="105">
        <f t="shared" si="515"/>
        <v>-62</v>
      </c>
      <c r="AB349" s="115">
        <v>45675</v>
      </c>
      <c r="AC349" s="54"/>
      <c r="AD349" s="15"/>
      <c r="AE349" s="16"/>
      <c r="AF349" s="17"/>
      <c r="AG349" s="17"/>
      <c r="AH349" s="85">
        <f t="shared" si="522"/>
        <v>0</v>
      </c>
      <c r="AI349" s="15"/>
      <c r="AJ349" s="16"/>
      <c r="AK349" s="17"/>
      <c r="AL349" s="17"/>
      <c r="AM349" s="85">
        <f t="shared" si="523"/>
        <v>0</v>
      </c>
      <c r="AN349" s="15"/>
      <c r="AO349" s="16"/>
      <c r="AP349" s="17"/>
      <c r="AQ349" s="17"/>
      <c r="AR349" s="85">
        <f t="shared" si="524"/>
        <v>0</v>
      </c>
      <c r="AS349" s="15"/>
      <c r="AT349" s="16"/>
      <c r="AU349" s="17"/>
      <c r="AV349" s="17"/>
      <c r="AW349" s="85">
        <f t="shared" si="525"/>
        <v>0</v>
      </c>
      <c r="AX349" s="15"/>
      <c r="AY349" s="16"/>
      <c r="AZ349" s="17"/>
      <c r="BA349" s="17"/>
      <c r="BB349" s="85">
        <f t="shared" si="526"/>
        <v>0</v>
      </c>
      <c r="BC349" s="105">
        <f t="shared" si="527"/>
        <v>0</v>
      </c>
      <c r="BD349" s="76"/>
    </row>
    <row r="350" spans="1:56" x14ac:dyDescent="0.15">
      <c r="A350" s="23" t="s">
        <v>43</v>
      </c>
      <c r="B350" s="15">
        <v>2</v>
      </c>
      <c r="C350" s="16"/>
      <c r="D350" s="17"/>
      <c r="E350" s="17"/>
      <c r="F350" s="85">
        <f t="shared" si="510"/>
        <v>2</v>
      </c>
      <c r="G350" s="15"/>
      <c r="H350" s="16"/>
      <c r="I350" s="17"/>
      <c r="J350" s="17"/>
      <c r="K350" s="85">
        <f t="shared" si="511"/>
        <v>0</v>
      </c>
      <c r="L350" s="15"/>
      <c r="M350" s="16"/>
      <c r="N350" s="17"/>
      <c r="O350" s="17"/>
      <c r="P350" s="85">
        <f t="shared" si="512"/>
        <v>0</v>
      </c>
      <c r="Q350" s="15"/>
      <c r="R350" s="16"/>
      <c r="S350" s="17"/>
      <c r="T350" s="17"/>
      <c r="U350" s="85">
        <f t="shared" si="513"/>
        <v>0</v>
      </c>
      <c r="V350" s="15"/>
      <c r="W350" s="16"/>
      <c r="X350" s="17"/>
      <c r="Y350" s="17"/>
      <c r="Z350" s="85">
        <f t="shared" si="514"/>
        <v>0</v>
      </c>
      <c r="AA350" s="105">
        <f t="shared" si="515"/>
        <v>2</v>
      </c>
      <c r="AB350" s="115">
        <v>45684</v>
      </c>
      <c r="AC350" s="23"/>
      <c r="AD350" s="15"/>
      <c r="AE350" s="16"/>
      <c r="AF350" s="17"/>
      <c r="AG350" s="17"/>
      <c r="AH350" s="85">
        <f t="shared" si="522"/>
        <v>0</v>
      </c>
      <c r="AI350" s="15"/>
      <c r="AJ350" s="16"/>
      <c r="AK350" s="17"/>
      <c r="AL350" s="17"/>
      <c r="AM350" s="85">
        <f t="shared" si="523"/>
        <v>0</v>
      </c>
      <c r="AN350" s="15"/>
      <c r="AO350" s="16"/>
      <c r="AP350" s="17"/>
      <c r="AQ350" s="17"/>
      <c r="AR350" s="85">
        <f t="shared" si="524"/>
        <v>0</v>
      </c>
      <c r="AS350" s="15"/>
      <c r="AT350" s="16"/>
      <c r="AU350" s="17"/>
      <c r="AV350" s="17"/>
      <c r="AW350" s="85">
        <f t="shared" si="525"/>
        <v>0</v>
      </c>
      <c r="AX350" s="15"/>
      <c r="AY350" s="16"/>
      <c r="AZ350" s="17"/>
      <c r="BA350" s="17"/>
      <c r="BB350" s="85">
        <f t="shared" si="526"/>
        <v>0</v>
      </c>
      <c r="BC350" s="105">
        <f t="shared" si="527"/>
        <v>0</v>
      </c>
      <c r="BD350" s="76"/>
    </row>
    <row r="351" spans="1:56" x14ac:dyDescent="0.15">
      <c r="A351" s="23" t="s">
        <v>43</v>
      </c>
      <c r="B351" s="15"/>
      <c r="C351" s="16"/>
      <c r="D351" s="17"/>
      <c r="E351" s="17"/>
      <c r="F351" s="85">
        <f t="shared" si="510"/>
        <v>0</v>
      </c>
      <c r="G351" s="15"/>
      <c r="H351" s="16"/>
      <c r="I351" s="17">
        <v>1</v>
      </c>
      <c r="J351" s="17"/>
      <c r="K351" s="85">
        <f t="shared" si="511"/>
        <v>1</v>
      </c>
      <c r="L351" s="15"/>
      <c r="M351" s="16"/>
      <c r="N351" s="17"/>
      <c r="O351" s="17"/>
      <c r="P351" s="85">
        <f t="shared" si="512"/>
        <v>0</v>
      </c>
      <c r="Q351" s="15"/>
      <c r="R351" s="16"/>
      <c r="S351" s="17"/>
      <c r="T351" s="17"/>
      <c r="U351" s="85">
        <f t="shared" si="513"/>
        <v>0</v>
      </c>
      <c r="V351" s="15"/>
      <c r="W351" s="16"/>
      <c r="X351" s="17"/>
      <c r="Y351" s="17"/>
      <c r="Z351" s="85">
        <f t="shared" si="514"/>
        <v>0</v>
      </c>
      <c r="AA351" s="105">
        <f t="shared" si="515"/>
        <v>1</v>
      </c>
      <c r="AB351" s="115">
        <v>45685</v>
      </c>
      <c r="AC351" s="23"/>
      <c r="AD351" s="15"/>
      <c r="AE351" s="16"/>
      <c r="AF351" s="17"/>
      <c r="AG351" s="17"/>
      <c r="AH351" s="85">
        <f t="shared" si="522"/>
        <v>0</v>
      </c>
      <c r="AI351" s="15"/>
      <c r="AJ351" s="16"/>
      <c r="AK351" s="17"/>
      <c r="AL351" s="17"/>
      <c r="AM351" s="85">
        <f t="shared" si="523"/>
        <v>0</v>
      </c>
      <c r="AN351" s="15"/>
      <c r="AO351" s="16"/>
      <c r="AP351" s="17"/>
      <c r="AQ351" s="17"/>
      <c r="AR351" s="85">
        <f t="shared" si="524"/>
        <v>0</v>
      </c>
      <c r="AS351" s="15"/>
      <c r="AT351" s="16"/>
      <c r="AU351" s="17"/>
      <c r="AV351" s="17"/>
      <c r="AW351" s="85">
        <f t="shared" si="525"/>
        <v>0</v>
      </c>
      <c r="AX351" s="15"/>
      <c r="AY351" s="16"/>
      <c r="AZ351" s="17"/>
      <c r="BA351" s="17"/>
      <c r="BB351" s="85">
        <f t="shared" si="526"/>
        <v>0</v>
      </c>
      <c r="BC351" s="105">
        <f t="shared" si="527"/>
        <v>0</v>
      </c>
      <c r="BD351" s="76"/>
    </row>
    <row r="352" spans="1:56" x14ac:dyDescent="0.15">
      <c r="A352" s="23" t="s">
        <v>43</v>
      </c>
      <c r="B352" s="18"/>
      <c r="C352" s="19"/>
      <c r="D352" s="20"/>
      <c r="E352" s="20"/>
      <c r="F352" s="85">
        <f t="shared" si="510"/>
        <v>0</v>
      </c>
      <c r="G352" s="18"/>
      <c r="H352" s="19"/>
      <c r="I352" s="20"/>
      <c r="J352" s="20"/>
      <c r="K352" s="85">
        <f t="shared" si="511"/>
        <v>0</v>
      </c>
      <c r="L352" s="18"/>
      <c r="M352" s="19"/>
      <c r="N352" s="20"/>
      <c r="O352" s="20"/>
      <c r="P352" s="85">
        <f t="shared" si="512"/>
        <v>0</v>
      </c>
      <c r="Q352" s="18"/>
      <c r="R352" s="19">
        <v>2</v>
      </c>
      <c r="S352" s="20"/>
      <c r="T352" s="20"/>
      <c r="U352" s="85">
        <f t="shared" si="513"/>
        <v>2</v>
      </c>
      <c r="V352" s="18"/>
      <c r="W352" s="19"/>
      <c r="X352" s="20"/>
      <c r="Y352" s="20"/>
      <c r="Z352" s="85">
        <f t="shared" si="514"/>
        <v>0</v>
      </c>
      <c r="AA352" s="105">
        <f t="shared" si="515"/>
        <v>2</v>
      </c>
      <c r="AB352" s="114">
        <v>45691</v>
      </c>
      <c r="AC352" s="23"/>
      <c r="AD352" s="18"/>
      <c r="AE352" s="19"/>
      <c r="AF352" s="20"/>
      <c r="AG352" s="20"/>
      <c r="AH352" s="85">
        <f t="shared" si="522"/>
        <v>0</v>
      </c>
      <c r="AI352" s="18"/>
      <c r="AJ352" s="19"/>
      <c r="AK352" s="20"/>
      <c r="AL352" s="20"/>
      <c r="AM352" s="85">
        <f t="shared" si="523"/>
        <v>0</v>
      </c>
      <c r="AN352" s="18"/>
      <c r="AO352" s="19"/>
      <c r="AP352" s="20"/>
      <c r="AQ352" s="20"/>
      <c r="AR352" s="85">
        <f t="shared" si="524"/>
        <v>0</v>
      </c>
      <c r="AS352" s="18"/>
      <c r="AT352" s="19"/>
      <c r="AU352" s="20"/>
      <c r="AV352" s="20"/>
      <c r="AW352" s="85">
        <f t="shared" si="525"/>
        <v>0</v>
      </c>
      <c r="AX352" s="18"/>
      <c r="AY352" s="19"/>
      <c r="AZ352" s="20"/>
      <c r="BA352" s="20"/>
      <c r="BB352" s="85">
        <f t="shared" si="526"/>
        <v>0</v>
      </c>
      <c r="BC352" s="105">
        <f t="shared" si="527"/>
        <v>0</v>
      </c>
      <c r="BD352" s="76"/>
    </row>
    <row r="353" spans="1:56" x14ac:dyDescent="0.15">
      <c r="A353" s="54" t="s">
        <v>377</v>
      </c>
      <c r="B353" s="16"/>
      <c r="C353" s="16"/>
      <c r="D353" s="17"/>
      <c r="E353" s="17"/>
      <c r="F353" s="85">
        <f t="shared" si="510"/>
        <v>0</v>
      </c>
      <c r="G353" s="16"/>
      <c r="H353" s="16">
        <v>2</v>
      </c>
      <c r="I353" s="17"/>
      <c r="J353" s="17"/>
      <c r="K353" s="85">
        <f t="shared" si="511"/>
        <v>2</v>
      </c>
      <c r="L353" s="16">
        <v>3</v>
      </c>
      <c r="M353" s="16"/>
      <c r="N353" s="17"/>
      <c r="O353" s="17">
        <v>2</v>
      </c>
      <c r="P353" s="85">
        <f t="shared" si="512"/>
        <v>5</v>
      </c>
      <c r="Q353" s="16"/>
      <c r="R353" s="16">
        <v>2</v>
      </c>
      <c r="S353" s="17"/>
      <c r="T353" s="17">
        <v>2</v>
      </c>
      <c r="U353" s="85">
        <f t="shared" si="513"/>
        <v>4</v>
      </c>
      <c r="V353" s="16">
        <v>2</v>
      </c>
      <c r="W353" s="16"/>
      <c r="X353" s="17"/>
      <c r="Y353" s="17">
        <v>2</v>
      </c>
      <c r="Z353" s="85">
        <f t="shared" si="514"/>
        <v>4</v>
      </c>
      <c r="AA353" s="105">
        <f t="shared" si="515"/>
        <v>15</v>
      </c>
      <c r="AB353" s="114">
        <v>45695</v>
      </c>
      <c r="AC353" s="23"/>
      <c r="AD353" s="16"/>
      <c r="AE353" s="16"/>
      <c r="AF353" s="17"/>
      <c r="AG353" s="17"/>
      <c r="AH353" s="85">
        <f t="shared" si="522"/>
        <v>0</v>
      </c>
      <c r="AI353" s="16"/>
      <c r="AJ353" s="16"/>
      <c r="AK353" s="17"/>
      <c r="AL353" s="17"/>
      <c r="AM353" s="85">
        <f t="shared" si="523"/>
        <v>0</v>
      </c>
      <c r="AN353" s="16"/>
      <c r="AO353" s="16"/>
      <c r="AP353" s="17"/>
      <c r="AQ353" s="17"/>
      <c r="AR353" s="85">
        <f t="shared" si="524"/>
        <v>0</v>
      </c>
      <c r="AS353" s="16"/>
      <c r="AT353" s="16"/>
      <c r="AU353" s="17"/>
      <c r="AV353" s="17"/>
      <c r="AW353" s="85">
        <f t="shared" si="525"/>
        <v>0</v>
      </c>
      <c r="AX353" s="16"/>
      <c r="AY353" s="16"/>
      <c r="AZ353" s="17"/>
      <c r="BA353" s="17"/>
      <c r="BB353" s="85">
        <f t="shared" si="526"/>
        <v>0</v>
      </c>
      <c r="BC353" s="105">
        <f t="shared" si="527"/>
        <v>0</v>
      </c>
      <c r="BD353" s="76"/>
    </row>
    <row r="354" spans="1:56" x14ac:dyDescent="0.15">
      <c r="A354" s="23" t="s">
        <v>43</v>
      </c>
      <c r="B354" s="15"/>
      <c r="C354" s="25"/>
      <c r="D354" s="17"/>
      <c r="E354" s="17"/>
      <c r="F354" s="85">
        <f t="shared" si="510"/>
        <v>0</v>
      </c>
      <c r="G354" s="15"/>
      <c r="H354" s="25">
        <v>1</v>
      </c>
      <c r="I354" s="17"/>
      <c r="J354" s="17"/>
      <c r="K354" s="85">
        <f t="shared" si="511"/>
        <v>1</v>
      </c>
      <c r="L354" s="15"/>
      <c r="M354" s="25">
        <v>2</v>
      </c>
      <c r="N354" s="17"/>
      <c r="O354" s="17"/>
      <c r="P354" s="85">
        <f t="shared" si="512"/>
        <v>2</v>
      </c>
      <c r="Q354" s="15"/>
      <c r="R354" s="25">
        <v>1</v>
      </c>
      <c r="S354" s="17"/>
      <c r="T354" s="17"/>
      <c r="U354" s="85">
        <f t="shared" si="513"/>
        <v>1</v>
      </c>
      <c r="V354" s="15"/>
      <c r="W354" s="25"/>
      <c r="X354" s="17"/>
      <c r="Y354" s="17"/>
      <c r="Z354" s="85">
        <f t="shared" si="514"/>
        <v>0</v>
      </c>
      <c r="AA354" s="105">
        <f t="shared" si="515"/>
        <v>4</v>
      </c>
      <c r="AB354" s="115">
        <v>45693</v>
      </c>
      <c r="AC354" s="23"/>
      <c r="AD354" s="16"/>
      <c r="AE354" s="16"/>
      <c r="AF354" s="17"/>
      <c r="AG354" s="17"/>
      <c r="AH354" s="85">
        <f t="shared" si="522"/>
        <v>0</v>
      </c>
      <c r="AI354" s="16"/>
      <c r="AJ354" s="16"/>
      <c r="AK354" s="17"/>
      <c r="AL354" s="17"/>
      <c r="AM354" s="85">
        <f t="shared" si="523"/>
        <v>0</v>
      </c>
      <c r="AN354" s="16"/>
      <c r="AO354" s="16"/>
      <c r="AP354" s="17"/>
      <c r="AQ354" s="17"/>
      <c r="AR354" s="85">
        <f t="shared" si="524"/>
        <v>0</v>
      </c>
      <c r="AS354" s="16"/>
      <c r="AT354" s="16"/>
      <c r="AU354" s="17"/>
      <c r="AV354" s="17"/>
      <c r="AW354" s="85">
        <f t="shared" si="525"/>
        <v>0</v>
      </c>
      <c r="AX354" s="16"/>
      <c r="AY354" s="16"/>
      <c r="AZ354" s="17"/>
      <c r="BA354" s="17"/>
      <c r="BB354" s="85">
        <f t="shared" si="526"/>
        <v>0</v>
      </c>
      <c r="BC354" s="105">
        <f t="shared" si="527"/>
        <v>0</v>
      </c>
      <c r="BD354" s="76"/>
    </row>
    <row r="355" spans="1:56" x14ac:dyDescent="0.15">
      <c r="A355" s="23" t="s">
        <v>43</v>
      </c>
      <c r="B355" s="15"/>
      <c r="C355" s="16"/>
      <c r="D355" s="16"/>
      <c r="E355" s="63"/>
      <c r="F355" s="85">
        <f t="shared" si="510"/>
        <v>0</v>
      </c>
      <c r="G355" s="15"/>
      <c r="H355" s="16"/>
      <c r="I355" s="16"/>
      <c r="J355" s="63"/>
      <c r="K355" s="85">
        <f t="shared" si="511"/>
        <v>0</v>
      </c>
      <c r="L355" s="15"/>
      <c r="M355" s="16"/>
      <c r="N355" s="16"/>
      <c r="O355" s="63"/>
      <c r="P355" s="85">
        <f t="shared" si="512"/>
        <v>0</v>
      </c>
      <c r="Q355" s="15"/>
      <c r="R355" s="16"/>
      <c r="S355" s="16"/>
      <c r="T355" s="63"/>
      <c r="U355" s="85">
        <f t="shared" si="513"/>
        <v>0</v>
      </c>
      <c r="V355" s="15"/>
      <c r="W355" s="16"/>
      <c r="X355" s="16">
        <v>1</v>
      </c>
      <c r="Y355" s="63"/>
      <c r="Z355" s="85">
        <f t="shared" si="514"/>
        <v>1</v>
      </c>
      <c r="AA355" s="105">
        <f t="shared" si="515"/>
        <v>1</v>
      </c>
      <c r="AB355" s="114">
        <v>45694</v>
      </c>
      <c r="AC355" s="23"/>
      <c r="AD355" s="16"/>
      <c r="AE355" s="16"/>
      <c r="AF355" s="17"/>
      <c r="AG355" s="17"/>
      <c r="AH355" s="85">
        <f t="shared" ref="AH355:AH356" si="544">SUM(AD355:AG355)</f>
        <v>0</v>
      </c>
      <c r="AI355" s="16"/>
      <c r="AJ355" s="16"/>
      <c r="AK355" s="17"/>
      <c r="AL355" s="17"/>
      <c r="AM355" s="85">
        <f t="shared" ref="AM355:AM356" si="545">SUM(AI355:AL355)</f>
        <v>0</v>
      </c>
      <c r="AN355" s="16"/>
      <c r="AO355" s="16"/>
      <c r="AP355" s="17"/>
      <c r="AQ355" s="17"/>
      <c r="AR355" s="85">
        <f t="shared" ref="AR355:AR356" si="546">SUM(AN355:AQ355)</f>
        <v>0</v>
      </c>
      <c r="AS355" s="16"/>
      <c r="AT355" s="16"/>
      <c r="AU355" s="17"/>
      <c r="AV355" s="17"/>
      <c r="AW355" s="85">
        <f t="shared" ref="AW355:AW356" si="547">SUM(AS355:AV355)</f>
        <v>0</v>
      </c>
      <c r="AX355" s="16"/>
      <c r="AY355" s="16"/>
      <c r="AZ355" s="17"/>
      <c r="BA355" s="17"/>
      <c r="BB355" s="85">
        <f t="shared" ref="BB355:BB356" si="548">SUM(AX355:BA355)</f>
        <v>0</v>
      </c>
      <c r="BC355" s="105">
        <f t="shared" ref="BC355:BC356" si="549">BB355+AW355+AR355+AM355+AH355</f>
        <v>0</v>
      </c>
      <c r="BD355" s="76"/>
    </row>
    <row r="356" spans="1:56" ht="14.25" thickBot="1" x14ac:dyDescent="0.2">
      <c r="A356" s="23" t="s">
        <v>332</v>
      </c>
      <c r="B356" s="15"/>
      <c r="C356" s="16">
        <v>1</v>
      </c>
      <c r="D356" s="16"/>
      <c r="E356" s="63"/>
      <c r="F356" s="85">
        <f t="shared" si="510"/>
        <v>1</v>
      </c>
      <c r="G356" s="15"/>
      <c r="H356" s="16">
        <v>1</v>
      </c>
      <c r="I356" s="16"/>
      <c r="J356" s="63"/>
      <c r="K356" s="85">
        <f t="shared" si="511"/>
        <v>1</v>
      </c>
      <c r="L356" s="15"/>
      <c r="M356" s="16"/>
      <c r="N356" s="16"/>
      <c r="O356" s="63"/>
      <c r="P356" s="85">
        <f t="shared" si="512"/>
        <v>0</v>
      </c>
      <c r="Q356" s="15"/>
      <c r="R356" s="16"/>
      <c r="S356" s="16"/>
      <c r="T356" s="63"/>
      <c r="U356" s="85">
        <f t="shared" si="513"/>
        <v>0</v>
      </c>
      <c r="V356" s="15"/>
      <c r="W356" s="16">
        <v>1</v>
      </c>
      <c r="X356" s="16"/>
      <c r="Y356" s="63"/>
      <c r="Z356" s="85">
        <f t="shared" si="514"/>
        <v>1</v>
      </c>
      <c r="AA356" s="105">
        <f t="shared" si="515"/>
        <v>3</v>
      </c>
      <c r="AB356" s="114">
        <v>45700</v>
      </c>
      <c r="AC356" s="23" t="s">
        <v>363</v>
      </c>
      <c r="AD356" s="10"/>
      <c r="AE356" s="11"/>
      <c r="AF356" s="12"/>
      <c r="AG356" s="12"/>
      <c r="AH356" s="84">
        <f t="shared" si="544"/>
        <v>0</v>
      </c>
      <c r="AI356" s="10"/>
      <c r="AJ356" s="11"/>
      <c r="AK356" s="12"/>
      <c r="AL356" s="12"/>
      <c r="AM356" s="84">
        <f t="shared" si="545"/>
        <v>0</v>
      </c>
      <c r="AN356" s="10"/>
      <c r="AO356" s="11"/>
      <c r="AP356" s="12"/>
      <c r="AQ356" s="12"/>
      <c r="AR356" s="84">
        <f t="shared" si="546"/>
        <v>0</v>
      </c>
      <c r="AS356" s="10"/>
      <c r="AT356" s="11"/>
      <c r="AU356" s="12"/>
      <c r="AV356" s="12"/>
      <c r="AW356" s="84">
        <f t="shared" si="547"/>
        <v>0</v>
      </c>
      <c r="AX356" s="10"/>
      <c r="AY356" s="11"/>
      <c r="AZ356" s="12"/>
      <c r="BA356" s="12"/>
      <c r="BB356" s="84">
        <f t="shared" si="548"/>
        <v>0</v>
      </c>
      <c r="BC356" s="108">
        <f t="shared" si="549"/>
        <v>0</v>
      </c>
      <c r="BD356" s="114">
        <v>45694</v>
      </c>
    </row>
    <row r="357" spans="1:56" ht="14.25" thickBot="1" x14ac:dyDescent="0.2">
      <c r="A357" s="27" t="s">
        <v>12</v>
      </c>
      <c r="B357" s="57">
        <f>SUM(B331:B356)</f>
        <v>1</v>
      </c>
      <c r="C357" s="50">
        <f t="shared" ref="C357:D357" si="550">SUM(C331:C356)</f>
        <v>0</v>
      </c>
      <c r="D357" s="50">
        <f t="shared" si="550"/>
        <v>1</v>
      </c>
      <c r="E357" s="50">
        <f>SUM(E331:E356)</f>
        <v>-2</v>
      </c>
      <c r="F357" s="88">
        <f t="shared" si="510"/>
        <v>0</v>
      </c>
      <c r="G357" s="57">
        <f>SUM(G331:G356)</f>
        <v>8</v>
      </c>
      <c r="H357" s="50">
        <f t="shared" ref="H357:I357" si="551">SUM(H331:H356)</f>
        <v>4</v>
      </c>
      <c r="I357" s="50">
        <f t="shared" si="551"/>
        <v>1</v>
      </c>
      <c r="J357" s="50">
        <f>SUM(J331:J356)</f>
        <v>-1</v>
      </c>
      <c r="K357" s="88">
        <f t="shared" si="511"/>
        <v>12</v>
      </c>
      <c r="L357" s="57">
        <f>SUM(L331:L356)</f>
        <v>9</v>
      </c>
      <c r="M357" s="50">
        <f t="shared" ref="M357:N357" si="552">SUM(M331:M356)</f>
        <v>7</v>
      </c>
      <c r="N357" s="50">
        <f t="shared" si="552"/>
        <v>2</v>
      </c>
      <c r="O357" s="50">
        <f>SUM(O331:O356)</f>
        <v>1</v>
      </c>
      <c r="P357" s="88">
        <f t="shared" si="512"/>
        <v>19</v>
      </c>
      <c r="Q357" s="57">
        <f>SUM(Q331:Q356)</f>
        <v>8</v>
      </c>
      <c r="R357" s="50">
        <f t="shared" ref="R357:S357" si="553">SUM(R331:R356)</f>
        <v>10</v>
      </c>
      <c r="S357" s="50">
        <f t="shared" si="553"/>
        <v>-1</v>
      </c>
      <c r="T357" s="50">
        <f>SUM(T331:T356)</f>
        <v>1</v>
      </c>
      <c r="U357" s="88">
        <f t="shared" si="513"/>
        <v>18</v>
      </c>
      <c r="V357" s="57">
        <f>SUM(V331:V356)</f>
        <v>13</v>
      </c>
      <c r="W357" s="50">
        <f t="shared" ref="W357:X357" si="554">SUM(W331:W356)</f>
        <v>4</v>
      </c>
      <c r="X357" s="50">
        <f t="shared" si="554"/>
        <v>3</v>
      </c>
      <c r="Y357" s="50">
        <f>SUM(Y331:Y356)</f>
        <v>1</v>
      </c>
      <c r="Z357" s="88">
        <f t="shared" si="514"/>
        <v>21</v>
      </c>
      <c r="AA357" s="109">
        <f t="shared" si="515"/>
        <v>70</v>
      </c>
      <c r="AC357" s="27" t="s">
        <v>12</v>
      </c>
      <c r="AD357" s="57">
        <f>SUM(AD331:AD356)</f>
        <v>408</v>
      </c>
      <c r="AE357" s="50">
        <f t="shared" ref="AE357:AF357" si="555">SUM(AE331:AE356)</f>
        <v>408</v>
      </c>
      <c r="AF357" s="50">
        <f t="shared" si="555"/>
        <v>109</v>
      </c>
      <c r="AG357" s="50">
        <f>SUM(AG331:AG356)</f>
        <v>6</v>
      </c>
      <c r="AH357" s="88">
        <f t="shared" si="522"/>
        <v>931</v>
      </c>
      <c r="AI357" s="57">
        <f>SUM(AI331:AI356)</f>
        <v>403</v>
      </c>
      <c r="AJ357" s="50">
        <f t="shared" ref="AJ357:AK357" si="556">SUM(AJ331:AJ356)</f>
        <v>404</v>
      </c>
      <c r="AK357" s="50">
        <f t="shared" si="556"/>
        <v>107</v>
      </c>
      <c r="AL357" s="50">
        <f>SUM(AL331:AL356)</f>
        <v>6</v>
      </c>
      <c r="AM357" s="88">
        <f t="shared" si="523"/>
        <v>920</v>
      </c>
      <c r="AN357" s="57">
        <f>SUM(AN331:AN356)</f>
        <v>406</v>
      </c>
      <c r="AO357" s="50">
        <f t="shared" ref="AO357:AP357" si="557">SUM(AO331:AO356)</f>
        <v>417</v>
      </c>
      <c r="AP357" s="50">
        <f t="shared" si="557"/>
        <v>106</v>
      </c>
      <c r="AQ357" s="50">
        <f>SUM(AQ331:AQ356)</f>
        <v>3</v>
      </c>
      <c r="AR357" s="88">
        <f t="shared" si="524"/>
        <v>932</v>
      </c>
      <c r="AS357" s="57">
        <f>SUM(AS331:AS356)</f>
        <v>5</v>
      </c>
      <c r="AT357" s="50">
        <f t="shared" ref="AT357:AU357" si="558">SUM(AT331:AT356)</f>
        <v>4</v>
      </c>
      <c r="AU357" s="50">
        <f t="shared" si="558"/>
        <v>12</v>
      </c>
      <c r="AV357" s="50">
        <f>SUM(AV331:AV356)</f>
        <v>3</v>
      </c>
      <c r="AW357" s="88">
        <f t="shared" si="525"/>
        <v>24</v>
      </c>
      <c r="AX357" s="57">
        <f>SUM(AX331:AX356)</f>
        <v>7</v>
      </c>
      <c r="AY357" s="50">
        <f t="shared" ref="AY357:AZ357" si="559">SUM(AY331:AY356)</f>
        <v>14</v>
      </c>
      <c r="AZ357" s="50">
        <f t="shared" si="559"/>
        <v>7</v>
      </c>
      <c r="BA357" s="50">
        <f>SUM(BA331:BA356)</f>
        <v>3</v>
      </c>
      <c r="BB357" s="88">
        <f t="shared" si="526"/>
        <v>31</v>
      </c>
      <c r="BC357" s="109">
        <f t="shared" si="527"/>
        <v>2838</v>
      </c>
    </row>
    <row r="358" spans="1:56" ht="14.25" thickBot="1" x14ac:dyDescent="0.2">
      <c r="A358" s="21" t="s">
        <v>13</v>
      </c>
      <c r="B358" s="101">
        <f>B330-B357</f>
        <v>7</v>
      </c>
      <c r="C358" s="8">
        <f t="shared" ref="C358:D358" si="560">C330-C357</f>
        <v>11</v>
      </c>
      <c r="D358" s="8">
        <f t="shared" si="560"/>
        <v>9</v>
      </c>
      <c r="E358" s="8">
        <f>E330-E357</f>
        <v>9</v>
      </c>
      <c r="F358" s="87">
        <f t="shared" si="510"/>
        <v>36</v>
      </c>
      <c r="G358" s="101">
        <f>G330-G357</f>
        <v>10</v>
      </c>
      <c r="H358" s="8">
        <f t="shared" ref="H358:I358" si="561">H330-H357</f>
        <v>5</v>
      </c>
      <c r="I358" s="8">
        <f t="shared" si="561"/>
        <v>9</v>
      </c>
      <c r="J358" s="8">
        <f>J330-J357</f>
        <v>8</v>
      </c>
      <c r="K358" s="87">
        <f t="shared" si="511"/>
        <v>32</v>
      </c>
      <c r="L358" s="101">
        <f>L330-L357</f>
        <v>3</v>
      </c>
      <c r="M358" s="8">
        <f t="shared" ref="M358:N358" si="562">M330-M357</f>
        <v>5</v>
      </c>
      <c r="N358" s="8">
        <f t="shared" si="562"/>
        <v>8</v>
      </c>
      <c r="O358" s="8">
        <f>O330-O357</f>
        <v>6</v>
      </c>
      <c r="P358" s="87">
        <f t="shared" si="512"/>
        <v>22</v>
      </c>
      <c r="Q358" s="101">
        <f>Q330-Q357</f>
        <v>8</v>
      </c>
      <c r="R358" s="8">
        <f t="shared" ref="R358:S358" si="563">R330-R357</f>
        <v>6</v>
      </c>
      <c r="S358" s="8">
        <f t="shared" si="563"/>
        <v>8</v>
      </c>
      <c r="T358" s="8">
        <f>T330-T357</f>
        <v>10</v>
      </c>
      <c r="U358" s="87">
        <f t="shared" si="513"/>
        <v>32</v>
      </c>
      <c r="V358" s="101">
        <f>V330-V357</f>
        <v>5</v>
      </c>
      <c r="W358" s="8">
        <f t="shared" ref="W358:X358" si="564">W330-W357</f>
        <v>6</v>
      </c>
      <c r="X358" s="8">
        <f t="shared" si="564"/>
        <v>8</v>
      </c>
      <c r="Y358" s="8">
        <f>Y330-Y357</f>
        <v>9</v>
      </c>
      <c r="Z358" s="87">
        <f t="shared" si="514"/>
        <v>28</v>
      </c>
      <c r="AA358" s="107">
        <f t="shared" si="515"/>
        <v>150</v>
      </c>
      <c r="AC358" s="29" t="s">
        <v>13</v>
      </c>
      <c r="AD358" s="32">
        <f>AD330-AD357</f>
        <v>576</v>
      </c>
      <c r="AE358" s="44">
        <f t="shared" ref="AE358:AF358" si="565">AE330-AE357</f>
        <v>545</v>
      </c>
      <c r="AF358" s="44">
        <f t="shared" si="565"/>
        <v>394</v>
      </c>
      <c r="AG358" s="44">
        <f>AG330-AG357</f>
        <v>446</v>
      </c>
      <c r="AH358" s="87">
        <f t="shared" si="522"/>
        <v>1961</v>
      </c>
      <c r="AI358" s="32">
        <f>AI330-AI357</f>
        <v>571</v>
      </c>
      <c r="AJ358" s="44">
        <f t="shared" ref="AJ358:AK358" si="566">AJ330-AJ357</f>
        <v>515</v>
      </c>
      <c r="AK358" s="44">
        <f t="shared" si="566"/>
        <v>391</v>
      </c>
      <c r="AL358" s="44">
        <f>AL330-AL357</f>
        <v>462</v>
      </c>
      <c r="AM358" s="87">
        <f t="shared" si="523"/>
        <v>1939</v>
      </c>
      <c r="AN358" s="32">
        <f>AN330-AN357</f>
        <v>506</v>
      </c>
      <c r="AO358" s="44">
        <f t="shared" ref="AO358:AP358" si="567">AO330-AO357</f>
        <v>465</v>
      </c>
      <c r="AP358" s="44">
        <f t="shared" si="567"/>
        <v>324</v>
      </c>
      <c r="AQ358" s="44">
        <f>AQ330-AQ357</f>
        <v>435</v>
      </c>
      <c r="AR358" s="87">
        <f t="shared" si="524"/>
        <v>1730</v>
      </c>
      <c r="AS358" s="32">
        <f>AS330-AS357</f>
        <v>96</v>
      </c>
      <c r="AT358" s="44">
        <f t="shared" ref="AT358:AU358" si="568">AT330-AT357</f>
        <v>372</v>
      </c>
      <c r="AU358" s="44">
        <f t="shared" si="568"/>
        <v>164</v>
      </c>
      <c r="AV358" s="44">
        <f>AV330-AV357</f>
        <v>589</v>
      </c>
      <c r="AW358" s="87">
        <f t="shared" si="525"/>
        <v>1221</v>
      </c>
      <c r="AX358" s="32">
        <f>AX330-AX357</f>
        <v>1129</v>
      </c>
      <c r="AY358" s="44">
        <f t="shared" ref="AY358:AZ358" si="569">AY330-AY357</f>
        <v>1169</v>
      </c>
      <c r="AZ358" s="44">
        <f t="shared" si="569"/>
        <v>614</v>
      </c>
      <c r="BA358" s="44">
        <f>BA330-BA357</f>
        <v>229</v>
      </c>
      <c r="BB358" s="87">
        <f t="shared" si="526"/>
        <v>3141</v>
      </c>
      <c r="BC358" s="107">
        <f t="shared" si="527"/>
        <v>9992</v>
      </c>
    </row>
    <row r="359" spans="1:56" x14ac:dyDescent="0.15">
      <c r="AD359" s="80">
        <f>AD357+AD317+AD277+AD237+AD197+AD157+AD117+AD77+AD37</f>
        <v>2673</v>
      </c>
      <c r="AE359" s="80">
        <f t="shared" ref="AE359:AM359" si="570">AE357+AE317+AE277+AE237+AE197+AE157+AE117+AE77+AE37</f>
        <v>3106</v>
      </c>
      <c r="AF359" s="80">
        <f t="shared" si="570"/>
        <v>1264</v>
      </c>
      <c r="AG359" s="80">
        <f t="shared" si="570"/>
        <v>141</v>
      </c>
      <c r="AH359" s="80">
        <f t="shared" si="570"/>
        <v>7184</v>
      </c>
      <c r="AI359" s="80">
        <f t="shared" si="570"/>
        <v>2697</v>
      </c>
      <c r="AJ359" s="80">
        <f t="shared" si="570"/>
        <v>3099</v>
      </c>
      <c r="AK359" s="80">
        <f t="shared" si="570"/>
        <v>1272</v>
      </c>
      <c r="AL359" s="80">
        <f t="shared" si="570"/>
        <v>144</v>
      </c>
      <c r="AM359" s="80">
        <f t="shared" si="570"/>
        <v>7212</v>
      </c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  <c r="AZ359" s="80"/>
      <c r="BA359" s="80"/>
      <c r="BB359" s="80"/>
    </row>
    <row r="360" spans="1:56" x14ac:dyDescent="0.15">
      <c r="AD360">
        <f>AD359/$AH$359*100</f>
        <v>37.207683741648104</v>
      </c>
      <c r="AE360">
        <f t="shared" ref="AE360:AH360" si="571">AE359/$AH$359*100</f>
        <v>43.234966592427618</v>
      </c>
      <c r="AF360">
        <f t="shared" si="571"/>
        <v>17.594654788418708</v>
      </c>
      <c r="AG360">
        <f t="shared" si="571"/>
        <v>1.9626948775055677</v>
      </c>
      <c r="AH360">
        <f t="shared" si="571"/>
        <v>100</v>
      </c>
    </row>
    <row r="361" spans="1:56" ht="19.5" thickBot="1" x14ac:dyDescent="0.25">
      <c r="A361" s="271" t="s">
        <v>22</v>
      </c>
      <c r="B361" s="271"/>
      <c r="C361" s="271"/>
      <c r="D361" s="271"/>
      <c r="E361" s="271"/>
      <c r="F361" s="271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C361" s="79" t="s">
        <v>69</v>
      </c>
      <c r="AD361" s="79"/>
      <c r="AE361" s="79"/>
      <c r="AF361" s="79"/>
      <c r="AG361" s="79"/>
      <c r="AH361" s="79"/>
      <c r="AI361" s="93"/>
      <c r="AJ361" s="93"/>
      <c r="AK361" s="93"/>
      <c r="AL361" s="93"/>
      <c r="AM361" s="93"/>
      <c r="AN361" s="93"/>
      <c r="AO361" s="93"/>
      <c r="AP361" s="93"/>
      <c r="AQ361" s="93"/>
      <c r="AR361" s="93"/>
      <c r="AS361" s="93"/>
      <c r="AT361" s="78"/>
      <c r="AU361" s="78"/>
      <c r="AV361" s="78"/>
      <c r="AW361" s="78"/>
      <c r="AX361" s="78"/>
      <c r="AY361" s="78"/>
      <c r="AZ361" s="78"/>
      <c r="BA361" s="78"/>
      <c r="BB361" s="78"/>
      <c r="BC361" s="78"/>
    </row>
    <row r="362" spans="1:56" ht="14.25" thickBot="1" x14ac:dyDescent="0.2">
      <c r="A362" s="2" t="s">
        <v>0</v>
      </c>
      <c r="B362" s="256" t="s">
        <v>23</v>
      </c>
      <c r="C362" s="257"/>
      <c r="D362" s="257"/>
      <c r="E362" s="258"/>
      <c r="F362" s="81"/>
      <c r="G362" s="259" t="s">
        <v>24</v>
      </c>
      <c r="H362" s="260"/>
      <c r="I362" s="260"/>
      <c r="J362" s="261"/>
      <c r="K362" s="81"/>
      <c r="L362" s="262" t="s">
        <v>25</v>
      </c>
      <c r="M362" s="263"/>
      <c r="N362" s="263"/>
      <c r="O362" s="264"/>
      <c r="P362" s="81"/>
      <c r="Q362" s="265" t="s">
        <v>26</v>
      </c>
      <c r="R362" s="266"/>
      <c r="S362" s="266"/>
      <c r="T362" s="267"/>
      <c r="U362" s="81"/>
      <c r="V362" s="268" t="s">
        <v>27</v>
      </c>
      <c r="W362" s="269"/>
      <c r="X362" s="269"/>
      <c r="Y362" s="270"/>
      <c r="Z362" s="81"/>
      <c r="AA362" s="272" t="s">
        <v>6</v>
      </c>
      <c r="AC362" s="2" t="s">
        <v>0</v>
      </c>
      <c r="AD362" s="256" t="s">
        <v>23</v>
      </c>
      <c r="AE362" s="257"/>
      <c r="AF362" s="257"/>
      <c r="AG362" s="258"/>
      <c r="AH362" s="81"/>
      <c r="AI362" s="259" t="s">
        <v>24</v>
      </c>
      <c r="AJ362" s="260"/>
      <c r="AK362" s="260"/>
      <c r="AL362" s="261"/>
      <c r="AM362" s="81"/>
      <c r="AN362" s="262" t="s">
        <v>25</v>
      </c>
      <c r="AO362" s="263"/>
      <c r="AP362" s="263"/>
      <c r="AQ362" s="264"/>
      <c r="AR362" s="81"/>
      <c r="AS362" s="265" t="s">
        <v>26</v>
      </c>
      <c r="AT362" s="266"/>
      <c r="AU362" s="266"/>
      <c r="AV362" s="267"/>
      <c r="AW362" s="81"/>
      <c r="AX362" s="268" t="s">
        <v>27</v>
      </c>
      <c r="AY362" s="269"/>
      <c r="AZ362" s="269"/>
      <c r="BA362" s="270"/>
      <c r="BB362" s="81"/>
      <c r="BC362" s="183" t="s">
        <v>6</v>
      </c>
    </row>
    <row r="363" spans="1:56" ht="14.25" thickBot="1" x14ac:dyDescent="0.2">
      <c r="A363" s="2" t="s">
        <v>2</v>
      </c>
      <c r="B363" s="3" t="s">
        <v>3</v>
      </c>
      <c r="C363" s="4" t="s">
        <v>4</v>
      </c>
      <c r="D363" s="5" t="s">
        <v>5</v>
      </c>
      <c r="E363" s="5" t="s">
        <v>20</v>
      </c>
      <c r="F363" s="82" t="s">
        <v>6</v>
      </c>
      <c r="G363" s="89" t="s">
        <v>3</v>
      </c>
      <c r="H363" s="4" t="s">
        <v>4</v>
      </c>
      <c r="I363" s="5" t="s">
        <v>5</v>
      </c>
      <c r="J363" s="5" t="s">
        <v>20</v>
      </c>
      <c r="K363" s="82" t="s">
        <v>6</v>
      </c>
      <c r="L363" s="89" t="s">
        <v>3</v>
      </c>
      <c r="M363" s="4" t="s">
        <v>4</v>
      </c>
      <c r="N363" s="5" t="s">
        <v>5</v>
      </c>
      <c r="O363" s="5" t="s">
        <v>20</v>
      </c>
      <c r="P363" s="82" t="s">
        <v>6</v>
      </c>
      <c r="Q363" s="89" t="s">
        <v>3</v>
      </c>
      <c r="R363" s="4" t="s">
        <v>4</v>
      </c>
      <c r="S363" s="5" t="s">
        <v>5</v>
      </c>
      <c r="T363" s="5" t="s">
        <v>20</v>
      </c>
      <c r="U363" s="82" t="s">
        <v>6</v>
      </c>
      <c r="V363" s="89" t="s">
        <v>3</v>
      </c>
      <c r="W363" s="4" t="s">
        <v>4</v>
      </c>
      <c r="X363" s="5" t="s">
        <v>5</v>
      </c>
      <c r="Y363" s="5" t="s">
        <v>20</v>
      </c>
      <c r="Z363" s="82" t="s">
        <v>6</v>
      </c>
      <c r="AA363" s="273"/>
      <c r="AC363" s="2" t="s">
        <v>2</v>
      </c>
      <c r="AD363" s="3" t="s">
        <v>3</v>
      </c>
      <c r="AE363" s="4" t="s">
        <v>4</v>
      </c>
      <c r="AF363" s="5" t="s">
        <v>5</v>
      </c>
      <c r="AG363" s="5" t="s">
        <v>20</v>
      </c>
      <c r="AH363" s="82" t="s">
        <v>6</v>
      </c>
      <c r="AI363" s="89" t="s">
        <v>3</v>
      </c>
      <c r="AJ363" s="4" t="s">
        <v>4</v>
      </c>
      <c r="AK363" s="5" t="s">
        <v>5</v>
      </c>
      <c r="AL363" s="5" t="s">
        <v>20</v>
      </c>
      <c r="AM363" s="82" t="s">
        <v>6</v>
      </c>
      <c r="AN363" s="89" t="s">
        <v>3</v>
      </c>
      <c r="AO363" s="4" t="s">
        <v>4</v>
      </c>
      <c r="AP363" s="5" t="s">
        <v>5</v>
      </c>
      <c r="AQ363" s="5" t="s">
        <v>20</v>
      </c>
      <c r="AR363" s="82" t="s">
        <v>6</v>
      </c>
      <c r="AS363" s="89" t="s">
        <v>3</v>
      </c>
      <c r="AT363" s="4" t="s">
        <v>4</v>
      </c>
      <c r="AU363" s="5" t="s">
        <v>5</v>
      </c>
      <c r="AV363" s="5" t="s">
        <v>20</v>
      </c>
      <c r="AW363" s="82" t="s">
        <v>6</v>
      </c>
      <c r="AX363" s="89" t="s">
        <v>3</v>
      </c>
      <c r="AY363" s="4" t="s">
        <v>4</v>
      </c>
      <c r="AZ363" s="5" t="s">
        <v>5</v>
      </c>
      <c r="BA363" s="5" t="s">
        <v>20</v>
      </c>
      <c r="BB363" s="82" t="s">
        <v>6</v>
      </c>
      <c r="BC363" s="184"/>
    </row>
    <row r="364" spans="1:56" x14ac:dyDescent="0.15">
      <c r="A364" s="40" t="s">
        <v>13</v>
      </c>
      <c r="B364" s="41">
        <f>B358</f>
        <v>7</v>
      </c>
      <c r="C364" s="42">
        <f>C358</f>
        <v>11</v>
      </c>
      <c r="D364" s="42">
        <f t="shared" ref="D364:AA364" si="572">D358</f>
        <v>9</v>
      </c>
      <c r="E364" s="94">
        <f t="shared" si="572"/>
        <v>9</v>
      </c>
      <c r="F364" s="95">
        <f t="shared" si="572"/>
        <v>36</v>
      </c>
      <c r="G364" s="96">
        <f t="shared" si="572"/>
        <v>10</v>
      </c>
      <c r="H364" s="42">
        <f t="shared" si="572"/>
        <v>5</v>
      </c>
      <c r="I364" s="42">
        <f t="shared" si="572"/>
        <v>9</v>
      </c>
      <c r="J364" s="94">
        <f t="shared" si="572"/>
        <v>8</v>
      </c>
      <c r="K364" s="95">
        <f t="shared" si="572"/>
        <v>32</v>
      </c>
      <c r="L364" s="96">
        <f t="shared" si="572"/>
        <v>3</v>
      </c>
      <c r="M364" s="42">
        <f t="shared" si="572"/>
        <v>5</v>
      </c>
      <c r="N364" s="42">
        <f t="shared" si="572"/>
        <v>8</v>
      </c>
      <c r="O364" s="94">
        <f t="shared" si="572"/>
        <v>6</v>
      </c>
      <c r="P364" s="95">
        <f t="shared" si="572"/>
        <v>22</v>
      </c>
      <c r="Q364" s="96">
        <f t="shared" si="572"/>
        <v>8</v>
      </c>
      <c r="R364" s="42">
        <f t="shared" si="572"/>
        <v>6</v>
      </c>
      <c r="S364" s="42">
        <f t="shared" si="572"/>
        <v>8</v>
      </c>
      <c r="T364" s="94">
        <f t="shared" si="572"/>
        <v>10</v>
      </c>
      <c r="U364" s="95">
        <f t="shared" si="572"/>
        <v>32</v>
      </c>
      <c r="V364" s="96">
        <f t="shared" si="572"/>
        <v>5</v>
      </c>
      <c r="W364" s="42">
        <f t="shared" si="572"/>
        <v>6</v>
      </c>
      <c r="X364" s="42">
        <f t="shared" si="572"/>
        <v>8</v>
      </c>
      <c r="Y364" s="94">
        <f t="shared" si="572"/>
        <v>9</v>
      </c>
      <c r="Z364" s="95">
        <f t="shared" si="572"/>
        <v>28</v>
      </c>
      <c r="AA364" s="104">
        <f t="shared" si="572"/>
        <v>150</v>
      </c>
      <c r="AC364" s="131" t="s">
        <v>13</v>
      </c>
      <c r="AD364" s="96">
        <f>AD358</f>
        <v>576</v>
      </c>
      <c r="AE364" s="42">
        <f>AE358</f>
        <v>545</v>
      </c>
      <c r="AF364" s="42">
        <f t="shared" ref="AF364:BC364" si="573">AF358</f>
        <v>394</v>
      </c>
      <c r="AG364" s="94">
        <f t="shared" si="573"/>
        <v>446</v>
      </c>
      <c r="AH364" s="95">
        <f t="shared" si="573"/>
        <v>1961</v>
      </c>
      <c r="AI364" s="96">
        <f t="shared" si="573"/>
        <v>571</v>
      </c>
      <c r="AJ364" s="42">
        <f t="shared" si="573"/>
        <v>515</v>
      </c>
      <c r="AK364" s="42">
        <f t="shared" si="573"/>
        <v>391</v>
      </c>
      <c r="AL364" s="94">
        <f t="shared" si="573"/>
        <v>462</v>
      </c>
      <c r="AM364" s="95">
        <f t="shared" si="573"/>
        <v>1939</v>
      </c>
      <c r="AN364" s="96">
        <f t="shared" si="573"/>
        <v>506</v>
      </c>
      <c r="AO364" s="42">
        <f t="shared" si="573"/>
        <v>465</v>
      </c>
      <c r="AP364" s="42">
        <f t="shared" si="573"/>
        <v>324</v>
      </c>
      <c r="AQ364" s="94">
        <f t="shared" si="573"/>
        <v>435</v>
      </c>
      <c r="AR364" s="95">
        <f t="shared" si="573"/>
        <v>1730</v>
      </c>
      <c r="AS364" s="96">
        <f t="shared" si="573"/>
        <v>96</v>
      </c>
      <c r="AT364" s="42">
        <f t="shared" si="573"/>
        <v>372</v>
      </c>
      <c r="AU364" s="42">
        <f t="shared" si="573"/>
        <v>164</v>
      </c>
      <c r="AV364" s="94">
        <f t="shared" si="573"/>
        <v>589</v>
      </c>
      <c r="AW364" s="95">
        <f t="shared" si="573"/>
        <v>1221</v>
      </c>
      <c r="AX364" s="96">
        <f t="shared" si="573"/>
        <v>1129</v>
      </c>
      <c r="AY364" s="42">
        <f t="shared" si="573"/>
        <v>1169</v>
      </c>
      <c r="AZ364" s="42">
        <f t="shared" si="573"/>
        <v>614</v>
      </c>
      <c r="BA364" s="94">
        <f t="shared" si="573"/>
        <v>229</v>
      </c>
      <c r="BB364" s="95">
        <f t="shared" si="573"/>
        <v>3141</v>
      </c>
      <c r="BC364" s="104">
        <f t="shared" si="573"/>
        <v>9992</v>
      </c>
    </row>
    <row r="365" spans="1:56" x14ac:dyDescent="0.15">
      <c r="A365" s="9" t="s">
        <v>7</v>
      </c>
      <c r="B365" s="10">
        <v>4</v>
      </c>
      <c r="C365" s="11"/>
      <c r="D365" s="12"/>
      <c r="E365" s="12">
        <v>3</v>
      </c>
      <c r="F365" s="85">
        <f t="shared" ref="F365" si="574">SUM(B365:E365)</f>
        <v>7</v>
      </c>
      <c r="G365" s="90"/>
      <c r="H365" s="11"/>
      <c r="I365" s="12"/>
      <c r="J365" s="12">
        <v>3</v>
      </c>
      <c r="K365" s="85">
        <f t="shared" ref="K365" si="575">SUM(G365:J365)</f>
        <v>3</v>
      </c>
      <c r="L365" s="90">
        <v>3</v>
      </c>
      <c r="M365" s="11">
        <v>10</v>
      </c>
      <c r="N365" s="12"/>
      <c r="O365" s="12"/>
      <c r="P365" s="85">
        <f t="shared" ref="P365" si="576">SUM(L365:O365)</f>
        <v>13</v>
      </c>
      <c r="Q365" s="90"/>
      <c r="R365" s="11"/>
      <c r="S365" s="12">
        <v>5</v>
      </c>
      <c r="T365" s="12"/>
      <c r="U365" s="85">
        <f t="shared" ref="U365" si="577">SUM(Q365:T365)</f>
        <v>5</v>
      </c>
      <c r="V365" s="90"/>
      <c r="W365" s="11">
        <v>5</v>
      </c>
      <c r="X365" s="12"/>
      <c r="Y365" s="12"/>
      <c r="Z365" s="85">
        <f t="shared" ref="Z365" si="578">SUM(V365:Y365)</f>
        <v>5</v>
      </c>
      <c r="AA365" s="105">
        <f t="shared" ref="AA365" si="579">Z365+U365+P365+K365+F365</f>
        <v>33</v>
      </c>
      <c r="AB365" s="114">
        <v>45700</v>
      </c>
      <c r="AC365" s="117" t="s">
        <v>313</v>
      </c>
      <c r="AD365" s="90"/>
      <c r="AE365" s="11"/>
      <c r="AF365" s="12"/>
      <c r="AG365" s="12"/>
      <c r="AH365" s="84">
        <f t="shared" ref="AH365:AH398" si="580">SUM(AD365:AG365)</f>
        <v>0</v>
      </c>
      <c r="AI365" s="90"/>
      <c r="AJ365" s="11"/>
      <c r="AK365" s="12"/>
      <c r="AL365" s="12"/>
      <c r="AM365" s="84">
        <f t="shared" ref="AM365:AM398" si="581">SUM(AI365:AL365)</f>
        <v>0</v>
      </c>
      <c r="AN365" s="90"/>
      <c r="AO365" s="11"/>
      <c r="AP365" s="12"/>
      <c r="AQ365" s="12"/>
      <c r="AR365" s="84">
        <f t="shared" ref="AR365:AR398" si="582">SUM(AN365:AQ365)</f>
        <v>0</v>
      </c>
      <c r="AS365" s="90"/>
      <c r="AT365" s="11"/>
      <c r="AU365" s="12"/>
      <c r="AV365" s="12"/>
      <c r="AW365" s="84">
        <f t="shared" ref="AW365:AW398" si="583">SUM(AS365:AV365)</f>
        <v>0</v>
      </c>
      <c r="AX365" s="90"/>
      <c r="AY365" s="11"/>
      <c r="AZ365" s="12"/>
      <c r="BA365" s="12"/>
      <c r="BB365" s="84">
        <f t="shared" ref="BB365:BB398" si="584">SUM(AX365:BA365)</f>
        <v>0</v>
      </c>
      <c r="BC365" s="105">
        <f t="shared" ref="BC365:BC398" si="585">BB365+AW365+AR365+AM365+AH365</f>
        <v>0</v>
      </c>
      <c r="BD365" s="76"/>
    </row>
    <row r="366" spans="1:56" x14ac:dyDescent="0.15">
      <c r="A366" s="9" t="s">
        <v>8</v>
      </c>
      <c r="B366" s="10"/>
      <c r="C366" s="11"/>
      <c r="D366" s="12"/>
      <c r="E366" s="12"/>
      <c r="F366" s="85">
        <f t="shared" ref="F366:F398" si="586">SUM(B366:E366)</f>
        <v>0</v>
      </c>
      <c r="G366" s="90"/>
      <c r="H366" s="11"/>
      <c r="I366" s="12"/>
      <c r="J366" s="12"/>
      <c r="K366" s="85">
        <f t="shared" ref="K366:K398" si="587">SUM(G366:J366)</f>
        <v>0</v>
      </c>
      <c r="L366" s="90"/>
      <c r="M366" s="11"/>
      <c r="N366" s="12"/>
      <c r="O366" s="12"/>
      <c r="P366" s="85">
        <f t="shared" ref="P366:P398" si="588">SUM(L366:O366)</f>
        <v>0</v>
      </c>
      <c r="Q366" s="90">
        <v>3</v>
      </c>
      <c r="R366" s="11"/>
      <c r="S366" s="12"/>
      <c r="T366" s="12"/>
      <c r="U366" s="85">
        <f t="shared" ref="U366:U398" si="589">SUM(Q366:T366)</f>
        <v>3</v>
      </c>
      <c r="V366" s="90">
        <v>5</v>
      </c>
      <c r="W366" s="11"/>
      <c r="X366" s="12"/>
      <c r="Y366" s="12"/>
      <c r="Z366" s="85">
        <f t="shared" ref="Z366:Z398" si="590">SUM(V366:Y366)</f>
        <v>5</v>
      </c>
      <c r="AA366" s="105">
        <f t="shared" ref="AA366:AA398" si="591">Z366+U366+P366+K366+F366</f>
        <v>8</v>
      </c>
      <c r="AB366" s="114">
        <v>45715</v>
      </c>
      <c r="AC366" s="117" t="s">
        <v>355</v>
      </c>
      <c r="AD366" s="90"/>
      <c r="AE366" s="11"/>
      <c r="AF366" s="12"/>
      <c r="AG366" s="12"/>
      <c r="AH366" s="84">
        <f t="shared" ref="AH366:AH368" si="592">SUM(AD366:AG366)</f>
        <v>0</v>
      </c>
      <c r="AI366" s="90"/>
      <c r="AJ366" s="11"/>
      <c r="AK366" s="12"/>
      <c r="AL366" s="12"/>
      <c r="AM366" s="84">
        <f t="shared" ref="AM366:AM368" si="593">SUM(AI366:AL366)</f>
        <v>0</v>
      </c>
      <c r="AN366" s="90"/>
      <c r="AO366" s="11"/>
      <c r="AP366" s="12"/>
      <c r="AQ366" s="12"/>
      <c r="AR366" s="84">
        <f t="shared" ref="AR366:AR368" si="594">SUM(AN366:AQ366)</f>
        <v>0</v>
      </c>
      <c r="AS366" s="90"/>
      <c r="AT366" s="11"/>
      <c r="AU366" s="12"/>
      <c r="AV366" s="12"/>
      <c r="AW366" s="84">
        <f t="shared" ref="AW366:AW368" si="595">SUM(AS366:AV366)</f>
        <v>0</v>
      </c>
      <c r="AX366" s="90"/>
      <c r="AY366" s="11"/>
      <c r="AZ366" s="12"/>
      <c r="BA366" s="12"/>
      <c r="BB366" s="84">
        <f t="shared" ref="BB366:BB368" si="596">SUM(AX366:BA366)</f>
        <v>0</v>
      </c>
      <c r="BC366" s="105">
        <f t="shared" ref="BC366:BC368" si="597">BB366+AW366+AR366+AM366+AH366</f>
        <v>0</v>
      </c>
      <c r="BD366" s="76"/>
    </row>
    <row r="367" spans="1:56" x14ac:dyDescent="0.15">
      <c r="A367" s="9" t="s">
        <v>9</v>
      </c>
      <c r="B367" s="15"/>
      <c r="C367" s="16"/>
      <c r="D367" s="17"/>
      <c r="E367" s="17"/>
      <c r="F367" s="85">
        <f t="shared" si="586"/>
        <v>0</v>
      </c>
      <c r="G367" s="91"/>
      <c r="H367" s="16">
        <v>3</v>
      </c>
      <c r="I367" s="17"/>
      <c r="J367" s="17"/>
      <c r="K367" s="85">
        <f t="shared" si="587"/>
        <v>3</v>
      </c>
      <c r="L367" s="91">
        <v>3</v>
      </c>
      <c r="M367" s="16"/>
      <c r="N367" s="17"/>
      <c r="O367" s="17"/>
      <c r="P367" s="85">
        <f t="shared" si="588"/>
        <v>3</v>
      </c>
      <c r="Q367" s="91"/>
      <c r="R367" s="16"/>
      <c r="S367" s="17"/>
      <c r="T367" s="17"/>
      <c r="U367" s="85">
        <f t="shared" si="589"/>
        <v>0</v>
      </c>
      <c r="V367" s="91">
        <v>3</v>
      </c>
      <c r="W367" s="16"/>
      <c r="X367" s="17"/>
      <c r="Y367" s="17"/>
      <c r="Z367" s="85">
        <f t="shared" si="590"/>
        <v>3</v>
      </c>
      <c r="AA367" s="105">
        <f t="shared" si="591"/>
        <v>9</v>
      </c>
      <c r="AB367" s="114">
        <v>45752</v>
      </c>
      <c r="AC367" s="117" t="s">
        <v>354</v>
      </c>
      <c r="AD367" s="90"/>
      <c r="AE367" s="11"/>
      <c r="AF367" s="12"/>
      <c r="AG367" s="12"/>
      <c r="AH367" s="84">
        <f t="shared" si="592"/>
        <v>0</v>
      </c>
      <c r="AI367" s="90"/>
      <c r="AJ367" s="11"/>
      <c r="AK367" s="12"/>
      <c r="AL367" s="12"/>
      <c r="AM367" s="84">
        <f t="shared" si="593"/>
        <v>0</v>
      </c>
      <c r="AN367" s="90"/>
      <c r="AO367" s="11"/>
      <c r="AP367" s="12"/>
      <c r="AQ367" s="12"/>
      <c r="AR367" s="84">
        <f t="shared" si="594"/>
        <v>0</v>
      </c>
      <c r="AS367" s="90"/>
      <c r="AT367" s="11"/>
      <c r="AU367" s="12"/>
      <c r="AV367" s="12"/>
      <c r="AW367" s="84">
        <f t="shared" si="595"/>
        <v>0</v>
      </c>
      <c r="AX367" s="90"/>
      <c r="AY367" s="11"/>
      <c r="AZ367" s="12"/>
      <c r="BA367" s="12"/>
      <c r="BB367" s="84">
        <f t="shared" si="596"/>
        <v>0</v>
      </c>
      <c r="BC367" s="105">
        <f t="shared" si="597"/>
        <v>0</v>
      </c>
      <c r="BD367" s="76"/>
    </row>
    <row r="368" spans="1:56" x14ac:dyDescent="0.15">
      <c r="A368" s="9" t="s">
        <v>10</v>
      </c>
      <c r="B368" s="15"/>
      <c r="C368" s="16"/>
      <c r="D368" s="17"/>
      <c r="E368" s="17"/>
      <c r="F368" s="85">
        <f t="shared" si="586"/>
        <v>0</v>
      </c>
      <c r="G368" s="91"/>
      <c r="H368" s="16"/>
      <c r="I368" s="17"/>
      <c r="J368" s="17"/>
      <c r="K368" s="85">
        <f t="shared" si="587"/>
        <v>0</v>
      </c>
      <c r="L368" s="91"/>
      <c r="M368" s="16"/>
      <c r="N368" s="17"/>
      <c r="O368" s="17"/>
      <c r="P368" s="85">
        <f t="shared" si="588"/>
        <v>0</v>
      </c>
      <c r="Q368" s="91"/>
      <c r="R368" s="16"/>
      <c r="S368" s="17"/>
      <c r="T368" s="17"/>
      <c r="U368" s="85">
        <f t="shared" si="589"/>
        <v>0</v>
      </c>
      <c r="V368" s="91"/>
      <c r="W368" s="16"/>
      <c r="X368" s="17"/>
      <c r="Y368" s="17"/>
      <c r="Z368" s="85">
        <f t="shared" si="590"/>
        <v>0</v>
      </c>
      <c r="AA368" s="105">
        <f t="shared" si="591"/>
        <v>0</v>
      </c>
      <c r="AC368" s="117" t="s">
        <v>10</v>
      </c>
      <c r="AD368" s="90"/>
      <c r="AE368" s="11"/>
      <c r="AF368" s="12"/>
      <c r="AG368" s="12"/>
      <c r="AH368" s="84">
        <f t="shared" si="592"/>
        <v>0</v>
      </c>
      <c r="AI368" s="90"/>
      <c r="AJ368" s="11"/>
      <c r="AK368" s="12"/>
      <c r="AL368" s="12"/>
      <c r="AM368" s="84">
        <f t="shared" si="593"/>
        <v>0</v>
      </c>
      <c r="AN368" s="90"/>
      <c r="AO368" s="11"/>
      <c r="AP368" s="12"/>
      <c r="AQ368" s="12"/>
      <c r="AR368" s="84">
        <f t="shared" si="594"/>
        <v>0</v>
      </c>
      <c r="AS368" s="90"/>
      <c r="AT368" s="11"/>
      <c r="AU368" s="12"/>
      <c r="AV368" s="12"/>
      <c r="AW368" s="84">
        <f t="shared" si="595"/>
        <v>0</v>
      </c>
      <c r="AX368" s="90"/>
      <c r="AY368" s="11"/>
      <c r="AZ368" s="12"/>
      <c r="BA368" s="12"/>
      <c r="BB368" s="84">
        <f t="shared" si="596"/>
        <v>0</v>
      </c>
      <c r="BC368" s="105">
        <f t="shared" si="597"/>
        <v>0</v>
      </c>
      <c r="BD368" s="76"/>
    </row>
    <row r="369" spans="1:57" ht="14.25" thickBot="1" x14ac:dyDescent="0.2">
      <c r="A369" s="9" t="s">
        <v>11</v>
      </c>
      <c r="B369" s="15"/>
      <c r="C369" s="16"/>
      <c r="D369" s="17"/>
      <c r="E369" s="17"/>
      <c r="F369" s="92">
        <f t="shared" si="586"/>
        <v>0</v>
      </c>
      <c r="G369" s="91"/>
      <c r="H369" s="16"/>
      <c r="I369" s="17"/>
      <c r="J369" s="17"/>
      <c r="K369" s="92">
        <f t="shared" si="587"/>
        <v>0</v>
      </c>
      <c r="L369" s="91"/>
      <c r="M369" s="16">
        <v>-1</v>
      </c>
      <c r="N369" s="17"/>
      <c r="O369" s="17"/>
      <c r="P369" s="92">
        <f t="shared" si="588"/>
        <v>-1</v>
      </c>
      <c r="Q369" s="91"/>
      <c r="R369" s="16"/>
      <c r="S369" s="17"/>
      <c r="T369" s="17"/>
      <c r="U369" s="92">
        <f t="shared" si="589"/>
        <v>0</v>
      </c>
      <c r="V369" s="91"/>
      <c r="W369" s="16"/>
      <c r="X369" s="17"/>
      <c r="Y369" s="17"/>
      <c r="Z369" s="92">
        <f t="shared" si="590"/>
        <v>0</v>
      </c>
      <c r="AA369" s="110">
        <f t="shared" si="591"/>
        <v>-1</v>
      </c>
      <c r="AC369" s="132" t="s">
        <v>11</v>
      </c>
      <c r="AD369" s="91"/>
      <c r="AE369" s="16"/>
      <c r="AF369" s="17"/>
      <c r="AG369" s="17"/>
      <c r="AH369" s="92">
        <f t="shared" si="580"/>
        <v>0</v>
      </c>
      <c r="AI369" s="91"/>
      <c r="AJ369" s="16"/>
      <c r="AK369" s="17"/>
      <c r="AL369" s="17"/>
      <c r="AM369" s="92">
        <f t="shared" si="581"/>
        <v>0</v>
      </c>
      <c r="AN369" s="91"/>
      <c r="AO369" s="16"/>
      <c r="AP369" s="17"/>
      <c r="AQ369" s="17"/>
      <c r="AR369" s="92">
        <f t="shared" si="582"/>
        <v>0</v>
      </c>
      <c r="AS369" s="91"/>
      <c r="AT369" s="16"/>
      <c r="AU369" s="17"/>
      <c r="AV369" s="17"/>
      <c r="AW369" s="92">
        <f t="shared" si="583"/>
        <v>0</v>
      </c>
      <c r="AX369" s="91"/>
      <c r="AY369" s="16"/>
      <c r="AZ369" s="17"/>
      <c r="BA369" s="17"/>
      <c r="BB369" s="92">
        <f t="shared" si="584"/>
        <v>0</v>
      </c>
      <c r="BC369" s="110">
        <f t="shared" si="585"/>
        <v>0</v>
      </c>
    </row>
    <row r="370" spans="1:57" ht="14.25" thickBot="1" x14ac:dyDescent="0.2">
      <c r="A370" s="21" t="s">
        <v>16</v>
      </c>
      <c r="B370" s="7">
        <f>SUM(B364:B369)</f>
        <v>11</v>
      </c>
      <c r="C370" s="8">
        <f t="shared" ref="C370:E370" si="598">SUM(C364:C369)</f>
        <v>11</v>
      </c>
      <c r="D370" s="22">
        <f t="shared" si="598"/>
        <v>9</v>
      </c>
      <c r="E370" s="22">
        <f t="shared" si="598"/>
        <v>12</v>
      </c>
      <c r="F370" s="87">
        <f t="shared" si="586"/>
        <v>43</v>
      </c>
      <c r="G370" s="7">
        <f>SUM(G364:G369)</f>
        <v>10</v>
      </c>
      <c r="H370" s="8">
        <f t="shared" ref="H370:J370" si="599">SUM(H364:H369)</f>
        <v>8</v>
      </c>
      <c r="I370" s="22">
        <f t="shared" si="599"/>
        <v>9</v>
      </c>
      <c r="J370" s="22">
        <f t="shared" si="599"/>
        <v>11</v>
      </c>
      <c r="K370" s="87">
        <f t="shared" si="587"/>
        <v>38</v>
      </c>
      <c r="L370" s="7">
        <f>SUM(L364:L369)</f>
        <v>9</v>
      </c>
      <c r="M370" s="8">
        <f t="shared" ref="M370:O370" si="600">SUM(M364:M369)</f>
        <v>14</v>
      </c>
      <c r="N370" s="22">
        <f t="shared" si="600"/>
        <v>8</v>
      </c>
      <c r="O370" s="22">
        <f t="shared" si="600"/>
        <v>6</v>
      </c>
      <c r="P370" s="87">
        <f t="shared" si="588"/>
        <v>37</v>
      </c>
      <c r="Q370" s="7">
        <f>SUM(Q364:Q369)</f>
        <v>11</v>
      </c>
      <c r="R370" s="8">
        <f t="shared" ref="R370:T370" si="601">SUM(R364:R369)</f>
        <v>6</v>
      </c>
      <c r="S370" s="22">
        <f t="shared" si="601"/>
        <v>13</v>
      </c>
      <c r="T370" s="22">
        <f t="shared" si="601"/>
        <v>10</v>
      </c>
      <c r="U370" s="87">
        <f t="shared" si="589"/>
        <v>40</v>
      </c>
      <c r="V370" s="7">
        <f>SUM(V364:V369)</f>
        <v>13</v>
      </c>
      <c r="W370" s="8">
        <f t="shared" ref="W370:Y370" si="602">SUM(W364:W369)</f>
        <v>11</v>
      </c>
      <c r="X370" s="22">
        <f t="shared" si="602"/>
        <v>8</v>
      </c>
      <c r="Y370" s="22">
        <f t="shared" si="602"/>
        <v>9</v>
      </c>
      <c r="Z370" s="87">
        <f t="shared" si="590"/>
        <v>41</v>
      </c>
      <c r="AA370" s="107">
        <f t="shared" si="591"/>
        <v>199</v>
      </c>
      <c r="AC370" s="21" t="s">
        <v>16</v>
      </c>
      <c r="AD370" s="7">
        <f>SUM(AD364:AD369)</f>
        <v>576</v>
      </c>
      <c r="AE370" s="8">
        <f t="shared" ref="AE370:AG370" si="603">SUM(AE364:AE369)</f>
        <v>545</v>
      </c>
      <c r="AF370" s="22">
        <f t="shared" si="603"/>
        <v>394</v>
      </c>
      <c r="AG370" s="22">
        <f t="shared" si="603"/>
        <v>446</v>
      </c>
      <c r="AH370" s="87">
        <f t="shared" si="580"/>
        <v>1961</v>
      </c>
      <c r="AI370" s="7">
        <f>SUM(AI364:AI369)</f>
        <v>571</v>
      </c>
      <c r="AJ370" s="8">
        <f t="shared" ref="AJ370:AL370" si="604">SUM(AJ364:AJ369)</f>
        <v>515</v>
      </c>
      <c r="AK370" s="22">
        <f t="shared" si="604"/>
        <v>391</v>
      </c>
      <c r="AL370" s="22">
        <f t="shared" si="604"/>
        <v>462</v>
      </c>
      <c r="AM370" s="87">
        <f t="shared" si="581"/>
        <v>1939</v>
      </c>
      <c r="AN370" s="7">
        <f>SUM(AN364:AN369)</f>
        <v>506</v>
      </c>
      <c r="AO370" s="8">
        <f t="shared" ref="AO370:AQ370" si="605">SUM(AO364:AO369)</f>
        <v>465</v>
      </c>
      <c r="AP370" s="22">
        <f t="shared" si="605"/>
        <v>324</v>
      </c>
      <c r="AQ370" s="22">
        <f t="shared" si="605"/>
        <v>435</v>
      </c>
      <c r="AR370" s="87">
        <f t="shared" si="582"/>
        <v>1730</v>
      </c>
      <c r="AS370" s="7">
        <f>SUM(AS364:AS369)</f>
        <v>96</v>
      </c>
      <c r="AT370" s="8">
        <f t="shared" ref="AT370:AV370" si="606">SUM(AT364:AT369)</f>
        <v>372</v>
      </c>
      <c r="AU370" s="22">
        <f t="shared" si="606"/>
        <v>164</v>
      </c>
      <c r="AV370" s="22">
        <f t="shared" si="606"/>
        <v>589</v>
      </c>
      <c r="AW370" s="87">
        <f t="shared" si="583"/>
        <v>1221</v>
      </c>
      <c r="AX370" s="7">
        <f>SUM(AX364:AX369)</f>
        <v>1129</v>
      </c>
      <c r="AY370" s="8">
        <f t="shared" ref="AY370:BA370" si="607">SUM(AY364:AY369)</f>
        <v>1169</v>
      </c>
      <c r="AZ370" s="22">
        <f t="shared" si="607"/>
        <v>614</v>
      </c>
      <c r="BA370" s="22">
        <f t="shared" si="607"/>
        <v>229</v>
      </c>
      <c r="BB370" s="87">
        <f t="shared" si="584"/>
        <v>3141</v>
      </c>
      <c r="BC370" s="107">
        <f t="shared" si="585"/>
        <v>9992</v>
      </c>
    </row>
    <row r="371" spans="1:57" x14ac:dyDescent="0.15">
      <c r="A371" s="23" t="s">
        <v>43</v>
      </c>
      <c r="B371" s="39"/>
      <c r="C371" s="13"/>
      <c r="D371" s="14"/>
      <c r="E371" s="14"/>
      <c r="F371" s="83">
        <f t="shared" si="586"/>
        <v>0</v>
      </c>
      <c r="G371" s="39"/>
      <c r="H371" s="13"/>
      <c r="I371" s="14"/>
      <c r="J371" s="14"/>
      <c r="K371" s="83">
        <f t="shared" si="587"/>
        <v>0</v>
      </c>
      <c r="L371" s="39"/>
      <c r="M371" s="13"/>
      <c r="N371" s="14">
        <v>1</v>
      </c>
      <c r="O371" s="14"/>
      <c r="P371" s="83">
        <f t="shared" si="588"/>
        <v>1</v>
      </c>
      <c r="Q371" s="39"/>
      <c r="R371" s="13"/>
      <c r="S371" s="14">
        <v>1</v>
      </c>
      <c r="T371" s="14"/>
      <c r="U371" s="83">
        <f t="shared" si="589"/>
        <v>1</v>
      </c>
      <c r="V371" s="39"/>
      <c r="W371" s="13"/>
      <c r="X371" s="14">
        <v>1</v>
      </c>
      <c r="Y371" s="14"/>
      <c r="Z371" s="83">
        <f t="shared" si="590"/>
        <v>1</v>
      </c>
      <c r="AA371" s="108">
        <f t="shared" si="591"/>
        <v>3</v>
      </c>
      <c r="AB371" s="115">
        <v>45698</v>
      </c>
      <c r="AC371" s="54" t="s">
        <v>379</v>
      </c>
      <c r="AD371" s="15"/>
      <c r="AE371" s="16"/>
      <c r="AF371" s="17"/>
      <c r="AG371" s="17"/>
      <c r="AH371" s="85">
        <f t="shared" si="580"/>
        <v>0</v>
      </c>
      <c r="AI371" s="15"/>
      <c r="AJ371" s="16"/>
      <c r="AK371" s="17"/>
      <c r="AL371" s="17">
        <v>2</v>
      </c>
      <c r="AM371" s="85">
        <f t="shared" si="581"/>
        <v>2</v>
      </c>
      <c r="AN371" s="15"/>
      <c r="AO371" s="16"/>
      <c r="AP371" s="17"/>
      <c r="AQ371" s="17">
        <v>1</v>
      </c>
      <c r="AR371" s="85">
        <f t="shared" si="582"/>
        <v>1</v>
      </c>
      <c r="AS371" s="15">
        <v>3</v>
      </c>
      <c r="AT371" s="16"/>
      <c r="AU371" s="17"/>
      <c r="AV371" s="17"/>
      <c r="AW371" s="85">
        <f t="shared" si="583"/>
        <v>3</v>
      </c>
      <c r="AX371" s="15"/>
      <c r="AY371" s="16"/>
      <c r="AZ371" s="17"/>
      <c r="BA371" s="17"/>
      <c r="BB371" s="85">
        <f t="shared" si="584"/>
        <v>0</v>
      </c>
      <c r="BC371" s="105">
        <f t="shared" si="585"/>
        <v>6</v>
      </c>
      <c r="BD371" s="114">
        <v>45709</v>
      </c>
    </row>
    <row r="372" spans="1:57" x14ac:dyDescent="0.15">
      <c r="A372" s="54" t="s">
        <v>378</v>
      </c>
      <c r="B372" s="15">
        <v>3</v>
      </c>
      <c r="C372" s="16"/>
      <c r="D372" s="17"/>
      <c r="E372" s="17">
        <v>5</v>
      </c>
      <c r="F372" s="85">
        <f t="shared" si="586"/>
        <v>8</v>
      </c>
      <c r="G372" s="15">
        <v>2</v>
      </c>
      <c r="H372" s="16"/>
      <c r="I372" s="17"/>
      <c r="J372" s="17">
        <v>2</v>
      </c>
      <c r="K372" s="85">
        <f t="shared" si="587"/>
        <v>4</v>
      </c>
      <c r="L372" s="15"/>
      <c r="M372" s="16">
        <v>8</v>
      </c>
      <c r="N372" s="17"/>
      <c r="O372" s="17"/>
      <c r="P372" s="85">
        <f t="shared" si="588"/>
        <v>8</v>
      </c>
      <c r="Q372" s="15"/>
      <c r="R372" s="16"/>
      <c r="S372" s="17">
        <v>5</v>
      </c>
      <c r="T372" s="17"/>
      <c r="U372" s="85">
        <f t="shared" si="589"/>
        <v>5</v>
      </c>
      <c r="V372" s="15"/>
      <c r="W372" s="16">
        <v>5</v>
      </c>
      <c r="X372" s="17"/>
      <c r="Y372" s="17"/>
      <c r="Z372" s="85">
        <f t="shared" si="590"/>
        <v>5</v>
      </c>
      <c r="AA372" s="105">
        <f t="shared" si="591"/>
        <v>30</v>
      </c>
      <c r="AB372" s="114">
        <v>45702</v>
      </c>
      <c r="AC372" s="23" t="s">
        <v>389</v>
      </c>
      <c r="AD372" s="15"/>
      <c r="AE372" s="16"/>
      <c r="AF372" s="17"/>
      <c r="AG372" s="17"/>
      <c r="AH372" s="85">
        <f t="shared" si="580"/>
        <v>0</v>
      </c>
      <c r="AI372" s="15"/>
      <c r="AJ372" s="16"/>
      <c r="AK372" s="17"/>
      <c r="AL372" s="17"/>
      <c r="AM372" s="85">
        <f t="shared" si="581"/>
        <v>0</v>
      </c>
      <c r="AN372" s="15"/>
      <c r="AO372" s="16"/>
      <c r="AP372" s="17"/>
      <c r="AQ372" s="17"/>
      <c r="AR372" s="85">
        <f t="shared" si="582"/>
        <v>0</v>
      </c>
      <c r="AS372" s="15">
        <v>3</v>
      </c>
      <c r="AT372" s="16"/>
      <c r="AU372" s="17"/>
      <c r="AV372" s="17"/>
      <c r="AW372" s="85">
        <f t="shared" si="583"/>
        <v>3</v>
      </c>
      <c r="AX372" s="15">
        <v>5</v>
      </c>
      <c r="AY372" s="16"/>
      <c r="AZ372" s="17"/>
      <c r="BA372" s="17"/>
      <c r="BB372" s="85">
        <f t="shared" si="584"/>
        <v>5</v>
      </c>
      <c r="BC372" s="105">
        <f t="shared" si="585"/>
        <v>8</v>
      </c>
      <c r="BD372" s="114">
        <v>45715</v>
      </c>
    </row>
    <row r="373" spans="1:57" x14ac:dyDescent="0.15">
      <c r="A373" s="23" t="s">
        <v>43</v>
      </c>
      <c r="B373" s="15">
        <v>1</v>
      </c>
      <c r="C373" s="16"/>
      <c r="D373" s="17"/>
      <c r="E373" s="17"/>
      <c r="F373" s="85">
        <f t="shared" si="586"/>
        <v>1</v>
      </c>
      <c r="G373" s="15"/>
      <c r="H373" s="16"/>
      <c r="I373" s="17"/>
      <c r="J373" s="17"/>
      <c r="K373" s="85">
        <f t="shared" si="587"/>
        <v>0</v>
      </c>
      <c r="L373" s="15"/>
      <c r="M373" s="16"/>
      <c r="N373" s="17"/>
      <c r="O373" s="17"/>
      <c r="P373" s="85">
        <f t="shared" si="588"/>
        <v>0</v>
      </c>
      <c r="Q373" s="15"/>
      <c r="R373" s="16"/>
      <c r="S373" s="17"/>
      <c r="T373" s="17"/>
      <c r="U373" s="85">
        <f t="shared" si="589"/>
        <v>0</v>
      </c>
      <c r="V373" s="15"/>
      <c r="W373" s="16"/>
      <c r="X373" s="17"/>
      <c r="Y373" s="17"/>
      <c r="Z373" s="85">
        <f t="shared" si="590"/>
        <v>0</v>
      </c>
      <c r="AA373" s="105">
        <f t="shared" si="591"/>
        <v>1</v>
      </c>
      <c r="AB373" s="114">
        <v>45700</v>
      </c>
      <c r="AC373" s="54" t="s">
        <v>390</v>
      </c>
      <c r="AD373" s="15"/>
      <c r="AE373" s="16"/>
      <c r="AF373" s="17"/>
      <c r="AG373" s="17"/>
      <c r="AH373" s="85">
        <f t="shared" si="580"/>
        <v>0</v>
      </c>
      <c r="AI373" s="15"/>
      <c r="AJ373" s="16">
        <v>1</v>
      </c>
      <c r="AK373" s="17"/>
      <c r="AL373" s="17">
        <v>4</v>
      </c>
      <c r="AM373" s="85">
        <f t="shared" si="581"/>
        <v>5</v>
      </c>
      <c r="AN373" s="15"/>
      <c r="AO373" s="16"/>
      <c r="AP373" s="17"/>
      <c r="AQ373" s="17"/>
      <c r="AR373" s="85">
        <f t="shared" si="582"/>
        <v>0</v>
      </c>
      <c r="AS373" s="15">
        <v>7</v>
      </c>
      <c r="AT373" s="16"/>
      <c r="AU373" s="17"/>
      <c r="AV373" s="17">
        <v>1</v>
      </c>
      <c r="AW373" s="85">
        <f t="shared" si="583"/>
        <v>8</v>
      </c>
      <c r="AX373" s="15"/>
      <c r="AY373" s="16"/>
      <c r="AZ373" s="17"/>
      <c r="BA373" s="17"/>
      <c r="BB373" s="85">
        <f t="shared" si="584"/>
        <v>0</v>
      </c>
      <c r="BC373" s="105">
        <f t="shared" si="585"/>
        <v>13</v>
      </c>
      <c r="BD373" s="114">
        <v>45723</v>
      </c>
    </row>
    <row r="374" spans="1:57" x14ac:dyDescent="0.15">
      <c r="A374" s="23" t="s">
        <v>386</v>
      </c>
      <c r="B374" s="15">
        <v>1</v>
      </c>
      <c r="C374" s="16"/>
      <c r="D374" s="17"/>
      <c r="E374" s="17"/>
      <c r="F374" s="85">
        <f t="shared" si="586"/>
        <v>1</v>
      </c>
      <c r="G374" s="15">
        <v>1</v>
      </c>
      <c r="H374" s="16"/>
      <c r="I374" s="17"/>
      <c r="J374" s="17"/>
      <c r="K374" s="85">
        <f t="shared" si="587"/>
        <v>1</v>
      </c>
      <c r="L374" s="15"/>
      <c r="M374" s="16"/>
      <c r="N374" s="17"/>
      <c r="O374" s="17"/>
      <c r="P374" s="85">
        <f t="shared" si="588"/>
        <v>0</v>
      </c>
      <c r="Q374" s="15"/>
      <c r="R374" s="16"/>
      <c r="S374" s="17"/>
      <c r="T374" s="17"/>
      <c r="U374" s="85">
        <f t="shared" si="589"/>
        <v>0</v>
      </c>
      <c r="V374" s="15">
        <v>1</v>
      </c>
      <c r="W374" s="16"/>
      <c r="X374" s="17"/>
      <c r="Y374" s="17"/>
      <c r="Z374" s="85">
        <f t="shared" si="590"/>
        <v>1</v>
      </c>
      <c r="AA374" s="105">
        <f t="shared" si="591"/>
        <v>3</v>
      </c>
      <c r="AB374" s="115">
        <v>45708</v>
      </c>
      <c r="AC374" s="53" t="s">
        <v>397</v>
      </c>
      <c r="AD374" s="15">
        <v>6</v>
      </c>
      <c r="AE374" s="16">
        <v>8</v>
      </c>
      <c r="AF374" s="17">
        <v>6</v>
      </c>
      <c r="AG374" s="17">
        <v>4</v>
      </c>
      <c r="AH374" s="85">
        <f t="shared" si="580"/>
        <v>24</v>
      </c>
      <c r="AI374" s="15">
        <v>6</v>
      </c>
      <c r="AJ374" s="16">
        <v>8</v>
      </c>
      <c r="AK374" s="17">
        <v>6</v>
      </c>
      <c r="AL374" s="17">
        <v>4</v>
      </c>
      <c r="AM374" s="85">
        <f t="shared" si="581"/>
        <v>24</v>
      </c>
      <c r="AN374" s="15"/>
      <c r="AO374" s="16"/>
      <c r="AP374" s="17"/>
      <c r="AQ374" s="17"/>
      <c r="AR374" s="85">
        <f t="shared" si="582"/>
        <v>0</v>
      </c>
      <c r="AS374" s="15"/>
      <c r="AT374" s="16"/>
      <c r="AU374" s="17"/>
      <c r="AV374" s="17"/>
      <c r="AW374" s="85">
        <f t="shared" si="583"/>
        <v>0</v>
      </c>
      <c r="AX374" s="15">
        <v>6</v>
      </c>
      <c r="AY374" s="16">
        <v>8</v>
      </c>
      <c r="AZ374" s="17">
        <v>6</v>
      </c>
      <c r="BA374" s="17">
        <v>4</v>
      </c>
      <c r="BB374" s="85">
        <f t="shared" si="584"/>
        <v>24</v>
      </c>
      <c r="BC374" s="105">
        <f t="shared" si="585"/>
        <v>72</v>
      </c>
      <c r="BD374" s="114">
        <v>45735</v>
      </c>
    </row>
    <row r="375" spans="1:57" x14ac:dyDescent="0.15">
      <c r="A375" s="54" t="s">
        <v>388</v>
      </c>
      <c r="B375" s="15"/>
      <c r="C375" s="16"/>
      <c r="D375" s="17"/>
      <c r="E375" s="17"/>
      <c r="F375" s="85">
        <f t="shared" si="586"/>
        <v>0</v>
      </c>
      <c r="G375" s="15"/>
      <c r="H375" s="16"/>
      <c r="I375" s="17"/>
      <c r="J375" s="17"/>
      <c r="K375" s="85">
        <f t="shared" si="587"/>
        <v>0</v>
      </c>
      <c r="L375" s="15"/>
      <c r="M375" s="16"/>
      <c r="N375" s="17"/>
      <c r="O375" s="17"/>
      <c r="P375" s="85">
        <f t="shared" si="588"/>
        <v>0</v>
      </c>
      <c r="Q375" s="15">
        <v>4</v>
      </c>
      <c r="R375" s="16">
        <v>1</v>
      </c>
      <c r="S375" s="17"/>
      <c r="T375" s="17"/>
      <c r="U375" s="85">
        <f t="shared" si="589"/>
        <v>5</v>
      </c>
      <c r="V375" s="15">
        <v>4</v>
      </c>
      <c r="W375" s="16"/>
      <c r="X375" s="17"/>
      <c r="Y375" s="17"/>
      <c r="Z375" s="85">
        <f t="shared" si="590"/>
        <v>4</v>
      </c>
      <c r="AA375" s="105">
        <f t="shared" si="591"/>
        <v>9</v>
      </c>
      <c r="AB375" s="114">
        <v>45716</v>
      </c>
      <c r="AC375" s="53" t="s">
        <v>398</v>
      </c>
      <c r="AD375" s="15"/>
      <c r="AE375" s="16"/>
      <c r="AF375" s="17"/>
      <c r="AG375" s="17"/>
      <c r="AH375" s="85">
        <f t="shared" si="580"/>
        <v>0</v>
      </c>
      <c r="AI375" s="15"/>
      <c r="AJ375" s="16"/>
      <c r="AK375" s="17"/>
      <c r="AL375" s="17"/>
      <c r="AM375" s="85">
        <f t="shared" si="581"/>
        <v>0</v>
      </c>
      <c r="AN375" s="15">
        <v>12</v>
      </c>
      <c r="AO375" s="16">
        <v>12</v>
      </c>
      <c r="AP375" s="17">
        <v>8</v>
      </c>
      <c r="AQ375" s="17">
        <v>8</v>
      </c>
      <c r="AR375" s="85">
        <f t="shared" si="582"/>
        <v>40</v>
      </c>
      <c r="AS375" s="15">
        <v>12</v>
      </c>
      <c r="AT375" s="16">
        <v>12</v>
      </c>
      <c r="AU375" s="17">
        <v>8</v>
      </c>
      <c r="AV375" s="17">
        <v>8</v>
      </c>
      <c r="AW375" s="85">
        <f t="shared" si="583"/>
        <v>40</v>
      </c>
      <c r="AX375" s="15">
        <v>12</v>
      </c>
      <c r="AY375" s="16">
        <v>12</v>
      </c>
      <c r="AZ375" s="17">
        <v>8</v>
      </c>
      <c r="BA375" s="17">
        <v>8</v>
      </c>
      <c r="BB375" s="85">
        <f t="shared" si="584"/>
        <v>40</v>
      </c>
      <c r="BC375" s="105">
        <f t="shared" si="585"/>
        <v>120</v>
      </c>
      <c r="BD375" s="114">
        <v>45735</v>
      </c>
    </row>
    <row r="376" spans="1:57" x14ac:dyDescent="0.15">
      <c r="A376" s="23" t="s">
        <v>43</v>
      </c>
      <c r="B376" s="15"/>
      <c r="C376" s="16"/>
      <c r="D376" s="17"/>
      <c r="E376" s="17"/>
      <c r="F376" s="85">
        <f t="shared" si="586"/>
        <v>0</v>
      </c>
      <c r="G376" s="15"/>
      <c r="H376" s="16"/>
      <c r="I376" s="17"/>
      <c r="J376" s="17"/>
      <c r="K376" s="85">
        <f t="shared" si="587"/>
        <v>0</v>
      </c>
      <c r="L376" s="15">
        <v>1</v>
      </c>
      <c r="M376" s="16"/>
      <c r="N376" s="17"/>
      <c r="O376" s="17"/>
      <c r="P376" s="85">
        <f t="shared" si="588"/>
        <v>1</v>
      </c>
      <c r="Q376" s="15">
        <v>1</v>
      </c>
      <c r="R376" s="16"/>
      <c r="S376" s="17"/>
      <c r="T376" s="17"/>
      <c r="U376" s="85">
        <f t="shared" si="589"/>
        <v>1</v>
      </c>
      <c r="V376" s="15">
        <v>1</v>
      </c>
      <c r="W376" s="16"/>
      <c r="X376" s="17"/>
      <c r="Y376" s="17"/>
      <c r="Z376" s="85">
        <f t="shared" si="590"/>
        <v>1</v>
      </c>
      <c r="AA376" s="105">
        <f t="shared" si="591"/>
        <v>3</v>
      </c>
      <c r="AB376" s="114">
        <v>45714</v>
      </c>
      <c r="AC376" s="54" t="s">
        <v>401</v>
      </c>
      <c r="AD376" s="15"/>
      <c r="AE376" s="16"/>
      <c r="AF376" s="17"/>
      <c r="AG376" s="17"/>
      <c r="AH376" s="85">
        <f t="shared" si="580"/>
        <v>0</v>
      </c>
      <c r="AI376" s="15">
        <v>1</v>
      </c>
      <c r="AJ376" s="16">
        <v>3</v>
      </c>
      <c r="AK376" s="17"/>
      <c r="AL376" s="17"/>
      <c r="AM376" s="85">
        <f t="shared" si="581"/>
        <v>4</v>
      </c>
      <c r="AN376" s="15">
        <v>3</v>
      </c>
      <c r="AO376" s="16"/>
      <c r="AP376" s="17"/>
      <c r="AQ376" s="17">
        <v>1</v>
      </c>
      <c r="AR376" s="85">
        <f t="shared" si="582"/>
        <v>4</v>
      </c>
      <c r="AS376" s="15">
        <v>1</v>
      </c>
      <c r="AT376" s="16">
        <v>1</v>
      </c>
      <c r="AU376" s="17"/>
      <c r="AV376" s="17">
        <v>2</v>
      </c>
      <c r="AW376" s="85">
        <f t="shared" si="583"/>
        <v>4</v>
      </c>
      <c r="AX376" s="15">
        <v>1</v>
      </c>
      <c r="AY376" s="16"/>
      <c r="AZ376" s="17"/>
      <c r="BA376" s="17"/>
      <c r="BB376" s="85">
        <f t="shared" si="584"/>
        <v>1</v>
      </c>
      <c r="BC376" s="105">
        <f t="shared" si="585"/>
        <v>13</v>
      </c>
      <c r="BD376" s="114">
        <v>45744</v>
      </c>
    </row>
    <row r="377" spans="1:57" x14ac:dyDescent="0.15">
      <c r="A377" s="23" t="s">
        <v>395</v>
      </c>
      <c r="B377" s="15"/>
      <c r="C377" s="16"/>
      <c r="D377" s="17"/>
      <c r="E377" s="17"/>
      <c r="F377" s="85">
        <f t="shared" si="586"/>
        <v>0</v>
      </c>
      <c r="G377" s="15"/>
      <c r="H377" s="16"/>
      <c r="I377" s="17"/>
      <c r="J377" s="17"/>
      <c r="K377" s="85">
        <f t="shared" si="587"/>
        <v>0</v>
      </c>
      <c r="L377" s="15">
        <v>1</v>
      </c>
      <c r="M377" s="16"/>
      <c r="N377" s="17"/>
      <c r="O377" s="17"/>
      <c r="P377" s="85">
        <f t="shared" si="588"/>
        <v>1</v>
      </c>
      <c r="Q377" s="15"/>
      <c r="R377" s="16"/>
      <c r="S377" s="17"/>
      <c r="T377" s="17"/>
      <c r="U377" s="85">
        <f t="shared" si="589"/>
        <v>0</v>
      </c>
      <c r="V377" s="15"/>
      <c r="W377" s="16"/>
      <c r="X377" s="17"/>
      <c r="Y377" s="17"/>
      <c r="Z377" s="85">
        <f t="shared" si="590"/>
        <v>0</v>
      </c>
      <c r="AA377" s="105">
        <f t="shared" si="591"/>
        <v>1</v>
      </c>
      <c r="AB377" s="114">
        <v>45723</v>
      </c>
      <c r="AC377" s="23" t="s">
        <v>402</v>
      </c>
      <c r="AD377" s="15">
        <v>3</v>
      </c>
      <c r="AE377" s="16">
        <v>4</v>
      </c>
      <c r="AF377" s="17">
        <v>4</v>
      </c>
      <c r="AG377" s="17">
        <v>3</v>
      </c>
      <c r="AH377" s="85">
        <f t="shared" si="580"/>
        <v>14</v>
      </c>
      <c r="AI377" s="15">
        <v>3</v>
      </c>
      <c r="AJ377" s="16">
        <v>4</v>
      </c>
      <c r="AK377" s="17">
        <v>4</v>
      </c>
      <c r="AL377" s="17">
        <v>3</v>
      </c>
      <c r="AM377" s="85">
        <f t="shared" si="581"/>
        <v>14</v>
      </c>
      <c r="AN377" s="15"/>
      <c r="AO377" s="16"/>
      <c r="AP377" s="17"/>
      <c r="AQ377" s="17"/>
      <c r="AR377" s="85">
        <f t="shared" si="582"/>
        <v>0</v>
      </c>
      <c r="AS377" s="15"/>
      <c r="AT377" s="16"/>
      <c r="AU377" s="17"/>
      <c r="AV377" s="17"/>
      <c r="AW377" s="85">
        <f t="shared" si="583"/>
        <v>0</v>
      </c>
      <c r="AX377" s="15">
        <v>3</v>
      </c>
      <c r="AY377" s="16">
        <v>4</v>
      </c>
      <c r="AZ377" s="17">
        <v>4</v>
      </c>
      <c r="BA377" s="17">
        <v>3</v>
      </c>
      <c r="BB377" s="85">
        <f t="shared" si="584"/>
        <v>14</v>
      </c>
      <c r="BC377" s="105">
        <f t="shared" si="585"/>
        <v>42</v>
      </c>
      <c r="BD377" s="114">
        <v>45748</v>
      </c>
    </row>
    <row r="378" spans="1:57" x14ac:dyDescent="0.15">
      <c r="A378" s="23" t="s">
        <v>43</v>
      </c>
      <c r="B378" s="15"/>
      <c r="C378" s="16"/>
      <c r="D378" s="17">
        <v>1</v>
      </c>
      <c r="E378" s="17"/>
      <c r="F378" s="85">
        <f t="shared" si="586"/>
        <v>1</v>
      </c>
      <c r="G378" s="15"/>
      <c r="H378" s="16"/>
      <c r="I378" s="17">
        <v>1</v>
      </c>
      <c r="J378" s="17"/>
      <c r="K378" s="85">
        <f t="shared" si="587"/>
        <v>1</v>
      </c>
      <c r="L378" s="15"/>
      <c r="M378" s="16"/>
      <c r="N378" s="17">
        <v>1</v>
      </c>
      <c r="O378" s="17"/>
      <c r="P378" s="85">
        <f t="shared" si="588"/>
        <v>1</v>
      </c>
      <c r="Q378" s="15"/>
      <c r="R378" s="16"/>
      <c r="S378" s="17">
        <v>1</v>
      </c>
      <c r="T378" s="17"/>
      <c r="U378" s="85">
        <f t="shared" si="589"/>
        <v>1</v>
      </c>
      <c r="V378" s="15"/>
      <c r="W378" s="16"/>
      <c r="X378" s="17">
        <v>1</v>
      </c>
      <c r="Y378" s="17"/>
      <c r="Z378" s="85">
        <f t="shared" si="590"/>
        <v>1</v>
      </c>
      <c r="AA378" s="105">
        <f t="shared" si="591"/>
        <v>5</v>
      </c>
      <c r="AB378" s="114">
        <v>45721</v>
      </c>
      <c r="AC378" s="23" t="s">
        <v>403</v>
      </c>
      <c r="AD378" s="15"/>
      <c r="AE378" s="16"/>
      <c r="AF378" s="17"/>
      <c r="AG378" s="17"/>
      <c r="AH378" s="85">
        <f t="shared" si="580"/>
        <v>0</v>
      </c>
      <c r="AI378" s="15"/>
      <c r="AJ378" s="16"/>
      <c r="AK378" s="17"/>
      <c r="AL378" s="17"/>
      <c r="AM378" s="85">
        <f t="shared" si="581"/>
        <v>0</v>
      </c>
      <c r="AN378" s="15">
        <v>3</v>
      </c>
      <c r="AO378" s="16">
        <v>4</v>
      </c>
      <c r="AP378" s="17">
        <v>4</v>
      </c>
      <c r="AQ378" s="17">
        <v>3</v>
      </c>
      <c r="AR378" s="85">
        <f t="shared" si="582"/>
        <v>14</v>
      </c>
      <c r="AS378" s="15">
        <v>3</v>
      </c>
      <c r="AT378" s="16">
        <v>4</v>
      </c>
      <c r="AU378" s="17">
        <v>4</v>
      </c>
      <c r="AV378" s="17">
        <v>3</v>
      </c>
      <c r="AW378" s="85">
        <f t="shared" si="583"/>
        <v>14</v>
      </c>
      <c r="AX378" s="15">
        <v>3</v>
      </c>
      <c r="AY378" s="16">
        <v>4</v>
      </c>
      <c r="AZ378" s="17">
        <v>4</v>
      </c>
      <c r="BA378" s="17">
        <v>3</v>
      </c>
      <c r="BB378" s="85">
        <f t="shared" si="584"/>
        <v>14</v>
      </c>
      <c r="BC378" s="105">
        <f t="shared" si="585"/>
        <v>42</v>
      </c>
      <c r="BD378" s="114">
        <v>45748</v>
      </c>
    </row>
    <row r="379" spans="1:57" x14ac:dyDescent="0.15">
      <c r="A379" s="23" t="s">
        <v>43</v>
      </c>
      <c r="B379" s="15"/>
      <c r="C379" s="16"/>
      <c r="D379" s="17"/>
      <c r="E379" s="17"/>
      <c r="F379" s="85">
        <f t="shared" si="586"/>
        <v>0</v>
      </c>
      <c r="G379" s="15"/>
      <c r="H379" s="16"/>
      <c r="I379" s="17"/>
      <c r="J379" s="17"/>
      <c r="K379" s="85">
        <f t="shared" si="587"/>
        <v>0</v>
      </c>
      <c r="L379" s="15"/>
      <c r="M379" s="16"/>
      <c r="N379" s="17"/>
      <c r="O379" s="17"/>
      <c r="P379" s="85">
        <f t="shared" si="588"/>
        <v>0</v>
      </c>
      <c r="Q379" s="15"/>
      <c r="R379" s="16"/>
      <c r="S379" s="17"/>
      <c r="T379" s="17"/>
      <c r="U379" s="85">
        <f t="shared" si="589"/>
        <v>0</v>
      </c>
      <c r="V379" s="15"/>
      <c r="W379" s="16"/>
      <c r="X379" s="17"/>
      <c r="Y379" s="17">
        <v>1</v>
      </c>
      <c r="Z379" s="85">
        <f t="shared" si="590"/>
        <v>1</v>
      </c>
      <c r="AA379" s="105">
        <f t="shared" si="591"/>
        <v>1</v>
      </c>
      <c r="AB379" s="114">
        <v>45722</v>
      </c>
      <c r="AC379" s="23" t="s">
        <v>404</v>
      </c>
      <c r="AD379" s="15"/>
      <c r="AE379" s="16"/>
      <c r="AF379" s="17"/>
      <c r="AG379" s="17">
        <v>5</v>
      </c>
      <c r="AH379" s="85">
        <f t="shared" si="580"/>
        <v>5</v>
      </c>
      <c r="AI379" s="15"/>
      <c r="AJ379" s="16"/>
      <c r="AK379" s="17"/>
      <c r="AL379" s="17">
        <v>5</v>
      </c>
      <c r="AM379" s="85">
        <f t="shared" si="581"/>
        <v>5</v>
      </c>
      <c r="AN379" s="15"/>
      <c r="AO379" s="16"/>
      <c r="AP379" s="17"/>
      <c r="AQ379" s="17"/>
      <c r="AR379" s="85">
        <f t="shared" si="582"/>
        <v>0</v>
      </c>
      <c r="AS379" s="15"/>
      <c r="AT379" s="16"/>
      <c r="AU379" s="17"/>
      <c r="AV379" s="17"/>
      <c r="AW379" s="85">
        <f t="shared" si="583"/>
        <v>0</v>
      </c>
      <c r="AX379" s="15"/>
      <c r="AY379" s="16"/>
      <c r="AZ379" s="17"/>
      <c r="BA379" s="17">
        <v>5</v>
      </c>
      <c r="BB379" s="85">
        <f t="shared" si="584"/>
        <v>5</v>
      </c>
      <c r="BC379" s="105">
        <f t="shared" si="585"/>
        <v>15</v>
      </c>
      <c r="BD379" s="114">
        <v>45750</v>
      </c>
    </row>
    <row r="380" spans="1:57" x14ac:dyDescent="0.15">
      <c r="A380" s="54" t="s">
        <v>396</v>
      </c>
      <c r="B380" s="18"/>
      <c r="C380" s="19"/>
      <c r="D380" s="20"/>
      <c r="E380" s="20"/>
      <c r="F380" s="85">
        <f t="shared" si="586"/>
        <v>0</v>
      </c>
      <c r="G380" s="18"/>
      <c r="H380" s="19"/>
      <c r="I380" s="20"/>
      <c r="J380" s="20"/>
      <c r="K380" s="85">
        <f t="shared" si="587"/>
        <v>0</v>
      </c>
      <c r="L380" s="18"/>
      <c r="M380" s="19"/>
      <c r="N380" s="20"/>
      <c r="O380" s="20"/>
      <c r="P380" s="85">
        <f t="shared" si="588"/>
        <v>0</v>
      </c>
      <c r="Q380" s="18"/>
      <c r="R380" s="19"/>
      <c r="S380" s="20"/>
      <c r="T380" s="20">
        <v>1</v>
      </c>
      <c r="U380" s="85">
        <f t="shared" si="589"/>
        <v>1</v>
      </c>
      <c r="V380" s="18"/>
      <c r="W380" s="19"/>
      <c r="X380" s="20"/>
      <c r="Y380" s="20"/>
      <c r="Z380" s="85">
        <f t="shared" si="590"/>
        <v>0</v>
      </c>
      <c r="AA380" s="105">
        <f t="shared" si="591"/>
        <v>1</v>
      </c>
      <c r="AB380" s="114">
        <v>45730</v>
      </c>
      <c r="AC380" s="23" t="s">
        <v>405</v>
      </c>
      <c r="AD380" s="18"/>
      <c r="AE380" s="19"/>
      <c r="AF380" s="20"/>
      <c r="AG380" s="20"/>
      <c r="AH380" s="85">
        <f t="shared" si="580"/>
        <v>0</v>
      </c>
      <c r="AI380" s="18"/>
      <c r="AJ380" s="19"/>
      <c r="AK380" s="20"/>
      <c r="AL380" s="20"/>
      <c r="AM380" s="85">
        <f t="shared" si="581"/>
        <v>0</v>
      </c>
      <c r="AN380" s="18"/>
      <c r="AO380" s="19"/>
      <c r="AP380" s="20">
        <v>5</v>
      </c>
      <c r="AQ380" s="20"/>
      <c r="AR380" s="85">
        <f t="shared" si="582"/>
        <v>5</v>
      </c>
      <c r="AS380" s="18"/>
      <c r="AT380" s="19"/>
      <c r="AU380" s="20">
        <v>5</v>
      </c>
      <c r="AV380" s="20"/>
      <c r="AW380" s="85">
        <f t="shared" si="583"/>
        <v>5</v>
      </c>
      <c r="AX380" s="18"/>
      <c r="AY380" s="19"/>
      <c r="AZ380" s="20">
        <v>5</v>
      </c>
      <c r="BA380" s="20"/>
      <c r="BB380" s="85">
        <f t="shared" si="584"/>
        <v>5</v>
      </c>
      <c r="BC380" s="105">
        <f t="shared" si="585"/>
        <v>15</v>
      </c>
      <c r="BD380" s="114">
        <v>45750</v>
      </c>
    </row>
    <row r="381" spans="1:57" x14ac:dyDescent="0.15">
      <c r="A381" s="23" t="s">
        <v>43</v>
      </c>
      <c r="B381" s="15"/>
      <c r="C381" s="16"/>
      <c r="D381" s="17"/>
      <c r="E381" s="17"/>
      <c r="F381" s="85">
        <f t="shared" si="586"/>
        <v>0</v>
      </c>
      <c r="G381" s="15"/>
      <c r="H381" s="16"/>
      <c r="I381" s="17"/>
      <c r="J381" s="17"/>
      <c r="K381" s="85">
        <f t="shared" si="587"/>
        <v>0</v>
      </c>
      <c r="L381" s="15"/>
      <c r="M381" s="16"/>
      <c r="N381" s="17"/>
      <c r="O381" s="17"/>
      <c r="P381" s="85">
        <f t="shared" si="588"/>
        <v>0</v>
      </c>
      <c r="Q381" s="15"/>
      <c r="R381" s="16"/>
      <c r="S381" s="17"/>
      <c r="T381" s="17"/>
      <c r="U381" s="85">
        <f t="shared" si="589"/>
        <v>0</v>
      </c>
      <c r="V381" s="15">
        <v>1</v>
      </c>
      <c r="W381" s="16"/>
      <c r="X381" s="17"/>
      <c r="Y381" s="17"/>
      <c r="Z381" s="85">
        <f t="shared" si="590"/>
        <v>1</v>
      </c>
      <c r="AA381" s="105">
        <f t="shared" si="591"/>
        <v>1</v>
      </c>
      <c r="AB381" s="114">
        <v>45743</v>
      </c>
      <c r="AC381" s="23" t="s">
        <v>407</v>
      </c>
      <c r="AD381" s="15"/>
      <c r="AE381" s="16"/>
      <c r="AF381" s="17"/>
      <c r="AG381" s="17"/>
      <c r="AH381" s="85">
        <f t="shared" si="580"/>
        <v>0</v>
      </c>
      <c r="AI381" s="15"/>
      <c r="AJ381" s="16"/>
      <c r="AK381" s="17"/>
      <c r="AL381" s="17"/>
      <c r="AM381" s="85">
        <f t="shared" si="581"/>
        <v>0</v>
      </c>
      <c r="AN381" s="15"/>
      <c r="AO381" s="16">
        <v>5</v>
      </c>
      <c r="AP381" s="17"/>
      <c r="AQ381" s="17">
        <v>3</v>
      </c>
      <c r="AR381" s="85">
        <f t="shared" si="582"/>
        <v>8</v>
      </c>
      <c r="AS381" s="15"/>
      <c r="AT381" s="16">
        <v>5</v>
      </c>
      <c r="AU381" s="17"/>
      <c r="AV381" s="17">
        <v>3</v>
      </c>
      <c r="AW381" s="85">
        <f t="shared" si="583"/>
        <v>8</v>
      </c>
      <c r="AX381" s="15"/>
      <c r="AY381" s="16">
        <v>5</v>
      </c>
      <c r="AZ381" s="17"/>
      <c r="BA381" s="17">
        <v>3</v>
      </c>
      <c r="BB381" s="85">
        <f t="shared" si="584"/>
        <v>8</v>
      </c>
      <c r="BC381" s="105">
        <f t="shared" si="585"/>
        <v>24</v>
      </c>
      <c r="BD381" s="114">
        <v>45751</v>
      </c>
    </row>
    <row r="382" spans="1:57" x14ac:dyDescent="0.15">
      <c r="A382" s="23" t="s">
        <v>43</v>
      </c>
      <c r="B382" s="15"/>
      <c r="C382" s="16">
        <v>1</v>
      </c>
      <c r="D382" s="17"/>
      <c r="E382" s="17"/>
      <c r="F382" s="85">
        <f t="shared" si="586"/>
        <v>1</v>
      </c>
      <c r="G382" s="15"/>
      <c r="H382" s="16">
        <v>1</v>
      </c>
      <c r="I382" s="17"/>
      <c r="J382" s="17"/>
      <c r="K382" s="85">
        <f t="shared" si="587"/>
        <v>1</v>
      </c>
      <c r="L382" s="15"/>
      <c r="M382" s="16"/>
      <c r="N382" s="17"/>
      <c r="O382" s="17"/>
      <c r="P382" s="85">
        <f t="shared" si="588"/>
        <v>0</v>
      </c>
      <c r="Q382" s="15"/>
      <c r="R382" s="16"/>
      <c r="S382" s="17"/>
      <c r="T382" s="17"/>
      <c r="U382" s="85">
        <f t="shared" si="589"/>
        <v>0</v>
      </c>
      <c r="V382" s="15"/>
      <c r="W382" s="16">
        <v>1</v>
      </c>
      <c r="X382" s="17"/>
      <c r="Y382" s="17"/>
      <c r="Z382" s="85">
        <f t="shared" si="590"/>
        <v>1</v>
      </c>
      <c r="AA382" s="105">
        <f t="shared" si="591"/>
        <v>3</v>
      </c>
      <c r="AB382" s="115">
        <v>45749</v>
      </c>
      <c r="AC382" s="53" t="s">
        <v>408</v>
      </c>
      <c r="AD382" s="15">
        <v>3</v>
      </c>
      <c r="AE382" s="16"/>
      <c r="AF382" s="17"/>
      <c r="AG382" s="17"/>
      <c r="AH382" s="85">
        <f t="shared" si="580"/>
        <v>3</v>
      </c>
      <c r="AI382" s="15">
        <v>3</v>
      </c>
      <c r="AJ382" s="16"/>
      <c r="AK382" s="17"/>
      <c r="AL382" s="17"/>
      <c r="AM382" s="85">
        <f t="shared" si="581"/>
        <v>3</v>
      </c>
      <c r="AN382" s="15"/>
      <c r="AO382" s="16"/>
      <c r="AP382" s="17"/>
      <c r="AQ382" s="17"/>
      <c r="AR382" s="85">
        <f t="shared" si="582"/>
        <v>0</v>
      </c>
      <c r="AS382" s="15"/>
      <c r="AT382" s="16"/>
      <c r="AU382" s="17"/>
      <c r="AV382" s="17"/>
      <c r="AW382" s="85">
        <f t="shared" si="583"/>
        <v>0</v>
      </c>
      <c r="AX382" s="15">
        <v>3</v>
      </c>
      <c r="AY382" s="16"/>
      <c r="AZ382" s="17"/>
      <c r="BA382" s="17"/>
      <c r="BB382" s="85">
        <f t="shared" si="584"/>
        <v>3</v>
      </c>
      <c r="BC382" s="105">
        <f t="shared" si="585"/>
        <v>9</v>
      </c>
      <c r="BD382" s="114">
        <v>45756</v>
      </c>
    </row>
    <row r="383" spans="1:57" x14ac:dyDescent="0.15">
      <c r="A383" s="23" t="s">
        <v>43</v>
      </c>
      <c r="B383" s="15"/>
      <c r="C383" s="16"/>
      <c r="D383" s="17"/>
      <c r="E383" s="17">
        <v>1</v>
      </c>
      <c r="F383" s="85">
        <f t="shared" si="586"/>
        <v>1</v>
      </c>
      <c r="G383" s="15"/>
      <c r="H383" s="16"/>
      <c r="I383" s="17"/>
      <c r="J383" s="17">
        <v>1</v>
      </c>
      <c r="K383" s="85">
        <f t="shared" si="587"/>
        <v>1</v>
      </c>
      <c r="L383" s="15"/>
      <c r="M383" s="16"/>
      <c r="N383" s="17"/>
      <c r="O383" s="17">
        <v>1</v>
      </c>
      <c r="P383" s="85">
        <f t="shared" si="588"/>
        <v>1</v>
      </c>
      <c r="Q383" s="15"/>
      <c r="R383" s="16"/>
      <c r="S383" s="17"/>
      <c r="T383" s="17">
        <v>1</v>
      </c>
      <c r="U383" s="85">
        <f t="shared" si="589"/>
        <v>1</v>
      </c>
      <c r="V383" s="15"/>
      <c r="W383" s="16"/>
      <c r="X383" s="17"/>
      <c r="Y383" s="17">
        <v>2</v>
      </c>
      <c r="Z383" s="85">
        <f t="shared" si="590"/>
        <v>2</v>
      </c>
      <c r="AA383" s="105">
        <f t="shared" si="591"/>
        <v>6</v>
      </c>
      <c r="AB383" s="115">
        <v>45751</v>
      </c>
      <c r="AC383" s="23" t="s">
        <v>35</v>
      </c>
      <c r="AD383" s="15"/>
      <c r="AE383" s="16"/>
      <c r="AF383" s="17"/>
      <c r="AG383" s="17"/>
      <c r="AH383" s="85">
        <f t="shared" si="580"/>
        <v>0</v>
      </c>
      <c r="AI383" s="15"/>
      <c r="AJ383" s="16">
        <v>3</v>
      </c>
      <c r="AK383" s="17"/>
      <c r="AL383" s="17"/>
      <c r="AM383" s="85">
        <f t="shared" si="581"/>
        <v>3</v>
      </c>
      <c r="AN383" s="15">
        <v>3</v>
      </c>
      <c r="AO383" s="16"/>
      <c r="AP383" s="17"/>
      <c r="AQ383" s="17"/>
      <c r="AR383" s="85">
        <f t="shared" si="582"/>
        <v>3</v>
      </c>
      <c r="AS383" s="15"/>
      <c r="AT383" s="16"/>
      <c r="AU383" s="17"/>
      <c r="AV383" s="17"/>
      <c r="AW383" s="85">
        <f t="shared" si="583"/>
        <v>0</v>
      </c>
      <c r="AX383" s="15">
        <v>3</v>
      </c>
      <c r="AY383" s="16"/>
      <c r="AZ383" s="17"/>
      <c r="BA383" s="17"/>
      <c r="BB383" s="85">
        <f t="shared" si="584"/>
        <v>3</v>
      </c>
      <c r="BC383" s="105">
        <f t="shared" si="585"/>
        <v>9</v>
      </c>
      <c r="BD383" s="114">
        <v>45752</v>
      </c>
      <c r="BE383" s="76"/>
    </row>
    <row r="384" spans="1:57" x14ac:dyDescent="0.15">
      <c r="A384" s="23" t="s">
        <v>43</v>
      </c>
      <c r="B384" s="15"/>
      <c r="C384" s="16"/>
      <c r="D384" s="17">
        <v>1</v>
      </c>
      <c r="E384" s="17"/>
      <c r="F384" s="85">
        <f t="shared" si="586"/>
        <v>1</v>
      </c>
      <c r="G384" s="15"/>
      <c r="H384" s="16"/>
      <c r="I384" s="17">
        <v>1</v>
      </c>
      <c r="J384" s="17"/>
      <c r="K384" s="85">
        <f t="shared" si="587"/>
        <v>1</v>
      </c>
      <c r="L384" s="15"/>
      <c r="M384" s="16"/>
      <c r="N384" s="17"/>
      <c r="O384" s="17"/>
      <c r="P384" s="85">
        <f t="shared" si="588"/>
        <v>0</v>
      </c>
      <c r="Q384" s="15"/>
      <c r="R384" s="16"/>
      <c r="S384" s="17"/>
      <c r="T384" s="17"/>
      <c r="U384" s="85">
        <f t="shared" si="589"/>
        <v>0</v>
      </c>
      <c r="V384" s="15"/>
      <c r="W384" s="16"/>
      <c r="X384" s="17"/>
      <c r="Y384" s="17"/>
      <c r="Z384" s="85">
        <f t="shared" si="590"/>
        <v>0</v>
      </c>
      <c r="AA384" s="105">
        <f t="shared" si="591"/>
        <v>2</v>
      </c>
      <c r="AB384" s="115">
        <v>45752</v>
      </c>
      <c r="AC384" s="53" t="s">
        <v>411</v>
      </c>
      <c r="AD384" s="15">
        <v>9</v>
      </c>
      <c r="AE384" s="16"/>
      <c r="AF384" s="17"/>
      <c r="AG384" s="17">
        <v>2</v>
      </c>
      <c r="AH384" s="85">
        <f t="shared" ref="AH384:AH386" si="608">SUM(AD384:AG384)</f>
        <v>11</v>
      </c>
      <c r="AI384" s="15">
        <v>9</v>
      </c>
      <c r="AJ384" s="16"/>
      <c r="AK384" s="17"/>
      <c r="AL384" s="17">
        <v>2</v>
      </c>
      <c r="AM384" s="85">
        <f t="shared" ref="AM384:AM386" si="609">SUM(AI384:AL384)</f>
        <v>11</v>
      </c>
      <c r="AN384" s="15"/>
      <c r="AO384" s="16"/>
      <c r="AP384" s="17"/>
      <c r="AQ384" s="17"/>
      <c r="AR384" s="85">
        <f t="shared" ref="AR384:AR386" si="610">SUM(AN384:AQ384)</f>
        <v>0</v>
      </c>
      <c r="AS384" s="15"/>
      <c r="AT384" s="16"/>
      <c r="AU384" s="17"/>
      <c r="AV384" s="17"/>
      <c r="AW384" s="85">
        <f t="shared" ref="AW384:AW386" si="611">SUM(AS384:AV384)</f>
        <v>0</v>
      </c>
      <c r="AX384" s="15">
        <v>9</v>
      </c>
      <c r="AY384" s="16"/>
      <c r="AZ384" s="17"/>
      <c r="BA384" s="17">
        <v>2</v>
      </c>
      <c r="BB384" s="85">
        <f t="shared" ref="BB384:BB386" si="612">SUM(AX384:BA384)</f>
        <v>11</v>
      </c>
      <c r="BC384" s="105">
        <f t="shared" ref="BC384:BC386" si="613">BB384+AW384+AR384+AM384+AH384</f>
        <v>33</v>
      </c>
      <c r="BD384" s="114">
        <v>45758</v>
      </c>
      <c r="BE384" s="76"/>
    </row>
    <row r="385" spans="1:57" x14ac:dyDescent="0.15">
      <c r="A385" s="24" t="s">
        <v>409</v>
      </c>
      <c r="B385" s="15">
        <v>1</v>
      </c>
      <c r="C385" s="16"/>
      <c r="D385" s="17"/>
      <c r="E385" s="17"/>
      <c r="F385" s="85">
        <f t="shared" si="586"/>
        <v>1</v>
      </c>
      <c r="G385" s="15"/>
      <c r="H385" s="16"/>
      <c r="I385" s="17"/>
      <c r="J385" s="17"/>
      <c r="K385" s="85">
        <f t="shared" si="587"/>
        <v>0</v>
      </c>
      <c r="L385" s="15"/>
      <c r="M385" s="16"/>
      <c r="N385" s="17"/>
      <c r="O385" s="17"/>
      <c r="P385" s="85">
        <f t="shared" si="588"/>
        <v>0</v>
      </c>
      <c r="Q385" s="15"/>
      <c r="R385" s="16"/>
      <c r="S385" s="17"/>
      <c r="T385" s="17"/>
      <c r="U385" s="85">
        <f t="shared" si="589"/>
        <v>0</v>
      </c>
      <c r="V385" s="15"/>
      <c r="W385" s="16"/>
      <c r="X385" s="17"/>
      <c r="Y385" s="17"/>
      <c r="Z385" s="85">
        <f t="shared" si="590"/>
        <v>0</v>
      </c>
      <c r="AA385" s="105">
        <f t="shared" si="591"/>
        <v>1</v>
      </c>
      <c r="AB385" s="114">
        <v>45758</v>
      </c>
      <c r="AC385" s="53" t="s">
        <v>412</v>
      </c>
      <c r="AD385" s="15"/>
      <c r="AE385" s="16"/>
      <c r="AF385" s="17"/>
      <c r="AG385" s="17"/>
      <c r="AH385" s="85">
        <f t="shared" si="608"/>
        <v>0</v>
      </c>
      <c r="AI385" s="15"/>
      <c r="AJ385" s="16"/>
      <c r="AK385" s="17"/>
      <c r="AL385" s="17"/>
      <c r="AM385" s="85">
        <f t="shared" si="609"/>
        <v>0</v>
      </c>
      <c r="AN385" s="15">
        <v>7</v>
      </c>
      <c r="AO385" s="16">
        <v>3</v>
      </c>
      <c r="AP385" s="17"/>
      <c r="AQ385" s="17">
        <v>3</v>
      </c>
      <c r="AR385" s="85">
        <f t="shared" si="610"/>
        <v>13</v>
      </c>
      <c r="AS385" s="15">
        <v>7</v>
      </c>
      <c r="AT385" s="16">
        <v>3</v>
      </c>
      <c r="AU385" s="17"/>
      <c r="AV385" s="17">
        <v>3</v>
      </c>
      <c r="AW385" s="85">
        <f t="shared" si="611"/>
        <v>13</v>
      </c>
      <c r="AX385" s="15">
        <v>7</v>
      </c>
      <c r="AY385" s="16">
        <v>3</v>
      </c>
      <c r="AZ385" s="17"/>
      <c r="BA385" s="17">
        <v>3</v>
      </c>
      <c r="BB385" s="85">
        <f t="shared" si="612"/>
        <v>13</v>
      </c>
      <c r="BC385" s="105">
        <f t="shared" si="613"/>
        <v>39</v>
      </c>
      <c r="BD385" s="114">
        <v>45758</v>
      </c>
      <c r="BE385" s="76"/>
    </row>
    <row r="386" spans="1:57" x14ac:dyDescent="0.15">
      <c r="A386" s="54" t="s">
        <v>410</v>
      </c>
      <c r="B386" s="15"/>
      <c r="C386" s="16">
        <v>3</v>
      </c>
      <c r="D386" s="17"/>
      <c r="E386" s="17"/>
      <c r="F386" s="85">
        <f t="shared" si="586"/>
        <v>3</v>
      </c>
      <c r="G386" s="15"/>
      <c r="H386" s="16">
        <v>3</v>
      </c>
      <c r="I386" s="17"/>
      <c r="J386" s="17"/>
      <c r="K386" s="85">
        <f t="shared" si="587"/>
        <v>3</v>
      </c>
      <c r="L386" s="15"/>
      <c r="M386" s="16">
        <v>1</v>
      </c>
      <c r="N386" s="17"/>
      <c r="O386" s="17">
        <v>1</v>
      </c>
      <c r="P386" s="85">
        <f t="shared" si="588"/>
        <v>2</v>
      </c>
      <c r="Q386" s="15"/>
      <c r="R386" s="16">
        <v>1</v>
      </c>
      <c r="S386" s="17"/>
      <c r="T386" s="17"/>
      <c r="U386" s="85">
        <f t="shared" si="589"/>
        <v>1</v>
      </c>
      <c r="V386" s="15"/>
      <c r="W386" s="16"/>
      <c r="X386" s="17"/>
      <c r="Y386" s="17">
        <v>1</v>
      </c>
      <c r="Z386" s="85">
        <f t="shared" si="590"/>
        <v>1</v>
      </c>
      <c r="AA386" s="105">
        <f t="shared" si="591"/>
        <v>10</v>
      </c>
      <c r="AB386" s="114">
        <v>45758</v>
      </c>
      <c r="AC386" s="53" t="s">
        <v>413</v>
      </c>
      <c r="AD386" s="15">
        <v>3</v>
      </c>
      <c r="AE386" s="16"/>
      <c r="AF386" s="17"/>
      <c r="AG386" s="17"/>
      <c r="AH386" s="85">
        <f t="shared" si="608"/>
        <v>3</v>
      </c>
      <c r="AI386" s="15">
        <v>3</v>
      </c>
      <c r="AJ386" s="16"/>
      <c r="AK386" s="17"/>
      <c r="AL386" s="17"/>
      <c r="AM386" s="85">
        <f t="shared" si="609"/>
        <v>3</v>
      </c>
      <c r="AN386" s="15"/>
      <c r="AO386" s="16"/>
      <c r="AP386" s="17"/>
      <c r="AQ386" s="17"/>
      <c r="AR386" s="85">
        <f t="shared" si="610"/>
        <v>0</v>
      </c>
      <c r="AS386" s="15"/>
      <c r="AT386" s="16"/>
      <c r="AU386" s="17"/>
      <c r="AV386" s="17"/>
      <c r="AW386" s="85">
        <f t="shared" si="611"/>
        <v>0</v>
      </c>
      <c r="AX386" s="15">
        <v>3</v>
      </c>
      <c r="AY386" s="16"/>
      <c r="AZ386" s="17"/>
      <c r="BA386" s="17"/>
      <c r="BB386" s="85">
        <f t="shared" si="612"/>
        <v>3</v>
      </c>
      <c r="BC386" s="105">
        <f t="shared" si="613"/>
        <v>9</v>
      </c>
      <c r="BD386" s="114">
        <v>45761</v>
      </c>
    </row>
    <row r="387" spans="1:57" x14ac:dyDescent="0.15">
      <c r="A387" s="23" t="s">
        <v>43</v>
      </c>
      <c r="B387" s="15"/>
      <c r="C387" s="16"/>
      <c r="D387" s="17"/>
      <c r="E387" s="17"/>
      <c r="F387" s="85">
        <f t="shared" si="586"/>
        <v>0</v>
      </c>
      <c r="G387" s="15"/>
      <c r="H387" s="16"/>
      <c r="I387" s="17"/>
      <c r="J387" s="17"/>
      <c r="K387" s="85">
        <f t="shared" si="587"/>
        <v>0</v>
      </c>
      <c r="L387" s="15">
        <v>1</v>
      </c>
      <c r="M387" s="16"/>
      <c r="N387" s="17"/>
      <c r="O387" s="17"/>
      <c r="P387" s="85">
        <f t="shared" si="588"/>
        <v>1</v>
      </c>
      <c r="Q387" s="15">
        <v>1</v>
      </c>
      <c r="R387" s="16"/>
      <c r="S387" s="17"/>
      <c r="T387" s="17"/>
      <c r="U387" s="85">
        <f t="shared" si="589"/>
        <v>1</v>
      </c>
      <c r="V387" s="15">
        <v>1</v>
      </c>
      <c r="W387" s="16"/>
      <c r="X387" s="17"/>
      <c r="Y387" s="17"/>
      <c r="Z387" s="85">
        <f t="shared" si="590"/>
        <v>1</v>
      </c>
      <c r="AA387" s="105">
        <f t="shared" si="591"/>
        <v>3</v>
      </c>
      <c r="AB387" s="114">
        <v>45768</v>
      </c>
      <c r="AC387" s="53" t="s">
        <v>414</v>
      </c>
      <c r="AD387" s="15"/>
      <c r="AE387" s="16">
        <v>2</v>
      </c>
      <c r="AF387" s="17"/>
      <c r="AG387" s="17"/>
      <c r="AH387" s="85">
        <f t="shared" si="580"/>
        <v>2</v>
      </c>
      <c r="AI387" s="15"/>
      <c r="AJ387" s="16">
        <v>2</v>
      </c>
      <c r="AK387" s="17"/>
      <c r="AL387" s="17"/>
      <c r="AM387" s="85">
        <f t="shared" si="581"/>
        <v>2</v>
      </c>
      <c r="AN387" s="15"/>
      <c r="AO387" s="16"/>
      <c r="AP387" s="17"/>
      <c r="AQ387" s="17"/>
      <c r="AR387" s="85">
        <f t="shared" si="582"/>
        <v>0</v>
      </c>
      <c r="AS387" s="15"/>
      <c r="AT387" s="16"/>
      <c r="AU387" s="17"/>
      <c r="AV387" s="17"/>
      <c r="AW387" s="85">
        <f t="shared" si="583"/>
        <v>0</v>
      </c>
      <c r="AX387" s="15"/>
      <c r="AY387" s="16">
        <v>2</v>
      </c>
      <c r="AZ387" s="17"/>
      <c r="BA387" s="17"/>
      <c r="BB387" s="85">
        <f t="shared" si="584"/>
        <v>2</v>
      </c>
      <c r="BC387" s="105">
        <f t="shared" si="585"/>
        <v>6</v>
      </c>
      <c r="BD387" s="114">
        <v>45761</v>
      </c>
    </row>
    <row r="388" spans="1:57" x14ac:dyDescent="0.15">
      <c r="A388" s="23" t="s">
        <v>420</v>
      </c>
      <c r="B388" s="15">
        <v>1</v>
      </c>
      <c r="C388" s="16">
        <v>1</v>
      </c>
      <c r="D388" s="17"/>
      <c r="E388" s="17"/>
      <c r="F388" s="85">
        <f t="shared" si="586"/>
        <v>2</v>
      </c>
      <c r="G388" s="15"/>
      <c r="H388" s="16"/>
      <c r="I388" s="17"/>
      <c r="J388" s="17"/>
      <c r="K388" s="85">
        <f t="shared" si="587"/>
        <v>0</v>
      </c>
      <c r="L388" s="15"/>
      <c r="M388" s="16"/>
      <c r="N388" s="17"/>
      <c r="O388" s="17"/>
      <c r="P388" s="85">
        <f t="shared" si="588"/>
        <v>0</v>
      </c>
      <c r="Q388" s="15">
        <v>1</v>
      </c>
      <c r="R388" s="16">
        <v>1</v>
      </c>
      <c r="S388" s="17"/>
      <c r="T388" s="17"/>
      <c r="U388" s="85">
        <f t="shared" si="589"/>
        <v>2</v>
      </c>
      <c r="V388" s="15"/>
      <c r="W388" s="16"/>
      <c r="X388" s="17"/>
      <c r="Y388" s="17"/>
      <c r="Z388" s="85">
        <f t="shared" si="590"/>
        <v>0</v>
      </c>
      <c r="AA388" s="105">
        <f t="shared" si="591"/>
        <v>4</v>
      </c>
      <c r="AB388" s="114">
        <v>45769</v>
      </c>
      <c r="AC388" s="53" t="s">
        <v>415</v>
      </c>
      <c r="AD388" s="15"/>
      <c r="AE388" s="16">
        <v>3</v>
      </c>
      <c r="AF388" s="17"/>
      <c r="AG388" s="17"/>
      <c r="AH388" s="85">
        <f t="shared" si="580"/>
        <v>3</v>
      </c>
      <c r="AI388" s="15"/>
      <c r="AJ388" s="16">
        <v>3</v>
      </c>
      <c r="AK388" s="17"/>
      <c r="AL388" s="17"/>
      <c r="AM388" s="85">
        <f t="shared" si="581"/>
        <v>3</v>
      </c>
      <c r="AN388" s="15"/>
      <c r="AO388" s="16"/>
      <c r="AP388" s="17"/>
      <c r="AQ388" s="17"/>
      <c r="AR388" s="85">
        <f t="shared" si="582"/>
        <v>0</v>
      </c>
      <c r="AS388" s="15"/>
      <c r="AT388" s="16"/>
      <c r="AU388" s="17"/>
      <c r="AV388" s="17"/>
      <c r="AW388" s="85">
        <f t="shared" si="583"/>
        <v>0</v>
      </c>
      <c r="AX388" s="15"/>
      <c r="AY388" s="16">
        <v>3</v>
      </c>
      <c r="AZ388" s="17"/>
      <c r="BA388" s="17"/>
      <c r="BB388" s="85">
        <f t="shared" si="584"/>
        <v>3</v>
      </c>
      <c r="BC388" s="105">
        <f t="shared" si="585"/>
        <v>9</v>
      </c>
      <c r="BD388" s="114">
        <v>45762</v>
      </c>
    </row>
    <row r="389" spans="1:57" x14ac:dyDescent="0.15">
      <c r="A389" s="54"/>
      <c r="B389" s="15"/>
      <c r="C389" s="16"/>
      <c r="D389" s="17"/>
      <c r="E389" s="17"/>
      <c r="F389" s="85">
        <f t="shared" si="586"/>
        <v>0</v>
      </c>
      <c r="G389" s="15"/>
      <c r="H389" s="16"/>
      <c r="I389" s="17"/>
      <c r="J389" s="17"/>
      <c r="K389" s="85">
        <f t="shared" si="587"/>
        <v>0</v>
      </c>
      <c r="L389" s="15"/>
      <c r="M389" s="16"/>
      <c r="N389" s="17"/>
      <c r="O389" s="17"/>
      <c r="P389" s="85">
        <f t="shared" si="588"/>
        <v>0</v>
      </c>
      <c r="Q389" s="15"/>
      <c r="R389" s="16"/>
      <c r="S389" s="17"/>
      <c r="T389" s="17"/>
      <c r="U389" s="85">
        <f t="shared" si="589"/>
        <v>0</v>
      </c>
      <c r="V389" s="15"/>
      <c r="W389" s="16"/>
      <c r="X389" s="17"/>
      <c r="Y389" s="17"/>
      <c r="Z389" s="85">
        <f t="shared" si="590"/>
        <v>0</v>
      </c>
      <c r="AA389" s="105">
        <f t="shared" si="591"/>
        <v>0</v>
      </c>
      <c r="AB389" s="76"/>
      <c r="AC389" s="53" t="s">
        <v>416</v>
      </c>
      <c r="AD389" s="15"/>
      <c r="AE389" s="16"/>
      <c r="AF389" s="17"/>
      <c r="AG389" s="17"/>
      <c r="AH389" s="85">
        <f t="shared" ref="AH389:AH390" si="614">SUM(AD389:AG389)</f>
        <v>0</v>
      </c>
      <c r="AI389" s="15"/>
      <c r="AJ389" s="16"/>
      <c r="AK389" s="17"/>
      <c r="AL389" s="17"/>
      <c r="AM389" s="85">
        <f t="shared" ref="AM389:AM390" si="615">SUM(AI389:AL389)</f>
        <v>0</v>
      </c>
      <c r="AN389" s="15"/>
      <c r="AO389" s="16">
        <v>3</v>
      </c>
      <c r="AP389" s="17"/>
      <c r="AQ389" s="17"/>
      <c r="AR389" s="85">
        <f t="shared" ref="AR389:AR390" si="616">SUM(AN389:AQ389)</f>
        <v>3</v>
      </c>
      <c r="AS389" s="15"/>
      <c r="AT389" s="16">
        <v>3</v>
      </c>
      <c r="AU389" s="17"/>
      <c r="AV389" s="17"/>
      <c r="AW389" s="85">
        <f t="shared" ref="AW389:AW390" si="617">SUM(AS389:AV389)</f>
        <v>3</v>
      </c>
      <c r="AX389" s="15"/>
      <c r="AY389" s="16">
        <v>3</v>
      </c>
      <c r="AZ389" s="17"/>
      <c r="BA389" s="17"/>
      <c r="BB389" s="85">
        <f t="shared" ref="BB389:BB390" si="618">SUM(AX389:BA389)</f>
        <v>3</v>
      </c>
      <c r="BC389" s="105">
        <f t="shared" ref="BC389:BC390" si="619">BB389+AW389+AR389+AM389+AH389</f>
        <v>9</v>
      </c>
      <c r="BD389" s="114">
        <v>45762</v>
      </c>
    </row>
    <row r="390" spans="1:57" x14ac:dyDescent="0.15">
      <c r="A390" s="23"/>
      <c r="B390" s="15"/>
      <c r="C390" s="16"/>
      <c r="D390" s="17"/>
      <c r="E390" s="17"/>
      <c r="F390" s="85">
        <f t="shared" si="586"/>
        <v>0</v>
      </c>
      <c r="G390" s="15"/>
      <c r="H390" s="16"/>
      <c r="I390" s="17"/>
      <c r="J390" s="17"/>
      <c r="K390" s="85">
        <f t="shared" si="587"/>
        <v>0</v>
      </c>
      <c r="L390" s="15"/>
      <c r="M390" s="16"/>
      <c r="N390" s="17"/>
      <c r="O390" s="17"/>
      <c r="P390" s="85">
        <f t="shared" si="588"/>
        <v>0</v>
      </c>
      <c r="Q390" s="15"/>
      <c r="R390" s="16"/>
      <c r="S390" s="17"/>
      <c r="T390" s="17"/>
      <c r="U390" s="85">
        <f t="shared" si="589"/>
        <v>0</v>
      </c>
      <c r="V390" s="15"/>
      <c r="W390" s="16"/>
      <c r="X390" s="17"/>
      <c r="Y390" s="17"/>
      <c r="Z390" s="85">
        <f t="shared" si="590"/>
        <v>0</v>
      </c>
      <c r="AA390" s="105">
        <f t="shared" si="591"/>
        <v>0</v>
      </c>
      <c r="AB390" s="76"/>
      <c r="AC390" s="193"/>
      <c r="AD390" s="74"/>
      <c r="AE390" s="75"/>
      <c r="AF390" s="100"/>
      <c r="AG390" s="100"/>
      <c r="AH390" s="85">
        <f t="shared" si="614"/>
        <v>0</v>
      </c>
      <c r="AI390" s="15"/>
      <c r="AJ390" s="16"/>
      <c r="AK390" s="17"/>
      <c r="AL390" s="17"/>
      <c r="AM390" s="85">
        <f t="shared" si="615"/>
        <v>0</v>
      </c>
      <c r="AN390" s="15"/>
      <c r="AO390" s="16"/>
      <c r="AP390" s="17"/>
      <c r="AQ390" s="17"/>
      <c r="AR390" s="85">
        <f t="shared" si="616"/>
        <v>0</v>
      </c>
      <c r="AS390" s="15"/>
      <c r="AT390" s="16"/>
      <c r="AU390" s="17"/>
      <c r="AV390" s="17"/>
      <c r="AW390" s="85">
        <f t="shared" si="617"/>
        <v>0</v>
      </c>
      <c r="AX390" s="15"/>
      <c r="AY390" s="16"/>
      <c r="AZ390" s="17"/>
      <c r="BA390" s="17"/>
      <c r="BB390" s="85">
        <f t="shared" si="618"/>
        <v>0</v>
      </c>
      <c r="BC390" s="105">
        <f t="shared" si="619"/>
        <v>0</v>
      </c>
    </row>
    <row r="391" spans="1:57" x14ac:dyDescent="0.15">
      <c r="A391" s="23"/>
      <c r="B391" s="15"/>
      <c r="C391" s="16"/>
      <c r="D391" s="17"/>
      <c r="E391" s="17"/>
      <c r="F391" s="85">
        <f t="shared" si="586"/>
        <v>0</v>
      </c>
      <c r="G391" s="15"/>
      <c r="H391" s="16"/>
      <c r="I391" s="17"/>
      <c r="J391" s="17"/>
      <c r="K391" s="85">
        <f t="shared" si="587"/>
        <v>0</v>
      </c>
      <c r="L391" s="15"/>
      <c r="M391" s="16"/>
      <c r="N391" s="17"/>
      <c r="O391" s="17"/>
      <c r="P391" s="85">
        <f t="shared" si="588"/>
        <v>0</v>
      </c>
      <c r="Q391" s="15"/>
      <c r="R391" s="16"/>
      <c r="S391" s="17"/>
      <c r="T391" s="17"/>
      <c r="U391" s="85">
        <f t="shared" si="589"/>
        <v>0</v>
      </c>
      <c r="V391" s="15"/>
      <c r="W391" s="16"/>
      <c r="X391" s="17"/>
      <c r="Y391" s="17"/>
      <c r="Z391" s="85">
        <f t="shared" si="590"/>
        <v>0</v>
      </c>
      <c r="AA391" s="105">
        <f t="shared" si="591"/>
        <v>0</v>
      </c>
      <c r="AB391" s="76"/>
      <c r="AC391" s="158" t="s">
        <v>385</v>
      </c>
      <c r="AD391" s="222"/>
      <c r="AE391" s="223"/>
      <c r="AF391" s="224"/>
      <c r="AG391" s="224"/>
      <c r="AH391" s="189">
        <f t="shared" ref="AH391:AH393" si="620">SUM(AD391:AG391)</f>
        <v>0</v>
      </c>
      <c r="AI391" s="222"/>
      <c r="AJ391" s="223"/>
      <c r="AK391" s="224"/>
      <c r="AL391" s="224"/>
      <c r="AM391" s="189">
        <f t="shared" ref="AM391:AM393" si="621">SUM(AI391:AL391)</f>
        <v>0</v>
      </c>
      <c r="AN391" s="222"/>
      <c r="AO391" s="223"/>
      <c r="AP391" s="224"/>
      <c r="AQ391" s="224"/>
      <c r="AR391" s="189">
        <f t="shared" ref="AR391:AR393" si="622">SUM(AN391:AQ391)</f>
        <v>0</v>
      </c>
      <c r="AS391" s="222"/>
      <c r="AT391" s="223"/>
      <c r="AU391" s="224"/>
      <c r="AV391" s="224"/>
      <c r="AW391" s="189">
        <f t="shared" ref="AW391:AW393" si="623">SUM(AS391:AV391)</f>
        <v>0</v>
      </c>
      <c r="AX391" s="222"/>
      <c r="AY391" s="223"/>
      <c r="AZ391" s="224"/>
      <c r="BA391" s="224"/>
      <c r="BB391" s="189">
        <f t="shared" ref="BB391:BB393" si="624">SUM(AX391:BA391)</f>
        <v>0</v>
      </c>
      <c r="BC391" s="190">
        <f t="shared" ref="BC391:BC393" si="625">BB391+AW391+AR391+AM391+AH391</f>
        <v>0</v>
      </c>
      <c r="BD391" s="159"/>
    </row>
    <row r="392" spans="1:57" x14ac:dyDescent="0.15">
      <c r="A392" s="23"/>
      <c r="B392" s="18"/>
      <c r="C392" s="19"/>
      <c r="D392" s="20"/>
      <c r="E392" s="20"/>
      <c r="F392" s="85">
        <f t="shared" si="586"/>
        <v>0</v>
      </c>
      <c r="G392" s="18"/>
      <c r="H392" s="19"/>
      <c r="I392" s="20"/>
      <c r="J392" s="20"/>
      <c r="K392" s="85">
        <f t="shared" si="587"/>
        <v>0</v>
      </c>
      <c r="L392" s="18"/>
      <c r="M392" s="19"/>
      <c r="N392" s="20"/>
      <c r="O392" s="20"/>
      <c r="P392" s="85">
        <f t="shared" si="588"/>
        <v>0</v>
      </c>
      <c r="Q392" s="18"/>
      <c r="R392" s="19"/>
      <c r="S392" s="20"/>
      <c r="T392" s="20"/>
      <c r="U392" s="85">
        <f t="shared" si="589"/>
        <v>0</v>
      </c>
      <c r="V392" s="18"/>
      <c r="W392" s="19"/>
      <c r="X392" s="20"/>
      <c r="Y392" s="20"/>
      <c r="Z392" s="85">
        <f t="shared" si="590"/>
        <v>0</v>
      </c>
      <c r="AA392" s="105">
        <f t="shared" si="591"/>
        <v>0</v>
      </c>
      <c r="AB392" s="76"/>
      <c r="AC392" s="53" t="s">
        <v>370</v>
      </c>
      <c r="AD392" s="16"/>
      <c r="AE392" s="16"/>
      <c r="AF392" s="17"/>
      <c r="AG392" s="17"/>
      <c r="AH392" s="85">
        <f t="shared" si="620"/>
        <v>0</v>
      </c>
      <c r="AI392" s="16"/>
      <c r="AJ392" s="16"/>
      <c r="AK392" s="17"/>
      <c r="AL392" s="17"/>
      <c r="AM392" s="85">
        <f t="shared" si="621"/>
        <v>0</v>
      </c>
      <c r="AN392" s="16"/>
      <c r="AO392" s="16"/>
      <c r="AP392" s="17"/>
      <c r="AQ392" s="17"/>
      <c r="AR392" s="85">
        <f t="shared" si="622"/>
        <v>0</v>
      </c>
      <c r="AS392" s="16"/>
      <c r="AT392" s="16"/>
      <c r="AU392" s="17"/>
      <c r="AV392" s="17"/>
      <c r="AW392" s="85">
        <f t="shared" si="623"/>
        <v>0</v>
      </c>
      <c r="AX392" s="16"/>
      <c r="AY392" s="16"/>
      <c r="AZ392" s="17"/>
      <c r="BA392" s="17"/>
      <c r="BB392" s="85">
        <f t="shared" si="624"/>
        <v>0</v>
      </c>
      <c r="BC392" s="105">
        <f t="shared" si="625"/>
        <v>0</v>
      </c>
      <c r="BD392" s="76" t="s">
        <v>368</v>
      </c>
    </row>
    <row r="393" spans="1:57" x14ac:dyDescent="0.15">
      <c r="A393" s="23"/>
      <c r="B393" s="16"/>
      <c r="C393" s="16"/>
      <c r="D393" s="17"/>
      <c r="E393" s="17"/>
      <c r="F393" s="85">
        <f t="shared" si="586"/>
        <v>0</v>
      </c>
      <c r="G393" s="16"/>
      <c r="H393" s="16"/>
      <c r="I393" s="17"/>
      <c r="J393" s="17"/>
      <c r="K393" s="85">
        <f t="shared" si="587"/>
        <v>0</v>
      </c>
      <c r="L393" s="16"/>
      <c r="M393" s="16"/>
      <c r="N393" s="17"/>
      <c r="O393" s="17"/>
      <c r="P393" s="85">
        <f t="shared" si="588"/>
        <v>0</v>
      </c>
      <c r="Q393" s="16"/>
      <c r="R393" s="16"/>
      <c r="S393" s="17"/>
      <c r="T393" s="17"/>
      <c r="U393" s="85">
        <f t="shared" si="589"/>
        <v>0</v>
      </c>
      <c r="V393" s="16"/>
      <c r="W393" s="16"/>
      <c r="X393" s="17"/>
      <c r="Y393" s="17"/>
      <c r="Z393" s="85">
        <f t="shared" si="590"/>
        <v>0</v>
      </c>
      <c r="AA393" s="105">
        <f t="shared" si="591"/>
        <v>0</v>
      </c>
      <c r="AC393" s="53" t="s">
        <v>369</v>
      </c>
      <c r="AD393" s="16"/>
      <c r="AE393" s="16"/>
      <c r="AF393" s="17"/>
      <c r="AG393" s="17"/>
      <c r="AH393" s="85">
        <f t="shared" si="620"/>
        <v>0</v>
      </c>
      <c r="AI393" s="16"/>
      <c r="AJ393" s="16"/>
      <c r="AK393" s="17"/>
      <c r="AL393" s="17"/>
      <c r="AM393" s="85">
        <f t="shared" si="621"/>
        <v>0</v>
      </c>
      <c r="AN393" s="16"/>
      <c r="AO393" s="16"/>
      <c r="AP393" s="17"/>
      <c r="AQ393" s="17"/>
      <c r="AR393" s="85">
        <f t="shared" si="622"/>
        <v>0</v>
      </c>
      <c r="AS393" s="16"/>
      <c r="AT393" s="16"/>
      <c r="AU393" s="17"/>
      <c r="AV393" s="17"/>
      <c r="AW393" s="85">
        <f t="shared" si="623"/>
        <v>0</v>
      </c>
      <c r="AX393" s="16"/>
      <c r="AY393" s="225"/>
      <c r="AZ393" s="17"/>
      <c r="BA393" s="17"/>
      <c r="BB393" s="85">
        <f t="shared" si="624"/>
        <v>0</v>
      </c>
      <c r="BC393" s="105">
        <f t="shared" si="625"/>
        <v>0</v>
      </c>
      <c r="BD393" s="76" t="s">
        <v>368</v>
      </c>
    </row>
    <row r="394" spans="1:57" x14ac:dyDescent="0.15">
      <c r="A394" s="23"/>
      <c r="B394" s="15"/>
      <c r="C394" s="25"/>
      <c r="D394" s="17"/>
      <c r="E394" s="17"/>
      <c r="F394" s="85">
        <f t="shared" si="586"/>
        <v>0</v>
      </c>
      <c r="G394" s="15"/>
      <c r="H394" s="25"/>
      <c r="I394" s="17"/>
      <c r="J394" s="17"/>
      <c r="K394" s="85">
        <f t="shared" si="587"/>
        <v>0</v>
      </c>
      <c r="L394" s="15"/>
      <c r="M394" s="25"/>
      <c r="N394" s="17"/>
      <c r="O394" s="17"/>
      <c r="P394" s="85">
        <f t="shared" si="588"/>
        <v>0</v>
      </c>
      <c r="Q394" s="15"/>
      <c r="R394" s="25"/>
      <c r="S394" s="17"/>
      <c r="T394" s="17"/>
      <c r="U394" s="85">
        <f t="shared" si="589"/>
        <v>0</v>
      </c>
      <c r="V394" s="15"/>
      <c r="W394" s="25"/>
      <c r="X394" s="17"/>
      <c r="Y394" s="17"/>
      <c r="Z394" s="85">
        <f t="shared" si="590"/>
        <v>0</v>
      </c>
      <c r="AA394" s="105">
        <f t="shared" si="591"/>
        <v>0</v>
      </c>
      <c r="AC394" s="139" t="s">
        <v>384</v>
      </c>
      <c r="AD394" s="142"/>
      <c r="AE394" s="142"/>
      <c r="AF394" s="161"/>
      <c r="AG394" s="161"/>
      <c r="AH394" s="189"/>
      <c r="AI394" s="142"/>
      <c r="AJ394" s="142"/>
      <c r="AK394" s="161"/>
      <c r="AL394" s="161"/>
      <c r="AM394" s="189"/>
      <c r="AN394" s="142"/>
      <c r="AO394" s="142"/>
      <c r="AP394" s="161"/>
      <c r="AQ394" s="161"/>
      <c r="AR394" s="189"/>
      <c r="AS394" s="142"/>
      <c r="AT394" s="142"/>
      <c r="AU394" s="161"/>
      <c r="AV394" s="161"/>
      <c r="AW394" s="189"/>
      <c r="AX394" s="142"/>
      <c r="AY394" s="142"/>
      <c r="AZ394" s="161"/>
      <c r="BA394" s="161"/>
      <c r="BB394" s="189">
        <f t="shared" si="584"/>
        <v>0</v>
      </c>
      <c r="BC394" s="190">
        <f t="shared" si="585"/>
        <v>0</v>
      </c>
      <c r="BD394" s="159"/>
    </row>
    <row r="395" spans="1:57" x14ac:dyDescent="0.15">
      <c r="A395" s="23"/>
      <c r="B395" s="15"/>
      <c r="C395" s="16"/>
      <c r="D395" s="16"/>
      <c r="E395" s="63"/>
      <c r="F395" s="85">
        <f t="shared" si="586"/>
        <v>0</v>
      </c>
      <c r="G395" s="15"/>
      <c r="H395" s="16"/>
      <c r="I395" s="16"/>
      <c r="J395" s="63"/>
      <c r="K395" s="85">
        <f t="shared" si="587"/>
        <v>0</v>
      </c>
      <c r="L395" s="15"/>
      <c r="M395" s="16"/>
      <c r="N395" s="16"/>
      <c r="O395" s="63"/>
      <c r="P395" s="85">
        <f t="shared" si="588"/>
        <v>0</v>
      </c>
      <c r="Q395" s="15"/>
      <c r="R395" s="16"/>
      <c r="S395" s="16"/>
      <c r="T395" s="63"/>
      <c r="U395" s="85">
        <f t="shared" si="589"/>
        <v>0</v>
      </c>
      <c r="V395" s="15"/>
      <c r="W395" s="16"/>
      <c r="X395" s="16"/>
      <c r="Y395" s="63"/>
      <c r="Z395" s="85">
        <f t="shared" si="590"/>
        <v>0</v>
      </c>
      <c r="AA395" s="105">
        <f t="shared" si="591"/>
        <v>0</v>
      </c>
      <c r="AC395" s="23" t="s">
        <v>366</v>
      </c>
      <c r="AD395" s="220"/>
      <c r="AE395" s="220"/>
      <c r="AF395" s="221"/>
      <c r="AG395" s="221"/>
      <c r="AH395" s="85"/>
      <c r="AI395" s="220"/>
      <c r="AJ395" s="220"/>
      <c r="AK395" s="221"/>
      <c r="AL395" s="221"/>
      <c r="AM395" s="85"/>
      <c r="AN395" s="16"/>
      <c r="AO395" s="16"/>
      <c r="AP395" s="17"/>
      <c r="AQ395" s="17"/>
      <c r="AR395" s="85"/>
      <c r="AS395" s="16"/>
      <c r="AT395" s="16"/>
      <c r="AU395" s="17"/>
      <c r="AV395" s="17"/>
      <c r="AW395" s="85"/>
      <c r="AX395" s="16"/>
      <c r="AY395" s="16"/>
      <c r="AZ395" s="17"/>
      <c r="BA395" s="17"/>
      <c r="BB395" s="85">
        <f t="shared" si="584"/>
        <v>0</v>
      </c>
      <c r="BC395" s="105">
        <f t="shared" si="585"/>
        <v>0</v>
      </c>
      <c r="BD395" s="76" t="s">
        <v>367</v>
      </c>
    </row>
    <row r="396" spans="1:57" ht="14.25" thickBot="1" x14ac:dyDescent="0.2">
      <c r="A396" s="23"/>
      <c r="B396" s="15"/>
      <c r="C396" s="16"/>
      <c r="D396" s="16"/>
      <c r="E396" s="63"/>
      <c r="F396" s="85">
        <f t="shared" si="586"/>
        <v>0</v>
      </c>
      <c r="G396" s="15"/>
      <c r="H396" s="16"/>
      <c r="I396" s="16"/>
      <c r="J396" s="63"/>
      <c r="K396" s="85">
        <f t="shared" si="587"/>
        <v>0</v>
      </c>
      <c r="L396" s="15"/>
      <c r="M396" s="16"/>
      <c r="N396" s="16"/>
      <c r="O396" s="63"/>
      <c r="P396" s="85">
        <f t="shared" si="588"/>
        <v>0</v>
      </c>
      <c r="Q396" s="15"/>
      <c r="R396" s="16"/>
      <c r="S396" s="16"/>
      <c r="T396" s="63"/>
      <c r="U396" s="85">
        <f t="shared" si="589"/>
        <v>0</v>
      </c>
      <c r="V396" s="15"/>
      <c r="W396" s="16"/>
      <c r="X396" s="16"/>
      <c r="Y396" s="63"/>
      <c r="Z396" s="85">
        <f t="shared" si="590"/>
        <v>0</v>
      </c>
      <c r="AA396" s="105">
        <f t="shared" si="591"/>
        <v>0</v>
      </c>
      <c r="AC396" s="23" t="s">
        <v>365</v>
      </c>
      <c r="AD396" s="16"/>
      <c r="AE396" s="16"/>
      <c r="AF396" s="17"/>
      <c r="AG396" s="17"/>
      <c r="AH396" s="85"/>
      <c r="AI396" s="16"/>
      <c r="AJ396" s="16"/>
      <c r="AK396" s="17"/>
      <c r="AL396" s="17"/>
      <c r="AM396" s="85"/>
      <c r="AN396" s="220"/>
      <c r="AO396" s="220"/>
      <c r="AP396" s="221"/>
      <c r="AQ396" s="221"/>
      <c r="AR396" s="85"/>
      <c r="AS396" s="220"/>
      <c r="AT396" s="220"/>
      <c r="AU396" s="221"/>
      <c r="AV396" s="221"/>
      <c r="AW396" s="85"/>
      <c r="AX396" s="16"/>
      <c r="AY396" s="16"/>
      <c r="AZ396" s="17"/>
      <c r="BA396" s="17"/>
      <c r="BB396" s="85">
        <f t="shared" ref="BB396" si="626">SUM(AX396:BA396)</f>
        <v>0</v>
      </c>
      <c r="BC396" s="105">
        <f t="shared" ref="BC396" si="627">BB396+AW396+AR396+AM396+AH396</f>
        <v>0</v>
      </c>
      <c r="BD396" s="76" t="s">
        <v>367</v>
      </c>
    </row>
    <row r="397" spans="1:57" ht="14.25" thickBot="1" x14ac:dyDescent="0.2">
      <c r="A397" s="27" t="s">
        <v>12</v>
      </c>
      <c r="B397" s="57">
        <f>SUM(B371:B396)</f>
        <v>7</v>
      </c>
      <c r="C397" s="50">
        <f t="shared" ref="C397:D397" si="628">SUM(C371:C396)</f>
        <v>5</v>
      </c>
      <c r="D397" s="50">
        <f t="shared" si="628"/>
        <v>2</v>
      </c>
      <c r="E397" s="50">
        <f>SUM(E371:E396)</f>
        <v>6</v>
      </c>
      <c r="F397" s="88">
        <f t="shared" si="586"/>
        <v>20</v>
      </c>
      <c r="G397" s="57">
        <f>SUM(G371:G396)</f>
        <v>3</v>
      </c>
      <c r="H397" s="50">
        <f t="shared" ref="H397:I397" si="629">SUM(H371:H396)</f>
        <v>4</v>
      </c>
      <c r="I397" s="50">
        <f t="shared" si="629"/>
        <v>2</v>
      </c>
      <c r="J397" s="50">
        <f>SUM(J371:J396)</f>
        <v>3</v>
      </c>
      <c r="K397" s="88">
        <f t="shared" si="587"/>
        <v>12</v>
      </c>
      <c r="L397" s="57">
        <f>SUM(L371:L396)</f>
        <v>3</v>
      </c>
      <c r="M397" s="50">
        <f t="shared" ref="M397:N397" si="630">SUM(M371:M396)</f>
        <v>9</v>
      </c>
      <c r="N397" s="50">
        <f t="shared" si="630"/>
        <v>2</v>
      </c>
      <c r="O397" s="50">
        <f>SUM(O371:O396)</f>
        <v>2</v>
      </c>
      <c r="P397" s="88">
        <f t="shared" si="588"/>
        <v>16</v>
      </c>
      <c r="Q397" s="57">
        <f>SUM(Q371:Q396)</f>
        <v>7</v>
      </c>
      <c r="R397" s="50">
        <f t="shared" ref="R397:S397" si="631">SUM(R371:R396)</f>
        <v>3</v>
      </c>
      <c r="S397" s="50">
        <f t="shared" si="631"/>
        <v>7</v>
      </c>
      <c r="T397" s="50">
        <f>SUM(T371:T396)</f>
        <v>2</v>
      </c>
      <c r="U397" s="88">
        <f t="shared" si="589"/>
        <v>19</v>
      </c>
      <c r="V397" s="57">
        <f>SUM(V371:V396)</f>
        <v>8</v>
      </c>
      <c r="W397" s="50">
        <f t="shared" ref="W397:X397" si="632">SUM(W371:W396)</f>
        <v>6</v>
      </c>
      <c r="X397" s="50">
        <f t="shared" si="632"/>
        <v>2</v>
      </c>
      <c r="Y397" s="50">
        <f>SUM(Y371:Y396)</f>
        <v>4</v>
      </c>
      <c r="Z397" s="88">
        <f t="shared" si="590"/>
        <v>20</v>
      </c>
      <c r="AA397" s="109">
        <f t="shared" si="591"/>
        <v>87</v>
      </c>
      <c r="AC397" s="27" t="s">
        <v>12</v>
      </c>
      <c r="AD397" s="57">
        <f>SUM(AD371:AD396)</f>
        <v>24</v>
      </c>
      <c r="AE397" s="50">
        <f t="shared" ref="AE397:AF397" si="633">SUM(AE371:AE396)</f>
        <v>17</v>
      </c>
      <c r="AF397" s="50">
        <f t="shared" si="633"/>
        <v>10</v>
      </c>
      <c r="AG397" s="50">
        <f>SUM(AG371:AG396)</f>
        <v>14</v>
      </c>
      <c r="AH397" s="88">
        <f t="shared" si="580"/>
        <v>65</v>
      </c>
      <c r="AI397" s="57">
        <f>SUM(AI371:AI396)</f>
        <v>25</v>
      </c>
      <c r="AJ397" s="50">
        <f t="shared" ref="AJ397:AK397" si="634">SUM(AJ371:AJ396)</f>
        <v>24</v>
      </c>
      <c r="AK397" s="50">
        <f t="shared" si="634"/>
        <v>10</v>
      </c>
      <c r="AL397" s="50">
        <f>SUM(AL371:AL396)</f>
        <v>20</v>
      </c>
      <c r="AM397" s="88">
        <f t="shared" si="581"/>
        <v>79</v>
      </c>
      <c r="AN397" s="57">
        <f>SUM(AN371:AN396)</f>
        <v>28</v>
      </c>
      <c r="AO397" s="50">
        <f t="shared" ref="AO397:AP397" si="635">SUM(AO371:AO396)</f>
        <v>27</v>
      </c>
      <c r="AP397" s="50">
        <f t="shared" si="635"/>
        <v>17</v>
      </c>
      <c r="AQ397" s="50">
        <f>SUM(AQ371:AQ396)</f>
        <v>19</v>
      </c>
      <c r="AR397" s="88">
        <f t="shared" si="582"/>
        <v>91</v>
      </c>
      <c r="AS397" s="57">
        <f>SUM(AS371:AS396)</f>
        <v>36</v>
      </c>
      <c r="AT397" s="50">
        <f t="shared" ref="AT397:AU397" si="636">SUM(AT371:AT396)</f>
        <v>28</v>
      </c>
      <c r="AU397" s="50">
        <f t="shared" si="636"/>
        <v>17</v>
      </c>
      <c r="AV397" s="50">
        <f>SUM(AV371:AV396)</f>
        <v>20</v>
      </c>
      <c r="AW397" s="88">
        <f t="shared" si="583"/>
        <v>101</v>
      </c>
      <c r="AX397" s="57">
        <f>SUM(AX371:AX396)</f>
        <v>55</v>
      </c>
      <c r="AY397" s="50">
        <f t="shared" ref="AY397:AZ397" si="637">SUM(AY371:AY396)</f>
        <v>44</v>
      </c>
      <c r="AZ397" s="50">
        <f t="shared" si="637"/>
        <v>27</v>
      </c>
      <c r="BA397" s="50">
        <f>SUM(BA371:BA396)</f>
        <v>31</v>
      </c>
      <c r="BB397" s="88">
        <f t="shared" si="584"/>
        <v>157</v>
      </c>
      <c r="BC397" s="109">
        <f t="shared" si="585"/>
        <v>493</v>
      </c>
    </row>
    <row r="398" spans="1:57" ht="14.25" thickBot="1" x14ac:dyDescent="0.2">
      <c r="A398" s="21" t="s">
        <v>13</v>
      </c>
      <c r="B398" s="101">
        <f>B370-B397</f>
        <v>4</v>
      </c>
      <c r="C398" s="8">
        <f t="shared" ref="C398:D398" si="638">C370-C397</f>
        <v>6</v>
      </c>
      <c r="D398" s="8">
        <f t="shared" si="638"/>
        <v>7</v>
      </c>
      <c r="E398" s="8">
        <f>E370-E397</f>
        <v>6</v>
      </c>
      <c r="F398" s="87">
        <f t="shared" si="586"/>
        <v>23</v>
      </c>
      <c r="G398" s="101">
        <f>G370-G397</f>
        <v>7</v>
      </c>
      <c r="H398" s="8">
        <f t="shared" ref="H398:I398" si="639">H370-H397</f>
        <v>4</v>
      </c>
      <c r="I398" s="8">
        <f t="shared" si="639"/>
        <v>7</v>
      </c>
      <c r="J398" s="8">
        <f>J370-J397</f>
        <v>8</v>
      </c>
      <c r="K398" s="87">
        <f t="shared" si="587"/>
        <v>26</v>
      </c>
      <c r="L398" s="101">
        <f>L370-L397</f>
        <v>6</v>
      </c>
      <c r="M398" s="8">
        <f t="shared" ref="M398:N398" si="640">M370-M397</f>
        <v>5</v>
      </c>
      <c r="N398" s="8">
        <f t="shared" si="640"/>
        <v>6</v>
      </c>
      <c r="O398" s="8">
        <f>O370-O397</f>
        <v>4</v>
      </c>
      <c r="P398" s="87">
        <f t="shared" si="588"/>
        <v>21</v>
      </c>
      <c r="Q398" s="101">
        <f>Q370-Q397</f>
        <v>4</v>
      </c>
      <c r="R398" s="8">
        <f t="shared" ref="R398:S398" si="641">R370-R397</f>
        <v>3</v>
      </c>
      <c r="S398" s="8">
        <f t="shared" si="641"/>
        <v>6</v>
      </c>
      <c r="T398" s="8">
        <f>T370-T397</f>
        <v>8</v>
      </c>
      <c r="U398" s="87">
        <f t="shared" si="589"/>
        <v>21</v>
      </c>
      <c r="V398" s="101">
        <f>V370-V397</f>
        <v>5</v>
      </c>
      <c r="W398" s="8">
        <f t="shared" ref="W398:X398" si="642">W370-W397</f>
        <v>5</v>
      </c>
      <c r="X398" s="8">
        <f t="shared" si="642"/>
        <v>6</v>
      </c>
      <c r="Y398" s="8">
        <f>Y370-Y397</f>
        <v>5</v>
      </c>
      <c r="Z398" s="87">
        <f t="shared" si="590"/>
        <v>21</v>
      </c>
      <c r="AA398" s="107">
        <f t="shared" si="591"/>
        <v>112</v>
      </c>
      <c r="AC398" s="29" t="s">
        <v>13</v>
      </c>
      <c r="AD398" s="32">
        <f>AD370-AD397</f>
        <v>552</v>
      </c>
      <c r="AE398" s="44">
        <f t="shared" ref="AE398:AF398" si="643">AE370-AE397</f>
        <v>528</v>
      </c>
      <c r="AF398" s="44">
        <f t="shared" si="643"/>
        <v>384</v>
      </c>
      <c r="AG398" s="44">
        <f>AG370-AG397</f>
        <v>432</v>
      </c>
      <c r="AH398" s="87">
        <f t="shared" si="580"/>
        <v>1896</v>
      </c>
      <c r="AI398" s="32">
        <f>AI370-AI397</f>
        <v>546</v>
      </c>
      <c r="AJ398" s="44">
        <f t="shared" ref="AJ398:AK398" si="644">AJ370-AJ397</f>
        <v>491</v>
      </c>
      <c r="AK398" s="44">
        <f t="shared" si="644"/>
        <v>381</v>
      </c>
      <c r="AL398" s="44">
        <f>AL370-AL397</f>
        <v>442</v>
      </c>
      <c r="AM398" s="87">
        <f t="shared" si="581"/>
        <v>1860</v>
      </c>
      <c r="AN398" s="32">
        <f>AN370-AN397</f>
        <v>478</v>
      </c>
      <c r="AO398" s="44">
        <f t="shared" ref="AO398:AP398" si="645">AO370-AO397</f>
        <v>438</v>
      </c>
      <c r="AP398" s="44">
        <f t="shared" si="645"/>
        <v>307</v>
      </c>
      <c r="AQ398" s="44">
        <f>AQ370-AQ397</f>
        <v>416</v>
      </c>
      <c r="AR398" s="87">
        <f t="shared" si="582"/>
        <v>1639</v>
      </c>
      <c r="AS398" s="32">
        <f>AS370-AS397</f>
        <v>60</v>
      </c>
      <c r="AT398" s="44">
        <f t="shared" ref="AT398:AU398" si="646">AT370-AT397</f>
        <v>344</v>
      </c>
      <c r="AU398" s="44">
        <f t="shared" si="646"/>
        <v>147</v>
      </c>
      <c r="AV398" s="44">
        <f>AV370-AV397</f>
        <v>569</v>
      </c>
      <c r="AW398" s="87">
        <f t="shared" si="583"/>
        <v>1120</v>
      </c>
      <c r="AX398" s="32">
        <f>AX370-AX397</f>
        <v>1074</v>
      </c>
      <c r="AY398" s="44">
        <f t="shared" ref="AY398:AZ398" si="647">AY370-AY397</f>
        <v>1125</v>
      </c>
      <c r="AZ398" s="44">
        <f t="shared" si="647"/>
        <v>587</v>
      </c>
      <c r="BA398" s="44">
        <f>BA370-BA397</f>
        <v>198</v>
      </c>
      <c r="BB398" s="87">
        <f t="shared" si="584"/>
        <v>2984</v>
      </c>
      <c r="BC398" s="107">
        <f t="shared" si="585"/>
        <v>9499</v>
      </c>
    </row>
    <row r="401" spans="1:56" ht="19.5" thickBot="1" x14ac:dyDescent="0.25">
      <c r="A401" s="271" t="s">
        <v>22</v>
      </c>
      <c r="B401" s="271"/>
      <c r="C401" s="271"/>
      <c r="D401" s="271"/>
      <c r="E401" s="271"/>
      <c r="F401" s="271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C401" s="79" t="s">
        <v>69</v>
      </c>
      <c r="AD401" s="79"/>
      <c r="AE401" s="79"/>
      <c r="AF401" s="79"/>
      <c r="AG401" s="79"/>
      <c r="AH401" s="79"/>
      <c r="AI401" s="93"/>
      <c r="AJ401" s="93"/>
      <c r="AK401" s="93"/>
      <c r="AL401" s="93"/>
      <c r="AM401" s="93"/>
      <c r="AN401" s="93"/>
      <c r="AO401" s="93"/>
      <c r="AP401" s="93"/>
      <c r="AQ401" s="93"/>
      <c r="AR401" s="93"/>
      <c r="AS401" s="93"/>
      <c r="AT401" s="78"/>
      <c r="AU401" s="78"/>
      <c r="AV401" s="78"/>
      <c r="AW401" s="78"/>
      <c r="AX401" s="78"/>
      <c r="AY401" s="78"/>
      <c r="AZ401" s="78"/>
      <c r="BA401" s="78"/>
      <c r="BB401" s="78"/>
      <c r="BC401" s="78"/>
    </row>
    <row r="402" spans="1:56" ht="14.25" thickBot="1" x14ac:dyDescent="0.2">
      <c r="A402" s="2" t="s">
        <v>0</v>
      </c>
      <c r="B402" s="256" t="s">
        <v>23</v>
      </c>
      <c r="C402" s="257"/>
      <c r="D402" s="257"/>
      <c r="E402" s="258"/>
      <c r="F402" s="81"/>
      <c r="G402" s="259" t="s">
        <v>24</v>
      </c>
      <c r="H402" s="260"/>
      <c r="I402" s="260"/>
      <c r="J402" s="261"/>
      <c r="K402" s="81"/>
      <c r="L402" s="262" t="s">
        <v>25</v>
      </c>
      <c r="M402" s="263"/>
      <c r="N402" s="263"/>
      <c r="O402" s="264"/>
      <c r="P402" s="81"/>
      <c r="Q402" s="265" t="s">
        <v>26</v>
      </c>
      <c r="R402" s="266"/>
      <c r="S402" s="266"/>
      <c r="T402" s="267"/>
      <c r="U402" s="81"/>
      <c r="V402" s="268" t="s">
        <v>27</v>
      </c>
      <c r="W402" s="269"/>
      <c r="X402" s="269"/>
      <c r="Y402" s="270"/>
      <c r="Z402" s="81"/>
      <c r="AA402" s="272" t="s">
        <v>6</v>
      </c>
      <c r="AC402" s="2" t="s">
        <v>0</v>
      </c>
      <c r="AD402" s="256" t="s">
        <v>23</v>
      </c>
      <c r="AE402" s="257"/>
      <c r="AF402" s="257"/>
      <c r="AG402" s="258"/>
      <c r="AH402" s="81"/>
      <c r="AI402" s="259" t="s">
        <v>24</v>
      </c>
      <c r="AJ402" s="260"/>
      <c r="AK402" s="260"/>
      <c r="AL402" s="261"/>
      <c r="AM402" s="81"/>
      <c r="AN402" s="262" t="s">
        <v>25</v>
      </c>
      <c r="AO402" s="263"/>
      <c r="AP402" s="263"/>
      <c r="AQ402" s="264"/>
      <c r="AR402" s="81"/>
      <c r="AS402" s="265" t="s">
        <v>26</v>
      </c>
      <c r="AT402" s="266"/>
      <c r="AU402" s="266"/>
      <c r="AV402" s="267"/>
      <c r="AW402" s="81"/>
      <c r="AX402" s="268" t="s">
        <v>27</v>
      </c>
      <c r="AY402" s="269"/>
      <c r="AZ402" s="269"/>
      <c r="BA402" s="270"/>
      <c r="BB402" s="81"/>
      <c r="BC402" s="183" t="s">
        <v>6</v>
      </c>
    </row>
    <row r="403" spans="1:56" ht="14.25" thickBot="1" x14ac:dyDescent="0.2">
      <c r="A403" s="2" t="s">
        <v>2</v>
      </c>
      <c r="B403" s="3" t="s">
        <v>3</v>
      </c>
      <c r="C403" s="4" t="s">
        <v>4</v>
      </c>
      <c r="D403" s="5" t="s">
        <v>5</v>
      </c>
      <c r="E403" s="5" t="s">
        <v>20</v>
      </c>
      <c r="F403" s="82" t="s">
        <v>6</v>
      </c>
      <c r="G403" s="89" t="s">
        <v>3</v>
      </c>
      <c r="H403" s="4" t="s">
        <v>4</v>
      </c>
      <c r="I403" s="5" t="s">
        <v>5</v>
      </c>
      <c r="J403" s="5" t="s">
        <v>20</v>
      </c>
      <c r="K403" s="82" t="s">
        <v>6</v>
      </c>
      <c r="L403" s="89" t="s">
        <v>3</v>
      </c>
      <c r="M403" s="4" t="s">
        <v>4</v>
      </c>
      <c r="N403" s="5" t="s">
        <v>5</v>
      </c>
      <c r="O403" s="5" t="s">
        <v>20</v>
      </c>
      <c r="P403" s="82" t="s">
        <v>6</v>
      </c>
      <c r="Q403" s="89" t="s">
        <v>3</v>
      </c>
      <c r="R403" s="4" t="s">
        <v>4</v>
      </c>
      <c r="S403" s="5" t="s">
        <v>5</v>
      </c>
      <c r="T403" s="5" t="s">
        <v>20</v>
      </c>
      <c r="U403" s="82" t="s">
        <v>6</v>
      </c>
      <c r="V403" s="89" t="s">
        <v>3</v>
      </c>
      <c r="W403" s="4" t="s">
        <v>4</v>
      </c>
      <c r="X403" s="5" t="s">
        <v>5</v>
      </c>
      <c r="Y403" s="5" t="s">
        <v>20</v>
      </c>
      <c r="Z403" s="82" t="s">
        <v>6</v>
      </c>
      <c r="AA403" s="273"/>
      <c r="AC403" s="2" t="s">
        <v>2</v>
      </c>
      <c r="AD403" s="3" t="s">
        <v>3</v>
      </c>
      <c r="AE403" s="4" t="s">
        <v>4</v>
      </c>
      <c r="AF403" s="5" t="s">
        <v>5</v>
      </c>
      <c r="AG403" s="5" t="s">
        <v>20</v>
      </c>
      <c r="AH403" s="82" t="s">
        <v>6</v>
      </c>
      <c r="AI403" s="89" t="s">
        <v>3</v>
      </c>
      <c r="AJ403" s="4" t="s">
        <v>4</v>
      </c>
      <c r="AK403" s="5" t="s">
        <v>5</v>
      </c>
      <c r="AL403" s="5" t="s">
        <v>20</v>
      </c>
      <c r="AM403" s="82" t="s">
        <v>6</v>
      </c>
      <c r="AN403" s="89" t="s">
        <v>3</v>
      </c>
      <c r="AO403" s="4" t="s">
        <v>4</v>
      </c>
      <c r="AP403" s="5" t="s">
        <v>5</v>
      </c>
      <c r="AQ403" s="5" t="s">
        <v>20</v>
      </c>
      <c r="AR403" s="82" t="s">
        <v>6</v>
      </c>
      <c r="AS403" s="89" t="s">
        <v>3</v>
      </c>
      <c r="AT403" s="4" t="s">
        <v>4</v>
      </c>
      <c r="AU403" s="5" t="s">
        <v>5</v>
      </c>
      <c r="AV403" s="5" t="s">
        <v>20</v>
      </c>
      <c r="AW403" s="82" t="s">
        <v>6</v>
      </c>
      <c r="AX403" s="89" t="s">
        <v>3</v>
      </c>
      <c r="AY403" s="4" t="s">
        <v>4</v>
      </c>
      <c r="AZ403" s="5" t="s">
        <v>5</v>
      </c>
      <c r="BA403" s="5" t="s">
        <v>20</v>
      </c>
      <c r="BB403" s="82" t="s">
        <v>6</v>
      </c>
      <c r="BC403" s="184"/>
    </row>
    <row r="404" spans="1:56" x14ac:dyDescent="0.15">
      <c r="A404" s="40" t="s">
        <v>13</v>
      </c>
      <c r="B404" s="41">
        <f>B398</f>
        <v>4</v>
      </c>
      <c r="C404" s="42">
        <f>C398</f>
        <v>6</v>
      </c>
      <c r="D404" s="42">
        <f t="shared" ref="D404:AA404" si="648">D398</f>
        <v>7</v>
      </c>
      <c r="E404" s="94">
        <f t="shared" si="648"/>
        <v>6</v>
      </c>
      <c r="F404" s="95">
        <f t="shared" si="648"/>
        <v>23</v>
      </c>
      <c r="G404" s="96">
        <f t="shared" si="648"/>
        <v>7</v>
      </c>
      <c r="H404" s="42">
        <f t="shared" si="648"/>
        <v>4</v>
      </c>
      <c r="I404" s="42">
        <f t="shared" si="648"/>
        <v>7</v>
      </c>
      <c r="J404" s="94">
        <f t="shared" si="648"/>
        <v>8</v>
      </c>
      <c r="K404" s="95">
        <f t="shared" si="648"/>
        <v>26</v>
      </c>
      <c r="L404" s="96">
        <f t="shared" si="648"/>
        <v>6</v>
      </c>
      <c r="M404" s="42">
        <f t="shared" si="648"/>
        <v>5</v>
      </c>
      <c r="N404" s="42">
        <f t="shared" si="648"/>
        <v>6</v>
      </c>
      <c r="O404" s="94">
        <f t="shared" si="648"/>
        <v>4</v>
      </c>
      <c r="P404" s="95">
        <f t="shared" si="648"/>
        <v>21</v>
      </c>
      <c r="Q404" s="96">
        <f t="shared" si="648"/>
        <v>4</v>
      </c>
      <c r="R404" s="42">
        <f t="shared" si="648"/>
        <v>3</v>
      </c>
      <c r="S404" s="42">
        <f t="shared" si="648"/>
        <v>6</v>
      </c>
      <c r="T404" s="94">
        <f t="shared" si="648"/>
        <v>8</v>
      </c>
      <c r="U404" s="95">
        <f t="shared" si="648"/>
        <v>21</v>
      </c>
      <c r="V404" s="96">
        <f t="shared" si="648"/>
        <v>5</v>
      </c>
      <c r="W404" s="42">
        <f t="shared" si="648"/>
        <v>5</v>
      </c>
      <c r="X404" s="42">
        <f t="shared" si="648"/>
        <v>6</v>
      </c>
      <c r="Y404" s="94">
        <f t="shared" si="648"/>
        <v>5</v>
      </c>
      <c r="Z404" s="95">
        <f t="shared" si="648"/>
        <v>21</v>
      </c>
      <c r="AA404" s="104">
        <f t="shared" si="648"/>
        <v>112</v>
      </c>
      <c r="AC404" s="131" t="s">
        <v>13</v>
      </c>
      <c r="AD404" s="96">
        <f>AD398</f>
        <v>552</v>
      </c>
      <c r="AE404" s="42">
        <f>AE398</f>
        <v>528</v>
      </c>
      <c r="AF404" s="42">
        <f t="shared" ref="AF404:BC404" si="649">AF398</f>
        <v>384</v>
      </c>
      <c r="AG404" s="94">
        <f t="shared" si="649"/>
        <v>432</v>
      </c>
      <c r="AH404" s="95">
        <f t="shared" si="649"/>
        <v>1896</v>
      </c>
      <c r="AI404" s="96">
        <f t="shared" si="649"/>
        <v>546</v>
      </c>
      <c r="AJ404" s="42">
        <f t="shared" si="649"/>
        <v>491</v>
      </c>
      <c r="AK404" s="42">
        <f t="shared" si="649"/>
        <v>381</v>
      </c>
      <c r="AL404" s="94">
        <f t="shared" si="649"/>
        <v>442</v>
      </c>
      <c r="AM404" s="95">
        <f t="shared" si="649"/>
        <v>1860</v>
      </c>
      <c r="AN404" s="96">
        <f t="shared" si="649"/>
        <v>478</v>
      </c>
      <c r="AO404" s="42">
        <f t="shared" si="649"/>
        <v>438</v>
      </c>
      <c r="AP404" s="42">
        <f t="shared" si="649"/>
        <v>307</v>
      </c>
      <c r="AQ404" s="94">
        <f t="shared" si="649"/>
        <v>416</v>
      </c>
      <c r="AR404" s="95">
        <f t="shared" si="649"/>
        <v>1639</v>
      </c>
      <c r="AS404" s="96">
        <f t="shared" si="649"/>
        <v>60</v>
      </c>
      <c r="AT404" s="42">
        <f t="shared" si="649"/>
        <v>344</v>
      </c>
      <c r="AU404" s="42">
        <f t="shared" si="649"/>
        <v>147</v>
      </c>
      <c r="AV404" s="94">
        <f t="shared" si="649"/>
        <v>569</v>
      </c>
      <c r="AW404" s="95">
        <f t="shared" si="649"/>
        <v>1120</v>
      </c>
      <c r="AX404" s="96">
        <f t="shared" si="649"/>
        <v>1074</v>
      </c>
      <c r="AY404" s="42">
        <f t="shared" si="649"/>
        <v>1125</v>
      </c>
      <c r="AZ404" s="42">
        <f t="shared" si="649"/>
        <v>587</v>
      </c>
      <c r="BA404" s="94">
        <f t="shared" si="649"/>
        <v>198</v>
      </c>
      <c r="BB404" s="95">
        <f t="shared" si="649"/>
        <v>2984</v>
      </c>
      <c r="BC404" s="104">
        <f t="shared" si="649"/>
        <v>9499</v>
      </c>
    </row>
    <row r="405" spans="1:56" x14ac:dyDescent="0.15">
      <c r="A405" s="9" t="s">
        <v>7</v>
      </c>
      <c r="B405" s="10">
        <v>5</v>
      </c>
      <c r="C405" s="11"/>
      <c r="D405" s="12"/>
      <c r="E405" s="12"/>
      <c r="F405" s="85">
        <f t="shared" ref="F405" si="650">SUM(B405:E405)</f>
        <v>5</v>
      </c>
      <c r="G405" s="90"/>
      <c r="H405" s="11"/>
      <c r="I405" s="12"/>
      <c r="J405" s="12"/>
      <c r="K405" s="85">
        <f t="shared" ref="K405" si="651">SUM(G405:J405)</f>
        <v>0</v>
      </c>
      <c r="L405" s="90"/>
      <c r="M405" s="11">
        <v>5</v>
      </c>
      <c r="N405" s="12"/>
      <c r="O405" s="12"/>
      <c r="P405" s="85">
        <f t="shared" ref="P405" si="652">SUM(L405:O405)</f>
        <v>5</v>
      </c>
      <c r="Q405" s="90">
        <v>5</v>
      </c>
      <c r="R405" s="11">
        <v>5</v>
      </c>
      <c r="S405" s="12"/>
      <c r="T405" s="12"/>
      <c r="U405" s="85">
        <f t="shared" ref="U405" si="653">SUM(Q405:T405)</f>
        <v>10</v>
      </c>
      <c r="V405" s="90">
        <v>5</v>
      </c>
      <c r="W405" s="11">
        <v>5</v>
      </c>
      <c r="X405" s="12"/>
      <c r="Y405" s="12"/>
      <c r="Z405" s="85">
        <f t="shared" ref="Z405" si="654">SUM(V405:Y405)</f>
        <v>10</v>
      </c>
      <c r="AA405" s="105">
        <f t="shared" ref="AA405" si="655">Z405+U405+P405+K405+F405</f>
        <v>30</v>
      </c>
      <c r="AB405" s="114">
        <v>45777</v>
      </c>
      <c r="AC405" s="117" t="s">
        <v>313</v>
      </c>
      <c r="AD405" s="90"/>
      <c r="AE405" s="11"/>
      <c r="AF405" s="12"/>
      <c r="AG405" s="12"/>
      <c r="AH405" s="84">
        <f t="shared" ref="AH405:AH438" si="656">SUM(AD405:AG405)</f>
        <v>0</v>
      </c>
      <c r="AI405" s="90"/>
      <c r="AJ405" s="11"/>
      <c r="AK405" s="12"/>
      <c r="AL405" s="12"/>
      <c r="AM405" s="84">
        <f t="shared" ref="AM405:AM438" si="657">SUM(AI405:AL405)</f>
        <v>0</v>
      </c>
      <c r="AN405" s="90"/>
      <c r="AO405" s="11"/>
      <c r="AP405" s="12"/>
      <c r="AQ405" s="12"/>
      <c r="AR405" s="84">
        <f t="shared" ref="AR405:AR438" si="658">SUM(AN405:AQ405)</f>
        <v>0</v>
      </c>
      <c r="AS405" s="90"/>
      <c r="AT405" s="11"/>
      <c r="AU405" s="12"/>
      <c r="AV405" s="12"/>
      <c r="AW405" s="84">
        <f t="shared" ref="AW405:AW438" si="659">SUM(AS405:AV405)</f>
        <v>0</v>
      </c>
      <c r="AX405" s="90"/>
      <c r="AY405" s="11"/>
      <c r="AZ405" s="12"/>
      <c r="BA405" s="12"/>
      <c r="BB405" s="84">
        <f t="shared" ref="BB405:BB438" si="660">SUM(AX405:BA405)</f>
        <v>0</v>
      </c>
      <c r="BC405" s="105">
        <f t="shared" ref="BC405:BC438" si="661">BB405+AW405+AR405+AM405+AH405</f>
        <v>0</v>
      </c>
      <c r="BD405" s="76"/>
    </row>
    <row r="406" spans="1:56" x14ac:dyDescent="0.15">
      <c r="A406" s="9" t="s">
        <v>8</v>
      </c>
      <c r="B406" s="10"/>
      <c r="C406" s="11"/>
      <c r="D406" s="12"/>
      <c r="E406" s="12"/>
      <c r="F406" s="85">
        <f t="shared" ref="F406:F438" si="662">SUM(B406:E406)</f>
        <v>0</v>
      </c>
      <c r="G406" s="90"/>
      <c r="H406" s="11"/>
      <c r="I406" s="12"/>
      <c r="J406" s="12"/>
      <c r="K406" s="85">
        <f t="shared" ref="K406:K438" si="663">SUM(G406:J406)</f>
        <v>0</v>
      </c>
      <c r="L406" s="90"/>
      <c r="M406" s="11"/>
      <c r="N406" s="12">
        <v>5</v>
      </c>
      <c r="O406" s="12"/>
      <c r="P406" s="85">
        <f t="shared" ref="P406:P438" si="664">SUM(L406:O406)</f>
        <v>5</v>
      </c>
      <c r="Q406" s="90"/>
      <c r="R406" s="11"/>
      <c r="S406" s="12"/>
      <c r="T406" s="12"/>
      <c r="U406" s="85">
        <f t="shared" ref="U406:U438" si="665">SUM(Q406:T406)</f>
        <v>0</v>
      </c>
      <c r="V406" s="90"/>
      <c r="W406" s="11"/>
      <c r="X406" s="12"/>
      <c r="Y406" s="12"/>
      <c r="Z406" s="85">
        <f t="shared" ref="Z406:Z438" si="666">SUM(V406:Y406)</f>
        <v>0</v>
      </c>
      <c r="AA406" s="105">
        <f t="shared" ref="AA406:AA438" si="667">Z406+U406+P406+K406+F406</f>
        <v>5</v>
      </c>
      <c r="AB406" s="114">
        <v>45791</v>
      </c>
      <c r="AC406" s="117" t="s">
        <v>355</v>
      </c>
      <c r="AD406" s="90"/>
      <c r="AE406" s="11"/>
      <c r="AF406" s="12"/>
      <c r="AG406" s="12"/>
      <c r="AH406" s="84">
        <f t="shared" si="656"/>
        <v>0</v>
      </c>
      <c r="AI406" s="90"/>
      <c r="AJ406" s="11"/>
      <c r="AK406" s="12"/>
      <c r="AL406" s="12"/>
      <c r="AM406" s="84">
        <f t="shared" si="657"/>
        <v>0</v>
      </c>
      <c r="AN406" s="90"/>
      <c r="AO406" s="11"/>
      <c r="AP406" s="12"/>
      <c r="AQ406" s="12"/>
      <c r="AR406" s="84">
        <f t="shared" si="658"/>
        <v>0</v>
      </c>
      <c r="AS406" s="90"/>
      <c r="AT406" s="11"/>
      <c r="AU406" s="12"/>
      <c r="AV406" s="12"/>
      <c r="AW406" s="84">
        <f t="shared" si="659"/>
        <v>0</v>
      </c>
      <c r="AX406" s="90"/>
      <c r="AY406" s="11"/>
      <c r="AZ406" s="12"/>
      <c r="BA406" s="12"/>
      <c r="BB406" s="84">
        <f t="shared" si="660"/>
        <v>0</v>
      </c>
      <c r="BC406" s="105">
        <f t="shared" si="661"/>
        <v>0</v>
      </c>
      <c r="BD406" s="76"/>
    </row>
    <row r="407" spans="1:56" x14ac:dyDescent="0.15">
      <c r="A407" s="9" t="s">
        <v>448</v>
      </c>
      <c r="B407" s="15">
        <v>1</v>
      </c>
      <c r="C407" s="16"/>
      <c r="D407" s="17"/>
      <c r="E407" s="17"/>
      <c r="F407" s="85">
        <f t="shared" si="662"/>
        <v>1</v>
      </c>
      <c r="G407" s="91">
        <v>1</v>
      </c>
      <c r="H407" s="16"/>
      <c r="I407" s="17"/>
      <c r="J407" s="17"/>
      <c r="K407" s="85">
        <f t="shared" si="663"/>
        <v>1</v>
      </c>
      <c r="L407" s="91"/>
      <c r="M407" s="16"/>
      <c r="N407" s="17"/>
      <c r="O407" s="17"/>
      <c r="P407" s="85">
        <f t="shared" si="664"/>
        <v>0</v>
      </c>
      <c r="Q407" s="91"/>
      <c r="R407" s="16"/>
      <c r="S407" s="17"/>
      <c r="T407" s="17"/>
      <c r="U407" s="85">
        <f t="shared" si="665"/>
        <v>0</v>
      </c>
      <c r="V407" s="91">
        <v>1</v>
      </c>
      <c r="W407" s="16"/>
      <c r="X407" s="17"/>
      <c r="Y407" s="17"/>
      <c r="Z407" s="85">
        <f t="shared" si="666"/>
        <v>1</v>
      </c>
      <c r="AA407" s="105">
        <f t="shared" si="667"/>
        <v>3</v>
      </c>
      <c r="AB407" s="114">
        <v>45796</v>
      </c>
      <c r="AC407" s="117" t="s">
        <v>354</v>
      </c>
      <c r="AD407" s="90"/>
      <c r="AE407" s="11"/>
      <c r="AF407" s="12"/>
      <c r="AG407" s="12"/>
      <c r="AH407" s="84">
        <f t="shared" si="656"/>
        <v>0</v>
      </c>
      <c r="AI407" s="90"/>
      <c r="AJ407" s="11"/>
      <c r="AK407" s="12"/>
      <c r="AL407" s="12"/>
      <c r="AM407" s="84">
        <f t="shared" si="657"/>
        <v>0</v>
      </c>
      <c r="AN407" s="90"/>
      <c r="AO407" s="11"/>
      <c r="AP407" s="12"/>
      <c r="AQ407" s="12"/>
      <c r="AR407" s="84">
        <f t="shared" si="658"/>
        <v>0</v>
      </c>
      <c r="AS407" s="90"/>
      <c r="AT407" s="11"/>
      <c r="AU407" s="12"/>
      <c r="AV407" s="12"/>
      <c r="AW407" s="84">
        <f t="shared" si="659"/>
        <v>0</v>
      </c>
      <c r="AX407" s="90"/>
      <c r="AY407" s="11"/>
      <c r="AZ407" s="12"/>
      <c r="BA407" s="12"/>
      <c r="BB407" s="84">
        <f t="shared" si="660"/>
        <v>0</v>
      </c>
      <c r="BC407" s="105">
        <f t="shared" si="661"/>
        <v>0</v>
      </c>
      <c r="BD407" s="76"/>
    </row>
    <row r="408" spans="1:56" x14ac:dyDescent="0.15">
      <c r="A408" s="9" t="s">
        <v>10</v>
      </c>
      <c r="B408" s="15"/>
      <c r="C408" s="16"/>
      <c r="D408" s="17"/>
      <c r="E408" s="17"/>
      <c r="F408" s="85">
        <f t="shared" si="662"/>
        <v>0</v>
      </c>
      <c r="G408" s="91"/>
      <c r="H408" s="16"/>
      <c r="I408" s="17"/>
      <c r="J408" s="17"/>
      <c r="K408" s="85">
        <f t="shared" si="663"/>
        <v>0</v>
      </c>
      <c r="L408" s="91">
        <v>5</v>
      </c>
      <c r="M408" s="16">
        <v>5</v>
      </c>
      <c r="N408" s="17"/>
      <c r="O408" s="17"/>
      <c r="P408" s="85">
        <f t="shared" si="664"/>
        <v>10</v>
      </c>
      <c r="Q408" s="91"/>
      <c r="R408" s="16"/>
      <c r="S408" s="17"/>
      <c r="T408" s="17"/>
      <c r="U408" s="85">
        <f t="shared" si="665"/>
        <v>0</v>
      </c>
      <c r="V408" s="91"/>
      <c r="W408" s="16"/>
      <c r="X408" s="17"/>
      <c r="Y408" s="17"/>
      <c r="Z408" s="85">
        <f t="shared" si="666"/>
        <v>0</v>
      </c>
      <c r="AA408" s="105">
        <f t="shared" si="667"/>
        <v>10</v>
      </c>
      <c r="AB408" s="114">
        <v>45803</v>
      </c>
      <c r="AC408" s="117" t="s">
        <v>10</v>
      </c>
      <c r="AD408" s="90"/>
      <c r="AE408" s="11"/>
      <c r="AF408" s="12"/>
      <c r="AG408" s="12"/>
      <c r="AH408" s="84">
        <f t="shared" si="656"/>
        <v>0</v>
      </c>
      <c r="AI408" s="90"/>
      <c r="AJ408" s="11"/>
      <c r="AK408" s="12"/>
      <c r="AL408" s="12"/>
      <c r="AM408" s="84">
        <f t="shared" si="657"/>
        <v>0</v>
      </c>
      <c r="AN408" s="90"/>
      <c r="AO408" s="11"/>
      <c r="AP408" s="12"/>
      <c r="AQ408" s="12"/>
      <c r="AR408" s="84">
        <f t="shared" si="658"/>
        <v>0</v>
      </c>
      <c r="AS408" s="90"/>
      <c r="AT408" s="11"/>
      <c r="AU408" s="12"/>
      <c r="AV408" s="12"/>
      <c r="AW408" s="84">
        <f t="shared" si="659"/>
        <v>0</v>
      </c>
      <c r="AX408" s="90"/>
      <c r="AY408" s="11"/>
      <c r="AZ408" s="12"/>
      <c r="BA408" s="12"/>
      <c r="BB408" s="84">
        <f t="shared" si="660"/>
        <v>0</v>
      </c>
      <c r="BC408" s="105">
        <f t="shared" si="661"/>
        <v>0</v>
      </c>
      <c r="BD408" s="76"/>
    </row>
    <row r="409" spans="1:56" ht="14.25" thickBot="1" x14ac:dyDescent="0.2">
      <c r="A409" s="9" t="s">
        <v>11</v>
      </c>
      <c r="B409" s="15"/>
      <c r="C409" s="16"/>
      <c r="D409" s="17"/>
      <c r="E409" s="17"/>
      <c r="F409" s="92">
        <f t="shared" si="662"/>
        <v>0</v>
      </c>
      <c r="G409" s="91"/>
      <c r="H409" s="16"/>
      <c r="I409" s="17"/>
      <c r="J409" s="17"/>
      <c r="K409" s="92">
        <f t="shared" si="663"/>
        <v>0</v>
      </c>
      <c r="L409" s="91"/>
      <c r="M409" s="16"/>
      <c r="N409" s="17"/>
      <c r="O409" s="17"/>
      <c r="P409" s="92">
        <f t="shared" si="664"/>
        <v>0</v>
      </c>
      <c r="Q409" s="91"/>
      <c r="R409" s="16"/>
      <c r="S409" s="17"/>
      <c r="T409" s="17"/>
      <c r="U409" s="92">
        <f t="shared" si="665"/>
        <v>0</v>
      </c>
      <c r="V409" s="91"/>
      <c r="W409" s="16"/>
      <c r="X409" s="17"/>
      <c r="Y409" s="17"/>
      <c r="Z409" s="92">
        <f t="shared" si="666"/>
        <v>0</v>
      </c>
      <c r="AA409" s="110">
        <f t="shared" si="667"/>
        <v>0</v>
      </c>
      <c r="AC409" s="117" t="s">
        <v>11</v>
      </c>
      <c r="AD409" s="90"/>
      <c r="AE409" s="11"/>
      <c r="AF409" s="12"/>
      <c r="AG409" s="12"/>
      <c r="AH409" s="84">
        <f t="shared" ref="AH409" si="668">SUM(AD409:AG409)</f>
        <v>0</v>
      </c>
      <c r="AI409" s="90"/>
      <c r="AJ409" s="11"/>
      <c r="AK409" s="12"/>
      <c r="AL409" s="12"/>
      <c r="AM409" s="84">
        <f t="shared" ref="AM409" si="669">SUM(AI409:AL409)</f>
        <v>0</v>
      </c>
      <c r="AN409" s="90"/>
      <c r="AO409" s="11"/>
      <c r="AP409" s="12"/>
      <c r="AQ409" s="12"/>
      <c r="AR409" s="84">
        <f t="shared" ref="AR409" si="670">SUM(AN409:AQ409)</f>
        <v>0</v>
      </c>
      <c r="AS409" s="90"/>
      <c r="AT409" s="11"/>
      <c r="AU409" s="12"/>
      <c r="AV409" s="12"/>
      <c r="AW409" s="84">
        <f t="shared" ref="AW409" si="671">SUM(AS409:AV409)</f>
        <v>0</v>
      </c>
      <c r="AX409" s="90"/>
      <c r="AY409" s="11"/>
      <c r="AZ409" s="12"/>
      <c r="BA409" s="12"/>
      <c r="BB409" s="84">
        <f t="shared" ref="BB409" si="672">SUM(AX409:BA409)</f>
        <v>0</v>
      </c>
      <c r="BC409" s="105">
        <f t="shared" ref="BC409" si="673">BB409+AW409+AR409+AM409+AH409</f>
        <v>0</v>
      </c>
      <c r="BD409" s="76"/>
    </row>
    <row r="410" spans="1:56" ht="14.25" thickBot="1" x14ac:dyDescent="0.2">
      <c r="A410" s="21" t="s">
        <v>16</v>
      </c>
      <c r="B410" s="7">
        <f>SUM(B404:B409)</f>
        <v>10</v>
      </c>
      <c r="C410" s="8">
        <f t="shared" ref="C410:E410" si="674">SUM(C404:C409)</f>
        <v>6</v>
      </c>
      <c r="D410" s="22">
        <f t="shared" si="674"/>
        <v>7</v>
      </c>
      <c r="E410" s="22">
        <f t="shared" si="674"/>
        <v>6</v>
      </c>
      <c r="F410" s="87">
        <f t="shared" si="662"/>
        <v>29</v>
      </c>
      <c r="G410" s="7">
        <f>SUM(G404:G409)</f>
        <v>8</v>
      </c>
      <c r="H410" s="8">
        <f t="shared" ref="H410:J410" si="675">SUM(H404:H409)</f>
        <v>4</v>
      </c>
      <c r="I410" s="22">
        <f t="shared" si="675"/>
        <v>7</v>
      </c>
      <c r="J410" s="22">
        <f t="shared" si="675"/>
        <v>8</v>
      </c>
      <c r="K410" s="87">
        <f t="shared" si="663"/>
        <v>27</v>
      </c>
      <c r="L410" s="7">
        <f>SUM(L404:L409)</f>
        <v>11</v>
      </c>
      <c r="M410" s="8">
        <f t="shared" ref="M410:O410" si="676">SUM(M404:M409)</f>
        <v>15</v>
      </c>
      <c r="N410" s="22">
        <f t="shared" si="676"/>
        <v>11</v>
      </c>
      <c r="O410" s="22">
        <f t="shared" si="676"/>
        <v>4</v>
      </c>
      <c r="P410" s="87">
        <f t="shared" si="664"/>
        <v>41</v>
      </c>
      <c r="Q410" s="7">
        <f>SUM(Q404:Q409)</f>
        <v>9</v>
      </c>
      <c r="R410" s="8">
        <f t="shared" ref="R410:T410" si="677">SUM(R404:R409)</f>
        <v>8</v>
      </c>
      <c r="S410" s="22">
        <f t="shared" si="677"/>
        <v>6</v>
      </c>
      <c r="T410" s="22">
        <f t="shared" si="677"/>
        <v>8</v>
      </c>
      <c r="U410" s="87">
        <f t="shared" si="665"/>
        <v>31</v>
      </c>
      <c r="V410" s="7">
        <f>SUM(V404:V409)</f>
        <v>11</v>
      </c>
      <c r="W410" s="8">
        <f t="shared" ref="W410:Y410" si="678">SUM(W404:W409)</f>
        <v>10</v>
      </c>
      <c r="X410" s="22">
        <f t="shared" si="678"/>
        <v>6</v>
      </c>
      <c r="Y410" s="22">
        <f t="shared" si="678"/>
        <v>5</v>
      </c>
      <c r="Z410" s="87">
        <f t="shared" si="666"/>
        <v>32</v>
      </c>
      <c r="AA410" s="107">
        <f t="shared" si="667"/>
        <v>160</v>
      </c>
      <c r="AC410" s="21" t="s">
        <v>16</v>
      </c>
      <c r="AD410" s="7">
        <f>SUM(AD404:AD409)</f>
        <v>552</v>
      </c>
      <c r="AE410" s="8">
        <f t="shared" ref="AE410:AG410" si="679">SUM(AE404:AE409)</f>
        <v>528</v>
      </c>
      <c r="AF410" s="22">
        <f t="shared" si="679"/>
        <v>384</v>
      </c>
      <c r="AG410" s="22">
        <f t="shared" si="679"/>
        <v>432</v>
      </c>
      <c r="AH410" s="87">
        <f t="shared" si="656"/>
        <v>1896</v>
      </c>
      <c r="AI410" s="7">
        <f>SUM(AI404:AI409)</f>
        <v>546</v>
      </c>
      <c r="AJ410" s="8">
        <f t="shared" ref="AJ410:AL410" si="680">SUM(AJ404:AJ409)</f>
        <v>491</v>
      </c>
      <c r="AK410" s="22">
        <f t="shared" si="680"/>
        <v>381</v>
      </c>
      <c r="AL410" s="22">
        <f t="shared" si="680"/>
        <v>442</v>
      </c>
      <c r="AM410" s="87">
        <f t="shared" si="657"/>
        <v>1860</v>
      </c>
      <c r="AN410" s="7">
        <f>SUM(AN404:AN409)</f>
        <v>478</v>
      </c>
      <c r="AO410" s="8">
        <f t="shared" ref="AO410:AQ410" si="681">SUM(AO404:AO409)</f>
        <v>438</v>
      </c>
      <c r="AP410" s="22">
        <f t="shared" si="681"/>
        <v>307</v>
      </c>
      <c r="AQ410" s="22">
        <f t="shared" si="681"/>
        <v>416</v>
      </c>
      <c r="AR410" s="87">
        <f t="shared" si="658"/>
        <v>1639</v>
      </c>
      <c r="AS410" s="7">
        <f>SUM(AS404:AS409)</f>
        <v>60</v>
      </c>
      <c r="AT410" s="8">
        <f t="shared" ref="AT410:AV410" si="682">SUM(AT404:AT409)</f>
        <v>344</v>
      </c>
      <c r="AU410" s="22">
        <f t="shared" si="682"/>
        <v>147</v>
      </c>
      <c r="AV410" s="22">
        <f t="shared" si="682"/>
        <v>569</v>
      </c>
      <c r="AW410" s="87">
        <f t="shared" si="659"/>
        <v>1120</v>
      </c>
      <c r="AX410" s="7">
        <f>SUM(AX404:AX409)</f>
        <v>1074</v>
      </c>
      <c r="AY410" s="8">
        <f t="shared" ref="AY410:BA410" si="683">SUM(AY404:AY409)</f>
        <v>1125</v>
      </c>
      <c r="AZ410" s="22">
        <f t="shared" si="683"/>
        <v>587</v>
      </c>
      <c r="BA410" s="22">
        <f t="shared" si="683"/>
        <v>198</v>
      </c>
      <c r="BB410" s="87">
        <f t="shared" si="660"/>
        <v>2984</v>
      </c>
      <c r="BC410" s="107">
        <f t="shared" si="661"/>
        <v>9499</v>
      </c>
    </row>
    <row r="411" spans="1:56" x14ac:dyDescent="0.15">
      <c r="A411" s="54" t="s">
        <v>418</v>
      </c>
      <c r="B411" s="15"/>
      <c r="C411" s="16"/>
      <c r="D411" s="17"/>
      <c r="E411" s="17">
        <v>1</v>
      </c>
      <c r="F411" s="85">
        <f t="shared" si="662"/>
        <v>1</v>
      </c>
      <c r="G411" s="15"/>
      <c r="H411" s="16"/>
      <c r="I411" s="17"/>
      <c r="J411" s="17"/>
      <c r="K411" s="85">
        <f t="shared" si="663"/>
        <v>0</v>
      </c>
      <c r="L411" s="15"/>
      <c r="M411" s="16">
        <v>4</v>
      </c>
      <c r="N411" s="17">
        <v>1</v>
      </c>
      <c r="O411" s="17"/>
      <c r="P411" s="85">
        <f t="shared" si="664"/>
        <v>5</v>
      </c>
      <c r="Q411" s="15"/>
      <c r="R411" s="16"/>
      <c r="S411" s="17"/>
      <c r="T411" s="17"/>
      <c r="U411" s="85">
        <f t="shared" si="665"/>
        <v>0</v>
      </c>
      <c r="V411" s="15"/>
      <c r="W411" s="16"/>
      <c r="X411" s="17"/>
      <c r="Y411" s="17"/>
      <c r="Z411" s="85">
        <f t="shared" si="666"/>
        <v>0</v>
      </c>
      <c r="AA411" s="105">
        <f t="shared" si="667"/>
        <v>6</v>
      </c>
      <c r="AB411" s="114">
        <v>45765</v>
      </c>
      <c r="AC411" s="53" t="s">
        <v>417</v>
      </c>
      <c r="AD411" s="15"/>
      <c r="AE411" s="16"/>
      <c r="AF411" s="17"/>
      <c r="AG411" s="17">
        <v>5</v>
      </c>
      <c r="AH411" s="85">
        <f t="shared" si="656"/>
        <v>5</v>
      </c>
      <c r="AI411" s="15"/>
      <c r="AJ411" s="16"/>
      <c r="AK411" s="17"/>
      <c r="AL411" s="17">
        <v>5</v>
      </c>
      <c r="AM411" s="85">
        <f t="shared" si="657"/>
        <v>5</v>
      </c>
      <c r="AN411" s="15"/>
      <c r="AO411" s="16"/>
      <c r="AP411" s="17"/>
      <c r="AQ411" s="17"/>
      <c r="AR411" s="85">
        <f t="shared" si="658"/>
        <v>0</v>
      </c>
      <c r="AS411" s="15"/>
      <c r="AT411" s="16"/>
      <c r="AU411" s="17"/>
      <c r="AV411" s="17"/>
      <c r="AW411" s="85">
        <f t="shared" si="659"/>
        <v>0</v>
      </c>
      <c r="AX411" s="15"/>
      <c r="AY411" s="16"/>
      <c r="AZ411" s="17"/>
      <c r="BA411" s="17">
        <v>5</v>
      </c>
      <c r="BB411" s="85">
        <f t="shared" si="660"/>
        <v>5</v>
      </c>
      <c r="BC411" s="105">
        <f t="shared" si="661"/>
        <v>15</v>
      </c>
      <c r="BD411" s="114">
        <v>45764</v>
      </c>
    </row>
    <row r="412" spans="1:56" x14ac:dyDescent="0.15">
      <c r="A412" s="23" t="s">
        <v>431</v>
      </c>
      <c r="B412" s="15"/>
      <c r="C412" s="16"/>
      <c r="D412" s="17"/>
      <c r="E412" s="17"/>
      <c r="F412" s="85">
        <f t="shared" ref="F412:F415" si="684">SUM(B412:E412)</f>
        <v>0</v>
      </c>
      <c r="G412" s="15"/>
      <c r="H412" s="16"/>
      <c r="I412" s="17"/>
      <c r="J412" s="17"/>
      <c r="K412" s="85">
        <f t="shared" ref="K412:K415" si="685">SUM(G412:J412)</f>
        <v>0</v>
      </c>
      <c r="L412" s="15">
        <v>1</v>
      </c>
      <c r="M412" s="16">
        <v>2</v>
      </c>
      <c r="N412" s="17"/>
      <c r="O412" s="17"/>
      <c r="P412" s="85">
        <f t="shared" ref="P412:P415" si="686">SUM(L412:O412)</f>
        <v>3</v>
      </c>
      <c r="Q412" s="15">
        <v>1</v>
      </c>
      <c r="R412" s="16">
        <v>2</v>
      </c>
      <c r="S412" s="17"/>
      <c r="T412" s="17"/>
      <c r="U412" s="85">
        <f t="shared" ref="U412:U415" si="687">SUM(Q412:T412)</f>
        <v>3</v>
      </c>
      <c r="V412" s="15">
        <v>1</v>
      </c>
      <c r="W412" s="16">
        <v>2</v>
      </c>
      <c r="X412" s="17"/>
      <c r="Y412" s="17"/>
      <c r="Z412" s="85">
        <f t="shared" ref="Z412:Z415" si="688">SUM(V412:Y412)</f>
        <v>3</v>
      </c>
      <c r="AA412" s="105">
        <f t="shared" ref="AA412:AA415" si="689">Z412+U412+P412+K412+F412</f>
        <v>9</v>
      </c>
      <c r="AB412" s="114">
        <v>45772</v>
      </c>
      <c r="AC412" s="53" t="s">
        <v>421</v>
      </c>
      <c r="AD412" s="15"/>
      <c r="AE412" s="16"/>
      <c r="AF412" s="17"/>
      <c r="AG412" s="17"/>
      <c r="AH412" s="85">
        <f t="shared" ref="AH412" si="690">SUM(AD412:AG412)</f>
        <v>0</v>
      </c>
      <c r="AI412" s="15"/>
      <c r="AJ412" s="16"/>
      <c r="AK412" s="17"/>
      <c r="AL412" s="17"/>
      <c r="AM412" s="85">
        <f t="shared" ref="AM412" si="691">SUM(AI412:AL412)</f>
        <v>0</v>
      </c>
      <c r="AN412" s="15">
        <v>5</v>
      </c>
      <c r="AO412" s="16"/>
      <c r="AP412" s="17"/>
      <c r="AQ412" s="17"/>
      <c r="AR412" s="85">
        <f t="shared" ref="AR412" si="692">SUM(AN412:AQ412)</f>
        <v>5</v>
      </c>
      <c r="AS412" s="15">
        <v>5</v>
      </c>
      <c r="AT412" s="16"/>
      <c r="AU412" s="17"/>
      <c r="AV412" s="17"/>
      <c r="AW412" s="85">
        <f t="shared" ref="AW412" si="693">SUM(AS412:AV412)</f>
        <v>5</v>
      </c>
      <c r="AX412" s="15">
        <v>5</v>
      </c>
      <c r="AY412" s="16"/>
      <c r="AZ412" s="17"/>
      <c r="BA412" s="17"/>
      <c r="BB412" s="85">
        <f t="shared" ref="BB412" si="694">SUM(AX412:BA412)</f>
        <v>5</v>
      </c>
      <c r="BC412" s="105">
        <f t="shared" ref="BC412" si="695">BB412+AW412+AR412+AM412+AH412</f>
        <v>15</v>
      </c>
      <c r="BD412" s="114">
        <v>45771</v>
      </c>
    </row>
    <row r="413" spans="1:56" x14ac:dyDescent="0.15">
      <c r="A413" s="23" t="s">
        <v>43</v>
      </c>
      <c r="B413" s="15">
        <v>1</v>
      </c>
      <c r="C413" s="16"/>
      <c r="D413" s="17"/>
      <c r="E413" s="17"/>
      <c r="F413" s="85">
        <f t="shared" si="684"/>
        <v>1</v>
      </c>
      <c r="G413" s="15">
        <v>1</v>
      </c>
      <c r="H413" s="16"/>
      <c r="I413" s="17"/>
      <c r="J413" s="17"/>
      <c r="K413" s="85">
        <f t="shared" si="685"/>
        <v>1</v>
      </c>
      <c r="L413" s="15">
        <v>1</v>
      </c>
      <c r="M413" s="16"/>
      <c r="N413" s="17"/>
      <c r="O413" s="17"/>
      <c r="P413" s="85">
        <f t="shared" si="686"/>
        <v>1</v>
      </c>
      <c r="Q413" s="15">
        <v>1</v>
      </c>
      <c r="R413" s="16"/>
      <c r="S413" s="17"/>
      <c r="T413" s="17"/>
      <c r="U413" s="85">
        <f t="shared" si="687"/>
        <v>1</v>
      </c>
      <c r="V413" s="15">
        <v>2</v>
      </c>
      <c r="W413" s="16"/>
      <c r="X413" s="17"/>
      <c r="Y413" s="17"/>
      <c r="Z413" s="85">
        <f t="shared" si="688"/>
        <v>2</v>
      </c>
      <c r="AA413" s="105">
        <f t="shared" si="689"/>
        <v>6</v>
      </c>
      <c r="AB413" s="115">
        <v>45772</v>
      </c>
      <c r="AC413" s="53" t="s">
        <v>422</v>
      </c>
      <c r="AD413" s="15"/>
      <c r="AE413" s="16">
        <v>4</v>
      </c>
      <c r="AF413" s="17"/>
      <c r="AG413" s="17"/>
      <c r="AH413" s="85">
        <f t="shared" si="656"/>
        <v>4</v>
      </c>
      <c r="AI413" s="15"/>
      <c r="AJ413" s="16">
        <v>4</v>
      </c>
      <c r="AK413" s="17"/>
      <c r="AL413" s="17"/>
      <c r="AM413" s="85">
        <f t="shared" si="657"/>
        <v>4</v>
      </c>
      <c r="AN413" s="15"/>
      <c r="AO413" s="16"/>
      <c r="AP413" s="17"/>
      <c r="AQ413" s="17"/>
      <c r="AR413" s="85">
        <f t="shared" si="658"/>
        <v>0</v>
      </c>
      <c r="AS413" s="15"/>
      <c r="AT413" s="16"/>
      <c r="AU413" s="17"/>
      <c r="AV413" s="17"/>
      <c r="AW413" s="85">
        <f t="shared" si="659"/>
        <v>0</v>
      </c>
      <c r="AX413" s="15"/>
      <c r="AY413" s="16">
        <v>4</v>
      </c>
      <c r="AZ413" s="17"/>
      <c r="BA413" s="17"/>
      <c r="BB413" s="85">
        <f t="shared" si="660"/>
        <v>4</v>
      </c>
      <c r="BC413" s="105">
        <f t="shared" si="661"/>
        <v>12</v>
      </c>
      <c r="BD413" s="114">
        <v>45772</v>
      </c>
    </row>
    <row r="414" spans="1:56" x14ac:dyDescent="0.15">
      <c r="A414" s="23" t="s">
        <v>434</v>
      </c>
      <c r="B414" s="15"/>
      <c r="C414" s="16"/>
      <c r="D414" s="17"/>
      <c r="E414" s="17"/>
      <c r="F414" s="85">
        <f t="shared" si="684"/>
        <v>0</v>
      </c>
      <c r="G414" s="15"/>
      <c r="H414" s="16"/>
      <c r="I414" s="17"/>
      <c r="J414" s="17"/>
      <c r="K414" s="85">
        <f t="shared" si="685"/>
        <v>0</v>
      </c>
      <c r="L414" s="15"/>
      <c r="M414" s="16"/>
      <c r="N414" s="17">
        <v>3</v>
      </c>
      <c r="O414" s="17"/>
      <c r="P414" s="85">
        <f t="shared" si="686"/>
        <v>3</v>
      </c>
      <c r="Q414" s="15"/>
      <c r="R414" s="16"/>
      <c r="S414" s="17"/>
      <c r="T414" s="17"/>
      <c r="U414" s="85">
        <f t="shared" si="687"/>
        <v>0</v>
      </c>
      <c r="V414" s="15"/>
      <c r="W414" s="16"/>
      <c r="X414" s="17"/>
      <c r="Y414" s="17"/>
      <c r="Z414" s="85">
        <f t="shared" si="688"/>
        <v>0</v>
      </c>
      <c r="AA414" s="105">
        <f t="shared" si="689"/>
        <v>3</v>
      </c>
      <c r="AB414" s="114">
        <v>45779</v>
      </c>
      <c r="AC414" s="53" t="s">
        <v>423</v>
      </c>
      <c r="AD414" s="15"/>
      <c r="AE414" s="16"/>
      <c r="AF414" s="17"/>
      <c r="AG414" s="17"/>
      <c r="AH414" s="85">
        <f t="shared" si="656"/>
        <v>0</v>
      </c>
      <c r="AI414" s="15"/>
      <c r="AJ414" s="16"/>
      <c r="AK414" s="17"/>
      <c r="AL414" s="17"/>
      <c r="AM414" s="85">
        <f t="shared" si="657"/>
        <v>0</v>
      </c>
      <c r="AN414" s="15"/>
      <c r="AO414" s="16"/>
      <c r="AP414" s="17">
        <v>2</v>
      </c>
      <c r="AQ414" s="17"/>
      <c r="AR414" s="85">
        <f t="shared" si="658"/>
        <v>2</v>
      </c>
      <c r="AS414" s="15"/>
      <c r="AT414" s="16"/>
      <c r="AU414" s="17">
        <v>2</v>
      </c>
      <c r="AV414" s="17"/>
      <c r="AW414" s="85">
        <f t="shared" si="659"/>
        <v>2</v>
      </c>
      <c r="AX414" s="15"/>
      <c r="AY414" s="16"/>
      <c r="AZ414" s="17">
        <v>2</v>
      </c>
      <c r="BA414" s="17"/>
      <c r="BB414" s="85">
        <f t="shared" si="660"/>
        <v>2</v>
      </c>
      <c r="BC414" s="105">
        <f t="shared" si="661"/>
        <v>6</v>
      </c>
      <c r="BD414" s="114">
        <v>45772</v>
      </c>
    </row>
    <row r="415" spans="1:56" x14ac:dyDescent="0.15">
      <c r="A415" s="23" t="s">
        <v>43</v>
      </c>
      <c r="B415" s="15"/>
      <c r="C415" s="16"/>
      <c r="D415" s="17"/>
      <c r="E415" s="17"/>
      <c r="F415" s="85">
        <f t="shared" si="684"/>
        <v>0</v>
      </c>
      <c r="G415" s="15"/>
      <c r="H415" s="16"/>
      <c r="I415" s="17"/>
      <c r="J415" s="17"/>
      <c r="K415" s="85">
        <f t="shared" si="685"/>
        <v>0</v>
      </c>
      <c r="L415" s="15"/>
      <c r="M415" s="16"/>
      <c r="N415" s="17">
        <v>2</v>
      </c>
      <c r="O415" s="17"/>
      <c r="P415" s="85">
        <f t="shared" si="686"/>
        <v>2</v>
      </c>
      <c r="Q415" s="15"/>
      <c r="R415" s="16">
        <v>1</v>
      </c>
      <c r="S415" s="17">
        <v>1</v>
      </c>
      <c r="T415" s="17"/>
      <c r="U415" s="85">
        <f t="shared" si="687"/>
        <v>2</v>
      </c>
      <c r="V415" s="15">
        <v>2</v>
      </c>
      <c r="W415" s="16"/>
      <c r="X415" s="17">
        <v>1</v>
      </c>
      <c r="Y415" s="17"/>
      <c r="Z415" s="85">
        <f t="shared" si="688"/>
        <v>3</v>
      </c>
      <c r="AA415" s="105">
        <f t="shared" si="689"/>
        <v>7</v>
      </c>
      <c r="AB415" s="114">
        <v>45789</v>
      </c>
      <c r="AC415" s="23" t="s">
        <v>424</v>
      </c>
      <c r="AD415" s="15"/>
      <c r="AE415" s="16"/>
      <c r="AF415" s="17"/>
      <c r="AG415" s="17"/>
      <c r="AH415" s="85">
        <f t="shared" si="656"/>
        <v>0</v>
      </c>
      <c r="AI415" s="15">
        <v>2</v>
      </c>
      <c r="AJ415" s="16"/>
      <c r="AK415" s="17"/>
      <c r="AL415" s="17"/>
      <c r="AM415" s="85">
        <f t="shared" si="657"/>
        <v>2</v>
      </c>
      <c r="AN415" s="15">
        <v>1</v>
      </c>
      <c r="AO415" s="16"/>
      <c r="AP415" s="17"/>
      <c r="AQ415" s="17"/>
      <c r="AR415" s="85">
        <f t="shared" si="658"/>
        <v>1</v>
      </c>
      <c r="AS415" s="15"/>
      <c r="AT415" s="16"/>
      <c r="AU415" s="17"/>
      <c r="AV415" s="17"/>
      <c r="AW415" s="85">
        <f t="shared" si="659"/>
        <v>0</v>
      </c>
      <c r="AX415" s="15">
        <v>1</v>
      </c>
      <c r="AY415" s="16"/>
      <c r="AZ415" s="17"/>
      <c r="BA415" s="17"/>
      <c r="BB415" s="85">
        <f t="shared" si="660"/>
        <v>1</v>
      </c>
      <c r="BC415" s="105">
        <f t="shared" si="661"/>
        <v>4</v>
      </c>
      <c r="BD415" s="114">
        <v>45775</v>
      </c>
    </row>
    <row r="416" spans="1:56" x14ac:dyDescent="0.15">
      <c r="A416" s="23" t="s">
        <v>43</v>
      </c>
      <c r="B416" s="15"/>
      <c r="C416" s="16"/>
      <c r="D416" s="17"/>
      <c r="E416" s="17"/>
      <c r="F416" s="85">
        <f t="shared" si="662"/>
        <v>0</v>
      </c>
      <c r="G416" s="15"/>
      <c r="H416" s="16"/>
      <c r="I416" s="17">
        <v>1</v>
      </c>
      <c r="J416" s="17"/>
      <c r="K416" s="85">
        <f t="shared" si="663"/>
        <v>1</v>
      </c>
      <c r="L416" s="15"/>
      <c r="M416" s="16">
        <v>1</v>
      </c>
      <c r="N416" s="17"/>
      <c r="O416" s="17"/>
      <c r="P416" s="85">
        <f t="shared" si="664"/>
        <v>1</v>
      </c>
      <c r="Q416" s="15"/>
      <c r="R416" s="16">
        <v>1</v>
      </c>
      <c r="S416" s="17"/>
      <c r="T416" s="17"/>
      <c r="U416" s="85">
        <f t="shared" si="665"/>
        <v>1</v>
      </c>
      <c r="V416" s="15"/>
      <c r="W416" s="16">
        <v>1</v>
      </c>
      <c r="X416" s="17"/>
      <c r="Y416" s="17"/>
      <c r="Z416" s="85">
        <f t="shared" si="666"/>
        <v>1</v>
      </c>
      <c r="AA416" s="105">
        <f t="shared" si="667"/>
        <v>4</v>
      </c>
      <c r="AB416" s="114">
        <v>45791</v>
      </c>
      <c r="AC416" s="53" t="s">
        <v>425</v>
      </c>
      <c r="AD416" s="15"/>
      <c r="AE416" s="16">
        <v>4</v>
      </c>
      <c r="AF416" s="17"/>
      <c r="AG416" s="17"/>
      <c r="AH416" s="85">
        <f t="shared" si="656"/>
        <v>4</v>
      </c>
      <c r="AI416" s="15"/>
      <c r="AJ416" s="16">
        <v>4</v>
      </c>
      <c r="AK416" s="17"/>
      <c r="AL416" s="17"/>
      <c r="AM416" s="85">
        <f t="shared" si="657"/>
        <v>4</v>
      </c>
      <c r="AN416" s="15"/>
      <c r="AO416" s="16"/>
      <c r="AP416" s="17"/>
      <c r="AQ416" s="17"/>
      <c r="AR416" s="85">
        <f t="shared" si="658"/>
        <v>0</v>
      </c>
      <c r="AS416" s="15"/>
      <c r="AT416" s="16"/>
      <c r="AU416" s="17"/>
      <c r="AV416" s="17"/>
      <c r="AW416" s="85">
        <f t="shared" si="659"/>
        <v>0</v>
      </c>
      <c r="AX416" s="15"/>
      <c r="AY416" s="16">
        <v>4</v>
      </c>
      <c r="AZ416" s="17"/>
      <c r="BA416" s="17"/>
      <c r="BB416" s="85">
        <f t="shared" si="660"/>
        <v>4</v>
      </c>
      <c r="BC416" s="105">
        <f t="shared" si="661"/>
        <v>12</v>
      </c>
      <c r="BD416" s="114">
        <v>45775</v>
      </c>
    </row>
    <row r="417" spans="1:56" x14ac:dyDescent="0.15">
      <c r="A417" s="23" t="s">
        <v>43</v>
      </c>
      <c r="B417" s="15"/>
      <c r="C417" s="16"/>
      <c r="D417" s="17"/>
      <c r="E417" s="17"/>
      <c r="F417" s="85">
        <f t="shared" si="662"/>
        <v>0</v>
      </c>
      <c r="G417" s="15"/>
      <c r="H417" s="16"/>
      <c r="I417" s="17"/>
      <c r="J417" s="17"/>
      <c r="K417" s="85">
        <f t="shared" si="663"/>
        <v>0</v>
      </c>
      <c r="L417" s="15"/>
      <c r="M417" s="16"/>
      <c r="N417" s="17"/>
      <c r="O417" s="17"/>
      <c r="P417" s="85">
        <f t="shared" si="664"/>
        <v>0</v>
      </c>
      <c r="Q417" s="15"/>
      <c r="R417" s="16"/>
      <c r="S417" s="17"/>
      <c r="T417" s="17">
        <v>1</v>
      </c>
      <c r="U417" s="85">
        <f t="shared" si="665"/>
        <v>1</v>
      </c>
      <c r="V417" s="15"/>
      <c r="W417" s="16"/>
      <c r="X417" s="17"/>
      <c r="Y417" s="17"/>
      <c r="Z417" s="85">
        <f t="shared" si="666"/>
        <v>0</v>
      </c>
      <c r="AA417" s="105">
        <f t="shared" si="667"/>
        <v>1</v>
      </c>
      <c r="AB417" s="115">
        <v>45793</v>
      </c>
      <c r="AC417" s="53" t="s">
        <v>426</v>
      </c>
      <c r="AD417" s="15"/>
      <c r="AE417" s="16"/>
      <c r="AF417" s="17"/>
      <c r="AG417" s="17"/>
      <c r="AH417" s="85">
        <f t="shared" si="656"/>
        <v>0</v>
      </c>
      <c r="AI417" s="15"/>
      <c r="AJ417" s="16"/>
      <c r="AK417" s="17"/>
      <c r="AL417" s="17"/>
      <c r="AM417" s="85">
        <f t="shared" si="657"/>
        <v>0</v>
      </c>
      <c r="AN417" s="15"/>
      <c r="AO417" s="16">
        <v>2</v>
      </c>
      <c r="AP417" s="17"/>
      <c r="AQ417" s="17"/>
      <c r="AR417" s="85">
        <f t="shared" si="658"/>
        <v>2</v>
      </c>
      <c r="AS417" s="15"/>
      <c r="AT417" s="16">
        <v>2</v>
      </c>
      <c r="AU417" s="17"/>
      <c r="AV417" s="17"/>
      <c r="AW417" s="85">
        <f t="shared" si="659"/>
        <v>2</v>
      </c>
      <c r="AX417" s="15"/>
      <c r="AY417" s="16">
        <v>2</v>
      </c>
      <c r="AZ417" s="17"/>
      <c r="BA417" s="17"/>
      <c r="BB417" s="85">
        <f t="shared" si="660"/>
        <v>2</v>
      </c>
      <c r="BC417" s="105">
        <f t="shared" si="661"/>
        <v>6</v>
      </c>
      <c r="BD417" s="114">
        <v>45775</v>
      </c>
    </row>
    <row r="418" spans="1:56" x14ac:dyDescent="0.15">
      <c r="A418" s="23" t="s">
        <v>43</v>
      </c>
      <c r="B418" s="15">
        <v>1</v>
      </c>
      <c r="C418" s="16"/>
      <c r="D418" s="17"/>
      <c r="E418" s="17"/>
      <c r="F418" s="85">
        <f t="shared" si="662"/>
        <v>1</v>
      </c>
      <c r="G418" s="15">
        <v>1</v>
      </c>
      <c r="H418" s="16"/>
      <c r="I418" s="17"/>
      <c r="J418" s="17"/>
      <c r="K418" s="85">
        <f t="shared" si="663"/>
        <v>1</v>
      </c>
      <c r="L418" s="15">
        <v>1</v>
      </c>
      <c r="M418" s="16"/>
      <c r="N418" s="17"/>
      <c r="O418" s="17"/>
      <c r="P418" s="85">
        <f t="shared" si="664"/>
        <v>1</v>
      </c>
      <c r="Q418" s="15">
        <v>1</v>
      </c>
      <c r="R418" s="16"/>
      <c r="S418" s="17"/>
      <c r="T418" s="17"/>
      <c r="U418" s="85">
        <f t="shared" si="665"/>
        <v>1</v>
      </c>
      <c r="V418" s="15">
        <v>1</v>
      </c>
      <c r="W418" s="16"/>
      <c r="X418" s="17"/>
      <c r="Y418" s="17"/>
      <c r="Z418" s="85">
        <f t="shared" si="666"/>
        <v>1</v>
      </c>
      <c r="AA418" s="105">
        <f t="shared" si="667"/>
        <v>5</v>
      </c>
      <c r="AB418" s="115">
        <v>45796</v>
      </c>
      <c r="AC418" s="53" t="s">
        <v>432</v>
      </c>
      <c r="AD418" s="15">
        <v>4</v>
      </c>
      <c r="AE418" s="16">
        <v>5</v>
      </c>
      <c r="AF418" s="17">
        <v>2</v>
      </c>
      <c r="AG418" s="17"/>
      <c r="AH418" s="85">
        <f t="shared" ref="AH418:AH421" si="696">SUM(AD418:AG418)</f>
        <v>11</v>
      </c>
      <c r="AI418" s="15">
        <v>4</v>
      </c>
      <c r="AJ418" s="16">
        <v>5</v>
      </c>
      <c r="AK418" s="17">
        <v>2</v>
      </c>
      <c r="AL418" s="17"/>
      <c r="AM418" s="85">
        <f t="shared" ref="AM418:AM421" si="697">SUM(AI418:AL418)</f>
        <v>11</v>
      </c>
      <c r="AN418" s="15"/>
      <c r="AO418" s="16"/>
      <c r="AP418" s="17"/>
      <c r="AQ418" s="17"/>
      <c r="AR418" s="85">
        <f t="shared" ref="AR418:AR421" si="698">SUM(AN418:AQ418)</f>
        <v>0</v>
      </c>
      <c r="AS418" s="15"/>
      <c r="AT418" s="16"/>
      <c r="AU418" s="17"/>
      <c r="AV418" s="17"/>
      <c r="AW418" s="85">
        <f t="shared" ref="AW418:AW421" si="699">SUM(AS418:AV418)</f>
        <v>0</v>
      </c>
      <c r="AX418" s="15">
        <v>4</v>
      </c>
      <c r="AY418" s="16">
        <v>5</v>
      </c>
      <c r="AZ418" s="17">
        <v>2</v>
      </c>
      <c r="BA418" s="17"/>
      <c r="BB418" s="85">
        <f t="shared" ref="BB418:BB421" si="700">SUM(AX418:BA418)</f>
        <v>11</v>
      </c>
      <c r="BC418" s="105">
        <f t="shared" ref="BC418:BC421" si="701">BB418+AW418+AR418+AM418+AH418</f>
        <v>33</v>
      </c>
      <c r="BD418" s="114">
        <v>45779</v>
      </c>
    </row>
    <row r="419" spans="1:56" x14ac:dyDescent="0.15">
      <c r="A419" s="23" t="s">
        <v>43</v>
      </c>
      <c r="B419" s="15"/>
      <c r="C419" s="16"/>
      <c r="D419" s="17"/>
      <c r="E419" s="17"/>
      <c r="F419" s="85">
        <f t="shared" si="662"/>
        <v>0</v>
      </c>
      <c r="G419" s="15"/>
      <c r="H419" s="16"/>
      <c r="I419" s="17"/>
      <c r="J419" s="17"/>
      <c r="K419" s="85">
        <f t="shared" si="663"/>
        <v>0</v>
      </c>
      <c r="L419" s="15">
        <v>1</v>
      </c>
      <c r="M419" s="16"/>
      <c r="N419" s="17"/>
      <c r="O419" s="17"/>
      <c r="P419" s="85">
        <f t="shared" si="664"/>
        <v>1</v>
      </c>
      <c r="Q419" s="15">
        <v>1</v>
      </c>
      <c r="R419" s="16"/>
      <c r="S419" s="17"/>
      <c r="T419" s="17"/>
      <c r="U419" s="85">
        <f t="shared" si="665"/>
        <v>1</v>
      </c>
      <c r="V419" s="15">
        <v>1</v>
      </c>
      <c r="W419" s="16"/>
      <c r="X419" s="17"/>
      <c r="Y419" s="17"/>
      <c r="Z419" s="85">
        <f t="shared" si="666"/>
        <v>1</v>
      </c>
      <c r="AA419" s="105">
        <f t="shared" si="667"/>
        <v>3</v>
      </c>
      <c r="AB419" s="115">
        <v>45800</v>
      </c>
      <c r="AC419" s="53" t="s">
        <v>433</v>
      </c>
      <c r="AD419" s="18"/>
      <c r="AE419" s="19"/>
      <c r="AF419" s="20"/>
      <c r="AG419" s="20"/>
      <c r="AH419" s="85">
        <f t="shared" si="696"/>
        <v>0</v>
      </c>
      <c r="AI419" s="18"/>
      <c r="AJ419" s="19"/>
      <c r="AK419" s="20"/>
      <c r="AL419" s="20"/>
      <c r="AM419" s="85">
        <f t="shared" si="697"/>
        <v>0</v>
      </c>
      <c r="AN419" s="18">
        <v>12</v>
      </c>
      <c r="AO419" s="19">
        <v>11</v>
      </c>
      <c r="AP419" s="20">
        <v>11</v>
      </c>
      <c r="AQ419" s="20">
        <v>2</v>
      </c>
      <c r="AR419" s="85">
        <f t="shared" si="698"/>
        <v>36</v>
      </c>
      <c r="AS419" s="18">
        <v>12</v>
      </c>
      <c r="AT419" s="19">
        <v>11</v>
      </c>
      <c r="AU419" s="20">
        <v>11</v>
      </c>
      <c r="AV419" s="20">
        <v>2</v>
      </c>
      <c r="AW419" s="85">
        <f t="shared" si="699"/>
        <v>36</v>
      </c>
      <c r="AX419" s="18">
        <v>12</v>
      </c>
      <c r="AY419" s="19">
        <v>11</v>
      </c>
      <c r="AZ419" s="20">
        <v>11</v>
      </c>
      <c r="BA419" s="20">
        <v>2</v>
      </c>
      <c r="BB419" s="85">
        <f t="shared" si="700"/>
        <v>36</v>
      </c>
      <c r="BC419" s="105">
        <f t="shared" si="701"/>
        <v>108</v>
      </c>
      <c r="BD419" s="114">
        <v>45779</v>
      </c>
    </row>
    <row r="420" spans="1:56" x14ac:dyDescent="0.15">
      <c r="A420" s="23" t="s">
        <v>459</v>
      </c>
      <c r="B420" s="18">
        <v>1</v>
      </c>
      <c r="C420" s="19"/>
      <c r="D420" s="20"/>
      <c r="E420" s="20"/>
      <c r="F420" s="85">
        <f t="shared" si="662"/>
        <v>1</v>
      </c>
      <c r="G420" s="18">
        <v>1</v>
      </c>
      <c r="H420" s="19"/>
      <c r="I420" s="20"/>
      <c r="J420" s="20"/>
      <c r="K420" s="85">
        <f t="shared" si="663"/>
        <v>1</v>
      </c>
      <c r="L420" s="18">
        <v>1</v>
      </c>
      <c r="M420" s="19"/>
      <c r="N420" s="20"/>
      <c r="O420" s="20"/>
      <c r="P420" s="85">
        <f t="shared" si="664"/>
        <v>1</v>
      </c>
      <c r="Q420" s="18">
        <v>1</v>
      </c>
      <c r="R420" s="19"/>
      <c r="S420" s="20"/>
      <c r="T420" s="20"/>
      <c r="U420" s="85">
        <f t="shared" si="665"/>
        <v>1</v>
      </c>
      <c r="V420" s="18">
        <v>1</v>
      </c>
      <c r="W420" s="19"/>
      <c r="X420" s="20"/>
      <c r="Y420" s="20"/>
      <c r="Z420" s="85">
        <f t="shared" si="666"/>
        <v>1</v>
      </c>
      <c r="AA420" s="105">
        <f t="shared" si="667"/>
        <v>5</v>
      </c>
      <c r="AB420" s="115">
        <v>45804</v>
      </c>
      <c r="AC420" s="53" t="s">
        <v>437</v>
      </c>
      <c r="AD420" s="15">
        <v>3</v>
      </c>
      <c r="AE420" s="16"/>
      <c r="AF420" s="17"/>
      <c r="AG420" s="17"/>
      <c r="AH420" s="85">
        <f t="shared" si="696"/>
        <v>3</v>
      </c>
      <c r="AI420" s="15">
        <v>3</v>
      </c>
      <c r="AJ420" s="16"/>
      <c r="AK420" s="17"/>
      <c r="AL420" s="17"/>
      <c r="AM420" s="85">
        <f t="shared" si="697"/>
        <v>3</v>
      </c>
      <c r="AN420" s="15"/>
      <c r="AO420" s="16"/>
      <c r="AP420" s="17"/>
      <c r="AQ420" s="17"/>
      <c r="AR420" s="85">
        <f t="shared" si="698"/>
        <v>0</v>
      </c>
      <c r="AS420" s="15"/>
      <c r="AT420" s="16"/>
      <c r="AU420" s="17"/>
      <c r="AV420" s="17"/>
      <c r="AW420" s="85">
        <f t="shared" si="699"/>
        <v>0</v>
      </c>
      <c r="AX420" s="15">
        <v>3</v>
      </c>
      <c r="AY420" s="16"/>
      <c r="AZ420" s="17"/>
      <c r="BA420" s="17"/>
      <c r="BB420" s="85">
        <f t="shared" si="700"/>
        <v>3</v>
      </c>
      <c r="BC420" s="105">
        <f t="shared" si="701"/>
        <v>9</v>
      </c>
      <c r="BD420" s="114">
        <v>45784</v>
      </c>
    </row>
    <row r="421" spans="1:56" x14ac:dyDescent="0.15">
      <c r="A421" s="23" t="s">
        <v>43</v>
      </c>
      <c r="B421" s="15"/>
      <c r="C421" s="16"/>
      <c r="D421" s="17"/>
      <c r="E421" s="17">
        <v>1</v>
      </c>
      <c r="F421" s="85">
        <f t="shared" si="662"/>
        <v>1</v>
      </c>
      <c r="G421" s="15"/>
      <c r="H421" s="16"/>
      <c r="I421" s="17"/>
      <c r="J421" s="17">
        <v>1</v>
      </c>
      <c r="K421" s="85">
        <f t="shared" si="663"/>
        <v>1</v>
      </c>
      <c r="L421" s="15"/>
      <c r="M421" s="16"/>
      <c r="N421" s="17"/>
      <c r="O421" s="17">
        <v>1</v>
      </c>
      <c r="P421" s="85">
        <f t="shared" si="664"/>
        <v>1</v>
      </c>
      <c r="Q421" s="15"/>
      <c r="R421" s="16"/>
      <c r="S421" s="17"/>
      <c r="T421" s="17">
        <v>1</v>
      </c>
      <c r="U421" s="85">
        <f t="shared" si="665"/>
        <v>1</v>
      </c>
      <c r="V421" s="15"/>
      <c r="W421" s="16"/>
      <c r="X421" s="17"/>
      <c r="Y421" s="17">
        <v>1</v>
      </c>
      <c r="Z421" s="85">
        <f t="shared" si="666"/>
        <v>1</v>
      </c>
      <c r="AA421" s="105">
        <f t="shared" si="667"/>
        <v>5</v>
      </c>
      <c r="AB421" s="115">
        <v>45805</v>
      </c>
      <c r="AC421" s="23" t="s">
        <v>35</v>
      </c>
      <c r="AD421" s="15">
        <v>5</v>
      </c>
      <c r="AE421" s="16"/>
      <c r="AF421" s="17"/>
      <c r="AG421" s="17"/>
      <c r="AH421" s="85">
        <f t="shared" si="696"/>
        <v>5</v>
      </c>
      <c r="AI421" s="15"/>
      <c r="AJ421" s="16"/>
      <c r="AK421" s="17"/>
      <c r="AL421" s="17"/>
      <c r="AM421" s="85">
        <f t="shared" si="697"/>
        <v>0</v>
      </c>
      <c r="AN421" s="15"/>
      <c r="AO421" s="16">
        <v>5</v>
      </c>
      <c r="AP421" s="17"/>
      <c r="AQ421" s="17"/>
      <c r="AR421" s="85">
        <f t="shared" si="698"/>
        <v>5</v>
      </c>
      <c r="AS421" s="15">
        <v>5</v>
      </c>
      <c r="AT421" s="16">
        <v>5</v>
      </c>
      <c r="AU421" s="17"/>
      <c r="AV421" s="17"/>
      <c r="AW421" s="85">
        <f t="shared" si="699"/>
        <v>10</v>
      </c>
      <c r="AX421" s="15">
        <v>5</v>
      </c>
      <c r="AY421" s="16">
        <v>5</v>
      </c>
      <c r="AZ421" s="17"/>
      <c r="BA421" s="17"/>
      <c r="BB421" s="85">
        <f t="shared" si="700"/>
        <v>10</v>
      </c>
      <c r="BC421" s="105">
        <f t="shared" si="701"/>
        <v>30</v>
      </c>
      <c r="BD421" s="114">
        <v>45777</v>
      </c>
    </row>
    <row r="422" spans="1:56" x14ac:dyDescent="0.15">
      <c r="A422" s="54" t="s">
        <v>461</v>
      </c>
      <c r="B422" s="15"/>
      <c r="C422" s="16"/>
      <c r="D422" s="17">
        <v>-1</v>
      </c>
      <c r="E422" s="17"/>
      <c r="F422" s="85">
        <f t="shared" si="662"/>
        <v>-1</v>
      </c>
      <c r="G422" s="15"/>
      <c r="H422" s="16"/>
      <c r="I422" s="17">
        <v>-1</v>
      </c>
      <c r="J422" s="17"/>
      <c r="K422" s="85">
        <f t="shared" si="663"/>
        <v>-1</v>
      </c>
      <c r="L422" s="15"/>
      <c r="M422" s="16"/>
      <c r="N422" s="17"/>
      <c r="O422" s="17"/>
      <c r="P422" s="85">
        <f t="shared" si="664"/>
        <v>0</v>
      </c>
      <c r="Q422" s="15"/>
      <c r="R422" s="16"/>
      <c r="S422" s="17"/>
      <c r="T422" s="17"/>
      <c r="U422" s="85">
        <f t="shared" si="665"/>
        <v>0</v>
      </c>
      <c r="V422" s="15"/>
      <c r="W422" s="16"/>
      <c r="X422" s="17">
        <v>-1</v>
      </c>
      <c r="Y422" s="17"/>
      <c r="Z422" s="85">
        <f t="shared" si="666"/>
        <v>-1</v>
      </c>
      <c r="AA422" s="105">
        <f t="shared" si="667"/>
        <v>-3</v>
      </c>
      <c r="AB422" s="115">
        <v>45799</v>
      </c>
      <c r="AC422" s="23" t="s">
        <v>435</v>
      </c>
      <c r="AD422" s="15">
        <v>5</v>
      </c>
      <c r="AE422" s="16">
        <v>3</v>
      </c>
      <c r="AF422" s="17">
        <v>3</v>
      </c>
      <c r="AG422" s="17"/>
      <c r="AH422" s="85">
        <f t="shared" si="656"/>
        <v>11</v>
      </c>
      <c r="AI422" s="15">
        <v>5</v>
      </c>
      <c r="AJ422" s="16">
        <v>3</v>
      </c>
      <c r="AK422" s="17">
        <v>3</v>
      </c>
      <c r="AL422" s="17"/>
      <c r="AM422" s="85">
        <f t="shared" si="657"/>
        <v>11</v>
      </c>
      <c r="AN422" s="15"/>
      <c r="AO422" s="16"/>
      <c r="AP422" s="17"/>
      <c r="AQ422" s="17"/>
      <c r="AR422" s="85">
        <f t="shared" si="658"/>
        <v>0</v>
      </c>
      <c r="AS422" s="15"/>
      <c r="AT422" s="16"/>
      <c r="AU422" s="17"/>
      <c r="AV422" s="17"/>
      <c r="AW422" s="85">
        <f t="shared" si="659"/>
        <v>0</v>
      </c>
      <c r="AX422" s="15">
        <v>5</v>
      </c>
      <c r="AY422" s="16">
        <v>3</v>
      </c>
      <c r="AZ422" s="17">
        <v>3</v>
      </c>
      <c r="BA422" s="17"/>
      <c r="BB422" s="85">
        <f t="shared" si="660"/>
        <v>11</v>
      </c>
      <c r="BC422" s="105">
        <f t="shared" si="661"/>
        <v>33</v>
      </c>
      <c r="BD422" s="114">
        <v>45789</v>
      </c>
    </row>
    <row r="423" spans="1:56" x14ac:dyDescent="0.15">
      <c r="A423" s="54"/>
      <c r="B423" s="15"/>
      <c r="C423" s="16"/>
      <c r="D423" s="17"/>
      <c r="E423" s="17"/>
      <c r="F423" s="85">
        <f t="shared" si="662"/>
        <v>0</v>
      </c>
      <c r="G423" s="15"/>
      <c r="H423" s="16"/>
      <c r="I423" s="17"/>
      <c r="J423" s="17"/>
      <c r="K423" s="85">
        <f t="shared" si="663"/>
        <v>0</v>
      </c>
      <c r="L423" s="15"/>
      <c r="M423" s="16"/>
      <c r="N423" s="17"/>
      <c r="O423" s="17"/>
      <c r="P423" s="85">
        <f t="shared" si="664"/>
        <v>0</v>
      </c>
      <c r="Q423" s="15"/>
      <c r="R423" s="16"/>
      <c r="S423" s="17"/>
      <c r="T423" s="17"/>
      <c r="U423" s="85">
        <f t="shared" si="665"/>
        <v>0</v>
      </c>
      <c r="V423" s="15"/>
      <c r="W423" s="16"/>
      <c r="X423" s="17"/>
      <c r="Y423" s="17"/>
      <c r="Z423" s="85">
        <f t="shared" si="666"/>
        <v>0</v>
      </c>
      <c r="AA423" s="105">
        <f t="shared" si="667"/>
        <v>0</v>
      </c>
      <c r="AC423" s="23" t="s">
        <v>436</v>
      </c>
      <c r="AD423" s="15"/>
      <c r="AE423" s="16"/>
      <c r="AF423" s="17"/>
      <c r="AG423" s="17"/>
      <c r="AH423" s="85">
        <f t="shared" si="656"/>
        <v>0</v>
      </c>
      <c r="AI423" s="15"/>
      <c r="AJ423" s="16"/>
      <c r="AK423" s="17"/>
      <c r="AL423" s="17"/>
      <c r="AM423" s="85">
        <f t="shared" si="657"/>
        <v>0</v>
      </c>
      <c r="AN423" s="15">
        <v>3</v>
      </c>
      <c r="AO423" s="16">
        <v>3</v>
      </c>
      <c r="AP423" s="17">
        <v>5</v>
      </c>
      <c r="AQ423" s="17">
        <v>3</v>
      </c>
      <c r="AR423" s="85">
        <f t="shared" si="658"/>
        <v>14</v>
      </c>
      <c r="AS423" s="15">
        <v>3</v>
      </c>
      <c r="AT423" s="16">
        <v>3</v>
      </c>
      <c r="AU423" s="17">
        <v>5</v>
      </c>
      <c r="AV423" s="17">
        <v>3</v>
      </c>
      <c r="AW423" s="85">
        <f t="shared" si="659"/>
        <v>14</v>
      </c>
      <c r="AX423" s="15">
        <v>3</v>
      </c>
      <c r="AY423" s="16">
        <v>3</v>
      </c>
      <c r="AZ423" s="17">
        <v>5</v>
      </c>
      <c r="BA423" s="17">
        <v>3</v>
      </c>
      <c r="BB423" s="85">
        <f t="shared" si="660"/>
        <v>14</v>
      </c>
      <c r="BC423" s="105">
        <f t="shared" si="661"/>
        <v>42</v>
      </c>
      <c r="BD423" s="114">
        <v>45789</v>
      </c>
    </row>
    <row r="424" spans="1:56" x14ac:dyDescent="0.15">
      <c r="A424" s="54"/>
      <c r="B424" s="15"/>
      <c r="C424" s="16"/>
      <c r="D424" s="17"/>
      <c r="E424" s="17"/>
      <c r="F424" s="85">
        <f t="shared" si="662"/>
        <v>0</v>
      </c>
      <c r="G424" s="15"/>
      <c r="H424" s="16"/>
      <c r="I424" s="17"/>
      <c r="J424" s="17"/>
      <c r="K424" s="85">
        <f t="shared" si="663"/>
        <v>0</v>
      </c>
      <c r="L424" s="15"/>
      <c r="M424" s="16"/>
      <c r="N424" s="17"/>
      <c r="O424" s="17"/>
      <c r="P424" s="85">
        <f t="shared" si="664"/>
        <v>0</v>
      </c>
      <c r="Q424" s="15"/>
      <c r="R424" s="16"/>
      <c r="S424" s="17"/>
      <c r="T424" s="17"/>
      <c r="U424" s="85">
        <f t="shared" si="665"/>
        <v>0</v>
      </c>
      <c r="V424" s="15"/>
      <c r="W424" s="16"/>
      <c r="X424" s="17"/>
      <c r="Y424" s="17"/>
      <c r="Z424" s="85">
        <f t="shared" si="666"/>
        <v>0</v>
      </c>
      <c r="AA424" s="105">
        <f t="shared" si="667"/>
        <v>0</v>
      </c>
      <c r="AC424" s="53" t="s">
        <v>438</v>
      </c>
      <c r="AD424" s="15">
        <v>7</v>
      </c>
      <c r="AE424" s="16"/>
      <c r="AF424" s="17"/>
      <c r="AG424" s="17"/>
      <c r="AH424" s="85">
        <f t="shared" si="656"/>
        <v>7</v>
      </c>
      <c r="AI424" s="15">
        <v>7</v>
      </c>
      <c r="AJ424" s="16"/>
      <c r="AK424" s="17"/>
      <c r="AL424" s="17"/>
      <c r="AM424" s="85">
        <f t="shared" si="657"/>
        <v>7</v>
      </c>
      <c r="AN424" s="15"/>
      <c r="AO424" s="16"/>
      <c r="AP424" s="17"/>
      <c r="AQ424" s="17"/>
      <c r="AR424" s="85">
        <f t="shared" si="658"/>
        <v>0</v>
      </c>
      <c r="AS424" s="15"/>
      <c r="AT424" s="16"/>
      <c r="AU424" s="17"/>
      <c r="AV424" s="17"/>
      <c r="AW424" s="85">
        <f t="shared" si="659"/>
        <v>0</v>
      </c>
      <c r="AX424" s="15">
        <v>7</v>
      </c>
      <c r="AY424" s="16"/>
      <c r="AZ424" s="17"/>
      <c r="BA424" s="17"/>
      <c r="BB424" s="85">
        <f t="shared" si="660"/>
        <v>7</v>
      </c>
      <c r="BC424" s="105">
        <f t="shared" si="661"/>
        <v>21</v>
      </c>
      <c r="BD424" s="114">
        <v>45790</v>
      </c>
    </row>
    <row r="425" spans="1:56" x14ac:dyDescent="0.15">
      <c r="A425" s="24"/>
      <c r="B425" s="15"/>
      <c r="C425" s="16"/>
      <c r="D425" s="17"/>
      <c r="E425" s="17"/>
      <c r="F425" s="85">
        <f t="shared" si="662"/>
        <v>0</v>
      </c>
      <c r="G425" s="15"/>
      <c r="H425" s="16"/>
      <c r="I425" s="17"/>
      <c r="J425" s="17"/>
      <c r="K425" s="85">
        <f t="shared" si="663"/>
        <v>0</v>
      </c>
      <c r="L425" s="15"/>
      <c r="M425" s="16"/>
      <c r="N425" s="17"/>
      <c r="O425" s="17"/>
      <c r="P425" s="85">
        <f t="shared" si="664"/>
        <v>0</v>
      </c>
      <c r="Q425" s="15"/>
      <c r="R425" s="16"/>
      <c r="S425" s="17"/>
      <c r="T425" s="17"/>
      <c r="U425" s="85">
        <f t="shared" si="665"/>
        <v>0</v>
      </c>
      <c r="V425" s="15"/>
      <c r="W425" s="16"/>
      <c r="X425" s="17"/>
      <c r="Y425" s="17"/>
      <c r="Z425" s="85">
        <f t="shared" si="666"/>
        <v>0</v>
      </c>
      <c r="AA425" s="105">
        <f t="shared" si="667"/>
        <v>0</v>
      </c>
      <c r="AC425" s="53" t="s">
        <v>439</v>
      </c>
      <c r="AD425" s="15">
        <v>11</v>
      </c>
      <c r="AE425" s="16">
        <v>8</v>
      </c>
      <c r="AF425" s="17"/>
      <c r="AG425" s="17"/>
      <c r="AH425" s="85">
        <f t="shared" si="656"/>
        <v>19</v>
      </c>
      <c r="AI425" s="15">
        <v>11</v>
      </c>
      <c r="AJ425" s="16">
        <v>8</v>
      </c>
      <c r="AK425" s="17"/>
      <c r="AL425" s="17"/>
      <c r="AM425" s="85">
        <f t="shared" si="657"/>
        <v>19</v>
      </c>
      <c r="AN425" s="15"/>
      <c r="AO425" s="16"/>
      <c r="AP425" s="17"/>
      <c r="AQ425" s="17"/>
      <c r="AR425" s="85">
        <f t="shared" si="658"/>
        <v>0</v>
      </c>
      <c r="AS425" s="15"/>
      <c r="AT425" s="16"/>
      <c r="AU425" s="17"/>
      <c r="AV425" s="17"/>
      <c r="AW425" s="85">
        <f t="shared" si="659"/>
        <v>0</v>
      </c>
      <c r="AX425" s="15">
        <v>11</v>
      </c>
      <c r="AY425" s="16">
        <v>8</v>
      </c>
      <c r="AZ425" s="17"/>
      <c r="BA425" s="17"/>
      <c r="BB425" s="85">
        <f t="shared" si="660"/>
        <v>19</v>
      </c>
      <c r="BC425" s="105">
        <f t="shared" si="661"/>
        <v>57</v>
      </c>
      <c r="BD425" s="114">
        <v>45793</v>
      </c>
    </row>
    <row r="426" spans="1:56" x14ac:dyDescent="0.15">
      <c r="A426" s="54"/>
      <c r="B426" s="15"/>
      <c r="C426" s="16"/>
      <c r="D426" s="17"/>
      <c r="E426" s="17"/>
      <c r="F426" s="85">
        <f t="shared" si="662"/>
        <v>0</v>
      </c>
      <c r="G426" s="15"/>
      <c r="H426" s="16"/>
      <c r="I426" s="17"/>
      <c r="J426" s="17"/>
      <c r="K426" s="85">
        <f t="shared" si="663"/>
        <v>0</v>
      </c>
      <c r="L426" s="15"/>
      <c r="M426" s="16"/>
      <c r="N426" s="17"/>
      <c r="O426" s="17"/>
      <c r="P426" s="85">
        <f t="shared" si="664"/>
        <v>0</v>
      </c>
      <c r="Q426" s="15"/>
      <c r="R426" s="16"/>
      <c r="S426" s="17"/>
      <c r="T426" s="17"/>
      <c r="U426" s="85">
        <f t="shared" si="665"/>
        <v>0</v>
      </c>
      <c r="V426" s="15"/>
      <c r="W426" s="16"/>
      <c r="X426" s="17"/>
      <c r="Y426" s="17"/>
      <c r="Z426" s="85">
        <f t="shared" si="666"/>
        <v>0</v>
      </c>
      <c r="AA426" s="105">
        <f t="shared" si="667"/>
        <v>0</v>
      </c>
      <c r="AC426" s="53" t="s">
        <v>440</v>
      </c>
      <c r="AD426" s="15"/>
      <c r="AE426" s="16"/>
      <c r="AF426" s="17"/>
      <c r="AG426" s="17"/>
      <c r="AH426" s="85">
        <f t="shared" si="656"/>
        <v>0</v>
      </c>
      <c r="AI426" s="15"/>
      <c r="AJ426" s="16"/>
      <c r="AK426" s="17"/>
      <c r="AL426" s="17"/>
      <c r="AM426" s="85">
        <f t="shared" si="657"/>
        <v>0</v>
      </c>
      <c r="AN426" s="15"/>
      <c r="AO426" s="16">
        <v>2</v>
      </c>
      <c r="AP426" s="17"/>
      <c r="AQ426" s="17"/>
      <c r="AR426" s="85">
        <f t="shared" si="658"/>
        <v>2</v>
      </c>
      <c r="AS426" s="15"/>
      <c r="AT426" s="16">
        <v>2</v>
      </c>
      <c r="AU426" s="17"/>
      <c r="AV426" s="17"/>
      <c r="AW426" s="85">
        <f t="shared" si="659"/>
        <v>2</v>
      </c>
      <c r="AX426" s="15"/>
      <c r="AY426" s="16">
        <v>2</v>
      </c>
      <c r="AZ426" s="17"/>
      <c r="BA426" s="17"/>
      <c r="BB426" s="85">
        <f t="shared" si="660"/>
        <v>2</v>
      </c>
      <c r="BC426" s="105">
        <f t="shared" si="661"/>
        <v>6</v>
      </c>
      <c r="BD426" s="114">
        <v>45793</v>
      </c>
    </row>
    <row r="427" spans="1:56" x14ac:dyDescent="0.15">
      <c r="A427" s="23"/>
      <c r="B427" s="15"/>
      <c r="C427" s="16"/>
      <c r="D427" s="17"/>
      <c r="E427" s="17"/>
      <c r="F427" s="85">
        <f t="shared" si="662"/>
        <v>0</v>
      </c>
      <c r="G427" s="15"/>
      <c r="H427" s="16"/>
      <c r="I427" s="17"/>
      <c r="J427" s="17"/>
      <c r="K427" s="85">
        <f t="shared" si="663"/>
        <v>0</v>
      </c>
      <c r="L427" s="15"/>
      <c r="M427" s="16"/>
      <c r="N427" s="17"/>
      <c r="O427" s="17"/>
      <c r="P427" s="85">
        <f t="shared" si="664"/>
        <v>0</v>
      </c>
      <c r="Q427" s="15"/>
      <c r="R427" s="16"/>
      <c r="S427" s="17"/>
      <c r="T427" s="17"/>
      <c r="U427" s="85">
        <f t="shared" si="665"/>
        <v>0</v>
      </c>
      <c r="V427" s="15"/>
      <c r="W427" s="16"/>
      <c r="X427" s="17"/>
      <c r="Y427" s="17"/>
      <c r="Z427" s="85">
        <f t="shared" si="666"/>
        <v>0</v>
      </c>
      <c r="AA427" s="105">
        <f t="shared" si="667"/>
        <v>0</v>
      </c>
      <c r="AC427" s="23" t="s">
        <v>441</v>
      </c>
      <c r="AD427" s="15"/>
      <c r="AE427" s="16"/>
      <c r="AF427" s="17"/>
      <c r="AG427" s="17"/>
      <c r="AH427" s="85">
        <f t="shared" si="656"/>
        <v>0</v>
      </c>
      <c r="AI427" s="15"/>
      <c r="AJ427" s="16"/>
      <c r="AK427" s="17"/>
      <c r="AL427" s="17"/>
      <c r="AM427" s="85">
        <f t="shared" si="657"/>
        <v>0</v>
      </c>
      <c r="AN427" s="15"/>
      <c r="AO427" s="16"/>
      <c r="AP427" s="17"/>
      <c r="AQ427" s="17"/>
      <c r="AR427" s="85">
        <f t="shared" si="658"/>
        <v>0</v>
      </c>
      <c r="AS427" s="15"/>
      <c r="AT427" s="16"/>
      <c r="AU427" s="17"/>
      <c r="AV427" s="17"/>
      <c r="AW427" s="85">
        <f t="shared" si="659"/>
        <v>0</v>
      </c>
      <c r="AX427" s="15"/>
      <c r="AY427" s="16"/>
      <c r="AZ427" s="17"/>
      <c r="BA427" s="17">
        <v>1</v>
      </c>
      <c r="BB427" s="85">
        <f t="shared" si="660"/>
        <v>1</v>
      </c>
      <c r="BC427" s="105">
        <f t="shared" si="661"/>
        <v>1</v>
      </c>
      <c r="BD427" s="114">
        <v>45796</v>
      </c>
    </row>
    <row r="428" spans="1:56" x14ac:dyDescent="0.15">
      <c r="A428" s="23"/>
      <c r="B428" s="15"/>
      <c r="C428" s="16"/>
      <c r="D428" s="17"/>
      <c r="E428" s="17"/>
      <c r="F428" s="85">
        <f t="shared" si="662"/>
        <v>0</v>
      </c>
      <c r="G428" s="15"/>
      <c r="H428" s="16"/>
      <c r="I428" s="17"/>
      <c r="J428" s="17"/>
      <c r="K428" s="85">
        <f t="shared" si="663"/>
        <v>0</v>
      </c>
      <c r="L428" s="15"/>
      <c r="M428" s="16"/>
      <c r="N428" s="17"/>
      <c r="O428" s="17"/>
      <c r="P428" s="85">
        <f t="shared" si="664"/>
        <v>0</v>
      </c>
      <c r="Q428" s="15"/>
      <c r="R428" s="16"/>
      <c r="S428" s="17"/>
      <c r="T428" s="17"/>
      <c r="U428" s="85">
        <f t="shared" si="665"/>
        <v>0</v>
      </c>
      <c r="V428" s="15"/>
      <c r="W428" s="16"/>
      <c r="X428" s="17"/>
      <c r="Y428" s="17"/>
      <c r="Z428" s="85">
        <f t="shared" si="666"/>
        <v>0</v>
      </c>
      <c r="AA428" s="105">
        <f t="shared" si="667"/>
        <v>0</v>
      </c>
      <c r="AC428" s="23" t="s">
        <v>442</v>
      </c>
      <c r="AD428" s="15"/>
      <c r="AE428" s="16"/>
      <c r="AF428" s="17">
        <v>10</v>
      </c>
      <c r="AG428" s="17"/>
      <c r="AH428" s="85">
        <f t="shared" si="656"/>
        <v>10</v>
      </c>
      <c r="AI428" s="15"/>
      <c r="AJ428" s="16"/>
      <c r="AK428" s="17">
        <v>10</v>
      </c>
      <c r="AL428" s="17"/>
      <c r="AM428" s="85">
        <f t="shared" si="657"/>
        <v>10</v>
      </c>
      <c r="AN428" s="15"/>
      <c r="AO428" s="16"/>
      <c r="AP428" s="17"/>
      <c r="AQ428" s="17"/>
      <c r="AR428" s="85">
        <f t="shared" si="658"/>
        <v>0</v>
      </c>
      <c r="AS428" s="15"/>
      <c r="AT428" s="16"/>
      <c r="AU428" s="17"/>
      <c r="AV428" s="17"/>
      <c r="AW428" s="85">
        <f t="shared" si="659"/>
        <v>0</v>
      </c>
      <c r="AX428" s="15"/>
      <c r="AY428" s="16"/>
      <c r="AZ428" s="17">
        <v>10</v>
      </c>
      <c r="BA428" s="17"/>
      <c r="BB428" s="85">
        <f t="shared" si="660"/>
        <v>10</v>
      </c>
      <c r="BC428" s="105">
        <f t="shared" si="661"/>
        <v>30</v>
      </c>
      <c r="BD428" s="114">
        <v>45792</v>
      </c>
    </row>
    <row r="429" spans="1:56" x14ac:dyDescent="0.15">
      <c r="A429" s="54"/>
      <c r="B429" s="15"/>
      <c r="C429" s="16"/>
      <c r="D429" s="17"/>
      <c r="E429" s="17"/>
      <c r="F429" s="85">
        <f t="shared" si="662"/>
        <v>0</v>
      </c>
      <c r="G429" s="15"/>
      <c r="H429" s="16"/>
      <c r="I429" s="17"/>
      <c r="J429" s="17"/>
      <c r="K429" s="85">
        <f t="shared" si="663"/>
        <v>0</v>
      </c>
      <c r="L429" s="15"/>
      <c r="M429" s="16"/>
      <c r="N429" s="17"/>
      <c r="O429" s="17"/>
      <c r="P429" s="85">
        <f t="shared" si="664"/>
        <v>0</v>
      </c>
      <c r="Q429" s="15"/>
      <c r="R429" s="16"/>
      <c r="S429" s="17"/>
      <c r="T429" s="17"/>
      <c r="U429" s="85">
        <f t="shared" si="665"/>
        <v>0</v>
      </c>
      <c r="V429" s="15"/>
      <c r="W429" s="16"/>
      <c r="X429" s="17"/>
      <c r="Y429" s="17"/>
      <c r="Z429" s="85">
        <f t="shared" si="666"/>
        <v>0</v>
      </c>
      <c r="AA429" s="105">
        <f t="shared" si="667"/>
        <v>0</v>
      </c>
      <c r="AC429" s="23" t="s">
        <v>443</v>
      </c>
      <c r="AD429" s="15"/>
      <c r="AE429" s="16"/>
      <c r="AF429" s="17"/>
      <c r="AG429" s="17"/>
      <c r="AH429" s="85">
        <f t="shared" ref="AH429:AH432" si="702">SUM(AD429:AG429)</f>
        <v>0</v>
      </c>
      <c r="AI429" s="15"/>
      <c r="AJ429" s="16"/>
      <c r="AK429" s="17"/>
      <c r="AL429" s="17"/>
      <c r="AM429" s="85">
        <f t="shared" ref="AM429:AM432" si="703">SUM(AI429:AL429)</f>
        <v>0</v>
      </c>
      <c r="AN429" s="15">
        <v>5</v>
      </c>
      <c r="AO429" s="16">
        <v>15</v>
      </c>
      <c r="AP429" s="17">
        <v>3</v>
      </c>
      <c r="AQ429" s="17">
        <v>4</v>
      </c>
      <c r="AR429" s="85">
        <f t="shared" ref="AR429:AR432" si="704">SUM(AN429:AQ429)</f>
        <v>27</v>
      </c>
      <c r="AS429" s="15">
        <v>5</v>
      </c>
      <c r="AT429" s="16">
        <v>15</v>
      </c>
      <c r="AU429" s="17">
        <v>3</v>
      </c>
      <c r="AV429" s="17">
        <v>4</v>
      </c>
      <c r="AW429" s="85">
        <f t="shared" ref="AW429:AW432" si="705">SUM(AS429:AV429)</f>
        <v>27</v>
      </c>
      <c r="AX429" s="15">
        <v>5</v>
      </c>
      <c r="AY429" s="16">
        <v>15</v>
      </c>
      <c r="AZ429" s="17">
        <v>3</v>
      </c>
      <c r="BA429" s="17">
        <v>4</v>
      </c>
      <c r="BB429" s="85">
        <f t="shared" ref="BB429:BB432" si="706">SUM(AX429:BA429)</f>
        <v>27</v>
      </c>
      <c r="BC429" s="105">
        <f t="shared" ref="BC429:BC432" si="707">BB429+AW429+AR429+AM429+AH429</f>
        <v>81</v>
      </c>
      <c r="BD429" s="114">
        <v>45792</v>
      </c>
    </row>
    <row r="430" spans="1:56" x14ac:dyDescent="0.15">
      <c r="A430" s="23"/>
      <c r="B430" s="15"/>
      <c r="C430" s="16"/>
      <c r="D430" s="17"/>
      <c r="E430" s="17"/>
      <c r="F430" s="85">
        <f t="shared" si="662"/>
        <v>0</v>
      </c>
      <c r="G430" s="15"/>
      <c r="H430" s="16"/>
      <c r="I430" s="17"/>
      <c r="J430" s="17"/>
      <c r="K430" s="85">
        <f t="shared" si="663"/>
        <v>0</v>
      </c>
      <c r="L430" s="15"/>
      <c r="M430" s="16"/>
      <c r="N430" s="17"/>
      <c r="O430" s="17"/>
      <c r="P430" s="85">
        <f t="shared" si="664"/>
        <v>0</v>
      </c>
      <c r="Q430" s="15"/>
      <c r="R430" s="16"/>
      <c r="S430" s="17"/>
      <c r="T430" s="17"/>
      <c r="U430" s="85">
        <f t="shared" si="665"/>
        <v>0</v>
      </c>
      <c r="V430" s="15"/>
      <c r="W430" s="16"/>
      <c r="X430" s="17"/>
      <c r="Y430" s="17"/>
      <c r="Z430" s="85">
        <f t="shared" si="666"/>
        <v>0</v>
      </c>
      <c r="AA430" s="105">
        <f t="shared" si="667"/>
        <v>0</v>
      </c>
      <c r="AC430" s="23" t="s">
        <v>444</v>
      </c>
      <c r="AD430" s="15">
        <v>10</v>
      </c>
      <c r="AE430" s="16">
        <v>10</v>
      </c>
      <c r="AF430" s="17">
        <v>10</v>
      </c>
      <c r="AG430" s="17">
        <v>10</v>
      </c>
      <c r="AH430" s="85">
        <f t="shared" si="702"/>
        <v>40</v>
      </c>
      <c r="AI430" s="15">
        <v>10</v>
      </c>
      <c r="AJ430" s="16">
        <v>10</v>
      </c>
      <c r="AK430" s="17">
        <v>10</v>
      </c>
      <c r="AL430" s="17">
        <v>10</v>
      </c>
      <c r="AM430" s="85">
        <f t="shared" si="703"/>
        <v>40</v>
      </c>
      <c r="AN430" s="15"/>
      <c r="AO430" s="16"/>
      <c r="AP430" s="17"/>
      <c r="AQ430" s="17"/>
      <c r="AR430" s="85">
        <f t="shared" si="704"/>
        <v>0</v>
      </c>
      <c r="AS430" s="15"/>
      <c r="AT430" s="16"/>
      <c r="AU430" s="17"/>
      <c r="AV430" s="17"/>
      <c r="AW430" s="85">
        <f t="shared" si="705"/>
        <v>0</v>
      </c>
      <c r="AX430" s="15">
        <v>10</v>
      </c>
      <c r="AY430" s="16">
        <v>10</v>
      </c>
      <c r="AZ430" s="17">
        <v>10</v>
      </c>
      <c r="BA430" s="17">
        <v>10</v>
      </c>
      <c r="BB430" s="85">
        <f t="shared" si="706"/>
        <v>40</v>
      </c>
      <c r="BC430" s="105">
        <f t="shared" si="707"/>
        <v>120</v>
      </c>
      <c r="BD430" s="114">
        <v>45793</v>
      </c>
    </row>
    <row r="431" spans="1:56" x14ac:dyDescent="0.15">
      <c r="A431" s="23"/>
      <c r="B431" s="15"/>
      <c r="C431" s="16"/>
      <c r="D431" s="17"/>
      <c r="E431" s="17"/>
      <c r="F431" s="85">
        <f t="shared" si="662"/>
        <v>0</v>
      </c>
      <c r="G431" s="15"/>
      <c r="H431" s="16"/>
      <c r="I431" s="17"/>
      <c r="J431" s="17"/>
      <c r="K431" s="85">
        <f t="shared" si="663"/>
        <v>0</v>
      </c>
      <c r="L431" s="15"/>
      <c r="M431" s="16"/>
      <c r="N431" s="17"/>
      <c r="O431" s="17"/>
      <c r="P431" s="85">
        <f t="shared" si="664"/>
        <v>0</v>
      </c>
      <c r="Q431" s="15"/>
      <c r="R431" s="16"/>
      <c r="S431" s="17"/>
      <c r="T431" s="17"/>
      <c r="U431" s="85">
        <f t="shared" si="665"/>
        <v>0</v>
      </c>
      <c r="V431" s="15"/>
      <c r="W431" s="16"/>
      <c r="X431" s="17"/>
      <c r="Y431" s="17"/>
      <c r="Z431" s="85">
        <f t="shared" si="666"/>
        <v>0</v>
      </c>
      <c r="AA431" s="105">
        <f t="shared" si="667"/>
        <v>0</v>
      </c>
      <c r="AC431" s="23" t="s">
        <v>445</v>
      </c>
      <c r="AD431" s="15"/>
      <c r="AE431" s="16"/>
      <c r="AF431" s="17"/>
      <c r="AG431" s="17"/>
      <c r="AH431" s="85">
        <f t="shared" si="702"/>
        <v>0</v>
      </c>
      <c r="AI431" s="15"/>
      <c r="AJ431" s="16"/>
      <c r="AK431" s="17"/>
      <c r="AL431" s="17"/>
      <c r="AM431" s="85">
        <f t="shared" si="703"/>
        <v>0</v>
      </c>
      <c r="AN431" s="15">
        <v>5</v>
      </c>
      <c r="AO431" s="16"/>
      <c r="AP431" s="17">
        <v>15</v>
      </c>
      <c r="AQ431" s="17">
        <v>15</v>
      </c>
      <c r="AR431" s="85">
        <f t="shared" si="704"/>
        <v>35</v>
      </c>
      <c r="AS431" s="15">
        <v>5</v>
      </c>
      <c r="AT431" s="16"/>
      <c r="AU431" s="17">
        <v>15</v>
      </c>
      <c r="AV431" s="17">
        <v>15</v>
      </c>
      <c r="AW431" s="85">
        <f t="shared" si="705"/>
        <v>35</v>
      </c>
      <c r="AX431" s="15">
        <v>5</v>
      </c>
      <c r="AY431" s="16"/>
      <c r="AZ431" s="17">
        <v>15</v>
      </c>
      <c r="BA431" s="17">
        <v>15</v>
      </c>
      <c r="BB431" s="85">
        <f t="shared" si="706"/>
        <v>35</v>
      </c>
      <c r="BC431" s="105">
        <f t="shared" si="707"/>
        <v>105</v>
      </c>
      <c r="BD431" s="114">
        <v>45793</v>
      </c>
    </row>
    <row r="432" spans="1:56" x14ac:dyDescent="0.15">
      <c r="A432" s="23"/>
      <c r="B432" s="18"/>
      <c r="C432" s="19"/>
      <c r="D432" s="20"/>
      <c r="E432" s="20"/>
      <c r="F432" s="85">
        <f t="shared" si="662"/>
        <v>0</v>
      </c>
      <c r="G432" s="18"/>
      <c r="H432" s="19"/>
      <c r="I432" s="20"/>
      <c r="J432" s="20"/>
      <c r="K432" s="85">
        <f t="shared" si="663"/>
        <v>0</v>
      </c>
      <c r="L432" s="18"/>
      <c r="M432" s="19"/>
      <c r="N432" s="20"/>
      <c r="O432" s="20"/>
      <c r="P432" s="85">
        <f t="shared" si="664"/>
        <v>0</v>
      </c>
      <c r="Q432" s="18"/>
      <c r="R432" s="19"/>
      <c r="S432" s="20"/>
      <c r="T432" s="20"/>
      <c r="U432" s="85">
        <f t="shared" si="665"/>
        <v>0</v>
      </c>
      <c r="V432" s="18"/>
      <c r="W432" s="19"/>
      <c r="X432" s="20"/>
      <c r="Y432" s="20"/>
      <c r="Z432" s="85">
        <f t="shared" si="666"/>
        <v>0</v>
      </c>
      <c r="AA432" s="105">
        <f t="shared" si="667"/>
        <v>0</v>
      </c>
      <c r="AC432" s="23" t="s">
        <v>446</v>
      </c>
      <c r="AD432" s="15"/>
      <c r="AE432" s="16"/>
      <c r="AF432" s="17"/>
      <c r="AG432" s="17"/>
      <c r="AH432" s="85">
        <f t="shared" si="702"/>
        <v>0</v>
      </c>
      <c r="AI432" s="15"/>
      <c r="AJ432" s="16"/>
      <c r="AK432" s="17"/>
      <c r="AL432" s="17"/>
      <c r="AM432" s="85">
        <f t="shared" si="703"/>
        <v>0</v>
      </c>
      <c r="AN432" s="15"/>
      <c r="AO432" s="16">
        <v>4</v>
      </c>
      <c r="AP432" s="17"/>
      <c r="AQ432" s="17"/>
      <c r="AR432" s="85">
        <f t="shared" si="704"/>
        <v>4</v>
      </c>
      <c r="AS432" s="15"/>
      <c r="AT432" s="16">
        <v>4</v>
      </c>
      <c r="AU432" s="17"/>
      <c r="AV432" s="17"/>
      <c r="AW432" s="85">
        <f t="shared" si="705"/>
        <v>4</v>
      </c>
      <c r="AX432" s="15"/>
      <c r="AY432" s="16">
        <v>4</v>
      </c>
      <c r="AZ432" s="17"/>
      <c r="BA432" s="17"/>
      <c r="BB432" s="85">
        <f t="shared" si="706"/>
        <v>4</v>
      </c>
      <c r="BC432" s="105">
        <f t="shared" si="707"/>
        <v>12</v>
      </c>
      <c r="BD432" s="114">
        <v>45794</v>
      </c>
    </row>
    <row r="433" spans="1:56" x14ac:dyDescent="0.15">
      <c r="A433" s="23"/>
      <c r="B433" s="16"/>
      <c r="C433" s="16"/>
      <c r="D433" s="17"/>
      <c r="E433" s="17"/>
      <c r="F433" s="85">
        <f t="shared" si="662"/>
        <v>0</v>
      </c>
      <c r="G433" s="16"/>
      <c r="H433" s="16"/>
      <c r="I433" s="17"/>
      <c r="J433" s="17"/>
      <c r="K433" s="85">
        <f t="shared" si="663"/>
        <v>0</v>
      </c>
      <c r="L433" s="16"/>
      <c r="M433" s="16"/>
      <c r="N433" s="17"/>
      <c r="O433" s="17"/>
      <c r="P433" s="85">
        <f t="shared" si="664"/>
        <v>0</v>
      </c>
      <c r="Q433" s="16"/>
      <c r="R433" s="16"/>
      <c r="S433" s="17"/>
      <c r="T433" s="17"/>
      <c r="U433" s="85">
        <f t="shared" si="665"/>
        <v>0</v>
      </c>
      <c r="V433" s="16"/>
      <c r="W433" s="16"/>
      <c r="X433" s="17"/>
      <c r="Y433" s="17"/>
      <c r="Z433" s="85">
        <f t="shared" si="666"/>
        <v>0</v>
      </c>
      <c r="AA433" s="105">
        <f t="shared" si="667"/>
        <v>0</v>
      </c>
      <c r="AC433" s="23"/>
      <c r="AD433" s="15"/>
      <c r="AE433" s="16"/>
      <c r="AF433" s="17"/>
      <c r="AG433" s="17"/>
      <c r="AH433" s="85">
        <f t="shared" ref="AH433" si="708">SUM(AD433:AG433)</f>
        <v>0</v>
      </c>
      <c r="AI433" s="15"/>
      <c r="AJ433" s="16"/>
      <c r="AK433" s="17"/>
      <c r="AL433" s="17"/>
      <c r="AM433" s="85">
        <f t="shared" ref="AM433" si="709">SUM(AI433:AL433)</f>
        <v>0</v>
      </c>
      <c r="AN433" s="15"/>
      <c r="AO433" s="16"/>
      <c r="AP433" s="17"/>
      <c r="AQ433" s="17"/>
      <c r="AR433" s="85">
        <f t="shared" ref="AR433" si="710">SUM(AN433:AQ433)</f>
        <v>0</v>
      </c>
      <c r="AS433" s="15"/>
      <c r="AT433" s="16"/>
      <c r="AU433" s="17"/>
      <c r="AV433" s="17"/>
      <c r="AW433" s="85">
        <f t="shared" ref="AW433" si="711">SUM(AS433:AV433)</f>
        <v>0</v>
      </c>
      <c r="AX433" s="15"/>
      <c r="AY433" s="16"/>
      <c r="AZ433" s="17"/>
      <c r="BA433" s="17"/>
      <c r="BB433" s="85">
        <f t="shared" ref="BB433" si="712">SUM(AX433:BA433)</f>
        <v>0</v>
      </c>
      <c r="BC433" s="105">
        <f t="shared" ref="BC433" si="713">BB433+AW433+AR433+AM433+AH433</f>
        <v>0</v>
      </c>
      <c r="BD433" s="137"/>
    </row>
    <row r="434" spans="1:56" x14ac:dyDescent="0.15">
      <c r="A434" s="23"/>
      <c r="B434" s="15"/>
      <c r="C434" s="25"/>
      <c r="D434" s="17"/>
      <c r="E434" s="17"/>
      <c r="F434" s="85">
        <f t="shared" si="662"/>
        <v>0</v>
      </c>
      <c r="G434" s="15"/>
      <c r="H434" s="25"/>
      <c r="I434" s="17"/>
      <c r="J434" s="17"/>
      <c r="K434" s="85">
        <f t="shared" si="663"/>
        <v>0</v>
      </c>
      <c r="L434" s="15"/>
      <c r="M434" s="25"/>
      <c r="N434" s="17"/>
      <c r="O434" s="17"/>
      <c r="P434" s="85">
        <f t="shared" si="664"/>
        <v>0</v>
      </c>
      <c r="Q434" s="15"/>
      <c r="R434" s="25"/>
      <c r="S434" s="17"/>
      <c r="T434" s="17"/>
      <c r="U434" s="85">
        <f t="shared" si="665"/>
        <v>0</v>
      </c>
      <c r="V434" s="15"/>
      <c r="W434" s="25"/>
      <c r="X434" s="17"/>
      <c r="Y434" s="17"/>
      <c r="Z434" s="85">
        <f t="shared" si="666"/>
        <v>0</v>
      </c>
      <c r="AA434" s="105">
        <f t="shared" si="667"/>
        <v>0</v>
      </c>
      <c r="AC434" s="226" t="s">
        <v>391</v>
      </c>
      <c r="AD434" s="140"/>
      <c r="AE434" s="142"/>
      <c r="AF434" s="161"/>
      <c r="AG434" s="161"/>
      <c r="AH434" s="189">
        <f t="shared" ref="AH434:AH436" si="714">SUM(AD434:AG434)</f>
        <v>0</v>
      </c>
      <c r="AI434" s="140"/>
      <c r="AJ434" s="142"/>
      <c r="AK434" s="161"/>
      <c r="AL434" s="161"/>
      <c r="AM434" s="189">
        <f t="shared" ref="AM434:AM436" si="715">SUM(AI434:AL434)</f>
        <v>0</v>
      </c>
      <c r="AN434" s="140"/>
      <c r="AO434" s="142"/>
      <c r="AP434" s="161"/>
      <c r="AQ434" s="161"/>
      <c r="AR434" s="189">
        <f t="shared" ref="AR434:AR436" si="716">SUM(AN434:AQ434)</f>
        <v>0</v>
      </c>
      <c r="AS434" s="140"/>
      <c r="AT434" s="142"/>
      <c r="AU434" s="161"/>
      <c r="AV434" s="161"/>
      <c r="AW434" s="189">
        <f t="shared" ref="AW434:AW436" si="717">SUM(AS434:AV434)</f>
        <v>0</v>
      </c>
      <c r="AX434" s="140"/>
      <c r="AY434" s="142"/>
      <c r="AZ434" s="161"/>
      <c r="BA434" s="161"/>
      <c r="BB434" s="189">
        <f t="shared" ref="BB434:BB436" si="718">SUM(AX434:BA434)</f>
        <v>0</v>
      </c>
      <c r="BC434" s="190">
        <f t="shared" ref="BC434:BC436" si="719">BB434+AW434+AR434+AM434+AH434</f>
        <v>0</v>
      </c>
      <c r="BD434" s="76"/>
    </row>
    <row r="435" spans="1:56" x14ac:dyDescent="0.15">
      <c r="A435" s="23"/>
      <c r="B435" s="15"/>
      <c r="C435" s="16"/>
      <c r="D435" s="16"/>
      <c r="E435" s="63"/>
      <c r="F435" s="85">
        <f t="shared" si="662"/>
        <v>0</v>
      </c>
      <c r="G435" s="15"/>
      <c r="H435" s="16"/>
      <c r="I435" s="16"/>
      <c r="J435" s="63"/>
      <c r="K435" s="85">
        <f t="shared" si="663"/>
        <v>0</v>
      </c>
      <c r="L435" s="15"/>
      <c r="M435" s="16"/>
      <c r="N435" s="16"/>
      <c r="O435" s="63"/>
      <c r="P435" s="85">
        <f t="shared" si="664"/>
        <v>0</v>
      </c>
      <c r="Q435" s="15"/>
      <c r="R435" s="16"/>
      <c r="S435" s="16"/>
      <c r="T435" s="63"/>
      <c r="U435" s="85">
        <f t="shared" si="665"/>
        <v>0</v>
      </c>
      <c r="V435" s="15"/>
      <c r="W435" s="16"/>
      <c r="X435" s="16"/>
      <c r="Y435" s="63"/>
      <c r="Z435" s="85">
        <f t="shared" si="666"/>
        <v>0</v>
      </c>
      <c r="AA435" s="105">
        <f t="shared" si="667"/>
        <v>0</v>
      </c>
      <c r="AC435" s="23" t="s">
        <v>394</v>
      </c>
      <c r="AD435" s="15"/>
      <c r="AE435" s="16"/>
      <c r="AF435" s="17"/>
      <c r="AG435" s="17"/>
      <c r="AH435" s="85">
        <f t="shared" si="714"/>
        <v>0</v>
      </c>
      <c r="AI435" s="15"/>
      <c r="AJ435" s="16"/>
      <c r="AK435" s="17"/>
      <c r="AL435" s="17"/>
      <c r="AM435" s="85">
        <f t="shared" si="715"/>
        <v>0</v>
      </c>
      <c r="AN435" s="15"/>
      <c r="AO435" s="16"/>
      <c r="AP435" s="17"/>
      <c r="AQ435" s="17"/>
      <c r="AR435" s="85">
        <f t="shared" si="716"/>
        <v>0</v>
      </c>
      <c r="AS435" s="15"/>
      <c r="AT435" s="16"/>
      <c r="AU435" s="17"/>
      <c r="AV435" s="17"/>
      <c r="AW435" s="85">
        <f t="shared" si="717"/>
        <v>0</v>
      </c>
      <c r="AX435" s="15"/>
      <c r="AY435" s="16"/>
      <c r="AZ435" s="17"/>
      <c r="BA435" s="17"/>
      <c r="BB435" s="85">
        <f t="shared" si="718"/>
        <v>0</v>
      </c>
      <c r="BC435" s="105">
        <f t="shared" si="719"/>
        <v>0</v>
      </c>
      <c r="BD435" s="76" t="s">
        <v>392</v>
      </c>
    </row>
    <row r="436" spans="1:56" ht="14.25" thickBot="1" x14ac:dyDescent="0.2">
      <c r="A436" s="23"/>
      <c r="B436" s="15"/>
      <c r="C436" s="16"/>
      <c r="D436" s="16"/>
      <c r="E436" s="63"/>
      <c r="F436" s="85">
        <f t="shared" ref="F436" si="720">SUM(B436:E436)</f>
        <v>0</v>
      </c>
      <c r="G436" s="15"/>
      <c r="H436" s="16"/>
      <c r="I436" s="16"/>
      <c r="J436" s="63"/>
      <c r="K436" s="85">
        <f t="shared" ref="K436" si="721">SUM(G436:J436)</f>
        <v>0</v>
      </c>
      <c r="L436" s="15"/>
      <c r="M436" s="16"/>
      <c r="N436" s="16"/>
      <c r="O436" s="63"/>
      <c r="P436" s="85">
        <f t="shared" ref="P436" si="722">SUM(L436:O436)</f>
        <v>0</v>
      </c>
      <c r="Q436" s="15"/>
      <c r="R436" s="16"/>
      <c r="S436" s="16"/>
      <c r="T436" s="63"/>
      <c r="U436" s="85">
        <f t="shared" ref="U436" si="723">SUM(Q436:T436)</f>
        <v>0</v>
      </c>
      <c r="V436" s="15"/>
      <c r="W436" s="16"/>
      <c r="X436" s="16"/>
      <c r="Y436" s="63"/>
      <c r="Z436" s="85">
        <f t="shared" ref="Z436" si="724">SUM(V436:Y436)</f>
        <v>0</v>
      </c>
      <c r="AA436" s="105">
        <f t="shared" ref="AA436" si="725">Z436+U436+P436+K436+F436</f>
        <v>0</v>
      </c>
      <c r="AC436" s="23" t="s">
        <v>393</v>
      </c>
      <c r="AD436" s="18"/>
      <c r="AE436" s="19"/>
      <c r="AF436" s="20"/>
      <c r="AG436" s="20"/>
      <c r="AH436" s="85">
        <f t="shared" si="714"/>
        <v>0</v>
      </c>
      <c r="AI436" s="18"/>
      <c r="AJ436" s="19"/>
      <c r="AK436" s="20"/>
      <c r="AL436" s="20"/>
      <c r="AM436" s="85">
        <f t="shared" si="715"/>
        <v>0</v>
      </c>
      <c r="AN436" s="18"/>
      <c r="AO436" s="19"/>
      <c r="AP436" s="20"/>
      <c r="AQ436" s="20"/>
      <c r="AR436" s="85">
        <f t="shared" si="716"/>
        <v>0</v>
      </c>
      <c r="AS436" s="18"/>
      <c r="AT436" s="19"/>
      <c r="AU436" s="20"/>
      <c r="AV436" s="20"/>
      <c r="AW436" s="85">
        <f t="shared" si="717"/>
        <v>0</v>
      </c>
      <c r="AX436" s="18"/>
      <c r="AY436" s="19"/>
      <c r="AZ436" s="20"/>
      <c r="BA436" s="20"/>
      <c r="BB436" s="85">
        <f t="shared" si="718"/>
        <v>0</v>
      </c>
      <c r="BC436" s="105">
        <f t="shared" si="719"/>
        <v>0</v>
      </c>
      <c r="BD436" s="76" t="s">
        <v>392</v>
      </c>
    </row>
    <row r="437" spans="1:56" ht="14.25" thickBot="1" x14ac:dyDescent="0.2">
      <c r="A437" s="27" t="s">
        <v>12</v>
      </c>
      <c r="B437" s="57">
        <f>SUM(B411:B436)</f>
        <v>3</v>
      </c>
      <c r="C437" s="50">
        <f t="shared" ref="C437:D437" si="726">SUM(C411:C436)</f>
        <v>0</v>
      </c>
      <c r="D437" s="50">
        <f t="shared" si="726"/>
        <v>-1</v>
      </c>
      <c r="E437" s="50">
        <f>SUM(E411:E436)</f>
        <v>2</v>
      </c>
      <c r="F437" s="88">
        <f t="shared" si="662"/>
        <v>4</v>
      </c>
      <c r="G437" s="57">
        <f>SUM(G411:G436)</f>
        <v>3</v>
      </c>
      <c r="H437" s="50">
        <f t="shared" ref="H437:I437" si="727">SUM(H411:H436)</f>
        <v>0</v>
      </c>
      <c r="I437" s="50">
        <f t="shared" si="727"/>
        <v>0</v>
      </c>
      <c r="J437" s="50">
        <f>SUM(J411:J436)</f>
        <v>1</v>
      </c>
      <c r="K437" s="88">
        <f t="shared" si="663"/>
        <v>4</v>
      </c>
      <c r="L437" s="57">
        <f>SUM(L411:L436)</f>
        <v>5</v>
      </c>
      <c r="M437" s="50">
        <f t="shared" ref="M437:N437" si="728">SUM(M411:M436)</f>
        <v>7</v>
      </c>
      <c r="N437" s="50">
        <f t="shared" si="728"/>
        <v>6</v>
      </c>
      <c r="O437" s="50">
        <f>SUM(O411:O436)</f>
        <v>1</v>
      </c>
      <c r="P437" s="88">
        <f t="shared" si="664"/>
        <v>19</v>
      </c>
      <c r="Q437" s="57">
        <f>SUM(Q411:Q436)</f>
        <v>5</v>
      </c>
      <c r="R437" s="50">
        <f t="shared" ref="R437:S437" si="729">SUM(R411:R436)</f>
        <v>4</v>
      </c>
      <c r="S437" s="50">
        <f t="shared" si="729"/>
        <v>1</v>
      </c>
      <c r="T437" s="50">
        <f>SUM(T411:T436)</f>
        <v>2</v>
      </c>
      <c r="U437" s="88">
        <f t="shared" si="665"/>
        <v>12</v>
      </c>
      <c r="V437" s="57">
        <f>SUM(V411:V436)</f>
        <v>8</v>
      </c>
      <c r="W437" s="50">
        <f t="shared" ref="W437:X437" si="730">SUM(W411:W436)</f>
        <v>3</v>
      </c>
      <c r="X437" s="50">
        <f t="shared" si="730"/>
        <v>0</v>
      </c>
      <c r="Y437" s="50">
        <f>SUM(Y411:Y436)</f>
        <v>1</v>
      </c>
      <c r="Z437" s="88">
        <f t="shared" si="666"/>
        <v>12</v>
      </c>
      <c r="AA437" s="109">
        <f t="shared" si="667"/>
        <v>51</v>
      </c>
      <c r="AC437" s="27" t="s">
        <v>12</v>
      </c>
      <c r="AD437" s="57">
        <f>SUM(AD411:AD436)</f>
        <v>45</v>
      </c>
      <c r="AE437" s="50">
        <f t="shared" ref="AE437:AF437" si="731">SUM(AE411:AE436)</f>
        <v>34</v>
      </c>
      <c r="AF437" s="50">
        <f t="shared" si="731"/>
        <v>25</v>
      </c>
      <c r="AG437" s="50">
        <f>SUM(AG411:AG436)</f>
        <v>15</v>
      </c>
      <c r="AH437" s="88">
        <f t="shared" si="656"/>
        <v>119</v>
      </c>
      <c r="AI437" s="57">
        <f>SUM(AI411:AI436)</f>
        <v>42</v>
      </c>
      <c r="AJ437" s="50">
        <f t="shared" ref="AJ437:AK437" si="732">SUM(AJ411:AJ436)</f>
        <v>34</v>
      </c>
      <c r="AK437" s="50">
        <f t="shared" si="732"/>
        <v>25</v>
      </c>
      <c r="AL437" s="50">
        <f>SUM(AL411:AL436)</f>
        <v>15</v>
      </c>
      <c r="AM437" s="88">
        <f t="shared" si="657"/>
        <v>116</v>
      </c>
      <c r="AN437" s="57">
        <f>SUM(AN411:AN436)</f>
        <v>31</v>
      </c>
      <c r="AO437" s="50">
        <f t="shared" ref="AO437:AP437" si="733">SUM(AO411:AO436)</f>
        <v>42</v>
      </c>
      <c r="AP437" s="50">
        <f t="shared" si="733"/>
        <v>36</v>
      </c>
      <c r="AQ437" s="50">
        <f>SUM(AQ411:AQ436)</f>
        <v>24</v>
      </c>
      <c r="AR437" s="88">
        <f t="shared" si="658"/>
        <v>133</v>
      </c>
      <c r="AS437" s="57">
        <f>SUM(AS411:AS436)</f>
        <v>35</v>
      </c>
      <c r="AT437" s="50">
        <f t="shared" ref="AT437:AU437" si="734">SUM(AT411:AT436)</f>
        <v>42</v>
      </c>
      <c r="AU437" s="50">
        <f t="shared" si="734"/>
        <v>36</v>
      </c>
      <c r="AV437" s="50">
        <f>SUM(AV411:AV436)</f>
        <v>24</v>
      </c>
      <c r="AW437" s="88">
        <f t="shared" si="659"/>
        <v>137</v>
      </c>
      <c r="AX437" s="57">
        <f>SUM(AX411:AX436)</f>
        <v>76</v>
      </c>
      <c r="AY437" s="50">
        <f t="shared" ref="AY437:AZ437" si="735">SUM(AY411:AY436)</f>
        <v>76</v>
      </c>
      <c r="AZ437" s="50">
        <f t="shared" si="735"/>
        <v>61</v>
      </c>
      <c r="BA437" s="50">
        <f>SUM(BA411:BA436)</f>
        <v>40</v>
      </c>
      <c r="BB437" s="88">
        <f t="shared" si="660"/>
        <v>253</v>
      </c>
      <c r="BC437" s="109">
        <f t="shared" si="661"/>
        <v>758</v>
      </c>
    </row>
    <row r="438" spans="1:56" ht="14.25" thickBot="1" x14ac:dyDescent="0.2">
      <c r="A438" s="21" t="s">
        <v>13</v>
      </c>
      <c r="B438" s="101">
        <f>B410-B437</f>
        <v>7</v>
      </c>
      <c r="C438" s="8">
        <f t="shared" ref="C438:D438" si="736">C410-C437</f>
        <v>6</v>
      </c>
      <c r="D438" s="8">
        <f t="shared" si="736"/>
        <v>8</v>
      </c>
      <c r="E438" s="8">
        <f>E410-E437</f>
        <v>4</v>
      </c>
      <c r="F438" s="87">
        <f t="shared" si="662"/>
        <v>25</v>
      </c>
      <c r="G438" s="101">
        <f>G410-G437</f>
        <v>5</v>
      </c>
      <c r="H438" s="8">
        <f t="shared" ref="H438:I438" si="737">H410-H437</f>
        <v>4</v>
      </c>
      <c r="I438" s="8">
        <f t="shared" si="737"/>
        <v>7</v>
      </c>
      <c r="J438" s="8">
        <f>J410-J437</f>
        <v>7</v>
      </c>
      <c r="K438" s="87">
        <f t="shared" si="663"/>
        <v>23</v>
      </c>
      <c r="L438" s="101">
        <f>L410-L437</f>
        <v>6</v>
      </c>
      <c r="M438" s="8">
        <f t="shared" ref="M438:N438" si="738">M410-M437</f>
        <v>8</v>
      </c>
      <c r="N438" s="8">
        <f t="shared" si="738"/>
        <v>5</v>
      </c>
      <c r="O438" s="8">
        <f>O410-O437</f>
        <v>3</v>
      </c>
      <c r="P438" s="87">
        <f t="shared" si="664"/>
        <v>22</v>
      </c>
      <c r="Q438" s="101">
        <f>Q410-Q437</f>
        <v>4</v>
      </c>
      <c r="R438" s="8">
        <f t="shared" ref="R438:S438" si="739">R410-R437</f>
        <v>4</v>
      </c>
      <c r="S438" s="8">
        <f t="shared" si="739"/>
        <v>5</v>
      </c>
      <c r="T438" s="8">
        <f>T410-T437</f>
        <v>6</v>
      </c>
      <c r="U438" s="87">
        <f t="shared" si="665"/>
        <v>19</v>
      </c>
      <c r="V438" s="101">
        <f>V410-V437</f>
        <v>3</v>
      </c>
      <c r="W438" s="8">
        <f t="shared" ref="W438:X438" si="740">W410-W437</f>
        <v>7</v>
      </c>
      <c r="X438" s="8">
        <f t="shared" si="740"/>
        <v>6</v>
      </c>
      <c r="Y438" s="8">
        <f>Y410-Y437</f>
        <v>4</v>
      </c>
      <c r="Z438" s="87">
        <f t="shared" si="666"/>
        <v>20</v>
      </c>
      <c r="AA438" s="107">
        <f t="shared" si="667"/>
        <v>109</v>
      </c>
      <c r="AC438" s="29" t="s">
        <v>13</v>
      </c>
      <c r="AD438" s="32">
        <f>AD410-AD437</f>
        <v>507</v>
      </c>
      <c r="AE438" s="44">
        <f t="shared" ref="AE438:AF438" si="741">AE410-AE437</f>
        <v>494</v>
      </c>
      <c r="AF438" s="44">
        <f t="shared" si="741"/>
        <v>359</v>
      </c>
      <c r="AG438" s="44">
        <f>AG410-AG437</f>
        <v>417</v>
      </c>
      <c r="AH438" s="87">
        <f t="shared" si="656"/>
        <v>1777</v>
      </c>
      <c r="AI438" s="32">
        <f>AI410-AI437</f>
        <v>504</v>
      </c>
      <c r="AJ438" s="44">
        <f t="shared" ref="AJ438:AK438" si="742">AJ410-AJ437</f>
        <v>457</v>
      </c>
      <c r="AK438" s="44">
        <f t="shared" si="742"/>
        <v>356</v>
      </c>
      <c r="AL438" s="44">
        <f>AL410-AL437</f>
        <v>427</v>
      </c>
      <c r="AM438" s="87">
        <f t="shared" si="657"/>
        <v>1744</v>
      </c>
      <c r="AN438" s="32">
        <f>AN410-AN437</f>
        <v>447</v>
      </c>
      <c r="AO438" s="44">
        <f t="shared" ref="AO438:AP438" si="743">AO410-AO437</f>
        <v>396</v>
      </c>
      <c r="AP438" s="44">
        <f t="shared" si="743"/>
        <v>271</v>
      </c>
      <c r="AQ438" s="44">
        <f>AQ410-AQ437</f>
        <v>392</v>
      </c>
      <c r="AR438" s="87">
        <f t="shared" si="658"/>
        <v>1506</v>
      </c>
      <c r="AS438" s="32">
        <f>AS410-AS437</f>
        <v>25</v>
      </c>
      <c r="AT438" s="44">
        <f t="shared" ref="AT438:AU438" si="744">AT410-AT437</f>
        <v>302</v>
      </c>
      <c r="AU438" s="44">
        <f t="shared" si="744"/>
        <v>111</v>
      </c>
      <c r="AV438" s="44">
        <f>AV410-AV437</f>
        <v>545</v>
      </c>
      <c r="AW438" s="87">
        <f t="shared" si="659"/>
        <v>983</v>
      </c>
      <c r="AX438" s="32">
        <f>AX410-AX437</f>
        <v>998</v>
      </c>
      <c r="AY438" s="44">
        <f t="shared" ref="AY438:AZ438" si="745">AY410-AY437</f>
        <v>1049</v>
      </c>
      <c r="AZ438" s="44">
        <f t="shared" si="745"/>
        <v>526</v>
      </c>
      <c r="BA438" s="44">
        <f>BA410-BA437</f>
        <v>158</v>
      </c>
      <c r="BB438" s="87">
        <f t="shared" si="660"/>
        <v>2731</v>
      </c>
      <c r="BC438" s="107">
        <f t="shared" si="661"/>
        <v>8741</v>
      </c>
    </row>
    <row r="441" spans="1:56" ht="19.5" thickBot="1" x14ac:dyDescent="0.25">
      <c r="A441" s="271" t="s">
        <v>22</v>
      </c>
      <c r="B441" s="271"/>
      <c r="C441" s="271"/>
      <c r="D441" s="271"/>
      <c r="E441" s="271"/>
      <c r="F441" s="271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C441" s="79" t="s">
        <v>69</v>
      </c>
      <c r="AD441" s="79"/>
      <c r="AE441" s="79"/>
      <c r="AF441" s="79"/>
      <c r="AG441" s="79"/>
      <c r="AH441" s="79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</row>
    <row r="442" spans="1:56" ht="14.25" thickBot="1" x14ac:dyDescent="0.2">
      <c r="A442" s="2" t="s">
        <v>0</v>
      </c>
      <c r="B442" s="256" t="s">
        <v>23</v>
      </c>
      <c r="C442" s="257"/>
      <c r="D442" s="257"/>
      <c r="E442" s="258"/>
      <c r="F442" s="81"/>
      <c r="G442" s="259" t="s">
        <v>24</v>
      </c>
      <c r="H442" s="260"/>
      <c r="I442" s="260"/>
      <c r="J442" s="261"/>
      <c r="K442" s="81"/>
      <c r="L442" s="262" t="s">
        <v>25</v>
      </c>
      <c r="M442" s="263"/>
      <c r="N442" s="263"/>
      <c r="O442" s="264"/>
      <c r="P442" s="81"/>
      <c r="Q442" s="265" t="s">
        <v>26</v>
      </c>
      <c r="R442" s="266"/>
      <c r="S442" s="266"/>
      <c r="T442" s="267"/>
      <c r="U442" s="81"/>
      <c r="V442" s="268" t="s">
        <v>27</v>
      </c>
      <c r="W442" s="269"/>
      <c r="X442" s="269"/>
      <c r="Y442" s="270"/>
      <c r="Z442" s="81"/>
      <c r="AA442" s="272" t="s">
        <v>6</v>
      </c>
      <c r="AC442" s="2" t="s">
        <v>0</v>
      </c>
      <c r="AD442" s="256" t="s">
        <v>23</v>
      </c>
      <c r="AE442" s="257"/>
      <c r="AF442" s="257"/>
      <c r="AG442" s="258"/>
      <c r="AH442" s="81"/>
      <c r="AI442" s="259" t="s">
        <v>24</v>
      </c>
      <c r="AJ442" s="260"/>
      <c r="AK442" s="260"/>
      <c r="AL442" s="261"/>
      <c r="AM442" s="81"/>
      <c r="AN442" s="262" t="s">
        <v>25</v>
      </c>
      <c r="AO442" s="263"/>
      <c r="AP442" s="263"/>
      <c r="AQ442" s="264"/>
      <c r="AR442" s="81"/>
      <c r="AS442" s="265" t="s">
        <v>26</v>
      </c>
      <c r="AT442" s="266"/>
      <c r="AU442" s="266"/>
      <c r="AV442" s="267"/>
      <c r="AW442" s="81"/>
      <c r="AX442" s="268" t="s">
        <v>27</v>
      </c>
      <c r="AY442" s="269"/>
      <c r="AZ442" s="269"/>
      <c r="BA442" s="270"/>
      <c r="BB442" s="81"/>
      <c r="BC442" s="183" t="s">
        <v>6</v>
      </c>
    </row>
    <row r="443" spans="1:56" ht="14.25" thickBot="1" x14ac:dyDescent="0.2">
      <c r="A443" s="2" t="s">
        <v>2</v>
      </c>
      <c r="B443" s="3" t="s">
        <v>3</v>
      </c>
      <c r="C443" s="4" t="s">
        <v>4</v>
      </c>
      <c r="D443" s="5" t="s">
        <v>5</v>
      </c>
      <c r="E443" s="5" t="s">
        <v>20</v>
      </c>
      <c r="F443" s="82" t="s">
        <v>6</v>
      </c>
      <c r="G443" s="89" t="s">
        <v>3</v>
      </c>
      <c r="H443" s="4" t="s">
        <v>4</v>
      </c>
      <c r="I443" s="5" t="s">
        <v>5</v>
      </c>
      <c r="J443" s="5" t="s">
        <v>20</v>
      </c>
      <c r="K443" s="82" t="s">
        <v>6</v>
      </c>
      <c r="L443" s="89" t="s">
        <v>3</v>
      </c>
      <c r="M443" s="4" t="s">
        <v>4</v>
      </c>
      <c r="N443" s="5" t="s">
        <v>5</v>
      </c>
      <c r="O443" s="5" t="s">
        <v>20</v>
      </c>
      <c r="P443" s="82" t="s">
        <v>6</v>
      </c>
      <c r="Q443" s="89" t="s">
        <v>3</v>
      </c>
      <c r="R443" s="4" t="s">
        <v>4</v>
      </c>
      <c r="S443" s="5" t="s">
        <v>5</v>
      </c>
      <c r="T443" s="5" t="s">
        <v>20</v>
      </c>
      <c r="U443" s="82" t="s">
        <v>6</v>
      </c>
      <c r="V443" s="89" t="s">
        <v>3</v>
      </c>
      <c r="W443" s="4" t="s">
        <v>4</v>
      </c>
      <c r="X443" s="5" t="s">
        <v>5</v>
      </c>
      <c r="Y443" s="5" t="s">
        <v>20</v>
      </c>
      <c r="Z443" s="82" t="s">
        <v>6</v>
      </c>
      <c r="AA443" s="273"/>
      <c r="AC443" s="2" t="s">
        <v>2</v>
      </c>
      <c r="AD443" s="3" t="s">
        <v>3</v>
      </c>
      <c r="AE443" s="4" t="s">
        <v>4</v>
      </c>
      <c r="AF443" s="5" t="s">
        <v>5</v>
      </c>
      <c r="AG443" s="5" t="s">
        <v>20</v>
      </c>
      <c r="AH443" s="82" t="s">
        <v>6</v>
      </c>
      <c r="AI443" s="89" t="s">
        <v>3</v>
      </c>
      <c r="AJ443" s="4" t="s">
        <v>4</v>
      </c>
      <c r="AK443" s="5" t="s">
        <v>5</v>
      </c>
      <c r="AL443" s="5" t="s">
        <v>20</v>
      </c>
      <c r="AM443" s="82" t="s">
        <v>6</v>
      </c>
      <c r="AN443" s="89" t="s">
        <v>3</v>
      </c>
      <c r="AO443" s="4" t="s">
        <v>4</v>
      </c>
      <c r="AP443" s="5" t="s">
        <v>5</v>
      </c>
      <c r="AQ443" s="5" t="s">
        <v>20</v>
      </c>
      <c r="AR443" s="82" t="s">
        <v>6</v>
      </c>
      <c r="AS443" s="89" t="s">
        <v>3</v>
      </c>
      <c r="AT443" s="4" t="s">
        <v>4</v>
      </c>
      <c r="AU443" s="5" t="s">
        <v>5</v>
      </c>
      <c r="AV443" s="5" t="s">
        <v>20</v>
      </c>
      <c r="AW443" s="82" t="s">
        <v>6</v>
      </c>
      <c r="AX443" s="89" t="s">
        <v>3</v>
      </c>
      <c r="AY443" s="4" t="s">
        <v>4</v>
      </c>
      <c r="AZ443" s="5" t="s">
        <v>5</v>
      </c>
      <c r="BA443" s="5" t="s">
        <v>20</v>
      </c>
      <c r="BB443" s="82" t="s">
        <v>6</v>
      </c>
      <c r="BC443" s="184"/>
    </row>
    <row r="444" spans="1:56" x14ac:dyDescent="0.15">
      <c r="A444" s="40" t="s">
        <v>13</v>
      </c>
      <c r="B444" s="41">
        <f>B438</f>
        <v>7</v>
      </c>
      <c r="C444" s="42">
        <f>C438</f>
        <v>6</v>
      </c>
      <c r="D444" s="42">
        <f t="shared" ref="D444:AA444" si="746">D438</f>
        <v>8</v>
      </c>
      <c r="E444" s="94">
        <f t="shared" si="746"/>
        <v>4</v>
      </c>
      <c r="F444" s="95">
        <f t="shared" si="746"/>
        <v>25</v>
      </c>
      <c r="G444" s="96">
        <f t="shared" si="746"/>
        <v>5</v>
      </c>
      <c r="H444" s="42">
        <f t="shared" si="746"/>
        <v>4</v>
      </c>
      <c r="I444" s="42">
        <f t="shared" si="746"/>
        <v>7</v>
      </c>
      <c r="J444" s="94">
        <f t="shared" si="746"/>
        <v>7</v>
      </c>
      <c r="K444" s="95">
        <f t="shared" si="746"/>
        <v>23</v>
      </c>
      <c r="L444" s="96">
        <f t="shared" si="746"/>
        <v>6</v>
      </c>
      <c r="M444" s="42">
        <f t="shared" si="746"/>
        <v>8</v>
      </c>
      <c r="N444" s="42">
        <f t="shared" si="746"/>
        <v>5</v>
      </c>
      <c r="O444" s="94">
        <f t="shared" si="746"/>
        <v>3</v>
      </c>
      <c r="P444" s="95">
        <f t="shared" si="746"/>
        <v>22</v>
      </c>
      <c r="Q444" s="96">
        <f t="shared" si="746"/>
        <v>4</v>
      </c>
      <c r="R444" s="42">
        <f t="shared" si="746"/>
        <v>4</v>
      </c>
      <c r="S444" s="42">
        <f t="shared" si="746"/>
        <v>5</v>
      </c>
      <c r="T444" s="94">
        <f t="shared" si="746"/>
        <v>6</v>
      </c>
      <c r="U444" s="95">
        <f t="shared" si="746"/>
        <v>19</v>
      </c>
      <c r="V444" s="96">
        <f t="shared" si="746"/>
        <v>3</v>
      </c>
      <c r="W444" s="42">
        <f t="shared" si="746"/>
        <v>7</v>
      </c>
      <c r="X444" s="42">
        <f t="shared" si="746"/>
        <v>6</v>
      </c>
      <c r="Y444" s="94">
        <f t="shared" si="746"/>
        <v>4</v>
      </c>
      <c r="Z444" s="95">
        <f t="shared" si="746"/>
        <v>20</v>
      </c>
      <c r="AA444" s="104">
        <f t="shared" si="746"/>
        <v>109</v>
      </c>
      <c r="AC444" s="131" t="s">
        <v>13</v>
      </c>
      <c r="AD444" s="96">
        <f>AD438</f>
        <v>507</v>
      </c>
      <c r="AE444" s="42">
        <f>AE438</f>
        <v>494</v>
      </c>
      <c r="AF444" s="42">
        <f t="shared" ref="AF444:BC444" si="747">AF438</f>
        <v>359</v>
      </c>
      <c r="AG444" s="94">
        <f t="shared" si="747"/>
        <v>417</v>
      </c>
      <c r="AH444" s="95">
        <f t="shared" si="747"/>
        <v>1777</v>
      </c>
      <c r="AI444" s="96">
        <f t="shared" si="747"/>
        <v>504</v>
      </c>
      <c r="AJ444" s="42">
        <f t="shared" si="747"/>
        <v>457</v>
      </c>
      <c r="AK444" s="42">
        <f t="shared" si="747"/>
        <v>356</v>
      </c>
      <c r="AL444" s="94">
        <f t="shared" si="747"/>
        <v>427</v>
      </c>
      <c r="AM444" s="95">
        <f t="shared" si="747"/>
        <v>1744</v>
      </c>
      <c r="AN444" s="96">
        <f t="shared" si="747"/>
        <v>447</v>
      </c>
      <c r="AO444" s="42">
        <f t="shared" si="747"/>
        <v>396</v>
      </c>
      <c r="AP444" s="42">
        <f t="shared" si="747"/>
        <v>271</v>
      </c>
      <c r="AQ444" s="94">
        <f t="shared" si="747"/>
        <v>392</v>
      </c>
      <c r="AR444" s="95">
        <f t="shared" si="747"/>
        <v>1506</v>
      </c>
      <c r="AS444" s="96">
        <f t="shared" si="747"/>
        <v>25</v>
      </c>
      <c r="AT444" s="42">
        <f t="shared" si="747"/>
        <v>302</v>
      </c>
      <c r="AU444" s="42">
        <f t="shared" si="747"/>
        <v>111</v>
      </c>
      <c r="AV444" s="94">
        <f t="shared" si="747"/>
        <v>545</v>
      </c>
      <c r="AW444" s="95">
        <f t="shared" si="747"/>
        <v>983</v>
      </c>
      <c r="AX444" s="96">
        <f t="shared" si="747"/>
        <v>998</v>
      </c>
      <c r="AY444" s="42">
        <f t="shared" si="747"/>
        <v>1049</v>
      </c>
      <c r="AZ444" s="42">
        <f t="shared" si="747"/>
        <v>526</v>
      </c>
      <c r="BA444" s="94">
        <f t="shared" si="747"/>
        <v>158</v>
      </c>
      <c r="BB444" s="95">
        <f t="shared" si="747"/>
        <v>2731</v>
      </c>
      <c r="BC444" s="104">
        <f t="shared" si="747"/>
        <v>8741</v>
      </c>
    </row>
    <row r="445" spans="1:56" x14ac:dyDescent="0.15">
      <c r="A445" s="9" t="s">
        <v>171</v>
      </c>
      <c r="B445" s="10"/>
      <c r="C445" s="11"/>
      <c r="D445" s="12"/>
      <c r="E445" s="12"/>
      <c r="F445" s="85">
        <f t="shared" ref="F445:F478" si="748">SUM(B445:E445)</f>
        <v>0</v>
      </c>
      <c r="G445" s="90"/>
      <c r="H445" s="11"/>
      <c r="I445" s="12"/>
      <c r="J445" s="12"/>
      <c r="K445" s="85">
        <f t="shared" ref="K445:K478" si="749">SUM(G445:J445)</f>
        <v>0</v>
      </c>
      <c r="L445" s="90"/>
      <c r="M445" s="11"/>
      <c r="N445" s="12">
        <v>2</v>
      </c>
      <c r="O445" s="12"/>
      <c r="P445" s="85">
        <f t="shared" ref="P445:P478" si="750">SUM(L445:O445)</f>
        <v>2</v>
      </c>
      <c r="Q445" s="90"/>
      <c r="R445" s="11"/>
      <c r="S445" s="12">
        <v>2</v>
      </c>
      <c r="T445" s="12"/>
      <c r="U445" s="85">
        <f t="shared" ref="U445:U478" si="751">SUM(Q445:T445)</f>
        <v>2</v>
      </c>
      <c r="V445" s="90"/>
      <c r="W445" s="11"/>
      <c r="X445" s="12">
        <v>2</v>
      </c>
      <c r="Y445" s="12"/>
      <c r="Z445" s="85">
        <f t="shared" ref="Z445:Z478" si="752">SUM(V445:Y445)</f>
        <v>2</v>
      </c>
      <c r="AA445" s="105">
        <f t="shared" ref="AA445:AA478" si="753">Z445+U445+P445+K445+F445</f>
        <v>6</v>
      </c>
      <c r="AB445" s="115">
        <v>45799</v>
      </c>
      <c r="AC445" s="117" t="s">
        <v>465</v>
      </c>
      <c r="AD445" s="90"/>
      <c r="AE445" s="11"/>
      <c r="AF445" s="12"/>
      <c r="AG445" s="12"/>
      <c r="AH445" s="84">
        <f t="shared" ref="AH445" si="754">SUM(AD445:AG445)</f>
        <v>0</v>
      </c>
      <c r="AI445" s="90"/>
      <c r="AJ445" s="11"/>
      <c r="AK445" s="12"/>
      <c r="AL445" s="12"/>
      <c r="AM445" s="84">
        <f t="shared" ref="AM445" si="755">SUM(AI445:AL445)</f>
        <v>0</v>
      </c>
      <c r="AN445" s="90"/>
      <c r="AO445" s="11"/>
      <c r="AP445" s="12"/>
      <c r="AQ445" s="12"/>
      <c r="AR445" s="84">
        <f t="shared" ref="AR445" si="756">SUM(AN445:AQ445)</f>
        <v>0</v>
      </c>
      <c r="AS445" s="90"/>
      <c r="AT445" s="11"/>
      <c r="AU445" s="12"/>
      <c r="AV445" s="12"/>
      <c r="AW445" s="84">
        <f t="shared" ref="AW445" si="757">SUM(AS445:AV445)</f>
        <v>0</v>
      </c>
      <c r="AX445" s="90"/>
      <c r="AY445" s="11"/>
      <c r="AZ445" s="12"/>
      <c r="BA445" s="12"/>
      <c r="BB445" s="84">
        <f t="shared" ref="BB445" si="758">SUM(AX445:BA445)</f>
        <v>0</v>
      </c>
      <c r="BC445" s="105">
        <f t="shared" ref="BC445" si="759">BB445+AW445+AR445+AM445+AH445</f>
        <v>0</v>
      </c>
    </row>
    <row r="446" spans="1:56" x14ac:dyDescent="0.15">
      <c r="A446" s="9" t="s">
        <v>8</v>
      </c>
      <c r="B446" s="10"/>
      <c r="C446" s="11"/>
      <c r="D446" s="12"/>
      <c r="E446" s="12">
        <v>3</v>
      </c>
      <c r="F446" s="85">
        <f t="shared" si="748"/>
        <v>3</v>
      </c>
      <c r="G446" s="90"/>
      <c r="H446" s="11">
        <v>3</v>
      </c>
      <c r="I446" s="12"/>
      <c r="J446" s="12"/>
      <c r="K446" s="85">
        <f t="shared" si="749"/>
        <v>3</v>
      </c>
      <c r="L446" s="90"/>
      <c r="M446" s="11"/>
      <c r="N446" s="12"/>
      <c r="O446" s="12">
        <v>3</v>
      </c>
      <c r="P446" s="85">
        <f t="shared" si="750"/>
        <v>3</v>
      </c>
      <c r="Q446" s="90"/>
      <c r="R446" s="11">
        <v>3</v>
      </c>
      <c r="S446" s="12"/>
      <c r="T446" s="12"/>
      <c r="U446" s="85">
        <f t="shared" si="751"/>
        <v>3</v>
      </c>
      <c r="V446" s="90">
        <v>5</v>
      </c>
      <c r="W446" s="11"/>
      <c r="X446" s="12"/>
      <c r="Y446" s="12">
        <v>3</v>
      </c>
      <c r="Z446" s="85">
        <f t="shared" si="752"/>
        <v>8</v>
      </c>
      <c r="AA446" s="105">
        <f t="shared" si="753"/>
        <v>20</v>
      </c>
      <c r="AB446" s="114">
        <v>45815</v>
      </c>
      <c r="AC446" s="117" t="s">
        <v>355</v>
      </c>
      <c r="AD446" s="90"/>
      <c r="AE446" s="11"/>
      <c r="AF446" s="12"/>
      <c r="AG446" s="12"/>
      <c r="AH446" s="84">
        <f t="shared" ref="AH446" si="760">SUM(AD446:AG446)</f>
        <v>0</v>
      </c>
      <c r="AI446" s="90"/>
      <c r="AJ446" s="11"/>
      <c r="AK446" s="12"/>
      <c r="AL446" s="12"/>
      <c r="AM446" s="84">
        <f t="shared" ref="AM446" si="761">SUM(AI446:AL446)</f>
        <v>0</v>
      </c>
      <c r="AN446" s="90"/>
      <c r="AO446" s="11"/>
      <c r="AP446" s="12"/>
      <c r="AQ446" s="12"/>
      <c r="AR446" s="84">
        <f t="shared" ref="AR446" si="762">SUM(AN446:AQ446)</f>
        <v>0</v>
      </c>
      <c r="AS446" s="90">
        <v>50</v>
      </c>
      <c r="AT446" s="11"/>
      <c r="AU446" s="12"/>
      <c r="AV446" s="12"/>
      <c r="AW446" s="84">
        <f t="shared" ref="AW446" si="763">SUM(AS446:AV446)</f>
        <v>50</v>
      </c>
      <c r="AX446" s="90"/>
      <c r="AY446" s="11"/>
      <c r="AZ446" s="12"/>
      <c r="BA446" s="12"/>
      <c r="BB446" s="84">
        <f t="shared" ref="BB446" si="764">SUM(AX446:BA446)</f>
        <v>0</v>
      </c>
      <c r="BC446" s="105">
        <f t="shared" ref="BC446" si="765">BB446+AW446+AR446+AM446+AH446</f>
        <v>50</v>
      </c>
      <c r="BD446" s="114" t="s">
        <v>495</v>
      </c>
    </row>
    <row r="447" spans="1:56" x14ac:dyDescent="0.15">
      <c r="A447" s="9" t="s">
        <v>171</v>
      </c>
      <c r="B447" s="15"/>
      <c r="C447" s="16"/>
      <c r="D447" s="17"/>
      <c r="E447" s="17"/>
      <c r="F447" s="85">
        <f t="shared" si="748"/>
        <v>0</v>
      </c>
      <c r="G447" s="91"/>
      <c r="H447" s="16"/>
      <c r="I447" s="17"/>
      <c r="J447" s="17"/>
      <c r="K447" s="85">
        <f t="shared" si="749"/>
        <v>0</v>
      </c>
      <c r="L447" s="91">
        <v>1</v>
      </c>
      <c r="M447" s="16"/>
      <c r="N447" s="17"/>
      <c r="O447" s="17"/>
      <c r="P447" s="85">
        <f t="shared" si="750"/>
        <v>1</v>
      </c>
      <c r="Q447" s="91">
        <v>1</v>
      </c>
      <c r="R447" s="16"/>
      <c r="S447" s="17"/>
      <c r="T447" s="17"/>
      <c r="U447" s="85">
        <f t="shared" si="751"/>
        <v>1</v>
      </c>
      <c r="V447" s="91">
        <v>1</v>
      </c>
      <c r="W447" s="16"/>
      <c r="X447" s="17"/>
      <c r="Y447" s="17"/>
      <c r="Z447" s="85">
        <f t="shared" si="752"/>
        <v>1</v>
      </c>
      <c r="AA447" s="105">
        <f t="shared" si="753"/>
        <v>3</v>
      </c>
      <c r="AB447" s="114">
        <v>45824</v>
      </c>
      <c r="AC447" s="117" t="s">
        <v>354</v>
      </c>
      <c r="AD447" s="90"/>
      <c r="AE447" s="11"/>
      <c r="AF447" s="12"/>
      <c r="AG447" s="12"/>
      <c r="AH447" s="84">
        <f t="shared" ref="AH447:AH478" si="766">SUM(AD447:AG447)</f>
        <v>0</v>
      </c>
      <c r="AI447" s="90"/>
      <c r="AJ447" s="11"/>
      <c r="AK447" s="12"/>
      <c r="AL447" s="12"/>
      <c r="AM447" s="84">
        <f t="shared" ref="AM447:AM478" si="767">SUM(AI447:AL447)</f>
        <v>0</v>
      </c>
      <c r="AN447" s="90"/>
      <c r="AO447" s="11"/>
      <c r="AP447" s="12"/>
      <c r="AQ447" s="12"/>
      <c r="AR447" s="84">
        <f t="shared" ref="AR447:AR478" si="768">SUM(AN447:AQ447)</f>
        <v>0</v>
      </c>
      <c r="AS447" s="90"/>
      <c r="AT447" s="11"/>
      <c r="AU447" s="12"/>
      <c r="AV447" s="12"/>
      <c r="AW447" s="84">
        <f t="shared" ref="AW447:AW478" si="769">SUM(AS447:AV447)</f>
        <v>0</v>
      </c>
      <c r="AX447" s="90"/>
      <c r="AY447" s="11"/>
      <c r="AZ447" s="12"/>
      <c r="BA447" s="12"/>
      <c r="BB447" s="84">
        <f t="shared" ref="BB447:BB478" si="770">SUM(AX447:BA447)</f>
        <v>0</v>
      </c>
      <c r="BC447" s="105">
        <f t="shared" ref="BC447:BC478" si="771">BB447+AW447+AR447+AM447+AH447</f>
        <v>0</v>
      </c>
    </row>
    <row r="448" spans="1:56" x14ac:dyDescent="0.15">
      <c r="A448" s="9" t="s">
        <v>448</v>
      </c>
      <c r="B448" s="15">
        <v>3</v>
      </c>
      <c r="C448" s="16">
        <v>2</v>
      </c>
      <c r="D448" s="17">
        <v>3</v>
      </c>
      <c r="E448" s="17">
        <v>2</v>
      </c>
      <c r="F448" s="85">
        <f t="shared" si="748"/>
        <v>10</v>
      </c>
      <c r="G448" s="15">
        <v>3</v>
      </c>
      <c r="H448" s="16">
        <v>2</v>
      </c>
      <c r="I448" s="17">
        <v>3</v>
      </c>
      <c r="J448" s="17">
        <v>2</v>
      </c>
      <c r="K448" s="85">
        <f t="shared" si="749"/>
        <v>10</v>
      </c>
      <c r="L448" s="91"/>
      <c r="M448" s="16"/>
      <c r="N448" s="17"/>
      <c r="O448" s="17"/>
      <c r="P448" s="85">
        <f t="shared" si="750"/>
        <v>0</v>
      </c>
      <c r="Q448" s="91"/>
      <c r="R448" s="16"/>
      <c r="S448" s="17"/>
      <c r="T448" s="17"/>
      <c r="U448" s="85">
        <f t="shared" si="751"/>
        <v>0</v>
      </c>
      <c r="V448" s="15">
        <v>3</v>
      </c>
      <c r="W448" s="16">
        <v>2</v>
      </c>
      <c r="X448" s="17">
        <v>3</v>
      </c>
      <c r="Y448" s="17">
        <v>2</v>
      </c>
      <c r="Z448" s="85">
        <f t="shared" si="752"/>
        <v>10</v>
      </c>
      <c r="AA448" s="105">
        <f t="shared" si="753"/>
        <v>30</v>
      </c>
      <c r="AB448" s="115">
        <v>45825</v>
      </c>
      <c r="AC448" s="117" t="s">
        <v>10</v>
      </c>
      <c r="AD448" s="90"/>
      <c r="AE448" s="11"/>
      <c r="AF448" s="12"/>
      <c r="AG448" s="12"/>
      <c r="AH448" s="84">
        <f t="shared" si="766"/>
        <v>0</v>
      </c>
      <c r="AI448" s="90"/>
      <c r="AJ448" s="11"/>
      <c r="AK448" s="12"/>
      <c r="AL448" s="12"/>
      <c r="AM448" s="84">
        <f t="shared" si="767"/>
        <v>0</v>
      </c>
      <c r="AN448" s="90"/>
      <c r="AO448" s="11"/>
      <c r="AP448" s="12"/>
      <c r="AQ448" s="12"/>
      <c r="AR448" s="84">
        <f t="shared" si="768"/>
        <v>0</v>
      </c>
      <c r="AS448" s="90"/>
      <c r="AT448" s="11"/>
      <c r="AU448" s="12"/>
      <c r="AV448" s="12"/>
      <c r="AW448" s="84">
        <f t="shared" si="769"/>
        <v>0</v>
      </c>
      <c r="AX448" s="90"/>
      <c r="AY448" s="11"/>
      <c r="AZ448" s="12"/>
      <c r="BA448" s="12"/>
      <c r="BB448" s="84">
        <f t="shared" si="770"/>
        <v>0</v>
      </c>
      <c r="BC448" s="105">
        <f t="shared" si="771"/>
        <v>0</v>
      </c>
    </row>
    <row r="449" spans="1:57" ht="14.25" thickBot="1" x14ac:dyDescent="0.2">
      <c r="A449" s="9" t="s">
        <v>448</v>
      </c>
      <c r="B449" s="15"/>
      <c r="C449" s="16"/>
      <c r="D449" s="17"/>
      <c r="E449" s="17"/>
      <c r="F449" s="92">
        <f t="shared" si="748"/>
        <v>0</v>
      </c>
      <c r="G449" s="91"/>
      <c r="H449" s="16"/>
      <c r="I449" s="17"/>
      <c r="J449" s="17"/>
      <c r="K449" s="92">
        <f t="shared" si="749"/>
        <v>0</v>
      </c>
      <c r="L449" s="91">
        <v>4</v>
      </c>
      <c r="M449" s="16">
        <v>2</v>
      </c>
      <c r="N449" s="17">
        <v>3</v>
      </c>
      <c r="O449" s="17">
        <v>2</v>
      </c>
      <c r="P449" s="92">
        <f t="shared" si="750"/>
        <v>11</v>
      </c>
      <c r="Q449" s="91">
        <v>4</v>
      </c>
      <c r="R449" s="16">
        <v>2</v>
      </c>
      <c r="S449" s="17">
        <v>3</v>
      </c>
      <c r="T449" s="17">
        <v>2</v>
      </c>
      <c r="U449" s="92">
        <f t="shared" si="751"/>
        <v>11</v>
      </c>
      <c r="V449" s="91">
        <v>4</v>
      </c>
      <c r="W449" s="16">
        <v>2</v>
      </c>
      <c r="X449" s="17">
        <v>3</v>
      </c>
      <c r="Y449" s="17">
        <v>2</v>
      </c>
      <c r="Z449" s="92">
        <f t="shared" si="752"/>
        <v>11</v>
      </c>
      <c r="AA449" s="110">
        <f t="shared" si="753"/>
        <v>33</v>
      </c>
      <c r="AB449" s="115">
        <v>45825</v>
      </c>
      <c r="AC449" s="132" t="s">
        <v>11</v>
      </c>
      <c r="AD449" s="91"/>
      <c r="AE449" s="16"/>
      <c r="AF449" s="17"/>
      <c r="AG449" s="17"/>
      <c r="AH449" s="92">
        <f t="shared" si="766"/>
        <v>0</v>
      </c>
      <c r="AI449" s="91"/>
      <c r="AJ449" s="16"/>
      <c r="AK449" s="17"/>
      <c r="AL449" s="17"/>
      <c r="AM449" s="92">
        <f t="shared" si="767"/>
        <v>0</v>
      </c>
      <c r="AN449" s="91"/>
      <c r="AO449" s="16"/>
      <c r="AP449" s="17"/>
      <c r="AQ449" s="17"/>
      <c r="AR449" s="92">
        <f t="shared" si="768"/>
        <v>0</v>
      </c>
      <c r="AS449" s="91"/>
      <c r="AT449" s="16"/>
      <c r="AU449" s="17"/>
      <c r="AV449" s="17"/>
      <c r="AW449" s="92">
        <f t="shared" si="769"/>
        <v>0</v>
      </c>
      <c r="AX449" s="91"/>
      <c r="AY449" s="16"/>
      <c r="AZ449" s="17"/>
      <c r="BA449" s="17"/>
      <c r="BB449" s="92">
        <f t="shared" si="770"/>
        <v>0</v>
      </c>
      <c r="BC449" s="110">
        <f t="shared" si="771"/>
        <v>0</v>
      </c>
    </row>
    <row r="450" spans="1:57" ht="14.25" thickBot="1" x14ac:dyDescent="0.2">
      <c r="A450" s="21" t="s">
        <v>16</v>
      </c>
      <c r="B450" s="7">
        <f>SUM(B444:B449)</f>
        <v>10</v>
      </c>
      <c r="C450" s="8">
        <f t="shared" ref="C450:E450" si="772">SUM(C444:C449)</f>
        <v>8</v>
      </c>
      <c r="D450" s="22">
        <f t="shared" si="772"/>
        <v>11</v>
      </c>
      <c r="E450" s="22">
        <f t="shared" si="772"/>
        <v>9</v>
      </c>
      <c r="F450" s="87">
        <f t="shared" si="748"/>
        <v>38</v>
      </c>
      <c r="G450" s="7">
        <f>SUM(G444:G449)</f>
        <v>8</v>
      </c>
      <c r="H450" s="8">
        <f t="shared" ref="H450:J450" si="773">SUM(H444:H449)</f>
        <v>9</v>
      </c>
      <c r="I450" s="22">
        <f t="shared" si="773"/>
        <v>10</v>
      </c>
      <c r="J450" s="22">
        <f t="shared" si="773"/>
        <v>9</v>
      </c>
      <c r="K450" s="87">
        <f t="shared" si="749"/>
        <v>36</v>
      </c>
      <c r="L450" s="7">
        <f>SUM(L444:L449)</f>
        <v>11</v>
      </c>
      <c r="M450" s="8">
        <f t="shared" ref="M450:O450" si="774">SUM(M444:M449)</f>
        <v>10</v>
      </c>
      <c r="N450" s="22">
        <f t="shared" si="774"/>
        <v>10</v>
      </c>
      <c r="O450" s="22">
        <f t="shared" si="774"/>
        <v>8</v>
      </c>
      <c r="P450" s="87">
        <f t="shared" si="750"/>
        <v>39</v>
      </c>
      <c r="Q450" s="7">
        <f>SUM(Q444:Q449)</f>
        <v>9</v>
      </c>
      <c r="R450" s="8">
        <f t="shared" ref="R450:T450" si="775">SUM(R444:R449)</f>
        <v>9</v>
      </c>
      <c r="S450" s="22">
        <f t="shared" si="775"/>
        <v>10</v>
      </c>
      <c r="T450" s="22">
        <f t="shared" si="775"/>
        <v>8</v>
      </c>
      <c r="U450" s="87">
        <f t="shared" si="751"/>
        <v>36</v>
      </c>
      <c r="V450" s="7">
        <f>SUM(V444:V449)</f>
        <v>16</v>
      </c>
      <c r="W450" s="8">
        <f t="shared" ref="W450:Y450" si="776">SUM(W444:W449)</f>
        <v>11</v>
      </c>
      <c r="X450" s="22">
        <f t="shared" si="776"/>
        <v>14</v>
      </c>
      <c r="Y450" s="22">
        <f t="shared" si="776"/>
        <v>11</v>
      </c>
      <c r="Z450" s="87">
        <f t="shared" si="752"/>
        <v>52</v>
      </c>
      <c r="AA450" s="107">
        <f t="shared" si="753"/>
        <v>201</v>
      </c>
      <c r="AC450" s="21" t="s">
        <v>16</v>
      </c>
      <c r="AD450" s="7">
        <f>SUM(AD444:AD449)</f>
        <v>507</v>
      </c>
      <c r="AE450" s="8">
        <f t="shared" ref="AE450:AG450" si="777">SUM(AE444:AE449)</f>
        <v>494</v>
      </c>
      <c r="AF450" s="22">
        <f t="shared" si="777"/>
        <v>359</v>
      </c>
      <c r="AG450" s="22">
        <f t="shared" si="777"/>
        <v>417</v>
      </c>
      <c r="AH450" s="87">
        <f t="shared" si="766"/>
        <v>1777</v>
      </c>
      <c r="AI450" s="7">
        <f>SUM(AI444:AI449)</f>
        <v>504</v>
      </c>
      <c r="AJ450" s="8">
        <f t="shared" ref="AJ450:AL450" si="778">SUM(AJ444:AJ449)</f>
        <v>457</v>
      </c>
      <c r="AK450" s="22">
        <f t="shared" si="778"/>
        <v>356</v>
      </c>
      <c r="AL450" s="22">
        <f t="shared" si="778"/>
        <v>427</v>
      </c>
      <c r="AM450" s="87">
        <f t="shared" si="767"/>
        <v>1744</v>
      </c>
      <c r="AN450" s="7">
        <f>SUM(AN444:AN449)</f>
        <v>447</v>
      </c>
      <c r="AO450" s="8">
        <f t="shared" ref="AO450:AQ450" si="779">SUM(AO444:AO449)</f>
        <v>396</v>
      </c>
      <c r="AP450" s="22">
        <f t="shared" si="779"/>
        <v>271</v>
      </c>
      <c r="AQ450" s="22">
        <f t="shared" si="779"/>
        <v>392</v>
      </c>
      <c r="AR450" s="87">
        <f t="shared" si="768"/>
        <v>1506</v>
      </c>
      <c r="AS450" s="7">
        <f>SUM(AS444:AS449)</f>
        <v>75</v>
      </c>
      <c r="AT450" s="8">
        <f t="shared" ref="AT450:AV450" si="780">SUM(AT444:AT449)</f>
        <v>302</v>
      </c>
      <c r="AU450" s="22">
        <f t="shared" si="780"/>
        <v>111</v>
      </c>
      <c r="AV450" s="22">
        <f t="shared" si="780"/>
        <v>545</v>
      </c>
      <c r="AW450" s="87">
        <f t="shared" si="769"/>
        <v>1033</v>
      </c>
      <c r="AX450" s="7">
        <f>SUM(AX444:AX449)</f>
        <v>998</v>
      </c>
      <c r="AY450" s="8">
        <f t="shared" ref="AY450:BA450" si="781">SUM(AY444:AY449)</f>
        <v>1049</v>
      </c>
      <c r="AZ450" s="22">
        <f t="shared" si="781"/>
        <v>526</v>
      </c>
      <c r="BA450" s="22">
        <f t="shared" si="781"/>
        <v>158</v>
      </c>
      <c r="BB450" s="87">
        <f t="shared" si="770"/>
        <v>2731</v>
      </c>
      <c r="BC450" s="107">
        <f t="shared" si="771"/>
        <v>8791</v>
      </c>
    </row>
    <row r="451" spans="1:57" x14ac:dyDescent="0.15">
      <c r="A451" s="23" t="s">
        <v>43</v>
      </c>
      <c r="B451" s="15"/>
      <c r="C451" s="16"/>
      <c r="D451" s="17"/>
      <c r="E451" s="17"/>
      <c r="F451" s="85">
        <f t="shared" ref="F451:F452" si="782">SUM(B451:E451)</f>
        <v>0</v>
      </c>
      <c r="G451" s="15"/>
      <c r="H451" s="16"/>
      <c r="I451" s="17"/>
      <c r="J451" s="17"/>
      <c r="K451" s="85">
        <f t="shared" ref="K451:K452" si="783">SUM(G451:J451)</f>
        <v>0</v>
      </c>
      <c r="L451" s="15"/>
      <c r="M451" s="16"/>
      <c r="N451" s="17"/>
      <c r="O451" s="17"/>
      <c r="P451" s="85">
        <f t="shared" ref="P451:P452" si="784">SUM(L451:O451)</f>
        <v>0</v>
      </c>
      <c r="Q451" s="15">
        <v>1</v>
      </c>
      <c r="R451" s="16"/>
      <c r="S451" s="17"/>
      <c r="T451" s="17"/>
      <c r="U451" s="85">
        <f t="shared" ref="U451:U452" si="785">SUM(Q451:T451)</f>
        <v>1</v>
      </c>
      <c r="V451" s="15">
        <v>1</v>
      </c>
      <c r="W451" s="16"/>
      <c r="X451" s="17"/>
      <c r="Y451" s="17"/>
      <c r="Z451" s="85">
        <f t="shared" ref="Z451:Z452" si="786">SUM(V451:Y451)</f>
        <v>1</v>
      </c>
      <c r="AA451" s="105">
        <f t="shared" ref="AA451:AA452" si="787">Z451+U451+P451+K451+F451</f>
        <v>2</v>
      </c>
      <c r="AB451" s="115">
        <v>45813</v>
      </c>
      <c r="AC451" s="23" t="s">
        <v>35</v>
      </c>
      <c r="AD451" s="15"/>
      <c r="AE451" s="16"/>
      <c r="AF451" s="17"/>
      <c r="AG451" s="17"/>
      <c r="AH451" s="85">
        <f t="shared" ref="AH451:AH464" si="788">SUM(AD451:AG451)</f>
        <v>0</v>
      </c>
      <c r="AI451" s="15"/>
      <c r="AJ451" s="16"/>
      <c r="AK451" s="17"/>
      <c r="AL451" s="17"/>
      <c r="AM451" s="85">
        <f t="shared" ref="AM451:AM464" si="789">SUM(AI451:AL451)</f>
        <v>0</v>
      </c>
      <c r="AN451" s="15"/>
      <c r="AO451" s="16"/>
      <c r="AP451" s="17">
        <v>5</v>
      </c>
      <c r="AQ451" s="17"/>
      <c r="AR451" s="85">
        <f t="shared" ref="AR451:AR464" si="790">SUM(AN451:AQ451)</f>
        <v>5</v>
      </c>
      <c r="AS451" s="15"/>
      <c r="AT451" s="16"/>
      <c r="AU451" s="17"/>
      <c r="AV451" s="17"/>
      <c r="AW451" s="85">
        <f t="shared" ref="AW451:AW464" si="791">SUM(AS451:AV451)</f>
        <v>0</v>
      </c>
      <c r="AX451" s="15"/>
      <c r="AY451" s="16"/>
      <c r="AZ451" s="17"/>
      <c r="BA451" s="17"/>
      <c r="BB451" s="85">
        <f t="shared" ref="BB451:BB464" si="792">SUM(AX451:BA451)</f>
        <v>0</v>
      </c>
      <c r="BC451" s="105">
        <f t="shared" ref="BC451:BC464" si="793">BB451+AW451+AR451+AM451+AH451</f>
        <v>5</v>
      </c>
      <c r="BD451" s="114">
        <v>45791</v>
      </c>
    </row>
    <row r="452" spans="1:57" x14ac:dyDescent="0.15">
      <c r="A452" s="23" t="s">
        <v>43</v>
      </c>
      <c r="B452" s="15"/>
      <c r="C452" s="16"/>
      <c r="D452" s="17"/>
      <c r="E452" s="17"/>
      <c r="F452" s="85">
        <f t="shared" si="782"/>
        <v>0</v>
      </c>
      <c r="G452" s="15"/>
      <c r="H452" s="16"/>
      <c r="I452" s="17"/>
      <c r="J452" s="17"/>
      <c r="K452" s="85">
        <f t="shared" si="783"/>
        <v>0</v>
      </c>
      <c r="L452" s="15"/>
      <c r="M452" s="16"/>
      <c r="N452" s="17"/>
      <c r="O452" s="17"/>
      <c r="P452" s="85">
        <f t="shared" si="784"/>
        <v>0</v>
      </c>
      <c r="Q452" s="15"/>
      <c r="R452" s="16"/>
      <c r="S452" s="17"/>
      <c r="T452" s="17"/>
      <c r="U452" s="85">
        <f t="shared" si="785"/>
        <v>0</v>
      </c>
      <c r="V452" s="15">
        <v>1</v>
      </c>
      <c r="W452" s="16"/>
      <c r="X452" s="17"/>
      <c r="Y452" s="17"/>
      <c r="Z452" s="85">
        <f t="shared" si="786"/>
        <v>1</v>
      </c>
      <c r="AA452" s="105">
        <f t="shared" si="787"/>
        <v>1</v>
      </c>
      <c r="AB452" s="115">
        <v>45814</v>
      </c>
      <c r="AC452" s="53" t="s">
        <v>447</v>
      </c>
      <c r="AD452" s="15"/>
      <c r="AE452" s="16"/>
      <c r="AF452" s="17">
        <v>3</v>
      </c>
      <c r="AG452" s="17"/>
      <c r="AH452" s="85">
        <f t="shared" si="788"/>
        <v>3</v>
      </c>
      <c r="AI452" s="15"/>
      <c r="AJ452" s="16"/>
      <c r="AK452" s="17">
        <v>3</v>
      </c>
      <c r="AL452" s="17"/>
      <c r="AM452" s="85">
        <f t="shared" si="789"/>
        <v>3</v>
      </c>
      <c r="AN452" s="15"/>
      <c r="AO452" s="16"/>
      <c r="AP452" s="17"/>
      <c r="AQ452" s="17"/>
      <c r="AR452" s="85">
        <f t="shared" si="790"/>
        <v>0</v>
      </c>
      <c r="AS452" s="15"/>
      <c r="AT452" s="16"/>
      <c r="AU452" s="17"/>
      <c r="AV452" s="17"/>
      <c r="AW452" s="85">
        <f t="shared" si="791"/>
        <v>0</v>
      </c>
      <c r="AX452" s="15"/>
      <c r="AY452" s="16"/>
      <c r="AZ452" s="17">
        <v>3</v>
      </c>
      <c r="BA452" s="17"/>
      <c r="BB452" s="85">
        <f t="shared" si="792"/>
        <v>3</v>
      </c>
      <c r="BC452" s="105">
        <f t="shared" si="793"/>
        <v>9</v>
      </c>
      <c r="BD452" s="114">
        <v>45798</v>
      </c>
      <c r="BE452" s="76"/>
    </row>
    <row r="453" spans="1:57" x14ac:dyDescent="0.15">
      <c r="A453" s="23" t="s">
        <v>43</v>
      </c>
      <c r="B453" s="15"/>
      <c r="C453" s="16"/>
      <c r="D453" s="17"/>
      <c r="E453" s="17"/>
      <c r="F453" s="85">
        <f t="shared" si="748"/>
        <v>0</v>
      </c>
      <c r="G453" s="15"/>
      <c r="H453" s="16"/>
      <c r="I453" s="17"/>
      <c r="J453" s="17"/>
      <c r="K453" s="85">
        <f t="shared" si="749"/>
        <v>0</v>
      </c>
      <c r="L453" s="15"/>
      <c r="M453" s="16"/>
      <c r="N453" s="17"/>
      <c r="O453" s="17"/>
      <c r="P453" s="85">
        <f t="shared" si="750"/>
        <v>0</v>
      </c>
      <c r="Q453" s="15"/>
      <c r="R453" s="16"/>
      <c r="S453" s="17"/>
      <c r="T453" s="17"/>
      <c r="U453" s="85">
        <f t="shared" si="751"/>
        <v>0</v>
      </c>
      <c r="V453" s="15"/>
      <c r="W453" s="16">
        <v>1</v>
      </c>
      <c r="X453" s="17"/>
      <c r="Y453" s="17"/>
      <c r="Z453" s="85">
        <f t="shared" si="752"/>
        <v>1</v>
      </c>
      <c r="AA453" s="105">
        <f t="shared" si="753"/>
        <v>1</v>
      </c>
      <c r="AB453" s="115">
        <v>45817</v>
      </c>
      <c r="AC453" s="53" t="s">
        <v>449</v>
      </c>
      <c r="AD453" s="15">
        <v>7</v>
      </c>
      <c r="AE453" s="16"/>
      <c r="AF453" s="17">
        <v>3</v>
      </c>
      <c r="AG453" s="17"/>
      <c r="AH453" s="85">
        <f t="shared" si="788"/>
        <v>10</v>
      </c>
      <c r="AI453" s="15">
        <v>7</v>
      </c>
      <c r="AJ453" s="16"/>
      <c r="AK453" s="17">
        <v>3</v>
      </c>
      <c r="AL453" s="17"/>
      <c r="AM453" s="85">
        <f t="shared" si="789"/>
        <v>10</v>
      </c>
      <c r="AN453" s="15"/>
      <c r="AO453" s="16"/>
      <c r="AP453" s="17"/>
      <c r="AQ453" s="17"/>
      <c r="AR453" s="85">
        <f t="shared" si="790"/>
        <v>0</v>
      </c>
      <c r="AS453" s="15"/>
      <c r="AT453" s="16"/>
      <c r="AU453" s="17"/>
      <c r="AV453" s="17"/>
      <c r="AW453" s="85">
        <f t="shared" si="791"/>
        <v>0</v>
      </c>
      <c r="AX453" s="15">
        <v>7</v>
      </c>
      <c r="AY453" s="16"/>
      <c r="AZ453" s="17">
        <v>3</v>
      </c>
      <c r="BA453" s="17"/>
      <c r="BB453" s="85">
        <f t="shared" si="792"/>
        <v>10</v>
      </c>
      <c r="BC453" s="105">
        <f t="shared" si="793"/>
        <v>30</v>
      </c>
      <c r="BD453" s="114">
        <v>45800</v>
      </c>
      <c r="BE453" s="76"/>
    </row>
    <row r="454" spans="1:57" x14ac:dyDescent="0.15">
      <c r="A454" s="23" t="s">
        <v>43</v>
      </c>
      <c r="B454" s="15"/>
      <c r="C454" s="16">
        <v>1</v>
      </c>
      <c r="D454" s="17"/>
      <c r="E454" s="17">
        <v>1</v>
      </c>
      <c r="F454" s="85">
        <f t="shared" si="748"/>
        <v>2</v>
      </c>
      <c r="G454" s="15"/>
      <c r="H454" s="16">
        <v>1</v>
      </c>
      <c r="I454" s="17"/>
      <c r="J454" s="17"/>
      <c r="K454" s="85">
        <f t="shared" si="749"/>
        <v>1</v>
      </c>
      <c r="L454" s="15"/>
      <c r="M454" s="16">
        <v>1</v>
      </c>
      <c r="N454" s="17">
        <v>1</v>
      </c>
      <c r="O454" s="17"/>
      <c r="P454" s="85">
        <f t="shared" si="750"/>
        <v>2</v>
      </c>
      <c r="Q454" s="15"/>
      <c r="R454" s="16"/>
      <c r="S454" s="17"/>
      <c r="T454" s="17"/>
      <c r="U454" s="85">
        <f t="shared" si="751"/>
        <v>0</v>
      </c>
      <c r="V454" s="15"/>
      <c r="W454" s="16">
        <f>1+2</f>
        <v>3</v>
      </c>
      <c r="X454" s="17">
        <v>2</v>
      </c>
      <c r="Y454" s="17"/>
      <c r="Z454" s="85">
        <f t="shared" si="752"/>
        <v>5</v>
      </c>
      <c r="AA454" s="105">
        <f t="shared" si="753"/>
        <v>10</v>
      </c>
      <c r="AB454" s="115">
        <v>45824</v>
      </c>
      <c r="AC454" s="53" t="s">
        <v>450</v>
      </c>
      <c r="AD454" s="15"/>
      <c r="AE454" s="16"/>
      <c r="AF454" s="17"/>
      <c r="AG454" s="17"/>
      <c r="AH454" s="85">
        <f t="shared" si="788"/>
        <v>0</v>
      </c>
      <c r="AI454" s="15"/>
      <c r="AJ454" s="16"/>
      <c r="AK454" s="17"/>
      <c r="AL454" s="17"/>
      <c r="AM454" s="85">
        <f t="shared" si="789"/>
        <v>0</v>
      </c>
      <c r="AN454" s="15"/>
      <c r="AO454" s="16">
        <v>11</v>
      </c>
      <c r="AP454" s="17"/>
      <c r="AQ454" s="17"/>
      <c r="AR454" s="85">
        <f t="shared" si="790"/>
        <v>11</v>
      </c>
      <c r="AS454" s="15"/>
      <c r="AT454" s="16">
        <v>11</v>
      </c>
      <c r="AU454" s="17"/>
      <c r="AV454" s="17"/>
      <c r="AW454" s="85">
        <f t="shared" si="791"/>
        <v>11</v>
      </c>
      <c r="AX454" s="15"/>
      <c r="AY454" s="16">
        <v>11</v>
      </c>
      <c r="AZ454" s="17"/>
      <c r="BA454" s="17"/>
      <c r="BB454" s="85">
        <f t="shared" si="792"/>
        <v>11</v>
      </c>
      <c r="BC454" s="105">
        <f t="shared" si="793"/>
        <v>33</v>
      </c>
      <c r="BD454" s="114">
        <v>45800</v>
      </c>
      <c r="BE454" s="76"/>
    </row>
    <row r="455" spans="1:57" x14ac:dyDescent="0.15">
      <c r="A455" s="23" t="s">
        <v>43</v>
      </c>
      <c r="B455" s="15"/>
      <c r="C455" s="16"/>
      <c r="D455" s="17"/>
      <c r="E455" s="17">
        <v>1</v>
      </c>
      <c r="F455" s="85">
        <f t="shared" si="748"/>
        <v>1</v>
      </c>
      <c r="G455" s="15"/>
      <c r="H455" s="16"/>
      <c r="I455" s="17"/>
      <c r="J455" s="17">
        <v>1</v>
      </c>
      <c r="K455" s="85">
        <f t="shared" si="749"/>
        <v>1</v>
      </c>
      <c r="L455" s="15"/>
      <c r="M455" s="16"/>
      <c r="N455" s="17"/>
      <c r="O455" s="17">
        <v>1</v>
      </c>
      <c r="P455" s="85">
        <f t="shared" si="750"/>
        <v>1</v>
      </c>
      <c r="Q455" s="15"/>
      <c r="R455" s="16"/>
      <c r="S455" s="17"/>
      <c r="T455" s="17">
        <v>1</v>
      </c>
      <c r="U455" s="85">
        <f t="shared" si="751"/>
        <v>1</v>
      </c>
      <c r="V455" s="15"/>
      <c r="W455" s="16"/>
      <c r="X455" s="17"/>
      <c r="Y455" s="17">
        <v>1</v>
      </c>
      <c r="Z455" s="85">
        <f t="shared" si="752"/>
        <v>1</v>
      </c>
      <c r="AA455" s="105">
        <f t="shared" si="753"/>
        <v>5</v>
      </c>
      <c r="AB455" s="115">
        <v>45831</v>
      </c>
      <c r="AC455" s="53" t="s">
        <v>451</v>
      </c>
      <c r="AD455" s="15"/>
      <c r="AE455" s="16"/>
      <c r="AF455" s="17"/>
      <c r="AG455" s="17"/>
      <c r="AH455" s="85">
        <f t="shared" si="788"/>
        <v>0</v>
      </c>
      <c r="AI455" s="15"/>
      <c r="AJ455" s="16"/>
      <c r="AK455" s="17"/>
      <c r="AL455" s="17"/>
      <c r="AM455" s="85">
        <f t="shared" si="789"/>
        <v>0</v>
      </c>
      <c r="AN455" s="15"/>
      <c r="AO455" s="16">
        <v>4</v>
      </c>
      <c r="AP455" s="17"/>
      <c r="AQ455" s="17"/>
      <c r="AR455" s="85">
        <f t="shared" si="790"/>
        <v>4</v>
      </c>
      <c r="AS455" s="15"/>
      <c r="AT455" s="16">
        <v>4</v>
      </c>
      <c r="AU455" s="17"/>
      <c r="AV455" s="17"/>
      <c r="AW455" s="85">
        <f t="shared" si="791"/>
        <v>4</v>
      </c>
      <c r="AX455" s="15"/>
      <c r="AY455" s="16">
        <v>4</v>
      </c>
      <c r="AZ455" s="17"/>
      <c r="BA455" s="17"/>
      <c r="BB455" s="85">
        <f t="shared" si="792"/>
        <v>4</v>
      </c>
      <c r="BC455" s="105">
        <f t="shared" si="793"/>
        <v>12</v>
      </c>
      <c r="BD455" s="114">
        <v>45800</v>
      </c>
      <c r="BE455" s="76"/>
    </row>
    <row r="456" spans="1:57" x14ac:dyDescent="0.15">
      <c r="A456" s="23" t="s">
        <v>43</v>
      </c>
      <c r="B456" s="15"/>
      <c r="C456" s="16">
        <v>1</v>
      </c>
      <c r="D456" s="17"/>
      <c r="E456" s="17"/>
      <c r="F456" s="85">
        <f t="shared" si="748"/>
        <v>1</v>
      </c>
      <c r="G456" s="15"/>
      <c r="H456" s="16"/>
      <c r="I456" s="17"/>
      <c r="J456" s="17"/>
      <c r="K456" s="85">
        <f t="shared" si="749"/>
        <v>0</v>
      </c>
      <c r="L456" s="15"/>
      <c r="M456" s="16"/>
      <c r="N456" s="17"/>
      <c r="O456" s="17"/>
      <c r="P456" s="85">
        <f t="shared" si="750"/>
        <v>0</v>
      </c>
      <c r="Q456" s="15"/>
      <c r="R456" s="16"/>
      <c r="S456" s="17"/>
      <c r="T456" s="17"/>
      <c r="U456" s="85">
        <f t="shared" si="751"/>
        <v>0</v>
      </c>
      <c r="V456" s="15"/>
      <c r="W456" s="16"/>
      <c r="X456" s="17"/>
      <c r="Y456" s="17"/>
      <c r="Z456" s="85">
        <f t="shared" si="752"/>
        <v>0</v>
      </c>
      <c r="AA456" s="105">
        <f t="shared" si="753"/>
        <v>1</v>
      </c>
      <c r="AB456" s="115">
        <v>45832</v>
      </c>
      <c r="AC456" s="23" t="s">
        <v>452</v>
      </c>
      <c r="AD456" s="18"/>
      <c r="AE456" s="19"/>
      <c r="AF456" s="20"/>
      <c r="AG456" s="20">
        <v>3</v>
      </c>
      <c r="AH456" s="85">
        <f t="shared" si="788"/>
        <v>3</v>
      </c>
      <c r="AI456" s="18"/>
      <c r="AJ456" s="19"/>
      <c r="AK456" s="20">
        <v>1</v>
      </c>
      <c r="AL456" s="20">
        <v>4</v>
      </c>
      <c r="AM456" s="85">
        <f t="shared" si="789"/>
        <v>5</v>
      </c>
      <c r="AN456" s="18"/>
      <c r="AO456" s="19"/>
      <c r="AP456" s="20"/>
      <c r="AQ456" s="20">
        <v>2</v>
      </c>
      <c r="AR456" s="85">
        <f t="shared" si="790"/>
        <v>2</v>
      </c>
      <c r="AS456" s="18"/>
      <c r="AT456" s="19">
        <v>2</v>
      </c>
      <c r="AU456" s="20">
        <v>1</v>
      </c>
      <c r="AV456" s="20">
        <v>3</v>
      </c>
      <c r="AW456" s="85">
        <f t="shared" si="791"/>
        <v>6</v>
      </c>
      <c r="AX456" s="18">
        <v>5</v>
      </c>
      <c r="AY456" s="19">
        <v>5</v>
      </c>
      <c r="AZ456" s="20"/>
      <c r="BA456" s="20"/>
      <c r="BB456" s="85">
        <f t="shared" si="792"/>
        <v>10</v>
      </c>
      <c r="BC456" s="105">
        <f t="shared" si="793"/>
        <v>26</v>
      </c>
      <c r="BD456" s="114">
        <v>45803</v>
      </c>
      <c r="BE456" s="76"/>
    </row>
    <row r="457" spans="1:57" x14ac:dyDescent="0.15">
      <c r="A457" s="23"/>
      <c r="B457" s="15"/>
      <c r="C457" s="16"/>
      <c r="D457" s="17"/>
      <c r="E457" s="17"/>
      <c r="F457" s="85">
        <f t="shared" si="748"/>
        <v>0</v>
      </c>
      <c r="G457" s="15"/>
      <c r="H457" s="16"/>
      <c r="I457" s="17"/>
      <c r="J457" s="17"/>
      <c r="K457" s="85">
        <f t="shared" si="749"/>
        <v>0</v>
      </c>
      <c r="L457" s="15"/>
      <c r="M457" s="16"/>
      <c r="N457" s="17"/>
      <c r="O457" s="17"/>
      <c r="P457" s="85">
        <f t="shared" si="750"/>
        <v>0</v>
      </c>
      <c r="Q457" s="15"/>
      <c r="R457" s="16"/>
      <c r="S457" s="17"/>
      <c r="T457" s="17"/>
      <c r="U457" s="85">
        <f t="shared" si="751"/>
        <v>0</v>
      </c>
      <c r="V457" s="15"/>
      <c r="W457" s="16"/>
      <c r="X457" s="17"/>
      <c r="Y457" s="17"/>
      <c r="Z457" s="85">
        <f t="shared" si="752"/>
        <v>0</v>
      </c>
      <c r="AA457" s="105">
        <f t="shared" si="753"/>
        <v>0</v>
      </c>
      <c r="AC457" s="53" t="s">
        <v>453</v>
      </c>
      <c r="AD457" s="15"/>
      <c r="AE457" s="16"/>
      <c r="AF457" s="17">
        <v>2</v>
      </c>
      <c r="AG457" s="17"/>
      <c r="AH457" s="85">
        <f t="shared" si="788"/>
        <v>2</v>
      </c>
      <c r="AI457" s="15"/>
      <c r="AJ457" s="16"/>
      <c r="AK457" s="17">
        <v>2</v>
      </c>
      <c r="AL457" s="17"/>
      <c r="AM457" s="85">
        <f t="shared" si="789"/>
        <v>2</v>
      </c>
      <c r="AN457" s="15"/>
      <c r="AO457" s="16"/>
      <c r="AP457" s="17"/>
      <c r="AQ457" s="17"/>
      <c r="AR457" s="85">
        <f t="shared" si="790"/>
        <v>0</v>
      </c>
      <c r="AS457" s="15"/>
      <c r="AT457" s="16"/>
      <c r="AU457" s="17"/>
      <c r="AV457" s="17"/>
      <c r="AW457" s="85">
        <f t="shared" si="791"/>
        <v>0</v>
      </c>
      <c r="AX457" s="15"/>
      <c r="AY457" s="16"/>
      <c r="AZ457" s="17">
        <v>2</v>
      </c>
      <c r="BA457" s="17"/>
      <c r="BB457" s="85">
        <f t="shared" si="792"/>
        <v>2</v>
      </c>
      <c r="BC457" s="105">
        <f t="shared" si="793"/>
        <v>6</v>
      </c>
      <c r="BD457" s="114">
        <v>45803</v>
      </c>
      <c r="BE457" s="76"/>
    </row>
    <row r="458" spans="1:57" x14ac:dyDescent="0.15">
      <c r="A458" s="23"/>
      <c r="B458" s="15"/>
      <c r="C458" s="16"/>
      <c r="D458" s="17"/>
      <c r="E458" s="17"/>
      <c r="F458" s="85">
        <f t="shared" si="748"/>
        <v>0</v>
      </c>
      <c r="G458" s="15"/>
      <c r="H458" s="16"/>
      <c r="I458" s="17"/>
      <c r="J458" s="17"/>
      <c r="K458" s="85">
        <f t="shared" si="749"/>
        <v>0</v>
      </c>
      <c r="L458" s="15"/>
      <c r="M458" s="16"/>
      <c r="N458" s="17"/>
      <c r="O458" s="17"/>
      <c r="P458" s="85">
        <f t="shared" si="750"/>
        <v>0</v>
      </c>
      <c r="Q458" s="15"/>
      <c r="R458" s="16"/>
      <c r="S458" s="17"/>
      <c r="T458" s="17"/>
      <c r="U458" s="85">
        <f t="shared" si="751"/>
        <v>0</v>
      </c>
      <c r="V458" s="15"/>
      <c r="W458" s="16"/>
      <c r="X458" s="17"/>
      <c r="Y458" s="17"/>
      <c r="Z458" s="85">
        <f t="shared" si="752"/>
        <v>0</v>
      </c>
      <c r="AA458" s="105">
        <f t="shared" si="753"/>
        <v>0</v>
      </c>
      <c r="AC458" s="53" t="s">
        <v>454</v>
      </c>
      <c r="AD458" s="15"/>
      <c r="AE458" s="16"/>
      <c r="AF458" s="17"/>
      <c r="AG458" s="17"/>
      <c r="AH458" s="85">
        <f t="shared" si="788"/>
        <v>0</v>
      </c>
      <c r="AI458" s="15"/>
      <c r="AJ458" s="16"/>
      <c r="AK458" s="17"/>
      <c r="AL458" s="17"/>
      <c r="AM458" s="85">
        <f t="shared" si="789"/>
        <v>0</v>
      </c>
      <c r="AN458" s="15">
        <v>6</v>
      </c>
      <c r="AO458" s="16"/>
      <c r="AP458" s="17"/>
      <c r="AQ458" s="17"/>
      <c r="AR458" s="85">
        <f t="shared" si="790"/>
        <v>6</v>
      </c>
      <c r="AS458" s="15">
        <v>6</v>
      </c>
      <c r="AT458" s="16"/>
      <c r="AU458" s="17"/>
      <c r="AV458" s="17"/>
      <c r="AW458" s="85">
        <f t="shared" si="791"/>
        <v>6</v>
      </c>
      <c r="AX458" s="15">
        <v>6</v>
      </c>
      <c r="AY458" s="16"/>
      <c r="AZ458" s="17"/>
      <c r="BA458" s="17"/>
      <c r="BB458" s="85">
        <f t="shared" si="792"/>
        <v>6</v>
      </c>
      <c r="BC458" s="105">
        <f t="shared" si="793"/>
        <v>18</v>
      </c>
      <c r="BD458" s="114">
        <v>45803</v>
      </c>
      <c r="BE458" s="76"/>
    </row>
    <row r="459" spans="1:57" x14ac:dyDescent="0.15">
      <c r="A459" s="23"/>
      <c r="B459" s="15"/>
      <c r="C459" s="16"/>
      <c r="D459" s="17"/>
      <c r="E459" s="17"/>
      <c r="F459" s="85">
        <f t="shared" si="748"/>
        <v>0</v>
      </c>
      <c r="G459" s="15"/>
      <c r="H459" s="16"/>
      <c r="I459" s="17"/>
      <c r="J459" s="17"/>
      <c r="K459" s="85">
        <f t="shared" si="749"/>
        <v>0</v>
      </c>
      <c r="L459" s="15"/>
      <c r="M459" s="16"/>
      <c r="N459" s="17"/>
      <c r="O459" s="17"/>
      <c r="P459" s="85">
        <f t="shared" si="750"/>
        <v>0</v>
      </c>
      <c r="Q459" s="15"/>
      <c r="R459" s="16"/>
      <c r="S459" s="17"/>
      <c r="T459" s="17"/>
      <c r="U459" s="85">
        <f t="shared" si="751"/>
        <v>0</v>
      </c>
      <c r="V459" s="15"/>
      <c r="W459" s="16"/>
      <c r="X459" s="17"/>
      <c r="Y459" s="17"/>
      <c r="Z459" s="85">
        <f t="shared" si="752"/>
        <v>0</v>
      </c>
      <c r="AA459" s="105">
        <f t="shared" si="753"/>
        <v>0</v>
      </c>
      <c r="AC459" s="53" t="s">
        <v>455</v>
      </c>
      <c r="AD459" s="15">
        <v>10</v>
      </c>
      <c r="AE459" s="16">
        <v>10</v>
      </c>
      <c r="AF459" s="17">
        <v>4</v>
      </c>
      <c r="AG459" s="17">
        <v>4</v>
      </c>
      <c r="AH459" s="85">
        <f t="shared" si="788"/>
        <v>28</v>
      </c>
      <c r="AI459" s="15">
        <v>10</v>
      </c>
      <c r="AJ459" s="16">
        <v>10</v>
      </c>
      <c r="AK459" s="17">
        <v>4</v>
      </c>
      <c r="AL459" s="17">
        <v>4</v>
      </c>
      <c r="AM459" s="85">
        <f t="shared" si="789"/>
        <v>28</v>
      </c>
      <c r="AN459" s="15"/>
      <c r="AO459" s="16"/>
      <c r="AP459" s="17"/>
      <c r="AQ459" s="17"/>
      <c r="AR459" s="85">
        <f t="shared" si="790"/>
        <v>0</v>
      </c>
      <c r="AS459" s="15"/>
      <c r="AT459" s="16"/>
      <c r="AU459" s="17"/>
      <c r="AV459" s="17"/>
      <c r="AW459" s="85">
        <f t="shared" si="791"/>
        <v>0</v>
      </c>
      <c r="AX459" s="15">
        <v>10</v>
      </c>
      <c r="AY459" s="16">
        <v>10</v>
      </c>
      <c r="AZ459" s="17">
        <v>4</v>
      </c>
      <c r="BA459" s="17">
        <v>4</v>
      </c>
      <c r="BB459" s="85">
        <f t="shared" si="792"/>
        <v>28</v>
      </c>
      <c r="BC459" s="105">
        <f t="shared" si="793"/>
        <v>84</v>
      </c>
      <c r="BD459" s="114">
        <v>45805</v>
      </c>
    </row>
    <row r="460" spans="1:57" x14ac:dyDescent="0.15">
      <c r="A460" s="23"/>
      <c r="B460" s="18"/>
      <c r="C460" s="19"/>
      <c r="D460" s="20"/>
      <c r="E460" s="20"/>
      <c r="F460" s="85">
        <f t="shared" si="748"/>
        <v>0</v>
      </c>
      <c r="G460" s="18"/>
      <c r="H460" s="19"/>
      <c r="I460" s="20"/>
      <c r="J460" s="20"/>
      <c r="K460" s="85">
        <f t="shared" si="749"/>
        <v>0</v>
      </c>
      <c r="L460" s="18"/>
      <c r="M460" s="19"/>
      <c r="N460" s="20"/>
      <c r="O460" s="20"/>
      <c r="P460" s="85">
        <f t="shared" si="750"/>
        <v>0</v>
      </c>
      <c r="Q460" s="18"/>
      <c r="R460" s="19"/>
      <c r="S460" s="20"/>
      <c r="T460" s="20"/>
      <c r="U460" s="85">
        <f t="shared" si="751"/>
        <v>0</v>
      </c>
      <c r="V460" s="18"/>
      <c r="W460" s="19"/>
      <c r="X460" s="20"/>
      <c r="Y460" s="20"/>
      <c r="Z460" s="85">
        <f t="shared" si="752"/>
        <v>0</v>
      </c>
      <c r="AA460" s="105">
        <f t="shared" si="753"/>
        <v>0</v>
      </c>
      <c r="AC460" s="53" t="s">
        <v>456</v>
      </c>
      <c r="AD460" s="15"/>
      <c r="AE460" s="16"/>
      <c r="AF460" s="17"/>
      <c r="AG460" s="17"/>
      <c r="AH460" s="85">
        <f t="shared" si="788"/>
        <v>0</v>
      </c>
      <c r="AI460" s="15"/>
      <c r="AJ460" s="16"/>
      <c r="AK460" s="17"/>
      <c r="AL460" s="17"/>
      <c r="AM460" s="85">
        <f t="shared" si="789"/>
        <v>0</v>
      </c>
      <c r="AN460" s="15">
        <f>10</f>
        <v>10</v>
      </c>
      <c r="AO460" s="16">
        <v>10</v>
      </c>
      <c r="AP460" s="17">
        <v>4</v>
      </c>
      <c r="AQ460" s="17">
        <v>4</v>
      </c>
      <c r="AR460" s="85">
        <f t="shared" si="790"/>
        <v>28</v>
      </c>
      <c r="AS460" s="15">
        <v>10</v>
      </c>
      <c r="AT460" s="16">
        <v>10</v>
      </c>
      <c r="AU460" s="17">
        <v>4</v>
      </c>
      <c r="AV460" s="17">
        <v>4</v>
      </c>
      <c r="AW460" s="85">
        <f t="shared" si="791"/>
        <v>28</v>
      </c>
      <c r="AX460" s="15">
        <v>10</v>
      </c>
      <c r="AY460" s="16">
        <v>10</v>
      </c>
      <c r="AZ460" s="17">
        <v>4</v>
      </c>
      <c r="BA460" s="17">
        <v>4</v>
      </c>
      <c r="BB460" s="85">
        <f t="shared" si="792"/>
        <v>28</v>
      </c>
      <c r="BC460" s="105">
        <f t="shared" si="793"/>
        <v>84</v>
      </c>
      <c r="BD460" s="114">
        <v>45805</v>
      </c>
    </row>
    <row r="461" spans="1:57" x14ac:dyDescent="0.15">
      <c r="A461" s="23"/>
      <c r="B461" s="15"/>
      <c r="C461" s="16"/>
      <c r="D461" s="17"/>
      <c r="E461" s="17"/>
      <c r="F461" s="85">
        <f t="shared" si="748"/>
        <v>0</v>
      </c>
      <c r="G461" s="15"/>
      <c r="H461" s="16"/>
      <c r="I461" s="17"/>
      <c r="J461" s="17"/>
      <c r="K461" s="85">
        <f t="shared" si="749"/>
        <v>0</v>
      </c>
      <c r="L461" s="15"/>
      <c r="M461" s="16"/>
      <c r="N461" s="17"/>
      <c r="O461" s="17"/>
      <c r="P461" s="85">
        <f t="shared" si="750"/>
        <v>0</v>
      </c>
      <c r="Q461" s="15"/>
      <c r="R461" s="16"/>
      <c r="S461" s="17"/>
      <c r="T461" s="17"/>
      <c r="U461" s="85">
        <f t="shared" si="751"/>
        <v>0</v>
      </c>
      <c r="V461" s="15"/>
      <c r="W461" s="16"/>
      <c r="X461" s="17"/>
      <c r="Y461" s="17"/>
      <c r="Z461" s="85">
        <f t="shared" si="752"/>
        <v>0</v>
      </c>
      <c r="AA461" s="105">
        <f t="shared" si="753"/>
        <v>0</v>
      </c>
      <c r="AC461" s="53" t="s">
        <v>457</v>
      </c>
      <c r="AD461" s="15"/>
      <c r="AE461" s="16"/>
      <c r="AF461" s="17"/>
      <c r="AG461" s="17"/>
      <c r="AH461" s="85">
        <f t="shared" si="788"/>
        <v>0</v>
      </c>
      <c r="AI461" s="15"/>
      <c r="AJ461" s="16"/>
      <c r="AK461" s="17"/>
      <c r="AL461" s="17"/>
      <c r="AM461" s="85">
        <f t="shared" si="789"/>
        <v>0</v>
      </c>
      <c r="AN461" s="15">
        <v>3</v>
      </c>
      <c r="AO461" s="16"/>
      <c r="AP461" s="17"/>
      <c r="AQ461" s="17"/>
      <c r="AR461" s="85">
        <f t="shared" si="790"/>
        <v>3</v>
      </c>
      <c r="AS461" s="15">
        <v>3</v>
      </c>
      <c r="AT461" s="16"/>
      <c r="AU461" s="17"/>
      <c r="AV461" s="17"/>
      <c r="AW461" s="85">
        <f t="shared" si="791"/>
        <v>3</v>
      </c>
      <c r="AX461" s="15">
        <v>3</v>
      </c>
      <c r="AY461" s="16"/>
      <c r="AZ461" s="17"/>
      <c r="BA461" s="17"/>
      <c r="BB461" s="85">
        <f t="shared" si="792"/>
        <v>3</v>
      </c>
      <c r="BC461" s="105">
        <f t="shared" si="793"/>
        <v>9</v>
      </c>
      <c r="BD461" s="114">
        <v>45805</v>
      </c>
    </row>
    <row r="462" spans="1:57" x14ac:dyDescent="0.15">
      <c r="A462" s="54"/>
      <c r="B462" s="15"/>
      <c r="C462" s="16"/>
      <c r="D462" s="17"/>
      <c r="E462" s="17"/>
      <c r="F462" s="85">
        <f t="shared" si="748"/>
        <v>0</v>
      </c>
      <c r="G462" s="15"/>
      <c r="H462" s="16"/>
      <c r="I462" s="17"/>
      <c r="J462" s="17"/>
      <c r="K462" s="85">
        <f t="shared" si="749"/>
        <v>0</v>
      </c>
      <c r="L462" s="15"/>
      <c r="M462" s="16"/>
      <c r="N462" s="17"/>
      <c r="O462" s="17"/>
      <c r="P462" s="85">
        <f t="shared" si="750"/>
        <v>0</v>
      </c>
      <c r="Q462" s="15"/>
      <c r="R462" s="16"/>
      <c r="S462" s="17"/>
      <c r="T462" s="17"/>
      <c r="U462" s="85">
        <f t="shared" si="751"/>
        <v>0</v>
      </c>
      <c r="V462" s="15"/>
      <c r="W462" s="16"/>
      <c r="X462" s="17"/>
      <c r="Y462" s="17"/>
      <c r="Z462" s="85">
        <f t="shared" si="752"/>
        <v>0</v>
      </c>
      <c r="AA462" s="105">
        <f t="shared" si="753"/>
        <v>0</v>
      </c>
      <c r="AC462" s="23" t="s">
        <v>35</v>
      </c>
      <c r="AD462" s="15"/>
      <c r="AE462" s="16"/>
      <c r="AF462" s="17"/>
      <c r="AG462" s="17"/>
      <c r="AH462" s="85">
        <f t="shared" si="788"/>
        <v>0</v>
      </c>
      <c r="AI462" s="15"/>
      <c r="AJ462" s="16"/>
      <c r="AK462" s="17"/>
      <c r="AL462" s="17"/>
      <c r="AM462" s="85">
        <f t="shared" si="789"/>
        <v>0</v>
      </c>
      <c r="AN462" s="15">
        <v>5</v>
      </c>
      <c r="AO462" s="16">
        <v>5</v>
      </c>
      <c r="AP462" s="17"/>
      <c r="AQ462" s="17"/>
      <c r="AR462" s="85">
        <f t="shared" si="790"/>
        <v>10</v>
      </c>
      <c r="AS462" s="15"/>
      <c r="AT462" s="16"/>
      <c r="AU462" s="17"/>
      <c r="AV462" s="17"/>
      <c r="AW462" s="85">
        <f t="shared" si="791"/>
        <v>0</v>
      </c>
      <c r="AX462" s="15"/>
      <c r="AY462" s="16"/>
      <c r="AZ462" s="17"/>
      <c r="BA462" s="17"/>
      <c r="BB462" s="85">
        <f t="shared" si="792"/>
        <v>0</v>
      </c>
      <c r="BC462" s="105">
        <f t="shared" si="793"/>
        <v>10</v>
      </c>
      <c r="BD462" s="114">
        <v>45803</v>
      </c>
    </row>
    <row r="463" spans="1:57" x14ac:dyDescent="0.15">
      <c r="A463" s="54"/>
      <c r="B463" s="15"/>
      <c r="C463" s="16"/>
      <c r="D463" s="17"/>
      <c r="E463" s="17"/>
      <c r="F463" s="85">
        <f t="shared" si="748"/>
        <v>0</v>
      </c>
      <c r="G463" s="15"/>
      <c r="H463" s="16"/>
      <c r="I463" s="17"/>
      <c r="J463" s="17"/>
      <c r="K463" s="85">
        <f t="shared" si="749"/>
        <v>0</v>
      </c>
      <c r="L463" s="15"/>
      <c r="M463" s="16"/>
      <c r="N463" s="17"/>
      <c r="O463" s="17"/>
      <c r="P463" s="85">
        <f t="shared" si="750"/>
        <v>0</v>
      </c>
      <c r="Q463" s="15"/>
      <c r="R463" s="16"/>
      <c r="S463" s="17"/>
      <c r="T463" s="17"/>
      <c r="U463" s="85">
        <f t="shared" si="751"/>
        <v>0</v>
      </c>
      <c r="V463" s="15"/>
      <c r="W463" s="16"/>
      <c r="X463" s="17"/>
      <c r="Y463" s="17"/>
      <c r="Z463" s="85">
        <f t="shared" si="752"/>
        <v>0</v>
      </c>
      <c r="AA463" s="105">
        <f t="shared" si="753"/>
        <v>0</v>
      </c>
      <c r="AC463" s="23" t="s">
        <v>458</v>
      </c>
      <c r="AD463" s="15"/>
      <c r="AE463" s="16"/>
      <c r="AF463" s="17"/>
      <c r="AG463" s="17"/>
      <c r="AH463" s="85">
        <f t="shared" si="788"/>
        <v>0</v>
      </c>
      <c r="AI463" s="15"/>
      <c r="AJ463" s="16">
        <v>3</v>
      </c>
      <c r="AK463" s="17"/>
      <c r="AL463" s="17"/>
      <c r="AM463" s="85">
        <f t="shared" si="789"/>
        <v>3</v>
      </c>
      <c r="AN463" s="15"/>
      <c r="AO463" s="16"/>
      <c r="AP463" s="17"/>
      <c r="AQ463" s="17"/>
      <c r="AR463" s="85">
        <f t="shared" si="790"/>
        <v>0</v>
      </c>
      <c r="AS463" s="15"/>
      <c r="AT463" s="16"/>
      <c r="AU463" s="17"/>
      <c r="AV463" s="17"/>
      <c r="AW463" s="85">
        <f t="shared" si="791"/>
        <v>0</v>
      </c>
      <c r="AX463" s="15"/>
      <c r="AY463" s="16"/>
      <c r="AZ463" s="17"/>
      <c r="BA463" s="17"/>
      <c r="BB463" s="85">
        <f t="shared" si="792"/>
        <v>0</v>
      </c>
      <c r="BC463" s="105">
        <f t="shared" si="793"/>
        <v>3</v>
      </c>
      <c r="BD463" s="114">
        <v>45807</v>
      </c>
    </row>
    <row r="464" spans="1:57" x14ac:dyDescent="0.15">
      <c r="A464" s="54"/>
      <c r="B464" s="15"/>
      <c r="C464" s="16"/>
      <c r="D464" s="17"/>
      <c r="E464" s="17"/>
      <c r="F464" s="85">
        <f t="shared" si="748"/>
        <v>0</v>
      </c>
      <c r="G464" s="15"/>
      <c r="H464" s="16"/>
      <c r="I464" s="17"/>
      <c r="J464" s="17"/>
      <c r="K464" s="85">
        <f t="shared" si="749"/>
        <v>0</v>
      </c>
      <c r="L464" s="15"/>
      <c r="M464" s="16"/>
      <c r="N464" s="17"/>
      <c r="O464" s="17"/>
      <c r="P464" s="85">
        <f t="shared" si="750"/>
        <v>0</v>
      </c>
      <c r="Q464" s="15"/>
      <c r="R464" s="16"/>
      <c r="S464" s="17"/>
      <c r="T464" s="17"/>
      <c r="U464" s="85">
        <f t="shared" si="751"/>
        <v>0</v>
      </c>
      <c r="V464" s="15"/>
      <c r="W464" s="16"/>
      <c r="X464" s="17"/>
      <c r="Y464" s="17"/>
      <c r="Z464" s="85">
        <f t="shared" si="752"/>
        <v>0</v>
      </c>
      <c r="AA464" s="105">
        <f t="shared" si="753"/>
        <v>0</v>
      </c>
      <c r="AC464" s="53" t="s">
        <v>460</v>
      </c>
      <c r="AD464" s="15"/>
      <c r="AE464" s="16"/>
      <c r="AF464" s="17"/>
      <c r="AG464" s="17"/>
      <c r="AH464" s="85">
        <f t="shared" si="788"/>
        <v>0</v>
      </c>
      <c r="AI464" s="15"/>
      <c r="AJ464" s="16"/>
      <c r="AK464" s="17"/>
      <c r="AL464" s="17"/>
      <c r="AM464" s="85">
        <f t="shared" si="789"/>
        <v>0</v>
      </c>
      <c r="AN464" s="15">
        <v>5</v>
      </c>
      <c r="AO464" s="16"/>
      <c r="AP464" s="17"/>
      <c r="AQ464" s="17"/>
      <c r="AR464" s="85">
        <f t="shared" si="790"/>
        <v>5</v>
      </c>
      <c r="AS464" s="15">
        <v>5</v>
      </c>
      <c r="AT464" s="16"/>
      <c r="AU464" s="17"/>
      <c r="AV464" s="17"/>
      <c r="AW464" s="85">
        <f t="shared" si="791"/>
        <v>5</v>
      </c>
      <c r="AX464" s="15">
        <v>5</v>
      </c>
      <c r="AY464" s="16"/>
      <c r="AZ464" s="17"/>
      <c r="BA464" s="17"/>
      <c r="BB464" s="85">
        <f t="shared" si="792"/>
        <v>5</v>
      </c>
      <c r="BC464" s="105">
        <f t="shared" si="793"/>
        <v>15</v>
      </c>
      <c r="BD464" s="114">
        <v>45811</v>
      </c>
      <c r="BE464" s="76"/>
    </row>
    <row r="465" spans="1:56" x14ac:dyDescent="0.15">
      <c r="A465" s="24"/>
      <c r="B465" s="15"/>
      <c r="C465" s="16"/>
      <c r="D465" s="17"/>
      <c r="E465" s="17"/>
      <c r="F465" s="85">
        <f t="shared" si="748"/>
        <v>0</v>
      </c>
      <c r="G465" s="15"/>
      <c r="H465" s="16"/>
      <c r="I465" s="17"/>
      <c r="J465" s="17"/>
      <c r="K465" s="85">
        <f t="shared" si="749"/>
        <v>0</v>
      </c>
      <c r="L465" s="15"/>
      <c r="M465" s="16"/>
      <c r="N465" s="17"/>
      <c r="O465" s="17"/>
      <c r="P465" s="85">
        <f t="shared" si="750"/>
        <v>0</v>
      </c>
      <c r="Q465" s="15"/>
      <c r="R465" s="16"/>
      <c r="S465" s="17"/>
      <c r="T465" s="17"/>
      <c r="U465" s="85">
        <f t="shared" si="751"/>
        <v>0</v>
      </c>
      <c r="V465" s="15"/>
      <c r="W465" s="16"/>
      <c r="X465" s="17"/>
      <c r="Y465" s="17"/>
      <c r="Z465" s="85">
        <f t="shared" si="752"/>
        <v>0</v>
      </c>
      <c r="AA465" s="105">
        <f t="shared" si="753"/>
        <v>0</v>
      </c>
      <c r="AC465" s="23" t="s">
        <v>462</v>
      </c>
      <c r="AD465" s="15"/>
      <c r="AE465" s="16"/>
      <c r="AF465" s="17"/>
      <c r="AG465" s="17"/>
      <c r="AH465" s="85">
        <f t="shared" ref="AH465:AH468" si="794">SUM(AD465:AG465)</f>
        <v>0</v>
      </c>
      <c r="AI465" s="15"/>
      <c r="AJ465" s="16"/>
      <c r="AK465" s="17">
        <v>1</v>
      </c>
      <c r="AL465" s="17"/>
      <c r="AM465" s="85">
        <f t="shared" ref="AM465:AM468" si="795">SUM(AI465:AL465)</f>
        <v>1</v>
      </c>
      <c r="AN465" s="15"/>
      <c r="AO465" s="16"/>
      <c r="AP465" s="17"/>
      <c r="AQ465" s="17"/>
      <c r="AR465" s="85">
        <f t="shared" ref="AR465:AR468" si="796">SUM(AN465:AQ465)</f>
        <v>0</v>
      </c>
      <c r="AS465" s="15"/>
      <c r="AT465" s="16"/>
      <c r="AU465" s="17">
        <v>2</v>
      </c>
      <c r="AV465" s="17"/>
      <c r="AW465" s="85">
        <f t="shared" ref="AW465:AW468" si="797">SUM(AS465:AV465)</f>
        <v>2</v>
      </c>
      <c r="AX465" s="15"/>
      <c r="AY465" s="16"/>
      <c r="AZ465" s="17">
        <v>1</v>
      </c>
      <c r="BA465" s="17">
        <v>2</v>
      </c>
      <c r="BB465" s="85">
        <f t="shared" ref="BB465:BB468" si="798">SUM(AX465:BA465)</f>
        <v>3</v>
      </c>
      <c r="BC465" s="105">
        <f t="shared" ref="BC465:BC468" si="799">BB465+AW465+AR465+AM465+AH465</f>
        <v>6</v>
      </c>
      <c r="BD465" s="114">
        <v>45814</v>
      </c>
    </row>
    <row r="466" spans="1:56" x14ac:dyDescent="0.15">
      <c r="A466" s="54"/>
      <c r="B466" s="15"/>
      <c r="C466" s="16"/>
      <c r="D466" s="17"/>
      <c r="E466" s="17"/>
      <c r="F466" s="85">
        <f t="shared" si="748"/>
        <v>0</v>
      </c>
      <c r="G466" s="15"/>
      <c r="H466" s="16"/>
      <c r="I466" s="17"/>
      <c r="J466" s="17"/>
      <c r="K466" s="85">
        <f t="shared" si="749"/>
        <v>0</v>
      </c>
      <c r="L466" s="15"/>
      <c r="M466" s="16"/>
      <c r="N466" s="17"/>
      <c r="O466" s="17"/>
      <c r="P466" s="85">
        <f t="shared" si="750"/>
        <v>0</v>
      </c>
      <c r="Q466" s="15"/>
      <c r="R466" s="16"/>
      <c r="S466" s="17"/>
      <c r="T466" s="17"/>
      <c r="U466" s="85">
        <f t="shared" si="751"/>
        <v>0</v>
      </c>
      <c r="V466" s="15"/>
      <c r="W466" s="16"/>
      <c r="X466" s="17"/>
      <c r="Y466" s="17"/>
      <c r="Z466" s="85">
        <f t="shared" si="752"/>
        <v>0</v>
      </c>
      <c r="AA466" s="105">
        <f t="shared" si="753"/>
        <v>0</v>
      </c>
      <c r="AC466" s="53" t="s">
        <v>463</v>
      </c>
      <c r="AD466" s="15"/>
      <c r="AE466" s="16"/>
      <c r="AF466" s="17">
        <v>2</v>
      </c>
      <c r="AG466" s="17"/>
      <c r="AH466" s="85">
        <f t="shared" si="794"/>
        <v>2</v>
      </c>
      <c r="AI466" s="15"/>
      <c r="AJ466" s="16"/>
      <c r="AK466" s="17">
        <v>2</v>
      </c>
      <c r="AL466" s="17"/>
      <c r="AM466" s="85">
        <f t="shared" si="795"/>
        <v>2</v>
      </c>
      <c r="AN466" s="15"/>
      <c r="AO466" s="16"/>
      <c r="AP466" s="17"/>
      <c r="AQ466" s="17"/>
      <c r="AR466" s="85">
        <f t="shared" si="796"/>
        <v>0</v>
      </c>
      <c r="AS466" s="15"/>
      <c r="AT466" s="16"/>
      <c r="AU466" s="17"/>
      <c r="AV466" s="17"/>
      <c r="AW466" s="85">
        <f t="shared" si="797"/>
        <v>0</v>
      </c>
      <c r="AX466" s="15"/>
      <c r="AY466" s="16"/>
      <c r="AZ466" s="17">
        <v>2</v>
      </c>
      <c r="BA466" s="17"/>
      <c r="BB466" s="85">
        <f t="shared" si="798"/>
        <v>2</v>
      </c>
      <c r="BC466" s="105">
        <f t="shared" si="799"/>
        <v>6</v>
      </c>
      <c r="BD466" s="114">
        <v>45817</v>
      </c>
    </row>
    <row r="467" spans="1:56" x14ac:dyDescent="0.15">
      <c r="A467" s="23"/>
      <c r="B467" s="15"/>
      <c r="C467" s="16"/>
      <c r="D467" s="17"/>
      <c r="E467" s="17"/>
      <c r="F467" s="85">
        <f t="shared" si="748"/>
        <v>0</v>
      </c>
      <c r="G467" s="15"/>
      <c r="H467" s="16"/>
      <c r="I467" s="17"/>
      <c r="J467" s="17"/>
      <c r="K467" s="85">
        <f t="shared" si="749"/>
        <v>0</v>
      </c>
      <c r="L467" s="15"/>
      <c r="M467" s="16"/>
      <c r="N467" s="17"/>
      <c r="O467" s="17"/>
      <c r="P467" s="85">
        <f t="shared" si="750"/>
        <v>0</v>
      </c>
      <c r="Q467" s="15"/>
      <c r="R467" s="16"/>
      <c r="S467" s="17"/>
      <c r="T467" s="17"/>
      <c r="U467" s="85">
        <f t="shared" si="751"/>
        <v>0</v>
      </c>
      <c r="V467" s="15"/>
      <c r="W467" s="16"/>
      <c r="X467" s="17"/>
      <c r="Y467" s="17"/>
      <c r="Z467" s="85">
        <f t="shared" si="752"/>
        <v>0</v>
      </c>
      <c r="AA467" s="105">
        <f t="shared" si="753"/>
        <v>0</v>
      </c>
      <c r="AC467" s="53" t="s">
        <v>464</v>
      </c>
      <c r="AD467" s="15"/>
      <c r="AE467" s="16"/>
      <c r="AF467" s="17"/>
      <c r="AG467" s="17"/>
      <c r="AH467" s="85">
        <f t="shared" si="794"/>
        <v>0</v>
      </c>
      <c r="AI467" s="15"/>
      <c r="AJ467" s="16"/>
      <c r="AK467" s="17"/>
      <c r="AL467" s="17"/>
      <c r="AM467" s="85">
        <f t="shared" si="795"/>
        <v>0</v>
      </c>
      <c r="AN467" s="15">
        <v>5</v>
      </c>
      <c r="AO467" s="16">
        <v>5</v>
      </c>
      <c r="AP467" s="17">
        <v>5</v>
      </c>
      <c r="AQ467" s="17"/>
      <c r="AR467" s="85">
        <f t="shared" si="796"/>
        <v>15</v>
      </c>
      <c r="AS467" s="15">
        <v>5</v>
      </c>
      <c r="AT467" s="16">
        <v>5</v>
      </c>
      <c r="AU467" s="17">
        <v>5</v>
      </c>
      <c r="AV467" s="17"/>
      <c r="AW467" s="85">
        <f t="shared" si="797"/>
        <v>15</v>
      </c>
      <c r="AX467" s="15">
        <v>5</v>
      </c>
      <c r="AY467" s="16">
        <v>5</v>
      </c>
      <c r="AZ467" s="17">
        <v>5</v>
      </c>
      <c r="BA467" s="17"/>
      <c r="BB467" s="85">
        <f t="shared" si="798"/>
        <v>15</v>
      </c>
      <c r="BC467" s="105">
        <f t="shared" si="799"/>
        <v>45</v>
      </c>
      <c r="BD467" s="114">
        <v>45817</v>
      </c>
    </row>
    <row r="468" spans="1:56" x14ac:dyDescent="0.15">
      <c r="A468" s="23"/>
      <c r="B468" s="15"/>
      <c r="C468" s="16"/>
      <c r="D468" s="17"/>
      <c r="E468" s="17"/>
      <c r="F468" s="85">
        <f t="shared" si="748"/>
        <v>0</v>
      </c>
      <c r="G468" s="15"/>
      <c r="H468" s="16"/>
      <c r="I468" s="17"/>
      <c r="J468" s="17"/>
      <c r="K468" s="85">
        <f t="shared" si="749"/>
        <v>0</v>
      </c>
      <c r="L468" s="15"/>
      <c r="M468" s="16"/>
      <c r="N468" s="17"/>
      <c r="O468" s="17"/>
      <c r="P468" s="85">
        <f t="shared" si="750"/>
        <v>0</v>
      </c>
      <c r="Q468" s="15"/>
      <c r="R468" s="16"/>
      <c r="S468" s="17"/>
      <c r="T468" s="17"/>
      <c r="U468" s="85">
        <f t="shared" si="751"/>
        <v>0</v>
      </c>
      <c r="V468" s="15"/>
      <c r="W468" s="16"/>
      <c r="X468" s="17"/>
      <c r="Y468" s="17"/>
      <c r="Z468" s="85">
        <f t="shared" si="752"/>
        <v>0</v>
      </c>
      <c r="AA468" s="105">
        <f t="shared" si="753"/>
        <v>0</v>
      </c>
      <c r="AC468" s="23" t="s">
        <v>35</v>
      </c>
      <c r="AD468" s="15"/>
      <c r="AE468" s="16"/>
      <c r="AF468" s="17"/>
      <c r="AG468" s="17">
        <v>3</v>
      </c>
      <c r="AH468" s="85">
        <f t="shared" si="794"/>
        <v>3</v>
      </c>
      <c r="AI468" s="15"/>
      <c r="AJ468" s="16">
        <v>3</v>
      </c>
      <c r="AK468" s="17"/>
      <c r="AL468" s="17"/>
      <c r="AM468" s="85">
        <f t="shared" si="795"/>
        <v>3</v>
      </c>
      <c r="AN468" s="15"/>
      <c r="AO468" s="16"/>
      <c r="AP468" s="17"/>
      <c r="AQ468" s="17">
        <v>3</v>
      </c>
      <c r="AR468" s="85">
        <f t="shared" si="796"/>
        <v>3</v>
      </c>
      <c r="AS468" s="15"/>
      <c r="AT468" s="16">
        <v>3</v>
      </c>
      <c r="AU468" s="17"/>
      <c r="AV468" s="17"/>
      <c r="AW468" s="85">
        <f t="shared" si="797"/>
        <v>3</v>
      </c>
      <c r="AX468" s="15">
        <v>5</v>
      </c>
      <c r="AY468" s="16"/>
      <c r="AZ468" s="17"/>
      <c r="BA468" s="17">
        <v>3</v>
      </c>
      <c r="BB468" s="85">
        <f t="shared" si="798"/>
        <v>8</v>
      </c>
      <c r="BC468" s="105">
        <f t="shared" si="799"/>
        <v>20</v>
      </c>
      <c r="BD468" s="114">
        <v>45815</v>
      </c>
    </row>
    <row r="469" spans="1:56" x14ac:dyDescent="0.15">
      <c r="A469" s="54"/>
      <c r="B469" s="15"/>
      <c r="C469" s="16"/>
      <c r="D469" s="17"/>
      <c r="E469" s="17"/>
      <c r="F469" s="85">
        <f t="shared" si="748"/>
        <v>0</v>
      </c>
      <c r="G469" s="15"/>
      <c r="H469" s="16"/>
      <c r="I469" s="17"/>
      <c r="J469" s="17"/>
      <c r="K469" s="85">
        <f t="shared" si="749"/>
        <v>0</v>
      </c>
      <c r="L469" s="15"/>
      <c r="M469" s="16"/>
      <c r="N469" s="17"/>
      <c r="O469" s="17"/>
      <c r="P469" s="85">
        <f t="shared" si="750"/>
        <v>0</v>
      </c>
      <c r="Q469" s="15"/>
      <c r="R469" s="16"/>
      <c r="S469" s="17"/>
      <c r="T469" s="17"/>
      <c r="U469" s="85">
        <f t="shared" si="751"/>
        <v>0</v>
      </c>
      <c r="V469" s="15"/>
      <c r="W469" s="16"/>
      <c r="X469" s="17"/>
      <c r="Y469" s="17"/>
      <c r="Z469" s="85">
        <f t="shared" si="752"/>
        <v>0</v>
      </c>
      <c r="AA469" s="105">
        <f t="shared" si="753"/>
        <v>0</v>
      </c>
      <c r="AC469" s="23" t="s">
        <v>466</v>
      </c>
      <c r="AD469" s="15"/>
      <c r="AE469" s="16">
        <v>1</v>
      </c>
      <c r="AF469" s="17"/>
      <c r="AG469" s="17"/>
      <c r="AH469" s="85">
        <f t="shared" si="766"/>
        <v>1</v>
      </c>
      <c r="AI469" s="15"/>
      <c r="AJ469" s="16"/>
      <c r="AK469" s="17"/>
      <c r="AL469" s="17"/>
      <c r="AM469" s="85">
        <f t="shared" si="767"/>
        <v>0</v>
      </c>
      <c r="AN469" s="15"/>
      <c r="AO469" s="16"/>
      <c r="AP469" s="17"/>
      <c r="AQ469" s="17"/>
      <c r="AR469" s="85">
        <f t="shared" si="768"/>
        <v>0</v>
      </c>
      <c r="AS469" s="15"/>
      <c r="AT469" s="16">
        <v>2</v>
      </c>
      <c r="AU469" s="17"/>
      <c r="AV469" s="17"/>
      <c r="AW469" s="85">
        <f t="shared" si="769"/>
        <v>2</v>
      </c>
      <c r="AX469" s="15"/>
      <c r="AY469" s="16"/>
      <c r="AZ469" s="17">
        <v>2</v>
      </c>
      <c r="BA469" s="17"/>
      <c r="BB469" s="85">
        <f t="shared" si="770"/>
        <v>2</v>
      </c>
      <c r="BC469" s="105">
        <f t="shared" si="771"/>
        <v>5</v>
      </c>
      <c r="BD469" s="114">
        <v>45821</v>
      </c>
    </row>
    <row r="470" spans="1:56" x14ac:dyDescent="0.15">
      <c r="A470" s="23"/>
      <c r="B470" s="15"/>
      <c r="C470" s="16"/>
      <c r="D470" s="17"/>
      <c r="E470" s="17"/>
      <c r="F470" s="85">
        <f t="shared" si="748"/>
        <v>0</v>
      </c>
      <c r="G470" s="15"/>
      <c r="H470" s="16"/>
      <c r="I470" s="17"/>
      <c r="J470" s="17"/>
      <c r="K470" s="85">
        <f t="shared" si="749"/>
        <v>0</v>
      </c>
      <c r="L470" s="15"/>
      <c r="M470" s="16"/>
      <c r="N470" s="17"/>
      <c r="O470" s="17"/>
      <c r="P470" s="85">
        <f t="shared" si="750"/>
        <v>0</v>
      </c>
      <c r="Q470" s="15"/>
      <c r="R470" s="16"/>
      <c r="S470" s="17"/>
      <c r="T470" s="17"/>
      <c r="U470" s="85">
        <f t="shared" si="751"/>
        <v>0</v>
      </c>
      <c r="V470" s="15"/>
      <c r="W470" s="16"/>
      <c r="X470" s="17"/>
      <c r="Y470" s="17"/>
      <c r="Z470" s="85">
        <f t="shared" si="752"/>
        <v>0</v>
      </c>
      <c r="AA470" s="105">
        <f t="shared" si="753"/>
        <v>0</v>
      </c>
      <c r="AC470" s="53" t="s">
        <v>467</v>
      </c>
      <c r="AD470" s="15"/>
      <c r="AE470" s="16"/>
      <c r="AF470" s="17"/>
      <c r="AG470" s="17">
        <v>3</v>
      </c>
      <c r="AH470" s="85">
        <f t="shared" si="766"/>
        <v>3</v>
      </c>
      <c r="AI470" s="15"/>
      <c r="AJ470" s="16"/>
      <c r="AK470" s="17"/>
      <c r="AL470" s="17">
        <v>3</v>
      </c>
      <c r="AM470" s="85">
        <f t="shared" si="767"/>
        <v>3</v>
      </c>
      <c r="AN470" s="15"/>
      <c r="AO470" s="16"/>
      <c r="AP470" s="17"/>
      <c r="AQ470" s="17"/>
      <c r="AR470" s="85">
        <f t="shared" si="768"/>
        <v>0</v>
      </c>
      <c r="AS470" s="15"/>
      <c r="AT470" s="16"/>
      <c r="AU470" s="17"/>
      <c r="AV470" s="17"/>
      <c r="AW470" s="85">
        <f t="shared" si="769"/>
        <v>0</v>
      </c>
      <c r="AX470" s="15"/>
      <c r="AY470" s="16"/>
      <c r="AZ470" s="17"/>
      <c r="BA470" s="17">
        <v>3</v>
      </c>
      <c r="BB470" s="85">
        <f t="shared" si="770"/>
        <v>3</v>
      </c>
      <c r="BC470" s="105">
        <f t="shared" si="771"/>
        <v>9</v>
      </c>
      <c r="BD470" s="114">
        <v>45821</v>
      </c>
    </row>
    <row r="471" spans="1:56" x14ac:dyDescent="0.15">
      <c r="A471" s="23"/>
      <c r="B471" s="15"/>
      <c r="C471" s="16"/>
      <c r="D471" s="17"/>
      <c r="E471" s="17"/>
      <c r="F471" s="85">
        <f t="shared" si="748"/>
        <v>0</v>
      </c>
      <c r="G471" s="15"/>
      <c r="H471" s="16"/>
      <c r="I471" s="17"/>
      <c r="J471" s="17"/>
      <c r="K471" s="85">
        <f t="shared" si="749"/>
        <v>0</v>
      </c>
      <c r="L471" s="15"/>
      <c r="M471" s="16"/>
      <c r="N471" s="17"/>
      <c r="O471" s="17"/>
      <c r="P471" s="85">
        <f t="shared" si="750"/>
        <v>0</v>
      </c>
      <c r="Q471" s="15"/>
      <c r="R471" s="16"/>
      <c r="S471" s="17"/>
      <c r="T471" s="17"/>
      <c r="U471" s="85">
        <f t="shared" si="751"/>
        <v>0</v>
      </c>
      <c r="V471" s="15"/>
      <c r="W471" s="16"/>
      <c r="X471" s="17"/>
      <c r="Y471" s="17"/>
      <c r="Z471" s="85">
        <f t="shared" si="752"/>
        <v>0</v>
      </c>
      <c r="AA471" s="105">
        <f t="shared" si="753"/>
        <v>0</v>
      </c>
      <c r="AC471" s="23" t="s">
        <v>468</v>
      </c>
      <c r="AD471" s="15"/>
      <c r="AE471" s="16">
        <v>4</v>
      </c>
      <c r="AF471" s="17"/>
      <c r="AG471" s="17"/>
      <c r="AH471" s="85">
        <f t="shared" si="766"/>
        <v>4</v>
      </c>
      <c r="AI471" s="15">
        <v>1</v>
      </c>
      <c r="AJ471" s="16">
        <v>3</v>
      </c>
      <c r="AK471" s="17"/>
      <c r="AL471" s="17"/>
      <c r="AM471" s="85">
        <f t="shared" si="767"/>
        <v>4</v>
      </c>
      <c r="AN471" s="15"/>
      <c r="AO471" s="16">
        <v>1</v>
      </c>
      <c r="AP471" s="17"/>
      <c r="AQ471" s="17"/>
      <c r="AR471" s="85">
        <f t="shared" si="768"/>
        <v>1</v>
      </c>
      <c r="AS471" s="15"/>
      <c r="AT471" s="16">
        <v>2</v>
      </c>
      <c r="AU471" s="17"/>
      <c r="AV471" s="17">
        <v>1</v>
      </c>
      <c r="AW471" s="85">
        <f t="shared" si="769"/>
        <v>3</v>
      </c>
      <c r="AX471" s="15"/>
      <c r="AY471" s="16">
        <v>1</v>
      </c>
      <c r="AZ471" s="17"/>
      <c r="BA471" s="17">
        <v>3</v>
      </c>
      <c r="BB471" s="85">
        <f t="shared" si="770"/>
        <v>4</v>
      </c>
      <c r="BC471" s="105">
        <f t="shared" si="771"/>
        <v>16</v>
      </c>
      <c r="BD471" s="114">
        <v>45828</v>
      </c>
    </row>
    <row r="472" spans="1:56" x14ac:dyDescent="0.15">
      <c r="A472" s="23"/>
      <c r="B472" s="18"/>
      <c r="C472" s="19"/>
      <c r="D472" s="20"/>
      <c r="E472" s="20"/>
      <c r="F472" s="85">
        <f t="shared" si="748"/>
        <v>0</v>
      </c>
      <c r="G472" s="18"/>
      <c r="H472" s="19"/>
      <c r="I472" s="20"/>
      <c r="J472" s="20"/>
      <c r="K472" s="85">
        <f t="shared" si="749"/>
        <v>0</v>
      </c>
      <c r="L472" s="18"/>
      <c r="M472" s="19"/>
      <c r="N472" s="20"/>
      <c r="O472" s="20"/>
      <c r="P472" s="85">
        <f t="shared" si="750"/>
        <v>0</v>
      </c>
      <c r="Q472" s="18"/>
      <c r="R472" s="19"/>
      <c r="S472" s="20"/>
      <c r="T472" s="20"/>
      <c r="U472" s="85">
        <f t="shared" si="751"/>
        <v>0</v>
      </c>
      <c r="V472" s="18"/>
      <c r="W472" s="19"/>
      <c r="X472" s="20"/>
      <c r="Y472" s="20"/>
      <c r="Z472" s="85">
        <f t="shared" si="752"/>
        <v>0</v>
      </c>
      <c r="AA472" s="105">
        <f t="shared" si="753"/>
        <v>0</v>
      </c>
      <c r="AC472" s="23" t="s">
        <v>473</v>
      </c>
      <c r="AD472" s="15"/>
      <c r="AE472" s="16"/>
      <c r="AF472" s="17"/>
      <c r="AG472" s="17"/>
      <c r="AH472" s="85">
        <f t="shared" ref="AH472:AH476" si="800">SUM(AD472:AG472)</f>
        <v>0</v>
      </c>
      <c r="AI472" s="15">
        <v>1</v>
      </c>
      <c r="AJ472" s="16">
        <v>1</v>
      </c>
      <c r="AK472" s="17"/>
      <c r="AL472" s="17"/>
      <c r="AM472" s="85">
        <f t="shared" ref="AM472:AM476" si="801">SUM(AI472:AL472)</f>
        <v>2</v>
      </c>
      <c r="AN472" s="15"/>
      <c r="AO472" s="16">
        <v>1</v>
      </c>
      <c r="AP472" s="17"/>
      <c r="AQ472" s="17"/>
      <c r="AR472" s="85">
        <f t="shared" ref="AR472:AR476" si="802">SUM(AN472:AQ472)</f>
        <v>1</v>
      </c>
      <c r="AS472" s="15"/>
      <c r="AT472" s="16"/>
      <c r="AU472" s="17"/>
      <c r="AV472" s="17"/>
      <c r="AW472" s="85">
        <f t="shared" ref="AW472:AW476" si="803">SUM(AS472:AV472)</f>
        <v>0</v>
      </c>
      <c r="AX472" s="15"/>
      <c r="AY472" s="16"/>
      <c r="AZ472" s="17"/>
      <c r="BA472" s="17"/>
      <c r="BB472" s="85">
        <f t="shared" ref="BB472:BB476" si="804">SUM(AX472:BA472)</f>
        <v>0</v>
      </c>
      <c r="BC472" s="105">
        <f t="shared" ref="BC472:BC476" si="805">BB472+AW472+AR472+AM472+AH472</f>
        <v>3</v>
      </c>
      <c r="BD472" s="114">
        <v>45835</v>
      </c>
    </row>
    <row r="473" spans="1:56" x14ac:dyDescent="0.15">
      <c r="A473" s="23"/>
      <c r="B473" s="16"/>
      <c r="C473" s="16"/>
      <c r="D473" s="17"/>
      <c r="E473" s="17"/>
      <c r="F473" s="85">
        <f t="shared" si="748"/>
        <v>0</v>
      </c>
      <c r="G473" s="16"/>
      <c r="H473" s="16"/>
      <c r="I473" s="17"/>
      <c r="J473" s="17"/>
      <c r="K473" s="85">
        <f t="shared" si="749"/>
        <v>0</v>
      </c>
      <c r="L473" s="16"/>
      <c r="M473" s="16"/>
      <c r="N473" s="17"/>
      <c r="O473" s="17"/>
      <c r="P473" s="85">
        <f t="shared" si="750"/>
        <v>0</v>
      </c>
      <c r="Q473" s="16"/>
      <c r="R473" s="16"/>
      <c r="S473" s="17"/>
      <c r="T473" s="17"/>
      <c r="U473" s="85">
        <f t="shared" si="751"/>
        <v>0</v>
      </c>
      <c r="V473" s="16"/>
      <c r="W473" s="16"/>
      <c r="X473" s="17"/>
      <c r="Y473" s="17"/>
      <c r="Z473" s="85">
        <f t="shared" si="752"/>
        <v>0</v>
      </c>
      <c r="AA473" s="105">
        <f t="shared" si="753"/>
        <v>0</v>
      </c>
      <c r="AC473" s="23"/>
      <c r="AD473" s="15"/>
      <c r="AE473" s="16"/>
      <c r="AF473" s="17"/>
      <c r="AG473" s="17"/>
      <c r="AH473" s="85">
        <f t="shared" si="800"/>
        <v>0</v>
      </c>
      <c r="AI473" s="15"/>
      <c r="AJ473" s="16"/>
      <c r="AK473" s="17"/>
      <c r="AL473" s="17"/>
      <c r="AM473" s="85">
        <f t="shared" si="801"/>
        <v>0</v>
      </c>
      <c r="AN473" s="15"/>
      <c r="AO473" s="16"/>
      <c r="AP473" s="17"/>
      <c r="AQ473" s="17"/>
      <c r="AR473" s="85">
        <f t="shared" si="802"/>
        <v>0</v>
      </c>
      <c r="AS473" s="15"/>
      <c r="AT473" s="16"/>
      <c r="AU473" s="17"/>
      <c r="AV473" s="17"/>
      <c r="AW473" s="85">
        <f t="shared" si="803"/>
        <v>0</v>
      </c>
      <c r="AX473" s="15"/>
      <c r="AY473" s="16"/>
      <c r="AZ473" s="17"/>
      <c r="BA473" s="17"/>
      <c r="BB473" s="85">
        <f t="shared" si="804"/>
        <v>0</v>
      </c>
      <c r="BC473" s="105">
        <f t="shared" si="805"/>
        <v>0</v>
      </c>
    </row>
    <row r="474" spans="1:56" x14ac:dyDescent="0.15">
      <c r="A474" s="23"/>
      <c r="B474" s="15"/>
      <c r="C474" s="25"/>
      <c r="D474" s="17"/>
      <c r="E474" s="17"/>
      <c r="F474" s="85">
        <f t="shared" si="748"/>
        <v>0</v>
      </c>
      <c r="G474" s="15"/>
      <c r="H474" s="25"/>
      <c r="I474" s="17"/>
      <c r="J474" s="17"/>
      <c r="K474" s="85">
        <f t="shared" si="749"/>
        <v>0</v>
      </c>
      <c r="L474" s="15"/>
      <c r="M474" s="25"/>
      <c r="N474" s="17"/>
      <c r="O474" s="17"/>
      <c r="P474" s="85">
        <f t="shared" si="750"/>
        <v>0</v>
      </c>
      <c r="Q474" s="15"/>
      <c r="R474" s="25"/>
      <c r="S474" s="17"/>
      <c r="T474" s="17"/>
      <c r="U474" s="85">
        <f t="shared" si="751"/>
        <v>0</v>
      </c>
      <c r="V474" s="15"/>
      <c r="W474" s="25"/>
      <c r="X474" s="17"/>
      <c r="Y474" s="17"/>
      <c r="Z474" s="85">
        <f t="shared" si="752"/>
        <v>0</v>
      </c>
      <c r="AA474" s="105">
        <f t="shared" si="753"/>
        <v>0</v>
      </c>
      <c r="AC474" s="158" t="s">
        <v>346</v>
      </c>
      <c r="AD474" s="222"/>
      <c r="AE474" s="223"/>
      <c r="AF474" s="224"/>
      <c r="AG474" s="224"/>
      <c r="AH474" s="189">
        <f t="shared" si="800"/>
        <v>0</v>
      </c>
      <c r="AI474" s="222"/>
      <c r="AJ474" s="223"/>
      <c r="AK474" s="224"/>
      <c r="AL474" s="224"/>
      <c r="AM474" s="189">
        <f t="shared" si="801"/>
        <v>0</v>
      </c>
      <c r="AN474" s="222"/>
      <c r="AO474" s="223"/>
      <c r="AP474" s="224"/>
      <c r="AQ474" s="224"/>
      <c r="AR474" s="189">
        <f t="shared" si="802"/>
        <v>0</v>
      </c>
      <c r="AS474" s="222"/>
      <c r="AT474" s="223"/>
      <c r="AU474" s="224"/>
      <c r="AV474" s="224"/>
      <c r="AW474" s="189">
        <f t="shared" si="803"/>
        <v>0</v>
      </c>
      <c r="AX474" s="222"/>
      <c r="AY474" s="223"/>
      <c r="AZ474" s="224"/>
      <c r="BA474" s="224"/>
      <c r="BB474" s="189">
        <f t="shared" si="804"/>
        <v>0</v>
      </c>
      <c r="BC474" s="190">
        <f t="shared" si="805"/>
        <v>0</v>
      </c>
      <c r="BD474" s="76"/>
    </row>
    <row r="475" spans="1:56" x14ac:dyDescent="0.15">
      <c r="A475" s="23"/>
      <c r="B475" s="15"/>
      <c r="C475" s="16"/>
      <c r="D475" s="16"/>
      <c r="E475" s="63"/>
      <c r="F475" s="85">
        <f t="shared" si="748"/>
        <v>0</v>
      </c>
      <c r="G475" s="15"/>
      <c r="H475" s="16"/>
      <c r="I475" s="16"/>
      <c r="J475" s="63"/>
      <c r="K475" s="85">
        <f t="shared" si="749"/>
        <v>0</v>
      </c>
      <c r="L475" s="15"/>
      <c r="M475" s="16"/>
      <c r="N475" s="16"/>
      <c r="O475" s="63"/>
      <c r="P475" s="85">
        <f t="shared" si="750"/>
        <v>0</v>
      </c>
      <c r="Q475" s="15"/>
      <c r="R475" s="16"/>
      <c r="S475" s="16"/>
      <c r="T475" s="63"/>
      <c r="U475" s="85">
        <f t="shared" si="751"/>
        <v>0</v>
      </c>
      <c r="V475" s="15"/>
      <c r="W475" s="16"/>
      <c r="X475" s="16"/>
      <c r="Y475" s="63"/>
      <c r="Z475" s="85">
        <f t="shared" si="752"/>
        <v>0</v>
      </c>
      <c r="AA475" s="105">
        <f t="shared" si="753"/>
        <v>0</v>
      </c>
      <c r="AC475" s="53" t="s">
        <v>399</v>
      </c>
      <c r="AD475" s="15"/>
      <c r="AE475" s="16"/>
      <c r="AF475" s="17"/>
      <c r="AG475" s="17"/>
      <c r="AH475" s="85">
        <f t="shared" si="800"/>
        <v>0</v>
      </c>
      <c r="AI475" s="15"/>
      <c r="AJ475" s="16"/>
      <c r="AK475" s="17"/>
      <c r="AL475" s="17"/>
      <c r="AM475" s="85">
        <f t="shared" si="801"/>
        <v>0</v>
      </c>
      <c r="AN475" s="15"/>
      <c r="AO475" s="16"/>
      <c r="AP475" s="17"/>
      <c r="AQ475" s="17"/>
      <c r="AR475" s="85">
        <f t="shared" si="802"/>
        <v>0</v>
      </c>
      <c r="AS475" s="15"/>
      <c r="AT475" s="16"/>
      <c r="AU475" s="17"/>
      <c r="AV475" s="17"/>
      <c r="AW475" s="85">
        <f t="shared" si="803"/>
        <v>0</v>
      </c>
      <c r="AX475" s="15"/>
      <c r="AY475" s="16"/>
      <c r="AZ475" s="17"/>
      <c r="BA475" s="17"/>
      <c r="BB475" s="85">
        <f t="shared" si="804"/>
        <v>0</v>
      </c>
      <c r="BC475" s="105">
        <f t="shared" si="805"/>
        <v>0</v>
      </c>
      <c r="BD475" s="76"/>
    </row>
    <row r="476" spans="1:56" ht="14.25" thickBot="1" x14ac:dyDescent="0.2">
      <c r="A476" s="23"/>
      <c r="B476" s="15"/>
      <c r="C476" s="16"/>
      <c r="D476" s="16"/>
      <c r="E476" s="63"/>
      <c r="F476" s="85">
        <f t="shared" si="748"/>
        <v>0</v>
      </c>
      <c r="G476" s="15"/>
      <c r="H476" s="16"/>
      <c r="I476" s="16"/>
      <c r="J476" s="63"/>
      <c r="K476" s="85">
        <f t="shared" si="749"/>
        <v>0</v>
      </c>
      <c r="L476" s="15"/>
      <c r="M476" s="16"/>
      <c r="N476" s="16"/>
      <c r="O476" s="63"/>
      <c r="P476" s="85">
        <f t="shared" si="750"/>
        <v>0</v>
      </c>
      <c r="Q476" s="15"/>
      <c r="R476" s="16"/>
      <c r="S476" s="16"/>
      <c r="T476" s="63"/>
      <c r="U476" s="85">
        <f t="shared" si="751"/>
        <v>0</v>
      </c>
      <c r="V476" s="15"/>
      <c r="W476" s="16"/>
      <c r="X476" s="16"/>
      <c r="Y476" s="63"/>
      <c r="Z476" s="85">
        <f t="shared" si="752"/>
        <v>0</v>
      </c>
      <c r="AA476" s="105">
        <f t="shared" si="753"/>
        <v>0</v>
      </c>
      <c r="AC476" s="53" t="s">
        <v>400</v>
      </c>
      <c r="AD476" s="15"/>
      <c r="AE476" s="16"/>
      <c r="AF476" s="17"/>
      <c r="AG476" s="17"/>
      <c r="AH476" s="85">
        <f t="shared" si="800"/>
        <v>0</v>
      </c>
      <c r="AI476" s="15"/>
      <c r="AJ476" s="16"/>
      <c r="AK476" s="17"/>
      <c r="AL476" s="17"/>
      <c r="AM476" s="85">
        <f t="shared" si="801"/>
        <v>0</v>
      </c>
      <c r="AN476" s="15"/>
      <c r="AO476" s="16"/>
      <c r="AP476" s="17"/>
      <c r="AQ476" s="17"/>
      <c r="AR476" s="85">
        <f t="shared" si="802"/>
        <v>0</v>
      </c>
      <c r="AS476" s="15"/>
      <c r="AT476" s="16"/>
      <c r="AU476" s="17"/>
      <c r="AV476" s="17"/>
      <c r="AW476" s="85">
        <f t="shared" si="803"/>
        <v>0</v>
      </c>
      <c r="AX476" s="15"/>
      <c r="AY476" s="16"/>
      <c r="AZ476" s="17"/>
      <c r="BA476" s="17"/>
      <c r="BB476" s="85">
        <f t="shared" si="804"/>
        <v>0</v>
      </c>
      <c r="BC476" s="105">
        <f t="shared" si="805"/>
        <v>0</v>
      </c>
      <c r="BD476" s="76"/>
    </row>
    <row r="477" spans="1:56" ht="14.25" thickBot="1" x14ac:dyDescent="0.2">
      <c r="A477" s="27" t="s">
        <v>12</v>
      </c>
      <c r="B477" s="57">
        <f>SUM(B451:B476)</f>
        <v>0</v>
      </c>
      <c r="C477" s="50">
        <f t="shared" ref="C477:D477" si="806">SUM(C451:C476)</f>
        <v>2</v>
      </c>
      <c r="D477" s="50">
        <f t="shared" si="806"/>
        <v>0</v>
      </c>
      <c r="E477" s="50">
        <f>SUM(E451:E476)</f>
        <v>2</v>
      </c>
      <c r="F477" s="88">
        <f t="shared" si="748"/>
        <v>4</v>
      </c>
      <c r="G477" s="57">
        <f>SUM(G451:G476)</f>
        <v>0</v>
      </c>
      <c r="H477" s="50">
        <f t="shared" ref="H477:I477" si="807">SUM(H451:H476)</f>
        <v>1</v>
      </c>
      <c r="I477" s="50">
        <f t="shared" si="807"/>
        <v>0</v>
      </c>
      <c r="J477" s="50">
        <f>SUM(J451:J476)</f>
        <v>1</v>
      </c>
      <c r="K477" s="88">
        <f t="shared" si="749"/>
        <v>2</v>
      </c>
      <c r="L477" s="57">
        <f>SUM(L451:L476)</f>
        <v>0</v>
      </c>
      <c r="M477" s="50">
        <f t="shared" ref="M477:N477" si="808">SUM(M451:M476)</f>
        <v>1</v>
      </c>
      <c r="N477" s="50">
        <f t="shared" si="808"/>
        <v>1</v>
      </c>
      <c r="O477" s="50">
        <f>SUM(O451:O476)</f>
        <v>1</v>
      </c>
      <c r="P477" s="88">
        <f t="shared" si="750"/>
        <v>3</v>
      </c>
      <c r="Q477" s="57">
        <f>SUM(Q451:Q476)</f>
        <v>1</v>
      </c>
      <c r="R477" s="50">
        <f t="shared" ref="R477:S477" si="809">SUM(R451:R476)</f>
        <v>0</v>
      </c>
      <c r="S477" s="50">
        <f t="shared" si="809"/>
        <v>0</v>
      </c>
      <c r="T477" s="50">
        <f>SUM(T451:T476)</f>
        <v>1</v>
      </c>
      <c r="U477" s="88">
        <f t="shared" si="751"/>
        <v>2</v>
      </c>
      <c r="V477" s="57">
        <f>SUM(V451:V476)</f>
        <v>2</v>
      </c>
      <c r="W477" s="50">
        <f t="shared" ref="W477:X477" si="810">SUM(W451:W476)</f>
        <v>4</v>
      </c>
      <c r="X477" s="50">
        <f t="shared" si="810"/>
        <v>2</v>
      </c>
      <c r="Y477" s="50">
        <f>SUM(Y451:Y476)</f>
        <v>1</v>
      </c>
      <c r="Z477" s="88">
        <f t="shared" si="752"/>
        <v>9</v>
      </c>
      <c r="AA477" s="109">
        <f t="shared" si="753"/>
        <v>20</v>
      </c>
      <c r="AC477" s="27" t="s">
        <v>12</v>
      </c>
      <c r="AD477" s="57">
        <f>SUM(AD451:AD476)</f>
        <v>17</v>
      </c>
      <c r="AE477" s="50">
        <f t="shared" ref="AE477:AF477" si="811">SUM(AE451:AE476)</f>
        <v>15</v>
      </c>
      <c r="AF477" s="50">
        <f t="shared" si="811"/>
        <v>14</v>
      </c>
      <c r="AG477" s="50">
        <f>SUM(AG451:AG476)</f>
        <v>13</v>
      </c>
      <c r="AH477" s="88">
        <f t="shared" si="766"/>
        <v>59</v>
      </c>
      <c r="AI477" s="57">
        <f>SUM(AI451:AI476)</f>
        <v>19</v>
      </c>
      <c r="AJ477" s="50">
        <f t="shared" ref="AJ477:AK477" si="812">SUM(AJ451:AJ476)</f>
        <v>20</v>
      </c>
      <c r="AK477" s="50">
        <f t="shared" si="812"/>
        <v>16</v>
      </c>
      <c r="AL477" s="50">
        <f>SUM(AL451:AL476)</f>
        <v>11</v>
      </c>
      <c r="AM477" s="88">
        <f t="shared" si="767"/>
        <v>66</v>
      </c>
      <c r="AN477" s="57">
        <f>SUM(AN451:AN476)</f>
        <v>34</v>
      </c>
      <c r="AO477" s="50">
        <f t="shared" ref="AO477:AP477" si="813">SUM(AO451:AO476)</f>
        <v>37</v>
      </c>
      <c r="AP477" s="50">
        <f t="shared" si="813"/>
        <v>14</v>
      </c>
      <c r="AQ477" s="50">
        <f>SUM(AQ451:AQ476)</f>
        <v>9</v>
      </c>
      <c r="AR477" s="88">
        <f t="shared" si="768"/>
        <v>94</v>
      </c>
      <c r="AS477" s="57">
        <f>SUM(AS451:AS476)</f>
        <v>29</v>
      </c>
      <c r="AT477" s="50">
        <f t="shared" ref="AT477:AU477" si="814">SUM(AT451:AT476)</f>
        <v>39</v>
      </c>
      <c r="AU477" s="50">
        <f t="shared" si="814"/>
        <v>12</v>
      </c>
      <c r="AV477" s="50">
        <f>SUM(AV451:AV476)</f>
        <v>8</v>
      </c>
      <c r="AW477" s="88">
        <f t="shared" si="769"/>
        <v>88</v>
      </c>
      <c r="AX477" s="57">
        <f>SUM(AX451:AX476)</f>
        <v>56</v>
      </c>
      <c r="AY477" s="50">
        <f t="shared" ref="AY477:AZ477" si="815">SUM(AY451:AY476)</f>
        <v>46</v>
      </c>
      <c r="AZ477" s="50">
        <f t="shared" si="815"/>
        <v>26</v>
      </c>
      <c r="BA477" s="50">
        <f>SUM(BA451:BA476)</f>
        <v>19</v>
      </c>
      <c r="BB477" s="88">
        <f t="shared" si="770"/>
        <v>147</v>
      </c>
      <c r="BC477" s="109">
        <f t="shared" si="771"/>
        <v>454</v>
      </c>
    </row>
    <row r="478" spans="1:56" ht="14.25" thickBot="1" x14ac:dyDescent="0.2">
      <c r="A478" s="21" t="s">
        <v>13</v>
      </c>
      <c r="B478" s="101">
        <f>B450-B477</f>
        <v>10</v>
      </c>
      <c r="C478" s="8">
        <f t="shared" ref="C478:D478" si="816">C450-C477</f>
        <v>6</v>
      </c>
      <c r="D478" s="8">
        <f t="shared" si="816"/>
        <v>11</v>
      </c>
      <c r="E478" s="8">
        <f>E450-E477</f>
        <v>7</v>
      </c>
      <c r="F478" s="87">
        <f t="shared" si="748"/>
        <v>34</v>
      </c>
      <c r="G478" s="101">
        <f>G450-G477</f>
        <v>8</v>
      </c>
      <c r="H478" s="8">
        <f t="shared" ref="H478:I478" si="817">H450-H477</f>
        <v>8</v>
      </c>
      <c r="I478" s="8">
        <f t="shared" si="817"/>
        <v>10</v>
      </c>
      <c r="J478" s="8">
        <f>J450-J477</f>
        <v>8</v>
      </c>
      <c r="K478" s="87">
        <f t="shared" si="749"/>
        <v>34</v>
      </c>
      <c r="L478" s="101">
        <f>L450-L477</f>
        <v>11</v>
      </c>
      <c r="M478" s="8">
        <f t="shared" ref="M478:N478" si="818">M450-M477</f>
        <v>9</v>
      </c>
      <c r="N478" s="8">
        <f t="shared" si="818"/>
        <v>9</v>
      </c>
      <c r="O478" s="8">
        <f>O450-O477</f>
        <v>7</v>
      </c>
      <c r="P478" s="87">
        <f t="shared" si="750"/>
        <v>36</v>
      </c>
      <c r="Q478" s="101">
        <f>Q450-Q477</f>
        <v>8</v>
      </c>
      <c r="R478" s="8">
        <f t="shared" ref="R478:S478" si="819">R450-R477</f>
        <v>9</v>
      </c>
      <c r="S478" s="8">
        <f t="shared" si="819"/>
        <v>10</v>
      </c>
      <c r="T478" s="8">
        <f>T450-T477</f>
        <v>7</v>
      </c>
      <c r="U478" s="87">
        <f t="shared" si="751"/>
        <v>34</v>
      </c>
      <c r="V478" s="101">
        <f>V450-V477</f>
        <v>14</v>
      </c>
      <c r="W478" s="8">
        <f t="shared" ref="W478:X478" si="820">W450-W477</f>
        <v>7</v>
      </c>
      <c r="X478" s="8">
        <f t="shared" si="820"/>
        <v>12</v>
      </c>
      <c r="Y478" s="8">
        <f>Y450-Y477</f>
        <v>10</v>
      </c>
      <c r="Z478" s="87">
        <f t="shared" si="752"/>
        <v>43</v>
      </c>
      <c r="AA478" s="107">
        <f t="shared" si="753"/>
        <v>181</v>
      </c>
      <c r="AC478" s="29" t="s">
        <v>13</v>
      </c>
      <c r="AD478" s="32">
        <f>AD450-AD477</f>
        <v>490</v>
      </c>
      <c r="AE478" s="44">
        <f t="shared" ref="AE478:AF478" si="821">AE450-AE477</f>
        <v>479</v>
      </c>
      <c r="AF478" s="44">
        <f t="shared" si="821"/>
        <v>345</v>
      </c>
      <c r="AG478" s="44">
        <f>AG450-AG477</f>
        <v>404</v>
      </c>
      <c r="AH478" s="87">
        <f t="shared" si="766"/>
        <v>1718</v>
      </c>
      <c r="AI478" s="32">
        <f>AI450-AI477</f>
        <v>485</v>
      </c>
      <c r="AJ478" s="44">
        <f t="shared" ref="AJ478:AK478" si="822">AJ450-AJ477</f>
        <v>437</v>
      </c>
      <c r="AK478" s="44">
        <f t="shared" si="822"/>
        <v>340</v>
      </c>
      <c r="AL478" s="44">
        <f>AL450-AL477</f>
        <v>416</v>
      </c>
      <c r="AM478" s="87">
        <f t="shared" si="767"/>
        <v>1678</v>
      </c>
      <c r="AN478" s="32">
        <f>AN450-AN477</f>
        <v>413</v>
      </c>
      <c r="AO478" s="44">
        <f t="shared" ref="AO478:AP478" si="823">AO450-AO477</f>
        <v>359</v>
      </c>
      <c r="AP478" s="44">
        <f t="shared" si="823"/>
        <v>257</v>
      </c>
      <c r="AQ478" s="44">
        <f>AQ450-AQ477</f>
        <v>383</v>
      </c>
      <c r="AR478" s="87">
        <f t="shared" si="768"/>
        <v>1412</v>
      </c>
      <c r="AS478" s="32">
        <f>AS450-AS477</f>
        <v>46</v>
      </c>
      <c r="AT478" s="44">
        <f t="shared" ref="AT478:AU478" si="824">AT450-AT477</f>
        <v>263</v>
      </c>
      <c r="AU478" s="44">
        <f t="shared" si="824"/>
        <v>99</v>
      </c>
      <c r="AV478" s="44">
        <f>AV450-AV477</f>
        <v>537</v>
      </c>
      <c r="AW478" s="87">
        <f t="shared" si="769"/>
        <v>945</v>
      </c>
      <c r="AX478" s="32">
        <f>AX450-AX477</f>
        <v>942</v>
      </c>
      <c r="AY478" s="44">
        <f t="shared" ref="AY478:AZ478" si="825">AY450-AY477</f>
        <v>1003</v>
      </c>
      <c r="AZ478" s="44">
        <f t="shared" si="825"/>
        <v>500</v>
      </c>
      <c r="BA478" s="44">
        <f>BA450-BA477</f>
        <v>139</v>
      </c>
      <c r="BB478" s="87">
        <f t="shared" si="770"/>
        <v>2584</v>
      </c>
      <c r="BC478" s="107">
        <f t="shared" si="771"/>
        <v>8337</v>
      </c>
    </row>
    <row r="479" spans="1:56" x14ac:dyDescent="0.15">
      <c r="AD479" s="71">
        <f>AD450/$AH$450*100</f>
        <v>28.531232414181208</v>
      </c>
      <c r="AE479" s="71">
        <f t="shared" ref="AE479:AH479" si="826">AE450/$AH$450*100</f>
        <v>27.799662352279121</v>
      </c>
      <c r="AF479" s="71">
        <f t="shared" si="826"/>
        <v>20.20258863252673</v>
      </c>
      <c r="AG479" s="71">
        <f t="shared" si="826"/>
        <v>23.466516601012945</v>
      </c>
      <c r="AH479" s="71">
        <f t="shared" si="826"/>
        <v>100</v>
      </c>
    </row>
    <row r="480" spans="1:56" x14ac:dyDescent="0.15">
      <c r="AD480" s="200">
        <v>37.200000000000003</v>
      </c>
      <c r="AE480" s="200">
        <v>43.2</v>
      </c>
      <c r="AF480" s="200">
        <v>17.600000000000001</v>
      </c>
      <c r="AG480" s="200">
        <v>1.96</v>
      </c>
      <c r="AH480" s="201">
        <f>SUM(AD480:AG480)</f>
        <v>99.96</v>
      </c>
    </row>
    <row r="481" spans="1:56" ht="19.5" thickBot="1" x14ac:dyDescent="0.25">
      <c r="A481" s="271" t="s">
        <v>22</v>
      </c>
      <c r="B481" s="271"/>
      <c r="C481" s="271"/>
      <c r="D481" s="271"/>
      <c r="E481" s="271"/>
      <c r="F481" s="271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C481" s="79" t="s">
        <v>69</v>
      </c>
      <c r="AD481" s="79"/>
      <c r="AE481" s="79"/>
      <c r="AF481" s="79"/>
      <c r="AG481" s="79"/>
      <c r="AH481" s="79"/>
      <c r="AI481" s="93"/>
      <c r="AJ481" s="93"/>
      <c r="AK481" s="93"/>
      <c r="AL481" s="93"/>
      <c r="AM481" s="93"/>
      <c r="AN481" s="93"/>
      <c r="AO481" s="93"/>
      <c r="AP481" s="93"/>
      <c r="AQ481" s="93"/>
      <c r="AR481" s="93"/>
      <c r="AS481" s="93"/>
      <c r="AT481" s="78"/>
      <c r="AU481" s="78"/>
      <c r="AV481" s="78"/>
      <c r="AW481" s="78"/>
      <c r="AX481" s="78"/>
      <c r="AY481" s="78"/>
      <c r="AZ481" s="78"/>
      <c r="BA481" s="78"/>
      <c r="BB481" s="78"/>
      <c r="BC481" s="78"/>
    </row>
    <row r="482" spans="1:56" ht="14.25" thickBot="1" x14ac:dyDescent="0.2">
      <c r="A482" s="2" t="s">
        <v>0</v>
      </c>
      <c r="B482" s="256" t="s">
        <v>23</v>
      </c>
      <c r="C482" s="257"/>
      <c r="D482" s="257"/>
      <c r="E482" s="258"/>
      <c r="F482" s="81"/>
      <c r="G482" s="259" t="s">
        <v>24</v>
      </c>
      <c r="H482" s="260"/>
      <c r="I482" s="260"/>
      <c r="J482" s="261"/>
      <c r="K482" s="81"/>
      <c r="L482" s="262" t="s">
        <v>25</v>
      </c>
      <c r="M482" s="263"/>
      <c r="N482" s="263"/>
      <c r="O482" s="264"/>
      <c r="P482" s="81"/>
      <c r="Q482" s="265" t="s">
        <v>26</v>
      </c>
      <c r="R482" s="266"/>
      <c r="S482" s="266"/>
      <c r="T482" s="267"/>
      <c r="U482" s="81"/>
      <c r="V482" s="268" t="s">
        <v>27</v>
      </c>
      <c r="W482" s="269"/>
      <c r="X482" s="269"/>
      <c r="Y482" s="270"/>
      <c r="Z482" s="81"/>
      <c r="AA482" s="272" t="s">
        <v>6</v>
      </c>
      <c r="AC482" s="2" t="s">
        <v>0</v>
      </c>
      <c r="AD482" s="256" t="s">
        <v>23</v>
      </c>
      <c r="AE482" s="257"/>
      <c r="AF482" s="257"/>
      <c r="AG482" s="258"/>
      <c r="AH482" s="81"/>
      <c r="AI482" s="259" t="s">
        <v>24</v>
      </c>
      <c r="AJ482" s="260"/>
      <c r="AK482" s="260"/>
      <c r="AL482" s="261"/>
      <c r="AM482" s="81"/>
      <c r="AN482" s="262" t="s">
        <v>25</v>
      </c>
      <c r="AO482" s="263"/>
      <c r="AP482" s="263"/>
      <c r="AQ482" s="264"/>
      <c r="AR482" s="81"/>
      <c r="AS482" s="265" t="s">
        <v>26</v>
      </c>
      <c r="AT482" s="266"/>
      <c r="AU482" s="266"/>
      <c r="AV482" s="267"/>
      <c r="AW482" s="81"/>
      <c r="AX482" s="268" t="s">
        <v>27</v>
      </c>
      <c r="AY482" s="269"/>
      <c r="AZ482" s="269"/>
      <c r="BA482" s="270"/>
      <c r="BB482" s="81"/>
      <c r="BC482" s="183" t="s">
        <v>6</v>
      </c>
    </row>
    <row r="483" spans="1:56" ht="14.25" thickBot="1" x14ac:dyDescent="0.2">
      <c r="A483" s="2" t="s">
        <v>2</v>
      </c>
      <c r="B483" s="3" t="s">
        <v>3</v>
      </c>
      <c r="C483" s="4" t="s">
        <v>4</v>
      </c>
      <c r="D483" s="5" t="s">
        <v>5</v>
      </c>
      <c r="E483" s="5" t="s">
        <v>20</v>
      </c>
      <c r="F483" s="82" t="s">
        <v>6</v>
      </c>
      <c r="G483" s="89" t="s">
        <v>3</v>
      </c>
      <c r="H483" s="4" t="s">
        <v>4</v>
      </c>
      <c r="I483" s="5" t="s">
        <v>5</v>
      </c>
      <c r="J483" s="5" t="s">
        <v>20</v>
      </c>
      <c r="K483" s="82" t="s">
        <v>6</v>
      </c>
      <c r="L483" s="89" t="s">
        <v>3</v>
      </c>
      <c r="M483" s="4" t="s">
        <v>4</v>
      </c>
      <c r="N483" s="5" t="s">
        <v>5</v>
      </c>
      <c r="O483" s="5" t="s">
        <v>20</v>
      </c>
      <c r="P483" s="82" t="s">
        <v>6</v>
      </c>
      <c r="Q483" s="89" t="s">
        <v>3</v>
      </c>
      <c r="R483" s="4" t="s">
        <v>4</v>
      </c>
      <c r="S483" s="5" t="s">
        <v>5</v>
      </c>
      <c r="T483" s="5" t="s">
        <v>20</v>
      </c>
      <c r="U483" s="82" t="s">
        <v>6</v>
      </c>
      <c r="V483" s="89" t="s">
        <v>3</v>
      </c>
      <c r="W483" s="4" t="s">
        <v>4</v>
      </c>
      <c r="X483" s="5" t="s">
        <v>5</v>
      </c>
      <c r="Y483" s="5" t="s">
        <v>20</v>
      </c>
      <c r="Z483" s="82" t="s">
        <v>6</v>
      </c>
      <c r="AA483" s="273"/>
      <c r="AC483" s="2" t="s">
        <v>2</v>
      </c>
      <c r="AD483" s="3" t="s">
        <v>3</v>
      </c>
      <c r="AE483" s="4" t="s">
        <v>4</v>
      </c>
      <c r="AF483" s="5" t="s">
        <v>5</v>
      </c>
      <c r="AG483" s="5" t="s">
        <v>20</v>
      </c>
      <c r="AH483" s="82" t="s">
        <v>6</v>
      </c>
      <c r="AI483" s="89" t="s">
        <v>3</v>
      </c>
      <c r="AJ483" s="4" t="s">
        <v>4</v>
      </c>
      <c r="AK483" s="5" t="s">
        <v>5</v>
      </c>
      <c r="AL483" s="5" t="s">
        <v>20</v>
      </c>
      <c r="AM483" s="82" t="s">
        <v>6</v>
      </c>
      <c r="AN483" s="89" t="s">
        <v>3</v>
      </c>
      <c r="AO483" s="4" t="s">
        <v>4</v>
      </c>
      <c r="AP483" s="5" t="s">
        <v>5</v>
      </c>
      <c r="AQ483" s="5" t="s">
        <v>20</v>
      </c>
      <c r="AR483" s="82" t="s">
        <v>6</v>
      </c>
      <c r="AS483" s="89" t="s">
        <v>3</v>
      </c>
      <c r="AT483" s="4" t="s">
        <v>4</v>
      </c>
      <c r="AU483" s="5" t="s">
        <v>5</v>
      </c>
      <c r="AV483" s="5" t="s">
        <v>20</v>
      </c>
      <c r="AW483" s="82" t="s">
        <v>6</v>
      </c>
      <c r="AX483" s="89" t="s">
        <v>3</v>
      </c>
      <c r="AY483" s="4" t="s">
        <v>4</v>
      </c>
      <c r="AZ483" s="5" t="s">
        <v>5</v>
      </c>
      <c r="BA483" s="5" t="s">
        <v>20</v>
      </c>
      <c r="BB483" s="82" t="s">
        <v>6</v>
      </c>
      <c r="BC483" s="184"/>
    </row>
    <row r="484" spans="1:56" x14ac:dyDescent="0.15">
      <c r="A484" s="40" t="s">
        <v>13</v>
      </c>
      <c r="B484" s="41">
        <f>B478</f>
        <v>10</v>
      </c>
      <c r="C484" s="42">
        <f>C478</f>
        <v>6</v>
      </c>
      <c r="D484" s="42">
        <f t="shared" ref="D484:AA484" si="827">D478</f>
        <v>11</v>
      </c>
      <c r="E484" s="94">
        <f t="shared" si="827"/>
        <v>7</v>
      </c>
      <c r="F484" s="95">
        <f t="shared" si="827"/>
        <v>34</v>
      </c>
      <c r="G484" s="96">
        <f t="shared" si="827"/>
        <v>8</v>
      </c>
      <c r="H484" s="42">
        <f t="shared" si="827"/>
        <v>8</v>
      </c>
      <c r="I484" s="42">
        <f t="shared" si="827"/>
        <v>10</v>
      </c>
      <c r="J484" s="94">
        <f t="shared" si="827"/>
        <v>8</v>
      </c>
      <c r="K484" s="95">
        <f t="shared" si="827"/>
        <v>34</v>
      </c>
      <c r="L484" s="96">
        <f t="shared" si="827"/>
        <v>11</v>
      </c>
      <c r="M484" s="42">
        <f t="shared" si="827"/>
        <v>9</v>
      </c>
      <c r="N484" s="42">
        <f t="shared" si="827"/>
        <v>9</v>
      </c>
      <c r="O484" s="94">
        <f t="shared" si="827"/>
        <v>7</v>
      </c>
      <c r="P484" s="95">
        <f t="shared" si="827"/>
        <v>36</v>
      </c>
      <c r="Q484" s="96">
        <f t="shared" si="827"/>
        <v>8</v>
      </c>
      <c r="R484" s="42">
        <f t="shared" si="827"/>
        <v>9</v>
      </c>
      <c r="S484" s="42">
        <f t="shared" si="827"/>
        <v>10</v>
      </c>
      <c r="T484" s="94">
        <f t="shared" si="827"/>
        <v>7</v>
      </c>
      <c r="U484" s="95">
        <f t="shared" si="827"/>
        <v>34</v>
      </c>
      <c r="V484" s="96">
        <f t="shared" si="827"/>
        <v>14</v>
      </c>
      <c r="W484" s="42">
        <f t="shared" si="827"/>
        <v>7</v>
      </c>
      <c r="X484" s="42">
        <f t="shared" si="827"/>
        <v>12</v>
      </c>
      <c r="Y484" s="94">
        <f t="shared" si="827"/>
        <v>10</v>
      </c>
      <c r="Z484" s="95">
        <f t="shared" si="827"/>
        <v>43</v>
      </c>
      <c r="AA484" s="104">
        <f t="shared" si="827"/>
        <v>181</v>
      </c>
      <c r="AC484" s="131" t="s">
        <v>13</v>
      </c>
      <c r="AD484" s="96">
        <f>AD478</f>
        <v>490</v>
      </c>
      <c r="AE484" s="42">
        <f>AE478</f>
        <v>479</v>
      </c>
      <c r="AF484" s="42">
        <f t="shared" ref="AF484:BC484" si="828">AF478</f>
        <v>345</v>
      </c>
      <c r="AG484" s="94">
        <f t="shared" si="828"/>
        <v>404</v>
      </c>
      <c r="AH484" s="95">
        <f t="shared" si="828"/>
        <v>1718</v>
      </c>
      <c r="AI484" s="96">
        <f t="shared" si="828"/>
        <v>485</v>
      </c>
      <c r="AJ484" s="42">
        <f t="shared" si="828"/>
        <v>437</v>
      </c>
      <c r="AK484" s="42">
        <f t="shared" si="828"/>
        <v>340</v>
      </c>
      <c r="AL484" s="94">
        <f t="shared" si="828"/>
        <v>416</v>
      </c>
      <c r="AM484" s="95">
        <f t="shared" si="828"/>
        <v>1678</v>
      </c>
      <c r="AN484" s="96">
        <f t="shared" si="828"/>
        <v>413</v>
      </c>
      <c r="AO484" s="42">
        <f t="shared" si="828"/>
        <v>359</v>
      </c>
      <c r="AP484" s="42">
        <f t="shared" si="828"/>
        <v>257</v>
      </c>
      <c r="AQ484" s="94">
        <f t="shared" si="828"/>
        <v>383</v>
      </c>
      <c r="AR484" s="95">
        <f t="shared" si="828"/>
        <v>1412</v>
      </c>
      <c r="AS484" s="96">
        <f t="shared" si="828"/>
        <v>46</v>
      </c>
      <c r="AT484" s="42">
        <f t="shared" si="828"/>
        <v>263</v>
      </c>
      <c r="AU484" s="42">
        <f t="shared" si="828"/>
        <v>99</v>
      </c>
      <c r="AV484" s="94">
        <f t="shared" si="828"/>
        <v>537</v>
      </c>
      <c r="AW484" s="95">
        <f t="shared" si="828"/>
        <v>945</v>
      </c>
      <c r="AX484" s="96">
        <f t="shared" si="828"/>
        <v>942</v>
      </c>
      <c r="AY484" s="42">
        <f t="shared" si="828"/>
        <v>1003</v>
      </c>
      <c r="AZ484" s="42">
        <f t="shared" si="828"/>
        <v>500</v>
      </c>
      <c r="BA484" s="94">
        <f t="shared" si="828"/>
        <v>139</v>
      </c>
      <c r="BB484" s="95">
        <f t="shared" si="828"/>
        <v>2584</v>
      </c>
      <c r="BC484" s="104">
        <f t="shared" si="828"/>
        <v>8337</v>
      </c>
    </row>
    <row r="485" spans="1:56" x14ac:dyDescent="0.15">
      <c r="A485" s="54" t="s">
        <v>483</v>
      </c>
      <c r="B485" s="10">
        <v>1</v>
      </c>
      <c r="C485" s="11">
        <v>1</v>
      </c>
      <c r="D485" s="12"/>
      <c r="E485" s="12"/>
      <c r="F485" s="85">
        <f t="shared" ref="F485:F518" si="829">SUM(B485:E485)</f>
        <v>2</v>
      </c>
      <c r="G485" s="90">
        <v>1</v>
      </c>
      <c r="H485" s="11">
        <v>1</v>
      </c>
      <c r="I485" s="12"/>
      <c r="J485" s="12"/>
      <c r="K485" s="85">
        <f t="shared" ref="K485:K518" si="830">SUM(G485:J485)</f>
        <v>2</v>
      </c>
      <c r="L485" s="90"/>
      <c r="M485" s="11"/>
      <c r="N485" s="12">
        <v>1</v>
      </c>
      <c r="O485" s="12">
        <v>1</v>
      </c>
      <c r="P485" s="85">
        <f t="shared" ref="P485:P518" si="831">SUM(L485:O485)</f>
        <v>2</v>
      </c>
      <c r="Q485" s="90"/>
      <c r="R485" s="11"/>
      <c r="S485" s="12">
        <v>1</v>
      </c>
      <c r="T485" s="12">
        <v>1</v>
      </c>
      <c r="U485" s="85">
        <f t="shared" ref="U485:U518" si="832">SUM(Q485:T485)</f>
        <v>2</v>
      </c>
      <c r="V485" s="90">
        <v>1</v>
      </c>
      <c r="W485" s="11">
        <v>1</v>
      </c>
      <c r="X485" s="12">
        <v>1</v>
      </c>
      <c r="Y485" s="12">
        <v>1</v>
      </c>
      <c r="Z485" s="85">
        <f t="shared" ref="Z485:Z518" si="833">SUM(V485:Y485)</f>
        <v>4</v>
      </c>
      <c r="AA485" s="105">
        <f t="shared" ref="AA485:AA518" si="834">Z485+U485+P485+K485+F485</f>
        <v>12</v>
      </c>
      <c r="AB485" s="115">
        <v>45843</v>
      </c>
      <c r="AC485" s="117" t="s">
        <v>313</v>
      </c>
      <c r="AD485" s="90"/>
      <c r="AE485" s="11"/>
      <c r="AF485" s="12"/>
      <c r="AG485" s="12"/>
      <c r="AH485" s="84">
        <f t="shared" ref="AH485:AH518" si="835">SUM(AD485:AG485)</f>
        <v>0</v>
      </c>
      <c r="AI485" s="90"/>
      <c r="AJ485" s="11"/>
      <c r="AK485" s="12"/>
      <c r="AL485" s="12"/>
      <c r="AM485" s="84">
        <f t="shared" ref="AM485:AM518" si="836">SUM(AI485:AL485)</f>
        <v>0</v>
      </c>
      <c r="AN485" s="90"/>
      <c r="AO485" s="11"/>
      <c r="AP485" s="12"/>
      <c r="AQ485" s="12"/>
      <c r="AR485" s="84">
        <f t="shared" ref="AR485:AR518" si="837">SUM(AN485:AQ485)</f>
        <v>0</v>
      </c>
      <c r="AS485" s="90">
        <v>-50</v>
      </c>
      <c r="AT485" s="11"/>
      <c r="AU485" s="12"/>
      <c r="AV485" s="12"/>
      <c r="AW485" s="84">
        <f t="shared" ref="AW485:AW518" si="838">SUM(AS485:AV485)</f>
        <v>-50</v>
      </c>
      <c r="AX485" s="90"/>
      <c r="AY485" s="11"/>
      <c r="AZ485" s="12"/>
      <c r="BA485" s="12"/>
      <c r="BB485" s="84">
        <f t="shared" ref="BB485:BB518" si="839">SUM(AX485:BA485)</f>
        <v>0</v>
      </c>
      <c r="BC485" s="105">
        <f t="shared" ref="BC485:BC518" si="840">BB485+AW485+AR485+AM485+AH485</f>
        <v>-50</v>
      </c>
    </row>
    <row r="486" spans="1:56" x14ac:dyDescent="0.15">
      <c r="A486" s="9" t="s">
        <v>171</v>
      </c>
      <c r="B486" s="10"/>
      <c r="C486" s="11"/>
      <c r="D486" s="12"/>
      <c r="E486" s="12">
        <v>1</v>
      </c>
      <c r="F486" s="85">
        <f t="shared" si="829"/>
        <v>1</v>
      </c>
      <c r="G486" s="90"/>
      <c r="H486" s="11"/>
      <c r="I486" s="12"/>
      <c r="J486" s="12">
        <v>1</v>
      </c>
      <c r="K486" s="85">
        <f t="shared" si="830"/>
        <v>1</v>
      </c>
      <c r="L486" s="90"/>
      <c r="M486" s="11"/>
      <c r="N486" s="12"/>
      <c r="O486" s="12"/>
      <c r="P486" s="85">
        <f t="shared" si="831"/>
        <v>0</v>
      </c>
      <c r="Q486" s="90"/>
      <c r="R486" s="11"/>
      <c r="S486" s="12"/>
      <c r="T486" s="12"/>
      <c r="U486" s="85">
        <f t="shared" si="832"/>
        <v>0</v>
      </c>
      <c r="V486" s="90"/>
      <c r="W486" s="11"/>
      <c r="X486" s="12"/>
      <c r="Y486" s="12">
        <v>1</v>
      </c>
      <c r="Z486" s="85">
        <f t="shared" si="833"/>
        <v>1</v>
      </c>
      <c r="AA486" s="105">
        <f t="shared" si="834"/>
        <v>3</v>
      </c>
      <c r="AB486" s="115">
        <v>45847</v>
      </c>
      <c r="AC486" s="117" t="s">
        <v>355</v>
      </c>
      <c r="AD486" s="90">
        <v>1250</v>
      </c>
      <c r="AE486" s="11">
        <v>1200</v>
      </c>
      <c r="AF486" s="12">
        <v>300</v>
      </c>
      <c r="AG486" s="12">
        <v>0</v>
      </c>
      <c r="AH486" s="84">
        <f t="shared" si="835"/>
        <v>2750</v>
      </c>
      <c r="AI486" s="90">
        <v>1250</v>
      </c>
      <c r="AJ486" s="11">
        <v>1200</v>
      </c>
      <c r="AK486" s="12">
        <v>300</v>
      </c>
      <c r="AL486" s="12">
        <v>0</v>
      </c>
      <c r="AM486" s="84">
        <f t="shared" si="836"/>
        <v>2750</v>
      </c>
      <c r="AN486" s="90"/>
      <c r="AO486" s="11"/>
      <c r="AP486" s="12"/>
      <c r="AQ486" s="12"/>
      <c r="AR486" s="84">
        <f t="shared" si="837"/>
        <v>0</v>
      </c>
      <c r="AS486" s="90">
        <v>1300</v>
      </c>
      <c r="AT486" s="11">
        <v>950</v>
      </c>
      <c r="AU486" s="12">
        <v>450</v>
      </c>
      <c r="AV486" s="12">
        <v>0</v>
      </c>
      <c r="AW486" s="84">
        <f t="shared" si="838"/>
        <v>2700</v>
      </c>
      <c r="AX486" s="90"/>
      <c r="AY486" s="11"/>
      <c r="AZ486" s="12"/>
      <c r="BA486" s="12"/>
      <c r="BB486" s="84">
        <f t="shared" si="839"/>
        <v>0</v>
      </c>
      <c r="BC486" s="105">
        <f t="shared" si="840"/>
        <v>8200</v>
      </c>
      <c r="BD486" s="114" t="s">
        <v>494</v>
      </c>
    </row>
    <row r="487" spans="1:56" x14ac:dyDescent="0.15">
      <c r="A487" s="9" t="s">
        <v>317</v>
      </c>
      <c r="B487" s="15">
        <v>1</v>
      </c>
      <c r="C487" s="16">
        <v>0</v>
      </c>
      <c r="D487" s="17">
        <v>0</v>
      </c>
      <c r="E487" s="17">
        <v>0</v>
      </c>
      <c r="F487" s="85">
        <f t="shared" si="829"/>
        <v>1</v>
      </c>
      <c r="G487" s="91">
        <v>1</v>
      </c>
      <c r="H487" s="16">
        <v>1</v>
      </c>
      <c r="I487" s="17">
        <v>0</v>
      </c>
      <c r="J487" s="17">
        <v>0</v>
      </c>
      <c r="K487" s="85">
        <f t="shared" si="830"/>
        <v>2</v>
      </c>
      <c r="L487" s="91">
        <v>0</v>
      </c>
      <c r="M487" s="16">
        <v>0</v>
      </c>
      <c r="N487" s="17">
        <v>3</v>
      </c>
      <c r="O487" s="17">
        <v>0</v>
      </c>
      <c r="P487" s="85">
        <f t="shared" si="831"/>
        <v>3</v>
      </c>
      <c r="Q487" s="91">
        <v>0</v>
      </c>
      <c r="R487" s="16">
        <v>3</v>
      </c>
      <c r="S487" s="17">
        <v>0</v>
      </c>
      <c r="T487" s="17">
        <v>-1</v>
      </c>
      <c r="U487" s="85">
        <f t="shared" si="832"/>
        <v>2</v>
      </c>
      <c r="V487" s="91">
        <v>0</v>
      </c>
      <c r="W487" s="16">
        <v>2</v>
      </c>
      <c r="X487" s="17">
        <v>0</v>
      </c>
      <c r="Y487" s="17">
        <v>0</v>
      </c>
      <c r="Z487" s="85">
        <f t="shared" si="833"/>
        <v>2</v>
      </c>
      <c r="AA487" s="105">
        <f t="shared" si="834"/>
        <v>10</v>
      </c>
      <c r="AB487" s="115">
        <v>45878</v>
      </c>
      <c r="AC487" s="117" t="s">
        <v>471</v>
      </c>
      <c r="AD487" s="90">
        <v>108</v>
      </c>
      <c r="AE487" s="11">
        <v>153</v>
      </c>
      <c r="AF487" s="12">
        <v>26</v>
      </c>
      <c r="AG487" s="12"/>
      <c r="AH487" s="84">
        <f t="shared" si="835"/>
        <v>287</v>
      </c>
      <c r="AI487" s="90">
        <v>77</v>
      </c>
      <c r="AJ487" s="11">
        <v>106</v>
      </c>
      <c r="AK487" s="12">
        <v>61</v>
      </c>
      <c r="AL487" s="12"/>
      <c r="AM487" s="84">
        <f t="shared" si="836"/>
        <v>244</v>
      </c>
      <c r="AN487" s="90"/>
      <c r="AO487" s="11"/>
      <c r="AP487" s="12"/>
      <c r="AQ487" s="12"/>
      <c r="AR487" s="84">
        <f t="shared" si="837"/>
        <v>0</v>
      </c>
      <c r="AS487" s="90">
        <v>86</v>
      </c>
      <c r="AT487" s="11">
        <v>60</v>
      </c>
      <c r="AU487" s="12">
        <v>75</v>
      </c>
      <c r="AV487" s="12"/>
      <c r="AW487" s="84">
        <f t="shared" si="838"/>
        <v>221</v>
      </c>
      <c r="AX487" s="90"/>
      <c r="AY487" s="11"/>
      <c r="AZ487" s="12"/>
      <c r="BA487" s="12"/>
      <c r="BB487" s="84">
        <f t="shared" si="839"/>
        <v>0</v>
      </c>
      <c r="BC487" s="105">
        <f t="shared" si="840"/>
        <v>752</v>
      </c>
      <c r="BD487" s="76" t="s">
        <v>472</v>
      </c>
    </row>
    <row r="488" spans="1:56" x14ac:dyDescent="0.15">
      <c r="A488" s="9" t="s">
        <v>10</v>
      </c>
      <c r="B488" s="15"/>
      <c r="C488" s="16"/>
      <c r="D488" s="17"/>
      <c r="E488" s="17"/>
      <c r="F488" s="85">
        <f t="shared" si="829"/>
        <v>0</v>
      </c>
      <c r="G488" s="91">
        <v>3</v>
      </c>
      <c r="H488" s="16"/>
      <c r="I488" s="17"/>
      <c r="J488" s="17"/>
      <c r="K488" s="85">
        <f t="shared" si="830"/>
        <v>3</v>
      </c>
      <c r="L488" s="91">
        <v>3</v>
      </c>
      <c r="M488" s="16"/>
      <c r="N488" s="17"/>
      <c r="O488" s="17"/>
      <c r="P488" s="85">
        <f t="shared" si="831"/>
        <v>3</v>
      </c>
      <c r="Q488" s="91">
        <v>5</v>
      </c>
      <c r="R488" s="16"/>
      <c r="S488" s="17"/>
      <c r="T488" s="17">
        <v>3</v>
      </c>
      <c r="U488" s="85">
        <f t="shared" si="832"/>
        <v>8</v>
      </c>
      <c r="V488" s="91">
        <v>5</v>
      </c>
      <c r="W488" s="16"/>
      <c r="X488" s="17"/>
      <c r="Y488" s="17"/>
      <c r="Z488" s="85">
        <f t="shared" si="833"/>
        <v>5</v>
      </c>
      <c r="AA488" s="105">
        <f t="shared" si="834"/>
        <v>19</v>
      </c>
      <c r="AB488" s="114">
        <v>45888</v>
      </c>
      <c r="AC488" s="117" t="s">
        <v>488</v>
      </c>
      <c r="AD488" s="90">
        <v>7</v>
      </c>
      <c r="AE488" s="11">
        <v>7</v>
      </c>
      <c r="AF488" s="12">
        <v>19</v>
      </c>
      <c r="AG488" s="12">
        <v>12</v>
      </c>
      <c r="AH488" s="84">
        <f t="shared" si="835"/>
        <v>45</v>
      </c>
      <c r="AI488" s="90">
        <v>7</v>
      </c>
      <c r="AJ488" s="11">
        <v>7</v>
      </c>
      <c r="AK488" s="12">
        <v>19</v>
      </c>
      <c r="AL488" s="12">
        <v>12</v>
      </c>
      <c r="AM488" s="84">
        <f t="shared" si="836"/>
        <v>45</v>
      </c>
      <c r="AN488" s="90"/>
      <c r="AO488" s="11"/>
      <c r="AP488" s="12"/>
      <c r="AQ488" s="12"/>
      <c r="AR488" s="84">
        <f t="shared" si="837"/>
        <v>0</v>
      </c>
      <c r="AS488" s="90"/>
      <c r="AT488" s="11"/>
      <c r="AU488" s="12"/>
      <c r="AV488" s="12"/>
      <c r="AW488" s="84">
        <f t="shared" si="838"/>
        <v>0</v>
      </c>
      <c r="AX488" s="90">
        <v>7</v>
      </c>
      <c r="AY488" s="11">
        <v>7</v>
      </c>
      <c r="AZ488" s="12">
        <v>19</v>
      </c>
      <c r="BA488" s="12">
        <v>12</v>
      </c>
      <c r="BB488" s="84">
        <f t="shared" si="839"/>
        <v>45</v>
      </c>
      <c r="BC488" s="105">
        <f t="shared" si="840"/>
        <v>135</v>
      </c>
      <c r="BD488" s="115">
        <v>45849</v>
      </c>
    </row>
    <row r="489" spans="1:56" ht="14.25" thickBot="1" x14ac:dyDescent="0.2">
      <c r="A489" s="9" t="s">
        <v>11</v>
      </c>
      <c r="B489" s="15"/>
      <c r="C489" s="16"/>
      <c r="D489" s="17"/>
      <c r="E489" s="17"/>
      <c r="F489" s="92">
        <f t="shared" si="829"/>
        <v>0</v>
      </c>
      <c r="G489" s="91"/>
      <c r="H489" s="16"/>
      <c r="I489" s="17"/>
      <c r="J489" s="17"/>
      <c r="K489" s="92">
        <f t="shared" si="830"/>
        <v>0</v>
      </c>
      <c r="L489" s="91"/>
      <c r="M489" s="16"/>
      <c r="N489" s="17"/>
      <c r="O489" s="17"/>
      <c r="P489" s="92">
        <f t="shared" si="831"/>
        <v>0</v>
      </c>
      <c r="Q489" s="91"/>
      <c r="R489" s="16"/>
      <c r="S489" s="17"/>
      <c r="T489" s="17"/>
      <c r="U489" s="92">
        <f t="shared" si="832"/>
        <v>0</v>
      </c>
      <c r="V489" s="91"/>
      <c r="W489" s="16"/>
      <c r="X489" s="17"/>
      <c r="Y489" s="17"/>
      <c r="Z489" s="92">
        <f t="shared" si="833"/>
        <v>0</v>
      </c>
      <c r="AA489" s="110">
        <f t="shared" si="834"/>
        <v>0</v>
      </c>
      <c r="AC489" s="132" t="s">
        <v>489</v>
      </c>
      <c r="AD489" s="91"/>
      <c r="AE489" s="16"/>
      <c r="AF489" s="17"/>
      <c r="AG489" s="17"/>
      <c r="AH489" s="92">
        <f t="shared" si="835"/>
        <v>0</v>
      </c>
      <c r="AI489" s="91"/>
      <c r="AJ489" s="16"/>
      <c r="AK489" s="17"/>
      <c r="AL489" s="17"/>
      <c r="AM489" s="92">
        <f t="shared" si="836"/>
        <v>0</v>
      </c>
      <c r="AN489" s="91">
        <v>7</v>
      </c>
      <c r="AO489" s="16">
        <v>12</v>
      </c>
      <c r="AP489" s="17">
        <v>14</v>
      </c>
      <c r="AQ489" s="17">
        <v>16</v>
      </c>
      <c r="AR489" s="92">
        <f t="shared" si="837"/>
        <v>49</v>
      </c>
      <c r="AS489" s="91">
        <v>7</v>
      </c>
      <c r="AT489" s="16">
        <v>12</v>
      </c>
      <c r="AU489" s="17">
        <v>14</v>
      </c>
      <c r="AV489" s="17">
        <v>16</v>
      </c>
      <c r="AW489" s="92">
        <f t="shared" si="838"/>
        <v>49</v>
      </c>
      <c r="AX489" s="91">
        <v>7</v>
      </c>
      <c r="AY489" s="16">
        <v>12</v>
      </c>
      <c r="AZ489" s="17">
        <v>14</v>
      </c>
      <c r="BA489" s="17">
        <v>16</v>
      </c>
      <c r="BB489" s="92">
        <f t="shared" si="839"/>
        <v>49</v>
      </c>
      <c r="BC489" s="110">
        <f t="shared" si="840"/>
        <v>147</v>
      </c>
      <c r="BD489" s="115">
        <v>45849</v>
      </c>
    </row>
    <row r="490" spans="1:56" ht="14.25" thickBot="1" x14ac:dyDescent="0.2">
      <c r="A490" s="21" t="s">
        <v>16</v>
      </c>
      <c r="B490" s="7">
        <f>SUM(B484:B489)</f>
        <v>12</v>
      </c>
      <c r="C490" s="8">
        <f t="shared" ref="C490:E490" si="841">SUM(C484:C489)</f>
        <v>7</v>
      </c>
      <c r="D490" s="22">
        <f t="shared" si="841"/>
        <v>11</v>
      </c>
      <c r="E490" s="22">
        <f t="shared" si="841"/>
        <v>8</v>
      </c>
      <c r="F490" s="87">
        <f t="shared" si="829"/>
        <v>38</v>
      </c>
      <c r="G490" s="7">
        <f>SUM(G484:G489)</f>
        <v>13</v>
      </c>
      <c r="H490" s="8">
        <f t="shared" ref="H490:J490" si="842">SUM(H484:H489)</f>
        <v>10</v>
      </c>
      <c r="I490" s="22">
        <f t="shared" si="842"/>
        <v>10</v>
      </c>
      <c r="J490" s="22">
        <f t="shared" si="842"/>
        <v>9</v>
      </c>
      <c r="K490" s="87">
        <f t="shared" si="830"/>
        <v>42</v>
      </c>
      <c r="L490" s="7">
        <f>SUM(L484:L489)</f>
        <v>14</v>
      </c>
      <c r="M490" s="8">
        <f t="shared" ref="M490:O490" si="843">SUM(M484:M489)</f>
        <v>9</v>
      </c>
      <c r="N490" s="22">
        <f t="shared" si="843"/>
        <v>13</v>
      </c>
      <c r="O490" s="22">
        <f t="shared" si="843"/>
        <v>8</v>
      </c>
      <c r="P490" s="87">
        <f t="shared" si="831"/>
        <v>44</v>
      </c>
      <c r="Q490" s="7">
        <f>SUM(Q484:Q489)</f>
        <v>13</v>
      </c>
      <c r="R490" s="8">
        <f t="shared" ref="R490:T490" si="844">SUM(R484:R489)</f>
        <v>12</v>
      </c>
      <c r="S490" s="22">
        <f t="shared" si="844"/>
        <v>11</v>
      </c>
      <c r="T490" s="22">
        <f t="shared" si="844"/>
        <v>10</v>
      </c>
      <c r="U490" s="87">
        <f t="shared" si="832"/>
        <v>46</v>
      </c>
      <c r="V490" s="7">
        <f>SUM(V484:V489)</f>
        <v>20</v>
      </c>
      <c r="W490" s="8">
        <f t="shared" ref="W490:Y490" si="845">SUM(W484:W489)</f>
        <v>10</v>
      </c>
      <c r="X490" s="22">
        <f t="shared" si="845"/>
        <v>13</v>
      </c>
      <c r="Y490" s="22">
        <f t="shared" si="845"/>
        <v>12</v>
      </c>
      <c r="Z490" s="87">
        <f t="shared" si="833"/>
        <v>55</v>
      </c>
      <c r="AA490" s="107">
        <f t="shared" si="834"/>
        <v>225</v>
      </c>
      <c r="AC490" s="21" t="s">
        <v>16</v>
      </c>
      <c r="AD490" s="7">
        <f>SUM(AD484:AD489)</f>
        <v>1855</v>
      </c>
      <c r="AE490" s="8">
        <f t="shared" ref="AE490:AG490" si="846">SUM(AE484:AE489)</f>
        <v>1839</v>
      </c>
      <c r="AF490" s="22">
        <f t="shared" si="846"/>
        <v>690</v>
      </c>
      <c r="AG490" s="22">
        <f t="shared" si="846"/>
        <v>416</v>
      </c>
      <c r="AH490" s="87">
        <f t="shared" si="835"/>
        <v>4800</v>
      </c>
      <c r="AI490" s="7">
        <f>SUM(AI484:AI489)</f>
        <v>1819</v>
      </c>
      <c r="AJ490" s="8">
        <f t="shared" ref="AJ490:AL490" si="847">SUM(AJ484:AJ489)</f>
        <v>1750</v>
      </c>
      <c r="AK490" s="22">
        <f t="shared" si="847"/>
        <v>720</v>
      </c>
      <c r="AL490" s="22">
        <f t="shared" si="847"/>
        <v>428</v>
      </c>
      <c r="AM490" s="87">
        <f t="shared" si="836"/>
        <v>4717</v>
      </c>
      <c r="AN490" s="7">
        <f>SUM(AN484:AN489)</f>
        <v>420</v>
      </c>
      <c r="AO490" s="8">
        <f t="shared" ref="AO490:AQ490" si="848">SUM(AO484:AO489)</f>
        <v>371</v>
      </c>
      <c r="AP490" s="22">
        <f t="shared" si="848"/>
        <v>271</v>
      </c>
      <c r="AQ490" s="22">
        <f t="shared" si="848"/>
        <v>399</v>
      </c>
      <c r="AR490" s="87">
        <f t="shared" si="837"/>
        <v>1461</v>
      </c>
      <c r="AS490" s="7">
        <f>SUM(AS484:AS489)</f>
        <v>1389</v>
      </c>
      <c r="AT490" s="8">
        <f t="shared" ref="AT490:AV490" si="849">SUM(AT484:AT489)</f>
        <v>1285</v>
      </c>
      <c r="AU490" s="22">
        <f t="shared" si="849"/>
        <v>638</v>
      </c>
      <c r="AV490" s="22">
        <f t="shared" si="849"/>
        <v>553</v>
      </c>
      <c r="AW490" s="87">
        <f t="shared" si="838"/>
        <v>3865</v>
      </c>
      <c r="AX490" s="7">
        <f>SUM(AX484:AX489)</f>
        <v>956</v>
      </c>
      <c r="AY490" s="8">
        <f t="shared" ref="AY490:BA490" si="850">SUM(AY484:AY489)</f>
        <v>1022</v>
      </c>
      <c r="AZ490" s="22">
        <f t="shared" si="850"/>
        <v>533</v>
      </c>
      <c r="BA490" s="22">
        <f t="shared" si="850"/>
        <v>167</v>
      </c>
      <c r="BB490" s="87">
        <f t="shared" si="839"/>
        <v>2678</v>
      </c>
      <c r="BC490" s="107">
        <f t="shared" si="840"/>
        <v>17521</v>
      </c>
    </row>
    <row r="491" spans="1:56" x14ac:dyDescent="0.15">
      <c r="A491" s="23" t="s">
        <v>474</v>
      </c>
      <c r="B491" s="15"/>
      <c r="C491" s="16"/>
      <c r="D491" s="17"/>
      <c r="E491" s="17"/>
      <c r="F491" s="85">
        <f t="shared" si="829"/>
        <v>0</v>
      </c>
      <c r="G491" s="15"/>
      <c r="H491" s="16"/>
      <c r="I491" s="17"/>
      <c r="J491" s="17"/>
      <c r="K491" s="85">
        <f t="shared" si="830"/>
        <v>0</v>
      </c>
      <c r="L491" s="15"/>
      <c r="M491" s="16"/>
      <c r="N491" s="17"/>
      <c r="O491" s="17"/>
      <c r="P491" s="85">
        <f t="shared" si="831"/>
        <v>0</v>
      </c>
      <c r="Q491" s="15"/>
      <c r="R491" s="16"/>
      <c r="S491" s="17"/>
      <c r="T491" s="17"/>
      <c r="U491" s="85">
        <f t="shared" si="832"/>
        <v>0</v>
      </c>
      <c r="V491" s="15">
        <v>2</v>
      </c>
      <c r="W491" s="16"/>
      <c r="X491" s="17"/>
      <c r="Y491" s="17"/>
      <c r="Z491" s="85">
        <f t="shared" si="833"/>
        <v>2</v>
      </c>
      <c r="AA491" s="105">
        <f t="shared" si="834"/>
        <v>2</v>
      </c>
      <c r="AB491" s="114">
        <v>45840</v>
      </c>
      <c r="AC491" s="23" t="s">
        <v>382</v>
      </c>
      <c r="AD491" s="18">
        <v>400</v>
      </c>
      <c r="AE491" s="19">
        <v>400</v>
      </c>
      <c r="AF491" s="20">
        <v>100</v>
      </c>
      <c r="AG491" s="20"/>
      <c r="AH491" s="85">
        <f t="shared" si="835"/>
        <v>900</v>
      </c>
      <c r="AI491" s="18">
        <v>400</v>
      </c>
      <c r="AJ491" s="19">
        <v>400</v>
      </c>
      <c r="AK491" s="20">
        <v>100</v>
      </c>
      <c r="AL491" s="20"/>
      <c r="AM491" s="85">
        <f t="shared" si="836"/>
        <v>900</v>
      </c>
      <c r="AN491" s="18"/>
      <c r="AO491" s="19"/>
      <c r="AP491" s="20"/>
      <c r="AQ491" s="20"/>
      <c r="AR491" s="85">
        <f t="shared" si="837"/>
        <v>0</v>
      </c>
      <c r="AS491" s="18"/>
      <c r="AT491" s="19"/>
      <c r="AU491" s="20"/>
      <c r="AV491" s="20"/>
      <c r="AW491" s="85">
        <f t="shared" si="838"/>
        <v>0</v>
      </c>
      <c r="AX491" s="18">
        <v>400</v>
      </c>
      <c r="AY491" s="19">
        <v>400</v>
      </c>
      <c r="AZ491" s="20">
        <v>100</v>
      </c>
      <c r="BA491" s="20"/>
      <c r="BB491" s="85">
        <f t="shared" si="839"/>
        <v>900</v>
      </c>
      <c r="BC491" s="105">
        <f t="shared" si="840"/>
        <v>2700</v>
      </c>
      <c r="BD491" s="114">
        <v>45813</v>
      </c>
    </row>
    <row r="492" spans="1:56" x14ac:dyDescent="0.15">
      <c r="A492" s="23" t="s">
        <v>386</v>
      </c>
      <c r="B492" s="15">
        <v>1</v>
      </c>
      <c r="C492" s="16"/>
      <c r="D492" s="17"/>
      <c r="E492" s="17"/>
      <c r="F492" s="85">
        <f t="shared" si="829"/>
        <v>1</v>
      </c>
      <c r="G492" s="15">
        <v>1</v>
      </c>
      <c r="H492" s="16"/>
      <c r="I492" s="17"/>
      <c r="J492" s="17"/>
      <c r="K492" s="85">
        <f t="shared" si="830"/>
        <v>1</v>
      </c>
      <c r="L492" s="15"/>
      <c r="M492" s="16"/>
      <c r="N492" s="17"/>
      <c r="O492" s="17"/>
      <c r="P492" s="85">
        <f t="shared" si="831"/>
        <v>0</v>
      </c>
      <c r="Q492" s="15">
        <v>1</v>
      </c>
      <c r="R492" s="16"/>
      <c r="S492" s="17"/>
      <c r="T492" s="17"/>
      <c r="U492" s="85">
        <f t="shared" si="832"/>
        <v>1</v>
      </c>
      <c r="V492" s="15"/>
      <c r="W492" s="16"/>
      <c r="X492" s="17"/>
      <c r="Y492" s="17"/>
      <c r="Z492" s="85">
        <f t="shared" si="833"/>
        <v>0</v>
      </c>
      <c r="AA492" s="105">
        <f t="shared" si="834"/>
        <v>3</v>
      </c>
      <c r="AB492" s="114">
        <v>45841</v>
      </c>
      <c r="AC492" s="23" t="s">
        <v>475</v>
      </c>
      <c r="AD492" s="15"/>
      <c r="AE492" s="16"/>
      <c r="AF492" s="17"/>
      <c r="AG492" s="17"/>
      <c r="AH492" s="85">
        <f t="shared" si="835"/>
        <v>0</v>
      </c>
      <c r="AI492" s="15"/>
      <c r="AJ492" s="16"/>
      <c r="AK492" s="17"/>
      <c r="AL492" s="17"/>
      <c r="AM492" s="85">
        <f t="shared" si="836"/>
        <v>0</v>
      </c>
      <c r="AN492" s="15">
        <v>1</v>
      </c>
      <c r="AO492" s="16">
        <v>1</v>
      </c>
      <c r="AP492" s="17">
        <v>1</v>
      </c>
      <c r="AQ492" s="17"/>
      <c r="AR492" s="85">
        <f t="shared" si="837"/>
        <v>3</v>
      </c>
      <c r="AS492" s="15"/>
      <c r="AT492" s="16">
        <v>1</v>
      </c>
      <c r="AU492" s="17"/>
      <c r="AV492" s="17">
        <v>2</v>
      </c>
      <c r="AW492" s="85">
        <f t="shared" si="838"/>
        <v>3</v>
      </c>
      <c r="AX492" s="15"/>
      <c r="AY492" s="16"/>
      <c r="AZ492" s="17"/>
      <c r="BA492" s="17">
        <v>3</v>
      </c>
      <c r="BB492" s="85">
        <f t="shared" si="839"/>
        <v>3</v>
      </c>
      <c r="BC492" s="105">
        <f t="shared" si="840"/>
        <v>9</v>
      </c>
      <c r="BD492" s="114">
        <v>45842</v>
      </c>
    </row>
    <row r="493" spans="1:56" x14ac:dyDescent="0.15">
      <c r="A493" s="23" t="s">
        <v>43</v>
      </c>
      <c r="B493" s="15"/>
      <c r="C493" s="16"/>
      <c r="D493" s="17"/>
      <c r="E493" s="17">
        <v>1</v>
      </c>
      <c r="F493" s="85">
        <f t="shared" si="829"/>
        <v>1</v>
      </c>
      <c r="G493" s="15">
        <v>1</v>
      </c>
      <c r="H493" s="16"/>
      <c r="I493" s="17"/>
      <c r="J493" s="17">
        <v>1</v>
      </c>
      <c r="K493" s="85">
        <f t="shared" si="830"/>
        <v>2</v>
      </c>
      <c r="L493" s="15">
        <v>1</v>
      </c>
      <c r="M493" s="16"/>
      <c r="N493" s="17"/>
      <c r="O493" s="17"/>
      <c r="P493" s="85">
        <f t="shared" si="831"/>
        <v>1</v>
      </c>
      <c r="Q493" s="15"/>
      <c r="R493" s="16"/>
      <c r="S493" s="17"/>
      <c r="T493" s="17"/>
      <c r="U493" s="85">
        <f t="shared" si="832"/>
        <v>0</v>
      </c>
      <c r="V493" s="15">
        <v>1</v>
      </c>
      <c r="W493" s="16"/>
      <c r="X493" s="17"/>
      <c r="Y493" s="17">
        <v>1</v>
      </c>
      <c r="Z493" s="85">
        <f t="shared" si="833"/>
        <v>2</v>
      </c>
      <c r="AA493" s="105">
        <f t="shared" si="834"/>
        <v>6</v>
      </c>
      <c r="AB493" s="115">
        <v>45843</v>
      </c>
      <c r="AC493" s="53" t="s">
        <v>476</v>
      </c>
      <c r="AD493" s="15">
        <v>9</v>
      </c>
      <c r="AE493" s="16"/>
      <c r="AF493" s="17"/>
      <c r="AG493" s="17"/>
      <c r="AH493" s="85">
        <f t="shared" si="835"/>
        <v>9</v>
      </c>
      <c r="AI493" s="15">
        <v>9</v>
      </c>
      <c r="AJ493" s="16"/>
      <c r="AK493" s="17"/>
      <c r="AL493" s="17"/>
      <c r="AM493" s="85">
        <f t="shared" si="836"/>
        <v>9</v>
      </c>
      <c r="AN493" s="15"/>
      <c r="AO493" s="16"/>
      <c r="AP493" s="17"/>
      <c r="AQ493" s="17"/>
      <c r="AR493" s="85">
        <f t="shared" si="837"/>
        <v>0</v>
      </c>
      <c r="AS493" s="15"/>
      <c r="AT493" s="16"/>
      <c r="AU493" s="17"/>
      <c r="AV493" s="17"/>
      <c r="AW493" s="85">
        <f t="shared" si="838"/>
        <v>0</v>
      </c>
      <c r="AX493" s="15">
        <v>9</v>
      </c>
      <c r="AY493" s="16"/>
      <c r="AZ493" s="17"/>
      <c r="BA493" s="17"/>
      <c r="BB493" s="85">
        <f t="shared" si="839"/>
        <v>9</v>
      </c>
      <c r="BC493" s="105">
        <f t="shared" si="840"/>
        <v>27</v>
      </c>
      <c r="BD493" s="114">
        <v>45842</v>
      </c>
    </row>
    <row r="494" spans="1:56" x14ac:dyDescent="0.15">
      <c r="A494" s="23" t="s">
        <v>43</v>
      </c>
      <c r="B494" s="15"/>
      <c r="C494" s="16"/>
      <c r="D494" s="17"/>
      <c r="E494" s="17"/>
      <c r="F494" s="85">
        <f t="shared" si="829"/>
        <v>0</v>
      </c>
      <c r="G494" s="15"/>
      <c r="H494" s="16"/>
      <c r="I494" s="17"/>
      <c r="J494" s="17"/>
      <c r="K494" s="85">
        <f t="shared" si="830"/>
        <v>0</v>
      </c>
      <c r="L494" s="15"/>
      <c r="M494" s="16">
        <v>1</v>
      </c>
      <c r="N494" s="17"/>
      <c r="O494" s="17"/>
      <c r="P494" s="85">
        <f t="shared" si="831"/>
        <v>1</v>
      </c>
      <c r="Q494" s="15"/>
      <c r="R494" s="16"/>
      <c r="S494" s="17"/>
      <c r="T494" s="17"/>
      <c r="U494" s="85">
        <f t="shared" si="832"/>
        <v>0</v>
      </c>
      <c r="V494" s="15"/>
      <c r="W494" s="16"/>
      <c r="X494" s="17"/>
      <c r="Y494" s="17"/>
      <c r="Z494" s="85">
        <f t="shared" si="833"/>
        <v>0</v>
      </c>
      <c r="AA494" s="105">
        <f t="shared" si="834"/>
        <v>1</v>
      </c>
      <c r="AB494" s="115">
        <v>45846</v>
      </c>
      <c r="AC494" s="53" t="s">
        <v>477</v>
      </c>
      <c r="AD494" s="15">
        <v>8</v>
      </c>
      <c r="AE494" s="16"/>
      <c r="AF494" s="17"/>
      <c r="AG494" s="17"/>
      <c r="AH494" s="85">
        <f t="shared" si="835"/>
        <v>8</v>
      </c>
      <c r="AI494" s="15">
        <v>8</v>
      </c>
      <c r="AJ494" s="16"/>
      <c r="AK494" s="17"/>
      <c r="AL494" s="17"/>
      <c r="AM494" s="85">
        <f t="shared" si="836"/>
        <v>8</v>
      </c>
      <c r="AN494" s="15"/>
      <c r="AO494" s="16"/>
      <c r="AP494" s="17"/>
      <c r="AQ494" s="17"/>
      <c r="AR494" s="85">
        <f t="shared" si="837"/>
        <v>0</v>
      </c>
      <c r="AS494" s="15"/>
      <c r="AT494" s="16"/>
      <c r="AU494" s="17"/>
      <c r="AV494" s="17"/>
      <c r="AW494" s="85">
        <f t="shared" si="838"/>
        <v>0</v>
      </c>
      <c r="AX494" s="15">
        <v>8</v>
      </c>
      <c r="AY494" s="16"/>
      <c r="AZ494" s="17"/>
      <c r="BA494" s="17"/>
      <c r="BB494" s="85">
        <f t="shared" si="839"/>
        <v>8</v>
      </c>
      <c r="BC494" s="105">
        <f t="shared" si="840"/>
        <v>24</v>
      </c>
      <c r="BD494" s="114">
        <v>45842</v>
      </c>
    </row>
    <row r="495" spans="1:56" x14ac:dyDescent="0.15">
      <c r="A495" s="23" t="s">
        <v>43</v>
      </c>
      <c r="B495" s="15"/>
      <c r="C495" s="16"/>
      <c r="D495" s="17"/>
      <c r="E495" s="17"/>
      <c r="F495" s="85">
        <f t="shared" si="829"/>
        <v>0</v>
      </c>
      <c r="G495" s="15"/>
      <c r="H495" s="16"/>
      <c r="I495" s="17"/>
      <c r="J495" s="17"/>
      <c r="K495" s="85">
        <f t="shared" si="830"/>
        <v>0</v>
      </c>
      <c r="L495" s="15">
        <v>2</v>
      </c>
      <c r="M495" s="16"/>
      <c r="N495" s="17"/>
      <c r="O495" s="17"/>
      <c r="P495" s="85">
        <f t="shared" si="831"/>
        <v>2</v>
      </c>
      <c r="Q495" s="15">
        <v>2</v>
      </c>
      <c r="R495" s="16"/>
      <c r="S495" s="17"/>
      <c r="T495" s="17"/>
      <c r="U495" s="85">
        <f t="shared" si="832"/>
        <v>2</v>
      </c>
      <c r="V495" s="15">
        <v>2</v>
      </c>
      <c r="W495" s="16"/>
      <c r="X495" s="17"/>
      <c r="Y495" s="17"/>
      <c r="Z495" s="85">
        <f t="shared" si="833"/>
        <v>2</v>
      </c>
      <c r="AA495" s="105">
        <f t="shared" si="834"/>
        <v>6</v>
      </c>
      <c r="AB495" s="115">
        <v>45849</v>
      </c>
      <c r="AC495" s="53" t="s">
        <v>478</v>
      </c>
      <c r="AD495" s="15"/>
      <c r="AE495" s="16"/>
      <c r="AF495" s="17"/>
      <c r="AG495" s="17"/>
      <c r="AH495" s="85">
        <f t="shared" si="835"/>
        <v>0</v>
      </c>
      <c r="AI495" s="15"/>
      <c r="AJ495" s="16"/>
      <c r="AK495" s="17"/>
      <c r="AL495" s="17"/>
      <c r="AM495" s="85">
        <f t="shared" si="836"/>
        <v>0</v>
      </c>
      <c r="AN495" s="15"/>
      <c r="AO495" s="16">
        <v>11</v>
      </c>
      <c r="AP495" s="17"/>
      <c r="AQ495" s="17"/>
      <c r="AR495" s="85">
        <f t="shared" si="837"/>
        <v>11</v>
      </c>
      <c r="AS495" s="15"/>
      <c r="AT495" s="16">
        <v>11</v>
      </c>
      <c r="AU495" s="17"/>
      <c r="AV495" s="17"/>
      <c r="AW495" s="85">
        <f t="shared" si="838"/>
        <v>11</v>
      </c>
      <c r="AX495" s="15"/>
      <c r="AY495" s="16">
        <v>11</v>
      </c>
      <c r="AZ495" s="17"/>
      <c r="BA495" s="17"/>
      <c r="BB495" s="85">
        <f t="shared" si="839"/>
        <v>11</v>
      </c>
      <c r="BC495" s="105">
        <f t="shared" si="840"/>
        <v>33</v>
      </c>
      <c r="BD495" s="114">
        <v>45842</v>
      </c>
    </row>
    <row r="496" spans="1:56" x14ac:dyDescent="0.15">
      <c r="A496" s="23" t="s">
        <v>43</v>
      </c>
      <c r="B496" s="15"/>
      <c r="C496" s="16"/>
      <c r="D496" s="17"/>
      <c r="E496" s="17">
        <v>1</v>
      </c>
      <c r="F496" s="85">
        <f t="shared" si="829"/>
        <v>1</v>
      </c>
      <c r="G496" s="15"/>
      <c r="H496" s="16"/>
      <c r="I496" s="17"/>
      <c r="J496" s="17"/>
      <c r="K496" s="85">
        <f t="shared" si="830"/>
        <v>0</v>
      </c>
      <c r="L496" s="15"/>
      <c r="M496" s="16"/>
      <c r="N496" s="17"/>
      <c r="O496" s="17"/>
      <c r="P496" s="85">
        <f t="shared" si="831"/>
        <v>0</v>
      </c>
      <c r="Q496" s="15"/>
      <c r="R496" s="16"/>
      <c r="S496" s="17"/>
      <c r="T496" s="17"/>
      <c r="U496" s="85">
        <f t="shared" si="832"/>
        <v>0</v>
      </c>
      <c r="V496" s="15"/>
      <c r="W496" s="16"/>
      <c r="X496" s="17"/>
      <c r="Y496" s="17"/>
      <c r="Z496" s="85">
        <f t="shared" si="833"/>
        <v>0</v>
      </c>
      <c r="AA496" s="105">
        <f t="shared" si="834"/>
        <v>1</v>
      </c>
      <c r="AB496" s="115">
        <v>45852</v>
      </c>
      <c r="AC496" s="23" t="s">
        <v>479</v>
      </c>
      <c r="AD496" s="15"/>
      <c r="AE496" s="16"/>
      <c r="AF496" s="17"/>
      <c r="AG496" s="17"/>
      <c r="AH496" s="85">
        <f t="shared" si="835"/>
        <v>0</v>
      </c>
      <c r="AI496" s="15"/>
      <c r="AJ496" s="16"/>
      <c r="AK496" s="17"/>
      <c r="AL496" s="17"/>
      <c r="AM496" s="85">
        <f t="shared" si="836"/>
        <v>0</v>
      </c>
      <c r="AN496" s="15">
        <v>2</v>
      </c>
      <c r="AO496" s="16"/>
      <c r="AP496" s="17"/>
      <c r="AQ496" s="17"/>
      <c r="AR496" s="85">
        <f t="shared" si="837"/>
        <v>2</v>
      </c>
      <c r="AS496" s="15">
        <v>2</v>
      </c>
      <c r="AT496" s="16"/>
      <c r="AU496" s="17"/>
      <c r="AV496" s="17"/>
      <c r="AW496" s="85">
        <f t="shared" si="838"/>
        <v>2</v>
      </c>
      <c r="AX496" s="15">
        <v>2</v>
      </c>
      <c r="AY496" s="16"/>
      <c r="AZ496" s="17"/>
      <c r="BA496" s="17"/>
      <c r="BB496" s="85">
        <f t="shared" si="839"/>
        <v>2</v>
      </c>
      <c r="BC496" s="105">
        <f t="shared" si="840"/>
        <v>6</v>
      </c>
      <c r="BD496" s="114">
        <v>45842</v>
      </c>
    </row>
    <row r="497" spans="1:57" x14ac:dyDescent="0.15">
      <c r="A497" s="23" t="s">
        <v>43</v>
      </c>
      <c r="B497" s="15"/>
      <c r="C497" s="16"/>
      <c r="D497" s="17">
        <v>2</v>
      </c>
      <c r="E497" s="17">
        <v>1</v>
      </c>
      <c r="F497" s="85">
        <f t="shared" si="829"/>
        <v>3</v>
      </c>
      <c r="G497" s="15"/>
      <c r="H497" s="16"/>
      <c r="I497" s="17"/>
      <c r="J497" s="17"/>
      <c r="K497" s="85">
        <f t="shared" si="830"/>
        <v>0</v>
      </c>
      <c r="L497" s="15"/>
      <c r="M497" s="16"/>
      <c r="N497" s="17"/>
      <c r="O497" s="17"/>
      <c r="P497" s="85">
        <f t="shared" si="831"/>
        <v>0</v>
      </c>
      <c r="Q497" s="15"/>
      <c r="R497" s="16">
        <v>1</v>
      </c>
      <c r="S497" s="17"/>
      <c r="T497" s="17"/>
      <c r="U497" s="85">
        <f t="shared" si="832"/>
        <v>1</v>
      </c>
      <c r="V497" s="15"/>
      <c r="W497" s="16">
        <v>1</v>
      </c>
      <c r="X497" s="17"/>
      <c r="Y497" s="17"/>
      <c r="Z497" s="85">
        <f t="shared" si="833"/>
        <v>1</v>
      </c>
      <c r="AA497" s="105">
        <f t="shared" si="834"/>
        <v>5</v>
      </c>
      <c r="AB497" s="115">
        <v>45856</v>
      </c>
      <c r="AC497" s="23" t="s">
        <v>480</v>
      </c>
      <c r="AD497" s="15"/>
      <c r="AE497" s="16">
        <v>2</v>
      </c>
      <c r="AF497" s="17"/>
      <c r="AG497" s="17"/>
      <c r="AH497" s="85">
        <f t="shared" si="835"/>
        <v>2</v>
      </c>
      <c r="AI497" s="15"/>
      <c r="AJ497" s="16">
        <v>2</v>
      </c>
      <c r="AK497" s="17"/>
      <c r="AL497" s="17"/>
      <c r="AM497" s="85">
        <f t="shared" si="836"/>
        <v>2</v>
      </c>
      <c r="AN497" s="15"/>
      <c r="AO497" s="16"/>
      <c r="AP497" s="17"/>
      <c r="AQ497" s="17"/>
      <c r="AR497" s="85">
        <f t="shared" si="837"/>
        <v>0</v>
      </c>
      <c r="AS497" s="15"/>
      <c r="AT497" s="16"/>
      <c r="AU497" s="17"/>
      <c r="AV497" s="17"/>
      <c r="AW497" s="85">
        <f t="shared" si="838"/>
        <v>0</v>
      </c>
      <c r="AX497" s="15"/>
      <c r="AY497" s="16">
        <v>2</v>
      </c>
      <c r="AZ497" s="17"/>
      <c r="BA497" s="17"/>
      <c r="BB497" s="85">
        <f t="shared" si="839"/>
        <v>2</v>
      </c>
      <c r="BC497" s="105">
        <f t="shared" si="840"/>
        <v>6</v>
      </c>
      <c r="BD497" s="114">
        <v>45842</v>
      </c>
    </row>
    <row r="498" spans="1:57" x14ac:dyDescent="0.15">
      <c r="A498" s="23" t="s">
        <v>43</v>
      </c>
      <c r="B498" s="15"/>
      <c r="C498" s="16"/>
      <c r="D498" s="17">
        <v>1</v>
      </c>
      <c r="E498" s="17"/>
      <c r="F498" s="85">
        <f t="shared" si="829"/>
        <v>1</v>
      </c>
      <c r="G498" s="15"/>
      <c r="H498" s="16"/>
      <c r="I498" s="17">
        <v>1</v>
      </c>
      <c r="J498" s="17"/>
      <c r="K498" s="85">
        <f t="shared" si="830"/>
        <v>1</v>
      </c>
      <c r="L498" s="15"/>
      <c r="M498" s="16"/>
      <c r="N498" s="17">
        <v>1</v>
      </c>
      <c r="O498" s="17"/>
      <c r="P498" s="85">
        <f t="shared" si="831"/>
        <v>1</v>
      </c>
      <c r="Q498" s="15"/>
      <c r="R498" s="16"/>
      <c r="S498" s="17">
        <v>1</v>
      </c>
      <c r="T498" s="17"/>
      <c r="U498" s="85">
        <f t="shared" si="832"/>
        <v>1</v>
      </c>
      <c r="V498" s="15"/>
      <c r="W498" s="16"/>
      <c r="X498" s="17">
        <v>1</v>
      </c>
      <c r="Y498" s="17"/>
      <c r="Z498" s="85">
        <f t="shared" si="833"/>
        <v>1</v>
      </c>
      <c r="AA498" s="105">
        <f t="shared" si="834"/>
        <v>5</v>
      </c>
      <c r="AB498" s="115">
        <v>45860</v>
      </c>
      <c r="AC498" s="23" t="s">
        <v>481</v>
      </c>
      <c r="AD498" s="15"/>
      <c r="AE498" s="16"/>
      <c r="AF498" s="17"/>
      <c r="AG498" s="17"/>
      <c r="AH498" s="85">
        <f t="shared" si="835"/>
        <v>0</v>
      </c>
      <c r="AI498" s="15"/>
      <c r="AJ498" s="16"/>
      <c r="AK498" s="17"/>
      <c r="AL498" s="17"/>
      <c r="AM498" s="85">
        <f t="shared" si="836"/>
        <v>0</v>
      </c>
      <c r="AN498" s="15">
        <v>2</v>
      </c>
      <c r="AO498" s="16"/>
      <c r="AP498" s="17"/>
      <c r="AQ498" s="17"/>
      <c r="AR498" s="85">
        <f t="shared" si="837"/>
        <v>2</v>
      </c>
      <c r="AS498" s="15">
        <v>2</v>
      </c>
      <c r="AT498" s="16"/>
      <c r="AU498" s="17"/>
      <c r="AV498" s="17"/>
      <c r="AW498" s="85">
        <f t="shared" si="838"/>
        <v>2</v>
      </c>
      <c r="AX498" s="15">
        <v>2</v>
      </c>
      <c r="AY498" s="16"/>
      <c r="AZ498" s="17"/>
      <c r="BA498" s="17"/>
      <c r="BB498" s="85">
        <f t="shared" si="839"/>
        <v>2</v>
      </c>
      <c r="BC498" s="105">
        <f t="shared" si="840"/>
        <v>6</v>
      </c>
      <c r="BD498" s="114">
        <v>45842</v>
      </c>
    </row>
    <row r="499" spans="1:57" x14ac:dyDescent="0.15">
      <c r="A499" s="23" t="s">
        <v>43</v>
      </c>
      <c r="B499" s="15"/>
      <c r="C499" s="16"/>
      <c r="D499" s="17"/>
      <c r="E499" s="17"/>
      <c r="F499" s="85">
        <f t="shared" si="829"/>
        <v>0</v>
      </c>
      <c r="G499" s="15"/>
      <c r="H499" s="16"/>
      <c r="I499" s="17"/>
      <c r="J499" s="17"/>
      <c r="K499" s="85">
        <f t="shared" si="830"/>
        <v>0</v>
      </c>
      <c r="L499" s="15"/>
      <c r="M499" s="16"/>
      <c r="N499" s="17"/>
      <c r="O499" s="17">
        <v>1</v>
      </c>
      <c r="P499" s="85">
        <f t="shared" si="831"/>
        <v>1</v>
      </c>
      <c r="Q499" s="15"/>
      <c r="R499" s="16"/>
      <c r="S499" s="17"/>
      <c r="T499" s="17">
        <v>1</v>
      </c>
      <c r="U499" s="85">
        <f t="shared" si="832"/>
        <v>1</v>
      </c>
      <c r="V499" s="15"/>
      <c r="W499" s="16"/>
      <c r="X499" s="17"/>
      <c r="Y499" s="17">
        <v>1</v>
      </c>
      <c r="Z499" s="85">
        <f t="shared" si="833"/>
        <v>1</v>
      </c>
      <c r="AA499" s="105">
        <f t="shared" si="834"/>
        <v>3</v>
      </c>
      <c r="AB499" s="115">
        <v>45861</v>
      </c>
      <c r="AC499" s="23" t="s">
        <v>482</v>
      </c>
      <c r="AD499" s="15"/>
      <c r="AE499" s="16"/>
      <c r="AF499" s="17"/>
      <c r="AG499" s="17"/>
      <c r="AH499" s="85">
        <f t="shared" si="835"/>
        <v>0</v>
      </c>
      <c r="AI499" s="15"/>
      <c r="AJ499" s="16"/>
      <c r="AK499" s="17"/>
      <c r="AL499" s="17"/>
      <c r="AM499" s="85">
        <f t="shared" si="836"/>
        <v>0</v>
      </c>
      <c r="AN499" s="15">
        <v>3</v>
      </c>
      <c r="AO499" s="16"/>
      <c r="AP499" s="17"/>
      <c r="AQ499" s="17"/>
      <c r="AR499" s="85">
        <f t="shared" si="837"/>
        <v>3</v>
      </c>
      <c r="AS499" s="15">
        <v>3</v>
      </c>
      <c r="AT499" s="16"/>
      <c r="AU499" s="17"/>
      <c r="AV499" s="17"/>
      <c r="AW499" s="85">
        <f t="shared" si="838"/>
        <v>3</v>
      </c>
      <c r="AX499" s="15">
        <v>3</v>
      </c>
      <c r="AY499" s="16"/>
      <c r="AZ499" s="17"/>
      <c r="BA499" s="17"/>
      <c r="BB499" s="85">
        <f t="shared" si="839"/>
        <v>3</v>
      </c>
      <c r="BC499" s="105">
        <f t="shared" si="840"/>
        <v>9</v>
      </c>
      <c r="BD499" s="114">
        <v>45845</v>
      </c>
    </row>
    <row r="500" spans="1:57" x14ac:dyDescent="0.15">
      <c r="A500" s="23" t="s">
        <v>43</v>
      </c>
      <c r="B500" s="18">
        <v>1</v>
      </c>
      <c r="C500" s="19"/>
      <c r="D500" s="20">
        <v>1</v>
      </c>
      <c r="E500" s="20"/>
      <c r="F500" s="85">
        <f t="shared" si="829"/>
        <v>2</v>
      </c>
      <c r="G500" s="18">
        <v>1</v>
      </c>
      <c r="H500" s="19"/>
      <c r="I500" s="20"/>
      <c r="J500" s="20"/>
      <c r="K500" s="85">
        <f t="shared" si="830"/>
        <v>1</v>
      </c>
      <c r="L500" s="18"/>
      <c r="M500" s="19"/>
      <c r="N500" s="20"/>
      <c r="O500" s="20"/>
      <c r="P500" s="85">
        <f t="shared" si="831"/>
        <v>0</v>
      </c>
      <c r="Q500" s="18"/>
      <c r="R500" s="19"/>
      <c r="S500" s="20"/>
      <c r="T500" s="20"/>
      <c r="U500" s="85">
        <f t="shared" si="832"/>
        <v>0</v>
      </c>
      <c r="V500" s="18">
        <v>1</v>
      </c>
      <c r="W500" s="19"/>
      <c r="X500" s="20"/>
      <c r="Y500" s="20"/>
      <c r="Z500" s="85">
        <f t="shared" si="833"/>
        <v>1</v>
      </c>
      <c r="AA500" s="105">
        <f t="shared" si="834"/>
        <v>4</v>
      </c>
      <c r="AB500" s="115">
        <v>45866</v>
      </c>
      <c r="AC500" s="23" t="s">
        <v>484</v>
      </c>
      <c r="AD500" s="18"/>
      <c r="AE500" s="19"/>
      <c r="AF500" s="20"/>
      <c r="AG500" s="20"/>
      <c r="AH500" s="85">
        <f t="shared" si="835"/>
        <v>0</v>
      </c>
      <c r="AI500" s="18">
        <v>1</v>
      </c>
      <c r="AJ500" s="19"/>
      <c r="AK500" s="20"/>
      <c r="AL500" s="20"/>
      <c r="AM500" s="85">
        <f t="shared" si="836"/>
        <v>1</v>
      </c>
      <c r="AN500" s="18"/>
      <c r="AO500" s="19">
        <v>1</v>
      </c>
      <c r="AP500" s="20"/>
      <c r="AQ500" s="20"/>
      <c r="AR500" s="85">
        <f t="shared" si="837"/>
        <v>1</v>
      </c>
      <c r="AS500" s="18"/>
      <c r="AT500" s="19">
        <v>1</v>
      </c>
      <c r="AU500" s="20"/>
      <c r="AV500" s="20">
        <v>1</v>
      </c>
      <c r="AW500" s="85">
        <f t="shared" si="838"/>
        <v>2</v>
      </c>
      <c r="AX500" s="18"/>
      <c r="AY500" s="19">
        <v>2</v>
      </c>
      <c r="AZ500" s="20">
        <v>1</v>
      </c>
      <c r="BA500" s="20"/>
      <c r="BB500" s="85">
        <f t="shared" si="839"/>
        <v>3</v>
      </c>
      <c r="BC500" s="105">
        <f t="shared" si="840"/>
        <v>7</v>
      </c>
      <c r="BD500" s="114">
        <v>45849</v>
      </c>
    </row>
    <row r="501" spans="1:57" x14ac:dyDescent="0.15">
      <c r="A501" s="23" t="s">
        <v>502</v>
      </c>
      <c r="B501" s="15">
        <v>1</v>
      </c>
      <c r="C501" s="16"/>
      <c r="D501" s="17"/>
      <c r="E501" s="17"/>
      <c r="F501" s="85">
        <f t="shared" si="829"/>
        <v>1</v>
      </c>
      <c r="G501" s="15">
        <v>1</v>
      </c>
      <c r="H501" s="16"/>
      <c r="I501" s="17"/>
      <c r="J501" s="17"/>
      <c r="K501" s="85">
        <f t="shared" si="830"/>
        <v>1</v>
      </c>
      <c r="L501" s="15">
        <v>1</v>
      </c>
      <c r="M501" s="16"/>
      <c r="N501" s="17"/>
      <c r="O501" s="17"/>
      <c r="P501" s="85">
        <f t="shared" si="831"/>
        <v>1</v>
      </c>
      <c r="Q501" s="15">
        <v>1</v>
      </c>
      <c r="R501" s="16"/>
      <c r="S501" s="17"/>
      <c r="T501" s="17"/>
      <c r="U501" s="85">
        <f t="shared" si="832"/>
        <v>1</v>
      </c>
      <c r="V501" s="15">
        <v>2</v>
      </c>
      <c r="W501" s="16"/>
      <c r="X501" s="17"/>
      <c r="Y501" s="17"/>
      <c r="Z501" s="85">
        <f t="shared" si="833"/>
        <v>2</v>
      </c>
      <c r="AA501" s="105">
        <f t="shared" si="834"/>
        <v>6</v>
      </c>
      <c r="AB501" s="115">
        <v>45868</v>
      </c>
      <c r="AC501" s="53" t="s">
        <v>485</v>
      </c>
      <c r="AD501" s="15"/>
      <c r="AE501" s="16">
        <v>5</v>
      </c>
      <c r="AF501" s="17"/>
      <c r="AG501" s="17"/>
      <c r="AH501" s="85">
        <f t="shared" si="835"/>
        <v>5</v>
      </c>
      <c r="AI501" s="15"/>
      <c r="AJ501" s="16">
        <v>5</v>
      </c>
      <c r="AK501" s="17"/>
      <c r="AL501" s="17"/>
      <c r="AM501" s="85">
        <f t="shared" si="836"/>
        <v>5</v>
      </c>
      <c r="AN501" s="15"/>
      <c r="AO501" s="16"/>
      <c r="AP501" s="17"/>
      <c r="AQ501" s="17"/>
      <c r="AR501" s="85">
        <f t="shared" si="837"/>
        <v>0</v>
      </c>
      <c r="AS501" s="15"/>
      <c r="AT501" s="16"/>
      <c r="AU501" s="17"/>
      <c r="AV501" s="17"/>
      <c r="AW501" s="85">
        <f t="shared" si="838"/>
        <v>0</v>
      </c>
      <c r="AX501" s="15"/>
      <c r="AY501" s="16">
        <v>5</v>
      </c>
      <c r="AZ501" s="17"/>
      <c r="BA501" s="17"/>
      <c r="BB501" s="85">
        <f t="shared" si="839"/>
        <v>5</v>
      </c>
      <c r="BC501" s="105">
        <f t="shared" si="840"/>
        <v>15</v>
      </c>
      <c r="BD501" s="114">
        <v>45853</v>
      </c>
    </row>
    <row r="502" spans="1:57" x14ac:dyDescent="0.15">
      <c r="A502" s="23" t="s">
        <v>43</v>
      </c>
      <c r="B502" s="15"/>
      <c r="C502" s="16"/>
      <c r="D502" s="17">
        <v>1</v>
      </c>
      <c r="E502" s="17"/>
      <c r="F502" s="85">
        <f t="shared" si="829"/>
        <v>1</v>
      </c>
      <c r="G502" s="15"/>
      <c r="H502" s="16"/>
      <c r="I502" s="17">
        <v>1</v>
      </c>
      <c r="J502" s="17"/>
      <c r="K502" s="85">
        <f t="shared" si="830"/>
        <v>1</v>
      </c>
      <c r="L502" s="15"/>
      <c r="M502" s="16"/>
      <c r="N502" s="17"/>
      <c r="O502" s="17"/>
      <c r="P502" s="85">
        <f t="shared" si="831"/>
        <v>0</v>
      </c>
      <c r="Q502" s="15"/>
      <c r="R502" s="16"/>
      <c r="S502" s="17"/>
      <c r="T502" s="17"/>
      <c r="U502" s="85">
        <f t="shared" si="832"/>
        <v>0</v>
      </c>
      <c r="V502" s="15"/>
      <c r="W502" s="16"/>
      <c r="X502" s="17">
        <v>1</v>
      </c>
      <c r="Y502" s="17"/>
      <c r="Z502" s="85">
        <f t="shared" si="833"/>
        <v>1</v>
      </c>
      <c r="AA502" s="105">
        <f t="shared" si="834"/>
        <v>3</v>
      </c>
      <c r="AB502" s="115">
        <v>45868</v>
      </c>
      <c r="AC502" s="53" t="s">
        <v>486</v>
      </c>
      <c r="AD502" s="15"/>
      <c r="AE502" s="16"/>
      <c r="AF502" s="17"/>
      <c r="AG502" s="17"/>
      <c r="AH502" s="85">
        <f t="shared" si="835"/>
        <v>0</v>
      </c>
      <c r="AI502" s="15"/>
      <c r="AJ502" s="16"/>
      <c r="AK502" s="17"/>
      <c r="AL502" s="17"/>
      <c r="AM502" s="85">
        <f t="shared" si="836"/>
        <v>0</v>
      </c>
      <c r="AN502" s="15"/>
      <c r="AO502" s="16"/>
      <c r="AP502" s="17">
        <v>7</v>
      </c>
      <c r="AQ502" s="17"/>
      <c r="AR502" s="85">
        <f t="shared" si="837"/>
        <v>7</v>
      </c>
      <c r="AS502" s="15"/>
      <c r="AT502" s="16"/>
      <c r="AU502" s="17">
        <v>7</v>
      </c>
      <c r="AV502" s="17"/>
      <c r="AW502" s="85">
        <f t="shared" si="838"/>
        <v>7</v>
      </c>
      <c r="AX502" s="15"/>
      <c r="AY502" s="16"/>
      <c r="AZ502" s="17">
        <v>7</v>
      </c>
      <c r="BA502" s="17"/>
      <c r="BB502" s="85">
        <f t="shared" si="839"/>
        <v>7</v>
      </c>
      <c r="BC502" s="105">
        <f t="shared" si="840"/>
        <v>21</v>
      </c>
      <c r="BD502" s="114">
        <v>45853</v>
      </c>
    </row>
    <row r="503" spans="1:57" x14ac:dyDescent="0.15">
      <c r="A503" s="23" t="s">
        <v>43</v>
      </c>
      <c r="B503" s="15">
        <v>1</v>
      </c>
      <c r="C503" s="16"/>
      <c r="D503" s="17"/>
      <c r="E503" s="17"/>
      <c r="F503" s="85">
        <f t="shared" si="829"/>
        <v>1</v>
      </c>
      <c r="G503" s="15">
        <v>1</v>
      </c>
      <c r="H503" s="16"/>
      <c r="I503" s="17"/>
      <c r="J503" s="17"/>
      <c r="K503" s="85">
        <f t="shared" si="830"/>
        <v>1</v>
      </c>
      <c r="L503" s="15">
        <v>1</v>
      </c>
      <c r="M503" s="16"/>
      <c r="N503" s="17"/>
      <c r="O503" s="17"/>
      <c r="P503" s="85">
        <f t="shared" si="831"/>
        <v>1</v>
      </c>
      <c r="Q503" s="15">
        <v>1</v>
      </c>
      <c r="R503" s="16"/>
      <c r="S503" s="17"/>
      <c r="T503" s="17"/>
      <c r="U503" s="85">
        <f t="shared" si="832"/>
        <v>1</v>
      </c>
      <c r="V503" s="15">
        <v>1</v>
      </c>
      <c r="W503" s="16"/>
      <c r="X503" s="17"/>
      <c r="Y503" s="17"/>
      <c r="Z503" s="85">
        <f t="shared" si="833"/>
        <v>1</v>
      </c>
      <c r="AA503" s="105">
        <f t="shared" si="834"/>
        <v>5</v>
      </c>
      <c r="AB503" s="114">
        <v>45869</v>
      </c>
      <c r="AC503" s="23" t="s">
        <v>487</v>
      </c>
      <c r="AD503" s="15"/>
      <c r="AE503" s="16"/>
      <c r="AF503" s="17">
        <v>1</v>
      </c>
      <c r="AG503" s="17"/>
      <c r="AH503" s="85">
        <f t="shared" si="835"/>
        <v>1</v>
      </c>
      <c r="AI503" s="15"/>
      <c r="AJ503" s="16"/>
      <c r="AK503" s="17"/>
      <c r="AL503" s="17"/>
      <c r="AM503" s="85">
        <f t="shared" si="836"/>
        <v>0</v>
      </c>
      <c r="AN503" s="15"/>
      <c r="AO503" s="16"/>
      <c r="AP503" s="17"/>
      <c r="AQ503" s="17"/>
      <c r="AR503" s="85">
        <f t="shared" si="837"/>
        <v>0</v>
      </c>
      <c r="AS503" s="15"/>
      <c r="AT503" s="16">
        <v>1</v>
      </c>
      <c r="AU503" s="17">
        <v>2</v>
      </c>
      <c r="AV503" s="17"/>
      <c r="AW503" s="85">
        <f t="shared" si="838"/>
        <v>3</v>
      </c>
      <c r="AX503" s="15"/>
      <c r="AY503" s="16"/>
      <c r="AZ503" s="17">
        <v>1</v>
      </c>
      <c r="BA503" s="17">
        <v>3</v>
      </c>
      <c r="BB503" s="85">
        <f t="shared" si="839"/>
        <v>4</v>
      </c>
      <c r="BC503" s="105">
        <f t="shared" si="840"/>
        <v>8</v>
      </c>
      <c r="BD503" s="114">
        <v>45856</v>
      </c>
      <c r="BE503" s="76"/>
    </row>
    <row r="504" spans="1:57" x14ac:dyDescent="0.15">
      <c r="A504" s="23" t="s">
        <v>508</v>
      </c>
      <c r="B504" s="15"/>
      <c r="C504" s="16"/>
      <c r="D504" s="17"/>
      <c r="E504" s="17"/>
      <c r="F504" s="85">
        <f t="shared" si="829"/>
        <v>0</v>
      </c>
      <c r="G504" s="15"/>
      <c r="H504" s="16"/>
      <c r="I504" s="17"/>
      <c r="J504" s="17"/>
      <c r="K504" s="85">
        <f t="shared" si="830"/>
        <v>0</v>
      </c>
      <c r="L504" s="15"/>
      <c r="M504" s="16"/>
      <c r="N504" s="17"/>
      <c r="O504" s="17"/>
      <c r="P504" s="85">
        <f t="shared" si="831"/>
        <v>0</v>
      </c>
      <c r="Q504" s="15"/>
      <c r="R504" s="16">
        <v>1</v>
      </c>
      <c r="S504" s="17">
        <v>1</v>
      </c>
      <c r="T504" s="17"/>
      <c r="U504" s="85">
        <f t="shared" si="832"/>
        <v>2</v>
      </c>
      <c r="V504" s="15"/>
      <c r="W504" s="16">
        <v>3</v>
      </c>
      <c r="X504" s="17"/>
      <c r="Y504" s="17"/>
      <c r="Z504" s="85">
        <f t="shared" si="833"/>
        <v>3</v>
      </c>
      <c r="AA504" s="105">
        <f t="shared" si="834"/>
        <v>5</v>
      </c>
      <c r="AB504" s="114">
        <v>45877</v>
      </c>
      <c r="AC504" s="53" t="s">
        <v>491</v>
      </c>
      <c r="AD504" s="15"/>
      <c r="AE504" s="16">
        <v>2</v>
      </c>
      <c r="AF504" s="17"/>
      <c r="AG504" s="17"/>
      <c r="AH504" s="85">
        <f t="shared" si="835"/>
        <v>2</v>
      </c>
      <c r="AI504" s="15"/>
      <c r="AJ504" s="16">
        <v>2</v>
      </c>
      <c r="AK504" s="17"/>
      <c r="AL504" s="17"/>
      <c r="AM504" s="85">
        <f t="shared" si="836"/>
        <v>2</v>
      </c>
      <c r="AN504" s="15"/>
      <c r="AO504" s="16"/>
      <c r="AP504" s="17"/>
      <c r="AQ504" s="17"/>
      <c r="AR504" s="85">
        <f t="shared" si="837"/>
        <v>0</v>
      </c>
      <c r="AS504" s="15"/>
      <c r="AT504" s="16"/>
      <c r="AU504" s="17"/>
      <c r="AV504" s="17"/>
      <c r="AW504" s="85">
        <f t="shared" si="838"/>
        <v>0</v>
      </c>
      <c r="AX504" s="15"/>
      <c r="AY504" s="16">
        <v>2</v>
      </c>
      <c r="AZ504" s="17"/>
      <c r="BA504" s="17"/>
      <c r="BB504" s="85">
        <f t="shared" si="839"/>
        <v>2</v>
      </c>
      <c r="BC504" s="105">
        <f t="shared" si="840"/>
        <v>6</v>
      </c>
      <c r="BD504" s="114">
        <v>45863</v>
      </c>
      <c r="BE504" s="76"/>
    </row>
    <row r="505" spans="1:57" x14ac:dyDescent="0.15">
      <c r="A505" s="23" t="s">
        <v>43</v>
      </c>
      <c r="B505" s="15"/>
      <c r="C505" s="16"/>
      <c r="D505" s="17"/>
      <c r="E505" s="17"/>
      <c r="F505" s="85">
        <f t="shared" si="829"/>
        <v>0</v>
      </c>
      <c r="G505" s="15"/>
      <c r="H505" s="16"/>
      <c r="I505" s="17"/>
      <c r="J505" s="17"/>
      <c r="K505" s="85">
        <f t="shared" si="830"/>
        <v>0</v>
      </c>
      <c r="L505" s="15"/>
      <c r="M505" s="16"/>
      <c r="N505" s="17"/>
      <c r="O505" s="17"/>
      <c r="P505" s="85">
        <f t="shared" si="831"/>
        <v>0</v>
      </c>
      <c r="Q505" s="15"/>
      <c r="R505" s="16"/>
      <c r="S505" s="17"/>
      <c r="T505" s="17"/>
      <c r="U505" s="85">
        <f t="shared" si="832"/>
        <v>0</v>
      </c>
      <c r="V505" s="15">
        <v>1</v>
      </c>
      <c r="W505" s="16"/>
      <c r="X505" s="17"/>
      <c r="Y505" s="17"/>
      <c r="Z505" s="85">
        <f t="shared" si="833"/>
        <v>1</v>
      </c>
      <c r="AA505" s="105">
        <f t="shared" si="834"/>
        <v>1</v>
      </c>
      <c r="AB505" s="114">
        <v>45877</v>
      </c>
      <c r="AC505" s="23" t="s">
        <v>493</v>
      </c>
      <c r="AD505" s="15"/>
      <c r="AE505" s="16">
        <v>4</v>
      </c>
      <c r="AF505" s="17">
        <v>1</v>
      </c>
      <c r="AG505" s="17"/>
      <c r="AH505" s="85">
        <f t="shared" si="835"/>
        <v>5</v>
      </c>
      <c r="AI505" s="15"/>
      <c r="AJ505" s="16">
        <v>1</v>
      </c>
      <c r="AK505" s="17"/>
      <c r="AL505" s="17"/>
      <c r="AM505" s="85">
        <f t="shared" si="836"/>
        <v>1</v>
      </c>
      <c r="AN505" s="15"/>
      <c r="AO505" s="16"/>
      <c r="AP505" s="17"/>
      <c r="AQ505" s="17">
        <v>1</v>
      </c>
      <c r="AR505" s="85">
        <f t="shared" si="837"/>
        <v>1</v>
      </c>
      <c r="AS505" s="15"/>
      <c r="AT505" s="16">
        <v>1</v>
      </c>
      <c r="AU505" s="17">
        <v>1</v>
      </c>
      <c r="AV505" s="17"/>
      <c r="AW505" s="85">
        <f t="shared" si="838"/>
        <v>2</v>
      </c>
      <c r="AX505" s="15"/>
      <c r="AY505" s="16"/>
      <c r="AZ505" s="17">
        <v>2</v>
      </c>
      <c r="BA505" s="17"/>
      <c r="BB505" s="85">
        <f t="shared" si="839"/>
        <v>2</v>
      </c>
      <c r="BC505" s="105">
        <f t="shared" si="840"/>
        <v>11</v>
      </c>
      <c r="BD505" s="114">
        <v>45866</v>
      </c>
    </row>
    <row r="506" spans="1:57" x14ac:dyDescent="0.15">
      <c r="A506" s="231" t="s">
        <v>512</v>
      </c>
      <c r="B506" s="15"/>
      <c r="C506" s="16"/>
      <c r="D506" s="17"/>
      <c r="E506" s="17"/>
      <c r="F506" s="85">
        <f t="shared" si="829"/>
        <v>0</v>
      </c>
      <c r="G506" s="15"/>
      <c r="H506" s="16"/>
      <c r="I506" s="17"/>
      <c r="J506" s="17"/>
      <c r="K506" s="85">
        <f t="shared" si="830"/>
        <v>0</v>
      </c>
      <c r="L506" s="15">
        <v>3</v>
      </c>
      <c r="M506" s="16"/>
      <c r="N506" s="17"/>
      <c r="O506" s="17">
        <v>3</v>
      </c>
      <c r="P506" s="85">
        <f t="shared" si="831"/>
        <v>6</v>
      </c>
      <c r="Q506" s="15">
        <v>3</v>
      </c>
      <c r="R506" s="16"/>
      <c r="S506" s="17"/>
      <c r="T506" s="17">
        <v>3</v>
      </c>
      <c r="U506" s="85">
        <f t="shared" si="832"/>
        <v>6</v>
      </c>
      <c r="V506" s="15">
        <v>3</v>
      </c>
      <c r="W506" s="16"/>
      <c r="X506" s="17"/>
      <c r="Y506" s="17">
        <v>3</v>
      </c>
      <c r="Z506" s="85">
        <f t="shared" si="833"/>
        <v>6</v>
      </c>
      <c r="AA506" s="105">
        <f t="shared" si="834"/>
        <v>18</v>
      </c>
      <c r="AB506" s="114">
        <v>45888</v>
      </c>
      <c r="AC506" s="53" t="s">
        <v>499</v>
      </c>
      <c r="AD506" s="15"/>
      <c r="AE506" s="16">
        <v>5</v>
      </c>
      <c r="AF506" s="17">
        <v>2</v>
      </c>
      <c r="AG506" s="17"/>
      <c r="AH506" s="85">
        <f t="shared" si="835"/>
        <v>7</v>
      </c>
      <c r="AI506" s="15"/>
      <c r="AJ506" s="16">
        <v>5</v>
      </c>
      <c r="AK506" s="17">
        <v>2</v>
      </c>
      <c r="AL506" s="17"/>
      <c r="AM506" s="85">
        <f t="shared" si="836"/>
        <v>7</v>
      </c>
      <c r="AN506" s="15"/>
      <c r="AO506" s="16"/>
      <c r="AP506" s="17"/>
      <c r="AQ506" s="17"/>
      <c r="AR506" s="85">
        <f t="shared" si="837"/>
        <v>0</v>
      </c>
      <c r="AS506" s="15"/>
      <c r="AT506" s="16"/>
      <c r="AU506" s="17"/>
      <c r="AV506" s="17"/>
      <c r="AW506" s="85">
        <f t="shared" si="838"/>
        <v>0</v>
      </c>
      <c r="AX506" s="15"/>
      <c r="AY506" s="16">
        <v>5</v>
      </c>
      <c r="AZ506" s="17">
        <v>2</v>
      </c>
      <c r="BA506" s="17"/>
      <c r="BB506" s="85">
        <f t="shared" si="839"/>
        <v>7</v>
      </c>
      <c r="BC506" s="105">
        <f t="shared" si="840"/>
        <v>21</v>
      </c>
      <c r="BD506" s="114">
        <v>45873</v>
      </c>
    </row>
    <row r="507" spans="1:57" x14ac:dyDescent="0.15">
      <c r="A507" s="23" t="s">
        <v>43</v>
      </c>
      <c r="B507" s="15"/>
      <c r="C507" s="16"/>
      <c r="D507" s="17"/>
      <c r="E507" s="17"/>
      <c r="F507" s="85">
        <f t="shared" si="829"/>
        <v>0</v>
      </c>
      <c r="G507" s="15"/>
      <c r="H507" s="16"/>
      <c r="I507" s="17">
        <v>1</v>
      </c>
      <c r="J507" s="17"/>
      <c r="K507" s="85">
        <f t="shared" si="830"/>
        <v>1</v>
      </c>
      <c r="L507" s="15"/>
      <c r="M507" s="16"/>
      <c r="N507" s="17"/>
      <c r="O507" s="17"/>
      <c r="P507" s="85">
        <f t="shared" si="831"/>
        <v>0</v>
      </c>
      <c r="Q507" s="15"/>
      <c r="R507" s="16"/>
      <c r="S507" s="17"/>
      <c r="T507" s="17"/>
      <c r="U507" s="85">
        <f t="shared" si="832"/>
        <v>0</v>
      </c>
      <c r="V507" s="15"/>
      <c r="W507" s="16"/>
      <c r="X507" s="17"/>
      <c r="Y507" s="17"/>
      <c r="Z507" s="85">
        <f t="shared" si="833"/>
        <v>0</v>
      </c>
      <c r="AA507" s="105">
        <f t="shared" si="834"/>
        <v>1</v>
      </c>
      <c r="AB507" s="114">
        <v>45890</v>
      </c>
      <c r="AC507" s="53" t="s">
        <v>500</v>
      </c>
      <c r="AD507" s="15"/>
      <c r="AE507" s="16"/>
      <c r="AF507" s="17"/>
      <c r="AG507" s="17"/>
      <c r="AH507" s="85">
        <f t="shared" si="835"/>
        <v>0</v>
      </c>
      <c r="AI507" s="15"/>
      <c r="AJ507" s="16"/>
      <c r="AK507" s="17"/>
      <c r="AL507" s="17"/>
      <c r="AM507" s="85">
        <f t="shared" si="836"/>
        <v>0</v>
      </c>
      <c r="AN507" s="15"/>
      <c r="AO507" s="16"/>
      <c r="AP507" s="17">
        <v>1</v>
      </c>
      <c r="AQ507" s="17"/>
      <c r="AR507" s="85">
        <f t="shared" si="837"/>
        <v>1</v>
      </c>
      <c r="AS507" s="15"/>
      <c r="AT507" s="16"/>
      <c r="AU507" s="17">
        <v>1</v>
      </c>
      <c r="AV507" s="17"/>
      <c r="AW507" s="85">
        <f t="shared" si="838"/>
        <v>1</v>
      </c>
      <c r="AX507" s="15"/>
      <c r="AY507" s="16"/>
      <c r="AZ507" s="17">
        <v>1</v>
      </c>
      <c r="BA507" s="17"/>
      <c r="BB507" s="85">
        <f t="shared" si="839"/>
        <v>1</v>
      </c>
      <c r="BC507" s="105">
        <f t="shared" si="840"/>
        <v>3</v>
      </c>
      <c r="BD507" s="114">
        <v>45873</v>
      </c>
    </row>
    <row r="508" spans="1:57" x14ac:dyDescent="0.15">
      <c r="A508" s="23"/>
      <c r="B508" s="15"/>
      <c r="C508" s="16"/>
      <c r="D508" s="17"/>
      <c r="E508" s="17"/>
      <c r="F508" s="85">
        <f t="shared" si="829"/>
        <v>0</v>
      </c>
      <c r="G508" s="15"/>
      <c r="H508" s="16"/>
      <c r="I508" s="17"/>
      <c r="J508" s="17"/>
      <c r="K508" s="85">
        <f t="shared" si="830"/>
        <v>0</v>
      </c>
      <c r="L508" s="15"/>
      <c r="M508" s="16"/>
      <c r="N508" s="17"/>
      <c r="O508" s="17"/>
      <c r="P508" s="85">
        <f t="shared" si="831"/>
        <v>0</v>
      </c>
      <c r="Q508" s="15"/>
      <c r="R508" s="16"/>
      <c r="S508" s="17"/>
      <c r="T508" s="17"/>
      <c r="U508" s="85">
        <f t="shared" si="832"/>
        <v>0</v>
      </c>
      <c r="V508" s="15"/>
      <c r="W508" s="16"/>
      <c r="X508" s="17"/>
      <c r="Y508" s="17"/>
      <c r="Z508" s="85">
        <f t="shared" si="833"/>
        <v>0</v>
      </c>
      <c r="AA508" s="105">
        <f t="shared" si="834"/>
        <v>0</v>
      </c>
      <c r="AC508" s="53" t="s">
        <v>504</v>
      </c>
      <c r="AD508" s="15"/>
      <c r="AE508" s="16"/>
      <c r="AF508" s="17"/>
      <c r="AG508" s="17"/>
      <c r="AH508" s="85">
        <f t="shared" si="835"/>
        <v>0</v>
      </c>
      <c r="AI508" s="15"/>
      <c r="AJ508" s="16"/>
      <c r="AK508" s="17"/>
      <c r="AL508" s="17"/>
      <c r="AM508" s="85">
        <f t="shared" si="836"/>
        <v>0</v>
      </c>
      <c r="AN508" s="15">
        <v>8</v>
      </c>
      <c r="AO508" s="16"/>
      <c r="AP508" s="17"/>
      <c r="AQ508" s="17"/>
      <c r="AR508" s="85">
        <f t="shared" si="837"/>
        <v>8</v>
      </c>
      <c r="AS508" s="15">
        <v>8</v>
      </c>
      <c r="AT508" s="16"/>
      <c r="AU508" s="17"/>
      <c r="AV508" s="17"/>
      <c r="AW508" s="85">
        <f t="shared" si="838"/>
        <v>8</v>
      </c>
      <c r="AX508" s="15">
        <v>8</v>
      </c>
      <c r="AY508" s="16"/>
      <c r="AZ508" s="17"/>
      <c r="BA508" s="17"/>
      <c r="BB508" s="85">
        <f t="shared" si="839"/>
        <v>8</v>
      </c>
      <c r="BC508" s="105">
        <f t="shared" si="840"/>
        <v>24</v>
      </c>
      <c r="BD508" s="114">
        <v>45875</v>
      </c>
    </row>
    <row r="509" spans="1:57" x14ac:dyDescent="0.15">
      <c r="A509" s="54"/>
      <c r="B509" s="15"/>
      <c r="C509" s="16"/>
      <c r="D509" s="17"/>
      <c r="E509" s="17"/>
      <c r="F509" s="85">
        <f t="shared" si="829"/>
        <v>0</v>
      </c>
      <c r="G509" s="15"/>
      <c r="H509" s="16"/>
      <c r="I509" s="17"/>
      <c r="J509" s="17"/>
      <c r="K509" s="85">
        <f t="shared" si="830"/>
        <v>0</v>
      </c>
      <c r="L509" s="15"/>
      <c r="M509" s="16"/>
      <c r="N509" s="17"/>
      <c r="O509" s="17"/>
      <c r="P509" s="85">
        <f t="shared" si="831"/>
        <v>0</v>
      </c>
      <c r="Q509" s="15"/>
      <c r="R509" s="16"/>
      <c r="S509" s="17"/>
      <c r="T509" s="17"/>
      <c r="U509" s="85">
        <f t="shared" si="832"/>
        <v>0</v>
      </c>
      <c r="V509" s="15"/>
      <c r="W509" s="16"/>
      <c r="X509" s="17"/>
      <c r="Y509" s="17"/>
      <c r="Z509" s="85">
        <f t="shared" si="833"/>
        <v>0</v>
      </c>
      <c r="AA509" s="105">
        <f t="shared" si="834"/>
        <v>0</v>
      </c>
      <c r="AC509" s="53" t="s">
        <v>509</v>
      </c>
      <c r="AD509" s="15"/>
      <c r="AE509" s="16"/>
      <c r="AF509" s="17"/>
      <c r="AG509" s="17"/>
      <c r="AH509" s="85">
        <f t="shared" si="835"/>
        <v>0</v>
      </c>
      <c r="AI509" s="15"/>
      <c r="AJ509" s="16"/>
      <c r="AK509" s="17"/>
      <c r="AL509" s="17"/>
      <c r="AM509" s="85">
        <f t="shared" si="836"/>
        <v>0</v>
      </c>
      <c r="AN509" s="15"/>
      <c r="AO509" s="16"/>
      <c r="AP509" s="17"/>
      <c r="AQ509" s="17">
        <v>2</v>
      </c>
      <c r="AR509" s="85">
        <f t="shared" si="837"/>
        <v>2</v>
      </c>
      <c r="AS509" s="15"/>
      <c r="AT509" s="16"/>
      <c r="AU509" s="17"/>
      <c r="AV509" s="17">
        <v>2</v>
      </c>
      <c r="AW509" s="85">
        <f t="shared" si="838"/>
        <v>2</v>
      </c>
      <c r="AX509" s="15"/>
      <c r="AY509" s="16"/>
      <c r="AZ509" s="17"/>
      <c r="BA509" s="17">
        <v>2</v>
      </c>
      <c r="BB509" s="85">
        <f t="shared" si="839"/>
        <v>2</v>
      </c>
      <c r="BC509" s="105">
        <f t="shared" si="840"/>
        <v>6</v>
      </c>
      <c r="BD509" s="114">
        <v>45877</v>
      </c>
    </row>
    <row r="510" spans="1:57" x14ac:dyDescent="0.15">
      <c r="A510" s="23"/>
      <c r="B510" s="15"/>
      <c r="C510" s="16"/>
      <c r="D510" s="17"/>
      <c r="E510" s="17"/>
      <c r="F510" s="85">
        <f t="shared" si="829"/>
        <v>0</v>
      </c>
      <c r="G510" s="15"/>
      <c r="H510" s="16"/>
      <c r="I510" s="17"/>
      <c r="J510" s="17"/>
      <c r="K510" s="85">
        <f t="shared" si="830"/>
        <v>0</v>
      </c>
      <c r="L510" s="15"/>
      <c r="M510" s="16"/>
      <c r="N510" s="17"/>
      <c r="O510" s="17"/>
      <c r="P510" s="85">
        <f t="shared" si="831"/>
        <v>0</v>
      </c>
      <c r="Q510" s="15"/>
      <c r="R510" s="16"/>
      <c r="S510" s="17"/>
      <c r="T510" s="17"/>
      <c r="U510" s="85">
        <f t="shared" si="832"/>
        <v>0</v>
      </c>
      <c r="V510" s="15"/>
      <c r="W510" s="16"/>
      <c r="X510" s="17"/>
      <c r="Y510" s="17"/>
      <c r="Z510" s="85">
        <f t="shared" si="833"/>
        <v>0</v>
      </c>
      <c r="AA510" s="105">
        <f t="shared" si="834"/>
        <v>0</v>
      </c>
      <c r="AC510" s="54"/>
      <c r="AD510" s="15"/>
      <c r="AE510" s="16"/>
      <c r="AF510" s="17"/>
      <c r="AG510" s="17"/>
      <c r="AH510" s="85">
        <f t="shared" ref="AH510:AH511" si="851">SUM(AD510:AG510)</f>
        <v>0</v>
      </c>
      <c r="AI510" s="15"/>
      <c r="AJ510" s="16"/>
      <c r="AK510" s="17"/>
      <c r="AL510" s="17"/>
      <c r="AM510" s="85">
        <f t="shared" ref="AM510:AM511" si="852">SUM(AI510:AL510)</f>
        <v>0</v>
      </c>
      <c r="AN510" s="15"/>
      <c r="AO510" s="16"/>
      <c r="AP510" s="17"/>
      <c r="AQ510" s="17"/>
      <c r="AR510" s="85">
        <f t="shared" ref="AR510:AR511" si="853">SUM(AN510:AQ510)</f>
        <v>0</v>
      </c>
      <c r="AS510" s="15"/>
      <c r="AT510" s="16"/>
      <c r="AU510" s="17"/>
      <c r="AV510" s="17"/>
      <c r="AW510" s="85">
        <f t="shared" ref="AW510:AW511" si="854">SUM(AS510:AV510)</f>
        <v>0</v>
      </c>
      <c r="AX510" s="15"/>
      <c r="AY510" s="16"/>
      <c r="AZ510" s="17"/>
      <c r="BA510" s="17"/>
      <c r="BB510" s="85">
        <f t="shared" ref="BB510:BB511" si="855">SUM(AX510:BA510)</f>
        <v>0</v>
      </c>
      <c r="BC510" s="105">
        <f t="shared" ref="BC510:BC511" si="856">BB510+AW510+AR510+AM510+AH510</f>
        <v>0</v>
      </c>
      <c r="BD510" s="76"/>
    </row>
    <row r="511" spans="1:57" x14ac:dyDescent="0.15">
      <c r="A511" s="23"/>
      <c r="B511" s="15"/>
      <c r="C511" s="16"/>
      <c r="D511" s="17"/>
      <c r="E511" s="17"/>
      <c r="F511" s="85">
        <f t="shared" si="829"/>
        <v>0</v>
      </c>
      <c r="G511" s="15"/>
      <c r="H511" s="16"/>
      <c r="I511" s="17"/>
      <c r="J511" s="17"/>
      <c r="K511" s="85">
        <f t="shared" si="830"/>
        <v>0</v>
      </c>
      <c r="L511" s="15"/>
      <c r="M511" s="16"/>
      <c r="N511" s="17"/>
      <c r="O511" s="17"/>
      <c r="P511" s="85">
        <f t="shared" si="831"/>
        <v>0</v>
      </c>
      <c r="Q511" s="15"/>
      <c r="R511" s="16"/>
      <c r="S511" s="17"/>
      <c r="T511" s="17"/>
      <c r="U511" s="85">
        <f t="shared" si="832"/>
        <v>0</v>
      </c>
      <c r="V511" s="15"/>
      <c r="W511" s="16"/>
      <c r="X511" s="17"/>
      <c r="Y511" s="17"/>
      <c r="Z511" s="85">
        <f t="shared" si="833"/>
        <v>0</v>
      </c>
      <c r="AA511" s="105">
        <f t="shared" si="834"/>
        <v>0</v>
      </c>
      <c r="AC511" s="54"/>
      <c r="AD511" s="15"/>
      <c r="AE511" s="16"/>
      <c r="AF511" s="17"/>
      <c r="AG511" s="17"/>
      <c r="AH511" s="85">
        <f t="shared" si="851"/>
        <v>0</v>
      </c>
      <c r="AI511" s="15"/>
      <c r="AJ511" s="16"/>
      <c r="AK511" s="17"/>
      <c r="AL511" s="17"/>
      <c r="AM511" s="85">
        <f t="shared" si="852"/>
        <v>0</v>
      </c>
      <c r="AN511" s="15"/>
      <c r="AO511" s="16"/>
      <c r="AP511" s="17"/>
      <c r="AQ511" s="17"/>
      <c r="AR511" s="85">
        <f t="shared" si="853"/>
        <v>0</v>
      </c>
      <c r="AS511" s="15"/>
      <c r="AT511" s="16"/>
      <c r="AU511" s="17"/>
      <c r="AV511" s="17"/>
      <c r="AW511" s="85">
        <f t="shared" si="854"/>
        <v>0</v>
      </c>
      <c r="AX511" s="15"/>
      <c r="AY511" s="16"/>
      <c r="AZ511" s="17"/>
      <c r="BA511" s="17"/>
      <c r="BB511" s="85">
        <f t="shared" si="855"/>
        <v>0</v>
      </c>
      <c r="BC511" s="105">
        <f t="shared" si="856"/>
        <v>0</v>
      </c>
    </row>
    <row r="512" spans="1:57" x14ac:dyDescent="0.15">
      <c r="A512" s="23"/>
      <c r="B512" s="18"/>
      <c r="C512" s="19"/>
      <c r="D512" s="20"/>
      <c r="E512" s="20"/>
      <c r="F512" s="85">
        <f t="shared" si="829"/>
        <v>0</v>
      </c>
      <c r="G512" s="18"/>
      <c r="H512" s="19"/>
      <c r="I512" s="20"/>
      <c r="J512" s="20"/>
      <c r="K512" s="85">
        <f t="shared" si="830"/>
        <v>0</v>
      </c>
      <c r="L512" s="18"/>
      <c r="M512" s="19"/>
      <c r="N512" s="20"/>
      <c r="O512" s="20"/>
      <c r="P512" s="85">
        <f t="shared" si="831"/>
        <v>0</v>
      </c>
      <c r="Q512" s="18"/>
      <c r="R512" s="19"/>
      <c r="S512" s="20"/>
      <c r="T512" s="20"/>
      <c r="U512" s="85">
        <f t="shared" si="832"/>
        <v>0</v>
      </c>
      <c r="V512" s="18"/>
      <c r="W512" s="19"/>
      <c r="X512" s="20"/>
      <c r="Y512" s="20"/>
      <c r="Z512" s="85">
        <f t="shared" si="833"/>
        <v>0</v>
      </c>
      <c r="AA512" s="105">
        <f t="shared" si="834"/>
        <v>0</v>
      </c>
      <c r="AC512" s="139" t="s">
        <v>430</v>
      </c>
      <c r="AD512" s="222"/>
      <c r="AE512" s="223"/>
      <c r="AF512" s="224"/>
      <c r="AG512" s="224"/>
      <c r="AH512" s="189">
        <f t="shared" si="835"/>
        <v>0</v>
      </c>
      <c r="AI512" s="222"/>
      <c r="AJ512" s="223"/>
      <c r="AK512" s="224"/>
      <c r="AL512" s="224"/>
      <c r="AM512" s="189">
        <f t="shared" si="836"/>
        <v>0</v>
      </c>
      <c r="AN512" s="222"/>
      <c r="AO512" s="223"/>
      <c r="AP512" s="224"/>
      <c r="AQ512" s="224"/>
      <c r="AR512" s="189">
        <f t="shared" si="837"/>
        <v>0</v>
      </c>
      <c r="AS512" s="222"/>
      <c r="AT512" s="223"/>
      <c r="AU512" s="224"/>
      <c r="AV512" s="224"/>
      <c r="AW512" s="189">
        <f t="shared" si="838"/>
        <v>0</v>
      </c>
      <c r="AX512" s="222"/>
      <c r="AY512" s="223"/>
      <c r="AZ512" s="224"/>
      <c r="BA512" s="224"/>
      <c r="BB512" s="189">
        <f t="shared" si="839"/>
        <v>0</v>
      </c>
      <c r="BC512" s="190">
        <f t="shared" si="840"/>
        <v>0</v>
      </c>
      <c r="BD512" s="159"/>
    </row>
    <row r="513" spans="1:56" x14ac:dyDescent="0.15">
      <c r="A513" s="23"/>
      <c r="B513" s="16"/>
      <c r="C513" s="16"/>
      <c r="D513" s="17"/>
      <c r="E513" s="17"/>
      <c r="F513" s="85">
        <f t="shared" si="829"/>
        <v>0</v>
      </c>
      <c r="G513" s="16"/>
      <c r="H513" s="16"/>
      <c r="I513" s="17"/>
      <c r="J513" s="17"/>
      <c r="K513" s="85">
        <f t="shared" si="830"/>
        <v>0</v>
      </c>
      <c r="L513" s="16"/>
      <c r="M513" s="16"/>
      <c r="N513" s="17"/>
      <c r="O513" s="17"/>
      <c r="P513" s="85">
        <f t="shared" si="831"/>
        <v>0</v>
      </c>
      <c r="Q513" s="16"/>
      <c r="R513" s="16"/>
      <c r="S513" s="17"/>
      <c r="T513" s="17"/>
      <c r="U513" s="85">
        <f t="shared" si="832"/>
        <v>0</v>
      </c>
      <c r="V513" s="16"/>
      <c r="W513" s="16"/>
      <c r="X513" s="17"/>
      <c r="Y513" s="17"/>
      <c r="Z513" s="85">
        <f t="shared" si="833"/>
        <v>0</v>
      </c>
      <c r="AA513" s="105">
        <f t="shared" si="834"/>
        <v>0</v>
      </c>
      <c r="AC513" s="23" t="s">
        <v>427</v>
      </c>
      <c r="AD513" s="18"/>
      <c r="AE513" s="19"/>
      <c r="AF513" s="20"/>
      <c r="AG513" s="20"/>
      <c r="AH513" s="85">
        <f t="shared" si="835"/>
        <v>0</v>
      </c>
      <c r="AI513" s="18"/>
      <c r="AJ513" s="19"/>
      <c r="AK513" s="20"/>
      <c r="AL513" s="20"/>
      <c r="AM513" s="85">
        <f t="shared" si="836"/>
        <v>0</v>
      </c>
      <c r="AN513" s="18"/>
      <c r="AO513" s="19"/>
      <c r="AP513" s="20"/>
      <c r="AQ513" s="20"/>
      <c r="AR513" s="85">
        <f t="shared" si="837"/>
        <v>0</v>
      </c>
      <c r="AS513" s="18"/>
      <c r="AT513" s="19"/>
      <c r="AU513" s="20"/>
      <c r="AV513" s="20"/>
      <c r="AW513" s="85">
        <f t="shared" si="838"/>
        <v>0</v>
      </c>
      <c r="AX513" s="18"/>
      <c r="AY513" s="19"/>
      <c r="AZ513" s="20"/>
      <c r="BA513" s="20"/>
      <c r="BB513" s="85">
        <f t="shared" si="839"/>
        <v>0</v>
      </c>
      <c r="BC513" s="105">
        <f t="shared" si="840"/>
        <v>0</v>
      </c>
      <c r="BD513" s="76" t="s">
        <v>429</v>
      </c>
    </row>
    <row r="514" spans="1:56" x14ac:dyDescent="0.15">
      <c r="A514" s="23"/>
      <c r="B514" s="15"/>
      <c r="C514" s="25"/>
      <c r="D514" s="17"/>
      <c r="E514" s="17"/>
      <c r="F514" s="85">
        <f t="shared" si="829"/>
        <v>0</v>
      </c>
      <c r="G514" s="15"/>
      <c r="H514" s="25"/>
      <c r="I514" s="17"/>
      <c r="J514" s="17"/>
      <c r="K514" s="85">
        <f t="shared" si="830"/>
        <v>0</v>
      </c>
      <c r="L514" s="15"/>
      <c r="M514" s="25"/>
      <c r="N514" s="17"/>
      <c r="O514" s="17"/>
      <c r="P514" s="85">
        <f t="shared" si="831"/>
        <v>0</v>
      </c>
      <c r="Q514" s="15"/>
      <c r="R514" s="25"/>
      <c r="S514" s="17"/>
      <c r="T514" s="17"/>
      <c r="U514" s="85">
        <f t="shared" si="832"/>
        <v>0</v>
      </c>
      <c r="V514" s="15"/>
      <c r="W514" s="25"/>
      <c r="X514" s="17"/>
      <c r="Y514" s="17"/>
      <c r="Z514" s="85">
        <f t="shared" si="833"/>
        <v>0</v>
      </c>
      <c r="AA514" s="105">
        <f t="shared" si="834"/>
        <v>0</v>
      </c>
      <c r="AC514" s="23" t="s">
        <v>428</v>
      </c>
      <c r="AD514" s="18"/>
      <c r="AE514" s="19"/>
      <c r="AF514" s="20"/>
      <c r="AG514" s="20"/>
      <c r="AH514" s="85">
        <f t="shared" si="835"/>
        <v>0</v>
      </c>
      <c r="AI514" s="18"/>
      <c r="AJ514" s="19"/>
      <c r="AK514" s="20"/>
      <c r="AL514" s="20"/>
      <c r="AM514" s="85">
        <f t="shared" si="836"/>
        <v>0</v>
      </c>
      <c r="AN514" s="18"/>
      <c r="AO514" s="19"/>
      <c r="AP514" s="20"/>
      <c r="AQ514" s="20"/>
      <c r="AR514" s="85">
        <f t="shared" si="837"/>
        <v>0</v>
      </c>
      <c r="AS514" s="18"/>
      <c r="AT514" s="19"/>
      <c r="AU514" s="20"/>
      <c r="AV514" s="20"/>
      <c r="AW514" s="85">
        <f t="shared" si="838"/>
        <v>0</v>
      </c>
      <c r="AX514" s="18"/>
      <c r="AY514" s="19"/>
      <c r="AZ514" s="20"/>
      <c r="BA514" s="20"/>
      <c r="BB514" s="85">
        <f t="shared" si="839"/>
        <v>0</v>
      </c>
      <c r="BC514" s="105">
        <f t="shared" si="840"/>
        <v>0</v>
      </c>
      <c r="BD514" s="76" t="s">
        <v>429</v>
      </c>
    </row>
    <row r="515" spans="1:56" x14ac:dyDescent="0.15">
      <c r="A515" s="23"/>
      <c r="B515" s="15"/>
      <c r="C515" s="16"/>
      <c r="D515" s="16"/>
      <c r="E515" s="63"/>
      <c r="F515" s="85">
        <f t="shared" si="829"/>
        <v>0</v>
      </c>
      <c r="G515" s="15"/>
      <c r="H515" s="16"/>
      <c r="I515" s="16"/>
      <c r="J515" s="63"/>
      <c r="K515" s="85">
        <f t="shared" si="830"/>
        <v>0</v>
      </c>
      <c r="L515" s="15"/>
      <c r="M515" s="16"/>
      <c r="N515" s="16"/>
      <c r="O515" s="63"/>
      <c r="P515" s="85">
        <f t="shared" si="831"/>
        <v>0</v>
      </c>
      <c r="Q515" s="15"/>
      <c r="R515" s="16"/>
      <c r="S515" s="16"/>
      <c r="T515" s="63"/>
      <c r="U515" s="85">
        <f t="shared" si="832"/>
        <v>0</v>
      </c>
      <c r="V515" s="15"/>
      <c r="W515" s="16"/>
      <c r="X515" s="16"/>
      <c r="Y515" s="63"/>
      <c r="Z515" s="85">
        <f t="shared" si="833"/>
        <v>0</v>
      </c>
      <c r="AA515" s="105">
        <f t="shared" si="834"/>
        <v>0</v>
      </c>
      <c r="AC515" s="23" t="s">
        <v>387</v>
      </c>
      <c r="AD515" s="15"/>
      <c r="AE515" s="16"/>
      <c r="AF515" s="17"/>
      <c r="AG515" s="17"/>
      <c r="AH515" s="85">
        <f t="shared" si="835"/>
        <v>0</v>
      </c>
      <c r="AI515" s="15"/>
      <c r="AJ515" s="16"/>
      <c r="AK515" s="17"/>
      <c r="AL515" s="17"/>
      <c r="AM515" s="85">
        <f t="shared" si="836"/>
        <v>0</v>
      </c>
      <c r="AN515" s="15"/>
      <c r="AO515" s="16"/>
      <c r="AP515" s="17"/>
      <c r="AQ515" s="17"/>
      <c r="AR515" s="85">
        <f t="shared" si="837"/>
        <v>0</v>
      </c>
      <c r="AS515" s="15"/>
      <c r="AT515" s="16"/>
      <c r="AU515" s="17"/>
      <c r="AV515" s="17"/>
      <c r="AW515" s="85">
        <f t="shared" si="838"/>
        <v>0</v>
      </c>
      <c r="AX515" s="15"/>
      <c r="AY515" s="16"/>
      <c r="AZ515" s="17"/>
      <c r="BA515" s="17"/>
      <c r="BB515" s="85">
        <f t="shared" si="839"/>
        <v>0</v>
      </c>
      <c r="BC515" s="105">
        <f t="shared" si="840"/>
        <v>0</v>
      </c>
      <c r="BD515" s="76"/>
    </row>
    <row r="516" spans="1:56" ht="14.25" thickBot="1" x14ac:dyDescent="0.2">
      <c r="A516" s="23"/>
      <c r="B516" s="15"/>
      <c r="C516" s="16"/>
      <c r="D516" s="16"/>
      <c r="E516" s="63"/>
      <c r="F516" s="85">
        <f t="shared" ref="F516" si="857">SUM(B516:E516)</f>
        <v>0</v>
      </c>
      <c r="G516" s="15"/>
      <c r="H516" s="16"/>
      <c r="I516" s="16"/>
      <c r="J516" s="63"/>
      <c r="K516" s="85">
        <f t="shared" ref="K516" si="858">SUM(G516:J516)</f>
        <v>0</v>
      </c>
      <c r="L516" s="15"/>
      <c r="M516" s="16"/>
      <c r="N516" s="16"/>
      <c r="O516" s="63"/>
      <c r="P516" s="85">
        <f t="shared" ref="P516" si="859">SUM(L516:O516)</f>
        <v>0</v>
      </c>
      <c r="Q516" s="15"/>
      <c r="R516" s="16"/>
      <c r="S516" s="16"/>
      <c r="T516" s="63"/>
      <c r="U516" s="85">
        <f t="shared" ref="U516" si="860">SUM(Q516:T516)</f>
        <v>0</v>
      </c>
      <c r="V516" s="15"/>
      <c r="W516" s="16"/>
      <c r="X516" s="16"/>
      <c r="Y516" s="63"/>
      <c r="Z516" s="85">
        <f t="shared" ref="Z516" si="861">SUM(V516:Y516)</f>
        <v>0</v>
      </c>
      <c r="AA516" s="105">
        <f t="shared" ref="AA516" si="862">Z516+U516+P516+K516+F516</f>
        <v>0</v>
      </c>
      <c r="AC516" s="23" t="s">
        <v>382</v>
      </c>
      <c r="AD516" s="18"/>
      <c r="AE516" s="19"/>
      <c r="AF516" s="20"/>
      <c r="AG516" s="20"/>
      <c r="AH516" s="85">
        <f t="shared" si="835"/>
        <v>0</v>
      </c>
      <c r="AI516" s="18"/>
      <c r="AJ516" s="19"/>
      <c r="AK516" s="20"/>
      <c r="AL516" s="20"/>
      <c r="AM516" s="85">
        <f t="shared" si="836"/>
        <v>0</v>
      </c>
      <c r="AN516" s="18"/>
      <c r="AO516" s="19"/>
      <c r="AP516" s="20"/>
      <c r="AQ516" s="20"/>
      <c r="AR516" s="85">
        <f t="shared" si="837"/>
        <v>0</v>
      </c>
      <c r="AS516" s="18"/>
      <c r="AT516" s="19"/>
      <c r="AU516" s="20"/>
      <c r="AV516" s="20"/>
      <c r="AW516" s="85">
        <f t="shared" si="838"/>
        <v>0</v>
      </c>
      <c r="AX516" s="18"/>
      <c r="AY516" s="19"/>
      <c r="AZ516" s="20"/>
      <c r="BA516" s="20"/>
      <c r="BB516" s="85">
        <f t="shared" si="839"/>
        <v>0</v>
      </c>
      <c r="BC516" s="105">
        <f t="shared" si="840"/>
        <v>0</v>
      </c>
      <c r="BD516" s="76" t="s">
        <v>383</v>
      </c>
    </row>
    <row r="517" spans="1:56" ht="14.25" thickBot="1" x14ac:dyDescent="0.2">
      <c r="A517" s="27" t="s">
        <v>12</v>
      </c>
      <c r="B517" s="57">
        <f>SUM(B491:B516)</f>
        <v>4</v>
      </c>
      <c r="C517" s="50">
        <f t="shared" ref="C517:D517" si="863">SUM(C491:C516)</f>
        <v>0</v>
      </c>
      <c r="D517" s="50">
        <f t="shared" si="863"/>
        <v>5</v>
      </c>
      <c r="E517" s="50">
        <f>SUM(E491:E516)</f>
        <v>3</v>
      </c>
      <c r="F517" s="88">
        <f t="shared" si="829"/>
        <v>12</v>
      </c>
      <c r="G517" s="57">
        <f>SUM(G491:G516)</f>
        <v>5</v>
      </c>
      <c r="H517" s="50">
        <f t="shared" ref="H517:I517" si="864">SUM(H491:H516)</f>
        <v>0</v>
      </c>
      <c r="I517" s="50">
        <f t="shared" si="864"/>
        <v>3</v>
      </c>
      <c r="J517" s="50">
        <f>SUM(J491:J516)</f>
        <v>1</v>
      </c>
      <c r="K517" s="88">
        <f t="shared" si="830"/>
        <v>9</v>
      </c>
      <c r="L517" s="57">
        <f>SUM(L491:L516)</f>
        <v>8</v>
      </c>
      <c r="M517" s="50">
        <f t="shared" ref="M517:N517" si="865">SUM(M491:M516)</f>
        <v>1</v>
      </c>
      <c r="N517" s="50">
        <f t="shared" si="865"/>
        <v>1</v>
      </c>
      <c r="O517" s="50">
        <f>SUM(O491:O516)</f>
        <v>4</v>
      </c>
      <c r="P517" s="88">
        <f t="shared" si="831"/>
        <v>14</v>
      </c>
      <c r="Q517" s="57">
        <f>SUM(Q491:Q516)</f>
        <v>8</v>
      </c>
      <c r="R517" s="50">
        <f t="shared" ref="R517:S517" si="866">SUM(R491:R516)</f>
        <v>2</v>
      </c>
      <c r="S517" s="50">
        <f t="shared" si="866"/>
        <v>2</v>
      </c>
      <c r="T517" s="50">
        <f>SUM(T491:T516)</f>
        <v>4</v>
      </c>
      <c r="U517" s="88">
        <f t="shared" si="832"/>
        <v>16</v>
      </c>
      <c r="V517" s="57">
        <f>SUM(V491:V516)</f>
        <v>13</v>
      </c>
      <c r="W517" s="50">
        <f t="shared" ref="W517:X517" si="867">SUM(W491:W516)</f>
        <v>4</v>
      </c>
      <c r="X517" s="50">
        <f t="shared" si="867"/>
        <v>2</v>
      </c>
      <c r="Y517" s="50">
        <f>SUM(Y491:Y516)</f>
        <v>5</v>
      </c>
      <c r="Z517" s="88">
        <f t="shared" si="833"/>
        <v>24</v>
      </c>
      <c r="AA517" s="109">
        <f t="shared" si="834"/>
        <v>75</v>
      </c>
      <c r="AC517" s="27" t="s">
        <v>419</v>
      </c>
      <c r="AD517" s="57">
        <f>SUM(AD491:AD516)</f>
        <v>417</v>
      </c>
      <c r="AE517" s="50">
        <f t="shared" ref="AE517:AF517" si="868">SUM(AE491:AE516)</f>
        <v>418</v>
      </c>
      <c r="AF517" s="50">
        <f t="shared" si="868"/>
        <v>104</v>
      </c>
      <c r="AG517" s="50">
        <f>SUM(AG491:AG516)</f>
        <v>0</v>
      </c>
      <c r="AH517" s="88">
        <f t="shared" si="835"/>
        <v>939</v>
      </c>
      <c r="AI517" s="57">
        <f>SUM(AI491:AI516)</f>
        <v>418</v>
      </c>
      <c r="AJ517" s="50">
        <f t="shared" ref="AJ517:AK517" si="869">SUM(AJ491:AJ516)</f>
        <v>415</v>
      </c>
      <c r="AK517" s="50">
        <f t="shared" si="869"/>
        <v>102</v>
      </c>
      <c r="AL517" s="50">
        <f>SUM(AL491:AL516)</f>
        <v>0</v>
      </c>
      <c r="AM517" s="88">
        <f t="shared" si="836"/>
        <v>935</v>
      </c>
      <c r="AN517" s="57">
        <f>SUM(AN491:AN516)</f>
        <v>16</v>
      </c>
      <c r="AO517" s="50">
        <f t="shared" ref="AO517:AP517" si="870">SUM(AO491:AO516)</f>
        <v>13</v>
      </c>
      <c r="AP517" s="50">
        <f t="shared" si="870"/>
        <v>9</v>
      </c>
      <c r="AQ517" s="50">
        <f>SUM(AQ491:AQ516)</f>
        <v>3</v>
      </c>
      <c r="AR517" s="88">
        <f t="shared" si="837"/>
        <v>41</v>
      </c>
      <c r="AS517" s="57">
        <f>SUM(AS491:AS516)</f>
        <v>15</v>
      </c>
      <c r="AT517" s="50">
        <f t="shared" ref="AT517:AU517" si="871">SUM(AT491:AT516)</f>
        <v>15</v>
      </c>
      <c r="AU517" s="50">
        <f t="shared" si="871"/>
        <v>11</v>
      </c>
      <c r="AV517" s="50">
        <f>SUM(AV491:AV516)</f>
        <v>5</v>
      </c>
      <c r="AW517" s="88">
        <f t="shared" si="838"/>
        <v>46</v>
      </c>
      <c r="AX517" s="57">
        <f>SUM(AX491:AX516)</f>
        <v>432</v>
      </c>
      <c r="AY517" s="50">
        <f t="shared" ref="AY517:AZ517" si="872">SUM(AY491:AY516)</f>
        <v>427</v>
      </c>
      <c r="AZ517" s="50">
        <f t="shared" si="872"/>
        <v>114</v>
      </c>
      <c r="BA517" s="50">
        <f>SUM(BA491:BA516)</f>
        <v>8</v>
      </c>
      <c r="BB517" s="88">
        <f t="shared" si="839"/>
        <v>981</v>
      </c>
      <c r="BC517" s="109">
        <f t="shared" si="840"/>
        <v>2942</v>
      </c>
    </row>
    <row r="518" spans="1:56" ht="14.25" thickBot="1" x14ac:dyDescent="0.2">
      <c r="A518" s="21" t="s">
        <v>13</v>
      </c>
      <c r="B518" s="101">
        <f>B490-B517</f>
        <v>8</v>
      </c>
      <c r="C518" s="8">
        <f t="shared" ref="C518:D518" si="873">C490-C517</f>
        <v>7</v>
      </c>
      <c r="D518" s="8">
        <f t="shared" si="873"/>
        <v>6</v>
      </c>
      <c r="E518" s="8">
        <f>E490-E517</f>
        <v>5</v>
      </c>
      <c r="F518" s="87">
        <f t="shared" si="829"/>
        <v>26</v>
      </c>
      <c r="G518" s="101">
        <f>G490-G517</f>
        <v>8</v>
      </c>
      <c r="H518" s="8">
        <f t="shared" ref="H518:I518" si="874">H490-H517</f>
        <v>10</v>
      </c>
      <c r="I518" s="8">
        <f t="shared" si="874"/>
        <v>7</v>
      </c>
      <c r="J518" s="8">
        <f>J490-J517</f>
        <v>8</v>
      </c>
      <c r="K518" s="87">
        <f t="shared" si="830"/>
        <v>33</v>
      </c>
      <c r="L518" s="101">
        <f>L490-L517</f>
        <v>6</v>
      </c>
      <c r="M518" s="8">
        <f t="shared" ref="M518:N518" si="875">M490-M517</f>
        <v>8</v>
      </c>
      <c r="N518" s="8">
        <f t="shared" si="875"/>
        <v>12</v>
      </c>
      <c r="O518" s="8">
        <f>O490-O517</f>
        <v>4</v>
      </c>
      <c r="P518" s="87">
        <f t="shared" si="831"/>
        <v>30</v>
      </c>
      <c r="Q518" s="101">
        <f>Q490-Q517</f>
        <v>5</v>
      </c>
      <c r="R518" s="8">
        <f t="shared" ref="R518:S518" si="876">R490-R517</f>
        <v>10</v>
      </c>
      <c r="S518" s="8">
        <f t="shared" si="876"/>
        <v>9</v>
      </c>
      <c r="T518" s="8">
        <f>T490-T517</f>
        <v>6</v>
      </c>
      <c r="U518" s="87">
        <f t="shared" si="832"/>
        <v>30</v>
      </c>
      <c r="V518" s="101">
        <f>V490-V517</f>
        <v>7</v>
      </c>
      <c r="W518" s="8">
        <f t="shared" ref="W518:X518" si="877">W490-W517</f>
        <v>6</v>
      </c>
      <c r="X518" s="8">
        <f t="shared" si="877"/>
        <v>11</v>
      </c>
      <c r="Y518" s="8">
        <f>Y490-Y517</f>
        <v>7</v>
      </c>
      <c r="Z518" s="87">
        <f t="shared" si="833"/>
        <v>31</v>
      </c>
      <c r="AA518" s="107">
        <f t="shared" si="834"/>
        <v>150</v>
      </c>
      <c r="AC518" s="29" t="s">
        <v>13</v>
      </c>
      <c r="AD518" s="32">
        <f>AD490-AD517</f>
        <v>1438</v>
      </c>
      <c r="AE518" s="44">
        <f t="shared" ref="AE518:AF518" si="878">AE490-AE517</f>
        <v>1421</v>
      </c>
      <c r="AF518" s="44">
        <f t="shared" si="878"/>
        <v>586</v>
      </c>
      <c r="AG518" s="44">
        <f>AG490-AG517</f>
        <v>416</v>
      </c>
      <c r="AH518" s="87">
        <f t="shared" si="835"/>
        <v>3861</v>
      </c>
      <c r="AI518" s="32">
        <f>AI490-AI517</f>
        <v>1401</v>
      </c>
      <c r="AJ518" s="44">
        <f t="shared" ref="AJ518:AK518" si="879">AJ490-AJ517</f>
        <v>1335</v>
      </c>
      <c r="AK518" s="44">
        <f t="shared" si="879"/>
        <v>618</v>
      </c>
      <c r="AL518" s="44">
        <f>AL490-AL517</f>
        <v>428</v>
      </c>
      <c r="AM518" s="87">
        <f t="shared" si="836"/>
        <v>3782</v>
      </c>
      <c r="AN518" s="32">
        <f>AN490-AN517</f>
        <v>404</v>
      </c>
      <c r="AO518" s="44">
        <f t="shared" ref="AO518:AP518" si="880">AO490-AO517</f>
        <v>358</v>
      </c>
      <c r="AP518" s="44">
        <f t="shared" si="880"/>
        <v>262</v>
      </c>
      <c r="AQ518" s="44">
        <f>AQ490-AQ517</f>
        <v>396</v>
      </c>
      <c r="AR518" s="87">
        <f t="shared" si="837"/>
        <v>1420</v>
      </c>
      <c r="AS518" s="32">
        <f>AS490-AS517</f>
        <v>1374</v>
      </c>
      <c r="AT518" s="44">
        <f t="shared" ref="AT518:AU518" si="881">AT490-AT517</f>
        <v>1270</v>
      </c>
      <c r="AU518" s="44">
        <f t="shared" si="881"/>
        <v>627</v>
      </c>
      <c r="AV518" s="44">
        <f>AV490-AV517</f>
        <v>548</v>
      </c>
      <c r="AW518" s="87">
        <f t="shared" si="838"/>
        <v>3819</v>
      </c>
      <c r="AX518" s="32">
        <f>AX490-AX517</f>
        <v>524</v>
      </c>
      <c r="AY518" s="44">
        <f t="shared" ref="AY518:AZ518" si="882">AY490-AY517</f>
        <v>595</v>
      </c>
      <c r="AZ518" s="44">
        <f t="shared" si="882"/>
        <v>419</v>
      </c>
      <c r="BA518" s="44">
        <f>BA490-BA517</f>
        <v>159</v>
      </c>
      <c r="BB518" s="87">
        <f t="shared" si="839"/>
        <v>1697</v>
      </c>
      <c r="BC518" s="107">
        <f t="shared" si="840"/>
        <v>14579</v>
      </c>
    </row>
    <row r="521" spans="1:56" ht="19.5" thickBot="1" x14ac:dyDescent="0.25">
      <c r="A521" s="271" t="s">
        <v>22</v>
      </c>
      <c r="B521" s="271"/>
      <c r="C521" s="271"/>
      <c r="D521" s="271"/>
      <c r="E521" s="271"/>
      <c r="F521" s="271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C521" s="79" t="s">
        <v>69</v>
      </c>
      <c r="AD521" s="79"/>
      <c r="AE521" s="79"/>
      <c r="AF521" s="79"/>
      <c r="AG521" s="79"/>
      <c r="AH521" s="79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78"/>
      <c r="AU521" s="78"/>
      <c r="AV521" s="78"/>
      <c r="AW521" s="78"/>
      <c r="AX521" s="78"/>
      <c r="AY521" s="78"/>
      <c r="AZ521" s="78"/>
      <c r="BA521" s="78"/>
      <c r="BB521" s="78"/>
      <c r="BC521" s="78"/>
    </row>
    <row r="522" spans="1:56" ht="14.25" thickBot="1" x14ac:dyDescent="0.2">
      <c r="A522" s="2" t="s">
        <v>0</v>
      </c>
      <c r="B522" s="256" t="s">
        <v>23</v>
      </c>
      <c r="C522" s="257"/>
      <c r="D522" s="257"/>
      <c r="E522" s="258"/>
      <c r="F522" s="81"/>
      <c r="G522" s="259" t="s">
        <v>24</v>
      </c>
      <c r="H522" s="260"/>
      <c r="I522" s="260"/>
      <c r="J522" s="261"/>
      <c r="K522" s="81"/>
      <c r="L522" s="262" t="s">
        <v>25</v>
      </c>
      <c r="M522" s="263"/>
      <c r="N522" s="263"/>
      <c r="O522" s="264"/>
      <c r="P522" s="81"/>
      <c r="Q522" s="265" t="s">
        <v>26</v>
      </c>
      <c r="R522" s="266"/>
      <c r="S522" s="266"/>
      <c r="T522" s="267"/>
      <c r="U522" s="81"/>
      <c r="V522" s="268" t="s">
        <v>27</v>
      </c>
      <c r="W522" s="269"/>
      <c r="X522" s="269"/>
      <c r="Y522" s="270"/>
      <c r="Z522" s="81"/>
      <c r="AA522" s="272" t="s">
        <v>6</v>
      </c>
      <c r="AC522" s="2" t="s">
        <v>0</v>
      </c>
      <c r="AD522" s="256" t="s">
        <v>23</v>
      </c>
      <c r="AE522" s="257"/>
      <c r="AF522" s="257"/>
      <c r="AG522" s="258"/>
      <c r="AH522" s="81"/>
      <c r="AI522" s="259" t="s">
        <v>24</v>
      </c>
      <c r="AJ522" s="260"/>
      <c r="AK522" s="260"/>
      <c r="AL522" s="261"/>
      <c r="AM522" s="81"/>
      <c r="AN522" s="262" t="s">
        <v>25</v>
      </c>
      <c r="AO522" s="263"/>
      <c r="AP522" s="263"/>
      <c r="AQ522" s="264"/>
      <c r="AR522" s="81"/>
      <c r="AS522" s="265" t="s">
        <v>26</v>
      </c>
      <c r="AT522" s="266"/>
      <c r="AU522" s="266"/>
      <c r="AV522" s="267"/>
      <c r="AW522" s="81"/>
      <c r="AX522" s="268" t="s">
        <v>27</v>
      </c>
      <c r="AY522" s="269"/>
      <c r="AZ522" s="269"/>
      <c r="BA522" s="270"/>
      <c r="BB522" s="81"/>
      <c r="BC522" s="183" t="s">
        <v>6</v>
      </c>
    </row>
    <row r="523" spans="1:56" ht="14.25" thickBot="1" x14ac:dyDescent="0.2">
      <c r="A523" s="2" t="s">
        <v>2</v>
      </c>
      <c r="B523" s="3" t="s">
        <v>3</v>
      </c>
      <c r="C523" s="4" t="s">
        <v>4</v>
      </c>
      <c r="D523" s="5" t="s">
        <v>5</v>
      </c>
      <c r="E523" s="5" t="s">
        <v>20</v>
      </c>
      <c r="F523" s="82" t="s">
        <v>6</v>
      </c>
      <c r="G523" s="89" t="s">
        <v>3</v>
      </c>
      <c r="H523" s="4" t="s">
        <v>4</v>
      </c>
      <c r="I523" s="5" t="s">
        <v>5</v>
      </c>
      <c r="J523" s="5" t="s">
        <v>20</v>
      </c>
      <c r="K523" s="82" t="s">
        <v>6</v>
      </c>
      <c r="L523" s="89" t="s">
        <v>3</v>
      </c>
      <c r="M523" s="4" t="s">
        <v>4</v>
      </c>
      <c r="N523" s="5" t="s">
        <v>5</v>
      </c>
      <c r="O523" s="5" t="s">
        <v>20</v>
      </c>
      <c r="P523" s="82" t="s">
        <v>6</v>
      </c>
      <c r="Q523" s="89" t="s">
        <v>3</v>
      </c>
      <c r="R523" s="4" t="s">
        <v>4</v>
      </c>
      <c r="S523" s="5" t="s">
        <v>5</v>
      </c>
      <c r="T523" s="5" t="s">
        <v>20</v>
      </c>
      <c r="U523" s="82" t="s">
        <v>6</v>
      </c>
      <c r="V523" s="89" t="s">
        <v>3</v>
      </c>
      <c r="W523" s="4" t="s">
        <v>4</v>
      </c>
      <c r="X523" s="5" t="s">
        <v>5</v>
      </c>
      <c r="Y523" s="5" t="s">
        <v>20</v>
      </c>
      <c r="Z523" s="82" t="s">
        <v>6</v>
      </c>
      <c r="AA523" s="273"/>
      <c r="AC523" s="2" t="s">
        <v>2</v>
      </c>
      <c r="AD523" s="3" t="s">
        <v>3</v>
      </c>
      <c r="AE523" s="4" t="s">
        <v>4</v>
      </c>
      <c r="AF523" s="5" t="s">
        <v>5</v>
      </c>
      <c r="AG523" s="5" t="s">
        <v>20</v>
      </c>
      <c r="AH523" s="82" t="s">
        <v>6</v>
      </c>
      <c r="AI523" s="89" t="s">
        <v>3</v>
      </c>
      <c r="AJ523" s="4" t="s">
        <v>4</v>
      </c>
      <c r="AK523" s="5" t="s">
        <v>5</v>
      </c>
      <c r="AL523" s="5" t="s">
        <v>20</v>
      </c>
      <c r="AM523" s="82" t="s">
        <v>6</v>
      </c>
      <c r="AN523" s="89" t="s">
        <v>3</v>
      </c>
      <c r="AO523" s="4" t="s">
        <v>4</v>
      </c>
      <c r="AP523" s="5" t="s">
        <v>5</v>
      </c>
      <c r="AQ523" s="5" t="s">
        <v>20</v>
      </c>
      <c r="AR523" s="82" t="s">
        <v>6</v>
      </c>
      <c r="AS523" s="89" t="s">
        <v>3</v>
      </c>
      <c r="AT523" s="4" t="s">
        <v>4</v>
      </c>
      <c r="AU523" s="5" t="s">
        <v>5</v>
      </c>
      <c r="AV523" s="5" t="s">
        <v>20</v>
      </c>
      <c r="AW523" s="82" t="s">
        <v>6</v>
      </c>
      <c r="AX523" s="89" t="s">
        <v>3</v>
      </c>
      <c r="AY523" s="4" t="s">
        <v>4</v>
      </c>
      <c r="AZ523" s="5" t="s">
        <v>5</v>
      </c>
      <c r="BA523" s="5" t="s">
        <v>20</v>
      </c>
      <c r="BB523" s="82" t="s">
        <v>6</v>
      </c>
      <c r="BC523" s="184"/>
    </row>
    <row r="524" spans="1:56" x14ac:dyDescent="0.15">
      <c r="A524" s="40" t="s">
        <v>13</v>
      </c>
      <c r="B524" s="41">
        <f>B518</f>
        <v>8</v>
      </c>
      <c r="C524" s="42">
        <f>C518</f>
        <v>7</v>
      </c>
      <c r="D524" s="42">
        <f t="shared" ref="D524:AA524" si="883">D518</f>
        <v>6</v>
      </c>
      <c r="E524" s="94">
        <f t="shared" si="883"/>
        <v>5</v>
      </c>
      <c r="F524" s="95">
        <f t="shared" si="883"/>
        <v>26</v>
      </c>
      <c r="G524" s="96">
        <f t="shared" si="883"/>
        <v>8</v>
      </c>
      <c r="H524" s="42">
        <f t="shared" si="883"/>
        <v>10</v>
      </c>
      <c r="I524" s="42">
        <f t="shared" si="883"/>
        <v>7</v>
      </c>
      <c r="J524" s="94">
        <f t="shared" si="883"/>
        <v>8</v>
      </c>
      <c r="K524" s="95">
        <f t="shared" si="883"/>
        <v>33</v>
      </c>
      <c r="L524" s="96">
        <f t="shared" si="883"/>
        <v>6</v>
      </c>
      <c r="M524" s="42">
        <f t="shared" si="883"/>
        <v>8</v>
      </c>
      <c r="N524" s="42">
        <f t="shared" si="883"/>
        <v>12</v>
      </c>
      <c r="O524" s="94">
        <f t="shared" si="883"/>
        <v>4</v>
      </c>
      <c r="P524" s="95">
        <f t="shared" si="883"/>
        <v>30</v>
      </c>
      <c r="Q524" s="96">
        <f t="shared" si="883"/>
        <v>5</v>
      </c>
      <c r="R524" s="42">
        <f t="shared" si="883"/>
        <v>10</v>
      </c>
      <c r="S524" s="42">
        <f t="shared" si="883"/>
        <v>9</v>
      </c>
      <c r="T524" s="94">
        <f t="shared" si="883"/>
        <v>6</v>
      </c>
      <c r="U524" s="95">
        <f t="shared" si="883"/>
        <v>30</v>
      </c>
      <c r="V524" s="96">
        <f t="shared" si="883"/>
        <v>7</v>
      </c>
      <c r="W524" s="42">
        <f t="shared" si="883"/>
        <v>6</v>
      </c>
      <c r="X524" s="42">
        <f t="shared" si="883"/>
        <v>11</v>
      </c>
      <c r="Y524" s="94">
        <f t="shared" si="883"/>
        <v>7</v>
      </c>
      <c r="Z524" s="95">
        <f t="shared" si="883"/>
        <v>31</v>
      </c>
      <c r="AA524" s="104">
        <f t="shared" si="883"/>
        <v>150</v>
      </c>
      <c r="AC524" s="131" t="s">
        <v>13</v>
      </c>
      <c r="AD524" s="96">
        <f>AD518</f>
        <v>1438</v>
      </c>
      <c r="AE524" s="42">
        <f>AE518</f>
        <v>1421</v>
      </c>
      <c r="AF524" s="42">
        <f t="shared" ref="AF524:BC524" si="884">AF518</f>
        <v>586</v>
      </c>
      <c r="AG524" s="94">
        <f t="shared" si="884"/>
        <v>416</v>
      </c>
      <c r="AH524" s="95">
        <f t="shared" si="884"/>
        <v>3861</v>
      </c>
      <c r="AI524" s="96">
        <f t="shared" si="884"/>
        <v>1401</v>
      </c>
      <c r="AJ524" s="42">
        <f t="shared" si="884"/>
        <v>1335</v>
      </c>
      <c r="AK524" s="42">
        <f t="shared" si="884"/>
        <v>618</v>
      </c>
      <c r="AL524" s="94">
        <f t="shared" si="884"/>
        <v>428</v>
      </c>
      <c r="AM524" s="95">
        <f t="shared" si="884"/>
        <v>3782</v>
      </c>
      <c r="AN524" s="96">
        <f t="shared" si="884"/>
        <v>404</v>
      </c>
      <c r="AO524" s="42">
        <f t="shared" si="884"/>
        <v>358</v>
      </c>
      <c r="AP524" s="42">
        <f t="shared" si="884"/>
        <v>262</v>
      </c>
      <c r="AQ524" s="94">
        <f t="shared" si="884"/>
        <v>396</v>
      </c>
      <c r="AR524" s="95">
        <f t="shared" si="884"/>
        <v>1420</v>
      </c>
      <c r="AS524" s="96">
        <f t="shared" si="884"/>
        <v>1374</v>
      </c>
      <c r="AT524" s="42">
        <f t="shared" si="884"/>
        <v>1270</v>
      </c>
      <c r="AU524" s="42">
        <f t="shared" si="884"/>
        <v>627</v>
      </c>
      <c r="AV524" s="94">
        <f t="shared" si="884"/>
        <v>548</v>
      </c>
      <c r="AW524" s="95">
        <f t="shared" si="884"/>
        <v>3819</v>
      </c>
      <c r="AX524" s="96">
        <f t="shared" si="884"/>
        <v>524</v>
      </c>
      <c r="AY524" s="42">
        <f t="shared" si="884"/>
        <v>595</v>
      </c>
      <c r="AZ524" s="42">
        <f t="shared" si="884"/>
        <v>419</v>
      </c>
      <c r="BA524" s="94">
        <f t="shared" si="884"/>
        <v>159</v>
      </c>
      <c r="BB524" s="95">
        <f t="shared" si="884"/>
        <v>1697</v>
      </c>
      <c r="BC524" s="104">
        <f t="shared" si="884"/>
        <v>14579</v>
      </c>
    </row>
    <row r="525" spans="1:56" x14ac:dyDescent="0.15">
      <c r="A525" s="9" t="s">
        <v>7</v>
      </c>
      <c r="B525" s="10"/>
      <c r="C525" s="11">
        <v>5</v>
      </c>
      <c r="D525" s="12"/>
      <c r="E525" s="12"/>
      <c r="F525" s="85">
        <f t="shared" ref="F525:F558" si="885">SUM(B525:E525)</f>
        <v>5</v>
      </c>
      <c r="G525" s="90"/>
      <c r="H525" s="11"/>
      <c r="I525" s="12"/>
      <c r="J525" s="12"/>
      <c r="K525" s="85">
        <f t="shared" ref="K525:K558" si="886">SUM(G525:J525)</f>
        <v>0</v>
      </c>
      <c r="L525" s="90"/>
      <c r="M525" s="11"/>
      <c r="N525" s="12"/>
      <c r="O525" s="12">
        <v>5</v>
      </c>
      <c r="P525" s="85">
        <f t="shared" ref="P525:P558" si="887">SUM(L525:O525)</f>
        <v>5</v>
      </c>
      <c r="Q525" s="90"/>
      <c r="R525" s="11"/>
      <c r="S525" s="12"/>
      <c r="T525" s="12"/>
      <c r="U525" s="85">
        <f t="shared" ref="U525:U558" si="888">SUM(Q525:T525)</f>
        <v>0</v>
      </c>
      <c r="V525" s="90"/>
      <c r="W525" s="11">
        <v>5</v>
      </c>
      <c r="X525" s="12"/>
      <c r="Y525" s="12"/>
      <c r="Z525" s="85">
        <f t="shared" ref="Z525:Z558" si="889">SUM(V525:Y525)</f>
        <v>5</v>
      </c>
      <c r="AA525" s="105">
        <f t="shared" ref="AA525:AA558" si="890">Z525+U525+P525+K525+F525</f>
        <v>15</v>
      </c>
      <c r="AB525" s="114">
        <v>45895</v>
      </c>
      <c r="AC525" s="117" t="s">
        <v>313</v>
      </c>
      <c r="AD525" s="90"/>
      <c r="AE525" s="11"/>
      <c r="AF525" s="12"/>
      <c r="AG525" s="12"/>
      <c r="AH525" s="84">
        <f t="shared" ref="AH525:AH558" si="891">SUM(AD525:AG525)</f>
        <v>0</v>
      </c>
      <c r="AI525" s="90"/>
      <c r="AJ525" s="11"/>
      <c r="AK525" s="12"/>
      <c r="AL525" s="12"/>
      <c r="AM525" s="84">
        <f t="shared" ref="AM525:AM558" si="892">SUM(AI525:AL525)</f>
        <v>0</v>
      </c>
      <c r="AN525" s="90"/>
      <c r="AO525" s="11"/>
      <c r="AP525" s="12"/>
      <c r="AQ525" s="12"/>
      <c r="AR525" s="84">
        <f t="shared" ref="AR525:AR558" si="893">SUM(AN525:AQ525)</f>
        <v>0</v>
      </c>
      <c r="AS525" s="90"/>
      <c r="AT525" s="11"/>
      <c r="AU525" s="12"/>
      <c r="AV525" s="12"/>
      <c r="AW525" s="84">
        <f t="shared" ref="AW525:AW558" si="894">SUM(AS525:AV525)</f>
        <v>0</v>
      </c>
      <c r="AX525" s="90"/>
      <c r="AY525" s="11"/>
      <c r="AZ525" s="12"/>
      <c r="BA525" s="12"/>
      <c r="BB525" s="84">
        <f t="shared" ref="BB525:BB558" si="895">SUM(AX525:BA525)</f>
        <v>0</v>
      </c>
      <c r="BC525" s="105">
        <f t="shared" ref="BC525:BC558" si="896">BB525+AW525+AR525+AM525+AH525</f>
        <v>0</v>
      </c>
    </row>
    <row r="526" spans="1:56" x14ac:dyDescent="0.15">
      <c r="A526" s="9" t="s">
        <v>8</v>
      </c>
      <c r="B526" s="10"/>
      <c r="C526" s="11"/>
      <c r="D526" s="12"/>
      <c r="E526" s="12"/>
      <c r="F526" s="85">
        <f t="shared" si="885"/>
        <v>0</v>
      </c>
      <c r="G526" s="90"/>
      <c r="H526" s="11"/>
      <c r="I526" s="12">
        <v>5</v>
      </c>
      <c r="J526" s="12"/>
      <c r="K526" s="85">
        <f t="shared" si="886"/>
        <v>5</v>
      </c>
      <c r="L526" s="90"/>
      <c r="M526" s="11"/>
      <c r="N526" s="12"/>
      <c r="O526" s="12"/>
      <c r="P526" s="85">
        <f t="shared" si="887"/>
        <v>0</v>
      </c>
      <c r="Q526" s="90">
        <v>5</v>
      </c>
      <c r="R526" s="11">
        <v>5</v>
      </c>
      <c r="S526" s="12"/>
      <c r="T526" s="12"/>
      <c r="U526" s="85">
        <f t="shared" si="888"/>
        <v>10</v>
      </c>
      <c r="V526" s="90">
        <v>5</v>
      </c>
      <c r="W526" s="11">
        <v>10</v>
      </c>
      <c r="X526" s="12"/>
      <c r="Y526" s="12"/>
      <c r="Z526" s="85">
        <f t="shared" si="889"/>
        <v>15</v>
      </c>
      <c r="AA526" s="105">
        <f t="shared" si="890"/>
        <v>30</v>
      </c>
      <c r="AB526" s="114">
        <v>45910</v>
      </c>
      <c r="AC526" s="117" t="s">
        <v>355</v>
      </c>
      <c r="AD526" s="90"/>
      <c r="AE526" s="11"/>
      <c r="AF526" s="12"/>
      <c r="AG526" s="12"/>
      <c r="AH526" s="84">
        <f t="shared" si="891"/>
        <v>0</v>
      </c>
      <c r="AI526" s="90"/>
      <c r="AJ526" s="11"/>
      <c r="AK526" s="12"/>
      <c r="AL526" s="12"/>
      <c r="AM526" s="84">
        <f t="shared" si="892"/>
        <v>0</v>
      </c>
      <c r="AN526" s="90"/>
      <c r="AO526" s="11"/>
      <c r="AP526" s="12"/>
      <c r="AQ526" s="12"/>
      <c r="AR526" s="84">
        <f t="shared" si="893"/>
        <v>0</v>
      </c>
      <c r="AS526" s="90"/>
      <c r="AT526" s="11"/>
      <c r="AU526" s="12"/>
      <c r="AV526" s="12"/>
      <c r="AW526" s="84">
        <f t="shared" si="894"/>
        <v>0</v>
      </c>
      <c r="AX526" s="90"/>
      <c r="AY526" s="11"/>
      <c r="AZ526" s="12"/>
      <c r="BA526" s="12"/>
      <c r="BB526" s="84">
        <f t="shared" si="895"/>
        <v>0</v>
      </c>
      <c r="BC526" s="105">
        <f t="shared" si="896"/>
        <v>0</v>
      </c>
    </row>
    <row r="527" spans="1:56" x14ac:dyDescent="0.15">
      <c r="A527" s="9" t="s">
        <v>530</v>
      </c>
      <c r="B527" s="15"/>
      <c r="C527" s="16"/>
      <c r="D527" s="17"/>
      <c r="E527" s="17"/>
      <c r="F527" s="85">
        <f t="shared" si="885"/>
        <v>0</v>
      </c>
      <c r="G527" s="91"/>
      <c r="H527" s="16"/>
      <c r="I527" s="17"/>
      <c r="J527" s="17"/>
      <c r="K527" s="85">
        <f t="shared" si="886"/>
        <v>0</v>
      </c>
      <c r="L527" s="91"/>
      <c r="M527" s="16">
        <v>1</v>
      </c>
      <c r="N527" s="17"/>
      <c r="O527" s="17"/>
      <c r="P527" s="85">
        <f t="shared" si="887"/>
        <v>1</v>
      </c>
      <c r="Q527" s="91"/>
      <c r="R527" s="16"/>
      <c r="S527" s="17"/>
      <c r="T527" s="17"/>
      <c r="U527" s="85">
        <f t="shared" si="888"/>
        <v>0</v>
      </c>
      <c r="V527" s="91"/>
      <c r="W527" s="16"/>
      <c r="X527" s="17"/>
      <c r="Y527" s="17"/>
      <c r="Z527" s="85">
        <f t="shared" si="889"/>
        <v>0</v>
      </c>
      <c r="AA527" s="105">
        <f t="shared" si="890"/>
        <v>1</v>
      </c>
      <c r="AB527" s="114">
        <v>45918</v>
      </c>
      <c r="AC527" s="117" t="s">
        <v>354</v>
      </c>
      <c r="AD527" s="90"/>
      <c r="AE527" s="11"/>
      <c r="AF527" s="12"/>
      <c r="AG527" s="12"/>
      <c r="AH527" s="84">
        <f t="shared" si="891"/>
        <v>0</v>
      </c>
      <c r="AI527" s="90"/>
      <c r="AJ527" s="11"/>
      <c r="AK527" s="12"/>
      <c r="AL527" s="12"/>
      <c r="AM527" s="84">
        <f t="shared" si="892"/>
        <v>0</v>
      </c>
      <c r="AN527" s="90"/>
      <c r="AO527" s="11"/>
      <c r="AP527" s="12"/>
      <c r="AQ527" s="12"/>
      <c r="AR527" s="84">
        <f t="shared" si="893"/>
        <v>0</v>
      </c>
      <c r="AS527" s="90"/>
      <c r="AT527" s="11"/>
      <c r="AU527" s="12"/>
      <c r="AV527" s="12"/>
      <c r="AW527" s="84">
        <f t="shared" si="894"/>
        <v>0</v>
      </c>
      <c r="AX527" s="90"/>
      <c r="AY527" s="11"/>
      <c r="AZ527" s="12"/>
      <c r="BA527" s="12"/>
      <c r="BB527" s="84">
        <f t="shared" si="895"/>
        <v>0</v>
      </c>
      <c r="BC527" s="105">
        <f t="shared" si="896"/>
        <v>0</v>
      </c>
    </row>
    <row r="528" spans="1:56" x14ac:dyDescent="0.15">
      <c r="A528" s="9" t="s">
        <v>171</v>
      </c>
      <c r="B528" s="15"/>
      <c r="C528" s="16"/>
      <c r="D528" s="17">
        <v>1</v>
      </c>
      <c r="E528" s="17"/>
      <c r="F528" s="85">
        <f t="shared" si="885"/>
        <v>1</v>
      </c>
      <c r="G528" s="91"/>
      <c r="H528" s="16"/>
      <c r="I528" s="17">
        <v>1</v>
      </c>
      <c r="J528" s="17"/>
      <c r="K528" s="85">
        <f t="shared" si="886"/>
        <v>1</v>
      </c>
      <c r="L528" s="91"/>
      <c r="M528" s="16"/>
      <c r="N528" s="17"/>
      <c r="O528" s="17"/>
      <c r="P528" s="85">
        <f t="shared" si="887"/>
        <v>0</v>
      </c>
      <c r="Q528" s="91"/>
      <c r="R528" s="16"/>
      <c r="S528" s="17"/>
      <c r="T528" s="17"/>
      <c r="U528" s="85">
        <f t="shared" si="888"/>
        <v>0</v>
      </c>
      <c r="V528" s="91"/>
      <c r="W528" s="16"/>
      <c r="X528" s="17">
        <v>1</v>
      </c>
      <c r="Y528" s="17"/>
      <c r="Z528" s="85">
        <f t="shared" si="889"/>
        <v>1</v>
      </c>
      <c r="AA528" s="105">
        <f t="shared" si="890"/>
        <v>3</v>
      </c>
      <c r="AB528" s="114">
        <v>45918</v>
      </c>
      <c r="AC528" s="117" t="s">
        <v>10</v>
      </c>
      <c r="AD528" s="90"/>
      <c r="AE528" s="11"/>
      <c r="AF528" s="12"/>
      <c r="AG528" s="12"/>
      <c r="AH528" s="84">
        <f t="shared" si="891"/>
        <v>0</v>
      </c>
      <c r="AI528" s="90"/>
      <c r="AJ528" s="11"/>
      <c r="AK528" s="12"/>
      <c r="AL528" s="12"/>
      <c r="AM528" s="84">
        <f t="shared" si="892"/>
        <v>0</v>
      </c>
      <c r="AN528" s="90"/>
      <c r="AO528" s="11"/>
      <c r="AP528" s="12"/>
      <c r="AQ528" s="12"/>
      <c r="AR528" s="84">
        <f t="shared" si="893"/>
        <v>0</v>
      </c>
      <c r="AS528" s="90"/>
      <c r="AT528" s="11"/>
      <c r="AU528" s="12"/>
      <c r="AV528" s="12"/>
      <c r="AW528" s="84">
        <f t="shared" si="894"/>
        <v>0</v>
      </c>
      <c r="AX528" s="90"/>
      <c r="AY528" s="11"/>
      <c r="AZ528" s="12"/>
      <c r="BA528" s="12"/>
      <c r="BB528" s="84">
        <f t="shared" si="895"/>
        <v>0</v>
      </c>
      <c r="BC528" s="105">
        <f t="shared" si="896"/>
        <v>0</v>
      </c>
    </row>
    <row r="529" spans="1:56" ht="14.25" thickBot="1" x14ac:dyDescent="0.2">
      <c r="A529" s="9" t="s">
        <v>11</v>
      </c>
      <c r="B529" s="15"/>
      <c r="C529" s="16"/>
      <c r="D529" s="17"/>
      <c r="E529" s="17"/>
      <c r="F529" s="92">
        <f t="shared" si="885"/>
        <v>0</v>
      </c>
      <c r="G529" s="91"/>
      <c r="H529" s="16"/>
      <c r="I529" s="17"/>
      <c r="J529" s="17"/>
      <c r="K529" s="92">
        <f t="shared" si="886"/>
        <v>0</v>
      </c>
      <c r="L529" s="91"/>
      <c r="M529" s="16">
        <v>1</v>
      </c>
      <c r="N529" s="17"/>
      <c r="O529" s="17"/>
      <c r="P529" s="92">
        <f t="shared" si="887"/>
        <v>1</v>
      </c>
      <c r="Q529" s="91"/>
      <c r="R529" s="16">
        <v>1</v>
      </c>
      <c r="S529" s="17"/>
      <c r="T529" s="17"/>
      <c r="U529" s="92">
        <f t="shared" si="888"/>
        <v>1</v>
      </c>
      <c r="V529" s="91"/>
      <c r="W529" s="16">
        <v>1</v>
      </c>
      <c r="X529" s="17"/>
      <c r="Y529" s="17"/>
      <c r="Z529" s="92">
        <f t="shared" si="889"/>
        <v>1</v>
      </c>
      <c r="AA529" s="110">
        <f t="shared" si="890"/>
        <v>3</v>
      </c>
      <c r="AC529" s="132" t="s">
        <v>11</v>
      </c>
      <c r="AD529" s="91"/>
      <c r="AE529" s="16"/>
      <c r="AF529" s="17"/>
      <c r="AG529" s="17"/>
      <c r="AH529" s="92">
        <f t="shared" si="891"/>
        <v>0</v>
      </c>
      <c r="AI529" s="91"/>
      <c r="AJ529" s="16"/>
      <c r="AK529" s="17"/>
      <c r="AL529" s="17"/>
      <c r="AM529" s="92">
        <f t="shared" si="892"/>
        <v>0</v>
      </c>
      <c r="AN529" s="91"/>
      <c r="AO529" s="16"/>
      <c r="AP529" s="17"/>
      <c r="AQ529" s="17"/>
      <c r="AR529" s="92">
        <f t="shared" si="893"/>
        <v>0</v>
      </c>
      <c r="AS529" s="91"/>
      <c r="AT529" s="16"/>
      <c r="AU529" s="17"/>
      <c r="AV529" s="17"/>
      <c r="AW529" s="92">
        <f t="shared" si="894"/>
        <v>0</v>
      </c>
      <c r="AX529" s="91"/>
      <c r="AY529" s="16"/>
      <c r="AZ529" s="17"/>
      <c r="BA529" s="17"/>
      <c r="BB529" s="92">
        <f t="shared" si="895"/>
        <v>0</v>
      </c>
      <c r="BC529" s="110">
        <f t="shared" si="896"/>
        <v>0</v>
      </c>
    </row>
    <row r="530" spans="1:56" ht="14.25" thickBot="1" x14ac:dyDescent="0.2">
      <c r="A530" s="21" t="s">
        <v>16</v>
      </c>
      <c r="B530" s="7">
        <f>SUM(B524:B529)</f>
        <v>8</v>
      </c>
      <c r="C530" s="8">
        <f t="shared" ref="C530:E530" si="897">SUM(C524:C529)</f>
        <v>12</v>
      </c>
      <c r="D530" s="22">
        <f t="shared" si="897"/>
        <v>7</v>
      </c>
      <c r="E530" s="22">
        <f t="shared" si="897"/>
        <v>5</v>
      </c>
      <c r="F530" s="87">
        <f t="shared" si="885"/>
        <v>32</v>
      </c>
      <c r="G530" s="7">
        <f>SUM(G524:G529)</f>
        <v>8</v>
      </c>
      <c r="H530" s="8">
        <f t="shared" ref="H530:J530" si="898">SUM(H524:H529)</f>
        <v>10</v>
      </c>
      <c r="I530" s="22">
        <f t="shared" si="898"/>
        <v>13</v>
      </c>
      <c r="J530" s="22">
        <f t="shared" si="898"/>
        <v>8</v>
      </c>
      <c r="K530" s="87">
        <f t="shared" si="886"/>
        <v>39</v>
      </c>
      <c r="L530" s="7">
        <f>SUM(L524:L529)</f>
        <v>6</v>
      </c>
      <c r="M530" s="8">
        <f t="shared" ref="M530:O530" si="899">SUM(M524:M529)</f>
        <v>10</v>
      </c>
      <c r="N530" s="22">
        <f t="shared" si="899"/>
        <v>12</v>
      </c>
      <c r="O530" s="22">
        <f t="shared" si="899"/>
        <v>9</v>
      </c>
      <c r="P530" s="87">
        <f t="shared" si="887"/>
        <v>37</v>
      </c>
      <c r="Q530" s="7">
        <f>SUM(Q524:Q529)</f>
        <v>10</v>
      </c>
      <c r="R530" s="8">
        <f t="shared" ref="R530:T530" si="900">SUM(R524:R529)</f>
        <v>16</v>
      </c>
      <c r="S530" s="22">
        <f t="shared" si="900"/>
        <v>9</v>
      </c>
      <c r="T530" s="22">
        <f t="shared" si="900"/>
        <v>6</v>
      </c>
      <c r="U530" s="87">
        <f t="shared" si="888"/>
        <v>41</v>
      </c>
      <c r="V530" s="7">
        <f>SUM(V524:V529)</f>
        <v>12</v>
      </c>
      <c r="W530" s="8">
        <f t="shared" ref="W530:Y530" si="901">SUM(W524:W529)</f>
        <v>22</v>
      </c>
      <c r="X530" s="22">
        <f t="shared" si="901"/>
        <v>12</v>
      </c>
      <c r="Y530" s="22">
        <f t="shared" si="901"/>
        <v>7</v>
      </c>
      <c r="Z530" s="87">
        <f t="shared" si="889"/>
        <v>53</v>
      </c>
      <c r="AA530" s="107">
        <f t="shared" si="890"/>
        <v>202</v>
      </c>
      <c r="AC530" s="21" t="s">
        <v>16</v>
      </c>
      <c r="AD530" s="7">
        <f>SUM(AD524:AD529)</f>
        <v>1438</v>
      </c>
      <c r="AE530" s="8">
        <f t="shared" ref="AE530:AG530" si="902">SUM(AE524:AE529)</f>
        <v>1421</v>
      </c>
      <c r="AF530" s="22">
        <f t="shared" si="902"/>
        <v>586</v>
      </c>
      <c r="AG530" s="22">
        <f t="shared" si="902"/>
        <v>416</v>
      </c>
      <c r="AH530" s="87">
        <f t="shared" si="891"/>
        <v>3861</v>
      </c>
      <c r="AI530" s="7">
        <f>SUM(AI524:AI529)</f>
        <v>1401</v>
      </c>
      <c r="AJ530" s="8">
        <f t="shared" ref="AJ530:AL530" si="903">SUM(AJ524:AJ529)</f>
        <v>1335</v>
      </c>
      <c r="AK530" s="22">
        <f t="shared" si="903"/>
        <v>618</v>
      </c>
      <c r="AL530" s="22">
        <f t="shared" si="903"/>
        <v>428</v>
      </c>
      <c r="AM530" s="87">
        <f t="shared" si="892"/>
        <v>3782</v>
      </c>
      <c r="AN530" s="7">
        <f>SUM(AN524:AN529)</f>
        <v>404</v>
      </c>
      <c r="AO530" s="8">
        <f t="shared" ref="AO530:AQ530" si="904">SUM(AO524:AO529)</f>
        <v>358</v>
      </c>
      <c r="AP530" s="22">
        <f t="shared" si="904"/>
        <v>262</v>
      </c>
      <c r="AQ530" s="22">
        <f t="shared" si="904"/>
        <v>396</v>
      </c>
      <c r="AR530" s="87">
        <f t="shared" si="893"/>
        <v>1420</v>
      </c>
      <c r="AS530" s="7">
        <f>SUM(AS524:AS529)</f>
        <v>1374</v>
      </c>
      <c r="AT530" s="8">
        <f t="shared" ref="AT530:AV530" si="905">SUM(AT524:AT529)</f>
        <v>1270</v>
      </c>
      <c r="AU530" s="22">
        <f t="shared" si="905"/>
        <v>627</v>
      </c>
      <c r="AV530" s="22">
        <f t="shared" si="905"/>
        <v>548</v>
      </c>
      <c r="AW530" s="87">
        <f t="shared" si="894"/>
        <v>3819</v>
      </c>
      <c r="AX530" s="7">
        <f>SUM(AX524:AX529)</f>
        <v>524</v>
      </c>
      <c r="AY530" s="8">
        <f t="shared" ref="AY530:BA530" si="906">SUM(AY524:AY529)</f>
        <v>595</v>
      </c>
      <c r="AZ530" s="22">
        <f t="shared" si="906"/>
        <v>419</v>
      </c>
      <c r="BA530" s="22">
        <f t="shared" si="906"/>
        <v>159</v>
      </c>
      <c r="BB530" s="87">
        <f t="shared" si="895"/>
        <v>1697</v>
      </c>
      <c r="BC530" s="107">
        <f t="shared" si="896"/>
        <v>14579</v>
      </c>
    </row>
    <row r="531" spans="1:56" x14ac:dyDescent="0.15">
      <c r="A531" s="23" t="s">
        <v>517</v>
      </c>
      <c r="B531" s="15"/>
      <c r="C531" s="16">
        <v>7</v>
      </c>
      <c r="D531" s="17"/>
      <c r="E531" s="17"/>
      <c r="F531" s="85">
        <f t="shared" si="885"/>
        <v>7</v>
      </c>
      <c r="G531" s="15"/>
      <c r="H531" s="16">
        <v>1</v>
      </c>
      <c r="I531" s="17"/>
      <c r="J531" s="17">
        <v>1</v>
      </c>
      <c r="K531" s="85">
        <f t="shared" si="886"/>
        <v>2</v>
      </c>
      <c r="L531" s="15"/>
      <c r="M531" s="16"/>
      <c r="N531" s="17"/>
      <c r="O531" s="17">
        <v>3</v>
      </c>
      <c r="P531" s="85">
        <f t="shared" si="887"/>
        <v>3</v>
      </c>
      <c r="Q531" s="15"/>
      <c r="R531" s="16">
        <v>4</v>
      </c>
      <c r="S531" s="17"/>
      <c r="T531" s="17"/>
      <c r="U531" s="85">
        <f t="shared" si="888"/>
        <v>4</v>
      </c>
      <c r="V531" s="15"/>
      <c r="W531" s="16">
        <v>6</v>
      </c>
      <c r="X531" s="17"/>
      <c r="Y531" s="17">
        <v>3</v>
      </c>
      <c r="Z531" s="85">
        <f t="shared" si="889"/>
        <v>9</v>
      </c>
      <c r="AA531" s="105">
        <f t="shared" si="890"/>
        <v>25</v>
      </c>
      <c r="AB531" s="114">
        <v>45898</v>
      </c>
      <c r="AC531" s="23" t="s">
        <v>510</v>
      </c>
      <c r="AD531" s="15">
        <v>7</v>
      </c>
      <c r="AE531" s="16">
        <v>7</v>
      </c>
      <c r="AF531" s="17">
        <v>7</v>
      </c>
      <c r="AG531" s="17">
        <v>7</v>
      </c>
      <c r="AH531" s="85">
        <f t="shared" si="891"/>
        <v>28</v>
      </c>
      <c r="AI531" s="15">
        <v>7</v>
      </c>
      <c r="AJ531" s="16">
        <v>7</v>
      </c>
      <c r="AK531" s="17">
        <v>7</v>
      </c>
      <c r="AL531" s="17">
        <v>7</v>
      </c>
      <c r="AM531" s="85">
        <f t="shared" si="892"/>
        <v>28</v>
      </c>
      <c r="AN531" s="15"/>
      <c r="AO531" s="16"/>
      <c r="AP531" s="17"/>
      <c r="AQ531" s="17"/>
      <c r="AR531" s="85">
        <f t="shared" si="893"/>
        <v>0</v>
      </c>
      <c r="AS531" s="15"/>
      <c r="AT531" s="16"/>
      <c r="AU531" s="17"/>
      <c r="AV531" s="17"/>
      <c r="AW531" s="85">
        <f t="shared" si="894"/>
        <v>0</v>
      </c>
      <c r="AX531" s="15">
        <v>7</v>
      </c>
      <c r="AY531" s="16">
        <v>7</v>
      </c>
      <c r="AZ531" s="17">
        <v>7</v>
      </c>
      <c r="BA531" s="17">
        <v>7</v>
      </c>
      <c r="BB531" s="85">
        <f t="shared" si="895"/>
        <v>28</v>
      </c>
      <c r="BC531" s="105">
        <f t="shared" si="896"/>
        <v>84</v>
      </c>
      <c r="BD531" s="114">
        <v>45890</v>
      </c>
    </row>
    <row r="532" spans="1:56" x14ac:dyDescent="0.15">
      <c r="A532" s="23" t="s">
        <v>43</v>
      </c>
      <c r="B532" s="15"/>
      <c r="C532" s="16"/>
      <c r="D532" s="17"/>
      <c r="E532" s="17"/>
      <c r="F532" s="85">
        <f t="shared" si="885"/>
        <v>0</v>
      </c>
      <c r="G532" s="15">
        <v>1</v>
      </c>
      <c r="H532" s="16"/>
      <c r="I532" s="17"/>
      <c r="J532" s="17"/>
      <c r="K532" s="85">
        <f t="shared" si="886"/>
        <v>1</v>
      </c>
      <c r="L532" s="15"/>
      <c r="M532" s="16"/>
      <c r="N532" s="17"/>
      <c r="O532" s="17"/>
      <c r="P532" s="85">
        <f t="shared" si="887"/>
        <v>0</v>
      </c>
      <c r="Q532" s="15"/>
      <c r="R532" s="16"/>
      <c r="S532" s="17"/>
      <c r="T532" s="17"/>
      <c r="U532" s="85">
        <f t="shared" si="888"/>
        <v>0</v>
      </c>
      <c r="V532" s="15"/>
      <c r="W532" s="16"/>
      <c r="X532" s="17"/>
      <c r="Y532" s="17"/>
      <c r="Z532" s="85">
        <f t="shared" si="889"/>
        <v>0</v>
      </c>
      <c r="AA532" s="105">
        <f t="shared" si="890"/>
        <v>1</v>
      </c>
      <c r="AB532" s="114">
        <v>45906</v>
      </c>
      <c r="AC532" s="23" t="s">
        <v>511</v>
      </c>
      <c r="AD532" s="15"/>
      <c r="AE532" s="16"/>
      <c r="AF532" s="17"/>
      <c r="AG532" s="17"/>
      <c r="AH532" s="85">
        <f t="shared" si="891"/>
        <v>0</v>
      </c>
      <c r="AI532" s="15"/>
      <c r="AJ532" s="16"/>
      <c r="AK532" s="17"/>
      <c r="AL532" s="17"/>
      <c r="AM532" s="85">
        <f t="shared" si="892"/>
        <v>0</v>
      </c>
      <c r="AN532" s="15">
        <v>7</v>
      </c>
      <c r="AO532" s="16">
        <v>7</v>
      </c>
      <c r="AP532" s="17">
        <v>7</v>
      </c>
      <c r="AQ532" s="17">
        <v>7</v>
      </c>
      <c r="AR532" s="85">
        <f t="shared" si="893"/>
        <v>28</v>
      </c>
      <c r="AS532" s="15">
        <v>7</v>
      </c>
      <c r="AT532" s="16">
        <v>7</v>
      </c>
      <c r="AU532" s="17">
        <v>7</v>
      </c>
      <c r="AV532" s="17">
        <v>7</v>
      </c>
      <c r="AW532" s="85">
        <f t="shared" si="894"/>
        <v>28</v>
      </c>
      <c r="AX532" s="15">
        <v>7</v>
      </c>
      <c r="AY532" s="16">
        <v>7</v>
      </c>
      <c r="AZ532" s="17">
        <v>7</v>
      </c>
      <c r="BA532" s="17">
        <v>7</v>
      </c>
      <c r="BB532" s="85">
        <f t="shared" si="895"/>
        <v>28</v>
      </c>
      <c r="BC532" s="105">
        <f t="shared" si="896"/>
        <v>84</v>
      </c>
      <c r="BD532" s="114">
        <v>45890</v>
      </c>
    </row>
    <row r="533" spans="1:56" x14ac:dyDescent="0.15">
      <c r="A533" s="23" t="s">
        <v>522</v>
      </c>
      <c r="B533" s="15"/>
      <c r="C533" s="16"/>
      <c r="D533" s="17">
        <v>1</v>
      </c>
      <c r="E533" s="17"/>
      <c r="F533" s="85">
        <f t="shared" si="885"/>
        <v>1</v>
      </c>
      <c r="G533" s="15"/>
      <c r="H533" s="16">
        <v>3</v>
      </c>
      <c r="I533" s="17">
        <v>5</v>
      </c>
      <c r="J533" s="17"/>
      <c r="K533" s="85">
        <f t="shared" si="886"/>
        <v>8</v>
      </c>
      <c r="L533" s="15">
        <v>2</v>
      </c>
      <c r="M533" s="16">
        <v>2</v>
      </c>
      <c r="N533" s="17">
        <v>3</v>
      </c>
      <c r="O533" s="17"/>
      <c r="P533" s="85">
        <f t="shared" si="887"/>
        <v>7</v>
      </c>
      <c r="Q533" s="15">
        <v>2</v>
      </c>
      <c r="R533" s="16">
        <v>4</v>
      </c>
      <c r="S533" s="17">
        <v>2</v>
      </c>
      <c r="T533" s="17">
        <v>1</v>
      </c>
      <c r="U533" s="85">
        <f t="shared" si="888"/>
        <v>9</v>
      </c>
      <c r="V533" s="15">
        <v>4</v>
      </c>
      <c r="W533" s="16">
        <v>9</v>
      </c>
      <c r="X533" s="17">
        <v>3</v>
      </c>
      <c r="Y533" s="17"/>
      <c r="Z533" s="85">
        <f t="shared" si="889"/>
        <v>16</v>
      </c>
      <c r="AA533" s="105">
        <f t="shared" si="890"/>
        <v>41</v>
      </c>
      <c r="AB533" s="114">
        <v>45912</v>
      </c>
      <c r="AC533" s="23" t="s">
        <v>35</v>
      </c>
      <c r="AD533" s="15"/>
      <c r="AE533" s="16"/>
      <c r="AF533" s="17"/>
      <c r="AG533" s="17"/>
      <c r="AH533" s="85">
        <f t="shared" si="891"/>
        <v>0</v>
      </c>
      <c r="AI533" s="15">
        <v>3</v>
      </c>
      <c r="AJ533" s="16"/>
      <c r="AK533" s="17"/>
      <c r="AL533" s="17"/>
      <c r="AM533" s="85">
        <f t="shared" si="892"/>
        <v>3</v>
      </c>
      <c r="AN533" s="15">
        <v>3</v>
      </c>
      <c r="AO533" s="16"/>
      <c r="AP533" s="17"/>
      <c r="AQ533" s="17"/>
      <c r="AR533" s="85">
        <f t="shared" si="893"/>
        <v>3</v>
      </c>
      <c r="AS533" s="15">
        <v>5</v>
      </c>
      <c r="AT533" s="16"/>
      <c r="AU533" s="17"/>
      <c r="AV533" s="17">
        <v>3</v>
      </c>
      <c r="AW533" s="85">
        <f t="shared" si="894"/>
        <v>8</v>
      </c>
      <c r="AX533" s="15">
        <v>5</v>
      </c>
      <c r="AY533" s="16"/>
      <c r="AZ533" s="17"/>
      <c r="BA533" s="17"/>
      <c r="BB533" s="85">
        <f t="shared" si="895"/>
        <v>5</v>
      </c>
      <c r="BC533" s="105">
        <f t="shared" si="896"/>
        <v>19</v>
      </c>
      <c r="BD533" s="114">
        <v>45888</v>
      </c>
    </row>
    <row r="534" spans="1:56" x14ac:dyDescent="0.15">
      <c r="A534" s="23" t="s">
        <v>43</v>
      </c>
      <c r="B534" s="15"/>
      <c r="C534" s="16"/>
      <c r="D534" s="17">
        <v>1</v>
      </c>
      <c r="E534" s="17"/>
      <c r="F534" s="85">
        <f t="shared" si="885"/>
        <v>1</v>
      </c>
      <c r="G534" s="15"/>
      <c r="H534" s="16"/>
      <c r="I534" s="17">
        <v>1</v>
      </c>
      <c r="J534" s="17"/>
      <c r="K534" s="85">
        <f t="shared" si="886"/>
        <v>1</v>
      </c>
      <c r="L534" s="15"/>
      <c r="M534" s="16"/>
      <c r="N534" s="17">
        <v>1</v>
      </c>
      <c r="O534" s="17"/>
      <c r="P534" s="85">
        <f t="shared" si="887"/>
        <v>1</v>
      </c>
      <c r="Q534" s="15"/>
      <c r="R534" s="16"/>
      <c r="S534" s="17">
        <v>1</v>
      </c>
      <c r="T534" s="17"/>
      <c r="U534" s="85">
        <f t="shared" si="888"/>
        <v>1</v>
      </c>
      <c r="V534" s="15"/>
      <c r="W534" s="16"/>
      <c r="X534" s="17">
        <v>1</v>
      </c>
      <c r="Y534" s="17"/>
      <c r="Z534" s="85">
        <f t="shared" si="889"/>
        <v>1</v>
      </c>
      <c r="AA534" s="105">
        <f t="shared" si="890"/>
        <v>5</v>
      </c>
      <c r="AB534" s="114">
        <v>45911</v>
      </c>
      <c r="AC534" s="23" t="s">
        <v>513</v>
      </c>
      <c r="AD534" s="15"/>
      <c r="AE534" s="16"/>
      <c r="AF534" s="17"/>
      <c r="AG534" s="17"/>
      <c r="AH534" s="85">
        <f t="shared" si="891"/>
        <v>0</v>
      </c>
      <c r="AI534" s="15">
        <v>2</v>
      </c>
      <c r="AJ534" s="16"/>
      <c r="AK534" s="17"/>
      <c r="AL534" s="17"/>
      <c r="AM534" s="85">
        <f t="shared" si="892"/>
        <v>2</v>
      </c>
      <c r="AN534" s="15"/>
      <c r="AO534" s="16"/>
      <c r="AP534" s="17"/>
      <c r="AQ534" s="17">
        <v>1</v>
      </c>
      <c r="AR534" s="85">
        <f t="shared" si="893"/>
        <v>1</v>
      </c>
      <c r="AS534" s="15"/>
      <c r="AT534" s="16">
        <v>2</v>
      </c>
      <c r="AU534" s="17">
        <v>2</v>
      </c>
      <c r="AV534" s="17">
        <v>1</v>
      </c>
      <c r="AW534" s="85">
        <f t="shared" si="894"/>
        <v>5</v>
      </c>
      <c r="AX534" s="15"/>
      <c r="AY534" s="16">
        <v>1</v>
      </c>
      <c r="AZ534" s="17">
        <v>2</v>
      </c>
      <c r="BA534" s="17"/>
      <c r="BB534" s="85">
        <f t="shared" si="895"/>
        <v>3</v>
      </c>
      <c r="BC534" s="105">
        <f t="shared" si="896"/>
        <v>11</v>
      </c>
      <c r="BD534" s="114">
        <v>45891</v>
      </c>
    </row>
    <row r="535" spans="1:56" x14ac:dyDescent="0.15">
      <c r="A535" s="23" t="s">
        <v>526</v>
      </c>
      <c r="B535" s="15"/>
      <c r="C535" s="16">
        <v>1</v>
      </c>
      <c r="D535" s="17"/>
      <c r="E535" s="17"/>
      <c r="F535" s="85">
        <f t="shared" si="885"/>
        <v>1</v>
      </c>
      <c r="G535" s="15">
        <v>1</v>
      </c>
      <c r="H535" s="16">
        <v>1</v>
      </c>
      <c r="I535" s="17"/>
      <c r="J535" s="17"/>
      <c r="K535" s="85">
        <f t="shared" si="886"/>
        <v>2</v>
      </c>
      <c r="L535" s="15">
        <v>1</v>
      </c>
      <c r="M535" s="16">
        <v>1</v>
      </c>
      <c r="N535" s="17"/>
      <c r="O535" s="17"/>
      <c r="P535" s="85">
        <f t="shared" si="887"/>
        <v>2</v>
      </c>
      <c r="Q535" s="15"/>
      <c r="R535" s="16">
        <v>1</v>
      </c>
      <c r="S535" s="17"/>
      <c r="T535" s="17"/>
      <c r="U535" s="85">
        <f t="shared" si="888"/>
        <v>1</v>
      </c>
      <c r="V535" s="15"/>
      <c r="W535" s="16"/>
      <c r="X535" s="17"/>
      <c r="Y535" s="17"/>
      <c r="Z535" s="85">
        <f t="shared" si="889"/>
        <v>0</v>
      </c>
      <c r="AA535" s="105">
        <f t="shared" si="890"/>
        <v>6</v>
      </c>
      <c r="AB535" s="114">
        <v>45917</v>
      </c>
      <c r="AC535" s="53" t="s">
        <v>514</v>
      </c>
      <c r="AD535" s="15"/>
      <c r="AE535" s="16"/>
      <c r="AF535" s="17">
        <v>2</v>
      </c>
      <c r="AG535" s="17"/>
      <c r="AH535" s="85">
        <f t="shared" si="891"/>
        <v>2</v>
      </c>
      <c r="AI535" s="15"/>
      <c r="AJ535" s="16"/>
      <c r="AK535" s="17">
        <v>2</v>
      </c>
      <c r="AL535" s="17"/>
      <c r="AM535" s="85">
        <f t="shared" si="892"/>
        <v>2</v>
      </c>
      <c r="AN535" s="15"/>
      <c r="AO535" s="16"/>
      <c r="AP535" s="17"/>
      <c r="AQ535" s="17"/>
      <c r="AR535" s="85">
        <f t="shared" si="893"/>
        <v>0</v>
      </c>
      <c r="AS535" s="15"/>
      <c r="AT535" s="16"/>
      <c r="AU535" s="17"/>
      <c r="AV535" s="17"/>
      <c r="AW535" s="85">
        <f t="shared" si="894"/>
        <v>0</v>
      </c>
      <c r="AX535" s="15"/>
      <c r="AY535" s="16"/>
      <c r="AZ535" s="17">
        <v>2</v>
      </c>
      <c r="BA535" s="17"/>
      <c r="BB535" s="85">
        <f t="shared" si="895"/>
        <v>2</v>
      </c>
      <c r="BC535" s="105">
        <f t="shared" si="896"/>
        <v>6</v>
      </c>
      <c r="BD535" s="114">
        <v>45895</v>
      </c>
    </row>
    <row r="536" spans="1:56" x14ac:dyDescent="0.15">
      <c r="A536" s="23" t="s">
        <v>527</v>
      </c>
      <c r="B536" s="15">
        <v>2</v>
      </c>
      <c r="C536" s="16"/>
      <c r="D536" s="17"/>
      <c r="E536" s="17"/>
      <c r="F536" s="85">
        <f t="shared" si="885"/>
        <v>2</v>
      </c>
      <c r="G536" s="15">
        <v>2</v>
      </c>
      <c r="H536" s="16"/>
      <c r="I536" s="17"/>
      <c r="J536" s="17"/>
      <c r="K536" s="85">
        <f t="shared" si="886"/>
        <v>2</v>
      </c>
      <c r="L536" s="15">
        <v>1</v>
      </c>
      <c r="M536" s="16">
        <v>2</v>
      </c>
      <c r="N536" s="17"/>
      <c r="O536" s="17"/>
      <c r="P536" s="85">
        <f t="shared" si="887"/>
        <v>3</v>
      </c>
      <c r="Q536" s="15">
        <v>2</v>
      </c>
      <c r="R536" s="16"/>
      <c r="S536" s="17">
        <v>1</v>
      </c>
      <c r="T536" s="17"/>
      <c r="U536" s="85">
        <f t="shared" si="888"/>
        <v>3</v>
      </c>
      <c r="V536" s="15">
        <v>3</v>
      </c>
      <c r="W536" s="16"/>
      <c r="X536" s="17"/>
      <c r="Y536" s="17">
        <v>2</v>
      </c>
      <c r="Z536" s="85">
        <f t="shared" si="889"/>
        <v>5</v>
      </c>
      <c r="AA536" s="105">
        <f t="shared" si="890"/>
        <v>15</v>
      </c>
      <c r="AB536" s="114">
        <v>45922</v>
      </c>
      <c r="AC536" s="231" t="s">
        <v>515</v>
      </c>
      <c r="AD536" s="15"/>
      <c r="AE536" s="16"/>
      <c r="AF536" s="17"/>
      <c r="AG536" s="17"/>
      <c r="AH536" s="85">
        <f t="shared" si="891"/>
        <v>0</v>
      </c>
      <c r="AI536" s="15"/>
      <c r="AJ536" s="16"/>
      <c r="AK536" s="17"/>
      <c r="AL536" s="17"/>
      <c r="AM536" s="85">
        <f t="shared" si="892"/>
        <v>0</v>
      </c>
      <c r="AN536" s="15"/>
      <c r="AO536" s="16"/>
      <c r="AP536" s="17"/>
      <c r="AQ536" s="17">
        <v>2</v>
      </c>
      <c r="AR536" s="85">
        <f t="shared" si="893"/>
        <v>2</v>
      </c>
      <c r="AS536" s="15"/>
      <c r="AT536" s="16"/>
      <c r="AU536" s="17"/>
      <c r="AV536" s="17">
        <v>2</v>
      </c>
      <c r="AW536" s="85">
        <f t="shared" si="894"/>
        <v>2</v>
      </c>
      <c r="AX536" s="15"/>
      <c r="AY536" s="16"/>
      <c r="AZ536" s="17"/>
      <c r="BA536" s="17">
        <v>2</v>
      </c>
      <c r="BB536" s="85">
        <f t="shared" si="895"/>
        <v>2</v>
      </c>
      <c r="BC536" s="105">
        <f t="shared" si="896"/>
        <v>6</v>
      </c>
      <c r="BD536" s="114">
        <v>45897</v>
      </c>
    </row>
    <row r="537" spans="1:56" x14ac:dyDescent="0.15">
      <c r="A537" s="23" t="s">
        <v>43</v>
      </c>
      <c r="B537" s="15"/>
      <c r="C537" s="16">
        <v>1</v>
      </c>
      <c r="D537" s="17"/>
      <c r="E537" s="17"/>
      <c r="F537" s="85">
        <f t="shared" si="885"/>
        <v>1</v>
      </c>
      <c r="G537" s="15"/>
      <c r="H537" s="16">
        <v>1</v>
      </c>
      <c r="I537" s="17"/>
      <c r="J537" s="17"/>
      <c r="K537" s="85">
        <f t="shared" si="886"/>
        <v>1</v>
      </c>
      <c r="L537" s="15"/>
      <c r="M537" s="16"/>
      <c r="N537" s="17"/>
      <c r="O537" s="17"/>
      <c r="P537" s="85">
        <f t="shared" si="887"/>
        <v>0</v>
      </c>
      <c r="Q537" s="15"/>
      <c r="R537" s="16"/>
      <c r="S537" s="17"/>
      <c r="T537" s="17"/>
      <c r="U537" s="85">
        <f t="shared" si="888"/>
        <v>0</v>
      </c>
      <c r="V537" s="15"/>
      <c r="W537" s="16"/>
      <c r="X537" s="17"/>
      <c r="Y537" s="17"/>
      <c r="Z537" s="85">
        <f t="shared" si="889"/>
        <v>0</v>
      </c>
      <c r="AA537" s="105">
        <f t="shared" si="890"/>
        <v>2</v>
      </c>
      <c r="AB537" s="114">
        <v>45922</v>
      </c>
      <c r="AC537" s="231" t="s">
        <v>516</v>
      </c>
      <c r="AD537" s="15"/>
      <c r="AE537" s="16"/>
      <c r="AF537" s="17"/>
      <c r="AG537" s="17"/>
      <c r="AH537" s="85">
        <f t="shared" si="891"/>
        <v>0</v>
      </c>
      <c r="AI537" s="15"/>
      <c r="AJ537" s="16"/>
      <c r="AK537" s="17"/>
      <c r="AL537" s="17"/>
      <c r="AM537" s="85">
        <f t="shared" si="892"/>
        <v>0</v>
      </c>
      <c r="AN537" s="15"/>
      <c r="AO537" s="16"/>
      <c r="AP537" s="17">
        <v>8</v>
      </c>
      <c r="AQ537" s="17"/>
      <c r="AR537" s="85">
        <f t="shared" si="893"/>
        <v>8</v>
      </c>
      <c r="AS537" s="15"/>
      <c r="AT537" s="16"/>
      <c r="AU537" s="17">
        <v>8</v>
      </c>
      <c r="AV537" s="17"/>
      <c r="AW537" s="85">
        <f t="shared" si="894"/>
        <v>8</v>
      </c>
      <c r="AX537" s="15"/>
      <c r="AY537" s="16"/>
      <c r="AZ537" s="17">
        <v>8</v>
      </c>
      <c r="BA537" s="17"/>
      <c r="BB537" s="85">
        <f t="shared" si="895"/>
        <v>8</v>
      </c>
      <c r="BC537" s="105">
        <f t="shared" si="896"/>
        <v>24</v>
      </c>
      <c r="BD537" s="114">
        <v>45897</v>
      </c>
    </row>
    <row r="538" spans="1:56" x14ac:dyDescent="0.15">
      <c r="A538" s="23" t="s">
        <v>43</v>
      </c>
      <c r="B538" s="15">
        <v>1</v>
      </c>
      <c r="C538" s="16"/>
      <c r="D538" s="17"/>
      <c r="E538" s="17"/>
      <c r="F538" s="85">
        <f t="shared" si="885"/>
        <v>1</v>
      </c>
      <c r="G538" s="15">
        <v>1</v>
      </c>
      <c r="H538" s="16"/>
      <c r="I538" s="17"/>
      <c r="J538" s="17"/>
      <c r="K538" s="85">
        <f t="shared" si="886"/>
        <v>1</v>
      </c>
      <c r="L538" s="15">
        <v>1</v>
      </c>
      <c r="M538" s="16"/>
      <c r="N538" s="17"/>
      <c r="O538" s="17"/>
      <c r="P538" s="85">
        <f t="shared" si="887"/>
        <v>1</v>
      </c>
      <c r="Q538" s="15">
        <v>1</v>
      </c>
      <c r="R538" s="16"/>
      <c r="S538" s="17"/>
      <c r="T538" s="17"/>
      <c r="U538" s="85">
        <f t="shared" si="888"/>
        <v>1</v>
      </c>
      <c r="V538" s="15">
        <v>1</v>
      </c>
      <c r="W538" s="16"/>
      <c r="X538" s="17"/>
      <c r="Y538" s="17"/>
      <c r="Z538" s="85">
        <f t="shared" si="889"/>
        <v>1</v>
      </c>
      <c r="AA538" s="105">
        <f t="shared" si="890"/>
        <v>5</v>
      </c>
      <c r="AB538" s="114">
        <v>45924</v>
      </c>
      <c r="AC538" s="23" t="s">
        <v>35</v>
      </c>
      <c r="AD538" s="15"/>
      <c r="AE538" s="16">
        <v>5</v>
      </c>
      <c r="AF538" s="17"/>
      <c r="AG538" s="17"/>
      <c r="AH538" s="85">
        <f t="shared" si="891"/>
        <v>5</v>
      </c>
      <c r="AI538" s="15"/>
      <c r="AJ538" s="16"/>
      <c r="AK538" s="17"/>
      <c r="AL538" s="17"/>
      <c r="AM538" s="85">
        <f t="shared" si="892"/>
        <v>0</v>
      </c>
      <c r="AN538" s="15"/>
      <c r="AO538" s="16"/>
      <c r="AP538" s="17"/>
      <c r="AQ538" s="17">
        <v>5</v>
      </c>
      <c r="AR538" s="85">
        <f t="shared" si="893"/>
        <v>5</v>
      </c>
      <c r="AS538" s="15"/>
      <c r="AT538" s="16"/>
      <c r="AU538" s="17"/>
      <c r="AV538" s="17"/>
      <c r="AW538" s="85">
        <f t="shared" si="894"/>
        <v>0</v>
      </c>
      <c r="AX538" s="15"/>
      <c r="AY538" s="16">
        <v>5</v>
      </c>
      <c r="AZ538" s="17"/>
      <c r="BA538" s="17"/>
      <c r="BB538" s="85">
        <f t="shared" si="895"/>
        <v>5</v>
      </c>
      <c r="BC538" s="105">
        <f t="shared" si="896"/>
        <v>15</v>
      </c>
      <c r="BD538" s="114">
        <v>45895</v>
      </c>
    </row>
    <row r="539" spans="1:56" x14ac:dyDescent="0.15">
      <c r="A539" s="23" t="s">
        <v>43</v>
      </c>
      <c r="B539" s="15"/>
      <c r="C539" s="16">
        <v>1</v>
      </c>
      <c r="D539" s="17"/>
      <c r="E539" s="17"/>
      <c r="F539" s="85">
        <f t="shared" si="885"/>
        <v>1</v>
      </c>
      <c r="G539" s="15"/>
      <c r="H539" s="16">
        <v>1</v>
      </c>
      <c r="I539" s="17"/>
      <c r="J539" s="17"/>
      <c r="K539" s="85">
        <f t="shared" si="886"/>
        <v>1</v>
      </c>
      <c r="L539" s="15"/>
      <c r="M539" s="16">
        <v>1</v>
      </c>
      <c r="N539" s="17"/>
      <c r="O539" s="17"/>
      <c r="P539" s="85">
        <f t="shared" si="887"/>
        <v>1</v>
      </c>
      <c r="Q539" s="15"/>
      <c r="R539" s="16">
        <v>1</v>
      </c>
      <c r="S539" s="17"/>
      <c r="T539" s="17"/>
      <c r="U539" s="85">
        <f t="shared" si="888"/>
        <v>1</v>
      </c>
      <c r="V539" s="15"/>
      <c r="W539" s="16">
        <v>1</v>
      </c>
      <c r="X539" s="17"/>
      <c r="Y539" s="17"/>
      <c r="Z539" s="85">
        <f t="shared" si="889"/>
        <v>1</v>
      </c>
      <c r="AA539" s="105">
        <f t="shared" si="890"/>
        <v>5</v>
      </c>
      <c r="AB539" s="114">
        <v>45932</v>
      </c>
      <c r="AC539" s="53" t="s">
        <v>518</v>
      </c>
      <c r="AD539" s="15"/>
      <c r="AE539" s="16"/>
      <c r="AF539" s="17">
        <v>4</v>
      </c>
      <c r="AG539" s="17"/>
      <c r="AH539" s="85">
        <f t="shared" si="891"/>
        <v>4</v>
      </c>
      <c r="AI539" s="15"/>
      <c r="AJ539" s="16"/>
      <c r="AK539" s="17">
        <v>4</v>
      </c>
      <c r="AL539" s="17"/>
      <c r="AM539" s="85">
        <f t="shared" si="892"/>
        <v>4</v>
      </c>
      <c r="AN539" s="15"/>
      <c r="AO539" s="16"/>
      <c r="AP539" s="17"/>
      <c r="AQ539" s="17"/>
      <c r="AR539" s="85">
        <f t="shared" si="893"/>
        <v>0</v>
      </c>
      <c r="AS539" s="15"/>
      <c r="AT539" s="16"/>
      <c r="AU539" s="17"/>
      <c r="AV539" s="17"/>
      <c r="AW539" s="85">
        <f t="shared" si="894"/>
        <v>0</v>
      </c>
      <c r="AX539" s="15"/>
      <c r="AY539" s="16"/>
      <c r="AZ539" s="17">
        <v>4</v>
      </c>
      <c r="BA539" s="17"/>
      <c r="BB539" s="85">
        <f t="shared" si="895"/>
        <v>4</v>
      </c>
      <c r="BC539" s="105">
        <f t="shared" si="896"/>
        <v>12</v>
      </c>
      <c r="BD539" s="114">
        <v>45901</v>
      </c>
    </row>
    <row r="540" spans="1:56" x14ac:dyDescent="0.15">
      <c r="A540" s="23"/>
      <c r="B540" s="18"/>
      <c r="C540" s="19"/>
      <c r="D540" s="20"/>
      <c r="E540" s="20"/>
      <c r="F540" s="85">
        <f t="shared" si="885"/>
        <v>0</v>
      </c>
      <c r="G540" s="18"/>
      <c r="H540" s="19"/>
      <c r="I540" s="20"/>
      <c r="J540" s="20"/>
      <c r="K540" s="85">
        <f t="shared" si="886"/>
        <v>0</v>
      </c>
      <c r="L540" s="18"/>
      <c r="M540" s="19"/>
      <c r="N540" s="20"/>
      <c r="O540" s="20"/>
      <c r="P540" s="85">
        <f t="shared" si="887"/>
        <v>0</v>
      </c>
      <c r="Q540" s="18"/>
      <c r="R540" s="19"/>
      <c r="S540" s="20"/>
      <c r="T540" s="20"/>
      <c r="U540" s="85">
        <f t="shared" si="888"/>
        <v>0</v>
      </c>
      <c r="V540" s="18"/>
      <c r="W540" s="19"/>
      <c r="X540" s="20"/>
      <c r="Y540" s="20"/>
      <c r="Z540" s="85">
        <f t="shared" si="889"/>
        <v>0</v>
      </c>
      <c r="AA540" s="105">
        <f t="shared" si="890"/>
        <v>0</v>
      </c>
      <c r="AC540" s="23" t="s">
        <v>523</v>
      </c>
      <c r="AD540" s="18"/>
      <c r="AE540" s="19"/>
      <c r="AF540" s="20"/>
      <c r="AG540" s="20"/>
      <c r="AH540" s="85">
        <f t="shared" si="891"/>
        <v>0</v>
      </c>
      <c r="AI540" s="18"/>
      <c r="AJ540" s="19"/>
      <c r="AK540" s="20">
        <v>5</v>
      </c>
      <c r="AL540" s="20"/>
      <c r="AM540" s="85">
        <f t="shared" si="892"/>
        <v>5</v>
      </c>
      <c r="AN540" s="18"/>
      <c r="AO540" s="19"/>
      <c r="AP540" s="20"/>
      <c r="AQ540" s="20"/>
      <c r="AR540" s="85">
        <f t="shared" si="893"/>
        <v>0</v>
      </c>
      <c r="AS540" s="18">
        <v>5</v>
      </c>
      <c r="AT540" s="19">
        <v>5</v>
      </c>
      <c r="AU540" s="20"/>
      <c r="AV540" s="20"/>
      <c r="AW540" s="85">
        <f t="shared" si="894"/>
        <v>10</v>
      </c>
      <c r="AX540" s="18">
        <v>5</v>
      </c>
      <c r="AY540" s="19">
        <v>10</v>
      </c>
      <c r="AZ540" s="20"/>
      <c r="BA540" s="20"/>
      <c r="BB540" s="85">
        <f t="shared" si="895"/>
        <v>15</v>
      </c>
      <c r="BC540" s="105">
        <f t="shared" si="896"/>
        <v>30</v>
      </c>
      <c r="BD540" s="114">
        <v>45910</v>
      </c>
    </row>
    <row r="541" spans="1:56" x14ac:dyDescent="0.15">
      <c r="A541" s="23"/>
      <c r="B541" s="15"/>
      <c r="C541" s="16"/>
      <c r="D541" s="17"/>
      <c r="E541" s="17"/>
      <c r="F541" s="85">
        <f t="shared" si="885"/>
        <v>0</v>
      </c>
      <c r="G541" s="15"/>
      <c r="H541" s="16"/>
      <c r="I541" s="17"/>
      <c r="J541" s="17"/>
      <c r="K541" s="85">
        <f t="shared" si="886"/>
        <v>0</v>
      </c>
      <c r="L541" s="15"/>
      <c r="M541" s="16"/>
      <c r="N541" s="17"/>
      <c r="O541" s="17"/>
      <c r="P541" s="85">
        <f t="shared" si="887"/>
        <v>0</v>
      </c>
      <c r="Q541" s="15"/>
      <c r="R541" s="16"/>
      <c r="S541" s="17"/>
      <c r="T541" s="17"/>
      <c r="U541" s="85">
        <f t="shared" si="888"/>
        <v>0</v>
      </c>
      <c r="V541" s="15"/>
      <c r="W541" s="16"/>
      <c r="X541" s="17"/>
      <c r="Y541" s="17"/>
      <c r="Z541" s="85">
        <f t="shared" si="889"/>
        <v>0</v>
      </c>
      <c r="AA541" s="105">
        <f t="shared" si="890"/>
        <v>0</v>
      </c>
      <c r="AC541" s="53" t="s">
        <v>524</v>
      </c>
      <c r="AD541" s="15"/>
      <c r="AE541" s="16">
        <v>2</v>
      </c>
      <c r="AF541" s="17"/>
      <c r="AG541" s="17"/>
      <c r="AH541" s="85">
        <f t="shared" si="891"/>
        <v>2</v>
      </c>
      <c r="AI541" s="15"/>
      <c r="AJ541" s="16">
        <v>2</v>
      </c>
      <c r="AK541" s="17"/>
      <c r="AL541" s="17"/>
      <c r="AM541" s="85">
        <f t="shared" si="892"/>
        <v>2</v>
      </c>
      <c r="AN541" s="15"/>
      <c r="AO541" s="16"/>
      <c r="AP541" s="17"/>
      <c r="AQ541" s="17"/>
      <c r="AR541" s="85">
        <f t="shared" si="893"/>
        <v>0</v>
      </c>
      <c r="AS541" s="15"/>
      <c r="AT541" s="16"/>
      <c r="AU541" s="17"/>
      <c r="AV541" s="17"/>
      <c r="AW541" s="85">
        <f t="shared" si="894"/>
        <v>0</v>
      </c>
      <c r="AX541" s="15"/>
      <c r="AY541" s="16">
        <v>2</v>
      </c>
      <c r="AZ541" s="17"/>
      <c r="BA541" s="17"/>
      <c r="BB541" s="85">
        <f t="shared" si="895"/>
        <v>2</v>
      </c>
      <c r="BC541" s="105">
        <f t="shared" si="896"/>
        <v>6</v>
      </c>
      <c r="BD541" s="114">
        <v>45912</v>
      </c>
    </row>
    <row r="542" spans="1:56" x14ac:dyDescent="0.15">
      <c r="A542" s="54"/>
      <c r="B542" s="15"/>
      <c r="C542" s="16"/>
      <c r="D542" s="17"/>
      <c r="E542" s="17"/>
      <c r="F542" s="85">
        <f t="shared" si="885"/>
        <v>0</v>
      </c>
      <c r="G542" s="15"/>
      <c r="H542" s="16"/>
      <c r="I542" s="17"/>
      <c r="J542" s="17"/>
      <c r="K542" s="85">
        <f t="shared" si="886"/>
        <v>0</v>
      </c>
      <c r="L542" s="15"/>
      <c r="M542" s="16"/>
      <c r="N542" s="17"/>
      <c r="O542" s="17"/>
      <c r="P542" s="85">
        <f t="shared" si="887"/>
        <v>0</v>
      </c>
      <c r="Q542" s="15"/>
      <c r="R542" s="16"/>
      <c r="S542" s="17"/>
      <c r="T542" s="17"/>
      <c r="U542" s="85">
        <f t="shared" si="888"/>
        <v>0</v>
      </c>
      <c r="V542" s="15"/>
      <c r="W542" s="16"/>
      <c r="X542" s="17"/>
      <c r="Y542" s="17"/>
      <c r="Z542" s="85">
        <f t="shared" si="889"/>
        <v>0</v>
      </c>
      <c r="AA542" s="105">
        <f t="shared" si="890"/>
        <v>0</v>
      </c>
      <c r="AC542" s="231" t="s">
        <v>525</v>
      </c>
      <c r="AD542" s="15"/>
      <c r="AE542" s="16"/>
      <c r="AF542" s="17"/>
      <c r="AG542" s="17"/>
      <c r="AH542" s="85">
        <f t="shared" si="891"/>
        <v>0</v>
      </c>
      <c r="AI542" s="15"/>
      <c r="AJ542" s="16"/>
      <c r="AK542" s="17"/>
      <c r="AL542" s="17"/>
      <c r="AM542" s="85">
        <f t="shared" si="892"/>
        <v>0</v>
      </c>
      <c r="AN542" s="15">
        <v>3</v>
      </c>
      <c r="AO542" s="16">
        <v>4</v>
      </c>
      <c r="AP542" s="17"/>
      <c r="AQ542" s="17"/>
      <c r="AR542" s="85">
        <f t="shared" si="893"/>
        <v>7</v>
      </c>
      <c r="AS542" s="15">
        <v>3</v>
      </c>
      <c r="AT542" s="16">
        <v>4</v>
      </c>
      <c r="AU542" s="17"/>
      <c r="AV542" s="17"/>
      <c r="AW542" s="85">
        <f t="shared" si="894"/>
        <v>7</v>
      </c>
      <c r="AX542" s="15">
        <v>3</v>
      </c>
      <c r="AY542" s="16">
        <v>4</v>
      </c>
      <c r="AZ542" s="17"/>
      <c r="BA542" s="17"/>
      <c r="BB542" s="85">
        <f t="shared" si="895"/>
        <v>7</v>
      </c>
      <c r="BC542" s="105">
        <f t="shared" si="896"/>
        <v>21</v>
      </c>
      <c r="BD542" s="114">
        <v>45912</v>
      </c>
    </row>
    <row r="543" spans="1:56" x14ac:dyDescent="0.15">
      <c r="A543" s="54"/>
      <c r="B543" s="15"/>
      <c r="C543" s="16"/>
      <c r="D543" s="17"/>
      <c r="E543" s="17"/>
      <c r="F543" s="85">
        <f t="shared" si="885"/>
        <v>0</v>
      </c>
      <c r="G543" s="15"/>
      <c r="H543" s="16"/>
      <c r="I543" s="17"/>
      <c r="J543" s="17"/>
      <c r="K543" s="85">
        <f t="shared" si="886"/>
        <v>0</v>
      </c>
      <c r="L543" s="15"/>
      <c r="M543" s="16"/>
      <c r="N543" s="17"/>
      <c r="O543" s="17"/>
      <c r="P543" s="85">
        <f t="shared" si="887"/>
        <v>0</v>
      </c>
      <c r="Q543" s="15"/>
      <c r="R543" s="16"/>
      <c r="S543" s="17"/>
      <c r="T543" s="17"/>
      <c r="U543" s="85">
        <f t="shared" si="888"/>
        <v>0</v>
      </c>
      <c r="V543" s="15"/>
      <c r="W543" s="16"/>
      <c r="X543" s="17"/>
      <c r="Y543" s="17"/>
      <c r="Z543" s="85">
        <f t="shared" si="889"/>
        <v>0</v>
      </c>
      <c r="AA543" s="105">
        <f t="shared" si="890"/>
        <v>0</v>
      </c>
      <c r="AC543" s="24"/>
      <c r="AD543" s="15"/>
      <c r="AE543" s="16"/>
      <c r="AF543" s="17"/>
      <c r="AG543" s="17"/>
      <c r="AH543" s="85">
        <f t="shared" ref="AH543:AH544" si="907">SUM(AD543:AG543)</f>
        <v>0</v>
      </c>
      <c r="AI543" s="15"/>
      <c r="AJ543" s="16"/>
      <c r="AK543" s="17"/>
      <c r="AL543" s="17"/>
      <c r="AM543" s="85">
        <f t="shared" ref="AM543:AM544" si="908">SUM(AI543:AL543)</f>
        <v>0</v>
      </c>
      <c r="AN543" s="15"/>
      <c r="AO543" s="16"/>
      <c r="AP543" s="17"/>
      <c r="AQ543" s="17"/>
      <c r="AR543" s="85">
        <f t="shared" ref="AR543:AR544" si="909">SUM(AN543:AQ543)</f>
        <v>0</v>
      </c>
      <c r="AS543" s="15"/>
      <c r="AT543" s="16"/>
      <c r="AU543" s="17"/>
      <c r="AV543" s="17"/>
      <c r="AW543" s="85">
        <f t="shared" ref="AW543:AW544" si="910">SUM(AS543:AV543)</f>
        <v>0</v>
      </c>
      <c r="AX543" s="15"/>
      <c r="AY543" s="16"/>
      <c r="AZ543" s="17"/>
      <c r="BA543" s="17"/>
      <c r="BB543" s="85">
        <f t="shared" ref="BB543:BB544" si="911">SUM(AX543:BA543)</f>
        <v>0</v>
      </c>
      <c r="BC543" s="105">
        <f t="shared" ref="BC543:BC544" si="912">BB543+AW543+AR543+AM543+AH543</f>
        <v>0</v>
      </c>
    </row>
    <row r="544" spans="1:56" x14ac:dyDescent="0.15">
      <c r="A544" s="54"/>
      <c r="B544" s="15"/>
      <c r="C544" s="16"/>
      <c r="D544" s="17"/>
      <c r="E544" s="17"/>
      <c r="F544" s="85">
        <f t="shared" si="885"/>
        <v>0</v>
      </c>
      <c r="G544" s="15"/>
      <c r="H544" s="16"/>
      <c r="I544" s="17"/>
      <c r="J544" s="17"/>
      <c r="K544" s="85">
        <f t="shared" si="886"/>
        <v>0</v>
      </c>
      <c r="L544" s="15"/>
      <c r="M544" s="16"/>
      <c r="N544" s="17"/>
      <c r="O544" s="17"/>
      <c r="P544" s="85">
        <f t="shared" si="887"/>
        <v>0</v>
      </c>
      <c r="Q544" s="15"/>
      <c r="R544" s="16"/>
      <c r="S544" s="17"/>
      <c r="T544" s="17"/>
      <c r="U544" s="85">
        <f t="shared" si="888"/>
        <v>0</v>
      </c>
      <c r="V544" s="15"/>
      <c r="W544" s="16"/>
      <c r="X544" s="17"/>
      <c r="Y544" s="17"/>
      <c r="Z544" s="85">
        <f t="shared" si="889"/>
        <v>0</v>
      </c>
      <c r="AA544" s="105">
        <f t="shared" si="890"/>
        <v>0</v>
      </c>
      <c r="AC544" s="24"/>
      <c r="AD544" s="15"/>
      <c r="AE544" s="16"/>
      <c r="AF544" s="17"/>
      <c r="AG544" s="17"/>
      <c r="AH544" s="85">
        <f t="shared" si="907"/>
        <v>0</v>
      </c>
      <c r="AI544" s="15"/>
      <c r="AJ544" s="16"/>
      <c r="AK544" s="17"/>
      <c r="AL544" s="17"/>
      <c r="AM544" s="85">
        <f t="shared" si="908"/>
        <v>0</v>
      </c>
      <c r="AN544" s="15"/>
      <c r="AO544" s="16"/>
      <c r="AP544" s="17"/>
      <c r="AQ544" s="17"/>
      <c r="AR544" s="85">
        <f t="shared" si="909"/>
        <v>0</v>
      </c>
      <c r="AS544" s="15"/>
      <c r="AT544" s="16"/>
      <c r="AU544" s="17"/>
      <c r="AV544" s="17"/>
      <c r="AW544" s="85">
        <f t="shared" si="910"/>
        <v>0</v>
      </c>
      <c r="AX544" s="15"/>
      <c r="AY544" s="16"/>
      <c r="AZ544" s="17"/>
      <c r="BA544" s="17"/>
      <c r="BB544" s="85">
        <f t="shared" si="911"/>
        <v>0</v>
      </c>
      <c r="BC544" s="105">
        <f t="shared" si="912"/>
        <v>0</v>
      </c>
    </row>
    <row r="545" spans="1:56" x14ac:dyDescent="0.15">
      <c r="A545" s="24"/>
      <c r="B545" s="15"/>
      <c r="C545" s="16"/>
      <c r="D545" s="17"/>
      <c r="E545" s="17"/>
      <c r="F545" s="85">
        <f t="shared" si="885"/>
        <v>0</v>
      </c>
      <c r="G545" s="15"/>
      <c r="H545" s="16"/>
      <c r="I545" s="17"/>
      <c r="J545" s="17"/>
      <c r="K545" s="85">
        <f t="shared" si="886"/>
        <v>0</v>
      </c>
      <c r="L545" s="15"/>
      <c r="M545" s="16"/>
      <c r="N545" s="17"/>
      <c r="O545" s="17"/>
      <c r="P545" s="85">
        <f t="shared" si="887"/>
        <v>0</v>
      </c>
      <c r="Q545" s="15"/>
      <c r="R545" s="16"/>
      <c r="S545" s="17"/>
      <c r="T545" s="17"/>
      <c r="U545" s="85">
        <f t="shared" si="888"/>
        <v>0</v>
      </c>
      <c r="V545" s="15"/>
      <c r="W545" s="16"/>
      <c r="X545" s="17"/>
      <c r="Y545" s="17"/>
      <c r="Z545" s="85">
        <f t="shared" si="889"/>
        <v>0</v>
      </c>
      <c r="AA545" s="105">
        <f t="shared" si="890"/>
        <v>0</v>
      </c>
      <c r="AC545" s="24"/>
      <c r="AD545" s="15"/>
      <c r="AE545" s="16"/>
      <c r="AF545" s="17"/>
      <c r="AG545" s="17"/>
      <c r="AH545" s="85">
        <f t="shared" si="891"/>
        <v>0</v>
      </c>
      <c r="AI545" s="15"/>
      <c r="AJ545" s="16"/>
      <c r="AK545" s="17"/>
      <c r="AL545" s="17"/>
      <c r="AM545" s="85">
        <f t="shared" si="892"/>
        <v>0</v>
      </c>
      <c r="AN545" s="15"/>
      <c r="AO545" s="16"/>
      <c r="AP545" s="17"/>
      <c r="AQ545" s="17"/>
      <c r="AR545" s="85">
        <f t="shared" si="893"/>
        <v>0</v>
      </c>
      <c r="AS545" s="15"/>
      <c r="AT545" s="16"/>
      <c r="AU545" s="17"/>
      <c r="AV545" s="17"/>
      <c r="AW545" s="85">
        <f t="shared" si="894"/>
        <v>0</v>
      </c>
      <c r="AX545" s="15"/>
      <c r="AY545" s="16"/>
      <c r="AZ545" s="17"/>
      <c r="BA545" s="17"/>
      <c r="BB545" s="85">
        <f t="shared" si="895"/>
        <v>0</v>
      </c>
      <c r="BC545" s="105">
        <f t="shared" si="896"/>
        <v>0</v>
      </c>
    </row>
    <row r="546" spans="1:56" x14ac:dyDescent="0.15">
      <c r="A546" s="54"/>
      <c r="B546" s="15"/>
      <c r="C546" s="16"/>
      <c r="D546" s="17"/>
      <c r="E546" s="17"/>
      <c r="F546" s="85">
        <f t="shared" si="885"/>
        <v>0</v>
      </c>
      <c r="G546" s="15"/>
      <c r="H546" s="16"/>
      <c r="I546" s="17"/>
      <c r="J546" s="17"/>
      <c r="K546" s="85">
        <f t="shared" si="886"/>
        <v>0</v>
      </c>
      <c r="L546" s="15"/>
      <c r="M546" s="16"/>
      <c r="N546" s="17"/>
      <c r="O546" s="17"/>
      <c r="P546" s="85">
        <f t="shared" si="887"/>
        <v>0</v>
      </c>
      <c r="Q546" s="15"/>
      <c r="R546" s="16"/>
      <c r="S546" s="17"/>
      <c r="T546" s="17"/>
      <c r="U546" s="85">
        <f t="shared" si="888"/>
        <v>0</v>
      </c>
      <c r="V546" s="15"/>
      <c r="W546" s="16"/>
      <c r="X546" s="17"/>
      <c r="Y546" s="17"/>
      <c r="Z546" s="85">
        <f t="shared" si="889"/>
        <v>0</v>
      </c>
      <c r="AA546" s="105">
        <f t="shared" si="890"/>
        <v>0</v>
      </c>
      <c r="AC546" s="54"/>
      <c r="AD546" s="15"/>
      <c r="AE546" s="16"/>
      <c r="AF546" s="17"/>
      <c r="AG546" s="17"/>
      <c r="AH546" s="85">
        <f t="shared" si="891"/>
        <v>0</v>
      </c>
      <c r="AI546" s="15"/>
      <c r="AJ546" s="16"/>
      <c r="AK546" s="17"/>
      <c r="AL546" s="17"/>
      <c r="AM546" s="85">
        <f t="shared" si="892"/>
        <v>0</v>
      </c>
      <c r="AN546" s="15"/>
      <c r="AO546" s="16"/>
      <c r="AP546" s="17"/>
      <c r="AQ546" s="17"/>
      <c r="AR546" s="85">
        <f t="shared" si="893"/>
        <v>0</v>
      </c>
      <c r="AS546" s="15"/>
      <c r="AT546" s="16"/>
      <c r="AU546" s="17"/>
      <c r="AV546" s="17"/>
      <c r="AW546" s="85">
        <f t="shared" si="894"/>
        <v>0</v>
      </c>
      <c r="AX546" s="15"/>
      <c r="AY546" s="16"/>
      <c r="AZ546" s="17"/>
      <c r="BA546" s="17"/>
      <c r="BB546" s="85">
        <f t="shared" si="895"/>
        <v>0</v>
      </c>
      <c r="BC546" s="105">
        <f t="shared" si="896"/>
        <v>0</v>
      </c>
    </row>
    <row r="547" spans="1:56" x14ac:dyDescent="0.15">
      <c r="A547" s="23"/>
      <c r="B547" s="15"/>
      <c r="C547" s="16"/>
      <c r="D547" s="17"/>
      <c r="E547" s="17"/>
      <c r="F547" s="85">
        <f t="shared" si="885"/>
        <v>0</v>
      </c>
      <c r="G547" s="15"/>
      <c r="H547" s="16"/>
      <c r="I547" s="17"/>
      <c r="J547" s="17"/>
      <c r="K547" s="85">
        <f t="shared" si="886"/>
        <v>0</v>
      </c>
      <c r="L547" s="15"/>
      <c r="M547" s="16"/>
      <c r="N547" s="17"/>
      <c r="O547" s="17"/>
      <c r="P547" s="85">
        <f t="shared" si="887"/>
        <v>0</v>
      </c>
      <c r="Q547" s="15"/>
      <c r="R547" s="16"/>
      <c r="S547" s="17"/>
      <c r="T547" s="17"/>
      <c r="U547" s="85">
        <f t="shared" si="888"/>
        <v>0</v>
      </c>
      <c r="V547" s="15"/>
      <c r="W547" s="16"/>
      <c r="X547" s="17"/>
      <c r="Y547" s="17"/>
      <c r="Z547" s="85">
        <f t="shared" si="889"/>
        <v>0</v>
      </c>
      <c r="AA547" s="105">
        <f t="shared" si="890"/>
        <v>0</v>
      </c>
      <c r="AC547" s="23"/>
      <c r="AD547" s="15"/>
      <c r="AE547" s="16"/>
      <c r="AF547" s="17"/>
      <c r="AG547" s="17"/>
      <c r="AH547" s="85">
        <f t="shared" si="891"/>
        <v>0</v>
      </c>
      <c r="AI547" s="15"/>
      <c r="AJ547" s="16"/>
      <c r="AK547" s="17"/>
      <c r="AL547" s="17"/>
      <c r="AM547" s="85">
        <f t="shared" si="892"/>
        <v>0</v>
      </c>
      <c r="AN547" s="15"/>
      <c r="AO547" s="16"/>
      <c r="AP547" s="17"/>
      <c r="AQ547" s="17"/>
      <c r="AR547" s="85">
        <f t="shared" si="893"/>
        <v>0</v>
      </c>
      <c r="AS547" s="15"/>
      <c r="AT547" s="16"/>
      <c r="AU547" s="17"/>
      <c r="AV547" s="17"/>
      <c r="AW547" s="85">
        <f t="shared" si="894"/>
        <v>0</v>
      </c>
      <c r="AX547" s="15"/>
      <c r="AY547" s="16"/>
      <c r="AZ547" s="17"/>
      <c r="BA547" s="17"/>
      <c r="BB547" s="85">
        <f t="shared" si="895"/>
        <v>0</v>
      </c>
      <c r="BC547" s="105">
        <f t="shared" si="896"/>
        <v>0</v>
      </c>
    </row>
    <row r="548" spans="1:56" x14ac:dyDescent="0.15">
      <c r="A548" s="23"/>
      <c r="B548" s="15"/>
      <c r="C548" s="16"/>
      <c r="D548" s="17"/>
      <c r="E548" s="17"/>
      <c r="F548" s="85">
        <f t="shared" si="885"/>
        <v>0</v>
      </c>
      <c r="G548" s="15"/>
      <c r="H548" s="16"/>
      <c r="I548" s="17"/>
      <c r="J548" s="17"/>
      <c r="K548" s="85">
        <f t="shared" si="886"/>
        <v>0</v>
      </c>
      <c r="L548" s="15"/>
      <c r="M548" s="16"/>
      <c r="N548" s="17"/>
      <c r="O548" s="17"/>
      <c r="P548" s="85">
        <f t="shared" si="887"/>
        <v>0</v>
      </c>
      <c r="Q548" s="15"/>
      <c r="R548" s="16"/>
      <c r="S548" s="17"/>
      <c r="T548" s="17"/>
      <c r="U548" s="85">
        <f t="shared" si="888"/>
        <v>0</v>
      </c>
      <c r="V548" s="15"/>
      <c r="W548" s="16"/>
      <c r="X548" s="17"/>
      <c r="Y548" s="17"/>
      <c r="Z548" s="85">
        <f t="shared" si="889"/>
        <v>0</v>
      </c>
      <c r="AA548" s="105">
        <f t="shared" si="890"/>
        <v>0</v>
      </c>
      <c r="AC548" s="23"/>
      <c r="AD548" s="15"/>
      <c r="AE548" s="16"/>
      <c r="AF548" s="17"/>
      <c r="AG548" s="17"/>
      <c r="AH548" s="85">
        <f t="shared" si="891"/>
        <v>0</v>
      </c>
      <c r="AI548" s="15"/>
      <c r="AJ548" s="16"/>
      <c r="AK548" s="17"/>
      <c r="AL548" s="17"/>
      <c r="AM548" s="85">
        <f t="shared" si="892"/>
        <v>0</v>
      </c>
      <c r="AN548" s="15"/>
      <c r="AO548" s="16"/>
      <c r="AP548" s="17"/>
      <c r="AQ548" s="17"/>
      <c r="AR548" s="85">
        <f t="shared" si="893"/>
        <v>0</v>
      </c>
      <c r="AS548" s="15"/>
      <c r="AT548" s="16"/>
      <c r="AU548" s="17"/>
      <c r="AV548" s="17"/>
      <c r="AW548" s="85">
        <f t="shared" si="894"/>
        <v>0</v>
      </c>
      <c r="AX548" s="15"/>
      <c r="AY548" s="16"/>
      <c r="AZ548" s="17"/>
      <c r="BA548" s="17"/>
      <c r="BB548" s="85">
        <f t="shared" si="895"/>
        <v>0</v>
      </c>
      <c r="BC548" s="105">
        <f t="shared" si="896"/>
        <v>0</v>
      </c>
    </row>
    <row r="549" spans="1:56" x14ac:dyDescent="0.15">
      <c r="A549" s="54"/>
      <c r="B549" s="15"/>
      <c r="C549" s="16"/>
      <c r="D549" s="17"/>
      <c r="E549" s="17"/>
      <c r="F549" s="85">
        <f t="shared" si="885"/>
        <v>0</v>
      </c>
      <c r="G549" s="15"/>
      <c r="H549" s="16"/>
      <c r="I549" s="17"/>
      <c r="J549" s="17"/>
      <c r="K549" s="85">
        <f t="shared" si="886"/>
        <v>0</v>
      </c>
      <c r="L549" s="15"/>
      <c r="M549" s="16"/>
      <c r="N549" s="17"/>
      <c r="O549" s="17"/>
      <c r="P549" s="85">
        <f t="shared" si="887"/>
        <v>0</v>
      </c>
      <c r="Q549" s="15"/>
      <c r="R549" s="16"/>
      <c r="S549" s="17"/>
      <c r="T549" s="17"/>
      <c r="U549" s="85">
        <f t="shared" si="888"/>
        <v>0</v>
      </c>
      <c r="V549" s="15"/>
      <c r="W549" s="16"/>
      <c r="X549" s="17"/>
      <c r="Y549" s="17"/>
      <c r="Z549" s="85">
        <f t="shared" si="889"/>
        <v>0</v>
      </c>
      <c r="AA549" s="105">
        <f t="shared" si="890"/>
        <v>0</v>
      </c>
      <c r="AC549" s="54"/>
      <c r="AD549" s="15"/>
      <c r="AE549" s="16"/>
      <c r="AF549" s="17"/>
      <c r="AG549" s="17"/>
      <c r="AH549" s="85">
        <f t="shared" si="891"/>
        <v>0</v>
      </c>
      <c r="AI549" s="15"/>
      <c r="AJ549" s="16"/>
      <c r="AK549" s="17"/>
      <c r="AL549" s="17"/>
      <c r="AM549" s="85">
        <f t="shared" si="892"/>
        <v>0</v>
      </c>
      <c r="AN549" s="15"/>
      <c r="AO549" s="16"/>
      <c r="AP549" s="17"/>
      <c r="AQ549" s="17"/>
      <c r="AR549" s="85">
        <f t="shared" si="893"/>
        <v>0</v>
      </c>
      <c r="AS549" s="15"/>
      <c r="AT549" s="16"/>
      <c r="AU549" s="17"/>
      <c r="AV549" s="17"/>
      <c r="AW549" s="85">
        <f t="shared" si="894"/>
        <v>0</v>
      </c>
      <c r="AX549" s="15"/>
      <c r="AY549" s="16"/>
      <c r="AZ549" s="17"/>
      <c r="BA549" s="17"/>
      <c r="BB549" s="85">
        <f t="shared" si="895"/>
        <v>0</v>
      </c>
      <c r="BC549" s="105">
        <f t="shared" si="896"/>
        <v>0</v>
      </c>
    </row>
    <row r="550" spans="1:56" x14ac:dyDescent="0.15">
      <c r="A550" s="23"/>
      <c r="B550" s="15"/>
      <c r="C550" s="16"/>
      <c r="D550" s="17"/>
      <c r="E550" s="17"/>
      <c r="F550" s="85">
        <f t="shared" si="885"/>
        <v>0</v>
      </c>
      <c r="G550" s="15"/>
      <c r="H550" s="16"/>
      <c r="I550" s="17"/>
      <c r="J550" s="17"/>
      <c r="K550" s="85">
        <f t="shared" si="886"/>
        <v>0</v>
      </c>
      <c r="L550" s="15"/>
      <c r="M550" s="16"/>
      <c r="N550" s="17"/>
      <c r="O550" s="17"/>
      <c r="P550" s="85">
        <f t="shared" si="887"/>
        <v>0</v>
      </c>
      <c r="Q550" s="15"/>
      <c r="R550" s="16"/>
      <c r="S550" s="17"/>
      <c r="T550" s="17"/>
      <c r="U550" s="85">
        <f t="shared" si="888"/>
        <v>0</v>
      </c>
      <c r="V550" s="15"/>
      <c r="W550" s="16"/>
      <c r="X550" s="17"/>
      <c r="Y550" s="17"/>
      <c r="Z550" s="85">
        <f t="shared" si="889"/>
        <v>0</v>
      </c>
      <c r="AA550" s="105">
        <f t="shared" si="890"/>
        <v>0</v>
      </c>
      <c r="AC550" s="23"/>
      <c r="AD550" s="15"/>
      <c r="AE550" s="16"/>
      <c r="AF550" s="17"/>
      <c r="AG550" s="17"/>
      <c r="AH550" s="85">
        <f t="shared" si="891"/>
        <v>0</v>
      </c>
      <c r="AI550" s="15"/>
      <c r="AJ550" s="16"/>
      <c r="AK550" s="17"/>
      <c r="AL550" s="17"/>
      <c r="AM550" s="85">
        <f t="shared" si="892"/>
        <v>0</v>
      </c>
      <c r="AN550" s="15"/>
      <c r="AO550" s="16"/>
      <c r="AP550" s="17"/>
      <c r="AQ550" s="17"/>
      <c r="AR550" s="85">
        <f t="shared" si="893"/>
        <v>0</v>
      </c>
      <c r="AS550" s="15"/>
      <c r="AT550" s="16"/>
      <c r="AU550" s="17"/>
      <c r="AV550" s="17"/>
      <c r="AW550" s="85">
        <f t="shared" si="894"/>
        <v>0</v>
      </c>
      <c r="AX550" s="15"/>
      <c r="AY550" s="16"/>
      <c r="AZ550" s="17"/>
      <c r="BA550" s="17"/>
      <c r="BB550" s="85">
        <f t="shared" si="895"/>
        <v>0</v>
      </c>
      <c r="BC550" s="105">
        <f t="shared" si="896"/>
        <v>0</v>
      </c>
    </row>
    <row r="551" spans="1:56" x14ac:dyDescent="0.15">
      <c r="A551" s="23"/>
      <c r="B551" s="15"/>
      <c r="C551" s="16"/>
      <c r="D551" s="17"/>
      <c r="E551" s="17"/>
      <c r="F551" s="85">
        <f t="shared" si="885"/>
        <v>0</v>
      </c>
      <c r="G551" s="15"/>
      <c r="H551" s="16"/>
      <c r="I551" s="17"/>
      <c r="J551" s="17"/>
      <c r="K551" s="85">
        <f t="shared" si="886"/>
        <v>0</v>
      </c>
      <c r="L551" s="15"/>
      <c r="M551" s="16"/>
      <c r="N551" s="17"/>
      <c r="O551" s="17"/>
      <c r="P551" s="85">
        <f t="shared" si="887"/>
        <v>0</v>
      </c>
      <c r="Q551" s="15"/>
      <c r="R551" s="16"/>
      <c r="S551" s="17"/>
      <c r="T551" s="17"/>
      <c r="U551" s="85">
        <f t="shared" si="888"/>
        <v>0</v>
      </c>
      <c r="V551" s="15"/>
      <c r="W551" s="16"/>
      <c r="X551" s="17"/>
      <c r="Y551" s="17"/>
      <c r="Z551" s="85">
        <f t="shared" si="889"/>
        <v>0</v>
      </c>
      <c r="AA551" s="105">
        <f t="shared" si="890"/>
        <v>0</v>
      </c>
      <c r="AC551" s="23"/>
      <c r="AD551" s="15"/>
      <c r="AE551" s="16"/>
      <c r="AF551" s="17"/>
      <c r="AG551" s="17"/>
      <c r="AH551" s="85">
        <f t="shared" si="891"/>
        <v>0</v>
      </c>
      <c r="AI551" s="15"/>
      <c r="AJ551" s="16"/>
      <c r="AK551" s="17"/>
      <c r="AL551" s="17"/>
      <c r="AM551" s="85">
        <f t="shared" si="892"/>
        <v>0</v>
      </c>
      <c r="AN551" s="15"/>
      <c r="AO551" s="16"/>
      <c r="AP551" s="17"/>
      <c r="AQ551" s="17"/>
      <c r="AR551" s="85">
        <f t="shared" si="893"/>
        <v>0</v>
      </c>
      <c r="AS551" s="15"/>
      <c r="AT551" s="16"/>
      <c r="AU551" s="17"/>
      <c r="AV551" s="17"/>
      <c r="AW551" s="85">
        <f t="shared" si="894"/>
        <v>0</v>
      </c>
      <c r="AX551" s="15"/>
      <c r="AY551" s="16"/>
      <c r="AZ551" s="17"/>
      <c r="BA551" s="17"/>
      <c r="BB551" s="85">
        <f t="shared" si="895"/>
        <v>0</v>
      </c>
      <c r="BC551" s="105">
        <f t="shared" si="896"/>
        <v>0</v>
      </c>
    </row>
    <row r="552" spans="1:56" x14ac:dyDescent="0.15">
      <c r="A552" s="23"/>
      <c r="B552" s="18"/>
      <c r="C552" s="19"/>
      <c r="D552" s="20"/>
      <c r="E552" s="20"/>
      <c r="F552" s="85">
        <f t="shared" si="885"/>
        <v>0</v>
      </c>
      <c r="G552" s="18"/>
      <c r="H552" s="19"/>
      <c r="I552" s="20"/>
      <c r="J552" s="20"/>
      <c r="K552" s="85">
        <f t="shared" si="886"/>
        <v>0</v>
      </c>
      <c r="L552" s="18"/>
      <c r="M552" s="19"/>
      <c r="N552" s="20"/>
      <c r="O552" s="20"/>
      <c r="P552" s="85">
        <f t="shared" si="887"/>
        <v>0</v>
      </c>
      <c r="Q552" s="18"/>
      <c r="R552" s="19"/>
      <c r="S552" s="20"/>
      <c r="T552" s="20"/>
      <c r="U552" s="85">
        <f t="shared" si="888"/>
        <v>0</v>
      </c>
      <c r="V552" s="18"/>
      <c r="W552" s="19"/>
      <c r="X552" s="20"/>
      <c r="Y552" s="20"/>
      <c r="Z552" s="85">
        <f t="shared" si="889"/>
        <v>0</v>
      </c>
      <c r="AA552" s="105">
        <f t="shared" si="890"/>
        <v>0</v>
      </c>
      <c r="AC552" s="23"/>
      <c r="AD552" s="18"/>
      <c r="AE552" s="19"/>
      <c r="AF552" s="20"/>
      <c r="AG552" s="20"/>
      <c r="AH552" s="85">
        <f t="shared" si="891"/>
        <v>0</v>
      </c>
      <c r="AI552" s="18"/>
      <c r="AJ552" s="19"/>
      <c r="AK552" s="20"/>
      <c r="AL552" s="20"/>
      <c r="AM552" s="85">
        <f t="shared" si="892"/>
        <v>0</v>
      </c>
      <c r="AN552" s="18"/>
      <c r="AO552" s="19"/>
      <c r="AP552" s="20"/>
      <c r="AQ552" s="20"/>
      <c r="AR552" s="85">
        <f t="shared" si="893"/>
        <v>0</v>
      </c>
      <c r="AS552" s="18"/>
      <c r="AT552" s="19"/>
      <c r="AU552" s="20"/>
      <c r="AV552" s="20"/>
      <c r="AW552" s="85">
        <f t="shared" si="894"/>
        <v>0</v>
      </c>
      <c r="AX552" s="18"/>
      <c r="AY552" s="19"/>
      <c r="AZ552" s="20"/>
      <c r="BA552" s="20"/>
      <c r="BB552" s="85">
        <f t="shared" si="895"/>
        <v>0</v>
      </c>
      <c r="BC552" s="105">
        <f t="shared" si="896"/>
        <v>0</v>
      </c>
    </row>
    <row r="553" spans="1:56" x14ac:dyDescent="0.15">
      <c r="A553" s="23"/>
      <c r="B553" s="16"/>
      <c r="C553" s="16"/>
      <c r="D553" s="17"/>
      <c r="E553" s="17"/>
      <c r="F553" s="85">
        <f t="shared" si="885"/>
        <v>0</v>
      </c>
      <c r="G553" s="16"/>
      <c r="H553" s="16"/>
      <c r="I553" s="17"/>
      <c r="J553" s="17"/>
      <c r="K553" s="85">
        <f t="shared" si="886"/>
        <v>0</v>
      </c>
      <c r="L553" s="16"/>
      <c r="M553" s="16"/>
      <c r="N553" s="17"/>
      <c r="O553" s="17"/>
      <c r="P553" s="85">
        <f t="shared" si="887"/>
        <v>0</v>
      </c>
      <c r="Q553" s="16"/>
      <c r="R553" s="16"/>
      <c r="S553" s="17"/>
      <c r="T553" s="17"/>
      <c r="U553" s="85">
        <f t="shared" si="888"/>
        <v>0</v>
      </c>
      <c r="V553" s="16"/>
      <c r="W553" s="16"/>
      <c r="X553" s="17"/>
      <c r="Y553" s="17"/>
      <c r="Z553" s="85">
        <f t="shared" si="889"/>
        <v>0</v>
      </c>
      <c r="AA553" s="105">
        <f t="shared" si="890"/>
        <v>0</v>
      </c>
      <c r="AC553" s="23"/>
      <c r="AD553" s="18"/>
      <c r="AE553" s="19"/>
      <c r="AF553" s="20"/>
      <c r="AG553" s="20"/>
      <c r="AH553" s="85">
        <f t="shared" si="891"/>
        <v>0</v>
      </c>
      <c r="AI553" s="18"/>
      <c r="AJ553" s="19"/>
      <c r="AK553" s="20"/>
      <c r="AL553" s="20"/>
      <c r="AM553" s="85">
        <f t="shared" si="892"/>
        <v>0</v>
      </c>
      <c r="AN553" s="18"/>
      <c r="AO553" s="19"/>
      <c r="AP553" s="20"/>
      <c r="AQ553" s="20"/>
      <c r="AR553" s="85">
        <f t="shared" si="893"/>
        <v>0</v>
      </c>
      <c r="AS553" s="18"/>
      <c r="AT553" s="19"/>
      <c r="AU553" s="20"/>
      <c r="AV553" s="20"/>
      <c r="AW553" s="85">
        <f t="shared" si="894"/>
        <v>0</v>
      </c>
      <c r="AX553" s="18"/>
      <c r="AY553" s="19"/>
      <c r="AZ553" s="20"/>
      <c r="BA553" s="20"/>
      <c r="BB553" s="85">
        <f t="shared" si="895"/>
        <v>0</v>
      </c>
      <c r="BC553" s="105">
        <f t="shared" si="896"/>
        <v>0</v>
      </c>
    </row>
    <row r="554" spans="1:56" x14ac:dyDescent="0.15">
      <c r="A554" s="23"/>
      <c r="B554" s="15"/>
      <c r="C554" s="25"/>
      <c r="D554" s="17"/>
      <c r="E554" s="17"/>
      <c r="F554" s="85">
        <f t="shared" si="885"/>
        <v>0</v>
      </c>
      <c r="G554" s="15"/>
      <c r="H554" s="25"/>
      <c r="I554" s="17"/>
      <c r="J554" s="17"/>
      <c r="K554" s="85">
        <f t="shared" si="886"/>
        <v>0</v>
      </c>
      <c r="L554" s="15"/>
      <c r="M554" s="25"/>
      <c r="N554" s="17"/>
      <c r="O554" s="17"/>
      <c r="P554" s="85">
        <f t="shared" si="887"/>
        <v>0</v>
      </c>
      <c r="Q554" s="15"/>
      <c r="R554" s="25"/>
      <c r="S554" s="17"/>
      <c r="T554" s="17"/>
      <c r="U554" s="85">
        <f t="shared" si="888"/>
        <v>0</v>
      </c>
      <c r="V554" s="15"/>
      <c r="W554" s="25"/>
      <c r="X554" s="17"/>
      <c r="Y554" s="17"/>
      <c r="Z554" s="85">
        <f t="shared" si="889"/>
        <v>0</v>
      </c>
      <c r="AA554" s="105">
        <f t="shared" si="890"/>
        <v>0</v>
      </c>
      <c r="AC554" s="23"/>
      <c r="AD554" s="18"/>
      <c r="AE554" s="19"/>
      <c r="AF554" s="20"/>
      <c r="AG554" s="20"/>
      <c r="AH554" s="85">
        <f t="shared" si="891"/>
        <v>0</v>
      </c>
      <c r="AI554" s="18"/>
      <c r="AJ554" s="19"/>
      <c r="AK554" s="20"/>
      <c r="AL554" s="20"/>
      <c r="AM554" s="85">
        <f t="shared" si="892"/>
        <v>0</v>
      </c>
      <c r="AN554" s="18"/>
      <c r="AO554" s="19"/>
      <c r="AP554" s="20"/>
      <c r="AQ554" s="20"/>
      <c r="AR554" s="85">
        <f t="shared" si="893"/>
        <v>0</v>
      </c>
      <c r="AS554" s="18"/>
      <c r="AT554" s="19"/>
      <c r="AU554" s="20"/>
      <c r="AV554" s="20"/>
      <c r="AW554" s="85">
        <f t="shared" si="894"/>
        <v>0</v>
      </c>
      <c r="AX554" s="18"/>
      <c r="AY554" s="19"/>
      <c r="AZ554" s="20"/>
      <c r="BA554" s="20"/>
      <c r="BB554" s="85">
        <f t="shared" si="895"/>
        <v>0</v>
      </c>
      <c r="BC554" s="105">
        <f t="shared" si="896"/>
        <v>0</v>
      </c>
    </row>
    <row r="555" spans="1:56" x14ac:dyDescent="0.15">
      <c r="A555" s="23"/>
      <c r="B555" s="15"/>
      <c r="C555" s="16"/>
      <c r="D555" s="16"/>
      <c r="E555" s="63"/>
      <c r="F555" s="85">
        <f t="shared" si="885"/>
        <v>0</v>
      </c>
      <c r="G555" s="15"/>
      <c r="H555" s="16"/>
      <c r="I555" s="16"/>
      <c r="J555" s="63"/>
      <c r="K555" s="85">
        <f t="shared" si="886"/>
        <v>0</v>
      </c>
      <c r="L555" s="15"/>
      <c r="M555" s="16"/>
      <c r="N555" s="16"/>
      <c r="O555" s="63"/>
      <c r="P555" s="85">
        <f t="shared" si="887"/>
        <v>0</v>
      </c>
      <c r="Q555" s="15"/>
      <c r="R555" s="16"/>
      <c r="S555" s="16"/>
      <c r="T555" s="63"/>
      <c r="U555" s="85">
        <f t="shared" si="888"/>
        <v>0</v>
      </c>
      <c r="V555" s="15"/>
      <c r="W555" s="16"/>
      <c r="X555" s="16"/>
      <c r="Y555" s="63"/>
      <c r="Z555" s="85">
        <f t="shared" si="889"/>
        <v>0</v>
      </c>
      <c r="AA555" s="105">
        <f t="shared" si="890"/>
        <v>0</v>
      </c>
      <c r="AC555" s="23" t="s">
        <v>469</v>
      </c>
      <c r="AD555" s="15"/>
      <c r="AE555" s="16"/>
      <c r="AF555" s="16"/>
      <c r="AG555" s="232"/>
      <c r="AH555" s="85">
        <f t="shared" si="891"/>
        <v>0</v>
      </c>
      <c r="AI555" s="15"/>
      <c r="AJ555" s="16"/>
      <c r="AK555" s="16"/>
      <c r="AL555" s="232"/>
      <c r="AM555" s="85">
        <f t="shared" si="892"/>
        <v>0</v>
      </c>
      <c r="AN555" s="18"/>
      <c r="AO555" s="19"/>
      <c r="AP555" s="20"/>
      <c r="AQ555" s="20"/>
      <c r="AR555" s="85">
        <f t="shared" si="893"/>
        <v>0</v>
      </c>
      <c r="AS555" s="18"/>
      <c r="AT555" s="19"/>
      <c r="AU555" s="20"/>
      <c r="AV555" s="20"/>
      <c r="AW555" s="85">
        <f t="shared" si="894"/>
        <v>0</v>
      </c>
      <c r="AX555" s="15"/>
      <c r="AY555" s="16"/>
      <c r="AZ555" s="16"/>
      <c r="BA555" s="232"/>
      <c r="BB555" s="85">
        <f t="shared" si="895"/>
        <v>0</v>
      </c>
      <c r="BC555" s="105">
        <f t="shared" si="896"/>
        <v>0</v>
      </c>
      <c r="BD555" s="76"/>
    </row>
    <row r="556" spans="1:56" ht="14.25" thickBot="1" x14ac:dyDescent="0.2">
      <c r="A556" s="23"/>
      <c r="B556" s="15"/>
      <c r="C556" s="16"/>
      <c r="D556" s="16"/>
      <c r="E556" s="63"/>
      <c r="F556" s="85">
        <f t="shared" ref="F556" si="913">SUM(B556:E556)</f>
        <v>0</v>
      </c>
      <c r="G556" s="15"/>
      <c r="H556" s="16"/>
      <c r="I556" s="16"/>
      <c r="J556" s="63"/>
      <c r="K556" s="85">
        <f t="shared" ref="K556" si="914">SUM(G556:J556)</f>
        <v>0</v>
      </c>
      <c r="L556" s="15"/>
      <c r="M556" s="16"/>
      <c r="N556" s="16"/>
      <c r="O556" s="63"/>
      <c r="P556" s="85">
        <f t="shared" ref="P556" si="915">SUM(L556:O556)</f>
        <v>0</v>
      </c>
      <c r="Q556" s="15"/>
      <c r="R556" s="16"/>
      <c r="S556" s="16"/>
      <c r="T556" s="63"/>
      <c r="U556" s="85">
        <f t="shared" ref="U556" si="916">SUM(Q556:T556)</f>
        <v>0</v>
      </c>
      <c r="V556" s="15"/>
      <c r="W556" s="16"/>
      <c r="X556" s="16"/>
      <c r="Y556" s="63"/>
      <c r="Z556" s="85">
        <f t="shared" ref="Z556" si="917">SUM(V556:Y556)</f>
        <v>0</v>
      </c>
      <c r="AA556" s="105">
        <f t="shared" ref="AA556" si="918">Z556+U556+P556+K556+F556</f>
        <v>0</v>
      </c>
      <c r="AC556" s="23" t="s">
        <v>470</v>
      </c>
      <c r="AD556" s="18"/>
      <c r="AE556" s="19"/>
      <c r="AF556" s="20"/>
      <c r="AG556" s="20"/>
      <c r="AH556" s="85">
        <f t="shared" si="891"/>
        <v>0</v>
      </c>
      <c r="AI556" s="18"/>
      <c r="AJ556" s="19"/>
      <c r="AK556" s="20"/>
      <c r="AL556" s="20"/>
      <c r="AM556" s="85">
        <f t="shared" si="892"/>
        <v>0</v>
      </c>
      <c r="AN556" s="15"/>
      <c r="AO556" s="16"/>
      <c r="AP556" s="16"/>
      <c r="AQ556" s="232"/>
      <c r="AR556" s="85">
        <f t="shared" si="893"/>
        <v>0</v>
      </c>
      <c r="AS556" s="15"/>
      <c r="AT556" s="16"/>
      <c r="AU556" s="16"/>
      <c r="AV556" s="232"/>
      <c r="AW556" s="85">
        <f t="shared" si="894"/>
        <v>0</v>
      </c>
      <c r="AX556" s="15"/>
      <c r="AY556" s="16"/>
      <c r="AZ556" s="16"/>
      <c r="BA556" s="232"/>
      <c r="BB556" s="85">
        <f t="shared" si="895"/>
        <v>0</v>
      </c>
      <c r="BC556" s="105">
        <f t="shared" si="896"/>
        <v>0</v>
      </c>
      <c r="BD556" s="76" t="s">
        <v>505</v>
      </c>
    </row>
    <row r="557" spans="1:56" ht="14.25" thickBot="1" x14ac:dyDescent="0.2">
      <c r="A557" s="27" t="s">
        <v>12</v>
      </c>
      <c r="B557" s="57">
        <f>SUM(B531:B556)</f>
        <v>3</v>
      </c>
      <c r="C557" s="50">
        <f t="shared" ref="C557:D557" si="919">SUM(C531:C556)</f>
        <v>10</v>
      </c>
      <c r="D557" s="50">
        <f t="shared" si="919"/>
        <v>2</v>
      </c>
      <c r="E557" s="50">
        <f>SUM(E531:E556)</f>
        <v>0</v>
      </c>
      <c r="F557" s="88">
        <f t="shared" si="885"/>
        <v>15</v>
      </c>
      <c r="G557" s="57">
        <f>SUM(G531:G556)</f>
        <v>5</v>
      </c>
      <c r="H557" s="50">
        <f t="shared" ref="H557:I557" si="920">SUM(H531:H556)</f>
        <v>7</v>
      </c>
      <c r="I557" s="50">
        <f t="shared" si="920"/>
        <v>6</v>
      </c>
      <c r="J557" s="50">
        <f>SUM(J531:J556)</f>
        <v>1</v>
      </c>
      <c r="K557" s="88">
        <f t="shared" si="886"/>
        <v>19</v>
      </c>
      <c r="L557" s="57">
        <f>SUM(L531:L556)</f>
        <v>5</v>
      </c>
      <c r="M557" s="50">
        <f t="shared" ref="M557:N557" si="921">SUM(M531:M556)</f>
        <v>6</v>
      </c>
      <c r="N557" s="50">
        <f t="shared" si="921"/>
        <v>4</v>
      </c>
      <c r="O557" s="50">
        <f>SUM(O531:O556)</f>
        <v>3</v>
      </c>
      <c r="P557" s="88">
        <f t="shared" si="887"/>
        <v>18</v>
      </c>
      <c r="Q557" s="57">
        <f>SUM(Q531:Q556)</f>
        <v>5</v>
      </c>
      <c r="R557" s="50">
        <f t="shared" ref="R557:S557" si="922">SUM(R531:R556)</f>
        <v>10</v>
      </c>
      <c r="S557" s="50">
        <f t="shared" si="922"/>
        <v>4</v>
      </c>
      <c r="T557" s="50">
        <f>SUM(T531:T556)</f>
        <v>1</v>
      </c>
      <c r="U557" s="88">
        <f t="shared" si="888"/>
        <v>20</v>
      </c>
      <c r="V557" s="57">
        <f>SUM(V531:V556)</f>
        <v>8</v>
      </c>
      <c r="W557" s="50">
        <f t="shared" ref="W557:X557" si="923">SUM(W531:W556)</f>
        <v>16</v>
      </c>
      <c r="X557" s="50">
        <f t="shared" si="923"/>
        <v>4</v>
      </c>
      <c r="Y557" s="50">
        <f>SUM(Y531:Y556)</f>
        <v>5</v>
      </c>
      <c r="Z557" s="88">
        <f t="shared" si="889"/>
        <v>33</v>
      </c>
      <c r="AA557" s="109">
        <f t="shared" si="890"/>
        <v>105</v>
      </c>
      <c r="AC557" s="27" t="s">
        <v>419</v>
      </c>
      <c r="AD557" s="57">
        <f>SUM(AD531:AD556)</f>
        <v>7</v>
      </c>
      <c r="AE557" s="50">
        <f t="shared" ref="AE557:AF557" si="924">SUM(AE531:AE556)</f>
        <v>14</v>
      </c>
      <c r="AF557" s="50">
        <f t="shared" si="924"/>
        <v>13</v>
      </c>
      <c r="AG557" s="50">
        <f>SUM(AG531:AG556)</f>
        <v>7</v>
      </c>
      <c r="AH557" s="88">
        <f t="shared" si="891"/>
        <v>41</v>
      </c>
      <c r="AI557" s="57">
        <f>SUM(AI531:AI556)</f>
        <v>12</v>
      </c>
      <c r="AJ557" s="50">
        <f t="shared" ref="AJ557:AK557" si="925">SUM(AJ531:AJ556)</f>
        <v>9</v>
      </c>
      <c r="AK557" s="50">
        <f t="shared" si="925"/>
        <v>18</v>
      </c>
      <c r="AL557" s="50">
        <f>SUM(AL531:AL556)</f>
        <v>7</v>
      </c>
      <c r="AM557" s="88">
        <f t="shared" si="892"/>
        <v>46</v>
      </c>
      <c r="AN557" s="57">
        <f>SUM(AN531:AN556)</f>
        <v>13</v>
      </c>
      <c r="AO557" s="50">
        <f t="shared" ref="AO557:AP557" si="926">SUM(AO531:AO556)</f>
        <v>11</v>
      </c>
      <c r="AP557" s="50">
        <f t="shared" si="926"/>
        <v>15</v>
      </c>
      <c r="AQ557" s="50">
        <f>SUM(AQ531:AQ556)</f>
        <v>15</v>
      </c>
      <c r="AR557" s="88">
        <f t="shared" si="893"/>
        <v>54</v>
      </c>
      <c r="AS557" s="57">
        <f>SUM(AS531:AS556)</f>
        <v>20</v>
      </c>
      <c r="AT557" s="50">
        <f t="shared" ref="AT557:AU557" si="927">SUM(AT531:AT556)</f>
        <v>18</v>
      </c>
      <c r="AU557" s="50">
        <f t="shared" si="927"/>
        <v>17</v>
      </c>
      <c r="AV557" s="50">
        <f>SUM(AV531:AV556)</f>
        <v>13</v>
      </c>
      <c r="AW557" s="88">
        <f t="shared" si="894"/>
        <v>68</v>
      </c>
      <c r="AX557" s="57">
        <f>SUM(AX531:AX556)</f>
        <v>27</v>
      </c>
      <c r="AY557" s="50">
        <f t="shared" ref="AY557:AZ557" si="928">SUM(AY531:AY556)</f>
        <v>36</v>
      </c>
      <c r="AZ557" s="50">
        <f t="shared" si="928"/>
        <v>30</v>
      </c>
      <c r="BA557" s="50">
        <f>SUM(BA531:BA556)</f>
        <v>16</v>
      </c>
      <c r="BB557" s="88">
        <f t="shared" si="895"/>
        <v>109</v>
      </c>
      <c r="BC557" s="109">
        <f t="shared" si="896"/>
        <v>318</v>
      </c>
    </row>
    <row r="558" spans="1:56" ht="14.25" thickBot="1" x14ac:dyDescent="0.2">
      <c r="A558" s="21" t="s">
        <v>13</v>
      </c>
      <c r="B558" s="101">
        <f>B530-B557</f>
        <v>5</v>
      </c>
      <c r="C558" s="8">
        <f t="shared" ref="C558:D558" si="929">C530-C557</f>
        <v>2</v>
      </c>
      <c r="D558" s="8">
        <f t="shared" si="929"/>
        <v>5</v>
      </c>
      <c r="E558" s="8">
        <f>E530-E557</f>
        <v>5</v>
      </c>
      <c r="F558" s="87">
        <f t="shared" si="885"/>
        <v>17</v>
      </c>
      <c r="G558" s="101">
        <f>G530-G557</f>
        <v>3</v>
      </c>
      <c r="H558" s="8">
        <f t="shared" ref="H558:I558" si="930">H530-H557</f>
        <v>3</v>
      </c>
      <c r="I558" s="8">
        <f t="shared" si="930"/>
        <v>7</v>
      </c>
      <c r="J558" s="8">
        <f>J530-J557</f>
        <v>7</v>
      </c>
      <c r="K558" s="87">
        <f t="shared" si="886"/>
        <v>20</v>
      </c>
      <c r="L558" s="101">
        <f>L530-L557</f>
        <v>1</v>
      </c>
      <c r="M558" s="8">
        <f t="shared" ref="M558:N558" si="931">M530-M557</f>
        <v>4</v>
      </c>
      <c r="N558" s="8">
        <f t="shared" si="931"/>
        <v>8</v>
      </c>
      <c r="O558" s="8">
        <f>O530-O557</f>
        <v>6</v>
      </c>
      <c r="P558" s="87">
        <f t="shared" si="887"/>
        <v>19</v>
      </c>
      <c r="Q558" s="101">
        <f>Q530-Q557</f>
        <v>5</v>
      </c>
      <c r="R558" s="8">
        <f t="shared" ref="R558:S558" si="932">R530-R557</f>
        <v>6</v>
      </c>
      <c r="S558" s="8">
        <f t="shared" si="932"/>
        <v>5</v>
      </c>
      <c r="T558" s="8">
        <f>T530-T557</f>
        <v>5</v>
      </c>
      <c r="U558" s="87">
        <f t="shared" si="888"/>
        <v>21</v>
      </c>
      <c r="V558" s="101">
        <f>V530-V557</f>
        <v>4</v>
      </c>
      <c r="W558" s="8">
        <f t="shared" ref="W558:X558" si="933">W530-W557</f>
        <v>6</v>
      </c>
      <c r="X558" s="8">
        <f t="shared" si="933"/>
        <v>8</v>
      </c>
      <c r="Y558" s="8">
        <f>Y530-Y557</f>
        <v>2</v>
      </c>
      <c r="Z558" s="87">
        <f t="shared" si="889"/>
        <v>20</v>
      </c>
      <c r="AA558" s="107">
        <f t="shared" si="890"/>
        <v>97</v>
      </c>
      <c r="AC558" s="29" t="s">
        <v>13</v>
      </c>
      <c r="AD558" s="32">
        <f>AD530-AD557</f>
        <v>1431</v>
      </c>
      <c r="AE558" s="44">
        <f t="shared" ref="AE558:AF558" si="934">AE530-AE557</f>
        <v>1407</v>
      </c>
      <c r="AF558" s="44">
        <f t="shared" si="934"/>
        <v>573</v>
      </c>
      <c r="AG558" s="44">
        <f>AG530-AG557</f>
        <v>409</v>
      </c>
      <c r="AH558" s="87">
        <f t="shared" si="891"/>
        <v>3820</v>
      </c>
      <c r="AI558" s="32">
        <f>AI530-AI557</f>
        <v>1389</v>
      </c>
      <c r="AJ558" s="44">
        <f t="shared" ref="AJ558:AK558" si="935">AJ530-AJ557</f>
        <v>1326</v>
      </c>
      <c r="AK558" s="44">
        <f t="shared" si="935"/>
        <v>600</v>
      </c>
      <c r="AL558" s="44">
        <f>AL530-AL557</f>
        <v>421</v>
      </c>
      <c r="AM558" s="87">
        <f t="shared" si="892"/>
        <v>3736</v>
      </c>
      <c r="AN558" s="32">
        <f>AN530-AN557</f>
        <v>391</v>
      </c>
      <c r="AO558" s="44">
        <f t="shared" ref="AO558:AP558" si="936">AO530-AO557</f>
        <v>347</v>
      </c>
      <c r="AP558" s="44">
        <f t="shared" si="936"/>
        <v>247</v>
      </c>
      <c r="AQ558" s="44">
        <f>AQ530-AQ557</f>
        <v>381</v>
      </c>
      <c r="AR558" s="87">
        <f t="shared" si="893"/>
        <v>1366</v>
      </c>
      <c r="AS558" s="32">
        <f>AS530-AS557</f>
        <v>1354</v>
      </c>
      <c r="AT558" s="44">
        <f t="shared" ref="AT558:AU558" si="937">AT530-AT557</f>
        <v>1252</v>
      </c>
      <c r="AU558" s="44">
        <f t="shared" si="937"/>
        <v>610</v>
      </c>
      <c r="AV558" s="44">
        <f>AV530-AV557</f>
        <v>535</v>
      </c>
      <c r="AW558" s="87">
        <f t="shared" si="894"/>
        <v>3751</v>
      </c>
      <c r="AX558" s="32">
        <f>AX530-AX557</f>
        <v>497</v>
      </c>
      <c r="AY558" s="44">
        <f t="shared" ref="AY558:AZ558" si="938">AY530-AY557</f>
        <v>559</v>
      </c>
      <c r="AZ558" s="44">
        <f t="shared" si="938"/>
        <v>389</v>
      </c>
      <c r="BA558" s="44">
        <f>BA530-BA557</f>
        <v>143</v>
      </c>
      <c r="BB558" s="87">
        <f t="shared" si="895"/>
        <v>1588</v>
      </c>
      <c r="BC558" s="107">
        <f t="shared" si="896"/>
        <v>14261</v>
      </c>
    </row>
    <row r="561" spans="1:56" ht="19.5" thickBot="1" x14ac:dyDescent="0.25">
      <c r="A561" s="271" t="s">
        <v>22</v>
      </c>
      <c r="B561" s="271"/>
      <c r="C561" s="271"/>
      <c r="D561" s="271"/>
      <c r="E561" s="271"/>
      <c r="F561" s="271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C561" s="79" t="s">
        <v>69</v>
      </c>
      <c r="AD561" s="79"/>
      <c r="AE561" s="79"/>
      <c r="AF561" s="79"/>
      <c r="AG561" s="79"/>
      <c r="AH561" s="79"/>
      <c r="AI561" s="93"/>
      <c r="AJ561" s="93"/>
      <c r="AK561" s="93"/>
      <c r="AL561" s="93"/>
      <c r="AM561" s="93"/>
      <c r="AN561" s="93"/>
      <c r="AO561" s="93"/>
      <c r="AP561" s="93"/>
      <c r="AQ561" s="93"/>
      <c r="AR561" s="93"/>
      <c r="AS561" s="93"/>
      <c r="AT561" s="78"/>
      <c r="AU561" s="78"/>
      <c r="AV561" s="78"/>
      <c r="AW561" s="78"/>
      <c r="AX561" s="78"/>
      <c r="AY561" s="78"/>
      <c r="AZ561" s="78"/>
      <c r="BA561" s="78"/>
      <c r="BB561" s="78"/>
      <c r="BC561" s="78"/>
    </row>
    <row r="562" spans="1:56" ht="14.25" thickBot="1" x14ac:dyDescent="0.2">
      <c r="A562" s="2" t="s">
        <v>0</v>
      </c>
      <c r="B562" s="256" t="s">
        <v>23</v>
      </c>
      <c r="C562" s="257"/>
      <c r="D562" s="257"/>
      <c r="E562" s="258"/>
      <c r="F562" s="81"/>
      <c r="G562" s="259" t="s">
        <v>24</v>
      </c>
      <c r="H562" s="260"/>
      <c r="I562" s="260"/>
      <c r="J562" s="261"/>
      <c r="K562" s="81"/>
      <c r="L562" s="262" t="s">
        <v>25</v>
      </c>
      <c r="M562" s="263"/>
      <c r="N562" s="263"/>
      <c r="O562" s="264"/>
      <c r="P562" s="81"/>
      <c r="Q562" s="265" t="s">
        <v>26</v>
      </c>
      <c r="R562" s="266"/>
      <c r="S562" s="266"/>
      <c r="T562" s="267"/>
      <c r="U562" s="81"/>
      <c r="V562" s="268" t="s">
        <v>27</v>
      </c>
      <c r="W562" s="269"/>
      <c r="X562" s="269"/>
      <c r="Y562" s="270"/>
      <c r="Z562" s="81"/>
      <c r="AA562" s="272" t="s">
        <v>6</v>
      </c>
      <c r="AC562" s="2" t="s">
        <v>0</v>
      </c>
      <c r="AD562" s="256" t="s">
        <v>23</v>
      </c>
      <c r="AE562" s="257"/>
      <c r="AF562" s="257"/>
      <c r="AG562" s="258"/>
      <c r="AH562" s="81"/>
      <c r="AI562" s="259" t="s">
        <v>24</v>
      </c>
      <c r="AJ562" s="260"/>
      <c r="AK562" s="260"/>
      <c r="AL562" s="261"/>
      <c r="AM562" s="81"/>
      <c r="AN562" s="262" t="s">
        <v>25</v>
      </c>
      <c r="AO562" s="263"/>
      <c r="AP562" s="263"/>
      <c r="AQ562" s="264"/>
      <c r="AR562" s="81"/>
      <c r="AS562" s="265" t="s">
        <v>26</v>
      </c>
      <c r="AT562" s="266"/>
      <c r="AU562" s="266"/>
      <c r="AV562" s="267"/>
      <c r="AW562" s="81"/>
      <c r="AX562" s="268" t="s">
        <v>27</v>
      </c>
      <c r="AY562" s="269"/>
      <c r="AZ562" s="269"/>
      <c r="BA562" s="270"/>
      <c r="BB562" s="81"/>
      <c r="BC562" s="183" t="s">
        <v>6</v>
      </c>
    </row>
    <row r="563" spans="1:56" ht="14.25" thickBot="1" x14ac:dyDescent="0.2">
      <c r="A563" s="2" t="s">
        <v>2</v>
      </c>
      <c r="B563" s="3" t="s">
        <v>3</v>
      </c>
      <c r="C563" s="4" t="s">
        <v>4</v>
      </c>
      <c r="D563" s="5" t="s">
        <v>5</v>
      </c>
      <c r="E563" s="5" t="s">
        <v>20</v>
      </c>
      <c r="F563" s="82" t="s">
        <v>6</v>
      </c>
      <c r="G563" s="89" t="s">
        <v>3</v>
      </c>
      <c r="H563" s="4" t="s">
        <v>4</v>
      </c>
      <c r="I563" s="5" t="s">
        <v>5</v>
      </c>
      <c r="J563" s="5" t="s">
        <v>20</v>
      </c>
      <c r="K563" s="82" t="s">
        <v>6</v>
      </c>
      <c r="L563" s="89" t="s">
        <v>3</v>
      </c>
      <c r="M563" s="4" t="s">
        <v>4</v>
      </c>
      <c r="N563" s="5" t="s">
        <v>5</v>
      </c>
      <c r="O563" s="5" t="s">
        <v>20</v>
      </c>
      <c r="P563" s="82" t="s">
        <v>6</v>
      </c>
      <c r="Q563" s="89" t="s">
        <v>3</v>
      </c>
      <c r="R563" s="4" t="s">
        <v>4</v>
      </c>
      <c r="S563" s="5" t="s">
        <v>5</v>
      </c>
      <c r="T563" s="5" t="s">
        <v>20</v>
      </c>
      <c r="U563" s="82" t="s">
        <v>6</v>
      </c>
      <c r="V563" s="89" t="s">
        <v>3</v>
      </c>
      <c r="W563" s="4" t="s">
        <v>4</v>
      </c>
      <c r="X563" s="5" t="s">
        <v>5</v>
      </c>
      <c r="Y563" s="5" t="s">
        <v>20</v>
      </c>
      <c r="Z563" s="82" t="s">
        <v>6</v>
      </c>
      <c r="AA563" s="273"/>
      <c r="AC563" s="2" t="s">
        <v>2</v>
      </c>
      <c r="AD563" s="3" t="s">
        <v>3</v>
      </c>
      <c r="AE563" s="4" t="s">
        <v>4</v>
      </c>
      <c r="AF563" s="5" t="s">
        <v>5</v>
      </c>
      <c r="AG563" s="5" t="s">
        <v>20</v>
      </c>
      <c r="AH563" s="82" t="s">
        <v>6</v>
      </c>
      <c r="AI563" s="89" t="s">
        <v>3</v>
      </c>
      <c r="AJ563" s="4" t="s">
        <v>4</v>
      </c>
      <c r="AK563" s="5" t="s">
        <v>5</v>
      </c>
      <c r="AL563" s="5" t="s">
        <v>20</v>
      </c>
      <c r="AM563" s="82" t="s">
        <v>6</v>
      </c>
      <c r="AN563" s="89" t="s">
        <v>3</v>
      </c>
      <c r="AO563" s="4" t="s">
        <v>4</v>
      </c>
      <c r="AP563" s="5" t="s">
        <v>5</v>
      </c>
      <c r="AQ563" s="5" t="s">
        <v>20</v>
      </c>
      <c r="AR563" s="82" t="s">
        <v>6</v>
      </c>
      <c r="AS563" s="89" t="s">
        <v>3</v>
      </c>
      <c r="AT563" s="4" t="s">
        <v>4</v>
      </c>
      <c r="AU563" s="5" t="s">
        <v>5</v>
      </c>
      <c r="AV563" s="5" t="s">
        <v>20</v>
      </c>
      <c r="AW563" s="82" t="s">
        <v>6</v>
      </c>
      <c r="AX563" s="89" t="s">
        <v>3</v>
      </c>
      <c r="AY563" s="4" t="s">
        <v>4</v>
      </c>
      <c r="AZ563" s="5" t="s">
        <v>5</v>
      </c>
      <c r="BA563" s="5" t="s">
        <v>20</v>
      </c>
      <c r="BB563" s="82" t="s">
        <v>6</v>
      </c>
      <c r="BC563" s="184"/>
    </row>
    <row r="564" spans="1:56" x14ac:dyDescent="0.15">
      <c r="A564" s="40" t="s">
        <v>13</v>
      </c>
      <c r="B564" s="41">
        <f>B558</f>
        <v>5</v>
      </c>
      <c r="C564" s="42">
        <f>C558</f>
        <v>2</v>
      </c>
      <c r="D564" s="42">
        <f t="shared" ref="D564:AA564" si="939">D558</f>
        <v>5</v>
      </c>
      <c r="E564" s="94">
        <f t="shared" si="939"/>
        <v>5</v>
      </c>
      <c r="F564" s="95">
        <f t="shared" si="939"/>
        <v>17</v>
      </c>
      <c r="G564" s="96">
        <f t="shared" si="939"/>
        <v>3</v>
      </c>
      <c r="H564" s="42">
        <f t="shared" si="939"/>
        <v>3</v>
      </c>
      <c r="I564" s="42">
        <f t="shared" si="939"/>
        <v>7</v>
      </c>
      <c r="J564" s="94">
        <f t="shared" si="939"/>
        <v>7</v>
      </c>
      <c r="K564" s="95">
        <f t="shared" si="939"/>
        <v>20</v>
      </c>
      <c r="L564" s="96">
        <f t="shared" si="939"/>
        <v>1</v>
      </c>
      <c r="M564" s="42">
        <f t="shared" si="939"/>
        <v>4</v>
      </c>
      <c r="N564" s="42">
        <f t="shared" si="939"/>
        <v>8</v>
      </c>
      <c r="O564" s="94">
        <f t="shared" si="939"/>
        <v>6</v>
      </c>
      <c r="P564" s="95">
        <f t="shared" si="939"/>
        <v>19</v>
      </c>
      <c r="Q564" s="96">
        <f t="shared" si="939"/>
        <v>5</v>
      </c>
      <c r="R564" s="42">
        <f t="shared" si="939"/>
        <v>6</v>
      </c>
      <c r="S564" s="42">
        <f t="shared" si="939"/>
        <v>5</v>
      </c>
      <c r="T564" s="94">
        <f t="shared" si="939"/>
        <v>5</v>
      </c>
      <c r="U564" s="95">
        <f t="shared" si="939"/>
        <v>21</v>
      </c>
      <c r="V564" s="96">
        <f t="shared" si="939"/>
        <v>4</v>
      </c>
      <c r="W564" s="42">
        <f t="shared" si="939"/>
        <v>6</v>
      </c>
      <c r="X564" s="42">
        <f t="shared" si="939"/>
        <v>8</v>
      </c>
      <c r="Y564" s="94">
        <f t="shared" si="939"/>
        <v>2</v>
      </c>
      <c r="Z564" s="95">
        <f t="shared" si="939"/>
        <v>20</v>
      </c>
      <c r="AA564" s="104">
        <f t="shared" si="939"/>
        <v>97</v>
      </c>
      <c r="AC564" s="131" t="s">
        <v>13</v>
      </c>
      <c r="AD564" s="96">
        <f>AD558</f>
        <v>1431</v>
      </c>
      <c r="AE564" s="42">
        <f>AE558</f>
        <v>1407</v>
      </c>
      <c r="AF564" s="42">
        <f t="shared" ref="AF564:BC564" si="940">AF558</f>
        <v>573</v>
      </c>
      <c r="AG564" s="94">
        <f t="shared" si="940"/>
        <v>409</v>
      </c>
      <c r="AH564" s="95">
        <f t="shared" si="940"/>
        <v>3820</v>
      </c>
      <c r="AI564" s="96">
        <f t="shared" si="940"/>
        <v>1389</v>
      </c>
      <c r="AJ564" s="42">
        <f t="shared" si="940"/>
        <v>1326</v>
      </c>
      <c r="AK564" s="42">
        <f t="shared" si="940"/>
        <v>600</v>
      </c>
      <c r="AL564" s="94">
        <f t="shared" si="940"/>
        <v>421</v>
      </c>
      <c r="AM564" s="95">
        <f t="shared" si="940"/>
        <v>3736</v>
      </c>
      <c r="AN564" s="96">
        <f t="shared" si="940"/>
        <v>391</v>
      </c>
      <c r="AO564" s="42">
        <f t="shared" si="940"/>
        <v>347</v>
      </c>
      <c r="AP564" s="42">
        <f t="shared" si="940"/>
        <v>247</v>
      </c>
      <c r="AQ564" s="94">
        <f t="shared" si="940"/>
        <v>381</v>
      </c>
      <c r="AR564" s="95">
        <f t="shared" si="940"/>
        <v>1366</v>
      </c>
      <c r="AS564" s="96">
        <f t="shared" si="940"/>
        <v>1354</v>
      </c>
      <c r="AT564" s="42">
        <f t="shared" si="940"/>
        <v>1252</v>
      </c>
      <c r="AU564" s="42">
        <f t="shared" si="940"/>
        <v>610</v>
      </c>
      <c r="AV564" s="94">
        <f t="shared" si="940"/>
        <v>535</v>
      </c>
      <c r="AW564" s="95">
        <f t="shared" si="940"/>
        <v>3751</v>
      </c>
      <c r="AX564" s="96">
        <f t="shared" si="940"/>
        <v>497</v>
      </c>
      <c r="AY564" s="42">
        <f t="shared" si="940"/>
        <v>559</v>
      </c>
      <c r="AZ564" s="42">
        <f t="shared" si="940"/>
        <v>389</v>
      </c>
      <c r="BA564" s="94">
        <f t="shared" si="940"/>
        <v>143</v>
      </c>
      <c r="BB564" s="95">
        <f t="shared" si="940"/>
        <v>1588</v>
      </c>
      <c r="BC564" s="104">
        <f t="shared" si="940"/>
        <v>14261</v>
      </c>
    </row>
    <row r="565" spans="1:56" x14ac:dyDescent="0.15">
      <c r="A565" s="9" t="s">
        <v>7</v>
      </c>
      <c r="B565" s="10"/>
      <c r="C565" s="11"/>
      <c r="D565" s="12"/>
      <c r="E565" s="12"/>
      <c r="F565" s="85">
        <f t="shared" ref="F565:F598" si="941">SUM(B565:E565)</f>
        <v>0</v>
      </c>
      <c r="G565" s="90"/>
      <c r="H565" s="11"/>
      <c r="I565" s="12"/>
      <c r="J565" s="12"/>
      <c r="K565" s="85">
        <f t="shared" ref="K565:K598" si="942">SUM(G565:J565)</f>
        <v>0</v>
      </c>
      <c r="L565" s="90">
        <v>5</v>
      </c>
      <c r="M565" s="11">
        <v>5</v>
      </c>
      <c r="N565" s="12"/>
      <c r="O565" s="12"/>
      <c r="P565" s="85">
        <f t="shared" ref="P565:P598" si="943">SUM(L565:O565)</f>
        <v>10</v>
      </c>
      <c r="Q565" s="90"/>
      <c r="R565" s="11"/>
      <c r="S565" s="12"/>
      <c r="T565" s="12"/>
      <c r="U565" s="85">
        <f t="shared" ref="U565:U598" si="944">SUM(Q565:T565)</f>
        <v>0</v>
      </c>
      <c r="V565" s="90"/>
      <c r="W565" s="11"/>
      <c r="X565" s="12"/>
      <c r="Y565" s="12"/>
      <c r="Z565" s="85">
        <f t="shared" ref="Z565:Z598" si="945">SUM(V565:Y565)</f>
        <v>0</v>
      </c>
      <c r="AA565" s="105">
        <f t="shared" ref="AA565:AA598" si="946">Z565+U565+P565+K565+F565</f>
        <v>10</v>
      </c>
      <c r="AB565" s="114">
        <v>45931</v>
      </c>
      <c r="AC565" s="117" t="s">
        <v>158</v>
      </c>
      <c r="AD565" s="90">
        <v>7</v>
      </c>
      <c r="AE565" s="11"/>
      <c r="AF565" s="12">
        <v>4</v>
      </c>
      <c r="AG565" s="12">
        <v>7</v>
      </c>
      <c r="AH565" s="84">
        <f t="shared" ref="AH565:AH598" si="947">SUM(AD565:AG565)</f>
        <v>18</v>
      </c>
      <c r="AI565" s="90">
        <v>7</v>
      </c>
      <c r="AJ565" s="11"/>
      <c r="AK565" s="12">
        <v>4</v>
      </c>
      <c r="AL565" s="12">
        <v>7</v>
      </c>
      <c r="AM565" s="84">
        <f t="shared" ref="AM565:AM598" si="948">SUM(AI565:AL565)</f>
        <v>18</v>
      </c>
      <c r="AN565" s="90"/>
      <c r="AO565" s="11"/>
      <c r="AP565" s="12"/>
      <c r="AQ565" s="12"/>
      <c r="AR565" s="84">
        <f t="shared" ref="AR565:AR598" si="949">SUM(AN565:AQ565)</f>
        <v>0</v>
      </c>
      <c r="AS565" s="90"/>
      <c r="AT565" s="11"/>
      <c r="AU565" s="12"/>
      <c r="AV565" s="12"/>
      <c r="AW565" s="84">
        <f t="shared" ref="AW565:AW598" si="950">SUM(AS565:AV565)</f>
        <v>0</v>
      </c>
      <c r="AX565" s="90">
        <v>7</v>
      </c>
      <c r="AY565" s="11"/>
      <c r="AZ565" s="12">
        <v>4</v>
      </c>
      <c r="BA565" s="12">
        <v>7</v>
      </c>
      <c r="BB565" s="84">
        <f t="shared" ref="BB565:BB598" si="951">SUM(AX565:BA565)</f>
        <v>18</v>
      </c>
      <c r="BC565" s="105">
        <f t="shared" ref="BC565:BC598" si="952">BB565+AW565+AR565+AM565+AH565</f>
        <v>54</v>
      </c>
      <c r="BD565" s="114">
        <v>45947</v>
      </c>
    </row>
    <row r="566" spans="1:56" x14ac:dyDescent="0.15">
      <c r="A566" s="9" t="s">
        <v>8</v>
      </c>
      <c r="B566" s="10"/>
      <c r="C566" s="11">
        <v>5</v>
      </c>
      <c r="D566" s="12"/>
      <c r="E566" s="12"/>
      <c r="F566" s="85">
        <f t="shared" si="941"/>
        <v>5</v>
      </c>
      <c r="G566" s="90">
        <v>5</v>
      </c>
      <c r="H566" s="11">
        <v>5</v>
      </c>
      <c r="I566" s="12"/>
      <c r="J566" s="12"/>
      <c r="K566" s="85">
        <f t="shared" si="942"/>
        <v>10</v>
      </c>
      <c r="L566" s="90"/>
      <c r="M566" s="11"/>
      <c r="N566" s="12"/>
      <c r="O566" s="12"/>
      <c r="P566" s="85">
        <f t="shared" si="943"/>
        <v>0</v>
      </c>
      <c r="Q566" s="90"/>
      <c r="R566" s="11"/>
      <c r="S566" s="12"/>
      <c r="T566" s="12"/>
      <c r="U566" s="85">
        <f t="shared" si="944"/>
        <v>0</v>
      </c>
      <c r="V566" s="90">
        <v>5</v>
      </c>
      <c r="W566" s="11"/>
      <c r="X566" s="12"/>
      <c r="Y566" s="12"/>
      <c r="Z566" s="85">
        <f t="shared" si="945"/>
        <v>5</v>
      </c>
      <c r="AA566" s="105">
        <f t="shared" si="946"/>
        <v>20</v>
      </c>
      <c r="AB566" s="114">
        <v>45934</v>
      </c>
      <c r="AC566" s="117" t="s">
        <v>158</v>
      </c>
      <c r="AD566" s="90"/>
      <c r="AE566" s="11"/>
      <c r="AF566" s="12"/>
      <c r="AG566" s="12"/>
      <c r="AH566" s="84">
        <f t="shared" si="947"/>
        <v>0</v>
      </c>
      <c r="AI566" s="90"/>
      <c r="AJ566" s="11"/>
      <c r="AK566" s="12"/>
      <c r="AL566" s="12"/>
      <c r="AM566" s="84">
        <f t="shared" si="948"/>
        <v>0</v>
      </c>
      <c r="AN566" s="90">
        <v>3</v>
      </c>
      <c r="AO566" s="11">
        <v>4</v>
      </c>
      <c r="AP566" s="12">
        <v>7</v>
      </c>
      <c r="AQ566" s="12">
        <v>7</v>
      </c>
      <c r="AR566" s="84">
        <f t="shared" si="949"/>
        <v>21</v>
      </c>
      <c r="AS566" s="90">
        <v>3</v>
      </c>
      <c r="AT566" s="11">
        <v>4</v>
      </c>
      <c r="AU566" s="12">
        <v>7</v>
      </c>
      <c r="AV566" s="12">
        <v>7</v>
      </c>
      <c r="AW566" s="84">
        <f t="shared" si="950"/>
        <v>21</v>
      </c>
      <c r="AX566" s="90">
        <v>3</v>
      </c>
      <c r="AY566" s="11">
        <v>4</v>
      </c>
      <c r="AZ566" s="12">
        <v>7</v>
      </c>
      <c r="BA566" s="12">
        <v>7</v>
      </c>
      <c r="BB566" s="84">
        <f t="shared" si="951"/>
        <v>21</v>
      </c>
      <c r="BC566" s="105">
        <f t="shared" si="952"/>
        <v>63</v>
      </c>
      <c r="BD566" s="114">
        <v>45947</v>
      </c>
    </row>
    <row r="567" spans="1:56" x14ac:dyDescent="0.15">
      <c r="A567" s="233" t="s">
        <v>9</v>
      </c>
      <c r="B567" s="234">
        <v>3</v>
      </c>
      <c r="C567" s="235"/>
      <c r="D567" s="236"/>
      <c r="E567" s="236"/>
      <c r="F567" s="237">
        <f t="shared" si="941"/>
        <v>3</v>
      </c>
      <c r="G567" s="238"/>
      <c r="H567" s="235"/>
      <c r="I567" s="236"/>
      <c r="J567" s="236"/>
      <c r="K567" s="237">
        <f t="shared" si="942"/>
        <v>0</v>
      </c>
      <c r="L567" s="238">
        <v>3</v>
      </c>
      <c r="M567" s="235"/>
      <c r="N567" s="236"/>
      <c r="O567" s="236"/>
      <c r="P567" s="237">
        <f t="shared" si="943"/>
        <v>3</v>
      </c>
      <c r="Q567" s="238">
        <v>3</v>
      </c>
      <c r="R567" s="235"/>
      <c r="S567" s="236"/>
      <c r="T567" s="236"/>
      <c r="U567" s="237">
        <f t="shared" si="944"/>
        <v>3</v>
      </c>
      <c r="V567" s="238"/>
      <c r="W567" s="235"/>
      <c r="X567" s="236"/>
      <c r="Y567" s="236">
        <v>5</v>
      </c>
      <c r="Z567" s="237">
        <f t="shared" si="945"/>
        <v>5</v>
      </c>
      <c r="AA567" s="239">
        <f t="shared" si="946"/>
        <v>14</v>
      </c>
      <c r="AB567" s="240">
        <v>45939</v>
      </c>
      <c r="AC567" s="117" t="s">
        <v>354</v>
      </c>
      <c r="AD567" s="90"/>
      <c r="AE567" s="11"/>
      <c r="AF567" s="12"/>
      <c r="AG567" s="12"/>
      <c r="AH567" s="84">
        <f t="shared" si="947"/>
        <v>0</v>
      </c>
      <c r="AI567" s="90"/>
      <c r="AJ567" s="11"/>
      <c r="AK567" s="12"/>
      <c r="AL567" s="12"/>
      <c r="AM567" s="84">
        <f t="shared" si="948"/>
        <v>0</v>
      </c>
      <c r="AN567" s="90"/>
      <c r="AO567" s="11"/>
      <c r="AP567" s="12"/>
      <c r="AQ567" s="12"/>
      <c r="AR567" s="84">
        <f t="shared" si="949"/>
        <v>0</v>
      </c>
      <c r="AS567" s="90"/>
      <c r="AT567" s="11"/>
      <c r="AU567" s="12"/>
      <c r="AV567" s="12"/>
      <c r="AW567" s="84">
        <f t="shared" si="950"/>
        <v>0</v>
      </c>
      <c r="AX567" s="90"/>
      <c r="AY567" s="11"/>
      <c r="AZ567" s="12"/>
      <c r="BA567" s="12"/>
      <c r="BB567" s="84">
        <f t="shared" si="951"/>
        <v>0</v>
      </c>
      <c r="BC567" s="105">
        <f t="shared" si="952"/>
        <v>0</v>
      </c>
      <c r="BD567" s="76"/>
    </row>
    <row r="568" spans="1:56" x14ac:dyDescent="0.15">
      <c r="A568" s="9" t="s">
        <v>10</v>
      </c>
      <c r="B568" s="15"/>
      <c r="C568" s="16"/>
      <c r="D568" s="17"/>
      <c r="E568" s="17"/>
      <c r="F568" s="85">
        <f t="shared" si="941"/>
        <v>0</v>
      </c>
      <c r="G568" s="91"/>
      <c r="H568" s="16"/>
      <c r="I568" s="17"/>
      <c r="J568" s="17"/>
      <c r="K568" s="85">
        <f t="shared" si="942"/>
        <v>0</v>
      </c>
      <c r="L568" s="91"/>
      <c r="M568" s="16"/>
      <c r="N568" s="17"/>
      <c r="O568" s="17"/>
      <c r="P568" s="85">
        <f t="shared" si="943"/>
        <v>0</v>
      </c>
      <c r="Q568" s="91"/>
      <c r="R568" s="16">
        <v>8</v>
      </c>
      <c r="S568" s="17">
        <v>6</v>
      </c>
      <c r="T568" s="17"/>
      <c r="U568" s="85">
        <f t="shared" si="944"/>
        <v>14</v>
      </c>
      <c r="V568" s="91"/>
      <c r="W568" s="16">
        <v>7</v>
      </c>
      <c r="X568" s="17">
        <v>8</v>
      </c>
      <c r="Y568" s="17"/>
      <c r="Z568" s="85">
        <f t="shared" si="945"/>
        <v>15</v>
      </c>
      <c r="AA568" s="105">
        <f t="shared" si="946"/>
        <v>29</v>
      </c>
      <c r="AB568" s="114">
        <v>45952</v>
      </c>
      <c r="AC568" s="117" t="s">
        <v>10</v>
      </c>
      <c r="AD568" s="90"/>
      <c r="AE568" s="11"/>
      <c r="AF568" s="12"/>
      <c r="AG568" s="12"/>
      <c r="AH568" s="84">
        <f t="shared" si="947"/>
        <v>0</v>
      </c>
      <c r="AI568" s="90"/>
      <c r="AJ568" s="11"/>
      <c r="AK568" s="12"/>
      <c r="AL568" s="12"/>
      <c r="AM568" s="84">
        <f t="shared" si="948"/>
        <v>0</v>
      </c>
      <c r="AN568" s="90"/>
      <c r="AO568" s="11"/>
      <c r="AP568" s="12"/>
      <c r="AQ568" s="12"/>
      <c r="AR568" s="84">
        <f t="shared" si="949"/>
        <v>0</v>
      </c>
      <c r="AS568" s="90"/>
      <c r="AT568" s="11"/>
      <c r="AU568" s="12"/>
      <c r="AV568" s="12"/>
      <c r="AW568" s="84">
        <f t="shared" si="950"/>
        <v>0</v>
      </c>
      <c r="AX568" s="90"/>
      <c r="AY568" s="11"/>
      <c r="AZ568" s="12"/>
      <c r="BA568" s="12"/>
      <c r="BB568" s="84">
        <f t="shared" si="951"/>
        <v>0</v>
      </c>
      <c r="BC568" s="105">
        <f t="shared" si="952"/>
        <v>0</v>
      </c>
    </row>
    <row r="569" spans="1:56" ht="14.25" thickBot="1" x14ac:dyDescent="0.2">
      <c r="A569" s="9" t="s">
        <v>11</v>
      </c>
      <c r="B569" s="15"/>
      <c r="C569" s="16"/>
      <c r="D569" s="17"/>
      <c r="E569" s="17"/>
      <c r="F569" s="92">
        <f t="shared" si="941"/>
        <v>0</v>
      </c>
      <c r="G569" s="91"/>
      <c r="H569" s="16"/>
      <c r="I569" s="17"/>
      <c r="J569" s="17"/>
      <c r="K569" s="92">
        <f t="shared" si="942"/>
        <v>0</v>
      </c>
      <c r="L569" s="91"/>
      <c r="M569" s="16"/>
      <c r="N569" s="17"/>
      <c r="O569" s="17"/>
      <c r="P569" s="92">
        <f t="shared" si="943"/>
        <v>0</v>
      </c>
      <c r="Q569" s="91"/>
      <c r="R569" s="16"/>
      <c r="S569" s="17"/>
      <c r="T569" s="17"/>
      <c r="U569" s="92">
        <f t="shared" si="944"/>
        <v>0</v>
      </c>
      <c r="V569" s="91"/>
      <c r="W569" s="16"/>
      <c r="X569" s="17"/>
      <c r="Y569" s="17">
        <v>5</v>
      </c>
      <c r="Z569" s="92">
        <f t="shared" si="945"/>
        <v>5</v>
      </c>
      <c r="AA569" s="110">
        <f t="shared" si="946"/>
        <v>5</v>
      </c>
      <c r="AB569" s="115">
        <v>45966</v>
      </c>
      <c r="AC569" s="132" t="s">
        <v>11</v>
      </c>
      <c r="AD569" s="91"/>
      <c r="AE569" s="16"/>
      <c r="AF569" s="17"/>
      <c r="AG569" s="17"/>
      <c r="AH569" s="92">
        <f t="shared" si="947"/>
        <v>0</v>
      </c>
      <c r="AI569" s="91"/>
      <c r="AJ569" s="16"/>
      <c r="AK569" s="17"/>
      <c r="AL569" s="17"/>
      <c r="AM569" s="92">
        <f t="shared" si="948"/>
        <v>0</v>
      </c>
      <c r="AN569" s="91"/>
      <c r="AO569" s="16"/>
      <c r="AP569" s="17"/>
      <c r="AQ569" s="17"/>
      <c r="AR569" s="92">
        <f t="shared" si="949"/>
        <v>0</v>
      </c>
      <c r="AS569" s="91"/>
      <c r="AT569" s="16"/>
      <c r="AU569" s="17"/>
      <c r="AV569" s="17"/>
      <c r="AW569" s="92">
        <f t="shared" si="950"/>
        <v>0</v>
      </c>
      <c r="AX569" s="91"/>
      <c r="AY569" s="16"/>
      <c r="AZ569" s="17"/>
      <c r="BA569" s="17"/>
      <c r="BB569" s="92">
        <f t="shared" si="951"/>
        <v>0</v>
      </c>
      <c r="BC569" s="110">
        <f t="shared" si="952"/>
        <v>0</v>
      </c>
    </row>
    <row r="570" spans="1:56" ht="14.25" thickBot="1" x14ac:dyDescent="0.2">
      <c r="A570" s="21" t="s">
        <v>16</v>
      </c>
      <c r="B570" s="7">
        <f>SUM(B564:B569)</f>
        <v>8</v>
      </c>
      <c r="C570" s="8">
        <f t="shared" ref="C570:E570" si="953">SUM(C564:C569)</f>
        <v>7</v>
      </c>
      <c r="D570" s="22">
        <f t="shared" si="953"/>
        <v>5</v>
      </c>
      <c r="E570" s="22">
        <f t="shared" si="953"/>
        <v>5</v>
      </c>
      <c r="F570" s="87">
        <f t="shared" si="941"/>
        <v>25</v>
      </c>
      <c r="G570" s="7">
        <f>SUM(G564:G569)</f>
        <v>8</v>
      </c>
      <c r="H570" s="8">
        <f t="shared" ref="H570:J570" si="954">SUM(H564:H569)</f>
        <v>8</v>
      </c>
      <c r="I570" s="22">
        <f t="shared" si="954"/>
        <v>7</v>
      </c>
      <c r="J570" s="22">
        <f t="shared" si="954"/>
        <v>7</v>
      </c>
      <c r="K570" s="87">
        <f t="shared" si="942"/>
        <v>30</v>
      </c>
      <c r="L570" s="7">
        <f>SUM(L564:L569)</f>
        <v>9</v>
      </c>
      <c r="M570" s="8">
        <f t="shared" ref="M570:O570" si="955">SUM(M564:M569)</f>
        <v>9</v>
      </c>
      <c r="N570" s="22">
        <f t="shared" si="955"/>
        <v>8</v>
      </c>
      <c r="O570" s="22">
        <f t="shared" si="955"/>
        <v>6</v>
      </c>
      <c r="P570" s="87">
        <f t="shared" si="943"/>
        <v>32</v>
      </c>
      <c r="Q570" s="7">
        <f>SUM(Q564:Q569)</f>
        <v>8</v>
      </c>
      <c r="R570" s="8">
        <f t="shared" ref="R570:T570" si="956">SUM(R564:R569)</f>
        <v>14</v>
      </c>
      <c r="S570" s="22">
        <f t="shared" si="956"/>
        <v>11</v>
      </c>
      <c r="T570" s="22">
        <f t="shared" si="956"/>
        <v>5</v>
      </c>
      <c r="U570" s="87">
        <f t="shared" si="944"/>
        <v>38</v>
      </c>
      <c r="V570" s="7">
        <f>SUM(V564:V569)</f>
        <v>9</v>
      </c>
      <c r="W570" s="8">
        <f t="shared" ref="W570:Y570" si="957">SUM(W564:W569)</f>
        <v>13</v>
      </c>
      <c r="X570" s="22">
        <f t="shared" si="957"/>
        <v>16</v>
      </c>
      <c r="Y570" s="22">
        <f t="shared" si="957"/>
        <v>12</v>
      </c>
      <c r="Z570" s="87">
        <f t="shared" si="945"/>
        <v>50</v>
      </c>
      <c r="AA570" s="107">
        <f t="shared" si="946"/>
        <v>175</v>
      </c>
      <c r="AC570" s="21" t="s">
        <v>16</v>
      </c>
      <c r="AD570" s="7">
        <f>SUM(AD564:AD569)</f>
        <v>1438</v>
      </c>
      <c r="AE570" s="8">
        <f t="shared" ref="AE570:AG570" si="958">SUM(AE564:AE569)</f>
        <v>1407</v>
      </c>
      <c r="AF570" s="22">
        <f t="shared" si="958"/>
        <v>577</v>
      </c>
      <c r="AG570" s="22">
        <f t="shared" si="958"/>
        <v>416</v>
      </c>
      <c r="AH570" s="87">
        <f t="shared" si="947"/>
        <v>3838</v>
      </c>
      <c r="AI570" s="7">
        <f>SUM(AI564:AI569)</f>
        <v>1396</v>
      </c>
      <c r="AJ570" s="8">
        <f t="shared" ref="AJ570:AL570" si="959">SUM(AJ564:AJ569)</f>
        <v>1326</v>
      </c>
      <c r="AK570" s="22">
        <f t="shared" si="959"/>
        <v>604</v>
      </c>
      <c r="AL570" s="22">
        <f t="shared" si="959"/>
        <v>428</v>
      </c>
      <c r="AM570" s="87">
        <f t="shared" si="948"/>
        <v>3754</v>
      </c>
      <c r="AN570" s="7">
        <f>SUM(AN564:AN569)</f>
        <v>394</v>
      </c>
      <c r="AO570" s="8">
        <f t="shared" ref="AO570:AQ570" si="960">SUM(AO564:AO569)</f>
        <v>351</v>
      </c>
      <c r="AP570" s="22">
        <f t="shared" si="960"/>
        <v>254</v>
      </c>
      <c r="AQ570" s="22">
        <f t="shared" si="960"/>
        <v>388</v>
      </c>
      <c r="AR570" s="87">
        <f t="shared" si="949"/>
        <v>1387</v>
      </c>
      <c r="AS570" s="7">
        <f>SUM(AS564:AS569)</f>
        <v>1357</v>
      </c>
      <c r="AT570" s="8">
        <f t="shared" ref="AT570:AV570" si="961">SUM(AT564:AT569)</f>
        <v>1256</v>
      </c>
      <c r="AU570" s="22">
        <f t="shared" si="961"/>
        <v>617</v>
      </c>
      <c r="AV570" s="22">
        <f t="shared" si="961"/>
        <v>542</v>
      </c>
      <c r="AW570" s="87">
        <f t="shared" si="950"/>
        <v>3772</v>
      </c>
      <c r="AX570" s="7">
        <f>SUM(AX564:AX569)</f>
        <v>507</v>
      </c>
      <c r="AY570" s="8">
        <f t="shared" ref="AY570:BA570" si="962">SUM(AY564:AY569)</f>
        <v>563</v>
      </c>
      <c r="AZ570" s="22">
        <f t="shared" si="962"/>
        <v>400</v>
      </c>
      <c r="BA570" s="22">
        <f t="shared" si="962"/>
        <v>157</v>
      </c>
      <c r="BB570" s="87">
        <f t="shared" si="951"/>
        <v>1627</v>
      </c>
      <c r="BC570" s="107">
        <f t="shared" si="952"/>
        <v>14378</v>
      </c>
    </row>
    <row r="571" spans="1:56" x14ac:dyDescent="0.15">
      <c r="A571" s="23" t="s">
        <v>533</v>
      </c>
      <c r="B571" s="15"/>
      <c r="C571" s="16"/>
      <c r="D571" s="17"/>
      <c r="E571" s="17"/>
      <c r="F571" s="85">
        <f t="shared" si="941"/>
        <v>0</v>
      </c>
      <c r="G571" s="15"/>
      <c r="H571" s="16">
        <v>1</v>
      </c>
      <c r="I571" s="17"/>
      <c r="J571" s="17"/>
      <c r="K571" s="85">
        <f t="shared" si="942"/>
        <v>1</v>
      </c>
      <c r="L571" s="15">
        <v>1</v>
      </c>
      <c r="M571" s="16">
        <v>2</v>
      </c>
      <c r="N571" s="17">
        <v>1</v>
      </c>
      <c r="O571" s="17"/>
      <c r="P571" s="85">
        <f t="shared" si="943"/>
        <v>4</v>
      </c>
      <c r="Q571" s="15"/>
      <c r="R571" s="16"/>
      <c r="S571" s="17"/>
      <c r="T571" s="17"/>
      <c r="U571" s="85">
        <f t="shared" si="944"/>
        <v>0</v>
      </c>
      <c r="V571" s="15">
        <v>1</v>
      </c>
      <c r="W571" s="16"/>
      <c r="X571" s="17"/>
      <c r="Y571" s="17"/>
      <c r="Z571" s="85">
        <f t="shared" si="945"/>
        <v>1</v>
      </c>
      <c r="AA571" s="105">
        <f t="shared" si="946"/>
        <v>6</v>
      </c>
      <c r="AB571" s="114">
        <v>45933</v>
      </c>
      <c r="AC571" s="24" t="s">
        <v>528</v>
      </c>
      <c r="AD571" s="15">
        <v>5</v>
      </c>
      <c r="AE571" s="16">
        <v>5</v>
      </c>
      <c r="AF571" s="17">
        <v>5</v>
      </c>
      <c r="AG571" s="17">
        <v>5</v>
      </c>
      <c r="AH571" s="85">
        <f t="shared" si="947"/>
        <v>20</v>
      </c>
      <c r="AI571" s="15">
        <v>5</v>
      </c>
      <c r="AJ571" s="16">
        <v>5</v>
      </c>
      <c r="AK571" s="17">
        <v>5</v>
      </c>
      <c r="AL571" s="17">
        <v>5</v>
      </c>
      <c r="AM571" s="85">
        <f t="shared" si="948"/>
        <v>20</v>
      </c>
      <c r="AN571" s="15"/>
      <c r="AO571" s="16"/>
      <c r="AP571" s="17"/>
      <c r="AQ571" s="17"/>
      <c r="AR571" s="85">
        <f t="shared" si="949"/>
        <v>0</v>
      </c>
      <c r="AS571" s="15"/>
      <c r="AT571" s="16"/>
      <c r="AU571" s="17"/>
      <c r="AV571" s="17"/>
      <c r="AW571" s="85">
        <f t="shared" si="950"/>
        <v>0</v>
      </c>
      <c r="AX571" s="15">
        <v>5</v>
      </c>
      <c r="AY571" s="16">
        <v>5</v>
      </c>
      <c r="AZ571" s="17">
        <v>5</v>
      </c>
      <c r="BA571" s="17">
        <v>5</v>
      </c>
      <c r="BB571" s="85">
        <f t="shared" si="951"/>
        <v>20</v>
      </c>
      <c r="BC571" s="105">
        <f t="shared" si="952"/>
        <v>60</v>
      </c>
      <c r="BD571" s="114">
        <v>45922</v>
      </c>
    </row>
    <row r="572" spans="1:56" x14ac:dyDescent="0.15">
      <c r="A572" s="23" t="s">
        <v>537</v>
      </c>
      <c r="B572" s="15">
        <v>1</v>
      </c>
      <c r="C572" s="16"/>
      <c r="D572" s="17"/>
      <c r="E572" s="17"/>
      <c r="F572" s="85">
        <f t="shared" si="941"/>
        <v>1</v>
      </c>
      <c r="G572" s="15">
        <v>1</v>
      </c>
      <c r="H572" s="16"/>
      <c r="I572" s="17"/>
      <c r="J572" s="17"/>
      <c r="K572" s="85">
        <f t="shared" si="942"/>
        <v>1</v>
      </c>
      <c r="L572" s="15">
        <v>1</v>
      </c>
      <c r="M572" s="16"/>
      <c r="N572" s="17"/>
      <c r="O572" s="17"/>
      <c r="P572" s="85">
        <f t="shared" si="943"/>
        <v>1</v>
      </c>
      <c r="Q572" s="15">
        <v>1</v>
      </c>
      <c r="R572" s="16"/>
      <c r="S572" s="17"/>
      <c r="T572" s="17"/>
      <c r="U572" s="85">
        <f t="shared" si="944"/>
        <v>1</v>
      </c>
      <c r="V572" s="15">
        <v>2</v>
      </c>
      <c r="W572" s="16"/>
      <c r="X572" s="17"/>
      <c r="Y572" s="17"/>
      <c r="Z572" s="85">
        <f t="shared" si="945"/>
        <v>2</v>
      </c>
      <c r="AA572" s="105">
        <f t="shared" si="946"/>
        <v>6</v>
      </c>
      <c r="AB572" s="114">
        <v>45936</v>
      </c>
      <c r="AC572" s="24" t="s">
        <v>529</v>
      </c>
      <c r="AD572" s="15"/>
      <c r="AE572" s="16"/>
      <c r="AF572" s="17"/>
      <c r="AG572" s="17"/>
      <c r="AH572" s="85">
        <f t="shared" si="947"/>
        <v>0</v>
      </c>
      <c r="AI572" s="15"/>
      <c r="AJ572" s="16"/>
      <c r="AK572" s="17"/>
      <c r="AL572" s="17"/>
      <c r="AM572" s="85">
        <f t="shared" si="948"/>
        <v>0</v>
      </c>
      <c r="AN572" s="15">
        <v>5</v>
      </c>
      <c r="AO572" s="16">
        <v>5</v>
      </c>
      <c r="AP572" s="17">
        <v>5</v>
      </c>
      <c r="AQ572" s="17">
        <v>5</v>
      </c>
      <c r="AR572" s="85">
        <f t="shared" si="949"/>
        <v>20</v>
      </c>
      <c r="AS572" s="15">
        <v>5</v>
      </c>
      <c r="AT572" s="16">
        <v>5</v>
      </c>
      <c r="AU572" s="17">
        <v>5</v>
      </c>
      <c r="AV572" s="17">
        <v>5</v>
      </c>
      <c r="AW572" s="85">
        <f t="shared" si="950"/>
        <v>20</v>
      </c>
      <c r="AX572" s="15">
        <v>5</v>
      </c>
      <c r="AY572" s="16">
        <v>5</v>
      </c>
      <c r="AZ572" s="17">
        <v>5</v>
      </c>
      <c r="BA572" s="17">
        <v>5</v>
      </c>
      <c r="BB572" s="85">
        <f t="shared" si="951"/>
        <v>20</v>
      </c>
      <c r="BC572" s="105">
        <f t="shared" si="952"/>
        <v>60</v>
      </c>
      <c r="BD572" s="114">
        <v>45922</v>
      </c>
    </row>
    <row r="573" spans="1:56" x14ac:dyDescent="0.15">
      <c r="A573" s="23" t="s">
        <v>540</v>
      </c>
      <c r="B573" s="15"/>
      <c r="C573" s="16">
        <v>1</v>
      </c>
      <c r="D573" s="17"/>
      <c r="E573" s="17"/>
      <c r="F573" s="85">
        <f t="shared" si="941"/>
        <v>1</v>
      </c>
      <c r="G573" s="15"/>
      <c r="H573" s="16"/>
      <c r="I573" s="17"/>
      <c r="J573" s="17"/>
      <c r="K573" s="85">
        <f t="shared" si="942"/>
        <v>0</v>
      </c>
      <c r="L573" s="15"/>
      <c r="M573" s="16"/>
      <c r="N573" s="17"/>
      <c r="O573" s="17"/>
      <c r="P573" s="85">
        <f t="shared" si="943"/>
        <v>0</v>
      </c>
      <c r="Q573" s="15"/>
      <c r="R573" s="16"/>
      <c r="S573" s="17"/>
      <c r="T573" s="17"/>
      <c r="U573" s="85">
        <f t="shared" si="944"/>
        <v>0</v>
      </c>
      <c r="V573" s="15"/>
      <c r="W573" s="16"/>
      <c r="X573" s="17"/>
      <c r="Y573" s="17">
        <v>5</v>
      </c>
      <c r="Z573" s="85">
        <f t="shared" si="945"/>
        <v>5</v>
      </c>
      <c r="AA573" s="105">
        <f t="shared" si="946"/>
        <v>6</v>
      </c>
      <c r="AB573" s="114">
        <v>45940</v>
      </c>
      <c r="AC573" s="53" t="s">
        <v>531</v>
      </c>
      <c r="AD573" s="15"/>
      <c r="AE573" s="16">
        <v>5</v>
      </c>
      <c r="AF573" s="17"/>
      <c r="AG573" s="17"/>
      <c r="AH573" s="85">
        <f t="shared" si="947"/>
        <v>5</v>
      </c>
      <c r="AI573" s="15"/>
      <c r="AJ573" s="16">
        <v>5</v>
      </c>
      <c r="AK573" s="17"/>
      <c r="AL573" s="17"/>
      <c r="AM573" s="85">
        <f t="shared" si="948"/>
        <v>5</v>
      </c>
      <c r="AN573" s="15"/>
      <c r="AO573" s="16"/>
      <c r="AP573" s="17"/>
      <c r="AQ573" s="17"/>
      <c r="AR573" s="85">
        <f t="shared" si="949"/>
        <v>0</v>
      </c>
      <c r="AS573" s="15"/>
      <c r="AT573" s="16"/>
      <c r="AU573" s="17"/>
      <c r="AV573" s="17"/>
      <c r="AW573" s="85">
        <f t="shared" si="950"/>
        <v>0</v>
      </c>
      <c r="AX573" s="15"/>
      <c r="AY573" s="16">
        <v>5</v>
      </c>
      <c r="AZ573" s="17"/>
      <c r="BA573" s="17"/>
      <c r="BB573" s="85">
        <f t="shared" si="951"/>
        <v>5</v>
      </c>
      <c r="BC573" s="105">
        <f t="shared" si="952"/>
        <v>15</v>
      </c>
      <c r="BD573" s="114">
        <v>45932</v>
      </c>
    </row>
    <row r="574" spans="1:56" x14ac:dyDescent="0.15">
      <c r="A574" s="23" t="s">
        <v>542</v>
      </c>
      <c r="B574" s="15"/>
      <c r="C574" s="16"/>
      <c r="D574" s="17"/>
      <c r="E574" s="17"/>
      <c r="F574" s="85">
        <f t="shared" si="941"/>
        <v>0</v>
      </c>
      <c r="G574" s="15"/>
      <c r="H574" s="16"/>
      <c r="I574" s="17"/>
      <c r="J574" s="17"/>
      <c r="K574" s="85">
        <f t="shared" si="942"/>
        <v>0</v>
      </c>
      <c r="L574" s="15"/>
      <c r="M574" s="16"/>
      <c r="N574" s="17"/>
      <c r="O574" s="17"/>
      <c r="P574" s="85">
        <f t="shared" si="943"/>
        <v>0</v>
      </c>
      <c r="Q574" s="15"/>
      <c r="R574" s="16">
        <v>2</v>
      </c>
      <c r="S574" s="17"/>
      <c r="T574" s="17"/>
      <c r="U574" s="85">
        <f t="shared" si="944"/>
        <v>2</v>
      </c>
      <c r="V574" s="15"/>
      <c r="W574" s="16"/>
      <c r="X574" s="17"/>
      <c r="Y574" s="17"/>
      <c r="Z574" s="85">
        <f t="shared" si="945"/>
        <v>0</v>
      </c>
      <c r="AA574" s="105">
        <f t="shared" si="946"/>
        <v>2</v>
      </c>
      <c r="AB574" s="114">
        <v>45947</v>
      </c>
      <c r="AC574" s="231" t="s">
        <v>532</v>
      </c>
      <c r="AD574" s="15"/>
      <c r="AE574" s="16"/>
      <c r="AF574" s="17"/>
      <c r="AG574" s="17"/>
      <c r="AH574" s="85">
        <f t="shared" si="947"/>
        <v>0</v>
      </c>
      <c r="AI574" s="15"/>
      <c r="AJ574" s="16"/>
      <c r="AK574" s="17"/>
      <c r="AL574" s="17"/>
      <c r="AM574" s="85">
        <f t="shared" si="948"/>
        <v>0</v>
      </c>
      <c r="AN574" s="15">
        <v>4</v>
      </c>
      <c r="AO574" s="16">
        <v>3</v>
      </c>
      <c r="AP574" s="17"/>
      <c r="AQ574" s="17"/>
      <c r="AR574" s="85">
        <f t="shared" si="949"/>
        <v>7</v>
      </c>
      <c r="AS574" s="15">
        <v>4</v>
      </c>
      <c r="AT574" s="16">
        <v>3</v>
      </c>
      <c r="AU574" s="17"/>
      <c r="AV574" s="17"/>
      <c r="AW574" s="85">
        <f t="shared" si="950"/>
        <v>7</v>
      </c>
      <c r="AX574" s="15">
        <v>4</v>
      </c>
      <c r="AY574" s="16">
        <v>3</v>
      </c>
      <c r="AZ574" s="17"/>
      <c r="BA574" s="17"/>
      <c r="BB574" s="85">
        <f t="shared" si="951"/>
        <v>7</v>
      </c>
      <c r="BC574" s="105">
        <f t="shared" si="952"/>
        <v>21</v>
      </c>
      <c r="BD574" s="114">
        <v>45932</v>
      </c>
    </row>
    <row r="575" spans="1:56" x14ac:dyDescent="0.15">
      <c r="A575" s="23" t="s">
        <v>543</v>
      </c>
      <c r="B575" s="15"/>
      <c r="C575" s="16"/>
      <c r="D575" s="17"/>
      <c r="E575" s="17"/>
      <c r="F575" s="85">
        <f t="shared" si="941"/>
        <v>0</v>
      </c>
      <c r="G575" s="15"/>
      <c r="H575" s="16"/>
      <c r="I575" s="17"/>
      <c r="J575" s="17"/>
      <c r="K575" s="85">
        <f t="shared" si="942"/>
        <v>0</v>
      </c>
      <c r="L575" s="15"/>
      <c r="M575" s="16"/>
      <c r="N575" s="17"/>
      <c r="O575" s="17"/>
      <c r="P575" s="85">
        <f t="shared" si="943"/>
        <v>0</v>
      </c>
      <c r="Q575" s="15"/>
      <c r="R575" s="16"/>
      <c r="S575" s="17"/>
      <c r="T575" s="17"/>
      <c r="U575" s="85">
        <f t="shared" si="944"/>
        <v>0</v>
      </c>
      <c r="V575" s="15"/>
      <c r="W575" s="16"/>
      <c r="X575" s="17">
        <v>2</v>
      </c>
      <c r="Y575" s="17"/>
      <c r="Z575" s="85">
        <f t="shared" si="945"/>
        <v>2</v>
      </c>
      <c r="AA575" s="105">
        <f t="shared" si="946"/>
        <v>2</v>
      </c>
      <c r="AB575" s="115">
        <v>45947</v>
      </c>
      <c r="AC575" s="23" t="s">
        <v>534</v>
      </c>
      <c r="AD575" s="15"/>
      <c r="AE575" s="16"/>
      <c r="AF575" s="17"/>
      <c r="AG575" s="17"/>
      <c r="AH575" s="85">
        <f t="shared" si="947"/>
        <v>0</v>
      </c>
      <c r="AI575" s="15"/>
      <c r="AJ575" s="16"/>
      <c r="AK575" s="17"/>
      <c r="AL575" s="17"/>
      <c r="AM575" s="85">
        <f t="shared" si="948"/>
        <v>0</v>
      </c>
      <c r="AN575" s="15">
        <v>5</v>
      </c>
      <c r="AO575" s="16">
        <v>5</v>
      </c>
      <c r="AP575" s="17"/>
      <c r="AQ575" s="17"/>
      <c r="AR575" s="85">
        <f t="shared" si="949"/>
        <v>10</v>
      </c>
      <c r="AS575" s="15"/>
      <c r="AT575" s="16"/>
      <c r="AU575" s="17"/>
      <c r="AV575" s="17"/>
      <c r="AW575" s="85">
        <f t="shared" si="950"/>
        <v>0</v>
      </c>
      <c r="AX575" s="15"/>
      <c r="AY575" s="16"/>
      <c r="AZ575" s="17"/>
      <c r="BA575" s="17"/>
      <c r="BB575" s="85">
        <f t="shared" si="951"/>
        <v>0</v>
      </c>
      <c r="BC575" s="105">
        <f t="shared" si="952"/>
        <v>10</v>
      </c>
      <c r="BD575" s="114">
        <v>45931</v>
      </c>
    </row>
    <row r="576" spans="1:56" x14ac:dyDescent="0.15">
      <c r="A576" s="23" t="s">
        <v>43</v>
      </c>
      <c r="B576" s="15"/>
      <c r="C576" s="16"/>
      <c r="D576" s="17"/>
      <c r="E576" s="17"/>
      <c r="F576" s="85">
        <f t="shared" si="941"/>
        <v>0</v>
      </c>
      <c r="G576" s="15"/>
      <c r="H576" s="16"/>
      <c r="I576" s="17"/>
      <c r="J576" s="17"/>
      <c r="K576" s="85">
        <f t="shared" si="942"/>
        <v>0</v>
      </c>
      <c r="L576" s="15"/>
      <c r="M576" s="16"/>
      <c r="N576" s="17"/>
      <c r="O576" s="17"/>
      <c r="P576" s="85">
        <f t="shared" si="943"/>
        <v>0</v>
      </c>
      <c r="Q576" s="15"/>
      <c r="R576" s="16"/>
      <c r="S576" s="17"/>
      <c r="T576" s="17"/>
      <c r="U576" s="85">
        <f t="shared" si="944"/>
        <v>0</v>
      </c>
      <c r="V576" s="15">
        <v>1</v>
      </c>
      <c r="W576" s="16"/>
      <c r="X576" s="17"/>
      <c r="Y576" s="17"/>
      <c r="Z576" s="85">
        <f t="shared" si="945"/>
        <v>1</v>
      </c>
      <c r="AA576" s="105">
        <f t="shared" si="946"/>
        <v>1</v>
      </c>
      <c r="AB576" s="115">
        <v>45950</v>
      </c>
      <c r="AC576" s="24" t="s">
        <v>535</v>
      </c>
      <c r="AD576" s="15"/>
      <c r="AE576" s="16">
        <v>5</v>
      </c>
      <c r="AF576" s="17"/>
      <c r="AG576" s="17"/>
      <c r="AH576" s="85">
        <f t="shared" si="947"/>
        <v>5</v>
      </c>
      <c r="AI576" s="15"/>
      <c r="AJ576" s="16">
        <v>5</v>
      </c>
      <c r="AK576" s="17"/>
      <c r="AL576" s="17"/>
      <c r="AM576" s="85">
        <f t="shared" si="948"/>
        <v>5</v>
      </c>
      <c r="AN576" s="15"/>
      <c r="AO576" s="16"/>
      <c r="AP576" s="17"/>
      <c r="AQ576" s="17"/>
      <c r="AR576" s="85">
        <f t="shared" si="949"/>
        <v>0</v>
      </c>
      <c r="AS576" s="15"/>
      <c r="AT576" s="16"/>
      <c r="AU576" s="17"/>
      <c r="AV576" s="17"/>
      <c r="AW576" s="85">
        <f t="shared" si="950"/>
        <v>0</v>
      </c>
      <c r="AX576" s="15"/>
      <c r="AY576" s="16">
        <v>5</v>
      </c>
      <c r="AZ576" s="17"/>
      <c r="BA576" s="17"/>
      <c r="BB576" s="85">
        <f t="shared" si="951"/>
        <v>5</v>
      </c>
      <c r="BC576" s="105">
        <f t="shared" si="952"/>
        <v>15</v>
      </c>
      <c r="BD576" s="114">
        <v>45936</v>
      </c>
    </row>
    <row r="577" spans="1:56" x14ac:dyDescent="0.15">
      <c r="A577" s="245" t="s">
        <v>550</v>
      </c>
      <c r="B577" s="234"/>
      <c r="C577" s="235"/>
      <c r="D577" s="236"/>
      <c r="E577" s="236"/>
      <c r="F577" s="237">
        <f t="shared" si="941"/>
        <v>0</v>
      </c>
      <c r="G577" s="234"/>
      <c r="H577" s="235"/>
      <c r="I577" s="236"/>
      <c r="J577" s="236"/>
      <c r="K577" s="237">
        <f t="shared" si="942"/>
        <v>0</v>
      </c>
      <c r="L577" s="234"/>
      <c r="M577" s="235"/>
      <c r="N577" s="236"/>
      <c r="O577" s="236"/>
      <c r="P577" s="237">
        <f t="shared" si="943"/>
        <v>0</v>
      </c>
      <c r="Q577" s="234">
        <v>2</v>
      </c>
      <c r="R577" s="235">
        <v>6</v>
      </c>
      <c r="S577" s="236">
        <v>6</v>
      </c>
      <c r="T577" s="236"/>
      <c r="U577" s="237">
        <f t="shared" si="944"/>
        <v>14</v>
      </c>
      <c r="V577" s="234"/>
      <c r="W577" s="235">
        <v>7</v>
      </c>
      <c r="X577" s="236">
        <v>9</v>
      </c>
      <c r="Y577" s="236"/>
      <c r="Z577" s="237">
        <f t="shared" si="945"/>
        <v>16</v>
      </c>
      <c r="AA577" s="239">
        <f t="shared" si="946"/>
        <v>30</v>
      </c>
      <c r="AB577" s="240">
        <v>45954</v>
      </c>
      <c r="AC577" s="24" t="s">
        <v>536</v>
      </c>
      <c r="AD577" s="15"/>
      <c r="AE577" s="16"/>
      <c r="AF577" s="17"/>
      <c r="AG577" s="17"/>
      <c r="AH577" s="85">
        <f t="shared" si="947"/>
        <v>0</v>
      </c>
      <c r="AI577" s="15"/>
      <c r="AJ577" s="16"/>
      <c r="AK577" s="17"/>
      <c r="AL577" s="17"/>
      <c r="AM577" s="85">
        <f t="shared" si="948"/>
        <v>0</v>
      </c>
      <c r="AN577" s="15">
        <v>3</v>
      </c>
      <c r="AO577" s="16">
        <v>1</v>
      </c>
      <c r="AP577" s="17"/>
      <c r="AQ577" s="17"/>
      <c r="AR577" s="85">
        <f t="shared" si="949"/>
        <v>4</v>
      </c>
      <c r="AS577" s="15">
        <v>3</v>
      </c>
      <c r="AT577" s="16">
        <v>1</v>
      </c>
      <c r="AU577" s="17"/>
      <c r="AV577" s="17"/>
      <c r="AW577" s="85">
        <f t="shared" si="950"/>
        <v>4</v>
      </c>
      <c r="AX577" s="15">
        <v>3</v>
      </c>
      <c r="AY577" s="16">
        <v>1</v>
      </c>
      <c r="AZ577" s="17"/>
      <c r="BA577" s="17"/>
      <c r="BB577" s="85">
        <f t="shared" si="951"/>
        <v>4</v>
      </c>
      <c r="BC577" s="105">
        <f t="shared" si="952"/>
        <v>12</v>
      </c>
      <c r="BD577" s="114">
        <v>45936</v>
      </c>
    </row>
    <row r="578" spans="1:56" x14ac:dyDescent="0.15">
      <c r="A578" s="23"/>
      <c r="B578" s="18"/>
      <c r="C578" s="19"/>
      <c r="D578" s="20"/>
      <c r="E578" s="20"/>
      <c r="F578" s="85">
        <f t="shared" ref="F578:F579" si="963">SUM(B578:E578)</f>
        <v>0</v>
      </c>
      <c r="G578" s="18"/>
      <c r="H578" s="19"/>
      <c r="I578" s="20"/>
      <c r="J578" s="20"/>
      <c r="K578" s="85">
        <f t="shared" ref="K578:K579" si="964">SUM(G578:J578)</f>
        <v>0</v>
      </c>
      <c r="L578" s="18"/>
      <c r="M578" s="19"/>
      <c r="N578" s="20"/>
      <c r="O578" s="20"/>
      <c r="P578" s="85">
        <f t="shared" ref="P578:P579" si="965">SUM(L578:O578)</f>
        <v>0</v>
      </c>
      <c r="Q578" s="18"/>
      <c r="R578" s="19"/>
      <c r="S578" s="20"/>
      <c r="T578" s="20"/>
      <c r="U578" s="85">
        <f t="shared" ref="U578:U579" si="966">SUM(Q578:T578)</f>
        <v>0</v>
      </c>
      <c r="V578" s="18"/>
      <c r="W578" s="19"/>
      <c r="X578" s="20"/>
      <c r="Y578" s="20"/>
      <c r="Z578" s="85">
        <f t="shared" ref="Z578:Z579" si="967">SUM(V578:Y578)</f>
        <v>0</v>
      </c>
      <c r="AA578" s="105">
        <f t="shared" ref="AA578:AA579" si="968">Z578+U578+P578+K578+F578</f>
        <v>0</v>
      </c>
      <c r="AC578" s="23" t="s">
        <v>35</v>
      </c>
      <c r="AD578" s="15"/>
      <c r="AE578" s="16">
        <v>5</v>
      </c>
      <c r="AF578" s="17"/>
      <c r="AG578" s="17"/>
      <c r="AH578" s="85">
        <f t="shared" si="947"/>
        <v>5</v>
      </c>
      <c r="AI578" s="15">
        <v>5</v>
      </c>
      <c r="AJ578" s="16">
        <v>5</v>
      </c>
      <c r="AK578" s="17"/>
      <c r="AL578" s="17"/>
      <c r="AM578" s="85">
        <f t="shared" si="948"/>
        <v>10</v>
      </c>
      <c r="AN578" s="15"/>
      <c r="AO578" s="16"/>
      <c r="AP578" s="17"/>
      <c r="AQ578" s="17"/>
      <c r="AR578" s="85">
        <f t="shared" si="949"/>
        <v>0</v>
      </c>
      <c r="AS578" s="15"/>
      <c r="AT578" s="16"/>
      <c r="AU578" s="17"/>
      <c r="AV578" s="17"/>
      <c r="AW578" s="85">
        <f t="shared" si="950"/>
        <v>0</v>
      </c>
      <c r="AX578" s="15">
        <v>5</v>
      </c>
      <c r="AY578" s="16"/>
      <c r="AZ578" s="17"/>
      <c r="BA578" s="17"/>
      <c r="BB578" s="85">
        <f t="shared" si="951"/>
        <v>5</v>
      </c>
      <c r="BC578" s="105">
        <f t="shared" si="952"/>
        <v>20</v>
      </c>
      <c r="BD578" s="114">
        <v>45934</v>
      </c>
    </row>
    <row r="579" spans="1:56" x14ac:dyDescent="0.15">
      <c r="A579" s="23"/>
      <c r="B579" s="18"/>
      <c r="C579" s="19"/>
      <c r="D579" s="20"/>
      <c r="E579" s="20"/>
      <c r="F579" s="85">
        <f t="shared" si="963"/>
        <v>0</v>
      </c>
      <c r="G579" s="18"/>
      <c r="H579" s="19"/>
      <c r="I579" s="20"/>
      <c r="J579" s="20"/>
      <c r="K579" s="85">
        <f t="shared" si="964"/>
        <v>0</v>
      </c>
      <c r="L579" s="18"/>
      <c r="M579" s="19"/>
      <c r="N579" s="20"/>
      <c r="O579" s="20"/>
      <c r="P579" s="85">
        <f t="shared" si="965"/>
        <v>0</v>
      </c>
      <c r="Q579" s="18"/>
      <c r="R579" s="19"/>
      <c r="S579" s="20"/>
      <c r="T579" s="20"/>
      <c r="U579" s="85">
        <f t="shared" si="966"/>
        <v>0</v>
      </c>
      <c r="V579" s="18"/>
      <c r="W579" s="19"/>
      <c r="X579" s="20"/>
      <c r="Y579" s="20"/>
      <c r="Z579" s="85">
        <f t="shared" si="967"/>
        <v>0</v>
      </c>
      <c r="AA579" s="105">
        <f t="shared" si="968"/>
        <v>0</v>
      </c>
      <c r="AC579" s="24" t="s">
        <v>538</v>
      </c>
      <c r="AD579" s="15"/>
      <c r="AE579" s="16">
        <v>3</v>
      </c>
      <c r="AF579" s="17">
        <v>1</v>
      </c>
      <c r="AG579" s="17">
        <v>1</v>
      </c>
      <c r="AH579" s="85">
        <f t="shared" si="947"/>
        <v>5</v>
      </c>
      <c r="AI579" s="15"/>
      <c r="AJ579" s="16">
        <v>3</v>
      </c>
      <c r="AK579" s="17">
        <v>1</v>
      </c>
      <c r="AL579" s="17">
        <v>1</v>
      </c>
      <c r="AM579" s="85">
        <f t="shared" si="948"/>
        <v>5</v>
      </c>
      <c r="AN579" s="15"/>
      <c r="AO579" s="16"/>
      <c r="AP579" s="17"/>
      <c r="AQ579" s="17"/>
      <c r="AR579" s="85">
        <f t="shared" si="949"/>
        <v>0</v>
      </c>
      <c r="AS579" s="15"/>
      <c r="AT579" s="16"/>
      <c r="AU579" s="17"/>
      <c r="AV579" s="17"/>
      <c r="AW579" s="85">
        <f t="shared" si="950"/>
        <v>0</v>
      </c>
      <c r="AX579" s="15"/>
      <c r="AY579" s="16">
        <v>3</v>
      </c>
      <c r="AZ579" s="17">
        <v>1</v>
      </c>
      <c r="BA579" s="17">
        <v>1</v>
      </c>
      <c r="BB579" s="85">
        <f t="shared" si="951"/>
        <v>5</v>
      </c>
      <c r="BC579" s="105">
        <f t="shared" si="952"/>
        <v>15</v>
      </c>
      <c r="BD579" s="114">
        <v>45937</v>
      </c>
    </row>
    <row r="580" spans="1:56" x14ac:dyDescent="0.15">
      <c r="A580" s="23"/>
      <c r="B580" s="18"/>
      <c r="C580" s="19"/>
      <c r="D580" s="20"/>
      <c r="E580" s="20"/>
      <c r="F580" s="85">
        <f t="shared" si="941"/>
        <v>0</v>
      </c>
      <c r="G580" s="18"/>
      <c r="H580" s="19"/>
      <c r="I580" s="20"/>
      <c r="J580" s="20"/>
      <c r="K580" s="85">
        <f t="shared" si="942"/>
        <v>0</v>
      </c>
      <c r="L580" s="18"/>
      <c r="M580" s="19"/>
      <c r="N580" s="20"/>
      <c r="O580" s="20"/>
      <c r="P580" s="85">
        <f t="shared" si="943"/>
        <v>0</v>
      </c>
      <c r="Q580" s="18"/>
      <c r="R580" s="19"/>
      <c r="S580" s="20"/>
      <c r="T580" s="20"/>
      <c r="U580" s="85">
        <f t="shared" si="944"/>
        <v>0</v>
      </c>
      <c r="V580" s="18"/>
      <c r="W580" s="19"/>
      <c r="X580" s="20"/>
      <c r="Y580" s="20"/>
      <c r="Z580" s="85">
        <f t="shared" si="945"/>
        <v>0</v>
      </c>
      <c r="AA580" s="105">
        <f t="shared" si="946"/>
        <v>0</v>
      </c>
      <c r="AC580" s="24" t="s">
        <v>539</v>
      </c>
      <c r="AD580" s="18"/>
      <c r="AE580" s="19"/>
      <c r="AF580" s="20"/>
      <c r="AG580" s="20"/>
      <c r="AH580" s="85">
        <f t="shared" si="947"/>
        <v>0</v>
      </c>
      <c r="AI580" s="18"/>
      <c r="AJ580" s="19"/>
      <c r="AK580" s="20"/>
      <c r="AL580" s="20"/>
      <c r="AM580" s="85">
        <f t="shared" si="948"/>
        <v>0</v>
      </c>
      <c r="AN580" s="18">
        <v>5</v>
      </c>
      <c r="AO580" s="19">
        <v>4</v>
      </c>
      <c r="AP580" s="20">
        <v>1</v>
      </c>
      <c r="AQ580" s="20">
        <v>3</v>
      </c>
      <c r="AR580" s="85">
        <f t="shared" si="949"/>
        <v>13</v>
      </c>
      <c r="AS580" s="18">
        <v>5</v>
      </c>
      <c r="AT580" s="19">
        <v>4</v>
      </c>
      <c r="AU580" s="20">
        <v>1</v>
      </c>
      <c r="AV580" s="20">
        <v>3</v>
      </c>
      <c r="AW580" s="85">
        <f t="shared" si="950"/>
        <v>13</v>
      </c>
      <c r="AX580" s="18">
        <v>5</v>
      </c>
      <c r="AY580" s="19">
        <v>4</v>
      </c>
      <c r="AZ580" s="20">
        <v>1</v>
      </c>
      <c r="BA580" s="20">
        <v>3</v>
      </c>
      <c r="BB580" s="85">
        <f t="shared" si="951"/>
        <v>13</v>
      </c>
      <c r="BC580" s="105">
        <f t="shared" si="952"/>
        <v>39</v>
      </c>
      <c r="BD580" s="114">
        <v>45937</v>
      </c>
    </row>
    <row r="581" spans="1:56" x14ac:dyDescent="0.15">
      <c r="A581" s="23"/>
      <c r="B581" s="15"/>
      <c r="C581" s="16"/>
      <c r="D581" s="17"/>
      <c r="E581" s="17"/>
      <c r="F581" s="85">
        <f t="shared" si="941"/>
        <v>0</v>
      </c>
      <c r="G581" s="15"/>
      <c r="H581" s="16"/>
      <c r="I581" s="17"/>
      <c r="J581" s="17"/>
      <c r="K581" s="85">
        <f t="shared" si="942"/>
        <v>0</v>
      </c>
      <c r="L581" s="15"/>
      <c r="M581" s="16"/>
      <c r="N581" s="17"/>
      <c r="O581" s="17"/>
      <c r="P581" s="85">
        <f t="shared" si="943"/>
        <v>0</v>
      </c>
      <c r="Q581" s="15"/>
      <c r="R581" s="16"/>
      <c r="S581" s="17"/>
      <c r="T581" s="17"/>
      <c r="U581" s="85">
        <f t="shared" si="944"/>
        <v>0</v>
      </c>
      <c r="V581" s="15"/>
      <c r="W581" s="16"/>
      <c r="X581" s="17"/>
      <c r="Y581" s="17"/>
      <c r="Z581" s="85">
        <f t="shared" si="945"/>
        <v>0</v>
      </c>
      <c r="AA581" s="105">
        <f t="shared" si="946"/>
        <v>0</v>
      </c>
      <c r="AC581" s="241" t="s">
        <v>541</v>
      </c>
      <c r="AD581" s="234">
        <v>3</v>
      </c>
      <c r="AE581" s="235"/>
      <c r="AF581" s="236"/>
      <c r="AG581" s="236"/>
      <c r="AH581" s="237">
        <f t="shared" ref="AH581" si="969">SUM(AD581:AG581)</f>
        <v>3</v>
      </c>
      <c r="AI581" s="234"/>
      <c r="AJ581" s="235"/>
      <c r="AK581" s="236"/>
      <c r="AL581" s="236"/>
      <c r="AM581" s="237">
        <f t="shared" ref="AM581" si="970">SUM(AI581:AL581)</f>
        <v>0</v>
      </c>
      <c r="AN581" s="234">
        <v>3</v>
      </c>
      <c r="AO581" s="235"/>
      <c r="AP581" s="236"/>
      <c r="AQ581" s="236"/>
      <c r="AR581" s="237">
        <f t="shared" ref="AR581" si="971">SUM(AN581:AQ581)</f>
        <v>3</v>
      </c>
      <c r="AS581" s="234">
        <v>3</v>
      </c>
      <c r="AT581" s="235"/>
      <c r="AU581" s="236"/>
      <c r="AV581" s="236"/>
      <c r="AW581" s="237">
        <f t="shared" ref="AW581" si="972">SUM(AS581:AV581)</f>
        <v>3</v>
      </c>
      <c r="AX581" s="234"/>
      <c r="AY581" s="235"/>
      <c r="AZ581" s="236"/>
      <c r="BA581" s="236">
        <v>5</v>
      </c>
      <c r="BB581" s="237">
        <f t="shared" ref="BB581" si="973">SUM(AX581:BA581)</f>
        <v>5</v>
      </c>
      <c r="BC581" s="239">
        <f t="shared" ref="BC581" si="974">BB581+AW581+AR581+AM581+AH581</f>
        <v>14</v>
      </c>
      <c r="BD581" s="240">
        <v>45939</v>
      </c>
    </row>
    <row r="582" spans="1:56" x14ac:dyDescent="0.15">
      <c r="A582" s="54"/>
      <c r="B582" s="15"/>
      <c r="C582" s="16"/>
      <c r="D582" s="17"/>
      <c r="E582" s="17"/>
      <c r="F582" s="85">
        <f t="shared" si="941"/>
        <v>0</v>
      </c>
      <c r="G582" s="15"/>
      <c r="H582" s="16"/>
      <c r="I582" s="17"/>
      <c r="J582" s="17"/>
      <c r="K582" s="85">
        <f t="shared" si="942"/>
        <v>0</v>
      </c>
      <c r="L582" s="15"/>
      <c r="M582" s="16"/>
      <c r="N582" s="17"/>
      <c r="O582" s="17"/>
      <c r="P582" s="85">
        <f t="shared" si="943"/>
        <v>0</v>
      </c>
      <c r="Q582" s="15"/>
      <c r="R582" s="16"/>
      <c r="S582" s="17"/>
      <c r="T582" s="17"/>
      <c r="U582" s="85">
        <f t="shared" si="944"/>
        <v>0</v>
      </c>
      <c r="V582" s="15"/>
      <c r="W582" s="16"/>
      <c r="X582" s="17"/>
      <c r="Y582" s="17"/>
      <c r="Z582" s="85">
        <f t="shared" si="945"/>
        <v>0</v>
      </c>
      <c r="AA582" s="105">
        <f t="shared" si="946"/>
        <v>0</v>
      </c>
      <c r="AC582" s="23" t="s">
        <v>552</v>
      </c>
      <c r="AD582" s="15"/>
      <c r="AE582" s="16"/>
      <c r="AF582" s="17"/>
      <c r="AG582" s="17"/>
      <c r="AH582" s="85">
        <f t="shared" si="947"/>
        <v>0</v>
      </c>
      <c r="AI582" s="15"/>
      <c r="AJ582" s="16"/>
      <c r="AK582" s="17"/>
      <c r="AL582" s="17"/>
      <c r="AM582" s="85">
        <f t="shared" si="948"/>
        <v>0</v>
      </c>
      <c r="AN582" s="15"/>
      <c r="AO582" s="16"/>
      <c r="AP582" s="17">
        <v>5</v>
      </c>
      <c r="AQ582" s="17"/>
      <c r="AR582" s="85">
        <f t="shared" si="949"/>
        <v>5</v>
      </c>
      <c r="AS582" s="15"/>
      <c r="AT582" s="16"/>
      <c r="AU582" s="17">
        <v>5</v>
      </c>
      <c r="AV582" s="17"/>
      <c r="AW582" s="85">
        <f t="shared" si="950"/>
        <v>5</v>
      </c>
      <c r="AX582" s="15"/>
      <c r="AY582" s="16"/>
      <c r="AZ582" s="17">
        <v>5</v>
      </c>
      <c r="BA582" s="17"/>
      <c r="BB582" s="85">
        <f t="shared" si="951"/>
        <v>5</v>
      </c>
      <c r="BC582" s="105">
        <f t="shared" si="952"/>
        <v>15</v>
      </c>
      <c r="BD582" s="114">
        <v>45950</v>
      </c>
    </row>
    <row r="583" spans="1:56" x14ac:dyDescent="0.15">
      <c r="A583" s="54"/>
      <c r="B583" s="15"/>
      <c r="C583" s="16"/>
      <c r="D583" s="17"/>
      <c r="E583" s="17"/>
      <c r="F583" s="85">
        <f t="shared" si="941"/>
        <v>0</v>
      </c>
      <c r="G583" s="15"/>
      <c r="H583" s="16"/>
      <c r="I583" s="17"/>
      <c r="J583" s="17"/>
      <c r="K583" s="85">
        <f t="shared" si="942"/>
        <v>0</v>
      </c>
      <c r="L583" s="15"/>
      <c r="M583" s="16"/>
      <c r="N583" s="17"/>
      <c r="O583" s="17"/>
      <c r="P583" s="85">
        <f t="shared" si="943"/>
        <v>0</v>
      </c>
      <c r="Q583" s="15"/>
      <c r="R583" s="16"/>
      <c r="S583" s="17"/>
      <c r="T583" s="17"/>
      <c r="U583" s="85">
        <f t="shared" si="944"/>
        <v>0</v>
      </c>
      <c r="V583" s="15"/>
      <c r="W583" s="16"/>
      <c r="X583" s="17"/>
      <c r="Y583" s="17"/>
      <c r="Z583" s="85">
        <f t="shared" si="945"/>
        <v>0</v>
      </c>
      <c r="AA583" s="105">
        <f t="shared" si="946"/>
        <v>0</v>
      </c>
      <c r="AC583" s="23" t="s">
        <v>556</v>
      </c>
      <c r="AD583" s="15"/>
      <c r="AE583" s="16"/>
      <c r="AF583" s="17">
        <v>2</v>
      </c>
      <c r="AG583" s="17"/>
      <c r="AH583" s="85">
        <f t="shared" si="947"/>
        <v>2</v>
      </c>
      <c r="AI583" s="15"/>
      <c r="AJ583" s="16"/>
      <c r="AK583" s="17">
        <v>2</v>
      </c>
      <c r="AL583" s="17"/>
      <c r="AM583" s="85">
        <f t="shared" si="948"/>
        <v>2</v>
      </c>
      <c r="AN583" s="15"/>
      <c r="AO583" s="16"/>
      <c r="AP583" s="17"/>
      <c r="AQ583" s="17"/>
      <c r="AR583" s="85">
        <f t="shared" si="949"/>
        <v>0</v>
      </c>
      <c r="AS583" s="15"/>
      <c r="AT583" s="16"/>
      <c r="AU583" s="17"/>
      <c r="AV583" s="17"/>
      <c r="AW583" s="85">
        <f t="shared" si="950"/>
        <v>0</v>
      </c>
      <c r="AX583" s="15"/>
      <c r="AY583" s="16"/>
      <c r="AZ583" s="17">
        <v>2</v>
      </c>
      <c r="BA583" s="17"/>
      <c r="BB583" s="85">
        <f t="shared" si="951"/>
        <v>2</v>
      </c>
      <c r="BC583" s="105">
        <f t="shared" si="952"/>
        <v>6</v>
      </c>
      <c r="BD583" s="114">
        <v>45950</v>
      </c>
    </row>
    <row r="584" spans="1:56" x14ac:dyDescent="0.15">
      <c r="A584" s="54"/>
      <c r="B584" s="15"/>
      <c r="C584" s="16"/>
      <c r="D584" s="17"/>
      <c r="E584" s="17"/>
      <c r="F584" s="85">
        <f t="shared" si="941"/>
        <v>0</v>
      </c>
      <c r="G584" s="15"/>
      <c r="H584" s="16"/>
      <c r="I584" s="17"/>
      <c r="J584" s="17"/>
      <c r="K584" s="85">
        <f t="shared" si="942"/>
        <v>0</v>
      </c>
      <c r="L584" s="15"/>
      <c r="M584" s="16"/>
      <c r="N584" s="17"/>
      <c r="O584" s="17"/>
      <c r="P584" s="85">
        <f t="shared" si="943"/>
        <v>0</v>
      </c>
      <c r="Q584" s="15"/>
      <c r="R584" s="16"/>
      <c r="S584" s="17"/>
      <c r="T584" s="17"/>
      <c r="U584" s="85">
        <f t="shared" si="944"/>
        <v>0</v>
      </c>
      <c r="V584" s="15"/>
      <c r="W584" s="16"/>
      <c r="X584" s="17"/>
      <c r="Y584" s="17"/>
      <c r="Z584" s="85">
        <f t="shared" si="945"/>
        <v>0</v>
      </c>
      <c r="AA584" s="105">
        <f t="shared" si="946"/>
        <v>0</v>
      </c>
      <c r="AC584" s="23" t="s">
        <v>554</v>
      </c>
      <c r="AD584" s="15"/>
      <c r="AE584" s="16"/>
      <c r="AF584" s="17"/>
      <c r="AG584" s="17"/>
      <c r="AH584" s="85">
        <f t="shared" si="947"/>
        <v>0</v>
      </c>
      <c r="AI584" s="15"/>
      <c r="AJ584" s="16"/>
      <c r="AK584" s="17"/>
      <c r="AL584" s="17"/>
      <c r="AM584" s="85">
        <f t="shared" si="948"/>
        <v>0</v>
      </c>
      <c r="AN584" s="15">
        <v>7</v>
      </c>
      <c r="AO584" s="16"/>
      <c r="AP584" s="17"/>
      <c r="AQ584" s="17"/>
      <c r="AR584" s="85">
        <f t="shared" si="949"/>
        <v>7</v>
      </c>
      <c r="AS584" s="15">
        <v>7</v>
      </c>
      <c r="AT584" s="16"/>
      <c r="AU584" s="17"/>
      <c r="AV584" s="17"/>
      <c r="AW584" s="85">
        <f t="shared" si="950"/>
        <v>7</v>
      </c>
      <c r="AX584" s="15">
        <v>7</v>
      </c>
      <c r="AY584" s="16"/>
      <c r="AZ584" s="17"/>
      <c r="BA584" s="17"/>
      <c r="BB584" s="85">
        <f t="shared" si="951"/>
        <v>7</v>
      </c>
      <c r="BC584" s="105">
        <f t="shared" si="952"/>
        <v>21</v>
      </c>
      <c r="BD584" s="114">
        <v>45950</v>
      </c>
    </row>
    <row r="585" spans="1:56" x14ac:dyDescent="0.15">
      <c r="A585" s="24"/>
      <c r="B585" s="15"/>
      <c r="C585" s="16"/>
      <c r="D585" s="17"/>
      <c r="E585" s="17"/>
      <c r="F585" s="85">
        <f t="shared" si="941"/>
        <v>0</v>
      </c>
      <c r="G585" s="15"/>
      <c r="H585" s="16"/>
      <c r="I585" s="17"/>
      <c r="J585" s="17"/>
      <c r="K585" s="85">
        <f t="shared" si="942"/>
        <v>0</v>
      </c>
      <c r="L585" s="15"/>
      <c r="M585" s="16"/>
      <c r="N585" s="17"/>
      <c r="O585" s="17"/>
      <c r="P585" s="85">
        <f t="shared" si="943"/>
        <v>0</v>
      </c>
      <c r="Q585" s="15"/>
      <c r="R585" s="16"/>
      <c r="S585" s="17"/>
      <c r="T585" s="17"/>
      <c r="U585" s="85">
        <f t="shared" si="944"/>
        <v>0</v>
      </c>
      <c r="V585" s="15"/>
      <c r="W585" s="16"/>
      <c r="X585" s="17"/>
      <c r="Y585" s="17"/>
      <c r="Z585" s="85">
        <f t="shared" si="945"/>
        <v>0</v>
      </c>
      <c r="AA585" s="105">
        <f t="shared" si="946"/>
        <v>0</v>
      </c>
      <c r="AC585" s="23" t="s">
        <v>553</v>
      </c>
      <c r="AD585" s="15"/>
      <c r="AE585" s="16">
        <v>7</v>
      </c>
      <c r="AF585" s="17">
        <v>6</v>
      </c>
      <c r="AG585" s="17"/>
      <c r="AH585" s="85">
        <f t="shared" si="947"/>
        <v>13</v>
      </c>
      <c r="AI585" s="15"/>
      <c r="AJ585" s="16">
        <v>7</v>
      </c>
      <c r="AK585" s="17">
        <v>6</v>
      </c>
      <c r="AL585" s="17"/>
      <c r="AM585" s="85">
        <f t="shared" si="948"/>
        <v>13</v>
      </c>
      <c r="AN585" s="15"/>
      <c r="AO585" s="16"/>
      <c r="AP585" s="17"/>
      <c r="AQ585" s="17"/>
      <c r="AR585" s="85">
        <f t="shared" si="949"/>
        <v>0</v>
      </c>
      <c r="AS585" s="15"/>
      <c r="AT585" s="16"/>
      <c r="AU585" s="17"/>
      <c r="AV585" s="17"/>
      <c r="AW585" s="85">
        <f t="shared" si="950"/>
        <v>0</v>
      </c>
      <c r="AX585" s="15"/>
      <c r="AY585" s="16">
        <v>7</v>
      </c>
      <c r="AZ585" s="17">
        <v>6</v>
      </c>
      <c r="BA585" s="17"/>
      <c r="BB585" s="85">
        <f t="shared" si="951"/>
        <v>13</v>
      </c>
      <c r="BC585" s="105">
        <f t="shared" si="952"/>
        <v>39</v>
      </c>
      <c r="BD585" s="114">
        <v>45954</v>
      </c>
    </row>
    <row r="586" spans="1:56" x14ac:dyDescent="0.15">
      <c r="A586" s="54"/>
      <c r="B586" s="15"/>
      <c r="C586" s="16"/>
      <c r="D586" s="17"/>
      <c r="E586" s="17"/>
      <c r="F586" s="85">
        <f t="shared" si="941"/>
        <v>0</v>
      </c>
      <c r="G586" s="15"/>
      <c r="H586" s="16"/>
      <c r="I586" s="17"/>
      <c r="J586" s="17"/>
      <c r="K586" s="85">
        <f t="shared" si="942"/>
        <v>0</v>
      </c>
      <c r="L586" s="15"/>
      <c r="M586" s="16"/>
      <c r="N586" s="17"/>
      <c r="O586" s="17"/>
      <c r="P586" s="85">
        <f t="shared" si="943"/>
        <v>0</v>
      </c>
      <c r="Q586" s="15"/>
      <c r="R586" s="16"/>
      <c r="S586" s="17"/>
      <c r="T586" s="17"/>
      <c r="U586" s="85">
        <f t="shared" si="944"/>
        <v>0</v>
      </c>
      <c r="V586" s="15"/>
      <c r="W586" s="16"/>
      <c r="X586" s="17"/>
      <c r="Y586" s="17"/>
      <c r="Z586" s="85">
        <f t="shared" si="945"/>
        <v>0</v>
      </c>
      <c r="AA586" s="105">
        <f t="shared" si="946"/>
        <v>0</v>
      </c>
      <c r="AC586" s="23" t="s">
        <v>555</v>
      </c>
      <c r="AD586" s="15"/>
      <c r="AE586" s="16"/>
      <c r="AF586" s="17"/>
      <c r="AG586" s="17"/>
      <c r="AH586" s="85">
        <f t="shared" si="947"/>
        <v>0</v>
      </c>
      <c r="AI586" s="15"/>
      <c r="AJ586" s="16"/>
      <c r="AK586" s="17"/>
      <c r="AL586" s="17"/>
      <c r="AM586" s="85">
        <f t="shared" si="948"/>
        <v>0</v>
      </c>
      <c r="AN586" s="15"/>
      <c r="AO586" s="16"/>
      <c r="AP586" s="17"/>
      <c r="AQ586" s="17">
        <v>4</v>
      </c>
      <c r="AR586" s="85">
        <f t="shared" si="949"/>
        <v>4</v>
      </c>
      <c r="AS586" s="15"/>
      <c r="AT586" s="16"/>
      <c r="AU586" s="17"/>
      <c r="AV586" s="17">
        <v>4</v>
      </c>
      <c r="AW586" s="85">
        <f t="shared" si="950"/>
        <v>4</v>
      </c>
      <c r="AX586" s="15"/>
      <c r="AY586" s="16"/>
      <c r="AZ586" s="17"/>
      <c r="BA586" s="17">
        <v>4</v>
      </c>
      <c r="BB586" s="85">
        <f t="shared" si="951"/>
        <v>4</v>
      </c>
      <c r="BC586" s="105">
        <f t="shared" si="952"/>
        <v>12</v>
      </c>
      <c r="BD586" s="114">
        <v>45954</v>
      </c>
    </row>
    <row r="587" spans="1:56" x14ac:dyDescent="0.15">
      <c r="A587" s="23"/>
      <c r="B587" s="15"/>
      <c r="C587" s="16"/>
      <c r="D587" s="17"/>
      <c r="E587" s="17"/>
      <c r="F587" s="85">
        <f t="shared" si="941"/>
        <v>0</v>
      </c>
      <c r="G587" s="15"/>
      <c r="H587" s="16"/>
      <c r="I587" s="17"/>
      <c r="J587" s="17"/>
      <c r="K587" s="85">
        <f t="shared" si="942"/>
        <v>0</v>
      </c>
      <c r="L587" s="15"/>
      <c r="M587" s="16"/>
      <c r="N587" s="17"/>
      <c r="O587" s="17"/>
      <c r="P587" s="85">
        <f t="shared" si="943"/>
        <v>0</v>
      </c>
      <c r="Q587" s="15"/>
      <c r="R587" s="16"/>
      <c r="S587" s="17"/>
      <c r="T587" s="17"/>
      <c r="U587" s="85">
        <f t="shared" si="944"/>
        <v>0</v>
      </c>
      <c r="V587" s="15"/>
      <c r="W587" s="16"/>
      <c r="X587" s="17"/>
      <c r="Y587" s="17"/>
      <c r="Z587" s="85">
        <f t="shared" si="945"/>
        <v>0</v>
      </c>
      <c r="AA587" s="105">
        <f t="shared" si="946"/>
        <v>0</v>
      </c>
      <c r="AC587" s="23" t="s">
        <v>551</v>
      </c>
      <c r="AD587" s="15"/>
      <c r="AE587" s="16"/>
      <c r="AF587" s="17"/>
      <c r="AG587" s="17"/>
      <c r="AH587" s="85">
        <f t="shared" si="947"/>
        <v>0</v>
      </c>
      <c r="AI587" s="15"/>
      <c r="AJ587" s="16"/>
      <c r="AK587" s="17"/>
      <c r="AL587" s="17"/>
      <c r="AM587" s="85">
        <f t="shared" si="948"/>
        <v>0</v>
      </c>
      <c r="AN587" s="15"/>
      <c r="AO587" s="16"/>
      <c r="AP587" s="17"/>
      <c r="AQ587" s="17"/>
      <c r="AR587" s="85">
        <f t="shared" si="949"/>
        <v>0</v>
      </c>
      <c r="AS587" s="15"/>
      <c r="AT587" s="16">
        <v>8</v>
      </c>
      <c r="AU587" s="17">
        <v>6</v>
      </c>
      <c r="AV587" s="17"/>
      <c r="AW587" s="85">
        <f t="shared" si="950"/>
        <v>14</v>
      </c>
      <c r="AX587" s="15"/>
      <c r="AY587" s="16">
        <v>7</v>
      </c>
      <c r="AZ587" s="17">
        <v>8</v>
      </c>
      <c r="BA587" s="17"/>
      <c r="BB587" s="85">
        <f t="shared" si="951"/>
        <v>15</v>
      </c>
      <c r="BC587" s="105">
        <f t="shared" si="952"/>
        <v>29</v>
      </c>
      <c r="BD587" s="114">
        <v>45952</v>
      </c>
    </row>
    <row r="588" spans="1:56" x14ac:dyDescent="0.15">
      <c r="A588" s="23"/>
      <c r="B588" s="15"/>
      <c r="C588" s="16"/>
      <c r="D588" s="17"/>
      <c r="E588" s="17"/>
      <c r="F588" s="85">
        <f t="shared" si="941"/>
        <v>0</v>
      </c>
      <c r="G588" s="15"/>
      <c r="H588" s="16"/>
      <c r="I588" s="17"/>
      <c r="J588" s="17"/>
      <c r="K588" s="85">
        <f t="shared" si="942"/>
        <v>0</v>
      </c>
      <c r="L588" s="15"/>
      <c r="M588" s="16"/>
      <c r="N588" s="17"/>
      <c r="O588" s="17"/>
      <c r="P588" s="85">
        <f t="shared" si="943"/>
        <v>0</v>
      </c>
      <c r="Q588" s="15"/>
      <c r="R588" s="16"/>
      <c r="S588" s="17"/>
      <c r="T588" s="17"/>
      <c r="U588" s="85">
        <f t="shared" si="944"/>
        <v>0</v>
      </c>
      <c r="V588" s="15"/>
      <c r="W588" s="16"/>
      <c r="X588" s="17"/>
      <c r="Y588" s="17"/>
      <c r="Z588" s="85">
        <f t="shared" si="945"/>
        <v>0</v>
      </c>
      <c r="AA588" s="105">
        <f t="shared" si="946"/>
        <v>0</v>
      </c>
      <c r="AC588" s="23" t="s">
        <v>557</v>
      </c>
      <c r="AD588" s="15"/>
      <c r="AE588" s="16"/>
      <c r="AF588" s="17"/>
      <c r="AG588" s="17"/>
      <c r="AH588" s="85">
        <f t="shared" si="947"/>
        <v>0</v>
      </c>
      <c r="AI588" s="15"/>
      <c r="AJ588" s="16"/>
      <c r="AK588" s="17"/>
      <c r="AL588" s="17"/>
      <c r="AM588" s="85">
        <f t="shared" si="948"/>
        <v>0</v>
      </c>
      <c r="AN588" s="15">
        <v>6</v>
      </c>
      <c r="AO588" s="16">
        <v>9</v>
      </c>
      <c r="AP588" s="17">
        <v>7</v>
      </c>
      <c r="AQ588" s="17"/>
      <c r="AR588" s="85">
        <f t="shared" si="949"/>
        <v>22</v>
      </c>
      <c r="AS588" s="15">
        <v>6</v>
      </c>
      <c r="AT588" s="16">
        <v>9</v>
      </c>
      <c r="AU588" s="17">
        <v>7</v>
      </c>
      <c r="AV588" s="17"/>
      <c r="AW588" s="85">
        <f t="shared" si="950"/>
        <v>22</v>
      </c>
      <c r="AX588" s="15">
        <v>6</v>
      </c>
      <c r="AY588" s="16">
        <v>9</v>
      </c>
      <c r="AZ588" s="17">
        <v>7</v>
      </c>
      <c r="BA588" s="17"/>
      <c r="BB588" s="85">
        <f t="shared" si="951"/>
        <v>22</v>
      </c>
      <c r="BC588" s="105">
        <f t="shared" si="952"/>
        <v>66</v>
      </c>
      <c r="BD588" s="114">
        <v>45961</v>
      </c>
    </row>
    <row r="589" spans="1:56" x14ac:dyDescent="0.15">
      <c r="A589" s="54"/>
      <c r="B589" s="15"/>
      <c r="C589" s="16"/>
      <c r="D589" s="17"/>
      <c r="E589" s="17"/>
      <c r="F589" s="85">
        <f t="shared" si="941"/>
        <v>0</v>
      </c>
      <c r="G589" s="15"/>
      <c r="H589" s="16"/>
      <c r="I589" s="17"/>
      <c r="J589" s="17"/>
      <c r="K589" s="85">
        <f t="shared" si="942"/>
        <v>0</v>
      </c>
      <c r="L589" s="15"/>
      <c r="M589" s="16"/>
      <c r="N589" s="17"/>
      <c r="O589" s="17"/>
      <c r="P589" s="85">
        <f t="shared" si="943"/>
        <v>0</v>
      </c>
      <c r="Q589" s="15"/>
      <c r="R589" s="16"/>
      <c r="S589" s="17"/>
      <c r="T589" s="17"/>
      <c r="U589" s="85">
        <f t="shared" si="944"/>
        <v>0</v>
      </c>
      <c r="V589" s="15"/>
      <c r="W589" s="16"/>
      <c r="X589" s="17"/>
      <c r="Y589" s="17"/>
      <c r="Z589" s="85">
        <f t="shared" si="945"/>
        <v>0</v>
      </c>
      <c r="AA589" s="105">
        <f t="shared" si="946"/>
        <v>0</v>
      </c>
      <c r="AC589" s="23" t="s">
        <v>558</v>
      </c>
      <c r="AD589" s="15"/>
      <c r="AE589" s="16">
        <v>2</v>
      </c>
      <c r="AF589" s="17"/>
      <c r="AG589" s="17"/>
      <c r="AH589" s="85">
        <f>SUM(AD589:AG589)</f>
        <v>2</v>
      </c>
      <c r="AI589" s="15"/>
      <c r="AJ589" s="16">
        <v>2</v>
      </c>
      <c r="AK589" s="17"/>
      <c r="AL589" s="17"/>
      <c r="AM589" s="85">
        <f>SUM(AI589:AL589)</f>
        <v>2</v>
      </c>
      <c r="AN589" s="15"/>
      <c r="AO589" s="16"/>
      <c r="AP589" s="17"/>
      <c r="AQ589" s="17"/>
      <c r="AR589" s="85">
        <f>SUM(AN589:AQ589)</f>
        <v>0</v>
      </c>
      <c r="AS589" s="15"/>
      <c r="AT589" s="16"/>
      <c r="AU589" s="17"/>
      <c r="AV589" s="17"/>
      <c r="AW589" s="85">
        <f>SUM(AS589:AV589)</f>
        <v>0</v>
      </c>
      <c r="AX589" s="15"/>
      <c r="AY589" s="16">
        <v>2</v>
      </c>
      <c r="AZ589" s="17"/>
      <c r="BA589" s="17"/>
      <c r="BB589" s="85">
        <f>SUM(AX589:BA589)</f>
        <v>2</v>
      </c>
      <c r="BC589" s="105">
        <f>BB589+AW589+AR589+AM589+AH589</f>
        <v>6</v>
      </c>
      <c r="BD589" s="114">
        <v>45967</v>
      </c>
    </row>
    <row r="590" spans="1:56" x14ac:dyDescent="0.15">
      <c r="A590" s="23"/>
      <c r="B590" s="15"/>
      <c r="C590" s="16"/>
      <c r="D590" s="17"/>
      <c r="E590" s="17"/>
      <c r="F590" s="85">
        <f t="shared" si="941"/>
        <v>0</v>
      </c>
      <c r="G590" s="15"/>
      <c r="H590" s="16"/>
      <c r="I590" s="17"/>
      <c r="J590" s="17"/>
      <c r="K590" s="85">
        <f t="shared" si="942"/>
        <v>0</v>
      </c>
      <c r="L590" s="15"/>
      <c r="M590" s="16"/>
      <c r="N590" s="17"/>
      <c r="O590" s="17"/>
      <c r="P590" s="85">
        <f t="shared" si="943"/>
        <v>0</v>
      </c>
      <c r="Q590" s="15"/>
      <c r="R590" s="16"/>
      <c r="S590" s="17"/>
      <c r="T590" s="17"/>
      <c r="U590" s="85">
        <f t="shared" si="944"/>
        <v>0</v>
      </c>
      <c r="V590" s="15"/>
      <c r="W590" s="16"/>
      <c r="X590" s="17"/>
      <c r="Y590" s="17"/>
      <c r="Z590" s="85">
        <f t="shared" si="945"/>
        <v>0</v>
      </c>
      <c r="AA590" s="105">
        <f t="shared" si="946"/>
        <v>0</v>
      </c>
      <c r="AC590" s="23" t="s">
        <v>562</v>
      </c>
      <c r="AD590" s="15"/>
      <c r="AE590" s="16"/>
      <c r="AF590" s="17"/>
      <c r="AG590" s="17"/>
      <c r="AH590" s="85">
        <f t="shared" ref="AH590:AH591" si="975">SUM(AD590:AG590)</f>
        <v>0</v>
      </c>
      <c r="AI590" s="15"/>
      <c r="AJ590" s="16"/>
      <c r="AK590" s="17"/>
      <c r="AL590" s="17"/>
      <c r="AM590" s="85">
        <f t="shared" ref="AM590:AM591" si="976">SUM(AI590:AL590)</f>
        <v>0</v>
      </c>
      <c r="AN590" s="15"/>
      <c r="AO590" s="16"/>
      <c r="AP590" s="17"/>
      <c r="AQ590" s="17"/>
      <c r="AR590" s="85">
        <f t="shared" ref="AR590:AR591" si="977">SUM(AN590:AQ590)</f>
        <v>0</v>
      </c>
      <c r="AS590" s="15"/>
      <c r="AT590" s="16"/>
      <c r="AU590" s="17"/>
      <c r="AV590" s="17"/>
      <c r="AW590" s="85">
        <f t="shared" ref="AW590:AW591" si="978">SUM(AS590:AV590)</f>
        <v>0</v>
      </c>
      <c r="AX590" s="15"/>
      <c r="AY590" s="16"/>
      <c r="AZ590" s="17"/>
      <c r="BA590" s="17">
        <v>5</v>
      </c>
      <c r="BB590" s="85">
        <f t="shared" ref="BB590:BB591" si="979">SUM(AX590:BA590)</f>
        <v>5</v>
      </c>
      <c r="BC590" s="105">
        <f t="shared" ref="BC590:BC591" si="980">BB590+AW590+AR590+AM590+AH590</f>
        <v>5</v>
      </c>
      <c r="BD590" s="115">
        <v>45966</v>
      </c>
    </row>
    <row r="591" spans="1:56" x14ac:dyDescent="0.15">
      <c r="A591" s="23"/>
      <c r="B591" s="15"/>
      <c r="C591" s="16"/>
      <c r="D591" s="17"/>
      <c r="E591" s="17"/>
      <c r="F591" s="85">
        <f t="shared" si="941"/>
        <v>0</v>
      </c>
      <c r="G591" s="15"/>
      <c r="H591" s="16"/>
      <c r="I591" s="17"/>
      <c r="J591" s="17"/>
      <c r="K591" s="85">
        <f t="shared" si="942"/>
        <v>0</v>
      </c>
      <c r="L591" s="15"/>
      <c r="M591" s="16"/>
      <c r="N591" s="17"/>
      <c r="O591" s="17"/>
      <c r="P591" s="85">
        <f t="shared" si="943"/>
        <v>0</v>
      </c>
      <c r="Q591" s="15"/>
      <c r="R591" s="16"/>
      <c r="S591" s="17"/>
      <c r="T591" s="17"/>
      <c r="U591" s="85">
        <f t="shared" si="944"/>
        <v>0</v>
      </c>
      <c r="V591" s="15"/>
      <c r="W591" s="16"/>
      <c r="X591" s="17"/>
      <c r="Y591" s="17"/>
      <c r="Z591" s="85">
        <f t="shared" si="945"/>
        <v>0</v>
      </c>
      <c r="AA591" s="105">
        <f t="shared" si="946"/>
        <v>0</v>
      </c>
      <c r="AC591" s="23"/>
      <c r="AD591" s="15"/>
      <c r="AE591" s="16"/>
      <c r="AF591" s="17"/>
      <c r="AG591" s="17"/>
      <c r="AH591" s="85">
        <f t="shared" si="975"/>
        <v>0</v>
      </c>
      <c r="AI591" s="15"/>
      <c r="AJ591" s="16"/>
      <c r="AK591" s="17"/>
      <c r="AL591" s="17"/>
      <c r="AM591" s="85">
        <f t="shared" si="976"/>
        <v>0</v>
      </c>
      <c r="AN591" s="15"/>
      <c r="AO591" s="16"/>
      <c r="AP591" s="17"/>
      <c r="AQ591" s="17"/>
      <c r="AR591" s="85">
        <f t="shared" si="977"/>
        <v>0</v>
      </c>
      <c r="AS591" s="15"/>
      <c r="AT591" s="16"/>
      <c r="AU591" s="17"/>
      <c r="AV591" s="17"/>
      <c r="AW591" s="85">
        <f t="shared" si="978"/>
        <v>0</v>
      </c>
      <c r="AX591" s="15"/>
      <c r="AY591" s="16"/>
      <c r="AZ591" s="17"/>
      <c r="BA591" s="17"/>
      <c r="BB591" s="85">
        <f t="shared" si="979"/>
        <v>0</v>
      </c>
      <c r="BC591" s="105">
        <f t="shared" si="980"/>
        <v>0</v>
      </c>
      <c r="BD591" s="76"/>
    </row>
    <row r="592" spans="1:56" x14ac:dyDescent="0.15">
      <c r="A592" s="23"/>
      <c r="B592" s="18"/>
      <c r="C592" s="19"/>
      <c r="D592" s="20"/>
      <c r="E592" s="20"/>
      <c r="F592" s="85">
        <f t="shared" si="941"/>
        <v>0</v>
      </c>
      <c r="G592" s="18"/>
      <c r="H592" s="19"/>
      <c r="I592" s="20"/>
      <c r="J592" s="20"/>
      <c r="K592" s="85">
        <f t="shared" si="942"/>
        <v>0</v>
      </c>
      <c r="L592" s="18"/>
      <c r="M592" s="19"/>
      <c r="N592" s="20"/>
      <c r="O592" s="20"/>
      <c r="P592" s="85">
        <f t="shared" si="943"/>
        <v>0</v>
      </c>
      <c r="Q592" s="18"/>
      <c r="R592" s="19"/>
      <c r="S592" s="20"/>
      <c r="T592" s="20"/>
      <c r="U592" s="85">
        <f t="shared" si="944"/>
        <v>0</v>
      </c>
      <c r="V592" s="18"/>
      <c r="W592" s="19"/>
      <c r="X592" s="20"/>
      <c r="Y592" s="20"/>
      <c r="Z592" s="85">
        <f t="shared" si="945"/>
        <v>0</v>
      </c>
      <c r="AA592" s="105">
        <f t="shared" si="946"/>
        <v>0</v>
      </c>
      <c r="AC592" s="23" t="s">
        <v>507</v>
      </c>
      <c r="AD592" s="18"/>
      <c r="AE592" s="19"/>
      <c r="AF592" s="20"/>
      <c r="AG592" s="20"/>
      <c r="AH592" s="85">
        <f t="shared" si="947"/>
        <v>0</v>
      </c>
      <c r="AI592" s="18"/>
      <c r="AJ592" s="19"/>
      <c r="AK592" s="20"/>
      <c r="AL592" s="20"/>
      <c r="AM592" s="85">
        <f t="shared" si="948"/>
        <v>0</v>
      </c>
      <c r="AN592" s="18"/>
      <c r="AO592" s="19"/>
      <c r="AP592" s="20"/>
      <c r="AQ592" s="20"/>
      <c r="AR592" s="85">
        <f t="shared" si="949"/>
        <v>0</v>
      </c>
      <c r="AS592" s="18"/>
      <c r="AT592" s="19"/>
      <c r="AU592" s="20"/>
      <c r="AV592" s="20"/>
      <c r="AW592" s="85">
        <f t="shared" si="950"/>
        <v>0</v>
      </c>
      <c r="AX592" s="18"/>
      <c r="AY592" s="19"/>
      <c r="AZ592" s="20"/>
      <c r="BA592" s="20"/>
      <c r="BB592" s="85">
        <f t="shared" si="951"/>
        <v>0</v>
      </c>
      <c r="BC592" s="105">
        <f t="shared" si="952"/>
        <v>0</v>
      </c>
      <c r="BD592" s="76"/>
    </row>
    <row r="593" spans="1:58" x14ac:dyDescent="0.15">
      <c r="A593" s="23"/>
      <c r="B593" s="16"/>
      <c r="C593" s="16"/>
      <c r="D593" s="17"/>
      <c r="E593" s="17"/>
      <c r="F593" s="85">
        <f t="shared" si="941"/>
        <v>0</v>
      </c>
      <c r="G593" s="16"/>
      <c r="H593" s="16"/>
      <c r="I593" s="17"/>
      <c r="J593" s="17"/>
      <c r="K593" s="85">
        <f t="shared" si="942"/>
        <v>0</v>
      </c>
      <c r="L593" s="16"/>
      <c r="M593" s="16"/>
      <c r="N593" s="17"/>
      <c r="O593" s="17"/>
      <c r="P593" s="85">
        <f t="shared" si="943"/>
        <v>0</v>
      </c>
      <c r="Q593" s="16"/>
      <c r="R593" s="16"/>
      <c r="S593" s="17"/>
      <c r="T593" s="17"/>
      <c r="U593" s="85">
        <f t="shared" si="944"/>
        <v>0</v>
      </c>
      <c r="V593" s="16"/>
      <c r="W593" s="16"/>
      <c r="X593" s="17"/>
      <c r="Y593" s="17"/>
      <c r="Z593" s="85">
        <f t="shared" si="945"/>
        <v>0</v>
      </c>
      <c r="AA593" s="105">
        <f t="shared" si="946"/>
        <v>0</v>
      </c>
      <c r="AC593" s="23" t="s">
        <v>506</v>
      </c>
      <c r="AD593" s="18"/>
      <c r="AE593" s="19"/>
      <c r="AF593" s="20"/>
      <c r="AG593" s="20"/>
      <c r="AH593" s="85">
        <f t="shared" si="947"/>
        <v>0</v>
      </c>
      <c r="AI593" s="18"/>
      <c r="AJ593" s="19"/>
      <c r="AK593" s="20"/>
      <c r="AL593" s="20"/>
      <c r="AM593" s="85">
        <f t="shared" si="948"/>
        <v>0</v>
      </c>
      <c r="AN593" s="18"/>
      <c r="AO593" s="19"/>
      <c r="AP593" s="20"/>
      <c r="AQ593" s="20"/>
      <c r="AR593" s="85">
        <f t="shared" si="949"/>
        <v>0</v>
      </c>
      <c r="AS593" s="18"/>
      <c r="AT593" s="19"/>
      <c r="AU593" s="20"/>
      <c r="AV593" s="20"/>
      <c r="AW593" s="85">
        <f t="shared" si="950"/>
        <v>0</v>
      </c>
      <c r="AX593" s="18"/>
      <c r="AY593" s="19"/>
      <c r="AZ593" s="20"/>
      <c r="BA593" s="20"/>
      <c r="BB593" s="85">
        <f t="shared" si="951"/>
        <v>0</v>
      </c>
      <c r="BC593" s="105">
        <f t="shared" si="952"/>
        <v>0</v>
      </c>
      <c r="BD593" s="76" t="s">
        <v>492</v>
      </c>
    </row>
    <row r="594" spans="1:58" x14ac:dyDescent="0.15">
      <c r="A594" s="23"/>
      <c r="B594" s="15"/>
      <c r="C594" s="25"/>
      <c r="D594" s="17"/>
      <c r="E594" s="17"/>
      <c r="F594" s="85">
        <f t="shared" si="941"/>
        <v>0</v>
      </c>
      <c r="G594" s="15"/>
      <c r="H594" s="25"/>
      <c r="I594" s="17"/>
      <c r="J594" s="17"/>
      <c r="K594" s="85">
        <f t="shared" si="942"/>
        <v>0</v>
      </c>
      <c r="L594" s="15"/>
      <c r="M594" s="25"/>
      <c r="N594" s="17"/>
      <c r="O594" s="17"/>
      <c r="P594" s="85">
        <f t="shared" si="943"/>
        <v>0</v>
      </c>
      <c r="Q594" s="15"/>
      <c r="R594" s="25"/>
      <c r="S594" s="17"/>
      <c r="T594" s="17"/>
      <c r="U594" s="85">
        <f t="shared" si="944"/>
        <v>0</v>
      </c>
      <c r="V594" s="15"/>
      <c r="W594" s="25"/>
      <c r="X594" s="17"/>
      <c r="Y594" s="17"/>
      <c r="Z594" s="85">
        <f t="shared" si="945"/>
        <v>0</v>
      </c>
      <c r="AA594" s="105">
        <f t="shared" si="946"/>
        <v>0</v>
      </c>
      <c r="AC594" s="139" t="s">
        <v>496</v>
      </c>
      <c r="AD594" s="140"/>
      <c r="AE594" s="142"/>
      <c r="AF594" s="161"/>
      <c r="AG594" s="161"/>
      <c r="AH594" s="189">
        <f t="shared" ref="AH594:AH596" si="981">SUM(AD594:AG594)</f>
        <v>0</v>
      </c>
      <c r="AI594" s="140"/>
      <c r="AJ594" s="142"/>
      <c r="AK594" s="161"/>
      <c r="AL594" s="161"/>
      <c r="AM594" s="189">
        <f t="shared" ref="AM594:AM596" si="982">SUM(AI594:AL594)</f>
        <v>0</v>
      </c>
      <c r="AN594" s="140"/>
      <c r="AO594" s="142"/>
      <c r="AP594" s="161"/>
      <c r="AQ594" s="161"/>
      <c r="AR594" s="189">
        <f t="shared" ref="AR594:AR596" si="983">SUM(AN594:AQ594)</f>
        <v>0</v>
      </c>
      <c r="AS594" s="140"/>
      <c r="AT594" s="142"/>
      <c r="AU594" s="161"/>
      <c r="AV594" s="161"/>
      <c r="AW594" s="189">
        <f t="shared" ref="AW594:AW596" si="984">SUM(AS594:AV594)</f>
        <v>0</v>
      </c>
      <c r="AX594" s="140"/>
      <c r="AY594" s="142"/>
      <c r="AZ594" s="161"/>
      <c r="BA594" s="161"/>
      <c r="BB594" s="189">
        <f t="shared" ref="BB594:BB596" si="985">SUM(AX594:BA594)</f>
        <v>0</v>
      </c>
      <c r="BC594" s="190">
        <f t="shared" ref="BC594:BC596" si="986">BB594+AW594+AR594+AM594+AH594</f>
        <v>0</v>
      </c>
      <c r="BD594" s="159"/>
    </row>
    <row r="595" spans="1:58" x14ac:dyDescent="0.15">
      <c r="A595" s="23"/>
      <c r="B595" s="15"/>
      <c r="C595" s="16"/>
      <c r="D595" s="16"/>
      <c r="E595" s="63"/>
      <c r="F595" s="85">
        <f t="shared" si="941"/>
        <v>0</v>
      </c>
      <c r="G595" s="15"/>
      <c r="H595" s="16"/>
      <c r="I595" s="16"/>
      <c r="J595" s="63"/>
      <c r="K595" s="85">
        <f t="shared" si="942"/>
        <v>0</v>
      </c>
      <c r="L595" s="15"/>
      <c r="M595" s="16"/>
      <c r="N595" s="16"/>
      <c r="O595" s="63"/>
      <c r="P595" s="85">
        <f t="shared" si="943"/>
        <v>0</v>
      </c>
      <c r="Q595" s="15"/>
      <c r="R595" s="16"/>
      <c r="S595" s="16"/>
      <c r="T595" s="63"/>
      <c r="U595" s="85">
        <f t="shared" si="944"/>
        <v>0</v>
      </c>
      <c r="V595" s="15"/>
      <c r="W595" s="16"/>
      <c r="X595" s="16"/>
      <c r="Y595" s="63"/>
      <c r="Z595" s="85">
        <f t="shared" si="945"/>
        <v>0</v>
      </c>
      <c r="AA595" s="105">
        <f t="shared" si="946"/>
        <v>0</v>
      </c>
      <c r="AC595" s="23" t="s">
        <v>498</v>
      </c>
      <c r="AD595" s="18"/>
      <c r="AE595" s="19"/>
      <c r="AF595" s="20"/>
      <c r="AG595" s="20"/>
      <c r="AH595" s="85">
        <f t="shared" si="981"/>
        <v>0</v>
      </c>
      <c r="AI595" s="18"/>
      <c r="AJ595" s="19"/>
      <c r="AK595" s="20"/>
      <c r="AL595" s="20"/>
      <c r="AM595" s="85">
        <f t="shared" si="982"/>
        <v>0</v>
      </c>
      <c r="AN595" s="18"/>
      <c r="AO595" s="19"/>
      <c r="AP595" s="20"/>
      <c r="AQ595" s="20"/>
      <c r="AR595" s="85">
        <f t="shared" si="983"/>
        <v>0</v>
      </c>
      <c r="AS595" s="18"/>
      <c r="AT595" s="19"/>
      <c r="AU595" s="20"/>
      <c r="AV595" s="20"/>
      <c r="AW595" s="85">
        <f t="shared" si="984"/>
        <v>0</v>
      </c>
      <c r="AX595" s="18"/>
      <c r="AY595" s="19"/>
      <c r="AZ595" s="20"/>
      <c r="BA595" s="20"/>
      <c r="BB595" s="85">
        <f t="shared" si="985"/>
        <v>0</v>
      </c>
      <c r="BC595" s="105">
        <f t="shared" si="986"/>
        <v>0</v>
      </c>
      <c r="BD595" s="114" t="s">
        <v>545</v>
      </c>
    </row>
    <row r="596" spans="1:58" ht="14.25" thickBot="1" x14ac:dyDescent="0.2">
      <c r="A596" s="23"/>
      <c r="B596" s="15"/>
      <c r="C596" s="16"/>
      <c r="D596" s="16"/>
      <c r="E596" s="63"/>
      <c r="F596" s="85">
        <f t="shared" ref="F596" si="987">SUM(B596:E596)</f>
        <v>0</v>
      </c>
      <c r="G596" s="15"/>
      <c r="H596" s="16"/>
      <c r="I596" s="16"/>
      <c r="J596" s="63"/>
      <c r="K596" s="85">
        <f t="shared" ref="K596" si="988">SUM(G596:J596)</f>
        <v>0</v>
      </c>
      <c r="L596" s="15"/>
      <c r="M596" s="16"/>
      <c r="N596" s="16"/>
      <c r="O596" s="63"/>
      <c r="P596" s="85">
        <f t="shared" ref="P596" si="989">SUM(L596:O596)</f>
        <v>0</v>
      </c>
      <c r="Q596" s="15"/>
      <c r="R596" s="16"/>
      <c r="S596" s="16"/>
      <c r="T596" s="63"/>
      <c r="U596" s="85">
        <f t="shared" ref="U596" si="990">SUM(Q596:T596)</f>
        <v>0</v>
      </c>
      <c r="V596" s="15"/>
      <c r="W596" s="16"/>
      <c r="X596" s="16"/>
      <c r="Y596" s="63"/>
      <c r="Z596" s="85">
        <f t="shared" ref="Z596" si="991">SUM(V596:Y596)</f>
        <v>0</v>
      </c>
      <c r="AA596" s="105">
        <f t="shared" ref="AA596" si="992">Z596+U596+P596+K596+F596</f>
        <v>0</v>
      </c>
      <c r="AC596" s="23" t="s">
        <v>501</v>
      </c>
      <c r="AD596" s="18"/>
      <c r="AE596" s="19"/>
      <c r="AF596" s="20"/>
      <c r="AG596" s="20"/>
      <c r="AH596" s="85">
        <f t="shared" si="981"/>
        <v>0</v>
      </c>
      <c r="AI596" s="18"/>
      <c r="AJ596" s="19"/>
      <c r="AK596" s="20"/>
      <c r="AL596" s="20"/>
      <c r="AM596" s="85">
        <f t="shared" si="982"/>
        <v>0</v>
      </c>
      <c r="AN596" s="18"/>
      <c r="AO596" s="19"/>
      <c r="AP596" s="20"/>
      <c r="AQ596" s="20"/>
      <c r="AR596" s="85">
        <f t="shared" si="983"/>
        <v>0</v>
      </c>
      <c r="AS596" s="18"/>
      <c r="AT596" s="19"/>
      <c r="AU596" s="20"/>
      <c r="AV596" s="20"/>
      <c r="AW596" s="85">
        <f t="shared" si="984"/>
        <v>0</v>
      </c>
      <c r="AX596" s="18"/>
      <c r="AY596" s="19"/>
      <c r="AZ596" s="20"/>
      <c r="BA596" s="20"/>
      <c r="BB596" s="85">
        <f t="shared" si="985"/>
        <v>0</v>
      </c>
      <c r="BC596" s="105">
        <f t="shared" si="986"/>
        <v>0</v>
      </c>
      <c r="BD596" s="114" t="s">
        <v>545</v>
      </c>
    </row>
    <row r="597" spans="1:58" ht="14.25" thickBot="1" x14ac:dyDescent="0.2">
      <c r="A597" s="27" t="s">
        <v>12</v>
      </c>
      <c r="B597" s="57">
        <f>SUM(B571:B596)</f>
        <v>1</v>
      </c>
      <c r="C597" s="50">
        <f t="shared" ref="C597:D597" si="993">SUM(C571:C596)</f>
        <v>1</v>
      </c>
      <c r="D597" s="50">
        <f t="shared" si="993"/>
        <v>0</v>
      </c>
      <c r="E597" s="50">
        <f>SUM(E571:E596)</f>
        <v>0</v>
      </c>
      <c r="F597" s="88">
        <f t="shared" si="941"/>
        <v>2</v>
      </c>
      <c r="G597" s="57">
        <f>SUM(G571:G596)</f>
        <v>1</v>
      </c>
      <c r="H597" s="50">
        <f t="shared" ref="H597:I597" si="994">SUM(H571:H596)</f>
        <v>1</v>
      </c>
      <c r="I597" s="50">
        <f t="shared" si="994"/>
        <v>0</v>
      </c>
      <c r="J597" s="50">
        <f>SUM(J571:J596)</f>
        <v>0</v>
      </c>
      <c r="K597" s="88">
        <f t="shared" si="942"/>
        <v>2</v>
      </c>
      <c r="L597" s="57">
        <f>SUM(L571:L596)</f>
        <v>2</v>
      </c>
      <c r="M597" s="50">
        <f t="shared" ref="M597:N597" si="995">SUM(M571:M596)</f>
        <v>2</v>
      </c>
      <c r="N597" s="50">
        <f t="shared" si="995"/>
        <v>1</v>
      </c>
      <c r="O597" s="50">
        <f>SUM(O571:O596)</f>
        <v>0</v>
      </c>
      <c r="P597" s="88">
        <f t="shared" si="943"/>
        <v>5</v>
      </c>
      <c r="Q597" s="57">
        <f>SUM(Q571:Q596)</f>
        <v>3</v>
      </c>
      <c r="R597" s="50">
        <f t="shared" ref="R597:S597" si="996">SUM(R571:R596)</f>
        <v>8</v>
      </c>
      <c r="S597" s="50">
        <f t="shared" si="996"/>
        <v>6</v>
      </c>
      <c r="T597" s="50">
        <f>SUM(T571:T596)</f>
        <v>0</v>
      </c>
      <c r="U597" s="88">
        <f t="shared" si="944"/>
        <v>17</v>
      </c>
      <c r="V597" s="57">
        <f>SUM(V571:V596)</f>
        <v>4</v>
      </c>
      <c r="W597" s="50">
        <f t="shared" ref="W597:X597" si="997">SUM(W571:W596)</f>
        <v>7</v>
      </c>
      <c r="X597" s="50">
        <f t="shared" si="997"/>
        <v>11</v>
      </c>
      <c r="Y597" s="50">
        <f>SUM(Y571:Y596)</f>
        <v>5</v>
      </c>
      <c r="Z597" s="88">
        <f t="shared" si="945"/>
        <v>27</v>
      </c>
      <c r="AA597" s="109">
        <f t="shared" si="946"/>
        <v>53</v>
      </c>
      <c r="AC597" s="27" t="s">
        <v>419</v>
      </c>
      <c r="AD597" s="57">
        <f>SUM(AD571:AD596)</f>
        <v>8</v>
      </c>
      <c r="AE597" s="50">
        <f t="shared" ref="AE597:AF597" si="998">SUM(AE571:AE596)</f>
        <v>32</v>
      </c>
      <c r="AF597" s="50">
        <f t="shared" si="998"/>
        <v>14</v>
      </c>
      <c r="AG597" s="50">
        <f>SUM(AG571:AG596)</f>
        <v>6</v>
      </c>
      <c r="AH597" s="88">
        <f t="shared" si="947"/>
        <v>60</v>
      </c>
      <c r="AI597" s="57">
        <f>SUM(AI571:AI596)</f>
        <v>10</v>
      </c>
      <c r="AJ597" s="50">
        <f t="shared" ref="AJ597:AK597" si="999">SUM(AJ571:AJ596)</f>
        <v>32</v>
      </c>
      <c r="AK597" s="50">
        <f t="shared" si="999"/>
        <v>14</v>
      </c>
      <c r="AL597" s="50">
        <f>SUM(AL571:AL596)</f>
        <v>6</v>
      </c>
      <c r="AM597" s="88">
        <f t="shared" si="948"/>
        <v>62</v>
      </c>
      <c r="AN597" s="57">
        <f>SUM(AN571:AN596)</f>
        <v>38</v>
      </c>
      <c r="AO597" s="50">
        <f t="shared" ref="AO597:AP597" si="1000">SUM(AO571:AO596)</f>
        <v>27</v>
      </c>
      <c r="AP597" s="50">
        <f t="shared" si="1000"/>
        <v>18</v>
      </c>
      <c r="AQ597" s="50">
        <f>SUM(AQ571:AQ596)</f>
        <v>12</v>
      </c>
      <c r="AR597" s="88">
        <f t="shared" si="949"/>
        <v>95</v>
      </c>
      <c r="AS597" s="57">
        <f>SUM(AS571:AS596)</f>
        <v>33</v>
      </c>
      <c r="AT597" s="50">
        <f t="shared" ref="AT597:AU597" si="1001">SUM(AT571:AT596)</f>
        <v>30</v>
      </c>
      <c r="AU597" s="50">
        <f t="shared" si="1001"/>
        <v>24</v>
      </c>
      <c r="AV597" s="50">
        <f>SUM(AV571:AV596)</f>
        <v>12</v>
      </c>
      <c r="AW597" s="88">
        <f t="shared" si="950"/>
        <v>99</v>
      </c>
      <c r="AX597" s="57">
        <f>SUM(AX571:AX596)</f>
        <v>40</v>
      </c>
      <c r="AY597" s="50">
        <f t="shared" ref="AY597:AZ597" si="1002">SUM(AY571:AY596)</f>
        <v>56</v>
      </c>
      <c r="AZ597" s="50">
        <f t="shared" si="1002"/>
        <v>40</v>
      </c>
      <c r="BA597" s="50">
        <f>SUM(BA571:BA596)</f>
        <v>28</v>
      </c>
      <c r="BB597" s="88">
        <f t="shared" si="951"/>
        <v>164</v>
      </c>
      <c r="BC597" s="109">
        <f t="shared" si="952"/>
        <v>480</v>
      </c>
    </row>
    <row r="598" spans="1:58" ht="14.25" thickBot="1" x14ac:dyDescent="0.2">
      <c r="A598" s="21" t="s">
        <v>13</v>
      </c>
      <c r="B598" s="101">
        <f>B570-B597</f>
        <v>7</v>
      </c>
      <c r="C598" s="8">
        <f t="shared" ref="C598:D598" si="1003">C570-C597</f>
        <v>6</v>
      </c>
      <c r="D598" s="8">
        <f t="shared" si="1003"/>
        <v>5</v>
      </c>
      <c r="E598" s="8">
        <f>E570-E597</f>
        <v>5</v>
      </c>
      <c r="F598" s="87">
        <f t="shared" si="941"/>
        <v>23</v>
      </c>
      <c r="G598" s="101">
        <f>G570-G597</f>
        <v>7</v>
      </c>
      <c r="H598" s="8">
        <f t="shared" ref="H598:I598" si="1004">H570-H597</f>
        <v>7</v>
      </c>
      <c r="I598" s="8">
        <f t="shared" si="1004"/>
        <v>7</v>
      </c>
      <c r="J598" s="8">
        <f>J570-J597</f>
        <v>7</v>
      </c>
      <c r="K598" s="87">
        <f t="shared" si="942"/>
        <v>28</v>
      </c>
      <c r="L598" s="101">
        <f>L570-L597</f>
        <v>7</v>
      </c>
      <c r="M598" s="8">
        <f t="shared" ref="M598:N598" si="1005">M570-M597</f>
        <v>7</v>
      </c>
      <c r="N598" s="8">
        <f t="shared" si="1005"/>
        <v>7</v>
      </c>
      <c r="O598" s="8">
        <f>O570-O597</f>
        <v>6</v>
      </c>
      <c r="P598" s="87">
        <f t="shared" si="943"/>
        <v>27</v>
      </c>
      <c r="Q598" s="101">
        <f>Q570-Q597</f>
        <v>5</v>
      </c>
      <c r="R598" s="8">
        <f t="shared" ref="R598:S598" si="1006">R570-R597</f>
        <v>6</v>
      </c>
      <c r="S598" s="8">
        <f t="shared" si="1006"/>
        <v>5</v>
      </c>
      <c r="T598" s="8">
        <f>T570-T597</f>
        <v>5</v>
      </c>
      <c r="U598" s="87">
        <f t="shared" si="944"/>
        <v>21</v>
      </c>
      <c r="V598" s="101">
        <f>V570-V597</f>
        <v>5</v>
      </c>
      <c r="W598" s="8">
        <f t="shared" ref="W598:X598" si="1007">W570-W597</f>
        <v>6</v>
      </c>
      <c r="X598" s="8">
        <f t="shared" si="1007"/>
        <v>5</v>
      </c>
      <c r="Y598" s="8">
        <f>Y570-Y597</f>
        <v>7</v>
      </c>
      <c r="Z598" s="87">
        <f t="shared" si="945"/>
        <v>23</v>
      </c>
      <c r="AA598" s="107">
        <f t="shared" si="946"/>
        <v>122</v>
      </c>
      <c r="AC598" s="29" t="s">
        <v>13</v>
      </c>
      <c r="AD598" s="32">
        <f>AD570-AD597</f>
        <v>1430</v>
      </c>
      <c r="AE598" s="44">
        <f t="shared" ref="AE598:AF598" si="1008">AE570-AE597</f>
        <v>1375</v>
      </c>
      <c r="AF598" s="44">
        <f t="shared" si="1008"/>
        <v>563</v>
      </c>
      <c r="AG598" s="44">
        <f>AG570-AG597</f>
        <v>410</v>
      </c>
      <c r="AH598" s="87">
        <f t="shared" si="947"/>
        <v>3778</v>
      </c>
      <c r="AI598" s="32">
        <f>AI570-AI597</f>
        <v>1386</v>
      </c>
      <c r="AJ598" s="44">
        <f t="shared" ref="AJ598:AK598" si="1009">AJ570-AJ597</f>
        <v>1294</v>
      </c>
      <c r="AK598" s="44">
        <f t="shared" si="1009"/>
        <v>590</v>
      </c>
      <c r="AL598" s="44">
        <f>AL570-AL597</f>
        <v>422</v>
      </c>
      <c r="AM598" s="87">
        <f t="shared" si="948"/>
        <v>3692</v>
      </c>
      <c r="AN598" s="32">
        <f>AN570-AN597</f>
        <v>356</v>
      </c>
      <c r="AO598" s="44">
        <f t="shared" ref="AO598:AP598" si="1010">AO570-AO597</f>
        <v>324</v>
      </c>
      <c r="AP598" s="44">
        <f t="shared" si="1010"/>
        <v>236</v>
      </c>
      <c r="AQ598" s="44">
        <f>AQ570-AQ597</f>
        <v>376</v>
      </c>
      <c r="AR598" s="87">
        <f t="shared" si="949"/>
        <v>1292</v>
      </c>
      <c r="AS598" s="32">
        <f>AS570-AS597</f>
        <v>1324</v>
      </c>
      <c r="AT598" s="44">
        <f t="shared" ref="AT598:AU598" si="1011">AT570-AT597</f>
        <v>1226</v>
      </c>
      <c r="AU598" s="44">
        <f t="shared" si="1011"/>
        <v>593</v>
      </c>
      <c r="AV598" s="44">
        <f>AV570-AV597</f>
        <v>530</v>
      </c>
      <c r="AW598" s="87">
        <f t="shared" si="950"/>
        <v>3673</v>
      </c>
      <c r="AX598" s="32">
        <f>AX570-AX597</f>
        <v>467</v>
      </c>
      <c r="AY598" s="44">
        <f t="shared" ref="AY598:AZ598" si="1012">AY570-AY597</f>
        <v>507</v>
      </c>
      <c r="AZ598" s="44">
        <f t="shared" si="1012"/>
        <v>360</v>
      </c>
      <c r="BA598" s="44">
        <f>BA570-BA597</f>
        <v>129</v>
      </c>
      <c r="BB598" s="87">
        <f t="shared" si="951"/>
        <v>1463</v>
      </c>
      <c r="BC598" s="107">
        <f t="shared" si="952"/>
        <v>13898</v>
      </c>
      <c r="BF598" t="s">
        <v>490</v>
      </c>
    </row>
    <row r="601" spans="1:58" ht="19.5" thickBot="1" x14ac:dyDescent="0.25">
      <c r="A601" s="271" t="s">
        <v>22</v>
      </c>
      <c r="B601" s="271"/>
      <c r="C601" s="271"/>
      <c r="D601" s="271"/>
      <c r="E601" s="271"/>
      <c r="F601" s="271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C601" s="79" t="s">
        <v>69</v>
      </c>
      <c r="AD601" s="79"/>
      <c r="AE601" s="79"/>
      <c r="AF601" s="79"/>
      <c r="AG601" s="79"/>
      <c r="AH601" s="79"/>
      <c r="AI601" s="93"/>
      <c r="AJ601" s="93"/>
      <c r="AK601" s="93"/>
      <c r="AL601" s="93"/>
      <c r="AM601" s="93"/>
      <c r="AN601" s="93"/>
      <c r="AO601" s="93"/>
      <c r="AP601" s="93"/>
      <c r="AQ601" s="93"/>
      <c r="AR601" s="93"/>
      <c r="AS601" s="93"/>
      <c r="AT601" s="78"/>
      <c r="AU601" s="78"/>
      <c r="AV601" s="78"/>
      <c r="AW601" s="78"/>
      <c r="AX601" s="78"/>
      <c r="AY601" s="78"/>
      <c r="AZ601" s="78"/>
      <c r="BA601" s="78"/>
      <c r="BB601" s="78"/>
      <c r="BC601" s="78"/>
    </row>
    <row r="602" spans="1:58" ht="14.25" thickBot="1" x14ac:dyDescent="0.2">
      <c r="A602" s="2" t="s">
        <v>0</v>
      </c>
      <c r="B602" s="256" t="s">
        <v>23</v>
      </c>
      <c r="C602" s="257"/>
      <c r="D602" s="257"/>
      <c r="E602" s="258"/>
      <c r="F602" s="81"/>
      <c r="G602" s="259" t="s">
        <v>24</v>
      </c>
      <c r="H602" s="260"/>
      <c r="I602" s="260"/>
      <c r="J602" s="261"/>
      <c r="K602" s="81"/>
      <c r="L602" s="262" t="s">
        <v>25</v>
      </c>
      <c r="M602" s="263"/>
      <c r="N602" s="263"/>
      <c r="O602" s="264"/>
      <c r="P602" s="81"/>
      <c r="Q602" s="265" t="s">
        <v>26</v>
      </c>
      <c r="R602" s="266"/>
      <c r="S602" s="266"/>
      <c r="T602" s="267"/>
      <c r="U602" s="81"/>
      <c r="V602" s="268" t="s">
        <v>27</v>
      </c>
      <c r="W602" s="269"/>
      <c r="X602" s="269"/>
      <c r="Y602" s="270"/>
      <c r="Z602" s="81"/>
      <c r="AA602" s="272" t="s">
        <v>6</v>
      </c>
      <c r="AC602" s="2" t="s">
        <v>0</v>
      </c>
      <c r="AD602" s="256" t="s">
        <v>23</v>
      </c>
      <c r="AE602" s="257"/>
      <c r="AF602" s="257"/>
      <c r="AG602" s="258"/>
      <c r="AH602" s="81"/>
      <c r="AI602" s="259" t="s">
        <v>24</v>
      </c>
      <c r="AJ602" s="260"/>
      <c r="AK602" s="260"/>
      <c r="AL602" s="261"/>
      <c r="AM602" s="81"/>
      <c r="AN602" s="262" t="s">
        <v>25</v>
      </c>
      <c r="AO602" s="263"/>
      <c r="AP602" s="263"/>
      <c r="AQ602" s="264"/>
      <c r="AR602" s="81"/>
      <c r="AS602" s="265" t="s">
        <v>26</v>
      </c>
      <c r="AT602" s="266"/>
      <c r="AU602" s="266"/>
      <c r="AV602" s="267"/>
      <c r="AW602" s="81"/>
      <c r="AX602" s="268" t="s">
        <v>27</v>
      </c>
      <c r="AY602" s="269"/>
      <c r="AZ602" s="269"/>
      <c r="BA602" s="270"/>
      <c r="BB602" s="81"/>
      <c r="BC602" s="183" t="s">
        <v>6</v>
      </c>
    </row>
    <row r="603" spans="1:58" ht="14.25" thickBot="1" x14ac:dyDescent="0.2">
      <c r="A603" s="2" t="s">
        <v>2</v>
      </c>
      <c r="B603" s="3" t="s">
        <v>3</v>
      </c>
      <c r="C603" s="4" t="s">
        <v>4</v>
      </c>
      <c r="D603" s="5" t="s">
        <v>5</v>
      </c>
      <c r="E603" s="5" t="s">
        <v>20</v>
      </c>
      <c r="F603" s="82" t="s">
        <v>6</v>
      </c>
      <c r="G603" s="89" t="s">
        <v>3</v>
      </c>
      <c r="H603" s="4" t="s">
        <v>4</v>
      </c>
      <c r="I603" s="5" t="s">
        <v>5</v>
      </c>
      <c r="J603" s="5" t="s">
        <v>20</v>
      </c>
      <c r="K603" s="82" t="s">
        <v>6</v>
      </c>
      <c r="L603" s="89" t="s">
        <v>3</v>
      </c>
      <c r="M603" s="4" t="s">
        <v>4</v>
      </c>
      <c r="N603" s="5" t="s">
        <v>5</v>
      </c>
      <c r="O603" s="5" t="s">
        <v>20</v>
      </c>
      <c r="P603" s="82" t="s">
        <v>6</v>
      </c>
      <c r="Q603" s="89" t="s">
        <v>3</v>
      </c>
      <c r="R603" s="4" t="s">
        <v>4</v>
      </c>
      <c r="S603" s="5" t="s">
        <v>5</v>
      </c>
      <c r="T603" s="5" t="s">
        <v>20</v>
      </c>
      <c r="U603" s="82" t="s">
        <v>6</v>
      </c>
      <c r="V603" s="89" t="s">
        <v>3</v>
      </c>
      <c r="W603" s="4" t="s">
        <v>4</v>
      </c>
      <c r="X603" s="5" t="s">
        <v>5</v>
      </c>
      <c r="Y603" s="5" t="s">
        <v>20</v>
      </c>
      <c r="Z603" s="82" t="s">
        <v>6</v>
      </c>
      <c r="AA603" s="273"/>
      <c r="AC603" s="2" t="s">
        <v>2</v>
      </c>
      <c r="AD603" s="3" t="s">
        <v>3</v>
      </c>
      <c r="AE603" s="4" t="s">
        <v>4</v>
      </c>
      <c r="AF603" s="5" t="s">
        <v>5</v>
      </c>
      <c r="AG603" s="5" t="s">
        <v>20</v>
      </c>
      <c r="AH603" s="82" t="s">
        <v>6</v>
      </c>
      <c r="AI603" s="89" t="s">
        <v>3</v>
      </c>
      <c r="AJ603" s="4" t="s">
        <v>4</v>
      </c>
      <c r="AK603" s="5" t="s">
        <v>5</v>
      </c>
      <c r="AL603" s="5" t="s">
        <v>20</v>
      </c>
      <c r="AM603" s="82" t="s">
        <v>6</v>
      </c>
      <c r="AN603" s="89" t="s">
        <v>3</v>
      </c>
      <c r="AO603" s="4" t="s">
        <v>4</v>
      </c>
      <c r="AP603" s="5" t="s">
        <v>5</v>
      </c>
      <c r="AQ603" s="5" t="s">
        <v>20</v>
      </c>
      <c r="AR603" s="82" t="s">
        <v>6</v>
      </c>
      <c r="AS603" s="89" t="s">
        <v>3</v>
      </c>
      <c r="AT603" s="4" t="s">
        <v>4</v>
      </c>
      <c r="AU603" s="5" t="s">
        <v>5</v>
      </c>
      <c r="AV603" s="5" t="s">
        <v>20</v>
      </c>
      <c r="AW603" s="82" t="s">
        <v>6</v>
      </c>
      <c r="AX603" s="89" t="s">
        <v>3</v>
      </c>
      <c r="AY603" s="4" t="s">
        <v>4</v>
      </c>
      <c r="AZ603" s="5" t="s">
        <v>5</v>
      </c>
      <c r="BA603" s="5" t="s">
        <v>20</v>
      </c>
      <c r="BB603" s="82" t="s">
        <v>6</v>
      </c>
      <c r="BC603" s="184"/>
    </row>
    <row r="604" spans="1:58" x14ac:dyDescent="0.15">
      <c r="A604" s="40" t="s">
        <v>13</v>
      </c>
      <c r="B604" s="41">
        <f>B598</f>
        <v>7</v>
      </c>
      <c r="C604" s="42">
        <f>C598</f>
        <v>6</v>
      </c>
      <c r="D604" s="42">
        <f t="shared" ref="D604:AA604" si="1013">D598</f>
        <v>5</v>
      </c>
      <c r="E604" s="94">
        <f t="shared" si="1013"/>
        <v>5</v>
      </c>
      <c r="F604" s="95">
        <f t="shared" si="1013"/>
        <v>23</v>
      </c>
      <c r="G604" s="96">
        <f t="shared" si="1013"/>
        <v>7</v>
      </c>
      <c r="H604" s="42">
        <f t="shared" si="1013"/>
        <v>7</v>
      </c>
      <c r="I604" s="42">
        <f t="shared" si="1013"/>
        <v>7</v>
      </c>
      <c r="J604" s="94">
        <f t="shared" si="1013"/>
        <v>7</v>
      </c>
      <c r="K604" s="95">
        <f t="shared" si="1013"/>
        <v>28</v>
      </c>
      <c r="L604" s="96">
        <f t="shared" si="1013"/>
        <v>7</v>
      </c>
      <c r="M604" s="42">
        <f t="shared" si="1013"/>
        <v>7</v>
      </c>
      <c r="N604" s="42">
        <f t="shared" si="1013"/>
        <v>7</v>
      </c>
      <c r="O604" s="94">
        <f t="shared" si="1013"/>
        <v>6</v>
      </c>
      <c r="P604" s="95">
        <f t="shared" si="1013"/>
        <v>27</v>
      </c>
      <c r="Q604" s="96">
        <f t="shared" si="1013"/>
        <v>5</v>
      </c>
      <c r="R604" s="42">
        <f t="shared" si="1013"/>
        <v>6</v>
      </c>
      <c r="S604" s="42">
        <f t="shared" si="1013"/>
        <v>5</v>
      </c>
      <c r="T604" s="94">
        <f t="shared" si="1013"/>
        <v>5</v>
      </c>
      <c r="U604" s="95">
        <f t="shared" si="1013"/>
        <v>21</v>
      </c>
      <c r="V604" s="96">
        <f t="shared" si="1013"/>
        <v>5</v>
      </c>
      <c r="W604" s="42">
        <f t="shared" si="1013"/>
        <v>6</v>
      </c>
      <c r="X604" s="42">
        <f t="shared" si="1013"/>
        <v>5</v>
      </c>
      <c r="Y604" s="94">
        <f t="shared" si="1013"/>
        <v>7</v>
      </c>
      <c r="Z604" s="95">
        <f t="shared" si="1013"/>
        <v>23</v>
      </c>
      <c r="AA604" s="104">
        <f t="shared" si="1013"/>
        <v>122</v>
      </c>
      <c r="AC604" s="131" t="s">
        <v>13</v>
      </c>
      <c r="AD604" s="96">
        <f>AD598</f>
        <v>1430</v>
      </c>
      <c r="AE604" s="42">
        <f>AE598</f>
        <v>1375</v>
      </c>
      <c r="AF604" s="42">
        <f t="shared" ref="AF604:BC604" si="1014">AF598</f>
        <v>563</v>
      </c>
      <c r="AG604" s="94">
        <f t="shared" si="1014"/>
        <v>410</v>
      </c>
      <c r="AH604" s="95">
        <f t="shared" si="1014"/>
        <v>3778</v>
      </c>
      <c r="AI604" s="96">
        <f t="shared" si="1014"/>
        <v>1386</v>
      </c>
      <c r="AJ604" s="42">
        <f t="shared" si="1014"/>
        <v>1294</v>
      </c>
      <c r="AK604" s="42">
        <f t="shared" si="1014"/>
        <v>590</v>
      </c>
      <c r="AL604" s="94">
        <f t="shared" si="1014"/>
        <v>422</v>
      </c>
      <c r="AM604" s="95">
        <f t="shared" si="1014"/>
        <v>3692</v>
      </c>
      <c r="AN604" s="96">
        <f t="shared" si="1014"/>
        <v>356</v>
      </c>
      <c r="AO604" s="42">
        <f t="shared" si="1014"/>
        <v>324</v>
      </c>
      <c r="AP604" s="42">
        <f t="shared" si="1014"/>
        <v>236</v>
      </c>
      <c r="AQ604" s="94">
        <f t="shared" si="1014"/>
        <v>376</v>
      </c>
      <c r="AR604" s="95">
        <f t="shared" si="1014"/>
        <v>1292</v>
      </c>
      <c r="AS604" s="96">
        <f t="shared" si="1014"/>
        <v>1324</v>
      </c>
      <c r="AT604" s="42">
        <f t="shared" si="1014"/>
        <v>1226</v>
      </c>
      <c r="AU604" s="42">
        <f t="shared" si="1014"/>
        <v>593</v>
      </c>
      <c r="AV604" s="94">
        <f t="shared" si="1014"/>
        <v>530</v>
      </c>
      <c r="AW604" s="95">
        <f t="shared" si="1014"/>
        <v>3673</v>
      </c>
      <c r="AX604" s="96">
        <f t="shared" si="1014"/>
        <v>467</v>
      </c>
      <c r="AY604" s="42">
        <f t="shared" si="1014"/>
        <v>507</v>
      </c>
      <c r="AZ604" s="42">
        <f t="shared" si="1014"/>
        <v>360</v>
      </c>
      <c r="BA604" s="94">
        <f t="shared" si="1014"/>
        <v>129</v>
      </c>
      <c r="BB604" s="95">
        <f t="shared" si="1014"/>
        <v>1463</v>
      </c>
      <c r="BC604" s="104">
        <f t="shared" si="1014"/>
        <v>13898</v>
      </c>
    </row>
    <row r="605" spans="1:58" x14ac:dyDescent="0.15">
      <c r="A605" s="9" t="s">
        <v>7</v>
      </c>
      <c r="B605" s="10"/>
      <c r="C605" s="11"/>
      <c r="D605" s="12"/>
      <c r="E605" s="12">
        <v>3</v>
      </c>
      <c r="F605" s="85">
        <f t="shared" ref="F605:F638" si="1015">SUM(B605:E605)</f>
        <v>3</v>
      </c>
      <c r="G605" s="90"/>
      <c r="H605" s="11"/>
      <c r="I605" s="12"/>
      <c r="J605" s="12"/>
      <c r="K605" s="85">
        <f t="shared" ref="K605:K638" si="1016">SUM(G605:J605)</f>
        <v>0</v>
      </c>
      <c r="L605" s="90"/>
      <c r="M605" s="11">
        <v>3</v>
      </c>
      <c r="N605" s="12"/>
      <c r="O605" s="12"/>
      <c r="P605" s="85">
        <f t="shared" ref="P605:P638" si="1017">SUM(L605:O605)</f>
        <v>3</v>
      </c>
      <c r="Q605" s="90">
        <v>3</v>
      </c>
      <c r="R605" s="11"/>
      <c r="S605" s="12"/>
      <c r="T605" s="12">
        <v>3</v>
      </c>
      <c r="U605" s="85">
        <f t="shared" ref="U605:U638" si="1018">SUM(Q605:T605)</f>
        <v>6</v>
      </c>
      <c r="V605" s="90">
        <v>3</v>
      </c>
      <c r="W605" s="11">
        <v>3</v>
      </c>
      <c r="X605" s="12"/>
      <c r="Y605" s="12">
        <v>3</v>
      </c>
      <c r="Z605" s="85">
        <f t="shared" ref="Z605:Z638" si="1019">SUM(V605:Y605)</f>
        <v>9</v>
      </c>
      <c r="AA605" s="105">
        <f t="shared" ref="AA605:AA638" si="1020">Z605+U605+P605+K605+F605</f>
        <v>21</v>
      </c>
      <c r="AB605" s="114">
        <v>45971</v>
      </c>
      <c r="AC605" s="117" t="s">
        <v>313</v>
      </c>
      <c r="AD605" s="90"/>
      <c r="AE605" s="11"/>
      <c r="AF605" s="12"/>
      <c r="AG605" s="12"/>
      <c r="AH605" s="84">
        <f t="shared" ref="AH605:AH638" si="1021">SUM(AD605:AG605)</f>
        <v>0</v>
      </c>
      <c r="AI605" s="90"/>
      <c r="AJ605" s="11"/>
      <c r="AK605" s="12"/>
      <c r="AL605" s="12"/>
      <c r="AM605" s="84">
        <f t="shared" ref="AM605:AM638" si="1022">SUM(AI605:AL605)</f>
        <v>0</v>
      </c>
      <c r="AN605" s="90"/>
      <c r="AO605" s="11"/>
      <c r="AP605" s="12"/>
      <c r="AQ605" s="12"/>
      <c r="AR605" s="84">
        <f t="shared" ref="AR605:AR638" si="1023">SUM(AN605:AQ605)</f>
        <v>0</v>
      </c>
      <c r="AS605" s="90"/>
      <c r="AT605" s="11"/>
      <c r="AU605" s="12"/>
      <c r="AV605" s="12"/>
      <c r="AW605" s="84">
        <f t="shared" ref="AW605:AW638" si="1024">SUM(AS605:AV605)</f>
        <v>0</v>
      </c>
      <c r="AX605" s="90"/>
      <c r="AY605" s="11"/>
      <c r="AZ605" s="12"/>
      <c r="BA605" s="12"/>
      <c r="BB605" s="84">
        <f t="shared" ref="BB605:BB638" si="1025">SUM(AX605:BA605)</f>
        <v>0</v>
      </c>
      <c r="BC605" s="105">
        <f t="shared" ref="BC605:BC638" si="1026">BB605+AW605+AR605+AM605+AH605</f>
        <v>0</v>
      </c>
    </row>
    <row r="606" spans="1:58" x14ac:dyDescent="0.15">
      <c r="A606" s="233" t="s">
        <v>8</v>
      </c>
      <c r="B606" s="249"/>
      <c r="C606" s="250">
        <v>8</v>
      </c>
      <c r="D606" s="251"/>
      <c r="E606" s="251"/>
      <c r="F606" s="237">
        <f t="shared" si="1015"/>
        <v>8</v>
      </c>
      <c r="G606" s="252"/>
      <c r="H606" s="250"/>
      <c r="I606" s="251"/>
      <c r="J606" s="251"/>
      <c r="K606" s="237">
        <f t="shared" si="1016"/>
        <v>0</v>
      </c>
      <c r="L606" s="252">
        <v>5</v>
      </c>
      <c r="M606" s="250"/>
      <c r="N606" s="251"/>
      <c r="O606" s="251"/>
      <c r="P606" s="237">
        <f t="shared" si="1017"/>
        <v>5</v>
      </c>
      <c r="Q606" s="252"/>
      <c r="R606" s="250">
        <v>3</v>
      </c>
      <c r="S606" s="251"/>
      <c r="T606" s="251">
        <v>3</v>
      </c>
      <c r="U606" s="237">
        <f t="shared" si="1018"/>
        <v>6</v>
      </c>
      <c r="V606" s="252"/>
      <c r="W606" s="250">
        <v>8</v>
      </c>
      <c r="X606" s="251"/>
      <c r="Y606" s="251"/>
      <c r="Z606" s="237">
        <f t="shared" si="1019"/>
        <v>8</v>
      </c>
      <c r="AA606" s="239">
        <f t="shared" si="1020"/>
        <v>27</v>
      </c>
      <c r="AB606" s="240">
        <v>45972</v>
      </c>
      <c r="AC606" s="117" t="s">
        <v>355</v>
      </c>
      <c r="AD606" s="90"/>
      <c r="AE606" s="11"/>
      <c r="AF606" s="12"/>
      <c r="AG606" s="12"/>
      <c r="AH606" s="84">
        <f t="shared" si="1021"/>
        <v>0</v>
      </c>
      <c r="AI606" s="90"/>
      <c r="AJ606" s="11"/>
      <c r="AK606" s="12"/>
      <c r="AL606" s="12"/>
      <c r="AM606" s="84">
        <f t="shared" si="1022"/>
        <v>0</v>
      </c>
      <c r="AN606" s="90"/>
      <c r="AO606" s="11"/>
      <c r="AP606" s="12"/>
      <c r="AQ606" s="12"/>
      <c r="AR606" s="84">
        <f t="shared" si="1023"/>
        <v>0</v>
      </c>
      <c r="AS606" s="90"/>
      <c r="AT606" s="11"/>
      <c r="AU606" s="12"/>
      <c r="AV606" s="12"/>
      <c r="AW606" s="84">
        <f t="shared" si="1024"/>
        <v>0</v>
      </c>
      <c r="AX606" s="90"/>
      <c r="AY606" s="11"/>
      <c r="AZ606" s="12"/>
      <c r="BA606" s="12"/>
      <c r="BB606" s="84">
        <f t="shared" si="1025"/>
        <v>0</v>
      </c>
      <c r="BC606" s="105">
        <f t="shared" si="1026"/>
        <v>0</v>
      </c>
    </row>
    <row r="607" spans="1:58" x14ac:dyDescent="0.15">
      <c r="A607" s="9" t="s">
        <v>9</v>
      </c>
      <c r="B607" s="15">
        <v>3</v>
      </c>
      <c r="C607" s="16"/>
      <c r="D607" s="17"/>
      <c r="E607" s="17"/>
      <c r="F607" s="85">
        <f t="shared" si="1015"/>
        <v>3</v>
      </c>
      <c r="G607" s="91">
        <v>5</v>
      </c>
      <c r="H607" s="16"/>
      <c r="I607" s="17"/>
      <c r="J607" s="17"/>
      <c r="K607" s="85">
        <f t="shared" si="1016"/>
        <v>5</v>
      </c>
      <c r="L607" s="91"/>
      <c r="M607" s="16"/>
      <c r="N607" s="17"/>
      <c r="O607" s="17"/>
      <c r="P607" s="85">
        <f t="shared" si="1017"/>
        <v>0</v>
      </c>
      <c r="Q607" s="91"/>
      <c r="R607" s="16"/>
      <c r="S607" s="17"/>
      <c r="T607" s="17"/>
      <c r="U607" s="85">
        <f t="shared" si="1018"/>
        <v>0</v>
      </c>
      <c r="V607" s="91"/>
      <c r="W607" s="16"/>
      <c r="X607" s="17">
        <v>5</v>
      </c>
      <c r="Y607" s="17"/>
      <c r="Z607" s="85">
        <f t="shared" si="1019"/>
        <v>5</v>
      </c>
      <c r="AA607" s="105">
        <f t="shared" si="1020"/>
        <v>13</v>
      </c>
      <c r="AB607" s="114">
        <v>45982</v>
      </c>
      <c r="AC607" s="117" t="s">
        <v>354</v>
      </c>
      <c r="AD607" s="90"/>
      <c r="AE607" s="11"/>
      <c r="AF607" s="12"/>
      <c r="AG607" s="12"/>
      <c r="AH607" s="84">
        <f t="shared" si="1021"/>
        <v>0</v>
      </c>
      <c r="AI607" s="90"/>
      <c r="AJ607" s="11"/>
      <c r="AK607" s="12"/>
      <c r="AL607" s="12"/>
      <c r="AM607" s="84">
        <f t="shared" si="1022"/>
        <v>0</v>
      </c>
      <c r="AN607" s="90"/>
      <c r="AO607" s="11"/>
      <c r="AP607" s="12"/>
      <c r="AQ607" s="12"/>
      <c r="AR607" s="84">
        <f t="shared" si="1023"/>
        <v>0</v>
      </c>
      <c r="AS607" s="90"/>
      <c r="AT607" s="11"/>
      <c r="AU607" s="12"/>
      <c r="AV607" s="12"/>
      <c r="AW607" s="84">
        <f t="shared" si="1024"/>
        <v>0</v>
      </c>
      <c r="AX607" s="90"/>
      <c r="AY607" s="11"/>
      <c r="AZ607" s="12"/>
      <c r="BA607" s="12"/>
      <c r="BB607" s="84">
        <f t="shared" si="1025"/>
        <v>0</v>
      </c>
      <c r="BC607" s="105">
        <f t="shared" si="1026"/>
        <v>0</v>
      </c>
    </row>
    <row r="608" spans="1:58" x14ac:dyDescent="0.15">
      <c r="A608" s="9" t="s">
        <v>171</v>
      </c>
      <c r="B608" s="15"/>
      <c r="C608" s="16">
        <v>1</v>
      </c>
      <c r="D608" s="17"/>
      <c r="E608" s="17"/>
      <c r="F608" s="85">
        <f t="shared" si="1015"/>
        <v>1</v>
      </c>
      <c r="G608" s="91"/>
      <c r="H608" s="16">
        <v>1</v>
      </c>
      <c r="I608" s="17"/>
      <c r="J608" s="17"/>
      <c r="K608" s="85">
        <f t="shared" si="1016"/>
        <v>1</v>
      </c>
      <c r="L608" s="91"/>
      <c r="M608" s="16"/>
      <c r="N608" s="17"/>
      <c r="O608" s="17"/>
      <c r="P608" s="85">
        <f t="shared" si="1017"/>
        <v>0</v>
      </c>
      <c r="Q608" s="91"/>
      <c r="R608" s="16"/>
      <c r="S608" s="17"/>
      <c r="T608" s="17"/>
      <c r="U608" s="85">
        <f t="shared" si="1018"/>
        <v>0</v>
      </c>
      <c r="V608" s="91"/>
      <c r="W608" s="16">
        <v>1</v>
      </c>
      <c r="X608" s="17"/>
      <c r="Y608" s="17"/>
      <c r="Z608" s="85">
        <f t="shared" si="1019"/>
        <v>1</v>
      </c>
      <c r="AA608" s="105">
        <f t="shared" si="1020"/>
        <v>3</v>
      </c>
      <c r="AB608" s="114">
        <v>45982</v>
      </c>
      <c r="AC608" s="117" t="s">
        <v>10</v>
      </c>
      <c r="AD608" s="90"/>
      <c r="AE608" s="11"/>
      <c r="AF608" s="12"/>
      <c r="AG608" s="12"/>
      <c r="AH608" s="84">
        <f t="shared" si="1021"/>
        <v>0</v>
      </c>
      <c r="AI608" s="90"/>
      <c r="AJ608" s="11"/>
      <c r="AK608" s="12"/>
      <c r="AL608" s="12"/>
      <c r="AM608" s="84">
        <f t="shared" si="1022"/>
        <v>0</v>
      </c>
      <c r="AN608" s="90"/>
      <c r="AO608" s="11"/>
      <c r="AP608" s="12"/>
      <c r="AQ608" s="12"/>
      <c r="AR608" s="84">
        <f t="shared" si="1023"/>
        <v>0</v>
      </c>
      <c r="AS608" s="90"/>
      <c r="AT608" s="11"/>
      <c r="AU608" s="12"/>
      <c r="AV608" s="12"/>
      <c r="AW608" s="84">
        <f t="shared" si="1024"/>
        <v>0</v>
      </c>
      <c r="AX608" s="90"/>
      <c r="AY608" s="11"/>
      <c r="AZ608" s="12"/>
      <c r="BA608" s="12"/>
      <c r="BB608" s="84">
        <f t="shared" si="1025"/>
        <v>0</v>
      </c>
      <c r="BC608" s="105">
        <f t="shared" si="1026"/>
        <v>0</v>
      </c>
    </row>
    <row r="609" spans="1:56" ht="14.25" thickBot="1" x14ac:dyDescent="0.2">
      <c r="A609" s="9" t="s">
        <v>11</v>
      </c>
      <c r="B609" s="15"/>
      <c r="C609" s="16"/>
      <c r="D609" s="17">
        <v>3</v>
      </c>
      <c r="E609" s="17"/>
      <c r="F609" s="85">
        <f t="shared" ref="F609" si="1027">SUM(B609:E609)</f>
        <v>3</v>
      </c>
      <c r="G609" s="91"/>
      <c r="H609" s="16"/>
      <c r="I609" s="17"/>
      <c r="J609" s="17">
        <v>3</v>
      </c>
      <c r="K609" s="85">
        <f t="shared" ref="K609" si="1028">SUM(G609:J609)</f>
        <v>3</v>
      </c>
      <c r="L609" s="91"/>
      <c r="M609" s="16"/>
      <c r="N609" s="17"/>
      <c r="O609" s="17"/>
      <c r="P609" s="85">
        <f t="shared" ref="P609" si="1029">SUM(L609:O609)</f>
        <v>0</v>
      </c>
      <c r="Q609" s="91">
        <v>3</v>
      </c>
      <c r="R609" s="16"/>
      <c r="S609" s="17"/>
      <c r="T609" s="17"/>
      <c r="U609" s="85">
        <f t="shared" ref="U609" si="1030">SUM(Q609:T609)</f>
        <v>3</v>
      </c>
      <c r="V609" s="91">
        <v>8</v>
      </c>
      <c r="W609" s="16"/>
      <c r="X609" s="17"/>
      <c r="Y609" s="17"/>
      <c r="Z609" s="85">
        <f t="shared" ref="Z609" si="1031">SUM(V609:Y609)</f>
        <v>8</v>
      </c>
      <c r="AA609" s="105">
        <f t="shared" ref="AA609" si="1032">Z609+U609+P609+K609+F609</f>
        <v>17</v>
      </c>
      <c r="AB609" s="114">
        <v>45988</v>
      </c>
      <c r="AC609" s="132" t="s">
        <v>11</v>
      </c>
      <c r="AD609" s="91"/>
      <c r="AE609" s="16"/>
      <c r="AF609" s="17"/>
      <c r="AG609" s="17"/>
      <c r="AH609" s="92">
        <f t="shared" si="1021"/>
        <v>0</v>
      </c>
      <c r="AI609" s="91"/>
      <c r="AJ609" s="16"/>
      <c r="AK609" s="17"/>
      <c r="AL609" s="17"/>
      <c r="AM609" s="92">
        <f t="shared" si="1022"/>
        <v>0</v>
      </c>
      <c r="AN609" s="91"/>
      <c r="AO609" s="16"/>
      <c r="AP609" s="17"/>
      <c r="AQ609" s="17"/>
      <c r="AR609" s="92">
        <f t="shared" si="1023"/>
        <v>0</v>
      </c>
      <c r="AS609" s="91"/>
      <c r="AT609" s="16"/>
      <c r="AU609" s="17"/>
      <c r="AV609" s="17"/>
      <c r="AW609" s="92">
        <f t="shared" si="1024"/>
        <v>0</v>
      </c>
      <c r="AX609" s="91"/>
      <c r="AY609" s="16"/>
      <c r="AZ609" s="17"/>
      <c r="BA609" s="17"/>
      <c r="BB609" s="92">
        <f t="shared" si="1025"/>
        <v>0</v>
      </c>
      <c r="BC609" s="110">
        <f t="shared" si="1026"/>
        <v>0</v>
      </c>
    </row>
    <row r="610" spans="1:56" ht="14.25" thickBot="1" x14ac:dyDescent="0.2">
      <c r="A610" s="21" t="s">
        <v>16</v>
      </c>
      <c r="B610" s="7">
        <f>SUM(B604:B609)</f>
        <v>10</v>
      </c>
      <c r="C610" s="8">
        <f t="shared" ref="C610:E610" si="1033">SUM(C604:C609)</f>
        <v>15</v>
      </c>
      <c r="D610" s="22">
        <f t="shared" si="1033"/>
        <v>8</v>
      </c>
      <c r="E610" s="22">
        <f t="shared" si="1033"/>
        <v>8</v>
      </c>
      <c r="F610" s="87">
        <f t="shared" si="1015"/>
        <v>41</v>
      </c>
      <c r="G610" s="7">
        <f>SUM(G604:G609)</f>
        <v>12</v>
      </c>
      <c r="H610" s="8">
        <f t="shared" ref="H610:J610" si="1034">SUM(H604:H609)</f>
        <v>8</v>
      </c>
      <c r="I610" s="22">
        <f t="shared" si="1034"/>
        <v>7</v>
      </c>
      <c r="J610" s="22">
        <f t="shared" si="1034"/>
        <v>10</v>
      </c>
      <c r="K610" s="87">
        <f t="shared" si="1016"/>
        <v>37</v>
      </c>
      <c r="L610" s="7">
        <f>SUM(L604:L609)</f>
        <v>12</v>
      </c>
      <c r="M610" s="8">
        <f t="shared" ref="M610:O610" si="1035">SUM(M604:M609)</f>
        <v>10</v>
      </c>
      <c r="N610" s="22">
        <f t="shared" si="1035"/>
        <v>7</v>
      </c>
      <c r="O610" s="22">
        <f t="shared" si="1035"/>
        <v>6</v>
      </c>
      <c r="P610" s="87">
        <f t="shared" si="1017"/>
        <v>35</v>
      </c>
      <c r="Q610" s="7">
        <f>SUM(Q604:Q609)</f>
        <v>11</v>
      </c>
      <c r="R610" s="8">
        <f t="shared" ref="R610:T610" si="1036">SUM(R604:R609)</f>
        <v>9</v>
      </c>
      <c r="S610" s="22">
        <f t="shared" si="1036"/>
        <v>5</v>
      </c>
      <c r="T610" s="22">
        <f t="shared" si="1036"/>
        <v>11</v>
      </c>
      <c r="U610" s="87">
        <f t="shared" si="1018"/>
        <v>36</v>
      </c>
      <c r="V610" s="7">
        <f>SUM(V604:V609)</f>
        <v>16</v>
      </c>
      <c r="W610" s="8">
        <f t="shared" ref="W610:Y610" si="1037">SUM(W604:W609)</f>
        <v>18</v>
      </c>
      <c r="X610" s="22">
        <f t="shared" si="1037"/>
        <v>10</v>
      </c>
      <c r="Y610" s="22">
        <f t="shared" si="1037"/>
        <v>10</v>
      </c>
      <c r="Z610" s="87">
        <f t="shared" si="1019"/>
        <v>54</v>
      </c>
      <c r="AA610" s="107">
        <f t="shared" si="1020"/>
        <v>203</v>
      </c>
      <c r="AC610" s="21" t="s">
        <v>16</v>
      </c>
      <c r="AD610" s="7">
        <f>SUM(AD604:AD609)</f>
        <v>1430</v>
      </c>
      <c r="AE610" s="8">
        <f t="shared" ref="AE610:AG610" si="1038">SUM(AE604:AE609)</f>
        <v>1375</v>
      </c>
      <c r="AF610" s="22">
        <f t="shared" si="1038"/>
        <v>563</v>
      </c>
      <c r="AG610" s="22">
        <f t="shared" si="1038"/>
        <v>410</v>
      </c>
      <c r="AH610" s="87">
        <f t="shared" si="1021"/>
        <v>3778</v>
      </c>
      <c r="AI610" s="7">
        <f>SUM(AI604:AI609)</f>
        <v>1386</v>
      </c>
      <c r="AJ610" s="8">
        <f t="shared" ref="AJ610:AL610" si="1039">SUM(AJ604:AJ609)</f>
        <v>1294</v>
      </c>
      <c r="AK610" s="22">
        <f t="shared" si="1039"/>
        <v>590</v>
      </c>
      <c r="AL610" s="22">
        <f t="shared" si="1039"/>
        <v>422</v>
      </c>
      <c r="AM610" s="87">
        <f t="shared" si="1022"/>
        <v>3692</v>
      </c>
      <c r="AN610" s="7">
        <f>SUM(AN604:AN609)</f>
        <v>356</v>
      </c>
      <c r="AO610" s="8">
        <f t="shared" ref="AO610:AQ610" si="1040">SUM(AO604:AO609)</f>
        <v>324</v>
      </c>
      <c r="AP610" s="22">
        <f t="shared" si="1040"/>
        <v>236</v>
      </c>
      <c r="AQ610" s="22">
        <f t="shared" si="1040"/>
        <v>376</v>
      </c>
      <c r="AR610" s="87">
        <f t="shared" si="1023"/>
        <v>1292</v>
      </c>
      <c r="AS610" s="7">
        <f>SUM(AS604:AS609)</f>
        <v>1324</v>
      </c>
      <c r="AT610" s="8">
        <f t="shared" ref="AT610:AV610" si="1041">SUM(AT604:AT609)</f>
        <v>1226</v>
      </c>
      <c r="AU610" s="22">
        <f t="shared" si="1041"/>
        <v>593</v>
      </c>
      <c r="AV610" s="22">
        <f t="shared" si="1041"/>
        <v>530</v>
      </c>
      <c r="AW610" s="87">
        <f t="shared" si="1024"/>
        <v>3673</v>
      </c>
      <c r="AX610" s="7">
        <f>SUM(AX604:AX609)</f>
        <v>467</v>
      </c>
      <c r="AY610" s="8">
        <f t="shared" ref="AY610:BA610" si="1042">SUM(AY604:AY609)</f>
        <v>507</v>
      </c>
      <c r="AZ610" s="22">
        <f t="shared" si="1042"/>
        <v>360</v>
      </c>
      <c r="BA610" s="22">
        <f t="shared" si="1042"/>
        <v>129</v>
      </c>
      <c r="BB610" s="87">
        <f t="shared" si="1025"/>
        <v>1463</v>
      </c>
      <c r="BC610" s="107">
        <f t="shared" si="1026"/>
        <v>13898</v>
      </c>
    </row>
    <row r="611" spans="1:56" x14ac:dyDescent="0.15">
      <c r="A611" s="23" t="s">
        <v>559</v>
      </c>
      <c r="B611" s="15"/>
      <c r="C611" s="16"/>
      <c r="D611" s="17"/>
      <c r="E611" s="17">
        <v>1</v>
      </c>
      <c r="F611" s="85">
        <f t="shared" si="1015"/>
        <v>1</v>
      </c>
      <c r="G611" s="15">
        <v>1</v>
      </c>
      <c r="H611" s="16">
        <v>3</v>
      </c>
      <c r="I611" s="17">
        <v>2</v>
      </c>
      <c r="J611" s="17">
        <v>1</v>
      </c>
      <c r="K611" s="85">
        <f t="shared" si="1016"/>
        <v>7</v>
      </c>
      <c r="L611" s="15">
        <v>2</v>
      </c>
      <c r="M611" s="16">
        <v>2</v>
      </c>
      <c r="N611" s="17">
        <v>1</v>
      </c>
      <c r="O611" s="17"/>
      <c r="P611" s="85">
        <f t="shared" si="1017"/>
        <v>5</v>
      </c>
      <c r="Q611" s="15">
        <v>2</v>
      </c>
      <c r="R611" s="16"/>
      <c r="S611" s="17"/>
      <c r="T611" s="17">
        <v>2</v>
      </c>
      <c r="U611" s="85">
        <f t="shared" si="1018"/>
        <v>4</v>
      </c>
      <c r="V611" s="15">
        <v>3</v>
      </c>
      <c r="W611" s="16">
        <v>3</v>
      </c>
      <c r="X611" s="17"/>
      <c r="Y611" s="17">
        <v>2</v>
      </c>
      <c r="Z611" s="85">
        <f t="shared" si="1019"/>
        <v>8</v>
      </c>
      <c r="AA611" s="105">
        <f t="shared" si="1020"/>
        <v>25</v>
      </c>
      <c r="AB611" s="114">
        <v>45971</v>
      </c>
      <c r="AC611" s="23" t="s">
        <v>503</v>
      </c>
      <c r="AD611" s="18">
        <v>800</v>
      </c>
      <c r="AE611" s="19">
        <v>800</v>
      </c>
      <c r="AF611" s="20">
        <v>400</v>
      </c>
      <c r="AG611" s="20"/>
      <c r="AH611" s="85">
        <f t="shared" si="1021"/>
        <v>2000</v>
      </c>
      <c r="AI611" s="18">
        <v>800</v>
      </c>
      <c r="AJ611" s="19">
        <v>800</v>
      </c>
      <c r="AK611" s="20">
        <v>400</v>
      </c>
      <c r="AL611" s="20"/>
      <c r="AM611" s="85">
        <f t="shared" si="1022"/>
        <v>2000</v>
      </c>
      <c r="AN611" s="18"/>
      <c r="AO611" s="19"/>
      <c r="AP611" s="20"/>
      <c r="AQ611" s="20"/>
      <c r="AR611" s="85">
        <f t="shared" si="1023"/>
        <v>0</v>
      </c>
      <c r="AS611" s="18">
        <v>800</v>
      </c>
      <c r="AT611" s="19">
        <v>800</v>
      </c>
      <c r="AU611" s="20">
        <v>400</v>
      </c>
      <c r="AV611" s="20"/>
      <c r="AW611" s="85">
        <f t="shared" si="1024"/>
        <v>2000</v>
      </c>
      <c r="AX611" s="18"/>
      <c r="AY611" s="19"/>
      <c r="AZ611" s="20"/>
      <c r="BA611" s="20"/>
      <c r="BB611" s="85">
        <f t="shared" si="1025"/>
        <v>0</v>
      </c>
      <c r="BC611" s="105">
        <f t="shared" si="1026"/>
        <v>6000</v>
      </c>
      <c r="BD611" s="114">
        <v>45965</v>
      </c>
    </row>
    <row r="612" spans="1:56" x14ac:dyDescent="0.15">
      <c r="A612" s="23" t="s">
        <v>43</v>
      </c>
      <c r="B612" s="15"/>
      <c r="C612" s="16"/>
      <c r="D612" s="17"/>
      <c r="E612" s="17">
        <v>2</v>
      </c>
      <c r="F612" s="85">
        <f t="shared" si="1015"/>
        <v>2</v>
      </c>
      <c r="G612" s="15"/>
      <c r="H612" s="16"/>
      <c r="I612" s="17"/>
      <c r="J612" s="17">
        <v>2</v>
      </c>
      <c r="K612" s="85">
        <f t="shared" si="1016"/>
        <v>2</v>
      </c>
      <c r="L612" s="15"/>
      <c r="M612" s="16">
        <v>1</v>
      </c>
      <c r="N612" s="17"/>
      <c r="O612" s="17">
        <v>1</v>
      </c>
      <c r="P612" s="85">
        <f t="shared" si="1017"/>
        <v>2</v>
      </c>
      <c r="Q612" s="15"/>
      <c r="R612" s="16">
        <v>1</v>
      </c>
      <c r="S612" s="17"/>
      <c r="T612" s="17">
        <v>1</v>
      </c>
      <c r="U612" s="85">
        <f t="shared" si="1018"/>
        <v>2</v>
      </c>
      <c r="V612" s="15"/>
      <c r="W612" s="16">
        <v>1</v>
      </c>
      <c r="X612" s="17"/>
      <c r="Y612" s="17">
        <v>3</v>
      </c>
      <c r="Z612" s="85">
        <f t="shared" si="1019"/>
        <v>4</v>
      </c>
      <c r="AA612" s="105">
        <f t="shared" si="1020"/>
        <v>12</v>
      </c>
      <c r="AB612" s="115">
        <v>45966</v>
      </c>
      <c r="AC612" s="23" t="s">
        <v>560</v>
      </c>
      <c r="AD612" s="15"/>
      <c r="AE612" s="16"/>
      <c r="AF612" s="17"/>
      <c r="AG612" s="17"/>
      <c r="AH612" s="85">
        <f t="shared" ref="AH612:AH613" si="1043">SUM(AD612:AG612)</f>
        <v>0</v>
      </c>
      <c r="AI612" s="15"/>
      <c r="AJ612" s="16"/>
      <c r="AK612" s="17"/>
      <c r="AL612" s="17"/>
      <c r="AM612" s="85">
        <f t="shared" ref="AM612:AM613" si="1044">SUM(AI612:AL612)</f>
        <v>0</v>
      </c>
      <c r="AN612" s="15">
        <v>2</v>
      </c>
      <c r="AO612" s="16"/>
      <c r="AP612" s="17"/>
      <c r="AQ612" s="17"/>
      <c r="AR612" s="85">
        <f t="shared" ref="AR612:AR613" si="1045">SUM(AN612:AQ612)</f>
        <v>2</v>
      </c>
      <c r="AS612" s="15">
        <v>2</v>
      </c>
      <c r="AT612" s="16"/>
      <c r="AU612" s="17"/>
      <c r="AV612" s="17"/>
      <c r="AW612" s="85">
        <f t="shared" ref="AW612:AW613" si="1046">SUM(AS612:AV612)</f>
        <v>2</v>
      </c>
      <c r="AX612" s="15">
        <v>2</v>
      </c>
      <c r="AY612" s="16"/>
      <c r="AZ612" s="17"/>
      <c r="BA612" s="17"/>
      <c r="BB612" s="85">
        <f t="shared" ref="BB612:BB613" si="1047">SUM(AX612:BA612)</f>
        <v>2</v>
      </c>
      <c r="BC612" s="105">
        <f t="shared" ref="BC612:BC613" si="1048">BB612+AW612+AR612+AM612+AH612</f>
        <v>6</v>
      </c>
      <c r="BD612" s="114">
        <v>45971</v>
      </c>
    </row>
    <row r="613" spans="1:56" x14ac:dyDescent="0.15">
      <c r="A613" s="23" t="s">
        <v>43</v>
      </c>
      <c r="B613" s="15"/>
      <c r="C613" s="16"/>
      <c r="D613" s="17"/>
      <c r="E613" s="17"/>
      <c r="F613" s="85">
        <f t="shared" si="1015"/>
        <v>0</v>
      </c>
      <c r="G613" s="15"/>
      <c r="H613" s="16"/>
      <c r="I613" s="17"/>
      <c r="J613" s="17"/>
      <c r="K613" s="85">
        <f t="shared" si="1016"/>
        <v>0</v>
      </c>
      <c r="L613" s="15"/>
      <c r="M613" s="16">
        <v>1</v>
      </c>
      <c r="N613" s="17"/>
      <c r="O613" s="17"/>
      <c r="P613" s="85">
        <f t="shared" si="1017"/>
        <v>1</v>
      </c>
      <c r="Q613" s="15"/>
      <c r="R613" s="16">
        <v>1</v>
      </c>
      <c r="S613" s="17"/>
      <c r="T613" s="17"/>
      <c r="U613" s="85">
        <f t="shared" si="1018"/>
        <v>1</v>
      </c>
      <c r="V613" s="15"/>
      <c r="W613" s="16">
        <v>1</v>
      </c>
      <c r="X613" s="17"/>
      <c r="Y613" s="17"/>
      <c r="Z613" s="85">
        <f t="shared" si="1019"/>
        <v>1</v>
      </c>
      <c r="AA613" s="105">
        <f t="shared" si="1020"/>
        <v>3</v>
      </c>
      <c r="AB613" s="114">
        <v>45971</v>
      </c>
      <c r="AC613" s="23" t="s">
        <v>561</v>
      </c>
      <c r="AD613" s="15">
        <v>4</v>
      </c>
      <c r="AE613" s="16"/>
      <c r="AF613" s="17"/>
      <c r="AG613" s="17"/>
      <c r="AH613" s="85">
        <f t="shared" si="1043"/>
        <v>4</v>
      </c>
      <c r="AI613" s="15">
        <v>4</v>
      </c>
      <c r="AJ613" s="16"/>
      <c r="AK613" s="17"/>
      <c r="AL613" s="17"/>
      <c r="AM613" s="85">
        <f t="shared" si="1044"/>
        <v>4</v>
      </c>
      <c r="AN613" s="15"/>
      <c r="AO613" s="16"/>
      <c r="AP613" s="17"/>
      <c r="AQ613" s="17"/>
      <c r="AR613" s="85">
        <f t="shared" si="1045"/>
        <v>0</v>
      </c>
      <c r="AS613" s="15"/>
      <c r="AT613" s="16"/>
      <c r="AU613" s="17"/>
      <c r="AV613" s="17"/>
      <c r="AW613" s="85">
        <f t="shared" si="1046"/>
        <v>0</v>
      </c>
      <c r="AX613" s="15">
        <v>4</v>
      </c>
      <c r="AY613" s="16"/>
      <c r="AZ613" s="17"/>
      <c r="BA613" s="17"/>
      <c r="BB613" s="85">
        <f t="shared" si="1047"/>
        <v>4</v>
      </c>
      <c r="BC613" s="105">
        <f t="shared" si="1048"/>
        <v>12</v>
      </c>
      <c r="BD613" s="114">
        <v>45971</v>
      </c>
    </row>
    <row r="614" spans="1:56" x14ac:dyDescent="0.15">
      <c r="A614" s="23" t="s">
        <v>568</v>
      </c>
      <c r="B614" s="15">
        <v>1</v>
      </c>
      <c r="C614" s="16">
        <v>9</v>
      </c>
      <c r="D614" s="17">
        <v>1</v>
      </c>
      <c r="E614" s="17"/>
      <c r="F614" s="85">
        <f t="shared" si="1015"/>
        <v>11</v>
      </c>
      <c r="G614" s="15">
        <v>1</v>
      </c>
      <c r="H614" s="16"/>
      <c r="I614" s="17"/>
      <c r="J614" s="17"/>
      <c r="K614" s="85">
        <f t="shared" si="1016"/>
        <v>1</v>
      </c>
      <c r="L614" s="15">
        <v>4</v>
      </c>
      <c r="M614" s="16">
        <v>1</v>
      </c>
      <c r="N614" s="17"/>
      <c r="O614" s="17"/>
      <c r="P614" s="85">
        <f t="shared" si="1017"/>
        <v>5</v>
      </c>
      <c r="Q614" s="15">
        <v>1</v>
      </c>
      <c r="R614" s="16"/>
      <c r="S614" s="17"/>
      <c r="T614" s="17"/>
      <c r="U614" s="85">
        <f t="shared" si="1018"/>
        <v>1</v>
      </c>
      <c r="V614" s="15"/>
      <c r="W614" s="16">
        <v>6</v>
      </c>
      <c r="X614" s="17"/>
      <c r="Y614" s="17"/>
      <c r="Z614" s="85">
        <f t="shared" si="1019"/>
        <v>6</v>
      </c>
      <c r="AA614" s="105">
        <f t="shared" si="1020"/>
        <v>24</v>
      </c>
      <c r="AB614" s="114">
        <v>45975</v>
      </c>
      <c r="AC614" s="23" t="s">
        <v>567</v>
      </c>
      <c r="AD614" s="15"/>
      <c r="AE614" s="16"/>
      <c r="AF614" s="17"/>
      <c r="AG614" s="17">
        <v>3</v>
      </c>
      <c r="AH614" s="85">
        <f t="shared" si="1021"/>
        <v>3</v>
      </c>
      <c r="AI614" s="15"/>
      <c r="AJ614" s="16"/>
      <c r="AK614" s="17"/>
      <c r="AL614" s="17"/>
      <c r="AM614" s="85">
        <f t="shared" si="1022"/>
        <v>0</v>
      </c>
      <c r="AN614" s="15"/>
      <c r="AO614" s="16">
        <v>3</v>
      </c>
      <c r="AP614" s="17"/>
      <c r="AQ614" s="17"/>
      <c r="AR614" s="85">
        <f t="shared" si="1023"/>
        <v>3</v>
      </c>
      <c r="AS614" s="15">
        <v>3</v>
      </c>
      <c r="AT614" s="16"/>
      <c r="AU614" s="17"/>
      <c r="AV614" s="17">
        <v>3</v>
      </c>
      <c r="AW614" s="85">
        <f t="shared" si="1024"/>
        <v>6</v>
      </c>
      <c r="AX614" s="15">
        <v>3</v>
      </c>
      <c r="AY614" s="16">
        <v>3</v>
      </c>
      <c r="AZ614" s="17"/>
      <c r="BA614" s="17">
        <v>3</v>
      </c>
      <c r="BB614" s="85">
        <f t="shared" si="1025"/>
        <v>9</v>
      </c>
      <c r="BC614" s="105">
        <f t="shared" si="1026"/>
        <v>21</v>
      </c>
      <c r="BD614" s="114">
        <v>45971</v>
      </c>
    </row>
    <row r="615" spans="1:56" x14ac:dyDescent="0.15">
      <c r="A615" s="23" t="s">
        <v>43</v>
      </c>
      <c r="B615" s="15"/>
      <c r="C615" s="16"/>
      <c r="D615" s="17"/>
      <c r="E615" s="17"/>
      <c r="F615" s="85">
        <f t="shared" si="1015"/>
        <v>0</v>
      </c>
      <c r="G615" s="15"/>
      <c r="H615" s="16"/>
      <c r="I615" s="17"/>
      <c r="J615" s="17"/>
      <c r="K615" s="85">
        <f t="shared" si="1016"/>
        <v>0</v>
      </c>
      <c r="L615" s="15"/>
      <c r="M615" s="16">
        <v>1</v>
      </c>
      <c r="N615" s="17"/>
      <c r="O615" s="17"/>
      <c r="P615" s="85">
        <f t="shared" si="1017"/>
        <v>1</v>
      </c>
      <c r="Q615" s="15"/>
      <c r="R615" s="16"/>
      <c r="S615" s="17"/>
      <c r="T615" s="17"/>
      <c r="U615" s="85">
        <f t="shared" si="1018"/>
        <v>0</v>
      </c>
      <c r="V615" s="15"/>
      <c r="W615" s="16"/>
      <c r="X615" s="17"/>
      <c r="Y615" s="17"/>
      <c r="Z615" s="85">
        <f t="shared" si="1019"/>
        <v>0</v>
      </c>
      <c r="AA615" s="105">
        <f t="shared" si="1020"/>
        <v>1</v>
      </c>
      <c r="AB615" s="114">
        <v>45972</v>
      </c>
      <c r="AC615" s="245" t="s">
        <v>35</v>
      </c>
      <c r="AD615" s="234"/>
      <c r="AE615" s="235">
        <v>8</v>
      </c>
      <c r="AF615" s="236"/>
      <c r="AG615" s="236"/>
      <c r="AH615" s="237">
        <f t="shared" si="1021"/>
        <v>8</v>
      </c>
      <c r="AI615" s="234"/>
      <c r="AJ615" s="235"/>
      <c r="AK615" s="236"/>
      <c r="AL615" s="236"/>
      <c r="AM615" s="237">
        <f t="shared" si="1022"/>
        <v>0</v>
      </c>
      <c r="AN615" s="234">
        <v>5</v>
      </c>
      <c r="AO615" s="235"/>
      <c r="AP615" s="236"/>
      <c r="AQ615" s="236"/>
      <c r="AR615" s="237">
        <f t="shared" si="1023"/>
        <v>5</v>
      </c>
      <c r="AS615" s="234"/>
      <c r="AT615" s="235">
        <v>3</v>
      </c>
      <c r="AU615" s="236"/>
      <c r="AV615" s="236">
        <v>3</v>
      </c>
      <c r="AW615" s="237">
        <f t="shared" si="1024"/>
        <v>6</v>
      </c>
      <c r="AX615" s="234"/>
      <c r="AY615" s="235">
        <v>8</v>
      </c>
      <c r="AZ615" s="236"/>
      <c r="BA615" s="236"/>
      <c r="BB615" s="237">
        <f t="shared" si="1025"/>
        <v>8</v>
      </c>
      <c r="BC615" s="239">
        <f t="shared" si="1026"/>
        <v>27</v>
      </c>
      <c r="BD615" s="240">
        <v>45972</v>
      </c>
    </row>
    <row r="616" spans="1:56" x14ac:dyDescent="0.15">
      <c r="A616" s="23" t="s">
        <v>572</v>
      </c>
      <c r="B616" s="15">
        <v>3</v>
      </c>
      <c r="C616" s="16"/>
      <c r="D616" s="17"/>
      <c r="E616" s="17"/>
      <c r="F616" s="85">
        <f t="shared" si="1015"/>
        <v>3</v>
      </c>
      <c r="G616" s="15">
        <v>3</v>
      </c>
      <c r="H616" s="16"/>
      <c r="I616" s="17"/>
      <c r="J616" s="17"/>
      <c r="K616" s="85">
        <f t="shared" si="1016"/>
        <v>3</v>
      </c>
      <c r="L616" s="15"/>
      <c r="M616" s="16"/>
      <c r="N616" s="17"/>
      <c r="O616" s="17"/>
      <c r="P616" s="85">
        <f t="shared" si="1017"/>
        <v>0</v>
      </c>
      <c r="Q616" s="15"/>
      <c r="R616" s="16"/>
      <c r="S616" s="17"/>
      <c r="T616" s="17">
        <v>3</v>
      </c>
      <c r="U616" s="85">
        <f t="shared" si="1018"/>
        <v>3</v>
      </c>
      <c r="V616" s="15"/>
      <c r="W616" s="16"/>
      <c r="X616" s="17">
        <v>3</v>
      </c>
      <c r="Y616" s="17"/>
      <c r="Z616" s="85">
        <f t="shared" si="1019"/>
        <v>3</v>
      </c>
      <c r="AA616" s="105">
        <f t="shared" si="1020"/>
        <v>12</v>
      </c>
      <c r="AB616" s="114">
        <v>45982</v>
      </c>
      <c r="AC616" s="23" t="s">
        <v>569</v>
      </c>
      <c r="AD616" s="15"/>
      <c r="AE616" s="16">
        <v>8</v>
      </c>
      <c r="AF616" s="17"/>
      <c r="AG616" s="17"/>
      <c r="AH616" s="85">
        <f t="shared" si="1021"/>
        <v>8</v>
      </c>
      <c r="AI616" s="15"/>
      <c r="AJ616" s="16">
        <v>8</v>
      </c>
      <c r="AK616" s="17"/>
      <c r="AL616" s="17"/>
      <c r="AM616" s="85">
        <f t="shared" si="1022"/>
        <v>8</v>
      </c>
      <c r="AN616" s="15"/>
      <c r="AO616" s="16"/>
      <c r="AP616" s="17"/>
      <c r="AQ616" s="17"/>
      <c r="AR616" s="85">
        <f t="shared" si="1023"/>
        <v>0</v>
      </c>
      <c r="AS616" s="15"/>
      <c r="AT616" s="16"/>
      <c r="AU616" s="17"/>
      <c r="AV616" s="17"/>
      <c r="AW616" s="85">
        <f t="shared" si="1024"/>
        <v>0</v>
      </c>
      <c r="AX616" s="15"/>
      <c r="AY616" s="16">
        <v>8</v>
      </c>
      <c r="AZ616" s="17"/>
      <c r="BA616" s="17"/>
      <c r="BB616" s="85">
        <f t="shared" si="1025"/>
        <v>8</v>
      </c>
      <c r="BC616" s="105">
        <f t="shared" si="1026"/>
        <v>24</v>
      </c>
      <c r="BD616" s="114">
        <v>45978</v>
      </c>
    </row>
    <row r="617" spans="1:56" x14ac:dyDescent="0.15">
      <c r="A617" s="23" t="s">
        <v>573</v>
      </c>
      <c r="B617" s="15"/>
      <c r="C617" s="16"/>
      <c r="D617" s="17"/>
      <c r="E617" s="17"/>
      <c r="F617" s="85">
        <f t="shared" si="1015"/>
        <v>0</v>
      </c>
      <c r="G617" s="15"/>
      <c r="H617" s="16"/>
      <c r="I617" s="17"/>
      <c r="J617" s="17"/>
      <c r="K617" s="85">
        <f t="shared" si="1016"/>
        <v>0</v>
      </c>
      <c r="L617" s="15"/>
      <c r="M617" s="16">
        <v>-1</v>
      </c>
      <c r="N617" s="17"/>
      <c r="O617" s="17"/>
      <c r="P617" s="85">
        <f t="shared" si="1017"/>
        <v>-1</v>
      </c>
      <c r="Q617" s="15"/>
      <c r="R617" s="16">
        <v>-1</v>
      </c>
      <c r="S617" s="17"/>
      <c r="T617" s="17"/>
      <c r="U617" s="85">
        <f t="shared" si="1018"/>
        <v>-1</v>
      </c>
      <c r="V617" s="15">
        <v>2</v>
      </c>
      <c r="W617" s="16"/>
      <c r="X617" s="17"/>
      <c r="Y617" s="17"/>
      <c r="Z617" s="85">
        <f t="shared" si="1019"/>
        <v>2</v>
      </c>
      <c r="AA617" s="105">
        <f t="shared" si="1020"/>
        <v>0</v>
      </c>
      <c r="AB617" s="115">
        <v>45979</v>
      </c>
      <c r="AC617" s="23" t="s">
        <v>570</v>
      </c>
      <c r="AD617" s="15"/>
      <c r="AE617" s="16"/>
      <c r="AF617" s="17"/>
      <c r="AG617" s="17"/>
      <c r="AH617" s="85">
        <f t="shared" si="1021"/>
        <v>0</v>
      </c>
      <c r="AI617" s="15"/>
      <c r="AJ617" s="16"/>
      <c r="AK617" s="17"/>
      <c r="AL617" s="17"/>
      <c r="AM617" s="85">
        <f t="shared" si="1022"/>
        <v>0</v>
      </c>
      <c r="AN617" s="15">
        <v>6</v>
      </c>
      <c r="AO617" s="16"/>
      <c r="AP617" s="17"/>
      <c r="AQ617" s="17"/>
      <c r="AR617" s="85">
        <f t="shared" si="1023"/>
        <v>6</v>
      </c>
      <c r="AS617" s="15">
        <v>6</v>
      </c>
      <c r="AT617" s="16"/>
      <c r="AU617" s="17"/>
      <c r="AV617" s="17"/>
      <c r="AW617" s="85">
        <f t="shared" si="1024"/>
        <v>6</v>
      </c>
      <c r="AX617" s="15">
        <v>6</v>
      </c>
      <c r="AY617" s="16"/>
      <c r="AZ617" s="17"/>
      <c r="BA617" s="17"/>
      <c r="BB617" s="85">
        <f t="shared" si="1025"/>
        <v>6</v>
      </c>
      <c r="BC617" s="105">
        <f t="shared" si="1026"/>
        <v>18</v>
      </c>
      <c r="BD617" s="114">
        <v>45978</v>
      </c>
    </row>
    <row r="618" spans="1:56" x14ac:dyDescent="0.15">
      <c r="A618" s="23" t="s">
        <v>575</v>
      </c>
      <c r="B618" s="15"/>
      <c r="C618" s="16"/>
      <c r="D618" s="17">
        <v>1</v>
      </c>
      <c r="E618" s="17"/>
      <c r="F618" s="85">
        <f t="shared" si="1015"/>
        <v>1</v>
      </c>
      <c r="G618" s="15">
        <v>1</v>
      </c>
      <c r="H618" s="16"/>
      <c r="I618" s="17">
        <v>1</v>
      </c>
      <c r="J618" s="17"/>
      <c r="K618" s="85">
        <f t="shared" si="1016"/>
        <v>2</v>
      </c>
      <c r="L618" s="15"/>
      <c r="M618" s="16"/>
      <c r="N618" s="17">
        <v>1</v>
      </c>
      <c r="O618" s="17"/>
      <c r="P618" s="85">
        <f t="shared" si="1017"/>
        <v>1</v>
      </c>
      <c r="Q618" s="15"/>
      <c r="R618" s="16"/>
      <c r="S618" s="17">
        <v>1</v>
      </c>
      <c r="T618" s="17"/>
      <c r="U618" s="85">
        <f t="shared" si="1018"/>
        <v>1</v>
      </c>
      <c r="V618" s="15"/>
      <c r="W618" s="16"/>
      <c r="X618" s="17">
        <v>1</v>
      </c>
      <c r="Y618" s="17"/>
      <c r="Z618" s="85">
        <f t="shared" si="1019"/>
        <v>1</v>
      </c>
      <c r="AA618" s="105">
        <f t="shared" si="1020"/>
        <v>6</v>
      </c>
      <c r="AB618" s="115">
        <v>45982</v>
      </c>
      <c r="AC618" s="23" t="s">
        <v>571</v>
      </c>
      <c r="AD618" s="15"/>
      <c r="AE618" s="16"/>
      <c r="AF618" s="17"/>
      <c r="AG618" s="17"/>
      <c r="AH618" s="85">
        <f t="shared" si="1021"/>
        <v>0</v>
      </c>
      <c r="AI618" s="15"/>
      <c r="AJ618" s="16"/>
      <c r="AK618" s="17"/>
      <c r="AL618" s="17"/>
      <c r="AM618" s="85">
        <f t="shared" si="1022"/>
        <v>0</v>
      </c>
      <c r="AN618" s="15"/>
      <c r="AO618" s="16"/>
      <c r="AP618" s="17"/>
      <c r="AQ618" s="17">
        <v>2</v>
      </c>
      <c r="AR618" s="85">
        <f t="shared" si="1023"/>
        <v>2</v>
      </c>
      <c r="AS618" s="15"/>
      <c r="AT618" s="16"/>
      <c r="AU618" s="17"/>
      <c r="AV618" s="17">
        <v>2</v>
      </c>
      <c r="AW618" s="85">
        <f t="shared" si="1024"/>
        <v>2</v>
      </c>
      <c r="AX618" s="15"/>
      <c r="AY618" s="16"/>
      <c r="AZ618" s="17"/>
      <c r="BA618" s="17">
        <v>2</v>
      </c>
      <c r="BB618" s="85">
        <f t="shared" si="1025"/>
        <v>2</v>
      </c>
      <c r="BC618" s="105">
        <f t="shared" si="1026"/>
        <v>6</v>
      </c>
      <c r="BD618" s="114">
        <v>45978</v>
      </c>
    </row>
    <row r="619" spans="1:56" x14ac:dyDescent="0.15">
      <c r="A619" s="23" t="s">
        <v>43</v>
      </c>
      <c r="B619" s="15"/>
      <c r="C619" s="16"/>
      <c r="D619" s="17"/>
      <c r="E619" s="17"/>
      <c r="F619" s="85">
        <f t="shared" si="1015"/>
        <v>0</v>
      </c>
      <c r="G619" s="15"/>
      <c r="H619" s="16"/>
      <c r="I619" s="17"/>
      <c r="J619" s="17"/>
      <c r="K619" s="85">
        <f t="shared" si="1016"/>
        <v>0</v>
      </c>
      <c r="L619" s="15">
        <v>1</v>
      </c>
      <c r="M619" s="16"/>
      <c r="N619" s="17"/>
      <c r="O619" s="17"/>
      <c r="P619" s="85">
        <f t="shared" si="1017"/>
        <v>1</v>
      </c>
      <c r="Q619" s="15">
        <v>1</v>
      </c>
      <c r="R619" s="16"/>
      <c r="S619" s="17"/>
      <c r="T619" s="17"/>
      <c r="U619" s="85">
        <f t="shared" si="1018"/>
        <v>1</v>
      </c>
      <c r="V619" s="15">
        <v>1</v>
      </c>
      <c r="W619" s="16"/>
      <c r="X619" s="17"/>
      <c r="Y619" s="17"/>
      <c r="Z619" s="85">
        <f t="shared" si="1019"/>
        <v>1</v>
      </c>
      <c r="AA619" s="105">
        <f t="shared" si="1020"/>
        <v>3</v>
      </c>
      <c r="AB619" s="115">
        <v>45986</v>
      </c>
      <c r="AC619" s="23" t="s">
        <v>574</v>
      </c>
      <c r="AD619" s="15">
        <v>3</v>
      </c>
      <c r="AE619" s="16"/>
      <c r="AF619" s="17"/>
      <c r="AG619" s="17"/>
      <c r="AH619" s="85">
        <f t="shared" si="1021"/>
        <v>3</v>
      </c>
      <c r="AI619" s="15">
        <v>5</v>
      </c>
      <c r="AJ619" s="16"/>
      <c r="AK619" s="17"/>
      <c r="AL619" s="17"/>
      <c r="AM619" s="85">
        <f t="shared" si="1022"/>
        <v>5</v>
      </c>
      <c r="AN619" s="15"/>
      <c r="AO619" s="16"/>
      <c r="AP619" s="17"/>
      <c r="AQ619" s="17"/>
      <c r="AR619" s="85">
        <f t="shared" si="1023"/>
        <v>0</v>
      </c>
      <c r="AS619" s="15"/>
      <c r="AT619" s="16"/>
      <c r="AU619" s="17"/>
      <c r="AV619" s="17"/>
      <c r="AW619" s="85">
        <f t="shared" si="1024"/>
        <v>0</v>
      </c>
      <c r="AX619" s="15"/>
      <c r="AY619" s="16"/>
      <c r="AZ619" s="17">
        <v>5</v>
      </c>
      <c r="BA619" s="17"/>
      <c r="BB619" s="85">
        <f t="shared" si="1025"/>
        <v>5</v>
      </c>
      <c r="BC619" s="105">
        <f t="shared" si="1026"/>
        <v>13</v>
      </c>
      <c r="BD619" s="114">
        <v>45982</v>
      </c>
    </row>
    <row r="620" spans="1:56" x14ac:dyDescent="0.15">
      <c r="A620" s="23" t="s">
        <v>576</v>
      </c>
      <c r="B620" s="18"/>
      <c r="C620" s="19"/>
      <c r="D620" s="20"/>
      <c r="E620" s="20">
        <v>1</v>
      </c>
      <c r="F620" s="85">
        <f t="shared" si="1015"/>
        <v>1</v>
      </c>
      <c r="G620" s="18"/>
      <c r="H620" s="19"/>
      <c r="I620" s="20"/>
      <c r="J620" s="20">
        <v>1</v>
      </c>
      <c r="K620" s="85">
        <f t="shared" si="1016"/>
        <v>1</v>
      </c>
      <c r="L620" s="18"/>
      <c r="M620" s="19"/>
      <c r="N620" s="20"/>
      <c r="O620" s="20"/>
      <c r="P620" s="85">
        <f t="shared" si="1017"/>
        <v>0</v>
      </c>
      <c r="Q620" s="18">
        <v>2</v>
      </c>
      <c r="R620" s="19"/>
      <c r="S620" s="20"/>
      <c r="T620" s="20">
        <v>1</v>
      </c>
      <c r="U620" s="85">
        <f t="shared" si="1018"/>
        <v>3</v>
      </c>
      <c r="V620" s="18">
        <v>4</v>
      </c>
      <c r="W620" s="19"/>
      <c r="X620" s="20"/>
      <c r="Y620" s="20"/>
      <c r="Z620" s="85">
        <f t="shared" si="1019"/>
        <v>4</v>
      </c>
      <c r="AA620" s="105">
        <f t="shared" si="1020"/>
        <v>9</v>
      </c>
      <c r="AB620" s="114">
        <v>45989</v>
      </c>
      <c r="AC620" s="23" t="s">
        <v>574</v>
      </c>
      <c r="AD620" s="18"/>
      <c r="AE620" s="19"/>
      <c r="AF620" s="20">
        <v>3</v>
      </c>
      <c r="AG620" s="20"/>
      <c r="AH620" s="85">
        <f t="shared" si="1021"/>
        <v>3</v>
      </c>
      <c r="AI620" s="18"/>
      <c r="AJ620" s="19"/>
      <c r="AK620" s="20"/>
      <c r="AL620" s="20">
        <v>3</v>
      </c>
      <c r="AM620" s="85">
        <f t="shared" si="1022"/>
        <v>3</v>
      </c>
      <c r="AN620" s="18"/>
      <c r="AO620" s="19"/>
      <c r="AP620" s="20"/>
      <c r="AQ620" s="20"/>
      <c r="AR620" s="85">
        <f t="shared" si="1023"/>
        <v>0</v>
      </c>
      <c r="AS620" s="18">
        <v>3</v>
      </c>
      <c r="AT620" s="19"/>
      <c r="AU620" s="20"/>
      <c r="AV620" s="20"/>
      <c r="AW620" s="85">
        <f t="shared" si="1024"/>
        <v>3</v>
      </c>
      <c r="AX620" s="18">
        <v>8</v>
      </c>
      <c r="AY620" s="19"/>
      <c r="AZ620" s="20"/>
      <c r="BA620" s="20"/>
      <c r="BB620" s="85">
        <f t="shared" si="1025"/>
        <v>8</v>
      </c>
      <c r="BC620" s="105">
        <f t="shared" si="1026"/>
        <v>17</v>
      </c>
      <c r="BD620" s="114">
        <v>45988</v>
      </c>
    </row>
    <row r="621" spans="1:56" x14ac:dyDescent="0.15">
      <c r="A621" s="23" t="s">
        <v>43</v>
      </c>
      <c r="B621" s="15"/>
      <c r="C621" s="16"/>
      <c r="D621" s="17"/>
      <c r="E621" s="17"/>
      <c r="F621" s="85">
        <f t="shared" si="1015"/>
        <v>0</v>
      </c>
      <c r="G621" s="15"/>
      <c r="H621" s="16"/>
      <c r="I621" s="17"/>
      <c r="J621" s="17"/>
      <c r="K621" s="85">
        <f t="shared" si="1016"/>
        <v>0</v>
      </c>
      <c r="L621" s="15">
        <v>1</v>
      </c>
      <c r="M621" s="16"/>
      <c r="N621" s="17"/>
      <c r="O621" s="17"/>
      <c r="P621" s="85">
        <f t="shared" si="1017"/>
        <v>1</v>
      </c>
      <c r="Q621" s="15"/>
      <c r="R621" s="16"/>
      <c r="S621" s="17"/>
      <c r="T621" s="17"/>
      <c r="U621" s="85">
        <f t="shared" si="1018"/>
        <v>0</v>
      </c>
      <c r="V621" s="15"/>
      <c r="W621" s="16"/>
      <c r="X621" s="17"/>
      <c r="Y621" s="17"/>
      <c r="Z621" s="85">
        <f t="shared" si="1019"/>
        <v>0</v>
      </c>
      <c r="AA621" s="105">
        <f t="shared" si="1020"/>
        <v>1</v>
      </c>
      <c r="AB621" s="115">
        <v>45990</v>
      </c>
      <c r="AC621" s="23" t="s">
        <v>577</v>
      </c>
      <c r="AD621" s="15"/>
      <c r="AE621" s="16"/>
      <c r="AF621" s="17">
        <v>6</v>
      </c>
      <c r="AG621" s="17"/>
      <c r="AH621" s="85">
        <f t="shared" si="1021"/>
        <v>6</v>
      </c>
      <c r="AI621" s="15"/>
      <c r="AJ621" s="16"/>
      <c r="AK621" s="17">
        <v>6</v>
      </c>
      <c r="AL621" s="17"/>
      <c r="AM621" s="85">
        <f t="shared" si="1022"/>
        <v>6</v>
      </c>
      <c r="AN621" s="15"/>
      <c r="AO621" s="16"/>
      <c r="AP621" s="17"/>
      <c r="AQ621" s="17"/>
      <c r="AR621" s="85">
        <f t="shared" si="1023"/>
        <v>0</v>
      </c>
      <c r="AS621" s="15"/>
      <c r="AT621" s="16"/>
      <c r="AU621" s="17"/>
      <c r="AV621" s="17"/>
      <c r="AW621" s="85">
        <f t="shared" si="1024"/>
        <v>0</v>
      </c>
      <c r="AX621" s="15"/>
      <c r="AY621" s="16"/>
      <c r="AZ621" s="17">
        <v>6</v>
      </c>
      <c r="BA621" s="17"/>
      <c r="BB621" s="85">
        <f t="shared" si="1025"/>
        <v>6</v>
      </c>
      <c r="BC621" s="105">
        <f t="shared" si="1026"/>
        <v>18</v>
      </c>
      <c r="BD621" s="114">
        <v>45995</v>
      </c>
    </row>
    <row r="622" spans="1:56" x14ac:dyDescent="0.15">
      <c r="A622" s="23" t="s">
        <v>43</v>
      </c>
      <c r="B622" s="15"/>
      <c r="C622" s="16"/>
      <c r="D622" s="17"/>
      <c r="E622" s="17"/>
      <c r="F622" s="85">
        <f t="shared" si="1015"/>
        <v>0</v>
      </c>
      <c r="G622" s="15"/>
      <c r="H622" s="16"/>
      <c r="I622" s="17">
        <v>1</v>
      </c>
      <c r="J622" s="17"/>
      <c r="K622" s="85">
        <f t="shared" si="1016"/>
        <v>1</v>
      </c>
      <c r="L622" s="15"/>
      <c r="M622" s="16"/>
      <c r="N622" s="17"/>
      <c r="O622" s="17"/>
      <c r="P622" s="85">
        <f t="shared" si="1017"/>
        <v>0</v>
      </c>
      <c r="Q622" s="15"/>
      <c r="R622" s="16"/>
      <c r="S622" s="17"/>
      <c r="T622" s="17"/>
      <c r="U622" s="85">
        <f t="shared" si="1018"/>
        <v>0</v>
      </c>
      <c r="V622" s="15"/>
      <c r="W622" s="16"/>
      <c r="X622" s="17"/>
      <c r="Y622" s="17"/>
      <c r="Z622" s="85">
        <f t="shared" si="1019"/>
        <v>0</v>
      </c>
      <c r="AA622" s="105">
        <f t="shared" si="1020"/>
        <v>1</v>
      </c>
      <c r="AB622" s="115">
        <v>45992</v>
      </c>
      <c r="AC622" s="23" t="s">
        <v>578</v>
      </c>
      <c r="AD622" s="15"/>
      <c r="AE622" s="16"/>
      <c r="AF622" s="17"/>
      <c r="AG622" s="17"/>
      <c r="AH622" s="85">
        <f t="shared" si="1021"/>
        <v>0</v>
      </c>
      <c r="AI622" s="15"/>
      <c r="AJ622" s="16"/>
      <c r="AK622" s="17"/>
      <c r="AL622" s="17"/>
      <c r="AM622" s="85">
        <f t="shared" si="1022"/>
        <v>0</v>
      </c>
      <c r="AN622" s="15"/>
      <c r="AO622" s="16">
        <v>6</v>
      </c>
      <c r="AP622" s="17"/>
      <c r="AQ622" s="17"/>
      <c r="AR622" s="85">
        <f t="shared" si="1023"/>
        <v>6</v>
      </c>
      <c r="AS622" s="15"/>
      <c r="AT622" s="16">
        <v>6</v>
      </c>
      <c r="AU622" s="17"/>
      <c r="AV622" s="17"/>
      <c r="AW622" s="85">
        <f t="shared" si="1024"/>
        <v>6</v>
      </c>
      <c r="AX622" s="15"/>
      <c r="AY622" s="16">
        <v>6</v>
      </c>
      <c r="AZ622" s="17"/>
      <c r="BA622" s="17"/>
      <c r="BB622" s="85">
        <f t="shared" si="1025"/>
        <v>6</v>
      </c>
      <c r="BC622" s="105">
        <f t="shared" si="1026"/>
        <v>18</v>
      </c>
      <c r="BD622" s="114">
        <v>45995</v>
      </c>
    </row>
    <row r="623" spans="1:56" x14ac:dyDescent="0.15">
      <c r="A623" s="23" t="s">
        <v>582</v>
      </c>
      <c r="B623" s="15"/>
      <c r="C623" s="16"/>
      <c r="D623" s="17"/>
      <c r="E623" s="17"/>
      <c r="F623" s="85">
        <f t="shared" si="1015"/>
        <v>0</v>
      </c>
      <c r="G623" s="15">
        <v>2</v>
      </c>
      <c r="H623" s="16"/>
      <c r="I623" s="17"/>
      <c r="J623" s="17"/>
      <c r="K623" s="85">
        <f t="shared" si="1016"/>
        <v>2</v>
      </c>
      <c r="L623" s="15">
        <v>2</v>
      </c>
      <c r="M623" s="16">
        <v>1</v>
      </c>
      <c r="N623" s="17"/>
      <c r="O623" s="17">
        <v>1</v>
      </c>
      <c r="P623" s="85">
        <f t="shared" si="1017"/>
        <v>4</v>
      </c>
      <c r="Q623" s="15">
        <v>1</v>
      </c>
      <c r="R623" s="16">
        <v>2</v>
      </c>
      <c r="S623" s="17">
        <v>1</v>
      </c>
      <c r="T623" s="17">
        <v>5</v>
      </c>
      <c r="U623" s="85">
        <f t="shared" si="1018"/>
        <v>9</v>
      </c>
      <c r="V623" s="15"/>
      <c r="W623" s="16"/>
      <c r="X623" s="17">
        <v>1</v>
      </c>
      <c r="Y623" s="17">
        <v>7</v>
      </c>
      <c r="Z623" s="85">
        <f t="shared" si="1019"/>
        <v>8</v>
      </c>
      <c r="AA623" s="105">
        <f t="shared" si="1020"/>
        <v>23</v>
      </c>
      <c r="AB623" s="115">
        <v>45996</v>
      </c>
      <c r="AC623" s="23" t="s">
        <v>579</v>
      </c>
      <c r="AD623" s="15"/>
      <c r="AE623" s="16">
        <v>3</v>
      </c>
      <c r="AF623" s="17"/>
      <c r="AG623" s="17"/>
      <c r="AH623" s="85">
        <f t="shared" si="1021"/>
        <v>3</v>
      </c>
      <c r="AI623" s="15"/>
      <c r="AJ623" s="16">
        <v>3</v>
      </c>
      <c r="AK623" s="17"/>
      <c r="AL623" s="17"/>
      <c r="AM623" s="85">
        <f t="shared" si="1022"/>
        <v>3</v>
      </c>
      <c r="AN623" s="15"/>
      <c r="AO623" s="16"/>
      <c r="AP623" s="17"/>
      <c r="AQ623" s="17"/>
      <c r="AR623" s="85">
        <f t="shared" si="1023"/>
        <v>0</v>
      </c>
      <c r="AS623" s="15"/>
      <c r="AT623" s="16"/>
      <c r="AU623" s="17"/>
      <c r="AV623" s="17"/>
      <c r="AW623" s="85">
        <f t="shared" si="1024"/>
        <v>0</v>
      </c>
      <c r="AX623" s="15"/>
      <c r="AY623" s="16">
        <v>3</v>
      </c>
      <c r="AZ623" s="17"/>
      <c r="BA623" s="17"/>
      <c r="BB623" s="85">
        <f t="shared" si="1025"/>
        <v>3</v>
      </c>
      <c r="BC623" s="105">
        <f t="shared" si="1026"/>
        <v>9</v>
      </c>
      <c r="BD623" s="114">
        <v>45995</v>
      </c>
    </row>
    <row r="624" spans="1:56" x14ac:dyDescent="0.15">
      <c r="A624" s="241" t="s">
        <v>583</v>
      </c>
      <c r="B624" s="234"/>
      <c r="C624" s="235"/>
      <c r="D624" s="236"/>
      <c r="E624" s="236"/>
      <c r="F624" s="237">
        <f t="shared" si="1015"/>
        <v>0</v>
      </c>
      <c r="G624" s="234"/>
      <c r="H624" s="235"/>
      <c r="I624" s="236"/>
      <c r="J624" s="236"/>
      <c r="K624" s="237">
        <f t="shared" si="1016"/>
        <v>0</v>
      </c>
      <c r="L624" s="234">
        <v>-5</v>
      </c>
      <c r="M624" s="235"/>
      <c r="N624" s="236"/>
      <c r="O624" s="236"/>
      <c r="P624" s="237">
        <f t="shared" si="1017"/>
        <v>-5</v>
      </c>
      <c r="Q624" s="234"/>
      <c r="R624" s="235"/>
      <c r="S624" s="236"/>
      <c r="T624" s="236">
        <v>-5</v>
      </c>
      <c r="U624" s="237">
        <f t="shared" si="1018"/>
        <v>-5</v>
      </c>
      <c r="V624" s="234"/>
      <c r="W624" s="235"/>
      <c r="X624" s="236"/>
      <c r="Y624" s="236">
        <v>-5</v>
      </c>
      <c r="Z624" s="237">
        <f t="shared" si="1019"/>
        <v>-5</v>
      </c>
      <c r="AA624" s="239">
        <f t="shared" si="1020"/>
        <v>-15</v>
      </c>
      <c r="AB624" s="240">
        <v>45994</v>
      </c>
      <c r="AC624" s="23" t="s">
        <v>581</v>
      </c>
      <c r="AD624" s="15">
        <v>1</v>
      </c>
      <c r="AE624" s="16">
        <v>11</v>
      </c>
      <c r="AF624" s="17">
        <v>8</v>
      </c>
      <c r="AG624" s="17">
        <v>1</v>
      </c>
      <c r="AH624" s="85">
        <f t="shared" ref="AH624:AH625" si="1049">SUM(AD624:AG624)</f>
        <v>21</v>
      </c>
      <c r="AI624" s="15">
        <v>1</v>
      </c>
      <c r="AJ624" s="16">
        <v>11</v>
      </c>
      <c r="AK624" s="17">
        <v>8</v>
      </c>
      <c r="AL624" s="17">
        <v>1</v>
      </c>
      <c r="AM624" s="85">
        <f t="shared" ref="AM624:AM625" si="1050">SUM(AI624:AL624)</f>
        <v>21</v>
      </c>
      <c r="AN624" s="15"/>
      <c r="AO624" s="16"/>
      <c r="AP624" s="17"/>
      <c r="AQ624" s="17"/>
      <c r="AR624" s="85">
        <f t="shared" ref="AR624:AR625" si="1051">SUM(AN624:AQ624)</f>
        <v>0</v>
      </c>
      <c r="AS624" s="15"/>
      <c r="AT624" s="16"/>
      <c r="AU624" s="17"/>
      <c r="AV624" s="17"/>
      <c r="AW624" s="85">
        <f t="shared" ref="AW624:AW625" si="1052">SUM(AS624:AV624)</f>
        <v>0</v>
      </c>
      <c r="AX624" s="15">
        <v>1</v>
      </c>
      <c r="AY624" s="16">
        <v>11</v>
      </c>
      <c r="AZ624" s="17">
        <v>8</v>
      </c>
      <c r="BA624" s="17">
        <v>1</v>
      </c>
      <c r="BB624" s="85">
        <f t="shared" ref="BB624:BB625" si="1053">SUM(AX624:BA624)</f>
        <v>21</v>
      </c>
      <c r="BC624" s="105">
        <f t="shared" ref="BC624:BC625" si="1054">BB624+AW624+AR624+AM624+AH624</f>
        <v>63</v>
      </c>
      <c r="BD624" s="114">
        <v>45995</v>
      </c>
    </row>
    <row r="625" spans="1:57" x14ac:dyDescent="0.15">
      <c r="A625" s="23" t="s">
        <v>43</v>
      </c>
      <c r="B625" s="234"/>
      <c r="C625" s="235"/>
      <c r="D625" s="236"/>
      <c r="E625" s="236"/>
      <c r="F625" s="237">
        <f t="shared" si="1015"/>
        <v>0</v>
      </c>
      <c r="G625" s="234"/>
      <c r="H625" s="235"/>
      <c r="I625" s="236"/>
      <c r="J625" s="236"/>
      <c r="K625" s="237">
        <f t="shared" si="1016"/>
        <v>0</v>
      </c>
      <c r="L625" s="234"/>
      <c r="M625" s="235"/>
      <c r="N625" s="236"/>
      <c r="O625" s="236"/>
      <c r="P625" s="237">
        <f t="shared" si="1017"/>
        <v>0</v>
      </c>
      <c r="Q625" s="234"/>
      <c r="R625" s="235">
        <v>1</v>
      </c>
      <c r="S625" s="236"/>
      <c r="T625" s="236"/>
      <c r="U625" s="237">
        <f t="shared" si="1018"/>
        <v>1</v>
      </c>
      <c r="V625" s="234"/>
      <c r="W625" s="235"/>
      <c r="X625" s="236"/>
      <c r="Y625" s="236"/>
      <c r="Z625" s="237">
        <f t="shared" si="1019"/>
        <v>0</v>
      </c>
      <c r="AA625" s="239">
        <f t="shared" si="1020"/>
        <v>1</v>
      </c>
      <c r="AB625" s="240">
        <v>45996</v>
      </c>
      <c r="AC625" s="23" t="s">
        <v>580</v>
      </c>
      <c r="AD625" s="15"/>
      <c r="AE625" s="16"/>
      <c r="AF625" s="17"/>
      <c r="AG625" s="17"/>
      <c r="AH625" s="85">
        <f t="shared" si="1049"/>
        <v>0</v>
      </c>
      <c r="AI625" s="15"/>
      <c r="AJ625" s="16"/>
      <c r="AK625" s="17"/>
      <c r="AL625" s="17"/>
      <c r="AM625" s="85">
        <f t="shared" si="1050"/>
        <v>0</v>
      </c>
      <c r="AN625" s="15"/>
      <c r="AO625" s="16">
        <v>8</v>
      </c>
      <c r="AP625" s="17">
        <v>8</v>
      </c>
      <c r="AQ625" s="17"/>
      <c r="AR625" s="85">
        <f t="shared" si="1051"/>
        <v>16</v>
      </c>
      <c r="AS625" s="15"/>
      <c r="AT625" s="16">
        <v>8</v>
      </c>
      <c r="AU625" s="17">
        <v>8</v>
      </c>
      <c r="AV625" s="17"/>
      <c r="AW625" s="85">
        <f t="shared" si="1052"/>
        <v>16</v>
      </c>
      <c r="AX625" s="15"/>
      <c r="AY625" s="16">
        <v>8</v>
      </c>
      <c r="AZ625" s="17">
        <v>8</v>
      </c>
      <c r="BA625" s="17"/>
      <c r="BB625" s="85">
        <f t="shared" si="1053"/>
        <v>16</v>
      </c>
      <c r="BC625" s="105">
        <f t="shared" si="1054"/>
        <v>48</v>
      </c>
      <c r="BD625" s="114">
        <v>45995</v>
      </c>
    </row>
    <row r="626" spans="1:57" x14ac:dyDescent="0.15">
      <c r="A626" s="23" t="s">
        <v>43</v>
      </c>
      <c r="B626" s="15"/>
      <c r="C626" s="16"/>
      <c r="D626" s="17"/>
      <c r="E626" s="17"/>
      <c r="F626" s="85">
        <f t="shared" si="1015"/>
        <v>0</v>
      </c>
      <c r="G626" s="15"/>
      <c r="H626" s="16"/>
      <c r="I626" s="17"/>
      <c r="J626" s="17"/>
      <c r="K626" s="85">
        <f t="shared" si="1016"/>
        <v>0</v>
      </c>
      <c r="L626" s="15"/>
      <c r="M626" s="16"/>
      <c r="N626" s="17"/>
      <c r="O626" s="17"/>
      <c r="P626" s="85">
        <f t="shared" si="1017"/>
        <v>0</v>
      </c>
      <c r="Q626" s="15"/>
      <c r="R626" s="16">
        <v>1</v>
      </c>
      <c r="S626" s="17"/>
      <c r="T626" s="17"/>
      <c r="U626" s="85">
        <f t="shared" si="1018"/>
        <v>1</v>
      </c>
      <c r="V626" s="15"/>
      <c r="W626" s="16"/>
      <c r="X626" s="17"/>
      <c r="Y626" s="17"/>
      <c r="Z626" s="85">
        <f t="shared" si="1019"/>
        <v>0</v>
      </c>
      <c r="AA626" s="105">
        <f t="shared" si="1020"/>
        <v>1</v>
      </c>
      <c r="AB626" s="114">
        <v>45999</v>
      </c>
      <c r="AC626" s="54" t="s">
        <v>584</v>
      </c>
      <c r="AD626" s="15"/>
      <c r="AE626" s="16"/>
      <c r="AF626" s="17"/>
      <c r="AG626" s="17"/>
      <c r="AH626" s="85">
        <f t="shared" si="1021"/>
        <v>0</v>
      </c>
      <c r="AI626" s="15"/>
      <c r="AJ626" s="16"/>
      <c r="AK626" s="17"/>
      <c r="AL626" s="17"/>
      <c r="AM626" s="85">
        <f t="shared" si="1022"/>
        <v>0</v>
      </c>
      <c r="AN626" s="15">
        <v>5</v>
      </c>
      <c r="AO626" s="16"/>
      <c r="AP626" s="17"/>
      <c r="AQ626" s="17"/>
      <c r="AR626" s="85">
        <f t="shared" si="1023"/>
        <v>5</v>
      </c>
      <c r="AS626" s="15"/>
      <c r="AT626" s="16"/>
      <c r="AU626" s="17"/>
      <c r="AV626" s="17">
        <v>5</v>
      </c>
      <c r="AW626" s="85">
        <f t="shared" si="1024"/>
        <v>5</v>
      </c>
      <c r="AX626" s="15"/>
      <c r="AY626" s="16"/>
      <c r="AZ626" s="17"/>
      <c r="BA626" s="17">
        <v>5</v>
      </c>
      <c r="BB626" s="85">
        <f t="shared" si="1025"/>
        <v>5</v>
      </c>
      <c r="BC626" s="105">
        <f t="shared" si="1026"/>
        <v>15</v>
      </c>
      <c r="BD626" s="114">
        <v>45994</v>
      </c>
    </row>
    <row r="627" spans="1:57" x14ac:dyDescent="0.15">
      <c r="A627" s="24" t="s">
        <v>588</v>
      </c>
      <c r="B627" s="15"/>
      <c r="C627" s="16"/>
      <c r="D627" s="17"/>
      <c r="E627" s="17"/>
      <c r="F627" s="85">
        <f t="shared" si="1015"/>
        <v>0</v>
      </c>
      <c r="G627" s="15"/>
      <c r="H627" s="16"/>
      <c r="I627" s="17"/>
      <c r="J627" s="17"/>
      <c r="K627" s="85">
        <f t="shared" si="1016"/>
        <v>0</v>
      </c>
      <c r="L627" s="15"/>
      <c r="M627" s="16"/>
      <c r="N627" s="17"/>
      <c r="O627" s="17">
        <v>3</v>
      </c>
      <c r="P627" s="85">
        <f t="shared" si="1017"/>
        <v>3</v>
      </c>
      <c r="Q627" s="15"/>
      <c r="R627" s="16"/>
      <c r="S627" s="17"/>
      <c r="T627" s="17">
        <v>3</v>
      </c>
      <c r="U627" s="85">
        <f t="shared" si="1018"/>
        <v>3</v>
      </c>
      <c r="V627" s="15"/>
      <c r="W627" s="16"/>
      <c r="X627" s="17"/>
      <c r="Y627" s="17">
        <v>3</v>
      </c>
      <c r="Z627" s="85">
        <f t="shared" si="1019"/>
        <v>3</v>
      </c>
      <c r="AA627" s="105">
        <f t="shared" si="1020"/>
        <v>9</v>
      </c>
      <c r="AB627" s="114">
        <v>46003</v>
      </c>
      <c r="AC627" s="23" t="s">
        <v>585</v>
      </c>
      <c r="AD627" s="15"/>
      <c r="AE627" s="16"/>
      <c r="AF627" s="17"/>
      <c r="AG627" s="17">
        <v>6</v>
      </c>
      <c r="AH627" s="85">
        <f t="shared" si="1021"/>
        <v>6</v>
      </c>
      <c r="AI627" s="15"/>
      <c r="AJ627" s="16"/>
      <c r="AK627" s="17"/>
      <c r="AL627" s="17">
        <v>6</v>
      </c>
      <c r="AM627" s="85">
        <f t="shared" si="1022"/>
        <v>6</v>
      </c>
      <c r="AN627" s="15"/>
      <c r="AO627" s="16"/>
      <c r="AP627" s="17"/>
      <c r="AQ627" s="17"/>
      <c r="AR627" s="85">
        <f t="shared" si="1023"/>
        <v>0</v>
      </c>
      <c r="AS627" s="15"/>
      <c r="AT627" s="16"/>
      <c r="AU627" s="17"/>
      <c r="AV627" s="17"/>
      <c r="AW627" s="85">
        <f t="shared" si="1024"/>
        <v>0</v>
      </c>
      <c r="AX627" s="15"/>
      <c r="AY627" s="16"/>
      <c r="AZ627" s="17"/>
      <c r="BA627" s="17">
        <v>6</v>
      </c>
      <c r="BB627" s="85">
        <f t="shared" si="1025"/>
        <v>6</v>
      </c>
      <c r="BC627" s="105">
        <f t="shared" si="1026"/>
        <v>18</v>
      </c>
      <c r="BD627" s="114">
        <v>45999</v>
      </c>
      <c r="BE627" s="76"/>
    </row>
    <row r="628" spans="1:57" x14ac:dyDescent="0.15">
      <c r="A628" s="23" t="s">
        <v>589</v>
      </c>
      <c r="B628" s="15"/>
      <c r="C628" s="16"/>
      <c r="D628" s="17"/>
      <c r="E628" s="17"/>
      <c r="F628" s="85">
        <f t="shared" si="1015"/>
        <v>0</v>
      </c>
      <c r="G628" s="15"/>
      <c r="H628" s="16"/>
      <c r="I628" s="17">
        <v>-3</v>
      </c>
      <c r="J628" s="17"/>
      <c r="K628" s="85">
        <f t="shared" si="1016"/>
        <v>-3</v>
      </c>
      <c r="L628" s="15"/>
      <c r="M628" s="16">
        <v>-3</v>
      </c>
      <c r="N628" s="17"/>
      <c r="O628" s="17">
        <v>-5</v>
      </c>
      <c r="P628" s="85">
        <f t="shared" si="1017"/>
        <v>-8</v>
      </c>
      <c r="Q628" s="15"/>
      <c r="R628" s="16">
        <v>-3</v>
      </c>
      <c r="S628" s="17">
        <v>-3</v>
      </c>
      <c r="T628" s="17">
        <v>-5</v>
      </c>
      <c r="U628" s="85">
        <f t="shared" si="1018"/>
        <v>-11</v>
      </c>
      <c r="V628" s="15"/>
      <c r="W628" s="16"/>
      <c r="X628" s="17"/>
      <c r="Y628" s="17">
        <v>-5</v>
      </c>
      <c r="Z628" s="85">
        <f t="shared" si="1019"/>
        <v>-5</v>
      </c>
      <c r="AA628" s="105">
        <f t="shared" si="1020"/>
        <v>-27</v>
      </c>
      <c r="AB628" s="114">
        <v>46006</v>
      </c>
      <c r="AC628" s="23" t="s">
        <v>586</v>
      </c>
      <c r="AD628" s="15">
        <v>2</v>
      </c>
      <c r="AE628" s="16"/>
      <c r="AF628" s="17"/>
      <c r="AG628" s="17">
        <v>1</v>
      </c>
      <c r="AH628" s="85">
        <f t="shared" si="1021"/>
        <v>3</v>
      </c>
      <c r="AI628" s="15">
        <v>2</v>
      </c>
      <c r="AJ628" s="16"/>
      <c r="AK628" s="17"/>
      <c r="AL628" s="17">
        <v>1</v>
      </c>
      <c r="AM628" s="85">
        <f t="shared" si="1022"/>
        <v>3</v>
      </c>
      <c r="AN628" s="15"/>
      <c r="AO628" s="16"/>
      <c r="AP628" s="17"/>
      <c r="AQ628" s="17"/>
      <c r="AR628" s="85">
        <f t="shared" si="1023"/>
        <v>0</v>
      </c>
      <c r="AS628" s="15"/>
      <c r="AT628" s="16"/>
      <c r="AU628" s="17"/>
      <c r="AV628" s="17"/>
      <c r="AW628" s="85">
        <f t="shared" si="1024"/>
        <v>0</v>
      </c>
      <c r="AX628" s="15">
        <v>2</v>
      </c>
      <c r="AY628" s="16"/>
      <c r="AZ628" s="17"/>
      <c r="BA628" s="17">
        <v>1</v>
      </c>
      <c r="BB628" s="85">
        <f t="shared" si="1025"/>
        <v>3</v>
      </c>
      <c r="BC628" s="105">
        <f t="shared" si="1026"/>
        <v>9</v>
      </c>
      <c r="BD628" s="114">
        <v>46008</v>
      </c>
      <c r="BE628" s="76"/>
    </row>
    <row r="629" spans="1:57" x14ac:dyDescent="0.15">
      <c r="A629" s="23" t="s">
        <v>591</v>
      </c>
      <c r="B629" s="15"/>
      <c r="C629" s="16"/>
      <c r="D629" s="17"/>
      <c r="E629" s="17"/>
      <c r="F629" s="85">
        <f t="shared" si="1015"/>
        <v>0</v>
      </c>
      <c r="G629" s="15"/>
      <c r="H629" s="16">
        <v>1</v>
      </c>
      <c r="I629" s="17">
        <v>1</v>
      </c>
      <c r="J629" s="17"/>
      <c r="K629" s="85">
        <f t="shared" si="1016"/>
        <v>2</v>
      </c>
      <c r="L629" s="15"/>
      <c r="M629" s="16"/>
      <c r="N629" s="17">
        <v>3</v>
      </c>
      <c r="O629" s="17"/>
      <c r="P629" s="85">
        <f t="shared" si="1017"/>
        <v>3</v>
      </c>
      <c r="Q629" s="15"/>
      <c r="R629" s="16"/>
      <c r="S629" s="17">
        <v>3</v>
      </c>
      <c r="T629" s="17"/>
      <c r="U629" s="85">
        <f t="shared" si="1018"/>
        <v>3</v>
      </c>
      <c r="V629" s="15">
        <v>1</v>
      </c>
      <c r="W629" s="16">
        <v>3</v>
      </c>
      <c r="X629" s="17">
        <v>1</v>
      </c>
      <c r="Y629" s="17"/>
      <c r="Z629" s="85">
        <f t="shared" si="1019"/>
        <v>5</v>
      </c>
      <c r="AA629" s="105">
        <f t="shared" si="1020"/>
        <v>13</v>
      </c>
      <c r="AB629" s="114">
        <v>46010</v>
      </c>
      <c r="AC629" s="23" t="s">
        <v>587</v>
      </c>
      <c r="AD629" s="15"/>
      <c r="AE629" s="16"/>
      <c r="AF629" s="17"/>
      <c r="AG629" s="17"/>
      <c r="AH629" s="85">
        <f t="shared" ref="AH629:AH632" si="1055">SUM(AD629:AG629)</f>
        <v>0</v>
      </c>
      <c r="AI629" s="15"/>
      <c r="AJ629" s="16"/>
      <c r="AK629" s="17"/>
      <c r="AL629" s="17"/>
      <c r="AM629" s="85">
        <f t="shared" ref="AM629:AM632" si="1056">SUM(AI629:AL629)</f>
        <v>0</v>
      </c>
      <c r="AN629" s="15"/>
      <c r="AO629" s="16">
        <v>1</v>
      </c>
      <c r="AP629" s="17"/>
      <c r="AQ629" s="17">
        <v>1</v>
      </c>
      <c r="AR629" s="85">
        <f t="shared" ref="AR629:AR632" si="1057">SUM(AN629:AQ629)</f>
        <v>2</v>
      </c>
      <c r="AS629" s="15"/>
      <c r="AT629" s="16">
        <v>1</v>
      </c>
      <c r="AU629" s="17"/>
      <c r="AV629" s="17">
        <v>1</v>
      </c>
      <c r="AW629" s="85">
        <f t="shared" ref="AW629:AW632" si="1058">SUM(AS629:AV629)</f>
        <v>2</v>
      </c>
      <c r="AX629" s="15"/>
      <c r="AY629" s="16">
        <v>1</v>
      </c>
      <c r="AZ629" s="17"/>
      <c r="BA629" s="17">
        <v>1</v>
      </c>
      <c r="BB629" s="85">
        <f t="shared" ref="BB629:BB632" si="1059">SUM(AX629:BA629)</f>
        <v>2</v>
      </c>
      <c r="BC629" s="105">
        <f t="shared" ref="BC629:BC632" si="1060">BB629+AW629+AR629+AM629+AH629</f>
        <v>6</v>
      </c>
      <c r="BD629" s="114">
        <v>46008</v>
      </c>
      <c r="BE629" s="76"/>
    </row>
    <row r="630" spans="1:57" x14ac:dyDescent="0.15">
      <c r="A630" s="23" t="s">
        <v>43</v>
      </c>
      <c r="B630" s="15"/>
      <c r="C630" s="16">
        <v>1</v>
      </c>
      <c r="D630" s="17"/>
      <c r="E630" s="17"/>
      <c r="F630" s="85">
        <f t="shared" si="1015"/>
        <v>1</v>
      </c>
      <c r="G630" s="15"/>
      <c r="H630" s="16">
        <v>1</v>
      </c>
      <c r="I630" s="17"/>
      <c r="J630" s="17"/>
      <c r="K630" s="85">
        <f t="shared" si="1016"/>
        <v>1</v>
      </c>
      <c r="L630" s="15"/>
      <c r="M630" s="16"/>
      <c r="N630" s="17"/>
      <c r="O630" s="17"/>
      <c r="P630" s="85">
        <f t="shared" si="1017"/>
        <v>0</v>
      </c>
      <c r="Q630" s="15"/>
      <c r="R630" s="16"/>
      <c r="S630" s="17"/>
      <c r="T630" s="17"/>
      <c r="U630" s="85">
        <f t="shared" si="1018"/>
        <v>0</v>
      </c>
      <c r="V630" s="15"/>
      <c r="W630" s="16">
        <v>1</v>
      </c>
      <c r="X630" s="17"/>
      <c r="Y630" s="17"/>
      <c r="Z630" s="85">
        <f t="shared" si="1019"/>
        <v>1</v>
      </c>
      <c r="AA630" s="105">
        <f t="shared" si="1020"/>
        <v>3</v>
      </c>
      <c r="AB630" s="115">
        <v>46013</v>
      </c>
      <c r="AC630" s="23" t="s">
        <v>574</v>
      </c>
      <c r="AD630" s="15"/>
      <c r="AE630" s="16"/>
      <c r="AF630" s="17"/>
      <c r="AG630" s="17"/>
      <c r="AH630" s="85">
        <f t="shared" ref="AH630:AH631" si="1061">SUM(AD630:AG630)</f>
        <v>0</v>
      </c>
      <c r="AI630" s="15"/>
      <c r="AJ630" s="16"/>
      <c r="AK630" s="17">
        <v>3</v>
      </c>
      <c r="AL630" s="17"/>
      <c r="AM630" s="85">
        <f t="shared" ref="AM630:AM631" si="1062">SUM(AI630:AL630)</f>
        <v>3</v>
      </c>
      <c r="AN630" s="15"/>
      <c r="AO630" s="16">
        <v>3</v>
      </c>
      <c r="AP630" s="17"/>
      <c r="AQ630" s="17">
        <v>5</v>
      </c>
      <c r="AR630" s="85">
        <f t="shared" ref="AR630:AR631" si="1063">SUM(AN630:AQ630)</f>
        <v>8</v>
      </c>
      <c r="AS630" s="15"/>
      <c r="AT630" s="16">
        <v>3</v>
      </c>
      <c r="AU630" s="17">
        <v>3</v>
      </c>
      <c r="AV630" s="17">
        <v>5</v>
      </c>
      <c r="AW630" s="85">
        <f t="shared" ref="AW630:AW631" si="1064">SUM(AS630:AV630)</f>
        <v>11</v>
      </c>
      <c r="AX630" s="15"/>
      <c r="AY630" s="16"/>
      <c r="AZ630" s="17"/>
      <c r="BA630" s="17">
        <v>5</v>
      </c>
      <c r="BB630" s="85">
        <f t="shared" ref="BB630:BB631" si="1065">SUM(AX630:BA630)</f>
        <v>5</v>
      </c>
      <c r="BC630" s="105">
        <f t="shared" ref="BC630:BC631" si="1066">BB630+AW630+AR630+AM630+AH630</f>
        <v>27</v>
      </c>
      <c r="BD630" s="114">
        <v>46006</v>
      </c>
      <c r="BE630" s="76"/>
    </row>
    <row r="631" spans="1:57" x14ac:dyDescent="0.15">
      <c r="A631" s="245" t="s">
        <v>61</v>
      </c>
      <c r="B631" s="234"/>
      <c r="C631" s="235"/>
      <c r="D631" s="236"/>
      <c r="E631" s="236"/>
      <c r="F631" s="237">
        <f t="shared" si="1015"/>
        <v>0</v>
      </c>
      <c r="G631" s="234"/>
      <c r="H631" s="235"/>
      <c r="I631" s="236"/>
      <c r="J631" s="236"/>
      <c r="K631" s="237">
        <f t="shared" si="1016"/>
        <v>0</v>
      </c>
      <c r="L631" s="234"/>
      <c r="M631" s="235"/>
      <c r="N631" s="236">
        <v>-3</v>
      </c>
      <c r="O631" s="236"/>
      <c r="P631" s="237">
        <f t="shared" si="1017"/>
        <v>-3</v>
      </c>
      <c r="Q631" s="234"/>
      <c r="R631" s="235"/>
      <c r="S631" s="236"/>
      <c r="T631" s="236"/>
      <c r="U631" s="237">
        <f t="shared" si="1018"/>
        <v>0</v>
      </c>
      <c r="V631" s="234"/>
      <c r="W631" s="235">
        <v>-3</v>
      </c>
      <c r="X631" s="236">
        <v>-5</v>
      </c>
      <c r="Y631" s="236"/>
      <c r="Z631" s="237">
        <f t="shared" si="1019"/>
        <v>-8</v>
      </c>
      <c r="AA631" s="239">
        <f t="shared" si="1020"/>
        <v>-11</v>
      </c>
      <c r="AB631" s="240">
        <v>46014</v>
      </c>
      <c r="AC631" s="245" t="s">
        <v>574</v>
      </c>
      <c r="AD631" s="234"/>
      <c r="AE631" s="235"/>
      <c r="AF631" s="236"/>
      <c r="AG631" s="236"/>
      <c r="AH631" s="237">
        <f t="shared" si="1061"/>
        <v>0</v>
      </c>
      <c r="AI631" s="234"/>
      <c r="AJ631" s="235"/>
      <c r="AK631" s="236"/>
      <c r="AL631" s="236"/>
      <c r="AM631" s="237">
        <f t="shared" si="1062"/>
        <v>0</v>
      </c>
      <c r="AN631" s="234"/>
      <c r="AO631" s="235"/>
      <c r="AP631" s="236">
        <v>3</v>
      </c>
      <c r="AQ631" s="236"/>
      <c r="AR631" s="237">
        <f t="shared" si="1063"/>
        <v>3</v>
      </c>
      <c r="AS631" s="234"/>
      <c r="AT631" s="235"/>
      <c r="AU631" s="236"/>
      <c r="AV631" s="236"/>
      <c r="AW631" s="237">
        <f t="shared" si="1064"/>
        <v>0</v>
      </c>
      <c r="AX631" s="234"/>
      <c r="AY631" s="235"/>
      <c r="AZ631" s="236"/>
      <c r="BA631" s="236"/>
      <c r="BB631" s="237">
        <f t="shared" si="1065"/>
        <v>0</v>
      </c>
      <c r="BC631" s="239">
        <f t="shared" si="1066"/>
        <v>3</v>
      </c>
      <c r="BD631" s="240">
        <v>46011</v>
      </c>
    </row>
    <row r="632" spans="1:57" x14ac:dyDescent="0.15">
      <c r="A632" s="23" t="s">
        <v>593</v>
      </c>
      <c r="B632" s="18"/>
      <c r="C632" s="19"/>
      <c r="D632" s="20"/>
      <c r="E632" s="20"/>
      <c r="F632" s="85">
        <f t="shared" si="1015"/>
        <v>0</v>
      </c>
      <c r="G632" s="18"/>
      <c r="H632" s="19"/>
      <c r="I632" s="20"/>
      <c r="J632" s="20"/>
      <c r="K632" s="85">
        <f t="shared" si="1016"/>
        <v>0</v>
      </c>
      <c r="L632" s="18"/>
      <c r="M632" s="19"/>
      <c r="N632" s="20"/>
      <c r="O632" s="20"/>
      <c r="P632" s="85">
        <f t="shared" si="1017"/>
        <v>0</v>
      </c>
      <c r="Q632" s="18"/>
      <c r="R632" s="19"/>
      <c r="S632" s="20"/>
      <c r="T632" s="20">
        <v>4</v>
      </c>
      <c r="U632" s="85">
        <f t="shared" si="1018"/>
        <v>4</v>
      </c>
      <c r="V632" s="18"/>
      <c r="W632" s="19"/>
      <c r="X632" s="20">
        <v>2</v>
      </c>
      <c r="Y632" s="20"/>
      <c r="Z632" s="85">
        <f t="shared" si="1019"/>
        <v>2</v>
      </c>
      <c r="AA632" s="105">
        <f t="shared" si="1020"/>
        <v>6</v>
      </c>
      <c r="AB632" s="114">
        <v>45663</v>
      </c>
      <c r="AC632" s="245" t="s">
        <v>574</v>
      </c>
      <c r="AD632" s="234"/>
      <c r="AE632" s="235"/>
      <c r="AF632" s="236"/>
      <c r="AG632" s="236"/>
      <c r="AH632" s="237">
        <f t="shared" si="1055"/>
        <v>0</v>
      </c>
      <c r="AI632" s="234"/>
      <c r="AJ632" s="235"/>
      <c r="AK632" s="236"/>
      <c r="AL632" s="236"/>
      <c r="AM632" s="237">
        <f t="shared" si="1056"/>
        <v>0</v>
      </c>
      <c r="AN632" s="234"/>
      <c r="AO632" s="235"/>
      <c r="AP632" s="236">
        <v>3</v>
      </c>
      <c r="AQ632" s="236"/>
      <c r="AR632" s="237">
        <f t="shared" si="1057"/>
        <v>3</v>
      </c>
      <c r="AS632" s="234"/>
      <c r="AT632" s="235"/>
      <c r="AU632" s="236"/>
      <c r="AV632" s="236"/>
      <c r="AW632" s="237">
        <f t="shared" si="1058"/>
        <v>0</v>
      </c>
      <c r="AX632" s="234"/>
      <c r="AY632" s="235">
        <v>3</v>
      </c>
      <c r="AZ632" s="236">
        <v>5</v>
      </c>
      <c r="BA632" s="236"/>
      <c r="BB632" s="237">
        <f t="shared" si="1059"/>
        <v>8</v>
      </c>
      <c r="BC632" s="239">
        <f t="shared" si="1060"/>
        <v>11</v>
      </c>
      <c r="BD632" s="240">
        <v>46014</v>
      </c>
    </row>
    <row r="633" spans="1:57" x14ac:dyDescent="0.15">
      <c r="A633" s="23" t="s">
        <v>43</v>
      </c>
      <c r="B633" s="16">
        <v>1</v>
      </c>
      <c r="C633" s="16"/>
      <c r="D633" s="17"/>
      <c r="E633" s="17"/>
      <c r="F633" s="85">
        <f t="shared" si="1015"/>
        <v>1</v>
      </c>
      <c r="G633" s="16">
        <v>1</v>
      </c>
      <c r="H633" s="16"/>
      <c r="I633" s="17"/>
      <c r="J633" s="17"/>
      <c r="K633" s="85">
        <f t="shared" si="1016"/>
        <v>1</v>
      </c>
      <c r="L633" s="16"/>
      <c r="M633" s="16"/>
      <c r="N633" s="17"/>
      <c r="O633" s="17"/>
      <c r="P633" s="85">
        <f t="shared" si="1017"/>
        <v>0</v>
      </c>
      <c r="Q633" s="16"/>
      <c r="R633" s="16"/>
      <c r="S633" s="17"/>
      <c r="T633" s="17"/>
      <c r="U633" s="85">
        <f t="shared" si="1018"/>
        <v>0</v>
      </c>
      <c r="V633" s="16">
        <v>1</v>
      </c>
      <c r="W633" s="16"/>
      <c r="X633" s="17"/>
      <c r="Y633" s="17"/>
      <c r="Z633" s="85">
        <f t="shared" si="1019"/>
        <v>1</v>
      </c>
      <c r="AA633" s="105">
        <f t="shared" si="1020"/>
        <v>3</v>
      </c>
      <c r="AB633" s="115">
        <v>46015</v>
      </c>
      <c r="AC633" s="245" t="s">
        <v>574</v>
      </c>
      <c r="AD633" s="234"/>
      <c r="AE633" s="235"/>
      <c r="AF633" s="236"/>
      <c r="AG633" s="236"/>
      <c r="AH633" s="237">
        <f t="shared" ref="AH633" si="1067">SUM(AD633:AG633)</f>
        <v>0</v>
      </c>
      <c r="AI633" s="234"/>
      <c r="AJ633" s="235"/>
      <c r="AK633" s="236"/>
      <c r="AL633" s="236"/>
      <c r="AM633" s="237">
        <f t="shared" ref="AM633" si="1068">SUM(AI633:AL633)</f>
        <v>0</v>
      </c>
      <c r="AN633" s="234"/>
      <c r="AO633" s="235"/>
      <c r="AP633" s="236"/>
      <c r="AQ633" s="236"/>
      <c r="AR633" s="237">
        <f t="shared" ref="AR633" si="1069">SUM(AN633:AQ633)</f>
        <v>0</v>
      </c>
      <c r="AS633" s="234"/>
      <c r="AT633" s="235"/>
      <c r="AU633" s="236">
        <v>3</v>
      </c>
      <c r="AV633" s="236">
        <v>3</v>
      </c>
      <c r="AW633" s="237">
        <f t="shared" ref="AW633" si="1070">SUM(AS633:AV633)</f>
        <v>6</v>
      </c>
      <c r="AX633" s="234"/>
      <c r="AY633" s="235"/>
      <c r="AZ633" s="236"/>
      <c r="BA633" s="236"/>
      <c r="BB633" s="237">
        <f t="shared" ref="BB633" si="1071">SUM(AX633:BA633)</f>
        <v>0</v>
      </c>
      <c r="BC633" s="239">
        <f t="shared" ref="BC633" si="1072">BB633+AW633+AR633+AM633+AH633</f>
        <v>6</v>
      </c>
      <c r="BD633" s="240">
        <v>46028</v>
      </c>
    </row>
    <row r="634" spans="1:57" x14ac:dyDescent="0.15">
      <c r="A634" s="23" t="s">
        <v>43</v>
      </c>
      <c r="B634" s="15"/>
      <c r="C634" s="25"/>
      <c r="D634" s="17"/>
      <c r="E634" s="17"/>
      <c r="F634" s="85">
        <f t="shared" si="1015"/>
        <v>0</v>
      </c>
      <c r="G634" s="15"/>
      <c r="H634" s="25"/>
      <c r="I634" s="17"/>
      <c r="J634" s="17"/>
      <c r="K634" s="85">
        <f t="shared" si="1016"/>
        <v>0</v>
      </c>
      <c r="L634" s="15"/>
      <c r="M634" s="25"/>
      <c r="N634" s="17"/>
      <c r="O634" s="17"/>
      <c r="P634" s="85">
        <f t="shared" si="1017"/>
        <v>0</v>
      </c>
      <c r="Q634" s="15"/>
      <c r="R634" s="25"/>
      <c r="S634" s="17">
        <v>1</v>
      </c>
      <c r="T634" s="17"/>
      <c r="U634" s="85">
        <f t="shared" si="1018"/>
        <v>1</v>
      </c>
      <c r="V634" s="15"/>
      <c r="W634" s="25"/>
      <c r="X634" s="17"/>
      <c r="Y634" s="17"/>
      <c r="Z634" s="85">
        <f t="shared" si="1019"/>
        <v>0</v>
      </c>
      <c r="AA634" s="105">
        <f t="shared" si="1020"/>
        <v>1</v>
      </c>
      <c r="AB634" s="115">
        <v>46027</v>
      </c>
      <c r="AC634" s="139" t="s">
        <v>521</v>
      </c>
      <c r="AD634" s="140"/>
      <c r="AE634" s="142"/>
      <c r="AF634" s="161"/>
      <c r="AG634" s="161"/>
      <c r="AH634" s="189">
        <f t="shared" ref="AH634:AH636" si="1073">SUM(AD634:AG634)</f>
        <v>0</v>
      </c>
      <c r="AI634" s="140"/>
      <c r="AJ634" s="142"/>
      <c r="AK634" s="161"/>
      <c r="AL634" s="161"/>
      <c r="AM634" s="189">
        <f t="shared" ref="AM634:AM636" si="1074">SUM(AI634:AL634)</f>
        <v>0</v>
      </c>
      <c r="AN634" s="140"/>
      <c r="AO634" s="142"/>
      <c r="AP634" s="161"/>
      <c r="AQ634" s="161"/>
      <c r="AR634" s="189">
        <f t="shared" ref="AR634:AR636" si="1075">SUM(AN634:AQ634)</f>
        <v>0</v>
      </c>
      <c r="AS634" s="140"/>
      <c r="AT634" s="142"/>
      <c r="AU634" s="161"/>
      <c r="AV634" s="161"/>
      <c r="AW634" s="189">
        <f t="shared" ref="AW634:AW636" si="1076">SUM(AS634:AV634)</f>
        <v>0</v>
      </c>
      <c r="AX634" s="140"/>
      <c r="AY634" s="142"/>
      <c r="AZ634" s="161"/>
      <c r="BA634" s="161"/>
      <c r="BB634" s="189">
        <f t="shared" ref="BB634:BB636" si="1077">SUM(AX634:BA634)</f>
        <v>0</v>
      </c>
      <c r="BC634" s="190">
        <f t="shared" ref="BC634:BC636" si="1078">BB634+AW634+AR634+AM634+AH634</f>
        <v>0</v>
      </c>
      <c r="BD634" s="159"/>
    </row>
    <row r="635" spans="1:57" x14ac:dyDescent="0.15">
      <c r="A635" s="245" t="s">
        <v>61</v>
      </c>
      <c r="B635" s="234"/>
      <c r="C635" s="235"/>
      <c r="D635" s="235"/>
      <c r="E635" s="253"/>
      <c r="F635" s="237">
        <f t="shared" si="1015"/>
        <v>0</v>
      </c>
      <c r="G635" s="234"/>
      <c r="H635" s="235"/>
      <c r="I635" s="235"/>
      <c r="J635" s="253"/>
      <c r="K635" s="237">
        <f t="shared" si="1016"/>
        <v>0</v>
      </c>
      <c r="L635" s="234"/>
      <c r="M635" s="235"/>
      <c r="N635" s="235"/>
      <c r="O635" s="253"/>
      <c r="P635" s="237">
        <f t="shared" si="1017"/>
        <v>0</v>
      </c>
      <c r="Q635" s="234"/>
      <c r="R635" s="235"/>
      <c r="S635" s="235">
        <v>-3</v>
      </c>
      <c r="T635" s="253">
        <v>-3</v>
      </c>
      <c r="U635" s="237">
        <f t="shared" si="1018"/>
        <v>-6</v>
      </c>
      <c r="V635" s="234"/>
      <c r="W635" s="235"/>
      <c r="X635" s="235"/>
      <c r="Y635" s="253"/>
      <c r="Z635" s="237">
        <f t="shared" si="1019"/>
        <v>0</v>
      </c>
      <c r="AA635" s="239">
        <f t="shared" si="1020"/>
        <v>-6</v>
      </c>
      <c r="AB635" s="240">
        <v>46028</v>
      </c>
      <c r="AC635" s="23" t="s">
        <v>520</v>
      </c>
      <c r="AD635" s="18"/>
      <c r="AE635" s="19"/>
      <c r="AF635" s="20"/>
      <c r="AG635" s="20"/>
      <c r="AH635" s="85">
        <f t="shared" si="1073"/>
        <v>0</v>
      </c>
      <c r="AI635" s="18"/>
      <c r="AJ635" s="19"/>
      <c r="AK635" s="20"/>
      <c r="AL635" s="20"/>
      <c r="AM635" s="85">
        <f t="shared" si="1074"/>
        <v>0</v>
      </c>
      <c r="AN635" s="18"/>
      <c r="AO635" s="19"/>
      <c r="AP635" s="20"/>
      <c r="AQ635" s="20"/>
      <c r="AR635" s="85">
        <f t="shared" si="1075"/>
        <v>0</v>
      </c>
      <c r="AS635" s="18"/>
      <c r="AT635" s="19"/>
      <c r="AU635" s="20"/>
      <c r="AV635" s="20"/>
      <c r="AW635" s="85">
        <f t="shared" si="1076"/>
        <v>0</v>
      </c>
      <c r="AX635" s="18"/>
      <c r="AY635" s="19"/>
      <c r="AZ635" s="20"/>
      <c r="BA635" s="20"/>
      <c r="BB635" s="85">
        <f t="shared" si="1077"/>
        <v>0</v>
      </c>
      <c r="BC635" s="105">
        <f t="shared" si="1078"/>
        <v>0</v>
      </c>
      <c r="BD635" s="76" t="s">
        <v>497</v>
      </c>
    </row>
    <row r="636" spans="1:57" ht="14.25" thickBot="1" x14ac:dyDescent="0.2">
      <c r="A636" s="23"/>
      <c r="B636" s="15"/>
      <c r="C636" s="16"/>
      <c r="D636" s="16"/>
      <c r="E636" s="63"/>
      <c r="F636" s="85">
        <f t="shared" si="1015"/>
        <v>0</v>
      </c>
      <c r="G636" s="15"/>
      <c r="H636" s="16"/>
      <c r="I636" s="16"/>
      <c r="J636" s="63"/>
      <c r="K636" s="85">
        <f t="shared" si="1016"/>
        <v>0</v>
      </c>
      <c r="L636" s="15"/>
      <c r="M636" s="16"/>
      <c r="N636" s="16"/>
      <c r="O636" s="63"/>
      <c r="P636" s="85">
        <f t="shared" si="1017"/>
        <v>0</v>
      </c>
      <c r="Q636" s="15"/>
      <c r="R636" s="16"/>
      <c r="S636" s="16"/>
      <c r="T636" s="63"/>
      <c r="U636" s="85">
        <f t="shared" si="1018"/>
        <v>0</v>
      </c>
      <c r="V636" s="15"/>
      <c r="W636" s="16"/>
      <c r="X636" s="16"/>
      <c r="Y636" s="63"/>
      <c r="Z636" s="85">
        <f t="shared" si="1019"/>
        <v>0</v>
      </c>
      <c r="AA636" s="105">
        <f t="shared" si="1020"/>
        <v>0</v>
      </c>
      <c r="AC636" s="23" t="s">
        <v>519</v>
      </c>
      <c r="AD636" s="18"/>
      <c r="AE636" s="19"/>
      <c r="AF636" s="20"/>
      <c r="AG636" s="20"/>
      <c r="AH636" s="85">
        <f t="shared" si="1073"/>
        <v>0</v>
      </c>
      <c r="AI636" s="18"/>
      <c r="AJ636" s="19"/>
      <c r="AK636" s="20"/>
      <c r="AL636" s="20"/>
      <c r="AM636" s="85">
        <f t="shared" si="1074"/>
        <v>0</v>
      </c>
      <c r="AN636" s="18"/>
      <c r="AO636" s="19"/>
      <c r="AP636" s="20"/>
      <c r="AQ636" s="20"/>
      <c r="AR636" s="85">
        <f t="shared" si="1075"/>
        <v>0</v>
      </c>
      <c r="AS636" s="18"/>
      <c r="AT636" s="19"/>
      <c r="AU636" s="20"/>
      <c r="AV636" s="20"/>
      <c r="AW636" s="85">
        <f t="shared" si="1076"/>
        <v>0</v>
      </c>
      <c r="AX636" s="18"/>
      <c r="AY636" s="19"/>
      <c r="AZ636" s="20"/>
      <c r="BA636" s="20"/>
      <c r="BB636" s="85">
        <f t="shared" si="1077"/>
        <v>0</v>
      </c>
      <c r="BC636" s="105">
        <f t="shared" si="1078"/>
        <v>0</v>
      </c>
      <c r="BD636" s="76" t="s">
        <v>497</v>
      </c>
    </row>
    <row r="637" spans="1:57" ht="14.25" thickBot="1" x14ac:dyDescent="0.2">
      <c r="A637" s="27" t="s">
        <v>12</v>
      </c>
      <c r="B637" s="57">
        <f>SUM(B611:B636)</f>
        <v>5</v>
      </c>
      <c r="C637" s="50">
        <f t="shared" ref="C637:D637" si="1079">SUM(C611:C636)</f>
        <v>10</v>
      </c>
      <c r="D637" s="50">
        <f t="shared" si="1079"/>
        <v>2</v>
      </c>
      <c r="E637" s="50">
        <f>SUM(E611:E636)</f>
        <v>4</v>
      </c>
      <c r="F637" s="88">
        <f t="shared" si="1015"/>
        <v>21</v>
      </c>
      <c r="G637" s="57">
        <f>SUM(G611:G636)</f>
        <v>9</v>
      </c>
      <c r="H637" s="50">
        <f t="shared" ref="H637:I637" si="1080">SUM(H611:H636)</f>
        <v>5</v>
      </c>
      <c r="I637" s="50">
        <f t="shared" si="1080"/>
        <v>2</v>
      </c>
      <c r="J637" s="50">
        <f>SUM(J611:J636)</f>
        <v>4</v>
      </c>
      <c r="K637" s="88">
        <f t="shared" si="1016"/>
        <v>20</v>
      </c>
      <c r="L637" s="57">
        <f>SUM(L611:L636)</f>
        <v>5</v>
      </c>
      <c r="M637" s="50">
        <f t="shared" ref="M637:N637" si="1081">SUM(M611:M636)</f>
        <v>3</v>
      </c>
      <c r="N637" s="50">
        <f t="shared" si="1081"/>
        <v>2</v>
      </c>
      <c r="O637" s="50">
        <f>SUM(O611:O636)</f>
        <v>0</v>
      </c>
      <c r="P637" s="88">
        <f t="shared" si="1017"/>
        <v>10</v>
      </c>
      <c r="Q637" s="57">
        <f>SUM(Q611:Q636)</f>
        <v>7</v>
      </c>
      <c r="R637" s="50">
        <f t="shared" ref="R637:S637" si="1082">SUM(R611:R636)</f>
        <v>2</v>
      </c>
      <c r="S637" s="50">
        <f t="shared" si="1082"/>
        <v>0</v>
      </c>
      <c r="T637" s="50">
        <f>SUM(T611:T636)</f>
        <v>6</v>
      </c>
      <c r="U637" s="88">
        <f t="shared" si="1018"/>
        <v>15</v>
      </c>
      <c r="V637" s="57">
        <f>SUM(V611:V636)</f>
        <v>12</v>
      </c>
      <c r="W637" s="50">
        <f t="shared" ref="W637:X637" si="1083">SUM(W611:W636)</f>
        <v>12</v>
      </c>
      <c r="X637" s="50">
        <f t="shared" si="1083"/>
        <v>3</v>
      </c>
      <c r="Y637" s="50">
        <f>SUM(Y611:Y636)</f>
        <v>5</v>
      </c>
      <c r="Z637" s="88">
        <f t="shared" si="1019"/>
        <v>32</v>
      </c>
      <c r="AA637" s="109">
        <f t="shared" si="1020"/>
        <v>98</v>
      </c>
      <c r="AC637" s="27" t="s">
        <v>419</v>
      </c>
      <c r="AD637" s="57">
        <f>SUM(AD611:AD636)</f>
        <v>810</v>
      </c>
      <c r="AE637" s="50">
        <f t="shared" ref="AE637:AF637" si="1084">SUM(AE611:AE636)</f>
        <v>830</v>
      </c>
      <c r="AF637" s="50">
        <f t="shared" si="1084"/>
        <v>417</v>
      </c>
      <c r="AG637" s="50">
        <f>SUM(AG611:AG636)</f>
        <v>11</v>
      </c>
      <c r="AH637" s="88">
        <f t="shared" si="1021"/>
        <v>2068</v>
      </c>
      <c r="AI637" s="57">
        <f>SUM(AI611:AI636)</f>
        <v>812</v>
      </c>
      <c r="AJ637" s="50">
        <f t="shared" ref="AJ637:AK637" si="1085">SUM(AJ611:AJ636)</f>
        <v>822</v>
      </c>
      <c r="AK637" s="50">
        <f t="shared" si="1085"/>
        <v>417</v>
      </c>
      <c r="AL637" s="50">
        <f>SUM(AL611:AL636)</f>
        <v>11</v>
      </c>
      <c r="AM637" s="88">
        <f t="shared" si="1022"/>
        <v>2062</v>
      </c>
      <c r="AN637" s="57">
        <f>SUM(AN611:AN636)</f>
        <v>18</v>
      </c>
      <c r="AO637" s="50">
        <f t="shared" ref="AO637:AP637" si="1086">SUM(AO611:AO636)</f>
        <v>21</v>
      </c>
      <c r="AP637" s="50">
        <f t="shared" si="1086"/>
        <v>14</v>
      </c>
      <c r="AQ637" s="50">
        <f>SUM(AQ611:AQ636)</f>
        <v>8</v>
      </c>
      <c r="AR637" s="88">
        <f t="shared" si="1023"/>
        <v>61</v>
      </c>
      <c r="AS637" s="57">
        <f>SUM(AS611:AS636)</f>
        <v>814</v>
      </c>
      <c r="AT637" s="50">
        <f t="shared" ref="AT637:AU637" si="1087">SUM(AT611:AT636)</f>
        <v>821</v>
      </c>
      <c r="AU637" s="50">
        <f t="shared" si="1087"/>
        <v>414</v>
      </c>
      <c r="AV637" s="50">
        <f>SUM(AV611:AV636)</f>
        <v>22</v>
      </c>
      <c r="AW637" s="88">
        <f t="shared" si="1024"/>
        <v>2071</v>
      </c>
      <c r="AX637" s="57">
        <f>SUM(AX611:AX636)</f>
        <v>26</v>
      </c>
      <c r="AY637" s="50">
        <f t="shared" ref="AY637:AZ637" si="1088">SUM(AY611:AY636)</f>
        <v>51</v>
      </c>
      <c r="AZ637" s="50">
        <f t="shared" si="1088"/>
        <v>32</v>
      </c>
      <c r="BA637" s="50">
        <f>SUM(BA611:BA636)</f>
        <v>24</v>
      </c>
      <c r="BB637" s="88">
        <f t="shared" si="1025"/>
        <v>133</v>
      </c>
      <c r="BC637" s="109">
        <f t="shared" si="1026"/>
        <v>6395</v>
      </c>
    </row>
    <row r="638" spans="1:57" ht="14.25" thickBot="1" x14ac:dyDescent="0.2">
      <c r="A638" s="21" t="s">
        <v>13</v>
      </c>
      <c r="B638" s="101">
        <f>B610-B637</f>
        <v>5</v>
      </c>
      <c r="C638" s="8">
        <f t="shared" ref="C638:D638" si="1089">C610-C637</f>
        <v>5</v>
      </c>
      <c r="D638" s="8">
        <f t="shared" si="1089"/>
        <v>6</v>
      </c>
      <c r="E638" s="8">
        <f>E610-E637</f>
        <v>4</v>
      </c>
      <c r="F638" s="87">
        <f t="shared" si="1015"/>
        <v>20</v>
      </c>
      <c r="G638" s="101">
        <f>G610-G637</f>
        <v>3</v>
      </c>
      <c r="H638" s="8">
        <f t="shared" ref="H638:I638" si="1090">H610-H637</f>
        <v>3</v>
      </c>
      <c r="I638" s="8">
        <f t="shared" si="1090"/>
        <v>5</v>
      </c>
      <c r="J638" s="8">
        <f>J610-J637</f>
        <v>6</v>
      </c>
      <c r="K638" s="87">
        <f t="shared" si="1016"/>
        <v>17</v>
      </c>
      <c r="L638" s="101">
        <f>L610-L637</f>
        <v>7</v>
      </c>
      <c r="M638" s="8">
        <f t="shared" ref="M638:N638" si="1091">M610-M637</f>
        <v>7</v>
      </c>
      <c r="N638" s="8">
        <f t="shared" si="1091"/>
        <v>5</v>
      </c>
      <c r="O638" s="8">
        <f>O610-O637</f>
        <v>6</v>
      </c>
      <c r="P638" s="87">
        <f t="shared" si="1017"/>
        <v>25</v>
      </c>
      <c r="Q638" s="101">
        <f>Q610-Q637</f>
        <v>4</v>
      </c>
      <c r="R638" s="8">
        <f t="shared" ref="R638:S638" si="1092">R610-R637</f>
        <v>7</v>
      </c>
      <c r="S638" s="8">
        <f t="shared" si="1092"/>
        <v>5</v>
      </c>
      <c r="T638" s="8">
        <f>T610-T637</f>
        <v>5</v>
      </c>
      <c r="U638" s="87">
        <f t="shared" si="1018"/>
        <v>21</v>
      </c>
      <c r="V638" s="101">
        <f>V610-V637</f>
        <v>4</v>
      </c>
      <c r="W638" s="8">
        <f t="shared" ref="W638:X638" si="1093">W610-W637</f>
        <v>6</v>
      </c>
      <c r="X638" s="8">
        <f t="shared" si="1093"/>
        <v>7</v>
      </c>
      <c r="Y638" s="8">
        <f>Y610-Y637</f>
        <v>5</v>
      </c>
      <c r="Z638" s="87">
        <f t="shared" si="1019"/>
        <v>22</v>
      </c>
      <c r="AA638" s="107">
        <f t="shared" si="1020"/>
        <v>105</v>
      </c>
      <c r="AC638" s="29" t="s">
        <v>13</v>
      </c>
      <c r="AD638" s="32">
        <f>AD610-AD637</f>
        <v>620</v>
      </c>
      <c r="AE638" s="44">
        <f t="shared" ref="AE638:AF638" si="1094">AE610-AE637</f>
        <v>545</v>
      </c>
      <c r="AF638" s="44">
        <f t="shared" si="1094"/>
        <v>146</v>
      </c>
      <c r="AG638" s="44">
        <f>AG610-AG637</f>
        <v>399</v>
      </c>
      <c r="AH638" s="87">
        <f t="shared" si="1021"/>
        <v>1710</v>
      </c>
      <c r="AI638" s="32">
        <f>AI610-AI637</f>
        <v>574</v>
      </c>
      <c r="AJ638" s="44">
        <f t="shared" ref="AJ638:AK638" si="1095">AJ610-AJ637</f>
        <v>472</v>
      </c>
      <c r="AK638" s="44">
        <f t="shared" si="1095"/>
        <v>173</v>
      </c>
      <c r="AL638" s="44">
        <f>AL610-AL637</f>
        <v>411</v>
      </c>
      <c r="AM638" s="87">
        <f t="shared" si="1022"/>
        <v>1630</v>
      </c>
      <c r="AN638" s="32">
        <f>AN610-AN637</f>
        <v>338</v>
      </c>
      <c r="AO638" s="44">
        <f t="shared" ref="AO638:AP638" si="1096">AO610-AO637</f>
        <v>303</v>
      </c>
      <c r="AP638" s="44">
        <f t="shared" si="1096"/>
        <v>222</v>
      </c>
      <c r="AQ638" s="44">
        <f>AQ610-AQ637</f>
        <v>368</v>
      </c>
      <c r="AR638" s="87">
        <f t="shared" si="1023"/>
        <v>1231</v>
      </c>
      <c r="AS638" s="32">
        <f>AS610-AS637</f>
        <v>510</v>
      </c>
      <c r="AT638" s="44">
        <f t="shared" ref="AT638:AU638" si="1097">AT610-AT637</f>
        <v>405</v>
      </c>
      <c r="AU638" s="44">
        <f t="shared" si="1097"/>
        <v>179</v>
      </c>
      <c r="AV638" s="44">
        <f>AV610-AV637</f>
        <v>508</v>
      </c>
      <c r="AW638" s="87">
        <f t="shared" si="1024"/>
        <v>1602</v>
      </c>
      <c r="AX638" s="32">
        <f>AX610-AX637</f>
        <v>441</v>
      </c>
      <c r="AY638" s="44">
        <f t="shared" ref="AY638:AZ638" si="1098">AY610-AY637</f>
        <v>456</v>
      </c>
      <c r="AZ638" s="44">
        <f t="shared" si="1098"/>
        <v>328</v>
      </c>
      <c r="BA638" s="44">
        <f>BA610-BA637</f>
        <v>105</v>
      </c>
      <c r="BB638" s="87">
        <f t="shared" si="1025"/>
        <v>1330</v>
      </c>
      <c r="BC638" s="107">
        <f t="shared" si="1026"/>
        <v>7503</v>
      </c>
    </row>
    <row r="641" spans="1:56" ht="19.5" thickBot="1" x14ac:dyDescent="0.25">
      <c r="A641" s="271" t="s">
        <v>22</v>
      </c>
      <c r="B641" s="271"/>
      <c r="C641" s="271"/>
      <c r="D641" s="271"/>
      <c r="E641" s="271"/>
      <c r="F641" s="271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C641" s="79" t="s">
        <v>69</v>
      </c>
      <c r="AD641" s="79"/>
      <c r="AE641" s="79"/>
      <c r="AF641" s="79"/>
      <c r="AG641" s="79"/>
      <c r="AH641" s="79"/>
      <c r="AI641" s="93"/>
      <c r="AJ641" s="93"/>
      <c r="AK641" s="93"/>
      <c r="AL641" s="93"/>
      <c r="AM641" s="93"/>
      <c r="AN641" s="93"/>
      <c r="AO641" s="93"/>
      <c r="AP641" s="93"/>
      <c r="AQ641" s="93"/>
      <c r="AR641" s="93"/>
      <c r="AS641" s="93"/>
      <c r="AT641" s="78"/>
      <c r="AU641" s="78"/>
      <c r="AV641" s="78"/>
      <c r="AW641" s="78"/>
      <c r="AX641" s="78"/>
      <c r="AY641" s="78"/>
      <c r="AZ641" s="78"/>
      <c r="BA641" s="78"/>
      <c r="BB641" s="78"/>
      <c r="BC641" s="78"/>
    </row>
    <row r="642" spans="1:56" ht="14.25" thickBot="1" x14ac:dyDescent="0.2">
      <c r="A642" s="2" t="s">
        <v>0</v>
      </c>
      <c r="B642" s="256" t="s">
        <v>23</v>
      </c>
      <c r="C642" s="257"/>
      <c r="D642" s="257"/>
      <c r="E642" s="258"/>
      <c r="F642" s="81"/>
      <c r="G642" s="259" t="s">
        <v>24</v>
      </c>
      <c r="H642" s="260"/>
      <c r="I642" s="260"/>
      <c r="J642" s="261"/>
      <c r="K642" s="81"/>
      <c r="L642" s="262" t="s">
        <v>25</v>
      </c>
      <c r="M642" s="263"/>
      <c r="N642" s="263"/>
      <c r="O642" s="264"/>
      <c r="P642" s="81"/>
      <c r="Q642" s="265" t="s">
        <v>26</v>
      </c>
      <c r="R642" s="266"/>
      <c r="S642" s="266"/>
      <c r="T642" s="267"/>
      <c r="U642" s="81"/>
      <c r="V642" s="268" t="s">
        <v>27</v>
      </c>
      <c r="W642" s="269"/>
      <c r="X642" s="269"/>
      <c r="Y642" s="270"/>
      <c r="Z642" s="81"/>
      <c r="AA642" s="272" t="s">
        <v>6</v>
      </c>
      <c r="AC642" s="2" t="s">
        <v>0</v>
      </c>
      <c r="AD642" s="256" t="s">
        <v>23</v>
      </c>
      <c r="AE642" s="257"/>
      <c r="AF642" s="257"/>
      <c r="AG642" s="258"/>
      <c r="AH642" s="81"/>
      <c r="AI642" s="259" t="s">
        <v>24</v>
      </c>
      <c r="AJ642" s="260"/>
      <c r="AK642" s="260"/>
      <c r="AL642" s="261"/>
      <c r="AM642" s="81"/>
      <c r="AN642" s="262" t="s">
        <v>25</v>
      </c>
      <c r="AO642" s="263"/>
      <c r="AP642" s="263"/>
      <c r="AQ642" s="264"/>
      <c r="AR642" s="81"/>
      <c r="AS642" s="265" t="s">
        <v>26</v>
      </c>
      <c r="AT642" s="266"/>
      <c r="AU642" s="266"/>
      <c r="AV642" s="267"/>
      <c r="AW642" s="81"/>
      <c r="AX642" s="268" t="s">
        <v>27</v>
      </c>
      <c r="AY642" s="269"/>
      <c r="AZ642" s="269"/>
      <c r="BA642" s="270"/>
      <c r="BB642" s="81"/>
      <c r="BC642" s="183" t="s">
        <v>6</v>
      </c>
    </row>
    <row r="643" spans="1:56" ht="14.25" thickBot="1" x14ac:dyDescent="0.2">
      <c r="A643" s="2" t="s">
        <v>2</v>
      </c>
      <c r="B643" s="3" t="s">
        <v>3</v>
      </c>
      <c r="C643" s="4" t="s">
        <v>4</v>
      </c>
      <c r="D643" s="5" t="s">
        <v>5</v>
      </c>
      <c r="E643" s="5" t="s">
        <v>20</v>
      </c>
      <c r="F643" s="82" t="s">
        <v>6</v>
      </c>
      <c r="G643" s="89" t="s">
        <v>3</v>
      </c>
      <c r="H643" s="4" t="s">
        <v>4</v>
      </c>
      <c r="I643" s="5" t="s">
        <v>5</v>
      </c>
      <c r="J643" s="5" t="s">
        <v>20</v>
      </c>
      <c r="K643" s="82" t="s">
        <v>6</v>
      </c>
      <c r="L643" s="89" t="s">
        <v>3</v>
      </c>
      <c r="M643" s="4" t="s">
        <v>4</v>
      </c>
      <c r="N643" s="5" t="s">
        <v>5</v>
      </c>
      <c r="O643" s="5" t="s">
        <v>20</v>
      </c>
      <c r="P643" s="82" t="s">
        <v>6</v>
      </c>
      <c r="Q643" s="89" t="s">
        <v>3</v>
      </c>
      <c r="R643" s="4" t="s">
        <v>4</v>
      </c>
      <c r="S643" s="5" t="s">
        <v>5</v>
      </c>
      <c r="T643" s="5" t="s">
        <v>20</v>
      </c>
      <c r="U643" s="82" t="s">
        <v>6</v>
      </c>
      <c r="V643" s="89" t="s">
        <v>3</v>
      </c>
      <c r="W643" s="4" t="s">
        <v>4</v>
      </c>
      <c r="X643" s="5" t="s">
        <v>5</v>
      </c>
      <c r="Y643" s="5" t="s">
        <v>20</v>
      </c>
      <c r="Z643" s="82" t="s">
        <v>6</v>
      </c>
      <c r="AA643" s="273"/>
      <c r="AC643" s="2" t="s">
        <v>2</v>
      </c>
      <c r="AD643" s="3" t="s">
        <v>3</v>
      </c>
      <c r="AE643" s="4" t="s">
        <v>4</v>
      </c>
      <c r="AF643" s="5" t="s">
        <v>5</v>
      </c>
      <c r="AG643" s="5" t="s">
        <v>20</v>
      </c>
      <c r="AH643" s="82" t="s">
        <v>6</v>
      </c>
      <c r="AI643" s="89" t="s">
        <v>3</v>
      </c>
      <c r="AJ643" s="4" t="s">
        <v>4</v>
      </c>
      <c r="AK643" s="5" t="s">
        <v>5</v>
      </c>
      <c r="AL643" s="5" t="s">
        <v>20</v>
      </c>
      <c r="AM643" s="82" t="s">
        <v>6</v>
      </c>
      <c r="AN643" s="89" t="s">
        <v>3</v>
      </c>
      <c r="AO643" s="4" t="s">
        <v>4</v>
      </c>
      <c r="AP643" s="5" t="s">
        <v>5</v>
      </c>
      <c r="AQ643" s="5" t="s">
        <v>20</v>
      </c>
      <c r="AR643" s="82" t="s">
        <v>6</v>
      </c>
      <c r="AS643" s="89" t="s">
        <v>3</v>
      </c>
      <c r="AT643" s="4" t="s">
        <v>4</v>
      </c>
      <c r="AU643" s="5" t="s">
        <v>5</v>
      </c>
      <c r="AV643" s="5" t="s">
        <v>20</v>
      </c>
      <c r="AW643" s="82" t="s">
        <v>6</v>
      </c>
      <c r="AX643" s="89" t="s">
        <v>3</v>
      </c>
      <c r="AY643" s="4" t="s">
        <v>4</v>
      </c>
      <c r="AZ643" s="5" t="s">
        <v>5</v>
      </c>
      <c r="BA643" s="5" t="s">
        <v>20</v>
      </c>
      <c r="BB643" s="82" t="s">
        <v>6</v>
      </c>
      <c r="BC643" s="184"/>
    </row>
    <row r="644" spans="1:56" x14ac:dyDescent="0.15">
      <c r="A644" s="40" t="s">
        <v>13</v>
      </c>
      <c r="B644" s="41">
        <f>B638</f>
        <v>5</v>
      </c>
      <c r="C644" s="42">
        <f>C638</f>
        <v>5</v>
      </c>
      <c r="D644" s="42">
        <f t="shared" ref="D644:AA644" si="1099">D638</f>
        <v>6</v>
      </c>
      <c r="E644" s="94">
        <f t="shared" si="1099"/>
        <v>4</v>
      </c>
      <c r="F644" s="95">
        <f t="shared" si="1099"/>
        <v>20</v>
      </c>
      <c r="G644" s="96">
        <f t="shared" si="1099"/>
        <v>3</v>
      </c>
      <c r="H644" s="42">
        <f t="shared" si="1099"/>
        <v>3</v>
      </c>
      <c r="I644" s="42">
        <f t="shared" si="1099"/>
        <v>5</v>
      </c>
      <c r="J644" s="94">
        <f t="shared" si="1099"/>
        <v>6</v>
      </c>
      <c r="K644" s="95">
        <f t="shared" si="1099"/>
        <v>17</v>
      </c>
      <c r="L644" s="96">
        <f t="shared" si="1099"/>
        <v>7</v>
      </c>
      <c r="M644" s="42">
        <f t="shared" si="1099"/>
        <v>7</v>
      </c>
      <c r="N644" s="42">
        <f t="shared" si="1099"/>
        <v>5</v>
      </c>
      <c r="O644" s="94">
        <f t="shared" si="1099"/>
        <v>6</v>
      </c>
      <c r="P644" s="95">
        <f t="shared" si="1099"/>
        <v>25</v>
      </c>
      <c r="Q644" s="96">
        <f t="shared" si="1099"/>
        <v>4</v>
      </c>
      <c r="R644" s="42">
        <f t="shared" si="1099"/>
        <v>7</v>
      </c>
      <c r="S644" s="42">
        <f t="shared" si="1099"/>
        <v>5</v>
      </c>
      <c r="T644" s="94">
        <f t="shared" si="1099"/>
        <v>5</v>
      </c>
      <c r="U644" s="95">
        <f t="shared" si="1099"/>
        <v>21</v>
      </c>
      <c r="V644" s="96">
        <f t="shared" si="1099"/>
        <v>4</v>
      </c>
      <c r="W644" s="42">
        <f t="shared" si="1099"/>
        <v>6</v>
      </c>
      <c r="X644" s="42">
        <f t="shared" si="1099"/>
        <v>7</v>
      </c>
      <c r="Y644" s="94">
        <f t="shared" si="1099"/>
        <v>5</v>
      </c>
      <c r="Z644" s="95">
        <f t="shared" si="1099"/>
        <v>22</v>
      </c>
      <c r="AA644" s="104">
        <f t="shared" si="1099"/>
        <v>105</v>
      </c>
      <c r="AC644" s="131" t="s">
        <v>13</v>
      </c>
      <c r="AD644" s="96">
        <f>AD638</f>
        <v>620</v>
      </c>
      <c r="AE644" s="42">
        <f>AE638</f>
        <v>545</v>
      </c>
      <c r="AF644" s="42">
        <f t="shared" ref="AF644:BC644" si="1100">AF638</f>
        <v>146</v>
      </c>
      <c r="AG644" s="94">
        <f t="shared" si="1100"/>
        <v>399</v>
      </c>
      <c r="AH644" s="95">
        <f t="shared" si="1100"/>
        <v>1710</v>
      </c>
      <c r="AI644" s="96">
        <f t="shared" si="1100"/>
        <v>574</v>
      </c>
      <c r="AJ644" s="42">
        <f t="shared" si="1100"/>
        <v>472</v>
      </c>
      <c r="AK644" s="42">
        <f t="shared" si="1100"/>
        <v>173</v>
      </c>
      <c r="AL644" s="94">
        <f t="shared" si="1100"/>
        <v>411</v>
      </c>
      <c r="AM644" s="95">
        <f t="shared" si="1100"/>
        <v>1630</v>
      </c>
      <c r="AN644" s="96">
        <f t="shared" si="1100"/>
        <v>338</v>
      </c>
      <c r="AO644" s="42">
        <f t="shared" si="1100"/>
        <v>303</v>
      </c>
      <c r="AP644" s="42">
        <f t="shared" si="1100"/>
        <v>222</v>
      </c>
      <c r="AQ644" s="94">
        <f t="shared" si="1100"/>
        <v>368</v>
      </c>
      <c r="AR644" s="95">
        <f t="shared" si="1100"/>
        <v>1231</v>
      </c>
      <c r="AS644" s="96">
        <f t="shared" si="1100"/>
        <v>510</v>
      </c>
      <c r="AT644" s="42">
        <f t="shared" si="1100"/>
        <v>405</v>
      </c>
      <c r="AU644" s="42">
        <f t="shared" si="1100"/>
        <v>179</v>
      </c>
      <c r="AV644" s="94">
        <f t="shared" si="1100"/>
        <v>508</v>
      </c>
      <c r="AW644" s="95">
        <f t="shared" si="1100"/>
        <v>1602</v>
      </c>
      <c r="AX644" s="96">
        <f t="shared" si="1100"/>
        <v>441</v>
      </c>
      <c r="AY644" s="42">
        <f t="shared" si="1100"/>
        <v>456</v>
      </c>
      <c r="AZ644" s="42">
        <f t="shared" si="1100"/>
        <v>328</v>
      </c>
      <c r="BA644" s="94">
        <f t="shared" si="1100"/>
        <v>105</v>
      </c>
      <c r="BB644" s="95">
        <f t="shared" si="1100"/>
        <v>1330</v>
      </c>
      <c r="BC644" s="104">
        <f t="shared" si="1100"/>
        <v>7503</v>
      </c>
    </row>
    <row r="645" spans="1:56" x14ac:dyDescent="0.15">
      <c r="A645" s="9" t="s">
        <v>7</v>
      </c>
      <c r="B645" s="10"/>
      <c r="C645" s="11"/>
      <c r="D645" s="12"/>
      <c r="E645" s="12"/>
      <c r="F645" s="85">
        <f t="shared" ref="F645:F678" si="1101">SUM(B645:E645)</f>
        <v>0</v>
      </c>
      <c r="G645" s="90"/>
      <c r="H645" s="11"/>
      <c r="I645" s="12"/>
      <c r="J645" s="12"/>
      <c r="K645" s="85">
        <f t="shared" ref="K645:K678" si="1102">SUM(G645:J645)</f>
        <v>0</v>
      </c>
      <c r="L645" s="90"/>
      <c r="M645" s="11"/>
      <c r="N645" s="12">
        <v>3</v>
      </c>
      <c r="O645" s="12"/>
      <c r="P645" s="85">
        <f t="shared" ref="P645:P678" si="1103">SUM(L645:O645)</f>
        <v>3</v>
      </c>
      <c r="Q645" s="90"/>
      <c r="R645" s="11"/>
      <c r="S645" s="12"/>
      <c r="T645" s="12"/>
      <c r="U645" s="85">
        <f t="shared" ref="U645:U678" si="1104">SUM(Q645:T645)</f>
        <v>0</v>
      </c>
      <c r="V645" s="90"/>
      <c r="W645" s="11"/>
      <c r="X645" s="12"/>
      <c r="Y645" s="12"/>
      <c r="Z645" s="85">
        <f t="shared" ref="Z645:Z678" si="1105">SUM(V645:Y645)</f>
        <v>0</v>
      </c>
      <c r="AA645" s="105">
        <f t="shared" ref="AA645:AA678" si="1106">Z645+U645+P645+K645+F645</f>
        <v>3</v>
      </c>
      <c r="AB645" s="114">
        <v>46011</v>
      </c>
      <c r="AC645" s="117" t="s">
        <v>313</v>
      </c>
      <c r="AD645" s="90"/>
      <c r="AE645" s="11"/>
      <c r="AF645" s="12"/>
      <c r="AG645" s="12"/>
      <c r="AH645" s="84">
        <f t="shared" ref="AH645:AH678" si="1107">SUM(AD645:AG645)</f>
        <v>0</v>
      </c>
      <c r="AI645" s="90"/>
      <c r="AJ645" s="11"/>
      <c r="AK645" s="12"/>
      <c r="AL645" s="12"/>
      <c r="AM645" s="84">
        <f t="shared" ref="AM645:AM678" si="1108">SUM(AI645:AL645)</f>
        <v>0</v>
      </c>
      <c r="AN645" s="90"/>
      <c r="AO645" s="11"/>
      <c r="AP645" s="12"/>
      <c r="AQ645" s="12"/>
      <c r="AR645" s="84">
        <f t="shared" ref="AR645:AR678" si="1109">SUM(AN645:AQ645)</f>
        <v>0</v>
      </c>
      <c r="AS645" s="90"/>
      <c r="AT645" s="11"/>
      <c r="AU645" s="12"/>
      <c r="AV645" s="12"/>
      <c r="AW645" s="84">
        <f t="shared" ref="AW645:AW678" si="1110">SUM(AS645:AV645)</f>
        <v>0</v>
      </c>
      <c r="AX645" s="90"/>
      <c r="AY645" s="11"/>
      <c r="AZ645" s="12"/>
      <c r="BA645" s="12"/>
      <c r="BB645" s="84">
        <f t="shared" ref="BB645:BB678" si="1111">SUM(AX645:BA645)</f>
        <v>0</v>
      </c>
      <c r="BC645" s="105">
        <f t="shared" ref="BC645:BC678" si="1112">BB645+AW645+AR645+AM645+AH645</f>
        <v>0</v>
      </c>
    </row>
    <row r="646" spans="1:56" x14ac:dyDescent="0.15">
      <c r="A646" s="233" t="s">
        <v>8</v>
      </c>
      <c r="B646" s="249"/>
      <c r="C646" s="250"/>
      <c r="D646" s="251"/>
      <c r="E646" s="251"/>
      <c r="F646" s="237">
        <f t="shared" si="1101"/>
        <v>0</v>
      </c>
      <c r="G646" s="252">
        <v>3</v>
      </c>
      <c r="H646" s="250">
        <v>5</v>
      </c>
      <c r="I646" s="251"/>
      <c r="J646" s="251"/>
      <c r="K646" s="237">
        <f t="shared" si="1102"/>
        <v>8</v>
      </c>
      <c r="L646" s="252"/>
      <c r="M646" s="250">
        <v>10</v>
      </c>
      <c r="N646" s="251"/>
      <c r="O646" s="251"/>
      <c r="P646" s="237">
        <f t="shared" si="1103"/>
        <v>10</v>
      </c>
      <c r="Q646" s="252">
        <v>3</v>
      </c>
      <c r="R646" s="250"/>
      <c r="S646" s="251"/>
      <c r="T646" s="251"/>
      <c r="U646" s="237">
        <f t="shared" si="1104"/>
        <v>3</v>
      </c>
      <c r="V646" s="252"/>
      <c r="W646" s="250">
        <v>5</v>
      </c>
      <c r="X646" s="251"/>
      <c r="Y646" s="251"/>
      <c r="Z646" s="237">
        <f t="shared" si="1105"/>
        <v>5</v>
      </c>
      <c r="AA646" s="239">
        <f t="shared" si="1106"/>
        <v>26</v>
      </c>
      <c r="AB646" s="240">
        <v>46029</v>
      </c>
      <c r="AC646" s="117" t="s">
        <v>355</v>
      </c>
      <c r="AD646" s="90"/>
      <c r="AE646" s="11"/>
      <c r="AF646" s="12"/>
      <c r="AG646" s="12"/>
      <c r="AH646" s="84">
        <f t="shared" si="1107"/>
        <v>0</v>
      </c>
      <c r="AI646" s="90"/>
      <c r="AJ646" s="11"/>
      <c r="AK646" s="12"/>
      <c r="AL646" s="12"/>
      <c r="AM646" s="84">
        <f t="shared" si="1108"/>
        <v>0</v>
      </c>
      <c r="AN646" s="90"/>
      <c r="AO646" s="11"/>
      <c r="AP646" s="12"/>
      <c r="AQ646" s="12"/>
      <c r="AR646" s="84">
        <f t="shared" si="1109"/>
        <v>0</v>
      </c>
      <c r="AS646" s="90"/>
      <c r="AT646" s="11"/>
      <c r="AU646" s="12"/>
      <c r="AV646" s="12"/>
      <c r="AW646" s="84">
        <f t="shared" si="1110"/>
        <v>0</v>
      </c>
      <c r="AX646" s="90"/>
      <c r="AY646" s="11"/>
      <c r="AZ646" s="12"/>
      <c r="BA646" s="12"/>
      <c r="BB646" s="84">
        <f t="shared" si="1111"/>
        <v>0</v>
      </c>
      <c r="BC646" s="105">
        <f t="shared" si="1112"/>
        <v>0</v>
      </c>
    </row>
    <row r="647" spans="1:56" x14ac:dyDescent="0.15">
      <c r="A647" s="233" t="s">
        <v>9</v>
      </c>
      <c r="B647" s="234"/>
      <c r="C647" s="235"/>
      <c r="D647" s="236">
        <v>5</v>
      </c>
      <c r="E647" s="236"/>
      <c r="F647" s="237">
        <f t="shared" si="1101"/>
        <v>5</v>
      </c>
      <c r="G647" s="238"/>
      <c r="H647" s="235"/>
      <c r="I647" s="236">
        <v>5</v>
      </c>
      <c r="J647" s="236"/>
      <c r="K647" s="237">
        <f t="shared" si="1102"/>
        <v>5</v>
      </c>
      <c r="L647" s="238"/>
      <c r="M647" s="235"/>
      <c r="N647" s="236"/>
      <c r="O647" s="236"/>
      <c r="P647" s="237">
        <f t="shared" si="1103"/>
        <v>0</v>
      </c>
      <c r="Q647" s="238"/>
      <c r="R647" s="235"/>
      <c r="S647" s="236">
        <v>5</v>
      </c>
      <c r="T647" s="236"/>
      <c r="U647" s="237">
        <f t="shared" si="1104"/>
        <v>5</v>
      </c>
      <c r="V647" s="238"/>
      <c r="W647" s="235"/>
      <c r="X647" s="236">
        <v>5</v>
      </c>
      <c r="Y647" s="236"/>
      <c r="Z647" s="237">
        <f t="shared" si="1105"/>
        <v>5</v>
      </c>
      <c r="AA647" s="239">
        <f t="shared" si="1106"/>
        <v>20</v>
      </c>
      <c r="AB647" s="240">
        <v>46037</v>
      </c>
      <c r="AC647" s="117" t="s">
        <v>354</v>
      </c>
      <c r="AD647" s="90"/>
      <c r="AE647" s="11"/>
      <c r="AF647" s="12"/>
      <c r="AG647" s="12"/>
      <c r="AH647" s="84">
        <f t="shared" si="1107"/>
        <v>0</v>
      </c>
      <c r="AI647" s="90"/>
      <c r="AJ647" s="11"/>
      <c r="AK647" s="12"/>
      <c r="AL647" s="12"/>
      <c r="AM647" s="84">
        <f t="shared" si="1108"/>
        <v>0</v>
      </c>
      <c r="AN647" s="90"/>
      <c r="AO647" s="11"/>
      <c r="AP647" s="12"/>
      <c r="AQ647" s="12"/>
      <c r="AR647" s="84">
        <f t="shared" si="1109"/>
        <v>0</v>
      </c>
      <c r="AS647" s="90"/>
      <c r="AT647" s="11"/>
      <c r="AU647" s="12"/>
      <c r="AV647" s="12"/>
      <c r="AW647" s="84">
        <f t="shared" si="1110"/>
        <v>0</v>
      </c>
      <c r="AX647" s="90"/>
      <c r="AY647" s="11"/>
      <c r="AZ647" s="12"/>
      <c r="BA647" s="12"/>
      <c r="BB647" s="84">
        <f t="shared" si="1111"/>
        <v>0</v>
      </c>
      <c r="BC647" s="105">
        <f t="shared" si="1112"/>
        <v>0</v>
      </c>
    </row>
    <row r="648" spans="1:56" x14ac:dyDescent="0.15">
      <c r="A648" s="9" t="s">
        <v>10</v>
      </c>
      <c r="B648" s="15"/>
      <c r="C648" s="16"/>
      <c r="D648" s="17"/>
      <c r="E648" s="17"/>
      <c r="F648" s="85">
        <f t="shared" si="1101"/>
        <v>0</v>
      </c>
      <c r="G648" s="91"/>
      <c r="H648" s="16"/>
      <c r="I648" s="17"/>
      <c r="J648" s="17"/>
      <c r="K648" s="85">
        <f t="shared" si="1102"/>
        <v>0</v>
      </c>
      <c r="L648" s="91"/>
      <c r="M648" s="16"/>
      <c r="N648" s="17"/>
      <c r="O648" s="17"/>
      <c r="P648" s="85">
        <f t="shared" si="1103"/>
        <v>0</v>
      </c>
      <c r="Q648" s="91"/>
      <c r="R648" s="16">
        <v>7</v>
      </c>
      <c r="S648" s="17"/>
      <c r="T648" s="17"/>
      <c r="U648" s="85">
        <f t="shared" si="1104"/>
        <v>7</v>
      </c>
      <c r="V648" s="91"/>
      <c r="W648" s="16"/>
      <c r="X648" s="17"/>
      <c r="Y648" s="17"/>
      <c r="Z648" s="85">
        <f t="shared" si="1105"/>
        <v>0</v>
      </c>
      <c r="AA648" s="105">
        <f t="shared" si="1106"/>
        <v>7</v>
      </c>
      <c r="AB648" s="115">
        <v>46053</v>
      </c>
      <c r="AC648" s="117" t="s">
        <v>10</v>
      </c>
      <c r="AD648" s="90"/>
      <c r="AE648" s="11"/>
      <c r="AF648" s="12"/>
      <c r="AG648" s="12"/>
      <c r="AH648" s="84">
        <f t="shared" si="1107"/>
        <v>0</v>
      </c>
      <c r="AI648" s="90"/>
      <c r="AJ648" s="11"/>
      <c r="AK648" s="12"/>
      <c r="AL648" s="12"/>
      <c r="AM648" s="84">
        <f t="shared" si="1108"/>
        <v>0</v>
      </c>
      <c r="AN648" s="90"/>
      <c r="AO648" s="11"/>
      <c r="AP648" s="12"/>
      <c r="AQ648" s="12"/>
      <c r="AR648" s="84">
        <f t="shared" si="1109"/>
        <v>0</v>
      </c>
      <c r="AS648" s="90"/>
      <c r="AT648" s="11"/>
      <c r="AU648" s="12"/>
      <c r="AV648" s="12"/>
      <c r="AW648" s="84">
        <f t="shared" si="1110"/>
        <v>0</v>
      </c>
      <c r="AX648" s="90"/>
      <c r="AY648" s="11"/>
      <c r="AZ648" s="12"/>
      <c r="BA648" s="12"/>
      <c r="BB648" s="84">
        <f t="shared" si="1111"/>
        <v>0</v>
      </c>
      <c r="BC648" s="105">
        <f t="shared" si="1112"/>
        <v>0</v>
      </c>
    </row>
    <row r="649" spans="1:56" ht="14.25" thickBot="1" x14ac:dyDescent="0.2">
      <c r="A649" s="233" t="s">
        <v>11</v>
      </c>
      <c r="B649" s="234"/>
      <c r="C649" s="235"/>
      <c r="D649" s="236"/>
      <c r="E649" s="236"/>
      <c r="F649" s="254">
        <f t="shared" si="1101"/>
        <v>0</v>
      </c>
      <c r="G649" s="238"/>
      <c r="H649" s="235"/>
      <c r="I649" s="236"/>
      <c r="J649" s="236"/>
      <c r="K649" s="254">
        <f t="shared" si="1102"/>
        <v>0</v>
      </c>
      <c r="L649" s="238"/>
      <c r="M649" s="235"/>
      <c r="N649" s="236"/>
      <c r="O649" s="236"/>
      <c r="P649" s="254">
        <f t="shared" si="1103"/>
        <v>0</v>
      </c>
      <c r="Q649" s="238">
        <v>5</v>
      </c>
      <c r="R649" s="235"/>
      <c r="S649" s="236"/>
      <c r="T649" s="236"/>
      <c r="U649" s="254">
        <f t="shared" si="1104"/>
        <v>5</v>
      </c>
      <c r="V649" s="238">
        <v>5</v>
      </c>
      <c r="W649" s="235">
        <v>5</v>
      </c>
      <c r="X649" s="236"/>
      <c r="Y649" s="236"/>
      <c r="Z649" s="254">
        <f t="shared" si="1105"/>
        <v>10</v>
      </c>
      <c r="AA649" s="255">
        <f t="shared" si="1106"/>
        <v>15</v>
      </c>
      <c r="AB649" s="240">
        <v>46057</v>
      </c>
      <c r="AC649" s="132" t="s">
        <v>11</v>
      </c>
      <c r="AD649" s="91"/>
      <c r="AE649" s="16"/>
      <c r="AF649" s="17"/>
      <c r="AG649" s="17"/>
      <c r="AH649" s="92">
        <f t="shared" si="1107"/>
        <v>0</v>
      </c>
      <c r="AI649" s="91"/>
      <c r="AJ649" s="16"/>
      <c r="AK649" s="17"/>
      <c r="AL649" s="17"/>
      <c r="AM649" s="92">
        <f t="shared" si="1108"/>
        <v>0</v>
      </c>
      <c r="AN649" s="91"/>
      <c r="AO649" s="16"/>
      <c r="AP649" s="17"/>
      <c r="AQ649" s="17"/>
      <c r="AR649" s="92">
        <f t="shared" si="1109"/>
        <v>0</v>
      </c>
      <c r="AS649" s="91"/>
      <c r="AT649" s="16"/>
      <c r="AU649" s="17"/>
      <c r="AV649" s="17"/>
      <c r="AW649" s="92">
        <f t="shared" si="1110"/>
        <v>0</v>
      </c>
      <c r="AX649" s="91"/>
      <c r="AY649" s="16"/>
      <c r="AZ649" s="17"/>
      <c r="BA649" s="17"/>
      <c r="BB649" s="92">
        <f t="shared" si="1111"/>
        <v>0</v>
      </c>
      <c r="BC649" s="110">
        <f t="shared" si="1112"/>
        <v>0</v>
      </c>
    </row>
    <row r="650" spans="1:56" ht="14.25" thickBot="1" x14ac:dyDescent="0.2">
      <c r="A650" s="21" t="s">
        <v>16</v>
      </c>
      <c r="B650" s="7">
        <f>SUM(B644:B649)</f>
        <v>5</v>
      </c>
      <c r="C650" s="8">
        <f t="shared" ref="C650:E650" si="1113">SUM(C644:C649)</f>
        <v>5</v>
      </c>
      <c r="D650" s="22">
        <f t="shared" si="1113"/>
        <v>11</v>
      </c>
      <c r="E650" s="22">
        <f t="shared" si="1113"/>
        <v>4</v>
      </c>
      <c r="F650" s="87">
        <f t="shared" si="1101"/>
        <v>25</v>
      </c>
      <c r="G650" s="7">
        <f>SUM(G644:G649)</f>
        <v>6</v>
      </c>
      <c r="H650" s="8">
        <f t="shared" ref="H650:J650" si="1114">SUM(H644:H649)</f>
        <v>8</v>
      </c>
      <c r="I650" s="22">
        <f t="shared" si="1114"/>
        <v>10</v>
      </c>
      <c r="J650" s="22">
        <f t="shared" si="1114"/>
        <v>6</v>
      </c>
      <c r="K650" s="87">
        <f t="shared" si="1102"/>
        <v>30</v>
      </c>
      <c r="L650" s="7">
        <f>SUM(L644:L649)</f>
        <v>7</v>
      </c>
      <c r="M650" s="8">
        <f t="shared" ref="M650:O650" si="1115">SUM(M644:M649)</f>
        <v>17</v>
      </c>
      <c r="N650" s="22">
        <f t="shared" si="1115"/>
        <v>8</v>
      </c>
      <c r="O650" s="22">
        <f t="shared" si="1115"/>
        <v>6</v>
      </c>
      <c r="P650" s="87">
        <f t="shared" si="1103"/>
        <v>38</v>
      </c>
      <c r="Q650" s="7">
        <f>SUM(Q644:Q649)</f>
        <v>12</v>
      </c>
      <c r="R650" s="8">
        <f t="shared" ref="R650:T650" si="1116">SUM(R644:R649)</f>
        <v>14</v>
      </c>
      <c r="S650" s="22">
        <f t="shared" si="1116"/>
        <v>10</v>
      </c>
      <c r="T650" s="22">
        <f t="shared" si="1116"/>
        <v>5</v>
      </c>
      <c r="U650" s="87">
        <f t="shared" si="1104"/>
        <v>41</v>
      </c>
      <c r="V650" s="7">
        <f>SUM(V644:V649)</f>
        <v>9</v>
      </c>
      <c r="W650" s="8">
        <f t="shared" ref="W650:Y650" si="1117">SUM(W644:W649)</f>
        <v>16</v>
      </c>
      <c r="X650" s="22">
        <f t="shared" si="1117"/>
        <v>12</v>
      </c>
      <c r="Y650" s="22">
        <f t="shared" si="1117"/>
        <v>5</v>
      </c>
      <c r="Z650" s="87">
        <f t="shared" si="1105"/>
        <v>42</v>
      </c>
      <c r="AA650" s="107">
        <f t="shared" si="1106"/>
        <v>176</v>
      </c>
      <c r="AC650" s="21" t="s">
        <v>16</v>
      </c>
      <c r="AD650" s="7">
        <f>SUM(AD644:AD649)</f>
        <v>620</v>
      </c>
      <c r="AE650" s="8">
        <f t="shared" ref="AE650:AG650" si="1118">SUM(AE644:AE649)</f>
        <v>545</v>
      </c>
      <c r="AF650" s="22">
        <f t="shared" si="1118"/>
        <v>146</v>
      </c>
      <c r="AG650" s="22">
        <f t="shared" si="1118"/>
        <v>399</v>
      </c>
      <c r="AH650" s="87">
        <f t="shared" si="1107"/>
        <v>1710</v>
      </c>
      <c r="AI650" s="7">
        <f>SUM(AI644:AI649)</f>
        <v>574</v>
      </c>
      <c r="AJ650" s="8">
        <f t="shared" ref="AJ650:AL650" si="1119">SUM(AJ644:AJ649)</f>
        <v>472</v>
      </c>
      <c r="AK650" s="22">
        <f t="shared" si="1119"/>
        <v>173</v>
      </c>
      <c r="AL650" s="22">
        <f t="shared" si="1119"/>
        <v>411</v>
      </c>
      <c r="AM650" s="87">
        <f t="shared" si="1108"/>
        <v>1630</v>
      </c>
      <c r="AN650" s="7">
        <f>SUM(AN644:AN649)</f>
        <v>338</v>
      </c>
      <c r="AO650" s="8">
        <f t="shared" ref="AO650:AQ650" si="1120">SUM(AO644:AO649)</f>
        <v>303</v>
      </c>
      <c r="AP650" s="22">
        <f t="shared" si="1120"/>
        <v>222</v>
      </c>
      <c r="AQ650" s="22">
        <f t="shared" si="1120"/>
        <v>368</v>
      </c>
      <c r="AR650" s="87">
        <f t="shared" si="1109"/>
        <v>1231</v>
      </c>
      <c r="AS650" s="7">
        <f>SUM(AS644:AS649)</f>
        <v>510</v>
      </c>
      <c r="AT650" s="8">
        <f t="shared" ref="AT650:AV650" si="1121">SUM(AT644:AT649)</f>
        <v>405</v>
      </c>
      <c r="AU650" s="22">
        <f t="shared" si="1121"/>
        <v>179</v>
      </c>
      <c r="AV650" s="22">
        <f t="shared" si="1121"/>
        <v>508</v>
      </c>
      <c r="AW650" s="87">
        <f t="shared" si="1110"/>
        <v>1602</v>
      </c>
      <c r="AX650" s="7">
        <f>SUM(AX644:AX649)</f>
        <v>441</v>
      </c>
      <c r="AY650" s="8">
        <f t="shared" ref="AY650:BA650" si="1122">SUM(AY644:AY649)</f>
        <v>456</v>
      </c>
      <c r="AZ650" s="22">
        <f t="shared" si="1122"/>
        <v>328</v>
      </c>
      <c r="BA650" s="22">
        <f t="shared" si="1122"/>
        <v>105</v>
      </c>
      <c r="BB650" s="87">
        <f t="shared" si="1111"/>
        <v>1330</v>
      </c>
      <c r="BC650" s="107">
        <f t="shared" si="1112"/>
        <v>7503</v>
      </c>
    </row>
    <row r="651" spans="1:56" x14ac:dyDescent="0.15">
      <c r="A651" s="23" t="s">
        <v>597</v>
      </c>
      <c r="B651" s="15">
        <v>1</v>
      </c>
      <c r="C651" s="16"/>
      <c r="D651" s="17">
        <v>1</v>
      </c>
      <c r="E651" s="17"/>
      <c r="F651" s="85">
        <f t="shared" si="1101"/>
        <v>2</v>
      </c>
      <c r="G651" s="15">
        <v>1</v>
      </c>
      <c r="H651" s="16">
        <v>2</v>
      </c>
      <c r="I651" s="17"/>
      <c r="J651" s="17"/>
      <c r="K651" s="85">
        <f t="shared" si="1102"/>
        <v>3</v>
      </c>
      <c r="L651" s="15">
        <v>2</v>
      </c>
      <c r="M651" s="16">
        <v>10</v>
      </c>
      <c r="N651" s="17">
        <v>1</v>
      </c>
      <c r="O651" s="17"/>
      <c r="P651" s="85">
        <f t="shared" si="1103"/>
        <v>13</v>
      </c>
      <c r="Q651" s="15">
        <v>2</v>
      </c>
      <c r="R651" s="16">
        <v>2</v>
      </c>
      <c r="S651" s="17">
        <v>1</v>
      </c>
      <c r="T651" s="17"/>
      <c r="U651" s="85">
        <f t="shared" si="1104"/>
        <v>5</v>
      </c>
      <c r="V651" s="15"/>
      <c r="W651" s="16">
        <v>5</v>
      </c>
      <c r="X651" s="17">
        <v>1</v>
      </c>
      <c r="Y651" s="17"/>
      <c r="Z651" s="85">
        <f t="shared" si="1105"/>
        <v>6</v>
      </c>
      <c r="AA651" s="105">
        <f t="shared" si="1106"/>
        <v>29</v>
      </c>
      <c r="AB651" s="114">
        <v>46031</v>
      </c>
      <c r="AC651" s="23" t="s">
        <v>590</v>
      </c>
      <c r="AD651" s="15">
        <v>10</v>
      </c>
      <c r="AE651" s="16"/>
      <c r="AF651" s="17"/>
      <c r="AG651" s="17"/>
      <c r="AH651" s="85">
        <f t="shared" si="1107"/>
        <v>10</v>
      </c>
      <c r="AI651" s="15">
        <v>10</v>
      </c>
      <c r="AJ651" s="16"/>
      <c r="AK651" s="17"/>
      <c r="AL651" s="17"/>
      <c r="AM651" s="85">
        <f t="shared" si="1108"/>
        <v>10</v>
      </c>
      <c r="AN651" s="15"/>
      <c r="AO651" s="16"/>
      <c r="AP651" s="17"/>
      <c r="AQ651" s="17"/>
      <c r="AR651" s="85">
        <f t="shared" si="1109"/>
        <v>0</v>
      </c>
      <c r="AS651" s="15"/>
      <c r="AT651" s="16"/>
      <c r="AU651" s="17"/>
      <c r="AV651" s="17"/>
      <c r="AW651" s="85">
        <f t="shared" si="1110"/>
        <v>0</v>
      </c>
      <c r="AX651" s="15">
        <v>10</v>
      </c>
      <c r="AY651" s="16"/>
      <c r="AZ651" s="17"/>
      <c r="BA651" s="17"/>
      <c r="BB651" s="85">
        <f t="shared" si="1111"/>
        <v>10</v>
      </c>
      <c r="BC651" s="105">
        <f t="shared" si="1112"/>
        <v>30</v>
      </c>
      <c r="BD651" s="114">
        <v>46013</v>
      </c>
    </row>
    <row r="652" spans="1:56" x14ac:dyDescent="0.15">
      <c r="A652" s="23" t="s">
        <v>600</v>
      </c>
      <c r="B652" s="15"/>
      <c r="C652" s="16"/>
      <c r="D652" s="17">
        <v>2</v>
      </c>
      <c r="E652" s="17"/>
      <c r="F652" s="85">
        <f t="shared" si="1101"/>
        <v>2</v>
      </c>
      <c r="G652" s="15"/>
      <c r="H652" s="16"/>
      <c r="I652" s="17">
        <v>6</v>
      </c>
      <c r="J652" s="17"/>
      <c r="K652" s="85">
        <f t="shared" si="1102"/>
        <v>6</v>
      </c>
      <c r="L652" s="15"/>
      <c r="M652" s="16"/>
      <c r="N652" s="17"/>
      <c r="O652" s="17">
        <v>1</v>
      </c>
      <c r="P652" s="85">
        <f t="shared" si="1103"/>
        <v>1</v>
      </c>
      <c r="Q652" s="15"/>
      <c r="R652" s="16"/>
      <c r="S652" s="17">
        <v>5</v>
      </c>
      <c r="T652" s="17"/>
      <c r="U652" s="85">
        <f t="shared" si="1104"/>
        <v>5</v>
      </c>
      <c r="V652" s="15"/>
      <c r="W652" s="16"/>
      <c r="X652" s="17">
        <v>5</v>
      </c>
      <c r="Y652" s="17"/>
      <c r="Z652" s="85">
        <f t="shared" si="1105"/>
        <v>5</v>
      </c>
      <c r="AA652" s="105">
        <f t="shared" si="1106"/>
        <v>19</v>
      </c>
      <c r="AB652" s="114">
        <v>46041</v>
      </c>
      <c r="AC652" s="23" t="s">
        <v>592</v>
      </c>
      <c r="AD652" s="15">
        <v>3</v>
      </c>
      <c r="AE652" s="16"/>
      <c r="AF652" s="17"/>
      <c r="AG652" s="17"/>
      <c r="AH652" s="85">
        <f t="shared" si="1107"/>
        <v>3</v>
      </c>
      <c r="AI652" s="15">
        <v>3</v>
      </c>
      <c r="AJ652" s="16"/>
      <c r="AK652" s="17"/>
      <c r="AL652" s="17"/>
      <c r="AM652" s="85">
        <f t="shared" si="1108"/>
        <v>3</v>
      </c>
      <c r="AN652" s="15"/>
      <c r="AO652" s="16"/>
      <c r="AP652" s="17"/>
      <c r="AQ652" s="17"/>
      <c r="AR652" s="85">
        <f t="shared" si="1109"/>
        <v>0</v>
      </c>
      <c r="AS652" s="15"/>
      <c r="AT652" s="16"/>
      <c r="AU652" s="17"/>
      <c r="AV652" s="17"/>
      <c r="AW652" s="85">
        <f t="shared" si="1110"/>
        <v>0</v>
      </c>
      <c r="AX652" s="15">
        <v>3</v>
      </c>
      <c r="AY652" s="16"/>
      <c r="AZ652" s="17"/>
      <c r="BA652" s="17"/>
      <c r="BB652" s="85">
        <f t="shared" si="1111"/>
        <v>3</v>
      </c>
      <c r="BC652" s="105">
        <f t="shared" si="1112"/>
        <v>9</v>
      </c>
      <c r="BD652" s="114">
        <v>46013</v>
      </c>
    </row>
    <row r="653" spans="1:56" x14ac:dyDescent="0.15">
      <c r="A653" s="23" t="s">
        <v>602</v>
      </c>
      <c r="B653" s="15"/>
      <c r="C653" s="16"/>
      <c r="D653" s="17"/>
      <c r="E653" s="17"/>
      <c r="F653" s="85">
        <f t="shared" si="1101"/>
        <v>0</v>
      </c>
      <c r="G653" s="15"/>
      <c r="H653" s="16"/>
      <c r="I653" s="17"/>
      <c r="J653" s="17"/>
      <c r="K653" s="85">
        <f t="shared" si="1102"/>
        <v>0</v>
      </c>
      <c r="L653" s="15"/>
      <c r="M653" s="16"/>
      <c r="N653" s="17">
        <v>1</v>
      </c>
      <c r="O653" s="17"/>
      <c r="P653" s="85">
        <f t="shared" si="1103"/>
        <v>1</v>
      </c>
      <c r="Q653" s="15"/>
      <c r="R653" s="16"/>
      <c r="S653" s="17"/>
      <c r="T653" s="17"/>
      <c r="U653" s="85">
        <f t="shared" si="1104"/>
        <v>0</v>
      </c>
      <c r="V653" s="15"/>
      <c r="W653" s="16"/>
      <c r="X653" s="17"/>
      <c r="Y653" s="17"/>
      <c r="Z653" s="85">
        <f t="shared" si="1105"/>
        <v>0</v>
      </c>
      <c r="AA653" s="105">
        <f t="shared" si="1106"/>
        <v>1</v>
      </c>
      <c r="AB653" s="115">
        <v>46039</v>
      </c>
      <c r="AC653" s="23" t="s">
        <v>588</v>
      </c>
      <c r="AD653" s="15"/>
      <c r="AE653" s="16"/>
      <c r="AF653" s="17"/>
      <c r="AG653" s="17"/>
      <c r="AH653" s="85">
        <f t="shared" si="1107"/>
        <v>0</v>
      </c>
      <c r="AI653" s="15"/>
      <c r="AJ653" s="16"/>
      <c r="AK653" s="17"/>
      <c r="AL653" s="17"/>
      <c r="AM653" s="85">
        <f t="shared" si="1108"/>
        <v>0</v>
      </c>
      <c r="AN653" s="15"/>
      <c r="AO653" s="16">
        <v>2</v>
      </c>
      <c r="AP653" s="17">
        <v>2</v>
      </c>
      <c r="AQ653" s="17"/>
      <c r="AR653" s="85">
        <f t="shared" si="1109"/>
        <v>4</v>
      </c>
      <c r="AS653" s="15"/>
      <c r="AT653" s="16">
        <v>2</v>
      </c>
      <c r="AU653" s="17">
        <v>2</v>
      </c>
      <c r="AV653" s="17"/>
      <c r="AW653" s="85">
        <f t="shared" si="1110"/>
        <v>4</v>
      </c>
      <c r="AX653" s="15"/>
      <c r="AY653" s="16">
        <v>2</v>
      </c>
      <c r="AZ653" s="17">
        <v>2</v>
      </c>
      <c r="BA653" s="17"/>
      <c r="BB653" s="85">
        <f t="shared" si="1111"/>
        <v>4</v>
      </c>
      <c r="BC653" s="105">
        <f t="shared" si="1112"/>
        <v>12</v>
      </c>
      <c r="BD653" s="114">
        <v>46013</v>
      </c>
    </row>
    <row r="654" spans="1:56" x14ac:dyDescent="0.15">
      <c r="A654" s="23" t="s">
        <v>43</v>
      </c>
      <c r="B654" s="15"/>
      <c r="C654" s="16"/>
      <c r="D654" s="17"/>
      <c r="E654" s="17"/>
      <c r="F654" s="85">
        <f t="shared" si="1101"/>
        <v>0</v>
      </c>
      <c r="G654" s="15"/>
      <c r="H654" s="16">
        <v>2</v>
      </c>
      <c r="I654" s="17"/>
      <c r="J654" s="17"/>
      <c r="K654" s="85">
        <f t="shared" si="1102"/>
        <v>2</v>
      </c>
      <c r="L654" s="15"/>
      <c r="M654" s="16"/>
      <c r="N654" s="17"/>
      <c r="O654" s="17"/>
      <c r="P654" s="85">
        <f t="shared" si="1103"/>
        <v>0</v>
      </c>
      <c r="Q654" s="15"/>
      <c r="R654" s="16"/>
      <c r="S654" s="17"/>
      <c r="T654" s="17"/>
      <c r="U654" s="85">
        <f t="shared" si="1104"/>
        <v>0</v>
      </c>
      <c r="V654" s="15"/>
      <c r="W654" s="16">
        <v>2</v>
      </c>
      <c r="X654" s="17"/>
      <c r="Y654" s="17"/>
      <c r="Z654" s="85">
        <f t="shared" si="1105"/>
        <v>2</v>
      </c>
      <c r="AA654" s="105">
        <f t="shared" si="1106"/>
        <v>4</v>
      </c>
      <c r="AB654" s="115">
        <v>46043</v>
      </c>
      <c r="AC654" s="23" t="s">
        <v>594</v>
      </c>
      <c r="AD654" s="15"/>
      <c r="AE654" s="16"/>
      <c r="AF654" s="17"/>
      <c r="AG654" s="17"/>
      <c r="AH654" s="85">
        <f t="shared" si="1107"/>
        <v>0</v>
      </c>
      <c r="AI654" s="15"/>
      <c r="AJ654" s="16"/>
      <c r="AK654" s="17"/>
      <c r="AL654" s="17"/>
      <c r="AM654" s="85">
        <f t="shared" si="1108"/>
        <v>0</v>
      </c>
      <c r="AN654" s="15">
        <v>7</v>
      </c>
      <c r="AO654" s="16"/>
      <c r="AP654" s="17"/>
      <c r="AQ654" s="17"/>
      <c r="AR654" s="85">
        <f t="shared" si="1109"/>
        <v>7</v>
      </c>
      <c r="AS654" s="15">
        <v>7</v>
      </c>
      <c r="AT654" s="16"/>
      <c r="AU654" s="17"/>
      <c r="AV654" s="17"/>
      <c r="AW654" s="85">
        <f t="shared" si="1110"/>
        <v>7</v>
      </c>
      <c r="AX654" s="15">
        <v>7</v>
      </c>
      <c r="AY654" s="16"/>
      <c r="AZ654" s="17"/>
      <c r="BA654" s="17"/>
      <c r="BB654" s="85">
        <f t="shared" si="1111"/>
        <v>7</v>
      </c>
      <c r="BC654" s="105">
        <f t="shared" si="1112"/>
        <v>21</v>
      </c>
      <c r="BD654" s="114">
        <v>45664</v>
      </c>
    </row>
    <row r="655" spans="1:56" x14ac:dyDescent="0.15">
      <c r="A655" s="23" t="s">
        <v>608</v>
      </c>
      <c r="B655" s="15"/>
      <c r="C655" s="16"/>
      <c r="D655" s="17"/>
      <c r="E655" s="17"/>
      <c r="F655" s="85">
        <f t="shared" si="1101"/>
        <v>0</v>
      </c>
      <c r="G655" s="15"/>
      <c r="H655" s="16">
        <v>1</v>
      </c>
      <c r="I655" s="17"/>
      <c r="J655" s="17">
        <v>1</v>
      </c>
      <c r="K655" s="85">
        <f t="shared" si="1102"/>
        <v>2</v>
      </c>
      <c r="L655" s="15">
        <v>1</v>
      </c>
      <c r="M655" s="16"/>
      <c r="N655" s="17"/>
      <c r="O655" s="17"/>
      <c r="P655" s="85">
        <f t="shared" si="1103"/>
        <v>1</v>
      </c>
      <c r="Q655" s="15"/>
      <c r="R655" s="16">
        <v>1</v>
      </c>
      <c r="S655" s="17"/>
      <c r="T655" s="17"/>
      <c r="U655" s="85">
        <f t="shared" si="1104"/>
        <v>1</v>
      </c>
      <c r="V655" s="15">
        <v>1</v>
      </c>
      <c r="W655" s="16"/>
      <c r="X655" s="17">
        <v>2</v>
      </c>
      <c r="Y655" s="17"/>
      <c r="Z655" s="85">
        <f t="shared" si="1105"/>
        <v>3</v>
      </c>
      <c r="AA655" s="105">
        <f t="shared" si="1106"/>
        <v>7</v>
      </c>
      <c r="AB655" s="114">
        <v>46052</v>
      </c>
      <c r="AC655" s="23" t="s">
        <v>595</v>
      </c>
      <c r="AD655" s="15"/>
      <c r="AE655" s="16">
        <v>10</v>
      </c>
      <c r="AF655" s="17"/>
      <c r="AG655" s="17"/>
      <c r="AH655" s="85">
        <f t="shared" si="1107"/>
        <v>10</v>
      </c>
      <c r="AI655" s="15"/>
      <c r="AJ655" s="16">
        <v>10</v>
      </c>
      <c r="AK655" s="17"/>
      <c r="AL655" s="17"/>
      <c r="AM655" s="85">
        <f t="shared" si="1108"/>
        <v>10</v>
      </c>
      <c r="AN655" s="15"/>
      <c r="AO655" s="16"/>
      <c r="AP655" s="17"/>
      <c r="AQ655" s="17"/>
      <c r="AR655" s="85">
        <f t="shared" si="1109"/>
        <v>0</v>
      </c>
      <c r="AS655" s="15"/>
      <c r="AT655" s="16"/>
      <c r="AU655" s="17"/>
      <c r="AV655" s="17"/>
      <c r="AW655" s="85">
        <f t="shared" si="1110"/>
        <v>0</v>
      </c>
      <c r="AX655" s="15"/>
      <c r="AY655" s="16">
        <v>10</v>
      </c>
      <c r="AZ655" s="17"/>
      <c r="BA655" s="17"/>
      <c r="BB655" s="85">
        <f t="shared" si="1111"/>
        <v>10</v>
      </c>
      <c r="BC655" s="105">
        <f t="shared" si="1112"/>
        <v>30</v>
      </c>
      <c r="BD655" s="114">
        <v>46029</v>
      </c>
    </row>
    <row r="656" spans="1:56" x14ac:dyDescent="0.15">
      <c r="A656" s="23" t="s">
        <v>43</v>
      </c>
      <c r="B656" s="15"/>
      <c r="C656" s="16"/>
      <c r="D656" s="17"/>
      <c r="E656" s="17"/>
      <c r="F656" s="85">
        <f t="shared" si="1101"/>
        <v>0</v>
      </c>
      <c r="G656" s="15"/>
      <c r="H656" s="16"/>
      <c r="I656" s="17">
        <v>1</v>
      </c>
      <c r="J656" s="17"/>
      <c r="K656" s="85">
        <f t="shared" si="1102"/>
        <v>1</v>
      </c>
      <c r="L656" s="15"/>
      <c r="M656" s="16"/>
      <c r="N656" s="17"/>
      <c r="O656" s="17"/>
      <c r="P656" s="85">
        <f t="shared" si="1103"/>
        <v>0</v>
      </c>
      <c r="Q656" s="15"/>
      <c r="R656" s="16"/>
      <c r="S656" s="17"/>
      <c r="T656" s="17"/>
      <c r="U656" s="85">
        <f t="shared" si="1104"/>
        <v>0</v>
      </c>
      <c r="V656" s="15"/>
      <c r="W656" s="16"/>
      <c r="X656" s="17"/>
      <c r="Y656" s="17"/>
      <c r="Z656" s="85">
        <f t="shared" si="1105"/>
        <v>0</v>
      </c>
      <c r="AA656" s="105">
        <f t="shared" si="1106"/>
        <v>1</v>
      </c>
      <c r="AB656" s="115">
        <v>46053</v>
      </c>
      <c r="AC656" s="23" t="s">
        <v>596</v>
      </c>
      <c r="AD656" s="15"/>
      <c r="AE656" s="16"/>
      <c r="AF656" s="17"/>
      <c r="AG656" s="17"/>
      <c r="AH656" s="85">
        <f t="shared" si="1107"/>
        <v>0</v>
      </c>
      <c r="AI656" s="15"/>
      <c r="AJ656" s="16"/>
      <c r="AK656" s="17"/>
      <c r="AL656" s="17"/>
      <c r="AM656" s="85">
        <f t="shared" si="1108"/>
        <v>0</v>
      </c>
      <c r="AN656" s="15"/>
      <c r="AO656" s="16"/>
      <c r="AP656" s="17">
        <v>10</v>
      </c>
      <c r="AQ656" s="17"/>
      <c r="AR656" s="85">
        <f t="shared" si="1109"/>
        <v>10</v>
      </c>
      <c r="AS656" s="15"/>
      <c r="AT656" s="16"/>
      <c r="AU656" s="17">
        <v>10</v>
      </c>
      <c r="AV656" s="17"/>
      <c r="AW656" s="85">
        <f t="shared" si="1110"/>
        <v>10</v>
      </c>
      <c r="AX656" s="15"/>
      <c r="AY656" s="16"/>
      <c r="AZ656" s="17">
        <v>10</v>
      </c>
      <c r="BA656" s="17"/>
      <c r="BB656" s="85">
        <f t="shared" si="1111"/>
        <v>10</v>
      </c>
      <c r="BC656" s="105">
        <f t="shared" si="1112"/>
        <v>30</v>
      </c>
      <c r="BD656" s="114">
        <v>46029</v>
      </c>
    </row>
    <row r="657" spans="1:57" x14ac:dyDescent="0.15">
      <c r="A657" s="23" t="s">
        <v>611</v>
      </c>
      <c r="B657" s="15"/>
      <c r="C657" s="16"/>
      <c r="D657" s="17">
        <v>2</v>
      </c>
      <c r="E657" s="17"/>
      <c r="F657" s="85">
        <f t="shared" si="1101"/>
        <v>2</v>
      </c>
      <c r="G657" s="15">
        <v>2</v>
      </c>
      <c r="H657" s="16"/>
      <c r="I657" s="17"/>
      <c r="J657" s="17"/>
      <c r="K657" s="85">
        <f t="shared" si="1102"/>
        <v>2</v>
      </c>
      <c r="L657" s="15"/>
      <c r="M657" s="16"/>
      <c r="N657" s="17"/>
      <c r="O657" s="17"/>
      <c r="P657" s="85">
        <f t="shared" si="1103"/>
        <v>0</v>
      </c>
      <c r="Q657" s="15">
        <v>5</v>
      </c>
      <c r="R657" s="16">
        <v>2</v>
      </c>
      <c r="S657" s="17"/>
      <c r="T657" s="17"/>
      <c r="U657" s="85">
        <f t="shared" si="1104"/>
        <v>7</v>
      </c>
      <c r="V657" s="15"/>
      <c r="W657" s="16">
        <v>4</v>
      </c>
      <c r="X657" s="17"/>
      <c r="Y657" s="17"/>
      <c r="Z657" s="85">
        <f t="shared" si="1105"/>
        <v>4</v>
      </c>
      <c r="AA657" s="105">
        <f t="shared" si="1106"/>
        <v>15</v>
      </c>
      <c r="AB657" s="114">
        <v>46059</v>
      </c>
      <c r="AC657" s="245" t="s">
        <v>598</v>
      </c>
      <c r="AD657" s="234"/>
      <c r="AE657" s="235"/>
      <c r="AF657" s="236"/>
      <c r="AG657" s="236"/>
      <c r="AH657" s="237">
        <f t="shared" si="1107"/>
        <v>0</v>
      </c>
      <c r="AI657" s="234">
        <v>3</v>
      </c>
      <c r="AJ657" s="235">
        <v>5</v>
      </c>
      <c r="AK657" s="236"/>
      <c r="AL657" s="236"/>
      <c r="AM657" s="237">
        <f t="shared" si="1108"/>
        <v>8</v>
      </c>
      <c r="AN657" s="234"/>
      <c r="AO657" s="235">
        <v>10</v>
      </c>
      <c r="AP657" s="236"/>
      <c r="AQ657" s="236"/>
      <c r="AR657" s="237">
        <f t="shared" si="1109"/>
        <v>10</v>
      </c>
      <c r="AS657" s="234">
        <v>3</v>
      </c>
      <c r="AT657" s="235"/>
      <c r="AU657" s="236"/>
      <c r="AV657" s="236"/>
      <c r="AW657" s="237">
        <f t="shared" si="1110"/>
        <v>3</v>
      </c>
      <c r="AX657" s="234"/>
      <c r="AY657" s="235">
        <v>5</v>
      </c>
      <c r="AZ657" s="236"/>
      <c r="BA657" s="236"/>
      <c r="BB657" s="237">
        <f t="shared" si="1111"/>
        <v>5</v>
      </c>
      <c r="BC657" s="239">
        <f t="shared" si="1112"/>
        <v>26</v>
      </c>
      <c r="BD657" s="240">
        <v>46029</v>
      </c>
    </row>
    <row r="658" spans="1:57" x14ac:dyDescent="0.15">
      <c r="A658" s="23" t="s">
        <v>61</v>
      </c>
      <c r="B658" s="15"/>
      <c r="C658" s="16"/>
      <c r="D658" s="17"/>
      <c r="E658" s="17"/>
      <c r="F658" s="85">
        <f t="shared" si="1101"/>
        <v>0</v>
      </c>
      <c r="G658" s="15"/>
      <c r="H658" s="16">
        <v>-5</v>
      </c>
      <c r="I658" s="17"/>
      <c r="J658" s="17"/>
      <c r="K658" s="85">
        <f t="shared" si="1102"/>
        <v>-5</v>
      </c>
      <c r="L658" s="15"/>
      <c r="M658" s="16"/>
      <c r="N658" s="17"/>
      <c r="O658" s="17"/>
      <c r="P658" s="85">
        <f t="shared" si="1103"/>
        <v>0</v>
      </c>
      <c r="Q658" s="15"/>
      <c r="R658" s="16"/>
      <c r="S658" s="17"/>
      <c r="T658" s="17"/>
      <c r="U658" s="85">
        <f t="shared" si="1104"/>
        <v>0</v>
      </c>
      <c r="V658" s="15"/>
      <c r="W658" s="16"/>
      <c r="X658" s="17"/>
      <c r="Y658" s="17"/>
      <c r="Z658" s="85">
        <f t="shared" si="1105"/>
        <v>0</v>
      </c>
      <c r="AA658" s="105">
        <f t="shared" si="1106"/>
        <v>-5</v>
      </c>
      <c r="AB658" s="114">
        <v>46059</v>
      </c>
      <c r="AC658" s="23" t="s">
        <v>599</v>
      </c>
      <c r="AD658" s="15"/>
      <c r="AE658" s="16"/>
      <c r="AF658" s="17"/>
      <c r="AG658" s="17"/>
      <c r="AH658" s="85">
        <f t="shared" si="1107"/>
        <v>0</v>
      </c>
      <c r="AI658" s="15"/>
      <c r="AJ658" s="16"/>
      <c r="AK658" s="17"/>
      <c r="AL658" s="17"/>
      <c r="AM658" s="85">
        <f t="shared" si="1108"/>
        <v>0</v>
      </c>
      <c r="AN658" s="15"/>
      <c r="AO658" s="16"/>
      <c r="AP658" s="17"/>
      <c r="AQ658" s="17">
        <v>5</v>
      </c>
      <c r="AR658" s="85">
        <f t="shared" si="1109"/>
        <v>5</v>
      </c>
      <c r="AS658" s="15"/>
      <c r="AT658" s="16"/>
      <c r="AU658" s="17"/>
      <c r="AV658" s="17">
        <v>5</v>
      </c>
      <c r="AW658" s="85">
        <f t="shared" si="1110"/>
        <v>5</v>
      </c>
      <c r="AX658" s="15"/>
      <c r="AY658" s="16"/>
      <c r="AZ658" s="17"/>
      <c r="BA658" s="17">
        <v>5</v>
      </c>
      <c r="BB658" s="85">
        <f t="shared" si="1111"/>
        <v>5</v>
      </c>
      <c r="BC658" s="105">
        <f t="shared" si="1112"/>
        <v>15</v>
      </c>
      <c r="BD658" s="114">
        <v>46035</v>
      </c>
    </row>
    <row r="659" spans="1:57" x14ac:dyDescent="0.15">
      <c r="A659" s="23" t="s">
        <v>43</v>
      </c>
      <c r="B659" s="15"/>
      <c r="C659" s="16"/>
      <c r="D659" s="17"/>
      <c r="E659" s="17"/>
      <c r="F659" s="85">
        <f t="shared" si="1101"/>
        <v>0</v>
      </c>
      <c r="G659" s="15"/>
      <c r="H659" s="16">
        <v>3</v>
      </c>
      <c r="I659" s="17"/>
      <c r="J659" s="17"/>
      <c r="K659" s="85">
        <f t="shared" si="1102"/>
        <v>3</v>
      </c>
      <c r="L659" s="15"/>
      <c r="M659" s="16"/>
      <c r="N659" s="17">
        <v>1</v>
      </c>
      <c r="O659" s="17"/>
      <c r="P659" s="85">
        <f t="shared" si="1103"/>
        <v>1</v>
      </c>
      <c r="Q659" s="15"/>
      <c r="R659" s="16"/>
      <c r="S659" s="17"/>
      <c r="T659" s="17"/>
      <c r="U659" s="85">
        <f t="shared" si="1104"/>
        <v>0</v>
      </c>
      <c r="V659" s="15"/>
      <c r="W659" s="16">
        <v>3</v>
      </c>
      <c r="X659" s="17"/>
      <c r="Y659" s="17"/>
      <c r="Z659" s="85">
        <f t="shared" si="1105"/>
        <v>3</v>
      </c>
      <c r="AA659" s="105">
        <f t="shared" si="1106"/>
        <v>7</v>
      </c>
      <c r="AB659" s="114">
        <v>46059</v>
      </c>
      <c r="AC659" s="245" t="s">
        <v>598</v>
      </c>
      <c r="AD659" s="234"/>
      <c r="AE659" s="235"/>
      <c r="AF659" s="236">
        <v>5</v>
      </c>
      <c r="AG659" s="236"/>
      <c r="AH659" s="237">
        <f t="shared" si="1107"/>
        <v>5</v>
      </c>
      <c r="AI659" s="234"/>
      <c r="AJ659" s="235"/>
      <c r="AK659" s="236">
        <v>5</v>
      </c>
      <c r="AL659" s="236"/>
      <c r="AM659" s="237">
        <f t="shared" si="1108"/>
        <v>5</v>
      </c>
      <c r="AN659" s="234"/>
      <c r="AO659" s="235"/>
      <c r="AP659" s="236"/>
      <c r="AQ659" s="236"/>
      <c r="AR659" s="237">
        <f t="shared" si="1109"/>
        <v>0</v>
      </c>
      <c r="AS659" s="234"/>
      <c r="AT659" s="235"/>
      <c r="AU659" s="236">
        <v>5</v>
      </c>
      <c r="AV659" s="236"/>
      <c r="AW659" s="237">
        <f t="shared" si="1110"/>
        <v>5</v>
      </c>
      <c r="AX659" s="234"/>
      <c r="AY659" s="235"/>
      <c r="AZ659" s="236">
        <v>5</v>
      </c>
      <c r="BA659" s="236"/>
      <c r="BB659" s="237">
        <f t="shared" si="1111"/>
        <v>5</v>
      </c>
      <c r="BC659" s="239">
        <f t="shared" si="1112"/>
        <v>20</v>
      </c>
      <c r="BD659" s="240">
        <v>46037</v>
      </c>
    </row>
    <row r="660" spans="1:57" x14ac:dyDescent="0.15">
      <c r="A660" s="23" t="s">
        <v>43</v>
      </c>
      <c r="B660" s="18">
        <v>1</v>
      </c>
      <c r="C660" s="19"/>
      <c r="D660" s="20"/>
      <c r="E660" s="20"/>
      <c r="F660" s="85">
        <f t="shared" si="1101"/>
        <v>1</v>
      </c>
      <c r="G660" s="18">
        <v>1</v>
      </c>
      <c r="H660" s="19"/>
      <c r="I660" s="20"/>
      <c r="J660" s="20"/>
      <c r="K660" s="85">
        <f t="shared" si="1102"/>
        <v>1</v>
      </c>
      <c r="L660" s="18"/>
      <c r="M660" s="19"/>
      <c r="N660" s="20"/>
      <c r="O660" s="20"/>
      <c r="P660" s="85">
        <f t="shared" si="1103"/>
        <v>0</v>
      </c>
      <c r="Q660" s="18"/>
      <c r="R660" s="19"/>
      <c r="S660" s="20"/>
      <c r="T660" s="20"/>
      <c r="U660" s="85">
        <f t="shared" si="1104"/>
        <v>0</v>
      </c>
      <c r="V660" s="18">
        <v>1</v>
      </c>
      <c r="W660" s="19"/>
      <c r="X660" s="20"/>
      <c r="Y660" s="20"/>
      <c r="Z660" s="85">
        <f t="shared" si="1105"/>
        <v>1</v>
      </c>
      <c r="AA660" s="105">
        <f t="shared" si="1106"/>
        <v>3</v>
      </c>
      <c r="AB660" s="115">
        <v>46062</v>
      </c>
      <c r="AC660" s="23" t="s">
        <v>601</v>
      </c>
      <c r="AD660" s="18"/>
      <c r="AE660" s="19"/>
      <c r="AF660" s="20"/>
      <c r="AG660" s="20"/>
      <c r="AH660" s="85">
        <f t="shared" si="1107"/>
        <v>0</v>
      </c>
      <c r="AI660" s="18"/>
      <c r="AJ660" s="19"/>
      <c r="AK660" s="20"/>
      <c r="AL660" s="20"/>
      <c r="AM660" s="85">
        <f t="shared" si="1108"/>
        <v>0</v>
      </c>
      <c r="AN660" s="18"/>
      <c r="AO660" s="19">
        <v>7</v>
      </c>
      <c r="AP660" s="20"/>
      <c r="AQ660" s="20"/>
      <c r="AR660" s="85">
        <f t="shared" si="1109"/>
        <v>7</v>
      </c>
      <c r="AS660" s="18"/>
      <c r="AT660" s="19">
        <v>7</v>
      </c>
      <c r="AU660" s="20"/>
      <c r="AV660" s="20"/>
      <c r="AW660" s="85">
        <f t="shared" si="1110"/>
        <v>7</v>
      </c>
      <c r="AX660" s="18"/>
      <c r="AY660" s="19">
        <v>7</v>
      </c>
      <c r="AZ660" s="20"/>
      <c r="BA660" s="20"/>
      <c r="BB660" s="85">
        <f t="shared" si="1111"/>
        <v>7</v>
      </c>
      <c r="BC660" s="105">
        <f t="shared" si="1112"/>
        <v>21</v>
      </c>
      <c r="BD660" s="114">
        <v>46043</v>
      </c>
    </row>
    <row r="661" spans="1:57" x14ac:dyDescent="0.15">
      <c r="A661" s="23" t="s">
        <v>612</v>
      </c>
      <c r="B661" s="15"/>
      <c r="C661" s="16"/>
      <c r="D661" s="17"/>
      <c r="E661" s="17">
        <v>4</v>
      </c>
      <c r="F661" s="85">
        <f t="shared" si="1101"/>
        <v>4</v>
      </c>
      <c r="G661" s="15"/>
      <c r="H661" s="16"/>
      <c r="I661" s="17"/>
      <c r="J661" s="17"/>
      <c r="K661" s="85">
        <f t="shared" si="1102"/>
        <v>0</v>
      </c>
      <c r="L661" s="15">
        <v>1</v>
      </c>
      <c r="M661" s="16"/>
      <c r="N661" s="17">
        <v>9</v>
      </c>
      <c r="O661" s="17"/>
      <c r="P661" s="85">
        <f t="shared" si="1103"/>
        <v>10</v>
      </c>
      <c r="Q661" s="15"/>
      <c r="R661" s="16"/>
      <c r="S661" s="17"/>
      <c r="T661" s="17"/>
      <c r="U661" s="85">
        <f t="shared" si="1104"/>
        <v>0</v>
      </c>
      <c r="V661" s="15"/>
      <c r="W661" s="16"/>
      <c r="X661" s="17">
        <v>7</v>
      </c>
      <c r="Y661" s="17"/>
      <c r="Z661" s="85">
        <f t="shared" si="1105"/>
        <v>7</v>
      </c>
      <c r="AA661" s="105">
        <f t="shared" si="1106"/>
        <v>21</v>
      </c>
      <c r="AB661" s="114">
        <v>46066</v>
      </c>
      <c r="AC661" s="23" t="s">
        <v>603</v>
      </c>
      <c r="AD661" s="15"/>
      <c r="AE661" s="16">
        <v>5</v>
      </c>
      <c r="AF661" s="17"/>
      <c r="AG661" s="17">
        <v>3</v>
      </c>
      <c r="AH661" s="85">
        <f t="shared" si="1107"/>
        <v>8</v>
      </c>
      <c r="AI661" s="15"/>
      <c r="AJ661" s="16">
        <v>5</v>
      </c>
      <c r="AK661" s="17"/>
      <c r="AL661" s="17">
        <v>3</v>
      </c>
      <c r="AM661" s="85">
        <f t="shared" si="1108"/>
        <v>8</v>
      </c>
      <c r="AN661" s="15"/>
      <c r="AO661" s="16"/>
      <c r="AP661" s="17"/>
      <c r="AQ661" s="17"/>
      <c r="AR661" s="85">
        <f t="shared" si="1109"/>
        <v>0</v>
      </c>
      <c r="AS661" s="15"/>
      <c r="AT661" s="16"/>
      <c r="AU661" s="17"/>
      <c r="AV661" s="17"/>
      <c r="AW661" s="85">
        <f t="shared" si="1110"/>
        <v>0</v>
      </c>
      <c r="AX661" s="15"/>
      <c r="AY661" s="16">
        <v>5</v>
      </c>
      <c r="AZ661" s="17"/>
      <c r="BA661" s="17">
        <v>3</v>
      </c>
      <c r="BB661" s="85">
        <f t="shared" si="1111"/>
        <v>8</v>
      </c>
      <c r="BC661" s="105">
        <f t="shared" si="1112"/>
        <v>24</v>
      </c>
      <c r="BD661" s="114">
        <v>46045</v>
      </c>
    </row>
    <row r="662" spans="1:57" x14ac:dyDescent="0.15">
      <c r="A662" s="241" t="s">
        <v>613</v>
      </c>
      <c r="B662" s="234">
        <v>-3</v>
      </c>
      <c r="C662" s="235"/>
      <c r="D662" s="236"/>
      <c r="E662" s="236">
        <v>-5</v>
      </c>
      <c r="F662" s="237">
        <f t="shared" si="1101"/>
        <v>-8</v>
      </c>
      <c r="G662" s="234">
        <v>-3</v>
      </c>
      <c r="H662" s="235"/>
      <c r="I662" s="236"/>
      <c r="J662" s="236"/>
      <c r="K662" s="237">
        <f t="shared" si="1102"/>
        <v>-3</v>
      </c>
      <c r="L662" s="234">
        <v>-3</v>
      </c>
      <c r="M662" s="235"/>
      <c r="N662" s="236">
        <v>-10</v>
      </c>
      <c r="O662" s="236"/>
      <c r="P662" s="237">
        <f t="shared" si="1103"/>
        <v>-13</v>
      </c>
      <c r="Q662" s="234"/>
      <c r="R662" s="235"/>
      <c r="S662" s="236"/>
      <c r="T662" s="236"/>
      <c r="U662" s="237">
        <f t="shared" si="1104"/>
        <v>0</v>
      </c>
      <c r="V662" s="234"/>
      <c r="W662" s="235">
        <v>-5</v>
      </c>
      <c r="X662" s="236">
        <v>-10</v>
      </c>
      <c r="Y662" s="236"/>
      <c r="Z662" s="237">
        <f t="shared" si="1105"/>
        <v>-15</v>
      </c>
      <c r="AA662" s="239">
        <f t="shared" si="1106"/>
        <v>-39</v>
      </c>
      <c r="AB662" s="240">
        <v>46065</v>
      </c>
      <c r="AC662" s="23" t="s">
        <v>604</v>
      </c>
      <c r="AD662" s="15"/>
      <c r="AE662" s="16"/>
      <c r="AF662" s="17"/>
      <c r="AG662" s="17"/>
      <c r="AH662" s="85">
        <f t="shared" si="1107"/>
        <v>0</v>
      </c>
      <c r="AI662" s="15"/>
      <c r="AJ662" s="16"/>
      <c r="AK662" s="17"/>
      <c r="AL662" s="17"/>
      <c r="AM662" s="85">
        <f t="shared" si="1108"/>
        <v>0</v>
      </c>
      <c r="AN662" s="15">
        <v>9</v>
      </c>
      <c r="AO662" s="16"/>
      <c r="AP662" s="17"/>
      <c r="AQ662" s="17"/>
      <c r="AR662" s="85">
        <f t="shared" si="1109"/>
        <v>9</v>
      </c>
      <c r="AS662" s="15">
        <v>9</v>
      </c>
      <c r="AT662" s="16"/>
      <c r="AU662" s="17"/>
      <c r="AV662" s="17"/>
      <c r="AW662" s="85">
        <f t="shared" si="1110"/>
        <v>9</v>
      </c>
      <c r="AX662" s="15">
        <v>9</v>
      </c>
      <c r="AY662" s="16"/>
      <c r="AZ662" s="17"/>
      <c r="BA662" s="17"/>
      <c r="BB662" s="85">
        <f t="shared" si="1111"/>
        <v>9</v>
      </c>
      <c r="BC662" s="105">
        <f t="shared" si="1112"/>
        <v>27</v>
      </c>
      <c r="BD662" s="114">
        <v>46045</v>
      </c>
    </row>
    <row r="663" spans="1:57" x14ac:dyDescent="0.15">
      <c r="A663" s="54" t="s">
        <v>61</v>
      </c>
      <c r="B663" s="15"/>
      <c r="C663" s="16"/>
      <c r="D663" s="17"/>
      <c r="E663" s="17"/>
      <c r="F663" s="85">
        <f t="shared" si="1101"/>
        <v>0</v>
      </c>
      <c r="G663" s="15">
        <v>-3</v>
      </c>
      <c r="H663" s="16"/>
      <c r="I663" s="17"/>
      <c r="J663" s="17"/>
      <c r="K663" s="85">
        <f t="shared" si="1102"/>
        <v>-3</v>
      </c>
      <c r="L663" s="15"/>
      <c r="M663" s="16"/>
      <c r="N663" s="17"/>
      <c r="O663" s="17"/>
      <c r="P663" s="85">
        <f t="shared" si="1103"/>
        <v>0</v>
      </c>
      <c r="Q663" s="15"/>
      <c r="R663" s="16"/>
      <c r="S663" s="17"/>
      <c r="T663" s="17"/>
      <c r="U663" s="85">
        <f t="shared" si="1104"/>
        <v>0</v>
      </c>
      <c r="V663" s="15"/>
      <c r="W663" s="16">
        <v>-3</v>
      </c>
      <c r="X663" s="17"/>
      <c r="Y663" s="17"/>
      <c r="Z663" s="85">
        <f t="shared" si="1105"/>
        <v>-3</v>
      </c>
      <c r="AA663" s="105">
        <f t="shared" si="1106"/>
        <v>-6</v>
      </c>
      <c r="AB663" s="114">
        <v>46063</v>
      </c>
      <c r="AC663" s="23" t="s">
        <v>605</v>
      </c>
      <c r="AD663" s="15">
        <v>5</v>
      </c>
      <c r="AE663" s="16"/>
      <c r="AF663" s="17"/>
      <c r="AG663" s="17"/>
      <c r="AH663" s="85">
        <f t="shared" si="1107"/>
        <v>5</v>
      </c>
      <c r="AI663" s="15">
        <v>5</v>
      </c>
      <c r="AJ663" s="16"/>
      <c r="AK663" s="17"/>
      <c r="AL663" s="17"/>
      <c r="AM663" s="85">
        <f t="shared" si="1108"/>
        <v>5</v>
      </c>
      <c r="AN663" s="15"/>
      <c r="AO663" s="16"/>
      <c r="AP663" s="17"/>
      <c r="AQ663" s="17"/>
      <c r="AR663" s="85">
        <f t="shared" si="1109"/>
        <v>0</v>
      </c>
      <c r="AS663" s="15"/>
      <c r="AT663" s="16"/>
      <c r="AU663" s="17"/>
      <c r="AV663" s="17"/>
      <c r="AW663" s="85">
        <f t="shared" si="1110"/>
        <v>0</v>
      </c>
      <c r="AX663" s="15">
        <v>5</v>
      </c>
      <c r="AY663" s="16"/>
      <c r="AZ663" s="17"/>
      <c r="BA663" s="17"/>
      <c r="BB663" s="85">
        <f t="shared" si="1111"/>
        <v>5</v>
      </c>
      <c r="BC663" s="105">
        <f t="shared" si="1112"/>
        <v>15</v>
      </c>
      <c r="BD663" s="114">
        <v>46049</v>
      </c>
    </row>
    <row r="664" spans="1:57" x14ac:dyDescent="0.15">
      <c r="A664" s="23" t="s">
        <v>617</v>
      </c>
      <c r="B664" s="15"/>
      <c r="C664" s="16"/>
      <c r="D664" s="17"/>
      <c r="E664" s="17"/>
      <c r="F664" s="85">
        <f t="shared" si="1101"/>
        <v>0</v>
      </c>
      <c r="G664" s="15"/>
      <c r="H664" s="16"/>
      <c r="I664" s="17"/>
      <c r="J664" s="17"/>
      <c r="K664" s="85">
        <f t="shared" si="1102"/>
        <v>0</v>
      </c>
      <c r="L664" s="15"/>
      <c r="M664" s="16"/>
      <c r="N664" s="17"/>
      <c r="O664" s="17"/>
      <c r="P664" s="85">
        <f t="shared" si="1103"/>
        <v>0</v>
      </c>
      <c r="Q664" s="15"/>
      <c r="R664" s="16">
        <v>4</v>
      </c>
      <c r="S664" s="17"/>
      <c r="T664" s="17"/>
      <c r="U664" s="85">
        <f t="shared" si="1104"/>
        <v>4</v>
      </c>
      <c r="V664" s="15">
        <v>1</v>
      </c>
      <c r="W664" s="16"/>
      <c r="X664" s="17"/>
      <c r="Y664" s="17"/>
      <c r="Z664" s="85">
        <f t="shared" si="1105"/>
        <v>1</v>
      </c>
      <c r="AA664" s="105">
        <f t="shared" si="1106"/>
        <v>5</v>
      </c>
      <c r="AB664" s="114">
        <v>46073</v>
      </c>
      <c r="AC664" s="23" t="s">
        <v>606</v>
      </c>
      <c r="AD664" s="15"/>
      <c r="AE664" s="16"/>
      <c r="AF664" s="17"/>
      <c r="AG664" s="17"/>
      <c r="AH664" s="85">
        <f t="shared" si="1107"/>
        <v>0</v>
      </c>
      <c r="AI664" s="15"/>
      <c r="AJ664" s="16"/>
      <c r="AK664" s="17"/>
      <c r="AL664" s="17"/>
      <c r="AM664" s="85">
        <f t="shared" si="1108"/>
        <v>0</v>
      </c>
      <c r="AN664" s="15"/>
      <c r="AO664" s="16"/>
      <c r="AP664" s="17">
        <v>7</v>
      </c>
      <c r="AQ664" s="17"/>
      <c r="AR664" s="85">
        <f t="shared" si="1109"/>
        <v>7</v>
      </c>
      <c r="AS664" s="15"/>
      <c r="AT664" s="16"/>
      <c r="AU664" s="17">
        <v>7</v>
      </c>
      <c r="AV664" s="17"/>
      <c r="AW664" s="85">
        <f t="shared" si="1110"/>
        <v>7</v>
      </c>
      <c r="AX664" s="15"/>
      <c r="AY664" s="16"/>
      <c r="AZ664" s="17">
        <v>7</v>
      </c>
      <c r="BA664" s="17"/>
      <c r="BB664" s="85">
        <f t="shared" si="1111"/>
        <v>7</v>
      </c>
      <c r="BC664" s="105">
        <f t="shared" si="1112"/>
        <v>21</v>
      </c>
      <c r="BD664" s="114">
        <v>46049</v>
      </c>
    </row>
    <row r="665" spans="1:57" x14ac:dyDescent="0.15">
      <c r="A665" s="24"/>
      <c r="B665" s="15"/>
      <c r="C665" s="16"/>
      <c r="D665" s="17"/>
      <c r="E665" s="17"/>
      <c r="F665" s="85">
        <f t="shared" si="1101"/>
        <v>0</v>
      </c>
      <c r="G665" s="15"/>
      <c r="H665" s="16"/>
      <c r="I665" s="17"/>
      <c r="J665" s="17"/>
      <c r="K665" s="85">
        <f t="shared" si="1102"/>
        <v>0</v>
      </c>
      <c r="L665" s="15"/>
      <c r="M665" s="16"/>
      <c r="N665" s="17"/>
      <c r="O665" s="17"/>
      <c r="P665" s="85">
        <f t="shared" si="1103"/>
        <v>0</v>
      </c>
      <c r="Q665" s="15"/>
      <c r="R665" s="16"/>
      <c r="S665" s="17"/>
      <c r="T665" s="17"/>
      <c r="U665" s="85">
        <f t="shared" si="1104"/>
        <v>0</v>
      </c>
      <c r="V665" s="15"/>
      <c r="W665" s="16"/>
      <c r="X665" s="17"/>
      <c r="Y665" s="17"/>
      <c r="Z665" s="85">
        <f t="shared" si="1105"/>
        <v>0</v>
      </c>
      <c r="AA665" s="105">
        <f t="shared" si="1106"/>
        <v>0</v>
      </c>
      <c r="AC665" s="23" t="s">
        <v>607</v>
      </c>
      <c r="AD665" s="15"/>
      <c r="AE665" s="16"/>
      <c r="AF665" s="17"/>
      <c r="AG665" s="17"/>
      <c r="AH665" s="85">
        <f t="shared" si="1107"/>
        <v>0</v>
      </c>
      <c r="AI665" s="15"/>
      <c r="AJ665" s="16"/>
      <c r="AK665" s="17"/>
      <c r="AL665" s="17"/>
      <c r="AM665" s="85">
        <f t="shared" si="1108"/>
        <v>0</v>
      </c>
      <c r="AN665" s="15"/>
      <c r="AO665" s="16"/>
      <c r="AP665" s="17">
        <v>3</v>
      </c>
      <c r="AQ665" s="17"/>
      <c r="AR665" s="85">
        <f t="shared" si="1109"/>
        <v>3</v>
      </c>
      <c r="AS665" s="15"/>
      <c r="AT665" s="16"/>
      <c r="AU665" s="17">
        <v>3</v>
      </c>
      <c r="AV665" s="17"/>
      <c r="AW665" s="85">
        <f t="shared" si="1110"/>
        <v>3</v>
      </c>
      <c r="AX665" s="15"/>
      <c r="AY665" s="16"/>
      <c r="AZ665" s="17">
        <v>3</v>
      </c>
      <c r="BA665" s="17"/>
      <c r="BB665" s="85">
        <f t="shared" si="1111"/>
        <v>3</v>
      </c>
      <c r="BC665" s="105">
        <f t="shared" si="1112"/>
        <v>9</v>
      </c>
      <c r="BD665" s="114">
        <v>46051</v>
      </c>
    </row>
    <row r="666" spans="1:57" x14ac:dyDescent="0.15">
      <c r="A666" s="54"/>
      <c r="B666" s="15"/>
      <c r="C666" s="16"/>
      <c r="D666" s="17"/>
      <c r="E666" s="17"/>
      <c r="F666" s="85">
        <f t="shared" si="1101"/>
        <v>0</v>
      </c>
      <c r="G666" s="15"/>
      <c r="H666" s="16"/>
      <c r="I666" s="17"/>
      <c r="J666" s="17"/>
      <c r="K666" s="85">
        <f t="shared" si="1102"/>
        <v>0</v>
      </c>
      <c r="L666" s="15"/>
      <c r="M666" s="16"/>
      <c r="N666" s="17"/>
      <c r="O666" s="17"/>
      <c r="P666" s="85">
        <f t="shared" si="1103"/>
        <v>0</v>
      </c>
      <c r="Q666" s="15"/>
      <c r="R666" s="16"/>
      <c r="S666" s="17"/>
      <c r="T666" s="17"/>
      <c r="U666" s="85">
        <f t="shared" si="1104"/>
        <v>0</v>
      </c>
      <c r="V666" s="15"/>
      <c r="W666" s="16"/>
      <c r="X666" s="17"/>
      <c r="Y666" s="17"/>
      <c r="Z666" s="85">
        <f t="shared" si="1105"/>
        <v>0</v>
      </c>
      <c r="AA666" s="105">
        <f t="shared" si="1106"/>
        <v>0</v>
      </c>
      <c r="AC666" s="23" t="s">
        <v>609</v>
      </c>
      <c r="AD666" s="15"/>
      <c r="AE666" s="16"/>
      <c r="AF666" s="17"/>
      <c r="AG666" s="17"/>
      <c r="AH666" s="85">
        <f t="shared" si="1107"/>
        <v>0</v>
      </c>
      <c r="AI666" s="15"/>
      <c r="AJ666" s="16"/>
      <c r="AK666" s="17"/>
      <c r="AL666" s="17"/>
      <c r="AM666" s="85">
        <f t="shared" si="1108"/>
        <v>0</v>
      </c>
      <c r="AN666" s="15"/>
      <c r="AO666" s="16"/>
      <c r="AP666" s="17"/>
      <c r="AQ666" s="17">
        <v>5</v>
      </c>
      <c r="AR666" s="85">
        <f t="shared" si="1109"/>
        <v>5</v>
      </c>
      <c r="AS666" s="15"/>
      <c r="AT666" s="16"/>
      <c r="AU666" s="17"/>
      <c r="AV666" s="17">
        <v>5</v>
      </c>
      <c r="AW666" s="85">
        <f t="shared" si="1110"/>
        <v>5</v>
      </c>
      <c r="AX666" s="15"/>
      <c r="AY666" s="16"/>
      <c r="AZ666" s="17"/>
      <c r="BA666" s="17">
        <v>5</v>
      </c>
      <c r="BB666" s="85">
        <f t="shared" si="1111"/>
        <v>5</v>
      </c>
      <c r="BC666" s="105">
        <f t="shared" si="1112"/>
        <v>15</v>
      </c>
      <c r="BD666" s="114">
        <v>46057</v>
      </c>
      <c r="BE666" s="76"/>
    </row>
    <row r="667" spans="1:57" x14ac:dyDescent="0.15">
      <c r="A667" s="23"/>
      <c r="B667" s="15"/>
      <c r="C667" s="16"/>
      <c r="D667" s="17"/>
      <c r="E667" s="17"/>
      <c r="F667" s="85">
        <f t="shared" si="1101"/>
        <v>0</v>
      </c>
      <c r="G667" s="15"/>
      <c r="H667" s="16"/>
      <c r="I667" s="17"/>
      <c r="J667" s="17"/>
      <c r="K667" s="85">
        <f t="shared" si="1102"/>
        <v>0</v>
      </c>
      <c r="L667" s="15"/>
      <c r="M667" s="16"/>
      <c r="N667" s="17"/>
      <c r="O667" s="17"/>
      <c r="P667" s="85">
        <f t="shared" si="1103"/>
        <v>0</v>
      </c>
      <c r="Q667" s="15"/>
      <c r="R667" s="16"/>
      <c r="S667" s="17"/>
      <c r="T667" s="17"/>
      <c r="U667" s="85">
        <f t="shared" si="1104"/>
        <v>0</v>
      </c>
      <c r="V667" s="15"/>
      <c r="W667" s="16"/>
      <c r="X667" s="17"/>
      <c r="Y667" s="17"/>
      <c r="Z667" s="85">
        <f t="shared" si="1105"/>
        <v>0</v>
      </c>
      <c r="AA667" s="105">
        <f t="shared" si="1106"/>
        <v>0</v>
      </c>
      <c r="AC667" s="23" t="s">
        <v>610</v>
      </c>
      <c r="AD667" s="15"/>
      <c r="AE667" s="16"/>
      <c r="AF667" s="17"/>
      <c r="AG667" s="17"/>
      <c r="AH667" s="85">
        <f t="shared" si="1107"/>
        <v>0</v>
      </c>
      <c r="AI667" s="15"/>
      <c r="AJ667" s="16"/>
      <c r="AK667" s="17"/>
      <c r="AL667" s="17"/>
      <c r="AM667" s="85">
        <f t="shared" si="1108"/>
        <v>0</v>
      </c>
      <c r="AN667" s="15"/>
      <c r="AO667" s="16"/>
      <c r="AP667" s="17"/>
      <c r="AQ667" s="17">
        <v>2</v>
      </c>
      <c r="AR667" s="85">
        <f t="shared" si="1109"/>
        <v>2</v>
      </c>
      <c r="AS667" s="15"/>
      <c r="AT667" s="16"/>
      <c r="AU667" s="17"/>
      <c r="AV667" s="17">
        <v>2</v>
      </c>
      <c r="AW667" s="85">
        <f t="shared" si="1110"/>
        <v>2</v>
      </c>
      <c r="AX667" s="15"/>
      <c r="AY667" s="16"/>
      <c r="AZ667" s="17"/>
      <c r="BA667" s="17">
        <v>2</v>
      </c>
      <c r="BB667" s="85">
        <f t="shared" si="1111"/>
        <v>2</v>
      </c>
      <c r="BC667" s="105">
        <f t="shared" si="1112"/>
        <v>6</v>
      </c>
      <c r="BD667" s="114">
        <v>46057</v>
      </c>
      <c r="BE667" s="76"/>
    </row>
    <row r="668" spans="1:57" x14ac:dyDescent="0.15">
      <c r="A668" s="23"/>
      <c r="B668" s="15"/>
      <c r="C668" s="16"/>
      <c r="D668" s="17"/>
      <c r="E668" s="17"/>
      <c r="F668" s="85">
        <f t="shared" si="1101"/>
        <v>0</v>
      </c>
      <c r="G668" s="15"/>
      <c r="H668" s="16"/>
      <c r="I668" s="17"/>
      <c r="J668" s="17"/>
      <c r="K668" s="85">
        <f t="shared" si="1102"/>
        <v>0</v>
      </c>
      <c r="L668" s="15"/>
      <c r="M668" s="16"/>
      <c r="N668" s="17"/>
      <c r="O668" s="17"/>
      <c r="P668" s="85">
        <f t="shared" si="1103"/>
        <v>0</v>
      </c>
      <c r="Q668" s="15"/>
      <c r="R668" s="16"/>
      <c r="S668" s="17"/>
      <c r="T668" s="17"/>
      <c r="U668" s="85">
        <f t="shared" si="1104"/>
        <v>0</v>
      </c>
      <c r="V668" s="15"/>
      <c r="W668" s="16"/>
      <c r="X668" s="17"/>
      <c r="Y668" s="17"/>
      <c r="Z668" s="85">
        <f t="shared" si="1105"/>
        <v>0</v>
      </c>
      <c r="AA668" s="105">
        <f t="shared" si="1106"/>
        <v>0</v>
      </c>
      <c r="AC668" s="23" t="s">
        <v>598</v>
      </c>
      <c r="AD668" s="15"/>
      <c r="AE668" s="16"/>
      <c r="AF668" s="17"/>
      <c r="AG668" s="17"/>
      <c r="AH668" s="85">
        <f t="shared" si="1107"/>
        <v>0</v>
      </c>
      <c r="AI668" s="15"/>
      <c r="AJ668" s="16"/>
      <c r="AK668" s="17"/>
      <c r="AL668" s="17"/>
      <c r="AM668" s="85">
        <f t="shared" si="1108"/>
        <v>0</v>
      </c>
      <c r="AN668" s="15"/>
      <c r="AO668" s="16"/>
      <c r="AP668" s="17"/>
      <c r="AQ668" s="17"/>
      <c r="AR668" s="85">
        <f t="shared" si="1109"/>
        <v>0</v>
      </c>
      <c r="AS668" s="15"/>
      <c r="AT668" s="16">
        <v>7</v>
      </c>
      <c r="AU668" s="17"/>
      <c r="AV668" s="17"/>
      <c r="AW668" s="85">
        <f t="shared" si="1110"/>
        <v>7</v>
      </c>
      <c r="AX668" s="15"/>
      <c r="AY668" s="16"/>
      <c r="AZ668" s="17"/>
      <c r="BA668" s="17"/>
      <c r="BB668" s="85">
        <f t="shared" si="1111"/>
        <v>0</v>
      </c>
      <c r="BC668" s="105">
        <f t="shared" si="1112"/>
        <v>7</v>
      </c>
      <c r="BD668" s="115">
        <v>46053</v>
      </c>
    </row>
    <row r="669" spans="1:57" x14ac:dyDescent="0.15">
      <c r="A669" s="54"/>
      <c r="B669" s="15"/>
      <c r="C669" s="16"/>
      <c r="D669" s="17"/>
      <c r="E669" s="17"/>
      <c r="F669" s="85">
        <f t="shared" si="1101"/>
        <v>0</v>
      </c>
      <c r="G669" s="15"/>
      <c r="H669" s="16"/>
      <c r="I669" s="17"/>
      <c r="J669" s="17"/>
      <c r="K669" s="85">
        <f t="shared" si="1102"/>
        <v>0</v>
      </c>
      <c r="L669" s="15"/>
      <c r="M669" s="16"/>
      <c r="N669" s="17"/>
      <c r="O669" s="17"/>
      <c r="P669" s="85">
        <f t="shared" si="1103"/>
        <v>0</v>
      </c>
      <c r="Q669" s="15"/>
      <c r="R669" s="16"/>
      <c r="S669" s="17"/>
      <c r="T669" s="17"/>
      <c r="U669" s="85">
        <f t="shared" si="1104"/>
        <v>0</v>
      </c>
      <c r="V669" s="15"/>
      <c r="W669" s="16"/>
      <c r="X669" s="17"/>
      <c r="Y669" s="17"/>
      <c r="Z669" s="85">
        <f t="shared" si="1105"/>
        <v>0</v>
      </c>
      <c r="AA669" s="105">
        <f t="shared" si="1106"/>
        <v>0</v>
      </c>
      <c r="AC669" s="245" t="s">
        <v>598</v>
      </c>
      <c r="AD669" s="234"/>
      <c r="AE669" s="235"/>
      <c r="AF669" s="236"/>
      <c r="AG669" s="236"/>
      <c r="AH669" s="237">
        <f t="shared" si="1107"/>
        <v>0</v>
      </c>
      <c r="AI669" s="234"/>
      <c r="AJ669" s="235"/>
      <c r="AK669" s="236"/>
      <c r="AL669" s="236"/>
      <c r="AM669" s="237">
        <f t="shared" si="1108"/>
        <v>0</v>
      </c>
      <c r="AN669" s="234"/>
      <c r="AO669" s="235"/>
      <c r="AP669" s="236"/>
      <c r="AQ669" s="236"/>
      <c r="AR669" s="237">
        <f t="shared" si="1109"/>
        <v>0</v>
      </c>
      <c r="AS669" s="234">
        <v>5</v>
      </c>
      <c r="AT669" s="235"/>
      <c r="AU669" s="236"/>
      <c r="AV669" s="236"/>
      <c r="AW669" s="237">
        <f t="shared" si="1110"/>
        <v>5</v>
      </c>
      <c r="AX669" s="234">
        <v>5</v>
      </c>
      <c r="AY669" s="235">
        <v>5</v>
      </c>
      <c r="AZ669" s="236"/>
      <c r="BA669" s="236"/>
      <c r="BB669" s="237">
        <f t="shared" si="1111"/>
        <v>10</v>
      </c>
      <c r="BC669" s="239">
        <f t="shared" si="1112"/>
        <v>15</v>
      </c>
      <c r="BD669" s="240">
        <v>46057</v>
      </c>
    </row>
    <row r="670" spans="1:57" x14ac:dyDescent="0.15">
      <c r="A670" s="23"/>
      <c r="B670" s="15"/>
      <c r="C670" s="16"/>
      <c r="D670" s="17"/>
      <c r="E670" s="17"/>
      <c r="F670" s="85">
        <f t="shared" si="1101"/>
        <v>0</v>
      </c>
      <c r="G670" s="15"/>
      <c r="H670" s="16"/>
      <c r="I670" s="17"/>
      <c r="J670" s="17"/>
      <c r="K670" s="85">
        <f t="shared" si="1102"/>
        <v>0</v>
      </c>
      <c r="L670" s="15"/>
      <c r="M670" s="16"/>
      <c r="N670" s="17"/>
      <c r="O670" s="17"/>
      <c r="P670" s="85">
        <f t="shared" si="1103"/>
        <v>0</v>
      </c>
      <c r="Q670" s="15"/>
      <c r="R670" s="16"/>
      <c r="S670" s="17"/>
      <c r="T670" s="17"/>
      <c r="U670" s="85">
        <f t="shared" si="1104"/>
        <v>0</v>
      </c>
      <c r="V670" s="15"/>
      <c r="W670" s="16"/>
      <c r="X670" s="17"/>
      <c r="Y670" s="17"/>
      <c r="Z670" s="85">
        <f t="shared" si="1105"/>
        <v>0</v>
      </c>
      <c r="AA670" s="105">
        <f t="shared" si="1106"/>
        <v>0</v>
      </c>
      <c r="AC670" s="23" t="s">
        <v>574</v>
      </c>
      <c r="AD670" s="15"/>
      <c r="AE670" s="16"/>
      <c r="AF670" s="17"/>
      <c r="AG670" s="17"/>
      <c r="AH670" s="85">
        <f t="shared" si="1107"/>
        <v>0</v>
      </c>
      <c r="AI670" s="15"/>
      <c r="AJ670" s="16">
        <v>5</v>
      </c>
      <c r="AK670" s="17"/>
      <c r="AL670" s="17"/>
      <c r="AM670" s="85">
        <f t="shared" si="1108"/>
        <v>5</v>
      </c>
      <c r="AN670" s="15"/>
      <c r="AO670" s="16"/>
      <c r="AP670" s="17"/>
      <c r="AQ670" s="17"/>
      <c r="AR670" s="85">
        <f t="shared" si="1109"/>
        <v>0</v>
      </c>
      <c r="AS670" s="15"/>
      <c r="AT670" s="16"/>
      <c r="AU670" s="17"/>
      <c r="AV670" s="17"/>
      <c r="AW670" s="85">
        <f t="shared" si="1110"/>
        <v>0</v>
      </c>
      <c r="AX670" s="15"/>
      <c r="AY670" s="16"/>
      <c r="AZ670" s="17"/>
      <c r="BA670" s="17"/>
      <c r="BB670" s="85">
        <f t="shared" si="1111"/>
        <v>0</v>
      </c>
      <c r="BC670" s="105">
        <f t="shared" si="1112"/>
        <v>5</v>
      </c>
      <c r="BD670" s="114">
        <v>46059</v>
      </c>
    </row>
    <row r="671" spans="1:57" x14ac:dyDescent="0.15">
      <c r="A671" s="23"/>
      <c r="B671" s="15"/>
      <c r="C671" s="16"/>
      <c r="D671" s="17"/>
      <c r="E671" s="17"/>
      <c r="F671" s="85">
        <f t="shared" si="1101"/>
        <v>0</v>
      </c>
      <c r="G671" s="15"/>
      <c r="H671" s="16"/>
      <c r="I671" s="17"/>
      <c r="J671" s="17"/>
      <c r="K671" s="85">
        <f t="shared" si="1102"/>
        <v>0</v>
      </c>
      <c r="L671" s="15"/>
      <c r="M671" s="16"/>
      <c r="N671" s="17"/>
      <c r="O671" s="17"/>
      <c r="P671" s="85">
        <f t="shared" si="1103"/>
        <v>0</v>
      </c>
      <c r="Q671" s="15"/>
      <c r="R671" s="16"/>
      <c r="S671" s="17"/>
      <c r="T671" s="17"/>
      <c r="U671" s="85">
        <f t="shared" si="1104"/>
        <v>0</v>
      </c>
      <c r="V671" s="15"/>
      <c r="W671" s="16"/>
      <c r="X671" s="17"/>
      <c r="Y671" s="17"/>
      <c r="Z671" s="85">
        <f t="shared" si="1105"/>
        <v>0</v>
      </c>
      <c r="AA671" s="105">
        <f t="shared" si="1106"/>
        <v>0</v>
      </c>
      <c r="AC671" s="245" t="s">
        <v>574</v>
      </c>
      <c r="AD671" s="234">
        <v>3</v>
      </c>
      <c r="AE671" s="235"/>
      <c r="AF671" s="236"/>
      <c r="AG671" s="236">
        <v>5</v>
      </c>
      <c r="AH671" s="237">
        <f t="shared" si="1107"/>
        <v>8</v>
      </c>
      <c r="AI671" s="234">
        <v>3</v>
      </c>
      <c r="AJ671" s="235"/>
      <c r="AK671" s="236"/>
      <c r="AL671" s="236"/>
      <c r="AM671" s="237">
        <f t="shared" si="1108"/>
        <v>3</v>
      </c>
      <c r="AN671" s="234">
        <v>3</v>
      </c>
      <c r="AO671" s="235"/>
      <c r="AP671" s="236">
        <v>10</v>
      </c>
      <c r="AQ671" s="236"/>
      <c r="AR671" s="237">
        <f t="shared" si="1109"/>
        <v>13</v>
      </c>
      <c r="AS671" s="234"/>
      <c r="AT671" s="235"/>
      <c r="AU671" s="236"/>
      <c r="AV671" s="236"/>
      <c r="AW671" s="237">
        <f t="shared" si="1110"/>
        <v>0</v>
      </c>
      <c r="AX671" s="234"/>
      <c r="AY671" s="235">
        <v>5</v>
      </c>
      <c r="AZ671" s="236">
        <v>10</v>
      </c>
      <c r="BA671" s="236"/>
      <c r="BB671" s="237">
        <f t="shared" si="1111"/>
        <v>15</v>
      </c>
      <c r="BC671" s="239">
        <f t="shared" si="1112"/>
        <v>39</v>
      </c>
      <c r="BD671" s="240">
        <v>46065</v>
      </c>
    </row>
    <row r="672" spans="1:57" x14ac:dyDescent="0.15">
      <c r="A672" s="23"/>
      <c r="B672" s="18"/>
      <c r="C672" s="19"/>
      <c r="D672" s="20"/>
      <c r="E672" s="20"/>
      <c r="F672" s="85">
        <f t="shared" si="1101"/>
        <v>0</v>
      </c>
      <c r="G672" s="18"/>
      <c r="H672" s="19"/>
      <c r="I672" s="20"/>
      <c r="J672" s="20"/>
      <c r="K672" s="85">
        <f t="shared" si="1102"/>
        <v>0</v>
      </c>
      <c r="L672" s="18"/>
      <c r="M672" s="19"/>
      <c r="N672" s="20"/>
      <c r="O672" s="20"/>
      <c r="P672" s="85">
        <f t="shared" si="1103"/>
        <v>0</v>
      </c>
      <c r="Q672" s="18"/>
      <c r="R672" s="19"/>
      <c r="S672" s="20"/>
      <c r="T672" s="20"/>
      <c r="U672" s="85">
        <f t="shared" si="1104"/>
        <v>0</v>
      </c>
      <c r="V672" s="18"/>
      <c r="W672" s="19"/>
      <c r="X672" s="20"/>
      <c r="Y672" s="20"/>
      <c r="Z672" s="85">
        <f t="shared" si="1105"/>
        <v>0</v>
      </c>
      <c r="AA672" s="105">
        <f t="shared" si="1106"/>
        <v>0</v>
      </c>
      <c r="AC672" s="23" t="s">
        <v>574</v>
      </c>
      <c r="AD672" s="15"/>
      <c r="AE672" s="16"/>
      <c r="AF672" s="17"/>
      <c r="AG672" s="17"/>
      <c r="AH672" s="85">
        <f t="shared" ref="AH672:AH673" si="1123">SUM(AD672:AG672)</f>
        <v>0</v>
      </c>
      <c r="AI672" s="15">
        <v>3</v>
      </c>
      <c r="AJ672" s="16"/>
      <c r="AK672" s="17"/>
      <c r="AL672" s="17"/>
      <c r="AM672" s="85">
        <f t="shared" ref="AM672:AM673" si="1124">SUM(AI672:AL672)</f>
        <v>3</v>
      </c>
      <c r="AN672" s="15"/>
      <c r="AO672" s="16"/>
      <c r="AP672" s="17"/>
      <c r="AQ672" s="17"/>
      <c r="AR672" s="85">
        <f t="shared" ref="AR672:AR673" si="1125">SUM(AN672:AQ672)</f>
        <v>0</v>
      </c>
      <c r="AS672" s="15"/>
      <c r="AT672" s="16"/>
      <c r="AU672" s="17"/>
      <c r="AV672" s="17"/>
      <c r="AW672" s="85">
        <f t="shared" ref="AW672:AW673" si="1126">SUM(AS672:AV672)</f>
        <v>0</v>
      </c>
      <c r="AX672" s="15"/>
      <c r="AY672" s="16">
        <v>3</v>
      </c>
      <c r="AZ672" s="17"/>
      <c r="BA672" s="17"/>
      <c r="BB672" s="85">
        <f t="shared" ref="BB672:BB673" si="1127">SUM(AX672:BA672)</f>
        <v>3</v>
      </c>
      <c r="BC672" s="105">
        <f t="shared" ref="BC672:BC673" si="1128">BB672+AW672+AR672+AM672+AH672</f>
        <v>6</v>
      </c>
      <c r="BD672" s="114">
        <v>46063</v>
      </c>
    </row>
    <row r="673" spans="1:56" x14ac:dyDescent="0.15">
      <c r="A673" s="23"/>
      <c r="B673" s="16"/>
      <c r="C673" s="16"/>
      <c r="D673" s="17"/>
      <c r="E673" s="17"/>
      <c r="F673" s="85">
        <f t="shared" si="1101"/>
        <v>0</v>
      </c>
      <c r="G673" s="16"/>
      <c r="H673" s="16"/>
      <c r="I673" s="17"/>
      <c r="J673" s="17"/>
      <c r="K673" s="85">
        <f t="shared" si="1102"/>
        <v>0</v>
      </c>
      <c r="L673" s="16"/>
      <c r="M673" s="16"/>
      <c r="N673" s="17"/>
      <c r="O673" s="17"/>
      <c r="P673" s="85">
        <f t="shared" si="1103"/>
        <v>0</v>
      </c>
      <c r="Q673" s="16"/>
      <c r="R673" s="16"/>
      <c r="S673" s="17"/>
      <c r="T673" s="17"/>
      <c r="U673" s="85">
        <f t="shared" si="1104"/>
        <v>0</v>
      </c>
      <c r="V673" s="16"/>
      <c r="W673" s="16"/>
      <c r="X673" s="17"/>
      <c r="Y673" s="17"/>
      <c r="Z673" s="85">
        <f t="shared" si="1105"/>
        <v>0</v>
      </c>
      <c r="AA673" s="105">
        <f t="shared" si="1106"/>
        <v>0</v>
      </c>
      <c r="AC673" s="139" t="s">
        <v>548</v>
      </c>
      <c r="AD673" s="140"/>
      <c r="AE673" s="142"/>
      <c r="AF673" s="161"/>
      <c r="AG673" s="161"/>
      <c r="AH673" s="189">
        <f t="shared" si="1123"/>
        <v>0</v>
      </c>
      <c r="AI673" s="140"/>
      <c r="AJ673" s="142"/>
      <c r="AK673" s="161"/>
      <c r="AL673" s="161"/>
      <c r="AM673" s="189">
        <f t="shared" si="1124"/>
        <v>0</v>
      </c>
      <c r="AN673" s="140"/>
      <c r="AO673" s="142"/>
      <c r="AP673" s="161"/>
      <c r="AQ673" s="161"/>
      <c r="AR673" s="189">
        <f t="shared" si="1125"/>
        <v>0</v>
      </c>
      <c r="AS673" s="140"/>
      <c r="AT673" s="142"/>
      <c r="AU673" s="161"/>
      <c r="AV673" s="161"/>
      <c r="AW673" s="189">
        <f t="shared" si="1126"/>
        <v>0</v>
      </c>
      <c r="AX673" s="140"/>
      <c r="AY673" s="142"/>
      <c r="AZ673" s="161"/>
      <c r="BA673" s="161"/>
      <c r="BB673" s="189">
        <f t="shared" si="1127"/>
        <v>0</v>
      </c>
      <c r="BC673" s="190">
        <f t="shared" si="1128"/>
        <v>0</v>
      </c>
      <c r="BD673" s="159"/>
    </row>
    <row r="674" spans="1:56" x14ac:dyDescent="0.15">
      <c r="A674" s="23"/>
      <c r="B674" s="15"/>
      <c r="C674" s="25"/>
      <c r="D674" s="17"/>
      <c r="E674" s="17"/>
      <c r="F674" s="85">
        <f t="shared" si="1101"/>
        <v>0</v>
      </c>
      <c r="G674" s="15"/>
      <c r="H674" s="25"/>
      <c r="I674" s="17"/>
      <c r="J674" s="17"/>
      <c r="K674" s="85">
        <f t="shared" si="1102"/>
        <v>0</v>
      </c>
      <c r="L674" s="15"/>
      <c r="M674" s="25"/>
      <c r="N674" s="17"/>
      <c r="O674" s="17"/>
      <c r="P674" s="85">
        <f t="shared" si="1103"/>
        <v>0</v>
      </c>
      <c r="Q674" s="15"/>
      <c r="R674" s="25"/>
      <c r="S674" s="17"/>
      <c r="T674" s="17"/>
      <c r="U674" s="85">
        <f t="shared" si="1104"/>
        <v>0</v>
      </c>
      <c r="V674" s="15"/>
      <c r="W674" s="25"/>
      <c r="X674" s="17"/>
      <c r="Y674" s="17"/>
      <c r="Z674" s="85">
        <f t="shared" si="1105"/>
        <v>0</v>
      </c>
      <c r="AA674" s="105">
        <f t="shared" si="1106"/>
        <v>0</v>
      </c>
      <c r="AC674" s="23" t="s">
        <v>547</v>
      </c>
      <c r="AD674" s="18"/>
      <c r="AE674" s="19"/>
      <c r="AF674" s="20"/>
      <c r="AG674" s="20"/>
      <c r="AH674" s="85">
        <f t="shared" ref="AH674:AH675" si="1129">SUM(AD674:AG674)</f>
        <v>0</v>
      </c>
      <c r="AI674" s="18"/>
      <c r="AJ674" s="19"/>
      <c r="AK674" s="20"/>
      <c r="AL674" s="20"/>
      <c r="AM674" s="85">
        <f t="shared" ref="AM674:AM675" si="1130">SUM(AI674:AL674)</f>
        <v>0</v>
      </c>
      <c r="AN674" s="247"/>
      <c r="AO674" s="248"/>
      <c r="AP674" s="246"/>
      <c r="AQ674" s="246"/>
      <c r="AR674" s="85">
        <f t="shared" ref="AR674:AR675" si="1131">SUM(AN674:AQ674)</f>
        <v>0</v>
      </c>
      <c r="AS674" s="247"/>
      <c r="AT674" s="248"/>
      <c r="AU674" s="246"/>
      <c r="AV674" s="246"/>
      <c r="AW674" s="85">
        <f t="shared" ref="AW674:AW675" si="1132">SUM(AS674:AV674)</f>
        <v>0</v>
      </c>
      <c r="AX674" s="18"/>
      <c r="AY674" s="19"/>
      <c r="AZ674" s="20"/>
      <c r="BA674" s="20"/>
      <c r="BB674" s="85">
        <f t="shared" ref="BB674:BB675" si="1133">SUM(AX674:BA674)</f>
        <v>0</v>
      </c>
      <c r="BC674" s="105">
        <f t="shared" ref="BC674:BC675" si="1134">BB674+AW674+AR674+AM674+AH674</f>
        <v>0</v>
      </c>
      <c r="BD674" s="114" t="s">
        <v>549</v>
      </c>
    </row>
    <row r="675" spans="1:56" x14ac:dyDescent="0.15">
      <c r="A675" s="23"/>
      <c r="B675" s="15"/>
      <c r="C675" s="16"/>
      <c r="D675" s="16"/>
      <c r="E675" s="63"/>
      <c r="F675" s="85">
        <f t="shared" si="1101"/>
        <v>0</v>
      </c>
      <c r="G675" s="15"/>
      <c r="H675" s="16"/>
      <c r="I675" s="16"/>
      <c r="J675" s="63"/>
      <c r="K675" s="85">
        <f t="shared" si="1102"/>
        <v>0</v>
      </c>
      <c r="L675" s="15"/>
      <c r="M675" s="16"/>
      <c r="N675" s="16"/>
      <c r="O675" s="63"/>
      <c r="P675" s="85">
        <f t="shared" si="1103"/>
        <v>0</v>
      </c>
      <c r="Q675" s="15"/>
      <c r="R675" s="16"/>
      <c r="S675" s="16"/>
      <c r="T675" s="63"/>
      <c r="U675" s="85">
        <f t="shared" si="1104"/>
        <v>0</v>
      </c>
      <c r="V675" s="15"/>
      <c r="W675" s="16"/>
      <c r="X675" s="16"/>
      <c r="Y675" s="63"/>
      <c r="Z675" s="85">
        <f t="shared" si="1105"/>
        <v>0</v>
      </c>
      <c r="AA675" s="105">
        <f t="shared" si="1106"/>
        <v>0</v>
      </c>
      <c r="AC675" s="23" t="s">
        <v>546</v>
      </c>
      <c r="AD675" s="247"/>
      <c r="AE675" s="248"/>
      <c r="AF675" s="246"/>
      <c r="AG675" s="246"/>
      <c r="AH675" s="85">
        <f t="shared" si="1129"/>
        <v>0</v>
      </c>
      <c r="AI675" s="247"/>
      <c r="AJ675" s="248"/>
      <c r="AK675" s="246"/>
      <c r="AL675" s="246"/>
      <c r="AM675" s="85">
        <f t="shared" si="1130"/>
        <v>0</v>
      </c>
      <c r="AN675" s="18"/>
      <c r="AO675" s="19"/>
      <c r="AP675" s="20"/>
      <c r="AQ675" s="20"/>
      <c r="AR675" s="85">
        <f t="shared" si="1131"/>
        <v>0</v>
      </c>
      <c r="AS675" s="18"/>
      <c r="AT675" s="19"/>
      <c r="AU675" s="20"/>
      <c r="AV675" s="20"/>
      <c r="AW675" s="85">
        <f t="shared" si="1132"/>
        <v>0</v>
      </c>
      <c r="AX675" s="18"/>
      <c r="AY675" s="19"/>
      <c r="AZ675" s="20"/>
      <c r="BA675" s="20"/>
      <c r="BB675" s="85">
        <f t="shared" si="1133"/>
        <v>0</v>
      </c>
      <c r="BC675" s="105">
        <f t="shared" si="1134"/>
        <v>0</v>
      </c>
      <c r="BD675" s="114" t="s">
        <v>549</v>
      </c>
    </row>
    <row r="676" spans="1:56" ht="14.25" thickBot="1" x14ac:dyDescent="0.2">
      <c r="A676" s="23"/>
      <c r="B676" s="15"/>
      <c r="C676" s="16"/>
      <c r="D676" s="16"/>
      <c r="E676" s="63"/>
      <c r="F676" s="85">
        <f t="shared" si="1101"/>
        <v>0</v>
      </c>
      <c r="G676" s="15"/>
      <c r="H676" s="16"/>
      <c r="I676" s="16"/>
      <c r="J676" s="63"/>
      <c r="K676" s="85">
        <f t="shared" si="1102"/>
        <v>0</v>
      </c>
      <c r="L676" s="15"/>
      <c r="M676" s="16"/>
      <c r="N676" s="16"/>
      <c r="O676" s="63"/>
      <c r="P676" s="85">
        <f t="shared" si="1103"/>
        <v>0</v>
      </c>
      <c r="Q676" s="15"/>
      <c r="R676" s="16"/>
      <c r="S676" s="16"/>
      <c r="T676" s="63"/>
      <c r="U676" s="85">
        <f t="shared" si="1104"/>
        <v>0</v>
      </c>
      <c r="V676" s="15"/>
      <c r="W676" s="16"/>
      <c r="X676" s="16"/>
      <c r="Y676" s="63"/>
      <c r="Z676" s="85">
        <f t="shared" si="1105"/>
        <v>0</v>
      </c>
      <c r="AA676" s="105">
        <f t="shared" si="1106"/>
        <v>0</v>
      </c>
      <c r="AC676" s="23" t="s">
        <v>503</v>
      </c>
      <c r="AD676" s="18"/>
      <c r="AE676" s="19"/>
      <c r="AF676" s="20"/>
      <c r="AG676" s="246"/>
      <c r="AH676" s="85">
        <f t="shared" si="1107"/>
        <v>0</v>
      </c>
      <c r="AI676" s="18"/>
      <c r="AJ676" s="19"/>
      <c r="AK676" s="20"/>
      <c r="AL676" s="246"/>
      <c r="AM676" s="85">
        <f t="shared" si="1108"/>
        <v>0</v>
      </c>
      <c r="AN676" s="247"/>
      <c r="AO676" s="248"/>
      <c r="AP676" s="246"/>
      <c r="AQ676" s="246"/>
      <c r="AR676" s="85">
        <f t="shared" si="1109"/>
        <v>0</v>
      </c>
      <c r="AS676" s="18"/>
      <c r="AT676" s="19"/>
      <c r="AU676" s="20"/>
      <c r="AV676" s="246"/>
      <c r="AW676" s="85">
        <f t="shared" si="1110"/>
        <v>0</v>
      </c>
      <c r="AX676" s="247"/>
      <c r="AY676" s="248"/>
      <c r="AZ676" s="246"/>
      <c r="BA676" s="246"/>
      <c r="BB676" s="85">
        <f t="shared" si="1111"/>
        <v>0</v>
      </c>
      <c r="BC676" s="105">
        <f t="shared" si="1112"/>
        <v>0</v>
      </c>
      <c r="BD676" s="114">
        <v>45965</v>
      </c>
    </row>
    <row r="677" spans="1:56" ht="14.25" thickBot="1" x14ac:dyDescent="0.2">
      <c r="A677" s="27" t="s">
        <v>12</v>
      </c>
      <c r="B677" s="57">
        <f>SUM(B651:B676)</f>
        <v>-1</v>
      </c>
      <c r="C677" s="50">
        <f t="shared" ref="C677:D677" si="1135">SUM(C651:C676)</f>
        <v>0</v>
      </c>
      <c r="D677" s="50">
        <f t="shared" si="1135"/>
        <v>5</v>
      </c>
      <c r="E677" s="50">
        <f>SUM(E651:E676)</f>
        <v>-1</v>
      </c>
      <c r="F677" s="88">
        <f t="shared" si="1101"/>
        <v>3</v>
      </c>
      <c r="G677" s="57">
        <f>SUM(G651:G676)</f>
        <v>-2</v>
      </c>
      <c r="H677" s="50">
        <f t="shared" ref="H677:I677" si="1136">SUM(H651:H676)</f>
        <v>3</v>
      </c>
      <c r="I677" s="50">
        <f t="shared" si="1136"/>
        <v>7</v>
      </c>
      <c r="J677" s="50">
        <f>SUM(J651:J676)</f>
        <v>1</v>
      </c>
      <c r="K677" s="88">
        <f t="shared" si="1102"/>
        <v>9</v>
      </c>
      <c r="L677" s="57">
        <f>SUM(L651:L676)</f>
        <v>1</v>
      </c>
      <c r="M677" s="50">
        <f t="shared" ref="M677:N677" si="1137">SUM(M651:M676)</f>
        <v>10</v>
      </c>
      <c r="N677" s="50">
        <f t="shared" si="1137"/>
        <v>2</v>
      </c>
      <c r="O677" s="50">
        <f>SUM(O651:O676)</f>
        <v>1</v>
      </c>
      <c r="P677" s="88">
        <f t="shared" si="1103"/>
        <v>14</v>
      </c>
      <c r="Q677" s="57">
        <f>SUM(Q651:Q676)</f>
        <v>7</v>
      </c>
      <c r="R677" s="50">
        <f t="shared" ref="R677:S677" si="1138">SUM(R651:R676)</f>
        <v>9</v>
      </c>
      <c r="S677" s="50">
        <f t="shared" si="1138"/>
        <v>6</v>
      </c>
      <c r="T677" s="50">
        <f>SUM(T651:T676)</f>
        <v>0</v>
      </c>
      <c r="U677" s="88">
        <f t="shared" si="1104"/>
        <v>22</v>
      </c>
      <c r="V677" s="57">
        <f>SUM(V651:V676)</f>
        <v>3</v>
      </c>
      <c r="W677" s="50">
        <f t="shared" ref="W677:X677" si="1139">SUM(W651:W676)</f>
        <v>6</v>
      </c>
      <c r="X677" s="50">
        <f t="shared" si="1139"/>
        <v>5</v>
      </c>
      <c r="Y677" s="50">
        <f>SUM(Y651:Y676)</f>
        <v>0</v>
      </c>
      <c r="Z677" s="88">
        <f t="shared" si="1105"/>
        <v>14</v>
      </c>
      <c r="AA677" s="109">
        <f t="shared" si="1106"/>
        <v>62</v>
      </c>
      <c r="AC677" s="27" t="s">
        <v>419</v>
      </c>
      <c r="AD677" s="57">
        <f>SUM(AD651:AD676)</f>
        <v>21</v>
      </c>
      <c r="AE677" s="50">
        <f t="shared" ref="AE677:AF677" si="1140">SUM(AE651:AE676)</f>
        <v>15</v>
      </c>
      <c r="AF677" s="50">
        <f t="shared" si="1140"/>
        <v>5</v>
      </c>
      <c r="AG677" s="50">
        <f>SUM(AG651:AG676)</f>
        <v>8</v>
      </c>
      <c r="AH677" s="88">
        <f t="shared" si="1107"/>
        <v>49</v>
      </c>
      <c r="AI677" s="57">
        <f>SUM(AI651:AI676)</f>
        <v>27</v>
      </c>
      <c r="AJ677" s="50">
        <f t="shared" ref="AJ677:AK677" si="1141">SUM(AJ651:AJ676)</f>
        <v>25</v>
      </c>
      <c r="AK677" s="50">
        <f t="shared" si="1141"/>
        <v>5</v>
      </c>
      <c r="AL677" s="50">
        <f>SUM(AL651:AL676)</f>
        <v>3</v>
      </c>
      <c r="AM677" s="88">
        <f t="shared" si="1108"/>
        <v>60</v>
      </c>
      <c r="AN677" s="57">
        <f>SUM(AN651:AN676)</f>
        <v>19</v>
      </c>
      <c r="AO677" s="50">
        <f t="shared" ref="AO677:AP677" si="1142">SUM(AO651:AO676)</f>
        <v>19</v>
      </c>
      <c r="AP677" s="50">
        <f t="shared" si="1142"/>
        <v>32</v>
      </c>
      <c r="AQ677" s="50">
        <f>SUM(AQ651:AQ676)</f>
        <v>12</v>
      </c>
      <c r="AR677" s="88">
        <f t="shared" si="1109"/>
        <v>82</v>
      </c>
      <c r="AS677" s="57">
        <f>SUM(AS651:AS676)</f>
        <v>24</v>
      </c>
      <c r="AT677" s="50">
        <f t="shared" ref="AT677:AU677" si="1143">SUM(AT651:AT676)</f>
        <v>16</v>
      </c>
      <c r="AU677" s="50">
        <f t="shared" si="1143"/>
        <v>27</v>
      </c>
      <c r="AV677" s="50">
        <f>SUM(AV651:AV676)</f>
        <v>12</v>
      </c>
      <c r="AW677" s="88">
        <f t="shared" si="1110"/>
        <v>79</v>
      </c>
      <c r="AX677" s="57">
        <f>SUM(AX651:AX676)</f>
        <v>39</v>
      </c>
      <c r="AY677" s="50">
        <f t="shared" ref="AY677:AZ677" si="1144">SUM(AY651:AY676)</f>
        <v>42</v>
      </c>
      <c r="AZ677" s="50">
        <f t="shared" si="1144"/>
        <v>37</v>
      </c>
      <c r="BA677" s="50">
        <f>SUM(BA651:BA676)</f>
        <v>15</v>
      </c>
      <c r="BB677" s="88">
        <f t="shared" si="1111"/>
        <v>133</v>
      </c>
      <c r="BC677" s="109">
        <f t="shared" si="1112"/>
        <v>403</v>
      </c>
    </row>
    <row r="678" spans="1:56" ht="14.25" thickBot="1" x14ac:dyDescent="0.2">
      <c r="A678" s="21" t="s">
        <v>13</v>
      </c>
      <c r="B678" s="101">
        <f>B650-B677</f>
        <v>6</v>
      </c>
      <c r="C678" s="8">
        <f t="shared" ref="C678:D678" si="1145">C650-C677</f>
        <v>5</v>
      </c>
      <c r="D678" s="8">
        <f t="shared" si="1145"/>
        <v>6</v>
      </c>
      <c r="E678" s="8">
        <f>E650-E677</f>
        <v>5</v>
      </c>
      <c r="F678" s="87">
        <f t="shared" si="1101"/>
        <v>22</v>
      </c>
      <c r="G678" s="101">
        <f>G650-G677</f>
        <v>8</v>
      </c>
      <c r="H678" s="8">
        <f t="shared" ref="H678:I678" si="1146">H650-H677</f>
        <v>5</v>
      </c>
      <c r="I678" s="8">
        <f t="shared" si="1146"/>
        <v>3</v>
      </c>
      <c r="J678" s="8">
        <f>J650-J677</f>
        <v>5</v>
      </c>
      <c r="K678" s="87">
        <f t="shared" si="1102"/>
        <v>21</v>
      </c>
      <c r="L678" s="101">
        <f>L650-L677</f>
        <v>6</v>
      </c>
      <c r="M678" s="8">
        <f t="shared" ref="M678:N678" si="1147">M650-M677</f>
        <v>7</v>
      </c>
      <c r="N678" s="8">
        <f t="shared" si="1147"/>
        <v>6</v>
      </c>
      <c r="O678" s="8">
        <f>O650-O677</f>
        <v>5</v>
      </c>
      <c r="P678" s="87">
        <f t="shared" si="1103"/>
        <v>24</v>
      </c>
      <c r="Q678" s="101">
        <f>Q650-Q677</f>
        <v>5</v>
      </c>
      <c r="R678" s="8">
        <f t="shared" ref="R678:S678" si="1148">R650-R677</f>
        <v>5</v>
      </c>
      <c r="S678" s="8">
        <f t="shared" si="1148"/>
        <v>4</v>
      </c>
      <c r="T678" s="8">
        <f>T650-T677</f>
        <v>5</v>
      </c>
      <c r="U678" s="87">
        <f t="shared" si="1104"/>
        <v>19</v>
      </c>
      <c r="V678" s="101">
        <f>V650-V677</f>
        <v>6</v>
      </c>
      <c r="W678" s="8">
        <f t="shared" ref="W678:X678" si="1149">W650-W677</f>
        <v>10</v>
      </c>
      <c r="X678" s="8">
        <f t="shared" si="1149"/>
        <v>7</v>
      </c>
      <c r="Y678" s="8">
        <f>Y650-Y677</f>
        <v>5</v>
      </c>
      <c r="Z678" s="87">
        <f t="shared" si="1105"/>
        <v>28</v>
      </c>
      <c r="AA678" s="107">
        <f t="shared" si="1106"/>
        <v>114</v>
      </c>
      <c r="AC678" s="29" t="s">
        <v>13</v>
      </c>
      <c r="AD678" s="32">
        <f>AD650-AD677</f>
        <v>599</v>
      </c>
      <c r="AE678" s="44">
        <f t="shared" ref="AE678:AF678" si="1150">AE650-AE677</f>
        <v>530</v>
      </c>
      <c r="AF678" s="44">
        <f t="shared" si="1150"/>
        <v>141</v>
      </c>
      <c r="AG678" s="44">
        <f>AG650-AG677</f>
        <v>391</v>
      </c>
      <c r="AH678" s="87">
        <f t="shared" si="1107"/>
        <v>1661</v>
      </c>
      <c r="AI678" s="32">
        <f>AI650-AI677</f>
        <v>547</v>
      </c>
      <c r="AJ678" s="44">
        <f t="shared" ref="AJ678:AK678" si="1151">AJ650-AJ677</f>
        <v>447</v>
      </c>
      <c r="AK678" s="44">
        <f t="shared" si="1151"/>
        <v>168</v>
      </c>
      <c r="AL678" s="44">
        <f>AL650-AL677</f>
        <v>408</v>
      </c>
      <c r="AM678" s="87">
        <f t="shared" si="1108"/>
        <v>1570</v>
      </c>
      <c r="AN678" s="32">
        <f>AN650-AN677</f>
        <v>319</v>
      </c>
      <c r="AO678" s="44">
        <f t="shared" ref="AO678:AP678" si="1152">AO650-AO677</f>
        <v>284</v>
      </c>
      <c r="AP678" s="44">
        <f t="shared" si="1152"/>
        <v>190</v>
      </c>
      <c r="AQ678" s="44">
        <f>AQ650-AQ677</f>
        <v>356</v>
      </c>
      <c r="AR678" s="87">
        <f t="shared" si="1109"/>
        <v>1149</v>
      </c>
      <c r="AS678" s="32">
        <f>AS650-AS677</f>
        <v>486</v>
      </c>
      <c r="AT678" s="44">
        <f t="shared" ref="AT678:AU678" si="1153">AT650-AT677</f>
        <v>389</v>
      </c>
      <c r="AU678" s="44">
        <f t="shared" si="1153"/>
        <v>152</v>
      </c>
      <c r="AV678" s="44">
        <f>AV650-AV677</f>
        <v>496</v>
      </c>
      <c r="AW678" s="87">
        <f t="shared" si="1110"/>
        <v>1523</v>
      </c>
      <c r="AX678" s="32">
        <f>AX650-AX677</f>
        <v>402</v>
      </c>
      <c r="AY678" s="44">
        <f t="shared" ref="AY678:AZ678" si="1154">AY650-AY677</f>
        <v>414</v>
      </c>
      <c r="AZ678" s="44">
        <f t="shared" si="1154"/>
        <v>291</v>
      </c>
      <c r="BA678" s="44">
        <f>BA650-BA677</f>
        <v>90</v>
      </c>
      <c r="BB678" s="87">
        <f t="shared" si="1111"/>
        <v>1197</v>
      </c>
      <c r="BC678" s="107">
        <f t="shared" si="1112"/>
        <v>7100</v>
      </c>
    </row>
    <row r="681" spans="1:56" ht="19.5" thickBot="1" x14ac:dyDescent="0.25">
      <c r="A681" s="271" t="s">
        <v>22</v>
      </c>
      <c r="B681" s="271"/>
      <c r="C681" s="271"/>
      <c r="D681" s="271"/>
      <c r="E681" s="271"/>
      <c r="F681" s="271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C681" s="79" t="s">
        <v>69</v>
      </c>
      <c r="AD681" s="79"/>
      <c r="AE681" s="79"/>
      <c r="AF681" s="79"/>
      <c r="AG681" s="79"/>
      <c r="AH681" s="79"/>
      <c r="AI681" s="93"/>
      <c r="AJ681" s="93"/>
      <c r="AK681" s="93"/>
      <c r="AL681" s="93"/>
      <c r="AM681" s="93"/>
      <c r="AN681" s="93"/>
      <c r="AO681" s="93"/>
      <c r="AP681" s="93"/>
      <c r="AQ681" s="93"/>
      <c r="AR681" s="93"/>
      <c r="AS681" s="93"/>
      <c r="AT681" s="78"/>
      <c r="AU681" s="78"/>
      <c r="AV681" s="78"/>
      <c r="AW681" s="78"/>
      <c r="AX681" s="78"/>
      <c r="AY681" s="78"/>
      <c r="AZ681" s="78"/>
      <c r="BA681" s="78"/>
      <c r="BB681" s="78"/>
      <c r="BC681" s="78"/>
    </row>
    <row r="682" spans="1:56" ht="14.25" thickBot="1" x14ac:dyDescent="0.2">
      <c r="A682" s="2" t="s">
        <v>0</v>
      </c>
      <c r="B682" s="256" t="s">
        <v>23</v>
      </c>
      <c r="C682" s="257"/>
      <c r="D682" s="257"/>
      <c r="E682" s="258"/>
      <c r="F682" s="81"/>
      <c r="G682" s="259" t="s">
        <v>24</v>
      </c>
      <c r="H682" s="260"/>
      <c r="I682" s="260"/>
      <c r="J682" s="261"/>
      <c r="K682" s="81"/>
      <c r="L682" s="262" t="s">
        <v>25</v>
      </c>
      <c r="M682" s="263"/>
      <c r="N682" s="263"/>
      <c r="O682" s="264"/>
      <c r="P682" s="81"/>
      <c r="Q682" s="265" t="s">
        <v>26</v>
      </c>
      <c r="R682" s="266"/>
      <c r="S682" s="266"/>
      <c r="T682" s="267"/>
      <c r="U682" s="81"/>
      <c r="V682" s="268" t="s">
        <v>27</v>
      </c>
      <c r="W682" s="269"/>
      <c r="X682" s="269"/>
      <c r="Y682" s="270"/>
      <c r="Z682" s="81"/>
      <c r="AA682" s="272" t="s">
        <v>6</v>
      </c>
      <c r="AC682" s="2" t="s">
        <v>0</v>
      </c>
      <c r="AD682" s="256" t="s">
        <v>23</v>
      </c>
      <c r="AE682" s="257"/>
      <c r="AF682" s="257"/>
      <c r="AG682" s="258"/>
      <c r="AH682" s="81"/>
      <c r="AI682" s="259" t="s">
        <v>24</v>
      </c>
      <c r="AJ682" s="260"/>
      <c r="AK682" s="260"/>
      <c r="AL682" s="261"/>
      <c r="AM682" s="81"/>
      <c r="AN682" s="262" t="s">
        <v>25</v>
      </c>
      <c r="AO682" s="263"/>
      <c r="AP682" s="263"/>
      <c r="AQ682" s="264"/>
      <c r="AR682" s="81"/>
      <c r="AS682" s="265" t="s">
        <v>26</v>
      </c>
      <c r="AT682" s="266"/>
      <c r="AU682" s="266"/>
      <c r="AV682" s="267"/>
      <c r="AW682" s="81"/>
      <c r="AX682" s="268" t="s">
        <v>27</v>
      </c>
      <c r="AY682" s="269"/>
      <c r="AZ682" s="269"/>
      <c r="BA682" s="270"/>
      <c r="BB682" s="81"/>
      <c r="BC682" s="183" t="s">
        <v>6</v>
      </c>
    </row>
    <row r="683" spans="1:56" ht="14.25" thickBot="1" x14ac:dyDescent="0.2">
      <c r="A683" s="2" t="s">
        <v>2</v>
      </c>
      <c r="B683" s="3" t="s">
        <v>3</v>
      </c>
      <c r="C683" s="4" t="s">
        <v>4</v>
      </c>
      <c r="D683" s="5" t="s">
        <v>5</v>
      </c>
      <c r="E683" s="5" t="s">
        <v>20</v>
      </c>
      <c r="F683" s="82" t="s">
        <v>6</v>
      </c>
      <c r="G683" s="89" t="s">
        <v>3</v>
      </c>
      <c r="H683" s="4" t="s">
        <v>4</v>
      </c>
      <c r="I683" s="5" t="s">
        <v>5</v>
      </c>
      <c r="J683" s="5" t="s">
        <v>20</v>
      </c>
      <c r="K683" s="82" t="s">
        <v>6</v>
      </c>
      <c r="L683" s="89" t="s">
        <v>3</v>
      </c>
      <c r="M683" s="4" t="s">
        <v>4</v>
      </c>
      <c r="N683" s="5" t="s">
        <v>5</v>
      </c>
      <c r="O683" s="5" t="s">
        <v>20</v>
      </c>
      <c r="P683" s="82" t="s">
        <v>6</v>
      </c>
      <c r="Q683" s="89" t="s">
        <v>3</v>
      </c>
      <c r="R683" s="4" t="s">
        <v>4</v>
      </c>
      <c r="S683" s="5" t="s">
        <v>5</v>
      </c>
      <c r="T683" s="5" t="s">
        <v>20</v>
      </c>
      <c r="U683" s="82" t="s">
        <v>6</v>
      </c>
      <c r="V683" s="89" t="s">
        <v>3</v>
      </c>
      <c r="W683" s="4" t="s">
        <v>4</v>
      </c>
      <c r="X683" s="5" t="s">
        <v>5</v>
      </c>
      <c r="Y683" s="5" t="s">
        <v>20</v>
      </c>
      <c r="Z683" s="82" t="s">
        <v>6</v>
      </c>
      <c r="AA683" s="273"/>
      <c r="AC683" s="2" t="s">
        <v>2</v>
      </c>
      <c r="AD683" s="3" t="s">
        <v>3</v>
      </c>
      <c r="AE683" s="4" t="s">
        <v>4</v>
      </c>
      <c r="AF683" s="5" t="s">
        <v>5</v>
      </c>
      <c r="AG683" s="5" t="s">
        <v>20</v>
      </c>
      <c r="AH683" s="82" t="s">
        <v>6</v>
      </c>
      <c r="AI683" s="89" t="s">
        <v>3</v>
      </c>
      <c r="AJ683" s="4" t="s">
        <v>4</v>
      </c>
      <c r="AK683" s="5" t="s">
        <v>5</v>
      </c>
      <c r="AL683" s="5" t="s">
        <v>20</v>
      </c>
      <c r="AM683" s="82" t="s">
        <v>6</v>
      </c>
      <c r="AN683" s="89" t="s">
        <v>3</v>
      </c>
      <c r="AO683" s="4" t="s">
        <v>4</v>
      </c>
      <c r="AP683" s="5" t="s">
        <v>5</v>
      </c>
      <c r="AQ683" s="5" t="s">
        <v>20</v>
      </c>
      <c r="AR683" s="82" t="s">
        <v>6</v>
      </c>
      <c r="AS683" s="89" t="s">
        <v>3</v>
      </c>
      <c r="AT683" s="4" t="s">
        <v>4</v>
      </c>
      <c r="AU683" s="5" t="s">
        <v>5</v>
      </c>
      <c r="AV683" s="5" t="s">
        <v>20</v>
      </c>
      <c r="AW683" s="82" t="s">
        <v>6</v>
      </c>
      <c r="AX683" s="89" t="s">
        <v>3</v>
      </c>
      <c r="AY683" s="4" t="s">
        <v>4</v>
      </c>
      <c r="AZ683" s="5" t="s">
        <v>5</v>
      </c>
      <c r="BA683" s="5" t="s">
        <v>20</v>
      </c>
      <c r="BB683" s="82" t="s">
        <v>6</v>
      </c>
      <c r="BC683" s="184"/>
    </row>
    <row r="684" spans="1:56" x14ac:dyDescent="0.15">
      <c r="A684" s="40" t="s">
        <v>13</v>
      </c>
      <c r="B684" s="41">
        <f>B678</f>
        <v>6</v>
      </c>
      <c r="C684" s="42">
        <f>C678</f>
        <v>5</v>
      </c>
      <c r="D684" s="42">
        <f t="shared" ref="D684:AA684" si="1155">D678</f>
        <v>6</v>
      </c>
      <c r="E684" s="94">
        <f t="shared" si="1155"/>
        <v>5</v>
      </c>
      <c r="F684" s="95">
        <f t="shared" si="1155"/>
        <v>22</v>
      </c>
      <c r="G684" s="96">
        <f t="shared" si="1155"/>
        <v>8</v>
      </c>
      <c r="H684" s="42">
        <f t="shared" si="1155"/>
        <v>5</v>
      </c>
      <c r="I684" s="42">
        <f t="shared" si="1155"/>
        <v>3</v>
      </c>
      <c r="J684" s="94">
        <f t="shared" si="1155"/>
        <v>5</v>
      </c>
      <c r="K684" s="95">
        <f t="shared" si="1155"/>
        <v>21</v>
      </c>
      <c r="L684" s="96">
        <f t="shared" si="1155"/>
        <v>6</v>
      </c>
      <c r="M684" s="42">
        <f t="shared" si="1155"/>
        <v>7</v>
      </c>
      <c r="N684" s="42">
        <f t="shared" si="1155"/>
        <v>6</v>
      </c>
      <c r="O684" s="94">
        <f t="shared" si="1155"/>
        <v>5</v>
      </c>
      <c r="P684" s="95">
        <f t="shared" si="1155"/>
        <v>24</v>
      </c>
      <c r="Q684" s="96">
        <f t="shared" si="1155"/>
        <v>5</v>
      </c>
      <c r="R684" s="42">
        <f t="shared" si="1155"/>
        <v>5</v>
      </c>
      <c r="S684" s="42">
        <f t="shared" si="1155"/>
        <v>4</v>
      </c>
      <c r="T684" s="94">
        <f t="shared" si="1155"/>
        <v>5</v>
      </c>
      <c r="U684" s="95">
        <f t="shared" si="1155"/>
        <v>19</v>
      </c>
      <c r="V684" s="96">
        <f t="shared" si="1155"/>
        <v>6</v>
      </c>
      <c r="W684" s="42">
        <f t="shared" si="1155"/>
        <v>10</v>
      </c>
      <c r="X684" s="42">
        <f t="shared" si="1155"/>
        <v>7</v>
      </c>
      <c r="Y684" s="94">
        <f t="shared" si="1155"/>
        <v>5</v>
      </c>
      <c r="Z684" s="95">
        <f t="shared" si="1155"/>
        <v>28</v>
      </c>
      <c r="AA684" s="104">
        <f t="shared" si="1155"/>
        <v>114</v>
      </c>
      <c r="AC684" s="131" t="s">
        <v>13</v>
      </c>
      <c r="AD684" s="96">
        <f>AD678</f>
        <v>599</v>
      </c>
      <c r="AE684" s="42">
        <f>AE678</f>
        <v>530</v>
      </c>
      <c r="AF684" s="42">
        <f t="shared" ref="AF684:BC684" si="1156">AF678</f>
        <v>141</v>
      </c>
      <c r="AG684" s="94">
        <f t="shared" si="1156"/>
        <v>391</v>
      </c>
      <c r="AH684" s="95">
        <f t="shared" si="1156"/>
        <v>1661</v>
      </c>
      <c r="AI684" s="96">
        <f t="shared" si="1156"/>
        <v>547</v>
      </c>
      <c r="AJ684" s="42">
        <f t="shared" si="1156"/>
        <v>447</v>
      </c>
      <c r="AK684" s="42">
        <f t="shared" si="1156"/>
        <v>168</v>
      </c>
      <c r="AL684" s="94">
        <f t="shared" si="1156"/>
        <v>408</v>
      </c>
      <c r="AM684" s="95">
        <f t="shared" si="1156"/>
        <v>1570</v>
      </c>
      <c r="AN684" s="96">
        <f t="shared" si="1156"/>
        <v>319</v>
      </c>
      <c r="AO684" s="42">
        <f t="shared" si="1156"/>
        <v>284</v>
      </c>
      <c r="AP684" s="42">
        <f t="shared" si="1156"/>
        <v>190</v>
      </c>
      <c r="AQ684" s="94">
        <f t="shared" si="1156"/>
        <v>356</v>
      </c>
      <c r="AR684" s="95">
        <f t="shared" si="1156"/>
        <v>1149</v>
      </c>
      <c r="AS684" s="96">
        <f t="shared" si="1156"/>
        <v>486</v>
      </c>
      <c r="AT684" s="42">
        <f t="shared" si="1156"/>
        <v>389</v>
      </c>
      <c r="AU684" s="42">
        <f t="shared" si="1156"/>
        <v>152</v>
      </c>
      <c r="AV684" s="94">
        <f t="shared" si="1156"/>
        <v>496</v>
      </c>
      <c r="AW684" s="95">
        <f t="shared" si="1156"/>
        <v>1523</v>
      </c>
      <c r="AX684" s="96">
        <f t="shared" si="1156"/>
        <v>402</v>
      </c>
      <c r="AY684" s="42">
        <f t="shared" si="1156"/>
        <v>414</v>
      </c>
      <c r="AZ684" s="42">
        <f t="shared" si="1156"/>
        <v>291</v>
      </c>
      <c r="BA684" s="94">
        <f t="shared" si="1156"/>
        <v>90</v>
      </c>
      <c r="BB684" s="95">
        <f t="shared" si="1156"/>
        <v>1197</v>
      </c>
      <c r="BC684" s="104">
        <f t="shared" si="1156"/>
        <v>7100</v>
      </c>
    </row>
    <row r="685" spans="1:56" x14ac:dyDescent="0.15">
      <c r="A685" s="233" t="s">
        <v>7</v>
      </c>
      <c r="B685" s="249"/>
      <c r="C685" s="250"/>
      <c r="D685" s="251"/>
      <c r="E685" s="251"/>
      <c r="F685" s="237">
        <f t="shared" ref="F685:F718" si="1157">SUM(B685:E685)</f>
        <v>0</v>
      </c>
      <c r="G685" s="252"/>
      <c r="H685" s="250"/>
      <c r="I685" s="251">
        <v>5</v>
      </c>
      <c r="J685" s="251"/>
      <c r="K685" s="237">
        <f t="shared" ref="K685:K718" si="1158">SUM(G685:J685)</f>
        <v>5</v>
      </c>
      <c r="L685" s="252">
        <v>5</v>
      </c>
      <c r="M685" s="250"/>
      <c r="N685" s="251"/>
      <c r="O685" s="251">
        <v>5</v>
      </c>
      <c r="P685" s="237">
        <f t="shared" ref="P685:P718" si="1159">SUM(L685:O685)</f>
        <v>10</v>
      </c>
      <c r="Q685" s="252">
        <v>5</v>
      </c>
      <c r="R685" s="250"/>
      <c r="S685" s="251"/>
      <c r="T685" s="251"/>
      <c r="U685" s="237">
        <f t="shared" ref="U685:U718" si="1160">SUM(Q685:T685)</f>
        <v>5</v>
      </c>
      <c r="V685" s="252">
        <v>12</v>
      </c>
      <c r="W685" s="250"/>
      <c r="X685" s="251"/>
      <c r="Y685" s="251">
        <v>5</v>
      </c>
      <c r="Z685" s="237">
        <f t="shared" ref="Z685:Z718" si="1161">SUM(V685:Y685)</f>
        <v>17</v>
      </c>
      <c r="AA685" s="239">
        <f t="shared" ref="AA685:AA718" si="1162">Z685+U685+P685+K685+F685</f>
        <v>37</v>
      </c>
      <c r="AB685" s="240">
        <v>46078</v>
      </c>
      <c r="AC685" s="117" t="s">
        <v>313</v>
      </c>
      <c r="AD685" s="90"/>
      <c r="AE685" s="11"/>
      <c r="AF685" s="12"/>
      <c r="AG685" s="12"/>
      <c r="AH685" s="84">
        <f t="shared" ref="AH685:AH718" si="1163">SUM(AD685:AG685)</f>
        <v>0</v>
      </c>
      <c r="AI685" s="90"/>
      <c r="AJ685" s="11"/>
      <c r="AK685" s="12"/>
      <c r="AL685" s="12"/>
      <c r="AM685" s="84">
        <f t="shared" ref="AM685:AM718" si="1164">SUM(AI685:AL685)</f>
        <v>0</v>
      </c>
      <c r="AN685" s="90"/>
      <c r="AO685" s="11"/>
      <c r="AP685" s="12"/>
      <c r="AQ685" s="12"/>
      <c r="AR685" s="84">
        <f t="shared" ref="AR685:AR718" si="1165">SUM(AN685:AQ685)</f>
        <v>0</v>
      </c>
      <c r="AS685" s="90"/>
      <c r="AT685" s="11"/>
      <c r="AU685" s="12"/>
      <c r="AV685" s="12"/>
      <c r="AW685" s="84">
        <f t="shared" ref="AW685:AW718" si="1166">SUM(AS685:AV685)</f>
        <v>0</v>
      </c>
      <c r="AX685" s="90"/>
      <c r="AY685" s="11"/>
      <c r="AZ685" s="12"/>
      <c r="BA685" s="12"/>
      <c r="BB685" s="84">
        <f t="shared" ref="BB685:BB718" si="1167">SUM(AX685:BA685)</f>
        <v>0</v>
      </c>
      <c r="BC685" s="105">
        <f t="shared" ref="BC685:BC718" si="1168">BB685+AW685+AR685+AM685+AH685</f>
        <v>0</v>
      </c>
    </row>
    <row r="686" spans="1:56" x14ac:dyDescent="0.15">
      <c r="A686" s="9" t="s">
        <v>8</v>
      </c>
      <c r="B686" s="10">
        <v>0</v>
      </c>
      <c r="C686" s="11">
        <v>-1</v>
      </c>
      <c r="D686" s="12">
        <v>-4</v>
      </c>
      <c r="E686" s="12">
        <v>4</v>
      </c>
      <c r="F686" s="85">
        <f t="shared" si="1157"/>
        <v>-1</v>
      </c>
      <c r="G686" s="90">
        <v>0</v>
      </c>
      <c r="H686" s="11">
        <v>-1</v>
      </c>
      <c r="I686" s="12">
        <v>0</v>
      </c>
      <c r="J686" s="12">
        <v>0</v>
      </c>
      <c r="K686" s="85">
        <f t="shared" si="1158"/>
        <v>-1</v>
      </c>
      <c r="L686" s="90">
        <v>3</v>
      </c>
      <c r="M686" s="11">
        <v>0</v>
      </c>
      <c r="N686" s="12">
        <v>0</v>
      </c>
      <c r="O686" s="12">
        <v>0</v>
      </c>
      <c r="P686" s="85">
        <f t="shared" si="1159"/>
        <v>3</v>
      </c>
      <c r="Q686" s="90">
        <v>0</v>
      </c>
      <c r="R686" s="11">
        <v>0</v>
      </c>
      <c r="S686" s="12">
        <v>0</v>
      </c>
      <c r="T686" s="12">
        <v>1</v>
      </c>
      <c r="U686" s="85">
        <f t="shared" si="1160"/>
        <v>1</v>
      </c>
      <c r="V686" s="90">
        <v>1</v>
      </c>
      <c r="W686" s="11">
        <v>-1</v>
      </c>
      <c r="X686" s="12">
        <v>0</v>
      </c>
      <c r="Y686" s="12">
        <v>0</v>
      </c>
      <c r="Z686" s="85">
        <f t="shared" si="1161"/>
        <v>0</v>
      </c>
      <c r="AA686" s="105">
        <f t="shared" si="1162"/>
        <v>2</v>
      </c>
      <c r="AB686" s="115">
        <v>46085</v>
      </c>
      <c r="AC686" s="117" t="s">
        <v>355</v>
      </c>
      <c r="AD686" s="90"/>
      <c r="AE686" s="11"/>
      <c r="AF686" s="12"/>
      <c r="AG686" s="12"/>
      <c r="AH686" s="84">
        <f t="shared" si="1163"/>
        <v>0</v>
      </c>
      <c r="AI686" s="90"/>
      <c r="AJ686" s="11"/>
      <c r="AK686" s="12"/>
      <c r="AL686" s="12"/>
      <c r="AM686" s="84">
        <f t="shared" si="1164"/>
        <v>0</v>
      </c>
      <c r="AN686" s="90"/>
      <c r="AO686" s="11"/>
      <c r="AP686" s="12"/>
      <c r="AQ686" s="12"/>
      <c r="AR686" s="84">
        <f t="shared" si="1165"/>
        <v>0</v>
      </c>
      <c r="AS686" s="90"/>
      <c r="AT686" s="11"/>
      <c r="AU686" s="12"/>
      <c r="AV686" s="12"/>
      <c r="AW686" s="84">
        <f t="shared" si="1166"/>
        <v>0</v>
      </c>
      <c r="AX686" s="90"/>
      <c r="AY686" s="11"/>
      <c r="AZ686" s="12"/>
      <c r="BA686" s="12"/>
      <c r="BB686" s="84">
        <f t="shared" si="1167"/>
        <v>0</v>
      </c>
      <c r="BC686" s="105">
        <f t="shared" si="1168"/>
        <v>0</v>
      </c>
    </row>
    <row r="687" spans="1:56" x14ac:dyDescent="0.15">
      <c r="A687" s="9" t="s">
        <v>171</v>
      </c>
      <c r="B687" s="15"/>
      <c r="C687" s="16"/>
      <c r="D687" s="17"/>
      <c r="E687" s="17"/>
      <c r="F687" s="85">
        <f t="shared" si="1157"/>
        <v>0</v>
      </c>
      <c r="G687" s="91"/>
      <c r="H687" s="16"/>
      <c r="I687" s="17"/>
      <c r="J687" s="17"/>
      <c r="K687" s="85">
        <f t="shared" si="1158"/>
        <v>0</v>
      </c>
      <c r="L687" s="91"/>
      <c r="M687" s="16"/>
      <c r="N687" s="17"/>
      <c r="O687" s="17">
        <v>1</v>
      </c>
      <c r="P687" s="85">
        <f t="shared" si="1159"/>
        <v>1</v>
      </c>
      <c r="Q687" s="91"/>
      <c r="R687" s="16"/>
      <c r="S687" s="17"/>
      <c r="T687" s="17">
        <v>1</v>
      </c>
      <c r="U687" s="85">
        <f t="shared" si="1160"/>
        <v>1</v>
      </c>
      <c r="V687" s="91"/>
      <c r="W687" s="16"/>
      <c r="X687" s="17"/>
      <c r="Y687" s="17">
        <v>1</v>
      </c>
      <c r="Z687" s="85">
        <f t="shared" si="1161"/>
        <v>1</v>
      </c>
      <c r="AA687" s="105">
        <f t="shared" si="1162"/>
        <v>3</v>
      </c>
      <c r="AB687" s="115">
        <v>46083</v>
      </c>
      <c r="AC687" s="117" t="s">
        <v>354</v>
      </c>
      <c r="AD687" s="90"/>
      <c r="AE687" s="11"/>
      <c r="AF687" s="12"/>
      <c r="AG687" s="12"/>
      <c r="AH687" s="84">
        <f t="shared" si="1163"/>
        <v>0</v>
      </c>
      <c r="AI687" s="90"/>
      <c r="AJ687" s="11"/>
      <c r="AK687" s="12"/>
      <c r="AL687" s="12"/>
      <c r="AM687" s="84">
        <f t="shared" si="1164"/>
        <v>0</v>
      </c>
      <c r="AN687" s="90"/>
      <c r="AO687" s="11"/>
      <c r="AP687" s="12"/>
      <c r="AQ687" s="12"/>
      <c r="AR687" s="84">
        <f t="shared" si="1165"/>
        <v>0</v>
      </c>
      <c r="AS687" s="90"/>
      <c r="AT687" s="11"/>
      <c r="AU687" s="12"/>
      <c r="AV687" s="12"/>
      <c r="AW687" s="84">
        <f t="shared" si="1166"/>
        <v>0</v>
      </c>
      <c r="AX687" s="90"/>
      <c r="AY687" s="11"/>
      <c r="AZ687" s="12"/>
      <c r="BA687" s="12"/>
      <c r="BB687" s="84">
        <f t="shared" si="1167"/>
        <v>0</v>
      </c>
      <c r="BC687" s="105">
        <f t="shared" si="1168"/>
        <v>0</v>
      </c>
    </row>
    <row r="688" spans="1:56" x14ac:dyDescent="0.15">
      <c r="A688" s="9" t="s">
        <v>10</v>
      </c>
      <c r="B688" s="15"/>
      <c r="C688" s="16"/>
      <c r="D688" s="17"/>
      <c r="E688" s="17"/>
      <c r="F688" s="85">
        <f t="shared" si="1157"/>
        <v>0</v>
      </c>
      <c r="G688" s="91">
        <v>2</v>
      </c>
      <c r="H688" s="16"/>
      <c r="I688" s="17"/>
      <c r="J688" s="17"/>
      <c r="K688" s="85">
        <f t="shared" si="1158"/>
        <v>2</v>
      </c>
      <c r="L688" s="91"/>
      <c r="M688" s="16"/>
      <c r="N688" s="17"/>
      <c r="O688" s="17"/>
      <c r="P688" s="85">
        <f t="shared" si="1159"/>
        <v>0</v>
      </c>
      <c r="Q688" s="91"/>
      <c r="R688" s="16"/>
      <c r="S688" s="17"/>
      <c r="T688" s="17"/>
      <c r="U688" s="85">
        <f t="shared" si="1160"/>
        <v>0</v>
      </c>
      <c r="V688" s="91"/>
      <c r="W688" s="16"/>
      <c r="X688" s="17"/>
      <c r="Y688" s="17"/>
      <c r="Z688" s="85">
        <f t="shared" si="1161"/>
        <v>0</v>
      </c>
      <c r="AA688" s="105">
        <f t="shared" si="1162"/>
        <v>2</v>
      </c>
      <c r="AB688" s="115">
        <v>46098</v>
      </c>
      <c r="AC688" s="117" t="s">
        <v>10</v>
      </c>
      <c r="AD688" s="90"/>
      <c r="AE688" s="11"/>
      <c r="AF688" s="12"/>
      <c r="AG688" s="12"/>
      <c r="AH688" s="84">
        <f t="shared" si="1163"/>
        <v>0</v>
      </c>
      <c r="AI688" s="90"/>
      <c r="AJ688" s="11"/>
      <c r="AK688" s="12"/>
      <c r="AL688" s="12"/>
      <c r="AM688" s="84">
        <f t="shared" si="1164"/>
        <v>0</v>
      </c>
      <c r="AN688" s="90"/>
      <c r="AO688" s="11"/>
      <c r="AP688" s="12"/>
      <c r="AQ688" s="12"/>
      <c r="AR688" s="84">
        <f t="shared" si="1165"/>
        <v>0</v>
      </c>
      <c r="AS688" s="90"/>
      <c r="AT688" s="11"/>
      <c r="AU688" s="12"/>
      <c r="AV688" s="12"/>
      <c r="AW688" s="84">
        <f t="shared" si="1166"/>
        <v>0</v>
      </c>
      <c r="AX688" s="90"/>
      <c r="AY688" s="11"/>
      <c r="AZ688" s="12"/>
      <c r="BA688" s="12"/>
      <c r="BB688" s="84">
        <f t="shared" si="1167"/>
        <v>0</v>
      </c>
      <c r="BC688" s="105">
        <f t="shared" si="1168"/>
        <v>0</v>
      </c>
    </row>
    <row r="689" spans="1:57" ht="14.25" thickBot="1" x14ac:dyDescent="0.2">
      <c r="A689" s="9" t="s">
        <v>11</v>
      </c>
      <c r="B689" s="15"/>
      <c r="C689" s="16"/>
      <c r="D689" s="17">
        <v>3</v>
      </c>
      <c r="E689" s="17"/>
      <c r="F689" s="92">
        <f t="shared" si="1157"/>
        <v>3</v>
      </c>
      <c r="G689" s="91"/>
      <c r="H689" s="16"/>
      <c r="I689" s="17"/>
      <c r="J689" s="17"/>
      <c r="K689" s="92">
        <f t="shared" si="1158"/>
        <v>0</v>
      </c>
      <c r="L689" s="91"/>
      <c r="M689" s="16"/>
      <c r="N689" s="17"/>
      <c r="O689" s="17"/>
      <c r="P689" s="92">
        <f t="shared" si="1159"/>
        <v>0</v>
      </c>
      <c r="Q689" s="91"/>
      <c r="R689" s="16"/>
      <c r="S689" s="17"/>
      <c r="T689" s="17"/>
      <c r="U689" s="92">
        <f t="shared" si="1160"/>
        <v>0</v>
      </c>
      <c r="V689" s="91"/>
      <c r="W689" s="16"/>
      <c r="X689" s="17"/>
      <c r="Y689" s="17"/>
      <c r="Z689" s="92">
        <f t="shared" si="1161"/>
        <v>0</v>
      </c>
      <c r="AA689" s="110">
        <f t="shared" si="1162"/>
        <v>3</v>
      </c>
      <c r="AB689" s="114">
        <v>46102</v>
      </c>
      <c r="AC689" s="132" t="s">
        <v>11</v>
      </c>
      <c r="AD689" s="91"/>
      <c r="AE689" s="16"/>
      <c r="AF689" s="17"/>
      <c r="AG689" s="17"/>
      <c r="AH689" s="92">
        <f t="shared" si="1163"/>
        <v>0</v>
      </c>
      <c r="AI689" s="91"/>
      <c r="AJ689" s="16"/>
      <c r="AK689" s="17"/>
      <c r="AL689" s="17"/>
      <c r="AM689" s="92">
        <f t="shared" si="1164"/>
        <v>0</v>
      </c>
      <c r="AN689" s="91"/>
      <c r="AO689" s="16"/>
      <c r="AP689" s="17"/>
      <c r="AQ689" s="17"/>
      <c r="AR689" s="92">
        <f t="shared" si="1165"/>
        <v>0</v>
      </c>
      <c r="AS689" s="91"/>
      <c r="AT689" s="16"/>
      <c r="AU689" s="17"/>
      <c r="AV689" s="17"/>
      <c r="AW689" s="92">
        <f t="shared" si="1166"/>
        <v>0</v>
      </c>
      <c r="AX689" s="91"/>
      <c r="AY689" s="16"/>
      <c r="AZ689" s="17"/>
      <c r="BA689" s="17"/>
      <c r="BB689" s="92">
        <f t="shared" si="1167"/>
        <v>0</v>
      </c>
      <c r="BC689" s="110">
        <f t="shared" si="1168"/>
        <v>0</v>
      </c>
    </row>
    <row r="690" spans="1:57" ht="14.25" thickBot="1" x14ac:dyDescent="0.2">
      <c r="A690" s="21" t="s">
        <v>16</v>
      </c>
      <c r="B690" s="7">
        <f>SUM(B684:B689)</f>
        <v>6</v>
      </c>
      <c r="C690" s="8">
        <f t="shared" ref="C690:E690" si="1169">SUM(C684:C689)</f>
        <v>4</v>
      </c>
      <c r="D690" s="22">
        <f t="shared" si="1169"/>
        <v>5</v>
      </c>
      <c r="E690" s="22">
        <f t="shared" si="1169"/>
        <v>9</v>
      </c>
      <c r="F690" s="87">
        <f t="shared" si="1157"/>
        <v>24</v>
      </c>
      <c r="G690" s="7">
        <f>SUM(G684:G689)</f>
        <v>10</v>
      </c>
      <c r="H690" s="8">
        <f t="shared" ref="H690:J690" si="1170">SUM(H684:H689)</f>
        <v>4</v>
      </c>
      <c r="I690" s="22">
        <f t="shared" si="1170"/>
        <v>8</v>
      </c>
      <c r="J690" s="22">
        <f t="shared" si="1170"/>
        <v>5</v>
      </c>
      <c r="K690" s="87">
        <f t="shared" si="1158"/>
        <v>27</v>
      </c>
      <c r="L690" s="7">
        <f>SUM(L684:L689)</f>
        <v>14</v>
      </c>
      <c r="M690" s="8">
        <f t="shared" ref="M690:O690" si="1171">SUM(M684:M689)</f>
        <v>7</v>
      </c>
      <c r="N690" s="22">
        <f t="shared" si="1171"/>
        <v>6</v>
      </c>
      <c r="O690" s="22">
        <f t="shared" si="1171"/>
        <v>11</v>
      </c>
      <c r="P690" s="87">
        <f t="shared" si="1159"/>
        <v>38</v>
      </c>
      <c r="Q690" s="7">
        <f>SUM(Q684:Q689)</f>
        <v>10</v>
      </c>
      <c r="R690" s="8">
        <f t="shared" ref="R690:T690" si="1172">SUM(R684:R689)</f>
        <v>5</v>
      </c>
      <c r="S690" s="22">
        <f t="shared" si="1172"/>
        <v>4</v>
      </c>
      <c r="T690" s="22">
        <f t="shared" si="1172"/>
        <v>7</v>
      </c>
      <c r="U690" s="87">
        <f t="shared" si="1160"/>
        <v>26</v>
      </c>
      <c r="V690" s="7">
        <f>SUM(V684:V689)</f>
        <v>19</v>
      </c>
      <c r="W690" s="8">
        <f t="shared" ref="W690:Y690" si="1173">SUM(W684:W689)</f>
        <v>9</v>
      </c>
      <c r="X690" s="22">
        <f t="shared" si="1173"/>
        <v>7</v>
      </c>
      <c r="Y690" s="22">
        <f t="shared" si="1173"/>
        <v>11</v>
      </c>
      <c r="Z690" s="87">
        <f t="shared" si="1161"/>
        <v>46</v>
      </c>
      <c r="AA690" s="107">
        <f t="shared" si="1162"/>
        <v>161</v>
      </c>
      <c r="AC690" s="21" t="s">
        <v>16</v>
      </c>
      <c r="AD690" s="7">
        <f>SUM(AD684:AD689)</f>
        <v>599</v>
      </c>
      <c r="AE690" s="8">
        <f t="shared" ref="AE690:AG690" si="1174">SUM(AE684:AE689)</f>
        <v>530</v>
      </c>
      <c r="AF690" s="22">
        <f t="shared" si="1174"/>
        <v>141</v>
      </c>
      <c r="AG690" s="22">
        <f t="shared" si="1174"/>
        <v>391</v>
      </c>
      <c r="AH690" s="87">
        <f t="shared" si="1163"/>
        <v>1661</v>
      </c>
      <c r="AI690" s="7">
        <f>SUM(AI684:AI689)</f>
        <v>547</v>
      </c>
      <c r="AJ690" s="8">
        <f t="shared" ref="AJ690:AL690" si="1175">SUM(AJ684:AJ689)</f>
        <v>447</v>
      </c>
      <c r="AK690" s="22">
        <f t="shared" si="1175"/>
        <v>168</v>
      </c>
      <c r="AL690" s="22">
        <f t="shared" si="1175"/>
        <v>408</v>
      </c>
      <c r="AM690" s="87">
        <f t="shared" si="1164"/>
        <v>1570</v>
      </c>
      <c r="AN690" s="7">
        <f>SUM(AN684:AN689)</f>
        <v>319</v>
      </c>
      <c r="AO690" s="8">
        <f t="shared" ref="AO690:AQ690" si="1176">SUM(AO684:AO689)</f>
        <v>284</v>
      </c>
      <c r="AP690" s="22">
        <f t="shared" si="1176"/>
        <v>190</v>
      </c>
      <c r="AQ690" s="22">
        <f t="shared" si="1176"/>
        <v>356</v>
      </c>
      <c r="AR690" s="87">
        <f t="shared" si="1165"/>
        <v>1149</v>
      </c>
      <c r="AS690" s="7">
        <f>SUM(AS684:AS689)</f>
        <v>486</v>
      </c>
      <c r="AT690" s="8">
        <f t="shared" ref="AT690:AV690" si="1177">SUM(AT684:AT689)</f>
        <v>389</v>
      </c>
      <c r="AU690" s="22">
        <f t="shared" si="1177"/>
        <v>152</v>
      </c>
      <c r="AV690" s="22">
        <f t="shared" si="1177"/>
        <v>496</v>
      </c>
      <c r="AW690" s="87">
        <f t="shared" si="1166"/>
        <v>1523</v>
      </c>
      <c r="AX690" s="7">
        <f>SUM(AX684:AX689)</f>
        <v>402</v>
      </c>
      <c r="AY690" s="8">
        <f t="shared" ref="AY690:BA690" si="1178">SUM(AY684:AY689)</f>
        <v>414</v>
      </c>
      <c r="AZ690" s="22">
        <f t="shared" si="1178"/>
        <v>291</v>
      </c>
      <c r="BA690" s="22">
        <f t="shared" si="1178"/>
        <v>90</v>
      </c>
      <c r="BB690" s="87">
        <f t="shared" si="1167"/>
        <v>1197</v>
      </c>
      <c r="BC690" s="107">
        <f t="shared" si="1168"/>
        <v>7100</v>
      </c>
    </row>
    <row r="691" spans="1:57" x14ac:dyDescent="0.15">
      <c r="A691" s="23" t="s">
        <v>621</v>
      </c>
      <c r="B691" s="15">
        <v>1</v>
      </c>
      <c r="C691" s="16"/>
      <c r="D691" s="17"/>
      <c r="E691" s="17">
        <v>1</v>
      </c>
      <c r="F691" s="85">
        <f t="shared" si="1157"/>
        <v>2</v>
      </c>
      <c r="G691" s="15"/>
      <c r="H691" s="16">
        <v>1</v>
      </c>
      <c r="I691" s="17"/>
      <c r="J691" s="17"/>
      <c r="K691" s="85">
        <f t="shared" si="1158"/>
        <v>1</v>
      </c>
      <c r="L691" s="15">
        <v>2</v>
      </c>
      <c r="M691" s="16"/>
      <c r="N691" s="17"/>
      <c r="O691" s="17">
        <v>2</v>
      </c>
      <c r="P691" s="85">
        <f t="shared" si="1159"/>
        <v>4</v>
      </c>
      <c r="Q691" s="15"/>
      <c r="R691" s="16"/>
      <c r="S691" s="17"/>
      <c r="T691" s="17">
        <v>1</v>
      </c>
      <c r="U691" s="85">
        <f t="shared" si="1160"/>
        <v>1</v>
      </c>
      <c r="V691" s="15">
        <v>12</v>
      </c>
      <c r="W691" s="16"/>
      <c r="X691" s="17"/>
      <c r="Y691" s="17">
        <v>5</v>
      </c>
      <c r="Z691" s="85">
        <f t="shared" si="1161"/>
        <v>17</v>
      </c>
      <c r="AA691" s="105">
        <f t="shared" si="1162"/>
        <v>25</v>
      </c>
      <c r="AB691" s="114">
        <v>46080</v>
      </c>
      <c r="AC691" s="23" t="s">
        <v>614</v>
      </c>
      <c r="AD691" s="15"/>
      <c r="AE691" s="16"/>
      <c r="AF691" s="17"/>
      <c r="AG691" s="17"/>
      <c r="AH691" s="85">
        <f t="shared" si="1163"/>
        <v>0</v>
      </c>
      <c r="AI691" s="15"/>
      <c r="AJ691" s="16"/>
      <c r="AK691" s="17"/>
      <c r="AL691" s="17"/>
      <c r="AM691" s="85">
        <f t="shared" si="1164"/>
        <v>0</v>
      </c>
      <c r="AN691" s="15"/>
      <c r="AO691" s="16"/>
      <c r="AP691" s="17">
        <v>6</v>
      </c>
      <c r="AQ691" s="17"/>
      <c r="AR691" s="85">
        <f t="shared" si="1165"/>
        <v>6</v>
      </c>
      <c r="AS691" s="15"/>
      <c r="AT691" s="16"/>
      <c r="AU691" s="17">
        <v>6</v>
      </c>
      <c r="AV691" s="17"/>
      <c r="AW691" s="85">
        <f t="shared" si="1166"/>
        <v>6</v>
      </c>
      <c r="AX691" s="15"/>
      <c r="AY691" s="16"/>
      <c r="AZ691" s="17">
        <v>6</v>
      </c>
      <c r="BA691" s="17"/>
      <c r="BB691" s="85">
        <f t="shared" si="1167"/>
        <v>6</v>
      </c>
      <c r="BC691" s="105">
        <f t="shared" si="1168"/>
        <v>18</v>
      </c>
      <c r="BD691" s="114">
        <v>46071</v>
      </c>
    </row>
    <row r="692" spans="1:57" x14ac:dyDescent="0.15">
      <c r="A692" s="23" t="s">
        <v>43</v>
      </c>
      <c r="B692" s="15"/>
      <c r="C692" s="16"/>
      <c r="D692" s="17"/>
      <c r="E692" s="17"/>
      <c r="F692" s="85">
        <f t="shared" si="1157"/>
        <v>0</v>
      </c>
      <c r="G692" s="15"/>
      <c r="H692" s="16"/>
      <c r="I692" s="17"/>
      <c r="J692" s="17"/>
      <c r="K692" s="85">
        <f t="shared" si="1158"/>
        <v>0</v>
      </c>
      <c r="L692" s="15"/>
      <c r="M692" s="16"/>
      <c r="N692" s="17"/>
      <c r="O692" s="17"/>
      <c r="P692" s="85">
        <f t="shared" si="1159"/>
        <v>0</v>
      </c>
      <c r="Q692" s="15">
        <v>5</v>
      </c>
      <c r="R692" s="16"/>
      <c r="S692" s="17"/>
      <c r="T692" s="17"/>
      <c r="U692" s="85">
        <f t="shared" si="1160"/>
        <v>5</v>
      </c>
      <c r="V692" s="15"/>
      <c r="W692" s="16"/>
      <c r="X692" s="17"/>
      <c r="Y692" s="17"/>
      <c r="Z692" s="85">
        <f t="shared" si="1161"/>
        <v>0</v>
      </c>
      <c r="AA692" s="105">
        <f t="shared" si="1162"/>
        <v>5</v>
      </c>
      <c r="AB692" s="114">
        <v>46077</v>
      </c>
      <c r="AC692" s="23" t="s">
        <v>615</v>
      </c>
      <c r="AD692" s="15"/>
      <c r="AE692" s="16"/>
      <c r="AF692" s="17">
        <v>8</v>
      </c>
      <c r="AG692" s="17"/>
      <c r="AH692" s="85">
        <f t="shared" si="1163"/>
        <v>8</v>
      </c>
      <c r="AI692" s="15"/>
      <c r="AJ692" s="16"/>
      <c r="AK692" s="17">
        <v>8</v>
      </c>
      <c r="AL692" s="17"/>
      <c r="AM692" s="85">
        <f t="shared" si="1164"/>
        <v>8</v>
      </c>
      <c r="AN692" s="15"/>
      <c r="AO692" s="16"/>
      <c r="AP692" s="17"/>
      <c r="AQ692" s="17"/>
      <c r="AR692" s="85">
        <f t="shared" si="1165"/>
        <v>0</v>
      </c>
      <c r="AS692" s="15"/>
      <c r="AT692" s="16"/>
      <c r="AU692" s="17"/>
      <c r="AV692" s="17"/>
      <c r="AW692" s="85">
        <f t="shared" si="1166"/>
        <v>0</v>
      </c>
      <c r="AX692" s="15"/>
      <c r="AY692" s="16"/>
      <c r="AZ692" s="17">
        <v>8</v>
      </c>
      <c r="BA692" s="17"/>
      <c r="BB692" s="85">
        <f t="shared" si="1167"/>
        <v>8</v>
      </c>
      <c r="BC692" s="105">
        <f t="shared" si="1168"/>
        <v>24</v>
      </c>
      <c r="BD692" s="114">
        <v>46071</v>
      </c>
    </row>
    <row r="693" spans="1:57" x14ac:dyDescent="0.15">
      <c r="A693" s="23" t="s">
        <v>43</v>
      </c>
      <c r="B693" s="15">
        <v>1</v>
      </c>
      <c r="C693" s="16"/>
      <c r="D693" s="17"/>
      <c r="E693" s="17"/>
      <c r="F693" s="85">
        <f t="shared" si="1157"/>
        <v>1</v>
      </c>
      <c r="G693" s="15">
        <v>1</v>
      </c>
      <c r="H693" s="16"/>
      <c r="I693" s="17"/>
      <c r="J693" s="17"/>
      <c r="K693" s="85">
        <f t="shared" si="1158"/>
        <v>1</v>
      </c>
      <c r="L693" s="15">
        <v>1</v>
      </c>
      <c r="M693" s="16"/>
      <c r="N693" s="17"/>
      <c r="O693" s="17"/>
      <c r="P693" s="85">
        <f t="shared" si="1159"/>
        <v>1</v>
      </c>
      <c r="Q693" s="15">
        <v>1</v>
      </c>
      <c r="R693" s="16"/>
      <c r="S693" s="17"/>
      <c r="T693" s="17"/>
      <c r="U693" s="85">
        <f t="shared" si="1160"/>
        <v>1</v>
      </c>
      <c r="V693" s="15">
        <v>1</v>
      </c>
      <c r="W693" s="16"/>
      <c r="X693" s="17"/>
      <c r="Y693" s="17"/>
      <c r="Z693" s="85">
        <f t="shared" si="1161"/>
        <v>1</v>
      </c>
      <c r="AA693" s="105">
        <f t="shared" si="1162"/>
        <v>5</v>
      </c>
      <c r="AB693" s="115">
        <v>46083</v>
      </c>
      <c r="AC693" s="23" t="s">
        <v>616</v>
      </c>
      <c r="AD693" s="15"/>
      <c r="AE693" s="16"/>
      <c r="AF693" s="17"/>
      <c r="AG693" s="17"/>
      <c r="AH693" s="85">
        <f t="shared" si="1163"/>
        <v>0</v>
      </c>
      <c r="AI693" s="15"/>
      <c r="AJ693" s="16"/>
      <c r="AK693" s="17"/>
      <c r="AL693" s="17"/>
      <c r="AM693" s="85">
        <f t="shared" si="1164"/>
        <v>0</v>
      </c>
      <c r="AN693" s="15">
        <v>3</v>
      </c>
      <c r="AO693" s="16"/>
      <c r="AP693" s="17"/>
      <c r="AQ693" s="17"/>
      <c r="AR693" s="85">
        <f t="shared" si="1165"/>
        <v>3</v>
      </c>
      <c r="AS693" s="15">
        <v>3</v>
      </c>
      <c r="AT693" s="16"/>
      <c r="AU693" s="17"/>
      <c r="AV693" s="17"/>
      <c r="AW693" s="85">
        <f t="shared" si="1166"/>
        <v>3</v>
      </c>
      <c r="AX693" s="15">
        <v>3</v>
      </c>
      <c r="AY693" s="16"/>
      <c r="AZ693" s="17"/>
      <c r="BA693" s="17"/>
      <c r="BB693" s="85">
        <f t="shared" si="1167"/>
        <v>3</v>
      </c>
      <c r="BC693" s="105">
        <f t="shared" si="1168"/>
        <v>9</v>
      </c>
      <c r="BD693" s="114">
        <v>46071</v>
      </c>
    </row>
    <row r="694" spans="1:57" x14ac:dyDescent="0.15">
      <c r="A694" s="23" t="s">
        <v>43</v>
      </c>
      <c r="B694" s="15"/>
      <c r="C694" s="16"/>
      <c r="D694" s="17"/>
      <c r="E694" s="17"/>
      <c r="F694" s="85">
        <f t="shared" ref="F694" si="1179">SUM(B694:E694)</f>
        <v>0</v>
      </c>
      <c r="G694" s="15"/>
      <c r="H694" s="16"/>
      <c r="I694" s="17"/>
      <c r="J694" s="17"/>
      <c r="K694" s="85">
        <f t="shared" ref="K694" si="1180">SUM(G694:J694)</f>
        <v>0</v>
      </c>
      <c r="L694" s="15"/>
      <c r="M694" s="16"/>
      <c r="N694" s="17"/>
      <c r="O694" s="17"/>
      <c r="P694" s="85">
        <f t="shared" ref="P694" si="1181">SUM(L694:O694)</f>
        <v>0</v>
      </c>
      <c r="Q694" s="15"/>
      <c r="R694" s="16"/>
      <c r="S694" s="17"/>
      <c r="T694" s="17"/>
      <c r="U694" s="85">
        <f t="shared" ref="U694" si="1182">SUM(Q694:T694)</f>
        <v>0</v>
      </c>
      <c r="V694" s="15"/>
      <c r="W694" s="16">
        <v>1</v>
      </c>
      <c r="X694" s="17"/>
      <c r="Y694" s="17"/>
      <c r="Z694" s="85">
        <f t="shared" ref="Z694" si="1183">SUM(V694:Y694)</f>
        <v>1</v>
      </c>
      <c r="AA694" s="105">
        <f t="shared" ref="AA694" si="1184">Z694+U694+P694+K694+F694</f>
        <v>1</v>
      </c>
      <c r="AB694" s="115">
        <v>46090</v>
      </c>
      <c r="AC694" s="23" t="s">
        <v>618</v>
      </c>
      <c r="AD694" s="15"/>
      <c r="AE694" s="16"/>
      <c r="AF694" s="17"/>
      <c r="AG694" s="17"/>
      <c r="AH694" s="85">
        <f t="shared" si="1163"/>
        <v>0</v>
      </c>
      <c r="AI694" s="15"/>
      <c r="AJ694" s="16"/>
      <c r="AK694" s="17"/>
      <c r="AL694" s="17"/>
      <c r="AM694" s="85">
        <f t="shared" si="1164"/>
        <v>0</v>
      </c>
      <c r="AN694" s="15">
        <v>4</v>
      </c>
      <c r="AO694" s="16">
        <v>9</v>
      </c>
      <c r="AP694" s="17"/>
      <c r="AQ694" s="17"/>
      <c r="AR694" s="85">
        <f t="shared" si="1165"/>
        <v>13</v>
      </c>
      <c r="AS694" s="15">
        <v>4</v>
      </c>
      <c r="AT694" s="16">
        <v>9</v>
      </c>
      <c r="AU694" s="17"/>
      <c r="AV694" s="17"/>
      <c r="AW694" s="85">
        <f t="shared" si="1166"/>
        <v>13</v>
      </c>
      <c r="AX694" s="15">
        <v>4</v>
      </c>
      <c r="AY694" s="16">
        <v>9</v>
      </c>
      <c r="AZ694" s="17"/>
      <c r="BA694" s="17"/>
      <c r="BB694" s="85">
        <f t="shared" si="1167"/>
        <v>13</v>
      </c>
      <c r="BC694" s="105">
        <f t="shared" si="1168"/>
        <v>39</v>
      </c>
      <c r="BD694" s="114">
        <v>46073</v>
      </c>
    </row>
    <row r="695" spans="1:57" x14ac:dyDescent="0.15">
      <c r="A695" s="23" t="s">
        <v>43</v>
      </c>
      <c r="B695" s="15"/>
      <c r="C695" s="16"/>
      <c r="D695" s="17"/>
      <c r="E695" s="17">
        <v>1</v>
      </c>
      <c r="F695" s="85">
        <f t="shared" si="1157"/>
        <v>1</v>
      </c>
      <c r="G695" s="15"/>
      <c r="H695" s="16"/>
      <c r="I695" s="17"/>
      <c r="J695" s="17">
        <v>1</v>
      </c>
      <c r="K695" s="85">
        <f t="shared" si="1158"/>
        <v>1</v>
      </c>
      <c r="L695" s="15"/>
      <c r="M695" s="16"/>
      <c r="N695" s="17"/>
      <c r="O695" s="17">
        <v>1</v>
      </c>
      <c r="P695" s="85">
        <f t="shared" si="1159"/>
        <v>1</v>
      </c>
      <c r="Q695" s="15"/>
      <c r="R695" s="16"/>
      <c r="S695" s="17"/>
      <c r="T695" s="17">
        <v>1</v>
      </c>
      <c r="U695" s="85">
        <f t="shared" si="1160"/>
        <v>1</v>
      </c>
      <c r="V695" s="15"/>
      <c r="W695" s="16"/>
      <c r="X695" s="17"/>
      <c r="Y695" s="17">
        <v>1</v>
      </c>
      <c r="Z695" s="85">
        <f t="shared" si="1161"/>
        <v>1</v>
      </c>
      <c r="AA695" s="105">
        <f t="shared" si="1162"/>
        <v>5</v>
      </c>
      <c r="AB695" s="115">
        <v>46097</v>
      </c>
      <c r="AC695" s="23" t="s">
        <v>619</v>
      </c>
      <c r="AD695" s="15"/>
      <c r="AE695" s="16">
        <v>8</v>
      </c>
      <c r="AF695" s="17"/>
      <c r="AG695" s="17"/>
      <c r="AH695" s="85">
        <f t="shared" si="1163"/>
        <v>8</v>
      </c>
      <c r="AI695" s="15"/>
      <c r="AJ695" s="16">
        <v>8</v>
      </c>
      <c r="AK695" s="17"/>
      <c r="AL695" s="17"/>
      <c r="AM695" s="85">
        <f t="shared" si="1164"/>
        <v>8</v>
      </c>
      <c r="AN695" s="15"/>
      <c r="AO695" s="16"/>
      <c r="AP695" s="17"/>
      <c r="AQ695" s="17"/>
      <c r="AR695" s="85">
        <f t="shared" si="1165"/>
        <v>0</v>
      </c>
      <c r="AS695" s="15"/>
      <c r="AT695" s="16"/>
      <c r="AU695" s="17"/>
      <c r="AV695" s="17"/>
      <c r="AW695" s="85">
        <f t="shared" si="1166"/>
        <v>0</v>
      </c>
      <c r="AX695" s="15"/>
      <c r="AY695" s="16">
        <v>8</v>
      </c>
      <c r="AZ695" s="17"/>
      <c r="BA695" s="17"/>
      <c r="BB695" s="85">
        <f t="shared" si="1167"/>
        <v>8</v>
      </c>
      <c r="BC695" s="105">
        <f t="shared" si="1168"/>
        <v>24</v>
      </c>
      <c r="BD695" s="114">
        <v>46077</v>
      </c>
    </row>
    <row r="696" spans="1:57" x14ac:dyDescent="0.15">
      <c r="A696" s="23" t="s">
        <v>43</v>
      </c>
      <c r="B696" s="15"/>
      <c r="C696" s="16"/>
      <c r="D696" s="17"/>
      <c r="E696" s="17"/>
      <c r="F696" s="85">
        <f t="shared" si="1157"/>
        <v>0</v>
      </c>
      <c r="G696" s="15"/>
      <c r="H696" s="16"/>
      <c r="I696" s="17"/>
      <c r="J696" s="17"/>
      <c r="K696" s="85">
        <f t="shared" si="1158"/>
        <v>0</v>
      </c>
      <c r="L696" s="15"/>
      <c r="M696" s="16"/>
      <c r="N696" s="17">
        <v>1</v>
      </c>
      <c r="O696" s="17"/>
      <c r="P696" s="85">
        <f t="shared" si="1159"/>
        <v>1</v>
      </c>
      <c r="Q696" s="15"/>
      <c r="R696" s="16"/>
      <c r="S696" s="17">
        <v>1</v>
      </c>
      <c r="T696" s="17"/>
      <c r="U696" s="85">
        <f t="shared" si="1160"/>
        <v>1</v>
      </c>
      <c r="V696" s="15"/>
      <c r="W696" s="16"/>
      <c r="X696" s="17">
        <v>1</v>
      </c>
      <c r="Y696" s="17"/>
      <c r="Z696" s="85">
        <f t="shared" si="1161"/>
        <v>1</v>
      </c>
      <c r="AA696" s="105">
        <f t="shared" si="1162"/>
        <v>3</v>
      </c>
      <c r="AB696" s="115">
        <v>46100</v>
      </c>
      <c r="AC696" s="23" t="s">
        <v>620</v>
      </c>
      <c r="AD696" s="15"/>
      <c r="AE696" s="16"/>
      <c r="AF696" s="17"/>
      <c r="AG696" s="17"/>
      <c r="AH696" s="85">
        <f t="shared" si="1163"/>
        <v>0</v>
      </c>
      <c r="AI696" s="15"/>
      <c r="AJ696" s="16"/>
      <c r="AK696" s="17"/>
      <c r="AL696" s="17"/>
      <c r="AM696" s="85">
        <f t="shared" si="1164"/>
        <v>0</v>
      </c>
      <c r="AN696" s="15">
        <v>7</v>
      </c>
      <c r="AO696" s="16"/>
      <c r="AP696" s="17"/>
      <c r="AQ696" s="17"/>
      <c r="AR696" s="85">
        <f t="shared" si="1165"/>
        <v>7</v>
      </c>
      <c r="AS696" s="15">
        <v>7</v>
      </c>
      <c r="AT696" s="16"/>
      <c r="AU696" s="17"/>
      <c r="AV696" s="17"/>
      <c r="AW696" s="85">
        <f t="shared" si="1166"/>
        <v>7</v>
      </c>
      <c r="AX696" s="15">
        <v>7</v>
      </c>
      <c r="AY696" s="16"/>
      <c r="AZ696" s="17"/>
      <c r="BA696" s="17"/>
      <c r="BB696" s="85">
        <f t="shared" si="1167"/>
        <v>7</v>
      </c>
      <c r="BC696" s="105">
        <f t="shared" si="1168"/>
        <v>21</v>
      </c>
      <c r="BD696" s="114">
        <v>46080</v>
      </c>
    </row>
    <row r="697" spans="1:57" x14ac:dyDescent="0.15">
      <c r="A697" s="23" t="s">
        <v>43</v>
      </c>
      <c r="B697" s="15">
        <v>1</v>
      </c>
      <c r="C697" s="16">
        <v>1</v>
      </c>
      <c r="D697" s="17"/>
      <c r="E697" s="17"/>
      <c r="F697" s="85">
        <f t="shared" si="1157"/>
        <v>2</v>
      </c>
      <c r="G697" s="15">
        <v>1</v>
      </c>
      <c r="H697" s="16"/>
      <c r="I697" s="17"/>
      <c r="J697" s="17"/>
      <c r="K697" s="85">
        <f t="shared" si="1158"/>
        <v>1</v>
      </c>
      <c r="L697" s="15"/>
      <c r="M697" s="16"/>
      <c r="N697" s="17"/>
      <c r="O697" s="17"/>
      <c r="P697" s="85">
        <f t="shared" si="1159"/>
        <v>0</v>
      </c>
      <c r="Q697" s="15"/>
      <c r="R697" s="16"/>
      <c r="S697" s="17"/>
      <c r="T697" s="17"/>
      <c r="U697" s="85">
        <f t="shared" si="1160"/>
        <v>0</v>
      </c>
      <c r="V697" s="15">
        <v>1</v>
      </c>
      <c r="W697" s="16"/>
      <c r="X697" s="17"/>
      <c r="Y697" s="17"/>
      <c r="Z697" s="85">
        <f t="shared" si="1161"/>
        <v>1</v>
      </c>
      <c r="AA697" s="105">
        <f t="shared" si="1162"/>
        <v>4</v>
      </c>
      <c r="AB697" s="115">
        <v>46104</v>
      </c>
      <c r="AC697" s="245" t="s">
        <v>622</v>
      </c>
      <c r="AD697" s="234"/>
      <c r="AE697" s="235"/>
      <c r="AF697" s="236"/>
      <c r="AG697" s="236"/>
      <c r="AH697" s="237">
        <f t="shared" si="1163"/>
        <v>0</v>
      </c>
      <c r="AI697" s="234"/>
      <c r="AJ697" s="235"/>
      <c r="AK697" s="236">
        <v>5</v>
      </c>
      <c r="AL697" s="236"/>
      <c r="AM697" s="237">
        <f t="shared" si="1164"/>
        <v>5</v>
      </c>
      <c r="AN697" s="234">
        <v>5</v>
      </c>
      <c r="AO697" s="235"/>
      <c r="AP697" s="236"/>
      <c r="AQ697" s="236">
        <v>5</v>
      </c>
      <c r="AR697" s="237">
        <f t="shared" si="1165"/>
        <v>10</v>
      </c>
      <c r="AS697" s="234">
        <v>5</v>
      </c>
      <c r="AT697" s="235"/>
      <c r="AU697" s="236"/>
      <c r="AV697" s="236"/>
      <c r="AW697" s="237">
        <f t="shared" si="1166"/>
        <v>5</v>
      </c>
      <c r="AX697" s="234">
        <v>12</v>
      </c>
      <c r="AY697" s="235"/>
      <c r="AZ697" s="236"/>
      <c r="BA697" s="236">
        <v>5</v>
      </c>
      <c r="BB697" s="237">
        <f t="shared" si="1167"/>
        <v>17</v>
      </c>
      <c r="BC697" s="239">
        <f t="shared" si="1168"/>
        <v>37</v>
      </c>
      <c r="BD697" s="240">
        <v>46078</v>
      </c>
    </row>
    <row r="698" spans="1:57" x14ac:dyDescent="0.15">
      <c r="A698" s="23" t="s">
        <v>43</v>
      </c>
      <c r="B698" s="15"/>
      <c r="C698" s="16"/>
      <c r="D698" s="17"/>
      <c r="E698" s="17"/>
      <c r="F698" s="85">
        <f t="shared" si="1157"/>
        <v>0</v>
      </c>
      <c r="G698" s="15"/>
      <c r="H698" s="16"/>
      <c r="I698" s="17"/>
      <c r="J698" s="17">
        <v>1</v>
      </c>
      <c r="K698" s="85">
        <f t="shared" si="1158"/>
        <v>1</v>
      </c>
      <c r="L698" s="15"/>
      <c r="M698" s="16"/>
      <c r="N698" s="17"/>
      <c r="O698" s="17"/>
      <c r="P698" s="85">
        <f t="shared" si="1159"/>
        <v>0</v>
      </c>
      <c r="Q698" s="15"/>
      <c r="R698" s="16"/>
      <c r="S698" s="17"/>
      <c r="T698" s="17"/>
      <c r="U698" s="85">
        <f t="shared" si="1160"/>
        <v>0</v>
      </c>
      <c r="V698" s="15"/>
      <c r="W698" s="16"/>
      <c r="X698" s="17"/>
      <c r="Y698" s="17"/>
      <c r="Z698" s="85">
        <f t="shared" si="1161"/>
        <v>0</v>
      </c>
      <c r="AA698" s="105">
        <f t="shared" si="1162"/>
        <v>1</v>
      </c>
      <c r="AB698" s="115">
        <v>46106</v>
      </c>
      <c r="AC698" s="23" t="s">
        <v>623</v>
      </c>
      <c r="AD698" s="15"/>
      <c r="AE698" s="16"/>
      <c r="AF698" s="17"/>
      <c r="AG698" s="17"/>
      <c r="AH698" s="85">
        <f t="shared" si="1163"/>
        <v>0</v>
      </c>
      <c r="AI698" s="15"/>
      <c r="AJ698" s="16"/>
      <c r="AK698" s="17"/>
      <c r="AL698" s="17"/>
      <c r="AM698" s="85">
        <f t="shared" si="1164"/>
        <v>0</v>
      </c>
      <c r="AN698" s="15">
        <v>4</v>
      </c>
      <c r="AO698" s="16"/>
      <c r="AP698" s="17">
        <v>6</v>
      </c>
      <c r="AQ698" s="17"/>
      <c r="AR698" s="85">
        <f t="shared" si="1165"/>
        <v>10</v>
      </c>
      <c r="AS698" s="15">
        <v>4</v>
      </c>
      <c r="AT698" s="16"/>
      <c r="AU698" s="17">
        <v>6</v>
      </c>
      <c r="AV698" s="17"/>
      <c r="AW698" s="85">
        <f t="shared" si="1166"/>
        <v>10</v>
      </c>
      <c r="AX698" s="15">
        <v>4</v>
      </c>
      <c r="AY698" s="16"/>
      <c r="AZ698" s="17">
        <v>6</v>
      </c>
      <c r="BA698" s="17"/>
      <c r="BB698" s="85">
        <f t="shared" si="1167"/>
        <v>10</v>
      </c>
      <c r="BC698" s="105">
        <f t="shared" si="1168"/>
        <v>30</v>
      </c>
      <c r="BD698" s="114">
        <v>46084</v>
      </c>
      <c r="BE698" s="76"/>
    </row>
    <row r="699" spans="1:57" x14ac:dyDescent="0.15">
      <c r="A699" s="23" t="s">
        <v>171</v>
      </c>
      <c r="B699" s="15">
        <v>-1</v>
      </c>
      <c r="C699" s="16"/>
      <c r="D699" s="17"/>
      <c r="E699" s="17"/>
      <c r="F699" s="85">
        <f t="shared" si="1157"/>
        <v>-1</v>
      </c>
      <c r="G699" s="15">
        <v>-1</v>
      </c>
      <c r="H699" s="16"/>
      <c r="I699" s="17"/>
      <c r="J699" s="17"/>
      <c r="K699" s="85">
        <f t="shared" si="1158"/>
        <v>-1</v>
      </c>
      <c r="L699" s="15"/>
      <c r="M699" s="16"/>
      <c r="N699" s="17"/>
      <c r="O699" s="17"/>
      <c r="P699" s="85">
        <f t="shared" si="1159"/>
        <v>0</v>
      </c>
      <c r="Q699" s="15"/>
      <c r="R699" s="16"/>
      <c r="S699" s="17"/>
      <c r="T699" s="17"/>
      <c r="U699" s="85">
        <f t="shared" si="1160"/>
        <v>0</v>
      </c>
      <c r="V699" s="15">
        <v>-1</v>
      </c>
      <c r="W699" s="16"/>
      <c r="X699" s="17"/>
      <c r="Y699" s="17"/>
      <c r="Z699" s="85">
        <f t="shared" si="1161"/>
        <v>-1</v>
      </c>
      <c r="AA699" s="105">
        <f t="shared" si="1162"/>
        <v>-3</v>
      </c>
      <c r="AB699" s="115">
        <v>46107</v>
      </c>
      <c r="AC699" s="23" t="s">
        <v>624</v>
      </c>
      <c r="AD699" s="15">
        <v>1</v>
      </c>
      <c r="AE699" s="16"/>
      <c r="AF699" s="17"/>
      <c r="AG699" s="17">
        <v>1</v>
      </c>
      <c r="AH699" s="85">
        <f t="shared" si="1163"/>
        <v>2</v>
      </c>
      <c r="AI699" s="15">
        <v>1</v>
      </c>
      <c r="AJ699" s="16">
        <v>1</v>
      </c>
      <c r="AK699" s="17"/>
      <c r="AL699" s="17">
        <v>1</v>
      </c>
      <c r="AM699" s="85">
        <f t="shared" si="1164"/>
        <v>3</v>
      </c>
      <c r="AN699" s="15">
        <v>1</v>
      </c>
      <c r="AO699" s="16"/>
      <c r="AP699" s="17"/>
      <c r="AQ699" s="17">
        <v>3</v>
      </c>
      <c r="AR699" s="85">
        <f t="shared" si="1165"/>
        <v>4</v>
      </c>
      <c r="AS699" s="15">
        <v>1</v>
      </c>
      <c r="AT699" s="16">
        <v>3</v>
      </c>
      <c r="AU699" s="17"/>
      <c r="AV699" s="17">
        <v>3</v>
      </c>
      <c r="AW699" s="85">
        <f t="shared" si="1166"/>
        <v>7</v>
      </c>
      <c r="AX699" s="15"/>
      <c r="AY699" s="16"/>
      <c r="AZ699" s="17"/>
      <c r="BA699" s="17">
        <v>1</v>
      </c>
      <c r="BB699" s="85">
        <f t="shared" si="1167"/>
        <v>1</v>
      </c>
      <c r="BC699" s="105">
        <f t="shared" si="1168"/>
        <v>17</v>
      </c>
      <c r="BD699" s="114">
        <v>46087</v>
      </c>
    </row>
    <row r="700" spans="1:57" x14ac:dyDescent="0.15">
      <c r="A700" s="23" t="s">
        <v>634</v>
      </c>
      <c r="B700" s="18"/>
      <c r="C700" s="19"/>
      <c r="D700" s="20"/>
      <c r="E700" s="20"/>
      <c r="F700" s="85">
        <f t="shared" si="1157"/>
        <v>0</v>
      </c>
      <c r="G700" s="18"/>
      <c r="H700" s="19"/>
      <c r="I700" s="20"/>
      <c r="J700" s="20"/>
      <c r="K700" s="85">
        <f t="shared" si="1158"/>
        <v>0</v>
      </c>
      <c r="L700" s="18"/>
      <c r="M700" s="19"/>
      <c r="N700" s="20"/>
      <c r="O700" s="20"/>
      <c r="P700" s="85">
        <f t="shared" si="1159"/>
        <v>0</v>
      </c>
      <c r="Q700" s="18"/>
      <c r="R700" s="19"/>
      <c r="S700" s="20"/>
      <c r="T700" s="20"/>
      <c r="U700" s="85">
        <f t="shared" si="1160"/>
        <v>0</v>
      </c>
      <c r="V700" s="18"/>
      <c r="W700" s="19">
        <v>1</v>
      </c>
      <c r="X700" s="20">
        <v>1</v>
      </c>
      <c r="Y700" s="20"/>
      <c r="Z700" s="85">
        <f t="shared" si="1161"/>
        <v>2</v>
      </c>
      <c r="AA700" s="105">
        <f t="shared" si="1162"/>
        <v>2</v>
      </c>
      <c r="AB700" s="114">
        <v>46115</v>
      </c>
      <c r="AC700" s="23" t="s">
        <v>625</v>
      </c>
      <c r="AD700" s="18">
        <v>4</v>
      </c>
      <c r="AE700" s="19"/>
      <c r="AF700" s="20"/>
      <c r="AG700" s="20"/>
      <c r="AH700" s="85">
        <f t="shared" si="1163"/>
        <v>4</v>
      </c>
      <c r="AI700" s="18">
        <v>4</v>
      </c>
      <c r="AJ700" s="19"/>
      <c r="AK700" s="20"/>
      <c r="AL700" s="20"/>
      <c r="AM700" s="85">
        <f t="shared" si="1164"/>
        <v>4</v>
      </c>
      <c r="AN700" s="18"/>
      <c r="AO700" s="19"/>
      <c r="AP700" s="20"/>
      <c r="AQ700" s="20"/>
      <c r="AR700" s="85">
        <f t="shared" si="1165"/>
        <v>0</v>
      </c>
      <c r="AS700" s="18"/>
      <c r="AT700" s="19"/>
      <c r="AU700" s="20"/>
      <c r="AV700" s="20"/>
      <c r="AW700" s="85">
        <f t="shared" si="1166"/>
        <v>0</v>
      </c>
      <c r="AX700" s="18">
        <v>4</v>
      </c>
      <c r="AY700" s="19"/>
      <c r="AZ700" s="20"/>
      <c r="BA700" s="20"/>
      <c r="BB700" s="85">
        <f t="shared" si="1167"/>
        <v>4</v>
      </c>
      <c r="BC700" s="105">
        <f t="shared" si="1168"/>
        <v>12</v>
      </c>
      <c r="BD700" s="114">
        <v>46091</v>
      </c>
    </row>
    <row r="701" spans="1:57" x14ac:dyDescent="0.15">
      <c r="A701" s="23" t="s">
        <v>43</v>
      </c>
      <c r="B701" s="15"/>
      <c r="C701" s="16"/>
      <c r="D701" s="17"/>
      <c r="E701" s="17"/>
      <c r="F701" s="85">
        <f t="shared" si="1157"/>
        <v>0</v>
      </c>
      <c r="G701" s="15"/>
      <c r="H701" s="16"/>
      <c r="I701" s="17"/>
      <c r="J701" s="17"/>
      <c r="K701" s="85">
        <f t="shared" si="1158"/>
        <v>0</v>
      </c>
      <c r="L701" s="15"/>
      <c r="M701" s="16"/>
      <c r="N701" s="17"/>
      <c r="O701" s="17"/>
      <c r="P701" s="85">
        <f t="shared" si="1159"/>
        <v>0</v>
      </c>
      <c r="Q701" s="15"/>
      <c r="R701" s="16"/>
      <c r="S701" s="17"/>
      <c r="T701" s="17">
        <v>1</v>
      </c>
      <c r="U701" s="85">
        <f t="shared" si="1160"/>
        <v>1</v>
      </c>
      <c r="V701" s="15"/>
      <c r="W701" s="16"/>
      <c r="X701" s="17"/>
      <c r="Y701" s="17"/>
      <c r="Z701" s="85">
        <f t="shared" si="1161"/>
        <v>0</v>
      </c>
      <c r="AA701" s="105">
        <f t="shared" si="1162"/>
        <v>1</v>
      </c>
      <c r="AB701" s="115">
        <v>46118</v>
      </c>
      <c r="AC701" s="23" t="s">
        <v>626</v>
      </c>
      <c r="AD701" s="15"/>
      <c r="AE701" s="16"/>
      <c r="AF701" s="17"/>
      <c r="AG701" s="17"/>
      <c r="AH701" s="85">
        <f t="shared" si="1163"/>
        <v>0</v>
      </c>
      <c r="AI701" s="15"/>
      <c r="AJ701" s="16"/>
      <c r="AK701" s="17"/>
      <c r="AL701" s="17"/>
      <c r="AM701" s="85">
        <f t="shared" si="1164"/>
        <v>0</v>
      </c>
      <c r="AN701" s="15"/>
      <c r="AO701" s="16">
        <v>4</v>
      </c>
      <c r="AP701" s="17">
        <v>5</v>
      </c>
      <c r="AQ701" s="17"/>
      <c r="AR701" s="85">
        <f t="shared" si="1165"/>
        <v>9</v>
      </c>
      <c r="AS701" s="15"/>
      <c r="AT701" s="16">
        <v>4</v>
      </c>
      <c r="AU701" s="17">
        <v>5</v>
      </c>
      <c r="AV701" s="17"/>
      <c r="AW701" s="85">
        <f t="shared" si="1166"/>
        <v>9</v>
      </c>
      <c r="AX701" s="15"/>
      <c r="AY701" s="16">
        <v>4</v>
      </c>
      <c r="AZ701" s="17">
        <v>5</v>
      </c>
      <c r="BA701" s="17"/>
      <c r="BB701" s="85">
        <f t="shared" si="1167"/>
        <v>9</v>
      </c>
      <c r="BC701" s="105">
        <f t="shared" si="1168"/>
        <v>27</v>
      </c>
      <c r="BD701" s="114">
        <v>46091</v>
      </c>
    </row>
    <row r="702" spans="1:57" x14ac:dyDescent="0.15">
      <c r="A702" s="23" t="s">
        <v>43</v>
      </c>
      <c r="B702" s="15"/>
      <c r="C702" s="16"/>
      <c r="D702" s="17"/>
      <c r="E702" s="17"/>
      <c r="F702" s="85">
        <f t="shared" si="1157"/>
        <v>0</v>
      </c>
      <c r="G702" s="15"/>
      <c r="H702" s="16"/>
      <c r="I702" s="17"/>
      <c r="J702" s="17"/>
      <c r="K702" s="85">
        <f t="shared" si="1158"/>
        <v>0</v>
      </c>
      <c r="L702" s="15"/>
      <c r="M702" s="16"/>
      <c r="N702" s="17"/>
      <c r="O702" s="17"/>
      <c r="P702" s="85">
        <f t="shared" si="1159"/>
        <v>0</v>
      </c>
      <c r="Q702" s="15">
        <v>1</v>
      </c>
      <c r="R702" s="16"/>
      <c r="S702" s="17"/>
      <c r="T702" s="17"/>
      <c r="U702" s="85">
        <f t="shared" si="1160"/>
        <v>1</v>
      </c>
      <c r="V702" s="15"/>
      <c r="W702" s="16"/>
      <c r="X702" s="17"/>
      <c r="Y702" s="17"/>
      <c r="Z702" s="85">
        <f t="shared" si="1161"/>
        <v>0</v>
      </c>
      <c r="AA702" s="105">
        <f t="shared" si="1162"/>
        <v>1</v>
      </c>
      <c r="AB702" s="115">
        <v>46120</v>
      </c>
      <c r="AC702" s="54" t="s">
        <v>574</v>
      </c>
      <c r="AD702" s="15"/>
      <c r="AE702" s="16"/>
      <c r="AF702" s="17">
        <v>3</v>
      </c>
      <c r="AG702" s="17"/>
      <c r="AH702" s="85">
        <f t="shared" si="1163"/>
        <v>3</v>
      </c>
      <c r="AI702" s="15"/>
      <c r="AJ702" s="16"/>
      <c r="AK702" s="17"/>
      <c r="AL702" s="17"/>
      <c r="AM702" s="85">
        <f t="shared" si="1164"/>
        <v>0</v>
      </c>
      <c r="AN702" s="15"/>
      <c r="AO702" s="16"/>
      <c r="AP702" s="17"/>
      <c r="AQ702" s="17"/>
      <c r="AR702" s="85">
        <f t="shared" si="1165"/>
        <v>0</v>
      </c>
      <c r="AS702" s="15"/>
      <c r="AT702" s="16"/>
      <c r="AU702" s="17"/>
      <c r="AV702" s="17"/>
      <c r="AW702" s="85">
        <f t="shared" si="1166"/>
        <v>0</v>
      </c>
      <c r="AX702" s="15"/>
      <c r="AY702" s="16"/>
      <c r="AZ702" s="17"/>
      <c r="BA702" s="17"/>
      <c r="BB702" s="85">
        <f t="shared" si="1167"/>
        <v>0</v>
      </c>
      <c r="BC702" s="105">
        <f t="shared" si="1168"/>
        <v>3</v>
      </c>
      <c r="BD702" s="114">
        <v>46102</v>
      </c>
    </row>
    <row r="703" spans="1:57" x14ac:dyDescent="0.15">
      <c r="A703" s="23" t="s">
        <v>43</v>
      </c>
      <c r="B703" s="15"/>
      <c r="C703" s="16"/>
      <c r="D703" s="17"/>
      <c r="E703" s="17">
        <v>2</v>
      </c>
      <c r="F703" s="85">
        <f t="shared" si="1157"/>
        <v>2</v>
      </c>
      <c r="G703" s="15"/>
      <c r="H703" s="16"/>
      <c r="I703" s="17"/>
      <c r="J703" s="17">
        <v>2</v>
      </c>
      <c r="K703" s="85">
        <f t="shared" si="1158"/>
        <v>2</v>
      </c>
      <c r="L703" s="15"/>
      <c r="M703" s="16">
        <v>1</v>
      </c>
      <c r="N703" s="17"/>
      <c r="O703" s="17"/>
      <c r="P703" s="85">
        <f t="shared" si="1159"/>
        <v>1</v>
      </c>
      <c r="Q703" s="15"/>
      <c r="R703" s="16">
        <v>1</v>
      </c>
      <c r="S703" s="17"/>
      <c r="T703" s="17"/>
      <c r="U703" s="85">
        <f t="shared" si="1160"/>
        <v>1</v>
      </c>
      <c r="V703" s="15"/>
      <c r="W703" s="16"/>
      <c r="X703" s="17"/>
      <c r="Y703" s="17">
        <v>2</v>
      </c>
      <c r="Z703" s="85">
        <f t="shared" si="1161"/>
        <v>2</v>
      </c>
      <c r="AA703" s="105">
        <f t="shared" si="1162"/>
        <v>8</v>
      </c>
      <c r="AB703" s="115">
        <v>46125</v>
      </c>
      <c r="AC703" s="23" t="s">
        <v>628</v>
      </c>
      <c r="AD703" s="15">
        <v>8</v>
      </c>
      <c r="AE703" s="16">
        <v>7</v>
      </c>
      <c r="AF703" s="17"/>
      <c r="AG703" s="17"/>
      <c r="AH703" s="85">
        <f t="shared" si="1163"/>
        <v>15</v>
      </c>
      <c r="AI703" s="15">
        <v>8</v>
      </c>
      <c r="AJ703" s="16">
        <v>7</v>
      </c>
      <c r="AK703" s="17"/>
      <c r="AL703" s="17"/>
      <c r="AM703" s="85">
        <f t="shared" si="1164"/>
        <v>15</v>
      </c>
      <c r="AN703" s="15"/>
      <c r="AO703" s="16"/>
      <c r="AP703" s="17"/>
      <c r="AQ703" s="17"/>
      <c r="AR703" s="85">
        <f t="shared" si="1165"/>
        <v>0</v>
      </c>
      <c r="AS703" s="15"/>
      <c r="AT703" s="16"/>
      <c r="AU703" s="17"/>
      <c r="AV703" s="17"/>
      <c r="AW703" s="85">
        <f t="shared" si="1166"/>
        <v>0</v>
      </c>
      <c r="AX703" s="15">
        <v>8</v>
      </c>
      <c r="AY703" s="16">
        <v>7</v>
      </c>
      <c r="AZ703" s="17"/>
      <c r="BA703" s="17"/>
      <c r="BB703" s="85">
        <f t="shared" si="1167"/>
        <v>15</v>
      </c>
      <c r="BC703" s="105">
        <f t="shared" si="1168"/>
        <v>45</v>
      </c>
      <c r="BD703" s="114">
        <v>46115</v>
      </c>
    </row>
    <row r="704" spans="1:57" x14ac:dyDescent="0.15">
      <c r="A704" s="241" t="s">
        <v>61</v>
      </c>
      <c r="B704" s="234"/>
      <c r="C704" s="235"/>
      <c r="D704" s="236"/>
      <c r="E704" s="236"/>
      <c r="F704" s="237">
        <f t="shared" si="1157"/>
        <v>0</v>
      </c>
      <c r="G704" s="234"/>
      <c r="H704" s="235"/>
      <c r="I704" s="236"/>
      <c r="J704" s="236">
        <v>-3</v>
      </c>
      <c r="K704" s="237">
        <f t="shared" si="1158"/>
        <v>-3</v>
      </c>
      <c r="L704" s="234"/>
      <c r="M704" s="235"/>
      <c r="N704" s="236"/>
      <c r="O704" s="236"/>
      <c r="P704" s="237">
        <f t="shared" si="1159"/>
        <v>0</v>
      </c>
      <c r="Q704" s="234"/>
      <c r="R704" s="235"/>
      <c r="S704" s="236"/>
      <c r="T704" s="236"/>
      <c r="U704" s="237">
        <f t="shared" si="1160"/>
        <v>0</v>
      </c>
      <c r="V704" s="234"/>
      <c r="W704" s="235"/>
      <c r="X704" s="236"/>
      <c r="Y704" s="236"/>
      <c r="Z704" s="237">
        <f t="shared" si="1161"/>
        <v>0</v>
      </c>
      <c r="AA704" s="239">
        <f t="shared" si="1162"/>
        <v>-3</v>
      </c>
      <c r="AB704" s="240">
        <v>46126</v>
      </c>
      <c r="AC704" s="23" t="s">
        <v>629</v>
      </c>
      <c r="AD704" s="15"/>
      <c r="AE704" s="16"/>
      <c r="AF704" s="17"/>
      <c r="AG704" s="17"/>
      <c r="AH704" s="85">
        <f t="shared" si="1163"/>
        <v>0</v>
      </c>
      <c r="AI704" s="15"/>
      <c r="AJ704" s="16"/>
      <c r="AK704" s="17"/>
      <c r="AL704" s="17"/>
      <c r="AM704" s="85">
        <f t="shared" si="1164"/>
        <v>0</v>
      </c>
      <c r="AN704" s="15">
        <v>10</v>
      </c>
      <c r="AO704" s="16">
        <v>13</v>
      </c>
      <c r="AP704" s="17"/>
      <c r="AQ704" s="17">
        <v>2</v>
      </c>
      <c r="AR704" s="85">
        <f t="shared" si="1165"/>
        <v>25</v>
      </c>
      <c r="AS704" s="15">
        <v>10</v>
      </c>
      <c r="AT704" s="16">
        <v>13</v>
      </c>
      <c r="AU704" s="17"/>
      <c r="AV704" s="17">
        <v>2</v>
      </c>
      <c r="AW704" s="85">
        <f t="shared" si="1166"/>
        <v>25</v>
      </c>
      <c r="AX704" s="15">
        <v>10</v>
      </c>
      <c r="AY704" s="16">
        <v>13</v>
      </c>
      <c r="AZ704" s="17"/>
      <c r="BA704" s="17">
        <v>2</v>
      </c>
      <c r="BB704" s="85">
        <f t="shared" si="1167"/>
        <v>25</v>
      </c>
      <c r="BC704" s="105">
        <f t="shared" si="1168"/>
        <v>75</v>
      </c>
      <c r="BD704" s="114">
        <v>46115</v>
      </c>
    </row>
    <row r="705" spans="1:56" x14ac:dyDescent="0.15">
      <c r="A705" s="54"/>
      <c r="B705" s="15"/>
      <c r="C705" s="16"/>
      <c r="D705" s="17"/>
      <c r="E705" s="17"/>
      <c r="F705" s="85">
        <f t="shared" ref="F705" si="1185">SUM(B705:E705)</f>
        <v>0</v>
      </c>
      <c r="G705" s="15"/>
      <c r="H705" s="16"/>
      <c r="I705" s="17"/>
      <c r="J705" s="17"/>
      <c r="K705" s="85">
        <f t="shared" ref="K705" si="1186">SUM(G705:J705)</f>
        <v>0</v>
      </c>
      <c r="L705" s="15"/>
      <c r="M705" s="16"/>
      <c r="N705" s="17"/>
      <c r="O705" s="17"/>
      <c r="P705" s="85">
        <f t="shared" ref="P705" si="1187">SUM(L705:O705)</f>
        <v>0</v>
      </c>
      <c r="Q705" s="15"/>
      <c r="R705" s="16"/>
      <c r="S705" s="17"/>
      <c r="T705" s="17"/>
      <c r="U705" s="85">
        <f t="shared" ref="U705" si="1188">SUM(Q705:T705)</f>
        <v>0</v>
      </c>
      <c r="V705" s="15"/>
      <c r="W705" s="16"/>
      <c r="X705" s="17"/>
      <c r="Y705" s="17"/>
      <c r="Z705" s="85">
        <f t="shared" ref="Z705" si="1189">SUM(V705:Y705)</f>
        <v>0</v>
      </c>
      <c r="AA705" s="105">
        <f t="shared" ref="AA705" si="1190">Z705+U705+P705+K705+F705</f>
        <v>0</v>
      </c>
      <c r="AC705" s="23" t="s">
        <v>630</v>
      </c>
      <c r="AD705" s="15"/>
      <c r="AE705" s="16"/>
      <c r="AF705" s="17"/>
      <c r="AG705" s="17">
        <v>3</v>
      </c>
      <c r="AH705" s="85">
        <f t="shared" si="1163"/>
        <v>3</v>
      </c>
      <c r="AI705" s="15"/>
      <c r="AJ705" s="16"/>
      <c r="AK705" s="17"/>
      <c r="AL705" s="17">
        <v>3</v>
      </c>
      <c r="AM705" s="85">
        <f t="shared" si="1164"/>
        <v>3</v>
      </c>
      <c r="AN705" s="15"/>
      <c r="AO705" s="16"/>
      <c r="AP705" s="17"/>
      <c r="AQ705" s="17"/>
      <c r="AR705" s="85">
        <f t="shared" si="1165"/>
        <v>0</v>
      </c>
      <c r="AS705" s="15"/>
      <c r="AT705" s="16"/>
      <c r="AU705" s="17"/>
      <c r="AV705" s="17"/>
      <c r="AW705" s="85">
        <f t="shared" si="1166"/>
        <v>0</v>
      </c>
      <c r="AX705" s="15"/>
      <c r="AY705" s="16"/>
      <c r="AZ705" s="17"/>
      <c r="BA705" s="17">
        <v>3</v>
      </c>
      <c r="BB705" s="85">
        <f t="shared" si="1167"/>
        <v>3</v>
      </c>
      <c r="BC705" s="105">
        <f t="shared" si="1168"/>
        <v>9</v>
      </c>
      <c r="BD705" s="114">
        <v>46115</v>
      </c>
    </row>
    <row r="706" spans="1:56" x14ac:dyDescent="0.15">
      <c r="A706" s="54"/>
      <c r="B706" s="15"/>
      <c r="C706" s="16"/>
      <c r="D706" s="17"/>
      <c r="E706" s="17"/>
      <c r="F706" s="85">
        <f t="shared" si="1157"/>
        <v>0</v>
      </c>
      <c r="G706" s="15"/>
      <c r="H706" s="16"/>
      <c r="I706" s="17"/>
      <c r="J706" s="17"/>
      <c r="K706" s="85">
        <f t="shared" si="1158"/>
        <v>0</v>
      </c>
      <c r="L706" s="15"/>
      <c r="M706" s="16"/>
      <c r="N706" s="17"/>
      <c r="O706" s="17"/>
      <c r="P706" s="85">
        <f t="shared" si="1159"/>
        <v>0</v>
      </c>
      <c r="Q706" s="15"/>
      <c r="R706" s="16"/>
      <c r="S706" s="17"/>
      <c r="T706" s="17"/>
      <c r="U706" s="85">
        <f t="shared" si="1160"/>
        <v>0</v>
      </c>
      <c r="V706" s="15"/>
      <c r="W706" s="16"/>
      <c r="X706" s="17"/>
      <c r="Y706" s="17"/>
      <c r="Z706" s="85">
        <f t="shared" si="1161"/>
        <v>0</v>
      </c>
      <c r="AA706" s="105">
        <f t="shared" si="1162"/>
        <v>0</v>
      </c>
      <c r="AC706" s="23" t="s">
        <v>631</v>
      </c>
      <c r="AD706" s="15"/>
      <c r="AE706" s="16"/>
      <c r="AF706" s="17"/>
      <c r="AG706" s="17"/>
      <c r="AH706" s="85">
        <f t="shared" si="1163"/>
        <v>0</v>
      </c>
      <c r="AI706" s="15"/>
      <c r="AJ706" s="16"/>
      <c r="AK706" s="17"/>
      <c r="AL706" s="17"/>
      <c r="AM706" s="85">
        <f t="shared" si="1164"/>
        <v>0</v>
      </c>
      <c r="AN706" s="15"/>
      <c r="AO706" s="16"/>
      <c r="AP706" s="17"/>
      <c r="AQ706" s="17">
        <v>4</v>
      </c>
      <c r="AR706" s="85">
        <f t="shared" si="1165"/>
        <v>4</v>
      </c>
      <c r="AS706" s="15"/>
      <c r="AT706" s="16"/>
      <c r="AU706" s="17"/>
      <c r="AV706" s="17">
        <v>4</v>
      </c>
      <c r="AW706" s="85">
        <f t="shared" si="1166"/>
        <v>4</v>
      </c>
      <c r="AX706" s="15"/>
      <c r="AY706" s="16"/>
      <c r="AZ706" s="17"/>
      <c r="BA706" s="17">
        <v>4</v>
      </c>
      <c r="BB706" s="85">
        <f t="shared" si="1167"/>
        <v>4</v>
      </c>
      <c r="BC706" s="105">
        <f t="shared" si="1168"/>
        <v>12</v>
      </c>
      <c r="BD706" s="114">
        <v>46115</v>
      </c>
    </row>
    <row r="707" spans="1:56" x14ac:dyDescent="0.15">
      <c r="A707" s="23"/>
      <c r="B707" s="15"/>
      <c r="C707" s="16"/>
      <c r="D707" s="17"/>
      <c r="E707" s="17"/>
      <c r="F707" s="85">
        <f t="shared" si="1157"/>
        <v>0</v>
      </c>
      <c r="G707" s="15"/>
      <c r="H707" s="16"/>
      <c r="I707" s="17"/>
      <c r="J707" s="17"/>
      <c r="K707" s="85">
        <f t="shared" si="1158"/>
        <v>0</v>
      </c>
      <c r="L707" s="15"/>
      <c r="M707" s="16"/>
      <c r="N707" s="17"/>
      <c r="O707" s="17"/>
      <c r="P707" s="85">
        <f t="shared" si="1159"/>
        <v>0</v>
      </c>
      <c r="Q707" s="15"/>
      <c r="R707" s="16"/>
      <c r="S707" s="17"/>
      <c r="T707" s="17"/>
      <c r="U707" s="85">
        <f t="shared" si="1160"/>
        <v>0</v>
      </c>
      <c r="V707" s="15"/>
      <c r="W707" s="16"/>
      <c r="X707" s="17"/>
      <c r="Y707" s="17"/>
      <c r="Z707" s="85">
        <f t="shared" si="1161"/>
        <v>0</v>
      </c>
      <c r="AA707" s="105">
        <f t="shared" si="1162"/>
        <v>0</v>
      </c>
      <c r="AC707" s="23" t="s">
        <v>632</v>
      </c>
      <c r="AD707" s="15"/>
      <c r="AE707" s="16">
        <v>3</v>
      </c>
      <c r="AF707" s="17">
        <v>2</v>
      </c>
      <c r="AG707" s="17">
        <v>1</v>
      </c>
      <c r="AH707" s="85">
        <f t="shared" si="1163"/>
        <v>6</v>
      </c>
      <c r="AI707" s="15"/>
      <c r="AJ707" s="16">
        <v>3</v>
      </c>
      <c r="AK707" s="17">
        <v>2</v>
      </c>
      <c r="AL707" s="17">
        <v>1</v>
      </c>
      <c r="AM707" s="85">
        <f t="shared" si="1164"/>
        <v>6</v>
      </c>
      <c r="AN707" s="15"/>
      <c r="AO707" s="16"/>
      <c r="AP707" s="17"/>
      <c r="AQ707" s="17"/>
      <c r="AR707" s="85">
        <f t="shared" si="1165"/>
        <v>0</v>
      </c>
      <c r="AS707" s="15"/>
      <c r="AT707" s="16"/>
      <c r="AU707" s="17"/>
      <c r="AV707" s="17"/>
      <c r="AW707" s="85">
        <f t="shared" si="1166"/>
        <v>0</v>
      </c>
      <c r="AX707" s="15"/>
      <c r="AY707" s="16">
        <v>3</v>
      </c>
      <c r="AZ707" s="17">
        <v>2</v>
      </c>
      <c r="BA707" s="17">
        <v>1</v>
      </c>
      <c r="BB707" s="85">
        <f t="shared" si="1167"/>
        <v>6</v>
      </c>
      <c r="BC707" s="105">
        <f t="shared" si="1168"/>
        <v>18</v>
      </c>
      <c r="BD707" s="114">
        <v>46115</v>
      </c>
    </row>
    <row r="708" spans="1:56" x14ac:dyDescent="0.15">
      <c r="A708" s="23"/>
      <c r="B708" s="15"/>
      <c r="C708" s="16"/>
      <c r="D708" s="17"/>
      <c r="E708" s="17"/>
      <c r="F708" s="85">
        <f t="shared" si="1157"/>
        <v>0</v>
      </c>
      <c r="G708" s="15"/>
      <c r="H708" s="16"/>
      <c r="I708" s="17"/>
      <c r="J708" s="17"/>
      <c r="K708" s="85">
        <f t="shared" si="1158"/>
        <v>0</v>
      </c>
      <c r="L708" s="15"/>
      <c r="M708" s="16"/>
      <c r="N708" s="17"/>
      <c r="O708" s="17"/>
      <c r="P708" s="85">
        <f t="shared" si="1159"/>
        <v>0</v>
      </c>
      <c r="Q708" s="15"/>
      <c r="R708" s="16"/>
      <c r="S708" s="17"/>
      <c r="T708" s="17"/>
      <c r="U708" s="85">
        <f t="shared" si="1160"/>
        <v>0</v>
      </c>
      <c r="V708" s="15"/>
      <c r="W708" s="16"/>
      <c r="X708" s="17"/>
      <c r="Y708" s="17"/>
      <c r="Z708" s="85">
        <f t="shared" si="1161"/>
        <v>0</v>
      </c>
      <c r="AA708" s="105">
        <f t="shared" si="1162"/>
        <v>0</v>
      </c>
      <c r="AC708" s="23" t="s">
        <v>633</v>
      </c>
      <c r="AD708" s="15"/>
      <c r="AE708" s="16"/>
      <c r="AF708" s="17"/>
      <c r="AG708" s="17"/>
      <c r="AH708" s="85">
        <f t="shared" si="1163"/>
        <v>0</v>
      </c>
      <c r="AI708" s="15"/>
      <c r="AJ708" s="16"/>
      <c r="AK708" s="17"/>
      <c r="AL708" s="17"/>
      <c r="AM708" s="85">
        <f t="shared" si="1164"/>
        <v>0</v>
      </c>
      <c r="AN708" s="15">
        <v>4</v>
      </c>
      <c r="AO708" s="16"/>
      <c r="AP708" s="17">
        <v>5</v>
      </c>
      <c r="AQ708" s="17">
        <v>5</v>
      </c>
      <c r="AR708" s="85">
        <f t="shared" si="1165"/>
        <v>14</v>
      </c>
      <c r="AS708" s="15">
        <v>4</v>
      </c>
      <c r="AT708" s="16"/>
      <c r="AU708" s="17">
        <v>5</v>
      </c>
      <c r="AV708" s="17">
        <v>5</v>
      </c>
      <c r="AW708" s="85">
        <f t="shared" si="1166"/>
        <v>14</v>
      </c>
      <c r="AX708" s="15">
        <v>4</v>
      </c>
      <c r="AY708" s="16"/>
      <c r="AZ708" s="17">
        <v>5</v>
      </c>
      <c r="BA708" s="17">
        <v>5</v>
      </c>
      <c r="BB708" s="85">
        <f t="shared" si="1167"/>
        <v>14</v>
      </c>
      <c r="BC708" s="105">
        <f t="shared" si="1168"/>
        <v>42</v>
      </c>
      <c r="BD708" s="114">
        <v>46115</v>
      </c>
    </row>
    <row r="709" spans="1:56" x14ac:dyDescent="0.15">
      <c r="A709" s="54"/>
      <c r="B709" s="15"/>
      <c r="C709" s="16"/>
      <c r="D709" s="17"/>
      <c r="E709" s="17"/>
      <c r="F709" s="85">
        <f t="shared" si="1157"/>
        <v>0</v>
      </c>
      <c r="G709" s="15"/>
      <c r="H709" s="16"/>
      <c r="I709" s="17"/>
      <c r="J709" s="17"/>
      <c r="K709" s="85">
        <f t="shared" si="1158"/>
        <v>0</v>
      </c>
      <c r="L709" s="15"/>
      <c r="M709" s="16"/>
      <c r="N709" s="17"/>
      <c r="O709" s="17"/>
      <c r="P709" s="85">
        <f t="shared" si="1159"/>
        <v>0</v>
      </c>
      <c r="Q709" s="15"/>
      <c r="R709" s="16"/>
      <c r="S709" s="17"/>
      <c r="T709" s="17"/>
      <c r="U709" s="85">
        <f t="shared" si="1160"/>
        <v>0</v>
      </c>
      <c r="V709" s="15"/>
      <c r="W709" s="16"/>
      <c r="X709" s="17"/>
      <c r="Y709" s="17"/>
      <c r="Z709" s="85">
        <f t="shared" si="1161"/>
        <v>0</v>
      </c>
      <c r="AA709" s="105">
        <f t="shared" si="1162"/>
        <v>0</v>
      </c>
      <c r="AC709" s="23" t="s">
        <v>635</v>
      </c>
      <c r="AD709" s="15"/>
      <c r="AE709" s="16"/>
      <c r="AF709" s="17"/>
      <c r="AG709" s="17"/>
      <c r="AH709" s="85">
        <f t="shared" si="1163"/>
        <v>0</v>
      </c>
      <c r="AI709" s="15"/>
      <c r="AJ709" s="16"/>
      <c r="AK709" s="17"/>
      <c r="AL709" s="17"/>
      <c r="AM709" s="85">
        <f t="shared" si="1164"/>
        <v>0</v>
      </c>
      <c r="AN709" s="15">
        <v>2</v>
      </c>
      <c r="AO709" s="16"/>
      <c r="AP709" s="17"/>
      <c r="AQ709" s="17"/>
      <c r="AR709" s="85">
        <f t="shared" si="1165"/>
        <v>2</v>
      </c>
      <c r="AS709" s="15">
        <v>2</v>
      </c>
      <c r="AT709" s="16"/>
      <c r="AU709" s="17"/>
      <c r="AV709" s="17"/>
      <c r="AW709" s="85">
        <f t="shared" si="1166"/>
        <v>2</v>
      </c>
      <c r="AX709" s="15">
        <v>2</v>
      </c>
      <c r="AY709" s="16"/>
      <c r="AZ709" s="17"/>
      <c r="BA709" s="17"/>
      <c r="BB709" s="85">
        <f t="shared" si="1167"/>
        <v>2</v>
      </c>
      <c r="BC709" s="105">
        <f t="shared" si="1168"/>
        <v>6</v>
      </c>
      <c r="BD709" s="114">
        <v>46120</v>
      </c>
    </row>
    <row r="710" spans="1:56" x14ac:dyDescent="0.15">
      <c r="A710" s="23"/>
      <c r="B710" s="15"/>
      <c r="C710" s="16"/>
      <c r="D710" s="17"/>
      <c r="E710" s="17"/>
      <c r="F710" s="85">
        <f t="shared" si="1157"/>
        <v>0</v>
      </c>
      <c r="G710" s="15"/>
      <c r="H710" s="16"/>
      <c r="I710" s="17"/>
      <c r="J710" s="17"/>
      <c r="K710" s="85">
        <f t="shared" si="1158"/>
        <v>0</v>
      </c>
      <c r="L710" s="15"/>
      <c r="M710" s="16"/>
      <c r="N710" s="17"/>
      <c r="O710" s="17"/>
      <c r="P710" s="85">
        <f t="shared" si="1159"/>
        <v>0</v>
      </c>
      <c r="Q710" s="15"/>
      <c r="R710" s="16"/>
      <c r="S710" s="17"/>
      <c r="T710" s="17"/>
      <c r="U710" s="85">
        <f t="shared" si="1160"/>
        <v>0</v>
      </c>
      <c r="V710" s="15"/>
      <c r="W710" s="16"/>
      <c r="X710" s="17"/>
      <c r="Y710" s="17"/>
      <c r="Z710" s="85">
        <f t="shared" si="1161"/>
        <v>0</v>
      </c>
      <c r="AA710" s="105">
        <f t="shared" si="1162"/>
        <v>0</v>
      </c>
      <c r="AC710" s="23" t="s">
        <v>636</v>
      </c>
      <c r="AD710" s="15"/>
      <c r="AE710" s="16">
        <v>6</v>
      </c>
      <c r="AF710" s="17"/>
      <c r="AG710" s="17"/>
      <c r="AH710" s="85">
        <f t="shared" si="1163"/>
        <v>6</v>
      </c>
      <c r="AI710" s="15"/>
      <c r="AJ710" s="16">
        <v>6</v>
      </c>
      <c r="AK710" s="17"/>
      <c r="AL710" s="17"/>
      <c r="AM710" s="85">
        <f t="shared" si="1164"/>
        <v>6</v>
      </c>
      <c r="AN710" s="15"/>
      <c r="AO710" s="16"/>
      <c r="AP710" s="17"/>
      <c r="AQ710" s="17"/>
      <c r="AR710" s="85">
        <f t="shared" si="1165"/>
        <v>0</v>
      </c>
      <c r="AS710" s="15"/>
      <c r="AT710" s="16"/>
      <c r="AU710" s="17"/>
      <c r="AV710" s="17"/>
      <c r="AW710" s="85">
        <f t="shared" si="1166"/>
        <v>0</v>
      </c>
      <c r="AX710" s="15"/>
      <c r="AY710" s="16">
        <v>6</v>
      </c>
      <c r="AZ710" s="17"/>
      <c r="BA710" s="17"/>
      <c r="BB710" s="85">
        <f t="shared" si="1167"/>
        <v>6</v>
      </c>
      <c r="BC710" s="105">
        <f t="shared" si="1168"/>
        <v>18</v>
      </c>
      <c r="BD710" s="114">
        <v>46120</v>
      </c>
    </row>
    <row r="711" spans="1:56" x14ac:dyDescent="0.15">
      <c r="A711" s="23"/>
      <c r="B711" s="15"/>
      <c r="C711" s="16"/>
      <c r="D711" s="17"/>
      <c r="E711" s="17"/>
      <c r="F711" s="85">
        <f t="shared" si="1157"/>
        <v>0</v>
      </c>
      <c r="G711" s="15"/>
      <c r="H711" s="16"/>
      <c r="I711" s="17"/>
      <c r="J711" s="17"/>
      <c r="K711" s="85">
        <f t="shared" si="1158"/>
        <v>0</v>
      </c>
      <c r="L711" s="15"/>
      <c r="M711" s="16"/>
      <c r="N711" s="17"/>
      <c r="O711" s="17"/>
      <c r="P711" s="85">
        <f t="shared" si="1159"/>
        <v>0</v>
      </c>
      <c r="Q711" s="15"/>
      <c r="R711" s="16"/>
      <c r="S711" s="17"/>
      <c r="T711" s="17"/>
      <c r="U711" s="85">
        <f t="shared" si="1160"/>
        <v>0</v>
      </c>
      <c r="V711" s="15"/>
      <c r="W711" s="16"/>
      <c r="X711" s="17"/>
      <c r="Y711" s="17"/>
      <c r="Z711" s="85">
        <f t="shared" si="1161"/>
        <v>0</v>
      </c>
      <c r="AA711" s="105">
        <f t="shared" si="1162"/>
        <v>0</v>
      </c>
      <c r="AC711" s="23" t="s">
        <v>637</v>
      </c>
      <c r="AD711" s="15"/>
      <c r="AE711" s="16">
        <v>23</v>
      </c>
      <c r="AF711" s="17"/>
      <c r="AG711" s="17"/>
      <c r="AH711" s="85">
        <f t="shared" si="1163"/>
        <v>23</v>
      </c>
      <c r="AI711" s="15"/>
      <c r="AJ711" s="16">
        <v>23</v>
      </c>
      <c r="AK711" s="17"/>
      <c r="AL711" s="17"/>
      <c r="AM711" s="85">
        <f t="shared" si="1164"/>
        <v>23</v>
      </c>
      <c r="AN711" s="15"/>
      <c r="AO711" s="16"/>
      <c r="AP711" s="17"/>
      <c r="AQ711" s="17"/>
      <c r="AR711" s="85">
        <f t="shared" si="1165"/>
        <v>0</v>
      </c>
      <c r="AS711" s="15"/>
      <c r="AT711" s="16"/>
      <c r="AU711" s="17"/>
      <c r="AV711" s="17"/>
      <c r="AW711" s="85">
        <f t="shared" si="1166"/>
        <v>0</v>
      </c>
      <c r="AX711" s="15"/>
      <c r="AY711" s="16">
        <v>23</v>
      </c>
      <c r="AZ711" s="17"/>
      <c r="BA711" s="17"/>
      <c r="BB711" s="85">
        <f t="shared" si="1167"/>
        <v>23</v>
      </c>
      <c r="BC711" s="105">
        <f t="shared" si="1168"/>
        <v>69</v>
      </c>
      <c r="BD711" s="114">
        <v>46122</v>
      </c>
    </row>
    <row r="712" spans="1:56" x14ac:dyDescent="0.15">
      <c r="A712" s="23"/>
      <c r="B712" s="18"/>
      <c r="C712" s="19"/>
      <c r="D712" s="20"/>
      <c r="E712" s="20"/>
      <c r="F712" s="85">
        <f t="shared" si="1157"/>
        <v>0</v>
      </c>
      <c r="G712" s="18"/>
      <c r="H712" s="19"/>
      <c r="I712" s="20"/>
      <c r="J712" s="20"/>
      <c r="K712" s="85">
        <f t="shared" si="1158"/>
        <v>0</v>
      </c>
      <c r="L712" s="18"/>
      <c r="M712" s="19"/>
      <c r="N712" s="20"/>
      <c r="O712" s="20"/>
      <c r="P712" s="85">
        <f t="shared" si="1159"/>
        <v>0</v>
      </c>
      <c r="Q712" s="18"/>
      <c r="R712" s="19"/>
      <c r="S712" s="20"/>
      <c r="T712" s="20"/>
      <c r="U712" s="85">
        <f t="shared" si="1160"/>
        <v>0</v>
      </c>
      <c r="V712" s="18"/>
      <c r="W712" s="19"/>
      <c r="X712" s="20"/>
      <c r="Y712" s="20"/>
      <c r="Z712" s="85">
        <f t="shared" si="1161"/>
        <v>0</v>
      </c>
      <c r="AA712" s="105">
        <f t="shared" si="1162"/>
        <v>0</v>
      </c>
      <c r="AC712" s="23" t="s">
        <v>638</v>
      </c>
      <c r="AD712" s="15"/>
      <c r="AE712" s="16"/>
      <c r="AF712" s="17"/>
      <c r="AG712" s="17"/>
      <c r="AH712" s="85">
        <f t="shared" ref="AH712:AH713" si="1191">SUM(AD712:AG712)</f>
        <v>0</v>
      </c>
      <c r="AI712" s="15"/>
      <c r="AJ712" s="16"/>
      <c r="AK712" s="17"/>
      <c r="AL712" s="17"/>
      <c r="AM712" s="85">
        <f t="shared" ref="AM712:AM713" si="1192">SUM(AI712:AL712)</f>
        <v>0</v>
      </c>
      <c r="AN712" s="15"/>
      <c r="AO712" s="16">
        <v>5</v>
      </c>
      <c r="AP712" s="17"/>
      <c r="AQ712" s="17"/>
      <c r="AR712" s="85">
        <f t="shared" ref="AR712:AR713" si="1193">SUM(AN712:AQ712)</f>
        <v>5</v>
      </c>
      <c r="AS712" s="15"/>
      <c r="AT712" s="16">
        <v>5</v>
      </c>
      <c r="AU712" s="17"/>
      <c r="AV712" s="17"/>
      <c r="AW712" s="85">
        <f t="shared" ref="AW712:AW713" si="1194">SUM(AS712:AV712)</f>
        <v>5</v>
      </c>
      <c r="AX712" s="15"/>
      <c r="AY712" s="16">
        <v>5</v>
      </c>
      <c r="AZ712" s="17"/>
      <c r="BA712" s="17"/>
      <c r="BB712" s="85">
        <f t="shared" ref="BB712:BB713" si="1195">SUM(AX712:BA712)</f>
        <v>5</v>
      </c>
      <c r="BC712" s="105">
        <f t="shared" ref="BC712:BC713" si="1196">BB712+AW712+AR712+AM712+AH712</f>
        <v>15</v>
      </c>
      <c r="BD712" s="114">
        <v>46122</v>
      </c>
    </row>
    <row r="713" spans="1:56" x14ac:dyDescent="0.15">
      <c r="A713" s="23"/>
      <c r="B713" s="16"/>
      <c r="C713" s="16"/>
      <c r="D713" s="17"/>
      <c r="E713" s="17"/>
      <c r="F713" s="85">
        <f t="shared" si="1157"/>
        <v>0</v>
      </c>
      <c r="G713" s="16"/>
      <c r="H713" s="16"/>
      <c r="I713" s="17"/>
      <c r="J713" s="17"/>
      <c r="K713" s="85">
        <f t="shared" si="1158"/>
        <v>0</v>
      </c>
      <c r="L713" s="16"/>
      <c r="M713" s="16"/>
      <c r="N713" s="17"/>
      <c r="O713" s="17"/>
      <c r="P713" s="85">
        <f t="shared" si="1159"/>
        <v>0</v>
      </c>
      <c r="Q713" s="16"/>
      <c r="R713" s="16"/>
      <c r="S713" s="17"/>
      <c r="T713" s="17"/>
      <c r="U713" s="85">
        <f t="shared" si="1160"/>
        <v>0</v>
      </c>
      <c r="V713" s="16"/>
      <c r="W713" s="16"/>
      <c r="X713" s="17"/>
      <c r="Y713" s="17"/>
      <c r="Z713" s="85">
        <f t="shared" si="1161"/>
        <v>0</v>
      </c>
      <c r="AA713" s="105">
        <f t="shared" si="1162"/>
        <v>0</v>
      </c>
      <c r="AC713" s="23" t="s">
        <v>639</v>
      </c>
      <c r="AD713" s="15"/>
      <c r="AE713" s="16"/>
      <c r="AF713" s="17">
        <v>7</v>
      </c>
      <c r="AG713" s="17"/>
      <c r="AH713" s="85">
        <f t="shared" si="1191"/>
        <v>7</v>
      </c>
      <c r="AI713" s="15"/>
      <c r="AJ713" s="16"/>
      <c r="AK713" s="17">
        <v>7</v>
      </c>
      <c r="AL713" s="17"/>
      <c r="AM713" s="85">
        <f t="shared" si="1192"/>
        <v>7</v>
      </c>
      <c r="AN713" s="15"/>
      <c r="AO713" s="16"/>
      <c r="AP713" s="17"/>
      <c r="AQ713" s="17"/>
      <c r="AR713" s="85">
        <f t="shared" si="1193"/>
        <v>0</v>
      </c>
      <c r="AS713" s="15"/>
      <c r="AT713" s="16"/>
      <c r="AU713" s="17"/>
      <c r="AV713" s="17"/>
      <c r="AW713" s="85">
        <f t="shared" si="1194"/>
        <v>0</v>
      </c>
      <c r="AX713" s="15"/>
      <c r="AY713" s="16"/>
      <c r="AZ713" s="17">
        <v>7</v>
      </c>
      <c r="BA713" s="17"/>
      <c r="BB713" s="85">
        <f t="shared" si="1195"/>
        <v>7</v>
      </c>
      <c r="BC713" s="105">
        <f t="shared" si="1196"/>
        <v>21</v>
      </c>
      <c r="BD713" s="114">
        <v>46122</v>
      </c>
    </row>
    <row r="714" spans="1:56" x14ac:dyDescent="0.15">
      <c r="A714" s="23"/>
      <c r="B714" s="15"/>
      <c r="C714" s="25"/>
      <c r="D714" s="17"/>
      <c r="E714" s="17"/>
      <c r="F714" s="85">
        <f t="shared" si="1157"/>
        <v>0</v>
      </c>
      <c r="G714" s="15"/>
      <c r="H714" s="25"/>
      <c r="I714" s="17"/>
      <c r="J714" s="17"/>
      <c r="K714" s="85">
        <f t="shared" si="1158"/>
        <v>0</v>
      </c>
      <c r="L714" s="15"/>
      <c r="M714" s="25"/>
      <c r="N714" s="17"/>
      <c r="O714" s="17"/>
      <c r="P714" s="85">
        <f t="shared" si="1159"/>
        <v>0</v>
      </c>
      <c r="Q714" s="15"/>
      <c r="R714" s="25"/>
      <c r="S714" s="17"/>
      <c r="T714" s="17"/>
      <c r="U714" s="85">
        <f t="shared" si="1160"/>
        <v>0</v>
      </c>
      <c r="V714" s="15"/>
      <c r="W714" s="25"/>
      <c r="X714" s="17"/>
      <c r="Y714" s="17"/>
      <c r="Z714" s="85">
        <f t="shared" si="1161"/>
        <v>0</v>
      </c>
      <c r="AA714" s="105">
        <f t="shared" si="1162"/>
        <v>0</v>
      </c>
      <c r="AC714" s="23" t="s">
        <v>640</v>
      </c>
      <c r="AD714" s="15"/>
      <c r="AE714" s="16"/>
      <c r="AF714" s="17"/>
      <c r="AG714" s="17"/>
      <c r="AH714" s="85">
        <f t="shared" ref="AH714:AH716" si="1197">SUM(AD714:AG714)</f>
        <v>0</v>
      </c>
      <c r="AI714" s="15"/>
      <c r="AJ714" s="16"/>
      <c r="AK714" s="17"/>
      <c r="AL714" s="17"/>
      <c r="AM714" s="85">
        <f t="shared" ref="AM714:AM716" si="1198">SUM(AI714:AL714)</f>
        <v>0</v>
      </c>
      <c r="AN714" s="15"/>
      <c r="AO714" s="16"/>
      <c r="AP714" s="17">
        <v>5</v>
      </c>
      <c r="AQ714" s="17"/>
      <c r="AR714" s="85">
        <f t="shared" ref="AR714:AR716" si="1199">SUM(AN714:AQ714)</f>
        <v>5</v>
      </c>
      <c r="AS714" s="15"/>
      <c r="AT714" s="16"/>
      <c r="AU714" s="17">
        <v>5</v>
      </c>
      <c r="AV714" s="17"/>
      <c r="AW714" s="85">
        <f t="shared" ref="AW714:AW716" si="1200">SUM(AS714:AV714)</f>
        <v>5</v>
      </c>
      <c r="AX714" s="15"/>
      <c r="AY714" s="16"/>
      <c r="AZ714" s="17">
        <v>5</v>
      </c>
      <c r="BA714" s="17"/>
      <c r="BB714" s="85">
        <f t="shared" ref="BB714:BB716" si="1201">SUM(AX714:BA714)</f>
        <v>5</v>
      </c>
      <c r="BC714" s="105">
        <f t="shared" ref="BC714:BC716" si="1202">BB714+AW714+AR714+AM714+AH714</f>
        <v>15</v>
      </c>
      <c r="BD714" s="114">
        <v>46122</v>
      </c>
    </row>
    <row r="715" spans="1:56" x14ac:dyDescent="0.15">
      <c r="A715" s="23"/>
      <c r="B715" s="15"/>
      <c r="C715" s="16"/>
      <c r="D715" s="16"/>
      <c r="E715" s="63"/>
      <c r="F715" s="85">
        <f t="shared" si="1157"/>
        <v>0</v>
      </c>
      <c r="G715" s="15"/>
      <c r="H715" s="16"/>
      <c r="I715" s="16"/>
      <c r="J715" s="63"/>
      <c r="K715" s="85">
        <f t="shared" si="1158"/>
        <v>0</v>
      </c>
      <c r="L715" s="15"/>
      <c r="M715" s="16"/>
      <c r="N715" s="16"/>
      <c r="O715" s="63"/>
      <c r="P715" s="85">
        <f t="shared" si="1159"/>
        <v>0</v>
      </c>
      <c r="Q715" s="15"/>
      <c r="R715" s="16"/>
      <c r="S715" s="16"/>
      <c r="T715" s="63"/>
      <c r="U715" s="85">
        <f t="shared" si="1160"/>
        <v>0</v>
      </c>
      <c r="V715" s="15"/>
      <c r="W715" s="16"/>
      <c r="X715" s="16"/>
      <c r="Y715" s="63"/>
      <c r="Z715" s="85">
        <f t="shared" si="1161"/>
        <v>0</v>
      </c>
      <c r="AA715" s="105">
        <f t="shared" si="1162"/>
        <v>0</v>
      </c>
      <c r="AC715" s="23" t="s">
        <v>641</v>
      </c>
      <c r="AD715" s="15">
        <v>7</v>
      </c>
      <c r="AE715" s="16"/>
      <c r="AF715" s="17"/>
      <c r="AG715" s="17"/>
      <c r="AH715" s="85">
        <f t="shared" si="1197"/>
        <v>7</v>
      </c>
      <c r="AI715" s="15">
        <v>7</v>
      </c>
      <c r="AJ715" s="16"/>
      <c r="AK715" s="17"/>
      <c r="AL715" s="17"/>
      <c r="AM715" s="85">
        <f t="shared" si="1198"/>
        <v>7</v>
      </c>
      <c r="AN715" s="15"/>
      <c r="AO715" s="16"/>
      <c r="AP715" s="17"/>
      <c r="AQ715" s="17"/>
      <c r="AR715" s="85">
        <f t="shared" si="1199"/>
        <v>0</v>
      </c>
      <c r="AS715" s="15"/>
      <c r="AT715" s="16"/>
      <c r="AU715" s="17"/>
      <c r="AV715" s="17"/>
      <c r="AW715" s="85">
        <f t="shared" si="1200"/>
        <v>0</v>
      </c>
      <c r="AX715" s="15">
        <v>7</v>
      </c>
      <c r="AY715" s="16"/>
      <c r="AZ715" s="17"/>
      <c r="BA715" s="17"/>
      <c r="BB715" s="85">
        <f t="shared" si="1201"/>
        <v>7</v>
      </c>
      <c r="BC715" s="105">
        <f t="shared" si="1202"/>
        <v>21</v>
      </c>
      <c r="BD715" s="114">
        <v>46125</v>
      </c>
    </row>
    <row r="716" spans="1:56" ht="14.25" thickBot="1" x14ac:dyDescent="0.2">
      <c r="A716" s="23"/>
      <c r="B716" s="15"/>
      <c r="C716" s="16"/>
      <c r="D716" s="16"/>
      <c r="E716" s="63"/>
      <c r="F716" s="85">
        <f t="shared" si="1157"/>
        <v>0</v>
      </c>
      <c r="G716" s="15"/>
      <c r="H716" s="16"/>
      <c r="I716" s="16"/>
      <c r="J716" s="63"/>
      <c r="K716" s="85">
        <f t="shared" si="1158"/>
        <v>0</v>
      </c>
      <c r="L716" s="15"/>
      <c r="M716" s="16"/>
      <c r="N716" s="16"/>
      <c r="O716" s="63"/>
      <c r="P716" s="85">
        <f t="shared" si="1159"/>
        <v>0</v>
      </c>
      <c r="Q716" s="15"/>
      <c r="R716" s="16"/>
      <c r="S716" s="16"/>
      <c r="T716" s="63"/>
      <c r="U716" s="85">
        <f t="shared" si="1160"/>
        <v>0</v>
      </c>
      <c r="V716" s="15"/>
      <c r="W716" s="16"/>
      <c r="X716" s="16"/>
      <c r="Y716" s="63"/>
      <c r="Z716" s="85">
        <f t="shared" si="1161"/>
        <v>0</v>
      </c>
      <c r="AA716" s="105">
        <f t="shared" si="1162"/>
        <v>0</v>
      </c>
      <c r="AC716" s="23" t="s">
        <v>642</v>
      </c>
      <c r="AD716" s="15"/>
      <c r="AE716" s="16"/>
      <c r="AF716" s="17"/>
      <c r="AG716" s="17"/>
      <c r="AH716" s="85">
        <f t="shared" si="1197"/>
        <v>0</v>
      </c>
      <c r="AI716" s="15"/>
      <c r="AJ716" s="16"/>
      <c r="AK716" s="17"/>
      <c r="AL716" s="17"/>
      <c r="AM716" s="85">
        <f t="shared" si="1198"/>
        <v>0</v>
      </c>
      <c r="AN716" s="15">
        <v>5</v>
      </c>
      <c r="AO716" s="16"/>
      <c r="AP716" s="17"/>
      <c r="AQ716" s="17"/>
      <c r="AR716" s="85">
        <f t="shared" si="1199"/>
        <v>5</v>
      </c>
      <c r="AS716" s="15">
        <v>5</v>
      </c>
      <c r="AT716" s="16"/>
      <c r="AU716" s="17"/>
      <c r="AV716" s="17"/>
      <c r="AW716" s="85">
        <f t="shared" si="1200"/>
        <v>5</v>
      </c>
      <c r="AX716" s="15">
        <v>5</v>
      </c>
      <c r="AY716" s="16"/>
      <c r="AZ716" s="17"/>
      <c r="BA716" s="17"/>
      <c r="BB716" s="85">
        <f t="shared" si="1201"/>
        <v>5</v>
      </c>
      <c r="BC716" s="105">
        <f t="shared" si="1202"/>
        <v>15</v>
      </c>
      <c r="BD716" s="114">
        <v>46126</v>
      </c>
    </row>
    <row r="717" spans="1:56" ht="14.25" thickBot="1" x14ac:dyDescent="0.2">
      <c r="A717" s="27" t="s">
        <v>12</v>
      </c>
      <c r="B717" s="57">
        <f>SUM(B691:B716)</f>
        <v>2</v>
      </c>
      <c r="C717" s="50">
        <f t="shared" ref="C717:D717" si="1203">SUM(C691:C716)</f>
        <v>1</v>
      </c>
      <c r="D717" s="50">
        <f t="shared" si="1203"/>
        <v>0</v>
      </c>
      <c r="E717" s="50">
        <f>SUM(E691:E716)</f>
        <v>4</v>
      </c>
      <c r="F717" s="88">
        <f t="shared" si="1157"/>
        <v>7</v>
      </c>
      <c r="G717" s="57">
        <f>SUM(G691:G716)</f>
        <v>1</v>
      </c>
      <c r="H717" s="50">
        <f t="shared" ref="H717:I717" si="1204">SUM(H691:H716)</f>
        <v>1</v>
      </c>
      <c r="I717" s="50">
        <f t="shared" si="1204"/>
        <v>0</v>
      </c>
      <c r="J717" s="50">
        <f>SUM(J691:J716)</f>
        <v>1</v>
      </c>
      <c r="K717" s="88">
        <f t="shared" si="1158"/>
        <v>3</v>
      </c>
      <c r="L717" s="57">
        <f>SUM(L691:L716)</f>
        <v>3</v>
      </c>
      <c r="M717" s="50">
        <f t="shared" ref="M717:N717" si="1205">SUM(M691:M716)</f>
        <v>1</v>
      </c>
      <c r="N717" s="50">
        <f t="shared" si="1205"/>
        <v>1</v>
      </c>
      <c r="O717" s="50">
        <f>SUM(O691:O716)</f>
        <v>3</v>
      </c>
      <c r="P717" s="88">
        <f t="shared" si="1159"/>
        <v>8</v>
      </c>
      <c r="Q717" s="57">
        <f>SUM(Q691:Q716)</f>
        <v>7</v>
      </c>
      <c r="R717" s="50">
        <f t="shared" ref="R717:S717" si="1206">SUM(R691:R716)</f>
        <v>1</v>
      </c>
      <c r="S717" s="50">
        <f t="shared" si="1206"/>
        <v>1</v>
      </c>
      <c r="T717" s="50">
        <f>SUM(T691:T716)</f>
        <v>3</v>
      </c>
      <c r="U717" s="88">
        <f t="shared" si="1160"/>
        <v>12</v>
      </c>
      <c r="V717" s="57">
        <f>SUM(V691:V716)</f>
        <v>13</v>
      </c>
      <c r="W717" s="50">
        <f t="shared" ref="W717:X717" si="1207">SUM(W691:W716)</f>
        <v>2</v>
      </c>
      <c r="X717" s="50">
        <f t="shared" si="1207"/>
        <v>2</v>
      </c>
      <c r="Y717" s="50">
        <f>SUM(Y691:Y716)</f>
        <v>8</v>
      </c>
      <c r="Z717" s="88">
        <f t="shared" si="1161"/>
        <v>25</v>
      </c>
      <c r="AA717" s="109">
        <f t="shared" si="1162"/>
        <v>55</v>
      </c>
      <c r="AC717" s="27" t="s">
        <v>419</v>
      </c>
      <c r="AD717" s="57">
        <f>SUM(AD691:AD716)</f>
        <v>20</v>
      </c>
      <c r="AE717" s="50">
        <f t="shared" ref="AE717:AF717" si="1208">SUM(AE691:AE716)</f>
        <v>47</v>
      </c>
      <c r="AF717" s="50">
        <f t="shared" si="1208"/>
        <v>20</v>
      </c>
      <c r="AG717" s="50">
        <f>SUM(AG691:AG716)</f>
        <v>5</v>
      </c>
      <c r="AH717" s="88">
        <f t="shared" si="1163"/>
        <v>92</v>
      </c>
      <c r="AI717" s="57">
        <f>SUM(AI691:AI716)</f>
        <v>20</v>
      </c>
      <c r="AJ717" s="50">
        <f t="shared" ref="AJ717:AK717" si="1209">SUM(AJ691:AJ716)</f>
        <v>48</v>
      </c>
      <c r="AK717" s="50">
        <f t="shared" si="1209"/>
        <v>22</v>
      </c>
      <c r="AL717" s="50">
        <f>SUM(AL691:AL716)</f>
        <v>5</v>
      </c>
      <c r="AM717" s="88">
        <f t="shared" si="1164"/>
        <v>95</v>
      </c>
      <c r="AN717" s="57">
        <f>SUM(AN691:AN716)</f>
        <v>45</v>
      </c>
      <c r="AO717" s="50">
        <f t="shared" ref="AO717:AP717" si="1210">SUM(AO691:AO716)</f>
        <v>31</v>
      </c>
      <c r="AP717" s="50">
        <f t="shared" si="1210"/>
        <v>27</v>
      </c>
      <c r="AQ717" s="50">
        <f>SUM(AQ691:AQ716)</f>
        <v>19</v>
      </c>
      <c r="AR717" s="88">
        <f t="shared" si="1165"/>
        <v>122</v>
      </c>
      <c r="AS717" s="57">
        <f>SUM(AS691:AS716)</f>
        <v>45</v>
      </c>
      <c r="AT717" s="50">
        <f t="shared" ref="AT717:AU717" si="1211">SUM(AT691:AT716)</f>
        <v>34</v>
      </c>
      <c r="AU717" s="50">
        <f t="shared" si="1211"/>
        <v>27</v>
      </c>
      <c r="AV717" s="50">
        <f>SUM(AV691:AV716)</f>
        <v>14</v>
      </c>
      <c r="AW717" s="88">
        <f t="shared" si="1166"/>
        <v>120</v>
      </c>
      <c r="AX717" s="57">
        <f>SUM(AX691:AX716)</f>
        <v>70</v>
      </c>
      <c r="AY717" s="50">
        <f t="shared" ref="AY717:AZ717" si="1212">SUM(AY691:AY716)</f>
        <v>78</v>
      </c>
      <c r="AZ717" s="50">
        <f t="shared" si="1212"/>
        <v>44</v>
      </c>
      <c r="BA717" s="50">
        <f>SUM(BA691:BA716)</f>
        <v>21</v>
      </c>
      <c r="BB717" s="88">
        <f t="shared" si="1167"/>
        <v>213</v>
      </c>
      <c r="BC717" s="109">
        <f t="shared" si="1168"/>
        <v>642</v>
      </c>
    </row>
    <row r="718" spans="1:56" ht="14.25" thickBot="1" x14ac:dyDescent="0.2">
      <c r="A718" s="21" t="s">
        <v>13</v>
      </c>
      <c r="B718" s="101">
        <f>B690-B717</f>
        <v>4</v>
      </c>
      <c r="C718" s="8">
        <f t="shared" ref="C718:D718" si="1213">C690-C717</f>
        <v>3</v>
      </c>
      <c r="D718" s="8">
        <f t="shared" si="1213"/>
        <v>5</v>
      </c>
      <c r="E718" s="8">
        <f>E690-E717</f>
        <v>5</v>
      </c>
      <c r="F718" s="87">
        <f t="shared" si="1157"/>
        <v>17</v>
      </c>
      <c r="G718" s="101">
        <f>G690-G717</f>
        <v>9</v>
      </c>
      <c r="H718" s="8">
        <f t="shared" ref="H718:I718" si="1214">H690-H717</f>
        <v>3</v>
      </c>
      <c r="I718" s="8">
        <f t="shared" si="1214"/>
        <v>8</v>
      </c>
      <c r="J718" s="8">
        <f>J690-J717</f>
        <v>4</v>
      </c>
      <c r="K718" s="87">
        <f t="shared" si="1158"/>
        <v>24</v>
      </c>
      <c r="L718" s="101">
        <f>L690-L717</f>
        <v>11</v>
      </c>
      <c r="M718" s="8">
        <f t="shared" ref="M718:N718" si="1215">M690-M717</f>
        <v>6</v>
      </c>
      <c r="N718" s="8">
        <f t="shared" si="1215"/>
        <v>5</v>
      </c>
      <c r="O718" s="8">
        <f>O690-O717</f>
        <v>8</v>
      </c>
      <c r="P718" s="87">
        <f t="shared" si="1159"/>
        <v>30</v>
      </c>
      <c r="Q718" s="101">
        <f>Q690-Q717</f>
        <v>3</v>
      </c>
      <c r="R718" s="8">
        <f t="shared" ref="R718:S718" si="1216">R690-R717</f>
        <v>4</v>
      </c>
      <c r="S718" s="8">
        <f t="shared" si="1216"/>
        <v>3</v>
      </c>
      <c r="T718" s="8">
        <f>T690-T717</f>
        <v>4</v>
      </c>
      <c r="U718" s="87">
        <f t="shared" si="1160"/>
        <v>14</v>
      </c>
      <c r="V718" s="101">
        <f>V690-V717</f>
        <v>6</v>
      </c>
      <c r="W718" s="8">
        <f t="shared" ref="W718:X718" si="1217">W690-W717</f>
        <v>7</v>
      </c>
      <c r="X718" s="8">
        <f t="shared" si="1217"/>
        <v>5</v>
      </c>
      <c r="Y718" s="8">
        <f>Y690-Y717</f>
        <v>3</v>
      </c>
      <c r="Z718" s="87">
        <f t="shared" si="1161"/>
        <v>21</v>
      </c>
      <c r="AA718" s="107">
        <f t="shared" si="1162"/>
        <v>106</v>
      </c>
      <c r="AC718" s="29" t="s">
        <v>13</v>
      </c>
      <c r="AD718" s="32">
        <f>AD690-AD717</f>
        <v>579</v>
      </c>
      <c r="AE718" s="44">
        <f t="shared" ref="AE718:AF718" si="1218">AE690-AE717</f>
        <v>483</v>
      </c>
      <c r="AF718" s="44">
        <f t="shared" si="1218"/>
        <v>121</v>
      </c>
      <c r="AG718" s="44">
        <f>AG690-AG717</f>
        <v>386</v>
      </c>
      <c r="AH718" s="87">
        <f t="shared" si="1163"/>
        <v>1569</v>
      </c>
      <c r="AI718" s="32">
        <f>AI690-AI717</f>
        <v>527</v>
      </c>
      <c r="AJ718" s="44">
        <f t="shared" ref="AJ718:AK718" si="1219">AJ690-AJ717</f>
        <v>399</v>
      </c>
      <c r="AK718" s="44">
        <f t="shared" si="1219"/>
        <v>146</v>
      </c>
      <c r="AL718" s="44">
        <f>AL690-AL717</f>
        <v>403</v>
      </c>
      <c r="AM718" s="87">
        <f t="shared" si="1164"/>
        <v>1475</v>
      </c>
      <c r="AN718" s="32">
        <f>AN690-AN717</f>
        <v>274</v>
      </c>
      <c r="AO718" s="44">
        <f t="shared" ref="AO718:AP718" si="1220">AO690-AO717</f>
        <v>253</v>
      </c>
      <c r="AP718" s="44">
        <f t="shared" si="1220"/>
        <v>163</v>
      </c>
      <c r="AQ718" s="44">
        <f>AQ690-AQ717</f>
        <v>337</v>
      </c>
      <c r="AR718" s="87">
        <f t="shared" si="1165"/>
        <v>1027</v>
      </c>
      <c r="AS718" s="32">
        <f>AS690-AS717</f>
        <v>441</v>
      </c>
      <c r="AT718" s="44">
        <f t="shared" ref="AT718:AU718" si="1221">AT690-AT717</f>
        <v>355</v>
      </c>
      <c r="AU718" s="44">
        <f t="shared" si="1221"/>
        <v>125</v>
      </c>
      <c r="AV718" s="44">
        <f>AV690-AV717</f>
        <v>482</v>
      </c>
      <c r="AW718" s="87">
        <f t="shared" si="1166"/>
        <v>1403</v>
      </c>
      <c r="AX718" s="32">
        <f>AX690-AX717</f>
        <v>332</v>
      </c>
      <c r="AY718" s="44">
        <f t="shared" ref="AY718:AZ718" si="1222">AY690-AY717</f>
        <v>336</v>
      </c>
      <c r="AZ718" s="44">
        <f t="shared" si="1222"/>
        <v>247</v>
      </c>
      <c r="BA718" s="44">
        <f>BA690-BA717</f>
        <v>69</v>
      </c>
      <c r="BB718" s="87">
        <f t="shared" si="1167"/>
        <v>984</v>
      </c>
      <c r="BC718" s="107">
        <f t="shared" si="1168"/>
        <v>6458</v>
      </c>
    </row>
    <row r="721" spans="1:56" ht="19.5" thickBot="1" x14ac:dyDescent="0.25">
      <c r="A721" s="271" t="s">
        <v>22</v>
      </c>
      <c r="B721" s="271"/>
      <c r="C721" s="271"/>
      <c r="D721" s="271"/>
      <c r="E721" s="271"/>
      <c r="F721" s="271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C721" s="79" t="s">
        <v>69</v>
      </c>
      <c r="AD721" s="79"/>
      <c r="AE721" s="79"/>
      <c r="AF721" s="79"/>
      <c r="AG721" s="79"/>
      <c r="AH721" s="79"/>
      <c r="AI721" s="93"/>
      <c r="AJ721" s="93"/>
      <c r="AK721" s="93"/>
      <c r="AL721" s="93"/>
      <c r="AM721" s="93"/>
      <c r="AN721" s="93"/>
      <c r="AO721" s="93"/>
      <c r="AP721" s="93"/>
      <c r="AQ721" s="93"/>
      <c r="AR721" s="93"/>
      <c r="AS721" s="93"/>
      <c r="AT721" s="78"/>
      <c r="AU721" s="78"/>
      <c r="AV721" s="78"/>
      <c r="AW721" s="78"/>
      <c r="AX721" s="78"/>
      <c r="AY721" s="78"/>
      <c r="AZ721" s="78"/>
      <c r="BA721" s="78"/>
      <c r="BB721" s="78"/>
      <c r="BC721" s="78"/>
    </row>
    <row r="722" spans="1:56" ht="14.25" thickBot="1" x14ac:dyDescent="0.2">
      <c r="A722" s="2" t="s">
        <v>0</v>
      </c>
      <c r="B722" s="256" t="s">
        <v>23</v>
      </c>
      <c r="C722" s="257"/>
      <c r="D722" s="257"/>
      <c r="E722" s="258"/>
      <c r="F722" s="81"/>
      <c r="G722" s="259" t="s">
        <v>24</v>
      </c>
      <c r="H722" s="260"/>
      <c r="I722" s="260"/>
      <c r="J722" s="261"/>
      <c r="K722" s="81"/>
      <c r="L722" s="262" t="s">
        <v>25</v>
      </c>
      <c r="M722" s="263"/>
      <c r="N722" s="263"/>
      <c r="O722" s="264"/>
      <c r="P722" s="81"/>
      <c r="Q722" s="265" t="s">
        <v>26</v>
      </c>
      <c r="R722" s="266"/>
      <c r="S722" s="266"/>
      <c r="T722" s="267"/>
      <c r="U722" s="81"/>
      <c r="V722" s="268" t="s">
        <v>27</v>
      </c>
      <c r="W722" s="269"/>
      <c r="X722" s="269"/>
      <c r="Y722" s="270"/>
      <c r="Z722" s="81"/>
      <c r="AA722" s="272" t="s">
        <v>6</v>
      </c>
      <c r="AC722" s="2" t="s">
        <v>0</v>
      </c>
      <c r="AD722" s="256" t="s">
        <v>23</v>
      </c>
      <c r="AE722" s="257"/>
      <c r="AF722" s="257"/>
      <c r="AG722" s="258"/>
      <c r="AH722" s="81"/>
      <c r="AI722" s="259" t="s">
        <v>24</v>
      </c>
      <c r="AJ722" s="260"/>
      <c r="AK722" s="260"/>
      <c r="AL722" s="261"/>
      <c r="AM722" s="81"/>
      <c r="AN722" s="262" t="s">
        <v>25</v>
      </c>
      <c r="AO722" s="263"/>
      <c r="AP722" s="263"/>
      <c r="AQ722" s="264"/>
      <c r="AR722" s="81"/>
      <c r="AS722" s="265" t="s">
        <v>26</v>
      </c>
      <c r="AT722" s="266"/>
      <c r="AU722" s="266"/>
      <c r="AV722" s="267"/>
      <c r="AW722" s="81"/>
      <c r="AX722" s="268" t="s">
        <v>27</v>
      </c>
      <c r="AY722" s="269"/>
      <c r="AZ722" s="269"/>
      <c r="BA722" s="270"/>
      <c r="BB722" s="81"/>
      <c r="BC722" s="183" t="s">
        <v>6</v>
      </c>
    </row>
    <row r="723" spans="1:56" ht="14.25" thickBot="1" x14ac:dyDescent="0.2">
      <c r="A723" s="2" t="s">
        <v>2</v>
      </c>
      <c r="B723" s="3" t="s">
        <v>3</v>
      </c>
      <c r="C723" s="4" t="s">
        <v>4</v>
      </c>
      <c r="D723" s="5" t="s">
        <v>5</v>
      </c>
      <c r="E723" s="5" t="s">
        <v>20</v>
      </c>
      <c r="F723" s="82" t="s">
        <v>6</v>
      </c>
      <c r="G723" s="89" t="s">
        <v>3</v>
      </c>
      <c r="H723" s="4" t="s">
        <v>4</v>
      </c>
      <c r="I723" s="5" t="s">
        <v>5</v>
      </c>
      <c r="J723" s="5" t="s">
        <v>20</v>
      </c>
      <c r="K723" s="82" t="s">
        <v>6</v>
      </c>
      <c r="L723" s="89" t="s">
        <v>3</v>
      </c>
      <c r="M723" s="4" t="s">
        <v>4</v>
      </c>
      <c r="N723" s="5" t="s">
        <v>5</v>
      </c>
      <c r="O723" s="5" t="s">
        <v>20</v>
      </c>
      <c r="P723" s="82" t="s">
        <v>6</v>
      </c>
      <c r="Q723" s="89" t="s">
        <v>3</v>
      </c>
      <c r="R723" s="4" t="s">
        <v>4</v>
      </c>
      <c r="S723" s="5" t="s">
        <v>5</v>
      </c>
      <c r="T723" s="5" t="s">
        <v>20</v>
      </c>
      <c r="U723" s="82" t="s">
        <v>6</v>
      </c>
      <c r="V723" s="89" t="s">
        <v>3</v>
      </c>
      <c r="W723" s="4" t="s">
        <v>4</v>
      </c>
      <c r="X723" s="5" t="s">
        <v>5</v>
      </c>
      <c r="Y723" s="5" t="s">
        <v>20</v>
      </c>
      <c r="Z723" s="82" t="s">
        <v>6</v>
      </c>
      <c r="AA723" s="273"/>
      <c r="AC723" s="2" t="s">
        <v>2</v>
      </c>
      <c r="AD723" s="3" t="s">
        <v>3</v>
      </c>
      <c r="AE723" s="4" t="s">
        <v>4</v>
      </c>
      <c r="AF723" s="5" t="s">
        <v>5</v>
      </c>
      <c r="AG723" s="5" t="s">
        <v>20</v>
      </c>
      <c r="AH723" s="82" t="s">
        <v>6</v>
      </c>
      <c r="AI723" s="89" t="s">
        <v>3</v>
      </c>
      <c r="AJ723" s="4" t="s">
        <v>4</v>
      </c>
      <c r="AK723" s="5" t="s">
        <v>5</v>
      </c>
      <c r="AL723" s="5" t="s">
        <v>20</v>
      </c>
      <c r="AM723" s="82" t="s">
        <v>6</v>
      </c>
      <c r="AN723" s="89" t="s">
        <v>3</v>
      </c>
      <c r="AO723" s="4" t="s">
        <v>4</v>
      </c>
      <c r="AP723" s="5" t="s">
        <v>5</v>
      </c>
      <c r="AQ723" s="5" t="s">
        <v>20</v>
      </c>
      <c r="AR723" s="82" t="s">
        <v>6</v>
      </c>
      <c r="AS723" s="89" t="s">
        <v>3</v>
      </c>
      <c r="AT723" s="4" t="s">
        <v>4</v>
      </c>
      <c r="AU723" s="5" t="s">
        <v>5</v>
      </c>
      <c r="AV723" s="5" t="s">
        <v>20</v>
      </c>
      <c r="AW723" s="82" t="s">
        <v>6</v>
      </c>
      <c r="AX723" s="89" t="s">
        <v>3</v>
      </c>
      <c r="AY723" s="4" t="s">
        <v>4</v>
      </c>
      <c r="AZ723" s="5" t="s">
        <v>5</v>
      </c>
      <c r="BA723" s="5" t="s">
        <v>20</v>
      </c>
      <c r="BB723" s="82" t="s">
        <v>6</v>
      </c>
      <c r="BC723" s="184"/>
    </row>
    <row r="724" spans="1:56" x14ac:dyDescent="0.15">
      <c r="A724" s="40" t="s">
        <v>13</v>
      </c>
      <c r="B724" s="41">
        <f>B718</f>
        <v>4</v>
      </c>
      <c r="C724" s="42">
        <f>C718</f>
        <v>3</v>
      </c>
      <c r="D724" s="42">
        <f t="shared" ref="D724:AA724" si="1223">D718</f>
        <v>5</v>
      </c>
      <c r="E724" s="94">
        <f t="shared" si="1223"/>
        <v>5</v>
      </c>
      <c r="F724" s="95">
        <f t="shared" si="1223"/>
        <v>17</v>
      </c>
      <c r="G724" s="96">
        <f t="shared" si="1223"/>
        <v>9</v>
      </c>
      <c r="H724" s="42">
        <f t="shared" si="1223"/>
        <v>3</v>
      </c>
      <c r="I724" s="42">
        <f t="shared" si="1223"/>
        <v>8</v>
      </c>
      <c r="J724" s="94">
        <f t="shared" si="1223"/>
        <v>4</v>
      </c>
      <c r="K724" s="95">
        <f t="shared" si="1223"/>
        <v>24</v>
      </c>
      <c r="L724" s="96">
        <f t="shared" si="1223"/>
        <v>11</v>
      </c>
      <c r="M724" s="42">
        <f t="shared" si="1223"/>
        <v>6</v>
      </c>
      <c r="N724" s="42">
        <f t="shared" si="1223"/>
        <v>5</v>
      </c>
      <c r="O724" s="94">
        <f t="shared" si="1223"/>
        <v>8</v>
      </c>
      <c r="P724" s="95">
        <f t="shared" si="1223"/>
        <v>30</v>
      </c>
      <c r="Q724" s="96">
        <f t="shared" si="1223"/>
        <v>3</v>
      </c>
      <c r="R724" s="42">
        <f t="shared" si="1223"/>
        <v>4</v>
      </c>
      <c r="S724" s="42">
        <f t="shared" si="1223"/>
        <v>3</v>
      </c>
      <c r="T724" s="94">
        <f t="shared" si="1223"/>
        <v>4</v>
      </c>
      <c r="U724" s="95">
        <f t="shared" si="1223"/>
        <v>14</v>
      </c>
      <c r="V724" s="96">
        <f t="shared" si="1223"/>
        <v>6</v>
      </c>
      <c r="W724" s="42">
        <f t="shared" si="1223"/>
        <v>7</v>
      </c>
      <c r="X724" s="42">
        <f t="shared" si="1223"/>
        <v>5</v>
      </c>
      <c r="Y724" s="94">
        <f t="shared" si="1223"/>
        <v>3</v>
      </c>
      <c r="Z724" s="95">
        <f t="shared" si="1223"/>
        <v>21</v>
      </c>
      <c r="AA724" s="104">
        <f t="shared" si="1223"/>
        <v>106</v>
      </c>
      <c r="AC724" s="131" t="s">
        <v>13</v>
      </c>
      <c r="AD724" s="96">
        <f>AD718</f>
        <v>579</v>
      </c>
      <c r="AE724" s="42">
        <f>AE718</f>
        <v>483</v>
      </c>
      <c r="AF724" s="42">
        <f t="shared" ref="AF724:BC724" si="1224">AF718</f>
        <v>121</v>
      </c>
      <c r="AG724" s="94">
        <f t="shared" si="1224"/>
        <v>386</v>
      </c>
      <c r="AH724" s="95">
        <f t="shared" si="1224"/>
        <v>1569</v>
      </c>
      <c r="AI724" s="96">
        <f t="shared" si="1224"/>
        <v>527</v>
      </c>
      <c r="AJ724" s="42">
        <f t="shared" si="1224"/>
        <v>399</v>
      </c>
      <c r="AK724" s="42">
        <f t="shared" si="1224"/>
        <v>146</v>
      </c>
      <c r="AL724" s="94">
        <f t="shared" si="1224"/>
        <v>403</v>
      </c>
      <c r="AM724" s="95">
        <f t="shared" si="1224"/>
        <v>1475</v>
      </c>
      <c r="AN724" s="96">
        <f t="shared" si="1224"/>
        <v>274</v>
      </c>
      <c r="AO724" s="42">
        <f t="shared" si="1224"/>
        <v>253</v>
      </c>
      <c r="AP724" s="42">
        <f t="shared" si="1224"/>
        <v>163</v>
      </c>
      <c r="AQ724" s="94">
        <f t="shared" si="1224"/>
        <v>337</v>
      </c>
      <c r="AR724" s="95">
        <f t="shared" si="1224"/>
        <v>1027</v>
      </c>
      <c r="AS724" s="96">
        <f t="shared" si="1224"/>
        <v>441</v>
      </c>
      <c r="AT724" s="42">
        <f t="shared" si="1224"/>
        <v>355</v>
      </c>
      <c r="AU724" s="42">
        <f t="shared" si="1224"/>
        <v>125</v>
      </c>
      <c r="AV724" s="94">
        <f t="shared" si="1224"/>
        <v>482</v>
      </c>
      <c r="AW724" s="95">
        <f t="shared" si="1224"/>
        <v>1403</v>
      </c>
      <c r="AX724" s="96">
        <f t="shared" si="1224"/>
        <v>332</v>
      </c>
      <c r="AY724" s="42">
        <f t="shared" si="1224"/>
        <v>336</v>
      </c>
      <c r="AZ724" s="42">
        <f t="shared" si="1224"/>
        <v>247</v>
      </c>
      <c r="BA724" s="94">
        <f t="shared" si="1224"/>
        <v>69</v>
      </c>
      <c r="BB724" s="95">
        <f t="shared" si="1224"/>
        <v>984</v>
      </c>
      <c r="BC724" s="104">
        <f t="shared" si="1224"/>
        <v>6458</v>
      </c>
    </row>
    <row r="725" spans="1:56" x14ac:dyDescent="0.15">
      <c r="A725" s="233" t="s">
        <v>7</v>
      </c>
      <c r="B725" s="249"/>
      <c r="C725" s="250"/>
      <c r="D725" s="251"/>
      <c r="E725" s="251"/>
      <c r="F725" s="237">
        <f t="shared" ref="F725:F758" si="1225">SUM(B725:E725)</f>
        <v>0</v>
      </c>
      <c r="G725" s="252"/>
      <c r="H725" s="250">
        <v>5</v>
      </c>
      <c r="I725" s="251"/>
      <c r="J725" s="251"/>
      <c r="K725" s="237">
        <f t="shared" ref="K725:K758" si="1226">SUM(G725:J725)</f>
        <v>5</v>
      </c>
      <c r="L725" s="252"/>
      <c r="M725" s="250"/>
      <c r="N725" s="251"/>
      <c r="O725" s="251"/>
      <c r="P725" s="237">
        <f t="shared" ref="P725:P758" si="1227">SUM(L725:O725)</f>
        <v>0</v>
      </c>
      <c r="Q725" s="252">
        <v>5</v>
      </c>
      <c r="R725" s="250"/>
      <c r="S725" s="251">
        <v>5</v>
      </c>
      <c r="T725" s="251"/>
      <c r="U725" s="237">
        <f t="shared" ref="U725:U758" si="1228">SUM(Q725:T725)</f>
        <v>10</v>
      </c>
      <c r="V725" s="252"/>
      <c r="W725" s="250"/>
      <c r="X725" s="251"/>
      <c r="Y725" s="251"/>
      <c r="Z725" s="237">
        <f t="shared" ref="Z725:Z758" si="1229">SUM(V725:Y725)</f>
        <v>0</v>
      </c>
      <c r="AA725" s="239">
        <f t="shared" ref="AA725:AA758" si="1230">Z725+U725+P725+K725+F725</f>
        <v>15</v>
      </c>
      <c r="AB725" s="240">
        <v>46127</v>
      </c>
      <c r="AC725" s="117" t="s">
        <v>313</v>
      </c>
      <c r="AD725" s="90"/>
      <c r="AE725" s="11"/>
      <c r="AF725" s="12"/>
      <c r="AG725" s="12"/>
      <c r="AH725" s="84">
        <f t="shared" ref="AH725:AH758" si="1231">SUM(AD725:AG725)</f>
        <v>0</v>
      </c>
      <c r="AI725" s="90"/>
      <c r="AJ725" s="11"/>
      <c r="AK725" s="12"/>
      <c r="AL725" s="12"/>
      <c r="AM725" s="84">
        <f t="shared" ref="AM725:AM758" si="1232">SUM(AI725:AL725)</f>
        <v>0</v>
      </c>
      <c r="AN725" s="90"/>
      <c r="AO725" s="11"/>
      <c r="AP725" s="12"/>
      <c r="AQ725" s="12"/>
      <c r="AR725" s="84">
        <f t="shared" ref="AR725:AR758" si="1233">SUM(AN725:AQ725)</f>
        <v>0</v>
      </c>
      <c r="AS725" s="90"/>
      <c r="AT725" s="11"/>
      <c r="AU725" s="12"/>
      <c r="AV725" s="12"/>
      <c r="AW725" s="84">
        <f t="shared" ref="AW725:AW758" si="1234">SUM(AS725:AV725)</f>
        <v>0</v>
      </c>
      <c r="AX725" s="90"/>
      <c r="AY725" s="11"/>
      <c r="AZ725" s="12"/>
      <c r="BA725" s="12"/>
      <c r="BB725" s="84">
        <f t="shared" ref="BB725:BB758" si="1235">SUM(AX725:BA725)</f>
        <v>0</v>
      </c>
      <c r="BC725" s="105">
        <f t="shared" ref="BC725:BC758" si="1236">BB725+AW725+AR725+AM725+AH725</f>
        <v>0</v>
      </c>
    </row>
    <row r="726" spans="1:56" x14ac:dyDescent="0.15">
      <c r="A726" s="9" t="s">
        <v>171</v>
      </c>
      <c r="B726" s="10"/>
      <c r="C726" s="11"/>
      <c r="D726" s="12"/>
      <c r="E726" s="12"/>
      <c r="F726" s="85">
        <f t="shared" si="1225"/>
        <v>0</v>
      </c>
      <c r="G726" s="90"/>
      <c r="H726" s="11"/>
      <c r="I726" s="12"/>
      <c r="J726" s="12"/>
      <c r="K726" s="85">
        <f t="shared" si="1226"/>
        <v>0</v>
      </c>
      <c r="L726" s="90">
        <v>1</v>
      </c>
      <c r="M726" s="11">
        <v>1</v>
      </c>
      <c r="N726" s="12"/>
      <c r="O726" s="12"/>
      <c r="P726" s="85">
        <f t="shared" si="1227"/>
        <v>2</v>
      </c>
      <c r="Q726" s="90">
        <v>1</v>
      </c>
      <c r="R726" s="11">
        <v>1</v>
      </c>
      <c r="S726" s="12"/>
      <c r="T726" s="12"/>
      <c r="U726" s="85">
        <f t="shared" si="1228"/>
        <v>2</v>
      </c>
      <c r="V726" s="90">
        <v>1</v>
      </c>
      <c r="W726" s="11">
        <v>1</v>
      </c>
      <c r="X726" s="12"/>
      <c r="Y726" s="12"/>
      <c r="Z726" s="85">
        <f t="shared" si="1229"/>
        <v>2</v>
      </c>
      <c r="AA726" s="105">
        <f t="shared" si="1230"/>
        <v>6</v>
      </c>
      <c r="AB726" s="115">
        <v>46127</v>
      </c>
      <c r="AC726" s="117" t="s">
        <v>355</v>
      </c>
      <c r="AD726" s="90"/>
      <c r="AE726" s="11"/>
      <c r="AF726" s="12"/>
      <c r="AG726" s="12"/>
      <c r="AH726" s="84">
        <f t="shared" si="1231"/>
        <v>0</v>
      </c>
      <c r="AI726" s="90"/>
      <c r="AJ726" s="11"/>
      <c r="AK726" s="12"/>
      <c r="AL726" s="12"/>
      <c r="AM726" s="84">
        <f t="shared" si="1232"/>
        <v>0</v>
      </c>
      <c r="AN726" s="90"/>
      <c r="AO726" s="11"/>
      <c r="AP726" s="12"/>
      <c r="AQ726" s="12"/>
      <c r="AR726" s="84">
        <f t="shared" si="1233"/>
        <v>0</v>
      </c>
      <c r="AS726" s="90"/>
      <c r="AT726" s="11"/>
      <c r="AU726" s="12"/>
      <c r="AV726" s="12"/>
      <c r="AW726" s="84">
        <f t="shared" si="1234"/>
        <v>0</v>
      </c>
      <c r="AX726" s="90"/>
      <c r="AY726" s="11"/>
      <c r="AZ726" s="12"/>
      <c r="BA726" s="12"/>
      <c r="BB726" s="84">
        <f t="shared" si="1235"/>
        <v>0</v>
      </c>
      <c r="BC726" s="105">
        <f t="shared" si="1236"/>
        <v>0</v>
      </c>
    </row>
    <row r="727" spans="1:56" x14ac:dyDescent="0.15">
      <c r="A727" s="233" t="s">
        <v>9</v>
      </c>
      <c r="B727" s="234"/>
      <c r="C727" s="235"/>
      <c r="D727" s="236"/>
      <c r="E727" s="236"/>
      <c r="F727" s="237">
        <f t="shared" si="1225"/>
        <v>0</v>
      </c>
      <c r="G727" s="238"/>
      <c r="H727" s="235"/>
      <c r="I727" s="236"/>
      <c r="J727" s="236"/>
      <c r="K727" s="237">
        <f t="shared" si="1226"/>
        <v>0</v>
      </c>
      <c r="L727" s="238"/>
      <c r="M727" s="235"/>
      <c r="N727" s="236"/>
      <c r="O727" s="236"/>
      <c r="P727" s="237">
        <f t="shared" si="1227"/>
        <v>0</v>
      </c>
      <c r="Q727" s="238"/>
      <c r="R727" s="235"/>
      <c r="S727" s="236"/>
      <c r="T727" s="236"/>
      <c r="U727" s="237">
        <f t="shared" si="1228"/>
        <v>0</v>
      </c>
      <c r="V727" s="238"/>
      <c r="W727" s="235"/>
      <c r="X727" s="236"/>
      <c r="Y727" s="236">
        <v>3</v>
      </c>
      <c r="Z727" s="237">
        <f t="shared" si="1229"/>
        <v>3</v>
      </c>
      <c r="AA727" s="239">
        <f t="shared" si="1230"/>
        <v>3</v>
      </c>
      <c r="AB727" s="240">
        <v>46133</v>
      </c>
      <c r="AC727" s="117" t="s">
        <v>354</v>
      </c>
      <c r="AD727" s="90"/>
      <c r="AE727" s="11"/>
      <c r="AF727" s="12"/>
      <c r="AG727" s="12"/>
      <c r="AH727" s="84">
        <f t="shared" si="1231"/>
        <v>0</v>
      </c>
      <c r="AI727" s="90"/>
      <c r="AJ727" s="11"/>
      <c r="AK727" s="12"/>
      <c r="AL727" s="12"/>
      <c r="AM727" s="84">
        <f t="shared" si="1232"/>
        <v>0</v>
      </c>
      <c r="AN727" s="90"/>
      <c r="AO727" s="11"/>
      <c r="AP727" s="12"/>
      <c r="AQ727" s="12"/>
      <c r="AR727" s="84">
        <f t="shared" si="1233"/>
        <v>0</v>
      </c>
      <c r="AS727" s="90"/>
      <c r="AT727" s="11"/>
      <c r="AU727" s="12"/>
      <c r="AV727" s="12"/>
      <c r="AW727" s="84">
        <f t="shared" si="1234"/>
        <v>0</v>
      </c>
      <c r="AX727" s="90"/>
      <c r="AY727" s="11"/>
      <c r="AZ727" s="12"/>
      <c r="BA727" s="12"/>
      <c r="BB727" s="84">
        <f t="shared" si="1235"/>
        <v>0</v>
      </c>
      <c r="BC727" s="105">
        <f t="shared" si="1236"/>
        <v>0</v>
      </c>
    </row>
    <row r="728" spans="1:56" x14ac:dyDescent="0.15">
      <c r="A728" s="9" t="s">
        <v>10</v>
      </c>
      <c r="B728" s="15">
        <v>5</v>
      </c>
      <c r="C728" s="16">
        <v>3</v>
      </c>
      <c r="D728" s="17"/>
      <c r="E728" s="17"/>
      <c r="F728" s="85">
        <f t="shared" si="1225"/>
        <v>8</v>
      </c>
      <c r="G728" s="91"/>
      <c r="H728" s="16"/>
      <c r="I728" s="17"/>
      <c r="J728" s="17"/>
      <c r="K728" s="85">
        <f t="shared" si="1226"/>
        <v>0</v>
      </c>
      <c r="L728" s="91"/>
      <c r="M728" s="16"/>
      <c r="N728" s="17"/>
      <c r="O728" s="17"/>
      <c r="P728" s="85">
        <f t="shared" si="1227"/>
        <v>0</v>
      </c>
      <c r="Q728" s="91">
        <v>3</v>
      </c>
      <c r="R728" s="16">
        <v>3</v>
      </c>
      <c r="S728" s="17"/>
      <c r="T728" s="17"/>
      <c r="U728" s="85">
        <f t="shared" si="1228"/>
        <v>6</v>
      </c>
      <c r="V728" s="91"/>
      <c r="W728" s="16">
        <v>3</v>
      </c>
      <c r="X728" s="17"/>
      <c r="Y728" s="17"/>
      <c r="Z728" s="85">
        <f t="shared" si="1229"/>
        <v>3</v>
      </c>
      <c r="AA728" s="105">
        <f t="shared" si="1230"/>
        <v>17</v>
      </c>
      <c r="AB728" s="114">
        <v>46142</v>
      </c>
      <c r="AC728" s="117" t="s">
        <v>10</v>
      </c>
      <c r="AD728" s="90"/>
      <c r="AE728" s="11"/>
      <c r="AF728" s="12"/>
      <c r="AG728" s="12"/>
      <c r="AH728" s="84">
        <f t="shared" si="1231"/>
        <v>0</v>
      </c>
      <c r="AI728" s="90"/>
      <c r="AJ728" s="11"/>
      <c r="AK728" s="12"/>
      <c r="AL728" s="12"/>
      <c r="AM728" s="84">
        <f t="shared" si="1232"/>
        <v>0</v>
      </c>
      <c r="AN728" s="90"/>
      <c r="AO728" s="11"/>
      <c r="AP728" s="12"/>
      <c r="AQ728" s="12"/>
      <c r="AR728" s="84">
        <f t="shared" si="1233"/>
        <v>0</v>
      </c>
      <c r="AS728" s="90"/>
      <c r="AT728" s="11"/>
      <c r="AU728" s="12"/>
      <c r="AV728" s="12"/>
      <c r="AW728" s="84">
        <f t="shared" si="1234"/>
        <v>0</v>
      </c>
      <c r="AX728" s="90"/>
      <c r="AY728" s="11"/>
      <c r="AZ728" s="12"/>
      <c r="BA728" s="12"/>
      <c r="BB728" s="84">
        <f t="shared" si="1235"/>
        <v>0</v>
      </c>
      <c r="BC728" s="105">
        <f t="shared" si="1236"/>
        <v>0</v>
      </c>
    </row>
    <row r="729" spans="1:56" ht="14.25" thickBot="1" x14ac:dyDescent="0.2">
      <c r="A729" s="233" t="s">
        <v>11</v>
      </c>
      <c r="B729" s="234"/>
      <c r="C729" s="235"/>
      <c r="D729" s="236"/>
      <c r="E729" s="236"/>
      <c r="F729" s="254">
        <f t="shared" si="1225"/>
        <v>0</v>
      </c>
      <c r="G729" s="238"/>
      <c r="H729" s="235"/>
      <c r="I729" s="236"/>
      <c r="J729" s="236"/>
      <c r="K729" s="254">
        <f t="shared" si="1226"/>
        <v>0</v>
      </c>
      <c r="L729" s="238"/>
      <c r="M729" s="235"/>
      <c r="N729" s="236"/>
      <c r="O729" s="236"/>
      <c r="P729" s="254">
        <f t="shared" si="1227"/>
        <v>0</v>
      </c>
      <c r="Q729" s="238"/>
      <c r="R729" s="235"/>
      <c r="S729" s="236"/>
      <c r="T729" s="236">
        <v>5</v>
      </c>
      <c r="U729" s="254">
        <f t="shared" si="1228"/>
        <v>5</v>
      </c>
      <c r="V729" s="238"/>
      <c r="W729" s="235"/>
      <c r="X729" s="236"/>
      <c r="Y729" s="236"/>
      <c r="Z729" s="254">
        <f t="shared" si="1229"/>
        <v>0</v>
      </c>
      <c r="AA729" s="255">
        <f t="shared" si="1230"/>
        <v>5</v>
      </c>
      <c r="AB729" s="240">
        <v>46161</v>
      </c>
      <c r="AC729" s="132" t="s">
        <v>11</v>
      </c>
      <c r="AD729" s="91"/>
      <c r="AE729" s="16"/>
      <c r="AF729" s="17"/>
      <c r="AG729" s="17"/>
      <c r="AH729" s="92">
        <f t="shared" si="1231"/>
        <v>0</v>
      </c>
      <c r="AI729" s="91"/>
      <c r="AJ729" s="16"/>
      <c r="AK729" s="17"/>
      <c r="AL729" s="17"/>
      <c r="AM729" s="92">
        <f t="shared" si="1232"/>
        <v>0</v>
      </c>
      <c r="AN729" s="91"/>
      <c r="AO729" s="16"/>
      <c r="AP729" s="17"/>
      <c r="AQ729" s="17"/>
      <c r="AR729" s="92">
        <f t="shared" si="1233"/>
        <v>0</v>
      </c>
      <c r="AS729" s="91"/>
      <c r="AT729" s="16"/>
      <c r="AU729" s="17"/>
      <c r="AV729" s="17"/>
      <c r="AW729" s="92">
        <f t="shared" si="1234"/>
        <v>0</v>
      </c>
      <c r="AX729" s="91"/>
      <c r="AY729" s="16"/>
      <c r="AZ729" s="17"/>
      <c r="BA729" s="17"/>
      <c r="BB729" s="92">
        <f t="shared" si="1235"/>
        <v>0</v>
      </c>
      <c r="BC729" s="110">
        <f t="shared" si="1236"/>
        <v>0</v>
      </c>
    </row>
    <row r="730" spans="1:56" ht="14.25" thickBot="1" x14ac:dyDescent="0.2">
      <c r="A730" s="21" t="s">
        <v>16</v>
      </c>
      <c r="B730" s="7">
        <f>SUM(B724:B729)</f>
        <v>9</v>
      </c>
      <c r="C730" s="8">
        <f t="shared" ref="C730:E730" si="1237">SUM(C724:C729)</f>
        <v>6</v>
      </c>
      <c r="D730" s="22">
        <f t="shared" si="1237"/>
        <v>5</v>
      </c>
      <c r="E730" s="22">
        <f t="shared" si="1237"/>
        <v>5</v>
      </c>
      <c r="F730" s="87">
        <f t="shared" si="1225"/>
        <v>25</v>
      </c>
      <c r="G730" s="7">
        <f>SUM(G724:G729)</f>
        <v>9</v>
      </c>
      <c r="H730" s="8">
        <f t="shared" ref="H730:J730" si="1238">SUM(H724:H729)</f>
        <v>8</v>
      </c>
      <c r="I730" s="22">
        <f t="shared" si="1238"/>
        <v>8</v>
      </c>
      <c r="J730" s="22">
        <f t="shared" si="1238"/>
        <v>4</v>
      </c>
      <c r="K730" s="87">
        <f t="shared" si="1226"/>
        <v>29</v>
      </c>
      <c r="L730" s="7">
        <f>SUM(L724:L729)</f>
        <v>12</v>
      </c>
      <c r="M730" s="8">
        <f t="shared" ref="M730:O730" si="1239">SUM(M724:M729)</f>
        <v>7</v>
      </c>
      <c r="N730" s="22">
        <f t="shared" si="1239"/>
        <v>5</v>
      </c>
      <c r="O730" s="22">
        <f t="shared" si="1239"/>
        <v>8</v>
      </c>
      <c r="P730" s="87">
        <f t="shared" si="1227"/>
        <v>32</v>
      </c>
      <c r="Q730" s="7">
        <f>SUM(Q724:Q729)</f>
        <v>12</v>
      </c>
      <c r="R730" s="8">
        <f t="shared" ref="R730:T730" si="1240">SUM(R724:R729)</f>
        <v>8</v>
      </c>
      <c r="S730" s="22">
        <f t="shared" si="1240"/>
        <v>8</v>
      </c>
      <c r="T730" s="22">
        <f t="shared" si="1240"/>
        <v>9</v>
      </c>
      <c r="U730" s="87">
        <f t="shared" si="1228"/>
        <v>37</v>
      </c>
      <c r="V730" s="7">
        <f>SUM(V724:V729)</f>
        <v>7</v>
      </c>
      <c r="W730" s="8">
        <f t="shared" ref="W730:Y730" si="1241">SUM(W724:W729)</f>
        <v>11</v>
      </c>
      <c r="X730" s="22">
        <f t="shared" si="1241"/>
        <v>5</v>
      </c>
      <c r="Y730" s="22">
        <f t="shared" si="1241"/>
        <v>6</v>
      </c>
      <c r="Z730" s="87">
        <f t="shared" si="1229"/>
        <v>29</v>
      </c>
      <c r="AA730" s="107">
        <f t="shared" si="1230"/>
        <v>152</v>
      </c>
      <c r="AC730" s="21" t="s">
        <v>16</v>
      </c>
      <c r="AD730" s="7">
        <f>SUM(AD724:AD729)</f>
        <v>579</v>
      </c>
      <c r="AE730" s="8">
        <f t="shared" ref="AE730:AG730" si="1242">SUM(AE724:AE729)</f>
        <v>483</v>
      </c>
      <c r="AF730" s="22">
        <f t="shared" si="1242"/>
        <v>121</v>
      </c>
      <c r="AG730" s="22">
        <f t="shared" si="1242"/>
        <v>386</v>
      </c>
      <c r="AH730" s="87">
        <f t="shared" si="1231"/>
        <v>1569</v>
      </c>
      <c r="AI730" s="7">
        <f>SUM(AI724:AI729)</f>
        <v>527</v>
      </c>
      <c r="AJ730" s="8">
        <f t="shared" ref="AJ730:AL730" si="1243">SUM(AJ724:AJ729)</f>
        <v>399</v>
      </c>
      <c r="AK730" s="22">
        <f t="shared" si="1243"/>
        <v>146</v>
      </c>
      <c r="AL730" s="22">
        <f t="shared" si="1243"/>
        <v>403</v>
      </c>
      <c r="AM730" s="87">
        <f t="shared" si="1232"/>
        <v>1475</v>
      </c>
      <c r="AN730" s="7">
        <f>SUM(AN724:AN729)</f>
        <v>274</v>
      </c>
      <c r="AO730" s="8">
        <f t="shared" ref="AO730:AQ730" si="1244">SUM(AO724:AO729)</f>
        <v>253</v>
      </c>
      <c r="AP730" s="22">
        <f t="shared" si="1244"/>
        <v>163</v>
      </c>
      <c r="AQ730" s="22">
        <f t="shared" si="1244"/>
        <v>337</v>
      </c>
      <c r="AR730" s="87">
        <f t="shared" si="1233"/>
        <v>1027</v>
      </c>
      <c r="AS730" s="7">
        <f>SUM(AS724:AS729)</f>
        <v>441</v>
      </c>
      <c r="AT730" s="8">
        <f t="shared" ref="AT730:AV730" si="1245">SUM(AT724:AT729)</f>
        <v>355</v>
      </c>
      <c r="AU730" s="22">
        <f t="shared" si="1245"/>
        <v>125</v>
      </c>
      <c r="AV730" s="22">
        <f t="shared" si="1245"/>
        <v>482</v>
      </c>
      <c r="AW730" s="87">
        <f t="shared" si="1234"/>
        <v>1403</v>
      </c>
      <c r="AX730" s="7">
        <f>SUM(AX724:AX729)</f>
        <v>332</v>
      </c>
      <c r="AY730" s="8">
        <f t="shared" ref="AY730:BA730" si="1246">SUM(AY724:AY729)</f>
        <v>336</v>
      </c>
      <c r="AZ730" s="22">
        <f t="shared" si="1246"/>
        <v>247</v>
      </c>
      <c r="BA730" s="22">
        <f t="shared" si="1246"/>
        <v>69</v>
      </c>
      <c r="BB730" s="87">
        <f t="shared" si="1235"/>
        <v>984</v>
      </c>
      <c r="BC730" s="107">
        <f t="shared" si="1236"/>
        <v>6458</v>
      </c>
    </row>
    <row r="731" spans="1:56" x14ac:dyDescent="0.15">
      <c r="A731" s="23" t="s">
        <v>645</v>
      </c>
      <c r="B731" s="15"/>
      <c r="C731" s="16"/>
      <c r="D731" s="17"/>
      <c r="E731" s="17"/>
      <c r="F731" s="85">
        <f t="shared" si="1225"/>
        <v>0</v>
      </c>
      <c r="G731" s="15"/>
      <c r="H731" s="16">
        <v>2</v>
      </c>
      <c r="I731" s="17">
        <v>1</v>
      </c>
      <c r="J731" s="17"/>
      <c r="K731" s="85">
        <f t="shared" si="1226"/>
        <v>3</v>
      </c>
      <c r="L731" s="15"/>
      <c r="M731" s="16"/>
      <c r="N731" s="17"/>
      <c r="O731" s="17"/>
      <c r="P731" s="85">
        <f t="shared" si="1227"/>
        <v>0</v>
      </c>
      <c r="Q731" s="15">
        <v>2</v>
      </c>
      <c r="R731" s="16"/>
      <c r="S731" s="17"/>
      <c r="T731" s="17"/>
      <c r="U731" s="85">
        <f t="shared" si="1228"/>
        <v>2</v>
      </c>
      <c r="V731" s="15"/>
      <c r="W731" s="16">
        <v>2</v>
      </c>
      <c r="X731" s="17"/>
      <c r="Y731" s="17"/>
      <c r="Z731" s="85">
        <f t="shared" si="1229"/>
        <v>2</v>
      </c>
      <c r="AA731" s="105">
        <f t="shared" si="1230"/>
        <v>7</v>
      </c>
      <c r="AB731" s="114">
        <v>46129</v>
      </c>
      <c r="AC731" s="23" t="s">
        <v>643</v>
      </c>
      <c r="AD731" s="15"/>
      <c r="AE731" s="16"/>
      <c r="AF731" s="17">
        <v>3</v>
      </c>
      <c r="AG731" s="17"/>
      <c r="AH731" s="85">
        <f t="shared" ref="AH731:AH735" si="1247">SUM(AD731:AG731)</f>
        <v>3</v>
      </c>
      <c r="AI731" s="15"/>
      <c r="AJ731" s="16"/>
      <c r="AK731" s="17">
        <v>3</v>
      </c>
      <c r="AL731" s="17"/>
      <c r="AM731" s="85">
        <f t="shared" ref="AM731:AM735" si="1248">SUM(AI731:AL731)</f>
        <v>3</v>
      </c>
      <c r="AN731" s="15"/>
      <c r="AO731" s="16"/>
      <c r="AP731" s="17"/>
      <c r="AQ731" s="17"/>
      <c r="AR731" s="85">
        <f t="shared" ref="AR731:AR735" si="1249">SUM(AN731:AQ731)</f>
        <v>0</v>
      </c>
      <c r="AS731" s="15"/>
      <c r="AT731" s="16"/>
      <c r="AU731" s="17"/>
      <c r="AV731" s="17"/>
      <c r="AW731" s="85">
        <f t="shared" ref="AW731:AW735" si="1250">SUM(AS731:AV731)</f>
        <v>0</v>
      </c>
      <c r="AX731" s="15"/>
      <c r="AY731" s="16"/>
      <c r="AZ731" s="17">
        <v>3</v>
      </c>
      <c r="BA731" s="17"/>
      <c r="BB731" s="85">
        <f t="shared" ref="BB731:BB735" si="1251">SUM(AX731:BA731)</f>
        <v>3</v>
      </c>
      <c r="BC731" s="105">
        <f t="shared" ref="BC731:BC735" si="1252">BB731+AW731+AR731+AM731+AH731</f>
        <v>9</v>
      </c>
      <c r="BD731" s="114">
        <v>46126</v>
      </c>
    </row>
    <row r="732" spans="1:56" x14ac:dyDescent="0.15">
      <c r="A732" s="23" t="s">
        <v>43</v>
      </c>
      <c r="B732" s="15">
        <v>1</v>
      </c>
      <c r="C732" s="16"/>
      <c r="D732" s="17"/>
      <c r="E732" s="17"/>
      <c r="F732" s="85">
        <f t="shared" si="1225"/>
        <v>1</v>
      </c>
      <c r="G732" s="15">
        <v>1</v>
      </c>
      <c r="H732" s="16"/>
      <c r="I732" s="17"/>
      <c r="J732" s="17"/>
      <c r="K732" s="85">
        <f t="shared" si="1226"/>
        <v>1</v>
      </c>
      <c r="L732" s="15">
        <v>1</v>
      </c>
      <c r="M732" s="16"/>
      <c r="N732" s="17"/>
      <c r="O732" s="17"/>
      <c r="P732" s="85">
        <f t="shared" si="1227"/>
        <v>1</v>
      </c>
      <c r="Q732" s="15">
        <v>1</v>
      </c>
      <c r="R732" s="16"/>
      <c r="S732" s="17"/>
      <c r="T732" s="17"/>
      <c r="U732" s="85">
        <f t="shared" si="1228"/>
        <v>1</v>
      </c>
      <c r="V732" s="15">
        <v>1</v>
      </c>
      <c r="W732" s="16"/>
      <c r="X732" s="17"/>
      <c r="Y732" s="17"/>
      <c r="Z732" s="85">
        <f t="shared" si="1229"/>
        <v>1</v>
      </c>
      <c r="AA732" s="105">
        <f t="shared" si="1230"/>
        <v>5</v>
      </c>
      <c r="AB732" s="115">
        <v>46127</v>
      </c>
      <c r="AC732" s="23" t="s">
        <v>644</v>
      </c>
      <c r="AD732" s="15"/>
      <c r="AE732" s="16"/>
      <c r="AF732" s="17"/>
      <c r="AG732" s="17"/>
      <c r="AH732" s="85">
        <f t="shared" si="1247"/>
        <v>0</v>
      </c>
      <c r="AI732" s="15"/>
      <c r="AJ732" s="16"/>
      <c r="AK732" s="17"/>
      <c r="AL732" s="17"/>
      <c r="AM732" s="85">
        <f t="shared" si="1248"/>
        <v>0</v>
      </c>
      <c r="AN732" s="15">
        <v>1</v>
      </c>
      <c r="AO732" s="16"/>
      <c r="AP732" s="17"/>
      <c r="AQ732" s="17">
        <v>1</v>
      </c>
      <c r="AR732" s="85">
        <f t="shared" si="1249"/>
        <v>2</v>
      </c>
      <c r="AS732" s="15">
        <v>1</v>
      </c>
      <c r="AT732" s="16"/>
      <c r="AU732" s="17"/>
      <c r="AV732" s="17">
        <v>1</v>
      </c>
      <c r="AW732" s="85">
        <f t="shared" si="1250"/>
        <v>2</v>
      </c>
      <c r="AX732" s="15">
        <v>1</v>
      </c>
      <c r="AY732" s="16"/>
      <c r="AZ732" s="17"/>
      <c r="BA732" s="17">
        <v>1</v>
      </c>
      <c r="BB732" s="85">
        <f t="shared" si="1251"/>
        <v>2</v>
      </c>
      <c r="BC732" s="105">
        <f t="shared" si="1252"/>
        <v>6</v>
      </c>
      <c r="BD732" s="114">
        <v>46126</v>
      </c>
    </row>
    <row r="733" spans="1:56" x14ac:dyDescent="0.15">
      <c r="A733" s="23" t="s">
        <v>43</v>
      </c>
      <c r="B733" s="15"/>
      <c r="C733" s="16"/>
      <c r="D733" s="17"/>
      <c r="E733" s="17"/>
      <c r="F733" s="85">
        <f t="shared" si="1225"/>
        <v>0</v>
      </c>
      <c r="G733" s="15"/>
      <c r="H733" s="16"/>
      <c r="I733" s="17"/>
      <c r="J733" s="17"/>
      <c r="K733" s="85">
        <f t="shared" si="1226"/>
        <v>0</v>
      </c>
      <c r="L733" s="15"/>
      <c r="M733" s="16"/>
      <c r="N733" s="17"/>
      <c r="O733" s="17"/>
      <c r="P733" s="85">
        <f t="shared" si="1227"/>
        <v>0</v>
      </c>
      <c r="Q733" s="15"/>
      <c r="R733" s="16"/>
      <c r="S733" s="17"/>
      <c r="T733" s="17"/>
      <c r="U733" s="85">
        <f t="shared" si="1228"/>
        <v>0</v>
      </c>
      <c r="V733" s="15"/>
      <c r="W733" s="16"/>
      <c r="X733" s="17"/>
      <c r="Y733" s="17">
        <v>1</v>
      </c>
      <c r="Z733" s="85">
        <f t="shared" si="1229"/>
        <v>1</v>
      </c>
      <c r="AA733" s="105">
        <f t="shared" si="1230"/>
        <v>1</v>
      </c>
      <c r="AB733" s="115">
        <v>46128</v>
      </c>
      <c r="AC733" s="245" t="s">
        <v>574</v>
      </c>
      <c r="AD733" s="234"/>
      <c r="AE733" s="235"/>
      <c r="AF733" s="236"/>
      <c r="AG733" s="236"/>
      <c r="AH733" s="237">
        <f t="shared" si="1247"/>
        <v>0</v>
      </c>
      <c r="AI733" s="234"/>
      <c r="AJ733" s="235"/>
      <c r="AK733" s="236"/>
      <c r="AL733" s="236">
        <v>3</v>
      </c>
      <c r="AM733" s="237">
        <f t="shared" si="1248"/>
        <v>3</v>
      </c>
      <c r="AN733" s="234"/>
      <c r="AO733" s="235"/>
      <c r="AP733" s="236"/>
      <c r="AQ733" s="236"/>
      <c r="AR733" s="237">
        <f t="shared" si="1249"/>
        <v>0</v>
      </c>
      <c r="AS733" s="234"/>
      <c r="AT733" s="235"/>
      <c r="AU733" s="236"/>
      <c r="AV733" s="236"/>
      <c r="AW733" s="237">
        <f t="shared" si="1250"/>
        <v>0</v>
      </c>
      <c r="AX733" s="234"/>
      <c r="AY733" s="235"/>
      <c r="AZ733" s="236"/>
      <c r="BA733" s="236"/>
      <c r="BB733" s="237">
        <f t="shared" si="1251"/>
        <v>0</v>
      </c>
      <c r="BC733" s="239">
        <f t="shared" si="1252"/>
        <v>3</v>
      </c>
      <c r="BD733" s="240">
        <v>46126</v>
      </c>
    </row>
    <row r="734" spans="1:56" x14ac:dyDescent="0.15">
      <c r="A734" s="23" t="s">
        <v>43</v>
      </c>
      <c r="B734" s="15"/>
      <c r="C734" s="16"/>
      <c r="D734" s="17"/>
      <c r="E734" s="17">
        <v>1</v>
      </c>
      <c r="F734" s="85">
        <f t="shared" si="1225"/>
        <v>1</v>
      </c>
      <c r="G734" s="15"/>
      <c r="H734" s="16"/>
      <c r="I734" s="17"/>
      <c r="J734" s="17"/>
      <c r="K734" s="85">
        <f t="shared" si="1226"/>
        <v>0</v>
      </c>
      <c r="L734" s="15"/>
      <c r="M734" s="16"/>
      <c r="N734" s="17"/>
      <c r="O734" s="17"/>
      <c r="P734" s="85">
        <f t="shared" si="1227"/>
        <v>0</v>
      </c>
      <c r="Q734" s="15"/>
      <c r="R734" s="16"/>
      <c r="S734" s="17"/>
      <c r="T734" s="17">
        <v>1</v>
      </c>
      <c r="U734" s="85">
        <f t="shared" si="1228"/>
        <v>1</v>
      </c>
      <c r="V734" s="15"/>
      <c r="W734" s="16"/>
      <c r="X734" s="17"/>
      <c r="Y734" s="17"/>
      <c r="Z734" s="85">
        <f t="shared" si="1229"/>
        <v>0</v>
      </c>
      <c r="AA734" s="105">
        <f t="shared" si="1230"/>
        <v>2</v>
      </c>
      <c r="AB734" s="115">
        <v>46132</v>
      </c>
      <c r="AC734" s="245" t="s">
        <v>574</v>
      </c>
      <c r="AD734" s="234"/>
      <c r="AE734" s="235"/>
      <c r="AF734" s="236"/>
      <c r="AG734" s="236"/>
      <c r="AH734" s="237">
        <f t="shared" si="1247"/>
        <v>0</v>
      </c>
      <c r="AI734" s="234"/>
      <c r="AJ734" s="235">
        <v>5</v>
      </c>
      <c r="AK734" s="236"/>
      <c r="AL734" s="236"/>
      <c r="AM734" s="237">
        <f t="shared" si="1248"/>
        <v>5</v>
      </c>
      <c r="AN734" s="234"/>
      <c r="AO734" s="235"/>
      <c r="AP734" s="236"/>
      <c r="AQ734" s="236"/>
      <c r="AR734" s="237">
        <f t="shared" si="1249"/>
        <v>0</v>
      </c>
      <c r="AS734" s="234">
        <v>5</v>
      </c>
      <c r="AT734" s="235"/>
      <c r="AU734" s="236">
        <v>5</v>
      </c>
      <c r="AV734" s="236"/>
      <c r="AW734" s="237">
        <f t="shared" si="1250"/>
        <v>10</v>
      </c>
      <c r="AX734" s="234"/>
      <c r="AY734" s="235"/>
      <c r="AZ734" s="236"/>
      <c r="BA734" s="236"/>
      <c r="BB734" s="237">
        <f t="shared" si="1251"/>
        <v>0</v>
      </c>
      <c r="BC734" s="239">
        <f t="shared" si="1252"/>
        <v>15</v>
      </c>
      <c r="BD734" s="240">
        <v>46127</v>
      </c>
    </row>
    <row r="735" spans="1:56" x14ac:dyDescent="0.15">
      <c r="A735" s="23" t="s">
        <v>43</v>
      </c>
      <c r="B735" s="15">
        <v>1</v>
      </c>
      <c r="C735" s="16"/>
      <c r="D735" s="17"/>
      <c r="E735" s="17"/>
      <c r="F735" s="85">
        <f t="shared" si="1225"/>
        <v>1</v>
      </c>
      <c r="G735" s="15">
        <v>1</v>
      </c>
      <c r="H735" s="16"/>
      <c r="I735" s="17"/>
      <c r="J735" s="17"/>
      <c r="K735" s="85">
        <f t="shared" si="1226"/>
        <v>1</v>
      </c>
      <c r="L735" s="15">
        <v>1</v>
      </c>
      <c r="M735" s="16"/>
      <c r="N735" s="17"/>
      <c r="O735" s="17"/>
      <c r="P735" s="85">
        <f t="shared" si="1227"/>
        <v>1</v>
      </c>
      <c r="Q735" s="15">
        <v>1</v>
      </c>
      <c r="R735" s="16"/>
      <c r="S735" s="17"/>
      <c r="T735" s="17"/>
      <c r="U735" s="85">
        <f t="shared" si="1228"/>
        <v>1</v>
      </c>
      <c r="V735" s="15">
        <v>1</v>
      </c>
      <c r="W735" s="16"/>
      <c r="X735" s="17"/>
      <c r="Y735" s="17"/>
      <c r="Z735" s="85">
        <f t="shared" si="1229"/>
        <v>1</v>
      </c>
      <c r="AA735" s="105">
        <f t="shared" si="1230"/>
        <v>5</v>
      </c>
      <c r="AB735" s="115">
        <v>46135</v>
      </c>
      <c r="AC735" s="23" t="s">
        <v>646</v>
      </c>
      <c r="AD735" s="15"/>
      <c r="AE735" s="16"/>
      <c r="AF735" s="17"/>
      <c r="AG735" s="17"/>
      <c r="AH735" s="85">
        <f t="shared" si="1247"/>
        <v>0</v>
      </c>
      <c r="AI735" s="15"/>
      <c r="AJ735" s="16"/>
      <c r="AK735" s="17"/>
      <c r="AL735" s="17"/>
      <c r="AM735" s="85">
        <f t="shared" si="1248"/>
        <v>0</v>
      </c>
      <c r="AN735" s="15"/>
      <c r="AO735" s="16"/>
      <c r="AP735" s="17">
        <v>6</v>
      </c>
      <c r="AQ735" s="17"/>
      <c r="AR735" s="85">
        <f t="shared" si="1249"/>
        <v>6</v>
      </c>
      <c r="AS735" s="15"/>
      <c r="AT735" s="16"/>
      <c r="AU735" s="17">
        <v>6</v>
      </c>
      <c r="AV735" s="17"/>
      <c r="AW735" s="85">
        <f t="shared" si="1250"/>
        <v>6</v>
      </c>
      <c r="AX735" s="15"/>
      <c r="AY735" s="16"/>
      <c r="AZ735" s="17">
        <v>6</v>
      </c>
      <c r="BA735" s="17"/>
      <c r="BB735" s="85">
        <f t="shared" si="1251"/>
        <v>6</v>
      </c>
      <c r="BC735" s="105">
        <f t="shared" si="1252"/>
        <v>18</v>
      </c>
      <c r="BD735" s="114">
        <v>46132</v>
      </c>
    </row>
    <row r="736" spans="1:56" x14ac:dyDescent="0.15">
      <c r="A736" s="23" t="s">
        <v>652</v>
      </c>
      <c r="B736" s="15"/>
      <c r="C736" s="16"/>
      <c r="D736" s="17"/>
      <c r="E736" s="17"/>
      <c r="F736" s="85">
        <f t="shared" si="1225"/>
        <v>0</v>
      </c>
      <c r="G736" s="15"/>
      <c r="H736" s="16"/>
      <c r="I736" s="17"/>
      <c r="J736" s="17"/>
      <c r="K736" s="85">
        <f t="shared" si="1226"/>
        <v>0</v>
      </c>
      <c r="L736" s="15"/>
      <c r="M736" s="16"/>
      <c r="N736" s="17"/>
      <c r="O736" s="17"/>
      <c r="P736" s="85">
        <f t="shared" si="1227"/>
        <v>0</v>
      </c>
      <c r="Q736" s="15">
        <v>1</v>
      </c>
      <c r="R736" s="16">
        <v>1</v>
      </c>
      <c r="S736" s="17"/>
      <c r="T736" s="17"/>
      <c r="U736" s="85">
        <f t="shared" si="1228"/>
        <v>2</v>
      </c>
      <c r="V736" s="15"/>
      <c r="W736" s="16"/>
      <c r="X736" s="17"/>
      <c r="Y736" s="17"/>
      <c r="Z736" s="85">
        <f t="shared" si="1229"/>
        <v>0</v>
      </c>
      <c r="AA736" s="105">
        <f t="shared" si="1230"/>
        <v>2</v>
      </c>
      <c r="AB736" s="115">
        <v>46139</v>
      </c>
      <c r="AC736" s="23" t="s">
        <v>647</v>
      </c>
      <c r="AD736" s="15">
        <v>6</v>
      </c>
      <c r="AE736" s="16"/>
      <c r="AF736" s="17"/>
      <c r="AG736" s="17"/>
      <c r="AH736" s="85">
        <f t="shared" si="1231"/>
        <v>6</v>
      </c>
      <c r="AI736" s="15">
        <v>6</v>
      </c>
      <c r="AJ736" s="16"/>
      <c r="AK736" s="17"/>
      <c r="AL736" s="17"/>
      <c r="AM736" s="85">
        <f t="shared" si="1232"/>
        <v>6</v>
      </c>
      <c r="AN736" s="15"/>
      <c r="AO736" s="16"/>
      <c r="AP736" s="17"/>
      <c r="AQ736" s="17"/>
      <c r="AR736" s="85">
        <f t="shared" si="1233"/>
        <v>0</v>
      </c>
      <c r="AS736" s="15"/>
      <c r="AT736" s="16"/>
      <c r="AU736" s="17"/>
      <c r="AV736" s="17"/>
      <c r="AW736" s="85">
        <f t="shared" si="1234"/>
        <v>0</v>
      </c>
      <c r="AX736" s="15">
        <v>6</v>
      </c>
      <c r="AY736" s="16"/>
      <c r="AZ736" s="17"/>
      <c r="BA736" s="17"/>
      <c r="BB736" s="85">
        <f t="shared" si="1235"/>
        <v>6</v>
      </c>
      <c r="BC736" s="105">
        <f t="shared" si="1236"/>
        <v>18</v>
      </c>
      <c r="BD736" s="114">
        <v>46135</v>
      </c>
    </row>
    <row r="737" spans="1:57" x14ac:dyDescent="0.15">
      <c r="A737" s="23" t="s">
        <v>43</v>
      </c>
      <c r="B737" s="15"/>
      <c r="C737" s="16"/>
      <c r="D737" s="17">
        <v>1</v>
      </c>
      <c r="E737" s="17"/>
      <c r="F737" s="85">
        <f t="shared" si="1225"/>
        <v>1</v>
      </c>
      <c r="G737" s="15"/>
      <c r="H737" s="16">
        <v>1</v>
      </c>
      <c r="I737" s="17">
        <v>1</v>
      </c>
      <c r="J737" s="17"/>
      <c r="K737" s="85">
        <f t="shared" si="1226"/>
        <v>2</v>
      </c>
      <c r="L737" s="15"/>
      <c r="M737" s="16"/>
      <c r="N737" s="17">
        <v>1</v>
      </c>
      <c r="O737" s="17"/>
      <c r="P737" s="85">
        <f t="shared" si="1227"/>
        <v>1</v>
      </c>
      <c r="Q737" s="15"/>
      <c r="R737" s="16"/>
      <c r="S737" s="17">
        <v>1</v>
      </c>
      <c r="T737" s="17"/>
      <c r="U737" s="85">
        <f t="shared" si="1228"/>
        <v>1</v>
      </c>
      <c r="V737" s="15"/>
      <c r="W737" s="16"/>
      <c r="X737" s="17">
        <v>1</v>
      </c>
      <c r="Y737" s="17"/>
      <c r="Z737" s="85">
        <f t="shared" si="1229"/>
        <v>1</v>
      </c>
      <c r="AA737" s="105">
        <f t="shared" si="1230"/>
        <v>6</v>
      </c>
      <c r="AB737" s="114">
        <v>46139</v>
      </c>
      <c r="AC737" s="23" t="s">
        <v>648</v>
      </c>
      <c r="AD737" s="15">
        <v>2</v>
      </c>
      <c r="AE737" s="16"/>
      <c r="AF737" s="17"/>
      <c r="AG737" s="17"/>
      <c r="AH737" s="85">
        <f t="shared" si="1231"/>
        <v>2</v>
      </c>
      <c r="AI737" s="15">
        <v>2</v>
      </c>
      <c r="AJ737" s="16"/>
      <c r="AK737" s="17"/>
      <c r="AL737" s="17"/>
      <c r="AM737" s="85">
        <f t="shared" si="1232"/>
        <v>2</v>
      </c>
      <c r="AN737" s="15"/>
      <c r="AO737" s="16"/>
      <c r="AP737" s="17"/>
      <c r="AQ737" s="17"/>
      <c r="AR737" s="85">
        <f t="shared" si="1233"/>
        <v>0</v>
      </c>
      <c r="AS737" s="15"/>
      <c r="AT737" s="16"/>
      <c r="AU737" s="17"/>
      <c r="AV737" s="17"/>
      <c r="AW737" s="85">
        <f t="shared" si="1234"/>
        <v>0</v>
      </c>
      <c r="AX737" s="15">
        <v>2</v>
      </c>
      <c r="AY737" s="16"/>
      <c r="AZ737" s="17"/>
      <c r="BA737" s="17"/>
      <c r="BB737" s="85">
        <f t="shared" si="1235"/>
        <v>2</v>
      </c>
      <c r="BC737" s="105">
        <f t="shared" si="1236"/>
        <v>6</v>
      </c>
      <c r="BD737" s="114">
        <v>46135</v>
      </c>
    </row>
    <row r="738" spans="1:57" x14ac:dyDescent="0.15">
      <c r="A738" s="23" t="s">
        <v>474</v>
      </c>
      <c r="B738" s="15"/>
      <c r="C738" s="16"/>
      <c r="D738" s="17"/>
      <c r="E738" s="17"/>
      <c r="F738" s="85">
        <f t="shared" si="1225"/>
        <v>0</v>
      </c>
      <c r="G738" s="15"/>
      <c r="H738" s="16"/>
      <c r="I738" s="17"/>
      <c r="J738" s="17"/>
      <c r="K738" s="85">
        <f t="shared" si="1226"/>
        <v>0</v>
      </c>
      <c r="L738" s="15">
        <v>1</v>
      </c>
      <c r="M738" s="16">
        <v>1</v>
      </c>
      <c r="N738" s="17"/>
      <c r="O738" s="17"/>
      <c r="P738" s="85">
        <f t="shared" si="1227"/>
        <v>2</v>
      </c>
      <c r="Q738" s="15"/>
      <c r="R738" s="16">
        <v>1</v>
      </c>
      <c r="S738" s="17"/>
      <c r="T738" s="17"/>
      <c r="U738" s="85">
        <f t="shared" si="1228"/>
        <v>1</v>
      </c>
      <c r="V738" s="15"/>
      <c r="W738" s="16"/>
      <c r="X738" s="17"/>
      <c r="Y738" s="17"/>
      <c r="Z738" s="85">
        <f t="shared" si="1229"/>
        <v>0</v>
      </c>
      <c r="AA738" s="105">
        <f t="shared" si="1230"/>
        <v>3</v>
      </c>
      <c r="AB738" s="114">
        <v>46142</v>
      </c>
      <c r="AC738" s="23" t="s">
        <v>649</v>
      </c>
      <c r="AD738" s="15"/>
      <c r="AE738" s="16"/>
      <c r="AF738" s="17"/>
      <c r="AG738" s="17"/>
      <c r="AH738" s="85">
        <f t="shared" si="1231"/>
        <v>0</v>
      </c>
      <c r="AI738" s="15"/>
      <c r="AJ738" s="16"/>
      <c r="AK738" s="17"/>
      <c r="AL738" s="17"/>
      <c r="AM738" s="85">
        <f t="shared" si="1232"/>
        <v>0</v>
      </c>
      <c r="AN738" s="15">
        <v>5</v>
      </c>
      <c r="AO738" s="16"/>
      <c r="AP738" s="17"/>
      <c r="AQ738" s="17">
        <v>7</v>
      </c>
      <c r="AR738" s="85">
        <f t="shared" si="1233"/>
        <v>12</v>
      </c>
      <c r="AS738" s="15">
        <v>5</v>
      </c>
      <c r="AT738" s="16"/>
      <c r="AU738" s="17"/>
      <c r="AV738" s="17">
        <v>7</v>
      </c>
      <c r="AW738" s="85">
        <f t="shared" si="1234"/>
        <v>12</v>
      </c>
      <c r="AX738" s="15">
        <v>5</v>
      </c>
      <c r="AY738" s="16"/>
      <c r="AZ738" s="17"/>
      <c r="BA738" s="17">
        <v>7</v>
      </c>
      <c r="BB738" s="85">
        <f t="shared" si="1235"/>
        <v>12</v>
      </c>
      <c r="BC738" s="105">
        <f t="shared" si="1236"/>
        <v>36</v>
      </c>
      <c r="BD738" s="114">
        <v>46135</v>
      </c>
    </row>
    <row r="739" spans="1:57" x14ac:dyDescent="0.15">
      <c r="A739" s="23" t="s">
        <v>43</v>
      </c>
      <c r="B739" s="15"/>
      <c r="C739" s="16"/>
      <c r="D739" s="17"/>
      <c r="E739" s="17"/>
      <c r="F739" s="85">
        <f t="shared" si="1225"/>
        <v>0</v>
      </c>
      <c r="G739" s="15"/>
      <c r="H739" s="16"/>
      <c r="I739" s="17"/>
      <c r="J739" s="17"/>
      <c r="K739" s="85">
        <f t="shared" si="1226"/>
        <v>0</v>
      </c>
      <c r="L739" s="15"/>
      <c r="M739" s="16"/>
      <c r="N739" s="17"/>
      <c r="O739" s="17"/>
      <c r="P739" s="85">
        <f t="shared" si="1227"/>
        <v>0</v>
      </c>
      <c r="Q739" s="15"/>
      <c r="R739" s="16"/>
      <c r="S739" s="17"/>
      <c r="T739" s="17"/>
      <c r="U739" s="85">
        <f t="shared" si="1228"/>
        <v>0</v>
      </c>
      <c r="V739" s="15"/>
      <c r="W739" s="16"/>
      <c r="X739" s="17"/>
      <c r="Y739" s="17">
        <v>1</v>
      </c>
      <c r="Z739" s="85">
        <f t="shared" si="1229"/>
        <v>1</v>
      </c>
      <c r="AA739" s="105">
        <f t="shared" si="1230"/>
        <v>1</v>
      </c>
      <c r="AB739" s="115">
        <v>46139</v>
      </c>
      <c r="AC739" s="23" t="s">
        <v>574</v>
      </c>
      <c r="AD739" s="15"/>
      <c r="AE739" s="16"/>
      <c r="AF739" s="17"/>
      <c r="AG739" s="17"/>
      <c r="AH739" s="85">
        <f t="shared" si="1231"/>
        <v>0</v>
      </c>
      <c r="AI739" s="15"/>
      <c r="AJ739" s="16"/>
      <c r="AK739" s="17"/>
      <c r="AL739" s="17"/>
      <c r="AM739" s="85">
        <f t="shared" si="1232"/>
        <v>0</v>
      </c>
      <c r="AN739" s="15"/>
      <c r="AO739" s="16"/>
      <c r="AP739" s="17"/>
      <c r="AQ739" s="17"/>
      <c r="AR739" s="85">
        <f t="shared" si="1233"/>
        <v>0</v>
      </c>
      <c r="AS739" s="15"/>
      <c r="AT739" s="16"/>
      <c r="AU739" s="17"/>
      <c r="AV739" s="17"/>
      <c r="AW739" s="85">
        <f t="shared" si="1234"/>
        <v>0</v>
      </c>
      <c r="AX739" s="15"/>
      <c r="AY739" s="16"/>
      <c r="AZ739" s="17"/>
      <c r="BA739" s="17">
        <v>3</v>
      </c>
      <c r="BB739" s="85">
        <f t="shared" si="1235"/>
        <v>3</v>
      </c>
      <c r="BC739" s="105">
        <f t="shared" si="1236"/>
        <v>3</v>
      </c>
      <c r="BD739" s="114">
        <v>46133</v>
      </c>
    </row>
    <row r="740" spans="1:57" x14ac:dyDescent="0.15">
      <c r="A740" s="23" t="s">
        <v>653</v>
      </c>
      <c r="B740" s="18">
        <v>3</v>
      </c>
      <c r="C740" s="19"/>
      <c r="D740" s="20"/>
      <c r="E740" s="20"/>
      <c r="F740" s="85">
        <f t="shared" si="1225"/>
        <v>3</v>
      </c>
      <c r="G740" s="18"/>
      <c r="H740" s="19">
        <v>1</v>
      </c>
      <c r="I740" s="20"/>
      <c r="J740" s="20">
        <v>1</v>
      </c>
      <c r="K740" s="85">
        <f t="shared" si="1226"/>
        <v>2</v>
      </c>
      <c r="L740" s="18"/>
      <c r="M740" s="19"/>
      <c r="N740" s="20"/>
      <c r="O740" s="20"/>
      <c r="P740" s="85">
        <f t="shared" si="1227"/>
        <v>0</v>
      </c>
      <c r="Q740" s="18">
        <v>1</v>
      </c>
      <c r="R740" s="19"/>
      <c r="S740" s="20"/>
      <c r="T740" s="20"/>
      <c r="U740" s="85">
        <f t="shared" si="1228"/>
        <v>1</v>
      </c>
      <c r="V740" s="18"/>
      <c r="W740" s="19">
        <v>3</v>
      </c>
      <c r="X740" s="20"/>
      <c r="Y740" s="20"/>
      <c r="Z740" s="85">
        <f t="shared" si="1229"/>
        <v>3</v>
      </c>
      <c r="AA740" s="105">
        <f t="shared" si="1230"/>
        <v>9</v>
      </c>
      <c r="AB740" s="114">
        <v>46143</v>
      </c>
      <c r="AC740" s="23" t="s">
        <v>650</v>
      </c>
      <c r="AD740" s="18"/>
      <c r="AE740" s="19"/>
      <c r="AF740" s="20"/>
      <c r="AG740" s="20"/>
      <c r="AH740" s="85">
        <f t="shared" si="1231"/>
        <v>0</v>
      </c>
      <c r="AI740" s="18"/>
      <c r="AJ740" s="19"/>
      <c r="AK740" s="20"/>
      <c r="AL740" s="20"/>
      <c r="AM740" s="85">
        <f t="shared" si="1232"/>
        <v>0</v>
      </c>
      <c r="AN740" s="18">
        <v>2</v>
      </c>
      <c r="AO740" s="19"/>
      <c r="AP740" s="20">
        <v>4</v>
      </c>
      <c r="AQ740" s="20"/>
      <c r="AR740" s="85">
        <f t="shared" si="1233"/>
        <v>6</v>
      </c>
      <c r="AS740" s="18">
        <v>2</v>
      </c>
      <c r="AT740" s="19"/>
      <c r="AU740" s="20">
        <v>4</v>
      </c>
      <c r="AV740" s="20"/>
      <c r="AW740" s="85">
        <f t="shared" si="1234"/>
        <v>6</v>
      </c>
      <c r="AX740" s="18">
        <v>2</v>
      </c>
      <c r="AY740" s="19"/>
      <c r="AZ740" s="20">
        <v>4</v>
      </c>
      <c r="BA740" s="20"/>
      <c r="BB740" s="85">
        <f t="shared" si="1235"/>
        <v>6</v>
      </c>
      <c r="BC740" s="105">
        <f t="shared" si="1236"/>
        <v>18</v>
      </c>
      <c r="BD740" s="114">
        <v>46139</v>
      </c>
    </row>
    <row r="741" spans="1:57" x14ac:dyDescent="0.15">
      <c r="A741" s="23" t="s">
        <v>658</v>
      </c>
      <c r="B741" s="15"/>
      <c r="C741" s="16"/>
      <c r="D741" s="17"/>
      <c r="E741" s="17"/>
      <c r="F741" s="85">
        <f t="shared" si="1225"/>
        <v>0</v>
      </c>
      <c r="G741" s="15"/>
      <c r="H741" s="16">
        <v>1</v>
      </c>
      <c r="I741" s="17"/>
      <c r="J741" s="17"/>
      <c r="K741" s="85">
        <f t="shared" si="1226"/>
        <v>1</v>
      </c>
      <c r="L741" s="15"/>
      <c r="M741" s="16"/>
      <c r="N741" s="17"/>
      <c r="O741" s="17"/>
      <c r="P741" s="85">
        <f t="shared" si="1227"/>
        <v>0</v>
      </c>
      <c r="Q741" s="15">
        <v>1</v>
      </c>
      <c r="R741" s="16"/>
      <c r="S741" s="17">
        <v>2</v>
      </c>
      <c r="T741" s="17">
        <v>1</v>
      </c>
      <c r="U741" s="85">
        <f t="shared" si="1228"/>
        <v>4</v>
      </c>
      <c r="V741" s="15"/>
      <c r="W741" s="16">
        <v>1</v>
      </c>
      <c r="X741" s="17">
        <v>2</v>
      </c>
      <c r="Y741" s="17"/>
      <c r="Z741" s="85">
        <f t="shared" si="1229"/>
        <v>3</v>
      </c>
      <c r="AA741" s="105">
        <f t="shared" si="1230"/>
        <v>8</v>
      </c>
      <c r="AB741" s="114">
        <v>46157</v>
      </c>
      <c r="AC741" s="23" t="s">
        <v>651</v>
      </c>
      <c r="AD741" s="15">
        <v>3</v>
      </c>
      <c r="AE741" s="16"/>
      <c r="AF741" s="17"/>
      <c r="AG741" s="17"/>
      <c r="AH741" s="85">
        <f t="shared" si="1231"/>
        <v>3</v>
      </c>
      <c r="AI741" s="15">
        <v>3</v>
      </c>
      <c r="AJ741" s="16"/>
      <c r="AK741" s="17"/>
      <c r="AL741" s="17"/>
      <c r="AM741" s="85">
        <f t="shared" si="1232"/>
        <v>3</v>
      </c>
      <c r="AN741" s="15"/>
      <c r="AO741" s="16"/>
      <c r="AP741" s="17"/>
      <c r="AQ741" s="17"/>
      <c r="AR741" s="85">
        <f t="shared" si="1233"/>
        <v>0</v>
      </c>
      <c r="AS741" s="15"/>
      <c r="AT741" s="16"/>
      <c r="AU741" s="17"/>
      <c r="AV741" s="17"/>
      <c r="AW741" s="85">
        <f t="shared" si="1234"/>
        <v>0</v>
      </c>
      <c r="AX741" s="15">
        <v>3</v>
      </c>
      <c r="AY741" s="16"/>
      <c r="AZ741" s="17"/>
      <c r="BA741" s="17"/>
      <c r="BB741" s="85">
        <f t="shared" si="1235"/>
        <v>3</v>
      </c>
      <c r="BC741" s="105">
        <f t="shared" si="1236"/>
        <v>9</v>
      </c>
      <c r="BD741" s="114">
        <v>46140</v>
      </c>
    </row>
    <row r="742" spans="1:57" x14ac:dyDescent="0.15">
      <c r="A742" s="54" t="s">
        <v>43</v>
      </c>
      <c r="B742" s="15"/>
      <c r="C742" s="16"/>
      <c r="D742" s="17"/>
      <c r="E742" s="17"/>
      <c r="F742" s="85">
        <f t="shared" si="1225"/>
        <v>0</v>
      </c>
      <c r="G742" s="15"/>
      <c r="H742" s="16"/>
      <c r="I742" s="17"/>
      <c r="J742" s="17"/>
      <c r="K742" s="85">
        <f t="shared" si="1226"/>
        <v>0</v>
      </c>
      <c r="L742" s="15"/>
      <c r="M742" s="16"/>
      <c r="N742" s="17"/>
      <c r="O742" s="17"/>
      <c r="P742" s="85">
        <f t="shared" si="1227"/>
        <v>0</v>
      </c>
      <c r="Q742" s="15"/>
      <c r="R742" s="16"/>
      <c r="S742" s="17"/>
      <c r="T742" s="17"/>
      <c r="U742" s="85">
        <f t="shared" si="1228"/>
        <v>0</v>
      </c>
      <c r="V742" s="15"/>
      <c r="W742" s="16"/>
      <c r="X742" s="17"/>
      <c r="Y742" s="17">
        <v>2</v>
      </c>
      <c r="Z742" s="85">
        <f t="shared" si="1229"/>
        <v>2</v>
      </c>
      <c r="AA742" s="105">
        <f t="shared" si="1230"/>
        <v>2</v>
      </c>
      <c r="AB742" s="115">
        <v>46154</v>
      </c>
      <c r="AC742" s="54" t="s">
        <v>654</v>
      </c>
      <c r="AD742" s="15">
        <v>5</v>
      </c>
      <c r="AE742" s="16">
        <v>3</v>
      </c>
      <c r="AF742" s="17"/>
      <c r="AG742" s="17"/>
      <c r="AH742" s="85">
        <f t="shared" si="1231"/>
        <v>8</v>
      </c>
      <c r="AI742" s="15"/>
      <c r="AJ742" s="16"/>
      <c r="AK742" s="17"/>
      <c r="AL742" s="17"/>
      <c r="AM742" s="85">
        <f t="shared" si="1232"/>
        <v>0</v>
      </c>
      <c r="AN742" s="15"/>
      <c r="AO742" s="16"/>
      <c r="AP742" s="17"/>
      <c r="AQ742" s="17"/>
      <c r="AR742" s="85">
        <f t="shared" si="1233"/>
        <v>0</v>
      </c>
      <c r="AS742" s="15">
        <v>3</v>
      </c>
      <c r="AT742" s="16">
        <v>3</v>
      </c>
      <c r="AU742" s="17"/>
      <c r="AV742" s="17"/>
      <c r="AW742" s="85">
        <f t="shared" si="1234"/>
        <v>6</v>
      </c>
      <c r="AX742" s="15"/>
      <c r="AY742" s="16">
        <v>3</v>
      </c>
      <c r="AZ742" s="17"/>
      <c r="BA742" s="17"/>
      <c r="BB742" s="85">
        <f t="shared" si="1235"/>
        <v>3</v>
      </c>
      <c r="BC742" s="105">
        <f t="shared" si="1236"/>
        <v>17</v>
      </c>
      <c r="BD742" s="114">
        <v>46142</v>
      </c>
    </row>
    <row r="743" spans="1:57" x14ac:dyDescent="0.15">
      <c r="A743" s="54" t="s">
        <v>171</v>
      </c>
      <c r="B743" s="15"/>
      <c r="C743" s="16"/>
      <c r="D743" s="17"/>
      <c r="E743" s="17">
        <v>-1</v>
      </c>
      <c r="F743" s="85">
        <f t="shared" si="1225"/>
        <v>-1</v>
      </c>
      <c r="G743" s="15"/>
      <c r="H743" s="16"/>
      <c r="I743" s="17"/>
      <c r="J743" s="17">
        <v>-1</v>
      </c>
      <c r="K743" s="85">
        <f t="shared" si="1226"/>
        <v>-1</v>
      </c>
      <c r="L743" s="15"/>
      <c r="M743" s="16"/>
      <c r="N743" s="17">
        <v>-1</v>
      </c>
      <c r="O743" s="17"/>
      <c r="P743" s="85">
        <f t="shared" si="1227"/>
        <v>-1</v>
      </c>
      <c r="Q743" s="15"/>
      <c r="R743" s="16"/>
      <c r="S743" s="17">
        <v>-1</v>
      </c>
      <c r="T743" s="17"/>
      <c r="U743" s="85">
        <f t="shared" si="1228"/>
        <v>-1</v>
      </c>
      <c r="V743" s="15"/>
      <c r="W743" s="16"/>
      <c r="X743" s="17">
        <v>-1</v>
      </c>
      <c r="Y743" s="17">
        <v>-1</v>
      </c>
      <c r="Z743" s="85">
        <f t="shared" si="1229"/>
        <v>-2</v>
      </c>
      <c r="AA743" s="105">
        <f t="shared" si="1230"/>
        <v>-6</v>
      </c>
      <c r="AB743" s="115">
        <v>46153</v>
      </c>
      <c r="AC743" s="23" t="s">
        <v>655</v>
      </c>
      <c r="AD743" s="15">
        <v>6</v>
      </c>
      <c r="AE743" s="16">
        <v>5</v>
      </c>
      <c r="AF743" s="17">
        <v>3</v>
      </c>
      <c r="AG743" s="17"/>
      <c r="AH743" s="85">
        <f t="shared" si="1231"/>
        <v>14</v>
      </c>
      <c r="AI743" s="15">
        <v>6</v>
      </c>
      <c r="AJ743" s="16">
        <v>5</v>
      </c>
      <c r="AK743" s="17">
        <v>3</v>
      </c>
      <c r="AL743" s="17"/>
      <c r="AM743" s="85">
        <f t="shared" si="1232"/>
        <v>14</v>
      </c>
      <c r="AN743" s="15"/>
      <c r="AO743" s="16"/>
      <c r="AP743" s="17"/>
      <c r="AQ743" s="17"/>
      <c r="AR743" s="85">
        <f t="shared" si="1233"/>
        <v>0</v>
      </c>
      <c r="AS743" s="15"/>
      <c r="AT743" s="16"/>
      <c r="AU743" s="17"/>
      <c r="AV743" s="17"/>
      <c r="AW743" s="85">
        <f t="shared" si="1234"/>
        <v>0</v>
      </c>
      <c r="AX743" s="15">
        <v>6</v>
      </c>
      <c r="AY743" s="16">
        <v>5</v>
      </c>
      <c r="AZ743" s="17">
        <v>3</v>
      </c>
      <c r="BA743" s="17"/>
      <c r="BB743" s="85">
        <f t="shared" si="1235"/>
        <v>14</v>
      </c>
      <c r="BC743" s="105">
        <f t="shared" si="1236"/>
        <v>42</v>
      </c>
      <c r="BD743" s="114">
        <v>46150</v>
      </c>
    </row>
    <row r="744" spans="1:57" x14ac:dyDescent="0.15">
      <c r="A744" s="54" t="s">
        <v>43</v>
      </c>
      <c r="B744" s="15"/>
      <c r="C744" s="16"/>
      <c r="D744" s="17"/>
      <c r="E744" s="17">
        <v>1</v>
      </c>
      <c r="F744" s="85">
        <f t="shared" si="1225"/>
        <v>1</v>
      </c>
      <c r="G744" s="15"/>
      <c r="H744" s="16"/>
      <c r="I744" s="17"/>
      <c r="J744" s="17"/>
      <c r="K744" s="85">
        <f t="shared" si="1226"/>
        <v>0</v>
      </c>
      <c r="L744" s="15"/>
      <c r="M744" s="16"/>
      <c r="N744" s="17"/>
      <c r="O744" s="17"/>
      <c r="P744" s="85">
        <f t="shared" si="1227"/>
        <v>0</v>
      </c>
      <c r="Q744" s="15"/>
      <c r="R744" s="16"/>
      <c r="S744" s="17"/>
      <c r="T744" s="17">
        <v>1</v>
      </c>
      <c r="U744" s="85">
        <f t="shared" si="1228"/>
        <v>1</v>
      </c>
      <c r="V744" s="15"/>
      <c r="W744" s="16"/>
      <c r="X744" s="17"/>
      <c r="Y744" s="17"/>
      <c r="Z744" s="85">
        <f t="shared" si="1229"/>
        <v>0</v>
      </c>
      <c r="AA744" s="105">
        <f t="shared" si="1230"/>
        <v>2</v>
      </c>
      <c r="AB744" s="115">
        <v>46160</v>
      </c>
      <c r="AC744" s="23" t="s">
        <v>656</v>
      </c>
      <c r="AD744" s="15"/>
      <c r="AE744" s="16"/>
      <c r="AF744" s="17"/>
      <c r="AG744" s="17"/>
      <c r="AH744" s="85">
        <f t="shared" si="1231"/>
        <v>0</v>
      </c>
      <c r="AI744" s="15"/>
      <c r="AJ744" s="16"/>
      <c r="AK744" s="17"/>
      <c r="AL744" s="17"/>
      <c r="AM744" s="85">
        <f t="shared" si="1232"/>
        <v>0</v>
      </c>
      <c r="AN744" s="15">
        <v>2</v>
      </c>
      <c r="AO744" s="16">
        <v>4</v>
      </c>
      <c r="AP744" s="17"/>
      <c r="AQ744" s="17"/>
      <c r="AR744" s="85">
        <f t="shared" si="1233"/>
        <v>6</v>
      </c>
      <c r="AS744" s="15">
        <v>2</v>
      </c>
      <c r="AT744" s="16">
        <v>4</v>
      </c>
      <c r="AU744" s="17"/>
      <c r="AV744" s="17"/>
      <c r="AW744" s="85">
        <f t="shared" si="1234"/>
        <v>6</v>
      </c>
      <c r="AX744" s="15">
        <v>2</v>
      </c>
      <c r="AY744" s="16">
        <v>4</v>
      </c>
      <c r="AZ744" s="17"/>
      <c r="BA744" s="17"/>
      <c r="BB744" s="85">
        <f t="shared" si="1235"/>
        <v>6</v>
      </c>
      <c r="BC744" s="105">
        <f t="shared" si="1236"/>
        <v>18</v>
      </c>
      <c r="BD744" s="114">
        <v>46150</v>
      </c>
    </row>
    <row r="745" spans="1:57" x14ac:dyDescent="0.15">
      <c r="A745" s="54" t="s">
        <v>171</v>
      </c>
      <c r="B745" s="15">
        <v>-2</v>
      </c>
      <c r="C745" s="16"/>
      <c r="D745" s="17"/>
      <c r="E745" s="17"/>
      <c r="F745" s="85">
        <f t="shared" si="1225"/>
        <v>-2</v>
      </c>
      <c r="G745" s="15"/>
      <c r="H745" s="16"/>
      <c r="I745" s="17"/>
      <c r="J745" s="17"/>
      <c r="K745" s="85">
        <f t="shared" si="1226"/>
        <v>0</v>
      </c>
      <c r="L745" s="15"/>
      <c r="M745" s="16"/>
      <c r="N745" s="17"/>
      <c r="O745" s="17"/>
      <c r="P745" s="85">
        <f t="shared" si="1227"/>
        <v>0</v>
      </c>
      <c r="Q745" s="15"/>
      <c r="R745" s="16"/>
      <c r="S745" s="17"/>
      <c r="T745" s="17"/>
      <c r="U745" s="85">
        <f t="shared" si="1228"/>
        <v>0</v>
      </c>
      <c r="V745" s="15">
        <v>-1</v>
      </c>
      <c r="W745" s="16"/>
      <c r="X745" s="17"/>
      <c r="Y745" s="17"/>
      <c r="Z745" s="85">
        <f t="shared" si="1229"/>
        <v>-1</v>
      </c>
      <c r="AA745" s="105">
        <f t="shared" si="1230"/>
        <v>-3</v>
      </c>
      <c r="AB745" s="115">
        <v>46149</v>
      </c>
      <c r="AC745" s="23" t="s">
        <v>657</v>
      </c>
      <c r="AD745" s="15"/>
      <c r="AE745" s="16"/>
      <c r="AF745" s="17"/>
      <c r="AG745" s="17">
        <v>3</v>
      </c>
      <c r="AH745" s="85">
        <f t="shared" si="1231"/>
        <v>3</v>
      </c>
      <c r="AI745" s="15"/>
      <c r="AJ745" s="16"/>
      <c r="AK745" s="17"/>
      <c r="AL745" s="17">
        <v>3</v>
      </c>
      <c r="AM745" s="85">
        <f t="shared" si="1232"/>
        <v>3</v>
      </c>
      <c r="AN745" s="15"/>
      <c r="AO745" s="16"/>
      <c r="AP745" s="17"/>
      <c r="AQ745" s="17"/>
      <c r="AR745" s="85">
        <f t="shared" si="1233"/>
        <v>0</v>
      </c>
      <c r="AS745" s="15"/>
      <c r="AT745" s="16"/>
      <c r="AU745" s="17"/>
      <c r="AV745" s="17"/>
      <c r="AW745" s="85">
        <f t="shared" si="1234"/>
        <v>0</v>
      </c>
      <c r="AX745" s="15"/>
      <c r="AY745" s="16"/>
      <c r="AZ745" s="17"/>
      <c r="BA745" s="17">
        <v>3</v>
      </c>
      <c r="BB745" s="85">
        <f t="shared" si="1235"/>
        <v>3</v>
      </c>
      <c r="BC745" s="105">
        <f t="shared" si="1236"/>
        <v>9</v>
      </c>
      <c r="BD745" s="114">
        <v>46155</v>
      </c>
      <c r="BE745" s="76"/>
    </row>
    <row r="746" spans="1:57" x14ac:dyDescent="0.15">
      <c r="A746" s="54" t="s">
        <v>43</v>
      </c>
      <c r="B746" s="15"/>
      <c r="C746" s="16"/>
      <c r="D746" s="17"/>
      <c r="E746" s="17"/>
      <c r="F746" s="85">
        <f t="shared" si="1225"/>
        <v>0</v>
      </c>
      <c r="G746" s="15"/>
      <c r="H746" s="16"/>
      <c r="I746" s="17"/>
      <c r="J746" s="17"/>
      <c r="K746" s="85">
        <f t="shared" si="1226"/>
        <v>0</v>
      </c>
      <c r="L746" s="15"/>
      <c r="M746" s="16"/>
      <c r="N746" s="17"/>
      <c r="O746" s="17">
        <v>1</v>
      </c>
      <c r="P746" s="85">
        <f t="shared" si="1227"/>
        <v>1</v>
      </c>
      <c r="Q746" s="15"/>
      <c r="R746" s="16"/>
      <c r="S746" s="17"/>
      <c r="T746" s="17">
        <v>1</v>
      </c>
      <c r="U746" s="85">
        <f t="shared" si="1228"/>
        <v>1</v>
      </c>
      <c r="V746" s="15"/>
      <c r="W746" s="16"/>
      <c r="X746" s="17"/>
      <c r="Y746" s="17">
        <v>1</v>
      </c>
      <c r="Z746" s="85">
        <f t="shared" si="1229"/>
        <v>1</v>
      </c>
      <c r="AA746" s="105">
        <f t="shared" si="1230"/>
        <v>3</v>
      </c>
      <c r="AB746" s="114">
        <v>46160</v>
      </c>
      <c r="AC746" s="23" t="s">
        <v>659</v>
      </c>
      <c r="AD746" s="15">
        <v>6</v>
      </c>
      <c r="AE746" s="16"/>
      <c r="AF746" s="17"/>
      <c r="AG746" s="17"/>
      <c r="AH746" s="85">
        <f t="shared" si="1231"/>
        <v>6</v>
      </c>
      <c r="AI746" s="15">
        <v>6</v>
      </c>
      <c r="AJ746" s="16"/>
      <c r="AK746" s="17"/>
      <c r="AL746" s="17"/>
      <c r="AM746" s="85">
        <f t="shared" si="1232"/>
        <v>6</v>
      </c>
      <c r="AN746" s="15"/>
      <c r="AO746" s="16"/>
      <c r="AP746" s="17"/>
      <c r="AQ746" s="17"/>
      <c r="AR746" s="85">
        <f t="shared" si="1233"/>
        <v>0</v>
      </c>
      <c r="AS746" s="15"/>
      <c r="AT746" s="16"/>
      <c r="AU746" s="17"/>
      <c r="AV746" s="17"/>
      <c r="AW746" s="85">
        <f t="shared" si="1234"/>
        <v>0</v>
      </c>
      <c r="AX746" s="15">
        <v>6</v>
      </c>
      <c r="AY746" s="16"/>
      <c r="AZ746" s="17"/>
      <c r="BA746" s="17"/>
      <c r="BB746" s="85">
        <f t="shared" si="1235"/>
        <v>6</v>
      </c>
      <c r="BC746" s="105">
        <f t="shared" si="1236"/>
        <v>18</v>
      </c>
      <c r="BD746" s="114">
        <v>46160</v>
      </c>
      <c r="BE746" s="76"/>
    </row>
    <row r="747" spans="1:57" x14ac:dyDescent="0.15">
      <c r="A747" s="23" t="s">
        <v>661</v>
      </c>
      <c r="B747" s="15"/>
      <c r="C747" s="16"/>
      <c r="D747" s="17"/>
      <c r="E747" s="17"/>
      <c r="F747" s="85">
        <f t="shared" si="1225"/>
        <v>0</v>
      </c>
      <c r="G747" s="15">
        <v>1</v>
      </c>
      <c r="H747" s="16">
        <v>1</v>
      </c>
      <c r="I747" s="17"/>
      <c r="J747" s="17"/>
      <c r="K747" s="85">
        <f t="shared" si="1226"/>
        <v>2</v>
      </c>
      <c r="L747" s="15"/>
      <c r="M747" s="16"/>
      <c r="N747" s="17"/>
      <c r="O747" s="17"/>
      <c r="P747" s="85">
        <f t="shared" si="1227"/>
        <v>0</v>
      </c>
      <c r="Q747" s="15">
        <v>6</v>
      </c>
      <c r="R747" s="16"/>
      <c r="S747" s="17"/>
      <c r="T747" s="17">
        <v>1</v>
      </c>
      <c r="U747" s="85">
        <f t="shared" si="1228"/>
        <v>7</v>
      </c>
      <c r="V747" s="15"/>
      <c r="W747" s="16"/>
      <c r="X747" s="17"/>
      <c r="Y747" s="17"/>
      <c r="Z747" s="85">
        <f t="shared" si="1229"/>
        <v>0</v>
      </c>
      <c r="AA747" s="105">
        <f t="shared" si="1230"/>
        <v>9</v>
      </c>
      <c r="AB747" s="114">
        <v>46164</v>
      </c>
      <c r="AC747" s="23" t="s">
        <v>660</v>
      </c>
      <c r="AD747" s="15">
        <v>5</v>
      </c>
      <c r="AE747" s="16"/>
      <c r="AF747" s="17"/>
      <c r="AG747" s="17"/>
      <c r="AH747" s="85">
        <f t="shared" si="1231"/>
        <v>5</v>
      </c>
      <c r="AI747" s="15">
        <v>5</v>
      </c>
      <c r="AJ747" s="16"/>
      <c r="AK747" s="17"/>
      <c r="AL747" s="17"/>
      <c r="AM747" s="85">
        <f t="shared" si="1232"/>
        <v>5</v>
      </c>
      <c r="AN747" s="15"/>
      <c r="AO747" s="16"/>
      <c r="AP747" s="17"/>
      <c r="AQ747" s="17"/>
      <c r="AR747" s="85">
        <f t="shared" si="1233"/>
        <v>0</v>
      </c>
      <c r="AS747" s="15"/>
      <c r="AT747" s="16"/>
      <c r="AU747" s="17"/>
      <c r="AV747" s="17"/>
      <c r="AW747" s="85">
        <f t="shared" si="1234"/>
        <v>0</v>
      </c>
      <c r="AX747" s="15">
        <v>5</v>
      </c>
      <c r="AY747" s="16"/>
      <c r="AZ747" s="17"/>
      <c r="BA747" s="17"/>
      <c r="BB747" s="85">
        <f t="shared" si="1235"/>
        <v>5</v>
      </c>
      <c r="BC747" s="105">
        <f t="shared" si="1236"/>
        <v>15</v>
      </c>
      <c r="BD747" s="114">
        <v>46164</v>
      </c>
      <c r="BE747" s="76"/>
    </row>
    <row r="748" spans="1:57" x14ac:dyDescent="0.15">
      <c r="A748" s="245" t="s">
        <v>662</v>
      </c>
      <c r="B748" s="234"/>
      <c r="C748" s="235"/>
      <c r="D748" s="236"/>
      <c r="E748" s="236"/>
      <c r="F748" s="237">
        <f t="shared" si="1225"/>
        <v>0</v>
      </c>
      <c r="G748" s="234"/>
      <c r="H748" s="235">
        <v>-5</v>
      </c>
      <c r="I748" s="236"/>
      <c r="J748" s="236"/>
      <c r="K748" s="237">
        <f t="shared" si="1226"/>
        <v>-5</v>
      </c>
      <c r="L748" s="234"/>
      <c r="M748" s="235"/>
      <c r="N748" s="236"/>
      <c r="O748" s="236"/>
      <c r="P748" s="237">
        <f t="shared" si="1227"/>
        <v>0</v>
      </c>
      <c r="Q748" s="234">
        <v>-6</v>
      </c>
      <c r="R748" s="235"/>
      <c r="S748" s="236"/>
      <c r="T748" s="236"/>
      <c r="U748" s="237">
        <f t="shared" si="1228"/>
        <v>-6</v>
      </c>
      <c r="V748" s="234"/>
      <c r="W748" s="235"/>
      <c r="X748" s="236">
        <v>-5</v>
      </c>
      <c r="Y748" s="236">
        <v>-5</v>
      </c>
      <c r="Z748" s="237">
        <f t="shared" si="1229"/>
        <v>-10</v>
      </c>
      <c r="AA748" s="239">
        <f t="shared" si="1230"/>
        <v>-21</v>
      </c>
      <c r="AB748" s="240">
        <v>46162</v>
      </c>
      <c r="AC748" s="245" t="s">
        <v>574</v>
      </c>
      <c r="AD748" s="234"/>
      <c r="AE748" s="235"/>
      <c r="AF748" s="236"/>
      <c r="AG748" s="236"/>
      <c r="AH748" s="237">
        <f t="shared" si="1231"/>
        <v>0</v>
      </c>
      <c r="AI748" s="234"/>
      <c r="AJ748" s="235"/>
      <c r="AK748" s="236"/>
      <c r="AL748" s="236"/>
      <c r="AM748" s="237">
        <f t="shared" si="1232"/>
        <v>0</v>
      </c>
      <c r="AN748" s="234"/>
      <c r="AO748" s="235"/>
      <c r="AP748" s="236"/>
      <c r="AQ748" s="236"/>
      <c r="AR748" s="237">
        <f t="shared" si="1233"/>
        <v>0</v>
      </c>
      <c r="AS748" s="234"/>
      <c r="AT748" s="235"/>
      <c r="AU748" s="236"/>
      <c r="AV748" s="236">
        <v>5</v>
      </c>
      <c r="AW748" s="237">
        <f t="shared" si="1234"/>
        <v>5</v>
      </c>
      <c r="AX748" s="234"/>
      <c r="AY748" s="235"/>
      <c r="AZ748" s="236"/>
      <c r="BA748" s="236"/>
      <c r="BB748" s="237">
        <f t="shared" si="1235"/>
        <v>0</v>
      </c>
      <c r="BC748" s="239">
        <f t="shared" si="1236"/>
        <v>5</v>
      </c>
      <c r="BD748" s="240">
        <v>46161</v>
      </c>
      <c r="BE748" s="76"/>
    </row>
    <row r="749" spans="1:57" x14ac:dyDescent="0.15">
      <c r="A749" s="54" t="s">
        <v>43</v>
      </c>
      <c r="B749" s="15"/>
      <c r="C749" s="16"/>
      <c r="D749" s="17"/>
      <c r="E749" s="17"/>
      <c r="F749" s="85">
        <f t="shared" si="1225"/>
        <v>0</v>
      </c>
      <c r="G749" s="15"/>
      <c r="H749" s="16"/>
      <c r="I749" s="17"/>
      <c r="J749" s="17"/>
      <c r="K749" s="85">
        <f t="shared" si="1226"/>
        <v>0</v>
      </c>
      <c r="L749" s="15"/>
      <c r="M749" s="16"/>
      <c r="N749" s="17"/>
      <c r="O749" s="17"/>
      <c r="P749" s="85">
        <f t="shared" si="1227"/>
        <v>0</v>
      </c>
      <c r="Q749" s="15"/>
      <c r="R749" s="16"/>
      <c r="S749" s="17"/>
      <c r="T749" s="17"/>
      <c r="U749" s="85">
        <f t="shared" si="1228"/>
        <v>0</v>
      </c>
      <c r="V749" s="15">
        <v>1</v>
      </c>
      <c r="W749" s="16"/>
      <c r="X749" s="17"/>
      <c r="Y749" s="17"/>
      <c r="Z749" s="85">
        <f t="shared" si="1229"/>
        <v>1</v>
      </c>
      <c r="AA749" s="105">
        <f t="shared" si="1230"/>
        <v>1</v>
      </c>
      <c r="AB749" s="115">
        <v>46161</v>
      </c>
      <c r="AC749" s="245" t="s">
        <v>574</v>
      </c>
      <c r="AD749" s="234"/>
      <c r="AE749" s="235"/>
      <c r="AF749" s="236"/>
      <c r="AG749" s="236"/>
      <c r="AH749" s="237">
        <f t="shared" si="1231"/>
        <v>0</v>
      </c>
      <c r="AI749" s="234"/>
      <c r="AJ749" s="235">
        <v>5</v>
      </c>
      <c r="AK749" s="236"/>
      <c r="AL749" s="236"/>
      <c r="AM749" s="237">
        <f t="shared" si="1232"/>
        <v>5</v>
      </c>
      <c r="AN749" s="234"/>
      <c r="AO749" s="235"/>
      <c r="AP749" s="236"/>
      <c r="AQ749" s="236"/>
      <c r="AR749" s="237">
        <f t="shared" si="1233"/>
        <v>0</v>
      </c>
      <c r="AS749" s="234">
        <v>6</v>
      </c>
      <c r="AT749" s="235"/>
      <c r="AU749" s="236"/>
      <c r="AV749" s="236"/>
      <c r="AW749" s="237">
        <f t="shared" si="1234"/>
        <v>6</v>
      </c>
      <c r="AX749" s="234"/>
      <c r="AY749" s="235"/>
      <c r="AZ749" s="236">
        <v>5</v>
      </c>
      <c r="BA749" s="236">
        <v>5</v>
      </c>
      <c r="BB749" s="237">
        <f t="shared" si="1235"/>
        <v>10</v>
      </c>
      <c r="BC749" s="239">
        <f t="shared" si="1236"/>
        <v>21</v>
      </c>
      <c r="BD749" s="240">
        <v>46162</v>
      </c>
      <c r="BE749" s="76"/>
    </row>
    <row r="750" spans="1:57" x14ac:dyDescent="0.15">
      <c r="A750" s="23" t="s">
        <v>43</v>
      </c>
      <c r="B750" s="15"/>
      <c r="C750" s="16"/>
      <c r="D750" s="17"/>
      <c r="E750" s="17">
        <v>1</v>
      </c>
      <c r="F750" s="85">
        <f t="shared" si="1225"/>
        <v>1</v>
      </c>
      <c r="G750" s="15"/>
      <c r="H750" s="16"/>
      <c r="I750" s="17"/>
      <c r="J750" s="17">
        <v>1</v>
      </c>
      <c r="K750" s="85">
        <f t="shared" si="1226"/>
        <v>1</v>
      </c>
      <c r="L750" s="15"/>
      <c r="M750" s="16">
        <v>1</v>
      </c>
      <c r="N750" s="17"/>
      <c r="O750" s="17">
        <v>1</v>
      </c>
      <c r="P750" s="85">
        <f t="shared" si="1227"/>
        <v>2</v>
      </c>
      <c r="Q750" s="15"/>
      <c r="R750" s="16">
        <v>1</v>
      </c>
      <c r="S750" s="17"/>
      <c r="T750" s="17">
        <v>1</v>
      </c>
      <c r="U750" s="85">
        <f t="shared" si="1228"/>
        <v>2</v>
      </c>
      <c r="V750" s="15"/>
      <c r="W750" s="16">
        <v>1</v>
      </c>
      <c r="X750" s="17"/>
      <c r="Y750" s="17">
        <v>1</v>
      </c>
      <c r="Z750" s="85">
        <f t="shared" si="1229"/>
        <v>2</v>
      </c>
      <c r="AA750" s="105">
        <f t="shared" si="1230"/>
        <v>8</v>
      </c>
      <c r="AB750" s="114">
        <v>46162</v>
      </c>
      <c r="AC750" s="23" t="s">
        <v>663</v>
      </c>
      <c r="AD750" s="15">
        <v>11</v>
      </c>
      <c r="AE750" s="16"/>
      <c r="AF750" s="17"/>
      <c r="AG750" s="17"/>
      <c r="AH750" s="85">
        <f t="shared" si="1231"/>
        <v>11</v>
      </c>
      <c r="AI750" s="15">
        <v>11</v>
      </c>
      <c r="AJ750" s="16"/>
      <c r="AK750" s="17"/>
      <c r="AL750" s="17"/>
      <c r="AM750" s="85">
        <f t="shared" si="1232"/>
        <v>11</v>
      </c>
      <c r="AN750" s="15"/>
      <c r="AO750" s="16"/>
      <c r="AP750" s="17"/>
      <c r="AQ750" s="17"/>
      <c r="AR750" s="85">
        <f t="shared" si="1233"/>
        <v>0</v>
      </c>
      <c r="AS750" s="15"/>
      <c r="AT750" s="16"/>
      <c r="AU750" s="17"/>
      <c r="AV750" s="17"/>
      <c r="AW750" s="85">
        <f t="shared" si="1234"/>
        <v>0</v>
      </c>
      <c r="AX750" s="15">
        <v>11</v>
      </c>
      <c r="AY750" s="16"/>
      <c r="AZ750" s="17"/>
      <c r="BA750" s="17"/>
      <c r="BB750" s="85">
        <f t="shared" si="1235"/>
        <v>11</v>
      </c>
      <c r="BC750" s="105">
        <f t="shared" si="1236"/>
        <v>33</v>
      </c>
      <c r="BD750" s="114">
        <v>46168</v>
      </c>
      <c r="BE750" s="76"/>
    </row>
    <row r="751" spans="1:57" x14ac:dyDescent="0.15">
      <c r="A751" s="23" t="s">
        <v>665</v>
      </c>
      <c r="B751" s="15"/>
      <c r="C751" s="16"/>
      <c r="D751" s="17"/>
      <c r="E751" s="17"/>
      <c r="F751" s="85">
        <f t="shared" si="1225"/>
        <v>0</v>
      </c>
      <c r="G751" s="15"/>
      <c r="H751" s="16"/>
      <c r="I751" s="17"/>
      <c r="J751" s="17">
        <v>1</v>
      </c>
      <c r="K751" s="85">
        <f t="shared" si="1226"/>
        <v>1</v>
      </c>
      <c r="L751" s="15"/>
      <c r="M751" s="16"/>
      <c r="N751" s="17"/>
      <c r="O751" s="17"/>
      <c r="P751" s="85">
        <f t="shared" si="1227"/>
        <v>0</v>
      </c>
      <c r="Q751" s="15"/>
      <c r="R751" s="16"/>
      <c r="S751" s="17"/>
      <c r="T751" s="17"/>
      <c r="U751" s="85">
        <f t="shared" si="1228"/>
        <v>0</v>
      </c>
      <c r="V751" s="15"/>
      <c r="W751" s="16"/>
      <c r="X751" s="17"/>
      <c r="Y751" s="17"/>
      <c r="Z751" s="85">
        <f t="shared" si="1229"/>
        <v>0</v>
      </c>
      <c r="AA751" s="105">
        <f t="shared" si="1230"/>
        <v>1</v>
      </c>
      <c r="AB751" s="114">
        <v>46171</v>
      </c>
      <c r="AC751" s="23" t="s">
        <v>664</v>
      </c>
      <c r="AD751" s="15"/>
      <c r="AE751" s="16"/>
      <c r="AF751" s="17"/>
      <c r="AG751" s="17"/>
      <c r="AH751" s="85">
        <f t="shared" si="1231"/>
        <v>0</v>
      </c>
      <c r="AI751" s="15"/>
      <c r="AJ751" s="16"/>
      <c r="AK751" s="17"/>
      <c r="AL751" s="17"/>
      <c r="AM751" s="85">
        <f t="shared" si="1232"/>
        <v>0</v>
      </c>
      <c r="AN751" s="15"/>
      <c r="AO751" s="16">
        <v>7</v>
      </c>
      <c r="AP751" s="17"/>
      <c r="AQ751" s="17"/>
      <c r="AR751" s="85">
        <f t="shared" si="1233"/>
        <v>7</v>
      </c>
      <c r="AS751" s="15"/>
      <c r="AT751" s="16">
        <v>7</v>
      </c>
      <c r="AU751" s="17"/>
      <c r="AV751" s="17"/>
      <c r="AW751" s="85">
        <f t="shared" si="1234"/>
        <v>7</v>
      </c>
      <c r="AX751" s="15"/>
      <c r="AY751" s="16">
        <v>7</v>
      </c>
      <c r="AZ751" s="17"/>
      <c r="BA751" s="17"/>
      <c r="BB751" s="85">
        <f t="shared" si="1235"/>
        <v>7</v>
      </c>
      <c r="BC751" s="105">
        <f t="shared" si="1236"/>
        <v>21</v>
      </c>
      <c r="BD751" s="114">
        <v>46168</v>
      </c>
      <c r="BE751" s="76"/>
    </row>
    <row r="752" spans="1:57" x14ac:dyDescent="0.15">
      <c r="A752" s="23" t="s">
        <v>43</v>
      </c>
      <c r="B752" s="18"/>
      <c r="C752" s="19"/>
      <c r="D752" s="20"/>
      <c r="E752" s="20"/>
      <c r="F752" s="85">
        <f t="shared" si="1225"/>
        <v>0</v>
      </c>
      <c r="G752" s="18"/>
      <c r="H752" s="19"/>
      <c r="I752" s="20"/>
      <c r="J752" s="20">
        <v>1</v>
      </c>
      <c r="K752" s="85">
        <f t="shared" si="1226"/>
        <v>1</v>
      </c>
      <c r="L752" s="18"/>
      <c r="M752" s="19"/>
      <c r="N752" s="20"/>
      <c r="O752" s="20"/>
      <c r="P752" s="85">
        <f t="shared" si="1227"/>
        <v>0</v>
      </c>
      <c r="Q752" s="18"/>
      <c r="R752" s="19"/>
      <c r="S752" s="20"/>
      <c r="T752" s="20"/>
      <c r="U752" s="85">
        <f t="shared" si="1228"/>
        <v>0</v>
      </c>
      <c r="V752" s="18"/>
      <c r="W752" s="19"/>
      <c r="X752" s="20"/>
      <c r="Y752" s="20"/>
      <c r="Z752" s="85">
        <f t="shared" si="1229"/>
        <v>0</v>
      </c>
      <c r="AA752" s="105">
        <f t="shared" si="1230"/>
        <v>1</v>
      </c>
      <c r="AB752" s="115">
        <v>46170</v>
      </c>
      <c r="AC752" s="23" t="s">
        <v>666</v>
      </c>
      <c r="AD752" s="15"/>
      <c r="AE752" s="16"/>
      <c r="AF752" s="17"/>
      <c r="AG752" s="17"/>
      <c r="AH752" s="85">
        <f t="shared" si="1231"/>
        <v>0</v>
      </c>
      <c r="AI752" s="15"/>
      <c r="AJ752" s="16"/>
      <c r="AK752" s="17"/>
      <c r="AL752" s="17"/>
      <c r="AM752" s="85">
        <f t="shared" si="1232"/>
        <v>0</v>
      </c>
      <c r="AN752" s="15"/>
      <c r="AO752" s="16"/>
      <c r="AP752" s="17">
        <v>6</v>
      </c>
      <c r="AQ752" s="17"/>
      <c r="AR752" s="85">
        <f t="shared" si="1233"/>
        <v>6</v>
      </c>
      <c r="AS752" s="15"/>
      <c r="AT752" s="16"/>
      <c r="AU752" s="17">
        <v>6</v>
      </c>
      <c r="AV752" s="17"/>
      <c r="AW752" s="85">
        <f t="shared" si="1234"/>
        <v>6</v>
      </c>
      <c r="AX752" s="15"/>
      <c r="AY752" s="16"/>
      <c r="AZ752" s="17">
        <v>6</v>
      </c>
      <c r="BA752" s="17"/>
      <c r="BB752" s="85">
        <f t="shared" si="1235"/>
        <v>6</v>
      </c>
      <c r="BC752" s="105">
        <f t="shared" si="1236"/>
        <v>18</v>
      </c>
      <c r="BD752" s="114">
        <v>46176</v>
      </c>
    </row>
    <row r="753" spans="1:56" x14ac:dyDescent="0.15">
      <c r="A753" s="23" t="s">
        <v>652</v>
      </c>
      <c r="B753" s="16">
        <v>1</v>
      </c>
      <c r="C753" s="16"/>
      <c r="D753" s="17"/>
      <c r="E753" s="17"/>
      <c r="F753" s="85">
        <f t="shared" si="1225"/>
        <v>1</v>
      </c>
      <c r="G753" s="16"/>
      <c r="H753" s="16"/>
      <c r="I753" s="17"/>
      <c r="J753" s="17"/>
      <c r="K753" s="85">
        <f t="shared" si="1226"/>
        <v>0</v>
      </c>
      <c r="L753" s="16"/>
      <c r="M753" s="16"/>
      <c r="N753" s="17"/>
      <c r="O753" s="17"/>
      <c r="P753" s="85">
        <f t="shared" si="1227"/>
        <v>0</v>
      </c>
      <c r="Q753" s="16"/>
      <c r="R753" s="16"/>
      <c r="S753" s="17"/>
      <c r="T753" s="17"/>
      <c r="U753" s="85">
        <f t="shared" si="1228"/>
        <v>0</v>
      </c>
      <c r="V753" s="16"/>
      <c r="W753" s="16"/>
      <c r="X753" s="17"/>
      <c r="Y753" s="17"/>
      <c r="Z753" s="85">
        <f t="shared" si="1229"/>
        <v>0</v>
      </c>
      <c r="AA753" s="105">
        <f t="shared" si="1230"/>
        <v>1</v>
      </c>
      <c r="AB753" s="115">
        <v>46171</v>
      </c>
      <c r="AC753" s="245" t="s">
        <v>574</v>
      </c>
      <c r="AD753" s="234"/>
      <c r="AE753" s="235"/>
      <c r="AF753" s="236"/>
      <c r="AG753" s="236"/>
      <c r="AH753" s="237">
        <f t="shared" si="1231"/>
        <v>0</v>
      </c>
      <c r="AI753" s="234"/>
      <c r="AJ753" s="235"/>
      <c r="AK753" s="236"/>
      <c r="AL753" s="236">
        <v>5</v>
      </c>
      <c r="AM753" s="237">
        <f t="shared" si="1232"/>
        <v>5</v>
      </c>
      <c r="AN753" s="234"/>
      <c r="AO753" s="235"/>
      <c r="AP753" s="236"/>
      <c r="AQ753" s="236"/>
      <c r="AR753" s="237">
        <f t="shared" si="1233"/>
        <v>0</v>
      </c>
      <c r="AS753" s="234"/>
      <c r="AT753" s="235"/>
      <c r="AU753" s="236"/>
      <c r="AV753" s="236"/>
      <c r="AW753" s="237">
        <f t="shared" si="1234"/>
        <v>0</v>
      </c>
      <c r="AX753" s="234"/>
      <c r="AY753" s="235"/>
      <c r="AZ753" s="236"/>
      <c r="BA753" s="236"/>
      <c r="BB753" s="237">
        <f t="shared" si="1235"/>
        <v>0</v>
      </c>
      <c r="BC753" s="239">
        <f t="shared" si="1236"/>
        <v>5</v>
      </c>
      <c r="BD753" s="240">
        <v>46175</v>
      </c>
    </row>
    <row r="754" spans="1:56" x14ac:dyDescent="0.15">
      <c r="A754" s="23" t="s">
        <v>43</v>
      </c>
      <c r="B754" s="15"/>
      <c r="C754" s="25"/>
      <c r="D754" s="17">
        <v>1</v>
      </c>
      <c r="E754" s="17"/>
      <c r="F754" s="85">
        <f t="shared" si="1225"/>
        <v>1</v>
      </c>
      <c r="G754" s="15"/>
      <c r="H754" s="25"/>
      <c r="I754" s="17"/>
      <c r="J754" s="17"/>
      <c r="K754" s="85">
        <f t="shared" si="1226"/>
        <v>0</v>
      </c>
      <c r="L754" s="15"/>
      <c r="M754" s="25"/>
      <c r="N754" s="17"/>
      <c r="O754" s="17"/>
      <c r="P754" s="85">
        <f t="shared" si="1227"/>
        <v>0</v>
      </c>
      <c r="Q754" s="15"/>
      <c r="R754" s="25">
        <v>1</v>
      </c>
      <c r="S754" s="17"/>
      <c r="T754" s="17"/>
      <c r="U754" s="85">
        <f t="shared" si="1228"/>
        <v>1</v>
      </c>
      <c r="V754" s="15"/>
      <c r="W754" s="25"/>
      <c r="X754" s="17"/>
      <c r="Y754" s="17"/>
      <c r="Z754" s="85">
        <f t="shared" si="1229"/>
        <v>0</v>
      </c>
      <c r="AA754" s="105">
        <f t="shared" si="1230"/>
        <v>2</v>
      </c>
      <c r="AB754" s="115">
        <v>46174</v>
      </c>
      <c r="AC754" s="227" t="s">
        <v>566</v>
      </c>
      <c r="AD754" s="228">
        <v>0</v>
      </c>
      <c r="AE754" s="229">
        <v>0</v>
      </c>
      <c r="AF754" s="230">
        <v>0</v>
      </c>
      <c r="AG754" s="230">
        <v>0</v>
      </c>
      <c r="AH754" s="198">
        <f t="shared" si="1231"/>
        <v>0</v>
      </c>
      <c r="AI754" s="228">
        <v>0</v>
      </c>
      <c r="AJ754" s="229">
        <v>0</v>
      </c>
      <c r="AK754" s="230">
        <v>0</v>
      </c>
      <c r="AL754" s="230">
        <v>0</v>
      </c>
      <c r="AM754" s="198">
        <f t="shared" si="1232"/>
        <v>0</v>
      </c>
      <c r="AN754" s="228">
        <v>-20</v>
      </c>
      <c r="AO754" s="229">
        <v>-20</v>
      </c>
      <c r="AP754" s="230">
        <v>0</v>
      </c>
      <c r="AQ754" s="230">
        <v>0</v>
      </c>
      <c r="AR754" s="198">
        <f t="shared" si="1233"/>
        <v>-40</v>
      </c>
      <c r="AS754" s="228">
        <v>-20</v>
      </c>
      <c r="AT754" s="229">
        <v>-20</v>
      </c>
      <c r="AU754" s="230">
        <v>0</v>
      </c>
      <c r="AV754" s="230">
        <v>0</v>
      </c>
      <c r="AW754" s="198">
        <f t="shared" si="1234"/>
        <v>-40</v>
      </c>
      <c r="AX754" s="228">
        <v>-10</v>
      </c>
      <c r="AY754" s="229">
        <v>-20</v>
      </c>
      <c r="AZ754" s="230">
        <v>0</v>
      </c>
      <c r="BA754" s="230">
        <v>0</v>
      </c>
      <c r="BB754" s="198">
        <f t="shared" si="1235"/>
        <v>-30</v>
      </c>
      <c r="BC754" s="199">
        <f t="shared" si="1236"/>
        <v>-110</v>
      </c>
    </row>
    <row r="755" spans="1:56" x14ac:dyDescent="0.15">
      <c r="A755" s="23"/>
      <c r="B755" s="15"/>
      <c r="C755" s="16"/>
      <c r="D755" s="16"/>
      <c r="E755" s="63"/>
      <c r="F755" s="85">
        <f t="shared" si="1225"/>
        <v>0</v>
      </c>
      <c r="G755" s="15"/>
      <c r="H755" s="16"/>
      <c r="I755" s="16"/>
      <c r="J755" s="63"/>
      <c r="K755" s="85">
        <f t="shared" si="1226"/>
        <v>0</v>
      </c>
      <c r="L755" s="15"/>
      <c r="M755" s="16"/>
      <c r="N755" s="16"/>
      <c r="O755" s="63"/>
      <c r="P755" s="85">
        <f t="shared" si="1227"/>
        <v>0</v>
      </c>
      <c r="Q755" s="15"/>
      <c r="R755" s="16"/>
      <c r="S755" s="16"/>
      <c r="T755" s="63"/>
      <c r="U755" s="85">
        <f t="shared" si="1228"/>
        <v>0</v>
      </c>
      <c r="V755" s="15"/>
      <c r="W755" s="16"/>
      <c r="X755" s="16"/>
      <c r="Y755" s="63"/>
      <c r="Z755" s="85">
        <f t="shared" si="1229"/>
        <v>0</v>
      </c>
      <c r="AA755" s="105">
        <f t="shared" si="1230"/>
        <v>0</v>
      </c>
      <c r="AC755" s="194" t="s">
        <v>563</v>
      </c>
      <c r="AD755" s="195">
        <f>45-5-4-8-7-6-2-3-6-4</f>
        <v>0</v>
      </c>
      <c r="AE755" s="196">
        <f>37-7-3-6-21</f>
        <v>0</v>
      </c>
      <c r="AF755" s="197">
        <f>19-2-7-3-2</f>
        <v>5</v>
      </c>
      <c r="AG755" s="197">
        <f>11-3-1-3</f>
        <v>4</v>
      </c>
      <c r="AH755" s="99">
        <f t="shared" si="1231"/>
        <v>9</v>
      </c>
      <c r="AI755" s="195">
        <f>45-5-4-8-7-6-2-3-6-4</f>
        <v>0</v>
      </c>
      <c r="AJ755" s="196">
        <f>37-7-3-6-21</f>
        <v>0</v>
      </c>
      <c r="AK755" s="197">
        <f>19-2-7-3-2</f>
        <v>5</v>
      </c>
      <c r="AL755" s="197">
        <f>11-3-1-3</f>
        <v>4</v>
      </c>
      <c r="AM755" s="99">
        <f t="shared" si="1232"/>
        <v>9</v>
      </c>
      <c r="AN755" s="242"/>
      <c r="AO755" s="243"/>
      <c r="AP755" s="244"/>
      <c r="AQ755" s="244"/>
      <c r="AR755" s="99">
        <f t="shared" si="1233"/>
        <v>0</v>
      </c>
      <c r="AS755" s="242"/>
      <c r="AT755" s="243"/>
      <c r="AU755" s="244"/>
      <c r="AV755" s="244"/>
      <c r="AW755" s="99">
        <f t="shared" si="1234"/>
        <v>0</v>
      </c>
      <c r="AX755" s="195">
        <f>45-5-4-8-7-6-2-3-6-4</f>
        <v>0</v>
      </c>
      <c r="AY755" s="196">
        <f>37-7-3-6-21</f>
        <v>0</v>
      </c>
      <c r="AZ755" s="197">
        <f>19-2-7-3-2</f>
        <v>5</v>
      </c>
      <c r="BA755" s="197">
        <f>11-3-1-3</f>
        <v>4</v>
      </c>
      <c r="BB755" s="99">
        <f t="shared" si="1235"/>
        <v>9</v>
      </c>
      <c r="BC755" s="111">
        <f t="shared" si="1236"/>
        <v>27</v>
      </c>
      <c r="BD755" s="116" t="s">
        <v>565</v>
      </c>
    </row>
    <row r="756" spans="1:56" ht="14.25" thickBot="1" x14ac:dyDescent="0.2">
      <c r="A756" s="23"/>
      <c r="B756" s="15"/>
      <c r="C756" s="16"/>
      <c r="D756" s="16"/>
      <c r="E756" s="63"/>
      <c r="F756" s="85">
        <f t="shared" si="1225"/>
        <v>0</v>
      </c>
      <c r="G756" s="15"/>
      <c r="H756" s="16"/>
      <c r="I756" s="16"/>
      <c r="J756" s="63"/>
      <c r="K756" s="85">
        <f t="shared" si="1226"/>
        <v>0</v>
      </c>
      <c r="L756" s="15"/>
      <c r="M756" s="16"/>
      <c r="N756" s="16"/>
      <c r="O756" s="63"/>
      <c r="P756" s="85">
        <f t="shared" si="1227"/>
        <v>0</v>
      </c>
      <c r="Q756" s="15"/>
      <c r="R756" s="16"/>
      <c r="S756" s="16"/>
      <c r="T756" s="63"/>
      <c r="U756" s="85">
        <f t="shared" si="1228"/>
        <v>0</v>
      </c>
      <c r="V756" s="15"/>
      <c r="W756" s="16"/>
      <c r="X756" s="16"/>
      <c r="Y756" s="63"/>
      <c r="Z756" s="85">
        <f t="shared" si="1229"/>
        <v>0</v>
      </c>
      <c r="AA756" s="105">
        <f t="shared" si="1230"/>
        <v>0</v>
      </c>
      <c r="AC756" s="194" t="s">
        <v>564</v>
      </c>
      <c r="AD756" s="242"/>
      <c r="AE756" s="243"/>
      <c r="AF756" s="244"/>
      <c r="AG756" s="244"/>
      <c r="AH756" s="99">
        <f t="shared" si="1231"/>
        <v>0</v>
      </c>
      <c r="AI756" s="242"/>
      <c r="AJ756" s="243"/>
      <c r="AK756" s="244"/>
      <c r="AL756" s="244"/>
      <c r="AM756" s="99">
        <f t="shared" si="1232"/>
        <v>0</v>
      </c>
      <c r="AN756" s="195">
        <f>65-4-10-4-2-5-1-5-2-2-1</f>
        <v>29</v>
      </c>
      <c r="AO756" s="196">
        <f>60-4-13-5-4</f>
        <v>34</v>
      </c>
      <c r="AP756" s="197">
        <f>31-6-5-5-5-6-4</f>
        <v>0</v>
      </c>
      <c r="AQ756" s="197">
        <f>17-2-4-1-1-7</f>
        <v>2</v>
      </c>
      <c r="AR756" s="99">
        <f t="shared" si="1233"/>
        <v>65</v>
      </c>
      <c r="AS756" s="195">
        <f>65-4-10-4-2-5-1-5-2-2-1</f>
        <v>29</v>
      </c>
      <c r="AT756" s="196">
        <f>60-4-13-5-4</f>
        <v>34</v>
      </c>
      <c r="AU756" s="197">
        <f>31-6-5-5-5-6-4</f>
        <v>0</v>
      </c>
      <c r="AV756" s="197">
        <f>17-2-4-1-1-7</f>
        <v>2</v>
      </c>
      <c r="AW756" s="99">
        <f t="shared" si="1234"/>
        <v>65</v>
      </c>
      <c r="AX756" s="195">
        <f>65-4-10-4-2-5-1-5-2-2-1</f>
        <v>29</v>
      </c>
      <c r="AY756" s="196">
        <f>60-4-13-5-4</f>
        <v>34</v>
      </c>
      <c r="AZ756" s="197">
        <f>31-6-5-5-5-6-4</f>
        <v>0</v>
      </c>
      <c r="BA756" s="197">
        <f>17-2-4-1-1-7</f>
        <v>2</v>
      </c>
      <c r="BB756" s="99">
        <f t="shared" si="1235"/>
        <v>65</v>
      </c>
      <c r="BC756" s="111">
        <f t="shared" si="1236"/>
        <v>195</v>
      </c>
      <c r="BD756" s="116" t="s">
        <v>565</v>
      </c>
    </row>
    <row r="757" spans="1:56" ht="14.25" thickBot="1" x14ac:dyDescent="0.2">
      <c r="A757" s="27" t="s">
        <v>12</v>
      </c>
      <c r="B757" s="57">
        <f>SUM(B731:B756)</f>
        <v>4</v>
      </c>
      <c r="C757" s="50">
        <f t="shared" ref="C757:D757" si="1253">SUM(C731:C756)</f>
        <v>0</v>
      </c>
      <c r="D757" s="50">
        <f t="shared" si="1253"/>
        <v>2</v>
      </c>
      <c r="E757" s="50">
        <f>SUM(E731:E756)</f>
        <v>2</v>
      </c>
      <c r="F757" s="88">
        <f t="shared" si="1225"/>
        <v>8</v>
      </c>
      <c r="G757" s="57">
        <f>SUM(G731:G756)</f>
        <v>3</v>
      </c>
      <c r="H757" s="50">
        <f t="shared" ref="H757:I757" si="1254">SUM(H731:H756)</f>
        <v>1</v>
      </c>
      <c r="I757" s="50">
        <f t="shared" si="1254"/>
        <v>2</v>
      </c>
      <c r="J757" s="50">
        <f>SUM(J731:J756)</f>
        <v>3</v>
      </c>
      <c r="K757" s="88">
        <f t="shared" si="1226"/>
        <v>9</v>
      </c>
      <c r="L757" s="57">
        <f>SUM(L731:L756)</f>
        <v>3</v>
      </c>
      <c r="M757" s="50">
        <f t="shared" ref="M757:N757" si="1255">SUM(M731:M756)</f>
        <v>2</v>
      </c>
      <c r="N757" s="50">
        <f t="shared" si="1255"/>
        <v>0</v>
      </c>
      <c r="O757" s="50">
        <f>SUM(O731:O756)</f>
        <v>2</v>
      </c>
      <c r="P757" s="88">
        <f t="shared" si="1227"/>
        <v>7</v>
      </c>
      <c r="Q757" s="57">
        <f>SUM(Q731:Q756)</f>
        <v>7</v>
      </c>
      <c r="R757" s="50">
        <f t="shared" ref="R757:S757" si="1256">SUM(R731:R756)</f>
        <v>4</v>
      </c>
      <c r="S757" s="50">
        <f t="shared" si="1256"/>
        <v>2</v>
      </c>
      <c r="T757" s="50">
        <f>SUM(T731:T756)</f>
        <v>6</v>
      </c>
      <c r="U757" s="88">
        <f t="shared" si="1228"/>
        <v>19</v>
      </c>
      <c r="V757" s="57">
        <f>SUM(V731:V756)</f>
        <v>2</v>
      </c>
      <c r="W757" s="50">
        <f t="shared" ref="W757:X757" si="1257">SUM(W731:W756)</f>
        <v>7</v>
      </c>
      <c r="X757" s="50">
        <f t="shared" si="1257"/>
        <v>-3</v>
      </c>
      <c r="Y757" s="50">
        <f>SUM(Y731:Y756)</f>
        <v>0</v>
      </c>
      <c r="Z757" s="88">
        <f t="shared" si="1229"/>
        <v>6</v>
      </c>
      <c r="AA757" s="109">
        <f t="shared" si="1230"/>
        <v>49</v>
      </c>
      <c r="AC757" s="27" t="s">
        <v>419</v>
      </c>
      <c r="AD757" s="57">
        <f>SUM(AD731:AD756)</f>
        <v>44</v>
      </c>
      <c r="AE757" s="50">
        <f t="shared" ref="AE757:AF757" si="1258">SUM(AE731:AE756)</f>
        <v>8</v>
      </c>
      <c r="AF757" s="50">
        <f t="shared" si="1258"/>
        <v>11</v>
      </c>
      <c r="AG757" s="50">
        <f>SUM(AG731:AG756)</f>
        <v>7</v>
      </c>
      <c r="AH757" s="88">
        <f t="shared" si="1231"/>
        <v>70</v>
      </c>
      <c r="AI757" s="57">
        <f>SUM(AI731:AI756)</f>
        <v>39</v>
      </c>
      <c r="AJ757" s="50">
        <f t="shared" ref="AJ757:AK757" si="1259">SUM(AJ731:AJ756)</f>
        <v>15</v>
      </c>
      <c r="AK757" s="50">
        <f t="shared" si="1259"/>
        <v>11</v>
      </c>
      <c r="AL757" s="50">
        <f>SUM(AL731:AL756)</f>
        <v>15</v>
      </c>
      <c r="AM757" s="88">
        <f t="shared" si="1232"/>
        <v>80</v>
      </c>
      <c r="AN757" s="57">
        <f>SUM(AN731:AN756)</f>
        <v>19</v>
      </c>
      <c r="AO757" s="50">
        <f t="shared" ref="AO757:AP757" si="1260">SUM(AO731:AO756)</f>
        <v>25</v>
      </c>
      <c r="AP757" s="50">
        <f t="shared" si="1260"/>
        <v>16</v>
      </c>
      <c r="AQ757" s="50">
        <f>SUM(AQ731:AQ756)</f>
        <v>10</v>
      </c>
      <c r="AR757" s="88">
        <f t="shared" si="1233"/>
        <v>70</v>
      </c>
      <c r="AS757" s="57">
        <f>SUM(AS731:AS756)</f>
        <v>33</v>
      </c>
      <c r="AT757" s="50">
        <f t="shared" ref="AT757:AU757" si="1261">SUM(AT731:AT756)</f>
        <v>28</v>
      </c>
      <c r="AU757" s="50">
        <f t="shared" si="1261"/>
        <v>21</v>
      </c>
      <c r="AV757" s="50">
        <f>SUM(AV731:AV756)</f>
        <v>15</v>
      </c>
      <c r="AW757" s="88">
        <f t="shared" si="1234"/>
        <v>97</v>
      </c>
      <c r="AX757" s="57">
        <f>SUM(AX731:AX756)</f>
        <v>68</v>
      </c>
      <c r="AY757" s="50">
        <f t="shared" ref="AY757:AZ757" si="1262">SUM(AY731:AY756)</f>
        <v>33</v>
      </c>
      <c r="AZ757" s="50">
        <f t="shared" si="1262"/>
        <v>32</v>
      </c>
      <c r="BA757" s="50">
        <f>SUM(BA731:BA756)</f>
        <v>25</v>
      </c>
      <c r="BB757" s="88">
        <f t="shared" si="1235"/>
        <v>158</v>
      </c>
      <c r="BC757" s="109">
        <f t="shared" si="1236"/>
        <v>475</v>
      </c>
    </row>
    <row r="758" spans="1:56" ht="14.25" thickBot="1" x14ac:dyDescent="0.2">
      <c r="A758" s="21" t="s">
        <v>13</v>
      </c>
      <c r="B758" s="101">
        <f>B730-B757</f>
        <v>5</v>
      </c>
      <c r="C758" s="8">
        <f t="shared" ref="C758:D758" si="1263">C730-C757</f>
        <v>6</v>
      </c>
      <c r="D758" s="8">
        <f t="shared" si="1263"/>
        <v>3</v>
      </c>
      <c r="E758" s="8">
        <f>E730-E757</f>
        <v>3</v>
      </c>
      <c r="F758" s="87">
        <f t="shared" si="1225"/>
        <v>17</v>
      </c>
      <c r="G758" s="101">
        <f>G730-G757</f>
        <v>6</v>
      </c>
      <c r="H758" s="8">
        <f t="shared" ref="H758:I758" si="1264">H730-H757</f>
        <v>7</v>
      </c>
      <c r="I758" s="8">
        <f t="shared" si="1264"/>
        <v>6</v>
      </c>
      <c r="J758" s="8">
        <f>J730-J757</f>
        <v>1</v>
      </c>
      <c r="K758" s="87">
        <f t="shared" si="1226"/>
        <v>20</v>
      </c>
      <c r="L758" s="101">
        <f>L730-L757</f>
        <v>9</v>
      </c>
      <c r="M758" s="8">
        <f t="shared" ref="M758:N758" si="1265">M730-M757</f>
        <v>5</v>
      </c>
      <c r="N758" s="8">
        <f t="shared" si="1265"/>
        <v>5</v>
      </c>
      <c r="O758" s="8">
        <f>O730-O757</f>
        <v>6</v>
      </c>
      <c r="P758" s="87">
        <f t="shared" si="1227"/>
        <v>25</v>
      </c>
      <c r="Q758" s="101">
        <f>Q730-Q757</f>
        <v>5</v>
      </c>
      <c r="R758" s="8">
        <f t="shared" ref="R758:S758" si="1266">R730-R757</f>
        <v>4</v>
      </c>
      <c r="S758" s="8">
        <f t="shared" si="1266"/>
        <v>6</v>
      </c>
      <c r="T758" s="8">
        <f>T730-T757</f>
        <v>3</v>
      </c>
      <c r="U758" s="87">
        <f t="shared" si="1228"/>
        <v>18</v>
      </c>
      <c r="V758" s="101">
        <f>V730-V757</f>
        <v>5</v>
      </c>
      <c r="W758" s="8">
        <f t="shared" ref="W758:X758" si="1267">W730-W757</f>
        <v>4</v>
      </c>
      <c r="X758" s="8">
        <f t="shared" si="1267"/>
        <v>8</v>
      </c>
      <c r="Y758" s="8">
        <f>Y730-Y757</f>
        <v>6</v>
      </c>
      <c r="Z758" s="87">
        <f t="shared" si="1229"/>
        <v>23</v>
      </c>
      <c r="AA758" s="107">
        <f t="shared" si="1230"/>
        <v>103</v>
      </c>
      <c r="AC758" s="29" t="s">
        <v>13</v>
      </c>
      <c r="AD758" s="32">
        <f>AD730-AD757</f>
        <v>535</v>
      </c>
      <c r="AE758" s="44">
        <f t="shared" ref="AE758:AF758" si="1268">AE730-AE757</f>
        <v>475</v>
      </c>
      <c r="AF758" s="44">
        <f t="shared" si="1268"/>
        <v>110</v>
      </c>
      <c r="AG758" s="44">
        <f>AG730-AG757</f>
        <v>379</v>
      </c>
      <c r="AH758" s="87">
        <f t="shared" si="1231"/>
        <v>1499</v>
      </c>
      <c r="AI758" s="32">
        <f>AI730-AI757</f>
        <v>488</v>
      </c>
      <c r="AJ758" s="44">
        <f t="shared" ref="AJ758:AK758" si="1269">AJ730-AJ757</f>
        <v>384</v>
      </c>
      <c r="AK758" s="44">
        <f t="shared" si="1269"/>
        <v>135</v>
      </c>
      <c r="AL758" s="44">
        <f>AL730-AL757</f>
        <v>388</v>
      </c>
      <c r="AM758" s="87">
        <f t="shared" si="1232"/>
        <v>1395</v>
      </c>
      <c r="AN758" s="32">
        <f>AN730-AN757</f>
        <v>255</v>
      </c>
      <c r="AO758" s="44">
        <f t="shared" ref="AO758:AP758" si="1270">AO730-AO757</f>
        <v>228</v>
      </c>
      <c r="AP758" s="44">
        <f t="shared" si="1270"/>
        <v>147</v>
      </c>
      <c r="AQ758" s="44">
        <f>AQ730-AQ757</f>
        <v>327</v>
      </c>
      <c r="AR758" s="87">
        <f t="shared" si="1233"/>
        <v>957</v>
      </c>
      <c r="AS758" s="32">
        <f>AS730-AS757</f>
        <v>408</v>
      </c>
      <c r="AT758" s="44">
        <f t="shared" ref="AT758:AU758" si="1271">AT730-AT757</f>
        <v>327</v>
      </c>
      <c r="AU758" s="44">
        <f t="shared" si="1271"/>
        <v>104</v>
      </c>
      <c r="AV758" s="44">
        <f>AV730-AV757</f>
        <v>467</v>
      </c>
      <c r="AW758" s="87">
        <f t="shared" si="1234"/>
        <v>1306</v>
      </c>
      <c r="AX758" s="32">
        <f>AX730-AX757</f>
        <v>264</v>
      </c>
      <c r="AY758" s="44">
        <f t="shared" ref="AY758:AZ758" si="1272">AY730-AY757</f>
        <v>303</v>
      </c>
      <c r="AZ758" s="44">
        <f t="shared" si="1272"/>
        <v>215</v>
      </c>
      <c r="BA758" s="44">
        <f>BA730-BA757</f>
        <v>44</v>
      </c>
      <c r="BB758" s="87">
        <f t="shared" si="1235"/>
        <v>826</v>
      </c>
      <c r="BC758" s="107">
        <f t="shared" si="1236"/>
        <v>5983</v>
      </c>
      <c r="BD758" s="136" t="s">
        <v>627</v>
      </c>
    </row>
    <row r="761" spans="1:56" ht="19.5" thickBot="1" x14ac:dyDescent="0.25">
      <c r="A761" s="271" t="s">
        <v>22</v>
      </c>
      <c r="B761" s="271"/>
      <c r="C761" s="271"/>
      <c r="D761" s="271"/>
      <c r="E761" s="271"/>
      <c r="F761" s="271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C761" s="79" t="s">
        <v>69</v>
      </c>
      <c r="AD761" s="79"/>
      <c r="AE761" s="79"/>
      <c r="AF761" s="79"/>
      <c r="AG761" s="79"/>
      <c r="AH761" s="79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  <c r="AS761" s="93"/>
      <c r="AT761" s="78"/>
      <c r="AU761" s="78"/>
      <c r="AV761" s="78"/>
      <c r="AW761" s="78"/>
      <c r="AX761" s="78"/>
      <c r="AY761" s="78"/>
      <c r="AZ761" s="78"/>
      <c r="BA761" s="78"/>
      <c r="BB761" s="78"/>
      <c r="BC761" s="78"/>
    </row>
    <row r="762" spans="1:56" ht="14.25" thickBot="1" x14ac:dyDescent="0.2">
      <c r="A762" s="2" t="s">
        <v>0</v>
      </c>
      <c r="B762" s="256" t="s">
        <v>23</v>
      </c>
      <c r="C762" s="257"/>
      <c r="D762" s="257"/>
      <c r="E762" s="258"/>
      <c r="F762" s="81"/>
      <c r="G762" s="259" t="s">
        <v>24</v>
      </c>
      <c r="H762" s="260"/>
      <c r="I762" s="260"/>
      <c r="J762" s="261"/>
      <c r="K762" s="81"/>
      <c r="L762" s="262" t="s">
        <v>25</v>
      </c>
      <c r="M762" s="263"/>
      <c r="N762" s="263"/>
      <c r="O762" s="264"/>
      <c r="P762" s="81"/>
      <c r="Q762" s="265" t="s">
        <v>26</v>
      </c>
      <c r="R762" s="266"/>
      <c r="S762" s="266"/>
      <c r="T762" s="267"/>
      <c r="U762" s="81"/>
      <c r="V762" s="268" t="s">
        <v>27</v>
      </c>
      <c r="W762" s="269"/>
      <c r="X762" s="269"/>
      <c r="Y762" s="270"/>
      <c r="Z762" s="81"/>
      <c r="AA762" s="272" t="s">
        <v>6</v>
      </c>
      <c r="AC762" s="2" t="s">
        <v>0</v>
      </c>
      <c r="AD762" s="256" t="s">
        <v>23</v>
      </c>
      <c r="AE762" s="257"/>
      <c r="AF762" s="257"/>
      <c r="AG762" s="258"/>
      <c r="AH762" s="81"/>
      <c r="AI762" s="259" t="s">
        <v>24</v>
      </c>
      <c r="AJ762" s="260"/>
      <c r="AK762" s="260"/>
      <c r="AL762" s="261"/>
      <c r="AM762" s="81"/>
      <c r="AN762" s="262" t="s">
        <v>25</v>
      </c>
      <c r="AO762" s="263"/>
      <c r="AP762" s="263"/>
      <c r="AQ762" s="264"/>
      <c r="AR762" s="81"/>
      <c r="AS762" s="265" t="s">
        <v>26</v>
      </c>
      <c r="AT762" s="266"/>
      <c r="AU762" s="266"/>
      <c r="AV762" s="267"/>
      <c r="AW762" s="81"/>
      <c r="AX762" s="268" t="s">
        <v>27</v>
      </c>
      <c r="AY762" s="269"/>
      <c r="AZ762" s="269"/>
      <c r="BA762" s="270"/>
      <c r="BB762" s="81"/>
      <c r="BC762" s="183" t="s">
        <v>6</v>
      </c>
    </row>
    <row r="763" spans="1:56" ht="14.25" thickBot="1" x14ac:dyDescent="0.2">
      <c r="A763" s="2" t="s">
        <v>2</v>
      </c>
      <c r="B763" s="3" t="s">
        <v>3</v>
      </c>
      <c r="C763" s="4" t="s">
        <v>4</v>
      </c>
      <c r="D763" s="5" t="s">
        <v>5</v>
      </c>
      <c r="E763" s="5" t="s">
        <v>20</v>
      </c>
      <c r="F763" s="82" t="s">
        <v>6</v>
      </c>
      <c r="G763" s="89" t="s">
        <v>3</v>
      </c>
      <c r="H763" s="4" t="s">
        <v>4</v>
      </c>
      <c r="I763" s="5" t="s">
        <v>5</v>
      </c>
      <c r="J763" s="5" t="s">
        <v>20</v>
      </c>
      <c r="K763" s="82" t="s">
        <v>6</v>
      </c>
      <c r="L763" s="89" t="s">
        <v>3</v>
      </c>
      <c r="M763" s="4" t="s">
        <v>4</v>
      </c>
      <c r="N763" s="5" t="s">
        <v>5</v>
      </c>
      <c r="O763" s="5" t="s">
        <v>20</v>
      </c>
      <c r="P763" s="82" t="s">
        <v>6</v>
      </c>
      <c r="Q763" s="89" t="s">
        <v>3</v>
      </c>
      <c r="R763" s="4" t="s">
        <v>4</v>
      </c>
      <c r="S763" s="5" t="s">
        <v>5</v>
      </c>
      <c r="T763" s="5" t="s">
        <v>20</v>
      </c>
      <c r="U763" s="82" t="s">
        <v>6</v>
      </c>
      <c r="V763" s="89" t="s">
        <v>3</v>
      </c>
      <c r="W763" s="4" t="s">
        <v>4</v>
      </c>
      <c r="X763" s="5" t="s">
        <v>5</v>
      </c>
      <c r="Y763" s="5" t="s">
        <v>20</v>
      </c>
      <c r="Z763" s="82" t="s">
        <v>6</v>
      </c>
      <c r="AA763" s="273"/>
      <c r="AC763" s="2" t="s">
        <v>2</v>
      </c>
      <c r="AD763" s="3" t="s">
        <v>3</v>
      </c>
      <c r="AE763" s="4" t="s">
        <v>4</v>
      </c>
      <c r="AF763" s="5" t="s">
        <v>5</v>
      </c>
      <c r="AG763" s="5" t="s">
        <v>20</v>
      </c>
      <c r="AH763" s="82" t="s">
        <v>6</v>
      </c>
      <c r="AI763" s="89" t="s">
        <v>3</v>
      </c>
      <c r="AJ763" s="4" t="s">
        <v>4</v>
      </c>
      <c r="AK763" s="5" t="s">
        <v>5</v>
      </c>
      <c r="AL763" s="5" t="s">
        <v>20</v>
      </c>
      <c r="AM763" s="82" t="s">
        <v>6</v>
      </c>
      <c r="AN763" s="89" t="s">
        <v>3</v>
      </c>
      <c r="AO763" s="4" t="s">
        <v>4</v>
      </c>
      <c r="AP763" s="5" t="s">
        <v>5</v>
      </c>
      <c r="AQ763" s="5" t="s">
        <v>20</v>
      </c>
      <c r="AR763" s="82" t="s">
        <v>6</v>
      </c>
      <c r="AS763" s="89" t="s">
        <v>3</v>
      </c>
      <c r="AT763" s="4" t="s">
        <v>4</v>
      </c>
      <c r="AU763" s="5" t="s">
        <v>5</v>
      </c>
      <c r="AV763" s="5" t="s">
        <v>20</v>
      </c>
      <c r="AW763" s="82" t="s">
        <v>6</v>
      </c>
      <c r="AX763" s="89" t="s">
        <v>3</v>
      </c>
      <c r="AY763" s="4" t="s">
        <v>4</v>
      </c>
      <c r="AZ763" s="5" t="s">
        <v>5</v>
      </c>
      <c r="BA763" s="5" t="s">
        <v>20</v>
      </c>
      <c r="BB763" s="82" t="s">
        <v>6</v>
      </c>
      <c r="BC763" s="184"/>
    </row>
    <row r="764" spans="1:56" x14ac:dyDescent="0.15">
      <c r="A764" s="40" t="s">
        <v>13</v>
      </c>
      <c r="B764" s="41">
        <f>B758</f>
        <v>5</v>
      </c>
      <c r="C764" s="42">
        <f>C758</f>
        <v>6</v>
      </c>
      <c r="D764" s="42">
        <f t="shared" ref="D764:AA764" si="1273">D758</f>
        <v>3</v>
      </c>
      <c r="E764" s="94">
        <f t="shared" si="1273"/>
        <v>3</v>
      </c>
      <c r="F764" s="95">
        <f t="shared" si="1273"/>
        <v>17</v>
      </c>
      <c r="G764" s="96">
        <f t="shared" si="1273"/>
        <v>6</v>
      </c>
      <c r="H764" s="42">
        <f t="shared" si="1273"/>
        <v>7</v>
      </c>
      <c r="I764" s="42">
        <f t="shared" si="1273"/>
        <v>6</v>
      </c>
      <c r="J764" s="94">
        <f t="shared" si="1273"/>
        <v>1</v>
      </c>
      <c r="K764" s="95">
        <f t="shared" si="1273"/>
        <v>20</v>
      </c>
      <c r="L764" s="96">
        <f t="shared" si="1273"/>
        <v>9</v>
      </c>
      <c r="M764" s="42">
        <f t="shared" si="1273"/>
        <v>5</v>
      </c>
      <c r="N764" s="42">
        <f t="shared" si="1273"/>
        <v>5</v>
      </c>
      <c r="O764" s="94">
        <f t="shared" si="1273"/>
        <v>6</v>
      </c>
      <c r="P764" s="95">
        <f t="shared" si="1273"/>
        <v>25</v>
      </c>
      <c r="Q764" s="96">
        <f t="shared" si="1273"/>
        <v>5</v>
      </c>
      <c r="R764" s="42">
        <f t="shared" si="1273"/>
        <v>4</v>
      </c>
      <c r="S764" s="42">
        <f t="shared" si="1273"/>
        <v>6</v>
      </c>
      <c r="T764" s="94">
        <f t="shared" si="1273"/>
        <v>3</v>
      </c>
      <c r="U764" s="95">
        <f t="shared" si="1273"/>
        <v>18</v>
      </c>
      <c r="V764" s="96">
        <f t="shared" si="1273"/>
        <v>5</v>
      </c>
      <c r="W764" s="42">
        <f t="shared" si="1273"/>
        <v>4</v>
      </c>
      <c r="X764" s="42">
        <f t="shared" si="1273"/>
        <v>8</v>
      </c>
      <c r="Y764" s="94">
        <f t="shared" si="1273"/>
        <v>6</v>
      </c>
      <c r="Z764" s="95">
        <f t="shared" si="1273"/>
        <v>23</v>
      </c>
      <c r="AA764" s="104">
        <f t="shared" si="1273"/>
        <v>103</v>
      </c>
      <c r="AC764" s="131" t="s">
        <v>13</v>
      </c>
      <c r="AD764" s="96">
        <f>AD758</f>
        <v>535</v>
      </c>
      <c r="AE764" s="42">
        <f>AE758</f>
        <v>475</v>
      </c>
      <c r="AF764" s="42">
        <f t="shared" ref="AF764:BC764" si="1274">AF758</f>
        <v>110</v>
      </c>
      <c r="AG764" s="94">
        <f t="shared" si="1274"/>
        <v>379</v>
      </c>
      <c r="AH764" s="95">
        <f t="shared" si="1274"/>
        <v>1499</v>
      </c>
      <c r="AI764" s="96">
        <f t="shared" si="1274"/>
        <v>488</v>
      </c>
      <c r="AJ764" s="42">
        <f t="shared" si="1274"/>
        <v>384</v>
      </c>
      <c r="AK764" s="42">
        <f t="shared" si="1274"/>
        <v>135</v>
      </c>
      <c r="AL764" s="94">
        <f t="shared" si="1274"/>
        <v>388</v>
      </c>
      <c r="AM764" s="95">
        <f t="shared" si="1274"/>
        <v>1395</v>
      </c>
      <c r="AN764" s="96">
        <f t="shared" si="1274"/>
        <v>255</v>
      </c>
      <c r="AO764" s="42">
        <f t="shared" si="1274"/>
        <v>228</v>
      </c>
      <c r="AP764" s="42">
        <f t="shared" si="1274"/>
        <v>147</v>
      </c>
      <c r="AQ764" s="94">
        <f t="shared" si="1274"/>
        <v>327</v>
      </c>
      <c r="AR764" s="95">
        <f t="shared" si="1274"/>
        <v>957</v>
      </c>
      <c r="AS764" s="96">
        <f t="shared" si="1274"/>
        <v>408</v>
      </c>
      <c r="AT764" s="42">
        <f t="shared" si="1274"/>
        <v>327</v>
      </c>
      <c r="AU764" s="42">
        <f t="shared" si="1274"/>
        <v>104</v>
      </c>
      <c r="AV764" s="94">
        <f t="shared" si="1274"/>
        <v>467</v>
      </c>
      <c r="AW764" s="95">
        <f t="shared" si="1274"/>
        <v>1306</v>
      </c>
      <c r="AX764" s="96">
        <f t="shared" si="1274"/>
        <v>264</v>
      </c>
      <c r="AY764" s="42">
        <f t="shared" si="1274"/>
        <v>303</v>
      </c>
      <c r="AZ764" s="42">
        <f t="shared" si="1274"/>
        <v>215</v>
      </c>
      <c r="BA764" s="94">
        <f t="shared" si="1274"/>
        <v>44</v>
      </c>
      <c r="BB764" s="95">
        <f t="shared" si="1274"/>
        <v>826</v>
      </c>
      <c r="BC764" s="104">
        <f t="shared" si="1274"/>
        <v>5983</v>
      </c>
    </row>
    <row r="765" spans="1:56" x14ac:dyDescent="0.15">
      <c r="A765" s="233" t="s">
        <v>7</v>
      </c>
      <c r="B765" s="249"/>
      <c r="C765" s="250"/>
      <c r="D765" s="251"/>
      <c r="E765" s="251"/>
      <c r="F765" s="237">
        <f t="shared" ref="F765:F798" si="1275">SUM(B765:E765)</f>
        <v>0</v>
      </c>
      <c r="G765" s="252"/>
      <c r="H765" s="250"/>
      <c r="I765" s="251"/>
      <c r="J765" s="251">
        <v>5</v>
      </c>
      <c r="K765" s="237">
        <f t="shared" ref="K765:K798" si="1276">SUM(G765:J765)</f>
        <v>5</v>
      </c>
      <c r="L765" s="252"/>
      <c r="M765" s="250"/>
      <c r="N765" s="251"/>
      <c r="O765" s="251"/>
      <c r="P765" s="237">
        <f t="shared" ref="P765:P798" si="1277">SUM(L765:O765)</f>
        <v>0</v>
      </c>
      <c r="Q765" s="252"/>
      <c r="R765" s="250"/>
      <c r="S765" s="251"/>
      <c r="T765" s="251"/>
      <c r="U765" s="237">
        <f t="shared" ref="U765:U798" si="1278">SUM(Q765:T765)</f>
        <v>0</v>
      </c>
      <c r="V765" s="252"/>
      <c r="W765" s="250"/>
      <c r="X765" s="251"/>
      <c r="Y765" s="251"/>
      <c r="Z765" s="237">
        <f t="shared" ref="Z765:Z798" si="1279">SUM(V765:Y765)</f>
        <v>0</v>
      </c>
      <c r="AA765" s="239">
        <f t="shared" ref="AA765:AA798" si="1280">Z765+U765+P765+K765+F765</f>
        <v>5</v>
      </c>
      <c r="AB765" s="240">
        <v>46175</v>
      </c>
      <c r="AC765" s="117" t="s">
        <v>313</v>
      </c>
      <c r="AD765" s="90"/>
      <c r="AE765" s="11"/>
      <c r="AF765" s="12"/>
      <c r="AG765" s="12"/>
      <c r="AH765" s="84">
        <f t="shared" ref="AH765:AH798" si="1281">SUM(AD765:AG765)</f>
        <v>0</v>
      </c>
      <c r="AI765" s="90"/>
      <c r="AJ765" s="11"/>
      <c r="AK765" s="12"/>
      <c r="AL765" s="12"/>
      <c r="AM765" s="84">
        <f t="shared" ref="AM765:AM798" si="1282">SUM(AI765:AL765)</f>
        <v>0</v>
      </c>
      <c r="AN765" s="90"/>
      <c r="AO765" s="11"/>
      <c r="AP765" s="12"/>
      <c r="AQ765" s="12"/>
      <c r="AR765" s="84">
        <f t="shared" ref="AR765:AR798" si="1283">SUM(AN765:AQ765)</f>
        <v>0</v>
      </c>
      <c r="AS765" s="90"/>
      <c r="AT765" s="11"/>
      <c r="AU765" s="12"/>
      <c r="AV765" s="12"/>
      <c r="AW765" s="84">
        <f t="shared" ref="AW765:AW798" si="1284">SUM(AS765:AV765)</f>
        <v>0</v>
      </c>
      <c r="AX765" s="90"/>
      <c r="AY765" s="11"/>
      <c r="AZ765" s="12"/>
      <c r="BA765" s="12"/>
      <c r="BB765" s="84">
        <f t="shared" ref="BB765:BB798" si="1285">SUM(AX765:BA765)</f>
        <v>0</v>
      </c>
      <c r="BC765" s="105">
        <f t="shared" ref="BC765:BC798" si="1286">BB765+AW765+AR765+AM765+AH765</f>
        <v>0</v>
      </c>
    </row>
    <row r="766" spans="1:56" x14ac:dyDescent="0.15">
      <c r="A766" s="9" t="s">
        <v>8</v>
      </c>
      <c r="B766" s="10"/>
      <c r="C766" s="11"/>
      <c r="D766" s="12">
        <v>5</v>
      </c>
      <c r="E766" s="12">
        <v>5</v>
      </c>
      <c r="F766" s="85">
        <f t="shared" si="1275"/>
        <v>10</v>
      </c>
      <c r="G766" s="90"/>
      <c r="H766" s="11"/>
      <c r="I766" s="12"/>
      <c r="J766" s="12"/>
      <c r="K766" s="85">
        <f t="shared" si="1276"/>
        <v>0</v>
      </c>
      <c r="L766" s="90"/>
      <c r="M766" s="11"/>
      <c r="N766" s="12">
        <v>5</v>
      </c>
      <c r="O766" s="12"/>
      <c r="P766" s="85">
        <f t="shared" si="1277"/>
        <v>5</v>
      </c>
      <c r="Q766" s="90"/>
      <c r="R766" s="11">
        <v>5</v>
      </c>
      <c r="S766" s="12">
        <v>5</v>
      </c>
      <c r="T766" s="12">
        <v>5</v>
      </c>
      <c r="U766" s="85">
        <f t="shared" si="1278"/>
        <v>15</v>
      </c>
      <c r="V766" s="90"/>
      <c r="W766" s="11">
        <v>5</v>
      </c>
      <c r="X766" s="12"/>
      <c r="Y766" s="12"/>
      <c r="Z766" s="85">
        <f t="shared" si="1279"/>
        <v>5</v>
      </c>
      <c r="AA766" s="105">
        <f t="shared" si="1280"/>
        <v>35</v>
      </c>
      <c r="AB766" s="114">
        <v>46176</v>
      </c>
      <c r="AC766" s="117" t="s">
        <v>355</v>
      </c>
      <c r="AD766" s="90"/>
      <c r="AE766" s="11"/>
      <c r="AF766" s="12"/>
      <c r="AG766" s="12"/>
      <c r="AH766" s="84">
        <f t="shared" si="1281"/>
        <v>0</v>
      </c>
      <c r="AI766" s="90"/>
      <c r="AJ766" s="11"/>
      <c r="AK766" s="12"/>
      <c r="AL766" s="12"/>
      <c r="AM766" s="84">
        <f t="shared" si="1282"/>
        <v>0</v>
      </c>
      <c r="AN766" s="90"/>
      <c r="AO766" s="11"/>
      <c r="AP766" s="12"/>
      <c r="AQ766" s="12"/>
      <c r="AR766" s="84">
        <f t="shared" si="1283"/>
        <v>0</v>
      </c>
      <c r="AS766" s="90"/>
      <c r="AT766" s="11"/>
      <c r="AU766" s="12"/>
      <c r="AV766" s="12"/>
      <c r="AW766" s="84">
        <f t="shared" si="1284"/>
        <v>0</v>
      </c>
      <c r="AX766" s="90"/>
      <c r="AY766" s="11"/>
      <c r="AZ766" s="12"/>
      <c r="BA766" s="12"/>
      <c r="BB766" s="84">
        <f t="shared" si="1285"/>
        <v>0</v>
      </c>
      <c r="BC766" s="105">
        <f t="shared" si="1286"/>
        <v>0</v>
      </c>
    </row>
    <row r="767" spans="1:56" x14ac:dyDescent="0.15">
      <c r="A767" s="233" t="s">
        <v>171</v>
      </c>
      <c r="B767" s="234">
        <v>1</v>
      </c>
      <c r="C767" s="235"/>
      <c r="D767" s="236"/>
      <c r="E767" s="236"/>
      <c r="F767" s="237">
        <f t="shared" si="1275"/>
        <v>1</v>
      </c>
      <c r="G767" s="238">
        <v>1</v>
      </c>
      <c r="H767" s="235"/>
      <c r="I767" s="236"/>
      <c r="J767" s="236"/>
      <c r="K767" s="237">
        <f t="shared" si="1276"/>
        <v>1</v>
      </c>
      <c r="L767" s="238"/>
      <c r="M767" s="235"/>
      <c r="N767" s="236"/>
      <c r="O767" s="236"/>
      <c r="P767" s="237">
        <f t="shared" si="1277"/>
        <v>0</v>
      </c>
      <c r="Q767" s="238"/>
      <c r="R767" s="235"/>
      <c r="S767" s="236"/>
      <c r="T767" s="236"/>
      <c r="U767" s="237">
        <f t="shared" si="1278"/>
        <v>0</v>
      </c>
      <c r="V767" s="238">
        <v>1</v>
      </c>
      <c r="W767" s="235"/>
      <c r="X767" s="236"/>
      <c r="Y767" s="236"/>
      <c r="Z767" s="237">
        <f t="shared" si="1279"/>
        <v>1</v>
      </c>
      <c r="AA767" s="239">
        <f t="shared" si="1280"/>
        <v>3</v>
      </c>
      <c r="AB767" s="240">
        <v>46178</v>
      </c>
      <c r="AC767" s="117" t="s">
        <v>354</v>
      </c>
      <c r="AD767" s="90"/>
      <c r="AE767" s="11"/>
      <c r="AF767" s="12"/>
      <c r="AG767" s="12"/>
      <c r="AH767" s="84">
        <f t="shared" si="1281"/>
        <v>0</v>
      </c>
      <c r="AI767" s="90"/>
      <c r="AJ767" s="11"/>
      <c r="AK767" s="12"/>
      <c r="AL767" s="12"/>
      <c r="AM767" s="84">
        <f t="shared" si="1282"/>
        <v>0</v>
      </c>
      <c r="AN767" s="90"/>
      <c r="AO767" s="11"/>
      <c r="AP767" s="12"/>
      <c r="AQ767" s="12"/>
      <c r="AR767" s="84">
        <f t="shared" si="1283"/>
        <v>0</v>
      </c>
      <c r="AS767" s="90"/>
      <c r="AT767" s="11"/>
      <c r="AU767" s="12"/>
      <c r="AV767" s="12"/>
      <c r="AW767" s="84">
        <f t="shared" si="1284"/>
        <v>0</v>
      </c>
      <c r="AX767" s="90"/>
      <c r="AY767" s="11"/>
      <c r="AZ767" s="12"/>
      <c r="BA767" s="12"/>
      <c r="BB767" s="84">
        <f t="shared" si="1285"/>
        <v>0</v>
      </c>
      <c r="BC767" s="105">
        <f t="shared" si="1286"/>
        <v>0</v>
      </c>
    </row>
    <row r="768" spans="1:56" x14ac:dyDescent="0.15">
      <c r="A768" s="233" t="s">
        <v>10</v>
      </c>
      <c r="B768" s="234"/>
      <c r="C768" s="235">
        <v>3</v>
      </c>
      <c r="D768" s="236"/>
      <c r="E768" s="236"/>
      <c r="F768" s="237">
        <f t="shared" si="1275"/>
        <v>3</v>
      </c>
      <c r="G768" s="238"/>
      <c r="H768" s="235"/>
      <c r="I768" s="236"/>
      <c r="J768" s="236"/>
      <c r="K768" s="237">
        <f t="shared" si="1276"/>
        <v>0</v>
      </c>
      <c r="L768" s="238"/>
      <c r="M768" s="235">
        <v>3</v>
      </c>
      <c r="N768" s="236"/>
      <c r="O768" s="236"/>
      <c r="P768" s="237">
        <f t="shared" si="1277"/>
        <v>3</v>
      </c>
      <c r="Q768" s="238"/>
      <c r="R768" s="235"/>
      <c r="S768" s="236"/>
      <c r="T768" s="236"/>
      <c r="U768" s="237">
        <f t="shared" si="1278"/>
        <v>0</v>
      </c>
      <c r="V768" s="238"/>
      <c r="W768" s="235">
        <v>5</v>
      </c>
      <c r="X768" s="236"/>
      <c r="Y768" s="236"/>
      <c r="Z768" s="237">
        <f t="shared" si="1279"/>
        <v>5</v>
      </c>
      <c r="AA768" s="239">
        <f t="shared" si="1280"/>
        <v>11</v>
      </c>
      <c r="AB768" s="240">
        <v>46183</v>
      </c>
      <c r="AC768" s="117" t="s">
        <v>10</v>
      </c>
      <c r="AD768" s="90"/>
      <c r="AE768" s="11"/>
      <c r="AF768" s="12"/>
      <c r="AG768" s="12"/>
      <c r="AH768" s="84">
        <f t="shared" si="1281"/>
        <v>0</v>
      </c>
      <c r="AI768" s="90"/>
      <c r="AJ768" s="11"/>
      <c r="AK768" s="12"/>
      <c r="AL768" s="12"/>
      <c r="AM768" s="84">
        <f t="shared" si="1282"/>
        <v>0</v>
      </c>
      <c r="AN768" s="90"/>
      <c r="AO768" s="11"/>
      <c r="AP768" s="12"/>
      <c r="AQ768" s="12"/>
      <c r="AR768" s="84">
        <f t="shared" si="1283"/>
        <v>0</v>
      </c>
      <c r="AS768" s="90"/>
      <c r="AT768" s="11"/>
      <c r="AU768" s="12"/>
      <c r="AV768" s="12"/>
      <c r="AW768" s="84">
        <f t="shared" si="1284"/>
        <v>0</v>
      </c>
      <c r="AX768" s="90"/>
      <c r="AY768" s="11"/>
      <c r="AZ768" s="12"/>
      <c r="BA768" s="12"/>
      <c r="BB768" s="84">
        <f t="shared" si="1285"/>
        <v>0</v>
      </c>
      <c r="BC768" s="105">
        <f t="shared" si="1286"/>
        <v>0</v>
      </c>
    </row>
    <row r="769" spans="1:57" ht="14.25" thickBot="1" x14ac:dyDescent="0.2">
      <c r="A769" s="233" t="s">
        <v>11</v>
      </c>
      <c r="B769" s="234"/>
      <c r="C769" s="235"/>
      <c r="D769" s="236"/>
      <c r="E769" s="236"/>
      <c r="F769" s="254">
        <f t="shared" si="1275"/>
        <v>0</v>
      </c>
      <c r="G769" s="238"/>
      <c r="H769" s="235"/>
      <c r="I769" s="236"/>
      <c r="J769" s="236"/>
      <c r="K769" s="254">
        <f t="shared" si="1276"/>
        <v>0</v>
      </c>
      <c r="L769" s="238"/>
      <c r="M769" s="235"/>
      <c r="N769" s="236"/>
      <c r="O769" s="236"/>
      <c r="P769" s="254">
        <f t="shared" si="1277"/>
        <v>0</v>
      </c>
      <c r="Q769" s="238"/>
      <c r="R769" s="235"/>
      <c r="S769" s="236"/>
      <c r="T769" s="236"/>
      <c r="U769" s="254">
        <f t="shared" si="1278"/>
        <v>0</v>
      </c>
      <c r="V769" s="238"/>
      <c r="W769" s="235"/>
      <c r="X769" s="236"/>
      <c r="Y769" s="236"/>
      <c r="Z769" s="254">
        <f t="shared" si="1279"/>
        <v>0</v>
      </c>
      <c r="AA769" s="255">
        <f t="shared" si="1280"/>
        <v>0</v>
      </c>
      <c r="AB769" s="240"/>
      <c r="AC769" s="132" t="s">
        <v>11</v>
      </c>
      <c r="AD769" s="91"/>
      <c r="AE769" s="16"/>
      <c r="AF769" s="17"/>
      <c r="AG769" s="17"/>
      <c r="AH769" s="92">
        <f t="shared" si="1281"/>
        <v>0</v>
      </c>
      <c r="AI769" s="91"/>
      <c r="AJ769" s="16"/>
      <c r="AK769" s="17"/>
      <c r="AL769" s="17"/>
      <c r="AM769" s="92">
        <f t="shared" si="1282"/>
        <v>0</v>
      </c>
      <c r="AN769" s="91"/>
      <c r="AO769" s="16"/>
      <c r="AP769" s="17"/>
      <c r="AQ769" s="17"/>
      <c r="AR769" s="92">
        <f t="shared" si="1283"/>
        <v>0</v>
      </c>
      <c r="AS769" s="91"/>
      <c r="AT769" s="16"/>
      <c r="AU769" s="17"/>
      <c r="AV769" s="17"/>
      <c r="AW769" s="92">
        <f t="shared" si="1284"/>
        <v>0</v>
      </c>
      <c r="AX769" s="91"/>
      <c r="AY769" s="16"/>
      <c r="AZ769" s="17"/>
      <c r="BA769" s="17"/>
      <c r="BB769" s="92">
        <f t="shared" si="1285"/>
        <v>0</v>
      </c>
      <c r="BC769" s="110">
        <f t="shared" si="1286"/>
        <v>0</v>
      </c>
    </row>
    <row r="770" spans="1:57" ht="14.25" thickBot="1" x14ac:dyDescent="0.2">
      <c r="A770" s="21" t="s">
        <v>16</v>
      </c>
      <c r="B770" s="7">
        <f>SUM(B764:B769)</f>
        <v>6</v>
      </c>
      <c r="C770" s="8">
        <f t="shared" ref="C770:E770" si="1287">SUM(C764:C769)</f>
        <v>9</v>
      </c>
      <c r="D770" s="22">
        <f t="shared" si="1287"/>
        <v>8</v>
      </c>
      <c r="E770" s="22">
        <f t="shared" si="1287"/>
        <v>8</v>
      </c>
      <c r="F770" s="87">
        <f t="shared" si="1275"/>
        <v>31</v>
      </c>
      <c r="G770" s="7">
        <f>SUM(G764:G769)</f>
        <v>7</v>
      </c>
      <c r="H770" s="8">
        <f t="shared" ref="H770:J770" si="1288">SUM(H764:H769)</f>
        <v>7</v>
      </c>
      <c r="I770" s="22">
        <f t="shared" si="1288"/>
        <v>6</v>
      </c>
      <c r="J770" s="22">
        <f t="shared" si="1288"/>
        <v>6</v>
      </c>
      <c r="K770" s="87">
        <f t="shared" si="1276"/>
        <v>26</v>
      </c>
      <c r="L770" s="7">
        <f>SUM(L764:L769)</f>
        <v>9</v>
      </c>
      <c r="M770" s="8">
        <f t="shared" ref="M770:O770" si="1289">SUM(M764:M769)</f>
        <v>8</v>
      </c>
      <c r="N770" s="22">
        <f t="shared" si="1289"/>
        <v>10</v>
      </c>
      <c r="O770" s="22">
        <f t="shared" si="1289"/>
        <v>6</v>
      </c>
      <c r="P770" s="87">
        <f t="shared" si="1277"/>
        <v>33</v>
      </c>
      <c r="Q770" s="7">
        <f>SUM(Q764:Q769)</f>
        <v>5</v>
      </c>
      <c r="R770" s="8">
        <f t="shared" ref="R770:T770" si="1290">SUM(R764:R769)</f>
        <v>9</v>
      </c>
      <c r="S770" s="22">
        <f t="shared" si="1290"/>
        <v>11</v>
      </c>
      <c r="T770" s="22">
        <f t="shared" si="1290"/>
        <v>8</v>
      </c>
      <c r="U770" s="87">
        <f t="shared" si="1278"/>
        <v>33</v>
      </c>
      <c r="V770" s="7">
        <f>SUM(V764:V769)</f>
        <v>6</v>
      </c>
      <c r="W770" s="8">
        <f t="shared" ref="W770:Y770" si="1291">SUM(W764:W769)</f>
        <v>14</v>
      </c>
      <c r="X770" s="22">
        <f t="shared" si="1291"/>
        <v>8</v>
      </c>
      <c r="Y770" s="22">
        <f t="shared" si="1291"/>
        <v>6</v>
      </c>
      <c r="Z770" s="87">
        <f t="shared" si="1279"/>
        <v>34</v>
      </c>
      <c r="AA770" s="107">
        <f t="shared" si="1280"/>
        <v>157</v>
      </c>
      <c r="AC770" s="21" t="s">
        <v>16</v>
      </c>
      <c r="AD770" s="7">
        <f>SUM(AD764:AD769)</f>
        <v>535</v>
      </c>
      <c r="AE770" s="8">
        <f t="shared" ref="AE770:AG770" si="1292">SUM(AE764:AE769)</f>
        <v>475</v>
      </c>
      <c r="AF770" s="22">
        <f t="shared" si="1292"/>
        <v>110</v>
      </c>
      <c r="AG770" s="22">
        <f t="shared" si="1292"/>
        <v>379</v>
      </c>
      <c r="AH770" s="87">
        <f t="shared" si="1281"/>
        <v>1499</v>
      </c>
      <c r="AI770" s="7">
        <f>SUM(AI764:AI769)</f>
        <v>488</v>
      </c>
      <c r="AJ770" s="8">
        <f t="shared" ref="AJ770:AL770" si="1293">SUM(AJ764:AJ769)</f>
        <v>384</v>
      </c>
      <c r="AK770" s="22">
        <f t="shared" si="1293"/>
        <v>135</v>
      </c>
      <c r="AL770" s="22">
        <f t="shared" si="1293"/>
        <v>388</v>
      </c>
      <c r="AM770" s="87">
        <f t="shared" si="1282"/>
        <v>1395</v>
      </c>
      <c r="AN770" s="7">
        <f>SUM(AN764:AN769)</f>
        <v>255</v>
      </c>
      <c r="AO770" s="8">
        <f t="shared" ref="AO770:AQ770" si="1294">SUM(AO764:AO769)</f>
        <v>228</v>
      </c>
      <c r="AP770" s="22">
        <f t="shared" si="1294"/>
        <v>147</v>
      </c>
      <c r="AQ770" s="22">
        <f t="shared" si="1294"/>
        <v>327</v>
      </c>
      <c r="AR770" s="87">
        <f t="shared" si="1283"/>
        <v>957</v>
      </c>
      <c r="AS770" s="7">
        <f>SUM(AS764:AS769)</f>
        <v>408</v>
      </c>
      <c r="AT770" s="8">
        <f t="shared" ref="AT770:AV770" si="1295">SUM(AT764:AT769)</f>
        <v>327</v>
      </c>
      <c r="AU770" s="22">
        <f t="shared" si="1295"/>
        <v>104</v>
      </c>
      <c r="AV770" s="22">
        <f t="shared" si="1295"/>
        <v>467</v>
      </c>
      <c r="AW770" s="87">
        <f t="shared" si="1284"/>
        <v>1306</v>
      </c>
      <c r="AX770" s="7">
        <f>SUM(AX764:AX769)</f>
        <v>264</v>
      </c>
      <c r="AY770" s="8">
        <f t="shared" ref="AY770:BA770" si="1296">SUM(AY764:AY769)</f>
        <v>303</v>
      </c>
      <c r="AZ770" s="22">
        <f t="shared" si="1296"/>
        <v>215</v>
      </c>
      <c r="BA770" s="22">
        <f t="shared" si="1296"/>
        <v>44</v>
      </c>
      <c r="BB770" s="87">
        <f t="shared" si="1285"/>
        <v>826</v>
      </c>
      <c r="BC770" s="107">
        <f t="shared" si="1286"/>
        <v>5983</v>
      </c>
    </row>
    <row r="771" spans="1:57" x14ac:dyDescent="0.15">
      <c r="A771" s="23" t="s">
        <v>667</v>
      </c>
      <c r="B771" s="18"/>
      <c r="C771" s="19"/>
      <c r="D771" s="20"/>
      <c r="E771" s="20"/>
      <c r="F771" s="85">
        <f t="shared" ref="F771:F791" si="1297">SUM(B771:E771)</f>
        <v>0</v>
      </c>
      <c r="G771" s="18"/>
      <c r="H771" s="19"/>
      <c r="I771" s="20"/>
      <c r="J771" s="20"/>
      <c r="K771" s="85">
        <f t="shared" ref="K771:K791" si="1298">SUM(G771:J771)</f>
        <v>0</v>
      </c>
      <c r="L771" s="18"/>
      <c r="M771" s="19"/>
      <c r="N771" s="20">
        <v>5</v>
      </c>
      <c r="O771" s="20"/>
      <c r="P771" s="85">
        <f t="shared" ref="P771:P791" si="1299">SUM(L771:O771)</f>
        <v>5</v>
      </c>
      <c r="Q771" s="18"/>
      <c r="R771" s="19">
        <v>1</v>
      </c>
      <c r="S771" s="20">
        <v>6</v>
      </c>
      <c r="T771" s="20"/>
      <c r="U771" s="85">
        <f t="shared" ref="U771:U791" si="1300">SUM(Q771:T771)</f>
        <v>7</v>
      </c>
      <c r="V771" s="18"/>
      <c r="W771" s="19">
        <v>1</v>
      </c>
      <c r="X771" s="20">
        <v>2</v>
      </c>
      <c r="Y771" s="20"/>
      <c r="Z771" s="85">
        <f t="shared" ref="Z771:Z791" si="1301">SUM(V771:Y771)</f>
        <v>3</v>
      </c>
      <c r="AA771" s="105">
        <f t="shared" ref="AA771:AA791" si="1302">Z771+U771+P771+K771+F771</f>
        <v>15</v>
      </c>
      <c r="AB771" s="114">
        <v>46178</v>
      </c>
      <c r="AC771" s="23" t="s">
        <v>668</v>
      </c>
      <c r="AD771" s="15"/>
      <c r="AE771" s="16"/>
      <c r="AF771" s="17">
        <v>5</v>
      </c>
      <c r="AG771" s="17">
        <v>5</v>
      </c>
      <c r="AH771" s="85">
        <f t="shared" ref="AH771:AH790" si="1303">SUM(AD771:AG771)</f>
        <v>10</v>
      </c>
      <c r="AI771" s="15"/>
      <c r="AJ771" s="16"/>
      <c r="AK771" s="17"/>
      <c r="AL771" s="17"/>
      <c r="AM771" s="85">
        <f t="shared" ref="AM771:AM790" si="1304">SUM(AI771:AL771)</f>
        <v>0</v>
      </c>
      <c r="AN771" s="15"/>
      <c r="AO771" s="16"/>
      <c r="AP771" s="17">
        <v>5</v>
      </c>
      <c r="AQ771" s="17"/>
      <c r="AR771" s="85">
        <f t="shared" ref="AR771:AR790" si="1305">SUM(AN771:AQ771)</f>
        <v>5</v>
      </c>
      <c r="AS771" s="15"/>
      <c r="AT771" s="16">
        <v>5</v>
      </c>
      <c r="AU771" s="17">
        <v>5</v>
      </c>
      <c r="AV771" s="17">
        <v>5</v>
      </c>
      <c r="AW771" s="85">
        <f t="shared" ref="AW771:AW790" si="1306">SUM(AS771:AV771)</f>
        <v>15</v>
      </c>
      <c r="AX771" s="15"/>
      <c r="AY771" s="16">
        <v>5</v>
      </c>
      <c r="AZ771" s="17"/>
      <c r="BA771" s="17"/>
      <c r="BB771" s="85">
        <f t="shared" ref="BB771:BB790" si="1307">SUM(AX771:BA771)</f>
        <v>5</v>
      </c>
      <c r="BC771" s="105">
        <f t="shared" ref="BC771:BC790" si="1308">BB771+AW771+AR771+AM771+AH771</f>
        <v>35</v>
      </c>
      <c r="BD771" s="114">
        <v>46176</v>
      </c>
    </row>
    <row r="772" spans="1:57" x14ac:dyDescent="0.15">
      <c r="A772" s="23" t="s">
        <v>43</v>
      </c>
      <c r="B772" s="18"/>
      <c r="C772" s="19">
        <v>3</v>
      </c>
      <c r="D772" s="20"/>
      <c r="E772" s="20"/>
      <c r="F772" s="85">
        <f t="shared" si="1297"/>
        <v>3</v>
      </c>
      <c r="G772" s="18"/>
      <c r="H772" s="19">
        <v>2</v>
      </c>
      <c r="I772" s="20"/>
      <c r="J772" s="20"/>
      <c r="K772" s="85">
        <f t="shared" si="1298"/>
        <v>2</v>
      </c>
      <c r="L772" s="18"/>
      <c r="M772" s="19">
        <v>2</v>
      </c>
      <c r="N772" s="20"/>
      <c r="O772" s="20"/>
      <c r="P772" s="85">
        <f t="shared" si="1299"/>
        <v>2</v>
      </c>
      <c r="Q772" s="18"/>
      <c r="R772" s="19">
        <v>2</v>
      </c>
      <c r="S772" s="20"/>
      <c r="T772" s="20"/>
      <c r="U772" s="85">
        <f t="shared" si="1300"/>
        <v>2</v>
      </c>
      <c r="V772" s="18"/>
      <c r="W772" s="19">
        <v>2</v>
      </c>
      <c r="X772" s="20"/>
      <c r="Y772" s="20"/>
      <c r="Z772" s="85">
        <f t="shared" si="1301"/>
        <v>2</v>
      </c>
      <c r="AA772" s="105">
        <f t="shared" si="1302"/>
        <v>11</v>
      </c>
      <c r="AB772" s="115">
        <v>46181</v>
      </c>
      <c r="AC772" s="23" t="s">
        <v>669</v>
      </c>
      <c r="AD772" s="15"/>
      <c r="AE772" s="16"/>
      <c r="AF772" s="17"/>
      <c r="AG772" s="17">
        <v>2</v>
      </c>
      <c r="AH772" s="85">
        <f t="shared" si="1303"/>
        <v>2</v>
      </c>
      <c r="AI772" s="15"/>
      <c r="AJ772" s="16"/>
      <c r="AK772" s="17"/>
      <c r="AL772" s="17">
        <v>2</v>
      </c>
      <c r="AM772" s="85">
        <f t="shared" si="1304"/>
        <v>2</v>
      </c>
      <c r="AN772" s="15"/>
      <c r="AO772" s="16"/>
      <c r="AP772" s="17"/>
      <c r="AQ772" s="17"/>
      <c r="AR772" s="85">
        <f t="shared" si="1305"/>
        <v>0</v>
      </c>
      <c r="AS772" s="15"/>
      <c r="AT772" s="16"/>
      <c r="AU772" s="17"/>
      <c r="AV772" s="17"/>
      <c r="AW772" s="85">
        <f t="shared" si="1306"/>
        <v>0</v>
      </c>
      <c r="AX772" s="15"/>
      <c r="AY772" s="16"/>
      <c r="AZ772" s="17"/>
      <c r="BA772" s="17">
        <v>2</v>
      </c>
      <c r="BB772" s="85">
        <f t="shared" si="1307"/>
        <v>2</v>
      </c>
      <c r="BC772" s="105">
        <f t="shared" si="1308"/>
        <v>6</v>
      </c>
      <c r="BD772" s="114">
        <v>46178</v>
      </c>
      <c r="BE772" s="76"/>
    </row>
    <row r="773" spans="1:57" x14ac:dyDescent="0.15">
      <c r="A773" s="23" t="s">
        <v>43</v>
      </c>
      <c r="B773" s="18"/>
      <c r="C773" s="19"/>
      <c r="D773" s="20"/>
      <c r="E773" s="20"/>
      <c r="F773" s="85">
        <f t="shared" si="1297"/>
        <v>0</v>
      </c>
      <c r="G773" s="18"/>
      <c r="H773" s="19"/>
      <c r="I773" s="20"/>
      <c r="J773" s="20"/>
      <c r="K773" s="85">
        <f t="shared" si="1298"/>
        <v>0</v>
      </c>
      <c r="L773" s="18"/>
      <c r="M773" s="19"/>
      <c r="N773" s="20"/>
      <c r="O773" s="20"/>
      <c r="P773" s="85">
        <f t="shared" si="1299"/>
        <v>0</v>
      </c>
      <c r="Q773" s="18"/>
      <c r="R773" s="19"/>
      <c r="S773" s="20"/>
      <c r="T773" s="20"/>
      <c r="U773" s="85">
        <f t="shared" si="1300"/>
        <v>0</v>
      </c>
      <c r="V773" s="18"/>
      <c r="W773" s="19">
        <v>4</v>
      </c>
      <c r="X773" s="20">
        <v>1</v>
      </c>
      <c r="Y773" s="20"/>
      <c r="Z773" s="85">
        <f t="shared" si="1301"/>
        <v>5</v>
      </c>
      <c r="AA773" s="105">
        <f t="shared" si="1302"/>
        <v>5</v>
      </c>
      <c r="AB773" s="115">
        <v>46182</v>
      </c>
      <c r="AC773" s="23" t="s">
        <v>670</v>
      </c>
      <c r="AD773" s="15"/>
      <c r="AE773" s="16"/>
      <c r="AF773" s="17">
        <v>2</v>
      </c>
      <c r="AG773" s="17"/>
      <c r="AH773" s="85">
        <f t="shared" si="1303"/>
        <v>2</v>
      </c>
      <c r="AI773" s="15"/>
      <c r="AJ773" s="16"/>
      <c r="AK773" s="17">
        <v>2</v>
      </c>
      <c r="AL773" s="17"/>
      <c r="AM773" s="85">
        <f t="shared" si="1304"/>
        <v>2</v>
      </c>
      <c r="AN773" s="15"/>
      <c r="AO773" s="16"/>
      <c r="AP773" s="17"/>
      <c r="AQ773" s="17"/>
      <c r="AR773" s="85">
        <f t="shared" si="1305"/>
        <v>0</v>
      </c>
      <c r="AS773" s="15"/>
      <c r="AT773" s="16"/>
      <c r="AU773" s="17"/>
      <c r="AV773" s="17"/>
      <c r="AW773" s="85">
        <f t="shared" si="1306"/>
        <v>0</v>
      </c>
      <c r="AX773" s="15"/>
      <c r="AY773" s="16"/>
      <c r="AZ773" s="17">
        <v>2</v>
      </c>
      <c r="BA773" s="17"/>
      <c r="BB773" s="85">
        <f t="shared" si="1307"/>
        <v>2</v>
      </c>
      <c r="BC773" s="105">
        <f t="shared" si="1308"/>
        <v>6</v>
      </c>
      <c r="BD773" s="114">
        <v>46181</v>
      </c>
    </row>
    <row r="774" spans="1:57" x14ac:dyDescent="0.15">
      <c r="A774" s="23" t="s">
        <v>43</v>
      </c>
      <c r="B774" s="18"/>
      <c r="C774" s="19"/>
      <c r="D774" s="20"/>
      <c r="E774" s="20">
        <v>1</v>
      </c>
      <c r="F774" s="85">
        <f t="shared" si="1297"/>
        <v>1</v>
      </c>
      <c r="G774" s="18"/>
      <c r="H774" s="19"/>
      <c r="I774" s="20"/>
      <c r="J774" s="20">
        <v>1</v>
      </c>
      <c r="K774" s="85">
        <f t="shared" si="1298"/>
        <v>1</v>
      </c>
      <c r="L774" s="18"/>
      <c r="M774" s="19"/>
      <c r="N774" s="20"/>
      <c r="O774" s="20"/>
      <c r="P774" s="85">
        <f t="shared" si="1299"/>
        <v>0</v>
      </c>
      <c r="Q774" s="18"/>
      <c r="R774" s="19"/>
      <c r="S774" s="20"/>
      <c r="T774" s="20"/>
      <c r="U774" s="85">
        <f t="shared" si="1300"/>
        <v>0</v>
      </c>
      <c r="V774" s="18"/>
      <c r="W774" s="19"/>
      <c r="X774" s="20"/>
      <c r="Y774" s="20">
        <v>1</v>
      </c>
      <c r="Z774" s="85">
        <f t="shared" si="1301"/>
        <v>1</v>
      </c>
      <c r="AA774" s="105">
        <f t="shared" si="1302"/>
        <v>3</v>
      </c>
      <c r="AB774" s="115">
        <v>46184</v>
      </c>
      <c r="AC774" s="23" t="s">
        <v>671</v>
      </c>
      <c r="AD774" s="15"/>
      <c r="AE774" s="16"/>
      <c r="AF774" s="17"/>
      <c r="AG774" s="17"/>
      <c r="AH774" s="85">
        <f t="shared" si="1303"/>
        <v>0</v>
      </c>
      <c r="AI774" s="15"/>
      <c r="AJ774" s="16"/>
      <c r="AK774" s="17"/>
      <c r="AL774" s="17"/>
      <c r="AM774" s="85">
        <f t="shared" si="1304"/>
        <v>0</v>
      </c>
      <c r="AN774" s="15">
        <v>1</v>
      </c>
      <c r="AO774" s="16"/>
      <c r="AP774" s="17"/>
      <c r="AQ774" s="17"/>
      <c r="AR774" s="85">
        <f t="shared" si="1305"/>
        <v>1</v>
      </c>
      <c r="AS774" s="15">
        <v>1</v>
      </c>
      <c r="AT774" s="16"/>
      <c r="AU774" s="17"/>
      <c r="AV774" s="17"/>
      <c r="AW774" s="85">
        <f t="shared" si="1306"/>
        <v>1</v>
      </c>
      <c r="AX774" s="15">
        <v>1</v>
      </c>
      <c r="AY774" s="16"/>
      <c r="AZ774" s="17"/>
      <c r="BA774" s="17"/>
      <c r="BB774" s="85">
        <f t="shared" si="1307"/>
        <v>1</v>
      </c>
      <c r="BC774" s="105">
        <f t="shared" si="1308"/>
        <v>3</v>
      </c>
      <c r="BD774" s="114">
        <v>46181</v>
      </c>
    </row>
    <row r="775" spans="1:57" x14ac:dyDescent="0.15">
      <c r="A775" s="298" t="s">
        <v>672</v>
      </c>
      <c r="B775" s="299"/>
      <c r="C775" s="300"/>
      <c r="D775" s="301"/>
      <c r="E775" s="301"/>
      <c r="F775" s="302">
        <f t="shared" si="1297"/>
        <v>0</v>
      </c>
      <c r="G775" s="299"/>
      <c r="H775" s="300">
        <v>2</v>
      </c>
      <c r="I775" s="301"/>
      <c r="J775" s="301">
        <v>1</v>
      </c>
      <c r="K775" s="302">
        <f t="shared" si="1298"/>
        <v>3</v>
      </c>
      <c r="L775" s="299"/>
      <c r="M775" s="300"/>
      <c r="N775" s="301"/>
      <c r="O775" s="301"/>
      <c r="P775" s="302">
        <f t="shared" si="1299"/>
        <v>0</v>
      </c>
      <c r="Q775" s="299"/>
      <c r="R775" s="300">
        <v>1</v>
      </c>
      <c r="S775" s="301"/>
      <c r="T775" s="301"/>
      <c r="U775" s="302">
        <f t="shared" si="1300"/>
        <v>1</v>
      </c>
      <c r="V775" s="299"/>
      <c r="W775" s="300">
        <v>1</v>
      </c>
      <c r="X775" s="301"/>
      <c r="Y775" s="301"/>
      <c r="Z775" s="302">
        <f t="shared" si="1301"/>
        <v>1</v>
      </c>
      <c r="AA775" s="303">
        <f t="shared" si="1302"/>
        <v>5</v>
      </c>
      <c r="AB775" s="114">
        <v>46192</v>
      </c>
      <c r="AC775" s="245" t="s">
        <v>574</v>
      </c>
      <c r="AD775" s="234"/>
      <c r="AE775" s="235">
        <v>3</v>
      </c>
      <c r="AF775" s="236"/>
      <c r="AG775" s="236"/>
      <c r="AH775" s="237">
        <f t="shared" si="1303"/>
        <v>3</v>
      </c>
      <c r="AI775" s="234"/>
      <c r="AJ775" s="235"/>
      <c r="AK775" s="236"/>
      <c r="AL775" s="236"/>
      <c r="AM775" s="237">
        <f t="shared" si="1304"/>
        <v>0</v>
      </c>
      <c r="AN775" s="234"/>
      <c r="AO775" s="235">
        <v>3</v>
      </c>
      <c r="AP775" s="236"/>
      <c r="AQ775" s="236"/>
      <c r="AR775" s="237">
        <f t="shared" si="1305"/>
        <v>3</v>
      </c>
      <c r="AS775" s="234"/>
      <c r="AT775" s="235"/>
      <c r="AU775" s="236"/>
      <c r="AV775" s="236"/>
      <c r="AW775" s="237">
        <f t="shared" si="1306"/>
        <v>0</v>
      </c>
      <c r="AX775" s="234"/>
      <c r="AY775" s="235">
        <v>5</v>
      </c>
      <c r="AZ775" s="236"/>
      <c r="BA775" s="236"/>
      <c r="BB775" s="237">
        <f t="shared" si="1307"/>
        <v>5</v>
      </c>
      <c r="BC775" s="239">
        <f t="shared" si="1308"/>
        <v>11</v>
      </c>
      <c r="BD775" s="240">
        <v>46183</v>
      </c>
    </row>
    <row r="776" spans="1:57" x14ac:dyDescent="0.15">
      <c r="A776" s="23"/>
      <c r="B776" s="18"/>
      <c r="C776" s="19"/>
      <c r="D776" s="20"/>
      <c r="E776" s="20"/>
      <c r="F776" s="85">
        <f t="shared" si="1297"/>
        <v>0</v>
      </c>
      <c r="G776" s="18"/>
      <c r="H776" s="19"/>
      <c r="I776" s="20"/>
      <c r="J776" s="20"/>
      <c r="K776" s="85">
        <f t="shared" si="1298"/>
        <v>0</v>
      </c>
      <c r="L776" s="18"/>
      <c r="M776" s="19"/>
      <c r="N776" s="20"/>
      <c r="O776" s="20"/>
      <c r="P776" s="85">
        <f t="shared" si="1299"/>
        <v>0</v>
      </c>
      <c r="Q776" s="18"/>
      <c r="R776" s="19"/>
      <c r="S776" s="20"/>
      <c r="T776" s="20"/>
      <c r="U776" s="85">
        <f t="shared" si="1300"/>
        <v>0</v>
      </c>
      <c r="V776" s="18"/>
      <c r="W776" s="19"/>
      <c r="X776" s="20"/>
      <c r="Y776" s="20"/>
      <c r="Z776" s="85">
        <f t="shared" si="1301"/>
        <v>0</v>
      </c>
      <c r="AA776" s="105">
        <f t="shared" si="1302"/>
        <v>0</v>
      </c>
      <c r="AB776" s="115"/>
      <c r="AC776" s="23"/>
      <c r="AD776" s="15"/>
      <c r="AE776" s="16"/>
      <c r="AF776" s="17"/>
      <c r="AG776" s="17"/>
      <c r="AH776" s="85">
        <f t="shared" si="1303"/>
        <v>0</v>
      </c>
      <c r="AI776" s="15"/>
      <c r="AJ776" s="16"/>
      <c r="AK776" s="17"/>
      <c r="AL776" s="17"/>
      <c r="AM776" s="85">
        <f t="shared" si="1304"/>
        <v>0</v>
      </c>
      <c r="AN776" s="15"/>
      <c r="AO776" s="16"/>
      <c r="AP776" s="17"/>
      <c r="AQ776" s="17"/>
      <c r="AR776" s="85">
        <f t="shared" si="1305"/>
        <v>0</v>
      </c>
      <c r="AS776" s="15"/>
      <c r="AT776" s="16"/>
      <c r="AU776" s="17"/>
      <c r="AV776" s="17"/>
      <c r="AW776" s="85">
        <f t="shared" si="1306"/>
        <v>0</v>
      </c>
      <c r="AX776" s="15"/>
      <c r="AY776" s="16"/>
      <c r="AZ776" s="17"/>
      <c r="BA776" s="17"/>
      <c r="BB776" s="85">
        <f t="shared" si="1307"/>
        <v>0</v>
      </c>
      <c r="BC776" s="105">
        <f t="shared" si="1308"/>
        <v>0</v>
      </c>
    </row>
    <row r="777" spans="1:57" x14ac:dyDescent="0.15">
      <c r="A777" s="23"/>
      <c r="B777" s="18"/>
      <c r="C777" s="19"/>
      <c r="D777" s="20"/>
      <c r="E777" s="20"/>
      <c r="F777" s="85">
        <f t="shared" si="1297"/>
        <v>0</v>
      </c>
      <c r="G777" s="18"/>
      <c r="H777" s="19"/>
      <c r="I777" s="20"/>
      <c r="J777" s="20"/>
      <c r="K777" s="85">
        <f t="shared" si="1298"/>
        <v>0</v>
      </c>
      <c r="L777" s="18"/>
      <c r="M777" s="19"/>
      <c r="N777" s="20"/>
      <c r="O777" s="20"/>
      <c r="P777" s="85">
        <f t="shared" si="1299"/>
        <v>0</v>
      </c>
      <c r="Q777" s="18"/>
      <c r="R777" s="19"/>
      <c r="S777" s="20"/>
      <c r="T777" s="20"/>
      <c r="U777" s="85">
        <f t="shared" si="1300"/>
        <v>0</v>
      </c>
      <c r="V777" s="18"/>
      <c r="W777" s="19"/>
      <c r="X777" s="20"/>
      <c r="Y777" s="20"/>
      <c r="Z777" s="85">
        <f t="shared" si="1301"/>
        <v>0</v>
      </c>
      <c r="AA777" s="105">
        <f t="shared" si="1302"/>
        <v>0</v>
      </c>
      <c r="AB777" s="114"/>
      <c r="AC777" s="23"/>
      <c r="AD777" s="15"/>
      <c r="AE777" s="16"/>
      <c r="AF777" s="17"/>
      <c r="AG777" s="17"/>
      <c r="AH777" s="85">
        <f t="shared" si="1303"/>
        <v>0</v>
      </c>
      <c r="AI777" s="15"/>
      <c r="AJ777" s="16"/>
      <c r="AK777" s="17"/>
      <c r="AL777" s="17"/>
      <c r="AM777" s="85">
        <f t="shared" si="1304"/>
        <v>0</v>
      </c>
      <c r="AN777" s="15"/>
      <c r="AO777" s="16"/>
      <c r="AP777" s="17"/>
      <c r="AQ777" s="17"/>
      <c r="AR777" s="85">
        <f t="shared" si="1305"/>
        <v>0</v>
      </c>
      <c r="AS777" s="15"/>
      <c r="AT777" s="16"/>
      <c r="AU777" s="17"/>
      <c r="AV777" s="17"/>
      <c r="AW777" s="85">
        <f t="shared" si="1306"/>
        <v>0</v>
      </c>
      <c r="AX777" s="15"/>
      <c r="AY777" s="16"/>
      <c r="AZ777" s="17"/>
      <c r="BA777" s="17"/>
      <c r="BB777" s="85">
        <f t="shared" si="1307"/>
        <v>0</v>
      </c>
      <c r="BC777" s="105">
        <f t="shared" si="1308"/>
        <v>0</v>
      </c>
    </row>
    <row r="778" spans="1:57" x14ac:dyDescent="0.15">
      <c r="A778" s="23"/>
      <c r="B778" s="18"/>
      <c r="C778" s="19"/>
      <c r="D778" s="20"/>
      <c r="E778" s="20"/>
      <c r="F778" s="85">
        <f t="shared" si="1297"/>
        <v>0</v>
      </c>
      <c r="G778" s="18"/>
      <c r="H778" s="19"/>
      <c r="I778" s="20"/>
      <c r="J778" s="20"/>
      <c r="K778" s="85">
        <f t="shared" si="1298"/>
        <v>0</v>
      </c>
      <c r="L778" s="18"/>
      <c r="M778" s="19"/>
      <c r="N778" s="20"/>
      <c r="O778" s="20"/>
      <c r="P778" s="85">
        <f t="shared" si="1299"/>
        <v>0</v>
      </c>
      <c r="Q778" s="18"/>
      <c r="R778" s="19"/>
      <c r="S778" s="20"/>
      <c r="T778" s="20"/>
      <c r="U778" s="85">
        <f t="shared" si="1300"/>
        <v>0</v>
      </c>
      <c r="V778" s="18"/>
      <c r="W778" s="19"/>
      <c r="X778" s="20"/>
      <c r="Y778" s="20"/>
      <c r="Z778" s="85">
        <f t="shared" si="1301"/>
        <v>0</v>
      </c>
      <c r="AA778" s="105">
        <f t="shared" si="1302"/>
        <v>0</v>
      </c>
      <c r="AB778" s="114"/>
      <c r="AC778" s="23"/>
      <c r="AD778" s="15"/>
      <c r="AE778" s="16"/>
      <c r="AF778" s="17"/>
      <c r="AG778" s="17"/>
      <c r="AH778" s="85">
        <f t="shared" si="1303"/>
        <v>0</v>
      </c>
      <c r="AI778" s="15"/>
      <c r="AJ778" s="16"/>
      <c r="AK778" s="17"/>
      <c r="AL778" s="17"/>
      <c r="AM778" s="85">
        <f t="shared" si="1304"/>
        <v>0</v>
      </c>
      <c r="AN778" s="15"/>
      <c r="AO778" s="16"/>
      <c r="AP778" s="17"/>
      <c r="AQ778" s="17"/>
      <c r="AR778" s="85">
        <f t="shared" si="1305"/>
        <v>0</v>
      </c>
      <c r="AS778" s="15"/>
      <c r="AT778" s="16"/>
      <c r="AU778" s="17"/>
      <c r="AV778" s="17"/>
      <c r="AW778" s="85">
        <f t="shared" si="1306"/>
        <v>0</v>
      </c>
      <c r="AX778" s="15"/>
      <c r="AY778" s="16"/>
      <c r="AZ778" s="17"/>
      <c r="BA778" s="17"/>
      <c r="BB778" s="85">
        <f t="shared" si="1307"/>
        <v>0</v>
      </c>
      <c r="BC778" s="105">
        <f t="shared" si="1308"/>
        <v>0</v>
      </c>
    </row>
    <row r="779" spans="1:57" x14ac:dyDescent="0.15">
      <c r="A779" s="23"/>
      <c r="B779" s="18"/>
      <c r="C779" s="19"/>
      <c r="D779" s="20"/>
      <c r="E779" s="20"/>
      <c r="F779" s="85">
        <f t="shared" si="1297"/>
        <v>0</v>
      </c>
      <c r="G779" s="18"/>
      <c r="H779" s="19"/>
      <c r="I779" s="20"/>
      <c r="J779" s="20"/>
      <c r="K779" s="85">
        <f t="shared" si="1298"/>
        <v>0</v>
      </c>
      <c r="L779" s="18"/>
      <c r="M779" s="19"/>
      <c r="N779" s="20"/>
      <c r="O779" s="20"/>
      <c r="P779" s="85">
        <f t="shared" si="1299"/>
        <v>0</v>
      </c>
      <c r="Q779" s="18"/>
      <c r="R779" s="19"/>
      <c r="S779" s="20"/>
      <c r="T779" s="20"/>
      <c r="U779" s="85">
        <f t="shared" si="1300"/>
        <v>0</v>
      </c>
      <c r="V779" s="18"/>
      <c r="W779" s="19"/>
      <c r="X779" s="20"/>
      <c r="Y779" s="20"/>
      <c r="Z779" s="85">
        <f t="shared" si="1301"/>
        <v>0</v>
      </c>
      <c r="AA779" s="105">
        <f t="shared" si="1302"/>
        <v>0</v>
      </c>
      <c r="AB779" s="115"/>
      <c r="AC779" s="23"/>
      <c r="AD779" s="15"/>
      <c r="AE779" s="16"/>
      <c r="AF779" s="17"/>
      <c r="AG779" s="17"/>
      <c r="AH779" s="85">
        <f t="shared" si="1303"/>
        <v>0</v>
      </c>
      <c r="AI779" s="15"/>
      <c r="AJ779" s="16"/>
      <c r="AK779" s="17"/>
      <c r="AL779" s="17"/>
      <c r="AM779" s="85">
        <f t="shared" si="1304"/>
        <v>0</v>
      </c>
      <c r="AN779" s="15"/>
      <c r="AO779" s="16"/>
      <c r="AP779" s="17"/>
      <c r="AQ779" s="17"/>
      <c r="AR779" s="85">
        <f t="shared" si="1305"/>
        <v>0</v>
      </c>
      <c r="AS779" s="15"/>
      <c r="AT779" s="16"/>
      <c r="AU779" s="17"/>
      <c r="AV779" s="17"/>
      <c r="AW779" s="85">
        <f t="shared" si="1306"/>
        <v>0</v>
      </c>
      <c r="AX779" s="15"/>
      <c r="AY779" s="16"/>
      <c r="AZ779" s="17"/>
      <c r="BA779" s="17"/>
      <c r="BB779" s="85">
        <f t="shared" si="1307"/>
        <v>0</v>
      </c>
      <c r="BC779" s="105">
        <f t="shared" si="1308"/>
        <v>0</v>
      </c>
    </row>
    <row r="780" spans="1:57" x14ac:dyDescent="0.15">
      <c r="A780" s="23"/>
      <c r="B780" s="18"/>
      <c r="C780" s="19"/>
      <c r="D780" s="20"/>
      <c r="E780" s="20"/>
      <c r="F780" s="85">
        <f t="shared" si="1297"/>
        <v>0</v>
      </c>
      <c r="G780" s="18"/>
      <c r="H780" s="19"/>
      <c r="I780" s="20"/>
      <c r="J780" s="20"/>
      <c r="K780" s="85">
        <f t="shared" si="1298"/>
        <v>0</v>
      </c>
      <c r="L780" s="18"/>
      <c r="M780" s="19"/>
      <c r="N780" s="20"/>
      <c r="O780" s="20"/>
      <c r="P780" s="85">
        <f t="shared" si="1299"/>
        <v>0</v>
      </c>
      <c r="Q780" s="18"/>
      <c r="R780" s="19"/>
      <c r="S780" s="20"/>
      <c r="T780" s="20"/>
      <c r="U780" s="85">
        <f t="shared" si="1300"/>
        <v>0</v>
      </c>
      <c r="V780" s="18"/>
      <c r="W780" s="19"/>
      <c r="X780" s="20"/>
      <c r="Y780" s="20"/>
      <c r="Z780" s="85">
        <f t="shared" si="1301"/>
        <v>0</v>
      </c>
      <c r="AA780" s="105">
        <f t="shared" si="1302"/>
        <v>0</v>
      </c>
      <c r="AB780" s="114"/>
      <c r="AC780" s="23"/>
      <c r="AD780" s="15"/>
      <c r="AE780" s="16"/>
      <c r="AF780" s="17"/>
      <c r="AG780" s="17"/>
      <c r="AH780" s="85">
        <f t="shared" si="1303"/>
        <v>0</v>
      </c>
      <c r="AI780" s="15"/>
      <c r="AJ780" s="16"/>
      <c r="AK780" s="17"/>
      <c r="AL780" s="17"/>
      <c r="AM780" s="85">
        <f t="shared" si="1304"/>
        <v>0</v>
      </c>
      <c r="AN780" s="15"/>
      <c r="AO780" s="16"/>
      <c r="AP780" s="17"/>
      <c r="AQ780" s="17"/>
      <c r="AR780" s="85">
        <f t="shared" si="1305"/>
        <v>0</v>
      </c>
      <c r="AS780" s="15"/>
      <c r="AT780" s="16"/>
      <c r="AU780" s="17"/>
      <c r="AV780" s="17"/>
      <c r="AW780" s="85">
        <f t="shared" si="1306"/>
        <v>0</v>
      </c>
      <c r="AX780" s="15"/>
      <c r="AY780" s="16"/>
      <c r="AZ780" s="17"/>
      <c r="BA780" s="17"/>
      <c r="BB780" s="85">
        <f t="shared" si="1307"/>
        <v>0</v>
      </c>
      <c r="BC780" s="105">
        <f t="shared" si="1308"/>
        <v>0</v>
      </c>
    </row>
    <row r="781" spans="1:57" x14ac:dyDescent="0.15">
      <c r="A781" s="23"/>
      <c r="B781" s="18"/>
      <c r="C781" s="19"/>
      <c r="D781" s="20"/>
      <c r="E781" s="20"/>
      <c r="F781" s="85">
        <f t="shared" si="1297"/>
        <v>0</v>
      </c>
      <c r="G781" s="18"/>
      <c r="H781" s="19"/>
      <c r="I781" s="20"/>
      <c r="J781" s="20"/>
      <c r="K781" s="85">
        <f t="shared" si="1298"/>
        <v>0</v>
      </c>
      <c r="L781" s="18"/>
      <c r="M781" s="19"/>
      <c r="N781" s="20"/>
      <c r="O781" s="20"/>
      <c r="P781" s="85">
        <f t="shared" si="1299"/>
        <v>0</v>
      </c>
      <c r="Q781" s="18"/>
      <c r="R781" s="19"/>
      <c r="S781" s="20"/>
      <c r="T781" s="20"/>
      <c r="U781" s="85">
        <f t="shared" si="1300"/>
        <v>0</v>
      </c>
      <c r="V781" s="18"/>
      <c r="W781" s="19"/>
      <c r="X781" s="20"/>
      <c r="Y781" s="20"/>
      <c r="Z781" s="85">
        <f t="shared" si="1301"/>
        <v>0</v>
      </c>
      <c r="AA781" s="105">
        <f t="shared" si="1302"/>
        <v>0</v>
      </c>
      <c r="AB781" s="114"/>
      <c r="AC781" s="23"/>
      <c r="AD781" s="15"/>
      <c r="AE781" s="16"/>
      <c r="AF781" s="17"/>
      <c r="AG781" s="17"/>
      <c r="AH781" s="85">
        <f t="shared" si="1303"/>
        <v>0</v>
      </c>
      <c r="AI781" s="15"/>
      <c r="AJ781" s="16"/>
      <c r="AK781" s="17"/>
      <c r="AL781" s="17"/>
      <c r="AM781" s="85">
        <f t="shared" si="1304"/>
        <v>0</v>
      </c>
      <c r="AN781" s="15"/>
      <c r="AO781" s="16"/>
      <c r="AP781" s="17"/>
      <c r="AQ781" s="17"/>
      <c r="AR781" s="85">
        <f t="shared" si="1305"/>
        <v>0</v>
      </c>
      <c r="AS781" s="15"/>
      <c r="AT781" s="16"/>
      <c r="AU781" s="17"/>
      <c r="AV781" s="17"/>
      <c r="AW781" s="85">
        <f t="shared" si="1306"/>
        <v>0</v>
      </c>
      <c r="AX781" s="15"/>
      <c r="AY781" s="16"/>
      <c r="AZ781" s="17"/>
      <c r="BA781" s="17"/>
      <c r="BB781" s="85">
        <f t="shared" si="1307"/>
        <v>0</v>
      </c>
      <c r="BC781" s="105">
        <f t="shared" si="1308"/>
        <v>0</v>
      </c>
    </row>
    <row r="782" spans="1:57" x14ac:dyDescent="0.15">
      <c r="A782" s="23"/>
      <c r="B782" s="18"/>
      <c r="C782" s="19"/>
      <c r="D782" s="20"/>
      <c r="E782" s="20"/>
      <c r="F782" s="85">
        <f t="shared" si="1297"/>
        <v>0</v>
      </c>
      <c r="G782" s="18"/>
      <c r="H782" s="19"/>
      <c r="I782" s="20"/>
      <c r="J782" s="20"/>
      <c r="K782" s="85">
        <f t="shared" si="1298"/>
        <v>0</v>
      </c>
      <c r="L782" s="18"/>
      <c r="M782" s="19"/>
      <c r="N782" s="20"/>
      <c r="O782" s="20"/>
      <c r="P782" s="85">
        <f t="shared" si="1299"/>
        <v>0</v>
      </c>
      <c r="Q782" s="18"/>
      <c r="R782" s="19"/>
      <c r="S782" s="20"/>
      <c r="T782" s="20"/>
      <c r="U782" s="85">
        <f t="shared" si="1300"/>
        <v>0</v>
      </c>
      <c r="V782" s="18"/>
      <c r="W782" s="19"/>
      <c r="X782" s="20"/>
      <c r="Y782" s="20"/>
      <c r="Z782" s="85">
        <f t="shared" si="1301"/>
        <v>0</v>
      </c>
      <c r="AA782" s="105">
        <f t="shared" si="1302"/>
        <v>0</v>
      </c>
      <c r="AB782" s="115"/>
      <c r="AC782" s="23"/>
      <c r="AD782" s="15"/>
      <c r="AE782" s="16"/>
      <c r="AF782" s="17"/>
      <c r="AG782" s="17"/>
      <c r="AH782" s="85">
        <f t="shared" si="1303"/>
        <v>0</v>
      </c>
      <c r="AI782" s="15"/>
      <c r="AJ782" s="16"/>
      <c r="AK782" s="17"/>
      <c r="AL782" s="17"/>
      <c r="AM782" s="85">
        <f t="shared" si="1304"/>
        <v>0</v>
      </c>
      <c r="AN782" s="15"/>
      <c r="AO782" s="16"/>
      <c r="AP782" s="17"/>
      <c r="AQ782" s="17"/>
      <c r="AR782" s="85">
        <f t="shared" si="1305"/>
        <v>0</v>
      </c>
      <c r="AS782" s="15"/>
      <c r="AT782" s="16"/>
      <c r="AU782" s="17"/>
      <c r="AV782" s="17"/>
      <c r="AW782" s="85">
        <f t="shared" si="1306"/>
        <v>0</v>
      </c>
      <c r="AX782" s="15"/>
      <c r="AY782" s="16"/>
      <c r="AZ782" s="17"/>
      <c r="BA782" s="17"/>
      <c r="BB782" s="85">
        <f t="shared" si="1307"/>
        <v>0</v>
      </c>
      <c r="BC782" s="105">
        <f t="shared" si="1308"/>
        <v>0</v>
      </c>
    </row>
    <row r="783" spans="1:57" x14ac:dyDescent="0.15">
      <c r="A783" s="23"/>
      <c r="B783" s="18"/>
      <c r="C783" s="19"/>
      <c r="D783" s="20"/>
      <c r="E783" s="20"/>
      <c r="F783" s="85">
        <f t="shared" si="1297"/>
        <v>0</v>
      </c>
      <c r="G783" s="18"/>
      <c r="H783" s="19"/>
      <c r="I783" s="20"/>
      <c r="J783" s="20"/>
      <c r="K783" s="85">
        <f t="shared" si="1298"/>
        <v>0</v>
      </c>
      <c r="L783" s="18"/>
      <c r="M783" s="19"/>
      <c r="N783" s="20"/>
      <c r="O783" s="20"/>
      <c r="P783" s="85">
        <f t="shared" si="1299"/>
        <v>0</v>
      </c>
      <c r="Q783" s="18"/>
      <c r="R783" s="19"/>
      <c r="S783" s="20"/>
      <c r="T783" s="20"/>
      <c r="U783" s="85">
        <f t="shared" si="1300"/>
        <v>0</v>
      </c>
      <c r="V783" s="18"/>
      <c r="W783" s="19"/>
      <c r="X783" s="20"/>
      <c r="Y783" s="20"/>
      <c r="Z783" s="85">
        <f t="shared" si="1301"/>
        <v>0</v>
      </c>
      <c r="AA783" s="105">
        <f t="shared" si="1302"/>
        <v>0</v>
      </c>
      <c r="AB783" s="115"/>
      <c r="AC783" s="23"/>
      <c r="AD783" s="15"/>
      <c r="AE783" s="16"/>
      <c r="AF783" s="17"/>
      <c r="AG783" s="17"/>
      <c r="AH783" s="85">
        <f t="shared" si="1303"/>
        <v>0</v>
      </c>
      <c r="AI783" s="15"/>
      <c r="AJ783" s="16"/>
      <c r="AK783" s="17"/>
      <c r="AL783" s="17"/>
      <c r="AM783" s="85">
        <f t="shared" si="1304"/>
        <v>0</v>
      </c>
      <c r="AN783" s="15"/>
      <c r="AO783" s="16"/>
      <c r="AP783" s="17"/>
      <c r="AQ783" s="17"/>
      <c r="AR783" s="85">
        <f t="shared" si="1305"/>
        <v>0</v>
      </c>
      <c r="AS783" s="15"/>
      <c r="AT783" s="16"/>
      <c r="AU783" s="17"/>
      <c r="AV783" s="17"/>
      <c r="AW783" s="85">
        <f t="shared" si="1306"/>
        <v>0</v>
      </c>
      <c r="AX783" s="15"/>
      <c r="AY783" s="16"/>
      <c r="AZ783" s="17"/>
      <c r="BA783" s="17"/>
      <c r="BB783" s="85">
        <f t="shared" si="1307"/>
        <v>0</v>
      </c>
      <c r="BC783" s="105">
        <f t="shared" si="1308"/>
        <v>0</v>
      </c>
    </row>
    <row r="784" spans="1:57" x14ac:dyDescent="0.15">
      <c r="A784" s="23"/>
      <c r="B784" s="18"/>
      <c r="C784" s="19"/>
      <c r="D784" s="20"/>
      <c r="E784" s="20"/>
      <c r="F784" s="85">
        <f t="shared" si="1297"/>
        <v>0</v>
      </c>
      <c r="G784" s="18"/>
      <c r="H784" s="19"/>
      <c r="I784" s="20"/>
      <c r="J784" s="20"/>
      <c r="K784" s="85">
        <f t="shared" si="1298"/>
        <v>0</v>
      </c>
      <c r="L784" s="18"/>
      <c r="M784" s="19"/>
      <c r="N784" s="20"/>
      <c r="O784" s="20"/>
      <c r="P784" s="85">
        <f t="shared" si="1299"/>
        <v>0</v>
      </c>
      <c r="Q784" s="18"/>
      <c r="R784" s="19"/>
      <c r="S784" s="20"/>
      <c r="T784" s="20"/>
      <c r="U784" s="85">
        <f t="shared" si="1300"/>
        <v>0</v>
      </c>
      <c r="V784" s="18"/>
      <c r="W784" s="19"/>
      <c r="X784" s="20"/>
      <c r="Y784" s="20"/>
      <c r="Z784" s="85">
        <f t="shared" si="1301"/>
        <v>0</v>
      </c>
      <c r="AA784" s="105">
        <f t="shared" si="1302"/>
        <v>0</v>
      </c>
      <c r="AB784" s="115"/>
      <c r="AC784" s="23"/>
      <c r="AD784" s="15"/>
      <c r="AE784" s="16"/>
      <c r="AF784" s="17"/>
      <c r="AG784" s="17"/>
      <c r="AH784" s="85">
        <f t="shared" si="1303"/>
        <v>0</v>
      </c>
      <c r="AI784" s="15"/>
      <c r="AJ784" s="16"/>
      <c r="AK784" s="17"/>
      <c r="AL784" s="17"/>
      <c r="AM784" s="85">
        <f t="shared" si="1304"/>
        <v>0</v>
      </c>
      <c r="AN784" s="15"/>
      <c r="AO784" s="16"/>
      <c r="AP784" s="17"/>
      <c r="AQ784" s="17"/>
      <c r="AR784" s="85">
        <f t="shared" si="1305"/>
        <v>0</v>
      </c>
      <c r="AS784" s="15"/>
      <c r="AT784" s="16"/>
      <c r="AU784" s="17"/>
      <c r="AV784" s="17"/>
      <c r="AW784" s="85">
        <f t="shared" si="1306"/>
        <v>0</v>
      </c>
      <c r="AX784" s="15"/>
      <c r="AY784" s="16"/>
      <c r="AZ784" s="17"/>
      <c r="BA784" s="17"/>
      <c r="BB784" s="85">
        <f t="shared" si="1307"/>
        <v>0</v>
      </c>
      <c r="BC784" s="105">
        <f t="shared" si="1308"/>
        <v>0</v>
      </c>
    </row>
    <row r="785" spans="1:55" x14ac:dyDescent="0.15">
      <c r="A785" s="23"/>
      <c r="B785" s="18"/>
      <c r="C785" s="19"/>
      <c r="D785" s="20"/>
      <c r="E785" s="20"/>
      <c r="F785" s="85">
        <f t="shared" si="1297"/>
        <v>0</v>
      </c>
      <c r="G785" s="18"/>
      <c r="H785" s="19"/>
      <c r="I785" s="20"/>
      <c r="J785" s="20"/>
      <c r="K785" s="85">
        <f t="shared" si="1298"/>
        <v>0</v>
      </c>
      <c r="L785" s="18"/>
      <c r="M785" s="19"/>
      <c r="N785" s="20"/>
      <c r="O785" s="20"/>
      <c r="P785" s="85">
        <f t="shared" si="1299"/>
        <v>0</v>
      </c>
      <c r="Q785" s="18"/>
      <c r="R785" s="19"/>
      <c r="S785" s="20"/>
      <c r="T785" s="20"/>
      <c r="U785" s="85">
        <f t="shared" si="1300"/>
        <v>0</v>
      </c>
      <c r="V785" s="18"/>
      <c r="W785" s="19"/>
      <c r="X785" s="20"/>
      <c r="Y785" s="20"/>
      <c r="Z785" s="85">
        <f t="shared" si="1301"/>
        <v>0</v>
      </c>
      <c r="AA785" s="105">
        <f t="shared" si="1302"/>
        <v>0</v>
      </c>
      <c r="AB785" s="115"/>
      <c r="AC785" s="23"/>
      <c r="AD785" s="15"/>
      <c r="AE785" s="16"/>
      <c r="AF785" s="17"/>
      <c r="AG785" s="17"/>
      <c r="AH785" s="85">
        <f t="shared" si="1303"/>
        <v>0</v>
      </c>
      <c r="AI785" s="15"/>
      <c r="AJ785" s="16"/>
      <c r="AK785" s="17"/>
      <c r="AL785" s="17"/>
      <c r="AM785" s="85">
        <f t="shared" si="1304"/>
        <v>0</v>
      </c>
      <c r="AN785" s="15"/>
      <c r="AO785" s="16"/>
      <c r="AP785" s="17"/>
      <c r="AQ785" s="17"/>
      <c r="AR785" s="85">
        <f t="shared" si="1305"/>
        <v>0</v>
      </c>
      <c r="AS785" s="15"/>
      <c r="AT785" s="16"/>
      <c r="AU785" s="17"/>
      <c r="AV785" s="17"/>
      <c r="AW785" s="85">
        <f t="shared" si="1306"/>
        <v>0</v>
      </c>
      <c r="AX785" s="15"/>
      <c r="AY785" s="16"/>
      <c r="AZ785" s="17"/>
      <c r="BA785" s="17"/>
      <c r="BB785" s="85">
        <f t="shared" si="1307"/>
        <v>0</v>
      </c>
      <c r="BC785" s="105">
        <f t="shared" si="1308"/>
        <v>0</v>
      </c>
    </row>
    <row r="786" spans="1:55" x14ac:dyDescent="0.15">
      <c r="A786" s="23"/>
      <c r="B786" s="18"/>
      <c r="C786" s="19"/>
      <c r="D786" s="20"/>
      <c r="E786" s="20"/>
      <c r="F786" s="85">
        <f t="shared" si="1297"/>
        <v>0</v>
      </c>
      <c r="G786" s="18"/>
      <c r="H786" s="19"/>
      <c r="I786" s="20"/>
      <c r="J786" s="20"/>
      <c r="K786" s="85">
        <f t="shared" si="1298"/>
        <v>0</v>
      </c>
      <c r="L786" s="18"/>
      <c r="M786" s="19"/>
      <c r="N786" s="20"/>
      <c r="O786" s="20"/>
      <c r="P786" s="85">
        <f t="shared" si="1299"/>
        <v>0</v>
      </c>
      <c r="Q786" s="18"/>
      <c r="R786" s="19"/>
      <c r="S786" s="20"/>
      <c r="T786" s="20"/>
      <c r="U786" s="85">
        <f t="shared" si="1300"/>
        <v>0</v>
      </c>
      <c r="V786" s="18"/>
      <c r="W786" s="19"/>
      <c r="X786" s="20"/>
      <c r="Y786" s="20"/>
      <c r="Z786" s="85">
        <f t="shared" si="1301"/>
        <v>0</v>
      </c>
      <c r="AA786" s="105">
        <f t="shared" si="1302"/>
        <v>0</v>
      </c>
      <c r="AB786" s="115"/>
      <c r="AC786" s="23"/>
      <c r="AD786" s="15"/>
      <c r="AE786" s="16"/>
      <c r="AF786" s="17"/>
      <c r="AG786" s="17"/>
      <c r="AH786" s="85">
        <f t="shared" si="1303"/>
        <v>0</v>
      </c>
      <c r="AI786" s="15"/>
      <c r="AJ786" s="16"/>
      <c r="AK786" s="17"/>
      <c r="AL786" s="17"/>
      <c r="AM786" s="85">
        <f t="shared" si="1304"/>
        <v>0</v>
      </c>
      <c r="AN786" s="15"/>
      <c r="AO786" s="16"/>
      <c r="AP786" s="17"/>
      <c r="AQ786" s="17"/>
      <c r="AR786" s="85">
        <f t="shared" si="1305"/>
        <v>0</v>
      </c>
      <c r="AS786" s="15"/>
      <c r="AT786" s="16"/>
      <c r="AU786" s="17"/>
      <c r="AV786" s="17"/>
      <c r="AW786" s="85">
        <f t="shared" si="1306"/>
        <v>0</v>
      </c>
      <c r="AX786" s="15"/>
      <c r="AY786" s="16"/>
      <c r="AZ786" s="17"/>
      <c r="BA786" s="17"/>
      <c r="BB786" s="85">
        <f t="shared" si="1307"/>
        <v>0</v>
      </c>
      <c r="BC786" s="105">
        <f t="shared" si="1308"/>
        <v>0</v>
      </c>
    </row>
    <row r="787" spans="1:55" x14ac:dyDescent="0.15">
      <c r="A787" s="23"/>
      <c r="B787" s="18"/>
      <c r="C787" s="19"/>
      <c r="D787" s="20"/>
      <c r="E787" s="20"/>
      <c r="F787" s="85">
        <f t="shared" si="1297"/>
        <v>0</v>
      </c>
      <c r="G787" s="18"/>
      <c r="H787" s="19"/>
      <c r="I787" s="20"/>
      <c r="J787" s="20"/>
      <c r="K787" s="85">
        <f t="shared" si="1298"/>
        <v>0</v>
      </c>
      <c r="L787" s="18"/>
      <c r="M787" s="19"/>
      <c r="N787" s="20"/>
      <c r="O787" s="20"/>
      <c r="P787" s="85">
        <f t="shared" si="1299"/>
        <v>0</v>
      </c>
      <c r="Q787" s="18"/>
      <c r="R787" s="19"/>
      <c r="S787" s="20"/>
      <c r="T787" s="20"/>
      <c r="U787" s="85">
        <f t="shared" si="1300"/>
        <v>0</v>
      </c>
      <c r="V787" s="18"/>
      <c r="W787" s="19"/>
      <c r="X787" s="20"/>
      <c r="Y787" s="20"/>
      <c r="Z787" s="85">
        <f t="shared" si="1301"/>
        <v>0</v>
      </c>
      <c r="AA787" s="105">
        <f t="shared" si="1302"/>
        <v>0</v>
      </c>
      <c r="AB787" s="77"/>
      <c r="AC787" s="23"/>
      <c r="AD787" s="15"/>
      <c r="AE787" s="16"/>
      <c r="AF787" s="17"/>
      <c r="AG787" s="17"/>
      <c r="AH787" s="85">
        <f t="shared" si="1303"/>
        <v>0</v>
      </c>
      <c r="AI787" s="15"/>
      <c r="AJ787" s="16"/>
      <c r="AK787" s="17"/>
      <c r="AL787" s="17"/>
      <c r="AM787" s="85">
        <f t="shared" si="1304"/>
        <v>0</v>
      </c>
      <c r="AN787" s="15"/>
      <c r="AO787" s="16"/>
      <c r="AP787" s="17"/>
      <c r="AQ787" s="17"/>
      <c r="AR787" s="85">
        <f t="shared" si="1305"/>
        <v>0</v>
      </c>
      <c r="AS787" s="15"/>
      <c r="AT787" s="16"/>
      <c r="AU787" s="17"/>
      <c r="AV787" s="17"/>
      <c r="AW787" s="85">
        <f t="shared" si="1306"/>
        <v>0</v>
      </c>
      <c r="AX787" s="15"/>
      <c r="AY787" s="16"/>
      <c r="AZ787" s="17"/>
      <c r="BA787" s="17"/>
      <c r="BB787" s="85">
        <f t="shared" si="1307"/>
        <v>0</v>
      </c>
      <c r="BC787" s="105">
        <f t="shared" si="1308"/>
        <v>0</v>
      </c>
    </row>
    <row r="788" spans="1:55" x14ac:dyDescent="0.15">
      <c r="A788" s="23"/>
      <c r="B788" s="18"/>
      <c r="C788" s="19"/>
      <c r="D788" s="20"/>
      <c r="E788" s="20"/>
      <c r="F788" s="85">
        <f t="shared" si="1297"/>
        <v>0</v>
      </c>
      <c r="G788" s="18"/>
      <c r="H788" s="19"/>
      <c r="I788" s="20"/>
      <c r="J788" s="20"/>
      <c r="K788" s="85">
        <f t="shared" si="1298"/>
        <v>0</v>
      </c>
      <c r="L788" s="18"/>
      <c r="M788" s="19"/>
      <c r="N788" s="20"/>
      <c r="O788" s="20"/>
      <c r="P788" s="85">
        <f t="shared" si="1299"/>
        <v>0</v>
      </c>
      <c r="Q788" s="18"/>
      <c r="R788" s="19"/>
      <c r="S788" s="20"/>
      <c r="T788" s="20"/>
      <c r="U788" s="85">
        <f t="shared" si="1300"/>
        <v>0</v>
      </c>
      <c r="V788" s="18"/>
      <c r="W788" s="19"/>
      <c r="X788" s="20"/>
      <c r="Y788" s="20"/>
      <c r="Z788" s="85">
        <f t="shared" si="1301"/>
        <v>0</v>
      </c>
      <c r="AA788" s="105">
        <f t="shared" si="1302"/>
        <v>0</v>
      </c>
      <c r="AB788" s="240"/>
      <c r="AC788" s="23"/>
      <c r="AD788" s="15"/>
      <c r="AE788" s="16"/>
      <c r="AF788" s="17"/>
      <c r="AG788" s="17"/>
      <c r="AH788" s="85">
        <f t="shared" si="1303"/>
        <v>0</v>
      </c>
      <c r="AI788" s="15"/>
      <c r="AJ788" s="16"/>
      <c r="AK788" s="17"/>
      <c r="AL788" s="17"/>
      <c r="AM788" s="85">
        <f t="shared" si="1304"/>
        <v>0</v>
      </c>
      <c r="AN788" s="15"/>
      <c r="AO788" s="16"/>
      <c r="AP788" s="17"/>
      <c r="AQ788" s="17"/>
      <c r="AR788" s="85">
        <f t="shared" si="1305"/>
        <v>0</v>
      </c>
      <c r="AS788" s="15"/>
      <c r="AT788" s="16"/>
      <c r="AU788" s="17"/>
      <c r="AV788" s="17"/>
      <c r="AW788" s="85">
        <f t="shared" si="1306"/>
        <v>0</v>
      </c>
      <c r="AX788" s="15"/>
      <c r="AY788" s="16"/>
      <c r="AZ788" s="17"/>
      <c r="BA788" s="17"/>
      <c r="BB788" s="85">
        <f t="shared" si="1307"/>
        <v>0</v>
      </c>
      <c r="BC788" s="105">
        <f t="shared" si="1308"/>
        <v>0</v>
      </c>
    </row>
    <row r="789" spans="1:55" x14ac:dyDescent="0.15">
      <c r="A789" s="23"/>
      <c r="B789" s="18"/>
      <c r="C789" s="19"/>
      <c r="D789" s="20"/>
      <c r="E789" s="20"/>
      <c r="F789" s="85">
        <f t="shared" si="1297"/>
        <v>0</v>
      </c>
      <c r="G789" s="18"/>
      <c r="H789" s="19"/>
      <c r="I789" s="20"/>
      <c r="J789" s="20"/>
      <c r="K789" s="85">
        <f t="shared" si="1298"/>
        <v>0</v>
      </c>
      <c r="L789" s="18"/>
      <c r="M789" s="19"/>
      <c r="N789" s="20"/>
      <c r="O789" s="20"/>
      <c r="P789" s="85">
        <f t="shared" si="1299"/>
        <v>0</v>
      </c>
      <c r="Q789" s="18"/>
      <c r="R789" s="19"/>
      <c r="S789" s="20"/>
      <c r="T789" s="20"/>
      <c r="U789" s="85">
        <f t="shared" si="1300"/>
        <v>0</v>
      </c>
      <c r="V789" s="18"/>
      <c r="W789" s="19"/>
      <c r="X789" s="20"/>
      <c r="Y789" s="20"/>
      <c r="Z789" s="85">
        <f t="shared" si="1301"/>
        <v>0</v>
      </c>
      <c r="AA789" s="105">
        <f t="shared" si="1302"/>
        <v>0</v>
      </c>
      <c r="AB789" s="115"/>
      <c r="AC789" s="23"/>
      <c r="AD789" s="15"/>
      <c r="AE789" s="16"/>
      <c r="AF789" s="17"/>
      <c r="AG789" s="17"/>
      <c r="AH789" s="85">
        <f t="shared" si="1303"/>
        <v>0</v>
      </c>
      <c r="AI789" s="15"/>
      <c r="AJ789" s="16"/>
      <c r="AK789" s="17"/>
      <c r="AL789" s="17"/>
      <c r="AM789" s="85">
        <f t="shared" si="1304"/>
        <v>0</v>
      </c>
      <c r="AN789" s="15"/>
      <c r="AO789" s="16"/>
      <c r="AP789" s="17"/>
      <c r="AQ789" s="17"/>
      <c r="AR789" s="85">
        <f t="shared" si="1305"/>
        <v>0</v>
      </c>
      <c r="AS789" s="15"/>
      <c r="AT789" s="16"/>
      <c r="AU789" s="17"/>
      <c r="AV789" s="17"/>
      <c r="AW789" s="85">
        <f t="shared" si="1306"/>
        <v>0</v>
      </c>
      <c r="AX789" s="15"/>
      <c r="AY789" s="16"/>
      <c r="AZ789" s="17"/>
      <c r="BA789" s="17"/>
      <c r="BB789" s="85">
        <f t="shared" si="1307"/>
        <v>0</v>
      </c>
      <c r="BC789" s="105">
        <f t="shared" si="1308"/>
        <v>0</v>
      </c>
    </row>
    <row r="790" spans="1:55" x14ac:dyDescent="0.15">
      <c r="A790" s="23"/>
      <c r="B790" s="18"/>
      <c r="C790" s="19"/>
      <c r="D790" s="20"/>
      <c r="E790" s="20"/>
      <c r="F790" s="85">
        <f t="shared" si="1297"/>
        <v>0</v>
      </c>
      <c r="G790" s="18"/>
      <c r="H790" s="19"/>
      <c r="I790" s="20"/>
      <c r="J790" s="20"/>
      <c r="K790" s="85">
        <f t="shared" si="1298"/>
        <v>0</v>
      </c>
      <c r="L790" s="18"/>
      <c r="M790" s="19"/>
      <c r="N790" s="20"/>
      <c r="O790" s="20"/>
      <c r="P790" s="85">
        <f t="shared" si="1299"/>
        <v>0</v>
      </c>
      <c r="Q790" s="18"/>
      <c r="R790" s="19"/>
      <c r="S790" s="20"/>
      <c r="T790" s="20"/>
      <c r="U790" s="85">
        <f t="shared" si="1300"/>
        <v>0</v>
      </c>
      <c r="V790" s="18"/>
      <c r="W790" s="19"/>
      <c r="X790" s="20"/>
      <c r="Y790" s="20"/>
      <c r="Z790" s="85">
        <f t="shared" si="1301"/>
        <v>0</v>
      </c>
      <c r="AA790" s="105">
        <f t="shared" si="1302"/>
        <v>0</v>
      </c>
      <c r="AB790" s="115"/>
      <c r="AC790" s="23"/>
      <c r="AD790" s="15"/>
      <c r="AE790" s="16"/>
      <c r="AF790" s="17"/>
      <c r="AG790" s="17"/>
      <c r="AH790" s="85">
        <f t="shared" si="1303"/>
        <v>0</v>
      </c>
      <c r="AI790" s="15"/>
      <c r="AJ790" s="16"/>
      <c r="AK790" s="17"/>
      <c r="AL790" s="17"/>
      <c r="AM790" s="85">
        <f t="shared" si="1304"/>
        <v>0</v>
      </c>
      <c r="AN790" s="15"/>
      <c r="AO790" s="16"/>
      <c r="AP790" s="17"/>
      <c r="AQ790" s="17"/>
      <c r="AR790" s="85">
        <f t="shared" si="1305"/>
        <v>0</v>
      </c>
      <c r="AS790" s="15"/>
      <c r="AT790" s="16"/>
      <c r="AU790" s="17"/>
      <c r="AV790" s="17"/>
      <c r="AW790" s="85">
        <f t="shared" si="1306"/>
        <v>0</v>
      </c>
      <c r="AX790" s="15"/>
      <c r="AY790" s="16"/>
      <c r="AZ790" s="17"/>
      <c r="BA790" s="17"/>
      <c r="BB790" s="85">
        <f t="shared" si="1307"/>
        <v>0</v>
      </c>
      <c r="BC790" s="105">
        <f t="shared" si="1308"/>
        <v>0</v>
      </c>
    </row>
    <row r="791" spans="1:55" x14ac:dyDescent="0.15">
      <c r="A791" s="23"/>
      <c r="B791" s="18"/>
      <c r="C791" s="19"/>
      <c r="D791" s="20"/>
      <c r="E791" s="20"/>
      <c r="F791" s="85">
        <f t="shared" si="1297"/>
        <v>0</v>
      </c>
      <c r="G791" s="18"/>
      <c r="H791" s="19"/>
      <c r="I791" s="20"/>
      <c r="J791" s="20"/>
      <c r="K791" s="85">
        <f t="shared" si="1298"/>
        <v>0</v>
      </c>
      <c r="L791" s="18"/>
      <c r="M791" s="19"/>
      <c r="N791" s="20"/>
      <c r="O791" s="20"/>
      <c r="P791" s="85">
        <f t="shared" si="1299"/>
        <v>0</v>
      </c>
      <c r="Q791" s="18"/>
      <c r="R791" s="19"/>
      <c r="S791" s="20"/>
      <c r="T791" s="20"/>
      <c r="U791" s="85">
        <f t="shared" si="1300"/>
        <v>0</v>
      </c>
      <c r="V791" s="18"/>
      <c r="W791" s="19"/>
      <c r="X791" s="20"/>
      <c r="Y791" s="20"/>
      <c r="Z791" s="85">
        <f t="shared" si="1301"/>
        <v>0</v>
      </c>
      <c r="AA791" s="105">
        <f t="shared" si="1302"/>
        <v>0</v>
      </c>
      <c r="AC791" s="23"/>
      <c r="AD791" s="15"/>
      <c r="AE791" s="16"/>
      <c r="AF791" s="17"/>
      <c r="AG791" s="17"/>
      <c r="AH791" s="85">
        <f t="shared" si="1281"/>
        <v>0</v>
      </c>
      <c r="AI791" s="15"/>
      <c r="AJ791" s="16"/>
      <c r="AK791" s="17"/>
      <c r="AL791" s="17"/>
      <c r="AM791" s="85">
        <f t="shared" si="1282"/>
        <v>0</v>
      </c>
      <c r="AN791" s="15"/>
      <c r="AO791" s="16"/>
      <c r="AP791" s="17"/>
      <c r="AQ791" s="17"/>
      <c r="AR791" s="85">
        <f t="shared" si="1283"/>
        <v>0</v>
      </c>
      <c r="AS791" s="15"/>
      <c r="AT791" s="16"/>
      <c r="AU791" s="17"/>
      <c r="AV791" s="17"/>
      <c r="AW791" s="85">
        <f t="shared" si="1284"/>
        <v>0</v>
      </c>
      <c r="AX791" s="15"/>
      <c r="AY791" s="16"/>
      <c r="AZ791" s="17"/>
      <c r="BA791" s="17"/>
      <c r="BB791" s="85">
        <f t="shared" si="1285"/>
        <v>0</v>
      </c>
      <c r="BC791" s="105">
        <f t="shared" si="1286"/>
        <v>0</v>
      </c>
    </row>
    <row r="792" spans="1:55" x14ac:dyDescent="0.15">
      <c r="A792" s="23"/>
      <c r="B792" s="18"/>
      <c r="C792" s="19"/>
      <c r="D792" s="20"/>
      <c r="E792" s="20"/>
      <c r="F792" s="85">
        <f t="shared" si="1275"/>
        <v>0</v>
      </c>
      <c r="G792" s="18"/>
      <c r="H792" s="19"/>
      <c r="I792" s="20"/>
      <c r="J792" s="20"/>
      <c r="K792" s="85">
        <f t="shared" si="1276"/>
        <v>0</v>
      </c>
      <c r="L792" s="18"/>
      <c r="M792" s="19"/>
      <c r="N792" s="20"/>
      <c r="O792" s="20"/>
      <c r="P792" s="85">
        <f t="shared" si="1277"/>
        <v>0</v>
      </c>
      <c r="Q792" s="18"/>
      <c r="R792" s="19"/>
      <c r="S792" s="20"/>
      <c r="T792" s="20"/>
      <c r="U792" s="85">
        <f t="shared" si="1278"/>
        <v>0</v>
      </c>
      <c r="V792" s="18"/>
      <c r="W792" s="19"/>
      <c r="X792" s="20"/>
      <c r="Y792" s="20"/>
      <c r="Z792" s="85">
        <f t="shared" si="1279"/>
        <v>0</v>
      </c>
      <c r="AA792" s="105">
        <f t="shared" si="1280"/>
        <v>0</v>
      </c>
      <c r="AC792" s="23"/>
      <c r="AD792" s="15"/>
      <c r="AE792" s="16"/>
      <c r="AF792" s="17"/>
      <c r="AG792" s="17"/>
      <c r="AH792" s="85">
        <f t="shared" si="1281"/>
        <v>0</v>
      </c>
      <c r="AI792" s="15"/>
      <c r="AJ792" s="16"/>
      <c r="AK792" s="17"/>
      <c r="AL792" s="17"/>
      <c r="AM792" s="85">
        <f t="shared" si="1282"/>
        <v>0</v>
      </c>
      <c r="AN792" s="15"/>
      <c r="AO792" s="16"/>
      <c r="AP792" s="17"/>
      <c r="AQ792" s="17"/>
      <c r="AR792" s="85">
        <f t="shared" si="1283"/>
        <v>0</v>
      </c>
      <c r="AS792" s="15"/>
      <c r="AT792" s="16"/>
      <c r="AU792" s="17"/>
      <c r="AV792" s="17"/>
      <c r="AW792" s="85">
        <f t="shared" si="1284"/>
        <v>0</v>
      </c>
      <c r="AX792" s="15"/>
      <c r="AY792" s="16"/>
      <c r="AZ792" s="17"/>
      <c r="BA792" s="17"/>
      <c r="BB792" s="85">
        <f t="shared" si="1285"/>
        <v>0</v>
      </c>
      <c r="BC792" s="105">
        <f t="shared" si="1286"/>
        <v>0</v>
      </c>
    </row>
    <row r="793" spans="1:55" x14ac:dyDescent="0.15">
      <c r="A793" s="23"/>
      <c r="B793" s="16"/>
      <c r="C793" s="16"/>
      <c r="D793" s="17"/>
      <c r="E793" s="17"/>
      <c r="F793" s="85">
        <f t="shared" si="1275"/>
        <v>0</v>
      </c>
      <c r="G793" s="16"/>
      <c r="H793" s="16"/>
      <c r="I793" s="17"/>
      <c r="J793" s="17"/>
      <c r="K793" s="85">
        <f t="shared" si="1276"/>
        <v>0</v>
      </c>
      <c r="L793" s="16"/>
      <c r="M793" s="16"/>
      <c r="N793" s="17"/>
      <c r="O793" s="17"/>
      <c r="P793" s="85">
        <f t="shared" si="1277"/>
        <v>0</v>
      </c>
      <c r="Q793" s="16"/>
      <c r="R793" s="16"/>
      <c r="S793" s="17"/>
      <c r="T793" s="17"/>
      <c r="U793" s="85">
        <f t="shared" si="1278"/>
        <v>0</v>
      </c>
      <c r="V793" s="16"/>
      <c r="W793" s="16"/>
      <c r="X793" s="17"/>
      <c r="Y793" s="17"/>
      <c r="Z793" s="85">
        <f t="shared" si="1279"/>
        <v>0</v>
      </c>
      <c r="AA793" s="105">
        <f t="shared" si="1280"/>
        <v>0</v>
      </c>
      <c r="AC793" s="23"/>
      <c r="AD793" s="15"/>
      <c r="AE793" s="16"/>
      <c r="AF793" s="17"/>
      <c r="AG793" s="17"/>
      <c r="AH793" s="85">
        <f t="shared" si="1281"/>
        <v>0</v>
      </c>
      <c r="AI793" s="15"/>
      <c r="AJ793" s="16"/>
      <c r="AK793" s="17"/>
      <c r="AL793" s="17"/>
      <c r="AM793" s="85">
        <f t="shared" si="1282"/>
        <v>0</v>
      </c>
      <c r="AN793" s="15"/>
      <c r="AO793" s="16"/>
      <c r="AP793" s="17"/>
      <c r="AQ793" s="17"/>
      <c r="AR793" s="85">
        <f t="shared" si="1283"/>
        <v>0</v>
      </c>
      <c r="AS793" s="15"/>
      <c r="AT793" s="16"/>
      <c r="AU793" s="17"/>
      <c r="AV793" s="17"/>
      <c r="AW793" s="85">
        <f t="shared" si="1284"/>
        <v>0</v>
      </c>
      <c r="AX793" s="15"/>
      <c r="AY793" s="16"/>
      <c r="AZ793" s="17"/>
      <c r="BA793" s="17"/>
      <c r="BB793" s="85">
        <f t="shared" si="1285"/>
        <v>0</v>
      </c>
      <c r="BC793" s="105">
        <f t="shared" si="1286"/>
        <v>0</v>
      </c>
    </row>
    <row r="794" spans="1:55" x14ac:dyDescent="0.15">
      <c r="A794" s="23"/>
      <c r="B794" s="15"/>
      <c r="C794" s="25"/>
      <c r="D794" s="17"/>
      <c r="E794" s="17"/>
      <c r="F794" s="85">
        <f t="shared" si="1275"/>
        <v>0</v>
      </c>
      <c r="G794" s="15"/>
      <c r="H794" s="25"/>
      <c r="I794" s="17"/>
      <c r="J794" s="17"/>
      <c r="K794" s="85">
        <f t="shared" si="1276"/>
        <v>0</v>
      </c>
      <c r="L794" s="15"/>
      <c r="M794" s="25"/>
      <c r="N794" s="17"/>
      <c r="O794" s="17"/>
      <c r="P794" s="85">
        <f t="shared" si="1277"/>
        <v>0</v>
      </c>
      <c r="Q794" s="15"/>
      <c r="R794" s="25"/>
      <c r="S794" s="17"/>
      <c r="T794" s="17"/>
      <c r="U794" s="85">
        <f t="shared" si="1278"/>
        <v>0</v>
      </c>
      <c r="V794" s="15"/>
      <c r="W794" s="25"/>
      <c r="X794" s="17"/>
      <c r="Y794" s="17"/>
      <c r="Z794" s="85">
        <f t="shared" si="1279"/>
        <v>0</v>
      </c>
      <c r="AA794" s="105">
        <f t="shared" si="1280"/>
        <v>0</v>
      </c>
      <c r="AC794" s="23"/>
      <c r="AD794" s="15"/>
      <c r="AE794" s="16"/>
      <c r="AF794" s="17"/>
      <c r="AG794" s="17"/>
      <c r="AH794" s="85">
        <f t="shared" ref="AH794:AH796" si="1309">SUM(AD794:AG794)</f>
        <v>0</v>
      </c>
      <c r="AI794" s="15"/>
      <c r="AJ794" s="16"/>
      <c r="AK794" s="17"/>
      <c r="AL794" s="17"/>
      <c r="AM794" s="85">
        <f t="shared" ref="AM794:AM796" si="1310">SUM(AI794:AL794)</f>
        <v>0</v>
      </c>
      <c r="AN794" s="15"/>
      <c r="AO794" s="16"/>
      <c r="AP794" s="17"/>
      <c r="AQ794" s="17"/>
      <c r="AR794" s="85">
        <f t="shared" ref="AR794:AR796" si="1311">SUM(AN794:AQ794)</f>
        <v>0</v>
      </c>
      <c r="AS794" s="15"/>
      <c r="AT794" s="16"/>
      <c r="AU794" s="17"/>
      <c r="AV794" s="17"/>
      <c r="AW794" s="85">
        <f t="shared" ref="AW794:AW796" si="1312">SUM(AS794:AV794)</f>
        <v>0</v>
      </c>
      <c r="AX794" s="15"/>
      <c r="AY794" s="16"/>
      <c r="AZ794" s="17"/>
      <c r="BA794" s="17"/>
      <c r="BB794" s="85">
        <f t="shared" ref="BB794:BB796" si="1313">SUM(AX794:BA794)</f>
        <v>0</v>
      </c>
      <c r="BC794" s="105">
        <f t="shared" ref="BC794:BC796" si="1314">BB794+AW794+AR794+AM794+AH794</f>
        <v>0</v>
      </c>
    </row>
    <row r="795" spans="1:55" x14ac:dyDescent="0.15">
      <c r="A795" s="23"/>
      <c r="B795" s="15"/>
      <c r="C795" s="16"/>
      <c r="D795" s="16"/>
      <c r="E795" s="63"/>
      <c r="F795" s="85">
        <f t="shared" si="1275"/>
        <v>0</v>
      </c>
      <c r="G795" s="15"/>
      <c r="H795" s="16"/>
      <c r="I795" s="16"/>
      <c r="J795" s="63"/>
      <c r="K795" s="85">
        <f t="shared" si="1276"/>
        <v>0</v>
      </c>
      <c r="L795" s="15"/>
      <c r="M795" s="16"/>
      <c r="N795" s="16"/>
      <c r="O795" s="63"/>
      <c r="P795" s="85">
        <f t="shared" si="1277"/>
        <v>0</v>
      </c>
      <c r="Q795" s="15"/>
      <c r="R795" s="16"/>
      <c r="S795" s="16"/>
      <c r="T795" s="63"/>
      <c r="U795" s="85">
        <f t="shared" si="1278"/>
        <v>0</v>
      </c>
      <c r="V795" s="15"/>
      <c r="W795" s="16"/>
      <c r="X795" s="16"/>
      <c r="Y795" s="63"/>
      <c r="Z795" s="85">
        <f t="shared" si="1279"/>
        <v>0</v>
      </c>
      <c r="AA795" s="105">
        <f t="shared" si="1280"/>
        <v>0</v>
      </c>
      <c r="AC795" s="23"/>
      <c r="AD795" s="15"/>
      <c r="AE795" s="16"/>
      <c r="AF795" s="17"/>
      <c r="AG795" s="17"/>
      <c r="AH795" s="85">
        <f t="shared" si="1309"/>
        <v>0</v>
      </c>
      <c r="AI795" s="15"/>
      <c r="AJ795" s="16"/>
      <c r="AK795" s="17"/>
      <c r="AL795" s="17"/>
      <c r="AM795" s="85">
        <f t="shared" si="1310"/>
        <v>0</v>
      </c>
      <c r="AN795" s="15"/>
      <c r="AO795" s="16"/>
      <c r="AP795" s="17"/>
      <c r="AQ795" s="17"/>
      <c r="AR795" s="85">
        <f t="shared" si="1311"/>
        <v>0</v>
      </c>
      <c r="AS795" s="15"/>
      <c r="AT795" s="16"/>
      <c r="AU795" s="17"/>
      <c r="AV795" s="17"/>
      <c r="AW795" s="85">
        <f t="shared" si="1312"/>
        <v>0</v>
      </c>
      <c r="AX795" s="15"/>
      <c r="AY795" s="16"/>
      <c r="AZ795" s="17"/>
      <c r="BA795" s="17"/>
      <c r="BB795" s="85">
        <f t="shared" si="1313"/>
        <v>0</v>
      </c>
      <c r="BC795" s="105">
        <f t="shared" si="1314"/>
        <v>0</v>
      </c>
    </row>
    <row r="796" spans="1:55" ht="14.25" thickBot="1" x14ac:dyDescent="0.2">
      <c r="A796" s="23"/>
      <c r="B796" s="15"/>
      <c r="C796" s="16"/>
      <c r="D796" s="16"/>
      <c r="E796" s="63"/>
      <c r="F796" s="85">
        <f t="shared" si="1275"/>
        <v>0</v>
      </c>
      <c r="G796" s="15"/>
      <c r="H796" s="16"/>
      <c r="I796" s="16"/>
      <c r="J796" s="63"/>
      <c r="K796" s="85">
        <f t="shared" si="1276"/>
        <v>0</v>
      </c>
      <c r="L796" s="15"/>
      <c r="M796" s="16"/>
      <c r="N796" s="16"/>
      <c r="O796" s="63"/>
      <c r="P796" s="85">
        <f t="shared" si="1277"/>
        <v>0</v>
      </c>
      <c r="Q796" s="15"/>
      <c r="R796" s="16"/>
      <c r="S796" s="16"/>
      <c r="T796" s="63"/>
      <c r="U796" s="85">
        <f t="shared" si="1278"/>
        <v>0</v>
      </c>
      <c r="V796" s="15"/>
      <c r="W796" s="16"/>
      <c r="X796" s="16"/>
      <c r="Y796" s="63"/>
      <c r="Z796" s="85">
        <f t="shared" si="1279"/>
        <v>0</v>
      </c>
      <c r="AA796" s="105">
        <f t="shared" si="1280"/>
        <v>0</v>
      </c>
      <c r="AC796" s="23"/>
      <c r="AD796" s="15"/>
      <c r="AE796" s="16"/>
      <c r="AF796" s="17"/>
      <c r="AG796" s="17"/>
      <c r="AH796" s="85">
        <f t="shared" si="1309"/>
        <v>0</v>
      </c>
      <c r="AI796" s="15"/>
      <c r="AJ796" s="16"/>
      <c r="AK796" s="17"/>
      <c r="AL796" s="17"/>
      <c r="AM796" s="85">
        <f t="shared" si="1310"/>
        <v>0</v>
      </c>
      <c r="AN796" s="15"/>
      <c r="AO796" s="16"/>
      <c r="AP796" s="17"/>
      <c r="AQ796" s="17"/>
      <c r="AR796" s="85">
        <f t="shared" si="1311"/>
        <v>0</v>
      </c>
      <c r="AS796" s="15"/>
      <c r="AT796" s="16"/>
      <c r="AU796" s="17"/>
      <c r="AV796" s="17"/>
      <c r="AW796" s="85">
        <f t="shared" si="1312"/>
        <v>0</v>
      </c>
      <c r="AX796" s="15"/>
      <c r="AY796" s="16"/>
      <c r="AZ796" s="17"/>
      <c r="BA796" s="17"/>
      <c r="BB796" s="85">
        <f t="shared" si="1313"/>
        <v>0</v>
      </c>
      <c r="BC796" s="105">
        <f t="shared" si="1314"/>
        <v>0</v>
      </c>
    </row>
    <row r="797" spans="1:55" ht="14.25" thickBot="1" x14ac:dyDescent="0.2">
      <c r="A797" s="27" t="s">
        <v>12</v>
      </c>
      <c r="B797" s="57">
        <f>SUM(B771:B796)</f>
        <v>0</v>
      </c>
      <c r="C797" s="50">
        <f t="shared" ref="C797:D797" si="1315">SUM(C771:C796)</f>
        <v>3</v>
      </c>
      <c r="D797" s="50">
        <f t="shared" si="1315"/>
        <v>0</v>
      </c>
      <c r="E797" s="50">
        <f>SUM(E771:E796)</f>
        <v>1</v>
      </c>
      <c r="F797" s="88">
        <f t="shared" si="1275"/>
        <v>4</v>
      </c>
      <c r="G797" s="57">
        <f>SUM(G771:G796)</f>
        <v>0</v>
      </c>
      <c r="H797" s="50">
        <f t="shared" ref="H797:I797" si="1316">SUM(H771:H796)</f>
        <v>4</v>
      </c>
      <c r="I797" s="50">
        <f t="shared" si="1316"/>
        <v>0</v>
      </c>
      <c r="J797" s="50">
        <f>SUM(J771:J796)</f>
        <v>2</v>
      </c>
      <c r="K797" s="88">
        <f t="shared" si="1276"/>
        <v>6</v>
      </c>
      <c r="L797" s="57">
        <f>SUM(L771:L796)</f>
        <v>0</v>
      </c>
      <c r="M797" s="50">
        <f t="shared" ref="M797:N797" si="1317">SUM(M771:M796)</f>
        <v>2</v>
      </c>
      <c r="N797" s="50">
        <f t="shared" si="1317"/>
        <v>5</v>
      </c>
      <c r="O797" s="50">
        <f>SUM(O771:O796)</f>
        <v>0</v>
      </c>
      <c r="P797" s="88">
        <f t="shared" si="1277"/>
        <v>7</v>
      </c>
      <c r="Q797" s="57">
        <f>SUM(Q771:Q796)</f>
        <v>0</v>
      </c>
      <c r="R797" s="50">
        <f t="shared" ref="R797:S797" si="1318">SUM(R771:R796)</f>
        <v>4</v>
      </c>
      <c r="S797" s="50">
        <f t="shared" si="1318"/>
        <v>6</v>
      </c>
      <c r="T797" s="50">
        <f>SUM(T771:T796)</f>
        <v>0</v>
      </c>
      <c r="U797" s="88">
        <f t="shared" si="1278"/>
        <v>10</v>
      </c>
      <c r="V797" s="57">
        <f>SUM(V771:V796)</f>
        <v>0</v>
      </c>
      <c r="W797" s="50">
        <f t="shared" ref="W797:X797" si="1319">SUM(W771:W796)</f>
        <v>8</v>
      </c>
      <c r="X797" s="50">
        <f t="shared" si="1319"/>
        <v>3</v>
      </c>
      <c r="Y797" s="50">
        <f>SUM(Y771:Y796)</f>
        <v>1</v>
      </c>
      <c r="Z797" s="88">
        <f t="shared" si="1279"/>
        <v>12</v>
      </c>
      <c r="AA797" s="109">
        <f t="shared" si="1280"/>
        <v>39</v>
      </c>
      <c r="AC797" s="27" t="s">
        <v>419</v>
      </c>
      <c r="AD797" s="57">
        <f>SUM(AD771:AD796)</f>
        <v>0</v>
      </c>
      <c r="AE797" s="50">
        <f t="shared" ref="AE797:AF797" si="1320">SUM(AE771:AE796)</f>
        <v>3</v>
      </c>
      <c r="AF797" s="50">
        <f t="shared" si="1320"/>
        <v>7</v>
      </c>
      <c r="AG797" s="50">
        <f>SUM(AG771:AG796)</f>
        <v>7</v>
      </c>
      <c r="AH797" s="88">
        <f t="shared" si="1281"/>
        <v>17</v>
      </c>
      <c r="AI797" s="57">
        <f>SUM(AI771:AI796)</f>
        <v>0</v>
      </c>
      <c r="AJ797" s="50">
        <f t="shared" ref="AJ797:AK797" si="1321">SUM(AJ771:AJ796)</f>
        <v>0</v>
      </c>
      <c r="AK797" s="50">
        <f t="shared" si="1321"/>
        <v>2</v>
      </c>
      <c r="AL797" s="50">
        <f>SUM(AL771:AL796)</f>
        <v>2</v>
      </c>
      <c r="AM797" s="88">
        <f t="shared" si="1282"/>
        <v>4</v>
      </c>
      <c r="AN797" s="57">
        <f>SUM(AN771:AN796)</f>
        <v>1</v>
      </c>
      <c r="AO797" s="50">
        <f t="shared" ref="AO797:AP797" si="1322">SUM(AO771:AO796)</f>
        <v>3</v>
      </c>
      <c r="AP797" s="50">
        <f t="shared" si="1322"/>
        <v>5</v>
      </c>
      <c r="AQ797" s="50">
        <f>SUM(AQ771:AQ796)</f>
        <v>0</v>
      </c>
      <c r="AR797" s="88">
        <f t="shared" si="1283"/>
        <v>9</v>
      </c>
      <c r="AS797" s="57">
        <f>SUM(AS771:AS796)</f>
        <v>1</v>
      </c>
      <c r="AT797" s="50">
        <f t="shared" ref="AT797:AU797" si="1323">SUM(AT771:AT796)</f>
        <v>5</v>
      </c>
      <c r="AU797" s="50">
        <f t="shared" si="1323"/>
        <v>5</v>
      </c>
      <c r="AV797" s="50">
        <f>SUM(AV771:AV796)</f>
        <v>5</v>
      </c>
      <c r="AW797" s="88">
        <f t="shared" si="1284"/>
        <v>16</v>
      </c>
      <c r="AX797" s="57">
        <f>SUM(AX771:AX796)</f>
        <v>1</v>
      </c>
      <c r="AY797" s="50">
        <f t="shared" ref="AY797:AZ797" si="1324">SUM(AY771:AY796)</f>
        <v>10</v>
      </c>
      <c r="AZ797" s="50">
        <f t="shared" si="1324"/>
        <v>2</v>
      </c>
      <c r="BA797" s="50">
        <f>SUM(BA771:BA796)</f>
        <v>2</v>
      </c>
      <c r="BB797" s="88">
        <f t="shared" si="1285"/>
        <v>15</v>
      </c>
      <c r="BC797" s="109">
        <f t="shared" si="1286"/>
        <v>61</v>
      </c>
    </row>
    <row r="798" spans="1:55" ht="14.25" thickBot="1" x14ac:dyDescent="0.2">
      <c r="A798" s="21" t="s">
        <v>13</v>
      </c>
      <c r="B798" s="101">
        <f>B770-B797</f>
        <v>6</v>
      </c>
      <c r="C798" s="8">
        <f t="shared" ref="C798:D798" si="1325">C770-C797</f>
        <v>6</v>
      </c>
      <c r="D798" s="8">
        <f t="shared" si="1325"/>
        <v>8</v>
      </c>
      <c r="E798" s="8">
        <f>E770-E797</f>
        <v>7</v>
      </c>
      <c r="F798" s="87">
        <f t="shared" si="1275"/>
        <v>27</v>
      </c>
      <c r="G798" s="101">
        <f>G770-G797</f>
        <v>7</v>
      </c>
      <c r="H798" s="8">
        <f t="shared" ref="H798:I798" si="1326">H770-H797</f>
        <v>3</v>
      </c>
      <c r="I798" s="8">
        <f t="shared" si="1326"/>
        <v>6</v>
      </c>
      <c r="J798" s="8">
        <f>J770-J797</f>
        <v>4</v>
      </c>
      <c r="K798" s="87">
        <f t="shared" si="1276"/>
        <v>20</v>
      </c>
      <c r="L798" s="101">
        <f>L770-L797</f>
        <v>9</v>
      </c>
      <c r="M798" s="8">
        <f t="shared" ref="M798:N798" si="1327">M770-M797</f>
        <v>6</v>
      </c>
      <c r="N798" s="8">
        <f t="shared" si="1327"/>
        <v>5</v>
      </c>
      <c r="O798" s="8">
        <f>O770-O797</f>
        <v>6</v>
      </c>
      <c r="P798" s="87">
        <f t="shared" si="1277"/>
        <v>26</v>
      </c>
      <c r="Q798" s="101">
        <f>Q770-Q797</f>
        <v>5</v>
      </c>
      <c r="R798" s="8">
        <f t="shared" ref="R798:S798" si="1328">R770-R797</f>
        <v>5</v>
      </c>
      <c r="S798" s="8">
        <f t="shared" si="1328"/>
        <v>5</v>
      </c>
      <c r="T798" s="8">
        <f>T770-T797</f>
        <v>8</v>
      </c>
      <c r="U798" s="87">
        <f t="shared" si="1278"/>
        <v>23</v>
      </c>
      <c r="V798" s="101">
        <f>V770-V797</f>
        <v>6</v>
      </c>
      <c r="W798" s="8">
        <f t="shared" ref="W798:X798" si="1329">W770-W797</f>
        <v>6</v>
      </c>
      <c r="X798" s="8">
        <f t="shared" si="1329"/>
        <v>5</v>
      </c>
      <c r="Y798" s="8">
        <f>Y770-Y797</f>
        <v>5</v>
      </c>
      <c r="Z798" s="87">
        <f t="shared" si="1279"/>
        <v>22</v>
      </c>
      <c r="AA798" s="107">
        <f t="shared" si="1280"/>
        <v>118</v>
      </c>
      <c r="AC798" s="29" t="s">
        <v>13</v>
      </c>
      <c r="AD798" s="32">
        <f>AD770-AD797</f>
        <v>535</v>
      </c>
      <c r="AE798" s="44">
        <f t="shared" ref="AE798:AF798" si="1330">AE770-AE797</f>
        <v>472</v>
      </c>
      <c r="AF798" s="44">
        <f t="shared" si="1330"/>
        <v>103</v>
      </c>
      <c r="AG798" s="44">
        <f>AG770-AG797</f>
        <v>372</v>
      </c>
      <c r="AH798" s="87">
        <f t="shared" si="1281"/>
        <v>1482</v>
      </c>
      <c r="AI798" s="32">
        <f>AI770-AI797</f>
        <v>488</v>
      </c>
      <c r="AJ798" s="44">
        <f t="shared" ref="AJ798:AK798" si="1331">AJ770-AJ797</f>
        <v>384</v>
      </c>
      <c r="AK798" s="44">
        <f t="shared" si="1331"/>
        <v>133</v>
      </c>
      <c r="AL798" s="44">
        <f>AL770-AL797</f>
        <v>386</v>
      </c>
      <c r="AM798" s="87">
        <f t="shared" si="1282"/>
        <v>1391</v>
      </c>
      <c r="AN798" s="32">
        <f>AN770-AN797</f>
        <v>254</v>
      </c>
      <c r="AO798" s="44">
        <f t="shared" ref="AO798:AP798" si="1332">AO770-AO797</f>
        <v>225</v>
      </c>
      <c r="AP798" s="44">
        <f t="shared" si="1332"/>
        <v>142</v>
      </c>
      <c r="AQ798" s="44">
        <f>AQ770-AQ797</f>
        <v>327</v>
      </c>
      <c r="AR798" s="87">
        <f t="shared" si="1283"/>
        <v>948</v>
      </c>
      <c r="AS798" s="32">
        <f>AS770-AS797</f>
        <v>407</v>
      </c>
      <c r="AT798" s="44">
        <f t="shared" ref="AT798:AU798" si="1333">AT770-AT797</f>
        <v>322</v>
      </c>
      <c r="AU798" s="44">
        <f t="shared" si="1333"/>
        <v>99</v>
      </c>
      <c r="AV798" s="44">
        <f>AV770-AV797</f>
        <v>462</v>
      </c>
      <c r="AW798" s="87">
        <f t="shared" si="1284"/>
        <v>1290</v>
      </c>
      <c r="AX798" s="32">
        <f>AX770-AX797</f>
        <v>263</v>
      </c>
      <c r="AY798" s="44">
        <f t="shared" ref="AY798:AZ798" si="1334">AY770-AY797</f>
        <v>293</v>
      </c>
      <c r="AZ798" s="44">
        <f t="shared" si="1334"/>
        <v>213</v>
      </c>
      <c r="BA798" s="44">
        <f>BA770-BA797</f>
        <v>42</v>
      </c>
      <c r="BB798" s="87">
        <f t="shared" si="1285"/>
        <v>811</v>
      </c>
      <c r="BC798" s="107">
        <f t="shared" si="1286"/>
        <v>5922</v>
      </c>
    </row>
  </sheetData>
  <mergeCells count="257">
    <mergeCell ref="AN762:AQ762"/>
    <mergeCell ref="AS762:AV762"/>
    <mergeCell ref="AX762:BA762"/>
    <mergeCell ref="A761:F761"/>
    <mergeCell ref="B762:E762"/>
    <mergeCell ref="G762:J762"/>
    <mergeCell ref="L762:O762"/>
    <mergeCell ref="Q762:T762"/>
    <mergeCell ref="V762:Y762"/>
    <mergeCell ref="AA762:AA763"/>
    <mergeCell ref="AD762:AG762"/>
    <mergeCell ref="AI762:AL762"/>
    <mergeCell ref="AD722:AG722"/>
    <mergeCell ref="AI722:AL722"/>
    <mergeCell ref="AN722:AQ722"/>
    <mergeCell ref="AS722:AV722"/>
    <mergeCell ref="AX722:BA722"/>
    <mergeCell ref="A721:F721"/>
    <mergeCell ref="B722:E722"/>
    <mergeCell ref="G722:J722"/>
    <mergeCell ref="L722:O722"/>
    <mergeCell ref="Q722:T722"/>
    <mergeCell ref="V722:Y722"/>
    <mergeCell ref="AA722:AA723"/>
    <mergeCell ref="AN682:AQ682"/>
    <mergeCell ref="AS682:AV682"/>
    <mergeCell ref="AX682:BA682"/>
    <mergeCell ref="A681:F681"/>
    <mergeCell ref="B682:E682"/>
    <mergeCell ref="G682:J682"/>
    <mergeCell ref="L682:O682"/>
    <mergeCell ref="Q682:T682"/>
    <mergeCell ref="V682:Y682"/>
    <mergeCell ref="AA682:AA683"/>
    <mergeCell ref="AD682:AG682"/>
    <mergeCell ref="AI682:AL682"/>
    <mergeCell ref="AD642:AG642"/>
    <mergeCell ref="AI642:AL642"/>
    <mergeCell ref="AN642:AQ642"/>
    <mergeCell ref="AS642:AV642"/>
    <mergeCell ref="AX642:BA642"/>
    <mergeCell ref="A641:F641"/>
    <mergeCell ref="B642:E642"/>
    <mergeCell ref="G642:J642"/>
    <mergeCell ref="L642:O642"/>
    <mergeCell ref="Q642:T642"/>
    <mergeCell ref="V642:Y642"/>
    <mergeCell ref="AA642:AA643"/>
    <mergeCell ref="AD602:AG602"/>
    <mergeCell ref="AI602:AL602"/>
    <mergeCell ref="AN602:AQ602"/>
    <mergeCell ref="AS602:AV602"/>
    <mergeCell ref="AX602:BA602"/>
    <mergeCell ref="A601:F601"/>
    <mergeCell ref="B602:E602"/>
    <mergeCell ref="G602:J602"/>
    <mergeCell ref="L602:O602"/>
    <mergeCell ref="Q602:T602"/>
    <mergeCell ref="V602:Y602"/>
    <mergeCell ref="AA602:AA603"/>
    <mergeCell ref="AD562:AG562"/>
    <mergeCell ref="AI562:AL562"/>
    <mergeCell ref="AN562:AQ562"/>
    <mergeCell ref="AS562:AV562"/>
    <mergeCell ref="AX562:BA562"/>
    <mergeCell ref="A561:F561"/>
    <mergeCell ref="B562:E562"/>
    <mergeCell ref="G562:J562"/>
    <mergeCell ref="L562:O562"/>
    <mergeCell ref="Q562:T562"/>
    <mergeCell ref="V562:Y562"/>
    <mergeCell ref="AA562:AA563"/>
    <mergeCell ref="AD522:AG522"/>
    <mergeCell ref="AI522:AL522"/>
    <mergeCell ref="AN522:AQ522"/>
    <mergeCell ref="AS522:AV522"/>
    <mergeCell ref="AX522:BA522"/>
    <mergeCell ref="A521:F521"/>
    <mergeCell ref="B522:E522"/>
    <mergeCell ref="G522:J522"/>
    <mergeCell ref="L522:O522"/>
    <mergeCell ref="Q522:T522"/>
    <mergeCell ref="V522:Y522"/>
    <mergeCell ref="AA522:AA523"/>
    <mergeCell ref="AN402:AQ402"/>
    <mergeCell ref="AS402:AV402"/>
    <mergeCell ref="AX402:BA402"/>
    <mergeCell ref="A401:F401"/>
    <mergeCell ref="B402:E402"/>
    <mergeCell ref="G402:J402"/>
    <mergeCell ref="L402:O402"/>
    <mergeCell ref="Q402:T402"/>
    <mergeCell ref="V402:Y402"/>
    <mergeCell ref="AA402:AA403"/>
    <mergeCell ref="AD402:AG402"/>
    <mergeCell ref="AI402:AL402"/>
    <mergeCell ref="AN362:AQ362"/>
    <mergeCell ref="AS362:AV362"/>
    <mergeCell ref="AX362:BA362"/>
    <mergeCell ref="A361:F361"/>
    <mergeCell ref="B362:E362"/>
    <mergeCell ref="G362:J362"/>
    <mergeCell ref="L362:O362"/>
    <mergeCell ref="Q362:T362"/>
    <mergeCell ref="V362:Y362"/>
    <mergeCell ref="AA362:AA363"/>
    <mergeCell ref="AD362:AG362"/>
    <mergeCell ref="AI362:AL362"/>
    <mergeCell ref="V242:Y242"/>
    <mergeCell ref="AA242:AA243"/>
    <mergeCell ref="BF204:BF205"/>
    <mergeCell ref="BG204:BG205"/>
    <mergeCell ref="BH204:BH205"/>
    <mergeCell ref="AD242:AG242"/>
    <mergeCell ref="AI242:AL242"/>
    <mergeCell ref="AN242:AQ242"/>
    <mergeCell ref="AS242:AV242"/>
    <mergeCell ref="AX242:BA242"/>
    <mergeCell ref="A281:F281"/>
    <mergeCell ref="B282:E282"/>
    <mergeCell ref="G282:J282"/>
    <mergeCell ref="L282:O282"/>
    <mergeCell ref="Q282:T282"/>
    <mergeCell ref="A241:F241"/>
    <mergeCell ref="B242:E242"/>
    <mergeCell ref="G242:J242"/>
    <mergeCell ref="L242:O242"/>
    <mergeCell ref="Q242:T242"/>
    <mergeCell ref="A161:F161"/>
    <mergeCell ref="B162:E162"/>
    <mergeCell ref="G162:J162"/>
    <mergeCell ref="L162:O162"/>
    <mergeCell ref="Q162:T162"/>
    <mergeCell ref="BC122:BC123"/>
    <mergeCell ref="A121:F121"/>
    <mergeCell ref="B122:E122"/>
    <mergeCell ref="G122:J122"/>
    <mergeCell ref="L122:O122"/>
    <mergeCell ref="Q122:T122"/>
    <mergeCell ref="V122:Y122"/>
    <mergeCell ref="AA122:AA123"/>
    <mergeCell ref="AD122:AG122"/>
    <mergeCell ref="AI122:AL122"/>
    <mergeCell ref="AN122:AQ122"/>
    <mergeCell ref="AS122:AV122"/>
    <mergeCell ref="AX122:BA122"/>
    <mergeCell ref="BC162:BC163"/>
    <mergeCell ref="AD162:AG162"/>
    <mergeCell ref="AI162:AL162"/>
    <mergeCell ref="AN162:AQ162"/>
    <mergeCell ref="AS162:AV162"/>
    <mergeCell ref="AX162:BA162"/>
    <mergeCell ref="A1:I1"/>
    <mergeCell ref="A41:I41"/>
    <mergeCell ref="AS82:AV82"/>
    <mergeCell ref="AX82:BA82"/>
    <mergeCell ref="BC82:BC83"/>
    <mergeCell ref="V82:Y82"/>
    <mergeCell ref="AA82:AA83"/>
    <mergeCell ref="AD82:AG82"/>
    <mergeCell ref="AI82:AL82"/>
    <mergeCell ref="AN82:AQ82"/>
    <mergeCell ref="A81:F81"/>
    <mergeCell ref="B82:E82"/>
    <mergeCell ref="G82:J82"/>
    <mergeCell ref="L82:O82"/>
    <mergeCell ref="Q82:T82"/>
    <mergeCell ref="AD42:AG42"/>
    <mergeCell ref="AN42:AQ42"/>
    <mergeCell ref="AS42:AV42"/>
    <mergeCell ref="AX42:BA42"/>
    <mergeCell ref="AI2:AL2"/>
    <mergeCell ref="AN2:AQ2"/>
    <mergeCell ref="AS2:AV2"/>
    <mergeCell ref="AX2:BA2"/>
    <mergeCell ref="BC42:BC43"/>
    <mergeCell ref="B2:E2"/>
    <mergeCell ref="BC2:BC3"/>
    <mergeCell ref="B42:E42"/>
    <mergeCell ref="G42:J42"/>
    <mergeCell ref="L42:O42"/>
    <mergeCell ref="Q42:T42"/>
    <mergeCell ref="V42:Y42"/>
    <mergeCell ref="AA42:AA43"/>
    <mergeCell ref="G2:J2"/>
    <mergeCell ref="L2:O2"/>
    <mergeCell ref="Q2:T2"/>
    <mergeCell ref="V2:Y2"/>
    <mergeCell ref="AA2:AA3"/>
    <mergeCell ref="AD2:AG2"/>
    <mergeCell ref="AI42:AL42"/>
    <mergeCell ref="A201:F201"/>
    <mergeCell ref="B202:E202"/>
    <mergeCell ref="G202:J202"/>
    <mergeCell ref="L202:O202"/>
    <mergeCell ref="Q202:T202"/>
    <mergeCell ref="V202:Y202"/>
    <mergeCell ref="AA202:AA203"/>
    <mergeCell ref="AD202:AG202"/>
    <mergeCell ref="AI202:AL202"/>
    <mergeCell ref="AN322:AQ322"/>
    <mergeCell ref="AS322:AV322"/>
    <mergeCell ref="AX322:BA322"/>
    <mergeCell ref="V162:Y162"/>
    <mergeCell ref="AA162:AA163"/>
    <mergeCell ref="BJ165:BJ166"/>
    <mergeCell ref="BC202:BC203"/>
    <mergeCell ref="AN202:AQ202"/>
    <mergeCell ref="AS202:AV202"/>
    <mergeCell ref="AX202:BA202"/>
    <mergeCell ref="BE165:BE166"/>
    <mergeCell ref="BF165:BF166"/>
    <mergeCell ref="BG165:BG166"/>
    <mergeCell ref="BH165:BH166"/>
    <mergeCell ref="BI165:BI166"/>
    <mergeCell ref="AD282:AG282"/>
    <mergeCell ref="AI282:AL282"/>
    <mergeCell ref="AN282:AQ282"/>
    <mergeCell ref="AS282:AV282"/>
    <mergeCell ref="AX282:BA282"/>
    <mergeCell ref="BI204:BI205"/>
    <mergeCell ref="BE204:BE205"/>
    <mergeCell ref="V282:Y282"/>
    <mergeCell ref="AA282:AA283"/>
    <mergeCell ref="A321:F321"/>
    <mergeCell ref="B322:E322"/>
    <mergeCell ref="G322:J322"/>
    <mergeCell ref="L322:O322"/>
    <mergeCell ref="Q322:T322"/>
    <mergeCell ref="V322:Y322"/>
    <mergeCell ref="AA322:AA323"/>
    <mergeCell ref="AD322:AG322"/>
    <mergeCell ref="AI322:AL322"/>
    <mergeCell ref="AD442:AG442"/>
    <mergeCell ref="AI442:AL442"/>
    <mergeCell ref="AN442:AQ442"/>
    <mergeCell ref="AS442:AV442"/>
    <mergeCell ref="AX442:BA442"/>
    <mergeCell ref="A441:F441"/>
    <mergeCell ref="B442:E442"/>
    <mergeCell ref="G442:J442"/>
    <mergeCell ref="L442:O442"/>
    <mergeCell ref="Q442:T442"/>
    <mergeCell ref="V442:Y442"/>
    <mergeCell ref="AA442:AA443"/>
    <mergeCell ref="AD482:AG482"/>
    <mergeCell ref="AI482:AL482"/>
    <mergeCell ref="AN482:AQ482"/>
    <mergeCell ref="AS482:AV482"/>
    <mergeCell ref="AX482:BA482"/>
    <mergeCell ref="A481:F481"/>
    <mergeCell ref="B482:E482"/>
    <mergeCell ref="G482:J482"/>
    <mergeCell ref="L482:O482"/>
    <mergeCell ref="Q482:T482"/>
    <mergeCell ref="V482:Y482"/>
    <mergeCell ref="AA482:AA48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3色組</vt:lpstr>
      <vt:lpstr>単品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dcterms:created xsi:type="dcterms:W3CDTF">2020-04-13T02:32:41Z</dcterms:created>
  <dcterms:modified xsi:type="dcterms:W3CDTF">2026-06-18T09:35:02Z</dcterms:modified>
</cp:coreProperties>
</file>