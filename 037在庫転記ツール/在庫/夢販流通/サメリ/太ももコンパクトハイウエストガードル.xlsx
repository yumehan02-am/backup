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サメリ\"/>
    </mc:Choice>
  </mc:AlternateContent>
  <xr:revisionPtr revIDLastSave="0" documentId="13_ncr:1_{E7796E65-198A-4B36-92E5-178428BE96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50" i="1" l="1"/>
  <c r="Q2250" i="1" s="1"/>
  <c r="P2250" i="1"/>
  <c r="M2251" i="1"/>
  <c r="Q2251" i="1" s="1"/>
  <c r="P2251" i="1"/>
  <c r="M2252" i="1"/>
  <c r="P2252" i="1"/>
  <c r="Q2252" i="1" s="1"/>
  <c r="M2253" i="1"/>
  <c r="P2253" i="1"/>
  <c r="Q2253" i="1"/>
  <c r="M2254" i="1"/>
  <c r="Q2254" i="1" s="1"/>
  <c r="P2254" i="1"/>
  <c r="M2255" i="1"/>
  <c r="Q2255" i="1" s="1"/>
  <c r="P2255" i="1"/>
  <c r="M2256" i="1"/>
  <c r="P2256" i="1"/>
  <c r="Q2256" i="1" s="1"/>
  <c r="D2241" i="1"/>
  <c r="H2241" i="1" s="1"/>
  <c r="G2241" i="1"/>
  <c r="D2242" i="1"/>
  <c r="H2242" i="1" s="1"/>
  <c r="G2242" i="1"/>
  <c r="D2243" i="1"/>
  <c r="G2243" i="1"/>
  <c r="D2244" i="1"/>
  <c r="G2244" i="1"/>
  <c r="H2244" i="1"/>
  <c r="D2245" i="1"/>
  <c r="H2245" i="1" s="1"/>
  <c r="G2245" i="1"/>
  <c r="D2246" i="1"/>
  <c r="H2246" i="1" s="1"/>
  <c r="G2246" i="1"/>
  <c r="D2247" i="1"/>
  <c r="G2247" i="1"/>
  <c r="H2247" i="1" s="1"/>
  <c r="O2276" i="1"/>
  <c r="P2276" i="1" s="1"/>
  <c r="N2276" i="1"/>
  <c r="L2276" i="1"/>
  <c r="K2276" i="1"/>
  <c r="F2276" i="1"/>
  <c r="E2276" i="1"/>
  <c r="G2276" i="1" s="1"/>
  <c r="C2276" i="1"/>
  <c r="B2276" i="1"/>
  <c r="D2276" i="1" s="1"/>
  <c r="P2275" i="1"/>
  <c r="Q2275" i="1" s="1"/>
  <c r="M2275" i="1"/>
  <c r="H2275" i="1"/>
  <c r="G2275" i="1"/>
  <c r="D2275" i="1"/>
  <c r="P2274" i="1"/>
  <c r="M2274" i="1"/>
  <c r="Q2274" i="1" s="1"/>
  <c r="G2274" i="1"/>
  <c r="D2274" i="1"/>
  <c r="H2274" i="1" s="1"/>
  <c r="Q2273" i="1"/>
  <c r="P2273" i="1"/>
  <c r="M2273" i="1"/>
  <c r="G2273" i="1"/>
  <c r="D2273" i="1"/>
  <c r="H2273" i="1" s="1"/>
  <c r="P2272" i="1"/>
  <c r="M2272" i="1"/>
  <c r="Q2272" i="1" s="1"/>
  <c r="G2272" i="1"/>
  <c r="D2272" i="1"/>
  <c r="H2272" i="1" s="1"/>
  <c r="Q2271" i="1"/>
  <c r="P2271" i="1"/>
  <c r="M2271" i="1"/>
  <c r="H2271" i="1"/>
  <c r="G2271" i="1"/>
  <c r="D2271" i="1"/>
  <c r="P2270" i="1"/>
  <c r="M2270" i="1"/>
  <c r="Q2270" i="1" s="1"/>
  <c r="G2270" i="1"/>
  <c r="D2270" i="1"/>
  <c r="H2270" i="1" s="1"/>
  <c r="Q2269" i="1"/>
  <c r="P2269" i="1"/>
  <c r="M2269" i="1"/>
  <c r="G2269" i="1"/>
  <c r="D2269" i="1"/>
  <c r="H2269" i="1" s="1"/>
  <c r="P2268" i="1"/>
  <c r="M2268" i="1"/>
  <c r="Q2268" i="1" s="1"/>
  <c r="G2268" i="1"/>
  <c r="D2268" i="1"/>
  <c r="H2268" i="1" s="1"/>
  <c r="Q2267" i="1"/>
  <c r="P2267" i="1"/>
  <c r="M2267" i="1"/>
  <c r="H2267" i="1"/>
  <c r="G2267" i="1"/>
  <c r="D2267" i="1"/>
  <c r="P2266" i="1"/>
  <c r="M2266" i="1"/>
  <c r="Q2266" i="1" s="1"/>
  <c r="G2266" i="1"/>
  <c r="D2266" i="1"/>
  <c r="H2266" i="1" s="1"/>
  <c r="Q2265" i="1"/>
  <c r="P2265" i="1"/>
  <c r="M2265" i="1"/>
  <c r="G2265" i="1"/>
  <c r="D2265" i="1"/>
  <c r="H2265" i="1" s="1"/>
  <c r="P2264" i="1"/>
  <c r="M2264" i="1"/>
  <c r="Q2264" i="1" s="1"/>
  <c r="G2264" i="1"/>
  <c r="D2264" i="1"/>
  <c r="H2264" i="1" s="1"/>
  <c r="Q2263" i="1"/>
  <c r="P2263" i="1"/>
  <c r="M2263" i="1"/>
  <c r="G2263" i="1"/>
  <c r="D2263" i="1"/>
  <c r="H2263" i="1" s="1"/>
  <c r="P2262" i="1"/>
  <c r="M2262" i="1"/>
  <c r="Q2262" i="1" s="1"/>
  <c r="G2262" i="1"/>
  <c r="D2262" i="1"/>
  <c r="H2262" i="1" s="1"/>
  <c r="Q2261" i="1"/>
  <c r="P2261" i="1"/>
  <c r="M2261" i="1"/>
  <c r="G2261" i="1"/>
  <c r="D2261" i="1"/>
  <c r="H2261" i="1" s="1"/>
  <c r="P2260" i="1"/>
  <c r="M2260" i="1"/>
  <c r="Q2260" i="1" s="1"/>
  <c r="G2260" i="1"/>
  <c r="D2260" i="1"/>
  <c r="H2260" i="1" s="1"/>
  <c r="Q2259" i="1"/>
  <c r="P2259" i="1"/>
  <c r="M2259" i="1"/>
  <c r="G2259" i="1"/>
  <c r="D2259" i="1"/>
  <c r="H2259" i="1" s="1"/>
  <c r="P2258" i="1"/>
  <c r="M2258" i="1"/>
  <c r="Q2258" i="1" s="1"/>
  <c r="G2258" i="1"/>
  <c r="D2258" i="1"/>
  <c r="H2258" i="1" s="1"/>
  <c r="Q2257" i="1"/>
  <c r="P2257" i="1"/>
  <c r="M2257" i="1"/>
  <c r="G2257" i="1"/>
  <c r="D2257" i="1"/>
  <c r="H2257" i="1" s="1"/>
  <c r="G2256" i="1"/>
  <c r="D2256" i="1"/>
  <c r="H2256" i="1" s="1"/>
  <c r="G2255" i="1"/>
  <c r="D2255" i="1"/>
  <c r="H2255" i="1" s="1"/>
  <c r="G2254" i="1"/>
  <c r="D2254" i="1"/>
  <c r="H2254" i="1" s="1"/>
  <c r="G2253" i="1"/>
  <c r="D2253" i="1"/>
  <c r="H2253" i="1" s="1"/>
  <c r="G2252" i="1"/>
  <c r="D2252" i="1"/>
  <c r="H2252" i="1" s="1"/>
  <c r="G2251" i="1"/>
  <c r="D2251" i="1"/>
  <c r="H2251" i="1" s="1"/>
  <c r="G2250" i="1"/>
  <c r="D2250" i="1"/>
  <c r="H2250" i="1" s="1"/>
  <c r="N2249" i="1"/>
  <c r="P2249" i="1" s="1"/>
  <c r="C2249" i="1"/>
  <c r="C2277" i="1" s="1"/>
  <c r="P2248" i="1"/>
  <c r="M2248" i="1"/>
  <c r="Q2248" i="1" s="1"/>
  <c r="G2248" i="1"/>
  <c r="D2248" i="1"/>
  <c r="H2248" i="1" s="1"/>
  <c r="Q2247" i="1"/>
  <c r="P2247" i="1"/>
  <c r="M2247" i="1"/>
  <c r="P2246" i="1"/>
  <c r="M2246" i="1"/>
  <c r="Q2246" i="1" s="1"/>
  <c r="Q2245" i="1"/>
  <c r="P2245" i="1"/>
  <c r="M2245" i="1"/>
  <c r="P2244" i="1"/>
  <c r="M2244" i="1"/>
  <c r="Q2244" i="1" s="1"/>
  <c r="Q2243" i="1"/>
  <c r="P2243" i="1"/>
  <c r="M2243" i="1"/>
  <c r="P2242" i="1"/>
  <c r="M2242" i="1"/>
  <c r="Q2242" i="1" s="1"/>
  <c r="Q2241" i="1"/>
  <c r="P2241" i="1"/>
  <c r="M2241" i="1"/>
  <c r="P2240" i="1"/>
  <c r="O2240" i="1"/>
  <c r="O2249" i="1" s="1"/>
  <c r="N2240" i="1"/>
  <c r="L2240" i="1"/>
  <c r="L2249" i="1" s="1"/>
  <c r="K2240" i="1"/>
  <c r="K2249" i="1" s="1"/>
  <c r="F2240" i="1"/>
  <c r="F2249" i="1" s="1"/>
  <c r="F2277" i="1" s="1"/>
  <c r="E2240" i="1"/>
  <c r="E2249" i="1" s="1"/>
  <c r="C2240" i="1"/>
  <c r="B2240" i="1"/>
  <c r="B2249" i="1" s="1"/>
  <c r="M2207" i="1"/>
  <c r="P2207" i="1"/>
  <c r="Q2207" i="1" s="1"/>
  <c r="M2208" i="1"/>
  <c r="P2208" i="1"/>
  <c r="Q2208" i="1"/>
  <c r="M2209" i="1"/>
  <c r="P2209" i="1"/>
  <c r="M2210" i="1"/>
  <c r="Q2210" i="1" s="1"/>
  <c r="P2210" i="1"/>
  <c r="M2211" i="1"/>
  <c r="P2211" i="1"/>
  <c r="D2198" i="1"/>
  <c r="G2198" i="1"/>
  <c r="H2198" i="1" s="1"/>
  <c r="D2199" i="1"/>
  <c r="G2199" i="1"/>
  <c r="H2199" i="1"/>
  <c r="D2200" i="1"/>
  <c r="G2200" i="1"/>
  <c r="D2201" i="1"/>
  <c r="H2201" i="1" s="1"/>
  <c r="G2201" i="1"/>
  <c r="D2202" i="1"/>
  <c r="G2202" i="1"/>
  <c r="H2202" i="1" s="1"/>
  <c r="D2203" i="1"/>
  <c r="G2203" i="1"/>
  <c r="H2203" i="1"/>
  <c r="D2207" i="1"/>
  <c r="G2207" i="1"/>
  <c r="D2208" i="1"/>
  <c r="G2208" i="1"/>
  <c r="H2208" i="1"/>
  <c r="D2209" i="1"/>
  <c r="G2209" i="1"/>
  <c r="H2209" i="1" s="1"/>
  <c r="D2210" i="1"/>
  <c r="H2210" i="1" s="1"/>
  <c r="G2210" i="1"/>
  <c r="D2211" i="1"/>
  <c r="G2211" i="1"/>
  <c r="H2211" i="1" s="1"/>
  <c r="D2212" i="1"/>
  <c r="H2212" i="1" s="1"/>
  <c r="G2212" i="1"/>
  <c r="D2213" i="1"/>
  <c r="G2213" i="1"/>
  <c r="H2213" i="1" s="1"/>
  <c r="D2214" i="1"/>
  <c r="H2214" i="1" s="1"/>
  <c r="G2214" i="1"/>
  <c r="D2215" i="1"/>
  <c r="G2215" i="1"/>
  <c r="H2215" i="1" s="1"/>
  <c r="D2216" i="1"/>
  <c r="H2216" i="1" s="1"/>
  <c r="G2216" i="1"/>
  <c r="D2217" i="1"/>
  <c r="G2217" i="1"/>
  <c r="H2217" i="1" s="1"/>
  <c r="D2218" i="1"/>
  <c r="G2218" i="1"/>
  <c r="H2218" i="1"/>
  <c r="D2219" i="1"/>
  <c r="G2219" i="1"/>
  <c r="D2220" i="1"/>
  <c r="G2220" i="1"/>
  <c r="H2220" i="1"/>
  <c r="D2221" i="1"/>
  <c r="G2221" i="1"/>
  <c r="D2222" i="1"/>
  <c r="H2222" i="1" s="1"/>
  <c r="G2222" i="1"/>
  <c r="D2223" i="1"/>
  <c r="G2223" i="1"/>
  <c r="H2223" i="1" s="1"/>
  <c r="D2224" i="1"/>
  <c r="H2224" i="1" s="1"/>
  <c r="G2224" i="1"/>
  <c r="D2225" i="1"/>
  <c r="G2225" i="1"/>
  <c r="H2225" i="1" s="1"/>
  <c r="D2226" i="1"/>
  <c r="G2226" i="1"/>
  <c r="H2226" i="1"/>
  <c r="D2227" i="1"/>
  <c r="G2227" i="1"/>
  <c r="H2227" i="1" s="1"/>
  <c r="D2228" i="1"/>
  <c r="H2228" i="1" s="1"/>
  <c r="G2228" i="1"/>
  <c r="O2233" i="1"/>
  <c r="N2233" i="1"/>
  <c r="P2233" i="1" s="1"/>
  <c r="L2233" i="1"/>
  <c r="K2233" i="1"/>
  <c r="M2233" i="1" s="1"/>
  <c r="Q2233" i="1" s="1"/>
  <c r="F2233" i="1"/>
  <c r="E2233" i="1"/>
  <c r="G2233" i="1" s="1"/>
  <c r="C2233" i="1"/>
  <c r="B2233" i="1"/>
  <c r="D2233" i="1" s="1"/>
  <c r="Q2232" i="1"/>
  <c r="P2232" i="1"/>
  <c r="M2232" i="1"/>
  <c r="G2232" i="1"/>
  <c r="D2232" i="1"/>
  <c r="H2232" i="1" s="1"/>
  <c r="Q2231" i="1"/>
  <c r="P2231" i="1"/>
  <c r="M2231" i="1"/>
  <c r="G2231" i="1"/>
  <c r="D2231" i="1"/>
  <c r="H2231" i="1" s="1"/>
  <c r="Q2230" i="1"/>
  <c r="P2230" i="1"/>
  <c r="M2230" i="1"/>
  <c r="G2230" i="1"/>
  <c r="D2230" i="1"/>
  <c r="H2230" i="1" s="1"/>
  <c r="Q2229" i="1"/>
  <c r="P2229" i="1"/>
  <c r="M2229" i="1"/>
  <c r="G2229" i="1"/>
  <c r="D2229" i="1"/>
  <c r="H2229" i="1" s="1"/>
  <c r="Q2228" i="1"/>
  <c r="P2228" i="1"/>
  <c r="M2228" i="1"/>
  <c r="Q2227" i="1"/>
  <c r="P2227" i="1"/>
  <c r="M2227" i="1"/>
  <c r="Q2226" i="1"/>
  <c r="P2226" i="1"/>
  <c r="M2226" i="1"/>
  <c r="Q2225" i="1"/>
  <c r="P2225" i="1"/>
  <c r="M2225" i="1"/>
  <c r="Q2224" i="1"/>
  <c r="P2224" i="1"/>
  <c r="M2224" i="1"/>
  <c r="Q2223" i="1"/>
  <c r="P2223" i="1"/>
  <c r="M2223" i="1"/>
  <c r="Q2222" i="1"/>
  <c r="P2222" i="1"/>
  <c r="M2222" i="1"/>
  <c r="Q2221" i="1"/>
  <c r="P2221" i="1"/>
  <c r="M2221" i="1"/>
  <c r="Q2220" i="1"/>
  <c r="P2220" i="1"/>
  <c r="M2220" i="1"/>
  <c r="Q2219" i="1"/>
  <c r="P2219" i="1"/>
  <c r="M2219" i="1"/>
  <c r="Q2218" i="1"/>
  <c r="P2218" i="1"/>
  <c r="M2218" i="1"/>
  <c r="Q2217" i="1"/>
  <c r="P2217" i="1"/>
  <c r="M2217" i="1"/>
  <c r="Q2216" i="1"/>
  <c r="P2216" i="1"/>
  <c r="M2216" i="1"/>
  <c r="Q2215" i="1"/>
  <c r="P2215" i="1"/>
  <c r="M2215" i="1"/>
  <c r="Q2214" i="1"/>
  <c r="P2214" i="1"/>
  <c r="M2214" i="1"/>
  <c r="P2213" i="1"/>
  <c r="M2213" i="1"/>
  <c r="Q2213" i="1" s="1"/>
  <c r="P2212" i="1"/>
  <c r="M2212" i="1"/>
  <c r="Q2212" i="1" s="1"/>
  <c r="O2206" i="1"/>
  <c r="O2234" i="1" s="1"/>
  <c r="E2206" i="1"/>
  <c r="C2206" i="1"/>
  <c r="C2234" i="1" s="1"/>
  <c r="P2205" i="1"/>
  <c r="Q2205" i="1" s="1"/>
  <c r="M2205" i="1"/>
  <c r="G2205" i="1"/>
  <c r="D2205" i="1"/>
  <c r="H2205" i="1" s="1"/>
  <c r="P2204" i="1"/>
  <c r="Q2204" i="1" s="1"/>
  <c r="M2204" i="1"/>
  <c r="G2204" i="1"/>
  <c r="D2204" i="1"/>
  <c r="H2204" i="1" s="1"/>
  <c r="P2203" i="1"/>
  <c r="Q2203" i="1" s="1"/>
  <c r="M2203" i="1"/>
  <c r="P2202" i="1"/>
  <c r="Q2202" i="1" s="1"/>
  <c r="M2202" i="1"/>
  <c r="P2201" i="1"/>
  <c r="Q2201" i="1" s="1"/>
  <c r="M2201" i="1"/>
  <c r="P2200" i="1"/>
  <c r="Q2200" i="1" s="1"/>
  <c r="M2200" i="1"/>
  <c r="P2199" i="1"/>
  <c r="Q2199" i="1" s="1"/>
  <c r="M2199" i="1"/>
  <c r="P2198" i="1"/>
  <c r="Q2198" i="1" s="1"/>
  <c r="M2198" i="1"/>
  <c r="O2197" i="1"/>
  <c r="N2197" i="1"/>
  <c r="N2206" i="1" s="1"/>
  <c r="L2197" i="1"/>
  <c r="F2197" i="1"/>
  <c r="G2197" i="1" s="1"/>
  <c r="E2197" i="1"/>
  <c r="C2197" i="1"/>
  <c r="M2164" i="1"/>
  <c r="P2164" i="1"/>
  <c r="Q2164" i="1" s="1"/>
  <c r="M2165" i="1"/>
  <c r="P2165" i="1"/>
  <c r="Q2165" i="1"/>
  <c r="M2166" i="1"/>
  <c r="P2166" i="1"/>
  <c r="D2164" i="1"/>
  <c r="G2164" i="1"/>
  <c r="D2165" i="1"/>
  <c r="G2165" i="1"/>
  <c r="H2165" i="1" s="1"/>
  <c r="D2166" i="1"/>
  <c r="G2166" i="1"/>
  <c r="H2166" i="1" s="1"/>
  <c r="D2167" i="1"/>
  <c r="G2167" i="1"/>
  <c r="H2167" i="1" s="1"/>
  <c r="D2168" i="1"/>
  <c r="G2168" i="1"/>
  <c r="H2168" i="1" s="1"/>
  <c r="D2169" i="1"/>
  <c r="G2169" i="1"/>
  <c r="H2169" i="1" s="1"/>
  <c r="D2170" i="1"/>
  <c r="G2170" i="1"/>
  <c r="H2170" i="1" s="1"/>
  <c r="D2171" i="1"/>
  <c r="G2171" i="1"/>
  <c r="H2171" i="1" s="1"/>
  <c r="D2172" i="1"/>
  <c r="G2172" i="1"/>
  <c r="D2173" i="1"/>
  <c r="G2173" i="1"/>
  <c r="H2173" i="1"/>
  <c r="D2174" i="1"/>
  <c r="G2174" i="1"/>
  <c r="D2175" i="1"/>
  <c r="G2175" i="1"/>
  <c r="H2175" i="1" s="1"/>
  <c r="D2176" i="1"/>
  <c r="G2176" i="1"/>
  <c r="H2176" i="1" s="1"/>
  <c r="D2177" i="1"/>
  <c r="H2177" i="1" s="1"/>
  <c r="G2177" i="1"/>
  <c r="D2178" i="1"/>
  <c r="G2178" i="1"/>
  <c r="H2178" i="1" s="1"/>
  <c r="D2179" i="1"/>
  <c r="H2179" i="1" s="1"/>
  <c r="G2179" i="1"/>
  <c r="D2180" i="1"/>
  <c r="G2180" i="1"/>
  <c r="H2180" i="1" s="1"/>
  <c r="D2181" i="1"/>
  <c r="H2181" i="1" s="1"/>
  <c r="G2181" i="1"/>
  <c r="D2182" i="1"/>
  <c r="G2182" i="1"/>
  <c r="H2182" i="1" s="1"/>
  <c r="D2183" i="1"/>
  <c r="H2183" i="1" s="1"/>
  <c r="G2183" i="1"/>
  <c r="D2184" i="1"/>
  <c r="G2184" i="1"/>
  <c r="H2184" i="1" s="1"/>
  <c r="D2155" i="1"/>
  <c r="G2155" i="1"/>
  <c r="D2156" i="1"/>
  <c r="G2156" i="1"/>
  <c r="H2156" i="1"/>
  <c r="D2157" i="1"/>
  <c r="G2157" i="1"/>
  <c r="H2157" i="1" s="1"/>
  <c r="D2158" i="1"/>
  <c r="G2158" i="1"/>
  <c r="H2158" i="1"/>
  <c r="O2190" i="1"/>
  <c r="N2190" i="1"/>
  <c r="L2190" i="1"/>
  <c r="K2190" i="1"/>
  <c r="F2190" i="1"/>
  <c r="C2190" i="1"/>
  <c r="P2189" i="1"/>
  <c r="M2189" i="1"/>
  <c r="Q2189" i="1" s="1"/>
  <c r="G2189" i="1"/>
  <c r="D2189" i="1"/>
  <c r="H2189" i="1" s="1"/>
  <c r="P2188" i="1"/>
  <c r="M2188" i="1"/>
  <c r="Q2188" i="1" s="1"/>
  <c r="G2188" i="1"/>
  <c r="D2188" i="1"/>
  <c r="H2188" i="1" s="1"/>
  <c r="P2187" i="1"/>
  <c r="M2187" i="1"/>
  <c r="Q2187" i="1" s="1"/>
  <c r="G2187" i="1"/>
  <c r="D2187" i="1"/>
  <c r="H2187" i="1" s="1"/>
  <c r="P2186" i="1"/>
  <c r="M2186" i="1"/>
  <c r="Q2186" i="1" s="1"/>
  <c r="G2186" i="1"/>
  <c r="D2186" i="1"/>
  <c r="H2186" i="1" s="1"/>
  <c r="P2185" i="1"/>
  <c r="M2185" i="1"/>
  <c r="Q2185" i="1" s="1"/>
  <c r="G2185" i="1"/>
  <c r="D2185" i="1"/>
  <c r="H2185" i="1" s="1"/>
  <c r="P2184" i="1"/>
  <c r="M2184" i="1"/>
  <c r="Q2184" i="1" s="1"/>
  <c r="P2183" i="1"/>
  <c r="M2183" i="1"/>
  <c r="Q2183" i="1" s="1"/>
  <c r="P2182" i="1"/>
  <c r="M2182" i="1"/>
  <c r="Q2182" i="1" s="1"/>
  <c r="E2190" i="1"/>
  <c r="G2190" i="1" s="1"/>
  <c r="P2181" i="1"/>
  <c r="M2181" i="1"/>
  <c r="Q2181" i="1" s="1"/>
  <c r="P2180" i="1"/>
  <c r="M2180" i="1"/>
  <c r="Q2180" i="1" s="1"/>
  <c r="P2179" i="1"/>
  <c r="M2179" i="1"/>
  <c r="Q2179" i="1" s="1"/>
  <c r="P2178" i="1"/>
  <c r="M2178" i="1"/>
  <c r="Q2178" i="1" s="1"/>
  <c r="P2177" i="1"/>
  <c r="M2177" i="1"/>
  <c r="Q2177" i="1" s="1"/>
  <c r="P2176" i="1"/>
  <c r="M2176" i="1"/>
  <c r="Q2176" i="1" s="1"/>
  <c r="P2175" i="1"/>
  <c r="M2175" i="1"/>
  <c r="Q2175" i="1" s="1"/>
  <c r="P2174" i="1"/>
  <c r="M2174" i="1"/>
  <c r="Q2174" i="1" s="1"/>
  <c r="P2173" i="1"/>
  <c r="M2173" i="1"/>
  <c r="Q2173" i="1" s="1"/>
  <c r="P2172" i="1"/>
  <c r="M2172" i="1"/>
  <c r="Q2172" i="1" s="1"/>
  <c r="P2171" i="1"/>
  <c r="M2171" i="1"/>
  <c r="Q2171" i="1" s="1"/>
  <c r="P2170" i="1"/>
  <c r="M2170" i="1"/>
  <c r="Q2170" i="1" s="1"/>
  <c r="P2169" i="1"/>
  <c r="M2169" i="1"/>
  <c r="P2168" i="1"/>
  <c r="M2168" i="1"/>
  <c r="Q2168" i="1" s="1"/>
  <c r="P2167" i="1"/>
  <c r="M2167" i="1"/>
  <c r="F2163" i="1"/>
  <c r="P2162" i="1"/>
  <c r="M2162" i="1"/>
  <c r="Q2162" i="1" s="1"/>
  <c r="G2162" i="1"/>
  <c r="D2162" i="1"/>
  <c r="H2162" i="1" s="1"/>
  <c r="P2161" i="1"/>
  <c r="M2161" i="1"/>
  <c r="G2161" i="1"/>
  <c r="D2161" i="1"/>
  <c r="H2161" i="1" s="1"/>
  <c r="P2160" i="1"/>
  <c r="M2160" i="1"/>
  <c r="Q2160" i="1" s="1"/>
  <c r="G2160" i="1"/>
  <c r="D2160" i="1"/>
  <c r="H2160" i="1" s="1"/>
  <c r="P2159" i="1"/>
  <c r="M2159" i="1"/>
  <c r="G2159" i="1"/>
  <c r="D2159" i="1"/>
  <c r="H2159" i="1" s="1"/>
  <c r="P2158" i="1"/>
  <c r="M2158" i="1"/>
  <c r="Q2158" i="1" s="1"/>
  <c r="P2157" i="1"/>
  <c r="M2157" i="1"/>
  <c r="P2156" i="1"/>
  <c r="M2156" i="1"/>
  <c r="Q2156" i="1" s="1"/>
  <c r="P2155" i="1"/>
  <c r="M2155" i="1"/>
  <c r="O2154" i="1"/>
  <c r="O2163" i="1" s="1"/>
  <c r="N2154" i="1"/>
  <c r="N2163" i="1" s="1"/>
  <c r="L2154" i="1"/>
  <c r="L2163" i="1" s="1"/>
  <c r="F2154" i="1"/>
  <c r="C2154" i="1"/>
  <c r="C2163" i="1" s="1"/>
  <c r="C2191" i="1" s="1"/>
  <c r="E2139" i="1"/>
  <c r="B2128" i="1"/>
  <c r="M2121" i="1"/>
  <c r="Q2121" i="1" s="1"/>
  <c r="P2121" i="1"/>
  <c r="M2122" i="1"/>
  <c r="Q2122" i="1" s="1"/>
  <c r="P2122" i="1"/>
  <c r="M2123" i="1"/>
  <c r="Q2123" i="1" s="1"/>
  <c r="P2123" i="1"/>
  <c r="M2124" i="1"/>
  <c r="P2124" i="1"/>
  <c r="Q2124" i="1"/>
  <c r="M2125" i="1"/>
  <c r="P2125" i="1"/>
  <c r="Q2125" i="1"/>
  <c r="M2126" i="1"/>
  <c r="Q2126" i="1" s="1"/>
  <c r="P2126" i="1"/>
  <c r="O2147" i="1"/>
  <c r="N2147" i="1"/>
  <c r="P2147" i="1" s="1"/>
  <c r="L2147" i="1"/>
  <c r="K2147" i="1"/>
  <c r="M2147" i="1" s="1"/>
  <c r="Q2147" i="1" s="1"/>
  <c r="P2146" i="1"/>
  <c r="Q2146" i="1" s="1"/>
  <c r="M2146" i="1"/>
  <c r="P2145" i="1"/>
  <c r="M2145" i="1"/>
  <c r="Q2145" i="1" s="1"/>
  <c r="P2144" i="1"/>
  <c r="M2144" i="1"/>
  <c r="Q2144" i="1" s="1"/>
  <c r="Q2143" i="1"/>
  <c r="P2143" i="1"/>
  <c r="M2143" i="1"/>
  <c r="P2142" i="1"/>
  <c r="Q2142" i="1" s="1"/>
  <c r="M2142" i="1"/>
  <c r="P2141" i="1"/>
  <c r="M2141" i="1"/>
  <c r="Q2141" i="1" s="1"/>
  <c r="P2140" i="1"/>
  <c r="M2140" i="1"/>
  <c r="Q2140" i="1" s="1"/>
  <c r="Q2139" i="1"/>
  <c r="P2139" i="1"/>
  <c r="M2139" i="1"/>
  <c r="P2138" i="1"/>
  <c r="Q2138" i="1" s="1"/>
  <c r="M2138" i="1"/>
  <c r="P2137" i="1"/>
  <c r="M2137" i="1"/>
  <c r="Q2137" i="1" s="1"/>
  <c r="P2136" i="1"/>
  <c r="M2136" i="1"/>
  <c r="Q2136" i="1" s="1"/>
  <c r="Q2135" i="1"/>
  <c r="P2135" i="1"/>
  <c r="M2135" i="1"/>
  <c r="P2134" i="1"/>
  <c r="Q2134" i="1" s="1"/>
  <c r="M2134" i="1"/>
  <c r="P2133" i="1"/>
  <c r="M2133" i="1"/>
  <c r="Q2133" i="1" s="1"/>
  <c r="P2132" i="1"/>
  <c r="M2132" i="1"/>
  <c r="Q2132" i="1" s="1"/>
  <c r="Q2131" i="1"/>
  <c r="P2131" i="1"/>
  <c r="M2131" i="1"/>
  <c r="P2130" i="1"/>
  <c r="Q2130" i="1" s="1"/>
  <c r="M2130" i="1"/>
  <c r="P2129" i="1"/>
  <c r="M2129" i="1"/>
  <c r="Q2129" i="1" s="1"/>
  <c r="P2128" i="1"/>
  <c r="M2128" i="1"/>
  <c r="Q2128" i="1" s="1"/>
  <c r="Q2127" i="1"/>
  <c r="P2127" i="1"/>
  <c r="M2127" i="1"/>
  <c r="O2120" i="1"/>
  <c r="O2148" i="1" s="1"/>
  <c r="N2120" i="1"/>
  <c r="K2120" i="1"/>
  <c r="Q2119" i="1"/>
  <c r="P2119" i="1"/>
  <c r="M2119" i="1"/>
  <c r="P2118" i="1"/>
  <c r="Q2118" i="1" s="1"/>
  <c r="M2118" i="1"/>
  <c r="P2117" i="1"/>
  <c r="M2117" i="1"/>
  <c r="Q2117" i="1" s="1"/>
  <c r="P2116" i="1"/>
  <c r="M2116" i="1"/>
  <c r="Q2116" i="1" s="1"/>
  <c r="Q2115" i="1"/>
  <c r="P2115" i="1"/>
  <c r="M2115" i="1"/>
  <c r="P2114" i="1"/>
  <c r="Q2114" i="1" s="1"/>
  <c r="M2114" i="1"/>
  <c r="P2113" i="1"/>
  <c r="M2113" i="1"/>
  <c r="Q2113" i="1" s="1"/>
  <c r="P2112" i="1"/>
  <c r="M2112" i="1"/>
  <c r="Q2112" i="1" s="1"/>
  <c r="O2111" i="1"/>
  <c r="N2111" i="1"/>
  <c r="P2111" i="1" s="1"/>
  <c r="M2111" i="1"/>
  <c r="Q2111" i="1" s="1"/>
  <c r="L2111" i="1"/>
  <c r="L2120" i="1" s="1"/>
  <c r="L2148" i="1" s="1"/>
  <c r="K2111" i="1"/>
  <c r="D2121" i="1"/>
  <c r="H2121" i="1" s="1"/>
  <c r="G2121" i="1"/>
  <c r="D2122" i="1"/>
  <c r="H2122" i="1" s="1"/>
  <c r="G2122" i="1"/>
  <c r="D2123" i="1"/>
  <c r="H2123" i="1" s="1"/>
  <c r="G2123" i="1"/>
  <c r="D2124" i="1"/>
  <c r="H2124" i="1" s="1"/>
  <c r="G2124" i="1"/>
  <c r="D2125" i="1"/>
  <c r="G2125" i="1"/>
  <c r="H2125" i="1" s="1"/>
  <c r="D2126" i="1"/>
  <c r="H2126" i="1" s="1"/>
  <c r="G2126" i="1"/>
  <c r="D2127" i="1"/>
  <c r="H2127" i="1" s="1"/>
  <c r="G2127" i="1"/>
  <c r="D2128" i="1"/>
  <c r="G2128" i="1"/>
  <c r="H2128" i="1"/>
  <c r="D2129" i="1"/>
  <c r="H2129" i="1" s="1"/>
  <c r="G2129" i="1"/>
  <c r="D2130" i="1"/>
  <c r="H2130" i="1" s="1"/>
  <c r="G2130" i="1"/>
  <c r="D2131" i="1"/>
  <c r="H2131" i="1" s="1"/>
  <c r="G2131" i="1"/>
  <c r="D2132" i="1"/>
  <c r="G2132" i="1"/>
  <c r="H2132" i="1"/>
  <c r="D2133" i="1"/>
  <c r="G2133" i="1"/>
  <c r="D2134" i="1"/>
  <c r="G2134" i="1"/>
  <c r="D2135" i="1"/>
  <c r="G2135" i="1"/>
  <c r="H2135" i="1" s="1"/>
  <c r="D2136" i="1"/>
  <c r="G2136" i="1"/>
  <c r="H2136" i="1" s="1"/>
  <c r="D2137" i="1"/>
  <c r="G2137" i="1"/>
  <c r="D2138" i="1"/>
  <c r="G2138" i="1"/>
  <c r="D2139" i="1"/>
  <c r="G2139" i="1"/>
  <c r="H2139" i="1" s="1"/>
  <c r="D2140" i="1"/>
  <c r="H2140" i="1" s="1"/>
  <c r="G2140" i="1"/>
  <c r="D2141" i="1"/>
  <c r="H2141" i="1" s="1"/>
  <c r="G2141" i="1"/>
  <c r="D2142" i="1"/>
  <c r="H2142" i="1" s="1"/>
  <c r="G2142" i="1"/>
  <c r="D2143" i="1"/>
  <c r="G2143" i="1"/>
  <c r="H2143" i="1" s="1"/>
  <c r="D2112" i="1"/>
  <c r="G2112" i="1"/>
  <c r="D2113" i="1"/>
  <c r="H2113" i="1" s="1"/>
  <c r="G2113" i="1"/>
  <c r="D2114" i="1"/>
  <c r="G2114" i="1"/>
  <c r="D2115" i="1"/>
  <c r="G2115" i="1"/>
  <c r="H2115" i="1"/>
  <c r="D2116" i="1"/>
  <c r="H2116" i="1" s="1"/>
  <c r="G2116" i="1"/>
  <c r="D2117" i="1"/>
  <c r="H2117" i="1" s="1"/>
  <c r="G2117" i="1"/>
  <c r="F2147" i="1"/>
  <c r="C2147" i="1"/>
  <c r="B2147" i="1"/>
  <c r="D2147" i="1" s="1"/>
  <c r="G2146" i="1"/>
  <c r="D2146" i="1"/>
  <c r="H2146" i="1" s="1"/>
  <c r="G2145" i="1"/>
  <c r="D2145" i="1"/>
  <c r="H2145" i="1" s="1"/>
  <c r="G2144" i="1"/>
  <c r="H2144" i="1" s="1"/>
  <c r="D2144" i="1"/>
  <c r="C2120" i="1"/>
  <c r="C2148" i="1" s="1"/>
  <c r="G2119" i="1"/>
  <c r="D2119" i="1"/>
  <c r="H2119" i="1" s="1"/>
  <c r="G2118" i="1"/>
  <c r="D2118" i="1"/>
  <c r="H2118" i="1" s="1"/>
  <c r="F2111" i="1"/>
  <c r="F2120" i="1" s="1"/>
  <c r="C2111" i="1"/>
  <c r="E2092" i="1"/>
  <c r="E2087" i="1"/>
  <c r="M2080" i="1"/>
  <c r="P2080" i="1"/>
  <c r="Q2080" i="1" s="1"/>
  <c r="P2078" i="1"/>
  <c r="M2078" i="1"/>
  <c r="Q2078" i="1" s="1"/>
  <c r="M2103" i="1"/>
  <c r="P2103" i="1"/>
  <c r="Q2103" i="1" s="1"/>
  <c r="M2079" i="1"/>
  <c r="P2079" i="1"/>
  <c r="Q2079" i="1" s="1"/>
  <c r="M2081" i="1"/>
  <c r="P2081" i="1"/>
  <c r="Q2081" i="1" s="1"/>
  <c r="M2082" i="1"/>
  <c r="P2082" i="1"/>
  <c r="M2083" i="1"/>
  <c r="P2083" i="1"/>
  <c r="Q2083" i="1"/>
  <c r="M2084" i="1"/>
  <c r="P2084" i="1"/>
  <c r="Q2084" i="1" s="1"/>
  <c r="O2104" i="1"/>
  <c r="N2104" i="1"/>
  <c r="L2104" i="1"/>
  <c r="K2104" i="1"/>
  <c r="F2104" i="1"/>
  <c r="C2104" i="1"/>
  <c r="B2104" i="1"/>
  <c r="G2103" i="1"/>
  <c r="D2103" i="1"/>
  <c r="H2103" i="1" s="1"/>
  <c r="P2102" i="1"/>
  <c r="M2102" i="1"/>
  <c r="Q2102" i="1" s="1"/>
  <c r="G2102" i="1"/>
  <c r="D2102" i="1"/>
  <c r="H2102" i="1" s="1"/>
  <c r="P2101" i="1"/>
  <c r="M2101" i="1"/>
  <c r="Q2101" i="1" s="1"/>
  <c r="G2101" i="1"/>
  <c r="D2101" i="1"/>
  <c r="P2100" i="1"/>
  <c r="M2100" i="1"/>
  <c r="Q2100" i="1" s="1"/>
  <c r="G2100" i="1"/>
  <c r="D2100" i="1"/>
  <c r="P2099" i="1"/>
  <c r="M2099" i="1"/>
  <c r="Q2099" i="1" s="1"/>
  <c r="G2099" i="1"/>
  <c r="D2099" i="1"/>
  <c r="P2098" i="1"/>
  <c r="M2098" i="1"/>
  <c r="Q2098" i="1" s="1"/>
  <c r="G2098" i="1"/>
  <c r="D2098" i="1"/>
  <c r="P2097" i="1"/>
  <c r="M2097" i="1"/>
  <c r="Q2097" i="1" s="1"/>
  <c r="G2097" i="1"/>
  <c r="D2097" i="1"/>
  <c r="P2096" i="1"/>
  <c r="M2096" i="1"/>
  <c r="Q2096" i="1" s="1"/>
  <c r="G2096" i="1"/>
  <c r="D2096" i="1"/>
  <c r="P2095" i="1"/>
  <c r="M2095" i="1"/>
  <c r="Q2095" i="1" s="1"/>
  <c r="G2095" i="1"/>
  <c r="D2095" i="1"/>
  <c r="P2094" i="1"/>
  <c r="M2094" i="1"/>
  <c r="Q2094" i="1" s="1"/>
  <c r="G2094" i="1"/>
  <c r="D2094" i="1"/>
  <c r="P2093" i="1"/>
  <c r="M2093" i="1"/>
  <c r="Q2093" i="1" s="1"/>
  <c r="G2093" i="1"/>
  <c r="D2093" i="1"/>
  <c r="P2092" i="1"/>
  <c r="M2092" i="1"/>
  <c r="Q2092" i="1" s="1"/>
  <c r="G2092" i="1"/>
  <c r="D2092" i="1"/>
  <c r="P2091" i="1"/>
  <c r="M2091" i="1"/>
  <c r="Q2091" i="1" s="1"/>
  <c r="G2091" i="1"/>
  <c r="D2091" i="1"/>
  <c r="P2090" i="1"/>
  <c r="M2090" i="1"/>
  <c r="Q2090" i="1" s="1"/>
  <c r="G2090" i="1"/>
  <c r="D2090" i="1"/>
  <c r="P2089" i="1"/>
  <c r="M2089" i="1"/>
  <c r="Q2089" i="1" s="1"/>
  <c r="G2089" i="1"/>
  <c r="D2089" i="1"/>
  <c r="P2088" i="1"/>
  <c r="M2088" i="1"/>
  <c r="Q2088" i="1" s="1"/>
  <c r="G2088" i="1"/>
  <c r="D2088" i="1"/>
  <c r="P2087" i="1"/>
  <c r="M2087" i="1"/>
  <c r="Q2087" i="1" s="1"/>
  <c r="G2087" i="1"/>
  <c r="D2087" i="1"/>
  <c r="P2086" i="1"/>
  <c r="M2086" i="1"/>
  <c r="Q2086" i="1" s="1"/>
  <c r="G2086" i="1"/>
  <c r="D2086" i="1"/>
  <c r="P2085" i="1"/>
  <c r="M2085" i="1"/>
  <c r="Q2085" i="1" s="1"/>
  <c r="G2085" i="1"/>
  <c r="D2085" i="1"/>
  <c r="G2084" i="1"/>
  <c r="D2084" i="1"/>
  <c r="G2083" i="1"/>
  <c r="D2083" i="1"/>
  <c r="G2082" i="1"/>
  <c r="D2082" i="1"/>
  <c r="G2081" i="1"/>
  <c r="D2081" i="1"/>
  <c r="G2080" i="1"/>
  <c r="D2080" i="1"/>
  <c r="G2079" i="1"/>
  <c r="E2104" i="1"/>
  <c r="G2104" i="1" s="1"/>
  <c r="D2079" i="1"/>
  <c r="H2079" i="1" s="1"/>
  <c r="G2078" i="1"/>
  <c r="D2078" i="1"/>
  <c r="H2078" i="1" s="1"/>
  <c r="O2077" i="1"/>
  <c r="O2105" i="1" s="1"/>
  <c r="K2077" i="1"/>
  <c r="P2076" i="1"/>
  <c r="M2076" i="1"/>
  <c r="Q2076" i="1" s="1"/>
  <c r="G2076" i="1"/>
  <c r="D2076" i="1"/>
  <c r="H2076" i="1" s="1"/>
  <c r="P2075" i="1"/>
  <c r="M2075" i="1"/>
  <c r="Q2075" i="1" s="1"/>
  <c r="G2075" i="1"/>
  <c r="D2075" i="1"/>
  <c r="P2074" i="1"/>
  <c r="M2074" i="1"/>
  <c r="Q2074" i="1" s="1"/>
  <c r="G2074" i="1"/>
  <c r="D2074" i="1"/>
  <c r="H2074" i="1" s="1"/>
  <c r="P2073" i="1"/>
  <c r="M2073" i="1"/>
  <c r="Q2073" i="1" s="1"/>
  <c r="G2073" i="1"/>
  <c r="D2073" i="1"/>
  <c r="P2072" i="1"/>
  <c r="M2072" i="1"/>
  <c r="Q2072" i="1" s="1"/>
  <c r="G2072" i="1"/>
  <c r="D2072" i="1"/>
  <c r="P2071" i="1"/>
  <c r="M2071" i="1"/>
  <c r="Q2071" i="1" s="1"/>
  <c r="G2071" i="1"/>
  <c r="D2071" i="1"/>
  <c r="P2070" i="1"/>
  <c r="M2070" i="1"/>
  <c r="Q2070" i="1" s="1"/>
  <c r="G2070" i="1"/>
  <c r="D2070" i="1"/>
  <c r="P2069" i="1"/>
  <c r="M2069" i="1"/>
  <c r="Q2069" i="1" s="1"/>
  <c r="G2069" i="1"/>
  <c r="D2069" i="1"/>
  <c r="O2068" i="1"/>
  <c r="N2068" i="1"/>
  <c r="N2077" i="1" s="1"/>
  <c r="L2068" i="1"/>
  <c r="L2077" i="1" s="1"/>
  <c r="K2068" i="1"/>
  <c r="M2068" i="1" s="1"/>
  <c r="F2068" i="1"/>
  <c r="F2077" i="1" s="1"/>
  <c r="F2105" i="1" s="1"/>
  <c r="C2068" i="1"/>
  <c r="C2077" i="1" s="1"/>
  <c r="P2041" i="1"/>
  <c r="M2041" i="1"/>
  <c r="Q2041" i="1" s="1"/>
  <c r="B2056" i="1"/>
  <c r="Q2040" i="1"/>
  <c r="P2040" i="1"/>
  <c r="M2040" i="1"/>
  <c r="P2039" i="1"/>
  <c r="M2039" i="1"/>
  <c r="Q2039" i="1" s="1"/>
  <c r="P2038" i="1"/>
  <c r="M2038" i="1"/>
  <c r="Q2038" i="1" s="1"/>
  <c r="P2036" i="1"/>
  <c r="M2036" i="1"/>
  <c r="Q2036" i="1" s="1"/>
  <c r="P2035" i="1"/>
  <c r="M2035" i="1"/>
  <c r="Q2035" i="1" s="1"/>
  <c r="Q1996" i="1"/>
  <c r="P1996" i="1"/>
  <c r="M1996" i="1"/>
  <c r="E2036" i="1"/>
  <c r="B2036" i="1"/>
  <c r="D2036" i="1" s="1"/>
  <c r="E2015" i="1"/>
  <c r="B2015" i="1"/>
  <c r="E2013" i="1"/>
  <c r="B2013" i="1"/>
  <c r="D2013" i="1" s="1"/>
  <c r="M2015" i="1"/>
  <c r="Q2015" i="1" s="1"/>
  <c r="P2015" i="1"/>
  <c r="M2016" i="1"/>
  <c r="P2016" i="1"/>
  <c r="Q2016" i="1"/>
  <c r="M2017" i="1"/>
  <c r="Q2017" i="1" s="1"/>
  <c r="P2017" i="1"/>
  <c r="D2026" i="1"/>
  <c r="G2026" i="1"/>
  <c r="H2026" i="1" s="1"/>
  <c r="D2027" i="1"/>
  <c r="G2027" i="1"/>
  <c r="H2027" i="1" s="1"/>
  <c r="D2028" i="1"/>
  <c r="G2028" i="1"/>
  <c r="D2029" i="1"/>
  <c r="G2029" i="1"/>
  <c r="H2029" i="1"/>
  <c r="M2037" i="1"/>
  <c r="P2037" i="1"/>
  <c r="D2035" i="1"/>
  <c r="G2035" i="1"/>
  <c r="G2036" i="1"/>
  <c r="D2037" i="1"/>
  <c r="H2037" i="1" s="1"/>
  <c r="G2037" i="1"/>
  <c r="D2038" i="1"/>
  <c r="H2038" i="1" s="1"/>
  <c r="G2038" i="1"/>
  <c r="D2039" i="1"/>
  <c r="G2039" i="1"/>
  <c r="D2040" i="1"/>
  <c r="G2040" i="1"/>
  <c r="H2040" i="1" s="1"/>
  <c r="D2041" i="1"/>
  <c r="G2041" i="1"/>
  <c r="D2042" i="1"/>
  <c r="G2042" i="1"/>
  <c r="H2042" i="1" s="1"/>
  <c r="D2043" i="1"/>
  <c r="H2043" i="1" s="1"/>
  <c r="G2043" i="1"/>
  <c r="D2044" i="1"/>
  <c r="G2044" i="1"/>
  <c r="H2044" i="1" s="1"/>
  <c r="D2045" i="1"/>
  <c r="G2045" i="1"/>
  <c r="D2046" i="1"/>
  <c r="G2046" i="1"/>
  <c r="H2046" i="1"/>
  <c r="D2047" i="1"/>
  <c r="H2047" i="1" s="1"/>
  <c r="G2047" i="1"/>
  <c r="D2048" i="1"/>
  <c r="H2048" i="1" s="1"/>
  <c r="G2048" i="1"/>
  <c r="D2049" i="1"/>
  <c r="H2049" i="1" s="1"/>
  <c r="G2049" i="1"/>
  <c r="D2050" i="1"/>
  <c r="H2050" i="1" s="1"/>
  <c r="G2050" i="1"/>
  <c r="D2051" i="1"/>
  <c r="H2051" i="1" s="1"/>
  <c r="G2051" i="1"/>
  <c r="D2052" i="1"/>
  <c r="G2052" i="1"/>
  <c r="H2052" i="1"/>
  <c r="D2053" i="1"/>
  <c r="G2053" i="1"/>
  <c r="D2054" i="1"/>
  <c r="G2054" i="1"/>
  <c r="D2055" i="1"/>
  <c r="H2055" i="1" s="1"/>
  <c r="G2055" i="1"/>
  <c r="O2061" i="1"/>
  <c r="N2061" i="1"/>
  <c r="L2061" i="1"/>
  <c r="K2061" i="1"/>
  <c r="F2061" i="1"/>
  <c r="C2061" i="1"/>
  <c r="P2060" i="1"/>
  <c r="M2060" i="1"/>
  <c r="G2060" i="1"/>
  <c r="H2060" i="1" s="1"/>
  <c r="D2060" i="1"/>
  <c r="P2059" i="1"/>
  <c r="M2059" i="1"/>
  <c r="Q2059" i="1" s="1"/>
  <c r="G2059" i="1"/>
  <c r="D2059" i="1"/>
  <c r="P2058" i="1"/>
  <c r="M2058" i="1"/>
  <c r="Q2058" i="1" s="1"/>
  <c r="G2058" i="1"/>
  <c r="H2058" i="1" s="1"/>
  <c r="D2058" i="1"/>
  <c r="P2057" i="1"/>
  <c r="M2057" i="1"/>
  <c r="Q2057" i="1" s="1"/>
  <c r="G2057" i="1"/>
  <c r="D2057" i="1"/>
  <c r="P2056" i="1"/>
  <c r="M2056" i="1"/>
  <c r="Q2056" i="1" s="1"/>
  <c r="G2056" i="1"/>
  <c r="D2056" i="1"/>
  <c r="P2055" i="1"/>
  <c r="M2055" i="1"/>
  <c r="Q2055" i="1" s="1"/>
  <c r="P2054" i="1"/>
  <c r="M2054" i="1"/>
  <c r="Q2054" i="1" s="1"/>
  <c r="P2053" i="1"/>
  <c r="M2053" i="1"/>
  <c r="Q2053" i="1" s="1"/>
  <c r="P2052" i="1"/>
  <c r="M2052" i="1"/>
  <c r="Q2052" i="1" s="1"/>
  <c r="P2051" i="1"/>
  <c r="M2051" i="1"/>
  <c r="Q2051" i="1" s="1"/>
  <c r="P2050" i="1"/>
  <c r="M2050" i="1"/>
  <c r="Q2050" i="1" s="1"/>
  <c r="Q2049" i="1"/>
  <c r="P2049" i="1"/>
  <c r="M2049" i="1"/>
  <c r="Q2048" i="1"/>
  <c r="P2048" i="1"/>
  <c r="M2048" i="1"/>
  <c r="P2047" i="1"/>
  <c r="M2047" i="1"/>
  <c r="Q2047" i="1" s="1"/>
  <c r="P2046" i="1"/>
  <c r="M2046" i="1"/>
  <c r="Q2046" i="1" s="1"/>
  <c r="P2045" i="1"/>
  <c r="M2045" i="1"/>
  <c r="Q2045" i="1" s="1"/>
  <c r="P2044" i="1"/>
  <c r="M2044" i="1"/>
  <c r="Q2044" i="1" s="1"/>
  <c r="E2061" i="1"/>
  <c r="G2061" i="1" s="1"/>
  <c r="P2043" i="1"/>
  <c r="M2043" i="1"/>
  <c r="Q2043" i="1" s="1"/>
  <c r="Q2042" i="1"/>
  <c r="P2042" i="1"/>
  <c r="M2042" i="1"/>
  <c r="F2034" i="1"/>
  <c r="C2034" i="1"/>
  <c r="P2033" i="1"/>
  <c r="M2033" i="1"/>
  <c r="Q2033" i="1" s="1"/>
  <c r="G2033" i="1"/>
  <c r="D2033" i="1"/>
  <c r="P2032" i="1"/>
  <c r="M2032" i="1"/>
  <c r="Q2032" i="1" s="1"/>
  <c r="G2032" i="1"/>
  <c r="D2032" i="1"/>
  <c r="H2032" i="1" s="1"/>
  <c r="P2031" i="1"/>
  <c r="M2031" i="1"/>
  <c r="Q2031" i="1" s="1"/>
  <c r="G2031" i="1"/>
  <c r="D2031" i="1"/>
  <c r="P2030" i="1"/>
  <c r="M2030" i="1"/>
  <c r="Q2030" i="1" s="1"/>
  <c r="G2030" i="1"/>
  <c r="D2030" i="1"/>
  <c r="P2029" i="1"/>
  <c r="M2029" i="1"/>
  <c r="Q2029" i="1" s="1"/>
  <c r="P2028" i="1"/>
  <c r="M2028" i="1"/>
  <c r="Q2028" i="1" s="1"/>
  <c r="P2027" i="1"/>
  <c r="M2027" i="1"/>
  <c r="Q2027" i="1" s="1"/>
  <c r="P2026" i="1"/>
  <c r="M2026" i="1"/>
  <c r="Q2026" i="1" s="1"/>
  <c r="F2025" i="1"/>
  <c r="C2025" i="1"/>
  <c r="P1995" i="1"/>
  <c r="M1995" i="1"/>
  <c r="Q1995" i="1" s="1"/>
  <c r="E2007" i="1"/>
  <c r="P1994" i="1"/>
  <c r="M1994" i="1"/>
  <c r="Q1994" i="1" s="1"/>
  <c r="B2005" i="1"/>
  <c r="B2004" i="1"/>
  <c r="E2002" i="1"/>
  <c r="B2002" i="1"/>
  <c r="E2001" i="1"/>
  <c r="E2018" i="1" s="1"/>
  <c r="P1993" i="1"/>
  <c r="M1993" i="1"/>
  <c r="Q1993" i="1" s="1"/>
  <c r="B2000" i="1"/>
  <c r="B1997" i="1"/>
  <c r="B1995" i="1"/>
  <c r="P1992" i="1"/>
  <c r="M1992" i="1"/>
  <c r="Q1992" i="1" s="1"/>
  <c r="B1992" i="1"/>
  <c r="D1989" i="1"/>
  <c r="H1989" i="1" s="1"/>
  <c r="G1989" i="1"/>
  <c r="D1990" i="1"/>
  <c r="G1990" i="1"/>
  <c r="H1990" i="1"/>
  <c r="D1983" i="1"/>
  <c r="G1983" i="1"/>
  <c r="D1984" i="1"/>
  <c r="G1984" i="1"/>
  <c r="D1985" i="1"/>
  <c r="G1985" i="1"/>
  <c r="H1985" i="1" s="1"/>
  <c r="D1986" i="1"/>
  <c r="H1986" i="1" s="1"/>
  <c r="G1986" i="1"/>
  <c r="D1987" i="1"/>
  <c r="G1987" i="1"/>
  <c r="H1987" i="1" s="1"/>
  <c r="M1972" i="1"/>
  <c r="Q1972" i="1" s="1"/>
  <c r="P1972" i="1"/>
  <c r="M1973" i="1"/>
  <c r="P1973" i="1"/>
  <c r="Q1973" i="1"/>
  <c r="M1974" i="1"/>
  <c r="Q1974" i="1" s="1"/>
  <c r="P1974" i="1"/>
  <c r="D2011" i="1"/>
  <c r="G2011" i="1"/>
  <c r="D2012" i="1"/>
  <c r="G2012" i="1"/>
  <c r="H2012" i="1"/>
  <c r="G2013" i="1"/>
  <c r="D2014" i="1"/>
  <c r="G2014" i="1"/>
  <c r="H2014" i="1" s="1"/>
  <c r="D2015" i="1"/>
  <c r="G2015" i="1"/>
  <c r="D2016" i="1"/>
  <c r="G2016" i="1"/>
  <c r="H2016" i="1" s="1"/>
  <c r="D2017" i="1"/>
  <c r="H2017" i="1" s="1"/>
  <c r="G2017" i="1"/>
  <c r="G2010" i="1"/>
  <c r="D2010" i="1"/>
  <c r="G2009" i="1"/>
  <c r="D2009" i="1"/>
  <c r="G2008" i="1"/>
  <c r="D2008" i="1"/>
  <c r="H2008" i="1" s="1"/>
  <c r="G2007" i="1"/>
  <c r="D2007" i="1"/>
  <c r="G2006" i="1"/>
  <c r="D2006" i="1"/>
  <c r="H2006" i="1" s="1"/>
  <c r="G2005" i="1"/>
  <c r="D2005" i="1"/>
  <c r="H2005" i="1" s="1"/>
  <c r="G2004" i="1"/>
  <c r="D2004" i="1"/>
  <c r="H2004" i="1" s="1"/>
  <c r="G2003" i="1"/>
  <c r="D2003" i="1"/>
  <c r="H2003" i="1" s="1"/>
  <c r="G2002" i="1"/>
  <c r="D2002" i="1"/>
  <c r="D2001" i="1"/>
  <c r="G2000" i="1"/>
  <c r="D2000" i="1"/>
  <c r="H2000" i="1" s="1"/>
  <c r="G1999" i="1"/>
  <c r="D1999" i="1"/>
  <c r="G1998" i="1"/>
  <c r="D1998" i="1"/>
  <c r="G1997" i="1"/>
  <c r="D1997" i="1"/>
  <c r="H1997" i="1" s="1"/>
  <c r="G1996" i="1"/>
  <c r="D1996" i="1"/>
  <c r="H1996" i="1" s="1"/>
  <c r="G1995" i="1"/>
  <c r="D1995" i="1"/>
  <c r="H1995" i="1" s="1"/>
  <c r="G1994" i="1"/>
  <c r="D1994" i="1"/>
  <c r="H1994" i="1" s="1"/>
  <c r="G1993" i="1"/>
  <c r="D1993" i="1"/>
  <c r="G1992" i="1"/>
  <c r="D1992" i="1"/>
  <c r="M1997" i="1"/>
  <c r="P1997" i="1"/>
  <c r="Q1997" i="1"/>
  <c r="M1998" i="1"/>
  <c r="Q1998" i="1" s="1"/>
  <c r="P1998" i="1"/>
  <c r="O2018" i="1"/>
  <c r="N2018" i="1"/>
  <c r="L2018" i="1"/>
  <c r="K2018" i="1"/>
  <c r="F2018" i="1"/>
  <c r="C2018" i="1"/>
  <c r="P2014" i="1"/>
  <c r="M2014" i="1"/>
  <c r="Q2014" i="1" s="1"/>
  <c r="P2013" i="1"/>
  <c r="M2013" i="1"/>
  <c r="Q2013" i="1" s="1"/>
  <c r="Q2012" i="1"/>
  <c r="P2012" i="1"/>
  <c r="M2012" i="1"/>
  <c r="Q2011" i="1"/>
  <c r="P2011" i="1"/>
  <c r="M2011" i="1"/>
  <c r="Q2010" i="1"/>
  <c r="P2010" i="1"/>
  <c r="M2010" i="1"/>
  <c r="P2009" i="1"/>
  <c r="M2009" i="1"/>
  <c r="Q2009" i="1" s="1"/>
  <c r="P2008" i="1"/>
  <c r="M2008" i="1"/>
  <c r="Q2008" i="1" s="1"/>
  <c r="P2007" i="1"/>
  <c r="M2007" i="1"/>
  <c r="Q2007" i="1" s="1"/>
  <c r="Q2006" i="1"/>
  <c r="P2006" i="1"/>
  <c r="M2006" i="1"/>
  <c r="P2005" i="1"/>
  <c r="M2005" i="1"/>
  <c r="Q2005" i="1" s="1"/>
  <c r="P2004" i="1"/>
  <c r="M2004" i="1"/>
  <c r="Q2004" i="1" s="1"/>
  <c r="P2003" i="1"/>
  <c r="M2003" i="1"/>
  <c r="Q2003" i="1" s="1"/>
  <c r="P2002" i="1"/>
  <c r="M2002" i="1"/>
  <c r="Q2002" i="1" s="1"/>
  <c r="P2001" i="1"/>
  <c r="M2001" i="1"/>
  <c r="Q2001" i="1" s="1"/>
  <c r="P2000" i="1"/>
  <c r="M2000" i="1"/>
  <c r="Q2000" i="1" s="1"/>
  <c r="P1999" i="1"/>
  <c r="M1999" i="1"/>
  <c r="Q1999" i="1" s="1"/>
  <c r="F1991" i="1"/>
  <c r="F2019" i="1" s="1"/>
  <c r="C1991" i="1"/>
  <c r="P1990" i="1"/>
  <c r="M1990" i="1"/>
  <c r="Q1990" i="1" s="1"/>
  <c r="P1989" i="1"/>
  <c r="M1989" i="1"/>
  <c r="Q1989" i="1" s="1"/>
  <c r="P1988" i="1"/>
  <c r="M1988" i="1"/>
  <c r="Q1988" i="1" s="1"/>
  <c r="G1988" i="1"/>
  <c r="D1988" i="1"/>
  <c r="H1988" i="1" s="1"/>
  <c r="P1987" i="1"/>
  <c r="M1987" i="1"/>
  <c r="Q1987" i="1" s="1"/>
  <c r="P1986" i="1"/>
  <c r="M1986" i="1"/>
  <c r="Q1986" i="1" s="1"/>
  <c r="P1985" i="1"/>
  <c r="M1985" i="1"/>
  <c r="Q1985" i="1" s="1"/>
  <c r="P1984" i="1"/>
  <c r="M1984" i="1"/>
  <c r="Q1984" i="1" s="1"/>
  <c r="P1983" i="1"/>
  <c r="M1983" i="1"/>
  <c r="Q1983" i="1" s="1"/>
  <c r="F1982" i="1"/>
  <c r="E1982" i="1"/>
  <c r="E1991" i="1" s="1"/>
  <c r="C1982" i="1"/>
  <c r="B1982" i="1"/>
  <c r="B1991" i="1" s="1"/>
  <c r="P1952" i="1"/>
  <c r="M1952" i="1"/>
  <c r="Q1952" i="1" s="1"/>
  <c r="E1970" i="1"/>
  <c r="P1951" i="1"/>
  <c r="M1951" i="1"/>
  <c r="E1967" i="1"/>
  <c r="G1967" i="1" s="1"/>
  <c r="B1966" i="1"/>
  <c r="D1966" i="1" s="1"/>
  <c r="C1964" i="1"/>
  <c r="P1950" i="1"/>
  <c r="M1950" i="1"/>
  <c r="Q1950" i="1" s="1"/>
  <c r="B1963" i="1"/>
  <c r="D1963" i="1" s="1"/>
  <c r="H1963" i="1" s="1"/>
  <c r="B1956" i="1"/>
  <c r="E1955" i="1"/>
  <c r="G1955" i="1" s="1"/>
  <c r="B1955" i="1"/>
  <c r="P1949" i="1"/>
  <c r="M1949" i="1"/>
  <c r="Q1949" i="1" s="1"/>
  <c r="C1951" i="1"/>
  <c r="D1951" i="1" s="1"/>
  <c r="H1951" i="1" s="1"/>
  <c r="C1950" i="1"/>
  <c r="C1975" i="1" s="1"/>
  <c r="G1947" i="1"/>
  <c r="D1947" i="1"/>
  <c r="G1946" i="1"/>
  <c r="D1946" i="1"/>
  <c r="H1946" i="1" s="1"/>
  <c r="G1945" i="1"/>
  <c r="D1945" i="1"/>
  <c r="H1945" i="1" s="1"/>
  <c r="G1944" i="1"/>
  <c r="D1944" i="1"/>
  <c r="G1943" i="1"/>
  <c r="D1943" i="1"/>
  <c r="G1942" i="1"/>
  <c r="D1942" i="1"/>
  <c r="H1942" i="1" s="1"/>
  <c r="G1941" i="1"/>
  <c r="D1941" i="1"/>
  <c r="G1940" i="1"/>
  <c r="D1940" i="1"/>
  <c r="H1940" i="1" s="1"/>
  <c r="G1974" i="1"/>
  <c r="D1974" i="1"/>
  <c r="G1973" i="1"/>
  <c r="D1973" i="1"/>
  <c r="G1972" i="1"/>
  <c r="D1972" i="1"/>
  <c r="G1971" i="1"/>
  <c r="D1971" i="1"/>
  <c r="H1971" i="1" s="1"/>
  <c r="G1970" i="1"/>
  <c r="D1970" i="1"/>
  <c r="G1969" i="1"/>
  <c r="D1969" i="1"/>
  <c r="H1969" i="1" s="1"/>
  <c r="G1968" i="1"/>
  <c r="D1968" i="1"/>
  <c r="D1967" i="1"/>
  <c r="G1966" i="1"/>
  <c r="G1965" i="1"/>
  <c r="D1965" i="1"/>
  <c r="G1964" i="1"/>
  <c r="D1964" i="1"/>
  <c r="G1963" i="1"/>
  <c r="G1962" i="1"/>
  <c r="H1962" i="1" s="1"/>
  <c r="D1962" i="1"/>
  <c r="G1961" i="1"/>
  <c r="D1961" i="1"/>
  <c r="G1960" i="1"/>
  <c r="H1960" i="1" s="1"/>
  <c r="D1960" i="1"/>
  <c r="G1959" i="1"/>
  <c r="D1959" i="1"/>
  <c r="G1958" i="1"/>
  <c r="D1958" i="1"/>
  <c r="G1957" i="1"/>
  <c r="D1957" i="1"/>
  <c r="G1956" i="1"/>
  <c r="D1956" i="1"/>
  <c r="D1955" i="1"/>
  <c r="G1954" i="1"/>
  <c r="D1954" i="1"/>
  <c r="G1953" i="1"/>
  <c r="D1953" i="1"/>
  <c r="G1952" i="1"/>
  <c r="D1952" i="1"/>
  <c r="G1951" i="1"/>
  <c r="G1950" i="1"/>
  <c r="D1950" i="1"/>
  <c r="G1949" i="1"/>
  <c r="D1949" i="1"/>
  <c r="H1949" i="1" s="1"/>
  <c r="M1953" i="1"/>
  <c r="P1953" i="1"/>
  <c r="Q1953" i="1"/>
  <c r="M1954" i="1"/>
  <c r="P1954" i="1"/>
  <c r="Q1954" i="1"/>
  <c r="M1955" i="1"/>
  <c r="P1955" i="1"/>
  <c r="Q1955" i="1"/>
  <c r="M1956" i="1"/>
  <c r="P1956" i="1"/>
  <c r="Q1956" i="1"/>
  <c r="O1975" i="1"/>
  <c r="N1975" i="1"/>
  <c r="L1975" i="1"/>
  <c r="K1975" i="1"/>
  <c r="F1975" i="1"/>
  <c r="Q1971" i="1"/>
  <c r="P1971" i="1"/>
  <c r="M1971" i="1"/>
  <c r="P1970" i="1"/>
  <c r="M1970" i="1"/>
  <c r="P1969" i="1"/>
  <c r="M1969" i="1"/>
  <c r="Q1969" i="1" s="1"/>
  <c r="P1968" i="1"/>
  <c r="M1968" i="1"/>
  <c r="P1967" i="1"/>
  <c r="M1967" i="1"/>
  <c r="P1966" i="1"/>
  <c r="M1966" i="1"/>
  <c r="P1965" i="1"/>
  <c r="Q1965" i="1" s="1"/>
  <c r="M1965" i="1"/>
  <c r="P1964" i="1"/>
  <c r="Q1964" i="1" s="1"/>
  <c r="M1964" i="1"/>
  <c r="P1963" i="1"/>
  <c r="Q1963" i="1" s="1"/>
  <c r="M1963" i="1"/>
  <c r="P1962" i="1"/>
  <c r="M1962" i="1"/>
  <c r="Q1962" i="1" s="1"/>
  <c r="P1961" i="1"/>
  <c r="Q1961" i="1" s="1"/>
  <c r="M1961" i="1"/>
  <c r="P1960" i="1"/>
  <c r="M1960" i="1"/>
  <c r="Q1960" i="1" s="1"/>
  <c r="P1959" i="1"/>
  <c r="Q1959" i="1" s="1"/>
  <c r="M1959" i="1"/>
  <c r="P1958" i="1"/>
  <c r="M1958" i="1"/>
  <c r="Q1958" i="1" s="1"/>
  <c r="P1957" i="1"/>
  <c r="M1957" i="1"/>
  <c r="Q1957" i="1" s="1"/>
  <c r="E1975" i="1"/>
  <c r="P1947" i="1"/>
  <c r="M1947" i="1"/>
  <c r="P1946" i="1"/>
  <c r="Q1946" i="1" s="1"/>
  <c r="M1946" i="1"/>
  <c r="P1945" i="1"/>
  <c r="Q1945" i="1" s="1"/>
  <c r="M1945" i="1"/>
  <c r="P1944" i="1"/>
  <c r="M1944" i="1"/>
  <c r="P1943" i="1"/>
  <c r="Q1943" i="1" s="1"/>
  <c r="M1943" i="1"/>
  <c r="P1942" i="1"/>
  <c r="Q1942" i="1" s="1"/>
  <c r="M1942" i="1"/>
  <c r="P1941" i="1"/>
  <c r="M1941" i="1"/>
  <c r="P1940" i="1"/>
  <c r="Q1940" i="1" s="1"/>
  <c r="M1940" i="1"/>
  <c r="B1929" i="1"/>
  <c r="D1929" i="1" s="1"/>
  <c r="H1929" i="1" s="1"/>
  <c r="E1928" i="1"/>
  <c r="L1932" i="1"/>
  <c r="P1910" i="1"/>
  <c r="M1910" i="1"/>
  <c r="P1909" i="1"/>
  <c r="M1909" i="1"/>
  <c r="E1925" i="1"/>
  <c r="B1925" i="1"/>
  <c r="B1924" i="1"/>
  <c r="D1924" i="1" s="1"/>
  <c r="E1924" i="1"/>
  <c r="P1908" i="1"/>
  <c r="M1908" i="1"/>
  <c r="D1923" i="1"/>
  <c r="B1921" i="1"/>
  <c r="C1920" i="1"/>
  <c r="P1907" i="1"/>
  <c r="M1907" i="1"/>
  <c r="Q1907" i="1" s="1"/>
  <c r="B1920" i="1"/>
  <c r="P1906" i="1"/>
  <c r="M1906" i="1"/>
  <c r="C1916" i="1"/>
  <c r="D1916" i="1" s="1"/>
  <c r="H1916" i="1" s="1"/>
  <c r="E1915" i="1"/>
  <c r="G1915" i="1"/>
  <c r="E1913" i="1"/>
  <c r="G1913" i="1" s="1"/>
  <c r="C1913" i="1"/>
  <c r="D1913" i="1" s="1"/>
  <c r="E1912" i="1"/>
  <c r="C1911" i="1"/>
  <c r="C1907" i="1"/>
  <c r="D1907" i="1" s="1"/>
  <c r="P1867" i="1"/>
  <c r="M1867" i="1"/>
  <c r="B1886" i="1"/>
  <c r="B1885" i="1"/>
  <c r="C1884" i="1"/>
  <c r="D1884" i="1" s="1"/>
  <c r="B1884" i="1"/>
  <c r="E1884" i="1"/>
  <c r="G1884" i="1" s="1"/>
  <c r="C1883" i="1"/>
  <c r="D1883" i="1" s="1"/>
  <c r="G1904" i="1"/>
  <c r="D1904" i="1"/>
  <c r="H1904" i="1" s="1"/>
  <c r="G1903" i="1"/>
  <c r="D1903" i="1"/>
  <c r="G1902" i="1"/>
  <c r="H1902" i="1" s="1"/>
  <c r="D1902" i="1"/>
  <c r="G1901" i="1"/>
  <c r="D1901" i="1"/>
  <c r="G1900" i="1"/>
  <c r="D1900" i="1"/>
  <c r="G1899" i="1"/>
  <c r="D1899" i="1"/>
  <c r="G1898" i="1"/>
  <c r="D1898" i="1"/>
  <c r="H1898" i="1" s="1"/>
  <c r="G1897" i="1"/>
  <c r="D1897" i="1"/>
  <c r="P1931" i="1"/>
  <c r="M1931" i="1"/>
  <c r="P1930" i="1"/>
  <c r="M1930" i="1"/>
  <c r="Q1930" i="1" s="1"/>
  <c r="P1929" i="1"/>
  <c r="M1929" i="1"/>
  <c r="P1928" i="1"/>
  <c r="M1928" i="1"/>
  <c r="P1927" i="1"/>
  <c r="M1927" i="1"/>
  <c r="P1926" i="1"/>
  <c r="M1926" i="1"/>
  <c r="P1925" i="1"/>
  <c r="M1925" i="1"/>
  <c r="P1924" i="1"/>
  <c r="M1924" i="1"/>
  <c r="Q1924" i="1" s="1"/>
  <c r="P1923" i="1"/>
  <c r="M1923" i="1"/>
  <c r="P1922" i="1"/>
  <c r="M1922" i="1"/>
  <c r="P1921" i="1"/>
  <c r="M1921" i="1"/>
  <c r="P1920" i="1"/>
  <c r="M1920" i="1"/>
  <c r="P1919" i="1"/>
  <c r="M1919" i="1"/>
  <c r="P1918" i="1"/>
  <c r="M1918" i="1"/>
  <c r="Q1918" i="1" s="1"/>
  <c r="P1917" i="1"/>
  <c r="M1917" i="1"/>
  <c r="P1916" i="1"/>
  <c r="M1916" i="1"/>
  <c r="P1915" i="1"/>
  <c r="M1915" i="1"/>
  <c r="P1914" i="1"/>
  <c r="M1914" i="1"/>
  <c r="P1913" i="1"/>
  <c r="M1913" i="1"/>
  <c r="P1912" i="1"/>
  <c r="M1912" i="1"/>
  <c r="Q1912" i="1" s="1"/>
  <c r="P1911" i="1"/>
  <c r="M1911" i="1"/>
  <c r="D1906" i="1"/>
  <c r="G1906" i="1"/>
  <c r="G1907" i="1"/>
  <c r="D1908" i="1"/>
  <c r="G1908" i="1"/>
  <c r="D1909" i="1"/>
  <c r="G1909" i="1"/>
  <c r="D1910" i="1"/>
  <c r="G1910" i="1"/>
  <c r="G1911" i="1"/>
  <c r="D1912" i="1"/>
  <c r="G1912" i="1"/>
  <c r="H1912" i="1" s="1"/>
  <c r="D1914" i="1"/>
  <c r="G1914" i="1"/>
  <c r="D1915" i="1"/>
  <c r="G1916" i="1"/>
  <c r="D1917" i="1"/>
  <c r="G1917" i="1"/>
  <c r="H1917" i="1" s="1"/>
  <c r="D1918" i="1"/>
  <c r="G1918" i="1"/>
  <c r="D1919" i="1"/>
  <c r="G1919" i="1"/>
  <c r="G1920" i="1"/>
  <c r="D1921" i="1"/>
  <c r="H1921" i="1" s="1"/>
  <c r="G1921" i="1"/>
  <c r="D1922" i="1"/>
  <c r="G1922" i="1"/>
  <c r="H1922" i="1" s="1"/>
  <c r="G1923" i="1"/>
  <c r="G1924" i="1"/>
  <c r="O1932" i="1"/>
  <c r="N1932" i="1"/>
  <c r="K1932" i="1"/>
  <c r="F1932" i="1"/>
  <c r="G1931" i="1"/>
  <c r="D1931" i="1"/>
  <c r="H1931" i="1" s="1"/>
  <c r="G1930" i="1"/>
  <c r="D1930" i="1"/>
  <c r="G1929" i="1"/>
  <c r="G1928" i="1"/>
  <c r="D1928" i="1"/>
  <c r="G1927" i="1"/>
  <c r="D1927" i="1"/>
  <c r="G1926" i="1"/>
  <c r="D1926" i="1"/>
  <c r="H1926" i="1" s="1"/>
  <c r="G1925" i="1"/>
  <c r="D1925" i="1"/>
  <c r="P1904" i="1"/>
  <c r="Q1904" i="1" s="1"/>
  <c r="M1904" i="1"/>
  <c r="P1903" i="1"/>
  <c r="M1903" i="1"/>
  <c r="P1902" i="1"/>
  <c r="M1902" i="1"/>
  <c r="P1901" i="1"/>
  <c r="Q1901" i="1" s="1"/>
  <c r="M1901" i="1"/>
  <c r="P1900" i="1"/>
  <c r="M1900" i="1"/>
  <c r="P1899" i="1"/>
  <c r="M1899" i="1"/>
  <c r="P1898" i="1"/>
  <c r="Q1898" i="1" s="1"/>
  <c r="M1898" i="1"/>
  <c r="P1897" i="1"/>
  <c r="M1897" i="1"/>
  <c r="P1866" i="1"/>
  <c r="M1866" i="1"/>
  <c r="C1876" i="1"/>
  <c r="C1875" i="1"/>
  <c r="D1875" i="1" s="1"/>
  <c r="P1865" i="1"/>
  <c r="M1865" i="1"/>
  <c r="D1871" i="1"/>
  <c r="D1872" i="1"/>
  <c r="D1873" i="1"/>
  <c r="D1874" i="1"/>
  <c r="C1870" i="1"/>
  <c r="D1870" i="1" s="1"/>
  <c r="H1870" i="1" s="1"/>
  <c r="P1863" i="1"/>
  <c r="M1863" i="1"/>
  <c r="B1867" i="1"/>
  <c r="C1867" i="1"/>
  <c r="E1865" i="1"/>
  <c r="G1865" i="1" s="1"/>
  <c r="E1863" i="1"/>
  <c r="B1863" i="1"/>
  <c r="D1863" i="1" s="1"/>
  <c r="M1844" i="1"/>
  <c r="Q1844" i="1" s="1"/>
  <c r="P1844" i="1"/>
  <c r="M1845" i="1"/>
  <c r="P1845" i="1"/>
  <c r="P1888" i="1"/>
  <c r="M1888" i="1"/>
  <c r="G1861" i="1"/>
  <c r="D1861" i="1"/>
  <c r="G1860" i="1"/>
  <c r="D1860" i="1"/>
  <c r="G1859" i="1"/>
  <c r="D1859" i="1"/>
  <c r="H1859" i="1" s="1"/>
  <c r="G1858" i="1"/>
  <c r="D1858" i="1"/>
  <c r="G1857" i="1"/>
  <c r="D1857" i="1"/>
  <c r="G1856" i="1"/>
  <c r="D1856" i="1"/>
  <c r="H1856" i="1" s="1"/>
  <c r="G1855" i="1"/>
  <c r="D1855" i="1"/>
  <c r="G1854" i="1"/>
  <c r="D1854" i="1"/>
  <c r="G1888" i="1"/>
  <c r="D1888" i="1"/>
  <c r="G1887" i="1"/>
  <c r="D1887" i="1"/>
  <c r="G1886" i="1"/>
  <c r="D1886" i="1"/>
  <c r="G1885" i="1"/>
  <c r="D1885" i="1"/>
  <c r="G1883" i="1"/>
  <c r="G1882" i="1"/>
  <c r="D1882" i="1"/>
  <c r="G1881" i="1"/>
  <c r="D1881" i="1"/>
  <c r="H1881" i="1" s="1"/>
  <c r="G1880" i="1"/>
  <c r="D1880" i="1"/>
  <c r="G1879" i="1"/>
  <c r="D1879" i="1"/>
  <c r="G1878" i="1"/>
  <c r="D1878" i="1"/>
  <c r="H1878" i="1" s="1"/>
  <c r="G1877" i="1"/>
  <c r="D1877" i="1"/>
  <c r="G1876" i="1"/>
  <c r="D1876" i="1"/>
  <c r="G1875" i="1"/>
  <c r="G1874" i="1"/>
  <c r="G1873" i="1"/>
  <c r="G1872" i="1"/>
  <c r="G1871" i="1"/>
  <c r="G1870" i="1"/>
  <c r="G1869" i="1"/>
  <c r="D1869" i="1"/>
  <c r="G1868" i="1"/>
  <c r="D1868" i="1"/>
  <c r="G1867" i="1"/>
  <c r="D1867" i="1"/>
  <c r="G1866" i="1"/>
  <c r="D1866" i="1"/>
  <c r="D1865" i="1"/>
  <c r="G1864" i="1"/>
  <c r="D1864" i="1"/>
  <c r="H1864" i="1" s="1"/>
  <c r="M1864" i="1"/>
  <c r="P1864" i="1"/>
  <c r="M1868" i="1"/>
  <c r="Q1868" i="1" s="1"/>
  <c r="P1868" i="1"/>
  <c r="M1869" i="1"/>
  <c r="P1869" i="1"/>
  <c r="M1870" i="1"/>
  <c r="P1870" i="1"/>
  <c r="Q1870" i="1"/>
  <c r="M1871" i="1"/>
  <c r="P1871" i="1"/>
  <c r="M1872" i="1"/>
  <c r="Q1872" i="1" s="1"/>
  <c r="P1872" i="1"/>
  <c r="M1873" i="1"/>
  <c r="P1873" i="1"/>
  <c r="M1874" i="1"/>
  <c r="P1874" i="1"/>
  <c r="M1875" i="1"/>
  <c r="P1875" i="1"/>
  <c r="M1876" i="1"/>
  <c r="P1876" i="1"/>
  <c r="Q1876" i="1" s="1"/>
  <c r="M1877" i="1"/>
  <c r="P1877" i="1"/>
  <c r="M1878" i="1"/>
  <c r="Q1878" i="1" s="1"/>
  <c r="P1878" i="1"/>
  <c r="M1879" i="1"/>
  <c r="Q1879" i="1" s="1"/>
  <c r="P1879" i="1"/>
  <c r="M1880" i="1"/>
  <c r="P1880" i="1"/>
  <c r="M1881" i="1"/>
  <c r="P1881" i="1"/>
  <c r="M1882" i="1"/>
  <c r="Q1882" i="1" s="1"/>
  <c r="P1882" i="1"/>
  <c r="M1883" i="1"/>
  <c r="P1883" i="1"/>
  <c r="M1884" i="1"/>
  <c r="P1884" i="1"/>
  <c r="M1885" i="1"/>
  <c r="P1885" i="1"/>
  <c r="M1887" i="1"/>
  <c r="P1887" i="1"/>
  <c r="O1889" i="1"/>
  <c r="N1889" i="1"/>
  <c r="L1889" i="1"/>
  <c r="K1889" i="1"/>
  <c r="F1889" i="1"/>
  <c r="P1886" i="1"/>
  <c r="M1886" i="1"/>
  <c r="P1861" i="1"/>
  <c r="M1861" i="1"/>
  <c r="P1860" i="1"/>
  <c r="M1860" i="1"/>
  <c r="Q1860" i="1" s="1"/>
  <c r="P1859" i="1"/>
  <c r="M1859" i="1"/>
  <c r="P1858" i="1"/>
  <c r="M1858" i="1"/>
  <c r="Q1858" i="1" s="1"/>
  <c r="P1857" i="1"/>
  <c r="M1857" i="1"/>
  <c r="Q1856" i="1"/>
  <c r="P1856" i="1"/>
  <c r="M1856" i="1"/>
  <c r="P1855" i="1"/>
  <c r="Q1855" i="1" s="1"/>
  <c r="M1855" i="1"/>
  <c r="P1854" i="1"/>
  <c r="Q1854" i="1" s="1"/>
  <c r="M1854" i="1"/>
  <c r="B1842" i="1"/>
  <c r="D1842" i="1" s="1"/>
  <c r="P1822" i="1"/>
  <c r="M1822" i="1"/>
  <c r="C1834" i="1"/>
  <c r="C1832" i="1"/>
  <c r="D1832" i="1" s="1"/>
  <c r="P1821" i="1"/>
  <c r="M1821" i="1"/>
  <c r="E1829" i="1"/>
  <c r="G1829" i="1" s="1"/>
  <c r="E1824" i="1"/>
  <c r="G1824" i="1" s="1"/>
  <c r="P1820" i="1"/>
  <c r="M1820" i="1"/>
  <c r="B1802" i="1"/>
  <c r="D1802" i="1" s="1"/>
  <c r="M1802" i="1"/>
  <c r="Q1802" i="1" s="1"/>
  <c r="P1802" i="1"/>
  <c r="G1818" i="1"/>
  <c r="D1818" i="1"/>
  <c r="G1817" i="1"/>
  <c r="D1817" i="1"/>
  <c r="G1816" i="1"/>
  <c r="D1816" i="1"/>
  <c r="H1816" i="1" s="1"/>
  <c r="G1815" i="1"/>
  <c r="D1815" i="1"/>
  <c r="G1814" i="1"/>
  <c r="D1814" i="1"/>
  <c r="G1813" i="1"/>
  <c r="D1813" i="1"/>
  <c r="G1812" i="1"/>
  <c r="D1812" i="1"/>
  <c r="G1811" i="1"/>
  <c r="D1811" i="1"/>
  <c r="M1823" i="1"/>
  <c r="P1823" i="1"/>
  <c r="M1824" i="1"/>
  <c r="P1824" i="1"/>
  <c r="M1825" i="1"/>
  <c r="P1825" i="1"/>
  <c r="Q1825" i="1" s="1"/>
  <c r="M1826" i="1"/>
  <c r="P1826" i="1"/>
  <c r="Q1826" i="1" s="1"/>
  <c r="M1827" i="1"/>
  <c r="Q1827" i="1" s="1"/>
  <c r="P1827" i="1"/>
  <c r="M1828" i="1"/>
  <c r="P1828" i="1"/>
  <c r="M1829" i="1"/>
  <c r="P1829" i="1"/>
  <c r="M1830" i="1"/>
  <c r="P1830" i="1"/>
  <c r="M1831" i="1"/>
  <c r="P1831" i="1"/>
  <c r="M1832" i="1"/>
  <c r="P1832" i="1"/>
  <c r="Q1832" i="1" s="1"/>
  <c r="M1833" i="1"/>
  <c r="P1833" i="1"/>
  <c r="Q1833" i="1"/>
  <c r="M1834" i="1"/>
  <c r="P1834" i="1"/>
  <c r="M1836" i="1"/>
  <c r="P1836" i="1"/>
  <c r="M1837" i="1"/>
  <c r="P1837" i="1"/>
  <c r="M1838" i="1"/>
  <c r="P1838" i="1"/>
  <c r="M1839" i="1"/>
  <c r="P1839" i="1"/>
  <c r="M1840" i="1"/>
  <c r="P1840" i="1"/>
  <c r="M1841" i="1"/>
  <c r="P1841" i="1"/>
  <c r="M1842" i="1"/>
  <c r="P1842" i="1"/>
  <c r="M1843" i="1"/>
  <c r="P1843" i="1"/>
  <c r="D1820" i="1"/>
  <c r="G1820" i="1"/>
  <c r="D1821" i="1"/>
  <c r="G1821" i="1"/>
  <c r="D1822" i="1"/>
  <c r="G1822" i="1"/>
  <c r="H1822" i="1" s="1"/>
  <c r="D1823" i="1"/>
  <c r="G1823" i="1"/>
  <c r="H1823" i="1" s="1"/>
  <c r="D1824" i="1"/>
  <c r="D1825" i="1"/>
  <c r="G1825" i="1"/>
  <c r="D1826" i="1"/>
  <c r="G1826" i="1"/>
  <c r="D1827" i="1"/>
  <c r="G1827" i="1"/>
  <c r="D1828" i="1"/>
  <c r="G1828" i="1"/>
  <c r="D1829" i="1"/>
  <c r="D1830" i="1"/>
  <c r="G1830" i="1"/>
  <c r="D1831" i="1"/>
  <c r="G1831" i="1"/>
  <c r="G1832" i="1"/>
  <c r="D1833" i="1"/>
  <c r="G1833" i="1"/>
  <c r="G1834" i="1"/>
  <c r="D1835" i="1"/>
  <c r="G1835" i="1"/>
  <c r="D1836" i="1"/>
  <c r="G1836" i="1"/>
  <c r="D1837" i="1"/>
  <c r="G1837" i="1"/>
  <c r="D1838" i="1"/>
  <c r="G1838" i="1"/>
  <c r="D1839" i="1"/>
  <c r="G1839" i="1"/>
  <c r="D1840" i="1"/>
  <c r="G1840" i="1"/>
  <c r="H1840" i="1" s="1"/>
  <c r="D1841" i="1"/>
  <c r="G1841" i="1"/>
  <c r="G1842" i="1"/>
  <c r="D1843" i="1"/>
  <c r="G1843" i="1"/>
  <c r="O1846" i="1"/>
  <c r="N1846" i="1"/>
  <c r="L1846" i="1"/>
  <c r="K1846" i="1"/>
  <c r="F1846" i="1"/>
  <c r="G1845" i="1"/>
  <c r="D1845" i="1"/>
  <c r="G1844" i="1"/>
  <c r="D1844" i="1"/>
  <c r="P1835" i="1"/>
  <c r="M1835" i="1"/>
  <c r="P1818" i="1"/>
  <c r="M1818" i="1"/>
  <c r="P1817" i="1"/>
  <c r="M1817" i="1"/>
  <c r="P1816" i="1"/>
  <c r="M1816" i="1"/>
  <c r="P1815" i="1"/>
  <c r="M1815" i="1"/>
  <c r="P1814" i="1"/>
  <c r="M1814" i="1"/>
  <c r="P1813" i="1"/>
  <c r="M1813" i="1"/>
  <c r="P1812" i="1"/>
  <c r="M1812" i="1"/>
  <c r="P1811" i="1"/>
  <c r="M1811" i="1"/>
  <c r="P1781" i="1"/>
  <c r="M1781" i="1"/>
  <c r="C1797" i="1"/>
  <c r="E1797" i="1"/>
  <c r="G1797" i="1" s="1"/>
  <c r="E1794" i="1"/>
  <c r="G1794" i="1" s="1"/>
  <c r="P1780" i="1"/>
  <c r="M1780" i="1"/>
  <c r="B1793" i="1"/>
  <c r="D1793" i="1" s="1"/>
  <c r="P1779" i="1"/>
  <c r="M1779" i="1"/>
  <c r="C1787" i="1"/>
  <c r="B1787" i="1"/>
  <c r="P1778" i="1"/>
  <c r="M1778" i="1"/>
  <c r="E1783" i="1"/>
  <c r="G1783" i="1" s="1"/>
  <c r="E1779" i="1"/>
  <c r="G1779" i="1" s="1"/>
  <c r="M1757" i="1"/>
  <c r="Q1757" i="1" s="1"/>
  <c r="P1757" i="1"/>
  <c r="M1758" i="1"/>
  <c r="P1758" i="1"/>
  <c r="M1759" i="1"/>
  <c r="P1759" i="1"/>
  <c r="P1777" i="1"/>
  <c r="M1777" i="1"/>
  <c r="E1759" i="1"/>
  <c r="G1759" i="1" s="1"/>
  <c r="P1739" i="1"/>
  <c r="M1739" i="1"/>
  <c r="E1755" i="1"/>
  <c r="G1755" i="1" s="1"/>
  <c r="P1738" i="1"/>
  <c r="M1738" i="1"/>
  <c r="D1768" i="1"/>
  <c r="G1768" i="1"/>
  <c r="D1769" i="1"/>
  <c r="G1769" i="1"/>
  <c r="D1770" i="1"/>
  <c r="H1770" i="1" s="1"/>
  <c r="G1770" i="1"/>
  <c r="D1771" i="1"/>
  <c r="H1771" i="1" s="1"/>
  <c r="G1771" i="1"/>
  <c r="D1772" i="1"/>
  <c r="G1772" i="1"/>
  <c r="D1773" i="1"/>
  <c r="G1773" i="1"/>
  <c r="M1792" i="1"/>
  <c r="P1792" i="1"/>
  <c r="M1793" i="1"/>
  <c r="P1793" i="1"/>
  <c r="M1794" i="1"/>
  <c r="P1794" i="1"/>
  <c r="M1795" i="1"/>
  <c r="Q1795" i="1" s="1"/>
  <c r="P1795" i="1"/>
  <c r="M1796" i="1"/>
  <c r="P1796" i="1"/>
  <c r="Q1796" i="1" s="1"/>
  <c r="M1797" i="1"/>
  <c r="P1797" i="1"/>
  <c r="M1798" i="1"/>
  <c r="P1798" i="1"/>
  <c r="M1799" i="1"/>
  <c r="P1799" i="1"/>
  <c r="M1800" i="1"/>
  <c r="P1800" i="1"/>
  <c r="M1801" i="1"/>
  <c r="Q1801" i="1" s="1"/>
  <c r="P1801" i="1"/>
  <c r="M1782" i="1"/>
  <c r="P1782" i="1"/>
  <c r="Q1782" i="1" s="1"/>
  <c r="M1783" i="1"/>
  <c r="P1783" i="1"/>
  <c r="M1784" i="1"/>
  <c r="Q1784" i="1" s="1"/>
  <c r="P1784" i="1"/>
  <c r="M1785" i="1"/>
  <c r="P1785" i="1"/>
  <c r="M1786" i="1"/>
  <c r="Q1786" i="1" s="1"/>
  <c r="P1786" i="1"/>
  <c r="M1787" i="1"/>
  <c r="P1787" i="1"/>
  <c r="M1788" i="1"/>
  <c r="P1788" i="1"/>
  <c r="M1789" i="1"/>
  <c r="P1789" i="1"/>
  <c r="M1790" i="1"/>
  <c r="P1790" i="1"/>
  <c r="D1777" i="1"/>
  <c r="G1777" i="1"/>
  <c r="D1778" i="1"/>
  <c r="H1778" i="1" s="1"/>
  <c r="G1778" i="1"/>
  <c r="D1779" i="1"/>
  <c r="D1780" i="1"/>
  <c r="G1780" i="1"/>
  <c r="D1781" i="1"/>
  <c r="G1781" i="1"/>
  <c r="D1782" i="1"/>
  <c r="G1782" i="1"/>
  <c r="D1783" i="1"/>
  <c r="D1784" i="1"/>
  <c r="G1784" i="1"/>
  <c r="D1785" i="1"/>
  <c r="G1785" i="1"/>
  <c r="D1786" i="1"/>
  <c r="H1786" i="1" s="1"/>
  <c r="G1786" i="1"/>
  <c r="G1787" i="1"/>
  <c r="D1788" i="1"/>
  <c r="G1788" i="1"/>
  <c r="D1789" i="1"/>
  <c r="G1789" i="1"/>
  <c r="D1790" i="1"/>
  <c r="G1790" i="1"/>
  <c r="D1791" i="1"/>
  <c r="H1791" i="1" s="1"/>
  <c r="G1791" i="1"/>
  <c r="D1792" i="1"/>
  <c r="G1792" i="1"/>
  <c r="G1793" i="1"/>
  <c r="D1794" i="1"/>
  <c r="D1795" i="1"/>
  <c r="G1795" i="1"/>
  <c r="D1796" i="1"/>
  <c r="G1796" i="1"/>
  <c r="D1797" i="1"/>
  <c r="D1798" i="1"/>
  <c r="H1798" i="1" s="1"/>
  <c r="G1798" i="1"/>
  <c r="O1803" i="1"/>
  <c r="N1803" i="1"/>
  <c r="L1803" i="1"/>
  <c r="K1803" i="1"/>
  <c r="F1803" i="1"/>
  <c r="G1802" i="1"/>
  <c r="G1801" i="1"/>
  <c r="D1801" i="1"/>
  <c r="G1800" i="1"/>
  <c r="D1800" i="1"/>
  <c r="G1799" i="1"/>
  <c r="D1799" i="1"/>
  <c r="P1791" i="1"/>
  <c r="M1791" i="1"/>
  <c r="P1775" i="1"/>
  <c r="M1775" i="1"/>
  <c r="G1775" i="1"/>
  <c r="D1775" i="1"/>
  <c r="H1775" i="1" s="1"/>
  <c r="P1774" i="1"/>
  <c r="M1774" i="1"/>
  <c r="G1774" i="1"/>
  <c r="D1774" i="1"/>
  <c r="P1773" i="1"/>
  <c r="M1773" i="1"/>
  <c r="P1772" i="1"/>
  <c r="M1772" i="1"/>
  <c r="P1771" i="1"/>
  <c r="M1771" i="1"/>
  <c r="P1770" i="1"/>
  <c r="M1770" i="1"/>
  <c r="P1769" i="1"/>
  <c r="M1769" i="1"/>
  <c r="P1768" i="1"/>
  <c r="M1768" i="1"/>
  <c r="P1737" i="1"/>
  <c r="M1737" i="1"/>
  <c r="B1747" i="1"/>
  <c r="E1747" i="1"/>
  <c r="G1747" i="1" s="1"/>
  <c r="B1742" i="1"/>
  <c r="D1742" i="1" s="1"/>
  <c r="P1736" i="1"/>
  <c r="M1736" i="1"/>
  <c r="P1735" i="1"/>
  <c r="M1735" i="1"/>
  <c r="P1734" i="1"/>
  <c r="M1734" i="1"/>
  <c r="B1734" i="1"/>
  <c r="E1715" i="1"/>
  <c r="G1715" i="1" s="1"/>
  <c r="P1716" i="1"/>
  <c r="M1716" i="1"/>
  <c r="M1750" i="1"/>
  <c r="P1750" i="1"/>
  <c r="M1751" i="1"/>
  <c r="P1751" i="1"/>
  <c r="M1752" i="1"/>
  <c r="P1752" i="1"/>
  <c r="M1753" i="1"/>
  <c r="P1753" i="1"/>
  <c r="M1754" i="1"/>
  <c r="P1754" i="1"/>
  <c r="M1755" i="1"/>
  <c r="P1755" i="1"/>
  <c r="M1756" i="1"/>
  <c r="P1756" i="1"/>
  <c r="M1740" i="1"/>
  <c r="P1740" i="1"/>
  <c r="M1741" i="1"/>
  <c r="P1741" i="1"/>
  <c r="M1742" i="1"/>
  <c r="P1742" i="1"/>
  <c r="M1743" i="1"/>
  <c r="P1743" i="1"/>
  <c r="M1744" i="1"/>
  <c r="P1744" i="1"/>
  <c r="M1745" i="1"/>
  <c r="P1745" i="1"/>
  <c r="M1746" i="1"/>
  <c r="P1746" i="1"/>
  <c r="M1747" i="1"/>
  <c r="P1747" i="1"/>
  <c r="M1748" i="1"/>
  <c r="P1748" i="1"/>
  <c r="D1734" i="1"/>
  <c r="G1734" i="1"/>
  <c r="D1735" i="1"/>
  <c r="G1735" i="1"/>
  <c r="D1736" i="1"/>
  <c r="G1736" i="1"/>
  <c r="D1737" i="1"/>
  <c r="G1737" i="1"/>
  <c r="D1738" i="1"/>
  <c r="G1738" i="1"/>
  <c r="D1739" i="1"/>
  <c r="G1739" i="1"/>
  <c r="D1740" i="1"/>
  <c r="G1740" i="1"/>
  <c r="D1741" i="1"/>
  <c r="H1741" i="1" s="1"/>
  <c r="G1741" i="1"/>
  <c r="G1742" i="1"/>
  <c r="D1743" i="1"/>
  <c r="G1743" i="1"/>
  <c r="D1744" i="1"/>
  <c r="G1744" i="1"/>
  <c r="D1745" i="1"/>
  <c r="G1745" i="1"/>
  <c r="D1746" i="1"/>
  <c r="H1746" i="1" s="1"/>
  <c r="G1746" i="1"/>
  <c r="D1748" i="1"/>
  <c r="G1748" i="1"/>
  <c r="D1749" i="1"/>
  <c r="G1749" i="1"/>
  <c r="D1750" i="1"/>
  <c r="G1750" i="1"/>
  <c r="D1751" i="1"/>
  <c r="G1751" i="1"/>
  <c r="D1752" i="1"/>
  <c r="G1752" i="1"/>
  <c r="D1753" i="1"/>
  <c r="H1753" i="1" s="1"/>
  <c r="G1753" i="1"/>
  <c r="D1754" i="1"/>
  <c r="G1754" i="1"/>
  <c r="D1755" i="1"/>
  <c r="D1756" i="1"/>
  <c r="H1756" i="1" s="1"/>
  <c r="G1756" i="1"/>
  <c r="G1732" i="1"/>
  <c r="D1732" i="1"/>
  <c r="G1731" i="1"/>
  <c r="D1731" i="1"/>
  <c r="G1730" i="1"/>
  <c r="D1730" i="1"/>
  <c r="G1729" i="1"/>
  <c r="D1729" i="1"/>
  <c r="G1728" i="1"/>
  <c r="D1728" i="1"/>
  <c r="G1727" i="1"/>
  <c r="D1727" i="1"/>
  <c r="G1726" i="1"/>
  <c r="D1726" i="1"/>
  <c r="G1725" i="1"/>
  <c r="D1725" i="1"/>
  <c r="O1760" i="1"/>
  <c r="N1760" i="1"/>
  <c r="L1760" i="1"/>
  <c r="K1760" i="1"/>
  <c r="F1760" i="1"/>
  <c r="D1759" i="1"/>
  <c r="G1758" i="1"/>
  <c r="D1758" i="1"/>
  <c r="G1757" i="1"/>
  <c r="D1757" i="1"/>
  <c r="P1749" i="1"/>
  <c r="M1749" i="1"/>
  <c r="C1760" i="1"/>
  <c r="P1732" i="1"/>
  <c r="M1732" i="1"/>
  <c r="P1731" i="1"/>
  <c r="M1731" i="1"/>
  <c r="P1730" i="1"/>
  <c r="M1730" i="1"/>
  <c r="P1729" i="1"/>
  <c r="M1729" i="1"/>
  <c r="P1728" i="1"/>
  <c r="M1728" i="1"/>
  <c r="P1727" i="1"/>
  <c r="M1727" i="1"/>
  <c r="P1726" i="1"/>
  <c r="M1726" i="1"/>
  <c r="P1725" i="1"/>
  <c r="M1725" i="1"/>
  <c r="D1711" i="1"/>
  <c r="D1712" i="1"/>
  <c r="P1697" i="1"/>
  <c r="M1697" i="1"/>
  <c r="E1710" i="1"/>
  <c r="G1710" i="1" s="1"/>
  <c r="C1710" i="1"/>
  <c r="B1710" i="1"/>
  <c r="C1707" i="1"/>
  <c r="B1707" i="1"/>
  <c r="P1695" i="1"/>
  <c r="M1695" i="1"/>
  <c r="P1694" i="1"/>
  <c r="M1694" i="1"/>
  <c r="C1700" i="1"/>
  <c r="P1693" i="1"/>
  <c r="M1693" i="1"/>
  <c r="B1700" i="1"/>
  <c r="B1699" i="1"/>
  <c r="D1699" i="1" s="1"/>
  <c r="C1699" i="1"/>
  <c r="P1692" i="1"/>
  <c r="M1692" i="1"/>
  <c r="P1691" i="1"/>
  <c r="M1691" i="1"/>
  <c r="Q1691" i="1" s="1"/>
  <c r="M1668" i="1"/>
  <c r="P1668" i="1"/>
  <c r="M1669" i="1"/>
  <c r="Q1669" i="1" s="1"/>
  <c r="P1669" i="1"/>
  <c r="M1670" i="1"/>
  <c r="P1670" i="1"/>
  <c r="Q1670" i="1" s="1"/>
  <c r="M1671" i="1"/>
  <c r="Q1671" i="1" s="1"/>
  <c r="P1671" i="1"/>
  <c r="M1672" i="1"/>
  <c r="P1672" i="1"/>
  <c r="M1673" i="1"/>
  <c r="P1673" i="1"/>
  <c r="G1689" i="1"/>
  <c r="D1689" i="1"/>
  <c r="G1688" i="1"/>
  <c r="D1688" i="1"/>
  <c r="G1687" i="1"/>
  <c r="D1687" i="1"/>
  <c r="G1686" i="1"/>
  <c r="D1686" i="1"/>
  <c r="G1685" i="1"/>
  <c r="D1685" i="1"/>
  <c r="G1684" i="1"/>
  <c r="D1684" i="1"/>
  <c r="H1684" i="1" s="1"/>
  <c r="G1683" i="1"/>
  <c r="D1683" i="1"/>
  <c r="G1682" i="1"/>
  <c r="D1682" i="1"/>
  <c r="G1699" i="1"/>
  <c r="G1700" i="1"/>
  <c r="D1701" i="1"/>
  <c r="G1701" i="1"/>
  <c r="D1702" i="1"/>
  <c r="G1702" i="1"/>
  <c r="D1703" i="1"/>
  <c r="G1703" i="1"/>
  <c r="D1704" i="1"/>
  <c r="G1704" i="1"/>
  <c r="D1705" i="1"/>
  <c r="G1705" i="1"/>
  <c r="D1706" i="1"/>
  <c r="G1706" i="1"/>
  <c r="G1707" i="1"/>
  <c r="D1708" i="1"/>
  <c r="G1708" i="1"/>
  <c r="D1709" i="1"/>
  <c r="G1709" i="1"/>
  <c r="G1711" i="1"/>
  <c r="G1712" i="1"/>
  <c r="D1713" i="1"/>
  <c r="G1713" i="1"/>
  <c r="D1714" i="1"/>
  <c r="H1714" i="1" s="1"/>
  <c r="G1714" i="1"/>
  <c r="D1715" i="1"/>
  <c r="D1716" i="1"/>
  <c r="H1716" i="1" s="1"/>
  <c r="G1716" i="1"/>
  <c r="G1698" i="1"/>
  <c r="D1698" i="1"/>
  <c r="G1697" i="1"/>
  <c r="D1697" i="1"/>
  <c r="H1697" i="1" s="1"/>
  <c r="G1696" i="1"/>
  <c r="D1696" i="1"/>
  <c r="G1695" i="1"/>
  <c r="D1695" i="1"/>
  <c r="G1694" i="1"/>
  <c r="D1694" i="1"/>
  <c r="H1694" i="1" s="1"/>
  <c r="G1693" i="1"/>
  <c r="D1693" i="1"/>
  <c r="G1692" i="1"/>
  <c r="D1692" i="1"/>
  <c r="G1691" i="1"/>
  <c r="D1691" i="1"/>
  <c r="H1691" i="1" s="1"/>
  <c r="M1696" i="1"/>
  <c r="Q1696" i="1" s="1"/>
  <c r="P1696" i="1"/>
  <c r="O1717" i="1"/>
  <c r="N1717" i="1"/>
  <c r="L1717" i="1"/>
  <c r="K1717" i="1"/>
  <c r="F1717" i="1"/>
  <c r="P1715" i="1"/>
  <c r="M1715" i="1"/>
  <c r="Q1715" i="1" s="1"/>
  <c r="P1714" i="1"/>
  <c r="M1714" i="1"/>
  <c r="P1713" i="1"/>
  <c r="M1713" i="1"/>
  <c r="P1712" i="1"/>
  <c r="M1712" i="1"/>
  <c r="Q1712" i="1" s="1"/>
  <c r="P1711" i="1"/>
  <c r="M1711" i="1"/>
  <c r="P1710" i="1"/>
  <c r="M1710" i="1"/>
  <c r="P1709" i="1"/>
  <c r="M1709" i="1"/>
  <c r="Q1709" i="1" s="1"/>
  <c r="P1708" i="1"/>
  <c r="M1708" i="1"/>
  <c r="P1707" i="1"/>
  <c r="M1707" i="1"/>
  <c r="P1706" i="1"/>
  <c r="M1706" i="1"/>
  <c r="Q1706" i="1" s="1"/>
  <c r="P1705" i="1"/>
  <c r="M1705" i="1"/>
  <c r="P1704" i="1"/>
  <c r="M1704" i="1"/>
  <c r="P1703" i="1"/>
  <c r="M1703" i="1"/>
  <c r="Q1703" i="1" s="1"/>
  <c r="P1702" i="1"/>
  <c r="M1702" i="1"/>
  <c r="P1701" i="1"/>
  <c r="M1701" i="1"/>
  <c r="P1700" i="1"/>
  <c r="M1700" i="1"/>
  <c r="P1699" i="1"/>
  <c r="M1699" i="1"/>
  <c r="P1698" i="1"/>
  <c r="M1698" i="1"/>
  <c r="P1689" i="1"/>
  <c r="M1689" i="1"/>
  <c r="P1688" i="1"/>
  <c r="M1688" i="1"/>
  <c r="P1687" i="1"/>
  <c r="M1687" i="1"/>
  <c r="P1686" i="1"/>
  <c r="M1686" i="1"/>
  <c r="P1685" i="1"/>
  <c r="M1685" i="1"/>
  <c r="P1684" i="1"/>
  <c r="M1684" i="1"/>
  <c r="P1683" i="1"/>
  <c r="M1683" i="1"/>
  <c r="P1682" i="1"/>
  <c r="M1682" i="1"/>
  <c r="P1650" i="1"/>
  <c r="M1650" i="1"/>
  <c r="B1662" i="1"/>
  <c r="P1649" i="1"/>
  <c r="Q1649" i="1" s="1"/>
  <c r="M1649" i="1"/>
  <c r="C1659" i="1"/>
  <c r="D1659" i="1" s="1"/>
  <c r="E1659" i="1"/>
  <c r="G1659" i="1" s="1"/>
  <c r="P1648" i="1"/>
  <c r="M1648" i="1"/>
  <c r="M1629" i="1"/>
  <c r="P1629" i="1"/>
  <c r="D1639" i="1"/>
  <c r="G1639" i="1"/>
  <c r="D1640" i="1"/>
  <c r="H1640" i="1" s="1"/>
  <c r="G1640" i="1"/>
  <c r="D1641" i="1"/>
  <c r="G1641" i="1"/>
  <c r="D1642" i="1"/>
  <c r="G1642" i="1"/>
  <c r="D1643" i="1"/>
  <c r="G1643" i="1"/>
  <c r="D1644" i="1"/>
  <c r="H1644" i="1" s="1"/>
  <c r="G1644" i="1"/>
  <c r="D1648" i="1"/>
  <c r="G1648" i="1"/>
  <c r="H1648" i="1" s="1"/>
  <c r="D1649" i="1"/>
  <c r="G1649" i="1"/>
  <c r="D1650" i="1"/>
  <c r="G1650" i="1"/>
  <c r="D1651" i="1"/>
  <c r="G1651" i="1"/>
  <c r="D1652" i="1"/>
  <c r="G1652" i="1"/>
  <c r="D1653" i="1"/>
  <c r="H1653" i="1" s="1"/>
  <c r="G1653" i="1"/>
  <c r="D1654" i="1"/>
  <c r="G1654" i="1"/>
  <c r="H1654" i="1" s="1"/>
  <c r="D1655" i="1"/>
  <c r="G1655" i="1"/>
  <c r="D1656" i="1"/>
  <c r="G1656" i="1"/>
  <c r="D1657" i="1"/>
  <c r="G1657" i="1"/>
  <c r="D1658" i="1"/>
  <c r="G1658" i="1"/>
  <c r="D1660" i="1"/>
  <c r="G1660" i="1"/>
  <c r="D1661" i="1"/>
  <c r="G1661" i="1"/>
  <c r="D1662" i="1"/>
  <c r="G1662" i="1"/>
  <c r="D1663" i="1"/>
  <c r="H1663" i="1" s="1"/>
  <c r="G1663" i="1"/>
  <c r="D1664" i="1"/>
  <c r="G1664" i="1"/>
  <c r="D1665" i="1"/>
  <c r="G1665" i="1"/>
  <c r="D1666" i="1"/>
  <c r="G1666" i="1"/>
  <c r="D1667" i="1"/>
  <c r="G1667" i="1"/>
  <c r="D1668" i="1"/>
  <c r="G1668" i="1"/>
  <c r="D1669" i="1"/>
  <c r="G1669" i="1"/>
  <c r="D1670" i="1"/>
  <c r="G1670" i="1"/>
  <c r="D1671" i="1"/>
  <c r="G1671" i="1"/>
  <c r="O1674" i="1"/>
  <c r="N1674" i="1"/>
  <c r="L1674" i="1"/>
  <c r="K1674" i="1"/>
  <c r="F1674" i="1"/>
  <c r="G1673" i="1"/>
  <c r="D1673" i="1"/>
  <c r="G1672" i="1"/>
  <c r="D1672" i="1"/>
  <c r="H1672" i="1" s="1"/>
  <c r="P1667" i="1"/>
  <c r="M1667" i="1"/>
  <c r="P1666" i="1"/>
  <c r="M1666" i="1"/>
  <c r="P1665" i="1"/>
  <c r="M1665" i="1"/>
  <c r="Q1665" i="1" s="1"/>
  <c r="P1664" i="1"/>
  <c r="M1664" i="1"/>
  <c r="P1663" i="1"/>
  <c r="M1663" i="1"/>
  <c r="P1662" i="1"/>
  <c r="M1662" i="1"/>
  <c r="Q1662" i="1" s="1"/>
  <c r="P1661" i="1"/>
  <c r="M1661" i="1"/>
  <c r="P1660" i="1"/>
  <c r="M1660" i="1"/>
  <c r="P1659" i="1"/>
  <c r="M1659" i="1"/>
  <c r="Q1659" i="1" s="1"/>
  <c r="P1658" i="1"/>
  <c r="M1658" i="1"/>
  <c r="P1657" i="1"/>
  <c r="M1657" i="1"/>
  <c r="P1656" i="1"/>
  <c r="M1656" i="1"/>
  <c r="P1655" i="1"/>
  <c r="M1655" i="1"/>
  <c r="P1654" i="1"/>
  <c r="M1654" i="1"/>
  <c r="P1653" i="1"/>
  <c r="M1653" i="1"/>
  <c r="Q1653" i="1" s="1"/>
  <c r="P1652" i="1"/>
  <c r="M1652" i="1"/>
  <c r="P1651" i="1"/>
  <c r="M1651" i="1"/>
  <c r="P1646" i="1"/>
  <c r="M1646" i="1"/>
  <c r="Q1646" i="1" s="1"/>
  <c r="G1646" i="1"/>
  <c r="D1646" i="1"/>
  <c r="P1645" i="1"/>
  <c r="M1645" i="1"/>
  <c r="G1645" i="1"/>
  <c r="D1645" i="1"/>
  <c r="P1644" i="1"/>
  <c r="M1644" i="1"/>
  <c r="P1643" i="1"/>
  <c r="M1643" i="1"/>
  <c r="P1642" i="1"/>
  <c r="M1642" i="1"/>
  <c r="Q1642" i="1" s="1"/>
  <c r="P1641" i="1"/>
  <c r="M1641" i="1"/>
  <c r="P1640" i="1"/>
  <c r="M1640" i="1"/>
  <c r="P1639" i="1"/>
  <c r="M1639" i="1"/>
  <c r="Q1639" i="1" s="1"/>
  <c r="P1607" i="1"/>
  <c r="M1607" i="1"/>
  <c r="P1606" i="1"/>
  <c r="M1606" i="1"/>
  <c r="B1618" i="1"/>
  <c r="D1618" i="1" s="1"/>
  <c r="P1605" i="1"/>
  <c r="M1605" i="1"/>
  <c r="E1607" i="1"/>
  <c r="G1607" i="1" s="1"/>
  <c r="B1607" i="1"/>
  <c r="D1607" i="1" s="1"/>
  <c r="P1566" i="1"/>
  <c r="M1566" i="1"/>
  <c r="D1560" i="1"/>
  <c r="E1605" i="1"/>
  <c r="M1586" i="1"/>
  <c r="P1586" i="1"/>
  <c r="M1587" i="1"/>
  <c r="P1587" i="1"/>
  <c r="C1585" i="1"/>
  <c r="D1585" i="1" s="1"/>
  <c r="E1584" i="1"/>
  <c r="G1584" i="1" s="1"/>
  <c r="D1596" i="1"/>
  <c r="G1596" i="1"/>
  <c r="D1597" i="1"/>
  <c r="G1597" i="1"/>
  <c r="D1598" i="1"/>
  <c r="G1598" i="1"/>
  <c r="D1599" i="1"/>
  <c r="G1599" i="1"/>
  <c r="D1600" i="1"/>
  <c r="G1600" i="1"/>
  <c r="D1605" i="1"/>
  <c r="G1605" i="1"/>
  <c r="D1606" i="1"/>
  <c r="G1606" i="1"/>
  <c r="D1608" i="1"/>
  <c r="G1608" i="1"/>
  <c r="D1609" i="1"/>
  <c r="G1609" i="1"/>
  <c r="D1610" i="1"/>
  <c r="G1610" i="1"/>
  <c r="D1611" i="1"/>
  <c r="G1611" i="1"/>
  <c r="D1612" i="1"/>
  <c r="H1612" i="1" s="1"/>
  <c r="G1612" i="1"/>
  <c r="D1613" i="1"/>
  <c r="G1613" i="1"/>
  <c r="D1614" i="1"/>
  <c r="G1614" i="1"/>
  <c r="D1615" i="1"/>
  <c r="G1615" i="1"/>
  <c r="D1616" i="1"/>
  <c r="G1616" i="1"/>
  <c r="D1617" i="1"/>
  <c r="G1618" i="1"/>
  <c r="D1619" i="1"/>
  <c r="G1619" i="1"/>
  <c r="D1620" i="1"/>
  <c r="G1620" i="1"/>
  <c r="D1621" i="1"/>
  <c r="G1621" i="1"/>
  <c r="D1622" i="1"/>
  <c r="G1622" i="1"/>
  <c r="D1623" i="1"/>
  <c r="G1623" i="1"/>
  <c r="D1624" i="1"/>
  <c r="G1624" i="1"/>
  <c r="D1625" i="1"/>
  <c r="G1625" i="1"/>
  <c r="D1626" i="1"/>
  <c r="G1626" i="1"/>
  <c r="M1608" i="1"/>
  <c r="P1608" i="1"/>
  <c r="M1609" i="1"/>
  <c r="Q1609" i="1" s="1"/>
  <c r="P1609" i="1"/>
  <c r="M1610" i="1"/>
  <c r="P1610" i="1"/>
  <c r="M1611" i="1"/>
  <c r="P1611" i="1"/>
  <c r="M1612" i="1"/>
  <c r="P1612" i="1"/>
  <c r="M1613" i="1"/>
  <c r="P1613" i="1"/>
  <c r="O1631" i="1"/>
  <c r="N1631" i="1"/>
  <c r="L1631" i="1"/>
  <c r="K1631" i="1"/>
  <c r="F1631" i="1"/>
  <c r="C1631" i="1"/>
  <c r="P1630" i="1"/>
  <c r="M1630" i="1"/>
  <c r="G1630" i="1"/>
  <c r="H1630" i="1" s="1"/>
  <c r="D1630" i="1"/>
  <c r="G1629" i="1"/>
  <c r="D1629" i="1"/>
  <c r="P1628" i="1"/>
  <c r="M1628" i="1"/>
  <c r="G1628" i="1"/>
  <c r="H1628" i="1" s="1"/>
  <c r="D1628" i="1"/>
  <c r="P1627" i="1"/>
  <c r="M1627" i="1"/>
  <c r="G1627" i="1"/>
  <c r="D1627" i="1"/>
  <c r="P1626" i="1"/>
  <c r="Q1626" i="1" s="1"/>
  <c r="M1626" i="1"/>
  <c r="P1625" i="1"/>
  <c r="M1625" i="1"/>
  <c r="P1624" i="1"/>
  <c r="M1624" i="1"/>
  <c r="P1623" i="1"/>
  <c r="Q1623" i="1" s="1"/>
  <c r="M1623" i="1"/>
  <c r="P1622" i="1"/>
  <c r="M1622" i="1"/>
  <c r="P1621" i="1"/>
  <c r="M1621" i="1"/>
  <c r="P1620" i="1"/>
  <c r="Q1620" i="1" s="1"/>
  <c r="M1620" i="1"/>
  <c r="P1619" i="1"/>
  <c r="M1619" i="1"/>
  <c r="P1618" i="1"/>
  <c r="M1618" i="1"/>
  <c r="P1617" i="1"/>
  <c r="Q1617" i="1" s="1"/>
  <c r="M1617" i="1"/>
  <c r="P1616" i="1"/>
  <c r="M1616" i="1"/>
  <c r="P1615" i="1"/>
  <c r="M1615" i="1"/>
  <c r="P1614" i="1"/>
  <c r="Q1614" i="1" s="1"/>
  <c r="M1614" i="1"/>
  <c r="P1603" i="1"/>
  <c r="M1603" i="1"/>
  <c r="G1603" i="1"/>
  <c r="D1603" i="1"/>
  <c r="P1602" i="1"/>
  <c r="Q1602" i="1" s="1"/>
  <c r="M1602" i="1"/>
  <c r="G1602" i="1"/>
  <c r="D1602" i="1"/>
  <c r="P1601" i="1"/>
  <c r="M1601" i="1"/>
  <c r="G1601" i="1"/>
  <c r="D1601" i="1"/>
  <c r="P1600" i="1"/>
  <c r="M1600" i="1"/>
  <c r="P1599" i="1"/>
  <c r="M1599" i="1"/>
  <c r="P1598" i="1"/>
  <c r="Q1598" i="1" s="1"/>
  <c r="M1598" i="1"/>
  <c r="P1597" i="1"/>
  <c r="M1597" i="1"/>
  <c r="P1596" i="1"/>
  <c r="M1596" i="1"/>
  <c r="P1565" i="1"/>
  <c r="M1565" i="1"/>
  <c r="P1564" i="1"/>
  <c r="M1564" i="1"/>
  <c r="P1563" i="1"/>
  <c r="M1563" i="1"/>
  <c r="M1527" i="1"/>
  <c r="Q1527" i="1" s="1"/>
  <c r="P1527" i="1"/>
  <c r="P1562" i="1"/>
  <c r="M1562" i="1"/>
  <c r="C1566" i="1"/>
  <c r="D1566" i="1" s="1"/>
  <c r="P1526" i="1"/>
  <c r="M1526" i="1"/>
  <c r="K1588" i="1"/>
  <c r="L1588" i="1"/>
  <c r="N1588" i="1"/>
  <c r="O1588" i="1"/>
  <c r="M1553" i="1"/>
  <c r="P1553" i="1"/>
  <c r="M1567" i="1"/>
  <c r="Q1567" i="1" s="1"/>
  <c r="P1567" i="1"/>
  <c r="M1568" i="1"/>
  <c r="P1568" i="1"/>
  <c r="D1553" i="1"/>
  <c r="G1553" i="1"/>
  <c r="D1554" i="1"/>
  <c r="G1554" i="1"/>
  <c r="D1555" i="1"/>
  <c r="G1555" i="1"/>
  <c r="D1556" i="1"/>
  <c r="G1556" i="1"/>
  <c r="D1557" i="1"/>
  <c r="G1557" i="1"/>
  <c r="D1562" i="1"/>
  <c r="G1562" i="1"/>
  <c r="D1563" i="1"/>
  <c r="G1563" i="1"/>
  <c r="D1564" i="1"/>
  <c r="G1564" i="1"/>
  <c r="D1565" i="1"/>
  <c r="G1565" i="1"/>
  <c r="G1566" i="1"/>
  <c r="D1567" i="1"/>
  <c r="H1567" i="1" s="1"/>
  <c r="G1567" i="1"/>
  <c r="D1568" i="1"/>
  <c r="G1568" i="1"/>
  <c r="D1569" i="1"/>
  <c r="G1569" i="1"/>
  <c r="D1570" i="1"/>
  <c r="G1570" i="1"/>
  <c r="D1571" i="1"/>
  <c r="G1571" i="1"/>
  <c r="D1572" i="1"/>
  <c r="G1572" i="1"/>
  <c r="D1573" i="1"/>
  <c r="G1573" i="1"/>
  <c r="D1574" i="1"/>
  <c r="G1574" i="1"/>
  <c r="D1575" i="1"/>
  <c r="G1575" i="1"/>
  <c r="D1576" i="1"/>
  <c r="G1576" i="1"/>
  <c r="D1577" i="1"/>
  <c r="G1577" i="1"/>
  <c r="D1578" i="1"/>
  <c r="G1578" i="1"/>
  <c r="D1579" i="1"/>
  <c r="G1579" i="1"/>
  <c r="D1580" i="1"/>
  <c r="G1580" i="1"/>
  <c r="D1581" i="1"/>
  <c r="G1581" i="1"/>
  <c r="D1582" i="1"/>
  <c r="G1582" i="1"/>
  <c r="D1583" i="1"/>
  <c r="G1583" i="1"/>
  <c r="D1584" i="1"/>
  <c r="F1588" i="1"/>
  <c r="B1588" i="1"/>
  <c r="G1587" i="1"/>
  <c r="D1587" i="1"/>
  <c r="H1587" i="1" s="1"/>
  <c r="G1586" i="1"/>
  <c r="D1586" i="1"/>
  <c r="P1585" i="1"/>
  <c r="M1585" i="1"/>
  <c r="Q1585" i="1" s="1"/>
  <c r="G1585" i="1"/>
  <c r="P1584" i="1"/>
  <c r="M1584" i="1"/>
  <c r="P1583" i="1"/>
  <c r="M1583" i="1"/>
  <c r="Q1583" i="1" s="1"/>
  <c r="P1582" i="1"/>
  <c r="M1582" i="1"/>
  <c r="Q1582" i="1" s="1"/>
  <c r="P1581" i="1"/>
  <c r="M1581" i="1"/>
  <c r="P1580" i="1"/>
  <c r="M1580" i="1"/>
  <c r="Q1580" i="1" s="1"/>
  <c r="P1579" i="1"/>
  <c r="M1579" i="1"/>
  <c r="Q1579" i="1" s="1"/>
  <c r="P1578" i="1"/>
  <c r="M1578" i="1"/>
  <c r="P1577" i="1"/>
  <c r="M1577" i="1"/>
  <c r="Q1577" i="1" s="1"/>
  <c r="P1576" i="1"/>
  <c r="M1576" i="1"/>
  <c r="Q1576" i="1" s="1"/>
  <c r="P1575" i="1"/>
  <c r="M1575" i="1"/>
  <c r="P1574" i="1"/>
  <c r="M1574" i="1"/>
  <c r="Q1574" i="1" s="1"/>
  <c r="P1573" i="1"/>
  <c r="M1573" i="1"/>
  <c r="Q1573" i="1" s="1"/>
  <c r="P1572" i="1"/>
  <c r="M1572" i="1"/>
  <c r="P1571" i="1"/>
  <c r="M1571" i="1"/>
  <c r="Q1571" i="1" s="1"/>
  <c r="P1570" i="1"/>
  <c r="M1570" i="1"/>
  <c r="Q1570" i="1" s="1"/>
  <c r="P1569" i="1"/>
  <c r="M1569" i="1"/>
  <c r="P1560" i="1"/>
  <c r="M1560" i="1"/>
  <c r="Q1560" i="1" s="1"/>
  <c r="G1560" i="1"/>
  <c r="P1559" i="1"/>
  <c r="M1559" i="1"/>
  <c r="G1559" i="1"/>
  <c r="D1559" i="1"/>
  <c r="P1558" i="1"/>
  <c r="M1558" i="1"/>
  <c r="G1558" i="1"/>
  <c r="D1558" i="1"/>
  <c r="P1557" i="1"/>
  <c r="M1557" i="1"/>
  <c r="P1556" i="1"/>
  <c r="M1556" i="1"/>
  <c r="P1555" i="1"/>
  <c r="M1555" i="1"/>
  <c r="P1554" i="1"/>
  <c r="M1554" i="1"/>
  <c r="P1525" i="1"/>
  <c r="M1525" i="1"/>
  <c r="P1524" i="1"/>
  <c r="M1524" i="1"/>
  <c r="G1512" i="1"/>
  <c r="D1512" i="1"/>
  <c r="M1517" i="1"/>
  <c r="P1517" i="1"/>
  <c r="D1544" i="1"/>
  <c r="G1544" i="1"/>
  <c r="P1522" i="1"/>
  <c r="M1522" i="1"/>
  <c r="P1521" i="1"/>
  <c r="M1521" i="1"/>
  <c r="M1544" i="1"/>
  <c r="P1544" i="1"/>
  <c r="E1522" i="1"/>
  <c r="G1522" i="1" s="1"/>
  <c r="M1501" i="1"/>
  <c r="P1501" i="1"/>
  <c r="K1502" i="1"/>
  <c r="L1502" i="1"/>
  <c r="N1502" i="1"/>
  <c r="O1502" i="1"/>
  <c r="M1474" i="1"/>
  <c r="P1474" i="1"/>
  <c r="M1511" i="1"/>
  <c r="Q1511" i="1" s="1"/>
  <c r="P1511" i="1"/>
  <c r="P1481" i="1"/>
  <c r="M1481" i="1"/>
  <c r="D1510" i="1"/>
  <c r="G1510" i="1"/>
  <c r="M1510" i="1"/>
  <c r="Q1510" i="1" s="1"/>
  <c r="P1510" i="1"/>
  <c r="D1511" i="1"/>
  <c r="G1511" i="1"/>
  <c r="M1512" i="1"/>
  <c r="P1512" i="1"/>
  <c r="D1513" i="1"/>
  <c r="G1513" i="1"/>
  <c r="M1513" i="1"/>
  <c r="Q1513" i="1" s="1"/>
  <c r="P1513" i="1"/>
  <c r="D1515" i="1"/>
  <c r="G1515" i="1"/>
  <c r="M1515" i="1"/>
  <c r="P1515" i="1"/>
  <c r="D1516" i="1"/>
  <c r="H1516" i="1" s="1"/>
  <c r="G1516" i="1"/>
  <c r="M1516" i="1"/>
  <c r="P1516" i="1"/>
  <c r="D1517" i="1"/>
  <c r="H1517" i="1" s="1"/>
  <c r="G1517" i="1"/>
  <c r="D1519" i="1"/>
  <c r="G1519" i="1"/>
  <c r="M1519" i="1"/>
  <c r="P1519" i="1"/>
  <c r="D1520" i="1"/>
  <c r="G1520" i="1"/>
  <c r="M1520" i="1"/>
  <c r="P1520" i="1"/>
  <c r="D1521" i="1"/>
  <c r="G1521" i="1"/>
  <c r="D1522" i="1"/>
  <c r="D1523" i="1"/>
  <c r="G1523" i="1"/>
  <c r="M1523" i="1"/>
  <c r="P1523" i="1"/>
  <c r="D1524" i="1"/>
  <c r="G1524" i="1"/>
  <c r="D1525" i="1"/>
  <c r="G1525" i="1"/>
  <c r="D1526" i="1"/>
  <c r="G1526" i="1"/>
  <c r="D1527" i="1"/>
  <c r="G1527" i="1"/>
  <c r="D1528" i="1"/>
  <c r="G1528" i="1"/>
  <c r="M1528" i="1"/>
  <c r="P1528" i="1"/>
  <c r="Q1528" i="1" s="1"/>
  <c r="D1529" i="1"/>
  <c r="G1529" i="1"/>
  <c r="M1529" i="1"/>
  <c r="P1529" i="1"/>
  <c r="D1530" i="1"/>
  <c r="G1530" i="1"/>
  <c r="M1530" i="1"/>
  <c r="Q1530" i="1" s="1"/>
  <c r="P1530" i="1"/>
  <c r="D1531" i="1"/>
  <c r="G1531" i="1"/>
  <c r="M1531" i="1"/>
  <c r="P1531" i="1"/>
  <c r="D1532" i="1"/>
  <c r="G1532" i="1"/>
  <c r="M1532" i="1"/>
  <c r="P1532" i="1"/>
  <c r="D1533" i="1"/>
  <c r="G1533" i="1"/>
  <c r="M1533" i="1"/>
  <c r="P1533" i="1"/>
  <c r="D1534" i="1"/>
  <c r="G1534" i="1"/>
  <c r="M1534" i="1"/>
  <c r="P1534" i="1"/>
  <c r="D1535" i="1"/>
  <c r="G1535" i="1"/>
  <c r="M1535" i="1"/>
  <c r="P1535" i="1"/>
  <c r="D1536" i="1"/>
  <c r="G1536" i="1"/>
  <c r="M1536" i="1"/>
  <c r="P1536" i="1"/>
  <c r="D1537" i="1"/>
  <c r="G1537" i="1"/>
  <c r="M1537" i="1"/>
  <c r="P1537" i="1"/>
  <c r="D1538" i="1"/>
  <c r="G1538" i="1"/>
  <c r="M1538" i="1"/>
  <c r="P1538" i="1"/>
  <c r="D1539" i="1"/>
  <c r="G1539" i="1"/>
  <c r="M1539" i="1"/>
  <c r="P1539" i="1"/>
  <c r="D1540" i="1"/>
  <c r="G1540" i="1"/>
  <c r="M1540" i="1"/>
  <c r="P1540" i="1"/>
  <c r="Q1540" i="1" s="1"/>
  <c r="D1542" i="1"/>
  <c r="G1542" i="1"/>
  <c r="M1542" i="1"/>
  <c r="P1542" i="1"/>
  <c r="D1543" i="1"/>
  <c r="G1543" i="1"/>
  <c r="M1543" i="1"/>
  <c r="Q1543" i="1" s="1"/>
  <c r="P1543" i="1"/>
  <c r="O1545" i="1"/>
  <c r="N1545" i="1"/>
  <c r="L1545" i="1"/>
  <c r="K1545" i="1"/>
  <c r="F1545" i="1"/>
  <c r="B1545" i="1"/>
  <c r="P1541" i="1"/>
  <c r="M1541" i="1"/>
  <c r="G1541" i="1"/>
  <c r="D1541" i="1"/>
  <c r="C1545" i="1"/>
  <c r="P1514" i="1"/>
  <c r="M1514" i="1"/>
  <c r="G1514" i="1"/>
  <c r="D1514" i="1"/>
  <c r="P1479" i="1"/>
  <c r="M1479" i="1"/>
  <c r="P1478" i="1"/>
  <c r="M1478" i="1"/>
  <c r="P1477" i="1"/>
  <c r="M1477" i="1"/>
  <c r="E1476" i="1"/>
  <c r="G1476" i="1" s="1"/>
  <c r="C1476" i="1"/>
  <c r="C1502" i="1" s="1"/>
  <c r="P1458" i="1"/>
  <c r="M1500" i="1"/>
  <c r="P1500" i="1"/>
  <c r="M1458" i="1"/>
  <c r="D1458" i="1"/>
  <c r="G1458" i="1"/>
  <c r="M1430" i="1"/>
  <c r="P1430" i="1"/>
  <c r="M1431" i="1"/>
  <c r="Q1431" i="1" s="1"/>
  <c r="P1431" i="1"/>
  <c r="M1450" i="1"/>
  <c r="Q1450" i="1" s="1"/>
  <c r="P1450" i="1"/>
  <c r="M1451" i="1"/>
  <c r="P1451" i="1"/>
  <c r="M1452" i="1"/>
  <c r="P1452" i="1"/>
  <c r="Q1452" i="1" s="1"/>
  <c r="M1453" i="1"/>
  <c r="Q1453" i="1" s="1"/>
  <c r="P1453" i="1"/>
  <c r="M1454" i="1"/>
  <c r="Q1454" i="1" s="1"/>
  <c r="P1454" i="1"/>
  <c r="M1455" i="1"/>
  <c r="P1455" i="1"/>
  <c r="M1456" i="1"/>
  <c r="Q1456" i="1" s="1"/>
  <c r="P1456" i="1"/>
  <c r="M1457" i="1"/>
  <c r="Q1457" i="1" s="1"/>
  <c r="P1457" i="1"/>
  <c r="D1467" i="1"/>
  <c r="G1467" i="1"/>
  <c r="D1468" i="1"/>
  <c r="G1468" i="1"/>
  <c r="D1469" i="1"/>
  <c r="G1469" i="1"/>
  <c r="D1470" i="1"/>
  <c r="G1470" i="1"/>
  <c r="D1471" i="1"/>
  <c r="H1471" i="1" s="1"/>
  <c r="G1471" i="1"/>
  <c r="M1476" i="1"/>
  <c r="Q1476" i="1" s="1"/>
  <c r="P1476" i="1"/>
  <c r="M1480" i="1"/>
  <c r="P1480" i="1"/>
  <c r="M1482" i="1"/>
  <c r="P1482" i="1"/>
  <c r="M1483" i="1"/>
  <c r="Q1483" i="1" s="1"/>
  <c r="P1483" i="1"/>
  <c r="M1484" i="1"/>
  <c r="P1484" i="1"/>
  <c r="M1485" i="1"/>
  <c r="P1485" i="1"/>
  <c r="D1477" i="1"/>
  <c r="H1477" i="1" s="1"/>
  <c r="G1477" i="1"/>
  <c r="D1478" i="1"/>
  <c r="G1478" i="1"/>
  <c r="D1479" i="1"/>
  <c r="G1479" i="1"/>
  <c r="D1480" i="1"/>
  <c r="G1480" i="1"/>
  <c r="D1481" i="1"/>
  <c r="G1481" i="1"/>
  <c r="D1482" i="1"/>
  <c r="G1482" i="1"/>
  <c r="D1483" i="1"/>
  <c r="G1483" i="1"/>
  <c r="D1484" i="1"/>
  <c r="G1484" i="1"/>
  <c r="D1485" i="1"/>
  <c r="H1485" i="1" s="1"/>
  <c r="G1485" i="1"/>
  <c r="D1486" i="1"/>
  <c r="H1486" i="1" s="1"/>
  <c r="G1486" i="1"/>
  <c r="D1487" i="1"/>
  <c r="G1487" i="1"/>
  <c r="D1488" i="1"/>
  <c r="G1488" i="1"/>
  <c r="D1489" i="1"/>
  <c r="G1489" i="1"/>
  <c r="D1490" i="1"/>
  <c r="G1490" i="1"/>
  <c r="D1491" i="1"/>
  <c r="H1491" i="1" s="1"/>
  <c r="G1491" i="1"/>
  <c r="D1492" i="1"/>
  <c r="G1492" i="1"/>
  <c r="D1493" i="1"/>
  <c r="G1493" i="1"/>
  <c r="D1494" i="1"/>
  <c r="G1494" i="1"/>
  <c r="D1495" i="1"/>
  <c r="G1495" i="1"/>
  <c r="D1496" i="1"/>
  <c r="G1496" i="1"/>
  <c r="D1497" i="1"/>
  <c r="H1497" i="1" s="1"/>
  <c r="G1497" i="1"/>
  <c r="D1498" i="1"/>
  <c r="G1498" i="1"/>
  <c r="D1499" i="1"/>
  <c r="G1499" i="1"/>
  <c r="F1502" i="1"/>
  <c r="G1501" i="1"/>
  <c r="D1501" i="1"/>
  <c r="G1500" i="1"/>
  <c r="D1500" i="1"/>
  <c r="H1500" i="1" s="1"/>
  <c r="P1499" i="1"/>
  <c r="M1499" i="1"/>
  <c r="P1498" i="1"/>
  <c r="M1498" i="1"/>
  <c r="Q1498" i="1" s="1"/>
  <c r="P1497" i="1"/>
  <c r="M1497" i="1"/>
  <c r="P1496" i="1"/>
  <c r="M1496" i="1"/>
  <c r="P1495" i="1"/>
  <c r="M1495" i="1"/>
  <c r="P1494" i="1"/>
  <c r="M1494" i="1"/>
  <c r="Q1494" i="1" s="1"/>
  <c r="P1493" i="1"/>
  <c r="Q1493" i="1" s="1"/>
  <c r="M1493" i="1"/>
  <c r="P1492" i="1"/>
  <c r="Q1492" i="1" s="1"/>
  <c r="M1492" i="1"/>
  <c r="P1491" i="1"/>
  <c r="M1491" i="1"/>
  <c r="Q1491" i="1" s="1"/>
  <c r="P1490" i="1"/>
  <c r="M1490" i="1"/>
  <c r="P1489" i="1"/>
  <c r="M1489" i="1"/>
  <c r="P1488" i="1"/>
  <c r="M1488" i="1"/>
  <c r="Q1488" i="1" s="1"/>
  <c r="P1487" i="1"/>
  <c r="M1487" i="1"/>
  <c r="P1486" i="1"/>
  <c r="M1486" i="1"/>
  <c r="B1502" i="1"/>
  <c r="G1474" i="1"/>
  <c r="D1474" i="1"/>
  <c r="P1473" i="1"/>
  <c r="M1473" i="1"/>
  <c r="G1473" i="1"/>
  <c r="D1473" i="1"/>
  <c r="P1472" i="1"/>
  <c r="M1472" i="1"/>
  <c r="G1472" i="1"/>
  <c r="D1472" i="1"/>
  <c r="P1471" i="1"/>
  <c r="M1471" i="1"/>
  <c r="P1470" i="1"/>
  <c r="M1470" i="1"/>
  <c r="P1469" i="1"/>
  <c r="M1469" i="1"/>
  <c r="P1468" i="1"/>
  <c r="M1468" i="1"/>
  <c r="P1467" i="1"/>
  <c r="M1467" i="1"/>
  <c r="P1433" i="1"/>
  <c r="Q1433" i="1" s="1"/>
  <c r="M1433" i="1"/>
  <c r="F1449" i="1"/>
  <c r="G1449" i="1" s="1"/>
  <c r="P1396" i="1"/>
  <c r="M1396" i="1"/>
  <c r="B1439" i="1"/>
  <c r="D1439" i="1" s="1"/>
  <c r="G1431" i="1"/>
  <c r="G1430" i="1"/>
  <c r="G1429" i="1"/>
  <c r="G1428" i="1"/>
  <c r="G1427" i="1"/>
  <c r="G1426" i="1"/>
  <c r="G1425" i="1"/>
  <c r="G1424" i="1"/>
  <c r="B1437" i="1"/>
  <c r="G1433" i="1"/>
  <c r="G1434" i="1"/>
  <c r="G1435" i="1"/>
  <c r="G1436" i="1"/>
  <c r="G1437" i="1"/>
  <c r="G1438" i="1"/>
  <c r="H1438" i="1" s="1"/>
  <c r="G1439" i="1"/>
  <c r="G1440" i="1"/>
  <c r="G1441" i="1"/>
  <c r="G1442" i="1"/>
  <c r="G1443" i="1"/>
  <c r="G1444" i="1"/>
  <c r="G1445" i="1"/>
  <c r="G1446" i="1"/>
  <c r="G1447" i="1"/>
  <c r="G1448" i="1"/>
  <c r="G1450" i="1"/>
  <c r="G1451" i="1"/>
  <c r="G1452" i="1"/>
  <c r="G1453" i="1"/>
  <c r="G1454" i="1"/>
  <c r="G1455" i="1"/>
  <c r="G1456" i="1"/>
  <c r="G1457" i="1"/>
  <c r="O1459" i="1"/>
  <c r="N1459" i="1"/>
  <c r="L1459" i="1"/>
  <c r="K1459" i="1"/>
  <c r="F1459" i="1"/>
  <c r="E1459" i="1"/>
  <c r="C1459" i="1"/>
  <c r="D1457" i="1"/>
  <c r="D1456" i="1"/>
  <c r="D1455" i="1"/>
  <c r="D1454" i="1"/>
  <c r="D1453" i="1"/>
  <c r="D1452" i="1"/>
  <c r="D1451" i="1"/>
  <c r="D1450" i="1"/>
  <c r="P1449" i="1"/>
  <c r="M1449" i="1"/>
  <c r="D1449" i="1"/>
  <c r="P1448" i="1"/>
  <c r="M1448" i="1"/>
  <c r="D1448" i="1"/>
  <c r="P1447" i="1"/>
  <c r="M1447" i="1"/>
  <c r="D1447" i="1"/>
  <c r="H1447" i="1" s="1"/>
  <c r="P1446" i="1"/>
  <c r="M1446" i="1"/>
  <c r="D1446" i="1"/>
  <c r="P1445" i="1"/>
  <c r="M1445" i="1"/>
  <c r="D1445" i="1"/>
  <c r="H1445" i="1" s="1"/>
  <c r="P1444" i="1"/>
  <c r="M1444" i="1"/>
  <c r="D1444" i="1"/>
  <c r="P1443" i="1"/>
  <c r="M1443" i="1"/>
  <c r="D1443" i="1"/>
  <c r="H1443" i="1" s="1"/>
  <c r="P1442" i="1"/>
  <c r="M1442" i="1"/>
  <c r="D1442" i="1"/>
  <c r="H1442" i="1" s="1"/>
  <c r="P1441" i="1"/>
  <c r="M1441" i="1"/>
  <c r="Q1441" i="1" s="1"/>
  <c r="D1441" i="1"/>
  <c r="H1441" i="1" s="1"/>
  <c r="P1440" i="1"/>
  <c r="M1440" i="1"/>
  <c r="D1440" i="1"/>
  <c r="P1439" i="1"/>
  <c r="M1439" i="1"/>
  <c r="P1438" i="1"/>
  <c r="M1438" i="1"/>
  <c r="D1438" i="1"/>
  <c r="P1437" i="1"/>
  <c r="M1437" i="1"/>
  <c r="D1437" i="1"/>
  <c r="P1436" i="1"/>
  <c r="M1436" i="1"/>
  <c r="D1436" i="1"/>
  <c r="P1435" i="1"/>
  <c r="M1435" i="1"/>
  <c r="D1435" i="1"/>
  <c r="H1435" i="1" s="1"/>
  <c r="P1434" i="1"/>
  <c r="M1434" i="1"/>
  <c r="D1434" i="1"/>
  <c r="D1433" i="1"/>
  <c r="D1431" i="1"/>
  <c r="D1430" i="1"/>
  <c r="H1430" i="1" s="1"/>
  <c r="P1429" i="1"/>
  <c r="M1429" i="1"/>
  <c r="D1429" i="1"/>
  <c r="P1428" i="1"/>
  <c r="M1428" i="1"/>
  <c r="D1428" i="1"/>
  <c r="P1427" i="1"/>
  <c r="M1427" i="1"/>
  <c r="D1427" i="1"/>
  <c r="P1426" i="1"/>
  <c r="M1426" i="1"/>
  <c r="D1426" i="1"/>
  <c r="P1425" i="1"/>
  <c r="M1425" i="1"/>
  <c r="D1425" i="1"/>
  <c r="P1424" i="1"/>
  <c r="M1424" i="1"/>
  <c r="D1424" i="1"/>
  <c r="P1395" i="1"/>
  <c r="M1395" i="1"/>
  <c r="P1393" i="1"/>
  <c r="M1393" i="1"/>
  <c r="P1392" i="1"/>
  <c r="M1392" i="1"/>
  <c r="P1391" i="1"/>
  <c r="M1391" i="1"/>
  <c r="P1390" i="1"/>
  <c r="M1390" i="1"/>
  <c r="P1372" i="1"/>
  <c r="M1372" i="1"/>
  <c r="P1371" i="1"/>
  <c r="M1371" i="1"/>
  <c r="P1370" i="1"/>
  <c r="M1370" i="1"/>
  <c r="P1369" i="1"/>
  <c r="M1369" i="1"/>
  <c r="P1368" i="1"/>
  <c r="M1368" i="1"/>
  <c r="P1367" i="1"/>
  <c r="M1367" i="1"/>
  <c r="G1384" i="1"/>
  <c r="D1384" i="1"/>
  <c r="G1383" i="1"/>
  <c r="D1383" i="1"/>
  <c r="G1382" i="1"/>
  <c r="D1382" i="1"/>
  <c r="G1381" i="1"/>
  <c r="D1381" i="1"/>
  <c r="P1413" i="1"/>
  <c r="M1413" i="1"/>
  <c r="G1413" i="1"/>
  <c r="D1413" i="1"/>
  <c r="P1412" i="1"/>
  <c r="M1412" i="1"/>
  <c r="G1412" i="1"/>
  <c r="D1412" i="1"/>
  <c r="P1411" i="1"/>
  <c r="M1411" i="1"/>
  <c r="G1411" i="1"/>
  <c r="D1411" i="1"/>
  <c r="P1410" i="1"/>
  <c r="M1410" i="1"/>
  <c r="G1410" i="1"/>
  <c r="D1410" i="1"/>
  <c r="P1409" i="1"/>
  <c r="M1409" i="1"/>
  <c r="G1409" i="1"/>
  <c r="D1409" i="1"/>
  <c r="P1408" i="1"/>
  <c r="M1408" i="1"/>
  <c r="G1408" i="1"/>
  <c r="D1408" i="1"/>
  <c r="P1407" i="1"/>
  <c r="M1407" i="1"/>
  <c r="G1407" i="1"/>
  <c r="D1407" i="1"/>
  <c r="P1406" i="1"/>
  <c r="M1406" i="1"/>
  <c r="G1406" i="1"/>
  <c r="D1406" i="1"/>
  <c r="P1405" i="1"/>
  <c r="M1405" i="1"/>
  <c r="G1405" i="1"/>
  <c r="D1405" i="1"/>
  <c r="P1404" i="1"/>
  <c r="M1404" i="1"/>
  <c r="G1404" i="1"/>
  <c r="D1404" i="1"/>
  <c r="P1403" i="1"/>
  <c r="M1403" i="1"/>
  <c r="G1403" i="1"/>
  <c r="D1403" i="1"/>
  <c r="P1402" i="1"/>
  <c r="M1402" i="1"/>
  <c r="G1402" i="1"/>
  <c r="D1402" i="1"/>
  <c r="P1401" i="1"/>
  <c r="M1401" i="1"/>
  <c r="G1401" i="1"/>
  <c r="D1401" i="1"/>
  <c r="P1400" i="1"/>
  <c r="M1400" i="1"/>
  <c r="G1400" i="1"/>
  <c r="D1400" i="1"/>
  <c r="P1399" i="1"/>
  <c r="M1399" i="1"/>
  <c r="G1399" i="1"/>
  <c r="D1399" i="1"/>
  <c r="P1398" i="1"/>
  <c r="M1398" i="1"/>
  <c r="G1398" i="1"/>
  <c r="D1398" i="1"/>
  <c r="P1397" i="1"/>
  <c r="M1397" i="1"/>
  <c r="G1397" i="1"/>
  <c r="D1397" i="1"/>
  <c r="G1396" i="1"/>
  <c r="D1396" i="1"/>
  <c r="G1395" i="1"/>
  <c r="D1395" i="1"/>
  <c r="P1394" i="1"/>
  <c r="M1394" i="1"/>
  <c r="G1394" i="1"/>
  <c r="D1394" i="1"/>
  <c r="G1393" i="1"/>
  <c r="D1393" i="1"/>
  <c r="G1392" i="1"/>
  <c r="D1392" i="1"/>
  <c r="G1391" i="1"/>
  <c r="D1391" i="1"/>
  <c r="G1390" i="1"/>
  <c r="D1390" i="1"/>
  <c r="O1416" i="1"/>
  <c r="N1416" i="1"/>
  <c r="L1416" i="1"/>
  <c r="K1416" i="1"/>
  <c r="F1416" i="1"/>
  <c r="C1416" i="1"/>
  <c r="B1416" i="1"/>
  <c r="P1415" i="1"/>
  <c r="M1415" i="1"/>
  <c r="G1415" i="1"/>
  <c r="D1415" i="1"/>
  <c r="P1414" i="1"/>
  <c r="M1414" i="1"/>
  <c r="G1414" i="1"/>
  <c r="D1414" i="1"/>
  <c r="E1416" i="1"/>
  <c r="P1388" i="1"/>
  <c r="M1388" i="1"/>
  <c r="G1388" i="1"/>
  <c r="D1388" i="1"/>
  <c r="P1387" i="1"/>
  <c r="M1387" i="1"/>
  <c r="G1387" i="1"/>
  <c r="D1387" i="1"/>
  <c r="P1386" i="1"/>
  <c r="M1386" i="1"/>
  <c r="G1386" i="1"/>
  <c r="D1386" i="1"/>
  <c r="P1385" i="1"/>
  <c r="M1385" i="1"/>
  <c r="G1385" i="1"/>
  <c r="D1385" i="1"/>
  <c r="P1384" i="1"/>
  <c r="M1384" i="1"/>
  <c r="P1383" i="1"/>
  <c r="M1383" i="1"/>
  <c r="P1382" i="1"/>
  <c r="M1382" i="1"/>
  <c r="P1381" i="1"/>
  <c r="M1381" i="1"/>
  <c r="D1370" i="1"/>
  <c r="G1370" i="1"/>
  <c r="P1349" i="1"/>
  <c r="M1349" i="1"/>
  <c r="E1359" i="1"/>
  <c r="G1359" i="1" s="1"/>
  <c r="P1348" i="1"/>
  <c r="M1348" i="1"/>
  <c r="P1347" i="1"/>
  <c r="M1347" i="1"/>
  <c r="M1329" i="1"/>
  <c r="P1329" i="1"/>
  <c r="D1347" i="1"/>
  <c r="G1347" i="1"/>
  <c r="D1348" i="1"/>
  <c r="G1348" i="1"/>
  <c r="D1349" i="1"/>
  <c r="G1349" i="1"/>
  <c r="D1350" i="1"/>
  <c r="G1350" i="1"/>
  <c r="D1351" i="1"/>
  <c r="G1351" i="1"/>
  <c r="D1352" i="1"/>
  <c r="G1352" i="1"/>
  <c r="D1353" i="1"/>
  <c r="G1353" i="1"/>
  <c r="D1354" i="1"/>
  <c r="G1354" i="1"/>
  <c r="D1355" i="1"/>
  <c r="G1355" i="1"/>
  <c r="D1356" i="1"/>
  <c r="G1356" i="1"/>
  <c r="D1357" i="1"/>
  <c r="G1357" i="1"/>
  <c r="D1358" i="1"/>
  <c r="G1358" i="1"/>
  <c r="D1359" i="1"/>
  <c r="D1360" i="1"/>
  <c r="G1360" i="1"/>
  <c r="D1361" i="1"/>
  <c r="G1361" i="1"/>
  <c r="D1362" i="1"/>
  <c r="G1362" i="1"/>
  <c r="D1363" i="1"/>
  <c r="G1363" i="1"/>
  <c r="D1364" i="1"/>
  <c r="G1364" i="1"/>
  <c r="D1365" i="1"/>
  <c r="G1365" i="1"/>
  <c r="D1366" i="1"/>
  <c r="G1366" i="1"/>
  <c r="D1367" i="1"/>
  <c r="G1367" i="1"/>
  <c r="D1368" i="1"/>
  <c r="G1368" i="1"/>
  <c r="D1369" i="1"/>
  <c r="G1369" i="1"/>
  <c r="D1338" i="1"/>
  <c r="G1338" i="1"/>
  <c r="D1339" i="1"/>
  <c r="G1339" i="1"/>
  <c r="D1340" i="1"/>
  <c r="G1340" i="1"/>
  <c r="O1373" i="1"/>
  <c r="N1373" i="1"/>
  <c r="L1373" i="1"/>
  <c r="K1373" i="1"/>
  <c r="F1373" i="1"/>
  <c r="C1373" i="1"/>
  <c r="B1373" i="1"/>
  <c r="G1372" i="1"/>
  <c r="D1372" i="1"/>
  <c r="G1371" i="1"/>
  <c r="D1371" i="1"/>
  <c r="P1366" i="1"/>
  <c r="M1366" i="1"/>
  <c r="P1365" i="1"/>
  <c r="M1365" i="1"/>
  <c r="P1364" i="1"/>
  <c r="M1364" i="1"/>
  <c r="P1363" i="1"/>
  <c r="M1363" i="1"/>
  <c r="P1362" i="1"/>
  <c r="M1362" i="1"/>
  <c r="P1361" i="1"/>
  <c r="M1361" i="1"/>
  <c r="P1360" i="1"/>
  <c r="M1360" i="1"/>
  <c r="P1359" i="1"/>
  <c r="M1359" i="1"/>
  <c r="P1358" i="1"/>
  <c r="M1358" i="1"/>
  <c r="P1357" i="1"/>
  <c r="M1357" i="1"/>
  <c r="P1356" i="1"/>
  <c r="M1356" i="1"/>
  <c r="P1355" i="1"/>
  <c r="M1355" i="1"/>
  <c r="P1354" i="1"/>
  <c r="M1354" i="1"/>
  <c r="P1353" i="1"/>
  <c r="M1353" i="1"/>
  <c r="P1352" i="1"/>
  <c r="M1352" i="1"/>
  <c r="P1351" i="1"/>
  <c r="M1351" i="1"/>
  <c r="P1350" i="1"/>
  <c r="M1350" i="1"/>
  <c r="P1345" i="1"/>
  <c r="M1345" i="1"/>
  <c r="G1345" i="1"/>
  <c r="D1345" i="1"/>
  <c r="P1344" i="1"/>
  <c r="M1344" i="1"/>
  <c r="G1344" i="1"/>
  <c r="D1344" i="1"/>
  <c r="P1343" i="1"/>
  <c r="M1343" i="1"/>
  <c r="G1343" i="1"/>
  <c r="D1343" i="1"/>
  <c r="P1342" i="1"/>
  <c r="M1342" i="1"/>
  <c r="G1342" i="1"/>
  <c r="D1342" i="1"/>
  <c r="P1341" i="1"/>
  <c r="M1341" i="1"/>
  <c r="G1341" i="1"/>
  <c r="D1341" i="1"/>
  <c r="P1340" i="1"/>
  <c r="M1340" i="1"/>
  <c r="P1339" i="1"/>
  <c r="M1339" i="1"/>
  <c r="P1338" i="1"/>
  <c r="M1338" i="1"/>
  <c r="H2243" i="1" l="1"/>
  <c r="L2277" i="1"/>
  <c r="O2277" i="1"/>
  <c r="M2276" i="1"/>
  <c r="Q2276" i="1" s="1"/>
  <c r="G2249" i="1"/>
  <c r="E2277" i="1"/>
  <c r="G2277" i="1" s="1"/>
  <c r="B2277" i="1"/>
  <c r="D2277" i="1" s="1"/>
  <c r="H2277" i="1" s="1"/>
  <c r="D2249" i="1"/>
  <c r="H2249" i="1" s="1"/>
  <c r="M2249" i="1"/>
  <c r="Q2249" i="1" s="1"/>
  <c r="K2277" i="1"/>
  <c r="M2277" i="1" s="1"/>
  <c r="H2276" i="1"/>
  <c r="N2277" i="1"/>
  <c r="P2277" i="1" s="1"/>
  <c r="G2240" i="1"/>
  <c r="M2240" i="1"/>
  <c r="Q2240" i="1" s="1"/>
  <c r="D2240" i="1"/>
  <c r="H2240" i="1" s="1"/>
  <c r="Q2211" i="1"/>
  <c r="H2221" i="1"/>
  <c r="H2219" i="1"/>
  <c r="Q2209" i="1"/>
  <c r="H2200" i="1"/>
  <c r="E2234" i="1"/>
  <c r="H2233" i="1"/>
  <c r="H2207" i="1"/>
  <c r="N2234" i="1"/>
  <c r="P2234" i="1" s="1"/>
  <c r="P2206" i="1"/>
  <c r="P2197" i="1"/>
  <c r="F2206" i="1"/>
  <c r="F2234" i="1" s="1"/>
  <c r="L2206" i="1"/>
  <c r="L2234" i="1" s="1"/>
  <c r="G2206" i="1"/>
  <c r="Q2166" i="1"/>
  <c r="H2174" i="1"/>
  <c r="H2172" i="1"/>
  <c r="H2155" i="1"/>
  <c r="H2164" i="1"/>
  <c r="L2191" i="1"/>
  <c r="O2191" i="1"/>
  <c r="M2190" i="1"/>
  <c r="Q2190" i="1" s="1"/>
  <c r="P2190" i="1"/>
  <c r="F2191" i="1"/>
  <c r="N2191" i="1"/>
  <c r="P2191" i="1" s="1"/>
  <c r="P2163" i="1"/>
  <c r="B2190" i="1"/>
  <c r="D2190" i="1" s="1"/>
  <c r="H2190" i="1" s="1"/>
  <c r="P2154" i="1"/>
  <c r="Q2155" i="1"/>
  <c r="Q2157" i="1"/>
  <c r="Q2159" i="1"/>
  <c r="Q2161" i="1"/>
  <c r="Q2167" i="1"/>
  <c r="Q2169" i="1"/>
  <c r="H2138" i="1"/>
  <c r="H2137" i="1"/>
  <c r="H2134" i="1"/>
  <c r="H2114" i="1"/>
  <c r="H2133" i="1"/>
  <c r="H2112" i="1"/>
  <c r="N2148" i="1"/>
  <c r="M2120" i="1"/>
  <c r="P2148" i="1"/>
  <c r="P2120" i="1"/>
  <c r="K2148" i="1"/>
  <c r="F2148" i="1"/>
  <c r="E2147" i="1"/>
  <c r="Q2082" i="1"/>
  <c r="H2072" i="1"/>
  <c r="H2070" i="1"/>
  <c r="L2105" i="1"/>
  <c r="K2105" i="1"/>
  <c r="H2059" i="1"/>
  <c r="M2104" i="1"/>
  <c r="P2104" i="1"/>
  <c r="H2080" i="1"/>
  <c r="H2082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C2105" i="1"/>
  <c r="D2104" i="1"/>
  <c r="H2104" i="1" s="1"/>
  <c r="P2077" i="1"/>
  <c r="N2105" i="1"/>
  <c r="P2105" i="1" s="1"/>
  <c r="H2069" i="1"/>
  <c r="H2071" i="1"/>
  <c r="H2073" i="1"/>
  <c r="H2075" i="1"/>
  <c r="M2077" i="1"/>
  <c r="Q2077" i="1" s="1"/>
  <c r="H2081" i="1"/>
  <c r="H2083" i="1"/>
  <c r="P2068" i="1"/>
  <c r="Q2068" i="1" s="1"/>
  <c r="H2033" i="1"/>
  <c r="H2057" i="1"/>
  <c r="C2062" i="1"/>
  <c r="H2056" i="1"/>
  <c r="H2054" i="1"/>
  <c r="H2053" i="1"/>
  <c r="H2031" i="1"/>
  <c r="H2045" i="1"/>
  <c r="P2061" i="1"/>
  <c r="H2030" i="1"/>
  <c r="Q2060" i="1"/>
  <c r="Q2037" i="1"/>
  <c r="H2041" i="1"/>
  <c r="H2039" i="1"/>
  <c r="M2061" i="1"/>
  <c r="Q2061" i="1" s="1"/>
  <c r="H2028" i="1"/>
  <c r="H2036" i="1"/>
  <c r="B2061" i="1"/>
  <c r="D2061" i="1" s="1"/>
  <c r="H2061" i="1" s="1"/>
  <c r="H2035" i="1"/>
  <c r="H2015" i="1"/>
  <c r="H2013" i="1"/>
  <c r="F2062" i="1"/>
  <c r="H2011" i="1"/>
  <c r="H2010" i="1"/>
  <c r="H2009" i="1"/>
  <c r="H2007" i="1"/>
  <c r="B2018" i="1"/>
  <c r="B2019" i="1" s="1"/>
  <c r="B2025" i="1" s="1"/>
  <c r="B2034" i="1" s="1"/>
  <c r="H2002" i="1"/>
  <c r="G2001" i="1"/>
  <c r="H2001" i="1" s="1"/>
  <c r="H1984" i="1"/>
  <c r="H1999" i="1"/>
  <c r="H1998" i="1"/>
  <c r="P2018" i="1"/>
  <c r="H1983" i="1"/>
  <c r="H1993" i="1"/>
  <c r="H1992" i="1"/>
  <c r="G2018" i="1"/>
  <c r="C2019" i="1"/>
  <c r="M2018" i="1"/>
  <c r="D1991" i="1"/>
  <c r="E2019" i="1"/>
  <c r="G1991" i="1"/>
  <c r="D1982" i="1"/>
  <c r="H1982" i="1" s="1"/>
  <c r="G1982" i="1"/>
  <c r="H1943" i="1"/>
  <c r="H1499" i="1"/>
  <c r="H1496" i="1"/>
  <c r="H1478" i="1"/>
  <c r="Q1484" i="1"/>
  <c r="Q1480" i="1"/>
  <c r="Q1516" i="1"/>
  <c r="H1515" i="1"/>
  <c r="Q1512" i="1"/>
  <c r="H1510" i="1"/>
  <c r="H1666" i="1"/>
  <c r="H1754" i="1"/>
  <c r="H1744" i="1"/>
  <c r="H1737" i="1"/>
  <c r="Q1743" i="1"/>
  <c r="Q1754" i="1"/>
  <c r="Q1751" i="1"/>
  <c r="Q1736" i="1"/>
  <c r="H1782" i="1"/>
  <c r="Q1800" i="1"/>
  <c r="Q1794" i="1"/>
  <c r="Q1830" i="1"/>
  <c r="Q1880" i="1"/>
  <c r="Q1869" i="1"/>
  <c r="H1871" i="1"/>
  <c r="B1889" i="1"/>
  <c r="H1914" i="1"/>
  <c r="H1910" i="1"/>
  <c r="Q1906" i="1"/>
  <c r="Q1968" i="1"/>
  <c r="H1954" i="1"/>
  <c r="Q1486" i="1"/>
  <c r="Q1489" i="1"/>
  <c r="Q1497" i="1"/>
  <c r="Q1477" i="1"/>
  <c r="Q1534" i="1"/>
  <c r="Q1531" i="1"/>
  <c r="H1530" i="1"/>
  <c r="P1502" i="1"/>
  <c r="Q1569" i="1"/>
  <c r="Q1572" i="1"/>
  <c r="Q1575" i="1"/>
  <c r="Q1578" i="1"/>
  <c r="Q1581" i="1"/>
  <c r="Q1584" i="1"/>
  <c r="H1586" i="1"/>
  <c r="Q1596" i="1"/>
  <c r="Q1599" i="1"/>
  <c r="Q1601" i="1"/>
  <c r="Q1615" i="1"/>
  <c r="Q1618" i="1"/>
  <c r="Q1621" i="1"/>
  <c r="Q1624" i="1"/>
  <c r="Q1628" i="1"/>
  <c r="Q1611" i="1"/>
  <c r="Q1640" i="1"/>
  <c r="Q1643" i="1"/>
  <c r="Q1645" i="1"/>
  <c r="Q1651" i="1"/>
  <c r="Q1657" i="1"/>
  <c r="Q1660" i="1"/>
  <c r="D1707" i="1"/>
  <c r="H1758" i="1"/>
  <c r="D1787" i="1"/>
  <c r="H1844" i="1"/>
  <c r="Q1820" i="1"/>
  <c r="Q1885" i="1"/>
  <c r="Q1874" i="1"/>
  <c r="H1909" i="1"/>
  <c r="Q1916" i="1"/>
  <c r="Q1922" i="1"/>
  <c r="Q1928" i="1"/>
  <c r="H1899" i="1"/>
  <c r="H1973" i="1"/>
  <c r="H1944" i="1"/>
  <c r="H1947" i="1"/>
  <c r="B1975" i="1"/>
  <c r="D1975" i="1" s="1"/>
  <c r="Q1951" i="1"/>
  <c r="H1433" i="1"/>
  <c r="H1451" i="1"/>
  <c r="H1457" i="1"/>
  <c r="H1439" i="1"/>
  <c r="H1472" i="1"/>
  <c r="Q1487" i="1"/>
  <c r="Q1490" i="1"/>
  <c r="Q1542" i="1"/>
  <c r="H1534" i="1"/>
  <c r="Q1532" i="1"/>
  <c r="Q1529" i="1"/>
  <c r="H1583" i="1"/>
  <c r="Q1597" i="1"/>
  <c r="Q1600" i="1"/>
  <c r="H1602" i="1"/>
  <c r="Q1603" i="1"/>
  <c r="Q1616" i="1"/>
  <c r="Q1619" i="1"/>
  <c r="Q1622" i="1"/>
  <c r="Q1625" i="1"/>
  <c r="Q1627" i="1"/>
  <c r="Q1613" i="1"/>
  <c r="Q1607" i="1"/>
  <c r="Q1641" i="1"/>
  <c r="Q1644" i="1"/>
  <c r="H1646" i="1"/>
  <c r="Q1655" i="1"/>
  <c r="Q1658" i="1"/>
  <c r="Q1661" i="1"/>
  <c r="Q1664" i="1"/>
  <c r="Q1667" i="1"/>
  <c r="H1655" i="1"/>
  <c r="Q1749" i="1"/>
  <c r="H1739" i="1"/>
  <c r="Q1748" i="1"/>
  <c r="Q1742" i="1"/>
  <c r="Q1753" i="1"/>
  <c r="B1803" i="1"/>
  <c r="H1777" i="1"/>
  <c r="Q1788" i="1"/>
  <c r="Q1759" i="1"/>
  <c r="Q1829" i="1"/>
  <c r="C1846" i="1"/>
  <c r="Q1859" i="1"/>
  <c r="Q1884" i="1"/>
  <c r="Q1873" i="1"/>
  <c r="E1932" i="1"/>
  <c r="G1932" i="1" s="1"/>
  <c r="Q1867" i="1"/>
  <c r="H1915" i="1"/>
  <c r="Q1941" i="1"/>
  <c r="Q1944" i="1"/>
  <c r="Q1947" i="1"/>
  <c r="Q1966" i="1"/>
  <c r="D1920" i="1"/>
  <c r="Q1395" i="1"/>
  <c r="Q1436" i="1"/>
  <c r="Q1496" i="1"/>
  <c r="H1479" i="1"/>
  <c r="Q1485" i="1"/>
  <c r="Q1482" i="1"/>
  <c r="Q1539" i="1"/>
  <c r="H1560" i="1"/>
  <c r="Q1704" i="1"/>
  <c r="Q1707" i="1"/>
  <c r="Q1710" i="1"/>
  <c r="Q1713" i="1"/>
  <c r="H1699" i="1"/>
  <c r="Q1747" i="1"/>
  <c r="Q1741" i="1"/>
  <c r="Q1758" i="1"/>
  <c r="C1803" i="1"/>
  <c r="D1803" i="1" s="1"/>
  <c r="H1830" i="1"/>
  <c r="H1820" i="1"/>
  <c r="Q1841" i="1"/>
  <c r="Q1838" i="1"/>
  <c r="Q1831" i="1"/>
  <c r="Q1823" i="1"/>
  <c r="Q1822" i="1"/>
  <c r="Q1857" i="1"/>
  <c r="Q1881" i="1"/>
  <c r="Q1864" i="1"/>
  <c r="Q1845" i="1"/>
  <c r="E1889" i="1"/>
  <c r="G1889" i="1" s="1"/>
  <c r="Q1911" i="1"/>
  <c r="Q1917" i="1"/>
  <c r="Q1923" i="1"/>
  <c r="Q1929" i="1"/>
  <c r="H1903" i="1"/>
  <c r="Q1967" i="1"/>
  <c r="Q1970" i="1"/>
  <c r="H1950" i="1"/>
  <c r="H1953" i="1"/>
  <c r="H1972" i="1"/>
  <c r="H1974" i="1"/>
  <c r="H1970" i="1"/>
  <c r="H1968" i="1"/>
  <c r="H1967" i="1"/>
  <c r="H1966" i="1"/>
  <c r="H1965" i="1"/>
  <c r="H1964" i="1"/>
  <c r="M1975" i="1"/>
  <c r="H1941" i="1"/>
  <c r="H1961" i="1"/>
  <c r="H1959" i="1"/>
  <c r="H1958" i="1"/>
  <c r="H1957" i="1"/>
  <c r="H1956" i="1"/>
  <c r="H1955" i="1"/>
  <c r="P1975" i="1"/>
  <c r="H1952" i="1"/>
  <c r="G1975" i="1"/>
  <c r="Q1495" i="1"/>
  <c r="Q1455" i="1"/>
  <c r="H1458" i="1"/>
  <c r="Q1514" i="1"/>
  <c r="H1540" i="1"/>
  <c r="Q1538" i="1"/>
  <c r="Q1535" i="1"/>
  <c r="H1526" i="1"/>
  <c r="Q1520" i="1"/>
  <c r="Q1522" i="1"/>
  <c r="H1512" i="1"/>
  <c r="H1569" i="1"/>
  <c r="H1563" i="1"/>
  <c r="Q1612" i="1"/>
  <c r="H1622" i="1"/>
  <c r="H1615" i="1"/>
  <c r="H1605" i="1"/>
  <c r="H1584" i="1"/>
  <c r="H1670" i="1"/>
  <c r="H1667" i="1"/>
  <c r="H1664" i="1"/>
  <c r="H1649" i="1"/>
  <c r="H1693" i="1"/>
  <c r="H1696" i="1"/>
  <c r="H1689" i="1"/>
  <c r="Q1668" i="1"/>
  <c r="H1712" i="1"/>
  <c r="H1738" i="1"/>
  <c r="Q1744" i="1"/>
  <c r="Q1755" i="1"/>
  <c r="Q1716" i="1"/>
  <c r="B1760" i="1"/>
  <c r="D1760" i="1" s="1"/>
  <c r="H1760" i="1" s="1"/>
  <c r="H1793" i="1"/>
  <c r="H1790" i="1"/>
  <c r="Q1783" i="1"/>
  <c r="Q1797" i="1"/>
  <c r="Q1781" i="1"/>
  <c r="D1834" i="1"/>
  <c r="H1834" i="1" s="1"/>
  <c r="H1827" i="1"/>
  <c r="Q1843" i="1"/>
  <c r="Q1840" i="1"/>
  <c r="Q1837" i="1"/>
  <c r="Q1828" i="1"/>
  <c r="H1832" i="1"/>
  <c r="Q1861" i="1"/>
  <c r="Q1883" i="1"/>
  <c r="Q1871" i="1"/>
  <c r="H1866" i="1"/>
  <c r="H1869" i="1"/>
  <c r="H1877" i="1"/>
  <c r="H1880" i="1"/>
  <c r="H1858" i="1"/>
  <c r="H1861" i="1"/>
  <c r="Q1865" i="1"/>
  <c r="Q1899" i="1"/>
  <c r="Q1902" i="1"/>
  <c r="H1907" i="1"/>
  <c r="Q1915" i="1"/>
  <c r="Q1921" i="1"/>
  <c r="Q1927" i="1"/>
  <c r="H1901" i="1"/>
  <c r="Q1910" i="1"/>
  <c r="B1459" i="1"/>
  <c r="G1863" i="1"/>
  <c r="H1863" i="1" s="1"/>
  <c r="H1884" i="1"/>
  <c r="Q1424" i="1"/>
  <c r="Q1428" i="1"/>
  <c r="H1541" i="1"/>
  <c r="Q1536" i="1"/>
  <c r="Q1533" i="1"/>
  <c r="H1528" i="1"/>
  <c r="Q1524" i="1"/>
  <c r="H1577" i="1"/>
  <c r="H1555" i="1"/>
  <c r="Q1568" i="1"/>
  <c r="Q1608" i="1"/>
  <c r="H1624" i="1"/>
  <c r="H1621" i="1"/>
  <c r="H1600" i="1"/>
  <c r="Q1566" i="1"/>
  <c r="H1661" i="1"/>
  <c r="H1657" i="1"/>
  <c r="H1711" i="1"/>
  <c r="Q1746" i="1"/>
  <c r="Q1740" i="1"/>
  <c r="Q1799" i="1"/>
  <c r="Q1793" i="1"/>
  <c r="H1836" i="1"/>
  <c r="Q1842" i="1"/>
  <c r="Q1839" i="1"/>
  <c r="Q1836" i="1"/>
  <c r="Q1875" i="1"/>
  <c r="H1874" i="1"/>
  <c r="H1875" i="1"/>
  <c r="Q1897" i="1"/>
  <c r="Q1900" i="1"/>
  <c r="Q1903" i="1"/>
  <c r="H1906" i="1"/>
  <c r="Q1913" i="1"/>
  <c r="Q1919" i="1"/>
  <c r="Q1925" i="1"/>
  <c r="Q1931" i="1"/>
  <c r="Q1663" i="1"/>
  <c r="Q1666" i="1"/>
  <c r="H1673" i="1"/>
  <c r="Q1702" i="1"/>
  <c r="Q1705" i="1"/>
  <c r="Q1708" i="1"/>
  <c r="Q1711" i="1"/>
  <c r="Q1714" i="1"/>
  <c r="Q1673" i="1"/>
  <c r="H1749" i="1"/>
  <c r="Q1745" i="1"/>
  <c r="H1774" i="1"/>
  <c r="H1788" i="1"/>
  <c r="Q1790" i="1"/>
  <c r="Q1787" i="1"/>
  <c r="Q1798" i="1"/>
  <c r="Q1792" i="1"/>
  <c r="Q1739" i="1"/>
  <c r="Q1811" i="1"/>
  <c r="Q1814" i="1"/>
  <c r="H1835" i="1"/>
  <c r="Q1834" i="1"/>
  <c r="H1814" i="1"/>
  <c r="H1817" i="1"/>
  <c r="E1846" i="1"/>
  <c r="Q1886" i="1"/>
  <c r="Q1877" i="1"/>
  <c r="H1930" i="1"/>
  <c r="Q1914" i="1"/>
  <c r="Q1920" i="1"/>
  <c r="Q1926" i="1"/>
  <c r="H1897" i="1"/>
  <c r="H1923" i="1"/>
  <c r="Q1440" i="1"/>
  <c r="Q1444" i="1"/>
  <c r="Q1448" i="1"/>
  <c r="Q1499" i="1"/>
  <c r="H1481" i="1"/>
  <c r="Q1451" i="1"/>
  <c r="Q1430" i="1"/>
  <c r="Q1541" i="1"/>
  <c r="Q1537" i="1"/>
  <c r="H1527" i="1"/>
  <c r="Q1519" i="1"/>
  <c r="Q1474" i="1"/>
  <c r="Q1521" i="1"/>
  <c r="Q1525" i="1"/>
  <c r="H1576" i="1"/>
  <c r="H1564" i="1"/>
  <c r="Q1562" i="1"/>
  <c r="Q1610" i="1"/>
  <c r="H1626" i="1"/>
  <c r="H1620" i="1"/>
  <c r="H1613" i="1"/>
  <c r="H1606" i="1"/>
  <c r="H1596" i="1"/>
  <c r="Q1586" i="1"/>
  <c r="H1671" i="1"/>
  <c r="H1668" i="1"/>
  <c r="H1695" i="1"/>
  <c r="H1698" i="1"/>
  <c r="H1685" i="1"/>
  <c r="H1688" i="1"/>
  <c r="Q1672" i="1"/>
  <c r="Q1692" i="1"/>
  <c r="Q1693" i="1"/>
  <c r="Q1697" i="1"/>
  <c r="Q1750" i="1"/>
  <c r="Q1734" i="1"/>
  <c r="Q1779" i="1"/>
  <c r="H1845" i="1"/>
  <c r="H1828" i="1"/>
  <c r="Q1824" i="1"/>
  <c r="Q1821" i="1"/>
  <c r="H1868" i="1"/>
  <c r="H1879" i="1"/>
  <c r="H1882" i="1"/>
  <c r="H1854" i="1"/>
  <c r="H1857" i="1"/>
  <c r="H1860" i="1"/>
  <c r="Q1863" i="1"/>
  <c r="Q1866" i="1"/>
  <c r="H1927" i="1"/>
  <c r="H1900" i="1"/>
  <c r="Q1908" i="1"/>
  <c r="Q1909" i="1"/>
  <c r="B1932" i="1"/>
  <c r="H1928" i="1"/>
  <c r="H1925" i="1"/>
  <c r="H1924" i="1"/>
  <c r="M1932" i="1"/>
  <c r="H1920" i="1"/>
  <c r="H1919" i="1"/>
  <c r="H1918" i="1"/>
  <c r="H1913" i="1"/>
  <c r="C1932" i="1"/>
  <c r="D1911" i="1"/>
  <c r="H1911" i="1" s="1"/>
  <c r="H1908" i="1"/>
  <c r="H1888" i="1"/>
  <c r="H1887" i="1"/>
  <c r="H1886" i="1"/>
  <c r="H1885" i="1"/>
  <c r="C1889" i="1"/>
  <c r="H1883" i="1"/>
  <c r="P1932" i="1"/>
  <c r="H1876" i="1"/>
  <c r="H1855" i="1"/>
  <c r="Q1888" i="1"/>
  <c r="H1873" i="1"/>
  <c r="H1872" i="1"/>
  <c r="Q1887" i="1"/>
  <c r="H1867" i="1"/>
  <c r="H1865" i="1"/>
  <c r="P1889" i="1"/>
  <c r="M1889" i="1"/>
  <c r="H1842" i="1"/>
  <c r="H1839" i="1"/>
  <c r="H1838" i="1"/>
  <c r="H1813" i="1"/>
  <c r="H1831" i="1"/>
  <c r="H1826" i="1"/>
  <c r="H1824" i="1"/>
  <c r="H1811" i="1"/>
  <c r="Q1425" i="1"/>
  <c r="Q1427" i="1"/>
  <c r="Q1429" i="1"/>
  <c r="H1434" i="1"/>
  <c r="Q1443" i="1"/>
  <c r="Q1445" i="1"/>
  <c r="Q1447" i="1"/>
  <c r="Q1449" i="1"/>
  <c r="H1428" i="1"/>
  <c r="Q1396" i="1"/>
  <c r="Q1467" i="1"/>
  <c r="Q1470" i="1"/>
  <c r="Q1472" i="1"/>
  <c r="H1501" i="1"/>
  <c r="H1467" i="1"/>
  <c r="Q1478" i="1"/>
  <c r="H1537" i="1"/>
  <c r="H1531" i="1"/>
  <c r="Q1515" i="1"/>
  <c r="Q1554" i="1"/>
  <c r="Q1557" i="1"/>
  <c r="H1579" i="1"/>
  <c r="H1573" i="1"/>
  <c r="H1554" i="1"/>
  <c r="Q1564" i="1"/>
  <c r="B1631" i="1"/>
  <c r="D1631" i="1" s="1"/>
  <c r="H1614" i="1"/>
  <c r="H1611" i="1"/>
  <c r="H1608" i="1"/>
  <c r="H1598" i="1"/>
  <c r="Q1605" i="1"/>
  <c r="H1660" i="1"/>
  <c r="H1652" i="1"/>
  <c r="Q1629" i="1"/>
  <c r="Q1684" i="1"/>
  <c r="Q1687" i="1"/>
  <c r="Q1700" i="1"/>
  <c r="H1704" i="1"/>
  <c r="H1701" i="1"/>
  <c r="Q1694" i="1"/>
  <c r="Q1727" i="1"/>
  <c r="Q1730" i="1"/>
  <c r="H1730" i="1"/>
  <c r="H1751" i="1"/>
  <c r="Q1770" i="1"/>
  <c r="Q1773" i="1"/>
  <c r="Q1791" i="1"/>
  <c r="H1801" i="1"/>
  <c r="H1789" i="1"/>
  <c r="Q1789" i="1"/>
  <c r="Q1812" i="1"/>
  <c r="Q1815" i="1"/>
  <c r="Q1818" i="1"/>
  <c r="Q1835" i="1"/>
  <c r="H1837" i="1"/>
  <c r="H1825" i="1"/>
  <c r="H1429" i="1"/>
  <c r="H1618" i="1"/>
  <c r="C1674" i="1"/>
  <c r="H1450" i="1"/>
  <c r="H1449" i="1"/>
  <c r="Q1468" i="1"/>
  <c r="Q1471" i="1"/>
  <c r="H1493" i="1"/>
  <c r="Q1479" i="1"/>
  <c r="H1533" i="1"/>
  <c r="H1544" i="1"/>
  <c r="Q1555" i="1"/>
  <c r="H1558" i="1"/>
  <c r="Q1559" i="1"/>
  <c r="H1575" i="1"/>
  <c r="Q1553" i="1"/>
  <c r="Q1526" i="1"/>
  <c r="Q1565" i="1"/>
  <c r="H1616" i="1"/>
  <c r="Q1587" i="1"/>
  <c r="Q1606" i="1"/>
  <c r="H1665" i="1"/>
  <c r="H1656" i="1"/>
  <c r="H1651" i="1"/>
  <c r="H1643" i="1"/>
  <c r="Q1648" i="1"/>
  <c r="Q1682" i="1"/>
  <c r="Q1685" i="1"/>
  <c r="Q1688" i="1"/>
  <c r="Q1698" i="1"/>
  <c r="Q1701" i="1"/>
  <c r="D1700" i="1"/>
  <c r="H1700" i="1" s="1"/>
  <c r="Q1695" i="1"/>
  <c r="Q1725" i="1"/>
  <c r="Q1728" i="1"/>
  <c r="Q1731" i="1"/>
  <c r="H1725" i="1"/>
  <c r="H1728" i="1"/>
  <c r="H1736" i="1"/>
  <c r="Q1752" i="1"/>
  <c r="Q1768" i="1"/>
  <c r="Q1771" i="1"/>
  <c r="Q1775" i="1"/>
  <c r="H1802" i="1"/>
  <c r="H1796" i="1"/>
  <c r="Q1738" i="1"/>
  <c r="Q1778" i="1"/>
  <c r="Q1813" i="1"/>
  <c r="Q1816" i="1"/>
  <c r="H1841" i="1"/>
  <c r="H1829" i="1"/>
  <c r="Q1777" i="1"/>
  <c r="H1812" i="1"/>
  <c r="H1815" i="1"/>
  <c r="H1818" i="1"/>
  <c r="Q1426" i="1"/>
  <c r="Q1435" i="1"/>
  <c r="Q1437" i="1"/>
  <c r="Q1439" i="1"/>
  <c r="Q1442" i="1"/>
  <c r="Q1446" i="1"/>
  <c r="H1452" i="1"/>
  <c r="H1431" i="1"/>
  <c r="Q1469" i="1"/>
  <c r="Q1473" i="1"/>
  <c r="H1489" i="1"/>
  <c r="H1484" i="1"/>
  <c r="Q1500" i="1"/>
  <c r="H1542" i="1"/>
  <c r="Q1481" i="1"/>
  <c r="Q1501" i="1"/>
  <c r="Q1517" i="1"/>
  <c r="Q1556" i="1"/>
  <c r="Q1558" i="1"/>
  <c r="H1571" i="1"/>
  <c r="H1565" i="1"/>
  <c r="Q1563" i="1"/>
  <c r="Q1650" i="1"/>
  <c r="Q1683" i="1"/>
  <c r="Q1686" i="1"/>
  <c r="Q1689" i="1"/>
  <c r="Q1699" i="1"/>
  <c r="H1708" i="1"/>
  <c r="H1705" i="1"/>
  <c r="Q1726" i="1"/>
  <c r="Q1729" i="1"/>
  <c r="Q1732" i="1"/>
  <c r="H1732" i="1"/>
  <c r="H1740" i="1"/>
  <c r="Q1756" i="1"/>
  <c r="Q1735" i="1"/>
  <c r="Q1769" i="1"/>
  <c r="Q1772" i="1"/>
  <c r="Q1774" i="1"/>
  <c r="Q1785" i="1"/>
  <c r="Q1817" i="1"/>
  <c r="H1843" i="1"/>
  <c r="H1833" i="1"/>
  <c r="H1821" i="1"/>
  <c r="H1800" i="1"/>
  <c r="P1846" i="1"/>
  <c r="M1846" i="1"/>
  <c r="G1846" i="1"/>
  <c r="B1846" i="1"/>
  <c r="D1846" i="1" s="1"/>
  <c r="H1799" i="1"/>
  <c r="H1773" i="1"/>
  <c r="H1797" i="1"/>
  <c r="Q1780" i="1"/>
  <c r="H1795" i="1"/>
  <c r="H1772" i="1"/>
  <c r="H1794" i="1"/>
  <c r="H1792" i="1"/>
  <c r="H1787" i="1"/>
  <c r="H1785" i="1"/>
  <c r="H1784" i="1"/>
  <c r="H1769" i="1"/>
  <c r="E1803" i="1"/>
  <c r="G1803" i="1" s="1"/>
  <c r="H1783" i="1"/>
  <c r="H1781" i="1"/>
  <c r="H1780" i="1"/>
  <c r="H1779" i="1"/>
  <c r="M1803" i="1"/>
  <c r="H1768" i="1"/>
  <c r="H1759" i="1"/>
  <c r="H1757" i="1"/>
  <c r="H1731" i="1"/>
  <c r="H1755" i="1"/>
  <c r="Q1737" i="1"/>
  <c r="P1803" i="1"/>
  <c r="H1729" i="1"/>
  <c r="H1752" i="1"/>
  <c r="H1750" i="1"/>
  <c r="H1748" i="1"/>
  <c r="D1747" i="1"/>
  <c r="H1747" i="1" s="1"/>
  <c r="E1760" i="1"/>
  <c r="G1760" i="1" s="1"/>
  <c r="H1745" i="1"/>
  <c r="H1743" i="1"/>
  <c r="H1742" i="1"/>
  <c r="H1727" i="1"/>
  <c r="H1726" i="1"/>
  <c r="H1735" i="1"/>
  <c r="P1760" i="1"/>
  <c r="H1734" i="1"/>
  <c r="H1715" i="1"/>
  <c r="M1760" i="1"/>
  <c r="H1713" i="1"/>
  <c r="E1717" i="1"/>
  <c r="G1717" i="1" s="1"/>
  <c r="C1717" i="1"/>
  <c r="D1710" i="1"/>
  <c r="H1710" i="1"/>
  <c r="H1709" i="1"/>
  <c r="H1707" i="1"/>
  <c r="H1706" i="1"/>
  <c r="H1687" i="1"/>
  <c r="H1703" i="1"/>
  <c r="H1686" i="1"/>
  <c r="H1702" i="1"/>
  <c r="B1717" i="1"/>
  <c r="H1683" i="1"/>
  <c r="P1717" i="1"/>
  <c r="H1682" i="1"/>
  <c r="H1692" i="1"/>
  <c r="M1717" i="1"/>
  <c r="H1642" i="1"/>
  <c r="H1641" i="1"/>
  <c r="H1669" i="1"/>
  <c r="H1662" i="1"/>
  <c r="Q1630" i="1"/>
  <c r="H1659" i="1"/>
  <c r="H1658" i="1"/>
  <c r="H1639" i="1"/>
  <c r="H1650" i="1"/>
  <c r="H1629" i="1"/>
  <c r="M1674" i="1"/>
  <c r="P1674" i="1"/>
  <c r="B1674" i="1"/>
  <c r="D1674" i="1" s="1"/>
  <c r="H1645" i="1"/>
  <c r="E1674" i="1"/>
  <c r="G1674" i="1" s="1"/>
  <c r="Q1652" i="1"/>
  <c r="Q1654" i="1"/>
  <c r="Q1656" i="1"/>
  <c r="H1627" i="1"/>
  <c r="H1601" i="1"/>
  <c r="H1625" i="1"/>
  <c r="H1623" i="1"/>
  <c r="H1619" i="1"/>
  <c r="H1599" i="1"/>
  <c r="H1617" i="1"/>
  <c r="P1631" i="1"/>
  <c r="H1610" i="1"/>
  <c r="H1609" i="1"/>
  <c r="H1597" i="1"/>
  <c r="E1631" i="1"/>
  <c r="G1631" i="1" s="1"/>
  <c r="H1607" i="1"/>
  <c r="H1603" i="1"/>
  <c r="H1585" i="1"/>
  <c r="M1631" i="1"/>
  <c r="H1582" i="1"/>
  <c r="H1557" i="1"/>
  <c r="H1581" i="1"/>
  <c r="H1580" i="1"/>
  <c r="H1578" i="1"/>
  <c r="H1556" i="1"/>
  <c r="H1574" i="1"/>
  <c r="H1572" i="1"/>
  <c r="P1588" i="1"/>
  <c r="H1570" i="1"/>
  <c r="H1568" i="1"/>
  <c r="C1588" i="1"/>
  <c r="D1588" i="1" s="1"/>
  <c r="H1566" i="1"/>
  <c r="H1553" i="1"/>
  <c r="H1562" i="1"/>
  <c r="H1543" i="1"/>
  <c r="M1588" i="1"/>
  <c r="E1588" i="1"/>
  <c r="G1588" i="1" s="1"/>
  <c r="H1559" i="1"/>
  <c r="H1514" i="1"/>
  <c r="H1539" i="1"/>
  <c r="H1538" i="1"/>
  <c r="H1536" i="1"/>
  <c r="H1535" i="1"/>
  <c r="H1513" i="1"/>
  <c r="H1532" i="1"/>
  <c r="Q1523" i="1"/>
  <c r="H1529" i="1"/>
  <c r="H1511" i="1"/>
  <c r="H1525" i="1"/>
  <c r="H1524" i="1"/>
  <c r="H1523" i="1"/>
  <c r="E1545" i="1"/>
  <c r="G1545" i="1" s="1"/>
  <c r="H1522" i="1"/>
  <c r="H1521" i="1"/>
  <c r="H1520" i="1"/>
  <c r="H1474" i="1"/>
  <c r="Q1544" i="1"/>
  <c r="M1502" i="1"/>
  <c r="Q1502" i="1" s="1"/>
  <c r="H1519" i="1"/>
  <c r="D1545" i="1"/>
  <c r="H1473" i="1"/>
  <c r="H1498" i="1"/>
  <c r="P1545" i="1"/>
  <c r="M1545" i="1"/>
  <c r="H1495" i="1"/>
  <c r="H1494" i="1"/>
  <c r="H1470" i="1"/>
  <c r="H1492" i="1"/>
  <c r="H1490" i="1"/>
  <c r="H1488" i="1"/>
  <c r="H1469" i="1"/>
  <c r="H1487" i="1"/>
  <c r="H1468" i="1"/>
  <c r="H1483" i="1"/>
  <c r="H1482" i="1"/>
  <c r="H1480" i="1"/>
  <c r="E1502" i="1"/>
  <c r="G1502" i="1" s="1"/>
  <c r="D1476" i="1"/>
  <c r="H1476" i="1" s="1"/>
  <c r="Q1458" i="1"/>
  <c r="D1502" i="1"/>
  <c r="Q1434" i="1"/>
  <c r="H1427" i="1"/>
  <c r="H1455" i="1"/>
  <c r="H1426" i="1"/>
  <c r="H1453" i="1"/>
  <c r="H1444" i="1"/>
  <c r="H1425" i="1"/>
  <c r="H1424" i="1"/>
  <c r="H1437" i="1"/>
  <c r="H1436" i="1"/>
  <c r="P1459" i="1"/>
  <c r="M1459" i="1"/>
  <c r="Q1438" i="1"/>
  <c r="D1459" i="1"/>
  <c r="H1446" i="1"/>
  <c r="H1448" i="1"/>
  <c r="H1456" i="1"/>
  <c r="H1454" i="1"/>
  <c r="H1440" i="1"/>
  <c r="G1459" i="1"/>
  <c r="Q1393" i="1"/>
  <c r="Q1392" i="1"/>
  <c r="Q1391" i="1"/>
  <c r="Q1338" i="1"/>
  <c r="Q1342" i="1"/>
  <c r="H1344" i="1"/>
  <c r="Q1345" i="1"/>
  <c r="H1395" i="1"/>
  <c r="H1398" i="1"/>
  <c r="H1401" i="1"/>
  <c r="H1404" i="1"/>
  <c r="H1407" i="1"/>
  <c r="H1410" i="1"/>
  <c r="H1413" i="1"/>
  <c r="Q1394" i="1"/>
  <c r="Q1397" i="1"/>
  <c r="Q1400" i="1"/>
  <c r="Q1403" i="1"/>
  <c r="Q1406" i="1"/>
  <c r="Q1409" i="1"/>
  <c r="Q1412" i="1"/>
  <c r="H1384" i="1"/>
  <c r="Q1369" i="1"/>
  <c r="Q1383" i="1"/>
  <c r="Q1385" i="1"/>
  <c r="H1387" i="1"/>
  <c r="Q1388" i="1"/>
  <c r="Q1390" i="1"/>
  <c r="H1392" i="1"/>
  <c r="P1416" i="1"/>
  <c r="H1381" i="1"/>
  <c r="H1388" i="1"/>
  <c r="H1391" i="1"/>
  <c r="H1394" i="1"/>
  <c r="H1403" i="1"/>
  <c r="H1406" i="1"/>
  <c r="H1412" i="1"/>
  <c r="H1383" i="1"/>
  <c r="H1370" i="1"/>
  <c r="Q1381" i="1"/>
  <c r="Q1384" i="1"/>
  <c r="Q1387" i="1"/>
  <c r="M1416" i="1"/>
  <c r="H1382" i="1"/>
  <c r="Q1367" i="1"/>
  <c r="Q1370" i="1"/>
  <c r="H1400" i="1"/>
  <c r="H1397" i="1"/>
  <c r="H1409" i="1"/>
  <c r="Q1372" i="1"/>
  <c r="H1386" i="1"/>
  <c r="H1414" i="1"/>
  <c r="Q1415" i="1"/>
  <c r="Q1382" i="1"/>
  <c r="H1385" i="1"/>
  <c r="Q1386" i="1"/>
  <c r="Q1398" i="1"/>
  <c r="Q1401" i="1"/>
  <c r="Q1404" i="1"/>
  <c r="Q1407" i="1"/>
  <c r="Q1410" i="1"/>
  <c r="Q1413" i="1"/>
  <c r="H1368" i="1"/>
  <c r="Q1414" i="1"/>
  <c r="D1416" i="1"/>
  <c r="Q1368" i="1"/>
  <c r="Q1371" i="1"/>
  <c r="H1415" i="1"/>
  <c r="H1390" i="1"/>
  <c r="H1393" i="1"/>
  <c r="H1396" i="1"/>
  <c r="H1399" i="1"/>
  <c r="H1402" i="1"/>
  <c r="H1405" i="1"/>
  <c r="H1408" i="1"/>
  <c r="H1411" i="1"/>
  <c r="Q1399" i="1"/>
  <c r="Q1402" i="1"/>
  <c r="Q1405" i="1"/>
  <c r="Q1408" i="1"/>
  <c r="Q1411" i="1"/>
  <c r="G1416" i="1"/>
  <c r="H1341" i="1"/>
  <c r="H1365" i="1"/>
  <c r="Q1348" i="1"/>
  <c r="Q1351" i="1"/>
  <c r="Q1354" i="1"/>
  <c r="Q1357" i="1"/>
  <c r="Q1360" i="1"/>
  <c r="Q1363" i="1"/>
  <c r="Q1366" i="1"/>
  <c r="Q1349" i="1"/>
  <c r="E1373" i="1"/>
  <c r="G1373" i="1" s="1"/>
  <c r="D1373" i="1"/>
  <c r="H1356" i="1"/>
  <c r="Q1347" i="1"/>
  <c r="H1340" i="1"/>
  <c r="H1353" i="1"/>
  <c r="H1364" i="1"/>
  <c r="H1361" i="1"/>
  <c r="H1355" i="1"/>
  <c r="Q1329" i="1"/>
  <c r="H1348" i="1"/>
  <c r="H1347" i="1"/>
  <c r="H1362" i="1"/>
  <c r="H1351" i="1"/>
  <c r="Q1339" i="1"/>
  <c r="Q1341" i="1"/>
  <c r="H1343" i="1"/>
  <c r="Q1344" i="1"/>
  <c r="Q1352" i="1"/>
  <c r="Q1355" i="1"/>
  <c r="Q1358" i="1"/>
  <c r="Q1361" i="1"/>
  <c r="Q1364" i="1"/>
  <c r="H1372" i="1"/>
  <c r="H1338" i="1"/>
  <c r="H1367" i="1"/>
  <c r="H1359" i="1"/>
  <c r="Q1340" i="1"/>
  <c r="H1342" i="1"/>
  <c r="Q1343" i="1"/>
  <c r="H1345" i="1"/>
  <c r="Q1350" i="1"/>
  <c r="Q1353" i="1"/>
  <c r="Q1356" i="1"/>
  <c r="Q1359" i="1"/>
  <c r="Q1362" i="1"/>
  <c r="Q1365" i="1"/>
  <c r="H1371" i="1"/>
  <c r="M1373" i="1"/>
  <c r="H1369" i="1"/>
  <c r="H1358" i="1"/>
  <c r="H1352" i="1"/>
  <c r="H1349" i="1"/>
  <c r="H1363" i="1"/>
  <c r="H1354" i="1"/>
  <c r="H1339" i="1"/>
  <c r="H1360" i="1"/>
  <c r="H1366" i="1"/>
  <c r="H1357" i="1"/>
  <c r="H1350" i="1"/>
  <c r="P1373" i="1"/>
  <c r="P1305" i="1"/>
  <c r="M1305" i="1"/>
  <c r="P1304" i="1"/>
  <c r="M1304" i="1"/>
  <c r="E1311" i="1"/>
  <c r="E1330" i="1" s="1"/>
  <c r="P1264" i="1"/>
  <c r="M1264" i="1"/>
  <c r="D1304" i="1"/>
  <c r="G1304" i="1"/>
  <c r="D1305" i="1"/>
  <c r="G1305" i="1"/>
  <c r="D1306" i="1"/>
  <c r="G1306" i="1"/>
  <c r="M1306" i="1"/>
  <c r="P1306" i="1"/>
  <c r="D1307" i="1"/>
  <c r="G1307" i="1"/>
  <c r="M1307" i="1"/>
  <c r="P1307" i="1"/>
  <c r="D1308" i="1"/>
  <c r="G1308" i="1"/>
  <c r="M1308" i="1"/>
  <c r="P1308" i="1"/>
  <c r="D1309" i="1"/>
  <c r="G1309" i="1"/>
  <c r="M1309" i="1"/>
  <c r="P1309" i="1"/>
  <c r="D1310" i="1"/>
  <c r="G1310" i="1"/>
  <c r="M1310" i="1"/>
  <c r="P1310" i="1"/>
  <c r="D1311" i="1"/>
  <c r="M1311" i="1"/>
  <c r="P1311" i="1"/>
  <c r="D1312" i="1"/>
  <c r="G1312" i="1"/>
  <c r="M1312" i="1"/>
  <c r="P1312" i="1"/>
  <c r="D1313" i="1"/>
  <c r="G1313" i="1"/>
  <c r="M1313" i="1"/>
  <c r="P1313" i="1"/>
  <c r="D1314" i="1"/>
  <c r="G1314" i="1"/>
  <c r="M1314" i="1"/>
  <c r="P1314" i="1"/>
  <c r="D1315" i="1"/>
  <c r="G1315" i="1"/>
  <c r="M1315" i="1"/>
  <c r="P1315" i="1"/>
  <c r="D1316" i="1"/>
  <c r="G1316" i="1"/>
  <c r="M1316" i="1"/>
  <c r="P1316" i="1"/>
  <c r="D1317" i="1"/>
  <c r="G1317" i="1"/>
  <c r="M1317" i="1"/>
  <c r="P1317" i="1"/>
  <c r="D1318" i="1"/>
  <c r="G1318" i="1"/>
  <c r="M1318" i="1"/>
  <c r="P1318" i="1"/>
  <c r="D1319" i="1"/>
  <c r="G1319" i="1"/>
  <c r="M1319" i="1"/>
  <c r="P1319" i="1"/>
  <c r="D1320" i="1"/>
  <c r="G1320" i="1"/>
  <c r="M1320" i="1"/>
  <c r="P1320" i="1"/>
  <c r="D1321" i="1"/>
  <c r="G1321" i="1"/>
  <c r="M1321" i="1"/>
  <c r="P1321" i="1"/>
  <c r="D1322" i="1"/>
  <c r="G1322" i="1"/>
  <c r="M1322" i="1"/>
  <c r="P1322" i="1"/>
  <c r="D1323" i="1"/>
  <c r="G1323" i="1"/>
  <c r="M1323" i="1"/>
  <c r="P1323" i="1"/>
  <c r="D1324" i="1"/>
  <c r="G1324" i="1"/>
  <c r="M1324" i="1"/>
  <c r="P1324" i="1"/>
  <c r="D1325" i="1"/>
  <c r="G1325" i="1"/>
  <c r="M1325" i="1"/>
  <c r="P1325" i="1"/>
  <c r="D1326" i="1"/>
  <c r="G1326" i="1"/>
  <c r="M1326" i="1"/>
  <c r="P1326" i="1"/>
  <c r="D1295" i="1"/>
  <c r="G1295" i="1"/>
  <c r="M1295" i="1"/>
  <c r="P1295" i="1"/>
  <c r="D1296" i="1"/>
  <c r="G1296" i="1"/>
  <c r="M1296" i="1"/>
  <c r="P1296" i="1"/>
  <c r="D1297" i="1"/>
  <c r="G1297" i="1"/>
  <c r="M1297" i="1"/>
  <c r="P1297" i="1"/>
  <c r="D1298" i="1"/>
  <c r="G1298" i="1"/>
  <c r="M1298" i="1"/>
  <c r="P1298" i="1"/>
  <c r="D1299" i="1"/>
  <c r="G1299" i="1"/>
  <c r="M1299" i="1"/>
  <c r="P1299" i="1"/>
  <c r="O1330" i="1"/>
  <c r="N1330" i="1"/>
  <c r="L1330" i="1"/>
  <c r="K1330" i="1"/>
  <c r="F1330" i="1"/>
  <c r="C1330" i="1"/>
  <c r="B1330" i="1"/>
  <c r="G1329" i="1"/>
  <c r="D1329" i="1"/>
  <c r="P1328" i="1"/>
  <c r="M1328" i="1"/>
  <c r="G1328" i="1"/>
  <c r="D1328" i="1"/>
  <c r="P1327" i="1"/>
  <c r="M1327" i="1"/>
  <c r="G1327" i="1"/>
  <c r="D1327" i="1"/>
  <c r="P1302" i="1"/>
  <c r="M1302" i="1"/>
  <c r="G1302" i="1"/>
  <c r="D1302" i="1"/>
  <c r="P1301" i="1"/>
  <c r="M1301" i="1"/>
  <c r="G1301" i="1"/>
  <c r="D1301" i="1"/>
  <c r="P1300" i="1"/>
  <c r="M1300" i="1"/>
  <c r="G1300" i="1"/>
  <c r="D1300" i="1"/>
  <c r="P1263" i="1"/>
  <c r="M1263" i="1"/>
  <c r="P1262" i="1"/>
  <c r="M1262" i="1"/>
  <c r="G1253" i="1"/>
  <c r="D1253" i="1"/>
  <c r="P1261" i="1"/>
  <c r="M1261" i="1"/>
  <c r="M1285" i="1"/>
  <c r="P1285" i="1"/>
  <c r="M1286" i="1"/>
  <c r="P1286" i="1"/>
  <c r="M1265" i="1"/>
  <c r="P1265" i="1"/>
  <c r="M1266" i="1"/>
  <c r="P1266" i="1"/>
  <c r="M1267" i="1"/>
  <c r="P1267" i="1"/>
  <c r="M1268" i="1"/>
  <c r="P1268" i="1"/>
  <c r="D1261" i="1"/>
  <c r="G1261" i="1"/>
  <c r="D1262" i="1"/>
  <c r="G1262" i="1"/>
  <c r="D1263" i="1"/>
  <c r="G1263" i="1"/>
  <c r="D1264" i="1"/>
  <c r="G1264" i="1"/>
  <c r="D1265" i="1"/>
  <c r="G1265" i="1"/>
  <c r="D1266" i="1"/>
  <c r="G1266" i="1"/>
  <c r="D1267" i="1"/>
  <c r="G1267" i="1"/>
  <c r="D1268" i="1"/>
  <c r="G1268" i="1"/>
  <c r="D1269" i="1"/>
  <c r="G1269" i="1"/>
  <c r="D1270" i="1"/>
  <c r="G1270" i="1"/>
  <c r="D1271" i="1"/>
  <c r="G1271" i="1"/>
  <c r="D1272" i="1"/>
  <c r="G1272" i="1"/>
  <c r="D1273" i="1"/>
  <c r="G1273" i="1"/>
  <c r="D1274" i="1"/>
  <c r="G1274" i="1"/>
  <c r="D1275" i="1"/>
  <c r="G1275" i="1"/>
  <c r="D1276" i="1"/>
  <c r="G1276" i="1"/>
  <c r="D1277" i="1"/>
  <c r="G1277" i="1"/>
  <c r="D1278" i="1"/>
  <c r="G1278" i="1"/>
  <c r="D1279" i="1"/>
  <c r="G1279" i="1"/>
  <c r="D1280" i="1"/>
  <c r="G1280" i="1"/>
  <c r="D1281" i="1"/>
  <c r="G1281" i="1"/>
  <c r="D1282" i="1"/>
  <c r="G1282" i="1"/>
  <c r="D1283" i="1"/>
  <c r="G1283" i="1"/>
  <c r="D1284" i="1"/>
  <c r="G1284" i="1"/>
  <c r="O1287" i="1"/>
  <c r="N1287" i="1"/>
  <c r="L1287" i="1"/>
  <c r="K1287" i="1"/>
  <c r="C1287" i="1"/>
  <c r="B1287" i="1"/>
  <c r="G1286" i="1"/>
  <c r="D1286" i="1"/>
  <c r="G1285" i="1"/>
  <c r="D1285" i="1"/>
  <c r="P1284" i="1"/>
  <c r="M1284" i="1"/>
  <c r="P1283" i="1"/>
  <c r="M1283" i="1"/>
  <c r="P1282" i="1"/>
  <c r="M1282" i="1"/>
  <c r="P1281" i="1"/>
  <c r="M1281" i="1"/>
  <c r="P1280" i="1"/>
  <c r="M1280" i="1"/>
  <c r="P1279" i="1"/>
  <c r="M1279" i="1"/>
  <c r="P1278" i="1"/>
  <c r="M1278" i="1"/>
  <c r="P1277" i="1"/>
  <c r="M1277" i="1"/>
  <c r="P1276" i="1"/>
  <c r="M1276" i="1"/>
  <c r="P1275" i="1"/>
  <c r="M1275" i="1"/>
  <c r="P1274" i="1"/>
  <c r="M1274" i="1"/>
  <c r="P1273" i="1"/>
  <c r="M1273" i="1"/>
  <c r="P1272" i="1"/>
  <c r="M1272" i="1"/>
  <c r="P1271" i="1"/>
  <c r="M1271" i="1"/>
  <c r="P1270" i="1"/>
  <c r="M1270" i="1"/>
  <c r="P1269" i="1"/>
  <c r="M1269" i="1"/>
  <c r="E1287" i="1"/>
  <c r="P1259" i="1"/>
  <c r="M1259" i="1"/>
  <c r="G1259" i="1"/>
  <c r="D1259" i="1"/>
  <c r="P1258" i="1"/>
  <c r="M1258" i="1"/>
  <c r="G1258" i="1"/>
  <c r="D1258" i="1"/>
  <c r="P1257" i="1"/>
  <c r="M1257" i="1"/>
  <c r="G1257" i="1"/>
  <c r="D1257" i="1"/>
  <c r="P1256" i="1"/>
  <c r="M1256" i="1"/>
  <c r="G1256" i="1"/>
  <c r="D1256" i="1"/>
  <c r="P1255" i="1"/>
  <c r="M1255" i="1"/>
  <c r="G1255" i="1"/>
  <c r="D1255" i="1"/>
  <c r="P1254" i="1"/>
  <c r="M1254" i="1"/>
  <c r="G1254" i="1"/>
  <c r="D1254" i="1"/>
  <c r="P1253" i="1"/>
  <c r="M1253" i="1"/>
  <c r="P1252" i="1"/>
  <c r="M1252" i="1"/>
  <c r="G1252" i="1"/>
  <c r="D1252" i="1"/>
  <c r="Q2277" i="1" l="1"/>
  <c r="G2234" i="1"/>
  <c r="M2148" i="1"/>
  <c r="K2154" i="1"/>
  <c r="Q2148" i="1"/>
  <c r="Q2120" i="1"/>
  <c r="G2147" i="1"/>
  <c r="H2147" i="1" s="1"/>
  <c r="M2105" i="1"/>
  <c r="Q2105" i="1" s="1"/>
  <c r="Q2104" i="1"/>
  <c r="B2062" i="1"/>
  <c r="G2019" i="1"/>
  <c r="E2025" i="1"/>
  <c r="D2018" i="1"/>
  <c r="H2018" i="1" s="1"/>
  <c r="D2034" i="1"/>
  <c r="D2025" i="1"/>
  <c r="Q2018" i="1"/>
  <c r="D2019" i="1"/>
  <c r="H2019" i="1" s="1"/>
  <c r="H1991" i="1"/>
  <c r="Q1975" i="1"/>
  <c r="H1975" i="1"/>
  <c r="D1932" i="1"/>
  <c r="H1932" i="1" s="1"/>
  <c r="Q1932" i="1"/>
  <c r="D1889" i="1"/>
  <c r="H1889" i="1" s="1"/>
  <c r="Q1889" i="1"/>
  <c r="Q1846" i="1"/>
  <c r="H1846" i="1"/>
  <c r="Q1803" i="1"/>
  <c r="H1803" i="1"/>
  <c r="Q1760" i="1"/>
  <c r="D1717" i="1"/>
  <c r="H1717" i="1" s="1"/>
  <c r="Q1717" i="1"/>
  <c r="Q1674" i="1"/>
  <c r="H1674" i="1"/>
  <c r="Q1631" i="1"/>
  <c r="H1631" i="1"/>
  <c r="Q1588" i="1"/>
  <c r="H1588" i="1"/>
  <c r="H1545" i="1"/>
  <c r="Q1545" i="1"/>
  <c r="H1502" i="1"/>
  <c r="Q1459" i="1"/>
  <c r="H1459" i="1"/>
  <c r="H1416" i="1"/>
  <c r="Q1416" i="1"/>
  <c r="H1373" i="1"/>
  <c r="Q1373" i="1"/>
  <c r="Q1305" i="1"/>
  <c r="Q1321" i="1"/>
  <c r="Q1295" i="1"/>
  <c r="Q1314" i="1"/>
  <c r="G1311" i="1"/>
  <c r="H1311" i="1" s="1"/>
  <c r="H1320" i="1"/>
  <c r="Q1318" i="1"/>
  <c r="Q1315" i="1"/>
  <c r="Q1309" i="1"/>
  <c r="Q1322" i="1"/>
  <c r="Q1308" i="1"/>
  <c r="Q1320" i="1"/>
  <c r="Q1317" i="1"/>
  <c r="Q1304" i="1"/>
  <c r="Q1323" i="1"/>
  <c r="H1301" i="1"/>
  <c r="Q1302" i="1"/>
  <c r="H1313" i="1"/>
  <c r="Q1311" i="1"/>
  <c r="H1310" i="1"/>
  <c r="Q1264" i="1"/>
  <c r="Q1297" i="1"/>
  <c r="Q1326" i="1"/>
  <c r="H1296" i="1"/>
  <c r="Q1299" i="1"/>
  <c r="Q1307" i="1"/>
  <c r="Q1298" i="1"/>
  <c r="H1322" i="1"/>
  <c r="Q1325" i="1"/>
  <c r="H1325" i="1"/>
  <c r="H1314" i="1"/>
  <c r="Q1319" i="1"/>
  <c r="Q1316" i="1"/>
  <c r="Q1312" i="1"/>
  <c r="Q1296" i="1"/>
  <c r="H1326" i="1"/>
  <c r="Q1324" i="1"/>
  <c r="H1319" i="1"/>
  <c r="H1316" i="1"/>
  <c r="Q1313" i="1"/>
  <c r="Q1310" i="1"/>
  <c r="H1308" i="1"/>
  <c r="Q1306" i="1"/>
  <c r="H1304" i="1"/>
  <c r="H1297" i="1"/>
  <c r="H1323" i="1"/>
  <c r="H1317" i="1"/>
  <c r="H1305" i="1"/>
  <c r="H1298" i="1"/>
  <c r="H1324" i="1"/>
  <c r="H1318" i="1"/>
  <c r="H1312" i="1"/>
  <c r="H1306" i="1"/>
  <c r="H1300" i="1"/>
  <c r="Q1301" i="1"/>
  <c r="Q1328" i="1"/>
  <c r="P1330" i="1"/>
  <c r="H1299" i="1"/>
  <c r="H1307" i="1"/>
  <c r="Q1300" i="1"/>
  <c r="H1302" i="1"/>
  <c r="Q1327" i="1"/>
  <c r="G1330" i="1"/>
  <c r="H1295" i="1"/>
  <c r="H1321" i="1"/>
  <c r="H1315" i="1"/>
  <c r="H1309" i="1"/>
  <c r="H1329" i="1"/>
  <c r="H1328" i="1"/>
  <c r="H1327" i="1"/>
  <c r="M1330" i="1"/>
  <c r="D1330" i="1"/>
  <c r="Q1263" i="1"/>
  <c r="Q1267" i="1"/>
  <c r="Q1262" i="1"/>
  <c r="Q1271" i="1"/>
  <c r="Q1274" i="1"/>
  <c r="Q1277" i="1"/>
  <c r="Q1280" i="1"/>
  <c r="Q1283" i="1"/>
  <c r="H1267" i="1"/>
  <c r="Q1261" i="1"/>
  <c r="Q1269" i="1"/>
  <c r="Q1272" i="1"/>
  <c r="Q1275" i="1"/>
  <c r="Q1278" i="1"/>
  <c r="Q1281" i="1"/>
  <c r="Q1284" i="1"/>
  <c r="H1284" i="1"/>
  <c r="H1272" i="1"/>
  <c r="H1253" i="1"/>
  <c r="H1283" i="1"/>
  <c r="Q1285" i="1"/>
  <c r="D1287" i="1"/>
  <c r="H1269" i="1"/>
  <c r="Q1265" i="1"/>
  <c r="H1263" i="1"/>
  <c r="H1279" i="1"/>
  <c r="H1277" i="1"/>
  <c r="H1271" i="1"/>
  <c r="H1265" i="1"/>
  <c r="H1273" i="1"/>
  <c r="Q1270" i="1"/>
  <c r="Q1273" i="1"/>
  <c r="Q1276" i="1"/>
  <c r="Q1279" i="1"/>
  <c r="Q1282" i="1"/>
  <c r="H1285" i="1"/>
  <c r="H1281" i="1"/>
  <c r="H1275" i="1"/>
  <c r="Q1268" i="1"/>
  <c r="H1261" i="1"/>
  <c r="H1276" i="1"/>
  <c r="H1266" i="1"/>
  <c r="Q1253" i="1"/>
  <c r="Q1256" i="1"/>
  <c r="Q1259" i="1"/>
  <c r="H1278" i="1"/>
  <c r="H1262" i="1"/>
  <c r="Q1286" i="1"/>
  <c r="Q1252" i="1"/>
  <c r="Q1255" i="1"/>
  <c r="Q1258" i="1"/>
  <c r="H1274" i="1"/>
  <c r="H1264" i="1"/>
  <c r="H1286" i="1"/>
  <c r="H1280" i="1"/>
  <c r="H1268" i="1"/>
  <c r="Q1254" i="1"/>
  <c r="Q1257" i="1"/>
  <c r="H1259" i="1"/>
  <c r="H1282" i="1"/>
  <c r="H1270" i="1"/>
  <c r="Q1266" i="1"/>
  <c r="M1287" i="1"/>
  <c r="P1287" i="1"/>
  <c r="H1255" i="1"/>
  <c r="H1257" i="1"/>
  <c r="H1252" i="1"/>
  <c r="H1254" i="1"/>
  <c r="H1256" i="1"/>
  <c r="H1258" i="1"/>
  <c r="F1287" i="1"/>
  <c r="G1287" i="1" s="1"/>
  <c r="P1225" i="1"/>
  <c r="M1225" i="1"/>
  <c r="P1224" i="1"/>
  <c r="M1224" i="1"/>
  <c r="D1214" i="1"/>
  <c r="G1214" i="1"/>
  <c r="K2163" i="1" l="1"/>
  <c r="M2154" i="1"/>
  <c r="Q2154" i="1" s="1"/>
  <c r="D2062" i="1"/>
  <c r="B2068" i="1"/>
  <c r="E2034" i="1"/>
  <c r="G2025" i="1"/>
  <c r="H2025" i="1" s="1"/>
  <c r="H1330" i="1"/>
  <c r="Q1330" i="1"/>
  <c r="H1287" i="1"/>
  <c r="Q1225" i="1"/>
  <c r="Q1287" i="1"/>
  <c r="Q1224" i="1"/>
  <c r="H1214" i="1"/>
  <c r="P1222" i="1"/>
  <c r="M1222" i="1"/>
  <c r="F1227" i="1"/>
  <c r="P1221" i="1"/>
  <c r="M1221" i="1"/>
  <c r="E1221" i="1"/>
  <c r="K2191" i="1" l="1"/>
  <c r="M2163" i="1"/>
  <c r="Q2163" i="1" s="1"/>
  <c r="B2077" i="1"/>
  <c r="D2068" i="1"/>
  <c r="E2062" i="1"/>
  <c r="G2034" i="1"/>
  <c r="H2034" i="1" s="1"/>
  <c r="Q1222" i="1"/>
  <c r="Q1221" i="1"/>
  <c r="P1218" i="1"/>
  <c r="M1218" i="1"/>
  <c r="F1218" i="1"/>
  <c r="G1218" i="1" s="1"/>
  <c r="P1176" i="1"/>
  <c r="M1176" i="1"/>
  <c r="D1218" i="1"/>
  <c r="D1219" i="1"/>
  <c r="G1219" i="1"/>
  <c r="D1220" i="1"/>
  <c r="G1220" i="1"/>
  <c r="D1221" i="1"/>
  <c r="G1221" i="1"/>
  <c r="D1222" i="1"/>
  <c r="G1222" i="1"/>
  <c r="D1223" i="1"/>
  <c r="G1223" i="1"/>
  <c r="E1244" i="1"/>
  <c r="C1244" i="1"/>
  <c r="B1244" i="1"/>
  <c r="G1243" i="1"/>
  <c r="D1243" i="1"/>
  <c r="G1242" i="1"/>
  <c r="D1242" i="1"/>
  <c r="G1241" i="1"/>
  <c r="D1241" i="1"/>
  <c r="G1240" i="1"/>
  <c r="D1240" i="1"/>
  <c r="G1239" i="1"/>
  <c r="D1239" i="1"/>
  <c r="G1238" i="1"/>
  <c r="D1238" i="1"/>
  <c r="G1237" i="1"/>
  <c r="D1237" i="1"/>
  <c r="G1236" i="1"/>
  <c r="D1236" i="1"/>
  <c r="G1235" i="1"/>
  <c r="D1235" i="1"/>
  <c r="G1234" i="1"/>
  <c r="D1234" i="1"/>
  <c r="G1233" i="1"/>
  <c r="D1233" i="1"/>
  <c r="G1232" i="1"/>
  <c r="D1232" i="1"/>
  <c r="G1231" i="1"/>
  <c r="D1231" i="1"/>
  <c r="G1230" i="1"/>
  <c r="D1230" i="1"/>
  <c r="G1229" i="1"/>
  <c r="D1229" i="1"/>
  <c r="G1228" i="1"/>
  <c r="D1228" i="1"/>
  <c r="G1227" i="1"/>
  <c r="D1227" i="1"/>
  <c r="G1226" i="1"/>
  <c r="D1226" i="1"/>
  <c r="G1225" i="1"/>
  <c r="D1225" i="1"/>
  <c r="G1224" i="1"/>
  <c r="D1224" i="1"/>
  <c r="G1216" i="1"/>
  <c r="D1216" i="1"/>
  <c r="G1215" i="1"/>
  <c r="D1215" i="1"/>
  <c r="G1213" i="1"/>
  <c r="D1213" i="1"/>
  <c r="G1212" i="1"/>
  <c r="D1212" i="1"/>
  <c r="G1211" i="1"/>
  <c r="D1211" i="1"/>
  <c r="G1210" i="1"/>
  <c r="D1210" i="1"/>
  <c r="G1209" i="1"/>
  <c r="D1209" i="1"/>
  <c r="M1199" i="1"/>
  <c r="P1199" i="1"/>
  <c r="M1200" i="1"/>
  <c r="P1200" i="1"/>
  <c r="O1244" i="1"/>
  <c r="N1244" i="1"/>
  <c r="L1244" i="1"/>
  <c r="K1244" i="1"/>
  <c r="P1243" i="1"/>
  <c r="M1243" i="1"/>
  <c r="P1242" i="1"/>
  <c r="M1242" i="1"/>
  <c r="P1241" i="1"/>
  <c r="M1241" i="1"/>
  <c r="P1240" i="1"/>
  <c r="M1240" i="1"/>
  <c r="P1239" i="1"/>
  <c r="M1239" i="1"/>
  <c r="P1238" i="1"/>
  <c r="M1238" i="1"/>
  <c r="P1237" i="1"/>
  <c r="M1237" i="1"/>
  <c r="P1236" i="1"/>
  <c r="M1236" i="1"/>
  <c r="P1235" i="1"/>
  <c r="M1235" i="1"/>
  <c r="P1234" i="1"/>
  <c r="M1234" i="1"/>
  <c r="P1233" i="1"/>
  <c r="M1233" i="1"/>
  <c r="P1232" i="1"/>
  <c r="M1232" i="1"/>
  <c r="P1231" i="1"/>
  <c r="M1231" i="1"/>
  <c r="P1230" i="1"/>
  <c r="M1230" i="1"/>
  <c r="P1229" i="1"/>
  <c r="M1229" i="1"/>
  <c r="P1228" i="1"/>
  <c r="M1228" i="1"/>
  <c r="P1227" i="1"/>
  <c r="M1227" i="1"/>
  <c r="P1226" i="1"/>
  <c r="M1226" i="1"/>
  <c r="P1223" i="1"/>
  <c r="M1223" i="1"/>
  <c r="P1220" i="1"/>
  <c r="M1220" i="1"/>
  <c r="P1219" i="1"/>
  <c r="M1219" i="1"/>
  <c r="P1216" i="1"/>
  <c r="M1216" i="1"/>
  <c r="P1215" i="1"/>
  <c r="M1215" i="1"/>
  <c r="P1214" i="1"/>
  <c r="M1214" i="1"/>
  <c r="P1213" i="1"/>
  <c r="M1213" i="1"/>
  <c r="P1212" i="1"/>
  <c r="M1212" i="1"/>
  <c r="P1211" i="1"/>
  <c r="M1211" i="1"/>
  <c r="P1210" i="1"/>
  <c r="M1210" i="1"/>
  <c r="P1209" i="1"/>
  <c r="M1209" i="1"/>
  <c r="M2191" i="1" l="1"/>
  <c r="Q2191" i="1" s="1"/>
  <c r="K2197" i="1"/>
  <c r="G2062" i="1"/>
  <c r="H2062" i="1" s="1"/>
  <c r="E2068" i="1"/>
  <c r="D2077" i="1"/>
  <c r="B2105" i="1"/>
  <c r="F1244" i="1"/>
  <c r="G1244" i="1" s="1"/>
  <c r="Q1218" i="1"/>
  <c r="Q1176" i="1"/>
  <c r="H1210" i="1"/>
  <c r="H1211" i="1"/>
  <c r="H1224" i="1"/>
  <c r="H1227" i="1"/>
  <c r="H1230" i="1"/>
  <c r="H1233" i="1"/>
  <c r="H1236" i="1"/>
  <c r="H1239" i="1"/>
  <c r="H1242" i="1"/>
  <c r="Q1199" i="1"/>
  <c r="H1212" i="1"/>
  <c r="Q1211" i="1"/>
  <c r="Q1227" i="1"/>
  <c r="Q1230" i="1"/>
  <c r="Q1233" i="1"/>
  <c r="Q1236" i="1"/>
  <c r="Q1239" i="1"/>
  <c r="Q1242" i="1"/>
  <c r="P1244" i="1"/>
  <c r="H1209" i="1"/>
  <c r="Q1212" i="1"/>
  <c r="Q1200" i="1"/>
  <c r="H1223" i="1"/>
  <c r="H1220" i="1"/>
  <c r="H1221" i="1"/>
  <c r="Q1213" i="1"/>
  <c r="Q1220" i="1"/>
  <c r="Q1223" i="1"/>
  <c r="Q1226" i="1"/>
  <c r="Q1229" i="1"/>
  <c r="Q1232" i="1"/>
  <c r="Q1235" i="1"/>
  <c r="Q1238" i="1"/>
  <c r="Q1241" i="1"/>
  <c r="M1244" i="1"/>
  <c r="H1216" i="1"/>
  <c r="H1226" i="1"/>
  <c r="H1229" i="1"/>
  <c r="H1232" i="1"/>
  <c r="H1235" i="1"/>
  <c r="H1238" i="1"/>
  <c r="H1241" i="1"/>
  <c r="H1222" i="1"/>
  <c r="H1218" i="1"/>
  <c r="Q1216" i="1"/>
  <c r="Q1214" i="1"/>
  <c r="Q1209" i="1"/>
  <c r="Q1215" i="1"/>
  <c r="Q1219" i="1"/>
  <c r="Q1228" i="1"/>
  <c r="Q1231" i="1"/>
  <c r="Q1234" i="1"/>
  <c r="Q1237" i="1"/>
  <c r="Q1240" i="1"/>
  <c r="Q1243" i="1"/>
  <c r="H1215" i="1"/>
  <c r="H1219" i="1"/>
  <c r="H1213" i="1"/>
  <c r="H1225" i="1"/>
  <c r="H1228" i="1"/>
  <c r="H1231" i="1"/>
  <c r="H1234" i="1"/>
  <c r="H1237" i="1"/>
  <c r="H1240" i="1"/>
  <c r="H1243" i="1"/>
  <c r="Q1210" i="1"/>
  <c r="D1244" i="1"/>
  <c r="F1179" i="1"/>
  <c r="G1179" i="1" s="1"/>
  <c r="P1175" i="1"/>
  <c r="M1175" i="1"/>
  <c r="M1155" i="1"/>
  <c r="P1155" i="1"/>
  <c r="M1156" i="1"/>
  <c r="P1156" i="1"/>
  <c r="M1198" i="1"/>
  <c r="P1198" i="1"/>
  <c r="M1177" i="1"/>
  <c r="P1177" i="1"/>
  <c r="M1178" i="1"/>
  <c r="P1178" i="1"/>
  <c r="D1175" i="1"/>
  <c r="G1175" i="1"/>
  <c r="D1176" i="1"/>
  <c r="G1176" i="1"/>
  <c r="D1177" i="1"/>
  <c r="G1177" i="1"/>
  <c r="D1178" i="1"/>
  <c r="G1178" i="1"/>
  <c r="D1179" i="1"/>
  <c r="D1180" i="1"/>
  <c r="G1180" i="1"/>
  <c r="D1181" i="1"/>
  <c r="G1181" i="1"/>
  <c r="D1182" i="1"/>
  <c r="G1182" i="1"/>
  <c r="D1183" i="1"/>
  <c r="G1183" i="1"/>
  <c r="D1184" i="1"/>
  <c r="G1184" i="1"/>
  <c r="D1185" i="1"/>
  <c r="G1185" i="1"/>
  <c r="D1186" i="1"/>
  <c r="G1186" i="1"/>
  <c r="D1187" i="1"/>
  <c r="G1187" i="1"/>
  <c r="D1188" i="1"/>
  <c r="G1188" i="1"/>
  <c r="D1189" i="1"/>
  <c r="G1189" i="1"/>
  <c r="D1190" i="1"/>
  <c r="G1190" i="1"/>
  <c r="D1191" i="1"/>
  <c r="G1191" i="1"/>
  <c r="D1192" i="1"/>
  <c r="G1192" i="1"/>
  <c r="D1193" i="1"/>
  <c r="G1193" i="1"/>
  <c r="D1194" i="1"/>
  <c r="G1194" i="1"/>
  <c r="D1195" i="1"/>
  <c r="G1195" i="1"/>
  <c r="D1196" i="1"/>
  <c r="G1196" i="1"/>
  <c r="D1166" i="1"/>
  <c r="G1166" i="1"/>
  <c r="D1167" i="1"/>
  <c r="G1167" i="1"/>
  <c r="D1168" i="1"/>
  <c r="G1168" i="1"/>
  <c r="O1201" i="1"/>
  <c r="N1201" i="1"/>
  <c r="L1201" i="1"/>
  <c r="K1201" i="1"/>
  <c r="E1201" i="1"/>
  <c r="C1201" i="1"/>
  <c r="B1201" i="1"/>
  <c r="G1200" i="1"/>
  <c r="D1200" i="1"/>
  <c r="G1199" i="1"/>
  <c r="D1199" i="1"/>
  <c r="G1198" i="1"/>
  <c r="D1198" i="1"/>
  <c r="P1197" i="1"/>
  <c r="M1197" i="1"/>
  <c r="G1197" i="1"/>
  <c r="D1197" i="1"/>
  <c r="P1196" i="1"/>
  <c r="M1196" i="1"/>
  <c r="P1195" i="1"/>
  <c r="M1195" i="1"/>
  <c r="P1194" i="1"/>
  <c r="M1194" i="1"/>
  <c r="P1193" i="1"/>
  <c r="M1193" i="1"/>
  <c r="P1192" i="1"/>
  <c r="M1192" i="1"/>
  <c r="P1191" i="1"/>
  <c r="M1191" i="1"/>
  <c r="P1190" i="1"/>
  <c r="M1190" i="1"/>
  <c r="P1189" i="1"/>
  <c r="M1189" i="1"/>
  <c r="P1188" i="1"/>
  <c r="M1188" i="1"/>
  <c r="P1187" i="1"/>
  <c r="M1187" i="1"/>
  <c r="P1186" i="1"/>
  <c r="M1186" i="1"/>
  <c r="P1185" i="1"/>
  <c r="M1185" i="1"/>
  <c r="P1184" i="1"/>
  <c r="M1184" i="1"/>
  <c r="P1183" i="1"/>
  <c r="M1183" i="1"/>
  <c r="P1182" i="1"/>
  <c r="M1182" i="1"/>
  <c r="P1181" i="1"/>
  <c r="M1181" i="1"/>
  <c r="P1180" i="1"/>
  <c r="M1180" i="1"/>
  <c r="P1179" i="1"/>
  <c r="M1179" i="1"/>
  <c r="P1173" i="1"/>
  <c r="M1173" i="1"/>
  <c r="G1173" i="1"/>
  <c r="D1173" i="1"/>
  <c r="P1172" i="1"/>
  <c r="M1172" i="1"/>
  <c r="G1172" i="1"/>
  <c r="D1172" i="1"/>
  <c r="P1171" i="1"/>
  <c r="M1171" i="1"/>
  <c r="G1171" i="1"/>
  <c r="D1171" i="1"/>
  <c r="P1170" i="1"/>
  <c r="M1170" i="1"/>
  <c r="G1170" i="1"/>
  <c r="D1170" i="1"/>
  <c r="P1169" i="1"/>
  <c r="M1169" i="1"/>
  <c r="G1169" i="1"/>
  <c r="D1169" i="1"/>
  <c r="P1168" i="1"/>
  <c r="M1168" i="1"/>
  <c r="P1167" i="1"/>
  <c r="M1167" i="1"/>
  <c r="P1166" i="1"/>
  <c r="M1166" i="1"/>
  <c r="K2206" i="1" l="1"/>
  <c r="M2197" i="1"/>
  <c r="Q2197" i="1" s="1"/>
  <c r="D2105" i="1"/>
  <c r="B2111" i="1"/>
  <c r="E2077" i="1"/>
  <c r="G2068" i="1"/>
  <c r="H2068" i="1" s="1"/>
  <c r="H1244" i="1"/>
  <c r="Q1175" i="1"/>
  <c r="Q1244" i="1"/>
  <c r="Q1156" i="1"/>
  <c r="F1201" i="1"/>
  <c r="G1201" i="1" s="1"/>
  <c r="Q1168" i="1"/>
  <c r="H1170" i="1"/>
  <c r="Q1171" i="1"/>
  <c r="H1173" i="1"/>
  <c r="Q1180" i="1"/>
  <c r="Q1183" i="1"/>
  <c r="Q1186" i="1"/>
  <c r="Q1189" i="1"/>
  <c r="Q1192" i="1"/>
  <c r="Q1195" i="1"/>
  <c r="Q1197" i="1"/>
  <c r="Q1177" i="1"/>
  <c r="M1201" i="1"/>
  <c r="Q1167" i="1"/>
  <c r="Q1169" i="1"/>
  <c r="H1171" i="1"/>
  <c r="Q1172" i="1"/>
  <c r="Q1179" i="1"/>
  <c r="Q1182" i="1"/>
  <c r="Q1185" i="1"/>
  <c r="Q1188" i="1"/>
  <c r="Q1191" i="1"/>
  <c r="Q1194" i="1"/>
  <c r="H1183" i="1"/>
  <c r="H1168" i="1"/>
  <c r="H1193" i="1"/>
  <c r="H1175" i="1"/>
  <c r="H1185" i="1"/>
  <c r="Q1178" i="1"/>
  <c r="Q1198" i="1"/>
  <c r="H1166" i="1"/>
  <c r="H1187" i="1"/>
  <c r="Q1166" i="1"/>
  <c r="H1169" i="1"/>
  <c r="Q1170" i="1"/>
  <c r="H1172" i="1"/>
  <c r="Q1173" i="1"/>
  <c r="Q1181" i="1"/>
  <c r="Q1184" i="1"/>
  <c r="Q1187" i="1"/>
  <c r="Q1190" i="1"/>
  <c r="Q1193" i="1"/>
  <c r="Q1196" i="1"/>
  <c r="P1201" i="1"/>
  <c r="H1167" i="1"/>
  <c r="H1195" i="1"/>
  <c r="H1177" i="1"/>
  <c r="H1189" i="1"/>
  <c r="H1182" i="1"/>
  <c r="H1179" i="1"/>
  <c r="H1186" i="1"/>
  <c r="H1181" i="1"/>
  <c r="H1194" i="1"/>
  <c r="H1191" i="1"/>
  <c r="Q1155" i="1"/>
  <c r="H1198" i="1"/>
  <c r="H1190" i="1"/>
  <c r="H1178" i="1"/>
  <c r="H1200" i="1"/>
  <c r="H1196" i="1"/>
  <c r="H1184" i="1"/>
  <c r="H1188" i="1"/>
  <c r="H1176" i="1"/>
  <c r="H1197" i="1"/>
  <c r="H1199" i="1"/>
  <c r="H1192" i="1"/>
  <c r="H1180" i="1"/>
  <c r="D1201" i="1"/>
  <c r="P1135" i="1"/>
  <c r="M1135" i="1"/>
  <c r="P1133" i="1"/>
  <c r="M1133" i="1"/>
  <c r="D1132" i="1"/>
  <c r="G1132" i="1"/>
  <c r="K2234" i="1" l="1"/>
  <c r="M2234" i="1" s="1"/>
  <c r="Q2234" i="1" s="1"/>
  <c r="M2206" i="1"/>
  <c r="Q2206" i="1" s="1"/>
  <c r="B2120" i="1"/>
  <c r="D2111" i="1"/>
  <c r="E2105" i="1"/>
  <c r="G2077" i="1"/>
  <c r="H2077" i="1" s="1"/>
  <c r="Q1135" i="1"/>
  <c r="Q1201" i="1"/>
  <c r="H1201" i="1"/>
  <c r="Q1133" i="1"/>
  <c r="H1132" i="1"/>
  <c r="M1095" i="1"/>
  <c r="P1095" i="1"/>
  <c r="B2148" i="1" l="1"/>
  <c r="D2120" i="1"/>
  <c r="G2105" i="1"/>
  <c r="H2105" i="1" s="1"/>
  <c r="E2111" i="1"/>
  <c r="Q1095" i="1"/>
  <c r="P1157" i="1"/>
  <c r="M1157" i="1"/>
  <c r="D1123" i="1"/>
  <c r="G1123" i="1"/>
  <c r="D1124" i="1"/>
  <c r="G1124" i="1"/>
  <c r="D1125" i="1"/>
  <c r="G1125" i="1"/>
  <c r="D1126" i="1"/>
  <c r="G1126" i="1"/>
  <c r="D1127" i="1"/>
  <c r="G1127" i="1"/>
  <c r="D1128" i="1"/>
  <c r="G1128" i="1"/>
  <c r="M1143" i="1"/>
  <c r="P1143" i="1"/>
  <c r="M1144" i="1"/>
  <c r="P1144" i="1"/>
  <c r="M1145" i="1"/>
  <c r="P1145" i="1"/>
  <c r="M1146" i="1"/>
  <c r="P1146" i="1"/>
  <c r="M1147" i="1"/>
  <c r="P1147" i="1"/>
  <c r="M1148" i="1"/>
  <c r="P1148" i="1"/>
  <c r="M1149" i="1"/>
  <c r="P1149" i="1"/>
  <c r="M1150" i="1"/>
  <c r="P1150" i="1"/>
  <c r="M1151" i="1"/>
  <c r="P1151" i="1"/>
  <c r="M1152" i="1"/>
  <c r="P1152" i="1"/>
  <c r="M1153" i="1"/>
  <c r="P1153" i="1"/>
  <c r="M1154" i="1"/>
  <c r="P1154" i="1"/>
  <c r="M1132" i="1"/>
  <c r="P1132" i="1"/>
  <c r="M1134" i="1"/>
  <c r="P1134" i="1"/>
  <c r="M1136" i="1"/>
  <c r="P1136" i="1"/>
  <c r="M1137" i="1"/>
  <c r="P1137" i="1"/>
  <c r="M1138" i="1"/>
  <c r="P1138" i="1"/>
  <c r="M1139" i="1"/>
  <c r="P1139" i="1"/>
  <c r="D1133" i="1"/>
  <c r="G1133" i="1"/>
  <c r="D1134" i="1"/>
  <c r="G1134" i="1"/>
  <c r="D1135" i="1"/>
  <c r="G1135" i="1"/>
  <c r="D1136" i="1"/>
  <c r="G1136" i="1"/>
  <c r="D1137" i="1"/>
  <c r="G1137" i="1"/>
  <c r="D1138" i="1"/>
  <c r="G1138" i="1"/>
  <c r="D1139" i="1"/>
  <c r="G1139" i="1"/>
  <c r="D1140" i="1"/>
  <c r="G1140" i="1"/>
  <c r="D1141" i="1"/>
  <c r="G1141" i="1"/>
  <c r="D1142" i="1"/>
  <c r="G1142" i="1"/>
  <c r="D1143" i="1"/>
  <c r="G1143" i="1"/>
  <c r="D1144" i="1"/>
  <c r="G1144" i="1"/>
  <c r="D1145" i="1"/>
  <c r="G1145" i="1"/>
  <c r="D1146" i="1"/>
  <c r="G1146" i="1"/>
  <c r="D1147" i="1"/>
  <c r="G1147" i="1"/>
  <c r="D1148" i="1"/>
  <c r="G1148" i="1"/>
  <c r="D1149" i="1"/>
  <c r="G1149" i="1"/>
  <c r="D1150" i="1"/>
  <c r="G1150" i="1"/>
  <c r="D1151" i="1"/>
  <c r="G1151" i="1"/>
  <c r="D1152" i="1"/>
  <c r="G1152" i="1"/>
  <c r="D1153" i="1"/>
  <c r="G1153" i="1"/>
  <c r="D1154" i="1"/>
  <c r="G1154" i="1"/>
  <c r="D1155" i="1"/>
  <c r="G1155" i="1"/>
  <c r="O1158" i="1"/>
  <c r="N1158" i="1"/>
  <c r="L1158" i="1"/>
  <c r="K1158" i="1"/>
  <c r="F1158" i="1"/>
  <c r="E1158" i="1"/>
  <c r="C1158" i="1"/>
  <c r="B1158" i="1"/>
  <c r="G1157" i="1"/>
  <c r="D1157" i="1"/>
  <c r="G1156" i="1"/>
  <c r="D1156" i="1"/>
  <c r="P1142" i="1"/>
  <c r="M1142" i="1"/>
  <c r="P1141" i="1"/>
  <c r="M1141" i="1"/>
  <c r="P1140" i="1"/>
  <c r="M1140" i="1"/>
  <c r="P1130" i="1"/>
  <c r="M1130" i="1"/>
  <c r="G1130" i="1"/>
  <c r="D1130" i="1"/>
  <c r="P1129" i="1"/>
  <c r="M1129" i="1"/>
  <c r="G1129" i="1"/>
  <c r="D1129" i="1"/>
  <c r="P1128" i="1"/>
  <c r="M1128" i="1"/>
  <c r="P1127" i="1"/>
  <c r="M1127" i="1"/>
  <c r="P1126" i="1"/>
  <c r="M1126" i="1"/>
  <c r="P1125" i="1"/>
  <c r="M1125" i="1"/>
  <c r="P1124" i="1"/>
  <c r="M1124" i="1"/>
  <c r="P1123" i="1"/>
  <c r="M1123" i="1"/>
  <c r="B1107" i="1"/>
  <c r="P1094" i="1"/>
  <c r="M1094" i="1"/>
  <c r="P1093" i="1"/>
  <c r="M1093" i="1"/>
  <c r="P1112" i="1"/>
  <c r="M1112" i="1"/>
  <c r="P1110" i="1"/>
  <c r="M1110" i="1"/>
  <c r="P1109" i="1"/>
  <c r="M1109" i="1"/>
  <c r="P1092" i="1"/>
  <c r="M1092" i="1"/>
  <c r="E1096" i="1"/>
  <c r="P1091" i="1"/>
  <c r="M1091" i="1"/>
  <c r="B1070" i="1"/>
  <c r="P1067" i="1"/>
  <c r="M1067" i="1"/>
  <c r="P1113" i="1"/>
  <c r="M1113" i="1"/>
  <c r="P1111" i="1"/>
  <c r="M1111" i="1"/>
  <c r="P1062" i="1"/>
  <c r="M1062" i="1"/>
  <c r="F1065" i="1"/>
  <c r="G1065" i="1" s="1"/>
  <c r="G1061" i="1"/>
  <c r="G1062" i="1"/>
  <c r="G1063" i="1"/>
  <c r="G1064" i="1"/>
  <c r="D1061" i="1"/>
  <c r="D1062" i="1"/>
  <c r="D1063" i="1"/>
  <c r="D1064" i="1"/>
  <c r="D1065" i="1"/>
  <c r="D1066" i="1"/>
  <c r="G1001" i="1"/>
  <c r="D1001" i="1"/>
  <c r="D1057" i="1"/>
  <c r="G1057" i="1"/>
  <c r="P1050" i="1"/>
  <c r="M1050" i="1"/>
  <c r="D2148" i="1" l="1"/>
  <c r="B2154" i="1"/>
  <c r="G2111" i="1"/>
  <c r="H2111" i="1" s="1"/>
  <c r="E2120" i="1"/>
  <c r="Q1149" i="1"/>
  <c r="H1139" i="1"/>
  <c r="H1135" i="1"/>
  <c r="Q1134" i="1"/>
  <c r="H1141" i="1"/>
  <c r="H1145" i="1"/>
  <c r="Q1137" i="1"/>
  <c r="H1147" i="1"/>
  <c r="H1151" i="1"/>
  <c r="Q1143" i="1"/>
  <c r="H1133" i="1"/>
  <c r="Q1093" i="1"/>
  <c r="Q1145" i="1"/>
  <c r="Q1147" i="1"/>
  <c r="H1127" i="1"/>
  <c r="Q1126" i="1"/>
  <c r="Q1130" i="1"/>
  <c r="H1153" i="1"/>
  <c r="Q1123" i="1"/>
  <c r="Q1140" i="1"/>
  <c r="H1123" i="1"/>
  <c r="Q1141" i="1"/>
  <c r="H1157" i="1"/>
  <c r="Q1153" i="1"/>
  <c r="Q1157" i="1"/>
  <c r="H1137" i="1"/>
  <c r="Q1150" i="1"/>
  <c r="Q1136" i="1"/>
  <c r="Q1125" i="1"/>
  <c r="Q1128" i="1"/>
  <c r="H1154" i="1"/>
  <c r="H1149" i="1"/>
  <c r="Q1138" i="1"/>
  <c r="Q1132" i="1"/>
  <c r="Q1146" i="1"/>
  <c r="H1142" i="1"/>
  <c r="H1125" i="1"/>
  <c r="H1150" i="1"/>
  <c r="Q1139" i="1"/>
  <c r="Q1142" i="1"/>
  <c r="D1158" i="1"/>
  <c r="H1143" i="1"/>
  <c r="H1138" i="1"/>
  <c r="Q1151" i="1"/>
  <c r="H1126" i="1"/>
  <c r="H1155" i="1"/>
  <c r="H1124" i="1"/>
  <c r="H1144" i="1"/>
  <c r="Q1152" i="1"/>
  <c r="Q1124" i="1"/>
  <c r="Q1127" i="1"/>
  <c r="Q1129" i="1"/>
  <c r="H1156" i="1"/>
  <c r="H1146" i="1"/>
  <c r="H1134" i="1"/>
  <c r="Q1154" i="1"/>
  <c r="H1128" i="1"/>
  <c r="H1130" i="1"/>
  <c r="H1148" i="1"/>
  <c r="H1136" i="1"/>
  <c r="Q1144" i="1"/>
  <c r="H1129" i="1"/>
  <c r="H1152" i="1"/>
  <c r="H1140" i="1"/>
  <c r="Q1148" i="1"/>
  <c r="P1158" i="1"/>
  <c r="M1158" i="1"/>
  <c r="G1158" i="1"/>
  <c r="Q1094" i="1"/>
  <c r="Q1092" i="1"/>
  <c r="Q1112" i="1"/>
  <c r="Q1109" i="1"/>
  <c r="Q1110" i="1"/>
  <c r="Q1050" i="1"/>
  <c r="Q1091" i="1"/>
  <c r="Q1111" i="1"/>
  <c r="Q1067" i="1"/>
  <c r="Q1113" i="1"/>
  <c r="H1057" i="1"/>
  <c r="H1001" i="1"/>
  <c r="Q1062" i="1"/>
  <c r="B1055" i="1"/>
  <c r="P1047" i="1"/>
  <c r="M1047" i="1"/>
  <c r="P1028" i="1"/>
  <c r="M1028" i="1"/>
  <c r="P1027" i="1"/>
  <c r="M1027" i="1"/>
  <c r="M1069" i="1"/>
  <c r="P1069" i="1"/>
  <c r="P1071" i="1"/>
  <c r="M1071" i="1"/>
  <c r="P1070" i="1"/>
  <c r="M1070" i="1"/>
  <c r="O1115" i="1"/>
  <c r="N1115" i="1"/>
  <c r="L1115" i="1"/>
  <c r="K1115" i="1"/>
  <c r="F1115" i="1"/>
  <c r="E1115" i="1"/>
  <c r="C1115" i="1"/>
  <c r="B1115" i="1"/>
  <c r="P1114" i="1"/>
  <c r="M1114" i="1"/>
  <c r="G1114" i="1"/>
  <c r="D1114" i="1"/>
  <c r="G1113" i="1"/>
  <c r="D1113" i="1"/>
  <c r="G1112" i="1"/>
  <c r="D1112" i="1"/>
  <c r="G1111" i="1"/>
  <c r="D1111" i="1"/>
  <c r="G1110" i="1"/>
  <c r="D1110" i="1"/>
  <c r="G1109" i="1"/>
  <c r="D1109" i="1"/>
  <c r="P1108" i="1"/>
  <c r="M1108" i="1"/>
  <c r="G1108" i="1"/>
  <c r="D1108" i="1"/>
  <c r="P1107" i="1"/>
  <c r="M1107" i="1"/>
  <c r="G1107" i="1"/>
  <c r="D1107" i="1"/>
  <c r="P1106" i="1"/>
  <c r="M1106" i="1"/>
  <c r="G1106" i="1"/>
  <c r="D1106" i="1"/>
  <c r="P1105" i="1"/>
  <c r="M1105" i="1"/>
  <c r="G1105" i="1"/>
  <c r="D1105" i="1"/>
  <c r="P1104" i="1"/>
  <c r="M1104" i="1"/>
  <c r="G1104" i="1"/>
  <c r="D1104" i="1"/>
  <c r="P1103" i="1"/>
  <c r="M1103" i="1"/>
  <c r="G1103" i="1"/>
  <c r="D1103" i="1"/>
  <c r="P1102" i="1"/>
  <c r="M1102" i="1"/>
  <c r="G1102" i="1"/>
  <c r="D1102" i="1"/>
  <c r="P1101" i="1"/>
  <c r="M1101" i="1"/>
  <c r="G1101" i="1"/>
  <c r="D1101" i="1"/>
  <c r="P1100" i="1"/>
  <c r="M1100" i="1"/>
  <c r="G1100" i="1"/>
  <c r="D1100" i="1"/>
  <c r="P1099" i="1"/>
  <c r="M1099" i="1"/>
  <c r="G1099" i="1"/>
  <c r="D1099" i="1"/>
  <c r="P1098" i="1"/>
  <c r="M1098" i="1"/>
  <c r="G1098" i="1"/>
  <c r="D1098" i="1"/>
  <c r="P1097" i="1"/>
  <c r="M1097" i="1"/>
  <c r="G1097" i="1"/>
  <c r="D1097" i="1"/>
  <c r="P1096" i="1"/>
  <c r="M1096" i="1"/>
  <c r="G1096" i="1"/>
  <c r="D1096" i="1"/>
  <c r="G1095" i="1"/>
  <c r="D1095" i="1"/>
  <c r="G1094" i="1"/>
  <c r="D1094" i="1"/>
  <c r="G1093" i="1"/>
  <c r="D1093" i="1"/>
  <c r="G1092" i="1"/>
  <c r="D1092" i="1"/>
  <c r="G1091" i="1"/>
  <c r="D1091" i="1"/>
  <c r="P1090" i="1"/>
  <c r="M1090" i="1"/>
  <c r="G1090" i="1"/>
  <c r="D1090" i="1"/>
  <c r="P1089" i="1"/>
  <c r="M1089" i="1"/>
  <c r="G1089" i="1"/>
  <c r="D1089" i="1"/>
  <c r="P1087" i="1"/>
  <c r="M1087" i="1"/>
  <c r="G1087" i="1"/>
  <c r="D1087" i="1"/>
  <c r="P1086" i="1"/>
  <c r="M1086" i="1"/>
  <c r="G1086" i="1"/>
  <c r="D1086" i="1"/>
  <c r="P1085" i="1"/>
  <c r="M1085" i="1"/>
  <c r="G1085" i="1"/>
  <c r="D1085" i="1"/>
  <c r="P1084" i="1"/>
  <c r="M1084" i="1"/>
  <c r="G1084" i="1"/>
  <c r="D1084" i="1"/>
  <c r="P1083" i="1"/>
  <c r="M1083" i="1"/>
  <c r="G1083" i="1"/>
  <c r="D1083" i="1"/>
  <c r="P1082" i="1"/>
  <c r="M1082" i="1"/>
  <c r="G1082" i="1"/>
  <c r="D1082" i="1"/>
  <c r="P1081" i="1"/>
  <c r="M1081" i="1"/>
  <c r="G1081" i="1"/>
  <c r="D1081" i="1"/>
  <c r="P1080" i="1"/>
  <c r="M1080" i="1"/>
  <c r="G1080" i="1"/>
  <c r="D1080" i="1"/>
  <c r="D2154" i="1" l="1"/>
  <c r="B2163" i="1"/>
  <c r="G2120" i="1"/>
  <c r="H2120" i="1" s="1"/>
  <c r="E2148" i="1"/>
  <c r="H1158" i="1"/>
  <c r="Q1158" i="1"/>
  <c r="H1080" i="1"/>
  <c r="Q1081" i="1"/>
  <c r="H1083" i="1"/>
  <c r="Q1084" i="1"/>
  <c r="H1086" i="1"/>
  <c r="Q1087" i="1"/>
  <c r="H1090" i="1"/>
  <c r="H1093" i="1"/>
  <c r="H1096" i="1"/>
  <c r="Q1097" i="1"/>
  <c r="H1099" i="1"/>
  <c r="Q1100" i="1"/>
  <c r="H1102" i="1"/>
  <c r="Q1103" i="1"/>
  <c r="H1105" i="1"/>
  <c r="Q1106" i="1"/>
  <c r="H1108" i="1"/>
  <c r="H1111" i="1"/>
  <c r="H1114" i="1"/>
  <c r="G1115" i="1"/>
  <c r="Q1027" i="1"/>
  <c r="H1081" i="1"/>
  <c r="Q1082" i="1"/>
  <c r="H1084" i="1"/>
  <c r="Q1085" i="1"/>
  <c r="H1087" i="1"/>
  <c r="Q1089" i="1"/>
  <c r="H1091" i="1"/>
  <c r="H1094" i="1"/>
  <c r="H1097" i="1"/>
  <c r="Q1098" i="1"/>
  <c r="H1100" i="1"/>
  <c r="Q1101" i="1"/>
  <c r="H1103" i="1"/>
  <c r="Q1104" i="1"/>
  <c r="H1106" i="1"/>
  <c r="Q1107" i="1"/>
  <c r="H1109" i="1"/>
  <c r="H1112" i="1"/>
  <c r="D1115" i="1"/>
  <c r="Q1069" i="1"/>
  <c r="Q1047" i="1"/>
  <c r="Q1070" i="1"/>
  <c r="Q1028" i="1"/>
  <c r="P1115" i="1"/>
  <c r="Q1080" i="1"/>
  <c r="H1082" i="1"/>
  <c r="Q1083" i="1"/>
  <c r="H1085" i="1"/>
  <c r="Q1086" i="1"/>
  <c r="H1089" i="1"/>
  <c r="Q1090" i="1"/>
  <c r="H1092" i="1"/>
  <c r="H1095" i="1"/>
  <c r="Q1096" i="1"/>
  <c r="H1098" i="1"/>
  <c r="Q1099" i="1"/>
  <c r="H1101" i="1"/>
  <c r="Q1102" i="1"/>
  <c r="H1104" i="1"/>
  <c r="Q1105" i="1"/>
  <c r="H1107" i="1"/>
  <c r="Q1108" i="1"/>
  <c r="H1110" i="1"/>
  <c r="H1113" i="1"/>
  <c r="Q1114" i="1"/>
  <c r="M1115" i="1"/>
  <c r="Q1071" i="1"/>
  <c r="M1026" i="1"/>
  <c r="P1026" i="1"/>
  <c r="D1038" i="1"/>
  <c r="G1038" i="1"/>
  <c r="D1039" i="1"/>
  <c r="G1039" i="1"/>
  <c r="D1040" i="1"/>
  <c r="G1040" i="1"/>
  <c r="D1041" i="1"/>
  <c r="G1041" i="1"/>
  <c r="D1042" i="1"/>
  <c r="G1042" i="1"/>
  <c r="D1043" i="1"/>
  <c r="G1043" i="1"/>
  <c r="D1047" i="1"/>
  <c r="G1047" i="1"/>
  <c r="D1048" i="1"/>
  <c r="G1048" i="1"/>
  <c r="D1049" i="1"/>
  <c r="G1049" i="1"/>
  <c r="D1050" i="1"/>
  <c r="G1050" i="1"/>
  <c r="D1051" i="1"/>
  <c r="G1051" i="1"/>
  <c r="D1052" i="1"/>
  <c r="G1052" i="1"/>
  <c r="D1053" i="1"/>
  <c r="G1053" i="1"/>
  <c r="D1054" i="1"/>
  <c r="G1054" i="1"/>
  <c r="D1055" i="1"/>
  <c r="G1055" i="1"/>
  <c r="D1056" i="1"/>
  <c r="G1056" i="1"/>
  <c r="D1058" i="1"/>
  <c r="G1058" i="1"/>
  <c r="D1059" i="1"/>
  <c r="G1059" i="1"/>
  <c r="D1060" i="1"/>
  <c r="G1060" i="1"/>
  <c r="G1066" i="1"/>
  <c r="D1067" i="1"/>
  <c r="G1067" i="1"/>
  <c r="D1068" i="1"/>
  <c r="G1068" i="1"/>
  <c r="D1069" i="1"/>
  <c r="G1069" i="1"/>
  <c r="D1070" i="1"/>
  <c r="G1070" i="1"/>
  <c r="O1072" i="1"/>
  <c r="N1072" i="1"/>
  <c r="L1072" i="1"/>
  <c r="K1072" i="1"/>
  <c r="C1072" i="1"/>
  <c r="B1072" i="1"/>
  <c r="G1071" i="1"/>
  <c r="D1071" i="1"/>
  <c r="P1068" i="1"/>
  <c r="M1068" i="1"/>
  <c r="P1066" i="1"/>
  <c r="M1066" i="1"/>
  <c r="P1065" i="1"/>
  <c r="M1065" i="1"/>
  <c r="P1064" i="1"/>
  <c r="M1064" i="1"/>
  <c r="P1063" i="1"/>
  <c r="M1063" i="1"/>
  <c r="P1061" i="1"/>
  <c r="M1061" i="1"/>
  <c r="P1060" i="1"/>
  <c r="M1060" i="1"/>
  <c r="P1059" i="1"/>
  <c r="M1059" i="1"/>
  <c r="F1072" i="1"/>
  <c r="P1058" i="1"/>
  <c r="M1058" i="1"/>
  <c r="P1057" i="1"/>
  <c r="M1057" i="1"/>
  <c r="P1056" i="1"/>
  <c r="M1056" i="1"/>
  <c r="P1055" i="1"/>
  <c r="M1055" i="1"/>
  <c r="P1054" i="1"/>
  <c r="M1054" i="1"/>
  <c r="P1053" i="1"/>
  <c r="M1053" i="1"/>
  <c r="P1052" i="1"/>
  <c r="M1052" i="1"/>
  <c r="P1051" i="1"/>
  <c r="M1051" i="1"/>
  <c r="P1049" i="1"/>
  <c r="M1049" i="1"/>
  <c r="P1048" i="1"/>
  <c r="M1048" i="1"/>
  <c r="P1046" i="1"/>
  <c r="M1046" i="1"/>
  <c r="G1046" i="1"/>
  <c r="D1046" i="1"/>
  <c r="P1044" i="1"/>
  <c r="M1044" i="1"/>
  <c r="G1044" i="1"/>
  <c r="D1044" i="1"/>
  <c r="P1043" i="1"/>
  <c r="M1043" i="1"/>
  <c r="P1042" i="1"/>
  <c r="M1042" i="1"/>
  <c r="P1041" i="1"/>
  <c r="M1041" i="1"/>
  <c r="P1040" i="1"/>
  <c r="M1040" i="1"/>
  <c r="P1039" i="1"/>
  <c r="M1039" i="1"/>
  <c r="P1038" i="1"/>
  <c r="M1038" i="1"/>
  <c r="P1037" i="1"/>
  <c r="M1037" i="1"/>
  <c r="G1037" i="1"/>
  <c r="D1037" i="1"/>
  <c r="G2148" i="1" l="1"/>
  <c r="H2148" i="1" s="1"/>
  <c r="E2154" i="1"/>
  <c r="D2163" i="1"/>
  <c r="B2191" i="1"/>
  <c r="H1115" i="1"/>
  <c r="Q1038" i="1"/>
  <c r="Q1041" i="1"/>
  <c r="H1044" i="1"/>
  <c r="Q1061" i="1"/>
  <c r="Q1064" i="1"/>
  <c r="Q1052" i="1"/>
  <c r="H1038" i="1"/>
  <c r="D1072" i="1"/>
  <c r="H1067" i="1"/>
  <c r="Q1115" i="1"/>
  <c r="Q1059" i="1"/>
  <c r="Q1065" i="1"/>
  <c r="Q1068" i="1"/>
  <c r="H1051" i="1"/>
  <c r="Q1046" i="1"/>
  <c r="H1042" i="1"/>
  <c r="Q1056" i="1"/>
  <c r="H1047" i="1"/>
  <c r="H1059" i="1"/>
  <c r="H1061" i="1"/>
  <c r="Q1054" i="1"/>
  <c r="Q1060" i="1"/>
  <c r="Q1066" i="1"/>
  <c r="H1071" i="1"/>
  <c r="H1066" i="1"/>
  <c r="H1063" i="1"/>
  <c r="H1040" i="1"/>
  <c r="H1068" i="1"/>
  <c r="H1055" i="1"/>
  <c r="Q1058" i="1"/>
  <c r="H1065" i="1"/>
  <c r="H1049" i="1"/>
  <c r="Q1039" i="1"/>
  <c r="Q1042" i="1"/>
  <c r="Q1044" i="1"/>
  <c r="Q1053" i="1"/>
  <c r="H1062" i="1"/>
  <c r="H1043" i="1"/>
  <c r="H1052" i="1"/>
  <c r="Q1037" i="1"/>
  <c r="Q1040" i="1"/>
  <c r="Q1043" i="1"/>
  <c r="Q1048" i="1"/>
  <c r="H1069" i="1"/>
  <c r="H1056" i="1"/>
  <c r="H1053" i="1"/>
  <c r="Q1026" i="1"/>
  <c r="H1039" i="1"/>
  <c r="H1064" i="1"/>
  <c r="H1048" i="1"/>
  <c r="H1037" i="1"/>
  <c r="Q1051" i="1"/>
  <c r="H1070" i="1"/>
  <c r="H1054" i="1"/>
  <c r="Q1057" i="1"/>
  <c r="H1060" i="1"/>
  <c r="H1041" i="1"/>
  <c r="H1058" i="1"/>
  <c r="H1050" i="1"/>
  <c r="Q1055" i="1"/>
  <c r="Q1063" i="1"/>
  <c r="Q1049" i="1"/>
  <c r="P1072" i="1"/>
  <c r="M1072" i="1"/>
  <c r="H1046" i="1"/>
  <c r="E1072" i="1"/>
  <c r="G1072" i="1" s="1"/>
  <c r="P1005" i="1"/>
  <c r="M1005" i="1"/>
  <c r="F1020" i="1"/>
  <c r="P1004" i="1"/>
  <c r="M1004" i="1"/>
  <c r="E1016" i="1"/>
  <c r="B1016" i="1"/>
  <c r="D2191" i="1" l="1"/>
  <c r="B2197" i="1"/>
  <c r="E2163" i="1"/>
  <c r="G2154" i="1"/>
  <c r="H2154" i="1" s="1"/>
  <c r="H1072" i="1"/>
  <c r="Q1004" i="1"/>
  <c r="Q1005" i="1"/>
  <c r="Q1072" i="1"/>
  <c r="F1016" i="1"/>
  <c r="E1011" i="1"/>
  <c r="P1003" i="1"/>
  <c r="M1003" i="1"/>
  <c r="E1009" i="1"/>
  <c r="D994" i="1"/>
  <c r="G994" i="1"/>
  <c r="G957" i="1"/>
  <c r="D957" i="1"/>
  <c r="B2206" i="1" l="1"/>
  <c r="D2197" i="1"/>
  <c r="H2197" i="1" s="1"/>
  <c r="G2163" i="1"/>
  <c r="H2163" i="1" s="1"/>
  <c r="E2191" i="1"/>
  <c r="G2191" i="1" s="1"/>
  <c r="H2191" i="1" s="1"/>
  <c r="Q1003" i="1"/>
  <c r="H994" i="1"/>
  <c r="H957" i="1"/>
  <c r="P967" i="1"/>
  <c r="M967" i="1"/>
  <c r="M995" i="1"/>
  <c r="P995" i="1"/>
  <c r="M984" i="1"/>
  <c r="P984" i="1"/>
  <c r="P985" i="1"/>
  <c r="M985" i="1"/>
  <c r="M1006" i="1"/>
  <c r="P1006" i="1"/>
  <c r="M1007" i="1"/>
  <c r="P1007" i="1"/>
  <c r="M1008" i="1"/>
  <c r="P1008" i="1"/>
  <c r="M1009" i="1"/>
  <c r="P1009" i="1"/>
  <c r="D1003" i="1"/>
  <c r="G1003" i="1"/>
  <c r="D1004" i="1"/>
  <c r="G1004" i="1"/>
  <c r="D1005" i="1"/>
  <c r="G1005" i="1"/>
  <c r="D1006" i="1"/>
  <c r="G1006" i="1"/>
  <c r="D1007" i="1"/>
  <c r="G1007" i="1"/>
  <c r="D1008" i="1"/>
  <c r="G1008" i="1"/>
  <c r="D1009" i="1"/>
  <c r="G1009" i="1"/>
  <c r="D1010" i="1"/>
  <c r="G1010" i="1"/>
  <c r="D1011" i="1"/>
  <c r="G1011" i="1"/>
  <c r="D1012" i="1"/>
  <c r="G1012" i="1"/>
  <c r="D1013" i="1"/>
  <c r="G1013" i="1"/>
  <c r="D1014" i="1"/>
  <c r="G1014" i="1"/>
  <c r="D1015" i="1"/>
  <c r="G1015" i="1"/>
  <c r="D1016" i="1"/>
  <c r="G1016" i="1"/>
  <c r="D1017" i="1"/>
  <c r="G1017" i="1"/>
  <c r="D1018" i="1"/>
  <c r="G1018" i="1"/>
  <c r="D1019" i="1"/>
  <c r="G1019" i="1"/>
  <c r="D1020" i="1"/>
  <c r="G1020" i="1"/>
  <c r="D1021" i="1"/>
  <c r="G1021" i="1"/>
  <c r="D1022" i="1"/>
  <c r="G1022" i="1"/>
  <c r="D1023" i="1"/>
  <c r="G1023" i="1"/>
  <c r="D1024" i="1"/>
  <c r="G1024" i="1"/>
  <c r="D1025" i="1"/>
  <c r="G1025" i="1"/>
  <c r="D1026" i="1"/>
  <c r="G1026" i="1"/>
  <c r="D995" i="1"/>
  <c r="G995" i="1"/>
  <c r="D996" i="1"/>
  <c r="G996" i="1"/>
  <c r="D997" i="1"/>
  <c r="G997" i="1"/>
  <c r="D998" i="1"/>
  <c r="G998" i="1"/>
  <c r="D999" i="1"/>
  <c r="G999" i="1"/>
  <c r="X1029" i="1"/>
  <c r="W1029" i="1"/>
  <c r="U1029" i="1"/>
  <c r="T1029" i="1"/>
  <c r="O1029" i="1"/>
  <c r="N1029" i="1"/>
  <c r="L1029" i="1"/>
  <c r="K1029" i="1"/>
  <c r="E1029" i="1"/>
  <c r="C1029" i="1"/>
  <c r="B1029" i="1"/>
  <c r="Y1028" i="1"/>
  <c r="V1028" i="1"/>
  <c r="G1028" i="1"/>
  <c r="D1028" i="1"/>
  <c r="Y1027" i="1"/>
  <c r="V1027" i="1"/>
  <c r="G1027" i="1"/>
  <c r="D1027" i="1"/>
  <c r="Y1026" i="1"/>
  <c r="V1026" i="1"/>
  <c r="Y1025" i="1"/>
  <c r="V1025" i="1"/>
  <c r="P1025" i="1"/>
  <c r="M1025" i="1"/>
  <c r="Y1024" i="1"/>
  <c r="V1024" i="1"/>
  <c r="P1024" i="1"/>
  <c r="M1024" i="1"/>
  <c r="Y1023" i="1"/>
  <c r="V1023" i="1"/>
  <c r="P1023" i="1"/>
  <c r="M1023" i="1"/>
  <c r="Y1022" i="1"/>
  <c r="V1022" i="1"/>
  <c r="P1022" i="1"/>
  <c r="M1022" i="1"/>
  <c r="Y1021" i="1"/>
  <c r="V1021" i="1"/>
  <c r="P1021" i="1"/>
  <c r="M1021" i="1"/>
  <c r="Y1020" i="1"/>
  <c r="V1020" i="1"/>
  <c r="P1020" i="1"/>
  <c r="M1020" i="1"/>
  <c r="Y1019" i="1"/>
  <c r="V1019" i="1"/>
  <c r="P1019" i="1"/>
  <c r="M1019" i="1"/>
  <c r="Y1018" i="1"/>
  <c r="V1018" i="1"/>
  <c r="P1018" i="1"/>
  <c r="M1018" i="1"/>
  <c r="Y1017" i="1"/>
  <c r="V1017" i="1"/>
  <c r="P1017" i="1"/>
  <c r="M1017" i="1"/>
  <c r="Y1016" i="1"/>
  <c r="V1016" i="1"/>
  <c r="P1016" i="1"/>
  <c r="M1016" i="1"/>
  <c r="Y1015" i="1"/>
  <c r="V1015" i="1"/>
  <c r="P1015" i="1"/>
  <c r="M1015" i="1"/>
  <c r="Y1014" i="1"/>
  <c r="V1014" i="1"/>
  <c r="P1014" i="1"/>
  <c r="M1014" i="1"/>
  <c r="Y1013" i="1"/>
  <c r="V1013" i="1"/>
  <c r="P1013" i="1"/>
  <c r="M1013" i="1"/>
  <c r="Y1012" i="1"/>
  <c r="V1012" i="1"/>
  <c r="P1012" i="1"/>
  <c r="M1012" i="1"/>
  <c r="F1029" i="1"/>
  <c r="Y1011" i="1"/>
  <c r="V1011" i="1"/>
  <c r="P1011" i="1"/>
  <c r="M1011" i="1"/>
  <c r="Y1010" i="1"/>
  <c r="V1010" i="1"/>
  <c r="P1010" i="1"/>
  <c r="M1010" i="1"/>
  <c r="Y1009" i="1"/>
  <c r="V1009" i="1"/>
  <c r="Y1008" i="1"/>
  <c r="V1008" i="1"/>
  <c r="Y1007" i="1"/>
  <c r="V1007" i="1"/>
  <c r="Y1006" i="1"/>
  <c r="V1006" i="1"/>
  <c r="Y1005" i="1"/>
  <c r="V1005" i="1"/>
  <c r="Y1004" i="1"/>
  <c r="V1004" i="1"/>
  <c r="Y1003" i="1"/>
  <c r="V1003" i="1"/>
  <c r="Y1001" i="1"/>
  <c r="V1001" i="1"/>
  <c r="P1001" i="1"/>
  <c r="M1001" i="1"/>
  <c r="Y1000" i="1"/>
  <c r="V1000" i="1"/>
  <c r="P1000" i="1"/>
  <c r="M1000" i="1"/>
  <c r="G1000" i="1"/>
  <c r="D1000" i="1"/>
  <c r="Y999" i="1"/>
  <c r="V999" i="1"/>
  <c r="P999" i="1"/>
  <c r="M999" i="1"/>
  <c r="Y998" i="1"/>
  <c r="V998" i="1"/>
  <c r="P998" i="1"/>
  <c r="M998" i="1"/>
  <c r="Y997" i="1"/>
  <c r="V997" i="1"/>
  <c r="P997" i="1"/>
  <c r="M997" i="1"/>
  <c r="Y996" i="1"/>
  <c r="V996" i="1"/>
  <c r="P996" i="1"/>
  <c r="M996" i="1"/>
  <c r="Y995" i="1"/>
  <c r="V995" i="1"/>
  <c r="Y994" i="1"/>
  <c r="V994" i="1"/>
  <c r="P994" i="1"/>
  <c r="M994" i="1"/>
  <c r="F983" i="1"/>
  <c r="B2234" i="1" l="1"/>
  <c r="D2234" i="1" s="1"/>
  <c r="H2234" i="1" s="1"/>
  <c r="D2206" i="1"/>
  <c r="H2206" i="1" s="1"/>
  <c r="Z994" i="1"/>
  <c r="Z996" i="1"/>
  <c r="Q998" i="1"/>
  <c r="Z1000" i="1"/>
  <c r="Z1001" i="1"/>
  <c r="Z1005" i="1"/>
  <c r="Q1006" i="1"/>
  <c r="Z1010" i="1"/>
  <c r="H1018" i="1"/>
  <c r="Z999" i="1"/>
  <c r="Z1008" i="1"/>
  <c r="V1029" i="1"/>
  <c r="Q1008" i="1"/>
  <c r="H1007" i="1"/>
  <c r="Q1007" i="1"/>
  <c r="H1023" i="1"/>
  <c r="H1013" i="1"/>
  <c r="Q984" i="1"/>
  <c r="H1009" i="1"/>
  <c r="Z1012" i="1"/>
  <c r="Q1014" i="1"/>
  <c r="Z1015" i="1"/>
  <c r="Q1017" i="1"/>
  <c r="Z1018" i="1"/>
  <c r="Q1020" i="1"/>
  <c r="Z1021" i="1"/>
  <c r="Q1023" i="1"/>
  <c r="Z1024" i="1"/>
  <c r="Z1027" i="1"/>
  <c r="Z1028" i="1"/>
  <c r="Q967" i="1"/>
  <c r="H1011" i="1"/>
  <c r="H996" i="1"/>
  <c r="H1019" i="1"/>
  <c r="Z995" i="1"/>
  <c r="Q997" i="1"/>
  <c r="Z998" i="1"/>
  <c r="H1000" i="1"/>
  <c r="Z1003" i="1"/>
  <c r="Z1006" i="1"/>
  <c r="Z1009" i="1"/>
  <c r="Q1011" i="1"/>
  <c r="Y1029" i="1"/>
  <c r="H997" i="1"/>
  <c r="H1014" i="1"/>
  <c r="H1006" i="1"/>
  <c r="Q995" i="1"/>
  <c r="H1005" i="1"/>
  <c r="Q1009" i="1"/>
  <c r="H1021" i="1"/>
  <c r="Q1013" i="1"/>
  <c r="Z1014" i="1"/>
  <c r="Q1016" i="1"/>
  <c r="Z1017" i="1"/>
  <c r="Q1019" i="1"/>
  <c r="Z1020" i="1"/>
  <c r="Q1022" i="1"/>
  <c r="Z1023" i="1"/>
  <c r="Q1025" i="1"/>
  <c r="Z1026" i="1"/>
  <c r="H1028" i="1"/>
  <c r="D1029" i="1"/>
  <c r="H1020" i="1"/>
  <c r="H1015" i="1"/>
  <c r="H1012" i="1"/>
  <c r="H998" i="1"/>
  <c r="H995" i="1"/>
  <c r="H1022" i="1"/>
  <c r="H1017" i="1"/>
  <c r="H1008" i="1"/>
  <c r="H1003" i="1"/>
  <c r="Q985" i="1"/>
  <c r="H1025" i="1"/>
  <c r="Q994" i="1"/>
  <c r="Q996" i="1"/>
  <c r="Z997" i="1"/>
  <c r="Q999" i="1"/>
  <c r="Q1000" i="1"/>
  <c r="Q1001" i="1"/>
  <c r="Z1004" i="1"/>
  <c r="Z1007" i="1"/>
  <c r="Q1010" i="1"/>
  <c r="Z1011" i="1"/>
  <c r="H999" i="1"/>
  <c r="H1024" i="1"/>
  <c r="H1016" i="1"/>
  <c r="H1004" i="1"/>
  <c r="H1026" i="1"/>
  <c r="Q1012" i="1"/>
  <c r="Z1013" i="1"/>
  <c r="Q1015" i="1"/>
  <c r="Z1016" i="1"/>
  <c r="Q1018" i="1"/>
  <c r="Z1019" i="1"/>
  <c r="Q1021" i="1"/>
  <c r="Z1022" i="1"/>
  <c r="Q1024" i="1"/>
  <c r="Z1025" i="1"/>
  <c r="H1027" i="1"/>
  <c r="H1010" i="1"/>
  <c r="M1029" i="1"/>
  <c r="P1029" i="1"/>
  <c r="G1029" i="1"/>
  <c r="P965" i="1"/>
  <c r="M965" i="1"/>
  <c r="P962" i="1"/>
  <c r="M962" i="1"/>
  <c r="F969" i="1"/>
  <c r="P961" i="1"/>
  <c r="M961" i="1"/>
  <c r="M940" i="1"/>
  <c r="P940" i="1"/>
  <c r="P960" i="1"/>
  <c r="M960" i="1"/>
  <c r="Z1029" i="1" l="1"/>
  <c r="H1029" i="1"/>
  <c r="Q965" i="1"/>
  <c r="Q1029" i="1"/>
  <c r="Q940" i="1"/>
  <c r="Q961" i="1"/>
  <c r="Q962" i="1"/>
  <c r="Q960" i="1"/>
  <c r="P939" i="1"/>
  <c r="M939" i="1"/>
  <c r="E935" i="1"/>
  <c r="Q939" i="1" l="1"/>
  <c r="P933" i="1"/>
  <c r="M933" i="1"/>
  <c r="Q933" i="1" l="1"/>
  <c r="P927" i="1"/>
  <c r="M927" i="1"/>
  <c r="V960" i="1"/>
  <c r="Y960" i="1"/>
  <c r="V917" i="1"/>
  <c r="Y917" i="1"/>
  <c r="Q927" i="1" l="1"/>
  <c r="Z960" i="1"/>
  <c r="Z917" i="1"/>
  <c r="P921" i="1"/>
  <c r="M921" i="1"/>
  <c r="F897" i="1"/>
  <c r="C897" i="1"/>
  <c r="C894" i="1"/>
  <c r="M886" i="1"/>
  <c r="Q921" i="1" l="1"/>
  <c r="P883" i="1" l="1"/>
  <c r="M883" i="1"/>
  <c r="Q883" i="1" l="1"/>
  <c r="P877" i="1"/>
  <c r="M877" i="1"/>
  <c r="M838" i="1"/>
  <c r="P838" i="1"/>
  <c r="P874" i="1"/>
  <c r="M874" i="1"/>
  <c r="Q838" i="1" l="1"/>
  <c r="Q877" i="1"/>
  <c r="Q874" i="1"/>
  <c r="P898" i="1"/>
  <c r="M898" i="1"/>
  <c r="M952" i="1"/>
  <c r="P952" i="1"/>
  <c r="P942" i="1"/>
  <c r="M942" i="1"/>
  <c r="V874" i="1"/>
  <c r="Y874" i="1"/>
  <c r="M867" i="1"/>
  <c r="P867" i="1"/>
  <c r="M909" i="1"/>
  <c r="P909" i="1"/>
  <c r="V918" i="1"/>
  <c r="Y918" i="1"/>
  <c r="V961" i="1"/>
  <c r="Y961" i="1"/>
  <c r="X986" i="1"/>
  <c r="W986" i="1"/>
  <c r="U986" i="1"/>
  <c r="T986" i="1"/>
  <c r="O986" i="1"/>
  <c r="N986" i="1"/>
  <c r="L986" i="1"/>
  <c r="K986" i="1"/>
  <c r="F986" i="1"/>
  <c r="E986" i="1"/>
  <c r="C986" i="1"/>
  <c r="B986" i="1"/>
  <c r="Y985" i="1"/>
  <c r="V985" i="1"/>
  <c r="G985" i="1"/>
  <c r="D985" i="1"/>
  <c r="Y984" i="1"/>
  <c r="V984" i="1"/>
  <c r="G984" i="1"/>
  <c r="D984" i="1"/>
  <c r="Y983" i="1"/>
  <c r="V983" i="1"/>
  <c r="P983" i="1"/>
  <c r="M983" i="1"/>
  <c r="G983" i="1"/>
  <c r="D983" i="1"/>
  <c r="Y982" i="1"/>
  <c r="V982" i="1"/>
  <c r="P982" i="1"/>
  <c r="M982" i="1"/>
  <c r="G982" i="1"/>
  <c r="D982" i="1"/>
  <c r="Y981" i="1"/>
  <c r="V981" i="1"/>
  <c r="P981" i="1"/>
  <c r="M981" i="1"/>
  <c r="G981" i="1"/>
  <c r="D981" i="1"/>
  <c r="Y980" i="1"/>
  <c r="V980" i="1"/>
  <c r="P980" i="1"/>
  <c r="M980" i="1"/>
  <c r="G980" i="1"/>
  <c r="D980" i="1"/>
  <c r="Y979" i="1"/>
  <c r="V979" i="1"/>
  <c r="P979" i="1"/>
  <c r="M979" i="1"/>
  <c r="G979" i="1"/>
  <c r="D979" i="1"/>
  <c r="Y978" i="1"/>
  <c r="V978" i="1"/>
  <c r="P978" i="1"/>
  <c r="M978" i="1"/>
  <c r="G978" i="1"/>
  <c r="D978" i="1"/>
  <c r="Y977" i="1"/>
  <c r="V977" i="1"/>
  <c r="P977" i="1"/>
  <c r="M977" i="1"/>
  <c r="G977" i="1"/>
  <c r="D977" i="1"/>
  <c r="Y976" i="1"/>
  <c r="V976" i="1"/>
  <c r="P976" i="1"/>
  <c r="M976" i="1"/>
  <c r="G976" i="1"/>
  <c r="D976" i="1"/>
  <c r="Y975" i="1"/>
  <c r="V975" i="1"/>
  <c r="P975" i="1"/>
  <c r="M975" i="1"/>
  <c r="G975" i="1"/>
  <c r="D975" i="1"/>
  <c r="Y974" i="1"/>
  <c r="V974" i="1"/>
  <c r="P974" i="1"/>
  <c r="M974" i="1"/>
  <c r="G974" i="1"/>
  <c r="D974" i="1"/>
  <c r="Y973" i="1"/>
  <c r="V973" i="1"/>
  <c r="P973" i="1"/>
  <c r="M973" i="1"/>
  <c r="G973" i="1"/>
  <c r="D973" i="1"/>
  <c r="Y972" i="1"/>
  <c r="V972" i="1"/>
  <c r="P972" i="1"/>
  <c r="M972" i="1"/>
  <c r="G972" i="1"/>
  <c r="D972" i="1"/>
  <c r="Y971" i="1"/>
  <c r="V971" i="1"/>
  <c r="P971" i="1"/>
  <c r="M971" i="1"/>
  <c r="G971" i="1"/>
  <c r="D971" i="1"/>
  <c r="Y970" i="1"/>
  <c r="V970" i="1"/>
  <c r="P970" i="1"/>
  <c r="M970" i="1"/>
  <c r="G970" i="1"/>
  <c r="D970" i="1"/>
  <c r="Y969" i="1"/>
  <c r="V969" i="1"/>
  <c r="P969" i="1"/>
  <c r="M969" i="1"/>
  <c r="G969" i="1"/>
  <c r="D969" i="1"/>
  <c r="Y968" i="1"/>
  <c r="V968" i="1"/>
  <c r="P968" i="1"/>
  <c r="M968" i="1"/>
  <c r="G968" i="1"/>
  <c r="D968" i="1"/>
  <c r="Y967" i="1"/>
  <c r="V967" i="1"/>
  <c r="G967" i="1"/>
  <c r="D967" i="1"/>
  <c r="Y966" i="1"/>
  <c r="V966" i="1"/>
  <c r="P966" i="1"/>
  <c r="M966" i="1"/>
  <c r="G966" i="1"/>
  <c r="D966" i="1"/>
  <c r="Y965" i="1"/>
  <c r="V965" i="1"/>
  <c r="G965" i="1"/>
  <c r="D965" i="1"/>
  <c r="Y964" i="1"/>
  <c r="V964" i="1"/>
  <c r="P964" i="1"/>
  <c r="M964" i="1"/>
  <c r="G964" i="1"/>
  <c r="D964" i="1"/>
  <c r="Y963" i="1"/>
  <c r="V963" i="1"/>
  <c r="P963" i="1"/>
  <c r="M963" i="1"/>
  <c r="G963" i="1"/>
  <c r="D963" i="1"/>
  <c r="Y962" i="1"/>
  <c r="V962" i="1"/>
  <c r="G962" i="1"/>
  <c r="D962" i="1"/>
  <c r="G961" i="1"/>
  <c r="D961" i="1"/>
  <c r="G960" i="1"/>
  <c r="D960" i="1"/>
  <c r="Y958" i="1"/>
  <c r="V958" i="1"/>
  <c r="P958" i="1"/>
  <c r="M958" i="1"/>
  <c r="G958" i="1"/>
  <c r="D958" i="1"/>
  <c r="Y957" i="1"/>
  <c r="V957" i="1"/>
  <c r="P957" i="1"/>
  <c r="M957" i="1"/>
  <c r="Y956" i="1"/>
  <c r="V956" i="1"/>
  <c r="P956" i="1"/>
  <c r="M956" i="1"/>
  <c r="G956" i="1"/>
  <c r="D956" i="1"/>
  <c r="Y955" i="1"/>
  <c r="V955" i="1"/>
  <c r="P955" i="1"/>
  <c r="M955" i="1"/>
  <c r="G955" i="1"/>
  <c r="D955" i="1"/>
  <c r="Y954" i="1"/>
  <c r="V954" i="1"/>
  <c r="P954" i="1"/>
  <c r="M954" i="1"/>
  <c r="G954" i="1"/>
  <c r="D954" i="1"/>
  <c r="Y953" i="1"/>
  <c r="V953" i="1"/>
  <c r="P953" i="1"/>
  <c r="M953" i="1"/>
  <c r="G953" i="1"/>
  <c r="D953" i="1"/>
  <c r="Y952" i="1"/>
  <c r="V952" i="1"/>
  <c r="G952" i="1"/>
  <c r="D952" i="1"/>
  <c r="Y951" i="1"/>
  <c r="V951" i="1"/>
  <c r="P951" i="1"/>
  <c r="M951" i="1"/>
  <c r="G951" i="1"/>
  <c r="D951" i="1"/>
  <c r="Z951" i="1" l="1"/>
  <c r="H953" i="1"/>
  <c r="H954" i="1"/>
  <c r="H955" i="1"/>
  <c r="H956" i="1"/>
  <c r="H958" i="1"/>
  <c r="H960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D986" i="1"/>
  <c r="Q867" i="1"/>
  <c r="Z961" i="1"/>
  <c r="Q952" i="1"/>
  <c r="Q909" i="1"/>
  <c r="Z918" i="1"/>
  <c r="Z874" i="1"/>
  <c r="H951" i="1"/>
  <c r="H952" i="1"/>
  <c r="Q953" i="1"/>
  <c r="Q954" i="1"/>
  <c r="Q955" i="1"/>
  <c r="Q956" i="1"/>
  <c r="Q957" i="1"/>
  <c r="Q958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G986" i="1"/>
  <c r="V986" i="1"/>
  <c r="Q951" i="1"/>
  <c r="Z952" i="1"/>
  <c r="Z953" i="1"/>
  <c r="Z954" i="1"/>
  <c r="Z955" i="1"/>
  <c r="Z956" i="1"/>
  <c r="Z957" i="1"/>
  <c r="Z958" i="1"/>
  <c r="H961" i="1"/>
  <c r="Q963" i="1"/>
  <c r="Q964" i="1"/>
  <c r="Q966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Z985" i="1"/>
  <c r="Y986" i="1"/>
  <c r="Q898" i="1"/>
  <c r="Q942" i="1"/>
  <c r="M986" i="1"/>
  <c r="P986" i="1"/>
  <c r="P837" i="1"/>
  <c r="M837" i="1"/>
  <c r="P836" i="1"/>
  <c r="M836" i="1"/>
  <c r="P899" i="1"/>
  <c r="M899" i="1"/>
  <c r="H986" i="1" l="1"/>
  <c r="Q986" i="1"/>
  <c r="Z986" i="1"/>
  <c r="Q899" i="1"/>
  <c r="Q837" i="1"/>
  <c r="Q836" i="1"/>
  <c r="P854" i="1"/>
  <c r="M854" i="1"/>
  <c r="Q854" i="1" l="1"/>
  <c r="P831" i="1"/>
  <c r="M831" i="1"/>
  <c r="X943" i="1"/>
  <c r="W943" i="1"/>
  <c r="U943" i="1"/>
  <c r="T943" i="1"/>
  <c r="O943" i="1"/>
  <c r="N943" i="1"/>
  <c r="L943" i="1"/>
  <c r="K943" i="1"/>
  <c r="F943" i="1"/>
  <c r="E943" i="1"/>
  <c r="C943" i="1"/>
  <c r="B943" i="1"/>
  <c r="Y942" i="1"/>
  <c r="V942" i="1"/>
  <c r="G942" i="1"/>
  <c r="D942" i="1"/>
  <c r="Y941" i="1"/>
  <c r="V941" i="1"/>
  <c r="P941" i="1"/>
  <c r="M941" i="1"/>
  <c r="G941" i="1"/>
  <c r="D941" i="1"/>
  <c r="Y940" i="1"/>
  <c r="V940" i="1"/>
  <c r="G940" i="1"/>
  <c r="D940" i="1"/>
  <c r="Y939" i="1"/>
  <c r="V939" i="1"/>
  <c r="G939" i="1"/>
  <c r="D939" i="1"/>
  <c r="Y938" i="1"/>
  <c r="V938" i="1"/>
  <c r="P938" i="1"/>
  <c r="M938" i="1"/>
  <c r="G938" i="1"/>
  <c r="D938" i="1"/>
  <c r="Y937" i="1"/>
  <c r="V937" i="1"/>
  <c r="P937" i="1"/>
  <c r="M937" i="1"/>
  <c r="G937" i="1"/>
  <c r="D937" i="1"/>
  <c r="Y936" i="1"/>
  <c r="V936" i="1"/>
  <c r="P936" i="1"/>
  <c r="M936" i="1"/>
  <c r="G936" i="1"/>
  <c r="D936" i="1"/>
  <c r="Y935" i="1"/>
  <c r="V935" i="1"/>
  <c r="P935" i="1"/>
  <c r="M935" i="1"/>
  <c r="G935" i="1"/>
  <c r="D935" i="1"/>
  <c r="Y934" i="1"/>
  <c r="V934" i="1"/>
  <c r="P934" i="1"/>
  <c r="M934" i="1"/>
  <c r="G934" i="1"/>
  <c r="D934" i="1"/>
  <c r="Y933" i="1"/>
  <c r="V933" i="1"/>
  <c r="G933" i="1"/>
  <c r="D933" i="1"/>
  <c r="Y932" i="1"/>
  <c r="V932" i="1"/>
  <c r="P932" i="1"/>
  <c r="M932" i="1"/>
  <c r="G932" i="1"/>
  <c r="D932" i="1"/>
  <c r="Y931" i="1"/>
  <c r="V931" i="1"/>
  <c r="P931" i="1"/>
  <c r="M931" i="1"/>
  <c r="G931" i="1"/>
  <c r="D931" i="1"/>
  <c r="Y930" i="1"/>
  <c r="V930" i="1"/>
  <c r="P930" i="1"/>
  <c r="M930" i="1"/>
  <c r="G930" i="1"/>
  <c r="D930" i="1"/>
  <c r="Y929" i="1"/>
  <c r="V929" i="1"/>
  <c r="P929" i="1"/>
  <c r="M929" i="1"/>
  <c r="G929" i="1"/>
  <c r="D929" i="1"/>
  <c r="Y928" i="1"/>
  <c r="V928" i="1"/>
  <c r="P928" i="1"/>
  <c r="M928" i="1"/>
  <c r="G928" i="1"/>
  <c r="D928" i="1"/>
  <c r="Y927" i="1"/>
  <c r="V927" i="1"/>
  <c r="G927" i="1"/>
  <c r="D927" i="1"/>
  <c r="Y926" i="1"/>
  <c r="V926" i="1"/>
  <c r="P926" i="1"/>
  <c r="M926" i="1"/>
  <c r="G926" i="1"/>
  <c r="D926" i="1"/>
  <c r="Y925" i="1"/>
  <c r="V925" i="1"/>
  <c r="P925" i="1"/>
  <c r="M925" i="1"/>
  <c r="G925" i="1"/>
  <c r="D925" i="1"/>
  <c r="Y924" i="1"/>
  <c r="V924" i="1"/>
  <c r="P924" i="1"/>
  <c r="M924" i="1"/>
  <c r="G924" i="1"/>
  <c r="D924" i="1"/>
  <c r="Y923" i="1"/>
  <c r="V923" i="1"/>
  <c r="P923" i="1"/>
  <c r="M923" i="1"/>
  <c r="G923" i="1"/>
  <c r="D923" i="1"/>
  <c r="Y922" i="1"/>
  <c r="V922" i="1"/>
  <c r="P922" i="1"/>
  <c r="M922" i="1"/>
  <c r="G922" i="1"/>
  <c r="D922" i="1"/>
  <c r="Y921" i="1"/>
  <c r="V921" i="1"/>
  <c r="G921" i="1"/>
  <c r="D921" i="1"/>
  <c r="Y920" i="1"/>
  <c r="V920" i="1"/>
  <c r="P920" i="1"/>
  <c r="M920" i="1"/>
  <c r="G920" i="1"/>
  <c r="D920" i="1"/>
  <c r="Y919" i="1"/>
  <c r="V919" i="1"/>
  <c r="P919" i="1"/>
  <c r="M919" i="1"/>
  <c r="G919" i="1"/>
  <c r="D919" i="1"/>
  <c r="P918" i="1"/>
  <c r="M918" i="1"/>
  <c r="G918" i="1"/>
  <c r="D918" i="1"/>
  <c r="P917" i="1"/>
  <c r="M917" i="1"/>
  <c r="G917" i="1"/>
  <c r="D917" i="1"/>
  <c r="Y915" i="1"/>
  <c r="V915" i="1"/>
  <c r="P915" i="1"/>
  <c r="M915" i="1"/>
  <c r="G915" i="1"/>
  <c r="D915" i="1"/>
  <c r="Y914" i="1"/>
  <c r="V914" i="1"/>
  <c r="P914" i="1"/>
  <c r="M914" i="1"/>
  <c r="G914" i="1"/>
  <c r="D914" i="1"/>
  <c r="Y913" i="1"/>
  <c r="V913" i="1"/>
  <c r="P913" i="1"/>
  <c r="M913" i="1"/>
  <c r="G913" i="1"/>
  <c r="D913" i="1"/>
  <c r="Y912" i="1"/>
  <c r="V912" i="1"/>
  <c r="P912" i="1"/>
  <c r="M912" i="1"/>
  <c r="G912" i="1"/>
  <c r="D912" i="1"/>
  <c r="Y911" i="1"/>
  <c r="V911" i="1"/>
  <c r="P911" i="1"/>
  <c r="M911" i="1"/>
  <c r="G911" i="1"/>
  <c r="D911" i="1"/>
  <c r="Y910" i="1"/>
  <c r="V910" i="1"/>
  <c r="P910" i="1"/>
  <c r="M910" i="1"/>
  <c r="G910" i="1"/>
  <c r="D910" i="1"/>
  <c r="Y909" i="1"/>
  <c r="V909" i="1"/>
  <c r="G909" i="1"/>
  <c r="D909" i="1"/>
  <c r="Y908" i="1"/>
  <c r="V908" i="1"/>
  <c r="P908" i="1"/>
  <c r="M908" i="1"/>
  <c r="G908" i="1"/>
  <c r="D908" i="1"/>
  <c r="Q936" i="1" l="1"/>
  <c r="Q941" i="1"/>
  <c r="G943" i="1"/>
  <c r="V943" i="1"/>
  <c r="Z941" i="1"/>
  <c r="Y943" i="1"/>
  <c r="Z908" i="1"/>
  <c r="Z910" i="1"/>
  <c r="Z912" i="1"/>
  <c r="Z914" i="1"/>
  <c r="H937" i="1"/>
  <c r="D943" i="1"/>
  <c r="Q831" i="1"/>
  <c r="H911" i="1"/>
  <c r="H915" i="1"/>
  <c r="H919" i="1"/>
  <c r="H935" i="1"/>
  <c r="H933" i="1"/>
  <c r="H917" i="1"/>
  <c r="H921" i="1"/>
  <c r="H925" i="1"/>
  <c r="H931" i="1"/>
  <c r="H909" i="1"/>
  <c r="H913" i="1"/>
  <c r="H923" i="1"/>
  <c r="H927" i="1"/>
  <c r="H929" i="1"/>
  <c r="Q908" i="1"/>
  <c r="Q910" i="1"/>
  <c r="Q912" i="1"/>
  <c r="Q914" i="1"/>
  <c r="Q938" i="1"/>
  <c r="Z937" i="1"/>
  <c r="Z939" i="1"/>
  <c r="Z921" i="1"/>
  <c r="Z923" i="1"/>
  <c r="Z925" i="1"/>
  <c r="Z929" i="1"/>
  <c r="Z931" i="1"/>
  <c r="Z933" i="1"/>
  <c r="Z938" i="1"/>
  <c r="Z927" i="1"/>
  <c r="Z919" i="1"/>
  <c r="Z935" i="1"/>
  <c r="Q917" i="1"/>
  <c r="Q919" i="1"/>
  <c r="Q923" i="1"/>
  <c r="Q925" i="1"/>
  <c r="Q929" i="1"/>
  <c r="Q931" i="1"/>
  <c r="Q935" i="1"/>
  <c r="H939" i="1"/>
  <c r="Z942" i="1"/>
  <c r="Q937" i="1"/>
  <c r="H941" i="1"/>
  <c r="M943" i="1"/>
  <c r="Z909" i="1"/>
  <c r="Z911" i="1"/>
  <c r="Z913" i="1"/>
  <c r="Z915" i="1"/>
  <c r="Q918" i="1"/>
  <c r="Q920" i="1"/>
  <c r="Q922" i="1"/>
  <c r="Q924" i="1"/>
  <c r="Q926" i="1"/>
  <c r="Q928" i="1"/>
  <c r="Q930" i="1"/>
  <c r="Q932" i="1"/>
  <c r="Q934" i="1"/>
  <c r="H908" i="1"/>
  <c r="H910" i="1"/>
  <c r="H912" i="1"/>
  <c r="H914" i="1"/>
  <c r="Z920" i="1"/>
  <c r="Z922" i="1"/>
  <c r="Z924" i="1"/>
  <c r="Z926" i="1"/>
  <c r="Z928" i="1"/>
  <c r="Z930" i="1"/>
  <c r="Z932" i="1"/>
  <c r="Z934" i="1"/>
  <c r="H938" i="1"/>
  <c r="H942" i="1"/>
  <c r="Q911" i="1"/>
  <c r="Q913" i="1"/>
  <c r="Q915" i="1"/>
  <c r="H918" i="1"/>
  <c r="H920" i="1"/>
  <c r="H922" i="1"/>
  <c r="H924" i="1"/>
  <c r="H926" i="1"/>
  <c r="H928" i="1"/>
  <c r="H930" i="1"/>
  <c r="H932" i="1"/>
  <c r="H934" i="1"/>
  <c r="Z936" i="1"/>
  <c r="Z940" i="1"/>
  <c r="H936" i="1"/>
  <c r="H940" i="1"/>
  <c r="P943" i="1"/>
  <c r="P796" i="1"/>
  <c r="M796" i="1"/>
  <c r="P855" i="1"/>
  <c r="M855" i="1"/>
  <c r="P794" i="1"/>
  <c r="M794" i="1"/>
  <c r="E796" i="1"/>
  <c r="P856" i="1"/>
  <c r="M856" i="1"/>
  <c r="P790" i="1"/>
  <c r="M790" i="1"/>
  <c r="D822" i="1"/>
  <c r="G822" i="1"/>
  <c r="D831" i="1"/>
  <c r="G831" i="1"/>
  <c r="D832" i="1"/>
  <c r="G832" i="1"/>
  <c r="D833" i="1"/>
  <c r="G833" i="1"/>
  <c r="D834" i="1"/>
  <c r="G834" i="1"/>
  <c r="D835" i="1"/>
  <c r="G835" i="1"/>
  <c r="D836" i="1"/>
  <c r="G836" i="1"/>
  <c r="D837" i="1"/>
  <c r="G837" i="1"/>
  <c r="G779" i="1"/>
  <c r="D779" i="1"/>
  <c r="G792" i="1"/>
  <c r="D792" i="1"/>
  <c r="Z943" i="1" l="1"/>
  <c r="H943" i="1"/>
  <c r="Q943" i="1"/>
  <c r="Q790" i="1"/>
  <c r="Q796" i="1"/>
  <c r="Q794" i="1"/>
  <c r="Q855" i="1"/>
  <c r="Q856" i="1"/>
  <c r="H822" i="1"/>
  <c r="H831" i="1"/>
  <c r="H836" i="1"/>
  <c r="H835" i="1"/>
  <c r="H792" i="1"/>
  <c r="H779" i="1"/>
  <c r="H837" i="1"/>
  <c r="H833" i="1"/>
  <c r="H832" i="1"/>
  <c r="H834" i="1"/>
  <c r="X900" i="1"/>
  <c r="W900" i="1"/>
  <c r="U900" i="1"/>
  <c r="T900" i="1"/>
  <c r="Y899" i="1"/>
  <c r="V899" i="1"/>
  <c r="Y898" i="1"/>
  <c r="V898" i="1"/>
  <c r="Y897" i="1"/>
  <c r="V897" i="1"/>
  <c r="Y896" i="1"/>
  <c r="V896" i="1"/>
  <c r="Y895" i="1"/>
  <c r="V895" i="1"/>
  <c r="Y894" i="1"/>
  <c r="V894" i="1"/>
  <c r="Y893" i="1"/>
  <c r="V893" i="1"/>
  <c r="Y892" i="1"/>
  <c r="V892" i="1"/>
  <c r="Y891" i="1"/>
  <c r="V891" i="1"/>
  <c r="Y890" i="1"/>
  <c r="V890" i="1"/>
  <c r="Y889" i="1"/>
  <c r="V889" i="1"/>
  <c r="Y888" i="1"/>
  <c r="V888" i="1"/>
  <c r="Y887" i="1"/>
  <c r="V887" i="1"/>
  <c r="Y886" i="1"/>
  <c r="V886" i="1"/>
  <c r="Y885" i="1"/>
  <c r="V885" i="1"/>
  <c r="Y884" i="1"/>
  <c r="V884" i="1"/>
  <c r="Y883" i="1"/>
  <c r="V883" i="1"/>
  <c r="Y882" i="1"/>
  <c r="V882" i="1"/>
  <c r="Y881" i="1"/>
  <c r="V881" i="1"/>
  <c r="Y880" i="1"/>
  <c r="V880" i="1"/>
  <c r="Y879" i="1"/>
  <c r="V879" i="1"/>
  <c r="Y878" i="1"/>
  <c r="V878" i="1"/>
  <c r="Y877" i="1"/>
  <c r="V877" i="1"/>
  <c r="Y876" i="1"/>
  <c r="V876" i="1"/>
  <c r="Y875" i="1"/>
  <c r="V875" i="1"/>
  <c r="Y872" i="1"/>
  <c r="V872" i="1"/>
  <c r="Y871" i="1"/>
  <c r="V871" i="1"/>
  <c r="Y870" i="1"/>
  <c r="V870" i="1"/>
  <c r="Y869" i="1"/>
  <c r="V869" i="1"/>
  <c r="Y868" i="1"/>
  <c r="V868" i="1"/>
  <c r="Y867" i="1"/>
  <c r="V867" i="1"/>
  <c r="Y866" i="1"/>
  <c r="V866" i="1"/>
  <c r="Y865" i="1"/>
  <c r="V865" i="1"/>
  <c r="F900" i="1"/>
  <c r="C900" i="1"/>
  <c r="B900" i="1"/>
  <c r="G899" i="1"/>
  <c r="D899" i="1"/>
  <c r="G898" i="1"/>
  <c r="D898" i="1"/>
  <c r="G897" i="1"/>
  <c r="D897" i="1"/>
  <c r="G896" i="1"/>
  <c r="D896" i="1"/>
  <c r="G895" i="1"/>
  <c r="D895" i="1"/>
  <c r="G894" i="1"/>
  <c r="D894" i="1"/>
  <c r="G893" i="1"/>
  <c r="D893" i="1"/>
  <c r="G892" i="1"/>
  <c r="D892" i="1"/>
  <c r="G891" i="1"/>
  <c r="D891" i="1"/>
  <c r="G890" i="1"/>
  <c r="D890" i="1"/>
  <c r="G889" i="1"/>
  <c r="D889" i="1"/>
  <c r="G888" i="1"/>
  <c r="D888" i="1"/>
  <c r="G887" i="1"/>
  <c r="D887" i="1"/>
  <c r="G886" i="1"/>
  <c r="D886" i="1"/>
  <c r="G885" i="1"/>
  <c r="D885" i="1"/>
  <c r="G884" i="1"/>
  <c r="D884" i="1"/>
  <c r="G883" i="1"/>
  <c r="D883" i="1"/>
  <c r="G882" i="1"/>
  <c r="D882" i="1"/>
  <c r="G881" i="1"/>
  <c r="D881" i="1"/>
  <c r="G880" i="1"/>
  <c r="D880" i="1"/>
  <c r="G879" i="1"/>
  <c r="D879" i="1"/>
  <c r="G878" i="1"/>
  <c r="D878" i="1"/>
  <c r="G877" i="1"/>
  <c r="D877" i="1"/>
  <c r="E900" i="1"/>
  <c r="D876" i="1"/>
  <c r="G875" i="1"/>
  <c r="D875" i="1"/>
  <c r="G874" i="1"/>
  <c r="D874" i="1"/>
  <c r="G872" i="1"/>
  <c r="D872" i="1"/>
  <c r="G871" i="1"/>
  <c r="D871" i="1"/>
  <c r="G870" i="1"/>
  <c r="D870" i="1"/>
  <c r="G869" i="1"/>
  <c r="D869" i="1"/>
  <c r="G868" i="1"/>
  <c r="D868" i="1"/>
  <c r="G867" i="1"/>
  <c r="D867" i="1"/>
  <c r="G866" i="1"/>
  <c r="D866" i="1"/>
  <c r="G865" i="1"/>
  <c r="D865" i="1"/>
  <c r="O900" i="1"/>
  <c r="N900" i="1"/>
  <c r="L900" i="1"/>
  <c r="K900" i="1"/>
  <c r="P897" i="1"/>
  <c r="M897" i="1"/>
  <c r="P896" i="1"/>
  <c r="M896" i="1"/>
  <c r="P895" i="1"/>
  <c r="M895" i="1"/>
  <c r="P894" i="1"/>
  <c r="M894" i="1"/>
  <c r="P893" i="1"/>
  <c r="M893" i="1"/>
  <c r="P892" i="1"/>
  <c r="M892" i="1"/>
  <c r="P891" i="1"/>
  <c r="M891" i="1"/>
  <c r="P890" i="1"/>
  <c r="M890" i="1"/>
  <c r="P889" i="1"/>
  <c r="M889" i="1"/>
  <c r="P888" i="1"/>
  <c r="M888" i="1"/>
  <c r="P887" i="1"/>
  <c r="M887" i="1"/>
  <c r="P886" i="1"/>
  <c r="P885" i="1"/>
  <c r="M885" i="1"/>
  <c r="P884" i="1"/>
  <c r="M884" i="1"/>
  <c r="P882" i="1"/>
  <c r="M882" i="1"/>
  <c r="P881" i="1"/>
  <c r="M881" i="1"/>
  <c r="P880" i="1"/>
  <c r="M880" i="1"/>
  <c r="P879" i="1"/>
  <c r="M879" i="1"/>
  <c r="P878" i="1"/>
  <c r="M878" i="1"/>
  <c r="P876" i="1"/>
  <c r="M876" i="1"/>
  <c r="P875" i="1"/>
  <c r="M875" i="1"/>
  <c r="P872" i="1"/>
  <c r="M872" i="1"/>
  <c r="P871" i="1"/>
  <c r="M871" i="1"/>
  <c r="P870" i="1"/>
  <c r="M870" i="1"/>
  <c r="P869" i="1"/>
  <c r="M869" i="1"/>
  <c r="P868" i="1"/>
  <c r="M868" i="1"/>
  <c r="P866" i="1"/>
  <c r="M866" i="1"/>
  <c r="P865" i="1"/>
  <c r="M865" i="1"/>
  <c r="H865" i="1" l="1"/>
  <c r="Z869" i="1"/>
  <c r="Z865" i="1"/>
  <c r="Z871" i="1"/>
  <c r="Z875" i="1"/>
  <c r="Z878" i="1"/>
  <c r="Z881" i="1"/>
  <c r="Z884" i="1"/>
  <c r="Z887" i="1"/>
  <c r="Z890" i="1"/>
  <c r="Z893" i="1"/>
  <c r="Z896" i="1"/>
  <c r="Z899" i="1"/>
  <c r="Q895" i="1"/>
  <c r="Q889" i="1"/>
  <c r="Q884" i="1"/>
  <c r="Q890" i="1"/>
  <c r="Q893" i="1"/>
  <c r="Q896" i="1"/>
  <c r="H868" i="1"/>
  <c r="H896" i="1"/>
  <c r="H899" i="1"/>
  <c r="Q897" i="1"/>
  <c r="H872" i="1"/>
  <c r="H882" i="1"/>
  <c r="H885" i="1"/>
  <c r="H888" i="1"/>
  <c r="D900" i="1"/>
  <c r="P900" i="1"/>
  <c r="Q876" i="1"/>
  <c r="Q885" i="1"/>
  <c r="Q888" i="1"/>
  <c r="H871" i="1"/>
  <c r="H893" i="1"/>
  <c r="H883" i="1"/>
  <c r="H877" i="1"/>
  <c r="Q881" i="1"/>
  <c r="Q891" i="1"/>
  <c r="H869" i="1"/>
  <c r="H897" i="1"/>
  <c r="Z867" i="1"/>
  <c r="Q879" i="1"/>
  <c r="H867" i="1"/>
  <c r="H870" i="1"/>
  <c r="H891" i="1"/>
  <c r="H894" i="1"/>
  <c r="Q880" i="1"/>
  <c r="H889" i="1"/>
  <c r="H892" i="1"/>
  <c r="Q872" i="1"/>
  <c r="Q887" i="1"/>
  <c r="M900" i="1"/>
  <c r="H884" i="1"/>
  <c r="Q866" i="1"/>
  <c r="Q868" i="1"/>
  <c r="Q875" i="1"/>
  <c r="Q878" i="1"/>
  <c r="Q892" i="1"/>
  <c r="H887" i="1"/>
  <c r="H895" i="1"/>
  <c r="Z868" i="1"/>
  <c r="Q870" i="1"/>
  <c r="Q865" i="1"/>
  <c r="Q871" i="1"/>
  <c r="Q886" i="1"/>
  <c r="H866" i="1"/>
  <c r="H880" i="1"/>
  <c r="H890" i="1"/>
  <c r="Z866" i="1"/>
  <c r="Z872" i="1"/>
  <c r="Z876" i="1"/>
  <c r="Z879" i="1"/>
  <c r="Z882" i="1"/>
  <c r="Z885" i="1"/>
  <c r="Z888" i="1"/>
  <c r="Z891" i="1"/>
  <c r="Z894" i="1"/>
  <c r="Z897" i="1"/>
  <c r="V900" i="1"/>
  <c r="Q869" i="1"/>
  <c r="Q882" i="1"/>
  <c r="Q894" i="1"/>
  <c r="H875" i="1"/>
  <c r="H878" i="1"/>
  <c r="H881" i="1"/>
  <c r="H886" i="1"/>
  <c r="H898" i="1"/>
  <c r="Z870" i="1"/>
  <c r="Z877" i="1"/>
  <c r="Z880" i="1"/>
  <c r="Z883" i="1"/>
  <c r="Z886" i="1"/>
  <c r="Z889" i="1"/>
  <c r="Z892" i="1"/>
  <c r="Z895" i="1"/>
  <c r="Z898" i="1"/>
  <c r="Y900" i="1"/>
  <c r="G900" i="1"/>
  <c r="H879" i="1"/>
  <c r="H874" i="1"/>
  <c r="G876" i="1"/>
  <c r="H876" i="1" s="1"/>
  <c r="X857" i="1"/>
  <c r="W857" i="1"/>
  <c r="U857" i="1"/>
  <c r="T857" i="1"/>
  <c r="O857" i="1"/>
  <c r="N857" i="1"/>
  <c r="L857" i="1"/>
  <c r="K857" i="1"/>
  <c r="F857" i="1"/>
  <c r="C857" i="1"/>
  <c r="Y856" i="1"/>
  <c r="V856" i="1"/>
  <c r="G856" i="1"/>
  <c r="D856" i="1"/>
  <c r="Y855" i="1"/>
  <c r="V855" i="1"/>
  <c r="G855" i="1"/>
  <c r="D855" i="1"/>
  <c r="Y854" i="1"/>
  <c r="V854" i="1"/>
  <c r="G854" i="1"/>
  <c r="D854" i="1"/>
  <c r="Y853" i="1"/>
  <c r="V853" i="1"/>
  <c r="P853" i="1"/>
  <c r="M853" i="1"/>
  <c r="G853" i="1"/>
  <c r="D853" i="1"/>
  <c r="Y852" i="1"/>
  <c r="V852" i="1"/>
  <c r="P852" i="1"/>
  <c r="M852" i="1"/>
  <c r="G852" i="1"/>
  <c r="D852" i="1"/>
  <c r="Y851" i="1"/>
  <c r="V851" i="1"/>
  <c r="P851" i="1"/>
  <c r="M851" i="1"/>
  <c r="G851" i="1"/>
  <c r="D851" i="1"/>
  <c r="Y850" i="1"/>
  <c r="V850" i="1"/>
  <c r="P850" i="1"/>
  <c r="M850" i="1"/>
  <c r="G850" i="1"/>
  <c r="D850" i="1"/>
  <c r="Y849" i="1"/>
  <c r="V849" i="1"/>
  <c r="P849" i="1"/>
  <c r="M849" i="1"/>
  <c r="G849" i="1"/>
  <c r="D849" i="1"/>
  <c r="Y848" i="1"/>
  <c r="V848" i="1"/>
  <c r="P848" i="1"/>
  <c r="M848" i="1"/>
  <c r="G848" i="1"/>
  <c r="D848" i="1"/>
  <c r="Y847" i="1"/>
  <c r="V847" i="1"/>
  <c r="P847" i="1"/>
  <c r="M847" i="1"/>
  <c r="G847" i="1"/>
  <c r="D847" i="1"/>
  <c r="Y846" i="1"/>
  <c r="V846" i="1"/>
  <c r="P846" i="1"/>
  <c r="M846" i="1"/>
  <c r="G846" i="1"/>
  <c r="D846" i="1"/>
  <c r="Y845" i="1"/>
  <c r="V845" i="1"/>
  <c r="P845" i="1"/>
  <c r="M845" i="1"/>
  <c r="G845" i="1"/>
  <c r="D845" i="1"/>
  <c r="Y844" i="1"/>
  <c r="V844" i="1"/>
  <c r="P844" i="1"/>
  <c r="M844" i="1"/>
  <c r="G844" i="1"/>
  <c r="D844" i="1"/>
  <c r="Y843" i="1"/>
  <c r="V843" i="1"/>
  <c r="P843" i="1"/>
  <c r="M843" i="1"/>
  <c r="G843" i="1"/>
  <c r="D843" i="1"/>
  <c r="Y842" i="1"/>
  <c r="V842" i="1"/>
  <c r="P842" i="1"/>
  <c r="M842" i="1"/>
  <c r="G842" i="1"/>
  <c r="D842" i="1"/>
  <c r="Y841" i="1"/>
  <c r="V841" i="1"/>
  <c r="P841" i="1"/>
  <c r="M841" i="1"/>
  <c r="G841" i="1"/>
  <c r="D841" i="1"/>
  <c r="Y840" i="1"/>
  <c r="V840" i="1"/>
  <c r="P840" i="1"/>
  <c r="M840" i="1"/>
  <c r="G840" i="1"/>
  <c r="D840" i="1"/>
  <c r="Y839" i="1"/>
  <c r="V839" i="1"/>
  <c r="P839" i="1"/>
  <c r="M839" i="1"/>
  <c r="G839" i="1"/>
  <c r="D839" i="1"/>
  <c r="Y838" i="1"/>
  <c r="V838" i="1"/>
  <c r="G838" i="1"/>
  <c r="D838" i="1"/>
  <c r="Y837" i="1"/>
  <c r="V837" i="1"/>
  <c r="Y836" i="1"/>
  <c r="V836" i="1"/>
  <c r="Y835" i="1"/>
  <c r="V835" i="1"/>
  <c r="P835" i="1"/>
  <c r="M835" i="1"/>
  <c r="Y834" i="1"/>
  <c r="V834" i="1"/>
  <c r="P834" i="1"/>
  <c r="M834" i="1"/>
  <c r="Y833" i="1"/>
  <c r="V833" i="1"/>
  <c r="P833" i="1"/>
  <c r="M833" i="1"/>
  <c r="E857" i="1"/>
  <c r="B857" i="1"/>
  <c r="Y832" i="1"/>
  <c r="V832" i="1"/>
  <c r="P832" i="1"/>
  <c r="M832" i="1"/>
  <c r="Y831" i="1"/>
  <c r="V831" i="1"/>
  <c r="Y829" i="1"/>
  <c r="V829" i="1"/>
  <c r="P829" i="1"/>
  <c r="M829" i="1"/>
  <c r="G829" i="1"/>
  <c r="D829" i="1"/>
  <c r="Y828" i="1"/>
  <c r="V828" i="1"/>
  <c r="P828" i="1"/>
  <c r="M828" i="1"/>
  <c r="G828" i="1"/>
  <c r="D828" i="1"/>
  <c r="Y827" i="1"/>
  <c r="V827" i="1"/>
  <c r="P827" i="1"/>
  <c r="M827" i="1"/>
  <c r="G827" i="1"/>
  <c r="D827" i="1"/>
  <c r="Y826" i="1"/>
  <c r="V826" i="1"/>
  <c r="P826" i="1"/>
  <c r="M826" i="1"/>
  <c r="G826" i="1"/>
  <c r="D826" i="1"/>
  <c r="Y825" i="1"/>
  <c r="V825" i="1"/>
  <c r="P825" i="1"/>
  <c r="M825" i="1"/>
  <c r="G825" i="1"/>
  <c r="D825" i="1"/>
  <c r="Y824" i="1"/>
  <c r="V824" i="1"/>
  <c r="P824" i="1"/>
  <c r="M824" i="1"/>
  <c r="G824" i="1"/>
  <c r="D824" i="1"/>
  <c r="Y823" i="1"/>
  <c r="V823" i="1"/>
  <c r="P823" i="1"/>
  <c r="M823" i="1"/>
  <c r="G823" i="1"/>
  <c r="D823" i="1"/>
  <c r="Y822" i="1"/>
  <c r="V822" i="1"/>
  <c r="P822" i="1"/>
  <c r="M822" i="1"/>
  <c r="E790" i="1"/>
  <c r="G790" i="1" s="1"/>
  <c r="B790" i="1"/>
  <c r="D790" i="1" s="1"/>
  <c r="G813" i="1"/>
  <c r="G791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789" i="1"/>
  <c r="G788" i="1"/>
  <c r="D813" i="1"/>
  <c r="D791" i="1"/>
  <c r="D793" i="1"/>
  <c r="D794" i="1"/>
  <c r="D795" i="1"/>
  <c r="D796" i="1"/>
  <c r="D797" i="1"/>
  <c r="D798" i="1"/>
  <c r="D799" i="1"/>
  <c r="D800" i="1"/>
  <c r="D801" i="1"/>
  <c r="D802" i="1"/>
  <c r="H802" i="1" s="1"/>
  <c r="D803" i="1"/>
  <c r="H803" i="1" s="1"/>
  <c r="D804" i="1"/>
  <c r="D805" i="1"/>
  <c r="D806" i="1"/>
  <c r="D807" i="1"/>
  <c r="D808" i="1"/>
  <c r="D809" i="1"/>
  <c r="D810" i="1"/>
  <c r="D811" i="1"/>
  <c r="D812" i="1"/>
  <c r="D789" i="1"/>
  <c r="D788" i="1"/>
  <c r="H788" i="1" l="1"/>
  <c r="H808" i="1"/>
  <c r="H797" i="1"/>
  <c r="Z849" i="1"/>
  <c r="Z850" i="1"/>
  <c r="P857" i="1"/>
  <c r="H796" i="1"/>
  <c r="H824" i="1"/>
  <c r="H825" i="1"/>
  <c r="H826" i="1"/>
  <c r="H827" i="1"/>
  <c r="Z832" i="1"/>
  <c r="Z833" i="1"/>
  <c r="H839" i="1"/>
  <c r="H840" i="1"/>
  <c r="H843" i="1"/>
  <c r="H844" i="1"/>
  <c r="H845" i="1"/>
  <c r="H848" i="1"/>
  <c r="Q900" i="1"/>
  <c r="H900" i="1"/>
  <c r="Z831" i="1"/>
  <c r="H849" i="1"/>
  <c r="H809" i="1"/>
  <c r="Q825" i="1"/>
  <c r="Q827" i="1"/>
  <c r="Q843" i="1"/>
  <c r="Q845" i="1"/>
  <c r="Q848" i="1"/>
  <c r="Q849" i="1"/>
  <c r="Q850" i="1"/>
  <c r="Q852" i="1"/>
  <c r="Q853" i="1"/>
  <c r="Z823" i="1"/>
  <c r="Z824" i="1"/>
  <c r="Z826" i="1"/>
  <c r="Z827" i="1"/>
  <c r="Z828" i="1"/>
  <c r="Z829" i="1"/>
  <c r="Z834" i="1"/>
  <c r="Z841" i="1"/>
  <c r="Z842" i="1"/>
  <c r="Z844" i="1"/>
  <c r="Z845" i="1"/>
  <c r="Z846" i="1"/>
  <c r="Z847" i="1"/>
  <c r="D857" i="1"/>
  <c r="H828" i="1"/>
  <c r="Z851" i="1"/>
  <c r="Z835" i="1"/>
  <c r="H789" i="1"/>
  <c r="H807" i="1"/>
  <c r="H801" i="1"/>
  <c r="H795" i="1"/>
  <c r="H813" i="1"/>
  <c r="Q822" i="1"/>
  <c r="Q823" i="1"/>
  <c r="Q824" i="1"/>
  <c r="Q829" i="1"/>
  <c r="H846" i="1"/>
  <c r="H851" i="1"/>
  <c r="H852" i="1"/>
  <c r="H853" i="1"/>
  <c r="H855" i="1"/>
  <c r="H856" i="1"/>
  <c r="V857" i="1"/>
  <c r="H806" i="1"/>
  <c r="H800" i="1"/>
  <c r="H794" i="1"/>
  <c r="Q833" i="1"/>
  <c r="Q834" i="1"/>
  <c r="Q839" i="1"/>
  <c r="Q847" i="1"/>
  <c r="Q828" i="1"/>
  <c r="Z825" i="1"/>
  <c r="H838" i="1"/>
  <c r="H842" i="1"/>
  <c r="Z843" i="1"/>
  <c r="H854" i="1"/>
  <c r="Z822" i="1"/>
  <c r="Z840" i="1"/>
  <c r="Q846" i="1"/>
  <c r="H823" i="1"/>
  <c r="Q835" i="1"/>
  <c r="H841" i="1"/>
  <c r="Q851" i="1"/>
  <c r="Z900" i="1"/>
  <c r="Q832" i="1"/>
  <c r="H811" i="1"/>
  <c r="H805" i="1"/>
  <c r="H799" i="1"/>
  <c r="H793" i="1"/>
  <c r="H829" i="1"/>
  <c r="Z836" i="1"/>
  <c r="Q840" i="1"/>
  <c r="Q841" i="1"/>
  <c r="Q842" i="1"/>
  <c r="H847" i="1"/>
  <c r="Z848" i="1"/>
  <c r="Z852" i="1"/>
  <c r="Z856" i="1"/>
  <c r="H810" i="1"/>
  <c r="H804" i="1"/>
  <c r="H798" i="1"/>
  <c r="H812" i="1"/>
  <c r="Q826" i="1"/>
  <c r="Z837" i="1"/>
  <c r="Z838" i="1"/>
  <c r="Z839" i="1"/>
  <c r="Q844" i="1"/>
  <c r="H850" i="1"/>
  <c r="Z853" i="1"/>
  <c r="Z854" i="1"/>
  <c r="Z855" i="1"/>
  <c r="M857" i="1"/>
  <c r="Y857" i="1"/>
  <c r="G857" i="1"/>
  <c r="H791" i="1"/>
  <c r="H790" i="1"/>
  <c r="P749" i="1"/>
  <c r="M749" i="1"/>
  <c r="M768" i="1"/>
  <c r="P768" i="1"/>
  <c r="M769" i="1"/>
  <c r="P769" i="1"/>
  <c r="P770" i="1"/>
  <c r="M770" i="1"/>
  <c r="M788" i="1"/>
  <c r="P788" i="1"/>
  <c r="M789" i="1"/>
  <c r="P789" i="1"/>
  <c r="M791" i="1"/>
  <c r="P791" i="1"/>
  <c r="D780" i="1"/>
  <c r="G780" i="1"/>
  <c r="D781" i="1"/>
  <c r="G781" i="1"/>
  <c r="D782" i="1"/>
  <c r="G782" i="1"/>
  <c r="X814" i="1"/>
  <c r="W814" i="1"/>
  <c r="U814" i="1"/>
  <c r="T814" i="1"/>
  <c r="O814" i="1"/>
  <c r="N814" i="1"/>
  <c r="L814" i="1"/>
  <c r="K814" i="1"/>
  <c r="F814" i="1"/>
  <c r="Y813" i="1"/>
  <c r="V813" i="1"/>
  <c r="P813" i="1"/>
  <c r="M813" i="1"/>
  <c r="Y812" i="1"/>
  <c r="V812" i="1"/>
  <c r="P812" i="1"/>
  <c r="M812" i="1"/>
  <c r="Y811" i="1"/>
  <c r="V811" i="1"/>
  <c r="P811" i="1"/>
  <c r="M811" i="1"/>
  <c r="Y810" i="1"/>
  <c r="V810" i="1"/>
  <c r="P810" i="1"/>
  <c r="M810" i="1"/>
  <c r="Y809" i="1"/>
  <c r="V809" i="1"/>
  <c r="P809" i="1"/>
  <c r="M809" i="1"/>
  <c r="Y808" i="1"/>
  <c r="V808" i="1"/>
  <c r="P808" i="1"/>
  <c r="M808" i="1"/>
  <c r="Y807" i="1"/>
  <c r="V807" i="1"/>
  <c r="P807" i="1"/>
  <c r="M807" i="1"/>
  <c r="Y806" i="1"/>
  <c r="V806" i="1"/>
  <c r="P806" i="1"/>
  <c r="M806" i="1"/>
  <c r="Y805" i="1"/>
  <c r="V805" i="1"/>
  <c r="P805" i="1"/>
  <c r="M805" i="1"/>
  <c r="Y804" i="1"/>
  <c r="V804" i="1"/>
  <c r="P804" i="1"/>
  <c r="M804" i="1"/>
  <c r="Y803" i="1"/>
  <c r="V803" i="1"/>
  <c r="P803" i="1"/>
  <c r="M803" i="1"/>
  <c r="Y802" i="1"/>
  <c r="V802" i="1"/>
  <c r="P802" i="1"/>
  <c r="M802" i="1"/>
  <c r="Y801" i="1"/>
  <c r="V801" i="1"/>
  <c r="P801" i="1"/>
  <c r="M801" i="1"/>
  <c r="Y800" i="1"/>
  <c r="V800" i="1"/>
  <c r="P800" i="1"/>
  <c r="M800" i="1"/>
  <c r="Y799" i="1"/>
  <c r="V799" i="1"/>
  <c r="P799" i="1"/>
  <c r="M799" i="1"/>
  <c r="Y798" i="1"/>
  <c r="V798" i="1"/>
  <c r="P798" i="1"/>
  <c r="M798" i="1"/>
  <c r="Y797" i="1"/>
  <c r="V797" i="1"/>
  <c r="P797" i="1"/>
  <c r="M797" i="1"/>
  <c r="Y796" i="1"/>
  <c r="V796" i="1"/>
  <c r="Y795" i="1"/>
  <c r="V795" i="1"/>
  <c r="P795" i="1"/>
  <c r="M795" i="1"/>
  <c r="Y794" i="1"/>
  <c r="V794" i="1"/>
  <c r="Y793" i="1"/>
  <c r="V793" i="1"/>
  <c r="P793" i="1"/>
  <c r="M793" i="1"/>
  <c r="E814" i="1"/>
  <c r="C814" i="1"/>
  <c r="Y792" i="1"/>
  <c r="V792" i="1"/>
  <c r="P792" i="1"/>
  <c r="M792" i="1"/>
  <c r="Y791" i="1"/>
  <c r="V791" i="1"/>
  <c r="Y790" i="1"/>
  <c r="V790" i="1"/>
  <c r="Y789" i="1"/>
  <c r="V789" i="1"/>
  <c r="Y788" i="1"/>
  <c r="V788" i="1"/>
  <c r="Y786" i="1"/>
  <c r="V786" i="1"/>
  <c r="P786" i="1"/>
  <c r="M786" i="1"/>
  <c r="G786" i="1"/>
  <c r="D786" i="1"/>
  <c r="Y785" i="1"/>
  <c r="V785" i="1"/>
  <c r="P785" i="1"/>
  <c r="M785" i="1"/>
  <c r="G785" i="1"/>
  <c r="D785" i="1"/>
  <c r="Y784" i="1"/>
  <c r="V784" i="1"/>
  <c r="P784" i="1"/>
  <c r="M784" i="1"/>
  <c r="G784" i="1"/>
  <c r="D784" i="1"/>
  <c r="Y783" i="1"/>
  <c r="V783" i="1"/>
  <c r="P783" i="1"/>
  <c r="M783" i="1"/>
  <c r="G783" i="1"/>
  <c r="D783" i="1"/>
  <c r="Y782" i="1"/>
  <c r="V782" i="1"/>
  <c r="P782" i="1"/>
  <c r="M782" i="1"/>
  <c r="Y781" i="1"/>
  <c r="V781" i="1"/>
  <c r="P781" i="1"/>
  <c r="M781" i="1"/>
  <c r="Y780" i="1"/>
  <c r="V780" i="1"/>
  <c r="P780" i="1"/>
  <c r="M780" i="1"/>
  <c r="Y779" i="1"/>
  <c r="V779" i="1"/>
  <c r="P779" i="1"/>
  <c r="M779" i="1"/>
  <c r="Q857" i="1" l="1"/>
  <c r="Z857" i="1"/>
  <c r="H857" i="1"/>
  <c r="Q749" i="1"/>
  <c r="Z779" i="1"/>
  <c r="Q781" i="1"/>
  <c r="Z782" i="1"/>
  <c r="Z783" i="1"/>
  <c r="Z784" i="1"/>
  <c r="Z785" i="1"/>
  <c r="Z786" i="1"/>
  <c r="Z790" i="1"/>
  <c r="Z792" i="1"/>
  <c r="Z793" i="1"/>
  <c r="Q795" i="1"/>
  <c r="Z796" i="1"/>
  <c r="Q798" i="1"/>
  <c r="Z799" i="1"/>
  <c r="Q801" i="1"/>
  <c r="Z802" i="1"/>
  <c r="Q804" i="1"/>
  <c r="Z805" i="1"/>
  <c r="Q807" i="1"/>
  <c r="Z808" i="1"/>
  <c r="Q810" i="1"/>
  <c r="Z811" i="1"/>
  <c r="Q813" i="1"/>
  <c r="Q768" i="1"/>
  <c r="H782" i="1"/>
  <c r="Q788" i="1"/>
  <c r="H781" i="1"/>
  <c r="Q779" i="1"/>
  <c r="Z780" i="1"/>
  <c r="Q782" i="1"/>
  <c r="Q783" i="1"/>
  <c r="Q784" i="1"/>
  <c r="Q785" i="1"/>
  <c r="Q786" i="1"/>
  <c r="Z789" i="1"/>
  <c r="Q792" i="1"/>
  <c r="Q793" i="1"/>
  <c r="Z794" i="1"/>
  <c r="Z797" i="1"/>
  <c r="Q799" i="1"/>
  <c r="Z800" i="1"/>
  <c r="Q802" i="1"/>
  <c r="Z803" i="1"/>
  <c r="Q805" i="1"/>
  <c r="Z806" i="1"/>
  <c r="Q808" i="1"/>
  <c r="Z809" i="1"/>
  <c r="Q811" i="1"/>
  <c r="Z812" i="1"/>
  <c r="Y814" i="1"/>
  <c r="Q789" i="1"/>
  <c r="Q769" i="1"/>
  <c r="Q791" i="1"/>
  <c r="H780" i="1"/>
  <c r="Q780" i="1"/>
  <c r="Z781" i="1"/>
  <c r="H783" i="1"/>
  <c r="H784" i="1"/>
  <c r="H785" i="1"/>
  <c r="H786" i="1"/>
  <c r="Z788" i="1"/>
  <c r="Z791" i="1"/>
  <c r="Z795" i="1"/>
  <c r="Q797" i="1"/>
  <c r="Z798" i="1"/>
  <c r="Q800" i="1"/>
  <c r="Z801" i="1"/>
  <c r="Q803" i="1"/>
  <c r="Z804" i="1"/>
  <c r="Q806" i="1"/>
  <c r="Z807" i="1"/>
  <c r="Q809" i="1"/>
  <c r="Z810" i="1"/>
  <c r="Q812" i="1"/>
  <c r="Z813" i="1"/>
  <c r="V814" i="1"/>
  <c r="Q770" i="1"/>
  <c r="M814" i="1"/>
  <c r="P814" i="1"/>
  <c r="G814" i="1"/>
  <c r="B814" i="1"/>
  <c r="D814" i="1" s="1"/>
  <c r="B760" i="1"/>
  <c r="E755" i="1"/>
  <c r="Z814" i="1" l="1"/>
  <c r="Q814" i="1"/>
  <c r="H814" i="1"/>
  <c r="E750" i="1"/>
  <c r="C750" i="1"/>
  <c r="M712" i="1"/>
  <c r="P712" i="1"/>
  <c r="Q712" i="1" l="1"/>
  <c r="X771" i="1"/>
  <c r="W771" i="1"/>
  <c r="U771" i="1"/>
  <c r="T771" i="1"/>
  <c r="Y770" i="1"/>
  <c r="V770" i="1"/>
  <c r="Y769" i="1"/>
  <c r="V769" i="1"/>
  <c r="Y768" i="1"/>
  <c r="V768" i="1"/>
  <c r="Y767" i="1"/>
  <c r="V767" i="1"/>
  <c r="Y766" i="1"/>
  <c r="V766" i="1"/>
  <c r="Y765" i="1"/>
  <c r="V765" i="1"/>
  <c r="Y764" i="1"/>
  <c r="V764" i="1"/>
  <c r="Y763" i="1"/>
  <c r="V763" i="1"/>
  <c r="Y762" i="1"/>
  <c r="V762" i="1"/>
  <c r="Y761" i="1"/>
  <c r="V761" i="1"/>
  <c r="Y760" i="1"/>
  <c r="V760" i="1"/>
  <c r="Y759" i="1"/>
  <c r="V759" i="1"/>
  <c r="Y758" i="1"/>
  <c r="V758" i="1"/>
  <c r="Y757" i="1"/>
  <c r="V757" i="1"/>
  <c r="Y756" i="1"/>
  <c r="V756" i="1"/>
  <c r="Y755" i="1"/>
  <c r="V755" i="1"/>
  <c r="Y754" i="1"/>
  <c r="V754" i="1"/>
  <c r="Y753" i="1"/>
  <c r="V753" i="1"/>
  <c r="Y752" i="1"/>
  <c r="V752" i="1"/>
  <c r="Y751" i="1"/>
  <c r="V751" i="1"/>
  <c r="Y750" i="1"/>
  <c r="V750" i="1"/>
  <c r="Y749" i="1"/>
  <c r="V749" i="1"/>
  <c r="Y748" i="1"/>
  <c r="V748" i="1"/>
  <c r="Y747" i="1"/>
  <c r="V747" i="1"/>
  <c r="Y746" i="1"/>
  <c r="V746" i="1"/>
  <c r="Y745" i="1"/>
  <c r="V745" i="1"/>
  <c r="Y743" i="1"/>
  <c r="V743" i="1"/>
  <c r="Y742" i="1"/>
  <c r="V742" i="1"/>
  <c r="Y741" i="1"/>
  <c r="V741" i="1"/>
  <c r="Y740" i="1"/>
  <c r="V740" i="1"/>
  <c r="Y739" i="1"/>
  <c r="V739" i="1"/>
  <c r="Y738" i="1"/>
  <c r="V738" i="1"/>
  <c r="Y737" i="1"/>
  <c r="V737" i="1"/>
  <c r="Y736" i="1"/>
  <c r="V736" i="1"/>
  <c r="P727" i="1"/>
  <c r="M727" i="1"/>
  <c r="O771" i="1"/>
  <c r="N771" i="1"/>
  <c r="L771" i="1"/>
  <c r="K771" i="1"/>
  <c r="C771" i="1"/>
  <c r="B771" i="1"/>
  <c r="G770" i="1"/>
  <c r="D770" i="1"/>
  <c r="G769" i="1"/>
  <c r="D769" i="1"/>
  <c r="G768" i="1"/>
  <c r="D768" i="1"/>
  <c r="P767" i="1"/>
  <c r="M767" i="1"/>
  <c r="G767" i="1"/>
  <c r="D767" i="1"/>
  <c r="P766" i="1"/>
  <c r="M766" i="1"/>
  <c r="G766" i="1"/>
  <c r="D766" i="1"/>
  <c r="P765" i="1"/>
  <c r="M765" i="1"/>
  <c r="G765" i="1"/>
  <c r="D765" i="1"/>
  <c r="P764" i="1"/>
  <c r="M764" i="1"/>
  <c r="G764" i="1"/>
  <c r="D764" i="1"/>
  <c r="P763" i="1"/>
  <c r="M763" i="1"/>
  <c r="E771" i="1"/>
  <c r="D763" i="1"/>
  <c r="P762" i="1"/>
  <c r="M762" i="1"/>
  <c r="G762" i="1"/>
  <c r="D762" i="1"/>
  <c r="P761" i="1"/>
  <c r="M761" i="1"/>
  <c r="G761" i="1"/>
  <c r="D761" i="1"/>
  <c r="P760" i="1"/>
  <c r="M760" i="1"/>
  <c r="G760" i="1"/>
  <c r="D760" i="1"/>
  <c r="P759" i="1"/>
  <c r="M759" i="1"/>
  <c r="G759" i="1"/>
  <c r="D759" i="1"/>
  <c r="P758" i="1"/>
  <c r="M758" i="1"/>
  <c r="G758" i="1"/>
  <c r="D758" i="1"/>
  <c r="P757" i="1"/>
  <c r="M757" i="1"/>
  <c r="G757" i="1"/>
  <c r="D757" i="1"/>
  <c r="P756" i="1"/>
  <c r="M756" i="1"/>
  <c r="G756" i="1"/>
  <c r="D756" i="1"/>
  <c r="P755" i="1"/>
  <c r="M755" i="1"/>
  <c r="G755" i="1"/>
  <c r="D755" i="1"/>
  <c r="P754" i="1"/>
  <c r="M754" i="1"/>
  <c r="G754" i="1"/>
  <c r="D754" i="1"/>
  <c r="P753" i="1"/>
  <c r="M753" i="1"/>
  <c r="G753" i="1"/>
  <c r="D753" i="1"/>
  <c r="P752" i="1"/>
  <c r="M752" i="1"/>
  <c r="G752" i="1"/>
  <c r="D752" i="1"/>
  <c r="P751" i="1"/>
  <c r="M751" i="1"/>
  <c r="G751" i="1"/>
  <c r="D751" i="1"/>
  <c r="P750" i="1"/>
  <c r="M750" i="1"/>
  <c r="G750" i="1"/>
  <c r="D750" i="1"/>
  <c r="G749" i="1"/>
  <c r="D749" i="1"/>
  <c r="P748" i="1"/>
  <c r="M748" i="1"/>
  <c r="G748" i="1"/>
  <c r="D748" i="1"/>
  <c r="P747" i="1"/>
  <c r="M747" i="1"/>
  <c r="G747" i="1"/>
  <c r="D747" i="1"/>
  <c r="P746" i="1"/>
  <c r="M746" i="1"/>
  <c r="G746" i="1"/>
  <c r="F771" i="1"/>
  <c r="D746" i="1"/>
  <c r="P745" i="1"/>
  <c r="M745" i="1"/>
  <c r="G745" i="1"/>
  <c r="D745" i="1"/>
  <c r="P743" i="1"/>
  <c r="M743" i="1"/>
  <c r="G743" i="1"/>
  <c r="D743" i="1"/>
  <c r="P742" i="1"/>
  <c r="M742" i="1"/>
  <c r="G742" i="1"/>
  <c r="D742" i="1"/>
  <c r="P741" i="1"/>
  <c r="M741" i="1"/>
  <c r="G741" i="1"/>
  <c r="D741" i="1"/>
  <c r="P740" i="1"/>
  <c r="M740" i="1"/>
  <c r="G740" i="1"/>
  <c r="D740" i="1"/>
  <c r="P739" i="1"/>
  <c r="M739" i="1"/>
  <c r="G739" i="1"/>
  <c r="D739" i="1"/>
  <c r="P738" i="1"/>
  <c r="M738" i="1"/>
  <c r="G738" i="1"/>
  <c r="D738" i="1"/>
  <c r="P737" i="1"/>
  <c r="M737" i="1"/>
  <c r="G737" i="1"/>
  <c r="D737" i="1"/>
  <c r="P736" i="1"/>
  <c r="M736" i="1"/>
  <c r="G736" i="1"/>
  <c r="D736" i="1"/>
  <c r="Z750" i="1" l="1"/>
  <c r="Z760" i="1"/>
  <c r="Z763" i="1"/>
  <c r="Y771" i="1"/>
  <c r="Q764" i="1"/>
  <c r="Q745" i="1"/>
  <c r="H736" i="1"/>
  <c r="H739" i="1"/>
  <c r="H742" i="1"/>
  <c r="Z752" i="1"/>
  <c r="Z758" i="1"/>
  <c r="Q747" i="1"/>
  <c r="Q753" i="1"/>
  <c r="Q759" i="1"/>
  <c r="Q765" i="1"/>
  <c r="H767" i="1"/>
  <c r="Z737" i="1"/>
  <c r="Z740" i="1"/>
  <c r="Z747" i="1"/>
  <c r="H738" i="1"/>
  <c r="H741" i="1"/>
  <c r="Z753" i="1"/>
  <c r="Z756" i="1"/>
  <c r="Z762" i="1"/>
  <c r="Z768" i="1"/>
  <c r="V771" i="1"/>
  <c r="Q751" i="1"/>
  <c r="Q757" i="1"/>
  <c r="Q763" i="1"/>
  <c r="Q766" i="1"/>
  <c r="Z746" i="1"/>
  <c r="Z754" i="1"/>
  <c r="Z766" i="1"/>
  <c r="H745" i="1"/>
  <c r="H759" i="1"/>
  <c r="Z751" i="1"/>
  <c r="Q727" i="1"/>
  <c r="Z743" i="1"/>
  <c r="Z748" i="1"/>
  <c r="Z759" i="1"/>
  <c r="Z770" i="1"/>
  <c r="Q738" i="1"/>
  <c r="H762" i="1"/>
  <c r="Q767" i="1"/>
  <c r="Z764" i="1"/>
  <c r="Q741" i="1"/>
  <c r="Q748" i="1"/>
  <c r="Q750" i="1"/>
  <c r="Q754" i="1"/>
  <c r="Q756" i="1"/>
  <c r="Q760" i="1"/>
  <c r="Q762" i="1"/>
  <c r="H768" i="1"/>
  <c r="Z765" i="1"/>
  <c r="Q736" i="1"/>
  <c r="Q739" i="1"/>
  <c r="Q742" i="1"/>
  <c r="H746" i="1"/>
  <c r="H749" i="1"/>
  <c r="H752" i="1"/>
  <c r="H755" i="1"/>
  <c r="H764" i="1"/>
  <c r="H770" i="1"/>
  <c r="Z736" i="1"/>
  <c r="Z739" i="1"/>
  <c r="Z742" i="1"/>
  <c r="Z745" i="1"/>
  <c r="Z757" i="1"/>
  <c r="Z769" i="1"/>
  <c r="H737" i="1"/>
  <c r="H740" i="1"/>
  <c r="H743" i="1"/>
  <c r="Q746" i="1"/>
  <c r="Q752" i="1"/>
  <c r="H757" i="1"/>
  <c r="Q758" i="1"/>
  <c r="H760" i="1"/>
  <c r="Q761" i="1"/>
  <c r="H769" i="1"/>
  <c r="M771" i="1"/>
  <c r="Z755" i="1"/>
  <c r="Z767" i="1"/>
  <c r="Q737" i="1"/>
  <c r="Q740" i="1"/>
  <c r="Q743" i="1"/>
  <c r="H766" i="1"/>
  <c r="Z738" i="1"/>
  <c r="Z741" i="1"/>
  <c r="Z749" i="1"/>
  <c r="Z761" i="1"/>
  <c r="Q755" i="1"/>
  <c r="P771" i="1"/>
  <c r="H758" i="1"/>
  <c r="H761" i="1"/>
  <c r="H765" i="1"/>
  <c r="H751" i="1"/>
  <c r="H747" i="1"/>
  <c r="H750" i="1"/>
  <c r="H756" i="1"/>
  <c r="D771" i="1"/>
  <c r="H748" i="1"/>
  <c r="H754" i="1"/>
  <c r="H753" i="1"/>
  <c r="G771" i="1"/>
  <c r="G763" i="1"/>
  <c r="H763" i="1" s="1"/>
  <c r="P710" i="1"/>
  <c r="M710" i="1"/>
  <c r="P709" i="1"/>
  <c r="M709" i="1"/>
  <c r="E720" i="1"/>
  <c r="P708" i="1"/>
  <c r="M708" i="1"/>
  <c r="P706" i="1"/>
  <c r="M706" i="1"/>
  <c r="P726" i="1"/>
  <c r="M726" i="1"/>
  <c r="G704" i="1"/>
  <c r="D704" i="1"/>
  <c r="Z771" i="1" l="1"/>
  <c r="Q771" i="1"/>
  <c r="Q709" i="1"/>
  <c r="Q710" i="1"/>
  <c r="H771" i="1"/>
  <c r="Q706" i="1"/>
  <c r="Q708" i="1"/>
  <c r="Q726" i="1"/>
  <c r="H704" i="1"/>
  <c r="F703" i="1"/>
  <c r="G703" i="1" s="1"/>
  <c r="M725" i="1"/>
  <c r="P725" i="1"/>
  <c r="X728" i="1"/>
  <c r="W728" i="1"/>
  <c r="U728" i="1"/>
  <c r="T728" i="1"/>
  <c r="O728" i="1"/>
  <c r="N728" i="1"/>
  <c r="L728" i="1"/>
  <c r="K728" i="1"/>
  <c r="E728" i="1"/>
  <c r="C728" i="1"/>
  <c r="B728" i="1"/>
  <c r="Y727" i="1"/>
  <c r="V727" i="1"/>
  <c r="G727" i="1"/>
  <c r="D727" i="1"/>
  <c r="Y726" i="1"/>
  <c r="V726" i="1"/>
  <c r="G726" i="1"/>
  <c r="D726" i="1"/>
  <c r="Y725" i="1"/>
  <c r="V725" i="1"/>
  <c r="G725" i="1"/>
  <c r="D725" i="1"/>
  <c r="Y724" i="1"/>
  <c r="V724" i="1"/>
  <c r="P724" i="1"/>
  <c r="M724" i="1"/>
  <c r="G724" i="1"/>
  <c r="D724" i="1"/>
  <c r="Y723" i="1"/>
  <c r="V723" i="1"/>
  <c r="P723" i="1"/>
  <c r="M723" i="1"/>
  <c r="G723" i="1"/>
  <c r="D723" i="1"/>
  <c r="Y722" i="1"/>
  <c r="V722" i="1"/>
  <c r="P722" i="1"/>
  <c r="M722" i="1"/>
  <c r="G722" i="1"/>
  <c r="D722" i="1"/>
  <c r="Y721" i="1"/>
  <c r="V721" i="1"/>
  <c r="P721" i="1"/>
  <c r="M721" i="1"/>
  <c r="G721" i="1"/>
  <c r="D721" i="1"/>
  <c r="Y720" i="1"/>
  <c r="V720" i="1"/>
  <c r="P720" i="1"/>
  <c r="M720" i="1"/>
  <c r="G720" i="1"/>
  <c r="D720" i="1"/>
  <c r="Y719" i="1"/>
  <c r="V719" i="1"/>
  <c r="P719" i="1"/>
  <c r="M719" i="1"/>
  <c r="G719" i="1"/>
  <c r="D719" i="1"/>
  <c r="Y718" i="1"/>
  <c r="V718" i="1"/>
  <c r="P718" i="1"/>
  <c r="M718" i="1"/>
  <c r="G718" i="1"/>
  <c r="D718" i="1"/>
  <c r="Y717" i="1"/>
  <c r="V717" i="1"/>
  <c r="P717" i="1"/>
  <c r="M717" i="1"/>
  <c r="G717" i="1"/>
  <c r="D717" i="1"/>
  <c r="Y716" i="1"/>
  <c r="V716" i="1"/>
  <c r="P716" i="1"/>
  <c r="M716" i="1"/>
  <c r="G716" i="1"/>
  <c r="D716" i="1"/>
  <c r="Y715" i="1"/>
  <c r="V715" i="1"/>
  <c r="P715" i="1"/>
  <c r="M715" i="1"/>
  <c r="G715" i="1"/>
  <c r="D715" i="1"/>
  <c r="Y714" i="1"/>
  <c r="V714" i="1"/>
  <c r="P714" i="1"/>
  <c r="M714" i="1"/>
  <c r="G714" i="1"/>
  <c r="D714" i="1"/>
  <c r="Y713" i="1"/>
  <c r="V713" i="1"/>
  <c r="P713" i="1"/>
  <c r="M713" i="1"/>
  <c r="G713" i="1"/>
  <c r="D713" i="1"/>
  <c r="Y712" i="1"/>
  <c r="V712" i="1"/>
  <c r="G712" i="1"/>
  <c r="D712" i="1"/>
  <c r="Y711" i="1"/>
  <c r="V711" i="1"/>
  <c r="P711" i="1"/>
  <c r="M711" i="1"/>
  <c r="G711" i="1"/>
  <c r="D711" i="1"/>
  <c r="Y710" i="1"/>
  <c r="V710" i="1"/>
  <c r="G710" i="1"/>
  <c r="D710" i="1"/>
  <c r="Y709" i="1"/>
  <c r="V709" i="1"/>
  <c r="G709" i="1"/>
  <c r="D709" i="1"/>
  <c r="Y708" i="1"/>
  <c r="V708" i="1"/>
  <c r="G708" i="1"/>
  <c r="D708" i="1"/>
  <c r="Y707" i="1"/>
  <c r="V707" i="1"/>
  <c r="P707" i="1"/>
  <c r="M707" i="1"/>
  <c r="G707" i="1"/>
  <c r="D707" i="1"/>
  <c r="Y706" i="1"/>
  <c r="V706" i="1"/>
  <c r="G706" i="1"/>
  <c r="D706" i="1"/>
  <c r="Y705" i="1"/>
  <c r="V705" i="1"/>
  <c r="P705" i="1"/>
  <c r="M705" i="1"/>
  <c r="G705" i="1"/>
  <c r="D705" i="1"/>
  <c r="Y704" i="1"/>
  <c r="V704" i="1"/>
  <c r="P704" i="1"/>
  <c r="M704" i="1"/>
  <c r="Y703" i="1"/>
  <c r="V703" i="1"/>
  <c r="P703" i="1"/>
  <c r="M703" i="1"/>
  <c r="D703" i="1"/>
  <c r="Y702" i="1"/>
  <c r="V702" i="1"/>
  <c r="P702" i="1"/>
  <c r="M702" i="1"/>
  <c r="G702" i="1"/>
  <c r="D702" i="1"/>
  <c r="Y700" i="1"/>
  <c r="V700" i="1"/>
  <c r="P700" i="1"/>
  <c r="M700" i="1"/>
  <c r="G700" i="1"/>
  <c r="D700" i="1"/>
  <c r="Y699" i="1"/>
  <c r="V699" i="1"/>
  <c r="P699" i="1"/>
  <c r="M699" i="1"/>
  <c r="G699" i="1"/>
  <c r="D699" i="1"/>
  <c r="Y698" i="1"/>
  <c r="V698" i="1"/>
  <c r="P698" i="1"/>
  <c r="M698" i="1"/>
  <c r="G698" i="1"/>
  <c r="D698" i="1"/>
  <c r="Y697" i="1"/>
  <c r="V697" i="1"/>
  <c r="P697" i="1"/>
  <c r="M697" i="1"/>
  <c r="G697" i="1"/>
  <c r="D697" i="1"/>
  <c r="Y696" i="1"/>
  <c r="V696" i="1"/>
  <c r="P696" i="1"/>
  <c r="M696" i="1"/>
  <c r="G696" i="1"/>
  <c r="D696" i="1"/>
  <c r="Y695" i="1"/>
  <c r="V695" i="1"/>
  <c r="P695" i="1"/>
  <c r="M695" i="1"/>
  <c r="G695" i="1"/>
  <c r="D695" i="1"/>
  <c r="Y694" i="1"/>
  <c r="V694" i="1"/>
  <c r="P694" i="1"/>
  <c r="M694" i="1"/>
  <c r="G694" i="1"/>
  <c r="D694" i="1"/>
  <c r="Y693" i="1"/>
  <c r="V693" i="1"/>
  <c r="P693" i="1"/>
  <c r="M693" i="1"/>
  <c r="G693" i="1"/>
  <c r="D693" i="1"/>
  <c r="F728" i="1" l="1"/>
  <c r="G728" i="1" s="1"/>
  <c r="Z695" i="1"/>
  <c r="Z698" i="1"/>
  <c r="Z700" i="1"/>
  <c r="Z703" i="1"/>
  <c r="Z726" i="1"/>
  <c r="Z705" i="1"/>
  <c r="Z706" i="1"/>
  <c r="Z707" i="1"/>
  <c r="Z720" i="1"/>
  <c r="Q693" i="1"/>
  <c r="Q694" i="1"/>
  <c r="Q695" i="1"/>
  <c r="Q698" i="1"/>
  <c r="Q699" i="1"/>
  <c r="Q713" i="1"/>
  <c r="Q719" i="1"/>
  <c r="Q721" i="1"/>
  <c r="Q723" i="1"/>
  <c r="H727" i="1"/>
  <c r="V728" i="1"/>
  <c r="Z708" i="1"/>
  <c r="Z709" i="1"/>
  <c r="H709" i="1"/>
  <c r="H710" i="1"/>
  <c r="H711" i="1"/>
  <c r="Z722" i="1"/>
  <c r="Q702" i="1"/>
  <c r="Z693" i="1"/>
  <c r="Z711" i="1"/>
  <c r="Z712" i="1"/>
  <c r="Z714" i="1"/>
  <c r="Z716" i="1"/>
  <c r="Z717" i="1"/>
  <c r="Z718" i="1"/>
  <c r="Z719" i="1"/>
  <c r="Q724" i="1"/>
  <c r="Z725" i="1"/>
  <c r="Q697" i="1"/>
  <c r="H705" i="1"/>
  <c r="H707" i="1"/>
  <c r="Z723" i="1"/>
  <c r="Z724" i="1"/>
  <c r="Q725" i="1"/>
  <c r="Z710" i="1"/>
  <c r="Z697" i="1"/>
  <c r="Z713" i="1"/>
  <c r="Q696" i="1"/>
  <c r="H700" i="1"/>
  <c r="H703" i="1"/>
  <c r="Z704" i="1"/>
  <c r="Z721" i="1"/>
  <c r="Z694" i="1"/>
  <c r="Z696" i="1"/>
  <c r="Q700" i="1"/>
  <c r="Z727" i="1"/>
  <c r="Z699" i="1"/>
  <c r="Z702" i="1"/>
  <c r="Z715" i="1"/>
  <c r="Q722" i="1"/>
  <c r="Y728" i="1"/>
  <c r="D728" i="1"/>
  <c r="Q704" i="1"/>
  <c r="H706" i="1"/>
  <c r="Q715" i="1"/>
  <c r="H726" i="1"/>
  <c r="H702" i="1"/>
  <c r="H708" i="1"/>
  <c r="Q711" i="1"/>
  <c r="Q717" i="1"/>
  <c r="M728" i="1"/>
  <c r="P728" i="1"/>
  <c r="Q703" i="1"/>
  <c r="Q705" i="1"/>
  <c r="Q707" i="1"/>
  <c r="Q714" i="1"/>
  <c r="Q716" i="1"/>
  <c r="Q718" i="1"/>
  <c r="Q720" i="1"/>
  <c r="H693" i="1"/>
  <c r="H694" i="1"/>
  <c r="H695" i="1"/>
  <c r="H696" i="1"/>
  <c r="H697" i="1"/>
  <c r="H698" i="1"/>
  <c r="H699" i="1"/>
  <c r="H712" i="1"/>
  <c r="H713" i="1"/>
  <c r="H714" i="1"/>
  <c r="H715" i="1"/>
  <c r="H716" i="1"/>
  <c r="H717" i="1"/>
  <c r="H718" i="1"/>
  <c r="H720" i="1"/>
  <c r="H721" i="1"/>
  <c r="H722" i="1"/>
  <c r="H723" i="1"/>
  <c r="H724" i="1"/>
  <c r="H725" i="1"/>
  <c r="H719" i="1"/>
  <c r="P677" i="1"/>
  <c r="M677" i="1"/>
  <c r="E682" i="1"/>
  <c r="P672" i="1"/>
  <c r="M672" i="1"/>
  <c r="E676" i="1"/>
  <c r="P667" i="1"/>
  <c r="M667" i="1"/>
  <c r="Z728" i="1" l="1"/>
  <c r="Q677" i="1"/>
  <c r="Q728" i="1"/>
  <c r="Q672" i="1"/>
  <c r="H728" i="1"/>
  <c r="Q667" i="1"/>
  <c r="C668" i="1"/>
  <c r="F668" i="1"/>
  <c r="P682" i="1"/>
  <c r="M682" i="1"/>
  <c r="Q682" i="1" l="1"/>
  <c r="G664" i="1"/>
  <c r="G665" i="1"/>
  <c r="B659" i="1" l="1"/>
  <c r="D659" i="1" s="1"/>
  <c r="P683" i="1"/>
  <c r="M683" i="1"/>
  <c r="P640" i="1"/>
  <c r="P641" i="1"/>
  <c r="M641" i="1"/>
  <c r="X685" i="1"/>
  <c r="W685" i="1"/>
  <c r="U685" i="1"/>
  <c r="T685" i="1"/>
  <c r="O685" i="1"/>
  <c r="N685" i="1"/>
  <c r="L685" i="1"/>
  <c r="K685" i="1"/>
  <c r="F685" i="1"/>
  <c r="E685" i="1"/>
  <c r="C685" i="1"/>
  <c r="Y684" i="1"/>
  <c r="V684" i="1"/>
  <c r="P684" i="1"/>
  <c r="M684" i="1"/>
  <c r="G684" i="1"/>
  <c r="D684" i="1"/>
  <c r="Y683" i="1"/>
  <c r="V683" i="1"/>
  <c r="G683" i="1"/>
  <c r="D683" i="1"/>
  <c r="Y682" i="1"/>
  <c r="V682" i="1"/>
  <c r="G682" i="1"/>
  <c r="D682" i="1"/>
  <c r="Y681" i="1"/>
  <c r="V681" i="1"/>
  <c r="P681" i="1"/>
  <c r="M681" i="1"/>
  <c r="G681" i="1"/>
  <c r="D681" i="1"/>
  <c r="Y680" i="1"/>
  <c r="V680" i="1"/>
  <c r="P680" i="1"/>
  <c r="M680" i="1"/>
  <c r="G680" i="1"/>
  <c r="D680" i="1"/>
  <c r="Y679" i="1"/>
  <c r="V679" i="1"/>
  <c r="P679" i="1"/>
  <c r="M679" i="1"/>
  <c r="G679" i="1"/>
  <c r="D679" i="1"/>
  <c r="Y678" i="1"/>
  <c r="V678" i="1"/>
  <c r="P678" i="1"/>
  <c r="M678" i="1"/>
  <c r="G678" i="1"/>
  <c r="D678" i="1"/>
  <c r="Y677" i="1"/>
  <c r="V677" i="1"/>
  <c r="G677" i="1"/>
  <c r="D677" i="1"/>
  <c r="Y676" i="1"/>
  <c r="V676" i="1"/>
  <c r="P676" i="1"/>
  <c r="M676" i="1"/>
  <c r="G676" i="1"/>
  <c r="D676" i="1"/>
  <c r="Y675" i="1"/>
  <c r="V675" i="1"/>
  <c r="P675" i="1"/>
  <c r="M675" i="1"/>
  <c r="G675" i="1"/>
  <c r="D675" i="1"/>
  <c r="Y674" i="1"/>
  <c r="V674" i="1"/>
  <c r="P674" i="1"/>
  <c r="M674" i="1"/>
  <c r="G674" i="1"/>
  <c r="D674" i="1"/>
  <c r="Y673" i="1"/>
  <c r="V673" i="1"/>
  <c r="P673" i="1"/>
  <c r="M673" i="1"/>
  <c r="G673" i="1"/>
  <c r="D673" i="1"/>
  <c r="Y672" i="1"/>
  <c r="V672" i="1"/>
  <c r="G672" i="1"/>
  <c r="D672" i="1"/>
  <c r="Y671" i="1"/>
  <c r="V671" i="1"/>
  <c r="P671" i="1"/>
  <c r="M671" i="1"/>
  <c r="G671" i="1"/>
  <c r="D671" i="1"/>
  <c r="Y670" i="1"/>
  <c r="V670" i="1"/>
  <c r="P670" i="1"/>
  <c r="M670" i="1"/>
  <c r="G670" i="1"/>
  <c r="D670" i="1"/>
  <c r="Y669" i="1"/>
  <c r="V669" i="1"/>
  <c r="P669" i="1"/>
  <c r="M669" i="1"/>
  <c r="G669" i="1"/>
  <c r="D669" i="1"/>
  <c r="Y668" i="1"/>
  <c r="V668" i="1"/>
  <c r="P668" i="1"/>
  <c r="M668" i="1"/>
  <c r="G668" i="1"/>
  <c r="D668" i="1"/>
  <c r="Y667" i="1"/>
  <c r="V667" i="1"/>
  <c r="G667" i="1"/>
  <c r="D667" i="1"/>
  <c r="Y666" i="1"/>
  <c r="V666" i="1"/>
  <c r="P666" i="1"/>
  <c r="M666" i="1"/>
  <c r="G666" i="1"/>
  <c r="D666" i="1"/>
  <c r="Y665" i="1"/>
  <c r="V665" i="1"/>
  <c r="P665" i="1"/>
  <c r="M665" i="1"/>
  <c r="D665" i="1"/>
  <c r="Y664" i="1"/>
  <c r="V664" i="1"/>
  <c r="P664" i="1"/>
  <c r="M664" i="1"/>
  <c r="D664" i="1"/>
  <c r="Y663" i="1"/>
  <c r="V663" i="1"/>
  <c r="P663" i="1"/>
  <c r="M663" i="1"/>
  <c r="G663" i="1"/>
  <c r="D663" i="1"/>
  <c r="Y662" i="1"/>
  <c r="V662" i="1"/>
  <c r="P662" i="1"/>
  <c r="M662" i="1"/>
  <c r="G662" i="1"/>
  <c r="D662" i="1"/>
  <c r="Y661" i="1"/>
  <c r="V661" i="1"/>
  <c r="P661" i="1"/>
  <c r="M661" i="1"/>
  <c r="G661" i="1"/>
  <c r="D661" i="1"/>
  <c r="Y660" i="1"/>
  <c r="V660" i="1"/>
  <c r="P660" i="1"/>
  <c r="M660" i="1"/>
  <c r="G660" i="1"/>
  <c r="D660" i="1"/>
  <c r="Y659" i="1"/>
  <c r="V659" i="1"/>
  <c r="P659" i="1"/>
  <c r="M659" i="1"/>
  <c r="G659" i="1"/>
  <c r="Y657" i="1"/>
  <c r="V657" i="1"/>
  <c r="P657" i="1"/>
  <c r="M657" i="1"/>
  <c r="G657" i="1"/>
  <c r="D657" i="1"/>
  <c r="Y656" i="1"/>
  <c r="V656" i="1"/>
  <c r="P656" i="1"/>
  <c r="M656" i="1"/>
  <c r="G656" i="1"/>
  <c r="D656" i="1"/>
  <c r="Y655" i="1"/>
  <c r="V655" i="1"/>
  <c r="P655" i="1"/>
  <c r="M655" i="1"/>
  <c r="G655" i="1"/>
  <c r="D655" i="1"/>
  <c r="Y654" i="1"/>
  <c r="V654" i="1"/>
  <c r="P654" i="1"/>
  <c r="M654" i="1"/>
  <c r="G654" i="1"/>
  <c r="D654" i="1"/>
  <c r="Y653" i="1"/>
  <c r="V653" i="1"/>
  <c r="P653" i="1"/>
  <c r="M653" i="1"/>
  <c r="G653" i="1"/>
  <c r="D653" i="1"/>
  <c r="Y652" i="1"/>
  <c r="V652" i="1"/>
  <c r="P652" i="1"/>
  <c r="M652" i="1"/>
  <c r="G652" i="1"/>
  <c r="D652" i="1"/>
  <c r="Y651" i="1"/>
  <c r="V651" i="1"/>
  <c r="P651" i="1"/>
  <c r="M651" i="1"/>
  <c r="G651" i="1"/>
  <c r="D651" i="1"/>
  <c r="Y650" i="1"/>
  <c r="V650" i="1"/>
  <c r="P650" i="1"/>
  <c r="M650" i="1"/>
  <c r="G650" i="1"/>
  <c r="D650" i="1"/>
  <c r="Z682" i="1" l="1"/>
  <c r="H684" i="1"/>
  <c r="Z656" i="1"/>
  <c r="Z667" i="1"/>
  <c r="Z668" i="1"/>
  <c r="Z671" i="1"/>
  <c r="Z677" i="1"/>
  <c r="Z680" i="1"/>
  <c r="Z665" i="1"/>
  <c r="Z666" i="1"/>
  <c r="Z659" i="1"/>
  <c r="H667" i="1"/>
  <c r="H671" i="1"/>
  <c r="H674" i="1"/>
  <c r="H675" i="1"/>
  <c r="H676" i="1"/>
  <c r="H678" i="1"/>
  <c r="H679" i="1"/>
  <c r="H680" i="1"/>
  <c r="Q653" i="1"/>
  <c r="Q654" i="1"/>
  <c r="Q655" i="1"/>
  <c r="Q656" i="1"/>
  <c r="H663" i="1"/>
  <c r="B685" i="1"/>
  <c r="D685" i="1" s="1"/>
  <c r="Q671" i="1"/>
  <c r="Q673" i="1"/>
  <c r="Q675" i="1"/>
  <c r="Q676" i="1"/>
  <c r="Q680" i="1"/>
  <c r="Q681" i="1"/>
  <c r="Z684" i="1"/>
  <c r="Y685" i="1"/>
  <c r="Z675" i="1"/>
  <c r="Q652" i="1"/>
  <c r="Z652" i="1"/>
  <c r="Z654" i="1"/>
  <c r="Q670" i="1"/>
  <c r="Q684" i="1"/>
  <c r="Q674" i="1"/>
  <c r="H657" i="1"/>
  <c r="Z663" i="1"/>
  <c r="Z670" i="1"/>
  <c r="Q679" i="1"/>
  <c r="H661" i="1"/>
  <c r="H659" i="1"/>
  <c r="Z664" i="1"/>
  <c r="Z676" i="1"/>
  <c r="Z651" i="1"/>
  <c r="Z653" i="1"/>
  <c r="Q657" i="1"/>
  <c r="H665" i="1"/>
  <c r="Z669" i="1"/>
  <c r="H677" i="1"/>
  <c r="Z678" i="1"/>
  <c r="Z679" i="1"/>
  <c r="Z683" i="1"/>
  <c r="Z655" i="1"/>
  <c r="Z672" i="1"/>
  <c r="Z681" i="1"/>
  <c r="Q650" i="1"/>
  <c r="Q651" i="1"/>
  <c r="Z657" i="1"/>
  <c r="Z660" i="1"/>
  <c r="Z661" i="1"/>
  <c r="Z662" i="1"/>
  <c r="Q669" i="1"/>
  <c r="H672" i="1"/>
  <c r="H673" i="1"/>
  <c r="Z673" i="1"/>
  <c r="Z674" i="1"/>
  <c r="Q678" i="1"/>
  <c r="H681" i="1"/>
  <c r="H682" i="1"/>
  <c r="V685" i="1"/>
  <c r="Q683" i="1"/>
  <c r="Q662" i="1"/>
  <c r="H664" i="1"/>
  <c r="Q668" i="1"/>
  <c r="Q641" i="1"/>
  <c r="H660" i="1"/>
  <c r="Q664" i="1"/>
  <c r="H666" i="1"/>
  <c r="H683" i="1"/>
  <c r="Z650" i="1"/>
  <c r="H656" i="1"/>
  <c r="Q660" i="1"/>
  <c r="H662" i="1"/>
  <c r="Q666" i="1"/>
  <c r="M685" i="1"/>
  <c r="P685" i="1"/>
  <c r="Q659" i="1"/>
  <c r="Q661" i="1"/>
  <c r="Q663" i="1"/>
  <c r="Q665" i="1"/>
  <c r="H650" i="1"/>
  <c r="H651" i="1"/>
  <c r="H652" i="1"/>
  <c r="H653" i="1"/>
  <c r="H654" i="1"/>
  <c r="H655" i="1"/>
  <c r="G685" i="1"/>
  <c r="H669" i="1"/>
  <c r="H668" i="1"/>
  <c r="H670" i="1"/>
  <c r="P625" i="1"/>
  <c r="M625" i="1"/>
  <c r="B639" i="1"/>
  <c r="E639" i="1"/>
  <c r="P623" i="1"/>
  <c r="M623" i="1"/>
  <c r="M622" i="1"/>
  <c r="Z685" i="1" l="1"/>
  <c r="Q625" i="1"/>
  <c r="Q685" i="1"/>
  <c r="H685" i="1"/>
  <c r="Q623" i="1"/>
  <c r="E631" i="1"/>
  <c r="G631" i="1" s="1"/>
  <c r="B631" i="1"/>
  <c r="B642" i="1" s="1"/>
  <c r="E627" i="1"/>
  <c r="G627" i="1" s="1"/>
  <c r="E626" i="1"/>
  <c r="G626" i="1" s="1"/>
  <c r="P639" i="1"/>
  <c r="M639" i="1"/>
  <c r="F625" i="1"/>
  <c r="E625" i="1"/>
  <c r="P616" i="1"/>
  <c r="M616" i="1"/>
  <c r="F616" i="1"/>
  <c r="G616" i="1" s="1"/>
  <c r="C594" i="1"/>
  <c r="B594" i="1"/>
  <c r="E590" i="1"/>
  <c r="P581" i="1"/>
  <c r="M581" i="1"/>
  <c r="E588" i="1"/>
  <c r="C588" i="1"/>
  <c r="M598" i="1"/>
  <c r="M640" i="1"/>
  <c r="X642" i="1"/>
  <c r="W642" i="1"/>
  <c r="U642" i="1"/>
  <c r="T642" i="1"/>
  <c r="O642" i="1"/>
  <c r="N642" i="1"/>
  <c r="L642" i="1"/>
  <c r="C642" i="1"/>
  <c r="Y641" i="1"/>
  <c r="V641" i="1"/>
  <c r="G641" i="1"/>
  <c r="D641" i="1"/>
  <c r="Y640" i="1"/>
  <c r="V640" i="1"/>
  <c r="G640" i="1"/>
  <c r="D640" i="1"/>
  <c r="Y639" i="1"/>
  <c r="V639" i="1"/>
  <c r="G639" i="1"/>
  <c r="D639" i="1"/>
  <c r="Y638" i="1"/>
  <c r="V638" i="1"/>
  <c r="P638" i="1"/>
  <c r="M638" i="1"/>
  <c r="G638" i="1"/>
  <c r="D638" i="1"/>
  <c r="Y637" i="1"/>
  <c r="V637" i="1"/>
  <c r="P637" i="1"/>
  <c r="M637" i="1"/>
  <c r="G637" i="1"/>
  <c r="D637" i="1"/>
  <c r="Y636" i="1"/>
  <c r="V636" i="1"/>
  <c r="P636" i="1"/>
  <c r="M636" i="1"/>
  <c r="G636" i="1"/>
  <c r="D636" i="1"/>
  <c r="Y635" i="1"/>
  <c r="V635" i="1"/>
  <c r="P635" i="1"/>
  <c r="M635" i="1"/>
  <c r="G635" i="1"/>
  <c r="D635" i="1"/>
  <c r="Y634" i="1"/>
  <c r="V634" i="1"/>
  <c r="P634" i="1"/>
  <c r="M634" i="1"/>
  <c r="G634" i="1"/>
  <c r="D634" i="1"/>
  <c r="Y633" i="1"/>
  <c r="V633" i="1"/>
  <c r="P633" i="1"/>
  <c r="M633" i="1"/>
  <c r="G633" i="1"/>
  <c r="D633" i="1"/>
  <c r="Y632" i="1"/>
  <c r="V632" i="1"/>
  <c r="P632" i="1"/>
  <c r="M632" i="1"/>
  <c r="G632" i="1"/>
  <c r="D632" i="1"/>
  <c r="Y631" i="1"/>
  <c r="V631" i="1"/>
  <c r="P631" i="1"/>
  <c r="M631" i="1"/>
  <c r="Y630" i="1"/>
  <c r="V630" i="1"/>
  <c r="P630" i="1"/>
  <c r="M630" i="1"/>
  <c r="G630" i="1"/>
  <c r="D630" i="1"/>
  <c r="Y629" i="1"/>
  <c r="V629" i="1"/>
  <c r="P629" i="1"/>
  <c r="M629" i="1"/>
  <c r="G629" i="1"/>
  <c r="D629" i="1"/>
  <c r="Y628" i="1"/>
  <c r="V628" i="1"/>
  <c r="P628" i="1"/>
  <c r="M628" i="1"/>
  <c r="G628" i="1"/>
  <c r="D628" i="1"/>
  <c r="Y627" i="1"/>
  <c r="V627" i="1"/>
  <c r="P627" i="1"/>
  <c r="M627" i="1"/>
  <c r="D627" i="1"/>
  <c r="Y626" i="1"/>
  <c r="V626" i="1"/>
  <c r="P626" i="1"/>
  <c r="M626" i="1"/>
  <c r="D626" i="1"/>
  <c r="Y625" i="1"/>
  <c r="V625" i="1"/>
  <c r="D625" i="1"/>
  <c r="Y624" i="1"/>
  <c r="V624" i="1"/>
  <c r="P624" i="1"/>
  <c r="M624" i="1"/>
  <c r="G624" i="1"/>
  <c r="D624" i="1"/>
  <c r="Y623" i="1"/>
  <c r="V623" i="1"/>
  <c r="G623" i="1"/>
  <c r="D623" i="1"/>
  <c r="Y622" i="1"/>
  <c r="V622" i="1"/>
  <c r="P622" i="1"/>
  <c r="G622" i="1"/>
  <c r="D622" i="1"/>
  <c r="Y621" i="1"/>
  <c r="V621" i="1"/>
  <c r="P621" i="1"/>
  <c r="M621" i="1"/>
  <c r="G621" i="1"/>
  <c r="Y620" i="1"/>
  <c r="V620" i="1"/>
  <c r="P620" i="1"/>
  <c r="M620" i="1"/>
  <c r="G620" i="1"/>
  <c r="D620" i="1"/>
  <c r="Y619" i="1"/>
  <c r="V619" i="1"/>
  <c r="P619" i="1"/>
  <c r="M619" i="1"/>
  <c r="G619" i="1"/>
  <c r="D619" i="1"/>
  <c r="Y618" i="1"/>
  <c r="V618" i="1"/>
  <c r="P618" i="1"/>
  <c r="M618" i="1"/>
  <c r="G618" i="1"/>
  <c r="D618" i="1"/>
  <c r="Y617" i="1"/>
  <c r="V617" i="1"/>
  <c r="P617" i="1"/>
  <c r="M617" i="1"/>
  <c r="G617" i="1"/>
  <c r="D617" i="1"/>
  <c r="Y616" i="1"/>
  <c r="V616" i="1"/>
  <c r="D616" i="1"/>
  <c r="Y614" i="1"/>
  <c r="V614" i="1"/>
  <c r="P614" i="1"/>
  <c r="M614" i="1"/>
  <c r="G614" i="1"/>
  <c r="D614" i="1"/>
  <c r="Y613" i="1"/>
  <c r="V613" i="1"/>
  <c r="P613" i="1"/>
  <c r="M613" i="1"/>
  <c r="G613" i="1"/>
  <c r="D613" i="1"/>
  <c r="Y612" i="1"/>
  <c r="V612" i="1"/>
  <c r="P612" i="1"/>
  <c r="M612" i="1"/>
  <c r="G612" i="1"/>
  <c r="D612" i="1"/>
  <c r="Y611" i="1"/>
  <c r="V611" i="1"/>
  <c r="P611" i="1"/>
  <c r="M611" i="1"/>
  <c r="G611" i="1"/>
  <c r="D611" i="1"/>
  <c r="Y610" i="1"/>
  <c r="V610" i="1"/>
  <c r="P610" i="1"/>
  <c r="M610" i="1"/>
  <c r="G610" i="1"/>
  <c r="D610" i="1"/>
  <c r="Y609" i="1"/>
  <c r="V609" i="1"/>
  <c r="P609" i="1"/>
  <c r="M609" i="1"/>
  <c r="G609" i="1"/>
  <c r="D609" i="1"/>
  <c r="Y608" i="1"/>
  <c r="V608" i="1"/>
  <c r="P608" i="1"/>
  <c r="M608" i="1"/>
  <c r="G608" i="1"/>
  <c r="D608" i="1"/>
  <c r="Y607" i="1"/>
  <c r="V607" i="1"/>
  <c r="P607" i="1"/>
  <c r="M607" i="1"/>
  <c r="G607" i="1"/>
  <c r="D607" i="1"/>
  <c r="Q581" i="1" l="1"/>
  <c r="Q616" i="1"/>
  <c r="G625" i="1"/>
  <c r="H625" i="1" s="1"/>
  <c r="D631" i="1"/>
  <c r="H631" i="1" s="1"/>
  <c r="Q639" i="1"/>
  <c r="F642" i="1"/>
  <c r="Z610" i="1"/>
  <c r="Z612" i="1"/>
  <c r="Z614" i="1"/>
  <c r="Z616" i="1"/>
  <c r="Z618" i="1"/>
  <c r="Z620" i="1"/>
  <c r="Z621" i="1"/>
  <c r="Z623" i="1"/>
  <c r="Z624" i="1"/>
  <c r="Z625" i="1"/>
  <c r="Z627" i="1"/>
  <c r="Z628" i="1"/>
  <c r="Z632" i="1"/>
  <c r="Z634" i="1"/>
  <c r="Z635" i="1"/>
  <c r="Z638" i="1"/>
  <c r="Z639" i="1"/>
  <c r="H641" i="1"/>
  <c r="Q609" i="1"/>
  <c r="Q617" i="1"/>
  <c r="Q618" i="1"/>
  <c r="Q619" i="1"/>
  <c r="Q620" i="1"/>
  <c r="Q621" i="1"/>
  <c r="Q622" i="1"/>
  <c r="Q626" i="1"/>
  <c r="Q627" i="1"/>
  <c r="Q631" i="1"/>
  <c r="Q635" i="1"/>
  <c r="Q636" i="1"/>
  <c r="V642" i="1"/>
  <c r="H640" i="1"/>
  <c r="Q630" i="1"/>
  <c r="Q638" i="1"/>
  <c r="Q610" i="1"/>
  <c r="Z633" i="1"/>
  <c r="Q628" i="1"/>
  <c r="Q634" i="1"/>
  <c r="H616" i="1"/>
  <c r="H617" i="1"/>
  <c r="H618" i="1"/>
  <c r="H619" i="1"/>
  <c r="H620" i="1"/>
  <c r="H627" i="1"/>
  <c r="H634" i="1"/>
  <c r="H638" i="1"/>
  <c r="H639" i="1"/>
  <c r="Y642" i="1"/>
  <c r="H613" i="1"/>
  <c r="Z631" i="1"/>
  <c r="H633" i="1"/>
  <c r="Q614" i="1"/>
  <c r="H635" i="1"/>
  <c r="Z626" i="1"/>
  <c r="H637" i="1"/>
  <c r="Z637" i="1"/>
  <c r="Q607" i="1"/>
  <c r="Z608" i="1"/>
  <c r="Q612" i="1"/>
  <c r="H628" i="1"/>
  <c r="Q629" i="1"/>
  <c r="Z630" i="1"/>
  <c r="Q624" i="1"/>
  <c r="Z629" i="1"/>
  <c r="Q632" i="1"/>
  <c r="Z641" i="1"/>
  <c r="Z607" i="1"/>
  <c r="Z622" i="1"/>
  <c r="Z640" i="1"/>
  <c r="Z613" i="1"/>
  <c r="H607" i="1"/>
  <c r="H609" i="1"/>
  <c r="H612" i="1"/>
  <c r="H614" i="1"/>
  <c r="H629" i="1"/>
  <c r="H630" i="1"/>
  <c r="Q633" i="1"/>
  <c r="Q637" i="1"/>
  <c r="Z636" i="1"/>
  <c r="P598" i="1"/>
  <c r="Q598" i="1" s="1"/>
  <c r="Z609" i="1"/>
  <c r="Z611" i="1"/>
  <c r="Q611" i="1"/>
  <c r="Q613" i="1"/>
  <c r="H626" i="1"/>
  <c r="H632" i="1"/>
  <c r="H636" i="1"/>
  <c r="P642" i="1"/>
  <c r="Q640" i="1"/>
  <c r="Q608" i="1"/>
  <c r="H624" i="1"/>
  <c r="D642" i="1"/>
  <c r="H622" i="1"/>
  <c r="H623" i="1"/>
  <c r="H608" i="1"/>
  <c r="H610" i="1"/>
  <c r="H611" i="1"/>
  <c r="D621" i="1"/>
  <c r="H621" i="1" s="1"/>
  <c r="K642" i="1"/>
  <c r="M642" i="1" s="1"/>
  <c r="Z617" i="1"/>
  <c r="Z619" i="1"/>
  <c r="E642" i="1"/>
  <c r="P595" i="1"/>
  <c r="M595" i="1"/>
  <c r="D588" i="1"/>
  <c r="E580" i="1"/>
  <c r="B580" i="1"/>
  <c r="E578" i="1"/>
  <c r="B578" i="1"/>
  <c r="P576" i="1"/>
  <c r="M576" i="1"/>
  <c r="M575" i="1"/>
  <c r="G642" i="1" l="1"/>
  <c r="H642" i="1" s="1"/>
  <c r="Z642" i="1"/>
  <c r="Q595" i="1"/>
  <c r="Q642" i="1"/>
  <c r="Q576" i="1"/>
  <c r="P553" i="1"/>
  <c r="M553" i="1"/>
  <c r="M596" i="1" l="1"/>
  <c r="P596" i="1"/>
  <c r="Q553" i="1"/>
  <c r="E573" i="1"/>
  <c r="F555" i="1"/>
  <c r="E555" i="1"/>
  <c r="P597" i="1"/>
  <c r="M597" i="1"/>
  <c r="E553" i="1"/>
  <c r="Q597" i="1" l="1"/>
  <c r="Q596" i="1"/>
  <c r="P543" i="1"/>
  <c r="M543" i="1"/>
  <c r="C551" i="1"/>
  <c r="F551" i="1"/>
  <c r="B548" i="1"/>
  <c r="Q543" i="1" l="1"/>
  <c r="X599" i="1"/>
  <c r="W599" i="1"/>
  <c r="U599" i="1"/>
  <c r="T599" i="1"/>
  <c r="O599" i="1"/>
  <c r="K599" i="1"/>
  <c r="Y598" i="1"/>
  <c r="V598" i="1"/>
  <c r="G598" i="1"/>
  <c r="D598" i="1"/>
  <c r="Y597" i="1"/>
  <c r="V597" i="1"/>
  <c r="G597" i="1"/>
  <c r="D597" i="1"/>
  <c r="Y596" i="1"/>
  <c r="V596" i="1"/>
  <c r="N599" i="1"/>
  <c r="L599" i="1"/>
  <c r="G596" i="1"/>
  <c r="D596" i="1"/>
  <c r="Y595" i="1"/>
  <c r="V595" i="1"/>
  <c r="G595" i="1"/>
  <c r="D595" i="1"/>
  <c r="Y594" i="1"/>
  <c r="V594" i="1"/>
  <c r="P594" i="1"/>
  <c r="M594" i="1"/>
  <c r="G594" i="1"/>
  <c r="D594" i="1"/>
  <c r="Y593" i="1"/>
  <c r="V593" i="1"/>
  <c r="P593" i="1"/>
  <c r="M593" i="1"/>
  <c r="G593" i="1"/>
  <c r="D593" i="1"/>
  <c r="Y592" i="1"/>
  <c r="V592" i="1"/>
  <c r="P592" i="1"/>
  <c r="M592" i="1"/>
  <c r="G592" i="1"/>
  <c r="D592" i="1"/>
  <c r="Y591" i="1"/>
  <c r="V591" i="1"/>
  <c r="P591" i="1"/>
  <c r="M591" i="1"/>
  <c r="G591" i="1"/>
  <c r="D591" i="1"/>
  <c r="Y590" i="1"/>
  <c r="V590" i="1"/>
  <c r="P590" i="1"/>
  <c r="M590" i="1"/>
  <c r="G590" i="1"/>
  <c r="D590" i="1"/>
  <c r="Y589" i="1"/>
  <c r="V589" i="1"/>
  <c r="P589" i="1"/>
  <c r="M589" i="1"/>
  <c r="G589" i="1"/>
  <c r="D589" i="1"/>
  <c r="Y588" i="1"/>
  <c r="V588" i="1"/>
  <c r="P588" i="1"/>
  <c r="M588" i="1"/>
  <c r="G588" i="1"/>
  <c r="Y587" i="1"/>
  <c r="V587" i="1"/>
  <c r="P587" i="1"/>
  <c r="M587" i="1"/>
  <c r="G587" i="1"/>
  <c r="D587" i="1"/>
  <c r="Y586" i="1"/>
  <c r="V586" i="1"/>
  <c r="P586" i="1"/>
  <c r="M586" i="1"/>
  <c r="G586" i="1"/>
  <c r="D586" i="1"/>
  <c r="Y585" i="1"/>
  <c r="V585" i="1"/>
  <c r="P585" i="1"/>
  <c r="M585" i="1"/>
  <c r="G585" i="1"/>
  <c r="D585" i="1"/>
  <c r="Y584" i="1"/>
  <c r="V584" i="1"/>
  <c r="P584" i="1"/>
  <c r="M584" i="1"/>
  <c r="F599" i="1"/>
  <c r="G584" i="1"/>
  <c r="C599" i="1"/>
  <c r="B599" i="1"/>
  <c r="Y583" i="1"/>
  <c r="V583" i="1"/>
  <c r="P583" i="1"/>
  <c r="M583" i="1"/>
  <c r="G583" i="1"/>
  <c r="D583" i="1"/>
  <c r="Y582" i="1"/>
  <c r="V582" i="1"/>
  <c r="P582" i="1"/>
  <c r="M582" i="1"/>
  <c r="G582" i="1"/>
  <c r="D582" i="1"/>
  <c r="Y581" i="1"/>
  <c r="V581" i="1"/>
  <c r="G581" i="1"/>
  <c r="D581" i="1"/>
  <c r="Y580" i="1"/>
  <c r="V580" i="1"/>
  <c r="P580" i="1"/>
  <c r="M580" i="1"/>
  <c r="G580" i="1"/>
  <c r="D580" i="1"/>
  <c r="Y579" i="1"/>
  <c r="V579" i="1"/>
  <c r="P579" i="1"/>
  <c r="M579" i="1"/>
  <c r="G579" i="1"/>
  <c r="D579" i="1"/>
  <c r="Y578" i="1"/>
  <c r="V578" i="1"/>
  <c r="P578" i="1"/>
  <c r="M578" i="1"/>
  <c r="G578" i="1"/>
  <c r="D578" i="1"/>
  <c r="Y577" i="1"/>
  <c r="V577" i="1"/>
  <c r="P577" i="1"/>
  <c r="M577" i="1"/>
  <c r="G577" i="1"/>
  <c r="D577" i="1"/>
  <c r="Y576" i="1"/>
  <c r="V576" i="1"/>
  <c r="G576" i="1"/>
  <c r="D576" i="1"/>
  <c r="Y575" i="1"/>
  <c r="V575" i="1"/>
  <c r="P575" i="1"/>
  <c r="G575" i="1"/>
  <c r="D575" i="1"/>
  <c r="Y574" i="1"/>
  <c r="V574" i="1"/>
  <c r="P574" i="1"/>
  <c r="M574" i="1"/>
  <c r="G574" i="1"/>
  <c r="D574" i="1"/>
  <c r="Y573" i="1"/>
  <c r="V573" i="1"/>
  <c r="P573" i="1"/>
  <c r="M573" i="1"/>
  <c r="G573" i="1"/>
  <c r="D573" i="1"/>
  <c r="Y571" i="1"/>
  <c r="V571" i="1"/>
  <c r="P571" i="1"/>
  <c r="M571" i="1"/>
  <c r="G571" i="1"/>
  <c r="D571" i="1"/>
  <c r="Y570" i="1"/>
  <c r="V570" i="1"/>
  <c r="P570" i="1"/>
  <c r="M570" i="1"/>
  <c r="G570" i="1"/>
  <c r="D570" i="1"/>
  <c r="Y569" i="1"/>
  <c r="V569" i="1"/>
  <c r="P569" i="1"/>
  <c r="M569" i="1"/>
  <c r="G569" i="1"/>
  <c r="D569" i="1"/>
  <c r="Y568" i="1"/>
  <c r="V568" i="1"/>
  <c r="P568" i="1"/>
  <c r="M568" i="1"/>
  <c r="G568" i="1"/>
  <c r="D568" i="1"/>
  <c r="Y567" i="1"/>
  <c r="V567" i="1"/>
  <c r="P567" i="1"/>
  <c r="M567" i="1"/>
  <c r="G567" i="1"/>
  <c r="D567" i="1"/>
  <c r="Y566" i="1"/>
  <c r="V566" i="1"/>
  <c r="P566" i="1"/>
  <c r="M566" i="1"/>
  <c r="G566" i="1"/>
  <c r="D566" i="1"/>
  <c r="Y565" i="1"/>
  <c r="V565" i="1"/>
  <c r="P565" i="1"/>
  <c r="M565" i="1"/>
  <c r="G565" i="1"/>
  <c r="D565" i="1"/>
  <c r="Y564" i="1"/>
  <c r="V564" i="1"/>
  <c r="P564" i="1"/>
  <c r="M564" i="1"/>
  <c r="G564" i="1"/>
  <c r="D564" i="1"/>
  <c r="C544" i="1"/>
  <c r="Z564" i="1" l="1"/>
  <c r="Z567" i="1"/>
  <c r="Z569" i="1"/>
  <c r="Z570" i="1"/>
  <c r="Q584" i="1"/>
  <c r="Q586" i="1"/>
  <c r="Q588" i="1"/>
  <c r="Q590" i="1"/>
  <c r="Q594" i="1"/>
  <c r="H598" i="1"/>
  <c r="Q565" i="1"/>
  <c r="H574" i="1"/>
  <c r="H578" i="1"/>
  <c r="H579" i="1"/>
  <c r="H580" i="1"/>
  <c r="H582" i="1"/>
  <c r="Z584" i="1"/>
  <c r="Z585" i="1"/>
  <c r="Z586" i="1"/>
  <c r="Z591" i="1"/>
  <c r="Z592" i="1"/>
  <c r="Z593" i="1"/>
  <c r="Z595" i="1"/>
  <c r="H570" i="1"/>
  <c r="H568" i="1"/>
  <c r="H573" i="1"/>
  <c r="Z576" i="1"/>
  <c r="Z582" i="1"/>
  <c r="Q573" i="1"/>
  <c r="Q577" i="1"/>
  <c r="Q583" i="1"/>
  <c r="H588" i="1"/>
  <c r="H591" i="1"/>
  <c r="H593" i="1"/>
  <c r="Z597" i="1"/>
  <c r="Q592" i="1"/>
  <c r="Q575" i="1"/>
  <c r="H567" i="1"/>
  <c r="Z574" i="1"/>
  <c r="Z575" i="1"/>
  <c r="Q580" i="1"/>
  <c r="Z589" i="1"/>
  <c r="Z565" i="1"/>
  <c r="Q564" i="1"/>
  <c r="Q566" i="1"/>
  <c r="Q567" i="1"/>
  <c r="Q569" i="1"/>
  <c r="H576" i="1"/>
  <c r="Z577" i="1"/>
  <c r="Z578" i="1"/>
  <c r="Z580" i="1"/>
  <c r="H585" i="1"/>
  <c r="H595" i="1"/>
  <c r="H597" i="1"/>
  <c r="Y599" i="1"/>
  <c r="Z581" i="1"/>
  <c r="Z587" i="1"/>
  <c r="Q589" i="1"/>
  <c r="Q591" i="1"/>
  <c r="H592" i="1"/>
  <c r="H594" i="1"/>
  <c r="Z594" i="1"/>
  <c r="Z596" i="1"/>
  <c r="Z566" i="1"/>
  <c r="Q568" i="1"/>
  <c r="Q570" i="1"/>
  <c r="H571" i="1"/>
  <c r="Z573" i="1"/>
  <c r="H586" i="1"/>
  <c r="Z588" i="1"/>
  <c r="Z590" i="1"/>
  <c r="Q593" i="1"/>
  <c r="H596" i="1"/>
  <c r="V599" i="1"/>
  <c r="Q571" i="1"/>
  <c r="Z583" i="1"/>
  <c r="H569" i="1"/>
  <c r="Z571" i="1"/>
  <c r="Z579" i="1"/>
  <c r="D599" i="1"/>
  <c r="Q585" i="1"/>
  <c r="Q587" i="1"/>
  <c r="Z598" i="1"/>
  <c r="Z568" i="1"/>
  <c r="Q574" i="1"/>
  <c r="Q579" i="1"/>
  <c r="Q582" i="1"/>
  <c r="P599" i="1"/>
  <c r="Q578" i="1"/>
  <c r="M599" i="1"/>
  <c r="H577" i="1"/>
  <c r="H583" i="1"/>
  <c r="H590" i="1"/>
  <c r="H589" i="1"/>
  <c r="H587" i="1"/>
  <c r="H575" i="1"/>
  <c r="H581" i="1"/>
  <c r="H565" i="1"/>
  <c r="H564" i="1"/>
  <c r="H566" i="1"/>
  <c r="D584" i="1"/>
  <c r="H584" i="1" s="1"/>
  <c r="E599" i="1"/>
  <c r="G599" i="1" s="1"/>
  <c r="Z599" i="1" l="1"/>
  <c r="H599" i="1"/>
  <c r="Q599" i="1"/>
  <c r="P537" i="1"/>
  <c r="M537" i="1"/>
  <c r="P536" i="1"/>
  <c r="M536" i="1"/>
  <c r="G543" i="1"/>
  <c r="D543" i="1"/>
  <c r="Q537" i="1" l="1"/>
  <c r="Q536" i="1"/>
  <c r="H543" i="1"/>
  <c r="E541" i="1"/>
  <c r="F541" i="1"/>
  <c r="C541" i="1"/>
  <c r="B541" i="1"/>
  <c r="P552" i="1" l="1"/>
  <c r="M552" i="1"/>
  <c r="Q552" i="1" l="1"/>
  <c r="F535" i="1"/>
  <c r="C535" i="1"/>
  <c r="P532" i="1"/>
  <c r="M532" i="1"/>
  <c r="Q532" i="1" l="1"/>
  <c r="P512" i="1"/>
  <c r="M512" i="1"/>
  <c r="Q512" i="1" l="1"/>
  <c r="P555" i="1"/>
  <c r="M555" i="1"/>
  <c r="P511" i="1"/>
  <c r="M511" i="1"/>
  <c r="M554" i="1"/>
  <c r="P554" i="1"/>
  <c r="K556" i="1"/>
  <c r="L556" i="1"/>
  <c r="P551" i="1"/>
  <c r="M551" i="1"/>
  <c r="O556" i="1"/>
  <c r="X556" i="1"/>
  <c r="W556" i="1"/>
  <c r="U556" i="1"/>
  <c r="T556" i="1"/>
  <c r="Y555" i="1"/>
  <c r="V555" i="1"/>
  <c r="Y554" i="1"/>
  <c r="V554" i="1"/>
  <c r="Y553" i="1"/>
  <c r="V553" i="1"/>
  <c r="Y552" i="1"/>
  <c r="V552" i="1"/>
  <c r="Y551" i="1"/>
  <c r="V551" i="1"/>
  <c r="Y550" i="1"/>
  <c r="V550" i="1"/>
  <c r="P550" i="1"/>
  <c r="M550" i="1"/>
  <c r="Y549" i="1"/>
  <c r="V549" i="1"/>
  <c r="P549" i="1"/>
  <c r="M549" i="1"/>
  <c r="Y548" i="1"/>
  <c r="V548" i="1"/>
  <c r="P548" i="1"/>
  <c r="M548" i="1"/>
  <c r="Y547" i="1"/>
  <c r="V547" i="1"/>
  <c r="P547" i="1"/>
  <c r="M547" i="1"/>
  <c r="Y546" i="1"/>
  <c r="V546" i="1"/>
  <c r="P546" i="1"/>
  <c r="M546" i="1"/>
  <c r="Y545" i="1"/>
  <c r="V545" i="1"/>
  <c r="P545" i="1"/>
  <c r="M545" i="1"/>
  <c r="Y544" i="1"/>
  <c r="V544" i="1"/>
  <c r="P544" i="1"/>
  <c r="M544" i="1"/>
  <c r="Y543" i="1"/>
  <c r="V543" i="1"/>
  <c r="Y542" i="1"/>
  <c r="V542" i="1"/>
  <c r="P542" i="1"/>
  <c r="M542" i="1"/>
  <c r="Y541" i="1"/>
  <c r="V541" i="1"/>
  <c r="P541" i="1"/>
  <c r="M541" i="1"/>
  <c r="Y540" i="1"/>
  <c r="V540" i="1"/>
  <c r="P540" i="1"/>
  <c r="M540" i="1"/>
  <c r="Y539" i="1"/>
  <c r="V539" i="1"/>
  <c r="P539" i="1"/>
  <c r="M539" i="1"/>
  <c r="Y538" i="1"/>
  <c r="V538" i="1"/>
  <c r="P538" i="1"/>
  <c r="M538" i="1"/>
  <c r="Y537" i="1"/>
  <c r="V537" i="1"/>
  <c r="Y536" i="1"/>
  <c r="V536" i="1"/>
  <c r="Y535" i="1"/>
  <c r="V535" i="1"/>
  <c r="P535" i="1"/>
  <c r="M535" i="1"/>
  <c r="Y534" i="1"/>
  <c r="V534" i="1"/>
  <c r="P534" i="1"/>
  <c r="M534" i="1"/>
  <c r="Y533" i="1"/>
  <c r="V533" i="1"/>
  <c r="P533" i="1"/>
  <c r="M533" i="1"/>
  <c r="Y532" i="1"/>
  <c r="V532" i="1"/>
  <c r="Y531" i="1"/>
  <c r="V531" i="1"/>
  <c r="P531" i="1"/>
  <c r="M531" i="1"/>
  <c r="Y530" i="1"/>
  <c r="V530" i="1"/>
  <c r="P530" i="1"/>
  <c r="M530" i="1"/>
  <c r="Y528" i="1"/>
  <c r="V528" i="1"/>
  <c r="P528" i="1"/>
  <c r="M528" i="1"/>
  <c r="Y527" i="1"/>
  <c r="V527" i="1"/>
  <c r="P527" i="1"/>
  <c r="M527" i="1"/>
  <c r="Y526" i="1"/>
  <c r="V526" i="1"/>
  <c r="P526" i="1"/>
  <c r="M526" i="1"/>
  <c r="Y525" i="1"/>
  <c r="V525" i="1"/>
  <c r="P525" i="1"/>
  <c r="M525" i="1"/>
  <c r="Y524" i="1"/>
  <c r="V524" i="1"/>
  <c r="P524" i="1"/>
  <c r="M524" i="1"/>
  <c r="Y523" i="1"/>
  <c r="V523" i="1"/>
  <c r="P523" i="1"/>
  <c r="M523" i="1"/>
  <c r="Y522" i="1"/>
  <c r="V522" i="1"/>
  <c r="P522" i="1"/>
  <c r="M522" i="1"/>
  <c r="Y521" i="1"/>
  <c r="V521" i="1"/>
  <c r="P521" i="1"/>
  <c r="M521" i="1"/>
  <c r="F556" i="1"/>
  <c r="E556" i="1"/>
  <c r="C556" i="1"/>
  <c r="G555" i="1"/>
  <c r="D555" i="1"/>
  <c r="G554" i="1"/>
  <c r="D554" i="1"/>
  <c r="G553" i="1"/>
  <c r="D553" i="1"/>
  <c r="G552" i="1"/>
  <c r="D552" i="1"/>
  <c r="G551" i="1"/>
  <c r="D551" i="1"/>
  <c r="G550" i="1"/>
  <c r="D550" i="1"/>
  <c r="G549" i="1"/>
  <c r="D549" i="1"/>
  <c r="G548" i="1"/>
  <c r="D548" i="1"/>
  <c r="G547" i="1"/>
  <c r="D547" i="1"/>
  <c r="G546" i="1"/>
  <c r="D546" i="1"/>
  <c r="G545" i="1"/>
  <c r="D545" i="1"/>
  <c r="G544" i="1"/>
  <c r="D544" i="1"/>
  <c r="G542" i="1"/>
  <c r="D542" i="1"/>
  <c r="G541" i="1"/>
  <c r="D541" i="1"/>
  <c r="G540" i="1"/>
  <c r="D540" i="1"/>
  <c r="G539" i="1"/>
  <c r="D539" i="1"/>
  <c r="G538" i="1"/>
  <c r="D538" i="1"/>
  <c r="G537" i="1"/>
  <c r="D537" i="1"/>
  <c r="G536" i="1"/>
  <c r="D536" i="1"/>
  <c r="G535" i="1"/>
  <c r="D535" i="1"/>
  <c r="G534" i="1"/>
  <c r="D534" i="1"/>
  <c r="G533" i="1"/>
  <c r="D533" i="1"/>
  <c r="G532" i="1"/>
  <c r="D532" i="1"/>
  <c r="G531" i="1"/>
  <c r="D531" i="1"/>
  <c r="G530" i="1"/>
  <c r="D530" i="1"/>
  <c r="G528" i="1"/>
  <c r="D528" i="1"/>
  <c r="G527" i="1"/>
  <c r="D527" i="1"/>
  <c r="G526" i="1"/>
  <c r="D526" i="1"/>
  <c r="G525" i="1"/>
  <c r="D525" i="1"/>
  <c r="G524" i="1"/>
  <c r="D524" i="1"/>
  <c r="G523" i="1"/>
  <c r="D523" i="1"/>
  <c r="G522" i="1"/>
  <c r="D522" i="1"/>
  <c r="G521" i="1"/>
  <c r="D521" i="1"/>
  <c r="Q555" i="1" l="1"/>
  <c r="Q524" i="1"/>
  <c r="Z525" i="1"/>
  <c r="Q527" i="1"/>
  <c r="Z528" i="1"/>
  <c r="Z541" i="1"/>
  <c r="Z544" i="1"/>
  <c r="Q546" i="1"/>
  <c r="Z547" i="1"/>
  <c r="Q549" i="1"/>
  <c r="Z550" i="1"/>
  <c r="Z553" i="1"/>
  <c r="V556" i="1"/>
  <c r="H521" i="1"/>
  <c r="H527" i="1"/>
  <c r="H531" i="1"/>
  <c r="H534" i="1"/>
  <c r="H537" i="1"/>
  <c r="H540" i="1"/>
  <c r="H546" i="1"/>
  <c r="H549" i="1"/>
  <c r="H552" i="1"/>
  <c r="Z527" i="1"/>
  <c r="Z522" i="1"/>
  <c r="Z531" i="1"/>
  <c r="Q533" i="1"/>
  <c r="Z534" i="1"/>
  <c r="Z537" i="1"/>
  <c r="Q539" i="1"/>
  <c r="Z540" i="1"/>
  <c r="Y556" i="1"/>
  <c r="G556" i="1"/>
  <c r="Z523" i="1"/>
  <c r="Z526" i="1"/>
  <c r="Z521" i="1"/>
  <c r="Q523" i="1"/>
  <c r="Z524" i="1"/>
  <c r="Q542" i="1"/>
  <c r="Q548" i="1"/>
  <c r="Z554" i="1"/>
  <c r="Q521" i="1"/>
  <c r="Z530" i="1"/>
  <c r="Z533" i="1"/>
  <c r="Z536" i="1"/>
  <c r="Q538" i="1"/>
  <c r="Z539" i="1"/>
  <c r="Q541" i="1"/>
  <c r="Z542" i="1"/>
  <c r="Q544" i="1"/>
  <c r="Z545" i="1"/>
  <c r="Z548" i="1"/>
  <c r="Q550" i="1"/>
  <c r="Z552" i="1"/>
  <c r="Z555" i="1"/>
  <c r="Q511" i="1"/>
  <c r="H525" i="1"/>
  <c r="Q525" i="1"/>
  <c r="Q531" i="1"/>
  <c r="Z532" i="1"/>
  <c r="Q534" i="1"/>
  <c r="Z535" i="1"/>
  <c r="Z538" i="1"/>
  <c r="Q540" i="1"/>
  <c r="Q547" i="1"/>
  <c r="Q554" i="1"/>
  <c r="H530" i="1"/>
  <c r="H533" i="1"/>
  <c r="H536" i="1"/>
  <c r="H539" i="1"/>
  <c r="H542" i="1"/>
  <c r="H548" i="1"/>
  <c r="H551" i="1"/>
  <c r="H554" i="1"/>
  <c r="Q522" i="1"/>
  <c r="Q528" i="1"/>
  <c r="Q530" i="1"/>
  <c r="Z543" i="1"/>
  <c r="Q545" i="1"/>
  <c r="Z546" i="1"/>
  <c r="Z549" i="1"/>
  <c r="Z551" i="1"/>
  <c r="H555" i="1"/>
  <c r="Q526" i="1"/>
  <c r="Q535" i="1"/>
  <c r="Q551" i="1"/>
  <c r="N556" i="1"/>
  <c r="P556" i="1" s="1"/>
  <c r="M556" i="1"/>
  <c r="H532" i="1"/>
  <c r="H535" i="1"/>
  <c r="H538" i="1"/>
  <c r="H541" i="1"/>
  <c r="H544" i="1"/>
  <c r="H550" i="1"/>
  <c r="H553" i="1"/>
  <c r="H547" i="1"/>
  <c r="H545" i="1"/>
  <c r="H523" i="1"/>
  <c r="H522" i="1"/>
  <c r="H528" i="1"/>
  <c r="H526" i="1"/>
  <c r="H524" i="1"/>
  <c r="B556" i="1"/>
  <c r="D556" i="1" s="1"/>
  <c r="P509" i="1"/>
  <c r="M509" i="1"/>
  <c r="E505" i="1"/>
  <c r="Z556" i="1" l="1"/>
  <c r="H556" i="1"/>
  <c r="Q509" i="1"/>
  <c r="Q556" i="1"/>
  <c r="E503" i="1"/>
  <c r="P501" i="1"/>
  <c r="M501" i="1"/>
  <c r="E502" i="1"/>
  <c r="Q501" i="1" l="1"/>
  <c r="B496" i="1"/>
  <c r="E496" i="1"/>
  <c r="B489" i="1" l="1"/>
  <c r="P487" i="1"/>
  <c r="M487" i="1"/>
  <c r="P459" i="1"/>
  <c r="M459" i="1"/>
  <c r="G487" i="1"/>
  <c r="D487" i="1"/>
  <c r="Q459" i="1" l="1"/>
  <c r="Q487" i="1"/>
  <c r="H487" i="1"/>
  <c r="E466" i="1"/>
  <c r="B466" i="1"/>
  <c r="C466" i="1"/>
  <c r="P455" i="1" l="1"/>
  <c r="M455" i="1"/>
  <c r="B465" i="1"/>
  <c r="M467" i="1"/>
  <c r="P467" i="1"/>
  <c r="M468" i="1"/>
  <c r="P468" i="1"/>
  <c r="M469" i="1"/>
  <c r="P469" i="1"/>
  <c r="X513" i="1"/>
  <c r="W513" i="1"/>
  <c r="U513" i="1"/>
  <c r="T513" i="1"/>
  <c r="L513" i="1"/>
  <c r="F513" i="1"/>
  <c r="E513" i="1"/>
  <c r="C513" i="1"/>
  <c r="Y512" i="1"/>
  <c r="V512" i="1"/>
  <c r="G512" i="1"/>
  <c r="D512" i="1"/>
  <c r="Y511" i="1"/>
  <c r="V511" i="1"/>
  <c r="O513" i="1"/>
  <c r="N513" i="1"/>
  <c r="G511" i="1"/>
  <c r="D511" i="1"/>
  <c r="Y510" i="1"/>
  <c r="V510" i="1"/>
  <c r="P510" i="1"/>
  <c r="M510" i="1"/>
  <c r="G510" i="1"/>
  <c r="D510" i="1"/>
  <c r="Y509" i="1"/>
  <c r="V509" i="1"/>
  <c r="G509" i="1"/>
  <c r="D509" i="1"/>
  <c r="Y508" i="1"/>
  <c r="V508" i="1"/>
  <c r="P508" i="1"/>
  <c r="M508" i="1"/>
  <c r="G508" i="1"/>
  <c r="D508" i="1"/>
  <c r="Y507" i="1"/>
  <c r="V507" i="1"/>
  <c r="P507" i="1"/>
  <c r="M507" i="1"/>
  <c r="G507" i="1"/>
  <c r="D507" i="1"/>
  <c r="Y506" i="1"/>
  <c r="V506" i="1"/>
  <c r="P506" i="1"/>
  <c r="M506" i="1"/>
  <c r="G506" i="1"/>
  <c r="D506" i="1"/>
  <c r="Y505" i="1"/>
  <c r="V505" i="1"/>
  <c r="P505" i="1"/>
  <c r="M505" i="1"/>
  <c r="G505" i="1"/>
  <c r="D505" i="1"/>
  <c r="Y504" i="1"/>
  <c r="V504" i="1"/>
  <c r="P504" i="1"/>
  <c r="M504" i="1"/>
  <c r="G504" i="1"/>
  <c r="D504" i="1"/>
  <c r="Y503" i="1"/>
  <c r="V503" i="1"/>
  <c r="P503" i="1"/>
  <c r="M503" i="1"/>
  <c r="G503" i="1"/>
  <c r="D503" i="1"/>
  <c r="Y502" i="1"/>
  <c r="V502" i="1"/>
  <c r="P502" i="1"/>
  <c r="M502" i="1"/>
  <c r="G502" i="1"/>
  <c r="D502" i="1"/>
  <c r="Y501" i="1"/>
  <c r="V501" i="1"/>
  <c r="G501" i="1"/>
  <c r="D501" i="1"/>
  <c r="Y500" i="1"/>
  <c r="V500" i="1"/>
  <c r="P500" i="1"/>
  <c r="M500" i="1"/>
  <c r="G500" i="1"/>
  <c r="D500" i="1"/>
  <c r="Y499" i="1"/>
  <c r="V499" i="1"/>
  <c r="P499" i="1"/>
  <c r="M499" i="1"/>
  <c r="G499" i="1"/>
  <c r="D499" i="1"/>
  <c r="Y498" i="1"/>
  <c r="V498" i="1"/>
  <c r="P498" i="1"/>
  <c r="M498" i="1"/>
  <c r="G498" i="1"/>
  <c r="D498" i="1"/>
  <c r="Y497" i="1"/>
  <c r="V497" i="1"/>
  <c r="P497" i="1"/>
  <c r="M497" i="1"/>
  <c r="G497" i="1"/>
  <c r="D497" i="1"/>
  <c r="Y496" i="1"/>
  <c r="V496" i="1"/>
  <c r="P496" i="1"/>
  <c r="M496" i="1"/>
  <c r="G496" i="1"/>
  <c r="D496" i="1"/>
  <c r="Y495" i="1"/>
  <c r="V495" i="1"/>
  <c r="P495" i="1"/>
  <c r="M495" i="1"/>
  <c r="G495" i="1"/>
  <c r="D495" i="1"/>
  <c r="Y494" i="1"/>
  <c r="V494" i="1"/>
  <c r="P494" i="1"/>
  <c r="M494" i="1"/>
  <c r="G494" i="1"/>
  <c r="D494" i="1"/>
  <c r="Y493" i="1"/>
  <c r="V493" i="1"/>
  <c r="P493" i="1"/>
  <c r="M493" i="1"/>
  <c r="G493" i="1"/>
  <c r="D493" i="1"/>
  <c r="Y492" i="1"/>
  <c r="V492" i="1"/>
  <c r="P492" i="1"/>
  <c r="M492" i="1"/>
  <c r="G492" i="1"/>
  <c r="D492" i="1"/>
  <c r="Y491" i="1"/>
  <c r="V491" i="1"/>
  <c r="P491" i="1"/>
  <c r="M491" i="1"/>
  <c r="G491" i="1"/>
  <c r="D491" i="1"/>
  <c r="Y490" i="1"/>
  <c r="V490" i="1"/>
  <c r="P490" i="1"/>
  <c r="M490" i="1"/>
  <c r="G490" i="1"/>
  <c r="D490" i="1"/>
  <c r="Y489" i="1"/>
  <c r="V489" i="1"/>
  <c r="P489" i="1"/>
  <c r="M489" i="1"/>
  <c r="G489" i="1"/>
  <c r="D489" i="1"/>
  <c r="Y488" i="1"/>
  <c r="V488" i="1"/>
  <c r="P488" i="1"/>
  <c r="M488" i="1"/>
  <c r="G488" i="1"/>
  <c r="D488" i="1"/>
  <c r="Y487" i="1"/>
  <c r="V487" i="1"/>
  <c r="Y485" i="1"/>
  <c r="V485" i="1"/>
  <c r="P485" i="1"/>
  <c r="M485" i="1"/>
  <c r="G485" i="1"/>
  <c r="D485" i="1"/>
  <c r="Y484" i="1"/>
  <c r="V484" i="1"/>
  <c r="P484" i="1"/>
  <c r="M484" i="1"/>
  <c r="G484" i="1"/>
  <c r="D484" i="1"/>
  <c r="Y483" i="1"/>
  <c r="V483" i="1"/>
  <c r="P483" i="1"/>
  <c r="M483" i="1"/>
  <c r="G483" i="1"/>
  <c r="D483" i="1"/>
  <c r="Y482" i="1"/>
  <c r="V482" i="1"/>
  <c r="P482" i="1"/>
  <c r="M482" i="1"/>
  <c r="G482" i="1"/>
  <c r="D482" i="1"/>
  <c r="Y481" i="1"/>
  <c r="V481" i="1"/>
  <c r="P481" i="1"/>
  <c r="M481" i="1"/>
  <c r="G481" i="1"/>
  <c r="D481" i="1"/>
  <c r="Y480" i="1"/>
  <c r="V480" i="1"/>
  <c r="P480" i="1"/>
  <c r="M480" i="1"/>
  <c r="G480" i="1"/>
  <c r="D480" i="1"/>
  <c r="Y479" i="1"/>
  <c r="V479" i="1"/>
  <c r="P479" i="1"/>
  <c r="M479" i="1"/>
  <c r="G479" i="1"/>
  <c r="D479" i="1"/>
  <c r="Y478" i="1"/>
  <c r="V478" i="1"/>
  <c r="P478" i="1"/>
  <c r="M478" i="1"/>
  <c r="G478" i="1"/>
  <c r="D478" i="1"/>
  <c r="H510" i="1" l="1"/>
  <c r="H511" i="1"/>
  <c r="H478" i="1"/>
  <c r="H479" i="1"/>
  <c r="H481" i="1"/>
  <c r="H484" i="1"/>
  <c r="H485" i="1"/>
  <c r="H507" i="1"/>
  <c r="H508" i="1"/>
  <c r="H509" i="1"/>
  <c r="Q485" i="1"/>
  <c r="H480" i="1"/>
  <c r="Z481" i="1"/>
  <c r="Z482" i="1"/>
  <c r="Z483" i="1"/>
  <c r="Z484" i="1"/>
  <c r="Q490" i="1"/>
  <c r="Q507" i="1"/>
  <c r="Q468" i="1"/>
  <c r="Z510" i="1"/>
  <c r="Q482" i="1"/>
  <c r="Z485" i="1"/>
  <c r="Z487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12" i="1"/>
  <c r="V513" i="1"/>
  <c r="Q510" i="1"/>
  <c r="Y513" i="1"/>
  <c r="Z489" i="1"/>
  <c r="Z506" i="1"/>
  <c r="Z508" i="1"/>
  <c r="Z509" i="1"/>
  <c r="H506" i="1"/>
  <c r="Q478" i="1"/>
  <c r="Q479" i="1"/>
  <c r="Q480" i="1"/>
  <c r="Q481" i="1"/>
  <c r="H490" i="1"/>
  <c r="Q455" i="1"/>
  <c r="Q484" i="1"/>
  <c r="H482" i="1"/>
  <c r="Q488" i="1"/>
  <c r="Q489" i="1"/>
  <c r="Q505" i="1"/>
  <c r="Q506" i="1"/>
  <c r="K513" i="1"/>
  <c r="M513" i="1" s="1"/>
  <c r="Q467" i="1"/>
  <c r="H489" i="1"/>
  <c r="Q469" i="1"/>
  <c r="Z511" i="1"/>
  <c r="H491" i="1"/>
  <c r="H512" i="1"/>
  <c r="Z479" i="1"/>
  <c r="Q483" i="1"/>
  <c r="Z488" i="1"/>
  <c r="H505" i="1"/>
  <c r="Q508" i="1"/>
  <c r="G513" i="1"/>
  <c r="Q492" i="1"/>
  <c r="Q493" i="1"/>
  <c r="Q494" i="1"/>
  <c r="Q496" i="1"/>
  <c r="Q497" i="1"/>
  <c r="Q498" i="1"/>
  <c r="Q499" i="1"/>
  <c r="Q500" i="1"/>
  <c r="Q502" i="1"/>
  <c r="Q503" i="1"/>
  <c r="Q504" i="1"/>
  <c r="Z507" i="1"/>
  <c r="Q495" i="1"/>
  <c r="Q491" i="1"/>
  <c r="H488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483" i="1"/>
  <c r="H492" i="1"/>
  <c r="Z478" i="1"/>
  <c r="Z480" i="1"/>
  <c r="P513" i="1"/>
  <c r="B513" i="1"/>
  <c r="D513" i="1" s="1"/>
  <c r="F461" i="1"/>
  <c r="Z513" i="1" l="1"/>
  <c r="Q513" i="1"/>
  <c r="H513" i="1"/>
  <c r="C438" i="1" l="1"/>
  <c r="D437" i="1"/>
  <c r="E449" i="1"/>
  <c r="B449" i="1"/>
  <c r="D393" i="1" l="1"/>
  <c r="Y469" i="1" l="1"/>
  <c r="V469" i="1"/>
  <c r="X470" i="1"/>
  <c r="W470" i="1"/>
  <c r="U470" i="1"/>
  <c r="T470" i="1"/>
  <c r="Y467" i="1"/>
  <c r="V467" i="1"/>
  <c r="Y466" i="1"/>
  <c r="V466" i="1"/>
  <c r="Y465" i="1"/>
  <c r="V465" i="1"/>
  <c r="Y464" i="1"/>
  <c r="V464" i="1"/>
  <c r="Y463" i="1"/>
  <c r="V463" i="1"/>
  <c r="Y462" i="1"/>
  <c r="V462" i="1"/>
  <c r="Y461" i="1"/>
  <c r="V461" i="1"/>
  <c r="Y460" i="1"/>
  <c r="V460" i="1"/>
  <c r="Y459" i="1"/>
  <c r="V459" i="1"/>
  <c r="Y458" i="1"/>
  <c r="V458" i="1"/>
  <c r="Y457" i="1"/>
  <c r="V457" i="1"/>
  <c r="Y456" i="1"/>
  <c r="V456" i="1"/>
  <c r="Y455" i="1"/>
  <c r="V455" i="1"/>
  <c r="Y454" i="1"/>
  <c r="V454" i="1"/>
  <c r="Y453" i="1"/>
  <c r="V453" i="1"/>
  <c r="Y452" i="1"/>
  <c r="V452" i="1"/>
  <c r="Y451" i="1"/>
  <c r="V451" i="1"/>
  <c r="Y450" i="1"/>
  <c r="V450" i="1"/>
  <c r="Z450" i="1" s="1"/>
  <c r="Y449" i="1"/>
  <c r="V449" i="1"/>
  <c r="Y448" i="1"/>
  <c r="V448" i="1"/>
  <c r="Y447" i="1"/>
  <c r="V447" i="1"/>
  <c r="Y446" i="1"/>
  <c r="V446" i="1"/>
  <c r="Y445" i="1"/>
  <c r="V445" i="1"/>
  <c r="Y444" i="1"/>
  <c r="V444" i="1"/>
  <c r="Y442" i="1"/>
  <c r="V442" i="1"/>
  <c r="Y441" i="1"/>
  <c r="V441" i="1"/>
  <c r="Y440" i="1"/>
  <c r="V440" i="1"/>
  <c r="Y439" i="1"/>
  <c r="V439" i="1"/>
  <c r="Y438" i="1"/>
  <c r="V438" i="1"/>
  <c r="Y437" i="1"/>
  <c r="V437" i="1"/>
  <c r="Y436" i="1"/>
  <c r="V436" i="1"/>
  <c r="Y435" i="1"/>
  <c r="V435" i="1"/>
  <c r="X434" i="1"/>
  <c r="X443" i="1" s="1"/>
  <c r="W434" i="1"/>
  <c r="U434" i="1"/>
  <c r="U443" i="1" s="1"/>
  <c r="T434" i="1"/>
  <c r="T443" i="1" s="1"/>
  <c r="Z447" i="1" l="1"/>
  <c r="Z440" i="1"/>
  <c r="Z453" i="1"/>
  <c r="Y434" i="1"/>
  <c r="Z456" i="1"/>
  <c r="Z459" i="1"/>
  <c r="Z465" i="1"/>
  <c r="Z444" i="1"/>
  <c r="Z462" i="1"/>
  <c r="X471" i="1"/>
  <c r="X477" i="1" s="1"/>
  <c r="X486" i="1" s="1"/>
  <c r="X514" i="1" s="1"/>
  <c r="X520" i="1" s="1"/>
  <c r="X529" i="1" s="1"/>
  <c r="X557" i="1" s="1"/>
  <c r="X563" i="1" s="1"/>
  <c r="X572" i="1" s="1"/>
  <c r="X600" i="1" s="1"/>
  <c r="X606" i="1" s="1"/>
  <c r="X615" i="1" s="1"/>
  <c r="X643" i="1" s="1"/>
  <c r="X649" i="1" s="1"/>
  <c r="X658" i="1" s="1"/>
  <c r="X686" i="1" s="1"/>
  <c r="X692" i="1" s="1"/>
  <c r="X701" i="1" s="1"/>
  <c r="X729" i="1" s="1"/>
  <c r="X735" i="1" s="1"/>
  <c r="X744" i="1" s="1"/>
  <c r="X772" i="1" s="1"/>
  <c r="X778" i="1" s="1"/>
  <c r="X787" i="1" s="1"/>
  <c r="X815" i="1" s="1"/>
  <c r="X821" i="1" s="1"/>
  <c r="X830" i="1" s="1"/>
  <c r="X858" i="1" s="1"/>
  <c r="X864" i="1" s="1"/>
  <c r="X873" i="1" s="1"/>
  <c r="X901" i="1" s="1"/>
  <c r="X907" i="1" s="1"/>
  <c r="X916" i="1" s="1"/>
  <c r="X944" i="1" s="1"/>
  <c r="X950" i="1" s="1"/>
  <c r="X959" i="1" s="1"/>
  <c r="X987" i="1" s="1"/>
  <c r="X993" i="1" s="1"/>
  <c r="X1002" i="1" s="1"/>
  <c r="X1030" i="1" s="1"/>
  <c r="Z436" i="1"/>
  <c r="Z439" i="1"/>
  <c r="Z442" i="1"/>
  <c r="Z446" i="1"/>
  <c r="Z449" i="1"/>
  <c r="Z452" i="1"/>
  <c r="Z455" i="1"/>
  <c r="Z458" i="1"/>
  <c r="Z461" i="1"/>
  <c r="Z464" i="1"/>
  <c r="Z467" i="1"/>
  <c r="Z435" i="1"/>
  <c r="Z438" i="1"/>
  <c r="Z441" i="1"/>
  <c r="Z445" i="1"/>
  <c r="Z448" i="1"/>
  <c r="Z451" i="1"/>
  <c r="Z454" i="1"/>
  <c r="Z457" i="1"/>
  <c r="Z460" i="1"/>
  <c r="Z463" i="1"/>
  <c r="Z466" i="1"/>
  <c r="Y470" i="1"/>
  <c r="U471" i="1"/>
  <c r="U477" i="1" s="1"/>
  <c r="U486" i="1" s="1"/>
  <c r="U514" i="1" s="1"/>
  <c r="U520" i="1" s="1"/>
  <c r="U529" i="1" s="1"/>
  <c r="U557" i="1" s="1"/>
  <c r="U563" i="1" s="1"/>
  <c r="U572" i="1" s="1"/>
  <c r="U600" i="1" s="1"/>
  <c r="U606" i="1" s="1"/>
  <c r="U615" i="1" s="1"/>
  <c r="U643" i="1" s="1"/>
  <c r="U649" i="1" s="1"/>
  <c r="U658" i="1" s="1"/>
  <c r="U686" i="1" s="1"/>
  <c r="U692" i="1" s="1"/>
  <c r="U701" i="1" s="1"/>
  <c r="U729" i="1" s="1"/>
  <c r="U735" i="1" s="1"/>
  <c r="U744" i="1" s="1"/>
  <c r="U772" i="1" s="1"/>
  <c r="U778" i="1" s="1"/>
  <c r="U787" i="1" s="1"/>
  <c r="U815" i="1" s="1"/>
  <c r="U821" i="1" s="1"/>
  <c r="Z469" i="1"/>
  <c r="V470" i="1"/>
  <c r="Z437" i="1"/>
  <c r="T471" i="1"/>
  <c r="T477" i="1" s="1"/>
  <c r="V443" i="1"/>
  <c r="V434" i="1"/>
  <c r="Z434" i="1" s="1"/>
  <c r="W443" i="1"/>
  <c r="V468" i="1"/>
  <c r="Y468" i="1"/>
  <c r="E402" i="1"/>
  <c r="B402" i="1"/>
  <c r="D444" i="1"/>
  <c r="G444" i="1"/>
  <c r="D445" i="1"/>
  <c r="G445" i="1"/>
  <c r="F470" i="1"/>
  <c r="E470" i="1"/>
  <c r="C470" i="1"/>
  <c r="B470" i="1"/>
  <c r="G469" i="1"/>
  <c r="D469" i="1"/>
  <c r="O470" i="1"/>
  <c r="L470" i="1"/>
  <c r="K470" i="1"/>
  <c r="G468" i="1"/>
  <c r="D468" i="1"/>
  <c r="G467" i="1"/>
  <c r="D467" i="1"/>
  <c r="P466" i="1"/>
  <c r="M466" i="1"/>
  <c r="G466" i="1"/>
  <c r="D466" i="1"/>
  <c r="P465" i="1"/>
  <c r="M465" i="1"/>
  <c r="G465" i="1"/>
  <c r="D465" i="1"/>
  <c r="P464" i="1"/>
  <c r="M464" i="1"/>
  <c r="G464" i="1"/>
  <c r="D464" i="1"/>
  <c r="P463" i="1"/>
  <c r="M463" i="1"/>
  <c r="G463" i="1"/>
  <c r="D463" i="1"/>
  <c r="P462" i="1"/>
  <c r="M462" i="1"/>
  <c r="G462" i="1"/>
  <c r="D462" i="1"/>
  <c r="P461" i="1"/>
  <c r="M461" i="1"/>
  <c r="G461" i="1"/>
  <c r="D461" i="1"/>
  <c r="P460" i="1"/>
  <c r="M460" i="1"/>
  <c r="G460" i="1"/>
  <c r="D460" i="1"/>
  <c r="G459" i="1"/>
  <c r="D459" i="1"/>
  <c r="P458" i="1"/>
  <c r="M458" i="1"/>
  <c r="G458" i="1"/>
  <c r="D458" i="1"/>
  <c r="P457" i="1"/>
  <c r="M457" i="1"/>
  <c r="G457" i="1"/>
  <c r="D457" i="1"/>
  <c r="P456" i="1"/>
  <c r="M456" i="1"/>
  <c r="G456" i="1"/>
  <c r="D456" i="1"/>
  <c r="G455" i="1"/>
  <c r="D455" i="1"/>
  <c r="P454" i="1"/>
  <c r="M454" i="1"/>
  <c r="G454" i="1"/>
  <c r="D454" i="1"/>
  <c r="P453" i="1"/>
  <c r="M453" i="1"/>
  <c r="G453" i="1"/>
  <c r="D453" i="1"/>
  <c r="P452" i="1"/>
  <c r="M452" i="1"/>
  <c r="G452" i="1"/>
  <c r="D452" i="1"/>
  <c r="P451" i="1"/>
  <c r="M451" i="1"/>
  <c r="G451" i="1"/>
  <c r="D451" i="1"/>
  <c r="P450" i="1"/>
  <c r="M450" i="1"/>
  <c r="G450" i="1"/>
  <c r="D450" i="1"/>
  <c r="P449" i="1"/>
  <c r="M449" i="1"/>
  <c r="G449" i="1"/>
  <c r="D449" i="1"/>
  <c r="P448" i="1"/>
  <c r="M448" i="1"/>
  <c r="G448" i="1"/>
  <c r="D448" i="1"/>
  <c r="P447" i="1"/>
  <c r="M447" i="1"/>
  <c r="G447" i="1"/>
  <c r="D447" i="1"/>
  <c r="P446" i="1"/>
  <c r="M446" i="1"/>
  <c r="G446" i="1"/>
  <c r="D446" i="1"/>
  <c r="P445" i="1"/>
  <c r="M445" i="1"/>
  <c r="P444" i="1"/>
  <c r="M444" i="1"/>
  <c r="P442" i="1"/>
  <c r="M442" i="1"/>
  <c r="G442" i="1"/>
  <c r="D442" i="1"/>
  <c r="P441" i="1"/>
  <c r="M441" i="1"/>
  <c r="G441" i="1"/>
  <c r="D441" i="1"/>
  <c r="P440" i="1"/>
  <c r="M440" i="1"/>
  <c r="G440" i="1"/>
  <c r="D440" i="1"/>
  <c r="P439" i="1"/>
  <c r="M439" i="1"/>
  <c r="G439" i="1"/>
  <c r="D439" i="1"/>
  <c r="P438" i="1"/>
  <c r="M438" i="1"/>
  <c r="G438" i="1"/>
  <c r="D438" i="1"/>
  <c r="P437" i="1"/>
  <c r="M437" i="1"/>
  <c r="G437" i="1"/>
  <c r="P436" i="1"/>
  <c r="M436" i="1"/>
  <c r="G436" i="1"/>
  <c r="D436" i="1"/>
  <c r="P435" i="1"/>
  <c r="M435" i="1"/>
  <c r="G435" i="1"/>
  <c r="D435" i="1"/>
  <c r="B381" i="1"/>
  <c r="E377" i="1"/>
  <c r="B377" i="1"/>
  <c r="U830" i="1" l="1"/>
  <c r="U858" i="1" s="1"/>
  <c r="U864" i="1" s="1"/>
  <c r="U873" i="1" s="1"/>
  <c r="U901" i="1" s="1"/>
  <c r="U907" i="1" s="1"/>
  <c r="U916" i="1" s="1"/>
  <c r="U944" i="1" s="1"/>
  <c r="U950" i="1" s="1"/>
  <c r="U959" i="1" s="1"/>
  <c r="U987" i="1" s="1"/>
  <c r="U993" i="1" s="1"/>
  <c r="U1002" i="1" s="1"/>
  <c r="U1030" i="1" s="1"/>
  <c r="T486" i="1"/>
  <c r="V477" i="1"/>
  <c r="H436" i="1"/>
  <c r="V471" i="1"/>
  <c r="Q435" i="1"/>
  <c r="H437" i="1"/>
  <c r="Q438" i="1"/>
  <c r="H435" i="1"/>
  <c r="H438" i="1"/>
  <c r="H441" i="1"/>
  <c r="Z470" i="1"/>
  <c r="H440" i="1"/>
  <c r="W471" i="1"/>
  <c r="Y443" i="1"/>
  <c r="Z443" i="1" s="1"/>
  <c r="Z468" i="1"/>
  <c r="H444" i="1"/>
  <c r="Q441" i="1"/>
  <c r="Q444" i="1"/>
  <c r="Q446" i="1"/>
  <c r="H448" i="1"/>
  <c r="Q449" i="1"/>
  <c r="H451" i="1"/>
  <c r="Q452" i="1"/>
  <c r="H454" i="1"/>
  <c r="H457" i="1"/>
  <c r="Q458" i="1"/>
  <c r="H460" i="1"/>
  <c r="Q461" i="1"/>
  <c r="H463" i="1"/>
  <c r="Q464" i="1"/>
  <c r="H466" i="1"/>
  <c r="H439" i="1"/>
  <c r="Q440" i="1"/>
  <c r="H442" i="1"/>
  <c r="Q445" i="1"/>
  <c r="H447" i="1"/>
  <c r="Q448" i="1"/>
  <c r="H450" i="1"/>
  <c r="Q451" i="1"/>
  <c r="H453" i="1"/>
  <c r="Q454" i="1"/>
  <c r="H456" i="1"/>
  <c r="Q457" i="1"/>
  <c r="H459" i="1"/>
  <c r="Q460" i="1"/>
  <c r="H462" i="1"/>
  <c r="Q463" i="1"/>
  <c r="H465" i="1"/>
  <c r="Q466" i="1"/>
  <c r="H468" i="1"/>
  <c r="H469" i="1"/>
  <c r="G470" i="1"/>
  <c r="Q439" i="1"/>
  <c r="H445" i="1"/>
  <c r="Q437" i="1"/>
  <c r="Q436" i="1"/>
  <c r="Q442" i="1"/>
  <c r="H446" i="1"/>
  <c r="Q447" i="1"/>
  <c r="H449" i="1"/>
  <c r="Q450" i="1"/>
  <c r="H452" i="1"/>
  <c r="Q453" i="1"/>
  <c r="H455" i="1"/>
  <c r="Q456" i="1"/>
  <c r="H458" i="1"/>
  <c r="H461" i="1"/>
  <c r="Q462" i="1"/>
  <c r="H464" i="1"/>
  <c r="Q465" i="1"/>
  <c r="H467" i="1"/>
  <c r="M470" i="1"/>
  <c r="D470" i="1"/>
  <c r="N470" i="1"/>
  <c r="P470" i="1" s="1"/>
  <c r="P422" i="1"/>
  <c r="M422" i="1"/>
  <c r="P423" i="1"/>
  <c r="M423" i="1"/>
  <c r="E366" i="1"/>
  <c r="F366" i="1"/>
  <c r="G363" i="1"/>
  <c r="D363" i="1"/>
  <c r="Y471" i="1" l="1"/>
  <c r="Z471" i="1" s="1"/>
  <c r="W477" i="1"/>
  <c r="T514" i="1"/>
  <c r="V486" i="1"/>
  <c r="Q470" i="1"/>
  <c r="H470" i="1"/>
  <c r="Q423" i="1"/>
  <c r="Q422" i="1"/>
  <c r="H363" i="1"/>
  <c r="C362" i="1"/>
  <c r="E362" i="1"/>
  <c r="G361" i="1"/>
  <c r="D361" i="1"/>
  <c r="V514" i="1" l="1"/>
  <c r="T520" i="1"/>
  <c r="Y477" i="1"/>
  <c r="Z477" i="1" s="1"/>
  <c r="W486" i="1"/>
  <c r="H361" i="1"/>
  <c r="F339" i="1"/>
  <c r="P325" i="1"/>
  <c r="M325" i="1"/>
  <c r="P324" i="1"/>
  <c r="M324" i="1"/>
  <c r="T529" i="1" l="1"/>
  <c r="V520" i="1"/>
  <c r="W514" i="1"/>
  <c r="Y486" i="1"/>
  <c r="Z486" i="1" s="1"/>
  <c r="Q324" i="1"/>
  <c r="Q325" i="1"/>
  <c r="F335" i="1"/>
  <c r="E335" i="1"/>
  <c r="Y514" i="1" l="1"/>
  <c r="Z514" i="1" s="1"/>
  <c r="W520" i="1"/>
  <c r="V529" i="1"/>
  <c r="T557" i="1"/>
  <c r="P425" i="1"/>
  <c r="B323" i="1"/>
  <c r="E322" i="1"/>
  <c r="V557" i="1" l="1"/>
  <c r="T563" i="1"/>
  <c r="W529" i="1"/>
  <c r="Y520" i="1"/>
  <c r="Z520" i="1" s="1"/>
  <c r="M425" i="1"/>
  <c r="Q425" i="1" s="1"/>
  <c r="P316" i="1"/>
  <c r="M316" i="1"/>
  <c r="F427" i="1"/>
  <c r="E427" i="1"/>
  <c r="C427" i="1"/>
  <c r="B427" i="1"/>
  <c r="O427" i="1"/>
  <c r="N427" i="1"/>
  <c r="L427" i="1"/>
  <c r="K427" i="1"/>
  <c r="G426" i="1"/>
  <c r="D426" i="1"/>
  <c r="G425" i="1"/>
  <c r="D425" i="1"/>
  <c r="P424" i="1"/>
  <c r="M424" i="1"/>
  <c r="G424" i="1"/>
  <c r="D424" i="1"/>
  <c r="G423" i="1"/>
  <c r="D423" i="1"/>
  <c r="G422" i="1"/>
  <c r="D422" i="1"/>
  <c r="P421" i="1"/>
  <c r="M421" i="1"/>
  <c r="G421" i="1"/>
  <c r="D421" i="1"/>
  <c r="P420" i="1"/>
  <c r="M420" i="1"/>
  <c r="G420" i="1"/>
  <c r="D420" i="1"/>
  <c r="P419" i="1"/>
  <c r="M419" i="1"/>
  <c r="G419" i="1"/>
  <c r="D419" i="1"/>
  <c r="P418" i="1"/>
  <c r="M418" i="1"/>
  <c r="G418" i="1"/>
  <c r="D418" i="1"/>
  <c r="P417" i="1"/>
  <c r="M417" i="1"/>
  <c r="G417" i="1"/>
  <c r="D417" i="1"/>
  <c r="P416" i="1"/>
  <c r="M416" i="1"/>
  <c r="G416" i="1"/>
  <c r="D416" i="1"/>
  <c r="P415" i="1"/>
  <c r="M415" i="1"/>
  <c r="G415" i="1"/>
  <c r="D415" i="1"/>
  <c r="P414" i="1"/>
  <c r="M414" i="1"/>
  <c r="G414" i="1"/>
  <c r="D414" i="1"/>
  <c r="P413" i="1"/>
  <c r="M413" i="1"/>
  <c r="G413" i="1"/>
  <c r="D413" i="1"/>
  <c r="P412" i="1"/>
  <c r="M412" i="1"/>
  <c r="G412" i="1"/>
  <c r="D412" i="1"/>
  <c r="P411" i="1"/>
  <c r="M411" i="1"/>
  <c r="G411" i="1"/>
  <c r="D411" i="1"/>
  <c r="P410" i="1"/>
  <c r="M410" i="1"/>
  <c r="G410" i="1"/>
  <c r="D410" i="1"/>
  <c r="P409" i="1"/>
  <c r="M409" i="1"/>
  <c r="G409" i="1"/>
  <c r="D409" i="1"/>
  <c r="P408" i="1"/>
  <c r="M408" i="1"/>
  <c r="G408" i="1"/>
  <c r="D408" i="1"/>
  <c r="P407" i="1"/>
  <c r="M407" i="1"/>
  <c r="G407" i="1"/>
  <c r="D407" i="1"/>
  <c r="P406" i="1"/>
  <c r="M406" i="1"/>
  <c r="G406" i="1"/>
  <c r="D406" i="1"/>
  <c r="P405" i="1"/>
  <c r="M405" i="1"/>
  <c r="G405" i="1"/>
  <c r="D405" i="1"/>
  <c r="P404" i="1"/>
  <c r="M404" i="1"/>
  <c r="G404" i="1"/>
  <c r="D404" i="1"/>
  <c r="P403" i="1"/>
  <c r="M403" i="1"/>
  <c r="G403" i="1"/>
  <c r="D403" i="1"/>
  <c r="P402" i="1"/>
  <c r="M402" i="1"/>
  <c r="G402" i="1"/>
  <c r="D402" i="1"/>
  <c r="P401" i="1"/>
  <c r="M401" i="1"/>
  <c r="G401" i="1"/>
  <c r="D401" i="1"/>
  <c r="P399" i="1"/>
  <c r="M399" i="1"/>
  <c r="G399" i="1"/>
  <c r="D399" i="1"/>
  <c r="P398" i="1"/>
  <c r="M398" i="1"/>
  <c r="G398" i="1"/>
  <c r="D398" i="1"/>
  <c r="P397" i="1"/>
  <c r="M397" i="1"/>
  <c r="G397" i="1"/>
  <c r="D397" i="1"/>
  <c r="P396" i="1"/>
  <c r="M396" i="1"/>
  <c r="G396" i="1"/>
  <c r="D396" i="1"/>
  <c r="P395" i="1"/>
  <c r="M395" i="1"/>
  <c r="G395" i="1"/>
  <c r="D395" i="1"/>
  <c r="P394" i="1"/>
  <c r="M394" i="1"/>
  <c r="G394" i="1"/>
  <c r="D394" i="1"/>
  <c r="P393" i="1"/>
  <c r="M393" i="1"/>
  <c r="G393" i="1"/>
  <c r="P392" i="1"/>
  <c r="M392" i="1"/>
  <c r="G392" i="1"/>
  <c r="D392" i="1"/>
  <c r="P297" i="1"/>
  <c r="M297" i="1"/>
  <c r="P340" i="1"/>
  <c r="M340" i="1"/>
  <c r="T572" i="1" l="1"/>
  <c r="V563" i="1"/>
  <c r="Y529" i="1"/>
  <c r="Z529" i="1" s="1"/>
  <c r="W557" i="1"/>
  <c r="Q392" i="1"/>
  <c r="H394" i="1"/>
  <c r="Q395" i="1"/>
  <c r="H397" i="1"/>
  <c r="Q398" i="1"/>
  <c r="H401" i="1"/>
  <c r="Q402" i="1"/>
  <c r="H404" i="1"/>
  <c r="Q405" i="1"/>
  <c r="H407" i="1"/>
  <c r="Q408" i="1"/>
  <c r="H410" i="1"/>
  <c r="Q411" i="1"/>
  <c r="H413" i="1"/>
  <c r="Q414" i="1"/>
  <c r="H416" i="1"/>
  <c r="Q417" i="1"/>
  <c r="H419" i="1"/>
  <c r="H426" i="1"/>
  <c r="D427" i="1"/>
  <c r="Q420" i="1"/>
  <c r="H422" i="1"/>
  <c r="H425" i="1"/>
  <c r="H392" i="1"/>
  <c r="Q393" i="1"/>
  <c r="H395" i="1"/>
  <c r="Q396" i="1"/>
  <c r="H398" i="1"/>
  <c r="Q399" i="1"/>
  <c r="H402" i="1"/>
  <c r="Q403" i="1"/>
  <c r="H405" i="1"/>
  <c r="Q406" i="1"/>
  <c r="H408" i="1"/>
  <c r="Q409" i="1"/>
  <c r="H411" i="1"/>
  <c r="Q412" i="1"/>
  <c r="H414" i="1"/>
  <c r="Q415" i="1"/>
  <c r="H417" i="1"/>
  <c r="Q418" i="1"/>
  <c r="H420" i="1"/>
  <c r="Q421" i="1"/>
  <c r="H423" i="1"/>
  <c r="Q424" i="1"/>
  <c r="M427" i="1"/>
  <c r="G427" i="1"/>
  <c r="Q340" i="1"/>
  <c r="Q297" i="1"/>
  <c r="Q316" i="1"/>
  <c r="H393" i="1"/>
  <c r="Q394" i="1"/>
  <c r="H396" i="1"/>
  <c r="Q397" i="1"/>
  <c r="H399" i="1"/>
  <c r="Q401" i="1"/>
  <c r="H403" i="1"/>
  <c r="Q404" i="1"/>
  <c r="H406" i="1"/>
  <c r="Q407" i="1"/>
  <c r="H409" i="1"/>
  <c r="Q410" i="1"/>
  <c r="H412" i="1"/>
  <c r="Q413" i="1"/>
  <c r="H415" i="1"/>
  <c r="Q416" i="1"/>
  <c r="H418" i="1"/>
  <c r="Q419" i="1"/>
  <c r="H421" i="1"/>
  <c r="H424" i="1"/>
  <c r="P427" i="1"/>
  <c r="P426" i="1"/>
  <c r="M426" i="1"/>
  <c r="F384" i="1"/>
  <c r="E384" i="1"/>
  <c r="C384" i="1"/>
  <c r="B384" i="1"/>
  <c r="O384" i="1"/>
  <c r="N384" i="1"/>
  <c r="L384" i="1"/>
  <c r="K384" i="1"/>
  <c r="G383" i="1"/>
  <c r="D383" i="1"/>
  <c r="P382" i="1"/>
  <c r="M382" i="1"/>
  <c r="G382" i="1"/>
  <c r="D382" i="1"/>
  <c r="P381" i="1"/>
  <c r="M381" i="1"/>
  <c r="G381" i="1"/>
  <c r="D381" i="1"/>
  <c r="P380" i="1"/>
  <c r="M380" i="1"/>
  <c r="G380" i="1"/>
  <c r="D380" i="1"/>
  <c r="P379" i="1"/>
  <c r="M379" i="1"/>
  <c r="G379" i="1"/>
  <c r="D379" i="1"/>
  <c r="P378" i="1"/>
  <c r="M378" i="1"/>
  <c r="G378" i="1"/>
  <c r="D378" i="1"/>
  <c r="P377" i="1"/>
  <c r="M377" i="1"/>
  <c r="G377" i="1"/>
  <c r="D377" i="1"/>
  <c r="P376" i="1"/>
  <c r="M376" i="1"/>
  <c r="G376" i="1"/>
  <c r="D376" i="1"/>
  <c r="P375" i="1"/>
  <c r="M375" i="1"/>
  <c r="G375" i="1"/>
  <c r="D375" i="1"/>
  <c r="P374" i="1"/>
  <c r="M374" i="1"/>
  <c r="G374" i="1"/>
  <c r="D374" i="1"/>
  <c r="P373" i="1"/>
  <c r="M373" i="1"/>
  <c r="G373" i="1"/>
  <c r="D373" i="1"/>
  <c r="P372" i="1"/>
  <c r="M372" i="1"/>
  <c r="G372" i="1"/>
  <c r="D372" i="1"/>
  <c r="P371" i="1"/>
  <c r="M371" i="1"/>
  <c r="G371" i="1"/>
  <c r="D371" i="1"/>
  <c r="P370" i="1"/>
  <c r="M370" i="1"/>
  <c r="G370" i="1"/>
  <c r="D370" i="1"/>
  <c r="P369" i="1"/>
  <c r="M369" i="1"/>
  <c r="G369" i="1"/>
  <c r="D369" i="1"/>
  <c r="P368" i="1"/>
  <c r="M368" i="1"/>
  <c r="G368" i="1"/>
  <c r="D368" i="1"/>
  <c r="P367" i="1"/>
  <c r="M367" i="1"/>
  <c r="G367" i="1"/>
  <c r="D367" i="1"/>
  <c r="P366" i="1"/>
  <c r="M366" i="1"/>
  <c r="G366" i="1"/>
  <c r="D366" i="1"/>
  <c r="P365" i="1"/>
  <c r="M365" i="1"/>
  <c r="G365" i="1"/>
  <c r="D365" i="1"/>
  <c r="P364" i="1"/>
  <c r="M364" i="1"/>
  <c r="G364" i="1"/>
  <c r="D364" i="1"/>
  <c r="P363" i="1"/>
  <c r="M363" i="1"/>
  <c r="P362" i="1"/>
  <c r="M362" i="1"/>
  <c r="G362" i="1"/>
  <c r="D362" i="1"/>
  <c r="P361" i="1"/>
  <c r="M361" i="1"/>
  <c r="P360" i="1"/>
  <c r="M360" i="1"/>
  <c r="G360" i="1"/>
  <c r="D360" i="1"/>
  <c r="P359" i="1"/>
  <c r="M359" i="1"/>
  <c r="G359" i="1"/>
  <c r="D359" i="1"/>
  <c r="P358" i="1"/>
  <c r="M358" i="1"/>
  <c r="G358" i="1"/>
  <c r="D358" i="1"/>
  <c r="P356" i="1"/>
  <c r="M356" i="1"/>
  <c r="G356" i="1"/>
  <c r="D356" i="1"/>
  <c r="P355" i="1"/>
  <c r="M355" i="1"/>
  <c r="G355" i="1"/>
  <c r="D355" i="1"/>
  <c r="P354" i="1"/>
  <c r="M354" i="1"/>
  <c r="G354" i="1"/>
  <c r="D354" i="1"/>
  <c r="P353" i="1"/>
  <c r="M353" i="1"/>
  <c r="G353" i="1"/>
  <c r="D353" i="1"/>
  <c r="P352" i="1"/>
  <c r="M352" i="1"/>
  <c r="G352" i="1"/>
  <c r="D352" i="1"/>
  <c r="P351" i="1"/>
  <c r="M351" i="1"/>
  <c r="G351" i="1"/>
  <c r="D351" i="1"/>
  <c r="P350" i="1"/>
  <c r="M350" i="1"/>
  <c r="G350" i="1"/>
  <c r="D350" i="1"/>
  <c r="P349" i="1"/>
  <c r="M349" i="1"/>
  <c r="G349" i="1"/>
  <c r="D349" i="1"/>
  <c r="Y557" i="1" l="1"/>
  <c r="Z557" i="1" s="1"/>
  <c r="W563" i="1"/>
  <c r="T600" i="1"/>
  <c r="V572" i="1"/>
  <c r="H427" i="1"/>
  <c r="Q349" i="1"/>
  <c r="H351" i="1"/>
  <c r="Q352" i="1"/>
  <c r="H354" i="1"/>
  <c r="Q355" i="1"/>
  <c r="H349" i="1"/>
  <c r="Q350" i="1"/>
  <c r="H352" i="1"/>
  <c r="Q427" i="1"/>
  <c r="Q353" i="1"/>
  <c r="H355" i="1"/>
  <c r="Q356" i="1"/>
  <c r="H359" i="1"/>
  <c r="Q360" i="1"/>
  <c r="H362" i="1"/>
  <c r="Q363" i="1"/>
  <c r="H365" i="1"/>
  <c r="Q366" i="1"/>
  <c r="H368" i="1"/>
  <c r="Q369" i="1"/>
  <c r="H371" i="1"/>
  <c r="Q372" i="1"/>
  <c r="H374" i="1"/>
  <c r="Q375" i="1"/>
  <c r="H377" i="1"/>
  <c r="Q378" i="1"/>
  <c r="H380" i="1"/>
  <c r="Q381" i="1"/>
  <c r="H383" i="1"/>
  <c r="D384" i="1"/>
  <c r="H350" i="1"/>
  <c r="H353" i="1"/>
  <c r="Q354" i="1"/>
  <c r="H356" i="1"/>
  <c r="Q358" i="1"/>
  <c r="H360" i="1"/>
  <c r="Q361" i="1"/>
  <c r="Q364" i="1"/>
  <c r="H366" i="1"/>
  <c r="Q367" i="1"/>
  <c r="H369" i="1"/>
  <c r="Q370" i="1"/>
  <c r="H372" i="1"/>
  <c r="Q373" i="1"/>
  <c r="H375" i="1"/>
  <c r="Q376" i="1"/>
  <c r="H378" i="1"/>
  <c r="Q379" i="1"/>
  <c r="H381" i="1"/>
  <c r="Q382" i="1"/>
  <c r="P384" i="1"/>
  <c r="Q351" i="1"/>
  <c r="Q426" i="1"/>
  <c r="H358" i="1"/>
  <c r="Q359" i="1"/>
  <c r="Q362" i="1"/>
  <c r="H364" i="1"/>
  <c r="Q365" i="1"/>
  <c r="H367" i="1"/>
  <c r="Q368" i="1"/>
  <c r="H370" i="1"/>
  <c r="Q371" i="1"/>
  <c r="H373" i="1"/>
  <c r="Q374" i="1"/>
  <c r="H376" i="1"/>
  <c r="Q377" i="1"/>
  <c r="H379" i="1"/>
  <c r="Q380" i="1"/>
  <c r="H382" i="1"/>
  <c r="M384" i="1"/>
  <c r="G384" i="1"/>
  <c r="P383" i="1"/>
  <c r="M383" i="1"/>
  <c r="E292" i="1"/>
  <c r="V600" i="1" l="1"/>
  <c r="T606" i="1"/>
  <c r="W572" i="1"/>
  <c r="Y563" i="1"/>
  <c r="Z563" i="1" s="1"/>
  <c r="H384" i="1"/>
  <c r="Q384" i="1"/>
  <c r="Q383" i="1"/>
  <c r="P283" i="1"/>
  <c r="M283" i="1"/>
  <c r="E289" i="1"/>
  <c r="V606" i="1" l="1"/>
  <c r="T615" i="1"/>
  <c r="W600" i="1"/>
  <c r="Y572" i="1"/>
  <c r="Z572" i="1" s="1"/>
  <c r="Q283" i="1"/>
  <c r="O341" i="1"/>
  <c r="N341" i="1"/>
  <c r="L341" i="1"/>
  <c r="K341" i="1"/>
  <c r="F341" i="1"/>
  <c r="E341" i="1"/>
  <c r="C341" i="1"/>
  <c r="B341" i="1"/>
  <c r="G340" i="1"/>
  <c r="D340" i="1"/>
  <c r="P339" i="1"/>
  <c r="M339" i="1"/>
  <c r="G339" i="1"/>
  <c r="D339" i="1"/>
  <c r="P338" i="1"/>
  <c r="M338" i="1"/>
  <c r="G338" i="1"/>
  <c r="D338" i="1"/>
  <c r="P337" i="1"/>
  <c r="M337" i="1"/>
  <c r="G337" i="1"/>
  <c r="D337" i="1"/>
  <c r="P336" i="1"/>
  <c r="M336" i="1"/>
  <c r="G336" i="1"/>
  <c r="D336" i="1"/>
  <c r="P335" i="1"/>
  <c r="M335" i="1"/>
  <c r="G335" i="1"/>
  <c r="D335" i="1"/>
  <c r="P334" i="1"/>
  <c r="M334" i="1"/>
  <c r="G334" i="1"/>
  <c r="D334" i="1"/>
  <c r="P333" i="1"/>
  <c r="M333" i="1"/>
  <c r="G333" i="1"/>
  <c r="D333" i="1"/>
  <c r="P332" i="1"/>
  <c r="M332" i="1"/>
  <c r="G332" i="1"/>
  <c r="D332" i="1"/>
  <c r="P331" i="1"/>
  <c r="M331" i="1"/>
  <c r="G331" i="1"/>
  <c r="D331" i="1"/>
  <c r="P330" i="1"/>
  <c r="M330" i="1"/>
  <c r="G330" i="1"/>
  <c r="D330" i="1"/>
  <c r="P329" i="1"/>
  <c r="M329" i="1"/>
  <c r="G329" i="1"/>
  <c r="D329" i="1"/>
  <c r="P328" i="1"/>
  <c r="M328" i="1"/>
  <c r="G328" i="1"/>
  <c r="D328" i="1"/>
  <c r="P327" i="1"/>
  <c r="M327" i="1"/>
  <c r="G327" i="1"/>
  <c r="D327" i="1"/>
  <c r="P326" i="1"/>
  <c r="M326" i="1"/>
  <c r="G326" i="1"/>
  <c r="D326" i="1"/>
  <c r="G325" i="1"/>
  <c r="D325" i="1"/>
  <c r="G324" i="1"/>
  <c r="D324" i="1"/>
  <c r="P323" i="1"/>
  <c r="M323" i="1"/>
  <c r="G323" i="1"/>
  <c r="D323" i="1"/>
  <c r="P322" i="1"/>
  <c r="M322" i="1"/>
  <c r="G322" i="1"/>
  <c r="D322" i="1"/>
  <c r="P321" i="1"/>
  <c r="M321" i="1"/>
  <c r="G321" i="1"/>
  <c r="D321" i="1"/>
  <c r="P320" i="1"/>
  <c r="M320" i="1"/>
  <c r="G320" i="1"/>
  <c r="D320" i="1"/>
  <c r="P319" i="1"/>
  <c r="M319" i="1"/>
  <c r="G319" i="1"/>
  <c r="D319" i="1"/>
  <c r="P318" i="1"/>
  <c r="M318" i="1"/>
  <c r="G318" i="1"/>
  <c r="D318" i="1"/>
  <c r="P317" i="1"/>
  <c r="M317" i="1"/>
  <c r="G317" i="1"/>
  <c r="D317" i="1"/>
  <c r="G316" i="1"/>
  <c r="D316" i="1"/>
  <c r="P315" i="1"/>
  <c r="M315" i="1"/>
  <c r="G315" i="1"/>
  <c r="D315" i="1"/>
  <c r="P313" i="1"/>
  <c r="M313" i="1"/>
  <c r="G313" i="1"/>
  <c r="D313" i="1"/>
  <c r="P312" i="1"/>
  <c r="M312" i="1"/>
  <c r="G312" i="1"/>
  <c r="D312" i="1"/>
  <c r="P311" i="1"/>
  <c r="M311" i="1"/>
  <c r="G311" i="1"/>
  <c r="D311" i="1"/>
  <c r="P310" i="1"/>
  <c r="M310" i="1"/>
  <c r="G310" i="1"/>
  <c r="D310" i="1"/>
  <c r="P309" i="1"/>
  <c r="M309" i="1"/>
  <c r="G309" i="1"/>
  <c r="D309" i="1"/>
  <c r="P308" i="1"/>
  <c r="M308" i="1"/>
  <c r="G308" i="1"/>
  <c r="D308" i="1"/>
  <c r="P307" i="1"/>
  <c r="M307" i="1"/>
  <c r="G307" i="1"/>
  <c r="D307" i="1"/>
  <c r="P306" i="1"/>
  <c r="M306" i="1"/>
  <c r="G306" i="1"/>
  <c r="D306" i="1"/>
  <c r="Y600" i="1" l="1"/>
  <c r="Z600" i="1" s="1"/>
  <c r="W606" i="1"/>
  <c r="T643" i="1"/>
  <c r="V615" i="1"/>
  <c r="Q329" i="1"/>
  <c r="Q335" i="1"/>
  <c r="H337" i="1"/>
  <c r="Q338" i="1"/>
  <c r="H340" i="1"/>
  <c r="Q306" i="1"/>
  <c r="Q312" i="1"/>
  <c r="H318" i="1"/>
  <c r="H321" i="1"/>
  <c r="Q322" i="1"/>
  <c r="H330" i="1"/>
  <c r="Q331" i="1"/>
  <c r="Q334" i="1"/>
  <c r="H336" i="1"/>
  <c r="Q337" i="1"/>
  <c r="H313" i="1"/>
  <c r="Q321" i="1"/>
  <c r="H323" i="1"/>
  <c r="H326" i="1"/>
  <c r="Q336" i="1"/>
  <c r="H338" i="1"/>
  <c r="H334" i="1"/>
  <c r="Q328" i="1"/>
  <c r="Q311" i="1"/>
  <c r="Q307" i="1"/>
  <c r="H312" i="1"/>
  <c r="H316" i="1"/>
  <c r="Q333" i="1"/>
  <c r="Q310" i="1"/>
  <c r="Q327" i="1"/>
  <c r="Q309" i="1"/>
  <c r="Q313" i="1"/>
  <c r="Q326" i="1"/>
  <c r="Q330" i="1"/>
  <c r="H339" i="1"/>
  <c r="H320" i="1"/>
  <c r="H331" i="1"/>
  <c r="Q332" i="1"/>
  <c r="D341" i="1"/>
  <c r="P341" i="1"/>
  <c r="H308" i="1"/>
  <c r="H306" i="1"/>
  <c r="Q308" i="1"/>
  <c r="H324" i="1"/>
  <c r="H328" i="1"/>
  <c r="H335" i="1"/>
  <c r="H333" i="1"/>
  <c r="Q320" i="1"/>
  <c r="Q323" i="1"/>
  <c r="H332" i="1"/>
  <c r="Q339" i="1"/>
  <c r="M341" i="1"/>
  <c r="Q315" i="1"/>
  <c r="Q317" i="1"/>
  <c r="Q318" i="1"/>
  <c r="Q319" i="1"/>
  <c r="H315" i="1"/>
  <c r="H317" i="1"/>
  <c r="H319" i="1"/>
  <c r="H322" i="1"/>
  <c r="H325" i="1"/>
  <c r="H327" i="1"/>
  <c r="H329" i="1"/>
  <c r="G341" i="1"/>
  <c r="H309" i="1"/>
  <c r="H311" i="1"/>
  <c r="H307" i="1"/>
  <c r="H310" i="1"/>
  <c r="E281" i="1"/>
  <c r="G281" i="1" s="1"/>
  <c r="C279" i="1"/>
  <c r="C298" i="1" s="1"/>
  <c r="E277" i="1"/>
  <c r="B277" i="1"/>
  <c r="D277" i="1" s="1"/>
  <c r="B254" i="1"/>
  <c r="P232" i="1"/>
  <c r="M232" i="1"/>
  <c r="E253" i="1"/>
  <c r="O298" i="1"/>
  <c r="N298" i="1"/>
  <c r="L298" i="1"/>
  <c r="K298" i="1"/>
  <c r="F298" i="1"/>
  <c r="G297" i="1"/>
  <c r="D297" i="1"/>
  <c r="P296" i="1"/>
  <c r="M296" i="1"/>
  <c r="G296" i="1"/>
  <c r="D296" i="1"/>
  <c r="P295" i="1"/>
  <c r="M295" i="1"/>
  <c r="G295" i="1"/>
  <c r="D295" i="1"/>
  <c r="P294" i="1"/>
  <c r="M294" i="1"/>
  <c r="G294" i="1"/>
  <c r="D294" i="1"/>
  <c r="P293" i="1"/>
  <c r="M293" i="1"/>
  <c r="G293" i="1"/>
  <c r="D293" i="1"/>
  <c r="P292" i="1"/>
  <c r="M292" i="1"/>
  <c r="G292" i="1"/>
  <c r="D292" i="1"/>
  <c r="P291" i="1"/>
  <c r="M291" i="1"/>
  <c r="G291" i="1"/>
  <c r="D291" i="1"/>
  <c r="P290" i="1"/>
  <c r="M290" i="1"/>
  <c r="G290" i="1"/>
  <c r="D290" i="1"/>
  <c r="P289" i="1"/>
  <c r="M289" i="1"/>
  <c r="G289" i="1"/>
  <c r="D289" i="1"/>
  <c r="P288" i="1"/>
  <c r="M288" i="1"/>
  <c r="G288" i="1"/>
  <c r="D288" i="1"/>
  <c r="P287" i="1"/>
  <c r="M287" i="1"/>
  <c r="G287" i="1"/>
  <c r="D287" i="1"/>
  <c r="P286" i="1"/>
  <c r="M286" i="1"/>
  <c r="G286" i="1"/>
  <c r="D286" i="1"/>
  <c r="P285" i="1"/>
  <c r="M285" i="1"/>
  <c r="G285" i="1"/>
  <c r="D285" i="1"/>
  <c r="P284" i="1"/>
  <c r="M284" i="1"/>
  <c r="G284" i="1"/>
  <c r="D284" i="1"/>
  <c r="G283" i="1"/>
  <c r="D283" i="1"/>
  <c r="P282" i="1"/>
  <c r="M282" i="1"/>
  <c r="G282" i="1"/>
  <c r="D282" i="1"/>
  <c r="P281" i="1"/>
  <c r="M281" i="1"/>
  <c r="D281" i="1"/>
  <c r="P280" i="1"/>
  <c r="M280" i="1"/>
  <c r="G280" i="1"/>
  <c r="D280" i="1"/>
  <c r="P279" i="1"/>
  <c r="M279" i="1"/>
  <c r="G279" i="1"/>
  <c r="P278" i="1"/>
  <c r="M278" i="1"/>
  <c r="G278" i="1"/>
  <c r="D278" i="1"/>
  <c r="P277" i="1"/>
  <c r="M277" i="1"/>
  <c r="P276" i="1"/>
  <c r="M276" i="1"/>
  <c r="G276" i="1"/>
  <c r="D276" i="1"/>
  <c r="P275" i="1"/>
  <c r="M275" i="1"/>
  <c r="G275" i="1"/>
  <c r="D275" i="1"/>
  <c r="P274" i="1"/>
  <c r="M274" i="1"/>
  <c r="G274" i="1"/>
  <c r="D274" i="1"/>
  <c r="P273" i="1"/>
  <c r="M273" i="1"/>
  <c r="G273" i="1"/>
  <c r="D273" i="1"/>
  <c r="P272" i="1"/>
  <c r="M272" i="1"/>
  <c r="G272" i="1"/>
  <c r="D272" i="1"/>
  <c r="P270" i="1"/>
  <c r="M270" i="1"/>
  <c r="G270" i="1"/>
  <c r="D270" i="1"/>
  <c r="P269" i="1"/>
  <c r="M269" i="1"/>
  <c r="G269" i="1"/>
  <c r="D269" i="1"/>
  <c r="P268" i="1"/>
  <c r="M268" i="1"/>
  <c r="G268" i="1"/>
  <c r="D268" i="1"/>
  <c r="P267" i="1"/>
  <c r="M267" i="1"/>
  <c r="G267" i="1"/>
  <c r="D267" i="1"/>
  <c r="P266" i="1"/>
  <c r="M266" i="1"/>
  <c r="G266" i="1"/>
  <c r="D266" i="1"/>
  <c r="P265" i="1"/>
  <c r="M265" i="1"/>
  <c r="G265" i="1"/>
  <c r="D265" i="1"/>
  <c r="P264" i="1"/>
  <c r="M264" i="1"/>
  <c r="G264" i="1"/>
  <c r="D264" i="1"/>
  <c r="P263" i="1"/>
  <c r="M263" i="1"/>
  <c r="G263" i="1"/>
  <c r="D263" i="1"/>
  <c r="V643" i="1" l="1"/>
  <c r="T649" i="1"/>
  <c r="Y606" i="1"/>
  <c r="Z606" i="1" s="1"/>
  <c r="W615" i="1"/>
  <c r="Q341" i="1"/>
  <c r="Q289" i="1"/>
  <c r="H291" i="1"/>
  <c r="H294" i="1"/>
  <c r="H297" i="1"/>
  <c r="H341" i="1"/>
  <c r="H288" i="1"/>
  <c r="H264" i="1"/>
  <c r="H267" i="1"/>
  <c r="Q268" i="1"/>
  <c r="H270" i="1"/>
  <c r="Q295" i="1"/>
  <c r="D279" i="1"/>
  <c r="H279" i="1" s="1"/>
  <c r="H282" i="1"/>
  <c r="E298" i="1"/>
  <c r="G298" i="1" s="1"/>
  <c r="G277" i="1"/>
  <c r="H277" i="1" s="1"/>
  <c r="B298" i="1"/>
  <c r="D298" i="1" s="1"/>
  <c r="Q281" i="1"/>
  <c r="H283" i="1"/>
  <c r="H286" i="1"/>
  <c r="Q287" i="1"/>
  <c r="H289" i="1"/>
  <c r="H292" i="1"/>
  <c r="Q293" i="1"/>
  <c r="H295" i="1"/>
  <c r="Q232" i="1"/>
  <c r="Q279" i="1"/>
  <c r="H281" i="1"/>
  <c r="H284" i="1"/>
  <c r="Q285" i="1"/>
  <c r="H287" i="1"/>
  <c r="H290" i="1"/>
  <c r="Q291" i="1"/>
  <c r="H293" i="1"/>
  <c r="H296" i="1"/>
  <c r="M298" i="1"/>
  <c r="Q276" i="1"/>
  <c r="Q280" i="1"/>
  <c r="Q282" i="1"/>
  <c r="Q284" i="1"/>
  <c r="Q286" i="1"/>
  <c r="Q288" i="1"/>
  <c r="Q290" i="1"/>
  <c r="Q292" i="1"/>
  <c r="Q294" i="1"/>
  <c r="Q296" i="1"/>
  <c r="H265" i="1"/>
  <c r="Q266" i="1"/>
  <c r="H268" i="1"/>
  <c r="Q274" i="1"/>
  <c r="H280" i="1"/>
  <c r="H263" i="1"/>
  <c r="Q264" i="1"/>
  <c r="H266" i="1"/>
  <c r="H269" i="1"/>
  <c r="Q270" i="1"/>
  <c r="Q272" i="1"/>
  <c r="H272" i="1"/>
  <c r="H273" i="1"/>
  <c r="H274" i="1"/>
  <c r="H275" i="1"/>
  <c r="H276" i="1"/>
  <c r="H278" i="1"/>
  <c r="H285" i="1"/>
  <c r="P298" i="1"/>
  <c r="Q278" i="1"/>
  <c r="Q263" i="1"/>
  <c r="Q265" i="1"/>
  <c r="Q267" i="1"/>
  <c r="Q269" i="1"/>
  <c r="Q273" i="1"/>
  <c r="Q275" i="1"/>
  <c r="Q277" i="1"/>
  <c r="P231" i="1"/>
  <c r="M231" i="1"/>
  <c r="E242" i="1"/>
  <c r="G242" i="1" s="1"/>
  <c r="E241" i="1"/>
  <c r="G241" i="1" s="1"/>
  <c r="E237" i="1"/>
  <c r="G237" i="1" s="1"/>
  <c r="E236" i="1"/>
  <c r="G236" i="1" s="1"/>
  <c r="P253" i="1"/>
  <c r="M253" i="1"/>
  <c r="G211" i="1"/>
  <c r="O255" i="1"/>
  <c r="N255" i="1"/>
  <c r="L255" i="1"/>
  <c r="K255" i="1"/>
  <c r="P254" i="1"/>
  <c r="M254" i="1"/>
  <c r="G254" i="1"/>
  <c r="D254" i="1"/>
  <c r="G253" i="1"/>
  <c r="D253" i="1"/>
  <c r="P252" i="1"/>
  <c r="M252" i="1"/>
  <c r="G252" i="1"/>
  <c r="D252" i="1"/>
  <c r="P251" i="1"/>
  <c r="M251" i="1"/>
  <c r="G251" i="1"/>
  <c r="D251" i="1"/>
  <c r="P250" i="1"/>
  <c r="M250" i="1"/>
  <c r="G250" i="1"/>
  <c r="D250" i="1"/>
  <c r="P249" i="1"/>
  <c r="M249" i="1"/>
  <c r="G249" i="1"/>
  <c r="D249" i="1"/>
  <c r="P248" i="1"/>
  <c r="M248" i="1"/>
  <c r="G248" i="1"/>
  <c r="D248" i="1"/>
  <c r="P247" i="1"/>
  <c r="M247" i="1"/>
  <c r="G247" i="1"/>
  <c r="D247" i="1"/>
  <c r="P246" i="1"/>
  <c r="M246" i="1"/>
  <c r="G246" i="1"/>
  <c r="D246" i="1"/>
  <c r="P245" i="1"/>
  <c r="M245" i="1"/>
  <c r="G245" i="1"/>
  <c r="D245" i="1"/>
  <c r="P244" i="1"/>
  <c r="M244" i="1"/>
  <c r="G244" i="1"/>
  <c r="D244" i="1"/>
  <c r="B255" i="1"/>
  <c r="P243" i="1"/>
  <c r="M243" i="1"/>
  <c r="G243" i="1"/>
  <c r="D243" i="1"/>
  <c r="P242" i="1"/>
  <c r="M242" i="1"/>
  <c r="D242" i="1"/>
  <c r="P241" i="1"/>
  <c r="M241" i="1"/>
  <c r="D241" i="1"/>
  <c r="P240" i="1"/>
  <c r="M240" i="1"/>
  <c r="G240" i="1"/>
  <c r="D240" i="1"/>
  <c r="P239" i="1"/>
  <c r="M239" i="1"/>
  <c r="G239" i="1"/>
  <c r="D239" i="1"/>
  <c r="P238" i="1"/>
  <c r="M238" i="1"/>
  <c r="G238" i="1"/>
  <c r="D238" i="1"/>
  <c r="P237" i="1"/>
  <c r="M237" i="1"/>
  <c r="D237" i="1"/>
  <c r="P236" i="1"/>
  <c r="M236" i="1"/>
  <c r="D236" i="1"/>
  <c r="P235" i="1"/>
  <c r="M235" i="1"/>
  <c r="G235" i="1"/>
  <c r="F255" i="1"/>
  <c r="D235" i="1"/>
  <c r="P234" i="1"/>
  <c r="M234" i="1"/>
  <c r="G234" i="1"/>
  <c r="D234" i="1"/>
  <c r="P233" i="1"/>
  <c r="M233" i="1"/>
  <c r="G233" i="1"/>
  <c r="D233" i="1"/>
  <c r="G232" i="1"/>
  <c r="D232" i="1"/>
  <c r="G231" i="1"/>
  <c r="D231" i="1"/>
  <c r="C255" i="1"/>
  <c r="P230" i="1"/>
  <c r="M230" i="1"/>
  <c r="G230" i="1"/>
  <c r="D230" i="1"/>
  <c r="P229" i="1"/>
  <c r="M229" i="1"/>
  <c r="G229" i="1"/>
  <c r="D229" i="1"/>
  <c r="P227" i="1"/>
  <c r="M227" i="1"/>
  <c r="G227" i="1"/>
  <c r="D227" i="1"/>
  <c r="P226" i="1"/>
  <c r="M226" i="1"/>
  <c r="G226" i="1"/>
  <c r="D226" i="1"/>
  <c r="P225" i="1"/>
  <c r="M225" i="1"/>
  <c r="G225" i="1"/>
  <c r="D225" i="1"/>
  <c r="P224" i="1"/>
  <c r="M224" i="1"/>
  <c r="G224" i="1"/>
  <c r="D224" i="1"/>
  <c r="P223" i="1"/>
  <c r="M223" i="1"/>
  <c r="G223" i="1"/>
  <c r="D223" i="1"/>
  <c r="P222" i="1"/>
  <c r="M222" i="1"/>
  <c r="G222" i="1"/>
  <c r="D222" i="1"/>
  <c r="P221" i="1"/>
  <c r="M221" i="1"/>
  <c r="G221" i="1"/>
  <c r="D221" i="1"/>
  <c r="P220" i="1"/>
  <c r="M220" i="1"/>
  <c r="G220" i="1"/>
  <c r="D220" i="1"/>
  <c r="V649" i="1" l="1"/>
  <c r="T658" i="1"/>
  <c r="Y615" i="1"/>
  <c r="Z615" i="1" s="1"/>
  <c r="W643" i="1"/>
  <c r="Q236" i="1"/>
  <c r="Q240" i="1"/>
  <c r="Q298" i="1"/>
  <c r="H298" i="1"/>
  <c r="Q230" i="1"/>
  <c r="Q237" i="1"/>
  <c r="Q239" i="1"/>
  <c r="Q231" i="1"/>
  <c r="Q253" i="1"/>
  <c r="E255" i="1"/>
  <c r="G255" i="1" s="1"/>
  <c r="H245" i="1"/>
  <c r="Q244" i="1"/>
  <c r="Q247" i="1"/>
  <c r="Q250" i="1"/>
  <c r="H242" i="1"/>
  <c r="H241" i="1"/>
  <c r="H230" i="1"/>
  <c r="Q235" i="1"/>
  <c r="Q238" i="1"/>
  <c r="Q241" i="1"/>
  <c r="H239" i="1"/>
  <c r="H220" i="1"/>
  <c r="Q221" i="1"/>
  <c r="H223" i="1"/>
  <c r="Q224" i="1"/>
  <c r="H226" i="1"/>
  <c r="Q245" i="1"/>
  <c r="Q248" i="1"/>
  <c r="Q251" i="1"/>
  <c r="H253" i="1"/>
  <c r="Q229" i="1"/>
  <c r="H243" i="1"/>
  <c r="H252" i="1"/>
  <c r="Q227" i="1"/>
  <c r="Q254" i="1"/>
  <c r="M255" i="1"/>
  <c r="Q242" i="1"/>
  <c r="Q220" i="1"/>
  <c r="H222" i="1"/>
  <c r="Q223" i="1"/>
  <c r="H225" i="1"/>
  <c r="Q226" i="1"/>
  <c r="H229" i="1"/>
  <c r="Q243" i="1"/>
  <c r="H221" i="1"/>
  <c r="Q222" i="1"/>
  <c r="H224" i="1"/>
  <c r="Q225" i="1"/>
  <c r="H227" i="1"/>
  <c r="H235" i="1"/>
  <c r="Q246" i="1"/>
  <c r="Q249" i="1"/>
  <c r="Q252" i="1"/>
  <c r="H254" i="1"/>
  <c r="Q233" i="1"/>
  <c r="Q234" i="1"/>
  <c r="P255" i="1"/>
  <c r="H231" i="1"/>
  <c r="H232" i="1"/>
  <c r="H233" i="1"/>
  <c r="H234" i="1"/>
  <c r="H244" i="1"/>
  <c r="H246" i="1"/>
  <c r="H247" i="1"/>
  <c r="H248" i="1"/>
  <c r="H249" i="1"/>
  <c r="H250" i="1"/>
  <c r="H251" i="1"/>
  <c r="H236" i="1"/>
  <c r="H237" i="1"/>
  <c r="H240" i="1"/>
  <c r="H238" i="1"/>
  <c r="D255" i="1"/>
  <c r="E208" i="1"/>
  <c r="G208" i="1" s="1"/>
  <c r="E207" i="1"/>
  <c r="G207" i="1" s="1"/>
  <c r="B205" i="1"/>
  <c r="D205" i="1" s="1"/>
  <c r="E202" i="1"/>
  <c r="G202" i="1" s="1"/>
  <c r="B201" i="1"/>
  <c r="D201" i="1" s="1"/>
  <c r="E201" i="1"/>
  <c r="G201" i="1" s="1"/>
  <c r="P189" i="1"/>
  <c r="M189" i="1"/>
  <c r="E197" i="1"/>
  <c r="G197" i="1" s="1"/>
  <c r="E195" i="1"/>
  <c r="G195" i="1" s="1"/>
  <c r="F192" i="1"/>
  <c r="G192" i="1" s="1"/>
  <c r="C188" i="1"/>
  <c r="C212" i="1" s="1"/>
  <c r="P186" i="1"/>
  <c r="M186" i="1"/>
  <c r="E186" i="1"/>
  <c r="G186" i="1" s="1"/>
  <c r="O212" i="1"/>
  <c r="N212" i="1"/>
  <c r="L212" i="1"/>
  <c r="K212" i="1"/>
  <c r="P211" i="1"/>
  <c r="M211" i="1"/>
  <c r="D211" i="1"/>
  <c r="P210" i="1"/>
  <c r="M210" i="1"/>
  <c r="G210" i="1"/>
  <c r="D210" i="1"/>
  <c r="P209" i="1"/>
  <c r="M209" i="1"/>
  <c r="G209" i="1"/>
  <c r="D209" i="1"/>
  <c r="P208" i="1"/>
  <c r="M208" i="1"/>
  <c r="D208" i="1"/>
  <c r="P207" i="1"/>
  <c r="M207" i="1"/>
  <c r="D207" i="1"/>
  <c r="P206" i="1"/>
  <c r="M206" i="1"/>
  <c r="G206" i="1"/>
  <c r="D206" i="1"/>
  <c r="P205" i="1"/>
  <c r="M205" i="1"/>
  <c r="G205" i="1"/>
  <c r="P204" i="1"/>
  <c r="M204" i="1"/>
  <c r="G204" i="1"/>
  <c r="D204" i="1"/>
  <c r="P203" i="1"/>
  <c r="M203" i="1"/>
  <c r="G203" i="1"/>
  <c r="D203" i="1"/>
  <c r="P202" i="1"/>
  <c r="M202" i="1"/>
  <c r="D202" i="1"/>
  <c r="P201" i="1"/>
  <c r="M201" i="1"/>
  <c r="P200" i="1"/>
  <c r="M200" i="1"/>
  <c r="G200" i="1"/>
  <c r="D200" i="1"/>
  <c r="P199" i="1"/>
  <c r="M199" i="1"/>
  <c r="G199" i="1"/>
  <c r="D199" i="1"/>
  <c r="P198" i="1"/>
  <c r="M198" i="1"/>
  <c r="G198" i="1"/>
  <c r="D198" i="1"/>
  <c r="P197" i="1"/>
  <c r="M197" i="1"/>
  <c r="D197" i="1"/>
  <c r="P196" i="1"/>
  <c r="M196" i="1"/>
  <c r="G196" i="1"/>
  <c r="D196" i="1"/>
  <c r="P195" i="1"/>
  <c r="M195" i="1"/>
  <c r="D195" i="1"/>
  <c r="P194" i="1"/>
  <c r="M194" i="1"/>
  <c r="G194" i="1"/>
  <c r="D194" i="1"/>
  <c r="P193" i="1"/>
  <c r="M193" i="1"/>
  <c r="G193" i="1"/>
  <c r="D193" i="1"/>
  <c r="P192" i="1"/>
  <c r="M192" i="1"/>
  <c r="D192" i="1"/>
  <c r="P191" i="1"/>
  <c r="M191" i="1"/>
  <c r="D191" i="1"/>
  <c r="P190" i="1"/>
  <c r="M190" i="1"/>
  <c r="G190" i="1"/>
  <c r="D190" i="1"/>
  <c r="G189" i="1"/>
  <c r="D189" i="1"/>
  <c r="P188" i="1"/>
  <c r="M188" i="1"/>
  <c r="G188" i="1"/>
  <c r="P187" i="1"/>
  <c r="M187" i="1"/>
  <c r="G187" i="1"/>
  <c r="D187" i="1"/>
  <c r="D186" i="1"/>
  <c r="P184" i="1"/>
  <c r="M184" i="1"/>
  <c r="G184" i="1"/>
  <c r="D184" i="1"/>
  <c r="P183" i="1"/>
  <c r="M183" i="1"/>
  <c r="G183" i="1"/>
  <c r="D183" i="1"/>
  <c r="P182" i="1"/>
  <c r="M182" i="1"/>
  <c r="G182" i="1"/>
  <c r="D182" i="1"/>
  <c r="P181" i="1"/>
  <c r="M181" i="1"/>
  <c r="G181" i="1"/>
  <c r="D181" i="1"/>
  <c r="P180" i="1"/>
  <c r="M180" i="1"/>
  <c r="G180" i="1"/>
  <c r="D180" i="1"/>
  <c r="P179" i="1"/>
  <c r="M179" i="1"/>
  <c r="G179" i="1"/>
  <c r="D179" i="1"/>
  <c r="P178" i="1"/>
  <c r="M178" i="1"/>
  <c r="G178" i="1"/>
  <c r="D178" i="1"/>
  <c r="P177" i="1"/>
  <c r="M177" i="1"/>
  <c r="G177" i="1"/>
  <c r="D177" i="1"/>
  <c r="F166" i="1"/>
  <c r="F164" i="1"/>
  <c r="F162" i="1"/>
  <c r="E158" i="1"/>
  <c r="E156" i="1"/>
  <c r="E148" i="1"/>
  <c r="F146" i="1"/>
  <c r="Y643" i="1" l="1"/>
  <c r="Z643" i="1" s="1"/>
  <c r="W649" i="1"/>
  <c r="T686" i="1"/>
  <c r="V658" i="1"/>
  <c r="Q202" i="1"/>
  <c r="Q205" i="1"/>
  <c r="Q255" i="1"/>
  <c r="Q182" i="1"/>
  <c r="Q199" i="1"/>
  <c r="H255" i="1"/>
  <c r="Q186" i="1"/>
  <c r="Q208" i="1"/>
  <c r="H210" i="1"/>
  <c r="Q211" i="1"/>
  <c r="H207" i="1"/>
  <c r="H204" i="1"/>
  <c r="H184" i="1"/>
  <c r="H181" i="1"/>
  <c r="B212" i="1"/>
  <c r="D212" i="1" s="1"/>
  <c r="H201" i="1"/>
  <c r="Q189" i="1"/>
  <c r="P212" i="1"/>
  <c r="D188" i="1"/>
  <c r="H188" i="1" s="1"/>
  <c r="E212" i="1"/>
  <c r="Q198" i="1"/>
  <c r="Q197" i="1"/>
  <c r="Q200" i="1"/>
  <c r="Q206" i="1"/>
  <c r="Q209" i="1"/>
  <c r="H211" i="1"/>
  <c r="H178" i="1"/>
  <c r="Q193" i="1"/>
  <c r="Q201" i="1"/>
  <c r="Q204" i="1"/>
  <c r="Q207" i="1"/>
  <c r="Q210" i="1"/>
  <c r="Q194" i="1"/>
  <c r="Q196" i="1"/>
  <c r="H194" i="1"/>
  <c r="Q195" i="1"/>
  <c r="H198" i="1"/>
  <c r="Q203" i="1"/>
  <c r="Q178" i="1"/>
  <c r="Q181" i="1"/>
  <c r="Q184" i="1"/>
  <c r="Q188" i="1"/>
  <c r="H190" i="1"/>
  <c r="Q191" i="1"/>
  <c r="H196" i="1"/>
  <c r="H205" i="1"/>
  <c r="Q177" i="1"/>
  <c r="H179" i="1"/>
  <c r="Q180" i="1"/>
  <c r="H182" i="1"/>
  <c r="Q183" i="1"/>
  <c r="Q187" i="1"/>
  <c r="Q190" i="1"/>
  <c r="H192" i="1"/>
  <c r="H195" i="1"/>
  <c r="H200" i="1"/>
  <c r="Q192" i="1"/>
  <c r="M212" i="1"/>
  <c r="Q179" i="1"/>
  <c r="H197" i="1"/>
  <c r="H202" i="1"/>
  <c r="H208" i="1"/>
  <c r="H193" i="1"/>
  <c r="H199" i="1"/>
  <c r="H203" i="1"/>
  <c r="H206" i="1"/>
  <c r="H187" i="1"/>
  <c r="H186" i="1"/>
  <c r="H189" i="1"/>
  <c r="H209" i="1"/>
  <c r="H177" i="1"/>
  <c r="H180" i="1"/>
  <c r="H183" i="1"/>
  <c r="G191" i="1"/>
  <c r="H191" i="1" s="1"/>
  <c r="F212" i="1"/>
  <c r="O169" i="1"/>
  <c r="N169" i="1"/>
  <c r="L169" i="1"/>
  <c r="K169" i="1"/>
  <c r="C169" i="1"/>
  <c r="P168" i="1"/>
  <c r="M168" i="1"/>
  <c r="G168" i="1"/>
  <c r="D168" i="1"/>
  <c r="P167" i="1"/>
  <c r="M167" i="1"/>
  <c r="G167" i="1"/>
  <c r="D167" i="1"/>
  <c r="P166" i="1"/>
  <c r="M166" i="1"/>
  <c r="G166" i="1"/>
  <c r="D166" i="1"/>
  <c r="P165" i="1"/>
  <c r="M165" i="1"/>
  <c r="G165" i="1"/>
  <c r="D165" i="1"/>
  <c r="P164" i="1"/>
  <c r="M164" i="1"/>
  <c r="G164" i="1"/>
  <c r="D164" i="1"/>
  <c r="P163" i="1"/>
  <c r="M163" i="1"/>
  <c r="G163" i="1"/>
  <c r="D163" i="1"/>
  <c r="P162" i="1"/>
  <c r="M162" i="1"/>
  <c r="E169" i="1"/>
  <c r="D162" i="1"/>
  <c r="P161" i="1"/>
  <c r="M161" i="1"/>
  <c r="G161" i="1"/>
  <c r="D161" i="1"/>
  <c r="P160" i="1"/>
  <c r="M160" i="1"/>
  <c r="G160" i="1"/>
  <c r="D160" i="1"/>
  <c r="P159" i="1"/>
  <c r="M159" i="1"/>
  <c r="G159" i="1"/>
  <c r="D159" i="1"/>
  <c r="P158" i="1"/>
  <c r="M158" i="1"/>
  <c r="G158" i="1"/>
  <c r="D158" i="1"/>
  <c r="P157" i="1"/>
  <c r="M157" i="1"/>
  <c r="G157" i="1"/>
  <c r="D157" i="1"/>
  <c r="P156" i="1"/>
  <c r="M156" i="1"/>
  <c r="G156" i="1"/>
  <c r="D156" i="1"/>
  <c r="P155" i="1"/>
  <c r="M155" i="1"/>
  <c r="G155" i="1"/>
  <c r="D155" i="1"/>
  <c r="P154" i="1"/>
  <c r="M154" i="1"/>
  <c r="G154" i="1"/>
  <c r="D154" i="1"/>
  <c r="P153" i="1"/>
  <c r="M153" i="1"/>
  <c r="G153" i="1"/>
  <c r="P152" i="1"/>
  <c r="M152" i="1"/>
  <c r="G152" i="1"/>
  <c r="D152" i="1"/>
  <c r="P151" i="1"/>
  <c r="M151" i="1"/>
  <c r="G151" i="1"/>
  <c r="D151" i="1"/>
  <c r="P150" i="1"/>
  <c r="M150" i="1"/>
  <c r="G150" i="1"/>
  <c r="D150" i="1"/>
  <c r="P149" i="1"/>
  <c r="M149" i="1"/>
  <c r="G149" i="1"/>
  <c r="D149" i="1"/>
  <c r="P148" i="1"/>
  <c r="M148" i="1"/>
  <c r="G148" i="1"/>
  <c r="D148" i="1"/>
  <c r="P147" i="1"/>
  <c r="M147" i="1"/>
  <c r="G147" i="1"/>
  <c r="D147" i="1"/>
  <c r="P146" i="1"/>
  <c r="M146" i="1"/>
  <c r="G146" i="1"/>
  <c r="D146" i="1"/>
  <c r="P145" i="1"/>
  <c r="M145" i="1"/>
  <c r="G145" i="1"/>
  <c r="D145" i="1"/>
  <c r="P144" i="1"/>
  <c r="M144" i="1"/>
  <c r="G144" i="1"/>
  <c r="D144" i="1"/>
  <c r="P143" i="1"/>
  <c r="M143" i="1"/>
  <c r="G143" i="1"/>
  <c r="D143" i="1"/>
  <c r="P141" i="1"/>
  <c r="M141" i="1"/>
  <c r="G141" i="1"/>
  <c r="D141" i="1"/>
  <c r="P140" i="1"/>
  <c r="M140" i="1"/>
  <c r="G140" i="1"/>
  <c r="D140" i="1"/>
  <c r="P139" i="1"/>
  <c r="M139" i="1"/>
  <c r="G139" i="1"/>
  <c r="D139" i="1"/>
  <c r="P138" i="1"/>
  <c r="M138" i="1"/>
  <c r="G138" i="1"/>
  <c r="D138" i="1"/>
  <c r="P137" i="1"/>
  <c r="M137" i="1"/>
  <c r="G137" i="1"/>
  <c r="D137" i="1"/>
  <c r="P136" i="1"/>
  <c r="M136" i="1"/>
  <c r="G136" i="1"/>
  <c r="D136" i="1"/>
  <c r="P135" i="1"/>
  <c r="M135" i="1"/>
  <c r="G135" i="1"/>
  <c r="D135" i="1"/>
  <c r="P134" i="1"/>
  <c r="M134" i="1"/>
  <c r="G134" i="1"/>
  <c r="D134" i="1"/>
  <c r="V686" i="1" l="1"/>
  <c r="T692" i="1"/>
  <c r="W658" i="1"/>
  <c r="Y649" i="1"/>
  <c r="Z649" i="1" s="1"/>
  <c r="Q155" i="1"/>
  <c r="Q158" i="1"/>
  <c r="Q164" i="1"/>
  <c r="H157" i="1"/>
  <c r="H163" i="1"/>
  <c r="Q161" i="1"/>
  <c r="Q167" i="1"/>
  <c r="Q212" i="1"/>
  <c r="G212" i="1"/>
  <c r="H212" i="1" s="1"/>
  <c r="Q154" i="1"/>
  <c r="Q157" i="1"/>
  <c r="H159" i="1"/>
  <c r="Q160" i="1"/>
  <c r="Q163" i="1"/>
  <c r="H165" i="1"/>
  <c r="Q166" i="1"/>
  <c r="Q134" i="1"/>
  <c r="H136" i="1"/>
  <c r="Q140" i="1"/>
  <c r="H166" i="1"/>
  <c r="H160" i="1"/>
  <c r="H139" i="1"/>
  <c r="H156" i="1"/>
  <c r="Q136" i="1"/>
  <c r="H137" i="1"/>
  <c r="Q138" i="1"/>
  <c r="H134" i="1"/>
  <c r="H138" i="1"/>
  <c r="H135" i="1"/>
  <c r="H141" i="1"/>
  <c r="H168" i="1"/>
  <c r="H140" i="1"/>
  <c r="Q153" i="1"/>
  <c r="H155" i="1"/>
  <c r="Q156" i="1"/>
  <c r="H158" i="1"/>
  <c r="Q159" i="1"/>
  <c r="H161" i="1"/>
  <c r="Q162" i="1"/>
  <c r="H164" i="1"/>
  <c r="Q165" i="1"/>
  <c r="H167" i="1"/>
  <c r="Q168" i="1"/>
  <c r="Q144" i="1"/>
  <c r="Q146" i="1"/>
  <c r="Q148" i="1"/>
  <c r="Q150" i="1"/>
  <c r="Q152" i="1"/>
  <c r="P169" i="1"/>
  <c r="M169" i="1"/>
  <c r="H143" i="1"/>
  <c r="H144" i="1"/>
  <c r="H145" i="1"/>
  <c r="H146" i="1"/>
  <c r="H147" i="1"/>
  <c r="H148" i="1"/>
  <c r="H149" i="1"/>
  <c r="H150" i="1"/>
  <c r="H151" i="1"/>
  <c r="H152" i="1"/>
  <c r="D153" i="1"/>
  <c r="H153" i="1" s="1"/>
  <c r="B169" i="1"/>
  <c r="D169" i="1" s="1"/>
  <c r="Q135" i="1"/>
  <c r="Q137" i="1"/>
  <c r="Q139" i="1"/>
  <c r="Q141" i="1"/>
  <c r="Q143" i="1"/>
  <c r="Q145" i="1"/>
  <c r="Q147" i="1"/>
  <c r="Q149" i="1"/>
  <c r="Q151" i="1"/>
  <c r="H154" i="1"/>
  <c r="F169" i="1"/>
  <c r="G169" i="1" s="1"/>
  <c r="G162" i="1"/>
  <c r="H162" i="1" s="1"/>
  <c r="F121" i="1"/>
  <c r="B121" i="1"/>
  <c r="E119" i="1"/>
  <c r="B110" i="1"/>
  <c r="V692" i="1" l="1"/>
  <c r="T701" i="1"/>
  <c r="W686" i="1"/>
  <c r="Y658" i="1"/>
  <c r="Z658" i="1" s="1"/>
  <c r="Q169" i="1"/>
  <c r="H169" i="1"/>
  <c r="P108" i="1"/>
  <c r="M108" i="1"/>
  <c r="Y686" i="1" l="1"/>
  <c r="Z686" i="1" s="1"/>
  <c r="W692" i="1"/>
  <c r="T729" i="1"/>
  <c r="V701" i="1"/>
  <c r="Q108" i="1"/>
  <c r="P104" i="1"/>
  <c r="M104" i="1"/>
  <c r="V729" i="1" l="1"/>
  <c r="T735" i="1"/>
  <c r="W701" i="1"/>
  <c r="Y692" i="1"/>
  <c r="Z692" i="1" s="1"/>
  <c r="Q104" i="1"/>
  <c r="P103" i="1"/>
  <c r="M103" i="1"/>
  <c r="P102" i="1"/>
  <c r="M102" i="1"/>
  <c r="P101" i="1"/>
  <c r="M101" i="1"/>
  <c r="P75" i="1"/>
  <c r="M75" i="1"/>
  <c r="P74" i="1"/>
  <c r="M74" i="1"/>
  <c r="P73" i="1"/>
  <c r="M73" i="1"/>
  <c r="T744" i="1" l="1"/>
  <c r="V735" i="1"/>
  <c r="Y701" i="1"/>
  <c r="Z701" i="1" s="1"/>
  <c r="W729" i="1"/>
  <c r="Q75" i="1"/>
  <c r="Q74" i="1"/>
  <c r="Q73" i="1"/>
  <c r="Q101" i="1"/>
  <c r="Q102" i="1"/>
  <c r="Q103" i="1"/>
  <c r="G91" i="1"/>
  <c r="D91" i="1"/>
  <c r="P100" i="1"/>
  <c r="M100" i="1"/>
  <c r="Y729" i="1" l="1"/>
  <c r="Z729" i="1" s="1"/>
  <c r="W735" i="1"/>
  <c r="T772" i="1"/>
  <c r="V744" i="1"/>
  <c r="Q100" i="1"/>
  <c r="H91" i="1"/>
  <c r="O126" i="1"/>
  <c r="N126" i="1"/>
  <c r="L126" i="1"/>
  <c r="K126" i="1"/>
  <c r="F126" i="1"/>
  <c r="E126" i="1"/>
  <c r="C126" i="1"/>
  <c r="B126" i="1"/>
  <c r="P125" i="1"/>
  <c r="M125" i="1"/>
  <c r="G125" i="1"/>
  <c r="D125" i="1"/>
  <c r="P124" i="1"/>
  <c r="M124" i="1"/>
  <c r="G124" i="1"/>
  <c r="D124" i="1"/>
  <c r="P123" i="1"/>
  <c r="M123" i="1"/>
  <c r="G123" i="1"/>
  <c r="D123" i="1"/>
  <c r="P122" i="1"/>
  <c r="M122" i="1"/>
  <c r="G122" i="1"/>
  <c r="D122" i="1"/>
  <c r="P121" i="1"/>
  <c r="M121" i="1"/>
  <c r="G121" i="1"/>
  <c r="D121" i="1"/>
  <c r="P120" i="1"/>
  <c r="M120" i="1"/>
  <c r="G120" i="1"/>
  <c r="D120" i="1"/>
  <c r="P119" i="1"/>
  <c r="M119" i="1"/>
  <c r="G119" i="1"/>
  <c r="D119" i="1"/>
  <c r="P118" i="1"/>
  <c r="M118" i="1"/>
  <c r="G118" i="1"/>
  <c r="D118" i="1"/>
  <c r="P117" i="1"/>
  <c r="M117" i="1"/>
  <c r="G117" i="1"/>
  <c r="D117" i="1"/>
  <c r="P116" i="1"/>
  <c r="M116" i="1"/>
  <c r="G116" i="1"/>
  <c r="D116" i="1"/>
  <c r="P115" i="1"/>
  <c r="M115" i="1"/>
  <c r="G115" i="1"/>
  <c r="D115" i="1"/>
  <c r="P114" i="1"/>
  <c r="M114" i="1"/>
  <c r="G114" i="1"/>
  <c r="D114" i="1"/>
  <c r="P113" i="1"/>
  <c r="M113" i="1"/>
  <c r="G113" i="1"/>
  <c r="D113" i="1"/>
  <c r="P112" i="1"/>
  <c r="M112" i="1"/>
  <c r="G112" i="1"/>
  <c r="D112" i="1"/>
  <c r="P111" i="1"/>
  <c r="M111" i="1"/>
  <c r="G111" i="1"/>
  <c r="D111" i="1"/>
  <c r="P110" i="1"/>
  <c r="M110" i="1"/>
  <c r="G110" i="1"/>
  <c r="D110" i="1"/>
  <c r="P109" i="1"/>
  <c r="M109" i="1"/>
  <c r="G109" i="1"/>
  <c r="D109" i="1"/>
  <c r="G108" i="1"/>
  <c r="D108" i="1"/>
  <c r="P107" i="1"/>
  <c r="M107" i="1"/>
  <c r="G107" i="1"/>
  <c r="D107" i="1"/>
  <c r="P106" i="1"/>
  <c r="M106" i="1"/>
  <c r="G106" i="1"/>
  <c r="D106" i="1"/>
  <c r="P105" i="1"/>
  <c r="M105" i="1"/>
  <c r="G105" i="1"/>
  <c r="D105" i="1"/>
  <c r="G104" i="1"/>
  <c r="D104" i="1"/>
  <c r="G103" i="1"/>
  <c r="D103" i="1"/>
  <c r="G102" i="1"/>
  <c r="D102" i="1"/>
  <c r="G101" i="1"/>
  <c r="D101" i="1"/>
  <c r="G100" i="1"/>
  <c r="D100" i="1"/>
  <c r="P98" i="1"/>
  <c r="M98" i="1"/>
  <c r="G98" i="1"/>
  <c r="D98" i="1"/>
  <c r="P97" i="1"/>
  <c r="M97" i="1"/>
  <c r="G97" i="1"/>
  <c r="D97" i="1"/>
  <c r="P96" i="1"/>
  <c r="M96" i="1"/>
  <c r="G96" i="1"/>
  <c r="D96" i="1"/>
  <c r="P95" i="1"/>
  <c r="M95" i="1"/>
  <c r="G95" i="1"/>
  <c r="D95" i="1"/>
  <c r="P94" i="1"/>
  <c r="M94" i="1"/>
  <c r="G94" i="1"/>
  <c r="D94" i="1"/>
  <c r="P93" i="1"/>
  <c r="M93" i="1"/>
  <c r="G93" i="1"/>
  <c r="D93" i="1"/>
  <c r="P92" i="1"/>
  <c r="M92" i="1"/>
  <c r="G92" i="1"/>
  <c r="D92" i="1"/>
  <c r="P91" i="1"/>
  <c r="M91" i="1"/>
  <c r="V772" i="1" l="1"/>
  <c r="T778" i="1"/>
  <c r="Q105" i="1"/>
  <c r="W744" i="1"/>
  <c r="Y735" i="1"/>
  <c r="Z735" i="1" s="1"/>
  <c r="Q97" i="1"/>
  <c r="Q113" i="1"/>
  <c r="Q98" i="1"/>
  <c r="Q117" i="1"/>
  <c r="H92" i="1"/>
  <c r="Q107" i="1"/>
  <c r="Q109" i="1"/>
  <c r="Q115" i="1"/>
  <c r="Q114" i="1"/>
  <c r="Q110" i="1"/>
  <c r="Q116" i="1"/>
  <c r="Q112" i="1"/>
  <c r="Q111" i="1"/>
  <c r="Q106" i="1"/>
  <c r="Q91" i="1"/>
  <c r="Q92" i="1"/>
  <c r="Q93" i="1"/>
  <c r="Q94" i="1"/>
  <c r="Q95" i="1"/>
  <c r="Q96" i="1"/>
  <c r="Q118" i="1"/>
  <c r="Q119" i="1"/>
  <c r="Q120" i="1"/>
  <c r="Q121" i="1"/>
  <c r="Q122" i="1"/>
  <c r="Q123" i="1"/>
  <c r="Q124" i="1"/>
  <c r="Q125" i="1"/>
  <c r="P126" i="1"/>
  <c r="M126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G126" i="1"/>
  <c r="D126" i="1"/>
  <c r="H93" i="1"/>
  <c r="H94" i="1"/>
  <c r="H95" i="1"/>
  <c r="H96" i="1"/>
  <c r="H97" i="1"/>
  <c r="H98" i="1"/>
  <c r="F83" i="1"/>
  <c r="E83" i="1"/>
  <c r="C83" i="1"/>
  <c r="B83" i="1"/>
  <c r="G82" i="1"/>
  <c r="D82" i="1"/>
  <c r="G81" i="1"/>
  <c r="D81" i="1"/>
  <c r="G80" i="1"/>
  <c r="D80" i="1"/>
  <c r="G79" i="1"/>
  <c r="D79" i="1"/>
  <c r="G78" i="1"/>
  <c r="D78" i="1"/>
  <c r="G77" i="1"/>
  <c r="D77" i="1"/>
  <c r="G76" i="1"/>
  <c r="D76" i="1"/>
  <c r="G75" i="1"/>
  <c r="D75" i="1"/>
  <c r="G74" i="1"/>
  <c r="D74" i="1"/>
  <c r="G73" i="1"/>
  <c r="D73" i="1"/>
  <c r="G72" i="1"/>
  <c r="D72" i="1"/>
  <c r="G71" i="1"/>
  <c r="D71" i="1"/>
  <c r="G70" i="1"/>
  <c r="D70" i="1"/>
  <c r="G69" i="1"/>
  <c r="D69" i="1"/>
  <c r="G68" i="1"/>
  <c r="D68" i="1"/>
  <c r="G67" i="1"/>
  <c r="D67" i="1"/>
  <c r="G66" i="1"/>
  <c r="D66" i="1"/>
  <c r="G65" i="1"/>
  <c r="D65" i="1"/>
  <c r="G64" i="1"/>
  <c r="D64" i="1"/>
  <c r="G63" i="1"/>
  <c r="D63" i="1"/>
  <c r="G62" i="1"/>
  <c r="D62" i="1"/>
  <c r="G61" i="1"/>
  <c r="D61" i="1"/>
  <c r="G60" i="1"/>
  <c r="D60" i="1"/>
  <c r="G59" i="1"/>
  <c r="D59" i="1"/>
  <c r="G58" i="1"/>
  <c r="D58" i="1"/>
  <c r="G57" i="1"/>
  <c r="D57" i="1"/>
  <c r="G55" i="1"/>
  <c r="D55" i="1"/>
  <c r="G54" i="1"/>
  <c r="D54" i="1"/>
  <c r="G53" i="1"/>
  <c r="D53" i="1"/>
  <c r="G52" i="1"/>
  <c r="D52" i="1"/>
  <c r="G51" i="1"/>
  <c r="D51" i="1"/>
  <c r="G50" i="1"/>
  <c r="D50" i="1"/>
  <c r="G49" i="1"/>
  <c r="D49" i="1"/>
  <c r="G48" i="1"/>
  <c r="D48" i="1"/>
  <c r="P39" i="1"/>
  <c r="M39" i="1"/>
  <c r="P38" i="1"/>
  <c r="M38" i="1"/>
  <c r="O83" i="1"/>
  <c r="N83" i="1"/>
  <c r="L83" i="1"/>
  <c r="K83" i="1"/>
  <c r="P82" i="1"/>
  <c r="M82" i="1"/>
  <c r="P81" i="1"/>
  <c r="M81" i="1"/>
  <c r="P80" i="1"/>
  <c r="M80" i="1"/>
  <c r="P79" i="1"/>
  <c r="M79" i="1"/>
  <c r="P78" i="1"/>
  <c r="M78" i="1"/>
  <c r="P77" i="1"/>
  <c r="M77" i="1"/>
  <c r="P76" i="1"/>
  <c r="M76" i="1"/>
  <c r="P72" i="1"/>
  <c r="M72" i="1"/>
  <c r="P71" i="1"/>
  <c r="M71" i="1"/>
  <c r="P70" i="1"/>
  <c r="M70" i="1"/>
  <c r="P69" i="1"/>
  <c r="M69" i="1"/>
  <c r="P68" i="1"/>
  <c r="M68" i="1"/>
  <c r="P67" i="1"/>
  <c r="M67" i="1"/>
  <c r="P66" i="1"/>
  <c r="M66" i="1"/>
  <c r="P65" i="1"/>
  <c r="M65" i="1"/>
  <c r="P64" i="1"/>
  <c r="M64" i="1"/>
  <c r="P63" i="1"/>
  <c r="M63" i="1"/>
  <c r="P62" i="1"/>
  <c r="M62" i="1"/>
  <c r="P61" i="1"/>
  <c r="M61" i="1"/>
  <c r="P60" i="1"/>
  <c r="M60" i="1"/>
  <c r="P59" i="1"/>
  <c r="M59" i="1"/>
  <c r="P58" i="1"/>
  <c r="M58" i="1"/>
  <c r="P57" i="1"/>
  <c r="M57" i="1"/>
  <c r="P55" i="1"/>
  <c r="M55" i="1"/>
  <c r="P54" i="1"/>
  <c r="M54" i="1"/>
  <c r="P53" i="1"/>
  <c r="M53" i="1"/>
  <c r="P52" i="1"/>
  <c r="M52" i="1"/>
  <c r="P51" i="1"/>
  <c r="M51" i="1"/>
  <c r="P50" i="1"/>
  <c r="M50" i="1"/>
  <c r="P49" i="1"/>
  <c r="M49" i="1"/>
  <c r="P48" i="1"/>
  <c r="M48" i="1"/>
  <c r="T787" i="1" l="1"/>
  <c r="V778" i="1"/>
  <c r="W772" i="1"/>
  <c r="Y744" i="1"/>
  <c r="Z744" i="1" s="1"/>
  <c r="Q52" i="1"/>
  <c r="Q49" i="1"/>
  <c r="Q50" i="1"/>
  <c r="Q53" i="1"/>
  <c r="Q54" i="1"/>
  <c r="Q55" i="1"/>
  <c r="Q65" i="1"/>
  <c r="Q68" i="1"/>
  <c r="Q69" i="1"/>
  <c r="Q72" i="1"/>
  <c r="Q76" i="1"/>
  <c r="Q77" i="1"/>
  <c r="Q80" i="1"/>
  <c r="Q81" i="1"/>
  <c r="Q82" i="1"/>
  <c r="P83" i="1"/>
  <c r="H48" i="1"/>
  <c r="H49" i="1"/>
  <c r="H50" i="1"/>
  <c r="H51" i="1"/>
  <c r="H53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4" i="1"/>
  <c r="H75" i="1"/>
  <c r="H76" i="1"/>
  <c r="H77" i="1"/>
  <c r="H78" i="1"/>
  <c r="H79" i="1"/>
  <c r="H80" i="1"/>
  <c r="H82" i="1"/>
  <c r="D83" i="1"/>
  <c r="Q126" i="1"/>
  <c r="H126" i="1"/>
  <c r="H81" i="1"/>
  <c r="H52" i="1"/>
  <c r="H73" i="1"/>
  <c r="H55" i="1"/>
  <c r="H54" i="1"/>
  <c r="Q51" i="1"/>
  <c r="Q66" i="1"/>
  <c r="Q70" i="1"/>
  <c r="Q78" i="1"/>
  <c r="Q48" i="1"/>
  <c r="Q67" i="1"/>
  <c r="Q71" i="1"/>
  <c r="Q79" i="1"/>
  <c r="Q64" i="1"/>
  <c r="Q63" i="1"/>
  <c r="M83" i="1"/>
  <c r="Q83" i="1" s="1"/>
  <c r="Q62" i="1"/>
  <c r="G83" i="1"/>
  <c r="Q61" i="1"/>
  <c r="Q60" i="1"/>
  <c r="Q59" i="1"/>
  <c r="Q58" i="1"/>
  <c r="Q57" i="1"/>
  <c r="Q39" i="1"/>
  <c r="Q38" i="1"/>
  <c r="G28" i="1"/>
  <c r="D28" i="1"/>
  <c r="Y772" i="1" l="1"/>
  <c r="Z772" i="1" s="1"/>
  <c r="W778" i="1"/>
  <c r="V787" i="1"/>
  <c r="T815" i="1"/>
  <c r="H83" i="1"/>
  <c r="H28" i="1"/>
  <c r="P37" i="1"/>
  <c r="M37" i="1"/>
  <c r="P36" i="1"/>
  <c r="M36" i="1"/>
  <c r="V815" i="1" l="1"/>
  <c r="T821" i="1"/>
  <c r="Y778" i="1"/>
  <c r="Z778" i="1" s="1"/>
  <c r="W787" i="1"/>
  <c r="Q36" i="1"/>
  <c r="Q37" i="1"/>
  <c r="F13" i="1"/>
  <c r="F40" i="1"/>
  <c r="E13" i="1"/>
  <c r="E40" i="1"/>
  <c r="O13" i="1"/>
  <c r="O40" i="1"/>
  <c r="O257" i="1" s="1"/>
  <c r="N13" i="1"/>
  <c r="N40" i="1"/>
  <c r="N257" i="1" s="1"/>
  <c r="P17" i="1"/>
  <c r="M17" i="1"/>
  <c r="P35" i="1"/>
  <c r="M35" i="1"/>
  <c r="P27" i="1"/>
  <c r="M27" i="1"/>
  <c r="P26" i="1"/>
  <c r="M26" i="1"/>
  <c r="P4" i="1"/>
  <c r="P5" i="1"/>
  <c r="P6" i="1"/>
  <c r="P7" i="1"/>
  <c r="P8" i="1"/>
  <c r="P9" i="1"/>
  <c r="P10" i="1"/>
  <c r="P11" i="1"/>
  <c r="P12" i="1"/>
  <c r="P14" i="1"/>
  <c r="P15" i="1"/>
  <c r="P16" i="1"/>
  <c r="P18" i="1"/>
  <c r="P19" i="1"/>
  <c r="P20" i="1"/>
  <c r="P21" i="1"/>
  <c r="P22" i="1"/>
  <c r="P23" i="1"/>
  <c r="P24" i="1"/>
  <c r="P25" i="1"/>
  <c r="P28" i="1"/>
  <c r="P29" i="1"/>
  <c r="P30" i="1"/>
  <c r="P31" i="1"/>
  <c r="P32" i="1"/>
  <c r="P33" i="1"/>
  <c r="P34" i="1"/>
  <c r="L40" i="1"/>
  <c r="L257" i="1" s="1"/>
  <c r="K40" i="1"/>
  <c r="K257" i="1" s="1"/>
  <c r="C40" i="1"/>
  <c r="B40" i="1"/>
  <c r="G39" i="1"/>
  <c r="D39" i="1"/>
  <c r="G38" i="1"/>
  <c r="D38" i="1"/>
  <c r="G37" i="1"/>
  <c r="D37" i="1"/>
  <c r="G36" i="1"/>
  <c r="D36" i="1"/>
  <c r="G35" i="1"/>
  <c r="D35" i="1"/>
  <c r="M34" i="1"/>
  <c r="G34" i="1"/>
  <c r="D34" i="1"/>
  <c r="M33" i="1"/>
  <c r="G33" i="1"/>
  <c r="D33" i="1"/>
  <c r="M32" i="1"/>
  <c r="G32" i="1"/>
  <c r="D32" i="1"/>
  <c r="M31" i="1"/>
  <c r="G31" i="1"/>
  <c r="D31" i="1"/>
  <c r="M30" i="1"/>
  <c r="G30" i="1"/>
  <c r="D30" i="1"/>
  <c r="M29" i="1"/>
  <c r="G29" i="1"/>
  <c r="D29" i="1"/>
  <c r="M28" i="1"/>
  <c r="G27" i="1"/>
  <c r="D27" i="1"/>
  <c r="G26" i="1"/>
  <c r="D26" i="1"/>
  <c r="M25" i="1"/>
  <c r="G25" i="1"/>
  <c r="D25" i="1"/>
  <c r="M24" i="1"/>
  <c r="G24" i="1"/>
  <c r="D24" i="1"/>
  <c r="M23" i="1"/>
  <c r="G23" i="1"/>
  <c r="D23" i="1"/>
  <c r="M22" i="1"/>
  <c r="G22" i="1"/>
  <c r="D22" i="1"/>
  <c r="M21" i="1"/>
  <c r="G21" i="1"/>
  <c r="D21" i="1"/>
  <c r="M20" i="1"/>
  <c r="G20" i="1"/>
  <c r="D20" i="1"/>
  <c r="M19" i="1"/>
  <c r="G19" i="1"/>
  <c r="D19" i="1"/>
  <c r="M18" i="1"/>
  <c r="G18" i="1"/>
  <c r="D18" i="1"/>
  <c r="G17" i="1"/>
  <c r="D17" i="1"/>
  <c r="M16" i="1"/>
  <c r="G16" i="1"/>
  <c r="D16" i="1"/>
  <c r="M15" i="1"/>
  <c r="G15" i="1"/>
  <c r="D15" i="1"/>
  <c r="M14" i="1"/>
  <c r="G14" i="1"/>
  <c r="D14" i="1"/>
  <c r="L13" i="1"/>
  <c r="K13" i="1"/>
  <c r="C13" i="1"/>
  <c r="B13" i="1"/>
  <c r="M12" i="1"/>
  <c r="G12" i="1"/>
  <c r="D12" i="1"/>
  <c r="M11" i="1"/>
  <c r="G11" i="1"/>
  <c r="D11" i="1"/>
  <c r="M10" i="1"/>
  <c r="G10" i="1"/>
  <c r="D10" i="1"/>
  <c r="M9" i="1"/>
  <c r="G9" i="1"/>
  <c r="D9" i="1"/>
  <c r="M8" i="1"/>
  <c r="G8" i="1"/>
  <c r="D8" i="1"/>
  <c r="M7" i="1"/>
  <c r="G7" i="1"/>
  <c r="D7" i="1"/>
  <c r="M6" i="1"/>
  <c r="G6" i="1"/>
  <c r="D6" i="1"/>
  <c r="M5" i="1"/>
  <c r="G5" i="1"/>
  <c r="D5" i="1"/>
  <c r="M4" i="1"/>
  <c r="G4" i="1"/>
  <c r="D4" i="1"/>
  <c r="T830" i="1" l="1"/>
  <c r="V821" i="1"/>
  <c r="W815" i="1"/>
  <c r="Y787" i="1"/>
  <c r="Z787" i="1" s="1"/>
  <c r="Q7" i="1"/>
  <c r="Q21" i="1"/>
  <c r="Q25" i="1"/>
  <c r="H15" i="1"/>
  <c r="H11" i="1"/>
  <c r="H32" i="1"/>
  <c r="Q10" i="1"/>
  <c r="H34" i="1"/>
  <c r="Q15" i="1"/>
  <c r="P13" i="1"/>
  <c r="H38" i="1"/>
  <c r="H36" i="1"/>
  <c r="Q35" i="1"/>
  <c r="H33" i="1"/>
  <c r="Q27" i="1"/>
  <c r="Q18" i="1"/>
  <c r="Q8" i="1"/>
  <c r="Q28" i="1"/>
  <c r="Q29" i="1"/>
  <c r="Q19" i="1"/>
  <c r="C41" i="1"/>
  <c r="C47" i="1" s="1"/>
  <c r="C56" i="1" s="1"/>
  <c r="C84" i="1" s="1"/>
  <c r="C90" i="1" s="1"/>
  <c r="C99" i="1" s="1"/>
  <c r="C127" i="1" s="1"/>
  <c r="C133" i="1" s="1"/>
  <c r="C142" i="1" s="1"/>
  <c r="C170" i="1" s="1"/>
  <c r="C176" i="1" s="1"/>
  <c r="C185" i="1" s="1"/>
  <c r="C213" i="1" s="1"/>
  <c r="C219" i="1" s="1"/>
  <c r="C228" i="1" s="1"/>
  <c r="C256" i="1" s="1"/>
  <c r="C262" i="1" s="1"/>
  <c r="C271" i="1" s="1"/>
  <c r="C299" i="1" s="1"/>
  <c r="C305" i="1" s="1"/>
  <c r="C314" i="1" s="1"/>
  <c r="C342" i="1" s="1"/>
  <c r="C348" i="1" s="1"/>
  <c r="H9" i="1"/>
  <c r="H25" i="1"/>
  <c r="H31" i="1"/>
  <c r="H37" i="1"/>
  <c r="Q9" i="1"/>
  <c r="Q30" i="1"/>
  <c r="Q32" i="1"/>
  <c r="Q22" i="1"/>
  <c r="Q11" i="1"/>
  <c r="H4" i="1"/>
  <c r="H12" i="1"/>
  <c r="H17" i="1"/>
  <c r="H20" i="1"/>
  <c r="H23" i="1"/>
  <c r="Q31" i="1"/>
  <c r="H19" i="1"/>
  <c r="H22" i="1"/>
  <c r="Q26" i="1"/>
  <c r="H6" i="1"/>
  <c r="H21" i="1"/>
  <c r="Q16" i="1"/>
  <c r="H5" i="1"/>
  <c r="H8" i="1"/>
  <c r="H16" i="1"/>
  <c r="H24" i="1"/>
  <c r="H27" i="1"/>
  <c r="H30" i="1"/>
  <c r="H39" i="1"/>
  <c r="Q5" i="1"/>
  <c r="Q17" i="1"/>
  <c r="E41" i="1"/>
  <c r="E47" i="1" s="1"/>
  <c r="E56" i="1" s="1"/>
  <c r="E84" i="1" s="1"/>
  <c r="E90" i="1" s="1"/>
  <c r="Q34" i="1"/>
  <c r="Q24" i="1"/>
  <c r="Q6" i="1"/>
  <c r="G13" i="1"/>
  <c r="Q14" i="1"/>
  <c r="M13" i="1"/>
  <c r="Q13" i="1" s="1"/>
  <c r="L41" i="1"/>
  <c r="L47" i="1" s="1"/>
  <c r="L56" i="1" s="1"/>
  <c r="L84" i="1" s="1"/>
  <c r="L90" i="1" s="1"/>
  <c r="L99" i="1" s="1"/>
  <c r="L127" i="1" s="1"/>
  <c r="L133" i="1" s="1"/>
  <c r="L142" i="1" s="1"/>
  <c r="L170" i="1" s="1"/>
  <c r="L176" i="1" s="1"/>
  <c r="L185" i="1" s="1"/>
  <c r="L213" i="1" s="1"/>
  <c r="L219" i="1" s="1"/>
  <c r="L228" i="1" s="1"/>
  <c r="L256" i="1" s="1"/>
  <c r="L262" i="1" s="1"/>
  <c r="L271" i="1" s="1"/>
  <c r="L299" i="1" s="1"/>
  <c r="L305" i="1" s="1"/>
  <c r="L314" i="1" s="1"/>
  <c r="L342" i="1" s="1"/>
  <c r="L348" i="1" s="1"/>
  <c r="L357" i="1" s="1"/>
  <c r="L385" i="1" s="1"/>
  <c r="L391" i="1" s="1"/>
  <c r="L400" i="1" s="1"/>
  <c r="L428" i="1" s="1"/>
  <c r="L434" i="1" s="1"/>
  <c r="L443" i="1" s="1"/>
  <c r="L471" i="1" s="1"/>
  <c r="L477" i="1" s="1"/>
  <c r="L486" i="1" s="1"/>
  <c r="L514" i="1" s="1"/>
  <c r="L520" i="1" s="1"/>
  <c r="L529" i="1" s="1"/>
  <c r="L557" i="1" s="1"/>
  <c r="L563" i="1" s="1"/>
  <c r="L572" i="1" s="1"/>
  <c r="L600" i="1" s="1"/>
  <c r="L606" i="1" s="1"/>
  <c r="L615" i="1" s="1"/>
  <c r="L643" i="1" s="1"/>
  <c r="L649" i="1" s="1"/>
  <c r="L658" i="1" s="1"/>
  <c r="L686" i="1" s="1"/>
  <c r="L692" i="1" s="1"/>
  <c r="L701" i="1" s="1"/>
  <c r="L729" i="1" s="1"/>
  <c r="L735" i="1" s="1"/>
  <c r="L744" i="1" s="1"/>
  <c r="L772" i="1" s="1"/>
  <c r="L778" i="1" s="1"/>
  <c r="L787" i="1" s="1"/>
  <c r="L815" i="1" s="1"/>
  <c r="L821" i="1" s="1"/>
  <c r="L830" i="1" s="1"/>
  <c r="L858" i="1" s="1"/>
  <c r="L864" i="1" s="1"/>
  <c r="N41" i="1"/>
  <c r="N47" i="1" s="1"/>
  <c r="H14" i="1"/>
  <c r="D40" i="1"/>
  <c r="B41" i="1"/>
  <c r="B47" i="1" s="1"/>
  <c r="H35" i="1"/>
  <c r="Q23" i="1"/>
  <c r="Q33" i="1"/>
  <c r="K41" i="1"/>
  <c r="K47" i="1" s="1"/>
  <c r="D13" i="1"/>
  <c r="Q4" i="1"/>
  <c r="H7" i="1"/>
  <c r="H10" i="1"/>
  <c r="Q12" i="1"/>
  <c r="H18" i="1"/>
  <c r="Q20" i="1"/>
  <c r="H26" i="1"/>
  <c r="H29" i="1"/>
  <c r="F41" i="1"/>
  <c r="F47" i="1" s="1"/>
  <c r="M40" i="1"/>
  <c r="M257" i="1" s="1"/>
  <c r="M258" i="1" s="1"/>
  <c r="O41" i="1"/>
  <c r="O47" i="1" s="1"/>
  <c r="O56" i="1" s="1"/>
  <c r="O84" i="1" s="1"/>
  <c r="O90" i="1" s="1"/>
  <c r="O99" i="1" s="1"/>
  <c r="O127" i="1" s="1"/>
  <c r="O133" i="1" s="1"/>
  <c r="G40" i="1"/>
  <c r="P40" i="1"/>
  <c r="P257" i="1" s="1"/>
  <c r="P258" i="1" s="1"/>
  <c r="L873" i="1" l="1"/>
  <c r="L901" i="1" s="1"/>
  <c r="L907" i="1" s="1"/>
  <c r="L916" i="1" s="1"/>
  <c r="L944" i="1" s="1"/>
  <c r="L950" i="1" s="1"/>
  <c r="L959" i="1" s="1"/>
  <c r="L987" i="1" s="1"/>
  <c r="L993" i="1" s="1"/>
  <c r="L1002" i="1" s="1"/>
  <c r="L1030" i="1" s="1"/>
  <c r="L1036" i="1" s="1"/>
  <c r="L1045" i="1" s="1"/>
  <c r="L1073" i="1" s="1"/>
  <c r="L1079" i="1" s="1"/>
  <c r="L1088" i="1" s="1"/>
  <c r="L1116" i="1" s="1"/>
  <c r="L1122" i="1" s="1"/>
  <c r="L1131" i="1" s="1"/>
  <c r="L1159" i="1" s="1"/>
  <c r="L1165" i="1" s="1"/>
  <c r="L1174" i="1" s="1"/>
  <c r="L1202" i="1" s="1"/>
  <c r="L1208" i="1" s="1"/>
  <c r="L1217" i="1" s="1"/>
  <c r="L1245" i="1" s="1"/>
  <c r="L1251" i="1" s="1"/>
  <c r="L1260" i="1" s="1"/>
  <c r="L1288" i="1" s="1"/>
  <c r="L1294" i="1" s="1"/>
  <c r="L1303" i="1" s="1"/>
  <c r="L1331" i="1" s="1"/>
  <c r="L1337" i="1" s="1"/>
  <c r="L1346" i="1" s="1"/>
  <c r="L1374" i="1" s="1"/>
  <c r="L1380" i="1" s="1"/>
  <c r="L1389" i="1" s="1"/>
  <c r="L1417" i="1" s="1"/>
  <c r="L1423" i="1" s="1"/>
  <c r="L1432" i="1" s="1"/>
  <c r="L1460" i="1" s="1"/>
  <c r="L1466" i="1" s="1"/>
  <c r="L1475" i="1" s="1"/>
  <c r="L1503" i="1" s="1"/>
  <c r="L1509" i="1" s="1"/>
  <c r="L1518" i="1" s="1"/>
  <c r="L1546" i="1" s="1"/>
  <c r="L1552" i="1" s="1"/>
  <c r="L1561" i="1" s="1"/>
  <c r="L1589" i="1" s="1"/>
  <c r="L1595" i="1" s="1"/>
  <c r="L1604" i="1" s="1"/>
  <c r="L1632" i="1" s="1"/>
  <c r="L1638" i="1" s="1"/>
  <c r="L1647" i="1" s="1"/>
  <c r="L1675" i="1" s="1"/>
  <c r="L1681" i="1" s="1"/>
  <c r="L1690" i="1" s="1"/>
  <c r="L1718" i="1" s="1"/>
  <c r="L1724" i="1" s="1"/>
  <c r="L1733" i="1" s="1"/>
  <c r="L1761" i="1" s="1"/>
  <c r="L1767" i="1" s="1"/>
  <c r="Y815" i="1"/>
  <c r="Z815" i="1" s="1"/>
  <c r="W821" i="1"/>
  <c r="T858" i="1"/>
  <c r="V830" i="1"/>
  <c r="C357" i="1"/>
  <c r="N258" i="1"/>
  <c r="K258" i="1"/>
  <c r="O258" i="1"/>
  <c r="L258" i="1"/>
  <c r="O142" i="1"/>
  <c r="E99" i="1"/>
  <c r="B56" i="1"/>
  <c r="D47" i="1"/>
  <c r="F56" i="1"/>
  <c r="G47" i="1"/>
  <c r="N56" i="1"/>
  <c r="P47" i="1"/>
  <c r="K56" i="1"/>
  <c r="M47" i="1"/>
  <c r="D41" i="1"/>
  <c r="G41" i="1"/>
  <c r="H40" i="1"/>
  <c r="P41" i="1"/>
  <c r="H13" i="1"/>
  <c r="M41" i="1"/>
  <c r="Q40" i="1"/>
  <c r="Q257" i="1" s="1"/>
  <c r="L1776" i="1" l="1"/>
  <c r="V858" i="1"/>
  <c r="T864" i="1"/>
  <c r="W830" i="1"/>
  <c r="Y821" i="1"/>
  <c r="Z821" i="1" s="1"/>
  <c r="C385" i="1"/>
  <c r="C391" i="1" s="1"/>
  <c r="C400" i="1" s="1"/>
  <c r="C428" i="1" s="1"/>
  <c r="C434" i="1" s="1"/>
  <c r="C443" i="1" s="1"/>
  <c r="C471" i="1" s="1"/>
  <c r="C477" i="1" s="1"/>
  <c r="C486" i="1" s="1"/>
  <c r="C514" i="1" s="1"/>
  <c r="C520" i="1" s="1"/>
  <c r="C529" i="1" s="1"/>
  <c r="C557" i="1" s="1"/>
  <c r="C563" i="1" s="1"/>
  <c r="C572" i="1" s="1"/>
  <c r="C600" i="1" s="1"/>
  <c r="C606" i="1" s="1"/>
  <c r="C615" i="1" s="1"/>
  <c r="C643" i="1" s="1"/>
  <c r="C649" i="1" s="1"/>
  <c r="C658" i="1" s="1"/>
  <c r="C686" i="1" s="1"/>
  <c r="C692" i="1" s="1"/>
  <c r="C701" i="1" s="1"/>
  <c r="C729" i="1" s="1"/>
  <c r="C735" i="1" s="1"/>
  <c r="C744" i="1" s="1"/>
  <c r="C772" i="1" s="1"/>
  <c r="C778" i="1" s="1"/>
  <c r="C787" i="1" s="1"/>
  <c r="C815" i="1" s="1"/>
  <c r="C821" i="1" s="1"/>
  <c r="C830" i="1" s="1"/>
  <c r="C858" i="1" s="1"/>
  <c r="C864" i="1" s="1"/>
  <c r="C873" i="1" s="1"/>
  <c r="C901" i="1" s="1"/>
  <c r="C907" i="1" s="1"/>
  <c r="O170" i="1"/>
  <c r="O176" i="1" s="1"/>
  <c r="O185" i="1" s="1"/>
  <c r="O213" i="1" s="1"/>
  <c r="O219" i="1" s="1"/>
  <c r="O228" i="1" s="1"/>
  <c r="O256" i="1" s="1"/>
  <c r="O262" i="1" s="1"/>
  <c r="O271" i="1" s="1"/>
  <c r="O299" i="1" s="1"/>
  <c r="O305" i="1" s="1"/>
  <c r="O314" i="1" s="1"/>
  <c r="O342" i="1" s="1"/>
  <c r="O348" i="1" s="1"/>
  <c r="O357" i="1" s="1"/>
  <c r="O385" i="1" s="1"/>
  <c r="O391" i="1" s="1"/>
  <c r="O400" i="1" s="1"/>
  <c r="O428" i="1" s="1"/>
  <c r="O434" i="1" s="1"/>
  <c r="O443" i="1" s="1"/>
  <c r="O471" i="1" s="1"/>
  <c r="O477" i="1" s="1"/>
  <c r="O486" i="1" s="1"/>
  <c r="O514" i="1" s="1"/>
  <c r="O520" i="1" s="1"/>
  <c r="O529" i="1" s="1"/>
  <c r="O557" i="1" s="1"/>
  <c r="O563" i="1" s="1"/>
  <c r="O572" i="1" s="1"/>
  <c r="O600" i="1" s="1"/>
  <c r="O606" i="1" s="1"/>
  <c r="O615" i="1" s="1"/>
  <c r="O643" i="1" s="1"/>
  <c r="O649" i="1" s="1"/>
  <c r="O658" i="1" s="1"/>
  <c r="O686" i="1" s="1"/>
  <c r="O692" i="1" s="1"/>
  <c r="O701" i="1" s="1"/>
  <c r="O729" i="1" s="1"/>
  <c r="O735" i="1" s="1"/>
  <c r="O744" i="1" s="1"/>
  <c r="O772" i="1" s="1"/>
  <c r="O778" i="1" s="1"/>
  <c r="O787" i="1" s="1"/>
  <c r="O815" i="1" s="1"/>
  <c r="O821" i="1" s="1"/>
  <c r="O830" i="1" s="1"/>
  <c r="O858" i="1" s="1"/>
  <c r="O864" i="1" s="1"/>
  <c r="O873" i="1" s="1"/>
  <c r="O901" i="1" s="1"/>
  <c r="O907" i="1" s="1"/>
  <c r="O916" i="1" s="1"/>
  <c r="O944" i="1" s="1"/>
  <c r="O950" i="1" s="1"/>
  <c r="O959" i="1" s="1"/>
  <c r="O987" i="1" s="1"/>
  <c r="O993" i="1" s="1"/>
  <c r="O1002" i="1" s="1"/>
  <c r="O1030" i="1" s="1"/>
  <c r="O1036" i="1" s="1"/>
  <c r="O1045" i="1" s="1"/>
  <c r="O1073" i="1" s="1"/>
  <c r="O1079" i="1" s="1"/>
  <c r="O1088" i="1" s="1"/>
  <c r="O1116" i="1" s="1"/>
  <c r="O1122" i="1" s="1"/>
  <c r="H47" i="1"/>
  <c r="Q47" i="1"/>
  <c r="E127" i="1"/>
  <c r="E133" i="1" s="1"/>
  <c r="E142" i="1" s="1"/>
  <c r="E170" i="1" s="1"/>
  <c r="E176" i="1" s="1"/>
  <c r="D56" i="1"/>
  <c r="B84" i="1"/>
  <c r="F84" i="1"/>
  <c r="G56" i="1"/>
  <c r="N84" i="1"/>
  <c r="P56" i="1"/>
  <c r="K84" i="1"/>
  <c r="M56" i="1"/>
  <c r="H41" i="1"/>
  <c r="Q41" i="1"/>
  <c r="L1804" i="1" l="1"/>
  <c r="L1810" i="1" s="1"/>
  <c r="L1819" i="1" s="1"/>
  <c r="L1847" i="1" s="1"/>
  <c r="L1853" i="1" s="1"/>
  <c r="L1862" i="1" s="1"/>
  <c r="L1890" i="1" s="1"/>
  <c r="L1896" i="1" s="1"/>
  <c r="L1905" i="1" s="1"/>
  <c r="L1933" i="1" s="1"/>
  <c r="L1939" i="1" s="1"/>
  <c r="L1948" i="1" s="1"/>
  <c r="L1976" i="1" s="1"/>
  <c r="L1982" i="1" s="1"/>
  <c r="L1991" i="1" s="1"/>
  <c r="L2019" i="1" s="1"/>
  <c r="L2025" i="1" s="1"/>
  <c r="L2034" i="1" s="1"/>
  <c r="L2062" i="1" s="1"/>
  <c r="O1131" i="1"/>
  <c r="C916" i="1"/>
  <c r="C944" i="1" s="1"/>
  <c r="C950" i="1" s="1"/>
  <c r="C959" i="1" s="1"/>
  <c r="C987" i="1" s="1"/>
  <c r="C993" i="1" s="1"/>
  <c r="C1002" i="1" s="1"/>
  <c r="C1030" i="1" s="1"/>
  <c r="C1036" i="1" s="1"/>
  <c r="C1045" i="1" s="1"/>
  <c r="C1073" i="1" s="1"/>
  <c r="C1079" i="1" s="1"/>
  <c r="C1088" i="1" s="1"/>
  <c r="C1116" i="1" s="1"/>
  <c r="C1122" i="1" s="1"/>
  <c r="C1131" i="1" s="1"/>
  <c r="C1159" i="1" s="1"/>
  <c r="C1165" i="1" s="1"/>
  <c r="C1174" i="1" s="1"/>
  <c r="C1202" i="1" s="1"/>
  <c r="C1208" i="1" s="1"/>
  <c r="C1217" i="1" s="1"/>
  <c r="C1245" i="1" s="1"/>
  <c r="C1251" i="1" s="1"/>
  <c r="C1260" i="1" s="1"/>
  <c r="C1288" i="1" s="1"/>
  <c r="C1294" i="1" s="1"/>
  <c r="C1303" i="1" s="1"/>
  <c r="C1331" i="1" s="1"/>
  <c r="C1337" i="1" s="1"/>
  <c r="C1346" i="1" s="1"/>
  <c r="C1374" i="1" s="1"/>
  <c r="C1380" i="1" s="1"/>
  <c r="W858" i="1"/>
  <c r="Y830" i="1"/>
  <c r="Z830" i="1" s="1"/>
  <c r="V864" i="1"/>
  <c r="T873" i="1"/>
  <c r="E185" i="1"/>
  <c r="Q56" i="1"/>
  <c r="G84" i="1"/>
  <c r="F90" i="1"/>
  <c r="D84" i="1"/>
  <c r="B90" i="1"/>
  <c r="P84" i="1"/>
  <c r="N90" i="1"/>
  <c r="M84" i="1"/>
  <c r="K90" i="1"/>
  <c r="H56" i="1"/>
  <c r="C1389" i="1" l="1"/>
  <c r="O1159" i="1"/>
  <c r="O1165" i="1" s="1"/>
  <c r="O1174" i="1" s="1"/>
  <c r="O1202" i="1" s="1"/>
  <c r="O1208" i="1" s="1"/>
  <c r="O1217" i="1" s="1"/>
  <c r="O1245" i="1" s="1"/>
  <c r="O1251" i="1" s="1"/>
  <c r="O1260" i="1" s="1"/>
  <c r="O1288" i="1" s="1"/>
  <c r="O1294" i="1" s="1"/>
  <c r="O1303" i="1" s="1"/>
  <c r="O1331" i="1" s="1"/>
  <c r="O1337" i="1" s="1"/>
  <c r="O1346" i="1" s="1"/>
  <c r="O1374" i="1" s="1"/>
  <c r="O1380" i="1" s="1"/>
  <c r="O1389" i="1" s="1"/>
  <c r="O1417" i="1" s="1"/>
  <c r="O1423" i="1" s="1"/>
  <c r="T901" i="1"/>
  <c r="V873" i="1"/>
  <c r="Y858" i="1"/>
  <c r="Z858" i="1" s="1"/>
  <c r="W864" i="1"/>
  <c r="E213" i="1"/>
  <c r="E219" i="1" s="1"/>
  <c r="H84" i="1"/>
  <c r="Q84" i="1"/>
  <c r="B99" i="1"/>
  <c r="D90" i="1"/>
  <c r="F99" i="1"/>
  <c r="G90" i="1"/>
  <c r="N99" i="1"/>
  <c r="P90" i="1"/>
  <c r="K99" i="1"/>
  <c r="M90" i="1"/>
  <c r="O1432" i="1" l="1"/>
  <c r="O1460" i="1" s="1"/>
  <c r="O1466" i="1" s="1"/>
  <c r="O1475" i="1" s="1"/>
  <c r="O1503" i="1" s="1"/>
  <c r="O1509" i="1" s="1"/>
  <c r="O1518" i="1" s="1"/>
  <c r="O1546" i="1" s="1"/>
  <c r="O1552" i="1" s="1"/>
  <c r="O1561" i="1" s="1"/>
  <c r="O1589" i="1" s="1"/>
  <c r="O1595" i="1" s="1"/>
  <c r="O1604" i="1" s="1"/>
  <c r="O1632" i="1" s="1"/>
  <c r="O1638" i="1" s="1"/>
  <c r="O1647" i="1" s="1"/>
  <c r="O1675" i="1" s="1"/>
  <c r="O1681" i="1" s="1"/>
  <c r="O1690" i="1" s="1"/>
  <c r="O1718" i="1" s="1"/>
  <c r="O1724" i="1" s="1"/>
  <c r="O1733" i="1" s="1"/>
  <c r="O1761" i="1" s="1"/>
  <c r="O1767" i="1" s="1"/>
  <c r="O1776" i="1" s="1"/>
  <c r="O1804" i="1" s="1"/>
  <c r="O1810" i="1" s="1"/>
  <c r="O1819" i="1" s="1"/>
  <c r="O1847" i="1" s="1"/>
  <c r="O1853" i="1" s="1"/>
  <c r="O1862" i="1" s="1"/>
  <c r="O1890" i="1" s="1"/>
  <c r="O1896" i="1" s="1"/>
  <c r="O1905" i="1" s="1"/>
  <c r="O1933" i="1" s="1"/>
  <c r="O1939" i="1" s="1"/>
  <c r="O1948" i="1" s="1"/>
  <c r="O1976" i="1" s="1"/>
  <c r="O1982" i="1" s="1"/>
  <c r="O1991" i="1" s="1"/>
  <c r="O2019" i="1" s="1"/>
  <c r="O2025" i="1" s="1"/>
  <c r="O2034" i="1" s="1"/>
  <c r="O2062" i="1" s="1"/>
  <c r="C1417" i="1"/>
  <c r="C1423" i="1" s="1"/>
  <c r="C1432" i="1" s="1"/>
  <c r="C1460" i="1" s="1"/>
  <c r="C1466" i="1" s="1"/>
  <c r="C1475" i="1" s="1"/>
  <c r="C1503" i="1" s="1"/>
  <c r="C1509" i="1" s="1"/>
  <c r="C1518" i="1" s="1"/>
  <c r="C1546" i="1" s="1"/>
  <c r="C1552" i="1" s="1"/>
  <c r="C1561" i="1" s="1"/>
  <c r="C1589" i="1" s="1"/>
  <c r="C1595" i="1" s="1"/>
  <c r="C1604" i="1" s="1"/>
  <c r="C1632" i="1" s="1"/>
  <c r="C1638" i="1" s="1"/>
  <c r="C1647" i="1" s="1"/>
  <c r="C1675" i="1" s="1"/>
  <c r="C1681" i="1" s="1"/>
  <c r="C1690" i="1" s="1"/>
  <c r="C1718" i="1" s="1"/>
  <c r="C1724" i="1" s="1"/>
  <c r="C1733" i="1" s="1"/>
  <c r="C1761" i="1" s="1"/>
  <c r="C1767" i="1" s="1"/>
  <c r="C1776" i="1" s="1"/>
  <c r="C1804" i="1" s="1"/>
  <c r="C1810" i="1" s="1"/>
  <c r="C1819" i="1" s="1"/>
  <c r="C1847" i="1" s="1"/>
  <c r="C1853" i="1" s="1"/>
  <c r="C1862" i="1" s="1"/>
  <c r="C1890" i="1" s="1"/>
  <c r="C1896" i="1" s="1"/>
  <c r="C1905" i="1" s="1"/>
  <c r="C1933" i="1" s="1"/>
  <c r="C1939" i="1" s="1"/>
  <c r="C1948" i="1" s="1"/>
  <c r="C1976" i="1" s="1"/>
  <c r="V901" i="1"/>
  <c r="T907" i="1"/>
  <c r="W873" i="1"/>
  <c r="Y864" i="1"/>
  <c r="Z864" i="1" s="1"/>
  <c r="E228" i="1"/>
  <c r="Q90" i="1"/>
  <c r="F127" i="1"/>
  <c r="G99" i="1"/>
  <c r="B127" i="1"/>
  <c r="D99" i="1"/>
  <c r="H90" i="1"/>
  <c r="P99" i="1"/>
  <c r="N127" i="1"/>
  <c r="K127" i="1"/>
  <c r="M99" i="1"/>
  <c r="V907" i="1" l="1"/>
  <c r="T916" i="1"/>
  <c r="Y873" i="1"/>
  <c r="Z873" i="1" s="1"/>
  <c r="W901" i="1"/>
  <c r="E256" i="1"/>
  <c r="E262" i="1" s="1"/>
  <c r="P127" i="1"/>
  <c r="N133" i="1"/>
  <c r="M127" i="1"/>
  <c r="K133" i="1"/>
  <c r="G127" i="1"/>
  <c r="F133" i="1"/>
  <c r="D127" i="1"/>
  <c r="B133" i="1"/>
  <c r="H99" i="1"/>
  <c r="Q99" i="1"/>
  <c r="Y901" i="1" l="1"/>
  <c r="Z901" i="1" s="1"/>
  <c r="W907" i="1"/>
  <c r="V916" i="1"/>
  <c r="T944" i="1"/>
  <c r="E271" i="1"/>
  <c r="Q127" i="1"/>
  <c r="N142" i="1"/>
  <c r="P133" i="1"/>
  <c r="H127" i="1"/>
  <c r="K142" i="1"/>
  <c r="M133" i="1"/>
  <c r="F142" i="1"/>
  <c r="G133" i="1"/>
  <c r="B142" i="1"/>
  <c r="D133" i="1"/>
  <c r="V944" i="1" l="1"/>
  <c r="T950" i="1"/>
  <c r="Y907" i="1"/>
  <c r="Z907" i="1" s="1"/>
  <c r="W916" i="1"/>
  <c r="E299" i="1"/>
  <c r="E305" i="1" s="1"/>
  <c r="Q133" i="1"/>
  <c r="H133" i="1"/>
  <c r="N170" i="1"/>
  <c r="P142" i="1"/>
  <c r="M142" i="1"/>
  <c r="K170" i="1"/>
  <c r="G142" i="1"/>
  <c r="F170" i="1"/>
  <c r="D142" i="1"/>
  <c r="B170" i="1"/>
  <c r="T959" i="1" l="1"/>
  <c r="V950" i="1"/>
  <c r="W944" i="1"/>
  <c r="Y916" i="1"/>
  <c r="Z916" i="1" s="1"/>
  <c r="E314" i="1"/>
  <c r="G170" i="1"/>
  <c r="F176" i="1"/>
  <c r="M170" i="1"/>
  <c r="K176" i="1"/>
  <c r="D170" i="1"/>
  <c r="B176" i="1"/>
  <c r="P170" i="1"/>
  <c r="N176" i="1"/>
  <c r="Q142" i="1"/>
  <c r="H142" i="1"/>
  <c r="Y944" i="1" l="1"/>
  <c r="Z944" i="1" s="1"/>
  <c r="W950" i="1"/>
  <c r="T987" i="1"/>
  <c r="V959" i="1"/>
  <c r="E342" i="1"/>
  <c r="E348" i="1" s="1"/>
  <c r="Q170" i="1"/>
  <c r="H170" i="1"/>
  <c r="B185" i="1"/>
  <c r="D176" i="1"/>
  <c r="K185" i="1"/>
  <c r="M176" i="1"/>
  <c r="N185" i="1"/>
  <c r="P176" i="1"/>
  <c r="F185" i="1"/>
  <c r="G176" i="1"/>
  <c r="V987" i="1" l="1"/>
  <c r="T993" i="1"/>
  <c r="Y950" i="1"/>
  <c r="Z950" i="1" s="1"/>
  <c r="W959" i="1"/>
  <c r="E357" i="1"/>
  <c r="K213" i="1"/>
  <c r="M185" i="1"/>
  <c r="P185" i="1"/>
  <c r="N213" i="1"/>
  <c r="Q176" i="1"/>
  <c r="H176" i="1"/>
  <c r="F213" i="1"/>
  <c r="G185" i="1"/>
  <c r="B213" i="1"/>
  <c r="D185" i="1"/>
  <c r="T1002" i="1" l="1"/>
  <c r="V993" i="1"/>
  <c r="Y959" i="1"/>
  <c r="Z959" i="1" s="1"/>
  <c r="W987" i="1"/>
  <c r="E385" i="1"/>
  <c r="E391" i="1" s="1"/>
  <c r="P213" i="1"/>
  <c r="N219" i="1"/>
  <c r="D213" i="1"/>
  <c r="B219" i="1"/>
  <c r="G213" i="1"/>
  <c r="F219" i="1"/>
  <c r="M213" i="1"/>
  <c r="K219" i="1"/>
  <c r="H185" i="1"/>
  <c r="Q185" i="1"/>
  <c r="Y987" i="1" l="1"/>
  <c r="Z987" i="1" s="1"/>
  <c r="W993" i="1"/>
  <c r="V1002" i="1"/>
  <c r="T1030" i="1"/>
  <c r="V1030" i="1" s="1"/>
  <c r="E400" i="1"/>
  <c r="Q213" i="1"/>
  <c r="H213" i="1"/>
  <c r="F228" i="1"/>
  <c r="G219" i="1"/>
  <c r="B228" i="1"/>
  <c r="D219" i="1"/>
  <c r="K228" i="1"/>
  <c r="M219" i="1"/>
  <c r="N228" i="1"/>
  <c r="P219" i="1"/>
  <c r="Y993" i="1" l="1"/>
  <c r="Z993" i="1" s="1"/>
  <c r="W1002" i="1"/>
  <c r="E428" i="1"/>
  <c r="E434" i="1" s="1"/>
  <c r="D228" i="1"/>
  <c r="B256" i="1"/>
  <c r="N256" i="1"/>
  <c r="P228" i="1"/>
  <c r="Q219" i="1"/>
  <c r="M228" i="1"/>
  <c r="K256" i="1"/>
  <c r="H219" i="1"/>
  <c r="F256" i="1"/>
  <c r="G228" i="1"/>
  <c r="W1030" i="1" l="1"/>
  <c r="Y1030" i="1" s="1"/>
  <c r="Z1030" i="1" s="1"/>
  <c r="Y1002" i="1"/>
  <c r="Z1002" i="1" s="1"/>
  <c r="E443" i="1"/>
  <c r="Q228" i="1"/>
  <c r="G256" i="1"/>
  <c r="F262" i="1"/>
  <c r="D256" i="1"/>
  <c r="B262" i="1"/>
  <c r="P256" i="1"/>
  <c r="N262" i="1"/>
  <c r="M256" i="1"/>
  <c r="K262" i="1"/>
  <c r="H228" i="1"/>
  <c r="E471" i="1" l="1"/>
  <c r="E477" i="1" s="1"/>
  <c r="H256" i="1"/>
  <c r="Q256" i="1"/>
  <c r="D262" i="1"/>
  <c r="B271" i="1"/>
  <c r="F271" i="1"/>
  <c r="G262" i="1"/>
  <c r="N271" i="1"/>
  <c r="P262" i="1"/>
  <c r="K271" i="1"/>
  <c r="M262" i="1"/>
  <c r="E486" i="1" l="1"/>
  <c r="Q262" i="1"/>
  <c r="F299" i="1"/>
  <c r="G271" i="1"/>
  <c r="B299" i="1"/>
  <c r="D271" i="1"/>
  <c r="H262" i="1"/>
  <c r="N299" i="1"/>
  <c r="P271" i="1"/>
  <c r="M271" i="1"/>
  <c r="K299" i="1"/>
  <c r="E514" i="1" l="1"/>
  <c r="E520" i="1" s="1"/>
  <c r="M299" i="1"/>
  <c r="K305" i="1"/>
  <c r="D299" i="1"/>
  <c r="B305" i="1"/>
  <c r="G299" i="1"/>
  <c r="F305" i="1"/>
  <c r="P299" i="1"/>
  <c r="N305" i="1"/>
  <c r="Q271" i="1"/>
  <c r="H271" i="1"/>
  <c r="E529" i="1" l="1"/>
  <c r="H299" i="1"/>
  <c r="Q299" i="1"/>
  <c r="F314" i="1"/>
  <c r="G305" i="1"/>
  <c r="B314" i="1"/>
  <c r="D305" i="1"/>
  <c r="M305" i="1"/>
  <c r="K314" i="1"/>
  <c r="P305" i="1"/>
  <c r="N314" i="1"/>
  <c r="E557" i="1" l="1"/>
  <c r="E563" i="1" s="1"/>
  <c r="H305" i="1"/>
  <c r="K342" i="1"/>
  <c r="K348" i="1" s="1"/>
  <c r="M314" i="1"/>
  <c r="D314" i="1"/>
  <c r="B342" i="1"/>
  <c r="Q305" i="1"/>
  <c r="F342" i="1"/>
  <c r="G314" i="1"/>
  <c r="N342" i="1"/>
  <c r="N348" i="1" s="1"/>
  <c r="P314" i="1"/>
  <c r="E572" i="1" l="1"/>
  <c r="D342" i="1"/>
  <c r="B348" i="1"/>
  <c r="G342" i="1"/>
  <c r="F348" i="1"/>
  <c r="N357" i="1"/>
  <c r="P348" i="1"/>
  <c r="K357" i="1"/>
  <c r="M348" i="1"/>
  <c r="H314" i="1"/>
  <c r="Q314" i="1"/>
  <c r="M342" i="1"/>
  <c r="P342" i="1"/>
  <c r="E600" i="1" l="1"/>
  <c r="E606" i="1" s="1"/>
  <c r="H342" i="1"/>
  <c r="Q348" i="1"/>
  <c r="B357" i="1"/>
  <c r="D348" i="1"/>
  <c r="F357" i="1"/>
  <c r="G348" i="1"/>
  <c r="P357" i="1"/>
  <c r="N385" i="1"/>
  <c r="N391" i="1" s="1"/>
  <c r="N344" i="1"/>
  <c r="M357" i="1"/>
  <c r="K385" i="1"/>
  <c r="K391" i="1" s="1"/>
  <c r="L344" i="1"/>
  <c r="M344" i="1"/>
  <c r="K344" i="1"/>
  <c r="Q342" i="1"/>
  <c r="O344" i="1"/>
  <c r="P344" i="1"/>
  <c r="E615" i="1" l="1"/>
  <c r="N400" i="1"/>
  <c r="P391" i="1"/>
  <c r="K400" i="1"/>
  <c r="M391" i="1"/>
  <c r="H348" i="1"/>
  <c r="F385" i="1"/>
  <c r="G357" i="1"/>
  <c r="B385" i="1"/>
  <c r="D357" i="1"/>
  <c r="Q357" i="1"/>
  <c r="P385" i="1"/>
  <c r="M385" i="1"/>
  <c r="E643" i="1" l="1"/>
  <c r="E649" i="1" s="1"/>
  <c r="Q391" i="1"/>
  <c r="G385" i="1"/>
  <c r="F391" i="1"/>
  <c r="H357" i="1"/>
  <c r="D385" i="1"/>
  <c r="B391" i="1"/>
  <c r="N428" i="1"/>
  <c r="P400" i="1"/>
  <c r="K428" i="1"/>
  <c r="M400" i="1"/>
  <c r="Q385" i="1"/>
  <c r="E658" i="1" l="1"/>
  <c r="P428" i="1"/>
  <c r="N434" i="1"/>
  <c r="M428" i="1"/>
  <c r="K434" i="1"/>
  <c r="H385" i="1"/>
  <c r="B400" i="1"/>
  <c r="D391" i="1"/>
  <c r="Q400" i="1"/>
  <c r="F400" i="1"/>
  <c r="G391" i="1"/>
  <c r="E686" i="1" l="1"/>
  <c r="E692" i="1" s="1"/>
  <c r="Q428" i="1"/>
  <c r="N443" i="1"/>
  <c r="P434" i="1"/>
  <c r="K443" i="1"/>
  <c r="M434" i="1"/>
  <c r="F428" i="1"/>
  <c r="G400" i="1"/>
  <c r="H391" i="1"/>
  <c r="D400" i="1"/>
  <c r="B428" i="1"/>
  <c r="E701" i="1" l="1"/>
  <c r="Q434" i="1"/>
  <c r="G428" i="1"/>
  <c r="F434" i="1"/>
  <c r="D428" i="1"/>
  <c r="B434" i="1"/>
  <c r="N471" i="1"/>
  <c r="P443" i="1"/>
  <c r="K471" i="1"/>
  <c r="M443" i="1"/>
  <c r="H400" i="1"/>
  <c r="E729" i="1" l="1"/>
  <c r="E735" i="1" s="1"/>
  <c r="P471" i="1"/>
  <c r="N477" i="1"/>
  <c r="M471" i="1"/>
  <c r="K477" i="1"/>
  <c r="H428" i="1"/>
  <c r="Q443" i="1"/>
  <c r="F443" i="1"/>
  <c r="G434" i="1"/>
  <c r="B443" i="1"/>
  <c r="D434" i="1"/>
  <c r="E744" i="1" l="1"/>
  <c r="Q471" i="1"/>
  <c r="M477" i="1"/>
  <c r="K486" i="1"/>
  <c r="P477" i="1"/>
  <c r="N486" i="1"/>
  <c r="H434" i="1"/>
  <c r="F471" i="1"/>
  <c r="G443" i="1"/>
  <c r="B471" i="1"/>
  <c r="D443" i="1"/>
  <c r="E772" i="1" l="1"/>
  <c r="E778" i="1" s="1"/>
  <c r="G471" i="1"/>
  <c r="F477" i="1"/>
  <c r="D471" i="1"/>
  <c r="B477" i="1"/>
  <c r="P486" i="1"/>
  <c r="N514" i="1"/>
  <c r="M486" i="1"/>
  <c r="K514" i="1"/>
  <c r="Q477" i="1"/>
  <c r="H443" i="1"/>
  <c r="E787" i="1" l="1"/>
  <c r="P514" i="1"/>
  <c r="N520" i="1"/>
  <c r="M514" i="1"/>
  <c r="K520" i="1"/>
  <c r="H471" i="1"/>
  <c r="D477" i="1"/>
  <c r="B486" i="1"/>
  <c r="F486" i="1"/>
  <c r="G477" i="1"/>
  <c r="Q486" i="1"/>
  <c r="E815" i="1" l="1"/>
  <c r="E821" i="1" s="1"/>
  <c r="E830" i="1" s="1"/>
  <c r="Q514" i="1"/>
  <c r="N529" i="1"/>
  <c r="P520" i="1"/>
  <c r="K529" i="1"/>
  <c r="M520" i="1"/>
  <c r="H477" i="1"/>
  <c r="F514" i="1"/>
  <c r="G486" i="1"/>
  <c r="D486" i="1"/>
  <c r="B514" i="1"/>
  <c r="E858" i="1" l="1"/>
  <c r="Q520" i="1"/>
  <c r="D514" i="1"/>
  <c r="B520" i="1"/>
  <c r="G514" i="1"/>
  <c r="F520" i="1"/>
  <c r="P529" i="1"/>
  <c r="N557" i="1"/>
  <c r="K557" i="1"/>
  <c r="M529" i="1"/>
  <c r="H486" i="1"/>
  <c r="E864" i="1" l="1"/>
  <c r="P557" i="1"/>
  <c r="N563" i="1"/>
  <c r="M557" i="1"/>
  <c r="K563" i="1"/>
  <c r="H514" i="1"/>
  <c r="Q529" i="1"/>
  <c r="D520" i="1"/>
  <c r="B529" i="1"/>
  <c r="F529" i="1"/>
  <c r="G520" i="1"/>
  <c r="E873" i="1" l="1"/>
  <c r="Q557" i="1"/>
  <c r="N572" i="1"/>
  <c r="P563" i="1"/>
  <c r="K572" i="1"/>
  <c r="M563" i="1"/>
  <c r="D529" i="1"/>
  <c r="B557" i="1"/>
  <c r="F557" i="1"/>
  <c r="G529" i="1"/>
  <c r="H520" i="1"/>
  <c r="E901" i="1" l="1"/>
  <c r="E907" i="1" s="1"/>
  <c r="Q563" i="1"/>
  <c r="G557" i="1"/>
  <c r="F563" i="1"/>
  <c r="N600" i="1"/>
  <c r="P572" i="1"/>
  <c r="M572" i="1"/>
  <c r="K600" i="1"/>
  <c r="D557" i="1"/>
  <c r="B563" i="1"/>
  <c r="H529" i="1"/>
  <c r="E916" i="1" l="1"/>
  <c r="P600" i="1"/>
  <c r="N606" i="1"/>
  <c r="M600" i="1"/>
  <c r="K606" i="1"/>
  <c r="H557" i="1"/>
  <c r="F572" i="1"/>
  <c r="G563" i="1"/>
  <c r="Q572" i="1"/>
  <c r="D563" i="1"/>
  <c r="B572" i="1"/>
  <c r="E944" i="1" l="1"/>
  <c r="E950" i="1" s="1"/>
  <c r="Q600" i="1"/>
  <c r="N615" i="1"/>
  <c r="P606" i="1"/>
  <c r="M606" i="1"/>
  <c r="K615" i="1"/>
  <c r="H563" i="1"/>
  <c r="F600" i="1"/>
  <c r="G572" i="1"/>
  <c r="D572" i="1"/>
  <c r="B600" i="1"/>
  <c r="E959" i="1" l="1"/>
  <c r="Q606" i="1"/>
  <c r="D600" i="1"/>
  <c r="B606" i="1"/>
  <c r="G600" i="1"/>
  <c r="F606" i="1"/>
  <c r="P615" i="1"/>
  <c r="N643" i="1"/>
  <c r="M615" i="1"/>
  <c r="K643" i="1"/>
  <c r="H572" i="1"/>
  <c r="E987" i="1" l="1"/>
  <c r="E993" i="1" s="1"/>
  <c r="P643" i="1"/>
  <c r="N649" i="1"/>
  <c r="M643" i="1"/>
  <c r="K649" i="1"/>
  <c r="H600" i="1"/>
  <c r="F615" i="1"/>
  <c r="G606" i="1"/>
  <c r="B615" i="1"/>
  <c r="D606" i="1"/>
  <c r="Q615" i="1"/>
  <c r="E1002" i="1" l="1"/>
  <c r="Q643" i="1"/>
  <c r="P649" i="1"/>
  <c r="N658" i="1"/>
  <c r="K658" i="1"/>
  <c r="M649" i="1"/>
  <c r="H606" i="1"/>
  <c r="D615" i="1"/>
  <c r="B643" i="1"/>
  <c r="F643" i="1"/>
  <c r="G615" i="1"/>
  <c r="E1030" i="1" l="1"/>
  <c r="E1036" i="1" s="1"/>
  <c r="G643" i="1"/>
  <c r="F649" i="1"/>
  <c r="D643" i="1"/>
  <c r="B649" i="1"/>
  <c r="Q649" i="1"/>
  <c r="N686" i="1"/>
  <c r="P658" i="1"/>
  <c r="K686" i="1"/>
  <c r="M658" i="1"/>
  <c r="H615" i="1"/>
  <c r="E1045" i="1" l="1"/>
  <c r="P686" i="1"/>
  <c r="N692" i="1"/>
  <c r="M686" i="1"/>
  <c r="K692" i="1"/>
  <c r="H643" i="1"/>
  <c r="Q658" i="1"/>
  <c r="F658" i="1"/>
  <c r="G649" i="1"/>
  <c r="D649" i="1"/>
  <c r="B658" i="1"/>
  <c r="E1073" i="1" l="1"/>
  <c r="E1079" i="1" s="1"/>
  <c r="Q686" i="1"/>
  <c r="N701" i="1"/>
  <c r="P692" i="1"/>
  <c r="K701" i="1"/>
  <c r="M692" i="1"/>
  <c r="H649" i="1"/>
  <c r="F686" i="1"/>
  <c r="G658" i="1"/>
  <c r="D658" i="1"/>
  <c r="B686" i="1"/>
  <c r="E1088" i="1" l="1"/>
  <c r="G686" i="1"/>
  <c r="F692" i="1"/>
  <c r="D686" i="1"/>
  <c r="B692" i="1"/>
  <c r="Q692" i="1"/>
  <c r="N729" i="1"/>
  <c r="P701" i="1"/>
  <c r="M701" i="1"/>
  <c r="K729" i="1"/>
  <c r="H658" i="1"/>
  <c r="E1116" i="1" l="1"/>
  <c r="E1122" i="1" s="1"/>
  <c r="P729" i="1"/>
  <c r="N735" i="1"/>
  <c r="M729" i="1"/>
  <c r="K735" i="1"/>
  <c r="H686" i="1"/>
  <c r="Q701" i="1"/>
  <c r="B701" i="1"/>
  <c r="D692" i="1"/>
  <c r="F701" i="1"/>
  <c r="G692" i="1"/>
  <c r="E1131" i="1" l="1"/>
  <c r="Q729" i="1"/>
  <c r="K744" i="1"/>
  <c r="M735" i="1"/>
  <c r="P735" i="1"/>
  <c r="N744" i="1"/>
  <c r="F729" i="1"/>
  <c r="G701" i="1"/>
  <c r="H692" i="1"/>
  <c r="B729" i="1"/>
  <c r="D701" i="1"/>
  <c r="E1159" i="1" l="1"/>
  <c r="E1165" i="1" s="1"/>
  <c r="G729" i="1"/>
  <c r="F735" i="1"/>
  <c r="D729" i="1"/>
  <c r="B735" i="1"/>
  <c r="P744" i="1"/>
  <c r="N772" i="1"/>
  <c r="Q735" i="1"/>
  <c r="M744" i="1"/>
  <c r="K772" i="1"/>
  <c r="H701" i="1"/>
  <c r="E1174" i="1" l="1"/>
  <c r="H729" i="1"/>
  <c r="P772" i="1"/>
  <c r="N778" i="1"/>
  <c r="M772" i="1"/>
  <c r="K778" i="1"/>
  <c r="F744" i="1"/>
  <c r="G735" i="1"/>
  <c r="B744" i="1"/>
  <c r="D735" i="1"/>
  <c r="Q744" i="1"/>
  <c r="E1202" i="1" l="1"/>
  <c r="E1208" i="1" s="1"/>
  <c r="Q772" i="1"/>
  <c r="H735" i="1"/>
  <c r="M778" i="1"/>
  <c r="K787" i="1"/>
  <c r="N787" i="1"/>
  <c r="P778" i="1"/>
  <c r="F772" i="1"/>
  <c r="G744" i="1"/>
  <c r="D744" i="1"/>
  <c r="B772" i="1"/>
  <c r="E1217" i="1" l="1"/>
  <c r="G772" i="1"/>
  <c r="F778" i="1"/>
  <c r="D772" i="1"/>
  <c r="B778" i="1"/>
  <c r="Q778" i="1"/>
  <c r="K815" i="1"/>
  <c r="M787" i="1"/>
  <c r="P787" i="1"/>
  <c r="N815" i="1"/>
  <c r="H744" i="1"/>
  <c r="E1245" i="1" l="1"/>
  <c r="E1251" i="1" s="1"/>
  <c r="H772" i="1"/>
  <c r="M815" i="1"/>
  <c r="K821" i="1"/>
  <c r="P815" i="1"/>
  <c r="N821" i="1"/>
  <c r="B787" i="1"/>
  <c r="D778" i="1"/>
  <c r="F787" i="1"/>
  <c r="G778" i="1"/>
  <c r="Q787" i="1"/>
  <c r="E1260" i="1" l="1"/>
  <c r="Q815" i="1"/>
  <c r="P821" i="1"/>
  <c r="N830" i="1"/>
  <c r="M821" i="1"/>
  <c r="Q821" i="1" s="1"/>
  <c r="K830" i="1"/>
  <c r="F815" i="1"/>
  <c r="G787" i="1"/>
  <c r="H778" i="1"/>
  <c r="D787" i="1"/>
  <c r="B815" i="1"/>
  <c r="E1288" i="1" l="1"/>
  <c r="E1294" i="1" s="1"/>
  <c r="G815" i="1"/>
  <c r="F821" i="1"/>
  <c r="M830" i="1"/>
  <c r="K858" i="1"/>
  <c r="D815" i="1"/>
  <c r="B821" i="1"/>
  <c r="P830" i="1"/>
  <c r="N858" i="1"/>
  <c r="H787" i="1"/>
  <c r="E1303" i="1" l="1"/>
  <c r="H815" i="1"/>
  <c r="Q830" i="1"/>
  <c r="B830" i="1"/>
  <c r="D821" i="1"/>
  <c r="M858" i="1"/>
  <c r="K864" i="1"/>
  <c r="G821" i="1"/>
  <c r="F830" i="1"/>
  <c r="P858" i="1"/>
  <c r="N864" i="1"/>
  <c r="E1331" i="1" l="1"/>
  <c r="E1337" i="1" s="1"/>
  <c r="Q858" i="1"/>
  <c r="H821" i="1"/>
  <c r="F858" i="1"/>
  <c r="G830" i="1"/>
  <c r="K873" i="1"/>
  <c r="M864" i="1"/>
  <c r="P864" i="1"/>
  <c r="N873" i="1"/>
  <c r="B858" i="1"/>
  <c r="D830" i="1"/>
  <c r="E1346" i="1" l="1"/>
  <c r="Q864" i="1"/>
  <c r="H830" i="1"/>
  <c r="K901" i="1"/>
  <c r="M873" i="1"/>
  <c r="F864" i="1"/>
  <c r="G858" i="1"/>
  <c r="D858" i="1"/>
  <c r="B864" i="1"/>
  <c r="N901" i="1"/>
  <c r="P873" i="1"/>
  <c r="E1374" i="1" l="1"/>
  <c r="E1380" i="1" s="1"/>
  <c r="E1389" i="1" s="1"/>
  <c r="E1417" i="1" s="1"/>
  <c r="E1423" i="1" s="1"/>
  <c r="P901" i="1"/>
  <c r="N907" i="1"/>
  <c r="M901" i="1"/>
  <c r="K907" i="1"/>
  <c r="H858" i="1"/>
  <c r="F873" i="1"/>
  <c r="G864" i="1"/>
  <c r="B873" i="1"/>
  <c r="D864" i="1"/>
  <c r="Q873" i="1"/>
  <c r="E1432" i="1" l="1"/>
  <c r="Q901" i="1"/>
  <c r="P907" i="1"/>
  <c r="N916" i="1"/>
  <c r="K916" i="1"/>
  <c r="M907" i="1"/>
  <c r="H864" i="1"/>
  <c r="B901" i="1"/>
  <c r="D873" i="1"/>
  <c r="F901" i="1"/>
  <c r="G873" i="1"/>
  <c r="E1460" i="1" l="1"/>
  <c r="E1466" i="1" s="1"/>
  <c r="Q907" i="1"/>
  <c r="D901" i="1"/>
  <c r="B907" i="1"/>
  <c r="G901" i="1"/>
  <c r="F907" i="1"/>
  <c r="N944" i="1"/>
  <c r="P916" i="1"/>
  <c r="M916" i="1"/>
  <c r="K944" i="1"/>
  <c r="H873" i="1"/>
  <c r="E1475" i="1" l="1"/>
  <c r="P944" i="1"/>
  <c r="N950" i="1"/>
  <c r="M944" i="1"/>
  <c r="K950" i="1"/>
  <c r="H901" i="1"/>
  <c r="B916" i="1"/>
  <c r="D907" i="1"/>
  <c r="F916" i="1"/>
  <c r="G907" i="1"/>
  <c r="Q916" i="1"/>
  <c r="E1503" i="1" l="1"/>
  <c r="E1509" i="1" s="1"/>
  <c r="Q944" i="1"/>
  <c r="M950" i="1"/>
  <c r="K959" i="1"/>
  <c r="N959" i="1"/>
  <c r="P950" i="1"/>
  <c r="H907" i="1"/>
  <c r="F944" i="1"/>
  <c r="G916" i="1"/>
  <c r="B944" i="1"/>
  <c r="D916" i="1"/>
  <c r="E1518" i="1" l="1"/>
  <c r="G944" i="1"/>
  <c r="F950" i="1"/>
  <c r="D944" i="1"/>
  <c r="B950" i="1"/>
  <c r="N987" i="1"/>
  <c r="P959" i="1"/>
  <c r="Q950" i="1"/>
  <c r="M959" i="1"/>
  <c r="K987" i="1"/>
  <c r="H916" i="1"/>
  <c r="E1546" i="1" l="1"/>
  <c r="E1552" i="1" s="1"/>
  <c r="E1561" i="1" s="1"/>
  <c r="E1589" i="1" s="1"/>
  <c r="E1595" i="1" s="1"/>
  <c r="E1604" i="1" s="1"/>
  <c r="E1632" i="1" s="1"/>
  <c r="E1638" i="1" s="1"/>
  <c r="M987" i="1"/>
  <c r="K993" i="1"/>
  <c r="P987" i="1"/>
  <c r="N993" i="1"/>
  <c r="Q959" i="1"/>
  <c r="H944" i="1"/>
  <c r="F959" i="1"/>
  <c r="G950" i="1"/>
  <c r="B959" i="1"/>
  <c r="D950" i="1"/>
  <c r="E1647" i="1" l="1"/>
  <c r="Q987" i="1"/>
  <c r="N1002" i="1"/>
  <c r="P993" i="1"/>
  <c r="M993" i="1"/>
  <c r="K1002" i="1"/>
  <c r="H950" i="1"/>
  <c r="F987" i="1"/>
  <c r="G959" i="1"/>
  <c r="D959" i="1"/>
  <c r="B987" i="1"/>
  <c r="E1675" i="1" l="1"/>
  <c r="Q993" i="1"/>
  <c r="G987" i="1"/>
  <c r="F993" i="1"/>
  <c r="D987" i="1"/>
  <c r="B993" i="1"/>
  <c r="M1002" i="1"/>
  <c r="K1030" i="1"/>
  <c r="N1030" i="1"/>
  <c r="P1002" i="1"/>
  <c r="H959" i="1"/>
  <c r="E1681" i="1" l="1"/>
  <c r="P1030" i="1"/>
  <c r="N1036" i="1"/>
  <c r="M1030" i="1"/>
  <c r="K1036" i="1"/>
  <c r="H987" i="1"/>
  <c r="B1002" i="1"/>
  <c r="D993" i="1"/>
  <c r="F1002" i="1"/>
  <c r="G993" i="1"/>
  <c r="Q1002" i="1"/>
  <c r="E1690" i="1" l="1"/>
  <c r="Q1030" i="1"/>
  <c r="K1045" i="1"/>
  <c r="M1036" i="1"/>
  <c r="N1045" i="1"/>
  <c r="P1036" i="1"/>
  <c r="F1030" i="1"/>
  <c r="G1002" i="1"/>
  <c r="H993" i="1"/>
  <c r="D1002" i="1"/>
  <c r="B1030" i="1"/>
  <c r="E1718" i="1" l="1"/>
  <c r="G1030" i="1"/>
  <c r="F1036" i="1"/>
  <c r="D1030" i="1"/>
  <c r="B1036" i="1"/>
  <c r="Q1036" i="1"/>
  <c r="N1073" i="1"/>
  <c r="P1045" i="1"/>
  <c r="M1045" i="1"/>
  <c r="K1073" i="1"/>
  <c r="H1002" i="1"/>
  <c r="E1724" i="1" l="1"/>
  <c r="H1030" i="1"/>
  <c r="Q1045" i="1"/>
  <c r="P1073" i="1"/>
  <c r="N1079" i="1"/>
  <c r="M1073" i="1"/>
  <c r="K1079" i="1"/>
  <c r="F1045" i="1"/>
  <c r="G1036" i="1"/>
  <c r="B1045" i="1"/>
  <c r="D1036" i="1"/>
  <c r="E1733" i="1" l="1"/>
  <c r="Q1073" i="1"/>
  <c r="K1088" i="1"/>
  <c r="M1079" i="1"/>
  <c r="N1088" i="1"/>
  <c r="P1079" i="1"/>
  <c r="B1073" i="1"/>
  <c r="D1045" i="1"/>
  <c r="H1036" i="1"/>
  <c r="F1073" i="1"/>
  <c r="G1045" i="1"/>
  <c r="E1761" i="1" l="1"/>
  <c r="G1073" i="1"/>
  <c r="F1079" i="1"/>
  <c r="H1045" i="1"/>
  <c r="D1073" i="1"/>
  <c r="B1079" i="1"/>
  <c r="Q1079" i="1"/>
  <c r="N1116" i="1"/>
  <c r="P1088" i="1"/>
  <c r="K1116" i="1"/>
  <c r="M1088" i="1"/>
  <c r="E1767" i="1" l="1"/>
  <c r="P1116" i="1"/>
  <c r="N1122" i="1"/>
  <c r="M1116" i="1"/>
  <c r="K1122" i="1"/>
  <c r="Q1088" i="1"/>
  <c r="H1073" i="1"/>
  <c r="F1088" i="1"/>
  <c r="G1079" i="1"/>
  <c r="B1088" i="1"/>
  <c r="D1079" i="1"/>
  <c r="E1776" i="1" l="1"/>
  <c r="Q1116" i="1"/>
  <c r="N1131" i="1"/>
  <c r="P1122" i="1"/>
  <c r="K1131" i="1"/>
  <c r="M1122" i="1"/>
  <c r="H1079" i="1"/>
  <c r="F1116" i="1"/>
  <c r="G1088" i="1"/>
  <c r="D1088" i="1"/>
  <c r="B1116" i="1"/>
  <c r="E1804" i="1" l="1"/>
  <c r="Q1122" i="1"/>
  <c r="G1116" i="1"/>
  <c r="F1122" i="1"/>
  <c r="N1159" i="1"/>
  <c r="P1131" i="1"/>
  <c r="K1159" i="1"/>
  <c r="M1131" i="1"/>
  <c r="D1116" i="1"/>
  <c r="B1122" i="1"/>
  <c r="H1088" i="1"/>
  <c r="E1810" i="1" l="1"/>
  <c r="M1159" i="1"/>
  <c r="K1165" i="1"/>
  <c r="P1159" i="1"/>
  <c r="N1165" i="1"/>
  <c r="H1116" i="1"/>
  <c r="Q1131" i="1"/>
  <c r="F1131" i="1"/>
  <c r="G1122" i="1"/>
  <c r="B1131" i="1"/>
  <c r="D1122" i="1"/>
  <c r="E1819" i="1" l="1"/>
  <c r="Q1159" i="1"/>
  <c r="N1174" i="1"/>
  <c r="P1165" i="1"/>
  <c r="K1174" i="1"/>
  <c r="M1165" i="1"/>
  <c r="H1122" i="1"/>
  <c r="F1159" i="1"/>
  <c r="G1131" i="1"/>
  <c r="B1159" i="1"/>
  <c r="D1131" i="1"/>
  <c r="Q1165" i="1" l="1"/>
  <c r="E1847" i="1"/>
  <c r="E1853" i="1" s="1"/>
  <c r="G1159" i="1"/>
  <c r="F1165" i="1"/>
  <c r="D1159" i="1"/>
  <c r="B1165" i="1"/>
  <c r="K1202" i="1"/>
  <c r="M1174" i="1"/>
  <c r="N1202" i="1"/>
  <c r="P1174" i="1"/>
  <c r="H1131" i="1"/>
  <c r="E1862" i="1" l="1"/>
  <c r="H1159" i="1"/>
  <c r="M1202" i="1"/>
  <c r="K1208" i="1"/>
  <c r="P1202" i="1"/>
  <c r="N1208" i="1"/>
  <c r="F1174" i="1"/>
  <c r="G1165" i="1"/>
  <c r="D1165" i="1"/>
  <c r="B1174" i="1"/>
  <c r="Q1174" i="1"/>
  <c r="E1890" i="1" l="1"/>
  <c r="Q1202" i="1"/>
  <c r="N1217" i="1"/>
  <c r="P1208" i="1"/>
  <c r="M1208" i="1"/>
  <c r="K1217" i="1"/>
  <c r="H1165" i="1"/>
  <c r="D1174" i="1"/>
  <c r="B1202" i="1"/>
  <c r="F1202" i="1"/>
  <c r="G1174" i="1"/>
  <c r="E1896" i="1" l="1"/>
  <c r="Q1208" i="1"/>
  <c r="G1202" i="1"/>
  <c r="F1208" i="1"/>
  <c r="D1202" i="1"/>
  <c r="B1208" i="1"/>
  <c r="K1245" i="1"/>
  <c r="M1217" i="1"/>
  <c r="N1245" i="1"/>
  <c r="P1217" i="1"/>
  <c r="H1174" i="1"/>
  <c r="E1905" i="1" l="1"/>
  <c r="M1245" i="1"/>
  <c r="K1251" i="1"/>
  <c r="P1245" i="1"/>
  <c r="N1251" i="1"/>
  <c r="H1202" i="1"/>
  <c r="F1217" i="1"/>
  <c r="G1208" i="1"/>
  <c r="D1208" i="1"/>
  <c r="B1217" i="1"/>
  <c r="Q1217" i="1"/>
  <c r="E1933" i="1" l="1"/>
  <c r="E1939" i="1" s="1"/>
  <c r="E1948" i="1" s="1"/>
  <c r="Q1245" i="1"/>
  <c r="M1251" i="1"/>
  <c r="K1260" i="1"/>
  <c r="N1260" i="1"/>
  <c r="P1251" i="1"/>
  <c r="H1208" i="1"/>
  <c r="D1217" i="1"/>
  <c r="B1245" i="1"/>
  <c r="F1245" i="1"/>
  <c r="G1217" i="1"/>
  <c r="E1976" i="1" l="1"/>
  <c r="Q1251" i="1"/>
  <c r="K1288" i="1"/>
  <c r="M1260" i="1"/>
  <c r="P1260" i="1"/>
  <c r="N1288" i="1"/>
  <c r="G1245" i="1"/>
  <c r="F1251" i="1"/>
  <c r="D1245" i="1"/>
  <c r="B1251" i="1"/>
  <c r="H1217" i="1"/>
  <c r="P1288" i="1" l="1"/>
  <c r="N1294" i="1"/>
  <c r="M1288" i="1"/>
  <c r="K1294" i="1"/>
  <c r="H1245" i="1"/>
  <c r="F1260" i="1"/>
  <c r="G1251" i="1"/>
  <c r="Q1260" i="1"/>
  <c r="B1260" i="1"/>
  <c r="D1251" i="1"/>
  <c r="Q1288" i="1" l="1"/>
  <c r="N1303" i="1"/>
  <c r="P1294" i="1"/>
  <c r="K1303" i="1"/>
  <c r="M1294" i="1"/>
  <c r="Q1294" i="1" s="1"/>
  <c r="H1251" i="1"/>
  <c r="F1288" i="1"/>
  <c r="G1260" i="1"/>
  <c r="B1288" i="1"/>
  <c r="D1260" i="1"/>
  <c r="G1288" i="1" l="1"/>
  <c r="F1294" i="1"/>
  <c r="K1331" i="1"/>
  <c r="M1303" i="1"/>
  <c r="P1303" i="1"/>
  <c r="N1331" i="1"/>
  <c r="D1288" i="1"/>
  <c r="B1294" i="1"/>
  <c r="H1260" i="1"/>
  <c r="P1331" i="1" l="1"/>
  <c r="N1337" i="1"/>
  <c r="M1331" i="1"/>
  <c r="K1337" i="1"/>
  <c r="Q1303" i="1"/>
  <c r="H1288" i="1"/>
  <c r="F1303" i="1"/>
  <c r="G1294" i="1"/>
  <c r="D1294" i="1"/>
  <c r="B1303" i="1"/>
  <c r="Q1331" i="1" l="1"/>
  <c r="K1346" i="1"/>
  <c r="M1337" i="1"/>
  <c r="N1346" i="1"/>
  <c r="P1337" i="1"/>
  <c r="H1294" i="1"/>
  <c r="F1331" i="1"/>
  <c r="G1303" i="1"/>
  <c r="D1303" i="1"/>
  <c r="B1331" i="1"/>
  <c r="G1331" i="1" l="1"/>
  <c r="F1337" i="1"/>
  <c r="D1331" i="1"/>
  <c r="B1337" i="1"/>
  <c r="P1346" i="1"/>
  <c r="N1374" i="1"/>
  <c r="N1380" i="1" s="1"/>
  <c r="K1374" i="1"/>
  <c r="K1380" i="1" s="1"/>
  <c r="M1346" i="1"/>
  <c r="Q1337" i="1"/>
  <c r="H1303" i="1"/>
  <c r="N1389" i="1" l="1"/>
  <c r="P1380" i="1"/>
  <c r="M1380" i="1"/>
  <c r="K1389" i="1"/>
  <c r="P1374" i="1"/>
  <c r="M1374" i="1"/>
  <c r="H1331" i="1"/>
  <c r="F1346" i="1"/>
  <c r="G1337" i="1"/>
  <c r="D1337" i="1"/>
  <c r="B1346" i="1"/>
  <c r="Q1346" i="1"/>
  <c r="Q1374" i="1" l="1"/>
  <c r="K1417" i="1"/>
  <c r="M1389" i="1"/>
  <c r="Q1380" i="1"/>
  <c r="P1389" i="1"/>
  <c r="N1417" i="1"/>
  <c r="H1337" i="1"/>
  <c r="D1346" i="1"/>
  <c r="B1374" i="1"/>
  <c r="F1374" i="1"/>
  <c r="G1346" i="1"/>
  <c r="P1417" i="1" l="1"/>
  <c r="N1423" i="1"/>
  <c r="M1417" i="1"/>
  <c r="Q1417" i="1" s="1"/>
  <c r="K1423" i="1"/>
  <c r="D1374" i="1"/>
  <c r="B1380" i="1"/>
  <c r="G1374" i="1"/>
  <c r="F1380" i="1"/>
  <c r="Q1389" i="1"/>
  <c r="H1346" i="1"/>
  <c r="N1432" i="1" l="1"/>
  <c r="P1423" i="1"/>
  <c r="M1423" i="1"/>
  <c r="K1432" i="1"/>
  <c r="H1374" i="1"/>
  <c r="B1389" i="1"/>
  <c r="D1380" i="1"/>
  <c r="F1389" i="1"/>
  <c r="G1380" i="1"/>
  <c r="H1380" i="1" s="1"/>
  <c r="K1460" i="1" l="1"/>
  <c r="M1432" i="1"/>
  <c r="Q1423" i="1"/>
  <c r="P1432" i="1"/>
  <c r="N1460" i="1"/>
  <c r="B1417" i="1"/>
  <c r="D1389" i="1"/>
  <c r="G1389" i="1"/>
  <c r="F1417" i="1"/>
  <c r="P1460" i="1" l="1"/>
  <c r="N1466" i="1"/>
  <c r="M1460" i="1"/>
  <c r="K1466" i="1"/>
  <c r="Q1432" i="1"/>
  <c r="G1417" i="1"/>
  <c r="F1423" i="1"/>
  <c r="D1417" i="1"/>
  <c r="B1423" i="1"/>
  <c r="H1389" i="1"/>
  <c r="H1417" i="1" l="1"/>
  <c r="Q1460" i="1"/>
  <c r="M1466" i="1"/>
  <c r="K1475" i="1"/>
  <c r="N1475" i="1"/>
  <c r="P1466" i="1"/>
  <c r="F1432" i="1"/>
  <c r="G1423" i="1"/>
  <c r="D1423" i="1"/>
  <c r="H1423" i="1" s="1"/>
  <c r="B1432" i="1"/>
  <c r="N1503" i="1" l="1"/>
  <c r="P1475" i="1"/>
  <c r="M1475" i="1"/>
  <c r="K1503" i="1"/>
  <c r="Q1466" i="1"/>
  <c r="F1460" i="1"/>
  <c r="G1432" i="1"/>
  <c r="D1432" i="1"/>
  <c r="B1460" i="1"/>
  <c r="P1503" i="1" l="1"/>
  <c r="N1509" i="1"/>
  <c r="M1503" i="1"/>
  <c r="K1509" i="1"/>
  <c r="D1460" i="1"/>
  <c r="B1466" i="1"/>
  <c r="G1460" i="1"/>
  <c r="F1466" i="1"/>
  <c r="Q1475" i="1"/>
  <c r="H1432" i="1"/>
  <c r="Q1503" i="1" l="1"/>
  <c r="N1518" i="1"/>
  <c r="P1509" i="1"/>
  <c r="K1518" i="1"/>
  <c r="M1509" i="1"/>
  <c r="H1460" i="1"/>
  <c r="F1475" i="1"/>
  <c r="G1466" i="1"/>
  <c r="B1475" i="1"/>
  <c r="D1466" i="1"/>
  <c r="H1466" i="1" s="1"/>
  <c r="Q1509" i="1" l="1"/>
  <c r="P1518" i="1"/>
  <c r="N1546" i="1"/>
  <c r="M1518" i="1"/>
  <c r="K1546" i="1"/>
  <c r="B1503" i="1"/>
  <c r="D1475" i="1"/>
  <c r="F1503" i="1"/>
  <c r="G1475" i="1"/>
  <c r="M1546" i="1" l="1"/>
  <c r="K1552" i="1"/>
  <c r="P1546" i="1"/>
  <c r="Q1546" i="1" s="1"/>
  <c r="N1552" i="1"/>
  <c r="G1503" i="1"/>
  <c r="F1509" i="1"/>
  <c r="Q1518" i="1"/>
  <c r="D1503" i="1"/>
  <c r="B1509" i="1"/>
  <c r="H1475" i="1"/>
  <c r="M1552" i="1" l="1"/>
  <c r="K1561" i="1"/>
  <c r="N1561" i="1"/>
  <c r="P1552" i="1"/>
  <c r="Q1552" i="1" s="1"/>
  <c r="H1503" i="1"/>
  <c r="F1518" i="1"/>
  <c r="G1509" i="1"/>
  <c r="B1518" i="1"/>
  <c r="D1509" i="1"/>
  <c r="K1589" i="1" l="1"/>
  <c r="M1561" i="1"/>
  <c r="P1561" i="1"/>
  <c r="N1589" i="1"/>
  <c r="H1509" i="1"/>
  <c r="F1546" i="1"/>
  <c r="G1518" i="1"/>
  <c r="D1518" i="1"/>
  <c r="B1546" i="1"/>
  <c r="P1589" i="1" l="1"/>
  <c r="N1595" i="1"/>
  <c r="M1589" i="1"/>
  <c r="K1595" i="1"/>
  <c r="Q1561" i="1"/>
  <c r="Q1589" i="1"/>
  <c r="D1546" i="1"/>
  <c r="B1552" i="1"/>
  <c r="G1546" i="1"/>
  <c r="H1546" i="1" s="1"/>
  <c r="F1552" i="1"/>
  <c r="H1518" i="1"/>
  <c r="P1595" i="1" l="1"/>
  <c r="N1604" i="1"/>
  <c r="K1604" i="1"/>
  <c r="M1595" i="1"/>
  <c r="Q1595" i="1" s="1"/>
  <c r="B1561" i="1"/>
  <c r="D1552" i="1"/>
  <c r="F1561" i="1"/>
  <c r="G1552" i="1"/>
  <c r="H1552" i="1" l="1"/>
  <c r="K1632" i="1"/>
  <c r="M1604" i="1"/>
  <c r="P1604" i="1"/>
  <c r="N1632" i="1"/>
  <c r="B1589" i="1"/>
  <c r="D1561" i="1"/>
  <c r="F1589" i="1"/>
  <c r="G1561" i="1"/>
  <c r="Q1604" i="1" l="1"/>
  <c r="P1632" i="1"/>
  <c r="N1638" i="1"/>
  <c r="M1632" i="1"/>
  <c r="Q1632" i="1" s="1"/>
  <c r="K1638" i="1"/>
  <c r="G1589" i="1"/>
  <c r="F1595" i="1"/>
  <c r="D1589" i="1"/>
  <c r="B1595" i="1"/>
  <c r="H1561" i="1"/>
  <c r="H1589" i="1" l="1"/>
  <c r="M1638" i="1"/>
  <c r="K1647" i="1"/>
  <c r="N1647" i="1"/>
  <c r="P1638" i="1"/>
  <c r="Q1638" i="1" s="1"/>
  <c r="F1604" i="1"/>
  <c r="G1595" i="1"/>
  <c r="B1604" i="1"/>
  <c r="D1595" i="1"/>
  <c r="H1595" i="1" s="1"/>
  <c r="K1675" i="1" l="1"/>
  <c r="M1647" i="1"/>
  <c r="N1675" i="1"/>
  <c r="P1647" i="1"/>
  <c r="F1632" i="1"/>
  <c r="G1604" i="1"/>
  <c r="B1632" i="1"/>
  <c r="D1604" i="1"/>
  <c r="G1632" i="1" l="1"/>
  <c r="F1638" i="1"/>
  <c r="D1632" i="1"/>
  <c r="H1632" i="1" s="1"/>
  <c r="B1638" i="1"/>
  <c r="P1675" i="1"/>
  <c r="Q1675" i="1" s="1"/>
  <c r="N1681" i="1"/>
  <c r="M1675" i="1"/>
  <c r="K1681" i="1"/>
  <c r="Q1647" i="1"/>
  <c r="H1604" i="1"/>
  <c r="F1647" i="1" l="1"/>
  <c r="G1638" i="1"/>
  <c r="B1647" i="1"/>
  <c r="D1638" i="1"/>
  <c r="H1638" i="1" s="1"/>
  <c r="K1690" i="1"/>
  <c r="M1681" i="1"/>
  <c r="N1690" i="1"/>
  <c r="P1681" i="1"/>
  <c r="F1675" i="1" l="1"/>
  <c r="G1647" i="1"/>
  <c r="B1675" i="1"/>
  <c r="D1647" i="1"/>
  <c r="H1647" i="1" s="1"/>
  <c r="P1690" i="1"/>
  <c r="N1718" i="1"/>
  <c r="Q1681" i="1"/>
  <c r="K1718" i="1"/>
  <c r="M1690" i="1"/>
  <c r="Q1690" i="1" l="1"/>
  <c r="F1681" i="1"/>
  <c r="G1675" i="1"/>
  <c r="M1718" i="1"/>
  <c r="K1724" i="1"/>
  <c r="P1718" i="1"/>
  <c r="N1724" i="1"/>
  <c r="B1681" i="1"/>
  <c r="D1675" i="1"/>
  <c r="H1675" i="1" s="1"/>
  <c r="Q1718" i="1" l="1"/>
  <c r="F1690" i="1"/>
  <c r="G1681" i="1"/>
  <c r="N1733" i="1"/>
  <c r="P1724" i="1"/>
  <c r="M1724" i="1"/>
  <c r="K1733" i="1"/>
  <c r="D1681" i="1"/>
  <c r="H1681" i="1" s="1"/>
  <c r="B1690" i="1"/>
  <c r="Q1724" i="1" l="1"/>
  <c r="F1718" i="1"/>
  <c r="G1690" i="1"/>
  <c r="M1733" i="1"/>
  <c r="K1761" i="1"/>
  <c r="P1733" i="1"/>
  <c r="N1761" i="1"/>
  <c r="B1718" i="1"/>
  <c r="D1690" i="1"/>
  <c r="H1690" i="1" l="1"/>
  <c r="F1724" i="1"/>
  <c r="G1718" i="1"/>
  <c r="M1761" i="1"/>
  <c r="K1767" i="1"/>
  <c r="P1761" i="1"/>
  <c r="Q1761" i="1" s="1"/>
  <c r="N1767" i="1"/>
  <c r="D1718" i="1"/>
  <c r="B1724" i="1"/>
  <c r="Q1733" i="1"/>
  <c r="H1718" i="1" l="1"/>
  <c r="F1733" i="1"/>
  <c r="G1724" i="1"/>
  <c r="K1776" i="1"/>
  <c r="M1767" i="1"/>
  <c r="N1776" i="1"/>
  <c r="P1767" i="1"/>
  <c r="B1733" i="1"/>
  <c r="D1724" i="1"/>
  <c r="H1724" i="1" s="1"/>
  <c r="F1761" i="1" l="1"/>
  <c r="G1733" i="1"/>
  <c r="Q1767" i="1"/>
  <c r="K1804" i="1"/>
  <c r="M1776" i="1"/>
  <c r="N1804" i="1"/>
  <c r="P1776" i="1"/>
  <c r="B1761" i="1"/>
  <c r="D1733" i="1"/>
  <c r="H1733" i="1" s="1"/>
  <c r="M1804" i="1" l="1"/>
  <c r="K1810" i="1"/>
  <c r="P1804" i="1"/>
  <c r="Q1804" i="1" s="1"/>
  <c r="N1810" i="1"/>
  <c r="F1767" i="1"/>
  <c r="G1761" i="1"/>
  <c r="D1761" i="1"/>
  <c r="B1767" i="1"/>
  <c r="Q1776" i="1"/>
  <c r="F1776" i="1" l="1"/>
  <c r="G1767" i="1"/>
  <c r="K1819" i="1"/>
  <c r="M1810" i="1"/>
  <c r="N1819" i="1"/>
  <c r="P1810" i="1"/>
  <c r="H1761" i="1"/>
  <c r="B1776" i="1"/>
  <c r="D1767" i="1"/>
  <c r="H1767" i="1" s="1"/>
  <c r="Q1810" i="1" l="1"/>
  <c r="N1847" i="1"/>
  <c r="P1819" i="1"/>
  <c r="K1847" i="1"/>
  <c r="M1819" i="1"/>
  <c r="Q1819" i="1" s="1"/>
  <c r="F1804" i="1"/>
  <c r="G1776" i="1"/>
  <c r="B1804" i="1"/>
  <c r="D1776" i="1"/>
  <c r="M1847" i="1" l="1"/>
  <c r="K1853" i="1"/>
  <c r="P1847" i="1"/>
  <c r="N1853" i="1"/>
  <c r="Q1847" i="1"/>
  <c r="F1810" i="1"/>
  <c r="G1804" i="1"/>
  <c r="H1776" i="1"/>
  <c r="D1804" i="1"/>
  <c r="B1810" i="1"/>
  <c r="N1862" i="1" l="1"/>
  <c r="P1853" i="1"/>
  <c r="K1862" i="1"/>
  <c r="M1853" i="1"/>
  <c r="Q1853" i="1" s="1"/>
  <c r="H1804" i="1"/>
  <c r="F1819" i="1"/>
  <c r="G1810" i="1"/>
  <c r="B1819" i="1"/>
  <c r="D1810" i="1"/>
  <c r="P1862" i="1" l="1"/>
  <c r="N1890" i="1"/>
  <c r="K1890" i="1"/>
  <c r="M1862" i="1"/>
  <c r="H1810" i="1"/>
  <c r="F1847" i="1"/>
  <c r="G1819" i="1"/>
  <c r="B1847" i="1"/>
  <c r="D1819" i="1"/>
  <c r="G1847" i="1" l="1"/>
  <c r="F1853" i="1"/>
  <c r="Q1862" i="1"/>
  <c r="D1847" i="1"/>
  <c r="B1853" i="1"/>
  <c r="M1890" i="1"/>
  <c r="K1896" i="1"/>
  <c r="P1890" i="1"/>
  <c r="N1896" i="1"/>
  <c r="H1819" i="1"/>
  <c r="H1847" i="1" l="1"/>
  <c r="B1862" i="1"/>
  <c r="D1853" i="1"/>
  <c r="F1862" i="1"/>
  <c r="G1853" i="1"/>
  <c r="H1853" i="1" s="1"/>
  <c r="Q1890" i="1"/>
  <c r="N1905" i="1"/>
  <c r="P1896" i="1"/>
  <c r="K1905" i="1"/>
  <c r="M1896" i="1"/>
  <c r="D1862" i="1" l="1"/>
  <c r="B1890" i="1"/>
  <c r="F1890" i="1"/>
  <c r="G1862" i="1"/>
  <c r="Q1896" i="1"/>
  <c r="K1933" i="1"/>
  <c r="M1905" i="1"/>
  <c r="N1933" i="1"/>
  <c r="P1905" i="1"/>
  <c r="M1933" i="1" l="1"/>
  <c r="K1939" i="1"/>
  <c r="P1933" i="1"/>
  <c r="N1939" i="1"/>
  <c r="F1896" i="1"/>
  <c r="G1890" i="1"/>
  <c r="H1862" i="1"/>
  <c r="B1896" i="1"/>
  <c r="D1890" i="1"/>
  <c r="Q1933" i="1"/>
  <c r="Q1905" i="1"/>
  <c r="K1948" i="1" l="1"/>
  <c r="M1939" i="1"/>
  <c r="N1948" i="1"/>
  <c r="P1939" i="1"/>
  <c r="H1890" i="1"/>
  <c r="B1905" i="1"/>
  <c r="D1896" i="1"/>
  <c r="F1905" i="1"/>
  <c r="G1896" i="1"/>
  <c r="H1896" i="1" s="1"/>
  <c r="N1976" i="1" l="1"/>
  <c r="P1948" i="1"/>
  <c r="Q1939" i="1"/>
  <c r="M1948" i="1"/>
  <c r="Q1948" i="1" s="1"/>
  <c r="K1976" i="1"/>
  <c r="F1933" i="1"/>
  <c r="G1905" i="1"/>
  <c r="D1905" i="1"/>
  <c r="B1933" i="1"/>
  <c r="M1976" i="1" l="1"/>
  <c r="Q1976" i="1" s="1"/>
  <c r="K1982" i="1"/>
  <c r="P1976" i="1"/>
  <c r="N1982" i="1"/>
  <c r="G1933" i="1"/>
  <c r="F1939" i="1"/>
  <c r="D1933" i="1"/>
  <c r="H1933" i="1" s="1"/>
  <c r="B1939" i="1"/>
  <c r="H1905" i="1"/>
  <c r="N1991" i="1" l="1"/>
  <c r="P1982" i="1"/>
  <c r="M1982" i="1"/>
  <c r="Q1982" i="1" s="1"/>
  <c r="K1991" i="1"/>
  <c r="G1939" i="1"/>
  <c r="F1948" i="1"/>
  <c r="B1948" i="1"/>
  <c r="D1939" i="1"/>
  <c r="H1939" i="1" s="1"/>
  <c r="K2019" i="1" l="1"/>
  <c r="M1991" i="1"/>
  <c r="P1991" i="1"/>
  <c r="N2019" i="1"/>
  <c r="B1976" i="1"/>
  <c r="D1976" i="1" s="1"/>
  <c r="D1948" i="1"/>
  <c r="F1976" i="1"/>
  <c r="G1976" i="1" s="1"/>
  <c r="G1948" i="1"/>
  <c r="P2019" i="1" l="1"/>
  <c r="N2025" i="1"/>
  <c r="M2019" i="1"/>
  <c r="Q2019" i="1" s="1"/>
  <c r="K2025" i="1"/>
  <c r="Q1991" i="1"/>
  <c r="H1948" i="1"/>
  <c r="H1976" i="1"/>
  <c r="M2025" i="1" l="1"/>
  <c r="K2034" i="1"/>
  <c r="P2025" i="1"/>
  <c r="N2034" i="1"/>
  <c r="N2062" i="1" l="1"/>
  <c r="P2062" i="1" s="1"/>
  <c r="P2034" i="1"/>
  <c r="K2062" i="1"/>
  <c r="M2062" i="1" s="1"/>
  <c r="M2034" i="1"/>
  <c r="Q2034" i="1" s="1"/>
  <c r="Q2025" i="1"/>
  <c r="Q2062" i="1" l="1"/>
</calcChain>
</file>

<file path=xl/sharedStrings.xml><?xml version="1.0" encoding="utf-8"?>
<sst xmlns="http://schemas.openxmlformats.org/spreadsheetml/2006/main" count="4852" uniqueCount="711">
  <si>
    <t>カラー</t>
  </si>
  <si>
    <t>合計</t>
    <rPh sb="0" eb="2">
      <t>ゴウケイ</t>
    </rPh>
    <phoneticPr fontId="5"/>
  </si>
  <si>
    <t>サイズ</t>
  </si>
  <si>
    <t>計</t>
    <rPh sb="0" eb="1">
      <t>ケイ</t>
    </rPh>
    <phoneticPr fontId="5"/>
  </si>
  <si>
    <t>初回</t>
    <rPh sb="0" eb="2">
      <t>ショカイ</t>
    </rPh>
    <phoneticPr fontId="5"/>
  </si>
  <si>
    <t>追加１</t>
    <rPh sb="0" eb="2">
      <t>ツイカ</t>
    </rPh>
    <phoneticPr fontId="5"/>
  </si>
  <si>
    <t>追加２</t>
    <rPh sb="0" eb="2">
      <t>ツイカ</t>
    </rPh>
    <phoneticPr fontId="5"/>
  </si>
  <si>
    <t>追加３</t>
    <rPh sb="0" eb="2">
      <t>ツイカ</t>
    </rPh>
    <phoneticPr fontId="5"/>
  </si>
  <si>
    <t>追加４</t>
    <rPh sb="0" eb="2">
      <t>ツイカ</t>
    </rPh>
    <phoneticPr fontId="5"/>
  </si>
  <si>
    <t>追加５</t>
    <rPh sb="0" eb="2">
      <t>ツイカ</t>
    </rPh>
    <phoneticPr fontId="5"/>
  </si>
  <si>
    <t>追加６</t>
    <rPh sb="0" eb="2">
      <t>ツイカ</t>
    </rPh>
    <phoneticPr fontId="5"/>
  </si>
  <si>
    <t>追加７</t>
    <rPh sb="0" eb="2">
      <t>ツイカ</t>
    </rPh>
    <phoneticPr fontId="5"/>
  </si>
  <si>
    <t>追加８</t>
    <rPh sb="0" eb="2">
      <t>ツイカ</t>
    </rPh>
    <phoneticPr fontId="5"/>
  </si>
  <si>
    <t>総在庫</t>
    <rPh sb="0" eb="1">
      <t>ソウ</t>
    </rPh>
    <rPh sb="1" eb="3">
      <t>ザイコ</t>
    </rPh>
    <phoneticPr fontId="5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</si>
  <si>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</si>
  <si>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5"/>
  </si>
  <si>
    <t>M～Ｌ</t>
    <phoneticPr fontId="1"/>
  </si>
  <si>
    <t>L～ＬＬ</t>
    <phoneticPr fontId="1"/>
  </si>
  <si>
    <t>ベージュ</t>
    <phoneticPr fontId="1"/>
  </si>
  <si>
    <t>ブラック</t>
    <phoneticPr fontId="1"/>
  </si>
  <si>
    <t>1回目</t>
    <rPh sb="1" eb="2">
      <t>カイ</t>
    </rPh>
    <rPh sb="2" eb="3">
      <t>メ</t>
    </rPh>
    <phoneticPr fontId="5"/>
  </si>
  <si>
    <t>2回目</t>
    <rPh sb="1" eb="2">
      <t>カイ</t>
    </rPh>
    <rPh sb="2" eb="3">
      <t>メ</t>
    </rPh>
    <phoneticPr fontId="5"/>
  </si>
  <si>
    <t>コープきんき10-1w</t>
    <phoneticPr fontId="1"/>
  </si>
  <si>
    <t>太ももコンパクトハイウエストガードル　（夢販在庫）</t>
    <rPh sb="0" eb="1">
      <t>フト</t>
    </rPh>
    <rPh sb="20" eb="21">
      <t>ユメ</t>
    </rPh>
    <rPh sb="21" eb="22">
      <t>ハン</t>
    </rPh>
    <rPh sb="22" eb="24">
      <t>ザイコ</t>
    </rPh>
    <phoneticPr fontId="5"/>
  </si>
  <si>
    <t>太ももコンパクトハイウエストガードル　（Kｐｏｒｔ在庫）</t>
    <rPh sb="0" eb="1">
      <t>フト</t>
    </rPh>
    <rPh sb="25" eb="27">
      <t>ザイコ</t>
    </rPh>
    <phoneticPr fontId="5"/>
  </si>
  <si>
    <t>アバウト9/29、点9/10、本9/30～10/10</t>
    <rPh sb="9" eb="10">
      <t>テン</t>
    </rPh>
    <rPh sb="15" eb="16">
      <t>ホン</t>
    </rPh>
    <phoneticPr fontId="1"/>
  </si>
  <si>
    <t>9/23～</t>
    <phoneticPr fontId="1"/>
  </si>
  <si>
    <t>くらし企画（眞鍋さん）</t>
    <rPh sb="3" eb="5">
      <t>キカク</t>
    </rPh>
    <rPh sb="6" eb="8">
      <t>マナベ</t>
    </rPh>
    <phoneticPr fontId="1"/>
  </si>
  <si>
    <t>JOD9564～9566（封筒）2色組</t>
    <rPh sb="13" eb="15">
      <t>フウトウ</t>
    </rPh>
    <rPh sb="17" eb="18">
      <t>ショク</t>
    </rPh>
    <rPh sb="18" eb="19">
      <t>クミ</t>
    </rPh>
    <phoneticPr fontId="1"/>
  </si>
  <si>
    <t>余剰分</t>
    <rPh sb="0" eb="3">
      <t>ヨジョウブン</t>
    </rPh>
    <phoneticPr fontId="5"/>
  </si>
  <si>
    <t>夢販</t>
    <rPh sb="0" eb="2">
      <t>ユメハン</t>
    </rPh>
    <phoneticPr fontId="1"/>
  </si>
  <si>
    <t>ディノスsample</t>
    <phoneticPr fontId="1"/>
  </si>
  <si>
    <t>くらし企画（豊嶋さん）</t>
    <rPh sb="3" eb="5">
      <t>キカク</t>
    </rPh>
    <rPh sb="6" eb="8">
      <t>トヨシマ</t>
    </rPh>
    <phoneticPr fontId="1"/>
  </si>
  <si>
    <t>ネット</t>
    <phoneticPr fontId="1"/>
  </si>
  <si>
    <t>SMR0398</t>
    <phoneticPr fontId="1"/>
  </si>
  <si>
    <t>千趣会①</t>
    <rPh sb="0" eb="3">
      <t>センシュカイ</t>
    </rPh>
    <phoneticPr fontId="1"/>
  </si>
  <si>
    <t>コープきんき10-1w①</t>
    <phoneticPr fontId="1"/>
  </si>
  <si>
    <t>くらし企画（矢島さん）</t>
    <rPh sb="3" eb="5">
      <t>キカク</t>
    </rPh>
    <rPh sb="6" eb="8">
      <t>ヤジマ</t>
    </rPh>
    <phoneticPr fontId="1"/>
  </si>
  <si>
    <t>JOD①</t>
    <phoneticPr fontId="1"/>
  </si>
  <si>
    <t>千趣会②</t>
    <rPh sb="0" eb="3">
      <t>センシュカイ</t>
    </rPh>
    <phoneticPr fontId="1"/>
  </si>
  <si>
    <t>くらし企画（橋本さん）</t>
    <rPh sb="3" eb="5">
      <t>キカク</t>
    </rPh>
    <rPh sb="6" eb="8">
      <t>ハシモト</t>
    </rPh>
    <phoneticPr fontId="1"/>
  </si>
  <si>
    <t>JOD②</t>
    <phoneticPr fontId="1"/>
  </si>
  <si>
    <t>ディノスsample返却</t>
    <rPh sb="10" eb="12">
      <t>ヘンキャク</t>
    </rPh>
    <phoneticPr fontId="1"/>
  </si>
  <si>
    <t>素数sample</t>
    <rPh sb="0" eb="2">
      <t>ソスウ</t>
    </rPh>
    <phoneticPr fontId="1"/>
  </si>
  <si>
    <t>千趣会③</t>
    <rPh sb="0" eb="3">
      <t>センシュカイ</t>
    </rPh>
    <phoneticPr fontId="1"/>
  </si>
  <si>
    <t>JOD③</t>
    <phoneticPr fontId="1"/>
  </si>
  <si>
    <t>コープきんき10-1w②</t>
    <phoneticPr fontId="1"/>
  </si>
  <si>
    <t>JOD④</t>
    <phoneticPr fontId="1"/>
  </si>
  <si>
    <t xml:space="preserve">JOD⑤ </t>
    <phoneticPr fontId="1"/>
  </si>
  <si>
    <t>コープきんき10-1w③</t>
    <phoneticPr fontId="1"/>
  </si>
  <si>
    <t>JOD⑥</t>
    <phoneticPr fontId="1"/>
  </si>
  <si>
    <t>JOD⑦</t>
    <phoneticPr fontId="1"/>
  </si>
  <si>
    <t>コープきんき10-1w直送④</t>
    <rPh sb="11" eb="13">
      <t>チョクソウ</t>
    </rPh>
    <phoneticPr fontId="1"/>
  </si>
  <si>
    <t>夢販</t>
    <rPh sb="0" eb="2">
      <t>ユメハン</t>
    </rPh>
    <phoneticPr fontId="1"/>
  </si>
  <si>
    <t>千趣会④</t>
    <rPh sb="0" eb="3">
      <t>センシュカイ</t>
    </rPh>
    <phoneticPr fontId="1"/>
  </si>
  <si>
    <t>在庫</t>
    <rPh sb="0" eb="2">
      <t>ザイコ</t>
    </rPh>
    <phoneticPr fontId="5"/>
  </si>
  <si>
    <t>ネット</t>
  </si>
  <si>
    <t>JOD⑧</t>
    <phoneticPr fontId="1"/>
  </si>
  <si>
    <t>JOD⑨</t>
    <phoneticPr fontId="1"/>
  </si>
  <si>
    <t>JOD⑩</t>
    <phoneticPr fontId="1"/>
  </si>
  <si>
    <t>JOD⑪</t>
    <phoneticPr fontId="1"/>
  </si>
  <si>
    <t>JOD返品</t>
    <rPh sb="3" eb="5">
      <t>ヘンピン</t>
    </rPh>
    <phoneticPr fontId="5"/>
  </si>
  <si>
    <t>日生協1月47号</t>
    <rPh sb="0" eb="3">
      <t>ニッセイキョウ</t>
    </rPh>
    <rPh sb="4" eb="5">
      <t>ガツ</t>
    </rPh>
    <rPh sb="7" eb="8">
      <t>ゴウ</t>
    </rPh>
    <phoneticPr fontId="1"/>
  </si>
  <si>
    <t>点1/6アバウトキャロ1/19デリ1/26最終2/3</t>
    <rPh sb="0" eb="1">
      <t>テン</t>
    </rPh>
    <rPh sb="21" eb="23">
      <t>サイシュウ</t>
    </rPh>
    <phoneticPr fontId="1"/>
  </si>
  <si>
    <t>JOD⑫</t>
    <phoneticPr fontId="1"/>
  </si>
  <si>
    <t>千趣会⑤</t>
    <rPh sb="0" eb="3">
      <t>センシュカイ</t>
    </rPh>
    <phoneticPr fontId="1"/>
  </si>
  <si>
    <t>JOD⑬</t>
    <phoneticPr fontId="1"/>
  </si>
  <si>
    <t>JOD⑭</t>
    <phoneticPr fontId="1"/>
  </si>
  <si>
    <t>千趣会⑥</t>
    <rPh sb="0" eb="3">
      <t>センシュカイ</t>
    </rPh>
    <phoneticPr fontId="1"/>
  </si>
  <si>
    <t>JOD⑮</t>
    <phoneticPr fontId="1"/>
  </si>
  <si>
    <t>夢販</t>
    <rPh sb="0" eb="2">
      <t>ユメハン</t>
    </rPh>
    <phoneticPr fontId="1"/>
  </si>
  <si>
    <t>ニッセン①</t>
    <phoneticPr fontId="1"/>
  </si>
  <si>
    <t>JOD⑯</t>
    <phoneticPr fontId="1"/>
  </si>
  <si>
    <t>JOD⑰</t>
    <phoneticPr fontId="1"/>
  </si>
  <si>
    <t>数10/31納</t>
    <rPh sb="0" eb="1">
      <t>スウ</t>
    </rPh>
    <rPh sb="6" eb="7">
      <t>ノウ</t>
    </rPh>
    <phoneticPr fontId="1"/>
  </si>
  <si>
    <t>数納</t>
    <rPh sb="0" eb="1">
      <t>スウ</t>
    </rPh>
    <rPh sb="1" eb="2">
      <t>ノウ</t>
    </rPh>
    <phoneticPr fontId="1"/>
  </si>
  <si>
    <t>ネット返品</t>
    <rPh sb="3" eb="5">
      <t>ヘンピン</t>
    </rPh>
    <phoneticPr fontId="5"/>
  </si>
  <si>
    <t>千趣会⑦</t>
    <rPh sb="0" eb="3">
      <t>センシュカイ</t>
    </rPh>
    <phoneticPr fontId="1"/>
  </si>
  <si>
    <t>くらし返品</t>
    <rPh sb="3" eb="5">
      <t>ヘンピン</t>
    </rPh>
    <phoneticPr fontId="5"/>
  </si>
  <si>
    <t>ニッセン②</t>
    <phoneticPr fontId="1"/>
  </si>
  <si>
    <t>くらし企画（豊嶋さん）返却</t>
    <rPh sb="3" eb="5">
      <t>キカク</t>
    </rPh>
    <rPh sb="6" eb="8">
      <t>トヨシマ</t>
    </rPh>
    <rPh sb="11" eb="13">
      <t>ヘンキャク</t>
    </rPh>
    <phoneticPr fontId="1"/>
  </si>
  <si>
    <t>夢販</t>
    <rPh sb="0" eb="2">
      <t>ユメハン</t>
    </rPh>
    <phoneticPr fontId="1"/>
  </si>
  <si>
    <t>千趣会⑧</t>
    <rPh sb="0" eb="3">
      <t>センシュカイ</t>
    </rPh>
    <phoneticPr fontId="1"/>
  </si>
  <si>
    <t>ニッセン③</t>
    <phoneticPr fontId="1"/>
  </si>
  <si>
    <t>千趣会⑨</t>
    <rPh sb="0" eb="3">
      <t>センシュカイ</t>
    </rPh>
    <phoneticPr fontId="1"/>
  </si>
  <si>
    <t>日生協1月47号東日本①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1"/>
  </si>
  <si>
    <t>日生協1月47号東日本②</t>
    <rPh sb="0" eb="3">
      <t>ニッセイキョウ</t>
    </rPh>
    <rPh sb="4" eb="5">
      <t>ガツ</t>
    </rPh>
    <rPh sb="7" eb="8">
      <t>ゴウ</t>
    </rPh>
    <phoneticPr fontId="1"/>
  </si>
  <si>
    <t>日生協1月47号西日本①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1"/>
  </si>
  <si>
    <t>日生協1月47号西日本②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1"/>
  </si>
  <si>
    <t>日生協1月47号東日本③</t>
    <rPh sb="0" eb="3">
      <t>ニッセイキョウ</t>
    </rPh>
    <rPh sb="4" eb="5">
      <t>ガツ</t>
    </rPh>
    <rPh sb="7" eb="8">
      <t>ゴウ</t>
    </rPh>
    <phoneticPr fontId="1"/>
  </si>
  <si>
    <t>日生協1月47号西日本③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1"/>
  </si>
  <si>
    <t>夢販</t>
    <rPh sb="0" eb="2">
      <t>ユメハン</t>
    </rPh>
    <phoneticPr fontId="5"/>
  </si>
  <si>
    <t>日生協1月47号東日本④</t>
    <rPh sb="0" eb="3">
      <t>ニッセイキョウ</t>
    </rPh>
    <rPh sb="4" eb="5">
      <t>ガツ</t>
    </rPh>
    <rPh sb="7" eb="8">
      <t>ゴウ</t>
    </rPh>
    <phoneticPr fontId="1"/>
  </si>
  <si>
    <t>日生協1月47号東日本⑤</t>
    <rPh sb="0" eb="3">
      <t>ニッセイキョウ</t>
    </rPh>
    <rPh sb="4" eb="5">
      <t>ガツ</t>
    </rPh>
    <rPh sb="7" eb="8">
      <t>ゴウ</t>
    </rPh>
    <phoneticPr fontId="1"/>
  </si>
  <si>
    <t>日生協1月47号東日本⑥</t>
    <rPh sb="0" eb="3">
      <t>ニッセイキョウ</t>
    </rPh>
    <rPh sb="4" eb="5">
      <t>ガツ</t>
    </rPh>
    <rPh sb="7" eb="8">
      <t>ゴウ</t>
    </rPh>
    <phoneticPr fontId="1"/>
  </si>
  <si>
    <t>日生協1月47号東日本⑦</t>
    <rPh sb="0" eb="3">
      <t>ニッセイキョウ</t>
    </rPh>
    <rPh sb="4" eb="5">
      <t>ガツ</t>
    </rPh>
    <rPh sb="7" eb="8">
      <t>ゴウ</t>
    </rPh>
    <phoneticPr fontId="1"/>
  </si>
  <si>
    <t>夢販</t>
    <rPh sb="0" eb="2">
      <t>ユメハン</t>
    </rPh>
    <phoneticPr fontId="1"/>
  </si>
  <si>
    <t>くらし返品予定</t>
    <rPh sb="3" eb="7">
      <t>ヘンピンヨテイ</t>
    </rPh>
    <phoneticPr fontId="5"/>
  </si>
  <si>
    <t>くらしサンプル返却</t>
    <rPh sb="7" eb="9">
      <t>ヘンキャク</t>
    </rPh>
    <phoneticPr fontId="5"/>
  </si>
  <si>
    <t>ニッセン④</t>
    <phoneticPr fontId="1"/>
  </si>
  <si>
    <t>ロイヤルステージ</t>
    <phoneticPr fontId="1"/>
  </si>
  <si>
    <t>9/17～</t>
    <phoneticPr fontId="1"/>
  </si>
  <si>
    <t>ベルーナ3sample</t>
    <phoneticPr fontId="1"/>
  </si>
  <si>
    <t>サクラマチsample（高田さん）</t>
    <rPh sb="12" eb="14">
      <t>タカダ</t>
    </rPh>
    <phoneticPr fontId="1"/>
  </si>
  <si>
    <t>ベルーナ3　22年春（同色2P）</t>
    <rPh sb="8" eb="9">
      <t>ネン</t>
    </rPh>
    <rPh sb="9" eb="10">
      <t>ハル</t>
    </rPh>
    <rPh sb="11" eb="13">
      <t>ドウショク</t>
    </rPh>
    <phoneticPr fontId="1"/>
  </si>
  <si>
    <t>ベルーナ3校正用sample</t>
    <rPh sb="5" eb="8">
      <t>コウセイヨウ</t>
    </rPh>
    <phoneticPr fontId="1"/>
  </si>
  <si>
    <t>夢販</t>
    <rPh sb="0" eb="2">
      <t>ユメハン</t>
    </rPh>
    <phoneticPr fontId="1"/>
  </si>
  <si>
    <t>ニッセン⑤</t>
    <phoneticPr fontId="1"/>
  </si>
  <si>
    <t>ニッセン⑥</t>
    <phoneticPr fontId="1"/>
  </si>
  <si>
    <t>テスト10/20、本番1/26</t>
    <rPh sb="9" eb="11">
      <t>ホンバン</t>
    </rPh>
    <phoneticPr fontId="1"/>
  </si>
  <si>
    <t>在庫確認</t>
    <rPh sb="0" eb="4">
      <t>ザイコカクニン</t>
    </rPh>
    <phoneticPr fontId="5"/>
  </si>
  <si>
    <t>ベルーナ検査用</t>
    <rPh sb="4" eb="6">
      <t>ケンサ</t>
    </rPh>
    <rPh sb="6" eb="7">
      <t>ヨウ</t>
    </rPh>
    <phoneticPr fontId="1"/>
  </si>
  <si>
    <t>夢販</t>
    <rPh sb="0" eb="2">
      <t>ユメハン</t>
    </rPh>
    <phoneticPr fontId="1"/>
  </si>
  <si>
    <t>ニッセン⑦</t>
    <phoneticPr fontId="1"/>
  </si>
  <si>
    <t>ニッセン⑧</t>
    <phoneticPr fontId="1"/>
  </si>
  <si>
    <t>大阪いずみ生協11-4ｗ</t>
    <rPh sb="0" eb="2">
      <t>オオサカ</t>
    </rPh>
    <rPh sb="5" eb="7">
      <t>セイキョウ</t>
    </rPh>
    <phoneticPr fontId="1"/>
  </si>
  <si>
    <t>11/16～12/10（10回）</t>
    <rPh sb="14" eb="15">
      <t>カイ</t>
    </rPh>
    <phoneticPr fontId="1"/>
  </si>
  <si>
    <t>ロイヤルステージ①</t>
    <phoneticPr fontId="1"/>
  </si>
  <si>
    <t>ベルーナ3　22年春（同色2P）①</t>
    <rPh sb="8" eb="9">
      <t>ネン</t>
    </rPh>
    <rPh sb="9" eb="10">
      <t>ハル</t>
    </rPh>
    <rPh sb="11" eb="13">
      <t>ドウショク</t>
    </rPh>
    <phoneticPr fontId="1"/>
  </si>
  <si>
    <t>ネット交換</t>
    <rPh sb="3" eb="5">
      <t>コウカン</t>
    </rPh>
    <phoneticPr fontId="1"/>
  </si>
  <si>
    <t>ニッセン⑨</t>
    <phoneticPr fontId="1"/>
  </si>
  <si>
    <t>夢販</t>
    <rPh sb="0" eb="2">
      <t>ユメハン</t>
    </rPh>
    <phoneticPr fontId="1"/>
  </si>
  <si>
    <t>追加</t>
    <rPh sb="0" eb="2">
      <t>ツイカ</t>
    </rPh>
    <phoneticPr fontId="1"/>
  </si>
  <si>
    <t>JODメルシー1206（2色組）</t>
    <rPh sb="13" eb="15">
      <t>ショククミ</t>
    </rPh>
    <phoneticPr fontId="1"/>
  </si>
  <si>
    <t>12/6～</t>
    <phoneticPr fontId="1"/>
  </si>
  <si>
    <t>大阪いずみ生協11-4ｗ①</t>
    <rPh sb="0" eb="2">
      <t>オオサカ</t>
    </rPh>
    <rPh sb="5" eb="7">
      <t>セイキョウ</t>
    </rPh>
    <phoneticPr fontId="1"/>
  </si>
  <si>
    <t>大阪いずみ生協11-4ｗ②</t>
    <rPh sb="0" eb="2">
      <t>オオサカ</t>
    </rPh>
    <rPh sb="5" eb="7">
      <t>セイキョウ</t>
    </rPh>
    <phoneticPr fontId="1"/>
  </si>
  <si>
    <t>大阪いずみ生協11-4ｗ③</t>
    <rPh sb="0" eb="2">
      <t>オオサカ</t>
    </rPh>
    <rPh sb="5" eb="7">
      <t>セイキョウ</t>
    </rPh>
    <phoneticPr fontId="1"/>
  </si>
  <si>
    <t>日生協3月2号</t>
    <rPh sb="0" eb="3">
      <t>ニッセイキョウ</t>
    </rPh>
    <rPh sb="4" eb="5">
      <t>ガツ</t>
    </rPh>
    <rPh sb="6" eb="7">
      <t>ゴウ</t>
    </rPh>
    <phoneticPr fontId="1"/>
  </si>
  <si>
    <t>点3/4、アバウト3/15、22、最終3/30</t>
    <rPh sb="0" eb="1">
      <t>テン</t>
    </rPh>
    <rPh sb="17" eb="19">
      <t>サイシュウ</t>
    </rPh>
    <phoneticPr fontId="1"/>
  </si>
  <si>
    <t>ロイヤルステージ返品</t>
    <rPh sb="8" eb="10">
      <t>ヘンピン</t>
    </rPh>
    <phoneticPr fontId="5"/>
  </si>
  <si>
    <t>大阪いずみ生協11-4ｗ④</t>
    <rPh sb="0" eb="2">
      <t>オオサカ</t>
    </rPh>
    <rPh sb="5" eb="7">
      <t>セイキョウ</t>
    </rPh>
    <phoneticPr fontId="1"/>
  </si>
  <si>
    <t>牧野</t>
    <rPh sb="0" eb="2">
      <t>マキノ</t>
    </rPh>
    <phoneticPr fontId="1"/>
  </si>
  <si>
    <t>JOD②</t>
    <phoneticPr fontId="1"/>
  </si>
  <si>
    <t>JOD③</t>
    <phoneticPr fontId="1"/>
  </si>
  <si>
    <t>JOD④</t>
    <phoneticPr fontId="1"/>
  </si>
  <si>
    <t>JOD⑤</t>
    <phoneticPr fontId="1"/>
  </si>
  <si>
    <t>JOD⑥</t>
    <phoneticPr fontId="1"/>
  </si>
  <si>
    <t>JOD⑦</t>
    <phoneticPr fontId="1"/>
  </si>
  <si>
    <t>夢販</t>
    <rPh sb="0" eb="2">
      <t>ユメハン</t>
    </rPh>
    <phoneticPr fontId="1"/>
  </si>
  <si>
    <t>JOD⑧</t>
    <phoneticPr fontId="1"/>
  </si>
  <si>
    <t>千趣会⑩</t>
    <rPh sb="0" eb="3">
      <t>センシュカイ</t>
    </rPh>
    <phoneticPr fontId="1"/>
  </si>
  <si>
    <t>JOD⑨</t>
    <phoneticPr fontId="1"/>
  </si>
  <si>
    <t>JOD特別版0202（2色組）</t>
    <rPh sb="3" eb="6">
      <t>トクベツバン</t>
    </rPh>
    <rPh sb="12" eb="14">
      <t>ショククミ</t>
    </rPh>
    <phoneticPr fontId="1"/>
  </si>
  <si>
    <t>2/1～</t>
    <phoneticPr fontId="1"/>
  </si>
  <si>
    <t>JOD⑩</t>
    <phoneticPr fontId="1"/>
  </si>
  <si>
    <t>ベルーナ3　22年春（同色2P）②</t>
    <rPh sb="8" eb="9">
      <t>ネン</t>
    </rPh>
    <rPh sb="9" eb="10">
      <t>ハル</t>
    </rPh>
    <rPh sb="11" eb="13">
      <t>ドウショク</t>
    </rPh>
    <phoneticPr fontId="1"/>
  </si>
  <si>
    <t>JODメルシー0201（2色組）</t>
    <rPh sb="13" eb="15">
      <t>ショククミ</t>
    </rPh>
    <phoneticPr fontId="1"/>
  </si>
  <si>
    <t>JOD特別号9522（2色組）</t>
    <rPh sb="3" eb="6">
      <t>トクベツゴウ</t>
    </rPh>
    <rPh sb="12" eb="14">
      <t>ショククミ</t>
    </rPh>
    <phoneticPr fontId="1"/>
  </si>
  <si>
    <t>2/5～</t>
    <phoneticPr fontId="1"/>
  </si>
  <si>
    <t>JOD⑫</t>
    <phoneticPr fontId="1"/>
  </si>
  <si>
    <t>JOD⑬</t>
    <phoneticPr fontId="1"/>
  </si>
  <si>
    <t>JOD⑭</t>
    <phoneticPr fontId="1"/>
  </si>
  <si>
    <t>JOD⑮</t>
    <phoneticPr fontId="1"/>
  </si>
  <si>
    <t>夢販</t>
    <rPh sb="0" eb="2">
      <t>ユメハン</t>
    </rPh>
    <phoneticPr fontId="1"/>
  </si>
  <si>
    <t>JOD⑯</t>
    <phoneticPr fontId="1"/>
  </si>
  <si>
    <t>追加５（余剰分）</t>
    <rPh sb="0" eb="2">
      <t>ツイカ</t>
    </rPh>
    <rPh sb="4" eb="7">
      <t>ヨジョウブン</t>
    </rPh>
    <phoneticPr fontId="5"/>
  </si>
  <si>
    <t>ニッセン⑩</t>
    <phoneticPr fontId="1"/>
  </si>
  <si>
    <t>JOD⑰</t>
    <phoneticPr fontId="1"/>
  </si>
  <si>
    <t>ベルーナ3　22年春（同色2P）③</t>
    <rPh sb="8" eb="9">
      <t>ネン</t>
    </rPh>
    <rPh sb="9" eb="10">
      <t>ハル</t>
    </rPh>
    <rPh sb="11" eb="13">
      <t>ドウショク</t>
    </rPh>
    <phoneticPr fontId="1"/>
  </si>
  <si>
    <t>JOD⑱</t>
    <phoneticPr fontId="1"/>
  </si>
  <si>
    <t>夢販</t>
    <rPh sb="0" eb="2">
      <t>ユメハン</t>
    </rPh>
    <phoneticPr fontId="1"/>
  </si>
  <si>
    <t>JOD⑲</t>
    <phoneticPr fontId="1"/>
  </si>
  <si>
    <t>ネット</t>
    <phoneticPr fontId="1"/>
  </si>
  <si>
    <t>JOD⑳</t>
    <phoneticPr fontId="1"/>
  </si>
  <si>
    <t>ベルーナ3　22年春（同色2P）④</t>
    <rPh sb="8" eb="9">
      <t>ネン</t>
    </rPh>
    <rPh sb="9" eb="10">
      <t>ハル</t>
    </rPh>
    <rPh sb="11" eb="13">
      <t>ドウショク</t>
    </rPh>
    <phoneticPr fontId="1"/>
  </si>
  <si>
    <t>サクラマチ返品</t>
    <rPh sb="5" eb="7">
      <t>ヘンピン</t>
    </rPh>
    <phoneticPr fontId="5"/>
  </si>
  <si>
    <t>JOD㉑</t>
    <phoneticPr fontId="1"/>
  </si>
  <si>
    <t>ベルーナ3　22年春（同色2P）⑤</t>
    <rPh sb="8" eb="9">
      <t>ネン</t>
    </rPh>
    <rPh sb="9" eb="10">
      <t>ハル</t>
    </rPh>
    <rPh sb="11" eb="13">
      <t>ドウショク</t>
    </rPh>
    <phoneticPr fontId="1"/>
  </si>
  <si>
    <t>JOD㉒</t>
    <phoneticPr fontId="1"/>
  </si>
  <si>
    <t>JOD㉓</t>
    <phoneticPr fontId="1"/>
  </si>
  <si>
    <t>JOD㉔</t>
    <phoneticPr fontId="1"/>
  </si>
  <si>
    <t>ベルーナ3　22年春（同色2P）⑥</t>
    <rPh sb="8" eb="9">
      <t>ネン</t>
    </rPh>
    <rPh sb="9" eb="10">
      <t>ハル</t>
    </rPh>
    <rPh sb="11" eb="13">
      <t>ドウショク</t>
    </rPh>
    <phoneticPr fontId="1"/>
  </si>
  <si>
    <t>2022/1/17数伝</t>
    <rPh sb="9" eb="10">
      <t>スウ</t>
    </rPh>
    <rPh sb="10" eb="11">
      <t>デン</t>
    </rPh>
    <phoneticPr fontId="1"/>
  </si>
  <si>
    <t>JOD㉕</t>
    <phoneticPr fontId="1"/>
  </si>
  <si>
    <t>JOD㉖</t>
    <phoneticPr fontId="1"/>
  </si>
  <si>
    <t>JOD㉗</t>
    <phoneticPr fontId="1"/>
  </si>
  <si>
    <t>ベルーナ3　22年春（同色2P）⑦</t>
    <rPh sb="8" eb="9">
      <t>ネン</t>
    </rPh>
    <rPh sb="9" eb="10">
      <t>ハル</t>
    </rPh>
    <rPh sb="11" eb="13">
      <t>ドウショク</t>
    </rPh>
    <phoneticPr fontId="1"/>
  </si>
  <si>
    <t>JOD㉘</t>
    <phoneticPr fontId="1"/>
  </si>
  <si>
    <t>JODメルシー0326/2色組</t>
    <rPh sb="13" eb="15">
      <t>ショククミ</t>
    </rPh>
    <phoneticPr fontId="5"/>
  </si>
  <si>
    <t>3/26～</t>
    <phoneticPr fontId="5"/>
  </si>
  <si>
    <t>JOD㉙</t>
    <phoneticPr fontId="1"/>
  </si>
  <si>
    <t>JOD㉚</t>
    <phoneticPr fontId="1"/>
  </si>
  <si>
    <t>ニッセン⑪</t>
    <phoneticPr fontId="1"/>
  </si>
  <si>
    <t>ベルーナ3　22年春（同色2P）⑧</t>
    <rPh sb="8" eb="9">
      <t>ネン</t>
    </rPh>
    <rPh sb="9" eb="10">
      <t>ハル</t>
    </rPh>
    <rPh sb="11" eb="13">
      <t>ドウショク</t>
    </rPh>
    <phoneticPr fontId="1"/>
  </si>
  <si>
    <t>夢販</t>
    <rPh sb="0" eb="2">
      <t>ユメハン</t>
    </rPh>
    <phoneticPr fontId="5"/>
  </si>
  <si>
    <t>JOD㉛</t>
    <phoneticPr fontId="1"/>
  </si>
  <si>
    <t>日生協3月2号(東日本）①</t>
    <rPh sb="0" eb="3">
      <t>ニッセイキョウ</t>
    </rPh>
    <rPh sb="4" eb="5">
      <t>ガツ</t>
    </rPh>
    <rPh sb="6" eb="7">
      <t>ゴウ</t>
    </rPh>
    <rPh sb="8" eb="11">
      <t>ヒガシニホン</t>
    </rPh>
    <phoneticPr fontId="1"/>
  </si>
  <si>
    <t>ニッセン⑫</t>
    <phoneticPr fontId="1"/>
  </si>
  <si>
    <t>JOD㉜</t>
    <phoneticPr fontId="1"/>
  </si>
  <si>
    <t>ベルーナ3　22年春（同色2P）⑨</t>
    <rPh sb="8" eb="9">
      <t>ネン</t>
    </rPh>
    <rPh sb="9" eb="10">
      <t>ハル</t>
    </rPh>
    <rPh sb="11" eb="13">
      <t>ドウショク</t>
    </rPh>
    <phoneticPr fontId="1"/>
  </si>
  <si>
    <t>JOD㉝</t>
    <phoneticPr fontId="1"/>
  </si>
  <si>
    <t>JOD㉞</t>
    <phoneticPr fontId="1"/>
  </si>
  <si>
    <t>JOD㉟</t>
    <phoneticPr fontId="1"/>
  </si>
  <si>
    <t>ニッセン⑬</t>
    <phoneticPr fontId="1"/>
  </si>
  <si>
    <t>JOD㊱</t>
    <phoneticPr fontId="1"/>
  </si>
  <si>
    <t>日生協3月2号(西日本）①</t>
    <rPh sb="0" eb="3">
      <t>ニッセイキョウ</t>
    </rPh>
    <rPh sb="4" eb="5">
      <t>ガツ</t>
    </rPh>
    <rPh sb="6" eb="7">
      <t>ゴウ</t>
    </rPh>
    <rPh sb="8" eb="9">
      <t>ニシ</t>
    </rPh>
    <rPh sb="9" eb="11">
      <t>ニホン</t>
    </rPh>
    <phoneticPr fontId="1"/>
  </si>
  <si>
    <t>日生協3月2号(東日本）②</t>
    <rPh sb="0" eb="3">
      <t>ニッセイキョウ</t>
    </rPh>
    <rPh sb="4" eb="5">
      <t>ガツ</t>
    </rPh>
    <rPh sb="6" eb="7">
      <t>ゴウ</t>
    </rPh>
    <rPh sb="8" eb="11">
      <t>ヒガシニホン</t>
    </rPh>
    <phoneticPr fontId="1"/>
  </si>
  <si>
    <t>JOD㊲</t>
    <phoneticPr fontId="1"/>
  </si>
  <si>
    <t>JOD㊳</t>
    <phoneticPr fontId="1"/>
  </si>
  <si>
    <t>千趣会返品</t>
    <rPh sb="0" eb="3">
      <t>センシュカイ</t>
    </rPh>
    <rPh sb="3" eb="5">
      <t>ヘンピン</t>
    </rPh>
    <phoneticPr fontId="5"/>
  </si>
  <si>
    <t>JOD㊴</t>
    <phoneticPr fontId="1"/>
  </si>
  <si>
    <t>ベルーナ3　22年春（同色2P）⑩</t>
    <rPh sb="8" eb="9">
      <t>ネン</t>
    </rPh>
    <rPh sb="9" eb="10">
      <t>ハル</t>
    </rPh>
    <rPh sb="11" eb="13">
      <t>ドウショク</t>
    </rPh>
    <phoneticPr fontId="1"/>
  </si>
  <si>
    <t>JOD㊵</t>
    <phoneticPr fontId="1"/>
  </si>
  <si>
    <t>JOD㊶</t>
    <phoneticPr fontId="1"/>
  </si>
  <si>
    <t>JOD㊷</t>
    <phoneticPr fontId="1"/>
  </si>
  <si>
    <t>ベルーナ3　22年春（同色2P）⑪</t>
    <rPh sb="8" eb="9">
      <t>ネン</t>
    </rPh>
    <rPh sb="9" eb="10">
      <t>ハル</t>
    </rPh>
    <rPh sb="11" eb="13">
      <t>ドウショク</t>
    </rPh>
    <phoneticPr fontId="1"/>
  </si>
  <si>
    <t>JOD㊸</t>
    <phoneticPr fontId="1"/>
  </si>
  <si>
    <t>JOD特別号9646/2色組</t>
    <rPh sb="3" eb="6">
      <t>トクベツゴウ</t>
    </rPh>
    <rPh sb="12" eb="14">
      <t>ショククミ</t>
    </rPh>
    <phoneticPr fontId="5"/>
  </si>
  <si>
    <t>4/14～</t>
    <phoneticPr fontId="5"/>
  </si>
  <si>
    <t>JOD㊹</t>
    <phoneticPr fontId="1"/>
  </si>
  <si>
    <t>日生協3月2号(西日本）②</t>
    <rPh sb="0" eb="3">
      <t>ニッセイキョウ</t>
    </rPh>
    <rPh sb="4" eb="5">
      <t>ガツ</t>
    </rPh>
    <rPh sb="6" eb="7">
      <t>ゴウ</t>
    </rPh>
    <rPh sb="8" eb="9">
      <t>ニシ</t>
    </rPh>
    <rPh sb="9" eb="11">
      <t>ニホン</t>
    </rPh>
    <phoneticPr fontId="1"/>
  </si>
  <si>
    <t>日生協3月2号(東日本）③</t>
    <rPh sb="0" eb="3">
      <t>ニッセイキョウ</t>
    </rPh>
    <rPh sb="4" eb="5">
      <t>ガツ</t>
    </rPh>
    <rPh sb="6" eb="7">
      <t>ゴウ</t>
    </rPh>
    <rPh sb="8" eb="11">
      <t>ヒガシニホン</t>
    </rPh>
    <phoneticPr fontId="1"/>
  </si>
  <si>
    <t>日生協3月2号(西日本）③</t>
    <rPh sb="0" eb="3">
      <t>ニッセイキョウ</t>
    </rPh>
    <rPh sb="4" eb="5">
      <t>ガツ</t>
    </rPh>
    <rPh sb="6" eb="7">
      <t>ゴウ</t>
    </rPh>
    <rPh sb="8" eb="9">
      <t>ニシ</t>
    </rPh>
    <rPh sb="9" eb="11">
      <t>ニホン</t>
    </rPh>
    <phoneticPr fontId="1"/>
  </si>
  <si>
    <t>JOD㊺</t>
    <phoneticPr fontId="1"/>
  </si>
  <si>
    <t>ベルーナ3　22年春（同色2P）⑫</t>
    <rPh sb="8" eb="9">
      <t>ネン</t>
    </rPh>
    <rPh sb="9" eb="10">
      <t>ハル</t>
    </rPh>
    <rPh sb="11" eb="13">
      <t>ドウショク</t>
    </rPh>
    <phoneticPr fontId="1"/>
  </si>
  <si>
    <t>日生協3月2号(西日本）④</t>
    <rPh sb="0" eb="3">
      <t>ニッセイキョウ</t>
    </rPh>
    <rPh sb="4" eb="5">
      <t>ガツ</t>
    </rPh>
    <rPh sb="6" eb="7">
      <t>ゴウ</t>
    </rPh>
    <rPh sb="8" eb="9">
      <t>ニシ</t>
    </rPh>
    <rPh sb="9" eb="11">
      <t>ニホン</t>
    </rPh>
    <phoneticPr fontId="1"/>
  </si>
  <si>
    <t>日生協3月2号(東日本）④</t>
    <rPh sb="0" eb="3">
      <t>ニッセイキョウ</t>
    </rPh>
    <rPh sb="4" eb="5">
      <t>ガツ</t>
    </rPh>
    <rPh sb="6" eb="7">
      <t>ゴウ</t>
    </rPh>
    <rPh sb="8" eb="11">
      <t>ヒガシニホン</t>
    </rPh>
    <phoneticPr fontId="1"/>
  </si>
  <si>
    <t>夢販</t>
    <rPh sb="0" eb="2">
      <t>ユメハン</t>
    </rPh>
    <phoneticPr fontId="5"/>
  </si>
  <si>
    <t>再生</t>
    <rPh sb="0" eb="2">
      <t>サイセイ</t>
    </rPh>
    <phoneticPr fontId="5"/>
  </si>
  <si>
    <t>JOD㊻</t>
    <phoneticPr fontId="1"/>
  </si>
  <si>
    <t>JOD㊼</t>
    <phoneticPr fontId="1"/>
  </si>
  <si>
    <t>日生協3月2号(東日本）⑤</t>
    <rPh sb="0" eb="3">
      <t>ニッセイキョウ</t>
    </rPh>
    <rPh sb="4" eb="5">
      <t>ガツ</t>
    </rPh>
    <rPh sb="6" eb="7">
      <t>ゴウ</t>
    </rPh>
    <rPh sb="8" eb="11">
      <t>ヒガシニホン</t>
    </rPh>
    <phoneticPr fontId="1"/>
  </si>
  <si>
    <t>日生協3月2号(東日本）⑥</t>
    <rPh sb="0" eb="3">
      <t>ニッセイキョウ</t>
    </rPh>
    <rPh sb="4" eb="5">
      <t>ガツ</t>
    </rPh>
    <rPh sb="6" eb="7">
      <t>ゴウ</t>
    </rPh>
    <rPh sb="8" eb="11">
      <t>ヒガシニホン</t>
    </rPh>
    <phoneticPr fontId="1"/>
  </si>
  <si>
    <t>日生協3月2号(東日本）⑦</t>
    <rPh sb="0" eb="3">
      <t>ニッセイキョウ</t>
    </rPh>
    <rPh sb="4" eb="5">
      <t>ガツ</t>
    </rPh>
    <rPh sb="6" eb="7">
      <t>ゴウ</t>
    </rPh>
    <rPh sb="8" eb="11">
      <t>ヒガシニホン</t>
    </rPh>
    <phoneticPr fontId="1"/>
  </si>
  <si>
    <t>JOD㊽</t>
    <phoneticPr fontId="1"/>
  </si>
  <si>
    <t>日生協3月2号(東日本）⑧</t>
    <rPh sb="0" eb="3">
      <t>ニッセイキョウ</t>
    </rPh>
    <rPh sb="4" eb="5">
      <t>ガツ</t>
    </rPh>
    <rPh sb="6" eb="7">
      <t>ゴウ</t>
    </rPh>
    <rPh sb="8" eb="11">
      <t>ヒガシニホン</t>
    </rPh>
    <phoneticPr fontId="1"/>
  </si>
  <si>
    <t>JOD㊾</t>
    <phoneticPr fontId="1"/>
  </si>
  <si>
    <t>ベルーナ3　22年春（同色2P）⑬</t>
    <rPh sb="8" eb="9">
      <t>ネン</t>
    </rPh>
    <rPh sb="9" eb="10">
      <t>ハル</t>
    </rPh>
    <rPh sb="11" eb="13">
      <t>ドウショク</t>
    </rPh>
    <phoneticPr fontId="1"/>
  </si>
  <si>
    <t>JOD㊿</t>
    <phoneticPr fontId="1"/>
  </si>
  <si>
    <t>ベルーナ3　22年春（同色2P）⑭</t>
    <rPh sb="8" eb="9">
      <t>ネン</t>
    </rPh>
    <rPh sb="9" eb="10">
      <t>ハル</t>
    </rPh>
    <rPh sb="11" eb="13">
      <t>ドウショク</t>
    </rPh>
    <phoneticPr fontId="1"/>
  </si>
  <si>
    <t>JOD51</t>
    <phoneticPr fontId="1"/>
  </si>
  <si>
    <t>JODメルシー0519/2色組</t>
    <rPh sb="13" eb="15">
      <t>ショククミ</t>
    </rPh>
    <phoneticPr fontId="5"/>
  </si>
  <si>
    <t>5/19～</t>
    <phoneticPr fontId="5"/>
  </si>
  <si>
    <t>JOD52</t>
    <phoneticPr fontId="1"/>
  </si>
  <si>
    <t>JOD53</t>
  </si>
  <si>
    <t>JOD54</t>
    <phoneticPr fontId="5"/>
  </si>
  <si>
    <t>ベルーナ3　22年春（同色2P）⑮</t>
    <rPh sb="8" eb="9">
      <t>ネン</t>
    </rPh>
    <rPh sb="9" eb="10">
      <t>ハル</t>
    </rPh>
    <rPh sb="11" eb="13">
      <t>ドウショク</t>
    </rPh>
    <phoneticPr fontId="1"/>
  </si>
  <si>
    <t>JOD55</t>
    <phoneticPr fontId="5"/>
  </si>
  <si>
    <t>大阪いずみ生協6-4ｗ</t>
    <rPh sb="0" eb="2">
      <t>オオサカ</t>
    </rPh>
    <rPh sb="5" eb="7">
      <t>セイキョウ</t>
    </rPh>
    <phoneticPr fontId="5"/>
  </si>
  <si>
    <t>6/15～7/7（1～5回）</t>
    <rPh sb="12" eb="13">
      <t>カイ</t>
    </rPh>
    <phoneticPr fontId="5"/>
  </si>
  <si>
    <t>JOD56</t>
    <phoneticPr fontId="5"/>
  </si>
  <si>
    <t>JOD57</t>
    <phoneticPr fontId="5"/>
  </si>
  <si>
    <t>JOD58</t>
    <phoneticPr fontId="5"/>
  </si>
  <si>
    <t>ベルーナ3　22年春（同色2P）⑯</t>
    <rPh sb="8" eb="9">
      <t>ネン</t>
    </rPh>
    <rPh sb="9" eb="10">
      <t>ハル</t>
    </rPh>
    <rPh sb="11" eb="13">
      <t>ドウショク</t>
    </rPh>
    <phoneticPr fontId="1"/>
  </si>
  <si>
    <t>JOD59</t>
    <phoneticPr fontId="5"/>
  </si>
  <si>
    <t>千趣会</t>
    <rPh sb="0" eb="3">
      <t>センシュカイ</t>
    </rPh>
    <phoneticPr fontId="5"/>
  </si>
  <si>
    <t>ベルーナ3sample返却</t>
    <rPh sb="11" eb="13">
      <t>ヘンキャク</t>
    </rPh>
    <phoneticPr fontId="1"/>
  </si>
  <si>
    <t>ネット返品</t>
    <rPh sb="3" eb="5">
      <t>ヘンピン</t>
    </rPh>
    <phoneticPr fontId="1"/>
  </si>
  <si>
    <t>ネット不良品</t>
    <rPh sb="3" eb="6">
      <t>フリョウヒン</t>
    </rPh>
    <phoneticPr fontId="5"/>
  </si>
  <si>
    <t>ニッセン⑭</t>
    <phoneticPr fontId="1"/>
  </si>
  <si>
    <t>JODメルシー0606/2色組</t>
    <rPh sb="13" eb="15">
      <t>ショククミ</t>
    </rPh>
    <phoneticPr fontId="5"/>
  </si>
  <si>
    <t>6/6～</t>
    <phoneticPr fontId="5"/>
  </si>
  <si>
    <t>JOD60</t>
    <phoneticPr fontId="5"/>
  </si>
  <si>
    <t>サクラマチ（長縄さん）sample</t>
    <rPh sb="6" eb="8">
      <t>ナガナワ</t>
    </rPh>
    <phoneticPr fontId="5"/>
  </si>
  <si>
    <t>JOD61</t>
    <phoneticPr fontId="5"/>
  </si>
  <si>
    <t>JOD62</t>
    <phoneticPr fontId="5"/>
  </si>
  <si>
    <t>JOD63</t>
    <phoneticPr fontId="5"/>
  </si>
  <si>
    <t>JOD64</t>
    <phoneticPr fontId="5"/>
  </si>
  <si>
    <t>ベルーナ3　22年春（同色2P）⑰</t>
    <rPh sb="8" eb="9">
      <t>ネン</t>
    </rPh>
    <rPh sb="9" eb="10">
      <t>ハル</t>
    </rPh>
    <rPh sb="11" eb="13">
      <t>ドウショク</t>
    </rPh>
    <phoneticPr fontId="1"/>
  </si>
  <si>
    <t>JOD65</t>
  </si>
  <si>
    <t>JOD66</t>
    <phoneticPr fontId="5"/>
  </si>
  <si>
    <t>JOD67</t>
    <phoneticPr fontId="5"/>
  </si>
  <si>
    <t>夢販</t>
    <rPh sb="0" eb="2">
      <t>ユメハン</t>
    </rPh>
    <phoneticPr fontId="5"/>
  </si>
  <si>
    <t>JOD68</t>
    <phoneticPr fontId="5"/>
  </si>
  <si>
    <t>JOD69</t>
    <phoneticPr fontId="5"/>
  </si>
  <si>
    <t>JOD69（西濃）</t>
    <rPh sb="6" eb="8">
      <t>セイノウ</t>
    </rPh>
    <phoneticPr fontId="5"/>
  </si>
  <si>
    <t>くらし企画返品</t>
    <rPh sb="3" eb="7">
      <t>キカクヘンピン</t>
    </rPh>
    <phoneticPr fontId="5"/>
  </si>
  <si>
    <t>JOD70</t>
    <phoneticPr fontId="5"/>
  </si>
  <si>
    <t>夢販</t>
    <rPh sb="0" eb="2">
      <t>ユメハン</t>
    </rPh>
    <phoneticPr fontId="5"/>
  </si>
  <si>
    <t>JODメルシー0625/2色組</t>
    <rPh sb="13" eb="15">
      <t>ショククミ</t>
    </rPh>
    <phoneticPr fontId="5"/>
  </si>
  <si>
    <t>6/25～</t>
    <phoneticPr fontId="5"/>
  </si>
  <si>
    <t>JOD71</t>
    <phoneticPr fontId="5"/>
  </si>
  <si>
    <t>ベルーナ3　22年春（同色2P）⑱</t>
    <rPh sb="8" eb="9">
      <t>ネン</t>
    </rPh>
    <rPh sb="9" eb="10">
      <t>ハル</t>
    </rPh>
    <rPh sb="11" eb="13">
      <t>ドウショク</t>
    </rPh>
    <phoneticPr fontId="1"/>
  </si>
  <si>
    <t>JOD72</t>
    <phoneticPr fontId="5"/>
  </si>
  <si>
    <t>JOD73</t>
    <phoneticPr fontId="5"/>
  </si>
  <si>
    <t>ベルーナ3　22年春（同色2P）⑲</t>
    <rPh sb="8" eb="9">
      <t>ネン</t>
    </rPh>
    <rPh sb="9" eb="10">
      <t>ハル</t>
    </rPh>
    <rPh sb="11" eb="13">
      <t>ドウショク</t>
    </rPh>
    <phoneticPr fontId="1"/>
  </si>
  <si>
    <t>JOD74</t>
  </si>
  <si>
    <t>JOD75</t>
    <phoneticPr fontId="5"/>
  </si>
  <si>
    <t>JOD76</t>
    <phoneticPr fontId="5"/>
  </si>
  <si>
    <t>ニッセン⑮</t>
    <phoneticPr fontId="1"/>
  </si>
  <si>
    <t>JOD77</t>
    <phoneticPr fontId="5"/>
  </si>
  <si>
    <t>JOD78</t>
    <phoneticPr fontId="5"/>
  </si>
  <si>
    <t>西夢</t>
    <rPh sb="0" eb="2">
      <t>ニシユメ</t>
    </rPh>
    <phoneticPr fontId="5"/>
  </si>
  <si>
    <t>ベルーナ3　22年春（同色2P）⑳</t>
    <rPh sb="8" eb="9">
      <t>ネン</t>
    </rPh>
    <rPh sb="9" eb="10">
      <t>ハル</t>
    </rPh>
    <rPh sb="11" eb="13">
      <t>ドウショク</t>
    </rPh>
    <phoneticPr fontId="1"/>
  </si>
  <si>
    <t>JOD79</t>
    <phoneticPr fontId="5"/>
  </si>
  <si>
    <t>大阪いずみ生協6-4ｗ①</t>
    <rPh sb="0" eb="2">
      <t>オオサカ</t>
    </rPh>
    <rPh sb="5" eb="7">
      <t>セイキョウ</t>
    </rPh>
    <phoneticPr fontId="5"/>
  </si>
  <si>
    <t>夢販</t>
    <rPh sb="0" eb="2">
      <t>ユメハン</t>
    </rPh>
    <phoneticPr fontId="5"/>
  </si>
  <si>
    <t>ベルーナ3　22年春（同色2P）㉑</t>
    <rPh sb="8" eb="9">
      <t>ネン</t>
    </rPh>
    <rPh sb="9" eb="10">
      <t>ハル</t>
    </rPh>
    <rPh sb="11" eb="13">
      <t>ドウショク</t>
    </rPh>
    <phoneticPr fontId="1"/>
  </si>
  <si>
    <t>JOD80</t>
    <phoneticPr fontId="5"/>
  </si>
  <si>
    <t>大阪いずみ生協6-4ｗ②</t>
    <rPh sb="0" eb="2">
      <t>オオサカ</t>
    </rPh>
    <rPh sb="5" eb="7">
      <t>セイキョウ</t>
    </rPh>
    <phoneticPr fontId="5"/>
  </si>
  <si>
    <t>JOD特別号/2色組</t>
    <rPh sb="3" eb="6">
      <t>トクベツゴウ</t>
    </rPh>
    <rPh sb="8" eb="10">
      <t>ショククミ</t>
    </rPh>
    <phoneticPr fontId="5"/>
  </si>
  <si>
    <t>7/22～</t>
    <phoneticPr fontId="5"/>
  </si>
  <si>
    <t>JOD81</t>
    <phoneticPr fontId="5"/>
  </si>
  <si>
    <t>西夢</t>
    <rPh sb="0" eb="2">
      <t>ニシユメ</t>
    </rPh>
    <phoneticPr fontId="5"/>
  </si>
  <si>
    <t>JOD82</t>
    <phoneticPr fontId="5"/>
  </si>
  <si>
    <t>大阪いずみ生協6-4ｗ③</t>
    <rPh sb="0" eb="2">
      <t>オオサカ</t>
    </rPh>
    <rPh sb="5" eb="7">
      <t>セイキョウ</t>
    </rPh>
    <phoneticPr fontId="5"/>
  </si>
  <si>
    <t>ニッセン⑯</t>
    <phoneticPr fontId="1"/>
  </si>
  <si>
    <t>JOD83</t>
    <phoneticPr fontId="5"/>
  </si>
  <si>
    <t>JOD84</t>
    <phoneticPr fontId="5"/>
  </si>
  <si>
    <t>大阪いずみ生協6-4ｗ④</t>
    <rPh sb="0" eb="2">
      <t>オオサカ</t>
    </rPh>
    <rPh sb="5" eb="7">
      <t>セイキョウ</t>
    </rPh>
    <phoneticPr fontId="5"/>
  </si>
  <si>
    <t>JOD85</t>
    <phoneticPr fontId="5"/>
  </si>
  <si>
    <t>JOD86</t>
    <phoneticPr fontId="5"/>
  </si>
  <si>
    <t>西夢</t>
    <rPh sb="0" eb="2">
      <t>ニシユメ</t>
    </rPh>
    <phoneticPr fontId="5"/>
  </si>
  <si>
    <t>JOD87</t>
    <phoneticPr fontId="5"/>
  </si>
  <si>
    <t>JOD88</t>
  </si>
  <si>
    <t>JOD89</t>
    <phoneticPr fontId="5"/>
  </si>
  <si>
    <t>ベルーナ3　22年春（同色2P）㉒</t>
    <rPh sb="8" eb="9">
      <t>ネン</t>
    </rPh>
    <rPh sb="9" eb="10">
      <t>ハル</t>
    </rPh>
    <rPh sb="11" eb="13">
      <t>ドウショク</t>
    </rPh>
    <phoneticPr fontId="1"/>
  </si>
  <si>
    <t>JOD90</t>
    <phoneticPr fontId="5"/>
  </si>
  <si>
    <t>JOD91</t>
    <phoneticPr fontId="5"/>
  </si>
  <si>
    <t>JOD92</t>
    <phoneticPr fontId="5"/>
  </si>
  <si>
    <t>JOD93</t>
    <phoneticPr fontId="5"/>
  </si>
  <si>
    <t>JOD94</t>
    <phoneticPr fontId="5"/>
  </si>
  <si>
    <t>ベルーナ3　22年春（同色2P）㉓</t>
    <rPh sb="8" eb="9">
      <t>ネン</t>
    </rPh>
    <rPh sb="9" eb="10">
      <t>ハル</t>
    </rPh>
    <rPh sb="11" eb="13">
      <t>ドウショク</t>
    </rPh>
    <phoneticPr fontId="1"/>
  </si>
  <si>
    <t>JOD95</t>
  </si>
  <si>
    <t>JOD96</t>
    <phoneticPr fontId="5"/>
  </si>
  <si>
    <t>ベルーナ3　22年春（同色2P）㉔</t>
    <rPh sb="8" eb="9">
      <t>ネン</t>
    </rPh>
    <rPh sb="9" eb="10">
      <t>ハル</t>
    </rPh>
    <rPh sb="11" eb="13">
      <t>ドウショク</t>
    </rPh>
    <phoneticPr fontId="1"/>
  </si>
  <si>
    <t>夢販</t>
    <rPh sb="0" eb="2">
      <t>ユメハン</t>
    </rPh>
    <phoneticPr fontId="5"/>
  </si>
  <si>
    <t>JOD97</t>
    <phoneticPr fontId="5"/>
  </si>
  <si>
    <t>9/2～</t>
    <phoneticPr fontId="5"/>
  </si>
  <si>
    <t>JOD98</t>
    <phoneticPr fontId="5"/>
  </si>
  <si>
    <t>JOD99</t>
    <phoneticPr fontId="5"/>
  </si>
  <si>
    <t>JOD100</t>
    <phoneticPr fontId="5"/>
  </si>
  <si>
    <t>JOD101</t>
  </si>
  <si>
    <t>JOD102</t>
  </si>
  <si>
    <t>JOD103</t>
    <phoneticPr fontId="5"/>
  </si>
  <si>
    <t>JOD104</t>
  </si>
  <si>
    <t>JOD105</t>
  </si>
  <si>
    <t>JOD106</t>
    <phoneticPr fontId="5"/>
  </si>
  <si>
    <t>西夢</t>
    <rPh sb="0" eb="2">
      <t>ニシユメ</t>
    </rPh>
    <phoneticPr fontId="5"/>
  </si>
  <si>
    <t>ニッセン⑰</t>
    <phoneticPr fontId="1"/>
  </si>
  <si>
    <t>JODアクセス7088/2色組</t>
    <rPh sb="13" eb="15">
      <t>ショククミ</t>
    </rPh>
    <phoneticPr fontId="5"/>
  </si>
  <si>
    <t>10/1～</t>
    <phoneticPr fontId="5"/>
  </si>
  <si>
    <t>JODメルシー0902/2色組</t>
    <rPh sb="13" eb="15">
      <t>ショククミ</t>
    </rPh>
    <phoneticPr fontId="5"/>
  </si>
  <si>
    <t>JOD107</t>
    <phoneticPr fontId="5"/>
  </si>
  <si>
    <t>ベルーナ返品</t>
    <rPh sb="4" eb="6">
      <t>ヘンピン</t>
    </rPh>
    <phoneticPr fontId="5"/>
  </si>
  <si>
    <t>棚卸</t>
    <rPh sb="0" eb="2">
      <t>タナオロシ</t>
    </rPh>
    <phoneticPr fontId="5"/>
  </si>
  <si>
    <t>JOD108</t>
    <phoneticPr fontId="5"/>
  </si>
  <si>
    <t>JOD109</t>
    <phoneticPr fontId="5"/>
  </si>
  <si>
    <t>JOD110</t>
    <phoneticPr fontId="5"/>
  </si>
  <si>
    <t>西夢</t>
    <rPh sb="0" eb="2">
      <t>ニシユメ</t>
    </rPh>
    <phoneticPr fontId="5"/>
  </si>
  <si>
    <t>夢販</t>
    <rPh sb="0" eb="2">
      <t>ユメハン</t>
    </rPh>
    <phoneticPr fontId="5"/>
  </si>
  <si>
    <t>JOD111</t>
    <phoneticPr fontId="5"/>
  </si>
  <si>
    <t>JOD112</t>
    <phoneticPr fontId="5"/>
  </si>
  <si>
    <t>JOD113</t>
  </si>
  <si>
    <t>JOD114</t>
    <phoneticPr fontId="5"/>
  </si>
  <si>
    <t>JOD115</t>
    <phoneticPr fontId="5"/>
  </si>
  <si>
    <t>JODメルシー1027/2色組</t>
    <rPh sb="13" eb="15">
      <t>ショククミ</t>
    </rPh>
    <phoneticPr fontId="5"/>
  </si>
  <si>
    <t>10/27～</t>
    <phoneticPr fontId="5"/>
  </si>
  <si>
    <t>JOD116</t>
    <phoneticPr fontId="5"/>
  </si>
  <si>
    <t>JOD117</t>
    <phoneticPr fontId="5"/>
  </si>
  <si>
    <t>JOD118</t>
    <phoneticPr fontId="5"/>
  </si>
  <si>
    <t>JOD119</t>
    <phoneticPr fontId="5"/>
  </si>
  <si>
    <t>JOD120</t>
    <phoneticPr fontId="5"/>
  </si>
  <si>
    <t>日生協46号</t>
    <rPh sb="0" eb="3">
      <t>ニッセイキョウ</t>
    </rPh>
    <rPh sb="5" eb="6">
      <t>ゴウ</t>
    </rPh>
    <phoneticPr fontId="5"/>
  </si>
  <si>
    <t>点1/6、前取り1/13、アバウト1/19・24、最終2/1</t>
    <rPh sb="0" eb="1">
      <t>テン</t>
    </rPh>
    <rPh sb="5" eb="7">
      <t>マエト</t>
    </rPh>
    <rPh sb="25" eb="27">
      <t>サイシュウ</t>
    </rPh>
    <phoneticPr fontId="5"/>
  </si>
  <si>
    <t>JOD122</t>
    <phoneticPr fontId="5"/>
  </si>
  <si>
    <t>JOD123</t>
    <phoneticPr fontId="5"/>
  </si>
  <si>
    <t>ニッセン⑱</t>
    <phoneticPr fontId="1"/>
  </si>
  <si>
    <t>夢販</t>
    <rPh sb="0" eb="2">
      <t>ユメハン</t>
    </rPh>
    <phoneticPr fontId="5"/>
  </si>
  <si>
    <t>JOD特別号9655/2色組</t>
    <rPh sb="3" eb="6">
      <t>トクベツゴウ</t>
    </rPh>
    <rPh sb="12" eb="14">
      <t>ショククミ</t>
    </rPh>
    <phoneticPr fontId="5"/>
  </si>
  <si>
    <t>11/14～</t>
    <phoneticPr fontId="5"/>
  </si>
  <si>
    <t>JOD124</t>
    <phoneticPr fontId="5"/>
  </si>
  <si>
    <t>JOD125</t>
    <phoneticPr fontId="5"/>
  </si>
  <si>
    <t>JOD126（西濃）</t>
    <rPh sb="7" eb="9">
      <t>セイノウ</t>
    </rPh>
    <phoneticPr fontId="5"/>
  </si>
  <si>
    <t>JOD126</t>
  </si>
  <si>
    <t>JOD127</t>
    <phoneticPr fontId="5"/>
  </si>
  <si>
    <t>JOD128</t>
    <phoneticPr fontId="5"/>
  </si>
  <si>
    <t>JOD129</t>
    <phoneticPr fontId="5"/>
  </si>
  <si>
    <t>JOD130</t>
  </si>
  <si>
    <t>JODメルシー1125/2色組</t>
    <rPh sb="13" eb="15">
      <t>ショククミ</t>
    </rPh>
    <phoneticPr fontId="5"/>
  </si>
  <si>
    <t>11/25～</t>
    <phoneticPr fontId="5"/>
  </si>
  <si>
    <t>JOD131</t>
    <phoneticPr fontId="5"/>
  </si>
  <si>
    <t>JOD132</t>
    <phoneticPr fontId="5"/>
  </si>
  <si>
    <t>JOD133</t>
    <phoneticPr fontId="5"/>
  </si>
  <si>
    <t>JOD134</t>
    <phoneticPr fontId="5"/>
  </si>
  <si>
    <t>JOD135</t>
    <phoneticPr fontId="5"/>
  </si>
  <si>
    <t>JOD136</t>
  </si>
  <si>
    <t>JOD137</t>
  </si>
  <si>
    <t>ニッセン⑲</t>
    <phoneticPr fontId="1"/>
  </si>
  <si>
    <t>JOD138</t>
  </si>
  <si>
    <t>JOD139</t>
    <phoneticPr fontId="5"/>
  </si>
  <si>
    <t>JOD140</t>
    <phoneticPr fontId="5"/>
  </si>
  <si>
    <t>JOD特別号9551/2色組</t>
    <rPh sb="3" eb="6">
      <t>トクベツゴウ</t>
    </rPh>
    <rPh sb="12" eb="14">
      <t>ショククミ</t>
    </rPh>
    <phoneticPr fontId="5"/>
  </si>
  <si>
    <t>12/14～</t>
    <phoneticPr fontId="5"/>
  </si>
  <si>
    <t>JOD141</t>
    <phoneticPr fontId="5"/>
  </si>
  <si>
    <t>ニッセン⑳</t>
    <phoneticPr fontId="1"/>
  </si>
  <si>
    <t>JOD142</t>
    <phoneticPr fontId="5"/>
  </si>
  <si>
    <t>JOD143</t>
    <phoneticPr fontId="5"/>
  </si>
  <si>
    <t>オバタsample</t>
    <phoneticPr fontId="5"/>
  </si>
  <si>
    <t>JOD144</t>
    <phoneticPr fontId="5"/>
  </si>
  <si>
    <t>JOD145</t>
    <phoneticPr fontId="5"/>
  </si>
  <si>
    <t>JOD146</t>
    <phoneticPr fontId="5"/>
  </si>
  <si>
    <t>JOD147</t>
    <phoneticPr fontId="5"/>
  </si>
  <si>
    <t>JOD148</t>
    <phoneticPr fontId="5"/>
  </si>
  <si>
    <t>JOD149</t>
    <phoneticPr fontId="5"/>
  </si>
  <si>
    <t>JOD BEAUTY通信1228/2色組</t>
    <rPh sb="10" eb="12">
      <t>ツウシン</t>
    </rPh>
    <rPh sb="18" eb="20">
      <t>ショククミ</t>
    </rPh>
    <phoneticPr fontId="5"/>
  </si>
  <si>
    <t>12/28～</t>
    <phoneticPr fontId="5"/>
  </si>
  <si>
    <t>JOD150</t>
    <phoneticPr fontId="5"/>
  </si>
  <si>
    <t>JOD151</t>
  </si>
  <si>
    <t>JOD152</t>
    <phoneticPr fontId="5"/>
  </si>
  <si>
    <t>JOD153</t>
  </si>
  <si>
    <t>JOD154</t>
    <phoneticPr fontId="5"/>
  </si>
  <si>
    <t>JOD155</t>
    <phoneticPr fontId="5"/>
  </si>
  <si>
    <t>JOD156</t>
    <phoneticPr fontId="5"/>
  </si>
  <si>
    <t>西夢</t>
    <rPh sb="0" eb="2">
      <t>ニシユメ</t>
    </rPh>
    <phoneticPr fontId="5"/>
  </si>
  <si>
    <t>JOD157</t>
    <phoneticPr fontId="5"/>
  </si>
  <si>
    <t>JOD158</t>
    <phoneticPr fontId="5"/>
  </si>
  <si>
    <t>JOD159</t>
    <phoneticPr fontId="5"/>
  </si>
  <si>
    <t>日生協46号（東日本）①</t>
    <rPh sb="0" eb="3">
      <t>ニッセイキョウ</t>
    </rPh>
    <rPh sb="5" eb="6">
      <t>ゴウ</t>
    </rPh>
    <rPh sb="7" eb="10">
      <t>ヒガシニホン</t>
    </rPh>
    <phoneticPr fontId="5"/>
  </si>
  <si>
    <t>JOD160</t>
  </si>
  <si>
    <t>JOD161</t>
  </si>
  <si>
    <t>JOD162</t>
    <phoneticPr fontId="5"/>
  </si>
  <si>
    <t>JOD163</t>
    <phoneticPr fontId="5"/>
  </si>
  <si>
    <t>JOD164</t>
    <phoneticPr fontId="5"/>
  </si>
  <si>
    <t>日生協46号（東日本）②</t>
    <rPh sb="0" eb="3">
      <t>ニッセイキョウ</t>
    </rPh>
    <rPh sb="5" eb="6">
      <t>ゴウ</t>
    </rPh>
    <rPh sb="7" eb="10">
      <t>ヒガシニホン</t>
    </rPh>
    <phoneticPr fontId="5"/>
  </si>
  <si>
    <t>日生協46号（西日本）①</t>
    <rPh sb="0" eb="3">
      <t>ニッセイキョウ</t>
    </rPh>
    <rPh sb="5" eb="6">
      <t>ゴウ</t>
    </rPh>
    <rPh sb="7" eb="8">
      <t>ニシ</t>
    </rPh>
    <rPh sb="8" eb="10">
      <t>ニホン</t>
    </rPh>
    <phoneticPr fontId="5"/>
  </si>
  <si>
    <t>JOD165</t>
  </si>
  <si>
    <t>JOD166</t>
    <phoneticPr fontId="5"/>
  </si>
  <si>
    <t>JOD167</t>
  </si>
  <si>
    <t>JOD168</t>
    <phoneticPr fontId="5"/>
  </si>
  <si>
    <t>JOD169</t>
    <phoneticPr fontId="5"/>
  </si>
  <si>
    <t>KPORT</t>
    <phoneticPr fontId="5"/>
  </si>
  <si>
    <t>2022/1/5数伝</t>
    <rPh sb="8" eb="9">
      <t>スウ</t>
    </rPh>
    <rPh sb="9" eb="10">
      <t>デン</t>
    </rPh>
    <phoneticPr fontId="5"/>
  </si>
  <si>
    <t>KPORT</t>
    <phoneticPr fontId="5"/>
  </si>
  <si>
    <t>JOD170</t>
  </si>
  <si>
    <t>JODアクセス7091/2色組</t>
    <rPh sb="13" eb="15">
      <t>ショククミ</t>
    </rPh>
    <phoneticPr fontId="5"/>
  </si>
  <si>
    <t>2/18～</t>
    <phoneticPr fontId="5"/>
  </si>
  <si>
    <t>JOD171</t>
  </si>
  <si>
    <t>JOD172</t>
  </si>
  <si>
    <t>JOD173</t>
  </si>
  <si>
    <t>JOD174(西濃)</t>
    <rPh sb="7" eb="9">
      <t>セイノウ</t>
    </rPh>
    <phoneticPr fontId="5"/>
  </si>
  <si>
    <t>JOD174</t>
    <phoneticPr fontId="5"/>
  </si>
  <si>
    <t>JOD175</t>
    <phoneticPr fontId="5"/>
  </si>
  <si>
    <t>日生協46号（西日本）②</t>
    <rPh sb="0" eb="3">
      <t>ニッセイキョウ</t>
    </rPh>
    <rPh sb="5" eb="6">
      <t>ゴウ</t>
    </rPh>
    <rPh sb="7" eb="8">
      <t>ニシ</t>
    </rPh>
    <rPh sb="8" eb="10">
      <t>ニホン</t>
    </rPh>
    <phoneticPr fontId="5"/>
  </si>
  <si>
    <t>日生協46号（東日本）③</t>
    <rPh sb="0" eb="3">
      <t>ニッセイキョウ</t>
    </rPh>
    <rPh sb="5" eb="6">
      <t>ゴウ</t>
    </rPh>
    <rPh sb="7" eb="10">
      <t>ヒガシニホン</t>
    </rPh>
    <phoneticPr fontId="5"/>
  </si>
  <si>
    <t>オバタサンプル返却</t>
    <rPh sb="7" eb="9">
      <t>ヘンキャク</t>
    </rPh>
    <phoneticPr fontId="5"/>
  </si>
  <si>
    <t>日生協46号（西日本）③</t>
    <rPh sb="0" eb="3">
      <t>ニッセイキョウ</t>
    </rPh>
    <rPh sb="5" eb="6">
      <t>ゴウ</t>
    </rPh>
    <rPh sb="7" eb="8">
      <t>ニシ</t>
    </rPh>
    <rPh sb="8" eb="10">
      <t>ニホン</t>
    </rPh>
    <phoneticPr fontId="5"/>
  </si>
  <si>
    <t>日生協46号（西日本）④</t>
    <rPh sb="0" eb="3">
      <t>ニッセイキョウ</t>
    </rPh>
    <rPh sb="5" eb="6">
      <t>ゴウ</t>
    </rPh>
    <rPh sb="7" eb="8">
      <t>ニシ</t>
    </rPh>
    <rPh sb="8" eb="10">
      <t>ニホン</t>
    </rPh>
    <phoneticPr fontId="5"/>
  </si>
  <si>
    <t>JOD176</t>
    <phoneticPr fontId="5"/>
  </si>
  <si>
    <t>日生協46号（東日本）④</t>
    <rPh sb="0" eb="3">
      <t>ニッセイキョウ</t>
    </rPh>
    <rPh sb="5" eb="6">
      <t>ゴウ</t>
    </rPh>
    <rPh sb="7" eb="10">
      <t>ヒガシニホン</t>
    </rPh>
    <phoneticPr fontId="5"/>
  </si>
  <si>
    <t>ニッセン㉑</t>
    <phoneticPr fontId="1"/>
  </si>
  <si>
    <t>JOD177</t>
    <phoneticPr fontId="5"/>
  </si>
  <si>
    <t>日生協46号（東日本）⑤</t>
    <rPh sb="0" eb="3">
      <t>ニッセイキョウ</t>
    </rPh>
    <rPh sb="5" eb="6">
      <t>ゴウ</t>
    </rPh>
    <rPh sb="7" eb="10">
      <t>ヒガシニホン</t>
    </rPh>
    <phoneticPr fontId="5"/>
  </si>
  <si>
    <t>JOD178</t>
    <phoneticPr fontId="5"/>
  </si>
  <si>
    <t>日生協46号（東日本）⑥</t>
    <rPh sb="0" eb="3">
      <t>ニッセイキョウ</t>
    </rPh>
    <rPh sb="5" eb="6">
      <t>ゴウ</t>
    </rPh>
    <rPh sb="7" eb="10">
      <t>ヒガシニホン</t>
    </rPh>
    <phoneticPr fontId="5"/>
  </si>
  <si>
    <t>JOD179</t>
    <phoneticPr fontId="5"/>
  </si>
  <si>
    <t>日生協46号（東日本）⑦</t>
    <rPh sb="0" eb="3">
      <t>ニッセイキョウ</t>
    </rPh>
    <rPh sb="5" eb="6">
      <t>ゴウ</t>
    </rPh>
    <rPh sb="7" eb="10">
      <t>ヒガシニホン</t>
    </rPh>
    <phoneticPr fontId="5"/>
  </si>
  <si>
    <t>JOD180</t>
    <phoneticPr fontId="5"/>
  </si>
  <si>
    <t>JOD181(西濃）</t>
    <rPh sb="7" eb="9">
      <t>セイノウ</t>
    </rPh>
    <phoneticPr fontId="5"/>
  </si>
  <si>
    <t>西夢</t>
    <rPh sb="0" eb="2">
      <t>ニシユメ</t>
    </rPh>
    <phoneticPr fontId="5"/>
  </si>
  <si>
    <t>ニッセン㉒</t>
    <phoneticPr fontId="1"/>
  </si>
  <si>
    <t>JOD182</t>
    <phoneticPr fontId="5"/>
  </si>
  <si>
    <t>JOD183</t>
  </si>
  <si>
    <t>JOD184</t>
  </si>
  <si>
    <t>JOD185</t>
    <phoneticPr fontId="5"/>
  </si>
  <si>
    <t>JOD186</t>
    <phoneticPr fontId="5"/>
  </si>
  <si>
    <t>JOD187</t>
    <phoneticPr fontId="5"/>
  </si>
  <si>
    <t>JOD188</t>
    <phoneticPr fontId="5"/>
  </si>
  <si>
    <t>JOD189</t>
    <phoneticPr fontId="5"/>
  </si>
  <si>
    <t>JODメルシー0406/2色組</t>
    <rPh sb="13" eb="15">
      <t>ショククミ</t>
    </rPh>
    <phoneticPr fontId="5"/>
  </si>
  <si>
    <t>4/6～</t>
    <phoneticPr fontId="5"/>
  </si>
  <si>
    <t>JOD190</t>
    <phoneticPr fontId="5"/>
  </si>
  <si>
    <t>JOD191</t>
  </si>
  <si>
    <t>JOD192</t>
    <phoneticPr fontId="5"/>
  </si>
  <si>
    <t>JOD193</t>
  </si>
  <si>
    <t>JOD194</t>
  </si>
  <si>
    <t>JOD195</t>
    <phoneticPr fontId="5"/>
  </si>
  <si>
    <t>JOD196</t>
    <phoneticPr fontId="5"/>
  </si>
  <si>
    <t>JOD197</t>
    <phoneticPr fontId="5"/>
  </si>
  <si>
    <t>JOD特別版0416/2色組</t>
    <rPh sb="3" eb="6">
      <t>トクベツバン</t>
    </rPh>
    <rPh sb="12" eb="14">
      <t>ショククミ</t>
    </rPh>
    <phoneticPr fontId="5"/>
  </si>
  <si>
    <t>4/15～</t>
    <phoneticPr fontId="5"/>
  </si>
  <si>
    <t>JOD198</t>
    <phoneticPr fontId="5"/>
  </si>
  <si>
    <t>JOD199</t>
    <phoneticPr fontId="5"/>
  </si>
  <si>
    <t>JOD200</t>
    <phoneticPr fontId="5"/>
  </si>
  <si>
    <t>JOD201</t>
  </si>
  <si>
    <t>JOD202</t>
    <phoneticPr fontId="5"/>
  </si>
  <si>
    <t>JODメルシー0518/2色組</t>
    <rPh sb="13" eb="15">
      <t>ショククミ</t>
    </rPh>
    <phoneticPr fontId="5"/>
  </si>
  <si>
    <t>5/18～</t>
    <phoneticPr fontId="5"/>
  </si>
  <si>
    <t>JOD203</t>
    <phoneticPr fontId="5"/>
  </si>
  <si>
    <t>JOD204</t>
    <phoneticPr fontId="5"/>
  </si>
  <si>
    <t>JODメルシースポーツ0509/2色組</t>
    <rPh sb="17" eb="19">
      <t>ショククミ</t>
    </rPh>
    <phoneticPr fontId="5"/>
  </si>
  <si>
    <t>5/6～</t>
    <phoneticPr fontId="5"/>
  </si>
  <si>
    <t>JODアクセス7093/2色組</t>
    <rPh sb="13" eb="15">
      <t>ショククミ</t>
    </rPh>
    <phoneticPr fontId="5"/>
  </si>
  <si>
    <t>6/15～</t>
    <phoneticPr fontId="5"/>
  </si>
  <si>
    <t>JOD205</t>
    <phoneticPr fontId="5"/>
  </si>
  <si>
    <t>JOD206</t>
    <phoneticPr fontId="5"/>
  </si>
  <si>
    <t>JOD207</t>
    <phoneticPr fontId="5"/>
  </si>
  <si>
    <t>JOD208</t>
    <phoneticPr fontId="5"/>
  </si>
  <si>
    <t>JOD209</t>
  </si>
  <si>
    <t>JOD210</t>
    <phoneticPr fontId="5"/>
  </si>
  <si>
    <t>JOD211</t>
  </si>
  <si>
    <t>JOD212</t>
  </si>
  <si>
    <t>JOD213</t>
  </si>
  <si>
    <t>在庫調整</t>
    <rPh sb="0" eb="4">
      <t>ザイコチョウセイ</t>
    </rPh>
    <phoneticPr fontId="5"/>
  </si>
  <si>
    <t>JOD214</t>
  </si>
  <si>
    <t>JOD215</t>
  </si>
  <si>
    <t>JOD216</t>
  </si>
  <si>
    <t>JOD217</t>
  </si>
  <si>
    <t>夢販</t>
    <rPh sb="0" eb="2">
      <t>ユメハン</t>
    </rPh>
    <phoneticPr fontId="5"/>
  </si>
  <si>
    <t>JOD218</t>
    <phoneticPr fontId="5"/>
  </si>
  <si>
    <t>JOD219</t>
  </si>
  <si>
    <t>JOD220</t>
  </si>
  <si>
    <t>JOD221</t>
  </si>
  <si>
    <t>JOD222</t>
    <phoneticPr fontId="5"/>
  </si>
  <si>
    <t>JOD223</t>
  </si>
  <si>
    <t>JOD224</t>
  </si>
  <si>
    <t>JOD特別号9572/2色組</t>
    <rPh sb="3" eb="6">
      <t>トクベツゴウ</t>
    </rPh>
    <rPh sb="12" eb="14">
      <t>ショククミ</t>
    </rPh>
    <phoneticPr fontId="5"/>
  </si>
  <si>
    <t>6/21～</t>
    <phoneticPr fontId="5"/>
  </si>
  <si>
    <t>JOD225</t>
  </si>
  <si>
    <t>JOD226</t>
    <phoneticPr fontId="5"/>
  </si>
  <si>
    <t>JOD227</t>
    <phoneticPr fontId="5"/>
  </si>
  <si>
    <t>JOD228</t>
  </si>
  <si>
    <t>JOD229</t>
    <phoneticPr fontId="5"/>
  </si>
  <si>
    <t>JOD230</t>
    <phoneticPr fontId="5"/>
  </si>
  <si>
    <t>JOD/BEAUTY通信06263/2色組</t>
    <rPh sb="10" eb="12">
      <t>ツウシン</t>
    </rPh>
    <rPh sb="19" eb="21">
      <t>ショククミ</t>
    </rPh>
    <phoneticPr fontId="5"/>
  </si>
  <si>
    <t>6/24～</t>
    <phoneticPr fontId="5"/>
  </si>
  <si>
    <t>JOD231</t>
    <phoneticPr fontId="5"/>
  </si>
  <si>
    <t>JOD232</t>
    <phoneticPr fontId="5"/>
  </si>
  <si>
    <t>JOD233</t>
    <phoneticPr fontId="5"/>
  </si>
  <si>
    <t>JOD234</t>
  </si>
  <si>
    <t>JOD特別版0719/2色組</t>
    <rPh sb="3" eb="6">
      <t>トクベツバン</t>
    </rPh>
    <rPh sb="12" eb="14">
      <t>ショククミ</t>
    </rPh>
    <phoneticPr fontId="5"/>
  </si>
  <si>
    <t>7/18～</t>
    <phoneticPr fontId="5"/>
  </si>
  <si>
    <t>在庫確認</t>
    <rPh sb="0" eb="4">
      <t>ザイコカクニン</t>
    </rPh>
    <phoneticPr fontId="5"/>
  </si>
  <si>
    <t>JOD235</t>
    <phoneticPr fontId="5"/>
  </si>
  <si>
    <t>JOD236</t>
    <phoneticPr fontId="5"/>
  </si>
  <si>
    <t>JOD235</t>
    <phoneticPr fontId="5"/>
  </si>
  <si>
    <t>JODアクセス7095/2色組</t>
    <rPh sb="13" eb="15">
      <t>ショククミ</t>
    </rPh>
    <phoneticPr fontId="5"/>
  </si>
  <si>
    <t>8/16～</t>
    <phoneticPr fontId="5"/>
  </si>
  <si>
    <t>JOD236</t>
    <phoneticPr fontId="5"/>
  </si>
  <si>
    <t>JOD237</t>
    <phoneticPr fontId="5"/>
  </si>
  <si>
    <t>JOD238</t>
    <phoneticPr fontId="5"/>
  </si>
  <si>
    <t>JOD239</t>
    <phoneticPr fontId="5"/>
  </si>
  <si>
    <t>JOD240</t>
    <phoneticPr fontId="5"/>
  </si>
  <si>
    <t>JOD241</t>
    <phoneticPr fontId="5"/>
  </si>
  <si>
    <t>JOD242</t>
    <phoneticPr fontId="5"/>
  </si>
  <si>
    <t>JOD243</t>
  </si>
  <si>
    <t>JODメルシー0824/2色組</t>
    <rPh sb="13" eb="15">
      <t>ショククミ</t>
    </rPh>
    <phoneticPr fontId="5"/>
  </si>
  <si>
    <t>8/24～</t>
    <phoneticPr fontId="5"/>
  </si>
  <si>
    <t>JOD244</t>
    <phoneticPr fontId="5"/>
  </si>
  <si>
    <t>JOD245</t>
  </si>
  <si>
    <t>JOD246</t>
    <phoneticPr fontId="5"/>
  </si>
  <si>
    <t>JOD247</t>
    <phoneticPr fontId="5"/>
  </si>
  <si>
    <t>JOD248</t>
    <phoneticPr fontId="5"/>
  </si>
  <si>
    <t>JOD249</t>
    <phoneticPr fontId="5"/>
  </si>
  <si>
    <t>JOD250</t>
    <phoneticPr fontId="5"/>
  </si>
  <si>
    <t>西夢</t>
    <rPh sb="0" eb="2">
      <t>ニシユメ</t>
    </rPh>
    <phoneticPr fontId="5"/>
  </si>
  <si>
    <t>JOD251</t>
    <phoneticPr fontId="5"/>
  </si>
  <si>
    <t>JOD252</t>
    <phoneticPr fontId="5"/>
  </si>
  <si>
    <t>JOD253</t>
    <phoneticPr fontId="5"/>
  </si>
  <si>
    <t>JOD254</t>
    <phoneticPr fontId="5"/>
  </si>
  <si>
    <t>JOD255</t>
  </si>
  <si>
    <t>JOD256</t>
    <phoneticPr fontId="5"/>
  </si>
  <si>
    <t>JOD256西濃</t>
    <rPh sb="6" eb="8">
      <t>セイノウ</t>
    </rPh>
    <phoneticPr fontId="5"/>
  </si>
  <si>
    <t>JOD257</t>
    <phoneticPr fontId="5"/>
  </si>
  <si>
    <t>JOD258</t>
    <phoneticPr fontId="5"/>
  </si>
  <si>
    <t>JOD259</t>
    <phoneticPr fontId="5"/>
  </si>
  <si>
    <t>JOD260</t>
    <phoneticPr fontId="5"/>
  </si>
  <si>
    <t>JOD260</t>
    <phoneticPr fontId="5"/>
  </si>
  <si>
    <t>JOD261</t>
    <phoneticPr fontId="5"/>
  </si>
  <si>
    <t>JOD262</t>
    <phoneticPr fontId="5"/>
  </si>
  <si>
    <t>JOD263</t>
    <phoneticPr fontId="5"/>
  </si>
  <si>
    <t>JOD264</t>
  </si>
  <si>
    <t>JOD265</t>
    <phoneticPr fontId="5"/>
  </si>
  <si>
    <t>JOD266</t>
    <phoneticPr fontId="5"/>
  </si>
  <si>
    <t>JOD267</t>
  </si>
  <si>
    <t>JOD268</t>
  </si>
  <si>
    <t>JOD269</t>
  </si>
  <si>
    <t>JOD270</t>
    <phoneticPr fontId="5"/>
  </si>
  <si>
    <t>JOD271</t>
    <phoneticPr fontId="5"/>
  </si>
  <si>
    <t>JOD272</t>
  </si>
  <si>
    <t>JOD273</t>
    <phoneticPr fontId="5"/>
  </si>
  <si>
    <t>JOD274</t>
    <phoneticPr fontId="5"/>
  </si>
  <si>
    <t>JOD275</t>
    <phoneticPr fontId="5"/>
  </si>
  <si>
    <t>西夢</t>
    <rPh sb="0" eb="1">
      <t>ニシ</t>
    </rPh>
    <rPh sb="1" eb="2">
      <t>ユメ</t>
    </rPh>
    <phoneticPr fontId="5"/>
  </si>
  <si>
    <t>JOD276</t>
    <phoneticPr fontId="5"/>
  </si>
  <si>
    <t>JOD277</t>
  </si>
  <si>
    <t>JOD278</t>
    <phoneticPr fontId="5"/>
  </si>
  <si>
    <t>JOD279</t>
    <phoneticPr fontId="5"/>
  </si>
  <si>
    <t>JOD280</t>
    <phoneticPr fontId="5"/>
  </si>
  <si>
    <t>JOD281</t>
    <phoneticPr fontId="5"/>
  </si>
  <si>
    <t>JOD282</t>
    <phoneticPr fontId="5"/>
  </si>
  <si>
    <t>JOD283</t>
    <phoneticPr fontId="5"/>
  </si>
  <si>
    <t>JOD284</t>
    <phoneticPr fontId="5"/>
  </si>
  <si>
    <t>JOD285</t>
  </si>
  <si>
    <t>JOD286</t>
    <phoneticPr fontId="5"/>
  </si>
  <si>
    <t>JOD特別版1126/2色組</t>
    <rPh sb="3" eb="6">
      <t>トクベツバン</t>
    </rPh>
    <rPh sb="12" eb="14">
      <t>ショククミ</t>
    </rPh>
    <phoneticPr fontId="5"/>
  </si>
  <si>
    <t>JOD287</t>
    <phoneticPr fontId="5"/>
  </si>
  <si>
    <t>JOD288</t>
    <phoneticPr fontId="5"/>
  </si>
  <si>
    <t>JOD289</t>
    <phoneticPr fontId="5"/>
  </si>
  <si>
    <t>JOD290</t>
    <phoneticPr fontId="5"/>
  </si>
  <si>
    <t>JOD292</t>
    <phoneticPr fontId="5"/>
  </si>
  <si>
    <t>JOD293</t>
    <phoneticPr fontId="5"/>
  </si>
  <si>
    <t>JOD294</t>
    <phoneticPr fontId="5"/>
  </si>
  <si>
    <t>JOD295</t>
    <phoneticPr fontId="5"/>
  </si>
  <si>
    <t>JOD296</t>
    <phoneticPr fontId="5"/>
  </si>
  <si>
    <t>JOD297</t>
    <phoneticPr fontId="5"/>
  </si>
  <si>
    <t>JOD298</t>
    <phoneticPr fontId="5"/>
  </si>
  <si>
    <t>JOD299</t>
    <phoneticPr fontId="5"/>
  </si>
  <si>
    <t>JOD300</t>
    <phoneticPr fontId="5"/>
  </si>
  <si>
    <t>JOD301</t>
    <phoneticPr fontId="5"/>
  </si>
  <si>
    <t>JOD302</t>
    <phoneticPr fontId="5"/>
  </si>
  <si>
    <t>JOD303</t>
    <phoneticPr fontId="5"/>
  </si>
  <si>
    <t>JOD304</t>
    <phoneticPr fontId="5"/>
  </si>
  <si>
    <t>JOD305</t>
    <phoneticPr fontId="5"/>
  </si>
  <si>
    <t>JOD306</t>
    <phoneticPr fontId="5"/>
  </si>
  <si>
    <t>JOD307</t>
    <phoneticPr fontId="5"/>
  </si>
  <si>
    <t>JOD308</t>
    <phoneticPr fontId="5"/>
  </si>
  <si>
    <t>電話注文</t>
    <rPh sb="0" eb="4">
      <t>デンワチュウモン</t>
    </rPh>
    <phoneticPr fontId="5"/>
  </si>
  <si>
    <t>JOD309</t>
    <phoneticPr fontId="5"/>
  </si>
  <si>
    <t>JOD310</t>
    <phoneticPr fontId="5"/>
  </si>
  <si>
    <t>JOD311</t>
  </si>
  <si>
    <t>JOD312</t>
    <phoneticPr fontId="5"/>
  </si>
  <si>
    <t>西夢</t>
    <rPh sb="0" eb="2">
      <t>ニシユメ</t>
    </rPh>
    <phoneticPr fontId="5"/>
  </si>
  <si>
    <t>JOD313</t>
    <phoneticPr fontId="5"/>
  </si>
  <si>
    <t>JOD314</t>
    <phoneticPr fontId="5"/>
  </si>
  <si>
    <t>JOD315</t>
  </si>
  <si>
    <t>JOD316</t>
    <phoneticPr fontId="5"/>
  </si>
  <si>
    <t>JOD317</t>
  </si>
  <si>
    <t>JOD318</t>
    <phoneticPr fontId="5"/>
  </si>
  <si>
    <t>JOD319</t>
    <phoneticPr fontId="5"/>
  </si>
  <si>
    <t>JOD320</t>
    <phoneticPr fontId="5"/>
  </si>
  <si>
    <t>JOD特別版0210/2色組</t>
    <rPh sb="3" eb="6">
      <t>トクベツバン</t>
    </rPh>
    <rPh sb="12" eb="14">
      <t>ショククミ</t>
    </rPh>
    <phoneticPr fontId="5"/>
  </si>
  <si>
    <t>2/9～</t>
    <phoneticPr fontId="5"/>
  </si>
  <si>
    <t>JOD321</t>
  </si>
  <si>
    <t>JOD322</t>
    <phoneticPr fontId="5"/>
  </si>
  <si>
    <t>西夢</t>
    <rPh sb="0" eb="2">
      <t>ニシユメ</t>
    </rPh>
    <phoneticPr fontId="5"/>
  </si>
  <si>
    <t>ネット不良</t>
    <rPh sb="3" eb="5">
      <t>フリョウ</t>
    </rPh>
    <phoneticPr fontId="5"/>
  </si>
  <si>
    <t>JOD323</t>
    <phoneticPr fontId="5"/>
  </si>
  <si>
    <t>JOD324</t>
    <phoneticPr fontId="5"/>
  </si>
  <si>
    <t>JOD325</t>
    <phoneticPr fontId="5"/>
  </si>
  <si>
    <t>JOD特別版0326/2色組</t>
    <rPh sb="3" eb="6">
      <t>トクベツバン</t>
    </rPh>
    <rPh sb="12" eb="14">
      <t>ショククミ</t>
    </rPh>
    <phoneticPr fontId="5"/>
  </si>
  <si>
    <t>3/25～</t>
    <phoneticPr fontId="5"/>
  </si>
  <si>
    <t>JOD326</t>
    <phoneticPr fontId="5"/>
  </si>
  <si>
    <t>JOD327</t>
  </si>
  <si>
    <t>夢販</t>
    <rPh sb="0" eb="2">
      <t>ユメハン</t>
    </rPh>
    <phoneticPr fontId="5"/>
  </si>
  <si>
    <t>JOD328</t>
  </si>
  <si>
    <t>JOD329</t>
  </si>
  <si>
    <t>JOD330</t>
    <phoneticPr fontId="5"/>
  </si>
  <si>
    <t>JOD331</t>
    <phoneticPr fontId="5"/>
  </si>
  <si>
    <t>夢販</t>
    <rPh sb="0" eb="2">
      <t>ユメハン</t>
    </rPh>
    <phoneticPr fontId="5"/>
  </si>
  <si>
    <t>JOD332</t>
    <phoneticPr fontId="5"/>
  </si>
  <si>
    <t>JOD333</t>
    <phoneticPr fontId="5"/>
  </si>
  <si>
    <t>JOD334</t>
  </si>
  <si>
    <t>JOD335</t>
    <phoneticPr fontId="5"/>
  </si>
  <si>
    <t>染めサンプル</t>
    <rPh sb="0" eb="1">
      <t>ソ</t>
    </rPh>
    <phoneticPr fontId="5"/>
  </si>
  <si>
    <t>JOD336</t>
    <phoneticPr fontId="5"/>
  </si>
  <si>
    <t>JOD337</t>
    <phoneticPr fontId="5"/>
  </si>
  <si>
    <t>JOD338</t>
    <phoneticPr fontId="5"/>
  </si>
  <si>
    <t>太陽戻り</t>
    <rPh sb="0" eb="2">
      <t>タイヨウ</t>
    </rPh>
    <rPh sb="2" eb="3">
      <t>モド</t>
    </rPh>
    <phoneticPr fontId="5"/>
  </si>
  <si>
    <t>JOD339</t>
    <phoneticPr fontId="5"/>
  </si>
  <si>
    <t>ネット</t>
    <phoneticPr fontId="5"/>
  </si>
  <si>
    <t>JOD340</t>
    <phoneticPr fontId="5"/>
  </si>
  <si>
    <t>JOD341</t>
    <phoneticPr fontId="5"/>
  </si>
  <si>
    <t>JOD342</t>
    <phoneticPr fontId="5"/>
  </si>
  <si>
    <t>JOD343</t>
    <phoneticPr fontId="5"/>
  </si>
  <si>
    <t>JOD344</t>
    <phoneticPr fontId="5"/>
  </si>
  <si>
    <t>JOD345</t>
    <phoneticPr fontId="5"/>
  </si>
  <si>
    <t>2024/6末まで</t>
    <rPh sb="6" eb="7">
      <t>マツ</t>
    </rPh>
    <phoneticPr fontId="5"/>
  </si>
  <si>
    <t>JOD346</t>
    <phoneticPr fontId="5"/>
  </si>
  <si>
    <t>在庫確認</t>
    <rPh sb="0" eb="4">
      <t>ザイコカクニン</t>
    </rPh>
    <phoneticPr fontId="5"/>
  </si>
  <si>
    <t>JOD347</t>
  </si>
  <si>
    <t>JOD348</t>
    <phoneticPr fontId="5"/>
  </si>
  <si>
    <t>JOD349</t>
    <phoneticPr fontId="5"/>
  </si>
  <si>
    <t>JOD350</t>
    <phoneticPr fontId="5"/>
  </si>
  <si>
    <t>JOD351</t>
    <phoneticPr fontId="5"/>
  </si>
  <si>
    <t>ネット</t>
    <phoneticPr fontId="5"/>
  </si>
  <si>
    <t>JOD352</t>
    <phoneticPr fontId="5"/>
  </si>
  <si>
    <t>JOD353</t>
    <phoneticPr fontId="5"/>
  </si>
  <si>
    <t>JOD354</t>
    <phoneticPr fontId="5"/>
  </si>
  <si>
    <t>2024/6末までJOD</t>
    <phoneticPr fontId="5"/>
  </si>
  <si>
    <t>JOD355</t>
    <phoneticPr fontId="5"/>
  </si>
  <si>
    <t>JOD356</t>
    <phoneticPr fontId="5"/>
  </si>
  <si>
    <t>JOD特別版0625/2枚組</t>
    <rPh sb="3" eb="6">
      <t>トクベツバン</t>
    </rPh>
    <rPh sb="12" eb="14">
      <t>マイクミ</t>
    </rPh>
    <phoneticPr fontId="5"/>
  </si>
  <si>
    <t>JOD357</t>
    <phoneticPr fontId="5"/>
  </si>
  <si>
    <t>JOD358</t>
    <phoneticPr fontId="5"/>
  </si>
  <si>
    <t>JOD359</t>
    <phoneticPr fontId="5"/>
  </si>
  <si>
    <t>JOD360</t>
    <phoneticPr fontId="5"/>
  </si>
  <si>
    <t>JOD361</t>
    <phoneticPr fontId="5"/>
  </si>
  <si>
    <t>JOD362</t>
    <phoneticPr fontId="5"/>
  </si>
  <si>
    <t>JOD363</t>
    <phoneticPr fontId="5"/>
  </si>
  <si>
    <t>JOD363西濃</t>
    <rPh sb="6" eb="8">
      <t>セイノウ</t>
    </rPh>
    <phoneticPr fontId="5"/>
  </si>
  <si>
    <t>JOD364</t>
    <phoneticPr fontId="5"/>
  </si>
  <si>
    <t>JOD365</t>
    <phoneticPr fontId="5"/>
  </si>
  <si>
    <t>JOD366</t>
    <phoneticPr fontId="5"/>
  </si>
  <si>
    <t>サクラマチsample福岡さん</t>
    <rPh sb="11" eb="13">
      <t>フクオカ</t>
    </rPh>
    <phoneticPr fontId="5"/>
  </si>
  <si>
    <t>JOD367</t>
    <phoneticPr fontId="5"/>
  </si>
  <si>
    <t>コープおきなわ9月3週</t>
    <rPh sb="8" eb="9">
      <t>ガツ</t>
    </rPh>
    <rPh sb="10" eb="11">
      <t>シュウ</t>
    </rPh>
    <phoneticPr fontId="5"/>
  </si>
  <si>
    <t>9/11～20（1～2回）</t>
    <rPh sb="11" eb="12">
      <t>カイ</t>
    </rPh>
    <phoneticPr fontId="5"/>
  </si>
  <si>
    <t>JOD368</t>
    <phoneticPr fontId="5"/>
  </si>
  <si>
    <t>JOD369</t>
    <phoneticPr fontId="5"/>
  </si>
  <si>
    <t>コープおきなわ9月3週①</t>
    <rPh sb="8" eb="9">
      <t>ガツ</t>
    </rPh>
    <rPh sb="10" eb="11">
      <t>シュウ</t>
    </rPh>
    <phoneticPr fontId="5"/>
  </si>
  <si>
    <t>JOD370</t>
    <phoneticPr fontId="5"/>
  </si>
  <si>
    <t>JOD371</t>
    <phoneticPr fontId="5"/>
  </si>
  <si>
    <t>2/19、24</t>
    <phoneticPr fontId="5"/>
  </si>
  <si>
    <t>コープさっぽろ2月4回2枚組【限定】￥1480</t>
    <rPh sb="8" eb="9">
      <t>ガツ</t>
    </rPh>
    <rPh sb="10" eb="11">
      <t>カイ</t>
    </rPh>
    <rPh sb="12" eb="14">
      <t>マイクミ</t>
    </rPh>
    <rPh sb="15" eb="17">
      <t>ゲンテイ</t>
    </rPh>
    <phoneticPr fontId="5"/>
  </si>
  <si>
    <t>コープさっぽろ2月4回2枚組【限定】￥1480①</t>
    <rPh sb="8" eb="9">
      <t>ガツ</t>
    </rPh>
    <rPh sb="10" eb="11">
      <t>カイ</t>
    </rPh>
    <rPh sb="12" eb="14">
      <t>マイクミ</t>
    </rPh>
    <rPh sb="15" eb="17">
      <t>ゲンテイ</t>
    </rPh>
    <phoneticPr fontId="5"/>
  </si>
  <si>
    <t>コープさっぽろ2月4回2枚組差分予測</t>
    <rPh sb="8" eb="9">
      <t>ガツ</t>
    </rPh>
    <rPh sb="10" eb="11">
      <t>カイ</t>
    </rPh>
    <rPh sb="12" eb="14">
      <t>マイクミ</t>
    </rPh>
    <rPh sb="14" eb="18">
      <t>サブンヨソク</t>
    </rPh>
    <phoneticPr fontId="5"/>
  </si>
  <si>
    <t>コープさっぽろ2月4回2枚組【限定】￥1480②</t>
    <rPh sb="8" eb="9">
      <t>ガツ</t>
    </rPh>
    <rPh sb="10" eb="11">
      <t>カイ</t>
    </rPh>
    <rPh sb="12" eb="14">
      <t>マイクミ</t>
    </rPh>
    <rPh sb="15" eb="17">
      <t>ゲンテイ</t>
    </rPh>
    <phoneticPr fontId="5"/>
  </si>
  <si>
    <t>×</t>
    <phoneticPr fontId="5"/>
  </si>
  <si>
    <t>オバタ返品</t>
    <rPh sb="3" eb="5">
      <t>ヘンピン</t>
    </rPh>
    <phoneticPr fontId="5"/>
  </si>
  <si>
    <t>8/27、9/1</t>
    <phoneticPr fontId="5"/>
  </si>
  <si>
    <t>コープさっぽろ9月1回￥1000/同色2枚組</t>
    <rPh sb="8" eb="9">
      <t>ガツ</t>
    </rPh>
    <rPh sb="10" eb="11">
      <t>カイ</t>
    </rPh>
    <rPh sb="17" eb="19">
      <t>ドウショク</t>
    </rPh>
    <rPh sb="20" eb="22">
      <t>マイクミ</t>
    </rPh>
    <phoneticPr fontId="5"/>
  </si>
  <si>
    <t>コープさっぽろ9月1回￥1000/同色2枚組①</t>
    <rPh sb="8" eb="9">
      <t>ガツ</t>
    </rPh>
    <rPh sb="10" eb="11">
      <t>カイ</t>
    </rPh>
    <rPh sb="17" eb="19">
      <t>ドウショク</t>
    </rPh>
    <rPh sb="20" eb="22">
      <t>マイクミ</t>
    </rPh>
    <phoneticPr fontId="5"/>
  </si>
  <si>
    <t>電話注文</t>
    <rPh sb="0" eb="4">
      <t>デンワチュウモン</t>
    </rPh>
    <phoneticPr fontId="5"/>
  </si>
  <si>
    <t>×</t>
    <phoneticPr fontId="5"/>
  </si>
  <si>
    <t>夢販</t>
    <rPh sb="0" eb="2">
      <t>ユメハン</t>
    </rPh>
    <phoneticPr fontId="5"/>
  </si>
  <si>
    <t>ゆめはん</t>
    <phoneticPr fontId="5"/>
  </si>
  <si>
    <t>夢販</t>
    <rPh sb="0" eb="2">
      <t>y</t>
    </rPh>
    <phoneticPr fontId="5"/>
  </si>
  <si>
    <t>ゆめはん</t>
    <phoneticPr fontId="5"/>
  </si>
  <si>
    <t>ゆめはん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</si>
</sst>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38">
    <xf numFmtId="0" fontId="0" fillId="0" borderId="0" xfId="0">
      <alignment vertical="center"/>
    </xf>
    <xf numFmtId="0" fontId="4" fillId="0" borderId="0" xfId="1" applyFont="1"/>
    <xf numFmtId="0" fontId="3" fillId="0" borderId="0" xfId="1"/>
    <xf numFmtId="0" fontId="3" fillId="0" borderId="1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56" fontId="7" fillId="0" borderId="10" xfId="1" applyNumberFormat="1" applyFont="1" applyBorder="1" applyAlignment="1">
      <alignment horizontal="center" vertical="center"/>
    </xf>
    <xf numFmtId="0" fontId="7" fillId="0" borderId="2" xfId="1" applyFont="1" applyBorder="1"/>
    <xf numFmtId="0" fontId="7" fillId="0" borderId="3" xfId="1" applyFont="1" applyBorder="1"/>
    <xf numFmtId="0" fontId="7" fillId="0" borderId="11" xfId="1" applyFont="1" applyBorder="1"/>
    <xf numFmtId="56" fontId="3" fillId="0" borderId="12" xfId="1" applyNumberFormat="1" applyBorder="1" applyAlignment="1">
      <alignment horizontal="center" vertical="center"/>
    </xf>
    <xf numFmtId="0" fontId="3" fillId="0" borderId="2" xfId="1" applyBorder="1"/>
    <xf numFmtId="0" fontId="3" fillId="0" borderId="3" xfId="1" applyBorder="1"/>
    <xf numFmtId="0" fontId="3" fillId="0" borderId="11" xfId="1" applyBorder="1"/>
    <xf numFmtId="0" fontId="8" fillId="0" borderId="0" xfId="0" applyFont="1">
      <alignment vertical="center"/>
    </xf>
    <xf numFmtId="0" fontId="3" fillId="0" borderId="14" xfId="1" applyBorder="1"/>
    <xf numFmtId="0" fontId="3" fillId="0" borderId="15" xfId="1" applyBorder="1"/>
    <xf numFmtId="0" fontId="3" fillId="0" borderId="16" xfId="1" applyBorder="1"/>
    <xf numFmtId="0" fontId="3" fillId="0" borderId="17" xfId="1" applyBorder="1"/>
    <xf numFmtId="0" fontId="3" fillId="0" borderId="18" xfId="1" applyBorder="1"/>
    <xf numFmtId="0" fontId="3" fillId="0" borderId="19" xfId="1" applyBorder="1"/>
    <xf numFmtId="0" fontId="3" fillId="0" borderId="20" xfId="1" applyBorder="1"/>
    <xf numFmtId="0" fontId="9" fillId="0" borderId="0" xfId="0" applyFont="1">
      <alignment vertical="center"/>
    </xf>
    <xf numFmtId="0" fontId="3" fillId="0" borderId="21" xfId="1" applyBorder="1"/>
    <xf numFmtId="0" fontId="3" fillId="0" borderId="22" xfId="1" applyBorder="1"/>
    <xf numFmtId="0" fontId="3" fillId="0" borderId="23" xfId="1" applyBorder="1"/>
    <xf numFmtId="0" fontId="3" fillId="0" borderId="24" xfId="1" applyBorder="1"/>
    <xf numFmtId="0" fontId="3" fillId="0" borderId="25" xfId="1" applyBorder="1"/>
    <xf numFmtId="0" fontId="3" fillId="0" borderId="26" xfId="1" applyBorder="1"/>
    <xf numFmtId="0" fontId="3" fillId="0" borderId="27" xfId="1" applyBorder="1"/>
    <xf numFmtId="0" fontId="3" fillId="0" borderId="9" xfId="1" applyBorder="1"/>
    <xf numFmtId="0" fontId="7" fillId="0" borderId="10" xfId="1" applyFont="1" applyBorder="1" applyAlignment="1">
      <alignment horizontal="center" vertical="center"/>
    </xf>
    <xf numFmtId="0" fontId="7" fillId="0" borderId="7" xfId="1" applyFont="1" applyBorder="1"/>
    <xf numFmtId="0" fontId="7" fillId="0" borderId="8" xfId="1" applyFont="1" applyBorder="1"/>
    <xf numFmtId="0" fontId="7" fillId="0" borderId="1" xfId="1" applyFont="1" applyBorder="1"/>
    <xf numFmtId="0" fontId="3" fillId="0" borderId="16" xfId="1" applyBorder="1" applyAlignment="1">
      <alignment horizontal="center" vertical="center" shrinkToFit="1"/>
    </xf>
    <xf numFmtId="0" fontId="3" fillId="0" borderId="28" xfId="1" applyBorder="1"/>
    <xf numFmtId="0" fontId="3" fillId="0" borderId="16" xfId="1" applyBorder="1" applyAlignment="1">
      <alignment horizontal="center" vertical="center"/>
    </xf>
    <xf numFmtId="0" fontId="3" fillId="0" borderId="28" xfId="1" applyBorder="1" applyAlignment="1">
      <alignment horizontal="center" vertical="center"/>
    </xf>
    <xf numFmtId="0" fontId="3" fillId="0" borderId="32" xfId="1" applyBorder="1"/>
    <xf numFmtId="0" fontId="3" fillId="0" borderId="10" xfId="1" applyBorder="1" applyAlignment="1">
      <alignment horizontal="center" vertical="center"/>
    </xf>
    <xf numFmtId="0" fontId="3" fillId="0" borderId="7" xfId="1" applyBorder="1"/>
    <xf numFmtId="0" fontId="3" fillId="0" borderId="8" xfId="1" applyBorder="1"/>
    <xf numFmtId="0" fontId="3" fillId="0" borderId="1" xfId="1" applyBorder="1"/>
    <xf numFmtId="0" fontId="10" fillId="0" borderId="10" xfId="1" applyFont="1" applyBorder="1" applyAlignment="1">
      <alignment horizontal="center" vertical="center"/>
    </xf>
    <xf numFmtId="0" fontId="10" fillId="0" borderId="33" xfId="1" applyFont="1" applyBorder="1"/>
    <xf numFmtId="0" fontId="10" fillId="0" borderId="34" xfId="1" applyFont="1" applyBorder="1"/>
    <xf numFmtId="0" fontId="10" fillId="0" borderId="35" xfId="1" applyFont="1" applyBorder="1"/>
    <xf numFmtId="0" fontId="3" fillId="0" borderId="29" xfId="1" applyBorder="1"/>
    <xf numFmtId="0" fontId="3" fillId="0" borderId="30" xfId="1" applyBorder="1"/>
    <xf numFmtId="0" fontId="3" fillId="0" borderId="6" xfId="1" applyBorder="1"/>
    <xf numFmtId="0" fontId="3" fillId="0" borderId="31" xfId="1" applyBorder="1"/>
    <xf numFmtId="0" fontId="3" fillId="0" borderId="28" xfId="1" applyBorder="1" applyAlignment="1">
      <alignment horizontal="center" vertical="center" shrinkToFit="1"/>
    </xf>
    <xf numFmtId="56" fontId="3" fillId="0" borderId="10" xfId="1" applyNumberFormat="1" applyBorder="1" applyAlignment="1">
      <alignment horizontal="center" vertical="center"/>
    </xf>
    <xf numFmtId="56" fontId="7" fillId="0" borderId="12" xfId="1" applyNumberFormat="1" applyFont="1" applyBorder="1" applyAlignment="1">
      <alignment horizontal="center" vertical="center"/>
    </xf>
    <xf numFmtId="0" fontId="7" fillId="0" borderId="13" xfId="1" applyFont="1" applyBorder="1"/>
    <xf numFmtId="56" fontId="11" fillId="0" borderId="12" xfId="1" applyNumberFormat="1" applyFont="1" applyBorder="1" applyAlignment="1">
      <alignment horizontal="center" vertical="center"/>
    </xf>
    <xf numFmtId="0" fontId="11" fillId="0" borderId="18" xfId="1" applyFont="1" applyBorder="1"/>
    <xf numFmtId="0" fontId="11" fillId="0" borderId="19" xfId="1" applyFont="1" applyBorder="1"/>
    <xf numFmtId="0" fontId="11" fillId="0" borderId="16" xfId="1" applyFont="1" applyBorder="1"/>
    <xf numFmtId="0" fontId="11" fillId="0" borderId="20" xfId="1" applyFont="1" applyBorder="1"/>
    <xf numFmtId="0" fontId="2" fillId="0" borderId="0" xfId="0" applyFont="1">
      <alignment vertical="center"/>
    </xf>
    <xf numFmtId="0" fontId="3" fillId="0" borderId="13" xfId="1" applyBorder="1"/>
    <xf numFmtId="0" fontId="13" fillId="0" borderId="16" xfId="1" applyFont="1" applyBorder="1" applyAlignment="1">
      <alignment horizontal="center" vertical="center"/>
    </xf>
    <xf numFmtId="0" fontId="3" fillId="0" borderId="36" xfId="1" applyBorder="1"/>
    <xf numFmtId="0" fontId="3" fillId="0" borderId="37" xfId="1" applyBorder="1"/>
    <xf numFmtId="0" fontId="3" fillId="0" borderId="38" xfId="1" applyBorder="1"/>
    <xf numFmtId="0" fontId="7" fillId="0" borderId="28" xfId="1" applyFont="1" applyBorder="1"/>
    <xf numFmtId="176" fontId="14" fillId="0" borderId="0" xfId="0" applyNumberFormat="1" applyFont="1">
      <alignment vertical="center"/>
    </xf>
    <xf numFmtId="176" fontId="0" fillId="0" borderId="0" xfId="0" applyNumberFormat="1">
      <alignment vertical="center"/>
    </xf>
    <xf numFmtId="56" fontId="3" fillId="0" borderId="40" xfId="1" applyNumberFormat="1" applyBorder="1" applyAlignment="1">
      <alignment horizontal="center" vertical="center"/>
    </xf>
    <xf numFmtId="56" fontId="3" fillId="0" borderId="39" xfId="1" applyNumberFormat="1" applyBorder="1" applyAlignment="1">
      <alignment horizontal="center" vertical="center"/>
    </xf>
    <xf numFmtId="56" fontId="3" fillId="0" borderId="16" xfId="1" applyNumberFormat="1" applyBorder="1" applyAlignment="1">
      <alignment horizontal="center" vertical="center"/>
    </xf>
    <xf numFmtId="56" fontId="3" fillId="0" borderId="16" xfId="1" applyNumberFormat="1" applyBorder="1" applyAlignment="1">
      <alignment horizontal="center" vertical="center" shrinkToFit="1"/>
    </xf>
    <xf numFmtId="0" fontId="11" fillId="0" borderId="14" xfId="1" applyFont="1" applyBorder="1"/>
    <xf numFmtId="0" fontId="11" fillId="0" borderId="15" xfId="1" applyFont="1" applyBorder="1"/>
    <xf numFmtId="0" fontId="11" fillId="0" borderId="17" xfId="1" applyFont="1" applyBorder="1"/>
    <xf numFmtId="56" fontId="3" fillId="0" borderId="28" xfId="1" applyNumberFormat="1" applyBorder="1" applyAlignment="1">
      <alignment horizontal="center" vertical="center" shrinkToFit="1"/>
    </xf>
    <xf numFmtId="0" fontId="0" fillId="0" borderId="0" xfId="0" applyAlignment="1">
      <alignment horizontal="left" vertical="center"/>
    </xf>
    <xf numFmtId="56" fontId="2" fillId="0" borderId="0" xfId="0" applyNumberFormat="1" applyFont="1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28" xfId="1" applyFont="1" applyBorder="1" applyAlignment="1">
      <alignment horizontal="center" vertical="center" shrinkToFit="1"/>
    </xf>
    <xf numFmtId="0" fontId="7" fillId="0" borderId="36" xfId="1" applyFont="1" applyBorder="1"/>
    <xf numFmtId="0" fontId="7" fillId="0" borderId="37" xfId="1" applyFont="1" applyBorder="1"/>
    <xf numFmtId="0" fontId="7" fillId="0" borderId="38" xfId="1" applyFont="1" applyBorder="1"/>
    <xf numFmtId="56" fontId="8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56" fontId="12" fillId="0" borderId="0" xfId="0" applyNumberFormat="1" applyFont="1" applyAlignment="1">
      <alignment horizontal="left" vertical="center"/>
    </xf>
    <xf numFmtId="56" fontId="0" fillId="0" borderId="0" xfId="0" applyNumberFormat="1">
      <alignment vertical="center"/>
    </xf>
    <xf numFmtId="56" fontId="3" fillId="0" borderId="41" xfId="1" applyNumberFormat="1" applyBorder="1" applyAlignment="1">
      <alignment horizontal="center" vertical="center"/>
    </xf>
    <xf numFmtId="0" fontId="7" fillId="0" borderId="22" xfId="1" applyFont="1" applyBorder="1"/>
    <xf numFmtId="0" fontId="3" fillId="3" borderId="8" xfId="1" applyFill="1" applyBorder="1"/>
    <xf numFmtId="0" fontId="10" fillId="3" borderId="34" xfId="1" applyFont="1" applyFill="1" applyBorder="1"/>
    <xf numFmtId="0" fontId="3" fillId="2" borderId="17" xfId="1" applyFill="1" applyBorder="1"/>
    <xf numFmtId="0" fontId="3" fillId="2" borderId="15" xfId="1" applyFill="1" applyBorder="1"/>
    <xf numFmtId="0" fontId="3" fillId="3" borderId="17" xfId="1" applyFill="1" applyBorder="1"/>
    <xf numFmtId="0" fontId="3" fillId="3" borderId="15" xfId="1" applyFill="1" applyBorder="1"/>
    <xf numFmtId="0" fontId="6" fillId="0" borderId="28" xfId="1" applyFont="1" applyBorder="1" applyAlignment="1">
      <alignment horizontal="center" vertical="center" shrinkToFit="1"/>
    </xf>
    <xf numFmtId="0" fontId="6" fillId="0" borderId="14" xfId="1" applyFont="1" applyBorder="1"/>
    <xf numFmtId="0" fontId="6" fillId="0" borderId="15" xfId="1" applyFont="1" applyBorder="1"/>
    <xf numFmtId="0" fontId="6" fillId="0" borderId="28" xfId="1" applyFont="1" applyBorder="1"/>
    <xf numFmtId="0" fontId="6" fillId="0" borderId="17" xfId="1" applyFont="1" applyBorder="1"/>
    <xf numFmtId="0" fontId="6" fillId="0" borderId="16" xfId="1" applyFont="1" applyBorder="1"/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56" fontId="16" fillId="0" borderId="12" xfId="1" applyNumberFormat="1" applyFont="1" applyBorder="1" applyAlignment="1">
      <alignment horizontal="center" vertical="center"/>
    </xf>
    <xf numFmtId="0" fontId="16" fillId="0" borderId="14" xfId="1" applyFont="1" applyBorder="1"/>
    <xf numFmtId="0" fontId="16" fillId="0" borderId="15" xfId="1" applyFont="1" applyBorder="1"/>
    <xf numFmtId="0" fontId="16" fillId="0" borderId="16" xfId="1" applyFont="1" applyBorder="1"/>
    <xf numFmtId="0" fontId="16" fillId="0" borderId="17" xfId="1" applyFont="1" applyBorder="1"/>
    <xf numFmtId="56" fontId="17" fillId="0" borderId="0" xfId="0" applyNumberFormat="1" applyFont="1" applyAlignment="1">
      <alignment horizontal="left" vertical="center"/>
    </xf>
    <xf numFmtId="0" fontId="16" fillId="0" borderId="28" xfId="1" applyFont="1" applyBorder="1" applyAlignment="1">
      <alignment horizontal="center" vertical="center" shrinkToFit="1"/>
    </xf>
    <xf numFmtId="0" fontId="16" fillId="0" borderId="28" xfId="1" applyFont="1" applyBorder="1"/>
    <xf numFmtId="0" fontId="3" fillId="3" borderId="7" xfId="1" applyFill="1" applyBorder="1"/>
    <xf numFmtId="0" fontId="10" fillId="3" borderId="33" xfId="1" applyFont="1" applyFill="1" applyBorder="1"/>
    <xf numFmtId="0" fontId="6" fillId="0" borderId="10" xfId="1" applyFont="1" applyBorder="1" applyAlignment="1">
      <alignment horizontal="center" vertical="center"/>
    </xf>
    <xf numFmtId="0" fontId="6" fillId="0" borderId="42" xfId="1" applyFont="1" applyBorder="1" applyAlignment="1">
      <alignment horizontal="center" vertical="center"/>
    </xf>
    <xf numFmtId="0" fontId="6" fillId="0" borderId="43" xfId="1" applyFont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3" fillId="0" borderId="35" xfId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28" xfId="1" applyFont="1" applyBorder="1" applyAlignment="1">
      <alignment horizontal="center" vertical="center" shrinkToFit="1"/>
    </xf>
    <xf numFmtId="0" fontId="3" fillId="0" borderId="14" xfId="1" applyFont="1" applyBorder="1"/>
    <xf numFmtId="0" fontId="3" fillId="0" borderId="15" xfId="1" applyFont="1" applyBorder="1"/>
    <xf numFmtId="0" fontId="3" fillId="0" borderId="28" xfId="1" applyFont="1" applyBorder="1"/>
    <xf numFmtId="0" fontId="3" fillId="0" borderId="17" xfId="1" applyFont="1" applyBorder="1"/>
    <xf numFmtId="0" fontId="3" fillId="0" borderId="16" xfId="1" applyFont="1" applyBorder="1"/>
    <xf numFmtId="56" fontId="3" fillId="0" borderId="12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77"/>
  <sheetViews>
    <sheetView tabSelected="1" topLeftCell="A2244" zoomScaleNormal="100" workbookViewId="0">
      <selection activeCell="K2259" sqref="K2259"/>
    </sheetView>
  </sheetViews>
  <sheetFormatPr defaultRowHeight="13.5" x14ac:dyDescent="0.15"/>
  <cols>
    <col min="1" max="1" width="27" customWidth="1"/>
    <col min="9" max="9" width="9.25" style="78" bestFit="1" customWidth="1"/>
    <col min="10" max="10" width="33.5" customWidth="1"/>
    <col min="18" max="18" width="13.75" style="78" customWidth="1"/>
    <col min="19" max="19" width="23" customWidth="1"/>
  </cols>
  <sheetData>
    <row r="1" spans="1:19" ht="19.5" thickBot="1" x14ac:dyDescent="0.25">
      <c r="A1" s="1" t="s">
        <v>23</v>
      </c>
      <c r="B1" s="2"/>
      <c r="C1" s="2"/>
      <c r="D1" s="2"/>
      <c r="E1" s="2"/>
      <c r="F1" s="2"/>
      <c r="G1" s="1" t="s">
        <v>34</v>
      </c>
      <c r="H1" s="2"/>
      <c r="J1" s="1" t="s">
        <v>24</v>
      </c>
      <c r="K1" s="2"/>
      <c r="L1" s="2"/>
      <c r="M1" s="2"/>
      <c r="N1" s="2"/>
      <c r="O1" s="1" t="s">
        <v>34</v>
      </c>
      <c r="P1" s="2"/>
      <c r="Q1" s="2"/>
    </row>
    <row r="2" spans="1:19" ht="14.25" thickBot="1" x14ac:dyDescent="0.2">
      <c r="A2" s="3" t="s">
        <v>0</v>
      </c>
      <c r="B2" s="125" t="s">
        <v>18</v>
      </c>
      <c r="C2" s="126"/>
      <c r="D2" s="127"/>
      <c r="E2" s="125" t="s">
        <v>19</v>
      </c>
      <c r="F2" s="126"/>
      <c r="G2" s="128"/>
      <c r="H2" s="129" t="s">
        <v>1</v>
      </c>
      <c r="J2" s="3" t="s">
        <v>0</v>
      </c>
      <c r="K2" s="125" t="s">
        <v>18</v>
      </c>
      <c r="L2" s="126"/>
      <c r="M2" s="127"/>
      <c r="N2" s="125" t="s">
        <v>19</v>
      </c>
      <c r="O2" s="126"/>
      <c r="P2" s="128"/>
      <c r="Q2" s="129" t="s">
        <v>1</v>
      </c>
    </row>
    <row r="3" spans="1:19" ht="14.25" thickBot="1" x14ac:dyDescent="0.2">
      <c r="A3" s="3" t="s">
        <v>2</v>
      </c>
      <c r="B3" s="4" t="s">
        <v>16</v>
      </c>
      <c r="C3" s="5" t="s">
        <v>17</v>
      </c>
      <c r="D3" s="3" t="s">
        <v>3</v>
      </c>
      <c r="E3" s="4" t="s">
        <v>16</v>
      </c>
      <c r="F3" s="5" t="s">
        <v>17</v>
      </c>
      <c r="G3" s="3" t="s">
        <v>3</v>
      </c>
      <c r="H3" s="130"/>
      <c r="J3" s="3" t="s">
        <v>2</v>
      </c>
      <c r="K3" s="4" t="s">
        <v>16</v>
      </c>
      <c r="L3" s="5" t="s">
        <v>17</v>
      </c>
      <c r="M3" s="3" t="s">
        <v>3</v>
      </c>
      <c r="N3" s="4" t="s">
        <v>16</v>
      </c>
      <c r="O3" s="5" t="s">
        <v>17</v>
      </c>
      <c r="P3" s="3" t="s">
        <v>3</v>
      </c>
      <c r="Q3" s="130"/>
    </row>
    <row r="4" spans="1:19" ht="14.25" thickBot="1" x14ac:dyDescent="0.2">
      <c r="A4" s="53" t="s">
        <v>4</v>
      </c>
      <c r="B4" s="11">
        <v>5</v>
      </c>
      <c r="C4" s="12">
        <v>5</v>
      </c>
      <c r="D4" s="13">
        <f t="shared" ref="D4:D41" si="0">SUM(B4:C4)</f>
        <v>10</v>
      </c>
      <c r="E4" s="11">
        <v>5</v>
      </c>
      <c r="F4" s="12">
        <v>5</v>
      </c>
      <c r="G4" s="13">
        <f t="shared" ref="G4:G41" si="1">SUM(E4:F4)</f>
        <v>10</v>
      </c>
      <c r="H4" s="13">
        <f t="shared" ref="H4:H41" si="2">D4+G4</f>
        <v>20</v>
      </c>
      <c r="I4" s="81">
        <v>44049</v>
      </c>
      <c r="J4" s="6" t="s">
        <v>20</v>
      </c>
      <c r="K4" s="7">
        <v>395</v>
      </c>
      <c r="L4" s="8">
        <v>345</v>
      </c>
      <c r="M4" s="9">
        <f t="shared" ref="M4:M41" si="3">SUM(K4:L4)</f>
        <v>740</v>
      </c>
      <c r="N4" s="7">
        <v>395</v>
      </c>
      <c r="O4" s="8">
        <v>345</v>
      </c>
      <c r="P4" s="9">
        <f t="shared" ref="P4:P41" si="4">SUM(N4:O4)</f>
        <v>740</v>
      </c>
      <c r="Q4" s="9">
        <f t="shared" ref="Q4:Q41" si="5">M4+P4</f>
        <v>1480</v>
      </c>
      <c r="R4" s="79">
        <v>44065</v>
      </c>
      <c r="S4" s="61" t="s">
        <v>75</v>
      </c>
    </row>
    <row r="5" spans="1:19" x14ac:dyDescent="0.15">
      <c r="A5" s="10" t="s">
        <v>5</v>
      </c>
      <c r="B5" s="11"/>
      <c r="C5" s="12"/>
      <c r="D5" s="13">
        <f t="shared" si="0"/>
        <v>0</v>
      </c>
      <c r="E5" s="62">
        <v>3</v>
      </c>
      <c r="F5" s="12">
        <v>3</v>
      </c>
      <c r="G5" s="13">
        <f t="shared" si="1"/>
        <v>6</v>
      </c>
      <c r="H5" s="13">
        <f t="shared" si="2"/>
        <v>6</v>
      </c>
      <c r="I5" s="81">
        <v>44083</v>
      </c>
      <c r="J5" s="54" t="s">
        <v>21</v>
      </c>
      <c r="K5" s="7">
        <v>400</v>
      </c>
      <c r="L5" s="8">
        <v>350</v>
      </c>
      <c r="M5" s="9">
        <f t="shared" si="3"/>
        <v>750</v>
      </c>
      <c r="N5" s="55">
        <v>400</v>
      </c>
      <c r="O5" s="8">
        <v>350</v>
      </c>
      <c r="P5" s="9">
        <f t="shared" si="4"/>
        <v>750</v>
      </c>
      <c r="Q5" s="9">
        <f t="shared" si="5"/>
        <v>1500</v>
      </c>
      <c r="R5" s="80">
        <v>44065</v>
      </c>
      <c r="S5" s="14" t="s">
        <v>74</v>
      </c>
    </row>
    <row r="6" spans="1:19" x14ac:dyDescent="0.15">
      <c r="A6" s="10" t="s">
        <v>6</v>
      </c>
      <c r="B6" s="15">
        <v>3</v>
      </c>
      <c r="C6" s="16">
        <v>3</v>
      </c>
      <c r="D6" s="17">
        <f t="shared" si="0"/>
        <v>6</v>
      </c>
      <c r="E6" s="18">
        <v>10</v>
      </c>
      <c r="F6" s="16">
        <v>3</v>
      </c>
      <c r="G6" s="17">
        <f t="shared" si="1"/>
        <v>13</v>
      </c>
      <c r="H6" s="17">
        <f t="shared" si="2"/>
        <v>19</v>
      </c>
      <c r="I6" s="81">
        <v>44100</v>
      </c>
      <c r="J6" s="10" t="s">
        <v>6</v>
      </c>
      <c r="K6" s="15"/>
      <c r="L6" s="16"/>
      <c r="M6" s="17">
        <f t="shared" si="3"/>
        <v>0</v>
      </c>
      <c r="N6" s="18"/>
      <c r="O6" s="16"/>
      <c r="P6" s="17">
        <f t="shared" si="4"/>
        <v>0</v>
      </c>
      <c r="Q6" s="17">
        <f t="shared" si="5"/>
        <v>0</v>
      </c>
      <c r="R6" s="81"/>
    </row>
    <row r="7" spans="1:19" x14ac:dyDescent="0.15">
      <c r="A7" s="10" t="s">
        <v>7</v>
      </c>
      <c r="B7" s="19">
        <v>5</v>
      </c>
      <c r="C7" s="20">
        <v>5</v>
      </c>
      <c r="D7" s="17">
        <f t="shared" si="0"/>
        <v>10</v>
      </c>
      <c r="E7" s="21"/>
      <c r="F7" s="20">
        <v>5</v>
      </c>
      <c r="G7" s="17">
        <f t="shared" si="1"/>
        <v>5</v>
      </c>
      <c r="H7" s="17">
        <f t="shared" si="2"/>
        <v>15</v>
      </c>
      <c r="I7" s="81">
        <v>44105</v>
      </c>
      <c r="J7" s="56" t="s">
        <v>29</v>
      </c>
      <c r="K7" s="57">
        <v>180</v>
      </c>
      <c r="L7" s="58">
        <v>284</v>
      </c>
      <c r="M7" s="59">
        <f t="shared" si="3"/>
        <v>464</v>
      </c>
      <c r="N7" s="60">
        <v>180</v>
      </c>
      <c r="O7" s="58">
        <v>309</v>
      </c>
      <c r="P7" s="59">
        <f t="shared" si="4"/>
        <v>489</v>
      </c>
      <c r="Q7" s="59">
        <f t="shared" si="5"/>
        <v>953</v>
      </c>
      <c r="R7" s="82"/>
    </row>
    <row r="8" spans="1:19" x14ac:dyDescent="0.15">
      <c r="A8" s="10" t="s">
        <v>8</v>
      </c>
      <c r="B8" s="15">
        <v>10</v>
      </c>
      <c r="C8" s="16">
        <v>10</v>
      </c>
      <c r="D8" s="17">
        <f t="shared" si="0"/>
        <v>20</v>
      </c>
      <c r="E8" s="18">
        <v>10</v>
      </c>
      <c r="F8" s="16">
        <v>10</v>
      </c>
      <c r="G8" s="17">
        <f t="shared" si="1"/>
        <v>20</v>
      </c>
      <c r="H8" s="17">
        <f t="shared" si="2"/>
        <v>40</v>
      </c>
      <c r="I8" s="81">
        <v>44110</v>
      </c>
      <c r="J8" s="10" t="s">
        <v>8</v>
      </c>
      <c r="K8" s="15"/>
      <c r="L8" s="16"/>
      <c r="M8" s="17">
        <f t="shared" si="3"/>
        <v>0</v>
      </c>
      <c r="N8" s="18"/>
      <c r="O8" s="16"/>
      <c r="P8" s="17">
        <f t="shared" si="4"/>
        <v>0</v>
      </c>
      <c r="Q8" s="17">
        <f t="shared" si="5"/>
        <v>0</v>
      </c>
      <c r="R8" s="83"/>
    </row>
    <row r="9" spans="1:19" x14ac:dyDescent="0.15">
      <c r="A9" s="10" t="s">
        <v>61</v>
      </c>
      <c r="B9" s="15">
        <v>1</v>
      </c>
      <c r="C9" s="16"/>
      <c r="D9" s="17">
        <f t="shared" si="0"/>
        <v>1</v>
      </c>
      <c r="E9" s="18">
        <v>1</v>
      </c>
      <c r="F9" s="16"/>
      <c r="G9" s="17">
        <f t="shared" si="1"/>
        <v>1</v>
      </c>
      <c r="H9" s="17">
        <f t="shared" si="2"/>
        <v>2</v>
      </c>
      <c r="I9" s="84">
        <v>44118</v>
      </c>
      <c r="J9" s="10" t="s">
        <v>9</v>
      </c>
      <c r="K9" s="15"/>
      <c r="L9" s="16"/>
      <c r="M9" s="17">
        <f t="shared" si="3"/>
        <v>0</v>
      </c>
      <c r="N9" s="18"/>
      <c r="O9" s="16"/>
      <c r="P9" s="17">
        <f t="shared" si="4"/>
        <v>0</v>
      </c>
      <c r="Q9" s="17">
        <f t="shared" si="5"/>
        <v>0</v>
      </c>
    </row>
    <row r="10" spans="1:19" x14ac:dyDescent="0.15">
      <c r="A10" s="10" t="s">
        <v>10</v>
      </c>
      <c r="B10" s="15"/>
      <c r="C10" s="16"/>
      <c r="D10" s="17">
        <f t="shared" si="0"/>
        <v>0</v>
      </c>
      <c r="E10" s="18">
        <v>5</v>
      </c>
      <c r="F10" s="16"/>
      <c r="G10" s="17">
        <f t="shared" si="1"/>
        <v>5</v>
      </c>
      <c r="H10" s="17">
        <f t="shared" si="2"/>
        <v>5</v>
      </c>
      <c r="I10" s="81">
        <v>44127</v>
      </c>
      <c r="J10" s="10" t="s">
        <v>10</v>
      </c>
      <c r="K10" s="15"/>
      <c r="L10" s="16"/>
      <c r="M10" s="17">
        <f t="shared" si="3"/>
        <v>0</v>
      </c>
      <c r="N10" s="18"/>
      <c r="O10" s="16"/>
      <c r="P10" s="17">
        <f t="shared" si="4"/>
        <v>0</v>
      </c>
      <c r="Q10" s="17">
        <f t="shared" si="5"/>
        <v>0</v>
      </c>
    </row>
    <row r="11" spans="1:19" x14ac:dyDescent="0.15">
      <c r="A11" s="10" t="s">
        <v>11</v>
      </c>
      <c r="B11" s="23"/>
      <c r="C11" s="24"/>
      <c r="D11" s="17">
        <f t="shared" si="0"/>
        <v>0</v>
      </c>
      <c r="E11" s="25"/>
      <c r="F11" s="24"/>
      <c r="G11" s="17">
        <f t="shared" si="1"/>
        <v>0</v>
      </c>
      <c r="H11" s="17">
        <f t="shared" si="2"/>
        <v>0</v>
      </c>
      <c r="J11" s="10" t="s">
        <v>11</v>
      </c>
      <c r="K11" s="23"/>
      <c r="L11" s="24"/>
      <c r="M11" s="17">
        <f t="shared" si="3"/>
        <v>0</v>
      </c>
      <c r="N11" s="25"/>
      <c r="O11" s="24"/>
      <c r="P11" s="17">
        <f t="shared" si="4"/>
        <v>0</v>
      </c>
      <c r="Q11" s="17">
        <f t="shared" si="5"/>
        <v>0</v>
      </c>
    </row>
    <row r="12" spans="1:19" ht="14.25" thickBot="1" x14ac:dyDescent="0.2">
      <c r="A12" s="10" t="s">
        <v>12</v>
      </c>
      <c r="B12" s="26"/>
      <c r="C12" s="27"/>
      <c r="D12" s="28">
        <f t="shared" si="0"/>
        <v>0</v>
      </c>
      <c r="E12" s="29"/>
      <c r="F12" s="29"/>
      <c r="G12" s="28">
        <f t="shared" si="1"/>
        <v>0</v>
      </c>
      <c r="H12" s="30">
        <f t="shared" si="2"/>
        <v>0</v>
      </c>
      <c r="J12" s="10" t="s">
        <v>12</v>
      </c>
      <c r="K12" s="26"/>
      <c r="L12" s="27"/>
      <c r="M12" s="28">
        <f t="shared" si="3"/>
        <v>0</v>
      </c>
      <c r="N12" s="29"/>
      <c r="O12" s="29"/>
      <c r="P12" s="28">
        <f t="shared" si="4"/>
        <v>0</v>
      </c>
      <c r="Q12" s="30">
        <f t="shared" si="5"/>
        <v>0</v>
      </c>
    </row>
    <row r="13" spans="1:19" ht="14.25" thickBot="1" x14ac:dyDescent="0.2">
      <c r="A13" s="31" t="s">
        <v>13</v>
      </c>
      <c r="B13" s="32">
        <f>SUM(B4:B12)</f>
        <v>24</v>
      </c>
      <c r="C13" s="33">
        <f>SUM(C4:C12)</f>
        <v>23</v>
      </c>
      <c r="D13" s="34">
        <f t="shared" si="0"/>
        <v>47</v>
      </c>
      <c r="E13" s="32">
        <f>SUM(E4:E12)</f>
        <v>34</v>
      </c>
      <c r="F13" s="33">
        <f>SUM(F4:F12)</f>
        <v>26</v>
      </c>
      <c r="G13" s="34">
        <f t="shared" si="1"/>
        <v>60</v>
      </c>
      <c r="H13" s="34">
        <f t="shared" si="2"/>
        <v>107</v>
      </c>
      <c r="J13" s="31" t="s">
        <v>13</v>
      </c>
      <c r="K13" s="32">
        <f>SUM(K4:K12)</f>
        <v>975</v>
      </c>
      <c r="L13" s="33">
        <f>SUM(L4:L12)</f>
        <v>979</v>
      </c>
      <c r="M13" s="34">
        <f t="shared" si="3"/>
        <v>1954</v>
      </c>
      <c r="N13" s="32">
        <f>SUM(N4:N12)</f>
        <v>975</v>
      </c>
      <c r="O13" s="33">
        <f>SUM(O4:O12)</f>
        <v>1004</v>
      </c>
      <c r="P13" s="34">
        <f t="shared" si="4"/>
        <v>1979</v>
      </c>
      <c r="Q13" s="34">
        <f t="shared" si="5"/>
        <v>3933</v>
      </c>
    </row>
    <row r="14" spans="1:19" x14ac:dyDescent="0.15">
      <c r="A14" s="38" t="s">
        <v>27</v>
      </c>
      <c r="B14" s="23"/>
      <c r="C14" s="24"/>
      <c r="D14" s="36">
        <f t="shared" si="0"/>
        <v>0</v>
      </c>
      <c r="E14" s="25">
        <v>1</v>
      </c>
      <c r="F14" s="24"/>
      <c r="G14" s="36">
        <f t="shared" si="1"/>
        <v>1</v>
      </c>
      <c r="H14" s="17">
        <f t="shared" si="2"/>
        <v>1</v>
      </c>
      <c r="I14" s="81">
        <v>44055</v>
      </c>
      <c r="J14" s="38" t="s">
        <v>30</v>
      </c>
      <c r="K14" s="48">
        <v>5</v>
      </c>
      <c r="L14" s="49">
        <v>5</v>
      </c>
      <c r="M14" s="50">
        <f t="shared" si="3"/>
        <v>10</v>
      </c>
      <c r="N14" s="51">
        <v>5</v>
      </c>
      <c r="O14" s="49">
        <v>5</v>
      </c>
      <c r="P14" s="50">
        <f t="shared" si="4"/>
        <v>10</v>
      </c>
      <c r="Q14" s="50">
        <f t="shared" si="5"/>
        <v>20</v>
      </c>
      <c r="R14" s="81">
        <v>44049</v>
      </c>
    </row>
    <row r="15" spans="1:19" x14ac:dyDescent="0.15">
      <c r="A15" s="35" t="s">
        <v>31</v>
      </c>
      <c r="B15" s="15"/>
      <c r="C15" s="16"/>
      <c r="D15" s="36">
        <f t="shared" si="0"/>
        <v>0</v>
      </c>
      <c r="E15" s="18"/>
      <c r="F15" s="16">
        <v>1</v>
      </c>
      <c r="G15" s="36">
        <f t="shared" si="1"/>
        <v>1</v>
      </c>
      <c r="H15" s="17">
        <f t="shared" si="2"/>
        <v>1</v>
      </c>
      <c r="I15" s="81">
        <v>44079</v>
      </c>
      <c r="J15" s="38" t="s">
        <v>30</v>
      </c>
      <c r="K15" s="19"/>
      <c r="L15" s="20"/>
      <c r="M15" s="36">
        <f t="shared" si="3"/>
        <v>0</v>
      </c>
      <c r="N15" s="21">
        <v>3</v>
      </c>
      <c r="O15" s="20">
        <v>3</v>
      </c>
      <c r="P15" s="36">
        <f t="shared" si="4"/>
        <v>6</v>
      </c>
      <c r="Q15" s="36">
        <f t="shared" si="5"/>
        <v>6</v>
      </c>
      <c r="R15" s="81">
        <v>44083</v>
      </c>
    </row>
    <row r="16" spans="1:19" x14ac:dyDescent="0.15">
      <c r="A16" s="37" t="s">
        <v>32</v>
      </c>
      <c r="B16" s="15">
        <v>1</v>
      </c>
      <c r="C16" s="16"/>
      <c r="D16" s="36">
        <f t="shared" si="0"/>
        <v>1</v>
      </c>
      <c r="E16" s="18">
        <v>1</v>
      </c>
      <c r="F16" s="16"/>
      <c r="G16" s="36">
        <f t="shared" si="1"/>
        <v>1</v>
      </c>
      <c r="H16" s="17">
        <f t="shared" si="2"/>
        <v>2</v>
      </c>
      <c r="I16" s="84">
        <v>44081</v>
      </c>
      <c r="J16" s="37" t="s">
        <v>35</v>
      </c>
      <c r="K16" s="15">
        <v>5</v>
      </c>
      <c r="L16" s="16">
        <v>5</v>
      </c>
      <c r="M16" s="36">
        <f t="shared" si="3"/>
        <v>10</v>
      </c>
      <c r="N16" s="18">
        <v>5</v>
      </c>
      <c r="O16" s="16">
        <v>5</v>
      </c>
      <c r="P16" s="36">
        <f t="shared" si="4"/>
        <v>10</v>
      </c>
      <c r="Q16" s="17">
        <f t="shared" si="5"/>
        <v>20</v>
      </c>
      <c r="R16" s="81">
        <v>44088</v>
      </c>
    </row>
    <row r="17" spans="1:20" x14ac:dyDescent="0.15">
      <c r="A17" s="35" t="s">
        <v>33</v>
      </c>
      <c r="B17" s="15"/>
      <c r="C17" s="16"/>
      <c r="D17" s="36">
        <f t="shared" si="0"/>
        <v>0</v>
      </c>
      <c r="E17" s="18"/>
      <c r="F17" s="16">
        <v>1</v>
      </c>
      <c r="G17" s="36">
        <f t="shared" si="1"/>
        <v>1</v>
      </c>
      <c r="H17" s="17">
        <f t="shared" si="2"/>
        <v>1</v>
      </c>
      <c r="I17" s="81">
        <v>44081</v>
      </c>
      <c r="J17" s="52" t="s">
        <v>36</v>
      </c>
      <c r="K17" s="15">
        <v>50</v>
      </c>
      <c r="L17" s="16">
        <v>30</v>
      </c>
      <c r="M17" s="17">
        <f>SUM(K17:L17)</f>
        <v>80</v>
      </c>
      <c r="N17" s="18">
        <v>30</v>
      </c>
      <c r="O17" s="16">
        <v>20</v>
      </c>
      <c r="P17" s="17">
        <f t="shared" ref="P17" si="6">SUM(N17:O17)</f>
        <v>50</v>
      </c>
      <c r="Q17" s="17">
        <f t="shared" ref="Q17" si="7">M17+P17</f>
        <v>130</v>
      </c>
      <c r="R17" s="81">
        <v>44091</v>
      </c>
    </row>
    <row r="18" spans="1:20" x14ac:dyDescent="0.15">
      <c r="A18" s="35" t="s">
        <v>33</v>
      </c>
      <c r="B18" s="15"/>
      <c r="C18" s="16"/>
      <c r="D18" s="36">
        <f t="shared" si="0"/>
        <v>0</v>
      </c>
      <c r="E18" s="18">
        <v>1</v>
      </c>
      <c r="F18" s="16"/>
      <c r="G18" s="36">
        <f t="shared" si="1"/>
        <v>1</v>
      </c>
      <c r="H18" s="17">
        <f t="shared" si="2"/>
        <v>1</v>
      </c>
      <c r="I18" s="84">
        <v>44082</v>
      </c>
      <c r="J18" s="37" t="s">
        <v>39</v>
      </c>
      <c r="K18" s="15"/>
      <c r="L18" s="16"/>
      <c r="M18" s="36">
        <f t="shared" si="3"/>
        <v>0</v>
      </c>
      <c r="N18" s="18">
        <v>5</v>
      </c>
      <c r="O18" s="16"/>
      <c r="P18" s="36">
        <f t="shared" si="4"/>
        <v>5</v>
      </c>
      <c r="Q18" s="17">
        <f t="shared" si="5"/>
        <v>5</v>
      </c>
      <c r="R18" s="81">
        <v>44103</v>
      </c>
      <c r="S18" s="22"/>
      <c r="T18" s="22"/>
    </row>
    <row r="19" spans="1:20" x14ac:dyDescent="0.15">
      <c r="A19" s="35" t="s">
        <v>33</v>
      </c>
      <c r="B19" s="15"/>
      <c r="C19" s="16"/>
      <c r="D19" s="36">
        <f t="shared" si="0"/>
        <v>0</v>
      </c>
      <c r="E19" s="18">
        <v>1</v>
      </c>
      <c r="F19" s="16"/>
      <c r="G19" s="36">
        <f t="shared" si="1"/>
        <v>1</v>
      </c>
      <c r="H19" s="17">
        <f t="shared" si="2"/>
        <v>1</v>
      </c>
      <c r="I19" s="84">
        <v>44085</v>
      </c>
      <c r="J19" s="38" t="s">
        <v>30</v>
      </c>
      <c r="K19" s="15">
        <v>3</v>
      </c>
      <c r="L19" s="16">
        <v>3</v>
      </c>
      <c r="M19" s="36">
        <f t="shared" si="3"/>
        <v>6</v>
      </c>
      <c r="N19" s="18">
        <v>10</v>
      </c>
      <c r="O19" s="16">
        <v>3</v>
      </c>
      <c r="P19" s="36">
        <f t="shared" si="4"/>
        <v>13</v>
      </c>
      <c r="Q19" s="17">
        <f t="shared" si="5"/>
        <v>19</v>
      </c>
      <c r="R19" s="81">
        <v>44100</v>
      </c>
    </row>
    <row r="20" spans="1:20" x14ac:dyDescent="0.15">
      <c r="A20" s="35" t="s">
        <v>37</v>
      </c>
      <c r="B20" s="15"/>
      <c r="C20" s="16"/>
      <c r="D20" s="36">
        <f t="shared" si="0"/>
        <v>0</v>
      </c>
      <c r="E20" s="18"/>
      <c r="F20" s="16">
        <v>1</v>
      </c>
      <c r="G20" s="36">
        <f t="shared" si="1"/>
        <v>1</v>
      </c>
      <c r="H20" s="17">
        <f t="shared" si="2"/>
        <v>1</v>
      </c>
      <c r="I20" s="81">
        <v>44090</v>
      </c>
      <c r="J20" s="35" t="s">
        <v>41</v>
      </c>
      <c r="K20" s="15">
        <v>3</v>
      </c>
      <c r="L20" s="16">
        <v>3</v>
      </c>
      <c r="M20" s="36">
        <f t="shared" si="3"/>
        <v>6</v>
      </c>
      <c r="N20" s="18">
        <v>3</v>
      </c>
      <c r="O20" s="16">
        <v>3</v>
      </c>
      <c r="P20" s="36">
        <f t="shared" si="4"/>
        <v>6</v>
      </c>
      <c r="Q20" s="17">
        <f t="shared" si="5"/>
        <v>12</v>
      </c>
      <c r="R20" s="81">
        <v>44103</v>
      </c>
      <c r="S20" s="22"/>
    </row>
    <row r="21" spans="1:20" x14ac:dyDescent="0.15">
      <c r="A21" s="35" t="s">
        <v>38</v>
      </c>
      <c r="B21" s="15">
        <v>1</v>
      </c>
      <c r="C21" s="16">
        <v>1</v>
      </c>
      <c r="D21" s="36">
        <f t="shared" si="0"/>
        <v>2</v>
      </c>
      <c r="E21" s="18">
        <v>1</v>
      </c>
      <c r="F21" s="16">
        <v>1</v>
      </c>
      <c r="G21" s="36">
        <f t="shared" si="1"/>
        <v>2</v>
      </c>
      <c r="H21" s="17">
        <f t="shared" si="2"/>
        <v>4</v>
      </c>
      <c r="I21" s="81">
        <v>44098</v>
      </c>
      <c r="J21" s="37" t="s">
        <v>44</v>
      </c>
      <c r="K21" s="15"/>
      <c r="L21" s="16"/>
      <c r="M21" s="36">
        <f t="shared" si="3"/>
        <v>0</v>
      </c>
      <c r="N21" s="18">
        <v>9</v>
      </c>
      <c r="O21" s="16">
        <v>25</v>
      </c>
      <c r="P21" s="36">
        <f t="shared" si="4"/>
        <v>34</v>
      </c>
      <c r="Q21" s="17">
        <f t="shared" si="5"/>
        <v>34</v>
      </c>
      <c r="R21" s="81">
        <v>44105</v>
      </c>
    </row>
    <row r="22" spans="1:20" x14ac:dyDescent="0.15">
      <c r="A22" s="35" t="s">
        <v>33</v>
      </c>
      <c r="B22" s="15"/>
      <c r="C22" s="16"/>
      <c r="D22" s="36">
        <f t="shared" si="0"/>
        <v>0</v>
      </c>
      <c r="E22" s="18">
        <v>2</v>
      </c>
      <c r="F22" s="16"/>
      <c r="G22" s="36">
        <f t="shared" si="1"/>
        <v>2</v>
      </c>
      <c r="H22" s="17">
        <f t="shared" si="2"/>
        <v>2</v>
      </c>
      <c r="I22" s="81">
        <v>44097</v>
      </c>
      <c r="J22" s="35" t="s">
        <v>45</v>
      </c>
      <c r="K22" s="15">
        <v>7</v>
      </c>
      <c r="L22" s="16">
        <v>4</v>
      </c>
      <c r="M22" s="36">
        <f t="shared" si="3"/>
        <v>11</v>
      </c>
      <c r="N22" s="18">
        <v>7</v>
      </c>
      <c r="O22" s="16">
        <v>4</v>
      </c>
      <c r="P22" s="36">
        <f t="shared" si="4"/>
        <v>11</v>
      </c>
      <c r="Q22" s="17">
        <f t="shared" si="5"/>
        <v>22</v>
      </c>
      <c r="R22" s="81">
        <v>44104</v>
      </c>
    </row>
    <row r="23" spans="1:20" x14ac:dyDescent="0.15">
      <c r="A23" s="35" t="s">
        <v>40</v>
      </c>
      <c r="B23" s="23">
        <v>1</v>
      </c>
      <c r="C23" s="24">
        <v>1</v>
      </c>
      <c r="D23" s="36">
        <f t="shared" si="0"/>
        <v>2</v>
      </c>
      <c r="E23" s="25"/>
      <c r="F23" s="24">
        <v>1</v>
      </c>
      <c r="G23" s="36">
        <f t="shared" si="1"/>
        <v>1</v>
      </c>
      <c r="H23" s="17">
        <f t="shared" si="2"/>
        <v>3</v>
      </c>
      <c r="I23" s="81">
        <v>44099</v>
      </c>
      <c r="J23" s="35" t="s">
        <v>46</v>
      </c>
      <c r="K23" s="23"/>
      <c r="L23" s="24"/>
      <c r="M23" s="36">
        <f t="shared" si="3"/>
        <v>0</v>
      </c>
      <c r="N23" s="25">
        <v>15</v>
      </c>
      <c r="O23" s="24">
        <v>15</v>
      </c>
      <c r="P23" s="36">
        <f t="shared" si="4"/>
        <v>30</v>
      </c>
      <c r="Q23" s="17">
        <f t="shared" si="5"/>
        <v>30</v>
      </c>
      <c r="R23" s="81">
        <v>44105</v>
      </c>
    </row>
    <row r="24" spans="1:20" x14ac:dyDescent="0.15">
      <c r="A24" s="35" t="s">
        <v>33</v>
      </c>
      <c r="B24" s="15"/>
      <c r="C24" s="16"/>
      <c r="D24" s="36">
        <f t="shared" si="0"/>
        <v>0</v>
      </c>
      <c r="E24" s="18">
        <v>1</v>
      </c>
      <c r="F24" s="16"/>
      <c r="G24" s="36">
        <f t="shared" si="1"/>
        <v>1</v>
      </c>
      <c r="H24" s="17">
        <f t="shared" si="2"/>
        <v>1</v>
      </c>
      <c r="I24" s="84">
        <v>44098</v>
      </c>
      <c r="J24" s="35" t="s">
        <v>47</v>
      </c>
      <c r="K24" s="15">
        <v>7</v>
      </c>
      <c r="L24" s="16">
        <v>3</v>
      </c>
      <c r="M24" s="36">
        <f t="shared" si="3"/>
        <v>10</v>
      </c>
      <c r="N24" s="18">
        <v>7</v>
      </c>
      <c r="O24" s="16">
        <v>3</v>
      </c>
      <c r="P24" s="36">
        <f t="shared" si="4"/>
        <v>10</v>
      </c>
      <c r="Q24" s="17">
        <f t="shared" si="5"/>
        <v>20</v>
      </c>
      <c r="R24" s="81">
        <v>44105</v>
      </c>
    </row>
    <row r="25" spans="1:20" x14ac:dyDescent="0.15">
      <c r="A25" s="35" t="s">
        <v>42</v>
      </c>
      <c r="B25" s="15"/>
      <c r="C25" s="16"/>
      <c r="D25" s="36">
        <f t="shared" si="0"/>
        <v>0</v>
      </c>
      <c r="E25" s="18"/>
      <c r="F25" s="16">
        <v>-1</v>
      </c>
      <c r="G25" s="36">
        <f t="shared" si="1"/>
        <v>-1</v>
      </c>
      <c r="H25" s="17">
        <f t="shared" si="2"/>
        <v>-1</v>
      </c>
      <c r="I25" s="81">
        <v>44102</v>
      </c>
      <c r="J25" s="35" t="s">
        <v>30</v>
      </c>
      <c r="K25" s="15">
        <v>5</v>
      </c>
      <c r="L25" s="16">
        <v>5</v>
      </c>
      <c r="M25" s="36">
        <f t="shared" si="3"/>
        <v>10</v>
      </c>
      <c r="N25" s="18"/>
      <c r="O25" s="16">
        <v>5</v>
      </c>
      <c r="P25" s="36">
        <f t="shared" si="4"/>
        <v>5</v>
      </c>
      <c r="Q25" s="17">
        <f t="shared" si="5"/>
        <v>15</v>
      </c>
      <c r="R25" s="81">
        <v>44105</v>
      </c>
      <c r="S25" s="22"/>
    </row>
    <row r="26" spans="1:20" x14ac:dyDescent="0.15">
      <c r="A26" s="35" t="s">
        <v>43</v>
      </c>
      <c r="B26" s="15"/>
      <c r="C26" s="16"/>
      <c r="D26" s="36">
        <f t="shared" si="0"/>
        <v>0</v>
      </c>
      <c r="E26" s="18"/>
      <c r="F26" s="16">
        <v>1</v>
      </c>
      <c r="G26" s="36">
        <f t="shared" si="1"/>
        <v>1</v>
      </c>
      <c r="H26" s="17">
        <f t="shared" si="2"/>
        <v>1</v>
      </c>
      <c r="I26" s="81">
        <v>44103</v>
      </c>
      <c r="J26" s="35" t="s">
        <v>48</v>
      </c>
      <c r="K26" s="15">
        <v>1</v>
      </c>
      <c r="L26" s="16"/>
      <c r="M26" s="36">
        <f t="shared" ref="M26:M27" si="8">SUM(K26:L26)</f>
        <v>1</v>
      </c>
      <c r="N26" s="18">
        <v>1</v>
      </c>
      <c r="O26" s="16"/>
      <c r="P26" s="36">
        <f t="shared" ref="P26:P27" si="9">SUM(N26:O26)</f>
        <v>1</v>
      </c>
      <c r="Q26" s="17">
        <f t="shared" ref="Q26:Q27" si="10">M26+P26</f>
        <v>2</v>
      </c>
      <c r="R26" s="81">
        <v>44106</v>
      </c>
      <c r="S26" s="22"/>
    </row>
    <row r="27" spans="1:20" x14ac:dyDescent="0.15">
      <c r="A27" s="38" t="s">
        <v>50</v>
      </c>
      <c r="B27" s="15">
        <v>3</v>
      </c>
      <c r="C27" s="16">
        <v>3</v>
      </c>
      <c r="D27" s="36">
        <f t="shared" si="0"/>
        <v>6</v>
      </c>
      <c r="E27" s="18">
        <v>3</v>
      </c>
      <c r="F27" s="16">
        <v>3</v>
      </c>
      <c r="G27" s="36">
        <f t="shared" si="1"/>
        <v>6</v>
      </c>
      <c r="H27" s="17">
        <f t="shared" si="2"/>
        <v>12</v>
      </c>
      <c r="I27" s="81">
        <v>44107</v>
      </c>
      <c r="J27" s="35" t="s">
        <v>49</v>
      </c>
      <c r="K27" s="15"/>
      <c r="L27" s="16"/>
      <c r="M27" s="17">
        <f t="shared" si="8"/>
        <v>0</v>
      </c>
      <c r="N27" s="18">
        <v>20</v>
      </c>
      <c r="O27" s="16">
        <v>10</v>
      </c>
      <c r="P27" s="17">
        <f t="shared" si="9"/>
        <v>30</v>
      </c>
      <c r="Q27" s="17">
        <f t="shared" si="10"/>
        <v>30</v>
      </c>
      <c r="R27" s="81">
        <v>44106</v>
      </c>
    </row>
    <row r="28" spans="1:20" x14ac:dyDescent="0.15">
      <c r="A28" s="38" t="s">
        <v>51</v>
      </c>
      <c r="B28" s="15">
        <v>6</v>
      </c>
      <c r="C28" s="16">
        <v>6</v>
      </c>
      <c r="D28" s="36">
        <f t="shared" si="0"/>
        <v>12</v>
      </c>
      <c r="E28" s="18">
        <v>6</v>
      </c>
      <c r="F28" s="16">
        <v>6</v>
      </c>
      <c r="G28" s="36">
        <f t="shared" si="1"/>
        <v>12</v>
      </c>
      <c r="H28" s="17">
        <f t="shared" si="2"/>
        <v>24</v>
      </c>
      <c r="I28" s="81">
        <v>44110</v>
      </c>
      <c r="J28" s="35" t="s">
        <v>52</v>
      </c>
      <c r="K28" s="15"/>
      <c r="L28" s="16">
        <v>6</v>
      </c>
      <c r="M28" s="36">
        <f t="shared" si="3"/>
        <v>6</v>
      </c>
      <c r="N28" s="18"/>
      <c r="O28" s="16"/>
      <c r="P28" s="36">
        <f t="shared" si="4"/>
        <v>0</v>
      </c>
      <c r="Q28" s="17">
        <f t="shared" si="5"/>
        <v>6</v>
      </c>
      <c r="R28" s="81">
        <v>44111</v>
      </c>
      <c r="S28" s="22"/>
    </row>
    <row r="29" spans="1:20" x14ac:dyDescent="0.15">
      <c r="A29" s="38" t="s">
        <v>56</v>
      </c>
      <c r="B29" s="15"/>
      <c r="C29" s="16"/>
      <c r="D29" s="36">
        <f t="shared" si="0"/>
        <v>0</v>
      </c>
      <c r="E29" s="18"/>
      <c r="F29" s="16">
        <v>1</v>
      </c>
      <c r="G29" s="36">
        <f t="shared" si="1"/>
        <v>1</v>
      </c>
      <c r="H29" s="17">
        <f t="shared" si="2"/>
        <v>1</v>
      </c>
      <c r="I29" s="81">
        <v>44109</v>
      </c>
      <c r="J29" s="37" t="s">
        <v>53</v>
      </c>
      <c r="K29" s="15">
        <v>10</v>
      </c>
      <c r="L29" s="16">
        <v>10</v>
      </c>
      <c r="M29" s="36">
        <f t="shared" si="3"/>
        <v>20</v>
      </c>
      <c r="N29" s="18">
        <v>10</v>
      </c>
      <c r="O29" s="16">
        <v>10</v>
      </c>
      <c r="P29" s="36">
        <f t="shared" si="4"/>
        <v>20</v>
      </c>
      <c r="Q29" s="17">
        <f t="shared" si="5"/>
        <v>40</v>
      </c>
      <c r="R29" s="81">
        <v>44110</v>
      </c>
      <c r="S29" s="22"/>
    </row>
    <row r="30" spans="1:20" x14ac:dyDescent="0.15">
      <c r="A30" s="38" t="s">
        <v>58</v>
      </c>
      <c r="B30" s="15">
        <v>1</v>
      </c>
      <c r="C30" s="16"/>
      <c r="D30" s="36">
        <f t="shared" si="0"/>
        <v>1</v>
      </c>
      <c r="E30" s="18">
        <v>1</v>
      </c>
      <c r="F30" s="16"/>
      <c r="G30" s="36">
        <f t="shared" si="1"/>
        <v>1</v>
      </c>
      <c r="H30" s="17">
        <f t="shared" si="2"/>
        <v>2</v>
      </c>
      <c r="I30" s="81">
        <v>44112</v>
      </c>
      <c r="J30" s="37" t="s">
        <v>54</v>
      </c>
      <c r="K30" s="15">
        <v>5</v>
      </c>
      <c r="L30" s="16"/>
      <c r="M30" s="36">
        <f t="shared" si="3"/>
        <v>5</v>
      </c>
      <c r="N30" s="18"/>
      <c r="O30" s="16"/>
      <c r="P30" s="36">
        <f t="shared" si="4"/>
        <v>0</v>
      </c>
      <c r="Q30" s="17">
        <f t="shared" si="5"/>
        <v>5</v>
      </c>
      <c r="R30" s="81">
        <v>44112</v>
      </c>
      <c r="S30" s="22"/>
    </row>
    <row r="31" spans="1:20" x14ac:dyDescent="0.15">
      <c r="A31" s="35" t="s">
        <v>56</v>
      </c>
      <c r="B31" s="15">
        <v>1</v>
      </c>
      <c r="C31" s="16"/>
      <c r="D31" s="36">
        <f t="shared" si="0"/>
        <v>1</v>
      </c>
      <c r="E31" s="18">
        <v>1</v>
      </c>
      <c r="F31" s="16"/>
      <c r="G31" s="36">
        <f t="shared" si="1"/>
        <v>1</v>
      </c>
      <c r="H31" s="17">
        <f t="shared" si="2"/>
        <v>2</v>
      </c>
      <c r="I31" s="81">
        <v>44112</v>
      </c>
      <c r="J31" s="38" t="s">
        <v>57</v>
      </c>
      <c r="K31" s="15">
        <v>1</v>
      </c>
      <c r="L31" s="16"/>
      <c r="M31" s="36">
        <f t="shared" si="3"/>
        <v>1</v>
      </c>
      <c r="N31" s="18">
        <v>1</v>
      </c>
      <c r="O31" s="16"/>
      <c r="P31" s="36">
        <f t="shared" si="4"/>
        <v>1</v>
      </c>
      <c r="Q31" s="17">
        <f t="shared" si="5"/>
        <v>2</v>
      </c>
      <c r="R31" s="81">
        <v>44111</v>
      </c>
    </row>
    <row r="32" spans="1:20" x14ac:dyDescent="0.15">
      <c r="A32" s="35" t="s">
        <v>56</v>
      </c>
      <c r="B32" s="15"/>
      <c r="C32" s="16">
        <v>2</v>
      </c>
      <c r="D32" s="36">
        <f t="shared" si="0"/>
        <v>2</v>
      </c>
      <c r="E32" s="18"/>
      <c r="F32" s="16"/>
      <c r="G32" s="36">
        <f t="shared" si="1"/>
        <v>0</v>
      </c>
      <c r="H32" s="17">
        <f t="shared" si="2"/>
        <v>2</v>
      </c>
      <c r="I32" s="81">
        <v>44113</v>
      </c>
      <c r="J32" s="38" t="s">
        <v>59</v>
      </c>
      <c r="K32" s="15">
        <v>2</v>
      </c>
      <c r="L32" s="16"/>
      <c r="M32" s="36">
        <f t="shared" si="3"/>
        <v>2</v>
      </c>
      <c r="N32" s="18">
        <v>2</v>
      </c>
      <c r="O32" s="16"/>
      <c r="P32" s="36">
        <f t="shared" si="4"/>
        <v>2</v>
      </c>
      <c r="Q32" s="17">
        <f t="shared" si="5"/>
        <v>4</v>
      </c>
      <c r="R32" s="81">
        <v>44113</v>
      </c>
    </row>
    <row r="33" spans="1:19" x14ac:dyDescent="0.15">
      <c r="A33" s="35" t="s">
        <v>56</v>
      </c>
      <c r="B33" s="15"/>
      <c r="C33" s="16"/>
      <c r="D33" s="36">
        <f t="shared" si="0"/>
        <v>0</v>
      </c>
      <c r="E33" s="18">
        <v>1</v>
      </c>
      <c r="F33" s="16"/>
      <c r="G33" s="36">
        <f t="shared" si="1"/>
        <v>1</v>
      </c>
      <c r="H33" s="17">
        <f t="shared" si="2"/>
        <v>1</v>
      </c>
      <c r="I33" s="81">
        <v>44116</v>
      </c>
      <c r="J33" s="38" t="s">
        <v>60</v>
      </c>
      <c r="K33" s="15">
        <v>2</v>
      </c>
      <c r="L33" s="16"/>
      <c r="M33" s="36">
        <f t="shared" si="3"/>
        <v>2</v>
      </c>
      <c r="N33" s="18">
        <v>2</v>
      </c>
      <c r="O33" s="16"/>
      <c r="P33" s="36">
        <f t="shared" si="4"/>
        <v>2</v>
      </c>
      <c r="Q33" s="17">
        <f t="shared" si="5"/>
        <v>4</v>
      </c>
      <c r="R33" s="81">
        <v>44114</v>
      </c>
      <c r="S33" s="22"/>
    </row>
    <row r="34" spans="1:19" x14ac:dyDescent="0.15">
      <c r="A34" s="35" t="s">
        <v>56</v>
      </c>
      <c r="B34" s="15"/>
      <c r="C34" s="16"/>
      <c r="D34" s="36">
        <f t="shared" si="0"/>
        <v>0</v>
      </c>
      <c r="E34" s="18">
        <v>1</v>
      </c>
      <c r="F34" s="16"/>
      <c r="G34" s="36">
        <f t="shared" si="1"/>
        <v>1</v>
      </c>
      <c r="H34" s="17">
        <f t="shared" si="2"/>
        <v>1</v>
      </c>
      <c r="I34" s="84">
        <v>44121</v>
      </c>
      <c r="J34" s="38" t="s">
        <v>64</v>
      </c>
      <c r="K34" s="15">
        <v>1</v>
      </c>
      <c r="L34" s="16">
        <v>1</v>
      </c>
      <c r="M34" s="36">
        <f t="shared" si="3"/>
        <v>2</v>
      </c>
      <c r="N34" s="18">
        <v>1</v>
      </c>
      <c r="O34" s="16">
        <v>1</v>
      </c>
      <c r="P34" s="36">
        <f t="shared" si="4"/>
        <v>2</v>
      </c>
      <c r="Q34" s="17">
        <f t="shared" si="5"/>
        <v>4</v>
      </c>
      <c r="R34" s="81">
        <v>44124</v>
      </c>
      <c r="S34" s="22"/>
    </row>
    <row r="35" spans="1:19" x14ac:dyDescent="0.15">
      <c r="A35" s="35" t="s">
        <v>56</v>
      </c>
      <c r="B35" s="23"/>
      <c r="C35" s="24"/>
      <c r="D35" s="36">
        <f t="shared" si="0"/>
        <v>0</v>
      </c>
      <c r="E35" s="25"/>
      <c r="F35" s="24">
        <v>1</v>
      </c>
      <c r="G35" s="36">
        <f t="shared" si="1"/>
        <v>1</v>
      </c>
      <c r="H35" s="17">
        <f t="shared" si="2"/>
        <v>1</v>
      </c>
      <c r="I35" s="81">
        <v>44123</v>
      </c>
      <c r="J35" s="37" t="s">
        <v>65</v>
      </c>
      <c r="K35" s="15">
        <v>17</v>
      </c>
      <c r="L35" s="16"/>
      <c r="M35" s="36">
        <f t="shared" si="3"/>
        <v>17</v>
      </c>
      <c r="N35" s="18">
        <v>40</v>
      </c>
      <c r="O35" s="16"/>
      <c r="P35" s="36">
        <f t="shared" si="4"/>
        <v>40</v>
      </c>
      <c r="Q35" s="17">
        <f t="shared" si="5"/>
        <v>57</v>
      </c>
      <c r="R35" s="81">
        <v>44127</v>
      </c>
    </row>
    <row r="36" spans="1:19" x14ac:dyDescent="0.15">
      <c r="A36" s="35" t="s">
        <v>56</v>
      </c>
      <c r="B36" s="15"/>
      <c r="C36" s="16"/>
      <c r="D36" s="36">
        <f t="shared" si="0"/>
        <v>0</v>
      </c>
      <c r="E36" s="18">
        <v>2</v>
      </c>
      <c r="F36" s="16"/>
      <c r="G36" s="36">
        <f t="shared" si="1"/>
        <v>2</v>
      </c>
      <c r="H36" s="17">
        <f t="shared" si="2"/>
        <v>2</v>
      </c>
      <c r="I36" s="81">
        <v>44125</v>
      </c>
      <c r="J36" s="37" t="s">
        <v>30</v>
      </c>
      <c r="K36" s="15"/>
      <c r="L36" s="16"/>
      <c r="M36" s="17">
        <f>SUM(K36:L36)</f>
        <v>0</v>
      </c>
      <c r="N36" s="18">
        <v>5</v>
      </c>
      <c r="O36" s="16"/>
      <c r="P36" s="17">
        <f t="shared" ref="P36:P37" si="11">SUM(N36:O36)</f>
        <v>5</v>
      </c>
      <c r="Q36" s="17">
        <f t="shared" ref="Q36:Q37" si="12">M36+P36</f>
        <v>5</v>
      </c>
      <c r="R36" s="81">
        <v>44127</v>
      </c>
    </row>
    <row r="37" spans="1:19" x14ac:dyDescent="0.15">
      <c r="A37" s="38" t="s">
        <v>66</v>
      </c>
      <c r="B37" s="15">
        <v>1</v>
      </c>
      <c r="C37" s="16"/>
      <c r="D37" s="36">
        <f t="shared" si="0"/>
        <v>1</v>
      </c>
      <c r="E37" s="18">
        <v>1</v>
      </c>
      <c r="F37" s="16"/>
      <c r="G37" s="36">
        <f t="shared" si="1"/>
        <v>1</v>
      </c>
      <c r="H37" s="17">
        <f t="shared" si="2"/>
        <v>2</v>
      </c>
      <c r="I37" s="81">
        <v>44127</v>
      </c>
      <c r="J37" s="35"/>
      <c r="K37" s="15"/>
      <c r="L37" s="16"/>
      <c r="M37" s="36">
        <f t="shared" ref="M37" si="13">SUM(K37:L37)</f>
        <v>0</v>
      </c>
      <c r="N37" s="18"/>
      <c r="O37" s="16"/>
      <c r="P37" s="36">
        <f t="shared" si="11"/>
        <v>0</v>
      </c>
      <c r="Q37" s="17">
        <f t="shared" si="12"/>
        <v>0</v>
      </c>
      <c r="R37" s="81"/>
    </row>
    <row r="38" spans="1:19" x14ac:dyDescent="0.15">
      <c r="A38" s="35" t="s">
        <v>56</v>
      </c>
      <c r="B38" s="15"/>
      <c r="C38" s="16"/>
      <c r="D38" s="36">
        <f t="shared" si="0"/>
        <v>0</v>
      </c>
      <c r="E38" s="18">
        <v>1</v>
      </c>
      <c r="F38" s="16">
        <v>1</v>
      </c>
      <c r="G38" s="36">
        <f t="shared" si="1"/>
        <v>2</v>
      </c>
      <c r="H38" s="17">
        <f t="shared" si="2"/>
        <v>2</v>
      </c>
      <c r="I38" s="81">
        <v>44126</v>
      </c>
      <c r="J38" s="52" t="s">
        <v>28</v>
      </c>
      <c r="K38" s="15"/>
      <c r="L38" s="16"/>
      <c r="M38" s="17">
        <f>SUM(K38:L38)</f>
        <v>0</v>
      </c>
      <c r="N38" s="18"/>
      <c r="O38" s="16"/>
      <c r="P38" s="17">
        <f t="shared" ref="P38:P39" si="14">SUM(N38:O38)</f>
        <v>0</v>
      </c>
      <c r="Q38" s="17">
        <f t="shared" ref="Q38:Q39" si="15">M38+P38</f>
        <v>0</v>
      </c>
      <c r="R38" s="81" t="s">
        <v>26</v>
      </c>
    </row>
    <row r="39" spans="1:19" ht="14.25" thickBot="1" x14ac:dyDescent="0.2">
      <c r="A39" s="35" t="s">
        <v>56</v>
      </c>
      <c r="B39" s="23">
        <v>1</v>
      </c>
      <c r="C39" s="24"/>
      <c r="D39" s="39">
        <f t="shared" si="0"/>
        <v>1</v>
      </c>
      <c r="E39" s="25"/>
      <c r="F39" s="24"/>
      <c r="G39" s="39">
        <f t="shared" si="1"/>
        <v>0</v>
      </c>
      <c r="H39" s="17">
        <f t="shared" si="2"/>
        <v>1</v>
      </c>
      <c r="I39" s="84">
        <v>44127</v>
      </c>
      <c r="J39" s="35" t="s">
        <v>22</v>
      </c>
      <c r="K39" s="15"/>
      <c r="L39" s="16"/>
      <c r="M39" s="36">
        <f t="shared" ref="M39" si="16">SUM(K39:L39)</f>
        <v>0</v>
      </c>
      <c r="N39" s="18"/>
      <c r="O39" s="16"/>
      <c r="P39" s="36">
        <f t="shared" si="14"/>
        <v>0</v>
      </c>
      <c r="Q39" s="17">
        <f t="shared" si="15"/>
        <v>0</v>
      </c>
      <c r="R39" s="81" t="s">
        <v>25</v>
      </c>
    </row>
    <row r="40" spans="1:19" ht="14.25" thickBot="1" x14ac:dyDescent="0.2">
      <c r="A40" s="40" t="s">
        <v>14</v>
      </c>
      <c r="B40" s="41">
        <f>SUM(B14:B39)</f>
        <v>16</v>
      </c>
      <c r="C40" s="42">
        <f t="shared" ref="C40" si="17">SUM(C14:C39)</f>
        <v>13</v>
      </c>
      <c r="D40" s="43">
        <f t="shared" si="0"/>
        <v>29</v>
      </c>
      <c r="E40" s="41">
        <f>SUM(E14:E39)</f>
        <v>25</v>
      </c>
      <c r="F40" s="42">
        <f t="shared" ref="F40" si="18">SUM(F14:F39)</f>
        <v>17</v>
      </c>
      <c r="G40" s="43">
        <f t="shared" si="1"/>
        <v>42</v>
      </c>
      <c r="H40" s="43">
        <f t="shared" si="2"/>
        <v>71</v>
      </c>
      <c r="I40" s="85"/>
      <c r="J40" s="40" t="s">
        <v>14</v>
      </c>
      <c r="K40" s="41">
        <f>SUM(K14:K39)</f>
        <v>124</v>
      </c>
      <c r="L40" s="42">
        <f t="shared" ref="L40" si="19">SUM(L14:L39)</f>
        <v>75</v>
      </c>
      <c r="M40" s="43">
        <f t="shared" si="3"/>
        <v>199</v>
      </c>
      <c r="N40" s="41">
        <f>SUM(N14:N39)</f>
        <v>181</v>
      </c>
      <c r="O40" s="42">
        <f t="shared" ref="O40" si="20">SUM(O14:O39)</f>
        <v>112</v>
      </c>
      <c r="P40" s="43">
        <f t="shared" si="4"/>
        <v>293</v>
      </c>
      <c r="Q40" s="43">
        <f t="shared" si="5"/>
        <v>492</v>
      </c>
    </row>
    <row r="41" spans="1:19" ht="14.25" thickBot="1" x14ac:dyDescent="0.2">
      <c r="A41" s="44" t="s">
        <v>15</v>
      </c>
      <c r="B41" s="45">
        <f>B13-B40</f>
        <v>8</v>
      </c>
      <c r="C41" s="46">
        <f t="shared" ref="C41" si="21">C13-C40</f>
        <v>10</v>
      </c>
      <c r="D41" s="47">
        <f t="shared" si="0"/>
        <v>18</v>
      </c>
      <c r="E41" s="45">
        <f>E13-E40</f>
        <v>9</v>
      </c>
      <c r="F41" s="46">
        <f t="shared" ref="F41" si="22">F13-F40</f>
        <v>9</v>
      </c>
      <c r="G41" s="47">
        <f t="shared" si="1"/>
        <v>18</v>
      </c>
      <c r="H41" s="34">
        <f t="shared" si="2"/>
        <v>36</v>
      </c>
      <c r="J41" s="44" t="s">
        <v>15</v>
      </c>
      <c r="K41" s="45">
        <f>K13-K40</f>
        <v>851</v>
      </c>
      <c r="L41" s="46">
        <f t="shared" ref="L41" si="23">L13-L40</f>
        <v>904</v>
      </c>
      <c r="M41" s="47">
        <f t="shared" si="3"/>
        <v>1755</v>
      </c>
      <c r="N41" s="45">
        <f>N13-N40</f>
        <v>794</v>
      </c>
      <c r="O41" s="46">
        <f t="shared" ref="O41" si="24">O13-O40</f>
        <v>892</v>
      </c>
      <c r="P41" s="47">
        <f t="shared" si="4"/>
        <v>1686</v>
      </c>
      <c r="Q41" s="34">
        <f t="shared" si="5"/>
        <v>3441</v>
      </c>
    </row>
    <row r="44" spans="1:19" ht="19.5" thickBot="1" x14ac:dyDescent="0.25">
      <c r="A44" s="1" t="s">
        <v>23</v>
      </c>
      <c r="J44" s="1" t="s">
        <v>24</v>
      </c>
      <c r="K44" s="2"/>
      <c r="L44" s="2"/>
      <c r="M44" s="2"/>
      <c r="N44" s="2"/>
      <c r="O44" s="1" t="s">
        <v>34</v>
      </c>
      <c r="P44" s="2"/>
      <c r="Q44" s="2"/>
    </row>
    <row r="45" spans="1:19" ht="14.25" thickBot="1" x14ac:dyDescent="0.2">
      <c r="A45" s="3" t="s">
        <v>0</v>
      </c>
      <c r="B45" s="125" t="s">
        <v>18</v>
      </c>
      <c r="C45" s="126"/>
      <c r="D45" s="127"/>
      <c r="E45" s="125" t="s">
        <v>19</v>
      </c>
      <c r="F45" s="126"/>
      <c r="G45" s="128"/>
      <c r="H45" s="129" t="s">
        <v>1</v>
      </c>
      <c r="J45" s="3" t="s">
        <v>0</v>
      </c>
      <c r="K45" s="125" t="s">
        <v>18</v>
      </c>
      <c r="L45" s="126"/>
      <c r="M45" s="127"/>
      <c r="N45" s="125" t="s">
        <v>19</v>
      </c>
      <c r="O45" s="126"/>
      <c r="P45" s="128"/>
      <c r="Q45" s="129" t="s">
        <v>1</v>
      </c>
    </row>
    <row r="46" spans="1:19" ht="14.25" thickBot="1" x14ac:dyDescent="0.2">
      <c r="A46" s="3" t="s">
        <v>2</v>
      </c>
      <c r="B46" s="4" t="s">
        <v>16</v>
      </c>
      <c r="C46" s="5" t="s">
        <v>17</v>
      </c>
      <c r="D46" s="3" t="s">
        <v>3</v>
      </c>
      <c r="E46" s="4" t="s">
        <v>16</v>
      </c>
      <c r="F46" s="5" t="s">
        <v>17</v>
      </c>
      <c r="G46" s="3" t="s">
        <v>3</v>
      </c>
      <c r="H46" s="130"/>
      <c r="J46" s="3" t="s">
        <v>2</v>
      </c>
      <c r="K46" s="4" t="s">
        <v>16</v>
      </c>
      <c r="L46" s="5" t="s">
        <v>17</v>
      </c>
      <c r="M46" s="3" t="s">
        <v>3</v>
      </c>
      <c r="N46" s="4" t="s">
        <v>16</v>
      </c>
      <c r="O46" s="5" t="s">
        <v>17</v>
      </c>
      <c r="P46" s="3" t="s">
        <v>3</v>
      </c>
      <c r="Q46" s="130"/>
    </row>
    <row r="47" spans="1:19" ht="14.25" thickBot="1" x14ac:dyDescent="0.2">
      <c r="A47" s="6" t="s">
        <v>55</v>
      </c>
      <c r="B47" s="7">
        <f>B41</f>
        <v>8</v>
      </c>
      <c r="C47" s="8">
        <f>C41</f>
        <v>10</v>
      </c>
      <c r="D47" s="9">
        <f t="shared" ref="D47:D59" si="25">SUM(B47:C47)</f>
        <v>18</v>
      </c>
      <c r="E47" s="7">
        <f>E41</f>
        <v>9</v>
      </c>
      <c r="F47" s="8">
        <f>F41</f>
        <v>9</v>
      </c>
      <c r="G47" s="9">
        <f t="shared" ref="G47:G84" si="26">SUM(E47:F47)</f>
        <v>18</v>
      </c>
      <c r="H47" s="9">
        <f t="shared" ref="H47:H84" si="27">D47+G47</f>
        <v>36</v>
      </c>
      <c r="J47" s="6" t="s">
        <v>55</v>
      </c>
      <c r="K47" s="7">
        <f>K41</f>
        <v>851</v>
      </c>
      <c r="L47" s="8">
        <f>L41</f>
        <v>904</v>
      </c>
      <c r="M47" s="9">
        <f t="shared" ref="M47:M59" si="28">SUM(K47:L47)</f>
        <v>1755</v>
      </c>
      <c r="N47" s="7">
        <f>N41</f>
        <v>794</v>
      </c>
      <c r="O47" s="8">
        <f>O41</f>
        <v>892</v>
      </c>
      <c r="P47" s="9">
        <f t="shared" ref="P47:P84" si="29">SUM(N47:O47)</f>
        <v>1686</v>
      </c>
      <c r="Q47" s="9">
        <f t="shared" ref="Q47:Q84" si="30">M47+P47</f>
        <v>3441</v>
      </c>
    </row>
    <row r="48" spans="1:19" x14ac:dyDescent="0.15">
      <c r="A48" s="10" t="s">
        <v>5</v>
      </c>
      <c r="B48" s="11">
        <v>5</v>
      </c>
      <c r="C48" s="12"/>
      <c r="D48" s="13">
        <f t="shared" si="25"/>
        <v>5</v>
      </c>
      <c r="E48" s="62">
        <v>3</v>
      </c>
      <c r="F48" s="12">
        <v>5</v>
      </c>
      <c r="G48" s="13">
        <f t="shared" si="26"/>
        <v>8</v>
      </c>
      <c r="H48" s="13">
        <f t="shared" si="27"/>
        <v>13</v>
      </c>
      <c r="I48" s="81">
        <v>44132</v>
      </c>
      <c r="J48" s="10" t="s">
        <v>5</v>
      </c>
      <c r="K48" s="11"/>
      <c r="L48" s="12"/>
      <c r="M48" s="13">
        <f t="shared" si="28"/>
        <v>0</v>
      </c>
      <c r="N48" s="62"/>
      <c r="O48" s="12"/>
      <c r="P48" s="13">
        <f t="shared" si="29"/>
        <v>0</v>
      </c>
      <c r="Q48" s="13">
        <f t="shared" si="30"/>
        <v>0</v>
      </c>
      <c r="R48" s="83"/>
    </row>
    <row r="49" spans="1:18" x14ac:dyDescent="0.15">
      <c r="A49" s="10" t="s">
        <v>61</v>
      </c>
      <c r="B49" s="15">
        <v>1</v>
      </c>
      <c r="C49" s="16"/>
      <c r="D49" s="17">
        <f t="shared" si="25"/>
        <v>1</v>
      </c>
      <c r="E49" s="18">
        <v>1</v>
      </c>
      <c r="F49" s="16"/>
      <c r="G49" s="17">
        <f t="shared" si="26"/>
        <v>1</v>
      </c>
      <c r="H49" s="17">
        <f t="shared" si="27"/>
        <v>2</v>
      </c>
      <c r="I49" s="81">
        <v>44132</v>
      </c>
      <c r="J49" s="10" t="s">
        <v>6</v>
      </c>
      <c r="K49" s="15"/>
      <c r="L49" s="16"/>
      <c r="M49" s="17">
        <f t="shared" si="28"/>
        <v>0</v>
      </c>
      <c r="N49" s="18"/>
      <c r="O49" s="16"/>
      <c r="P49" s="17">
        <f t="shared" si="29"/>
        <v>0</v>
      </c>
      <c r="Q49" s="17">
        <f t="shared" si="30"/>
        <v>0</v>
      </c>
      <c r="R49" s="83"/>
    </row>
    <row r="50" spans="1:18" x14ac:dyDescent="0.15">
      <c r="A50" s="10" t="s">
        <v>7</v>
      </c>
      <c r="B50" s="19">
        <v>5</v>
      </c>
      <c r="C50" s="20"/>
      <c r="D50" s="17">
        <f t="shared" si="25"/>
        <v>5</v>
      </c>
      <c r="E50" s="21">
        <v>10</v>
      </c>
      <c r="F50" s="20">
        <v>5</v>
      </c>
      <c r="G50" s="17">
        <f t="shared" si="26"/>
        <v>15</v>
      </c>
      <c r="H50" s="17">
        <f t="shared" si="27"/>
        <v>20</v>
      </c>
      <c r="I50" s="81">
        <v>44146</v>
      </c>
      <c r="J50" s="10" t="s">
        <v>7</v>
      </c>
      <c r="K50" s="19"/>
      <c r="L50" s="20"/>
      <c r="M50" s="17">
        <f t="shared" si="28"/>
        <v>0</v>
      </c>
      <c r="N50" s="21"/>
      <c r="O50" s="20"/>
      <c r="P50" s="17">
        <f t="shared" si="29"/>
        <v>0</v>
      </c>
      <c r="Q50" s="17">
        <f t="shared" si="30"/>
        <v>0</v>
      </c>
      <c r="R50" s="83"/>
    </row>
    <row r="51" spans="1:18" x14ac:dyDescent="0.15">
      <c r="A51" s="10" t="s">
        <v>76</v>
      </c>
      <c r="B51" s="15"/>
      <c r="C51" s="16"/>
      <c r="D51" s="17">
        <f t="shared" si="25"/>
        <v>0</v>
      </c>
      <c r="E51" s="18">
        <v>1</v>
      </c>
      <c r="F51" s="16"/>
      <c r="G51" s="17">
        <f t="shared" si="26"/>
        <v>1</v>
      </c>
      <c r="H51" s="17">
        <f t="shared" si="27"/>
        <v>1</v>
      </c>
      <c r="I51" s="81">
        <v>44147</v>
      </c>
      <c r="J51" s="10" t="s">
        <v>8</v>
      </c>
      <c r="K51" s="15"/>
      <c r="L51" s="16"/>
      <c r="M51" s="17">
        <f t="shared" si="28"/>
        <v>0</v>
      </c>
      <c r="N51" s="18"/>
      <c r="O51" s="16"/>
      <c r="P51" s="17">
        <f t="shared" si="29"/>
        <v>0</v>
      </c>
      <c r="Q51" s="17">
        <f t="shared" si="30"/>
        <v>0</v>
      </c>
      <c r="R51" s="83"/>
    </row>
    <row r="52" spans="1:18" x14ac:dyDescent="0.15">
      <c r="A52" s="10" t="s">
        <v>78</v>
      </c>
      <c r="B52" s="15">
        <v>2</v>
      </c>
      <c r="C52" s="16">
        <v>1</v>
      </c>
      <c r="D52" s="17">
        <f t="shared" si="25"/>
        <v>3</v>
      </c>
      <c r="E52" s="18"/>
      <c r="F52" s="16">
        <v>3</v>
      </c>
      <c r="G52" s="17">
        <f t="shared" si="26"/>
        <v>3</v>
      </c>
      <c r="H52" s="17">
        <f t="shared" si="27"/>
        <v>6</v>
      </c>
      <c r="I52" s="84">
        <v>44153</v>
      </c>
      <c r="J52" s="10" t="s">
        <v>9</v>
      </c>
      <c r="K52" s="15"/>
      <c r="L52" s="16"/>
      <c r="M52" s="17">
        <f t="shared" si="28"/>
        <v>0</v>
      </c>
      <c r="N52" s="18"/>
      <c r="O52" s="16"/>
      <c r="P52" s="17">
        <f t="shared" si="29"/>
        <v>0</v>
      </c>
      <c r="Q52" s="17">
        <f t="shared" si="30"/>
        <v>0</v>
      </c>
      <c r="R52" s="83"/>
    </row>
    <row r="53" spans="1:18" x14ac:dyDescent="0.15">
      <c r="A53" s="10" t="s">
        <v>78</v>
      </c>
      <c r="B53" s="15"/>
      <c r="C53" s="16">
        <v>5</v>
      </c>
      <c r="D53" s="17">
        <f t="shared" si="25"/>
        <v>5</v>
      </c>
      <c r="E53" s="18"/>
      <c r="F53" s="16">
        <v>3</v>
      </c>
      <c r="G53" s="17">
        <f t="shared" si="26"/>
        <v>3</v>
      </c>
      <c r="H53" s="17">
        <f t="shared" si="27"/>
        <v>8</v>
      </c>
      <c r="I53" s="81">
        <v>44181</v>
      </c>
      <c r="J53" s="10" t="s">
        <v>10</v>
      </c>
      <c r="K53" s="15"/>
      <c r="L53" s="16"/>
      <c r="M53" s="17">
        <f t="shared" si="28"/>
        <v>0</v>
      </c>
      <c r="N53" s="18"/>
      <c r="O53" s="16"/>
      <c r="P53" s="17">
        <f t="shared" si="29"/>
        <v>0</v>
      </c>
      <c r="Q53" s="17">
        <f t="shared" si="30"/>
        <v>0</v>
      </c>
      <c r="R53" s="83"/>
    </row>
    <row r="54" spans="1:18" x14ac:dyDescent="0.15">
      <c r="A54" s="63" t="s">
        <v>80</v>
      </c>
      <c r="B54" s="23">
        <v>1</v>
      </c>
      <c r="C54" s="24"/>
      <c r="D54" s="17">
        <f t="shared" si="25"/>
        <v>1</v>
      </c>
      <c r="E54" s="25">
        <v>1</v>
      </c>
      <c r="F54" s="24"/>
      <c r="G54" s="17">
        <f t="shared" si="26"/>
        <v>1</v>
      </c>
      <c r="H54" s="17">
        <f t="shared" si="27"/>
        <v>2</v>
      </c>
      <c r="I54" s="84">
        <v>44169</v>
      </c>
      <c r="J54" s="10" t="s">
        <v>11</v>
      </c>
      <c r="K54" s="23"/>
      <c r="L54" s="24"/>
      <c r="M54" s="17">
        <f t="shared" si="28"/>
        <v>0</v>
      </c>
      <c r="N54" s="25"/>
      <c r="O54" s="24"/>
      <c r="P54" s="17">
        <f t="shared" si="29"/>
        <v>0</v>
      </c>
      <c r="Q54" s="17">
        <f t="shared" si="30"/>
        <v>0</v>
      </c>
    </row>
    <row r="55" spans="1:18" ht="14.25" thickBot="1" x14ac:dyDescent="0.2">
      <c r="A55" s="10" t="s">
        <v>12</v>
      </c>
      <c r="B55" s="26"/>
      <c r="C55" s="27"/>
      <c r="D55" s="28">
        <f t="shared" si="25"/>
        <v>0</v>
      </c>
      <c r="E55" s="29">
        <v>15</v>
      </c>
      <c r="F55" s="29">
        <v>5</v>
      </c>
      <c r="G55" s="28">
        <f t="shared" si="26"/>
        <v>20</v>
      </c>
      <c r="H55" s="30">
        <f t="shared" si="27"/>
        <v>20</v>
      </c>
      <c r="I55" s="81">
        <v>44173</v>
      </c>
      <c r="J55" s="10" t="s">
        <v>12</v>
      </c>
      <c r="K55" s="26"/>
      <c r="L55" s="27"/>
      <c r="M55" s="28">
        <f t="shared" si="28"/>
        <v>0</v>
      </c>
      <c r="N55" s="29"/>
      <c r="O55" s="29"/>
      <c r="P55" s="28">
        <f t="shared" si="29"/>
        <v>0</v>
      </c>
      <c r="Q55" s="30">
        <f t="shared" si="30"/>
        <v>0</v>
      </c>
    </row>
    <row r="56" spans="1:18" ht="14.25" thickBot="1" x14ac:dyDescent="0.2">
      <c r="A56" s="31" t="s">
        <v>13</v>
      </c>
      <c r="B56" s="32">
        <f>SUM(B47:B55)</f>
        <v>22</v>
      </c>
      <c r="C56" s="33">
        <f>SUM(C47:C55)</f>
        <v>16</v>
      </c>
      <c r="D56" s="34">
        <f t="shared" si="25"/>
        <v>38</v>
      </c>
      <c r="E56" s="32">
        <f>SUM(E47:E55)</f>
        <v>40</v>
      </c>
      <c r="F56" s="33">
        <f>SUM(F47:F55)</f>
        <v>30</v>
      </c>
      <c r="G56" s="34">
        <f t="shared" si="26"/>
        <v>70</v>
      </c>
      <c r="H56" s="34">
        <f t="shared" si="27"/>
        <v>108</v>
      </c>
      <c r="J56" s="31" t="s">
        <v>13</v>
      </c>
      <c r="K56" s="32">
        <f>SUM(K47:K55)</f>
        <v>851</v>
      </c>
      <c r="L56" s="33">
        <f>SUM(L47:L55)</f>
        <v>904</v>
      </c>
      <c r="M56" s="34">
        <f t="shared" si="28"/>
        <v>1755</v>
      </c>
      <c r="N56" s="32">
        <f>SUM(N47:N55)</f>
        <v>794</v>
      </c>
      <c r="O56" s="33">
        <f>SUM(O47:O55)</f>
        <v>892</v>
      </c>
      <c r="P56" s="34">
        <f t="shared" si="29"/>
        <v>1686</v>
      </c>
      <c r="Q56" s="34">
        <f t="shared" si="30"/>
        <v>3441</v>
      </c>
    </row>
    <row r="57" spans="1:18" x14ac:dyDescent="0.15">
      <c r="A57" s="38" t="s">
        <v>56</v>
      </c>
      <c r="B57" s="48"/>
      <c r="C57" s="49"/>
      <c r="D57" s="50">
        <f t="shared" si="25"/>
        <v>0</v>
      </c>
      <c r="E57" s="51"/>
      <c r="F57" s="49">
        <v>3</v>
      </c>
      <c r="G57" s="50">
        <f t="shared" si="26"/>
        <v>3</v>
      </c>
      <c r="H57" s="50">
        <f t="shared" si="27"/>
        <v>3</v>
      </c>
      <c r="I57" s="84">
        <v>44130</v>
      </c>
      <c r="J57" s="38" t="s">
        <v>67</v>
      </c>
      <c r="K57" s="48"/>
      <c r="L57" s="49">
        <v>1</v>
      </c>
      <c r="M57" s="50">
        <f t="shared" si="28"/>
        <v>1</v>
      </c>
      <c r="N57" s="51"/>
      <c r="O57" s="49">
        <v>1</v>
      </c>
      <c r="P57" s="50">
        <f t="shared" si="29"/>
        <v>1</v>
      </c>
      <c r="Q57" s="50">
        <f t="shared" si="30"/>
        <v>2</v>
      </c>
      <c r="R57" s="81">
        <v>44128</v>
      </c>
    </row>
    <row r="58" spans="1:18" x14ac:dyDescent="0.15">
      <c r="A58" s="38" t="s">
        <v>69</v>
      </c>
      <c r="B58" s="19">
        <v>1</v>
      </c>
      <c r="C58" s="20"/>
      <c r="D58" s="36">
        <f t="shared" si="25"/>
        <v>1</v>
      </c>
      <c r="E58" s="21">
        <v>1</v>
      </c>
      <c r="F58" s="20"/>
      <c r="G58" s="36">
        <f t="shared" si="26"/>
        <v>1</v>
      </c>
      <c r="H58" s="36">
        <f t="shared" si="27"/>
        <v>2</v>
      </c>
      <c r="I58" s="81">
        <v>44132</v>
      </c>
      <c r="J58" s="37" t="s">
        <v>68</v>
      </c>
      <c r="K58" s="19"/>
      <c r="L58" s="20">
        <v>4</v>
      </c>
      <c r="M58" s="36">
        <f t="shared" si="28"/>
        <v>4</v>
      </c>
      <c r="N58" s="21"/>
      <c r="O58" s="20">
        <v>31</v>
      </c>
      <c r="P58" s="36">
        <f t="shared" si="29"/>
        <v>31</v>
      </c>
      <c r="Q58" s="36">
        <f t="shared" si="30"/>
        <v>35</v>
      </c>
      <c r="R58" s="81">
        <v>44134</v>
      </c>
    </row>
    <row r="59" spans="1:18" x14ac:dyDescent="0.15">
      <c r="A59" s="38" t="s">
        <v>56</v>
      </c>
      <c r="B59" s="15"/>
      <c r="C59" s="16"/>
      <c r="D59" s="36">
        <f t="shared" si="25"/>
        <v>0</v>
      </c>
      <c r="E59" s="18">
        <v>1</v>
      </c>
      <c r="F59" s="16"/>
      <c r="G59" s="36">
        <f t="shared" si="26"/>
        <v>1</v>
      </c>
      <c r="H59" s="17">
        <f t="shared" si="27"/>
        <v>1</v>
      </c>
      <c r="I59" s="84">
        <v>44132</v>
      </c>
      <c r="J59" s="37" t="s">
        <v>70</v>
      </c>
      <c r="K59" s="15">
        <v>5</v>
      </c>
      <c r="L59" s="16"/>
      <c r="M59" s="36">
        <f t="shared" si="28"/>
        <v>5</v>
      </c>
      <c r="N59" s="18">
        <v>3</v>
      </c>
      <c r="O59" s="16">
        <v>5</v>
      </c>
      <c r="P59" s="36">
        <f t="shared" si="29"/>
        <v>8</v>
      </c>
      <c r="Q59" s="17">
        <f t="shared" si="30"/>
        <v>13</v>
      </c>
      <c r="R59" s="81">
        <v>44132</v>
      </c>
    </row>
    <row r="60" spans="1:18" x14ac:dyDescent="0.15">
      <c r="A60" s="38" t="s">
        <v>72</v>
      </c>
      <c r="B60" s="15"/>
      <c r="C60" s="16">
        <v>1</v>
      </c>
      <c r="D60" s="17">
        <f>SUM(B60:C60)</f>
        <v>1</v>
      </c>
      <c r="E60" s="18"/>
      <c r="F60" s="16">
        <v>1</v>
      </c>
      <c r="G60" s="17">
        <f t="shared" si="26"/>
        <v>1</v>
      </c>
      <c r="H60" s="17">
        <f t="shared" si="27"/>
        <v>2</v>
      </c>
      <c r="I60" s="81">
        <v>44135</v>
      </c>
      <c r="J60" s="52" t="s">
        <v>71</v>
      </c>
      <c r="K60" s="15">
        <v>3</v>
      </c>
      <c r="L60" s="16">
        <v>7</v>
      </c>
      <c r="M60" s="17">
        <f>SUM(K60:L60)</f>
        <v>10</v>
      </c>
      <c r="N60" s="18">
        <v>10</v>
      </c>
      <c r="O60" s="16">
        <v>15</v>
      </c>
      <c r="P60" s="17">
        <f t="shared" si="29"/>
        <v>25</v>
      </c>
      <c r="Q60" s="17">
        <f t="shared" si="30"/>
        <v>35</v>
      </c>
      <c r="R60" s="81">
        <v>44144</v>
      </c>
    </row>
    <row r="61" spans="1:18" x14ac:dyDescent="0.15">
      <c r="A61" s="35" t="s">
        <v>56</v>
      </c>
      <c r="B61" s="15"/>
      <c r="C61" s="16"/>
      <c r="D61" s="36">
        <f t="shared" ref="D61:D78" si="31">SUM(B61:C61)</f>
        <v>0</v>
      </c>
      <c r="E61" s="18">
        <v>3</v>
      </c>
      <c r="F61" s="16"/>
      <c r="G61" s="36">
        <f t="shared" si="26"/>
        <v>3</v>
      </c>
      <c r="H61" s="17">
        <f t="shared" si="27"/>
        <v>3</v>
      </c>
      <c r="I61" s="84">
        <v>44137</v>
      </c>
      <c r="J61" s="38" t="s">
        <v>73</v>
      </c>
      <c r="K61" s="15"/>
      <c r="L61" s="16">
        <v>3</v>
      </c>
      <c r="M61" s="36">
        <f t="shared" ref="M61:M78" si="32">SUM(K61:L61)</f>
        <v>3</v>
      </c>
      <c r="N61" s="18"/>
      <c r="O61" s="16">
        <v>3</v>
      </c>
      <c r="P61" s="36">
        <f t="shared" si="29"/>
        <v>3</v>
      </c>
      <c r="Q61" s="17">
        <f t="shared" si="30"/>
        <v>6</v>
      </c>
      <c r="R61" s="81">
        <v>44138</v>
      </c>
    </row>
    <row r="62" spans="1:18" x14ac:dyDescent="0.15">
      <c r="A62" s="35" t="s">
        <v>56</v>
      </c>
      <c r="B62" s="15"/>
      <c r="C62" s="16"/>
      <c r="D62" s="36">
        <f t="shared" si="31"/>
        <v>0</v>
      </c>
      <c r="E62" s="18">
        <v>1</v>
      </c>
      <c r="F62" s="16"/>
      <c r="G62" s="36">
        <f t="shared" si="26"/>
        <v>1</v>
      </c>
      <c r="H62" s="17">
        <f t="shared" si="27"/>
        <v>1</v>
      </c>
      <c r="I62" s="84">
        <v>44139</v>
      </c>
      <c r="J62" s="37" t="s">
        <v>30</v>
      </c>
      <c r="K62" s="15">
        <v>5</v>
      </c>
      <c r="L62" s="16"/>
      <c r="M62" s="36">
        <f t="shared" si="32"/>
        <v>5</v>
      </c>
      <c r="N62" s="18">
        <v>10</v>
      </c>
      <c r="O62" s="16">
        <v>5</v>
      </c>
      <c r="P62" s="36">
        <f t="shared" si="29"/>
        <v>15</v>
      </c>
      <c r="Q62" s="17">
        <f t="shared" si="30"/>
        <v>20</v>
      </c>
      <c r="R62" s="81">
        <v>44146</v>
      </c>
    </row>
    <row r="63" spans="1:18" x14ac:dyDescent="0.15">
      <c r="A63" s="35" t="s">
        <v>56</v>
      </c>
      <c r="B63" s="15"/>
      <c r="C63" s="16"/>
      <c r="D63" s="36">
        <f t="shared" si="31"/>
        <v>0</v>
      </c>
      <c r="E63" s="18">
        <v>1</v>
      </c>
      <c r="F63" s="16">
        <v>1</v>
      </c>
      <c r="G63" s="36">
        <f t="shared" si="26"/>
        <v>2</v>
      </c>
      <c r="H63" s="17">
        <f t="shared" si="27"/>
        <v>2</v>
      </c>
      <c r="I63" s="84">
        <v>44140</v>
      </c>
      <c r="J63" s="37" t="s">
        <v>77</v>
      </c>
      <c r="K63" s="15"/>
      <c r="L63" s="16">
        <v>20</v>
      </c>
      <c r="M63" s="36">
        <f t="shared" si="32"/>
        <v>20</v>
      </c>
      <c r="N63" s="18">
        <v>41</v>
      </c>
      <c r="O63" s="16">
        <v>38</v>
      </c>
      <c r="P63" s="36">
        <f t="shared" si="29"/>
        <v>79</v>
      </c>
      <c r="Q63" s="17">
        <f t="shared" si="30"/>
        <v>99</v>
      </c>
      <c r="R63" s="81">
        <v>44155</v>
      </c>
    </row>
    <row r="64" spans="1:18" x14ac:dyDescent="0.15">
      <c r="A64" s="35" t="s">
        <v>56</v>
      </c>
      <c r="B64" s="15">
        <v>4</v>
      </c>
      <c r="C64" s="16">
        <v>1</v>
      </c>
      <c r="D64" s="36">
        <f t="shared" si="31"/>
        <v>5</v>
      </c>
      <c r="E64" s="18">
        <v>2</v>
      </c>
      <c r="F64" s="16">
        <v>2</v>
      </c>
      <c r="G64" s="36">
        <f t="shared" si="26"/>
        <v>4</v>
      </c>
      <c r="H64" s="17">
        <f t="shared" si="27"/>
        <v>9</v>
      </c>
      <c r="I64" s="84">
        <v>44144</v>
      </c>
      <c r="J64" s="52" t="s">
        <v>79</v>
      </c>
      <c r="K64" s="15"/>
      <c r="L64" s="16"/>
      <c r="M64" s="36">
        <f t="shared" si="32"/>
        <v>0</v>
      </c>
      <c r="N64" s="18">
        <v>15</v>
      </c>
      <c r="O64" s="16">
        <v>14</v>
      </c>
      <c r="P64" s="36">
        <f t="shared" si="29"/>
        <v>29</v>
      </c>
      <c r="Q64" s="17">
        <f t="shared" si="30"/>
        <v>29</v>
      </c>
      <c r="R64" s="81">
        <v>44166</v>
      </c>
    </row>
    <row r="65" spans="1:19" x14ac:dyDescent="0.15">
      <c r="A65" s="35" t="s">
        <v>56</v>
      </c>
      <c r="B65" s="15">
        <v>1</v>
      </c>
      <c r="C65" s="16"/>
      <c r="D65" s="36">
        <f t="shared" si="31"/>
        <v>1</v>
      </c>
      <c r="E65" s="18">
        <v>2</v>
      </c>
      <c r="F65" s="16"/>
      <c r="G65" s="36">
        <f t="shared" si="26"/>
        <v>2</v>
      </c>
      <c r="H65" s="17">
        <f t="shared" si="27"/>
        <v>3</v>
      </c>
      <c r="I65" s="84">
        <v>44145</v>
      </c>
      <c r="J65" s="35" t="s">
        <v>81</v>
      </c>
      <c r="K65" s="15"/>
      <c r="L65" s="16"/>
      <c r="M65" s="36">
        <f t="shared" si="32"/>
        <v>0</v>
      </c>
      <c r="N65" s="18">
        <v>15</v>
      </c>
      <c r="O65" s="16">
        <v>5</v>
      </c>
      <c r="P65" s="36">
        <f t="shared" si="29"/>
        <v>20</v>
      </c>
      <c r="Q65" s="17">
        <f t="shared" si="30"/>
        <v>20</v>
      </c>
      <c r="R65" s="81">
        <v>44173</v>
      </c>
    </row>
    <row r="66" spans="1:19" x14ac:dyDescent="0.15">
      <c r="A66" s="35" t="s">
        <v>56</v>
      </c>
      <c r="B66" s="23">
        <v>1</v>
      </c>
      <c r="C66" s="24"/>
      <c r="D66" s="36">
        <f t="shared" si="31"/>
        <v>1</v>
      </c>
      <c r="E66" s="25"/>
      <c r="F66" s="24"/>
      <c r="G66" s="36">
        <f t="shared" si="26"/>
        <v>0</v>
      </c>
      <c r="H66" s="17">
        <f t="shared" si="27"/>
        <v>1</v>
      </c>
      <c r="I66" s="84">
        <v>44148</v>
      </c>
      <c r="J66" s="37" t="s">
        <v>82</v>
      </c>
      <c r="K66" s="23">
        <v>5</v>
      </c>
      <c r="L66" s="24"/>
      <c r="M66" s="36">
        <f t="shared" si="32"/>
        <v>5</v>
      </c>
      <c r="N66" s="25"/>
      <c r="O66" s="24"/>
      <c r="P66" s="36">
        <f t="shared" si="29"/>
        <v>0</v>
      </c>
      <c r="Q66" s="17">
        <f t="shared" si="30"/>
        <v>5</v>
      </c>
      <c r="R66" s="81">
        <v>44180</v>
      </c>
    </row>
    <row r="67" spans="1:19" x14ac:dyDescent="0.15">
      <c r="A67" s="35" t="s">
        <v>56</v>
      </c>
      <c r="B67" s="15">
        <v>2</v>
      </c>
      <c r="C67" s="16"/>
      <c r="D67" s="36">
        <f t="shared" si="31"/>
        <v>2</v>
      </c>
      <c r="E67" s="18">
        <v>2</v>
      </c>
      <c r="F67" s="16"/>
      <c r="G67" s="36">
        <f t="shared" si="26"/>
        <v>2</v>
      </c>
      <c r="H67" s="17">
        <f t="shared" si="27"/>
        <v>4</v>
      </c>
      <c r="I67" s="84">
        <v>44151</v>
      </c>
      <c r="J67" s="52" t="s">
        <v>83</v>
      </c>
      <c r="K67" s="15">
        <v>5</v>
      </c>
      <c r="L67" s="16"/>
      <c r="M67" s="36">
        <f t="shared" si="32"/>
        <v>5</v>
      </c>
      <c r="N67" s="18"/>
      <c r="O67" s="16"/>
      <c r="P67" s="36">
        <f t="shared" si="29"/>
        <v>0</v>
      </c>
      <c r="Q67" s="17">
        <f t="shared" si="30"/>
        <v>5</v>
      </c>
      <c r="R67" s="84">
        <v>44179</v>
      </c>
    </row>
    <row r="68" spans="1:19" x14ac:dyDescent="0.15">
      <c r="A68" s="35" t="s">
        <v>56</v>
      </c>
      <c r="B68" s="15"/>
      <c r="C68" s="16"/>
      <c r="D68" s="36">
        <f t="shared" si="31"/>
        <v>0</v>
      </c>
      <c r="E68" s="18">
        <v>1</v>
      </c>
      <c r="F68" s="16">
        <v>2</v>
      </c>
      <c r="G68" s="36">
        <f t="shared" si="26"/>
        <v>3</v>
      </c>
      <c r="H68" s="17">
        <f t="shared" si="27"/>
        <v>3</v>
      </c>
      <c r="I68" s="84">
        <v>44155</v>
      </c>
      <c r="J68" s="37" t="s">
        <v>84</v>
      </c>
      <c r="K68" s="15">
        <v>18</v>
      </c>
      <c r="L68" s="16"/>
      <c r="M68" s="36">
        <f t="shared" si="32"/>
        <v>18</v>
      </c>
      <c r="N68" s="18"/>
      <c r="O68" s="16"/>
      <c r="P68" s="36">
        <f t="shared" si="29"/>
        <v>0</v>
      </c>
      <c r="Q68" s="17">
        <f t="shared" si="30"/>
        <v>18</v>
      </c>
      <c r="R68" s="81">
        <v>44183</v>
      </c>
    </row>
    <row r="69" spans="1:19" x14ac:dyDescent="0.15">
      <c r="A69" s="35" t="s">
        <v>56</v>
      </c>
      <c r="B69" s="15"/>
      <c r="C69" s="16"/>
      <c r="D69" s="36">
        <f t="shared" si="31"/>
        <v>0</v>
      </c>
      <c r="E69" s="18"/>
      <c r="F69" s="16">
        <v>2</v>
      </c>
      <c r="G69" s="36">
        <f t="shared" si="26"/>
        <v>2</v>
      </c>
      <c r="H69" s="17">
        <f t="shared" si="27"/>
        <v>2</v>
      </c>
      <c r="I69" s="84">
        <v>44156</v>
      </c>
      <c r="J69" s="35"/>
      <c r="K69" s="15"/>
      <c r="L69" s="16"/>
      <c r="M69" s="36">
        <f t="shared" si="32"/>
        <v>0</v>
      </c>
      <c r="N69" s="18"/>
      <c r="O69" s="16"/>
      <c r="P69" s="36">
        <f t="shared" si="29"/>
        <v>0</v>
      </c>
      <c r="Q69" s="17">
        <f t="shared" si="30"/>
        <v>0</v>
      </c>
      <c r="R69" s="81"/>
      <c r="S69" s="22"/>
    </row>
    <row r="70" spans="1:19" x14ac:dyDescent="0.15">
      <c r="A70" s="35" t="s">
        <v>56</v>
      </c>
      <c r="B70" s="15">
        <v>2</v>
      </c>
      <c r="C70" s="16">
        <v>1</v>
      </c>
      <c r="D70" s="17">
        <f t="shared" si="31"/>
        <v>3</v>
      </c>
      <c r="E70" s="18">
        <v>2</v>
      </c>
      <c r="F70" s="16"/>
      <c r="G70" s="17">
        <f t="shared" si="26"/>
        <v>2</v>
      </c>
      <c r="H70" s="17">
        <f t="shared" si="27"/>
        <v>5</v>
      </c>
      <c r="I70" s="84">
        <v>44159</v>
      </c>
      <c r="J70" s="35"/>
      <c r="K70" s="15"/>
      <c r="L70" s="16"/>
      <c r="M70" s="17">
        <f t="shared" si="32"/>
        <v>0</v>
      </c>
      <c r="N70" s="18"/>
      <c r="O70" s="16"/>
      <c r="P70" s="17">
        <f t="shared" si="29"/>
        <v>0</v>
      </c>
      <c r="Q70" s="17">
        <f t="shared" si="30"/>
        <v>0</v>
      </c>
      <c r="R70" s="81"/>
      <c r="S70" s="22"/>
    </row>
    <row r="71" spans="1:19" x14ac:dyDescent="0.15">
      <c r="A71" s="35" t="s">
        <v>56</v>
      </c>
      <c r="B71" s="15"/>
      <c r="C71" s="16">
        <v>1</v>
      </c>
      <c r="D71" s="36">
        <f t="shared" si="31"/>
        <v>1</v>
      </c>
      <c r="E71" s="18"/>
      <c r="F71" s="16"/>
      <c r="G71" s="36">
        <f t="shared" si="26"/>
        <v>0</v>
      </c>
      <c r="H71" s="17">
        <f t="shared" si="27"/>
        <v>1</v>
      </c>
      <c r="I71" s="84">
        <v>44160</v>
      </c>
      <c r="J71" s="35"/>
      <c r="K71" s="15"/>
      <c r="L71" s="16"/>
      <c r="M71" s="36">
        <f t="shared" si="32"/>
        <v>0</v>
      </c>
      <c r="N71" s="18"/>
      <c r="O71" s="16"/>
      <c r="P71" s="36">
        <f t="shared" si="29"/>
        <v>0</v>
      </c>
      <c r="Q71" s="17">
        <f t="shared" si="30"/>
        <v>0</v>
      </c>
      <c r="R71" s="81"/>
      <c r="S71" s="22"/>
    </row>
    <row r="72" spans="1:19" x14ac:dyDescent="0.15">
      <c r="A72" s="35" t="s">
        <v>56</v>
      </c>
      <c r="B72" s="15"/>
      <c r="C72" s="16"/>
      <c r="D72" s="36">
        <f t="shared" si="31"/>
        <v>0</v>
      </c>
      <c r="E72" s="18"/>
      <c r="F72" s="16">
        <v>1</v>
      </c>
      <c r="G72" s="36">
        <f t="shared" si="26"/>
        <v>1</v>
      </c>
      <c r="H72" s="17">
        <f t="shared" si="27"/>
        <v>1</v>
      </c>
      <c r="I72" s="84">
        <v>44161</v>
      </c>
      <c r="J72" s="37"/>
      <c r="K72" s="15"/>
      <c r="L72" s="16"/>
      <c r="M72" s="36">
        <f t="shared" si="32"/>
        <v>0</v>
      </c>
      <c r="N72" s="18"/>
      <c r="O72" s="16"/>
      <c r="P72" s="36">
        <f t="shared" si="29"/>
        <v>0</v>
      </c>
      <c r="Q72" s="17">
        <f t="shared" si="30"/>
        <v>0</v>
      </c>
      <c r="R72" s="81"/>
      <c r="S72" s="22"/>
    </row>
    <row r="73" spans="1:19" x14ac:dyDescent="0.15">
      <c r="A73" s="35" t="s">
        <v>56</v>
      </c>
      <c r="B73" s="15">
        <v>1</v>
      </c>
      <c r="C73" s="16">
        <v>1</v>
      </c>
      <c r="D73" s="36">
        <f t="shared" si="31"/>
        <v>2</v>
      </c>
      <c r="E73" s="18">
        <v>7</v>
      </c>
      <c r="F73" s="16">
        <v>2</v>
      </c>
      <c r="G73" s="36">
        <f t="shared" si="26"/>
        <v>9</v>
      </c>
      <c r="H73" s="17">
        <f t="shared" si="27"/>
        <v>11</v>
      </c>
      <c r="I73" s="84">
        <v>44172</v>
      </c>
      <c r="J73" s="35"/>
      <c r="K73" s="15"/>
      <c r="L73" s="16"/>
      <c r="M73" s="36">
        <f t="shared" ref="M73:M75" si="33">SUM(K73:L73)</f>
        <v>0</v>
      </c>
      <c r="N73" s="18"/>
      <c r="O73" s="16"/>
      <c r="P73" s="36">
        <f t="shared" ref="P73:P75" si="34">SUM(N73:O73)</f>
        <v>0</v>
      </c>
      <c r="Q73" s="17">
        <f t="shared" ref="Q73:Q75" si="35">M73+P73</f>
        <v>0</v>
      </c>
      <c r="R73" s="81"/>
      <c r="S73" s="22"/>
    </row>
    <row r="74" spans="1:19" x14ac:dyDescent="0.15">
      <c r="A74" s="35" t="s">
        <v>56</v>
      </c>
      <c r="B74" s="15"/>
      <c r="C74" s="16">
        <v>1</v>
      </c>
      <c r="D74" s="36">
        <f t="shared" si="31"/>
        <v>1</v>
      </c>
      <c r="E74" s="18">
        <v>1</v>
      </c>
      <c r="F74" s="16"/>
      <c r="G74" s="36">
        <f t="shared" si="26"/>
        <v>1</v>
      </c>
      <c r="H74" s="17">
        <f t="shared" si="27"/>
        <v>2</v>
      </c>
      <c r="I74" s="84">
        <v>44173</v>
      </c>
      <c r="J74" s="35"/>
      <c r="K74" s="15"/>
      <c r="L74" s="16"/>
      <c r="M74" s="17">
        <f t="shared" si="33"/>
        <v>0</v>
      </c>
      <c r="N74" s="18"/>
      <c r="O74" s="16"/>
      <c r="P74" s="17">
        <f t="shared" si="34"/>
        <v>0</v>
      </c>
      <c r="Q74" s="17">
        <f t="shared" si="35"/>
        <v>0</v>
      </c>
      <c r="R74" s="81"/>
      <c r="S74" s="22"/>
    </row>
    <row r="75" spans="1:19" x14ac:dyDescent="0.15">
      <c r="A75" s="35" t="s">
        <v>56</v>
      </c>
      <c r="B75" s="15"/>
      <c r="C75" s="16"/>
      <c r="D75" s="36">
        <f t="shared" si="31"/>
        <v>0</v>
      </c>
      <c r="E75" s="18">
        <v>2</v>
      </c>
      <c r="F75" s="16"/>
      <c r="G75" s="36">
        <f t="shared" si="26"/>
        <v>2</v>
      </c>
      <c r="H75" s="17">
        <f t="shared" si="27"/>
        <v>2</v>
      </c>
      <c r="I75" s="84">
        <v>44174</v>
      </c>
      <c r="J75" s="35"/>
      <c r="K75" s="15"/>
      <c r="L75" s="16"/>
      <c r="M75" s="36">
        <f t="shared" si="33"/>
        <v>0</v>
      </c>
      <c r="N75" s="18"/>
      <c r="O75" s="16"/>
      <c r="P75" s="36">
        <f t="shared" si="34"/>
        <v>0</v>
      </c>
      <c r="Q75" s="17">
        <f t="shared" si="35"/>
        <v>0</v>
      </c>
      <c r="R75" s="81"/>
      <c r="S75" s="22"/>
    </row>
    <row r="76" spans="1:19" x14ac:dyDescent="0.15">
      <c r="A76" s="35" t="s">
        <v>56</v>
      </c>
      <c r="B76" s="15">
        <v>1</v>
      </c>
      <c r="C76" s="16"/>
      <c r="D76" s="36">
        <f t="shared" si="31"/>
        <v>1</v>
      </c>
      <c r="E76" s="18"/>
      <c r="F76" s="16"/>
      <c r="G76" s="36">
        <f t="shared" si="26"/>
        <v>0</v>
      </c>
      <c r="H76" s="17">
        <f t="shared" si="27"/>
        <v>1</v>
      </c>
      <c r="I76" s="84">
        <v>44175</v>
      </c>
      <c r="J76" s="35"/>
      <c r="K76" s="15"/>
      <c r="L76" s="16"/>
      <c r="M76" s="36">
        <f t="shared" si="32"/>
        <v>0</v>
      </c>
      <c r="N76" s="18"/>
      <c r="O76" s="16"/>
      <c r="P76" s="36">
        <f t="shared" si="29"/>
        <v>0</v>
      </c>
      <c r="Q76" s="17">
        <f t="shared" si="30"/>
        <v>0</v>
      </c>
      <c r="R76" s="83"/>
      <c r="S76" s="22"/>
    </row>
    <row r="77" spans="1:19" x14ac:dyDescent="0.15">
      <c r="A77" s="35" t="s">
        <v>56</v>
      </c>
      <c r="B77" s="15"/>
      <c r="C77" s="16"/>
      <c r="D77" s="36">
        <f t="shared" si="31"/>
        <v>0</v>
      </c>
      <c r="E77" s="18">
        <v>2</v>
      </c>
      <c r="F77" s="16">
        <v>1</v>
      </c>
      <c r="G77" s="36">
        <f t="shared" si="26"/>
        <v>3</v>
      </c>
      <c r="H77" s="17">
        <f t="shared" si="27"/>
        <v>3</v>
      </c>
      <c r="I77" s="84">
        <v>44176</v>
      </c>
      <c r="J77" s="38"/>
      <c r="K77" s="15"/>
      <c r="L77" s="16"/>
      <c r="M77" s="36">
        <f t="shared" si="32"/>
        <v>0</v>
      </c>
      <c r="N77" s="18"/>
      <c r="O77" s="16"/>
      <c r="P77" s="36">
        <f t="shared" si="29"/>
        <v>0</v>
      </c>
      <c r="Q77" s="17">
        <f t="shared" si="30"/>
        <v>0</v>
      </c>
      <c r="R77" s="83"/>
      <c r="S77" s="22"/>
    </row>
    <row r="78" spans="1:19" x14ac:dyDescent="0.15">
      <c r="A78" s="35" t="s">
        <v>56</v>
      </c>
      <c r="B78" s="15"/>
      <c r="C78" s="16"/>
      <c r="D78" s="36">
        <f t="shared" si="31"/>
        <v>0</v>
      </c>
      <c r="E78" s="18">
        <v>3</v>
      </c>
      <c r="F78" s="16"/>
      <c r="G78" s="36">
        <f t="shared" si="26"/>
        <v>3</v>
      </c>
      <c r="H78" s="17">
        <f t="shared" si="27"/>
        <v>3</v>
      </c>
      <c r="I78" s="84">
        <v>44179</v>
      </c>
      <c r="J78" s="35"/>
      <c r="K78" s="15"/>
      <c r="L78" s="16"/>
      <c r="M78" s="36">
        <f t="shared" si="32"/>
        <v>0</v>
      </c>
      <c r="N78" s="18"/>
      <c r="O78" s="16"/>
      <c r="P78" s="36">
        <f t="shared" si="29"/>
        <v>0</v>
      </c>
      <c r="Q78" s="17">
        <f t="shared" si="30"/>
        <v>0</v>
      </c>
      <c r="R78" s="83"/>
      <c r="S78" s="22"/>
    </row>
    <row r="79" spans="1:19" x14ac:dyDescent="0.15">
      <c r="A79" s="35" t="s">
        <v>56</v>
      </c>
      <c r="B79" s="15"/>
      <c r="C79" s="16"/>
      <c r="D79" s="17">
        <f>SUM(B79:C79)</f>
        <v>0</v>
      </c>
      <c r="E79" s="18"/>
      <c r="F79" s="16">
        <v>1</v>
      </c>
      <c r="G79" s="17">
        <f t="shared" si="26"/>
        <v>1</v>
      </c>
      <c r="H79" s="17">
        <f t="shared" si="27"/>
        <v>1</v>
      </c>
      <c r="I79" s="84">
        <v>44180</v>
      </c>
      <c r="J79" s="52"/>
      <c r="K79" s="15"/>
      <c r="L79" s="16"/>
      <c r="M79" s="17">
        <f>SUM(K79:L79)</f>
        <v>0</v>
      </c>
      <c r="N79" s="18"/>
      <c r="O79" s="16"/>
      <c r="P79" s="17">
        <f t="shared" si="29"/>
        <v>0</v>
      </c>
      <c r="Q79" s="17">
        <f t="shared" si="30"/>
        <v>0</v>
      </c>
      <c r="R79" s="83"/>
      <c r="S79" s="22"/>
    </row>
    <row r="80" spans="1:19" x14ac:dyDescent="0.15">
      <c r="A80" s="35" t="s">
        <v>56</v>
      </c>
      <c r="B80" s="15"/>
      <c r="C80" s="16"/>
      <c r="D80" s="36">
        <f t="shared" ref="D80" si="36">SUM(B80:C80)</f>
        <v>0</v>
      </c>
      <c r="E80" s="18">
        <v>2</v>
      </c>
      <c r="F80" s="16"/>
      <c r="G80" s="36">
        <f t="shared" si="26"/>
        <v>2</v>
      </c>
      <c r="H80" s="17">
        <f t="shared" si="27"/>
        <v>2</v>
      </c>
      <c r="I80" s="84">
        <v>44181</v>
      </c>
      <c r="J80" s="35"/>
      <c r="K80" s="15"/>
      <c r="L80" s="16"/>
      <c r="M80" s="36">
        <f t="shared" ref="M80" si="37">SUM(K80:L80)</f>
        <v>0</v>
      </c>
      <c r="N80" s="18"/>
      <c r="O80" s="16"/>
      <c r="P80" s="36">
        <f t="shared" si="29"/>
        <v>0</v>
      </c>
      <c r="Q80" s="17">
        <f t="shared" si="30"/>
        <v>0</v>
      </c>
      <c r="R80" s="83"/>
      <c r="S80" s="22"/>
    </row>
    <row r="81" spans="1:19" x14ac:dyDescent="0.15">
      <c r="A81" s="35" t="s">
        <v>56</v>
      </c>
      <c r="B81" s="15">
        <v>2</v>
      </c>
      <c r="C81" s="16"/>
      <c r="D81" s="17">
        <f>SUM(B81:C81)</f>
        <v>2</v>
      </c>
      <c r="E81" s="18"/>
      <c r="F81" s="16">
        <v>3</v>
      </c>
      <c r="G81" s="17">
        <f t="shared" si="26"/>
        <v>3</v>
      </c>
      <c r="H81" s="17">
        <f t="shared" si="27"/>
        <v>5</v>
      </c>
      <c r="I81" s="84">
        <v>44186</v>
      </c>
      <c r="J81" s="52"/>
      <c r="K81" s="15"/>
      <c r="L81" s="16"/>
      <c r="M81" s="17">
        <f>SUM(K81:L81)</f>
        <v>0</v>
      </c>
      <c r="N81" s="18"/>
      <c r="O81" s="16"/>
      <c r="P81" s="17">
        <f t="shared" si="29"/>
        <v>0</v>
      </c>
      <c r="Q81" s="17">
        <f t="shared" si="30"/>
        <v>0</v>
      </c>
      <c r="R81" s="83"/>
      <c r="S81" s="22"/>
    </row>
    <row r="82" spans="1:19" ht="14.25" thickBot="1" x14ac:dyDescent="0.2">
      <c r="A82" s="35" t="s">
        <v>56</v>
      </c>
      <c r="B82" s="15">
        <v>2</v>
      </c>
      <c r="C82" s="16"/>
      <c r="D82" s="36">
        <f t="shared" ref="D82:D84" si="38">SUM(B82:C82)</f>
        <v>2</v>
      </c>
      <c r="E82" s="18"/>
      <c r="F82" s="16"/>
      <c r="G82" s="36">
        <f t="shared" si="26"/>
        <v>0</v>
      </c>
      <c r="H82" s="17">
        <f t="shared" si="27"/>
        <v>2</v>
      </c>
      <c r="I82" s="81">
        <v>44187</v>
      </c>
      <c r="J82" s="35"/>
      <c r="K82" s="15"/>
      <c r="L82" s="16"/>
      <c r="M82" s="36">
        <f t="shared" ref="M82:M84" si="39">SUM(K82:L82)</f>
        <v>0</v>
      </c>
      <c r="N82" s="18"/>
      <c r="O82" s="16"/>
      <c r="P82" s="36">
        <f t="shared" si="29"/>
        <v>0</v>
      </c>
      <c r="Q82" s="17">
        <f t="shared" si="30"/>
        <v>0</v>
      </c>
      <c r="R82" s="81"/>
      <c r="S82" s="22"/>
    </row>
    <row r="83" spans="1:19" ht="14.25" thickBot="1" x14ac:dyDescent="0.2">
      <c r="A83" s="40" t="s">
        <v>14</v>
      </c>
      <c r="B83" s="41">
        <f>SUM(B57:B82)</f>
        <v>17</v>
      </c>
      <c r="C83" s="42">
        <f t="shared" ref="C83" si="40">SUM(C57:C82)</f>
        <v>6</v>
      </c>
      <c r="D83" s="43">
        <f t="shared" si="38"/>
        <v>23</v>
      </c>
      <c r="E83" s="41">
        <f>SUM(E57:E82)</f>
        <v>33</v>
      </c>
      <c r="F83" s="42">
        <f t="shared" ref="F83" si="41">SUM(F57:F82)</f>
        <v>19</v>
      </c>
      <c r="G83" s="43">
        <f t="shared" si="26"/>
        <v>52</v>
      </c>
      <c r="H83" s="43">
        <f t="shared" si="27"/>
        <v>75</v>
      </c>
      <c r="J83" s="40" t="s">
        <v>14</v>
      </c>
      <c r="K83" s="41">
        <f>SUM(K57:K82)</f>
        <v>41</v>
      </c>
      <c r="L83" s="42">
        <f t="shared" ref="L83" si="42">SUM(L57:L82)</f>
        <v>35</v>
      </c>
      <c r="M83" s="43">
        <f t="shared" si="39"/>
        <v>76</v>
      </c>
      <c r="N83" s="41">
        <f>SUM(N57:N82)</f>
        <v>94</v>
      </c>
      <c r="O83" s="42">
        <f t="shared" ref="O83" si="43">SUM(O57:O82)</f>
        <v>117</v>
      </c>
      <c r="P83" s="43">
        <f t="shared" si="29"/>
        <v>211</v>
      </c>
      <c r="Q83" s="43">
        <f t="shared" si="30"/>
        <v>287</v>
      </c>
    </row>
    <row r="84" spans="1:19" ht="14.25" thickBot="1" x14ac:dyDescent="0.2">
      <c r="A84" s="44" t="s">
        <v>15</v>
      </c>
      <c r="B84" s="45">
        <f>B56-B83</f>
        <v>5</v>
      </c>
      <c r="C84" s="46">
        <f t="shared" ref="C84" si="44">C56-C83</f>
        <v>10</v>
      </c>
      <c r="D84" s="47">
        <f t="shared" si="38"/>
        <v>15</v>
      </c>
      <c r="E84" s="45">
        <f>E56-E83</f>
        <v>7</v>
      </c>
      <c r="F84" s="46">
        <f t="shared" ref="F84" si="45">F56-F83</f>
        <v>11</v>
      </c>
      <c r="G84" s="47">
        <f t="shared" si="26"/>
        <v>18</v>
      </c>
      <c r="H84" s="34">
        <f t="shared" si="27"/>
        <v>33</v>
      </c>
      <c r="J84" s="44" t="s">
        <v>15</v>
      </c>
      <c r="K84" s="45">
        <f>K56-K83</f>
        <v>810</v>
      </c>
      <c r="L84" s="46">
        <f t="shared" ref="L84" si="46">L56-L83</f>
        <v>869</v>
      </c>
      <c r="M84" s="47">
        <f t="shared" si="39"/>
        <v>1679</v>
      </c>
      <c r="N84" s="45">
        <f>N56-N83</f>
        <v>700</v>
      </c>
      <c r="O84" s="46">
        <f t="shared" ref="O84" si="47">O56-O83</f>
        <v>775</v>
      </c>
      <c r="P84" s="47">
        <f t="shared" si="29"/>
        <v>1475</v>
      </c>
      <c r="Q84" s="34">
        <f t="shared" si="30"/>
        <v>3154</v>
      </c>
    </row>
    <row r="87" spans="1:19" ht="19.5" thickBot="1" x14ac:dyDescent="0.25">
      <c r="A87" s="1" t="s">
        <v>23</v>
      </c>
      <c r="J87" s="1" t="s">
        <v>24</v>
      </c>
      <c r="K87" s="2"/>
      <c r="L87" s="2"/>
      <c r="M87" s="2"/>
      <c r="N87" s="2"/>
      <c r="O87" s="1" t="s">
        <v>34</v>
      </c>
      <c r="P87" s="2"/>
      <c r="Q87" s="2"/>
    </row>
    <row r="88" spans="1:19" ht="14.25" thickBot="1" x14ac:dyDescent="0.2">
      <c r="A88" s="3" t="s">
        <v>0</v>
      </c>
      <c r="B88" s="125" t="s">
        <v>18</v>
      </c>
      <c r="C88" s="126"/>
      <c r="D88" s="127"/>
      <c r="E88" s="125" t="s">
        <v>19</v>
      </c>
      <c r="F88" s="126"/>
      <c r="G88" s="128"/>
      <c r="H88" s="129" t="s">
        <v>1</v>
      </c>
      <c r="J88" s="3" t="s">
        <v>0</v>
      </c>
      <c r="K88" s="125" t="s">
        <v>18</v>
      </c>
      <c r="L88" s="126"/>
      <c r="M88" s="127"/>
      <c r="N88" s="125" t="s">
        <v>19</v>
      </c>
      <c r="O88" s="126"/>
      <c r="P88" s="128"/>
      <c r="Q88" s="129" t="s">
        <v>1</v>
      </c>
    </row>
    <row r="89" spans="1:19" ht="14.25" thickBot="1" x14ac:dyDescent="0.2">
      <c r="A89" s="3" t="s">
        <v>2</v>
      </c>
      <c r="B89" s="4" t="s">
        <v>16</v>
      </c>
      <c r="C89" s="5" t="s">
        <v>17</v>
      </c>
      <c r="D89" s="3" t="s">
        <v>3</v>
      </c>
      <c r="E89" s="4" t="s">
        <v>16</v>
      </c>
      <c r="F89" s="5" t="s">
        <v>17</v>
      </c>
      <c r="G89" s="3" t="s">
        <v>3</v>
      </c>
      <c r="H89" s="130"/>
      <c r="J89" s="3" t="s">
        <v>2</v>
      </c>
      <c r="K89" s="4" t="s">
        <v>16</v>
      </c>
      <c r="L89" s="5" t="s">
        <v>17</v>
      </c>
      <c r="M89" s="3" t="s">
        <v>3</v>
      </c>
      <c r="N89" s="4" t="s">
        <v>16</v>
      </c>
      <c r="O89" s="5" t="s">
        <v>17</v>
      </c>
      <c r="P89" s="3" t="s">
        <v>3</v>
      </c>
      <c r="Q89" s="130"/>
    </row>
    <row r="90" spans="1:19" ht="14.25" thickBot="1" x14ac:dyDescent="0.2">
      <c r="A90" s="6" t="s">
        <v>55</v>
      </c>
      <c r="B90" s="32">
        <f>B84</f>
        <v>5</v>
      </c>
      <c r="C90" s="33">
        <f>C84</f>
        <v>10</v>
      </c>
      <c r="D90" s="34">
        <f t="shared" ref="D90:D102" si="48">SUM(B90:C90)</f>
        <v>15</v>
      </c>
      <c r="E90" s="32">
        <f>E84</f>
        <v>7</v>
      </c>
      <c r="F90" s="33">
        <f>F84</f>
        <v>11</v>
      </c>
      <c r="G90" s="34">
        <f t="shared" ref="G90:G127" si="49">SUM(E90:F90)</f>
        <v>18</v>
      </c>
      <c r="H90" s="34">
        <f t="shared" ref="H90:H127" si="50">D90+G90</f>
        <v>33</v>
      </c>
      <c r="J90" s="6" t="s">
        <v>55</v>
      </c>
      <c r="K90" s="7">
        <f>K84</f>
        <v>810</v>
      </c>
      <c r="L90" s="8">
        <f>L84</f>
        <v>869</v>
      </c>
      <c r="M90" s="9">
        <f t="shared" ref="M90:M104" si="51">SUM(K90:L90)</f>
        <v>1679</v>
      </c>
      <c r="N90" s="7">
        <f>N84</f>
        <v>700</v>
      </c>
      <c r="O90" s="8">
        <f>O84</f>
        <v>775</v>
      </c>
      <c r="P90" s="9">
        <f t="shared" ref="P90:P127" si="52">SUM(N90:O90)</f>
        <v>1475</v>
      </c>
      <c r="Q90" s="9">
        <f t="shared" ref="Q90:Q127" si="53">M90+P90</f>
        <v>3154</v>
      </c>
    </row>
    <row r="91" spans="1:19" x14ac:dyDescent="0.15">
      <c r="A91" s="10" t="s">
        <v>5</v>
      </c>
      <c r="B91" s="64">
        <v>5</v>
      </c>
      <c r="C91" s="65"/>
      <c r="D91" s="36">
        <f t="shared" si="48"/>
        <v>5</v>
      </c>
      <c r="E91" s="66">
        <v>10</v>
      </c>
      <c r="F91" s="65"/>
      <c r="G91" s="36">
        <f t="shared" si="49"/>
        <v>10</v>
      </c>
      <c r="H91" s="36">
        <f t="shared" si="50"/>
        <v>15</v>
      </c>
      <c r="I91" s="81">
        <v>44193</v>
      </c>
      <c r="J91" s="10" t="s">
        <v>5</v>
      </c>
      <c r="K91" s="11"/>
      <c r="L91" s="12"/>
      <c r="M91" s="13">
        <f t="shared" si="51"/>
        <v>0</v>
      </c>
      <c r="N91" s="62"/>
      <c r="O91" s="12"/>
      <c r="P91" s="13">
        <f t="shared" si="52"/>
        <v>0</v>
      </c>
      <c r="Q91" s="13">
        <f t="shared" si="53"/>
        <v>0</v>
      </c>
      <c r="R91" s="83"/>
    </row>
    <row r="92" spans="1:19" x14ac:dyDescent="0.15">
      <c r="A92" s="10" t="s">
        <v>6</v>
      </c>
      <c r="B92" s="15">
        <v>5</v>
      </c>
      <c r="C92" s="16">
        <v>5</v>
      </c>
      <c r="D92" s="17">
        <f t="shared" si="48"/>
        <v>10</v>
      </c>
      <c r="E92" s="18"/>
      <c r="F92" s="16"/>
      <c r="G92" s="17">
        <f t="shared" si="49"/>
        <v>0</v>
      </c>
      <c r="H92" s="17">
        <f t="shared" si="50"/>
        <v>10</v>
      </c>
      <c r="I92" s="81">
        <v>44212</v>
      </c>
      <c r="J92" s="10" t="s">
        <v>6</v>
      </c>
      <c r="K92" s="15"/>
      <c r="L92" s="16"/>
      <c r="M92" s="17">
        <f t="shared" si="51"/>
        <v>0</v>
      </c>
      <c r="N92" s="18"/>
      <c r="O92" s="16"/>
      <c r="P92" s="17">
        <f t="shared" si="52"/>
        <v>0</v>
      </c>
      <c r="Q92" s="17">
        <f t="shared" si="53"/>
        <v>0</v>
      </c>
      <c r="R92" s="83"/>
    </row>
    <row r="93" spans="1:19" x14ac:dyDescent="0.15">
      <c r="A93" s="10" t="s">
        <v>7</v>
      </c>
      <c r="B93" s="19"/>
      <c r="C93" s="20"/>
      <c r="D93" s="17">
        <f t="shared" si="48"/>
        <v>0</v>
      </c>
      <c r="E93" s="21">
        <v>10</v>
      </c>
      <c r="F93" s="20"/>
      <c r="G93" s="17">
        <f t="shared" si="49"/>
        <v>10</v>
      </c>
      <c r="H93" s="17">
        <f t="shared" si="50"/>
        <v>10</v>
      </c>
      <c r="I93" s="81">
        <v>44218</v>
      </c>
      <c r="J93" s="10" t="s">
        <v>7</v>
      </c>
      <c r="K93" s="19"/>
      <c r="L93" s="20"/>
      <c r="M93" s="17">
        <f t="shared" si="51"/>
        <v>0</v>
      </c>
      <c r="N93" s="21"/>
      <c r="O93" s="20"/>
      <c r="P93" s="17">
        <f t="shared" si="52"/>
        <v>0</v>
      </c>
      <c r="Q93" s="17">
        <f t="shared" si="53"/>
        <v>0</v>
      </c>
      <c r="R93" s="83"/>
    </row>
    <row r="94" spans="1:19" x14ac:dyDescent="0.15">
      <c r="A94" s="10" t="s">
        <v>8</v>
      </c>
      <c r="B94" s="15">
        <v>10</v>
      </c>
      <c r="C94" s="16">
        <v>5</v>
      </c>
      <c r="D94" s="17">
        <f t="shared" si="48"/>
        <v>15</v>
      </c>
      <c r="E94" s="18">
        <v>15</v>
      </c>
      <c r="F94" s="16">
        <v>10</v>
      </c>
      <c r="G94" s="17">
        <f t="shared" si="49"/>
        <v>25</v>
      </c>
      <c r="H94" s="17">
        <f t="shared" si="50"/>
        <v>40</v>
      </c>
      <c r="I94" s="81">
        <v>44257</v>
      </c>
      <c r="J94" s="10" t="s">
        <v>8</v>
      </c>
      <c r="K94" s="15"/>
      <c r="L94" s="16"/>
      <c r="M94" s="17">
        <f t="shared" si="51"/>
        <v>0</v>
      </c>
      <c r="N94" s="18"/>
      <c r="O94" s="16"/>
      <c r="P94" s="17">
        <f t="shared" si="52"/>
        <v>0</v>
      </c>
      <c r="Q94" s="17">
        <f t="shared" si="53"/>
        <v>0</v>
      </c>
      <c r="R94" s="83"/>
    </row>
    <row r="95" spans="1:19" x14ac:dyDescent="0.15">
      <c r="A95" s="10" t="s">
        <v>9</v>
      </c>
      <c r="B95" s="15">
        <v>5</v>
      </c>
      <c r="C95" s="16"/>
      <c r="D95" s="17">
        <f t="shared" si="48"/>
        <v>5</v>
      </c>
      <c r="E95" s="18"/>
      <c r="F95" s="16">
        <v>5</v>
      </c>
      <c r="G95" s="17">
        <f t="shared" si="49"/>
        <v>5</v>
      </c>
      <c r="H95" s="17">
        <f t="shared" si="50"/>
        <v>10</v>
      </c>
      <c r="I95" s="81">
        <v>44264</v>
      </c>
      <c r="J95" s="10" t="s">
        <v>9</v>
      </c>
      <c r="K95" s="15"/>
      <c r="L95" s="16"/>
      <c r="M95" s="17">
        <f t="shared" si="51"/>
        <v>0</v>
      </c>
      <c r="N95" s="18"/>
      <c r="O95" s="16"/>
      <c r="P95" s="17">
        <f t="shared" si="52"/>
        <v>0</v>
      </c>
      <c r="Q95" s="17">
        <f t="shared" si="53"/>
        <v>0</v>
      </c>
      <c r="R95" s="83"/>
    </row>
    <row r="96" spans="1:19" x14ac:dyDescent="0.15">
      <c r="A96" s="10" t="s">
        <v>78</v>
      </c>
      <c r="B96" s="15">
        <v>1</v>
      </c>
      <c r="C96" s="16"/>
      <c r="D96" s="17">
        <f t="shared" si="48"/>
        <v>1</v>
      </c>
      <c r="E96" s="18">
        <v>3</v>
      </c>
      <c r="F96" s="16"/>
      <c r="G96" s="17">
        <f t="shared" si="49"/>
        <v>3</v>
      </c>
      <c r="H96" s="17">
        <f t="shared" si="50"/>
        <v>4</v>
      </c>
      <c r="I96" s="81">
        <v>44278</v>
      </c>
      <c r="J96" s="10" t="s">
        <v>10</v>
      </c>
      <c r="K96" s="15"/>
      <c r="L96" s="16"/>
      <c r="M96" s="17">
        <f t="shared" si="51"/>
        <v>0</v>
      </c>
      <c r="N96" s="18"/>
      <c r="O96" s="16"/>
      <c r="P96" s="17">
        <f t="shared" si="52"/>
        <v>0</v>
      </c>
      <c r="Q96" s="17">
        <f t="shared" si="53"/>
        <v>0</v>
      </c>
      <c r="R96" s="83"/>
    </row>
    <row r="97" spans="1:19" x14ac:dyDescent="0.15">
      <c r="A97" s="10" t="s">
        <v>11</v>
      </c>
      <c r="B97" s="23"/>
      <c r="C97" s="24">
        <v>-3</v>
      </c>
      <c r="D97" s="17">
        <f t="shared" si="48"/>
        <v>-3</v>
      </c>
      <c r="E97" s="25">
        <v>-1</v>
      </c>
      <c r="F97" s="24">
        <v>2</v>
      </c>
      <c r="G97" s="17">
        <f t="shared" si="49"/>
        <v>1</v>
      </c>
      <c r="H97" s="17">
        <f t="shared" si="50"/>
        <v>-2</v>
      </c>
      <c r="I97" s="84">
        <v>44278</v>
      </c>
      <c r="J97" s="10" t="s">
        <v>11</v>
      </c>
      <c r="K97" s="23"/>
      <c r="L97" s="24"/>
      <c r="M97" s="17">
        <f t="shared" si="51"/>
        <v>0</v>
      </c>
      <c r="N97" s="25"/>
      <c r="O97" s="24"/>
      <c r="P97" s="17">
        <f t="shared" si="52"/>
        <v>0</v>
      </c>
      <c r="Q97" s="17">
        <f t="shared" si="53"/>
        <v>0</v>
      </c>
    </row>
    <row r="98" spans="1:19" ht="14.25" thickBot="1" x14ac:dyDescent="0.2">
      <c r="A98" s="10" t="s">
        <v>12</v>
      </c>
      <c r="B98" s="26"/>
      <c r="C98" s="27"/>
      <c r="D98" s="28">
        <f t="shared" si="48"/>
        <v>0</v>
      </c>
      <c r="E98" s="29"/>
      <c r="F98" s="29"/>
      <c r="G98" s="28">
        <f t="shared" si="49"/>
        <v>0</v>
      </c>
      <c r="H98" s="30">
        <f t="shared" si="50"/>
        <v>0</v>
      </c>
      <c r="I98" s="81"/>
      <c r="J98" s="10" t="s">
        <v>12</v>
      </c>
      <c r="K98" s="26"/>
      <c r="L98" s="27"/>
      <c r="M98" s="28">
        <f t="shared" si="51"/>
        <v>0</v>
      </c>
      <c r="N98" s="29"/>
      <c r="O98" s="29"/>
      <c r="P98" s="28">
        <f t="shared" si="52"/>
        <v>0</v>
      </c>
      <c r="Q98" s="30">
        <f t="shared" si="53"/>
        <v>0</v>
      </c>
    </row>
    <row r="99" spans="1:19" ht="14.25" thickBot="1" x14ac:dyDescent="0.2">
      <c r="A99" s="31" t="s">
        <v>13</v>
      </c>
      <c r="B99" s="32">
        <f>SUM(B90:B98)</f>
        <v>31</v>
      </c>
      <c r="C99" s="33">
        <f>SUM(C90:C98)</f>
        <v>17</v>
      </c>
      <c r="D99" s="34">
        <f t="shared" si="48"/>
        <v>48</v>
      </c>
      <c r="E99" s="32">
        <f>SUM(E90:E98)</f>
        <v>44</v>
      </c>
      <c r="F99" s="33">
        <f>SUM(F90:F98)</f>
        <v>28</v>
      </c>
      <c r="G99" s="34">
        <f t="shared" si="49"/>
        <v>72</v>
      </c>
      <c r="H99" s="34">
        <f t="shared" si="50"/>
        <v>120</v>
      </c>
      <c r="J99" s="31" t="s">
        <v>13</v>
      </c>
      <c r="K99" s="32">
        <f>SUM(K90:K98)</f>
        <v>810</v>
      </c>
      <c r="L99" s="33">
        <f>SUM(L90:L98)</f>
        <v>869</v>
      </c>
      <c r="M99" s="34">
        <f t="shared" si="51"/>
        <v>1679</v>
      </c>
      <c r="N99" s="32">
        <f>SUM(N90:N98)</f>
        <v>700</v>
      </c>
      <c r="O99" s="33">
        <f>SUM(O90:O98)</f>
        <v>775</v>
      </c>
      <c r="P99" s="34">
        <f t="shared" si="52"/>
        <v>1475</v>
      </c>
      <c r="Q99" s="34">
        <f t="shared" si="53"/>
        <v>3154</v>
      </c>
    </row>
    <row r="100" spans="1:19" x14ac:dyDescent="0.15">
      <c r="A100" s="35" t="s">
        <v>56</v>
      </c>
      <c r="B100" s="48"/>
      <c r="C100" s="49">
        <v>1</v>
      </c>
      <c r="D100" s="50">
        <f t="shared" si="48"/>
        <v>1</v>
      </c>
      <c r="E100" s="51"/>
      <c r="F100" s="49"/>
      <c r="G100" s="50">
        <f t="shared" si="49"/>
        <v>0</v>
      </c>
      <c r="H100" s="50">
        <f t="shared" si="50"/>
        <v>1</v>
      </c>
      <c r="I100" s="84">
        <v>44190</v>
      </c>
      <c r="J100" s="37" t="s">
        <v>30</v>
      </c>
      <c r="K100" s="15">
        <v>5</v>
      </c>
      <c r="L100" s="16"/>
      <c r="M100" s="36">
        <f t="shared" si="51"/>
        <v>5</v>
      </c>
      <c r="N100" s="18">
        <v>10</v>
      </c>
      <c r="O100" s="16"/>
      <c r="P100" s="36">
        <f t="shared" si="52"/>
        <v>10</v>
      </c>
      <c r="Q100" s="17">
        <f t="shared" si="53"/>
        <v>15</v>
      </c>
      <c r="R100" s="81">
        <v>44193</v>
      </c>
    </row>
    <row r="101" spans="1:19" x14ac:dyDescent="0.15">
      <c r="A101" s="35" t="s">
        <v>56</v>
      </c>
      <c r="B101" s="19"/>
      <c r="C101" s="20"/>
      <c r="D101" s="36">
        <f t="shared" si="48"/>
        <v>0</v>
      </c>
      <c r="E101" s="21">
        <v>2</v>
      </c>
      <c r="F101" s="20"/>
      <c r="G101" s="36">
        <f t="shared" si="49"/>
        <v>2</v>
      </c>
      <c r="H101" s="36">
        <f t="shared" si="50"/>
        <v>2</v>
      </c>
      <c r="I101" s="81">
        <v>44193</v>
      </c>
      <c r="J101" s="35" t="s">
        <v>85</v>
      </c>
      <c r="K101" s="15">
        <v>10</v>
      </c>
      <c r="L101" s="16">
        <v>10</v>
      </c>
      <c r="M101" s="36">
        <f t="shared" si="51"/>
        <v>20</v>
      </c>
      <c r="N101" s="18">
        <v>10</v>
      </c>
      <c r="O101" s="16">
        <v>10</v>
      </c>
      <c r="P101" s="36">
        <f t="shared" si="52"/>
        <v>20</v>
      </c>
      <c r="Q101" s="17">
        <f t="shared" si="53"/>
        <v>40</v>
      </c>
      <c r="R101" s="81">
        <v>43838</v>
      </c>
    </row>
    <row r="102" spans="1:19" x14ac:dyDescent="0.15">
      <c r="A102" s="35" t="s">
        <v>56</v>
      </c>
      <c r="B102" s="15">
        <v>1</v>
      </c>
      <c r="C102" s="16"/>
      <c r="D102" s="36">
        <f t="shared" si="48"/>
        <v>1</v>
      </c>
      <c r="E102" s="18">
        <v>2</v>
      </c>
      <c r="F102" s="16"/>
      <c r="G102" s="36">
        <f t="shared" si="49"/>
        <v>2</v>
      </c>
      <c r="H102" s="17">
        <f t="shared" si="50"/>
        <v>3</v>
      </c>
      <c r="I102" s="84">
        <v>44201</v>
      </c>
      <c r="J102" s="35" t="s">
        <v>86</v>
      </c>
      <c r="K102" s="15">
        <v>20</v>
      </c>
      <c r="L102" s="16">
        <v>30</v>
      </c>
      <c r="M102" s="17">
        <f t="shared" si="51"/>
        <v>50</v>
      </c>
      <c r="N102" s="18">
        <v>20</v>
      </c>
      <c r="O102" s="16">
        <v>30</v>
      </c>
      <c r="P102" s="17">
        <f t="shared" si="52"/>
        <v>50</v>
      </c>
      <c r="Q102" s="17">
        <f t="shared" si="53"/>
        <v>100</v>
      </c>
      <c r="R102" s="81">
        <v>43845</v>
      </c>
    </row>
    <row r="103" spans="1:19" x14ac:dyDescent="0.15">
      <c r="A103" s="35" t="s">
        <v>56</v>
      </c>
      <c r="B103" s="15"/>
      <c r="C103" s="16">
        <v>2</v>
      </c>
      <c r="D103" s="17">
        <f>SUM(B103:C103)</f>
        <v>2</v>
      </c>
      <c r="E103" s="18"/>
      <c r="F103" s="16"/>
      <c r="G103" s="17">
        <f t="shared" si="49"/>
        <v>0</v>
      </c>
      <c r="H103" s="17">
        <f t="shared" si="50"/>
        <v>2</v>
      </c>
      <c r="I103" s="81">
        <v>44202</v>
      </c>
      <c r="J103" s="35" t="s">
        <v>87</v>
      </c>
      <c r="K103" s="15">
        <v>10</v>
      </c>
      <c r="L103" s="16">
        <v>35</v>
      </c>
      <c r="M103" s="36">
        <f t="shared" si="51"/>
        <v>45</v>
      </c>
      <c r="N103" s="18">
        <v>30</v>
      </c>
      <c r="O103" s="16">
        <v>35</v>
      </c>
      <c r="P103" s="36">
        <f t="shared" si="52"/>
        <v>65</v>
      </c>
      <c r="Q103" s="17">
        <f t="shared" si="53"/>
        <v>110</v>
      </c>
      <c r="R103" s="81">
        <v>43845</v>
      </c>
      <c r="S103" s="22"/>
    </row>
    <row r="104" spans="1:19" x14ac:dyDescent="0.15">
      <c r="A104" s="35" t="s">
        <v>56</v>
      </c>
      <c r="B104" s="15"/>
      <c r="C104" s="16"/>
      <c r="D104" s="36">
        <f t="shared" ref="D104:D121" si="54">SUM(B104:C104)</f>
        <v>0</v>
      </c>
      <c r="E104" s="18">
        <v>1</v>
      </c>
      <c r="F104" s="16"/>
      <c r="G104" s="36">
        <f t="shared" si="49"/>
        <v>1</v>
      </c>
      <c r="H104" s="17">
        <f t="shared" si="50"/>
        <v>1</v>
      </c>
      <c r="I104" s="84">
        <v>44204</v>
      </c>
      <c r="J104" s="37" t="s">
        <v>30</v>
      </c>
      <c r="K104" s="15">
        <v>5</v>
      </c>
      <c r="L104" s="16">
        <v>5</v>
      </c>
      <c r="M104" s="17">
        <f t="shared" si="51"/>
        <v>10</v>
      </c>
      <c r="N104" s="18"/>
      <c r="O104" s="16"/>
      <c r="P104" s="17">
        <f t="shared" si="52"/>
        <v>0</v>
      </c>
      <c r="Q104" s="17">
        <f t="shared" si="53"/>
        <v>10</v>
      </c>
      <c r="R104" s="81">
        <v>44212</v>
      </c>
      <c r="S104" s="22"/>
    </row>
    <row r="105" spans="1:19" x14ac:dyDescent="0.15">
      <c r="A105" s="35" t="s">
        <v>56</v>
      </c>
      <c r="B105" s="15">
        <v>1</v>
      </c>
      <c r="C105" s="16">
        <v>1</v>
      </c>
      <c r="D105" s="36">
        <f t="shared" si="54"/>
        <v>2</v>
      </c>
      <c r="E105" s="18"/>
      <c r="F105" s="16">
        <v>1</v>
      </c>
      <c r="G105" s="36">
        <f t="shared" si="49"/>
        <v>1</v>
      </c>
      <c r="H105" s="17">
        <f t="shared" si="50"/>
        <v>3</v>
      </c>
      <c r="I105" s="84">
        <v>44208</v>
      </c>
      <c r="J105" s="35" t="s">
        <v>88</v>
      </c>
      <c r="K105" s="15"/>
      <c r="L105" s="16"/>
      <c r="M105" s="36">
        <f t="shared" ref="M105:M121" si="55">SUM(K105:L105)</f>
        <v>0</v>
      </c>
      <c r="N105" s="18">
        <v>25</v>
      </c>
      <c r="O105" s="16"/>
      <c r="P105" s="36">
        <f t="shared" si="52"/>
        <v>25</v>
      </c>
      <c r="Q105" s="17">
        <f t="shared" si="53"/>
        <v>25</v>
      </c>
      <c r="R105" s="81">
        <v>44218</v>
      </c>
    </row>
    <row r="106" spans="1:19" x14ac:dyDescent="0.15">
      <c r="A106" s="35" t="s">
        <v>56</v>
      </c>
      <c r="B106" s="15">
        <v>2</v>
      </c>
      <c r="C106" s="16"/>
      <c r="D106" s="36">
        <f t="shared" si="54"/>
        <v>2</v>
      </c>
      <c r="E106" s="18"/>
      <c r="F106" s="16"/>
      <c r="G106" s="36">
        <f t="shared" si="49"/>
        <v>0</v>
      </c>
      <c r="H106" s="17">
        <f t="shared" si="50"/>
        <v>2</v>
      </c>
      <c r="I106" s="84">
        <v>44209</v>
      </c>
      <c r="J106" s="35" t="s">
        <v>89</v>
      </c>
      <c r="K106" s="15">
        <v>10</v>
      </c>
      <c r="L106" s="16"/>
      <c r="M106" s="36">
        <f t="shared" si="55"/>
        <v>10</v>
      </c>
      <c r="N106" s="18">
        <v>60</v>
      </c>
      <c r="O106" s="16"/>
      <c r="P106" s="36">
        <f t="shared" si="52"/>
        <v>60</v>
      </c>
      <c r="Q106" s="17">
        <f t="shared" si="53"/>
        <v>70</v>
      </c>
      <c r="R106" s="81">
        <v>44218</v>
      </c>
    </row>
    <row r="107" spans="1:19" x14ac:dyDescent="0.15">
      <c r="A107" s="35" t="s">
        <v>56</v>
      </c>
      <c r="B107" s="15"/>
      <c r="C107" s="16">
        <v>1</v>
      </c>
      <c r="D107" s="36">
        <f t="shared" si="54"/>
        <v>1</v>
      </c>
      <c r="E107" s="18">
        <v>5</v>
      </c>
      <c r="F107" s="16">
        <v>1</v>
      </c>
      <c r="G107" s="36">
        <f t="shared" si="49"/>
        <v>6</v>
      </c>
      <c r="H107" s="17">
        <f t="shared" si="50"/>
        <v>7</v>
      </c>
      <c r="I107" s="84">
        <v>44212</v>
      </c>
      <c r="J107" s="35" t="s">
        <v>90</v>
      </c>
      <c r="K107" s="15">
        <v>10</v>
      </c>
      <c r="L107" s="16"/>
      <c r="M107" s="36">
        <f t="shared" si="55"/>
        <v>10</v>
      </c>
      <c r="N107" s="18"/>
      <c r="O107" s="16"/>
      <c r="P107" s="36">
        <f t="shared" si="52"/>
        <v>0</v>
      </c>
      <c r="Q107" s="17">
        <f t="shared" si="53"/>
        <v>10</v>
      </c>
      <c r="R107" s="81">
        <v>44219</v>
      </c>
    </row>
    <row r="108" spans="1:19" x14ac:dyDescent="0.15">
      <c r="A108" s="35" t="s">
        <v>56</v>
      </c>
      <c r="B108" s="15"/>
      <c r="C108" s="16"/>
      <c r="D108" s="36">
        <f t="shared" si="54"/>
        <v>0</v>
      </c>
      <c r="E108" s="18">
        <v>2</v>
      </c>
      <c r="F108" s="16"/>
      <c r="G108" s="36">
        <f t="shared" si="49"/>
        <v>2</v>
      </c>
      <c r="H108" s="17">
        <f t="shared" si="50"/>
        <v>2</v>
      </c>
      <c r="I108" s="84">
        <v>44214</v>
      </c>
      <c r="J108" s="10" t="s">
        <v>91</v>
      </c>
      <c r="K108" s="19"/>
      <c r="L108" s="20"/>
      <c r="M108" s="17">
        <f t="shared" si="55"/>
        <v>0</v>
      </c>
      <c r="N108" s="21">
        <v>10</v>
      </c>
      <c r="O108" s="20"/>
      <c r="P108" s="17">
        <f t="shared" si="52"/>
        <v>10</v>
      </c>
      <c r="Q108" s="17">
        <f t="shared" si="53"/>
        <v>10</v>
      </c>
      <c r="R108" s="81">
        <v>44218</v>
      </c>
    </row>
    <row r="109" spans="1:19" x14ac:dyDescent="0.15">
      <c r="A109" s="35" t="s">
        <v>56</v>
      </c>
      <c r="B109" s="23"/>
      <c r="C109" s="24"/>
      <c r="D109" s="36">
        <f t="shared" si="54"/>
        <v>0</v>
      </c>
      <c r="E109" s="25"/>
      <c r="F109" s="24">
        <v>2</v>
      </c>
      <c r="G109" s="36">
        <f t="shared" si="49"/>
        <v>2</v>
      </c>
      <c r="H109" s="17">
        <f t="shared" si="50"/>
        <v>2</v>
      </c>
      <c r="I109" s="84">
        <v>44217</v>
      </c>
      <c r="J109" s="35" t="s">
        <v>92</v>
      </c>
      <c r="K109" s="23"/>
      <c r="L109" s="24"/>
      <c r="M109" s="36">
        <f t="shared" si="55"/>
        <v>0</v>
      </c>
      <c r="N109" s="25"/>
      <c r="O109" s="24">
        <v>10</v>
      </c>
      <c r="P109" s="36">
        <f t="shared" si="52"/>
        <v>10</v>
      </c>
      <c r="Q109" s="17">
        <f t="shared" si="53"/>
        <v>10</v>
      </c>
      <c r="R109" s="81">
        <v>44223</v>
      </c>
    </row>
    <row r="110" spans="1:19" x14ac:dyDescent="0.15">
      <c r="A110" s="35" t="s">
        <v>56</v>
      </c>
      <c r="B110" s="15">
        <f>1+1</f>
        <v>2</v>
      </c>
      <c r="C110" s="16"/>
      <c r="D110" s="36">
        <f t="shared" si="54"/>
        <v>2</v>
      </c>
      <c r="E110" s="18"/>
      <c r="F110" s="16">
        <v>2</v>
      </c>
      <c r="G110" s="36">
        <f t="shared" si="49"/>
        <v>2</v>
      </c>
      <c r="H110" s="17">
        <f t="shared" si="50"/>
        <v>4</v>
      </c>
      <c r="I110" s="84">
        <v>44221</v>
      </c>
      <c r="J110" s="35" t="s">
        <v>93</v>
      </c>
      <c r="K110" s="15"/>
      <c r="L110" s="16"/>
      <c r="M110" s="36">
        <f t="shared" si="55"/>
        <v>0</v>
      </c>
      <c r="N110" s="18"/>
      <c r="O110" s="16">
        <v>30</v>
      </c>
      <c r="P110" s="36">
        <f t="shared" si="52"/>
        <v>30</v>
      </c>
      <c r="Q110" s="17">
        <f t="shared" si="53"/>
        <v>30</v>
      </c>
      <c r="R110" s="81">
        <v>44224</v>
      </c>
    </row>
    <row r="111" spans="1:19" x14ac:dyDescent="0.15">
      <c r="A111" s="35" t="s">
        <v>56</v>
      </c>
      <c r="B111" s="15">
        <v>1</v>
      </c>
      <c r="C111" s="16">
        <v>1</v>
      </c>
      <c r="D111" s="36">
        <f t="shared" si="54"/>
        <v>2</v>
      </c>
      <c r="E111" s="18">
        <v>1</v>
      </c>
      <c r="F111" s="16"/>
      <c r="G111" s="36">
        <f t="shared" si="49"/>
        <v>1</v>
      </c>
      <c r="H111" s="17">
        <f t="shared" si="50"/>
        <v>3</v>
      </c>
      <c r="I111" s="84">
        <v>44228</v>
      </c>
      <c r="J111" s="35" t="s">
        <v>94</v>
      </c>
      <c r="K111" s="15">
        <v>20</v>
      </c>
      <c r="L111" s="16">
        <v>40</v>
      </c>
      <c r="M111" s="36">
        <f t="shared" si="55"/>
        <v>60</v>
      </c>
      <c r="N111" s="18">
        <v>10</v>
      </c>
      <c r="O111" s="16">
        <v>40</v>
      </c>
      <c r="P111" s="36">
        <f t="shared" si="52"/>
        <v>50</v>
      </c>
      <c r="Q111" s="17">
        <f t="shared" si="53"/>
        <v>110</v>
      </c>
      <c r="R111" s="81">
        <v>44225</v>
      </c>
    </row>
    <row r="112" spans="1:19" x14ac:dyDescent="0.15">
      <c r="A112" s="35" t="s">
        <v>56</v>
      </c>
      <c r="B112" s="15"/>
      <c r="C112" s="16"/>
      <c r="D112" s="36">
        <f t="shared" si="54"/>
        <v>0</v>
      </c>
      <c r="E112" s="18">
        <v>2</v>
      </c>
      <c r="F112" s="16">
        <v>1</v>
      </c>
      <c r="G112" s="36">
        <f t="shared" si="49"/>
        <v>3</v>
      </c>
      <c r="H112" s="17">
        <f t="shared" si="50"/>
        <v>3</v>
      </c>
      <c r="I112" s="84">
        <v>44235</v>
      </c>
      <c r="J112" s="35" t="s">
        <v>95</v>
      </c>
      <c r="K112" s="15">
        <v>10</v>
      </c>
      <c r="L112" s="16"/>
      <c r="M112" s="36">
        <f t="shared" si="55"/>
        <v>10</v>
      </c>
      <c r="N112" s="18"/>
      <c r="O112" s="16"/>
      <c r="P112" s="36">
        <f t="shared" si="52"/>
        <v>0</v>
      </c>
      <c r="Q112" s="17">
        <f t="shared" si="53"/>
        <v>10</v>
      </c>
      <c r="R112" s="81">
        <v>44228</v>
      </c>
    </row>
    <row r="113" spans="1:19" x14ac:dyDescent="0.15">
      <c r="A113" s="35" t="s">
        <v>56</v>
      </c>
      <c r="B113" s="15"/>
      <c r="C113" s="16"/>
      <c r="D113" s="17">
        <f t="shared" si="54"/>
        <v>0</v>
      </c>
      <c r="E113" s="18">
        <v>2</v>
      </c>
      <c r="F113" s="16"/>
      <c r="G113" s="17">
        <f t="shared" si="49"/>
        <v>2</v>
      </c>
      <c r="H113" s="17">
        <f t="shared" si="50"/>
        <v>2</v>
      </c>
      <c r="I113" s="84">
        <v>44236</v>
      </c>
      <c r="J113" s="10" t="s">
        <v>91</v>
      </c>
      <c r="K113" s="15">
        <v>10</v>
      </c>
      <c r="L113" s="16">
        <v>5</v>
      </c>
      <c r="M113" s="17">
        <f t="shared" si="55"/>
        <v>15</v>
      </c>
      <c r="N113" s="18">
        <v>15</v>
      </c>
      <c r="O113" s="16">
        <v>10</v>
      </c>
      <c r="P113" s="17">
        <f t="shared" si="52"/>
        <v>25</v>
      </c>
      <c r="Q113" s="17">
        <f t="shared" si="53"/>
        <v>40</v>
      </c>
      <c r="R113" s="81">
        <v>44257</v>
      </c>
    </row>
    <row r="114" spans="1:19" x14ac:dyDescent="0.15">
      <c r="A114" s="35" t="s">
        <v>56</v>
      </c>
      <c r="B114" s="15">
        <v>1</v>
      </c>
      <c r="C114" s="16"/>
      <c r="D114" s="36">
        <f t="shared" si="54"/>
        <v>1</v>
      </c>
      <c r="E114" s="18">
        <v>2</v>
      </c>
      <c r="F114" s="16"/>
      <c r="G114" s="36">
        <f t="shared" si="49"/>
        <v>2</v>
      </c>
      <c r="H114" s="17">
        <f t="shared" si="50"/>
        <v>3</v>
      </c>
      <c r="I114" s="84">
        <v>44237</v>
      </c>
      <c r="J114" s="10" t="s">
        <v>91</v>
      </c>
      <c r="K114" s="15">
        <v>5</v>
      </c>
      <c r="L114" s="16"/>
      <c r="M114" s="36">
        <f t="shared" si="55"/>
        <v>5</v>
      </c>
      <c r="N114" s="18"/>
      <c r="O114" s="16">
        <v>5</v>
      </c>
      <c r="P114" s="36">
        <f t="shared" si="52"/>
        <v>5</v>
      </c>
      <c r="Q114" s="17">
        <f t="shared" si="53"/>
        <v>10</v>
      </c>
      <c r="R114" s="81">
        <v>44264</v>
      </c>
      <c r="S114" s="22"/>
    </row>
    <row r="115" spans="1:19" x14ac:dyDescent="0.15">
      <c r="A115" s="35" t="s">
        <v>56</v>
      </c>
      <c r="B115" s="15">
        <v>2</v>
      </c>
      <c r="C115" s="16">
        <v>1</v>
      </c>
      <c r="D115" s="36">
        <f t="shared" si="54"/>
        <v>3</v>
      </c>
      <c r="E115" s="18"/>
      <c r="F115" s="16">
        <v>1</v>
      </c>
      <c r="G115" s="36">
        <f t="shared" si="49"/>
        <v>1</v>
      </c>
      <c r="H115" s="17">
        <f t="shared" si="50"/>
        <v>4</v>
      </c>
      <c r="I115" s="84">
        <v>44239</v>
      </c>
      <c r="J115" s="37"/>
      <c r="K115" s="15"/>
      <c r="L115" s="16"/>
      <c r="M115" s="36">
        <f t="shared" si="55"/>
        <v>0</v>
      </c>
      <c r="N115" s="18"/>
      <c r="O115" s="16"/>
      <c r="P115" s="36">
        <f t="shared" si="52"/>
        <v>0</v>
      </c>
      <c r="Q115" s="17">
        <f t="shared" si="53"/>
        <v>0</v>
      </c>
      <c r="R115" s="83"/>
    </row>
    <row r="116" spans="1:19" x14ac:dyDescent="0.15">
      <c r="A116" s="35" t="s">
        <v>56</v>
      </c>
      <c r="B116" s="15"/>
      <c r="C116" s="16"/>
      <c r="D116" s="36">
        <f t="shared" si="54"/>
        <v>0</v>
      </c>
      <c r="E116" s="18">
        <v>2</v>
      </c>
      <c r="F116" s="16"/>
      <c r="G116" s="36">
        <f t="shared" si="49"/>
        <v>2</v>
      </c>
      <c r="H116" s="17">
        <f t="shared" si="50"/>
        <v>2</v>
      </c>
      <c r="I116" s="84">
        <v>44244</v>
      </c>
      <c r="J116" s="37"/>
      <c r="K116" s="15"/>
      <c r="L116" s="16"/>
      <c r="M116" s="36">
        <f t="shared" si="55"/>
        <v>0</v>
      </c>
      <c r="N116" s="18"/>
      <c r="O116" s="16"/>
      <c r="P116" s="36">
        <f t="shared" si="52"/>
        <v>0</v>
      </c>
      <c r="Q116" s="17">
        <f t="shared" si="53"/>
        <v>0</v>
      </c>
      <c r="R116" s="83"/>
    </row>
    <row r="117" spans="1:19" x14ac:dyDescent="0.15">
      <c r="A117" s="35" t="s">
        <v>56</v>
      </c>
      <c r="B117" s="15"/>
      <c r="C117" s="16"/>
      <c r="D117" s="36">
        <f t="shared" si="54"/>
        <v>0</v>
      </c>
      <c r="E117" s="18">
        <v>3</v>
      </c>
      <c r="F117" s="16">
        <v>1</v>
      </c>
      <c r="G117" s="36">
        <f t="shared" si="49"/>
        <v>4</v>
      </c>
      <c r="H117" s="17">
        <f t="shared" si="50"/>
        <v>4</v>
      </c>
      <c r="I117" s="84">
        <v>44249</v>
      </c>
      <c r="J117" s="35"/>
      <c r="K117" s="15"/>
      <c r="L117" s="16"/>
      <c r="M117" s="36">
        <f t="shared" si="55"/>
        <v>0</v>
      </c>
      <c r="N117" s="18"/>
      <c r="O117" s="16"/>
      <c r="P117" s="36">
        <f t="shared" si="52"/>
        <v>0</v>
      </c>
      <c r="Q117" s="17">
        <f t="shared" si="53"/>
        <v>0</v>
      </c>
      <c r="R117" s="83"/>
    </row>
    <row r="118" spans="1:19" x14ac:dyDescent="0.15">
      <c r="A118" s="35" t="s">
        <v>56</v>
      </c>
      <c r="B118" s="15">
        <v>1</v>
      </c>
      <c r="C118" s="16">
        <v>1</v>
      </c>
      <c r="D118" s="36">
        <f t="shared" si="54"/>
        <v>2</v>
      </c>
      <c r="E118" s="18">
        <v>4</v>
      </c>
      <c r="F118" s="16"/>
      <c r="G118" s="36">
        <f t="shared" si="49"/>
        <v>4</v>
      </c>
      <c r="H118" s="17">
        <f t="shared" si="50"/>
        <v>6</v>
      </c>
      <c r="I118" s="84">
        <v>44251</v>
      </c>
      <c r="J118" s="38"/>
      <c r="K118" s="15"/>
      <c r="L118" s="16"/>
      <c r="M118" s="36">
        <f t="shared" si="55"/>
        <v>0</v>
      </c>
      <c r="N118" s="18"/>
      <c r="O118" s="16"/>
      <c r="P118" s="36">
        <f t="shared" si="52"/>
        <v>0</v>
      </c>
      <c r="Q118" s="17">
        <f t="shared" si="53"/>
        <v>0</v>
      </c>
      <c r="R118" s="83"/>
    </row>
    <row r="119" spans="1:19" x14ac:dyDescent="0.15">
      <c r="A119" s="35" t="s">
        <v>56</v>
      </c>
      <c r="B119" s="15"/>
      <c r="C119" s="16"/>
      <c r="D119" s="36">
        <f t="shared" si="54"/>
        <v>0</v>
      </c>
      <c r="E119" s="18">
        <f>2+2</f>
        <v>4</v>
      </c>
      <c r="F119" s="16"/>
      <c r="G119" s="36">
        <f t="shared" si="49"/>
        <v>4</v>
      </c>
      <c r="H119" s="17">
        <f t="shared" si="50"/>
        <v>4</v>
      </c>
      <c r="I119" s="84">
        <v>44257</v>
      </c>
      <c r="J119" s="35"/>
      <c r="K119" s="15"/>
      <c r="L119" s="16"/>
      <c r="M119" s="36">
        <f t="shared" si="55"/>
        <v>0</v>
      </c>
      <c r="N119" s="18"/>
      <c r="O119" s="16"/>
      <c r="P119" s="36">
        <f t="shared" si="52"/>
        <v>0</v>
      </c>
      <c r="Q119" s="17">
        <f t="shared" si="53"/>
        <v>0</v>
      </c>
      <c r="R119" s="83"/>
    </row>
    <row r="120" spans="1:19" x14ac:dyDescent="0.15">
      <c r="A120" s="35" t="s">
        <v>56</v>
      </c>
      <c r="B120" s="15"/>
      <c r="C120" s="16"/>
      <c r="D120" s="36">
        <f t="shared" si="54"/>
        <v>0</v>
      </c>
      <c r="E120" s="18">
        <v>1</v>
      </c>
      <c r="F120" s="16"/>
      <c r="G120" s="36">
        <f t="shared" si="49"/>
        <v>1</v>
      </c>
      <c r="H120" s="17">
        <f t="shared" si="50"/>
        <v>1</v>
      </c>
      <c r="I120" s="84">
        <v>44259</v>
      </c>
      <c r="J120" s="38"/>
      <c r="K120" s="15"/>
      <c r="L120" s="16"/>
      <c r="M120" s="36">
        <f t="shared" si="55"/>
        <v>0</v>
      </c>
      <c r="N120" s="18"/>
      <c r="O120" s="16"/>
      <c r="P120" s="36">
        <f t="shared" si="52"/>
        <v>0</v>
      </c>
      <c r="Q120" s="17">
        <f t="shared" si="53"/>
        <v>0</v>
      </c>
      <c r="R120" s="83"/>
    </row>
    <row r="121" spans="1:19" x14ac:dyDescent="0.15">
      <c r="A121" s="35" t="s">
        <v>56</v>
      </c>
      <c r="B121" s="15">
        <f>1+4</f>
        <v>5</v>
      </c>
      <c r="C121" s="16"/>
      <c r="D121" s="36">
        <f t="shared" si="54"/>
        <v>5</v>
      </c>
      <c r="E121" s="18"/>
      <c r="F121" s="16">
        <f>1+2</f>
        <v>3</v>
      </c>
      <c r="G121" s="36">
        <f t="shared" si="49"/>
        <v>3</v>
      </c>
      <c r="H121" s="17">
        <f t="shared" si="50"/>
        <v>8</v>
      </c>
      <c r="I121" s="84">
        <v>44260</v>
      </c>
      <c r="J121" s="35"/>
      <c r="K121" s="15"/>
      <c r="L121" s="16"/>
      <c r="M121" s="36">
        <f t="shared" si="55"/>
        <v>0</v>
      </c>
      <c r="N121" s="18"/>
      <c r="O121" s="16"/>
      <c r="P121" s="36">
        <f t="shared" si="52"/>
        <v>0</v>
      </c>
      <c r="Q121" s="17">
        <f t="shared" si="53"/>
        <v>0</v>
      </c>
      <c r="R121" s="83"/>
    </row>
    <row r="122" spans="1:19" x14ac:dyDescent="0.15">
      <c r="A122" s="35" t="s">
        <v>56</v>
      </c>
      <c r="B122" s="15"/>
      <c r="C122" s="16">
        <v>2</v>
      </c>
      <c r="D122" s="17">
        <f>SUM(B122:C122)</f>
        <v>2</v>
      </c>
      <c r="E122" s="18">
        <v>1</v>
      </c>
      <c r="F122" s="16"/>
      <c r="G122" s="17">
        <f t="shared" si="49"/>
        <v>1</v>
      </c>
      <c r="H122" s="17">
        <f t="shared" si="50"/>
        <v>3</v>
      </c>
      <c r="I122" s="84">
        <v>44261</v>
      </c>
      <c r="J122" s="52"/>
      <c r="K122" s="15"/>
      <c r="L122" s="16"/>
      <c r="M122" s="17">
        <f>SUM(K122:L122)</f>
        <v>0</v>
      </c>
      <c r="N122" s="18"/>
      <c r="O122" s="16"/>
      <c r="P122" s="17">
        <f t="shared" si="52"/>
        <v>0</v>
      </c>
      <c r="Q122" s="17">
        <f t="shared" si="53"/>
        <v>0</v>
      </c>
      <c r="R122" s="83"/>
    </row>
    <row r="123" spans="1:19" x14ac:dyDescent="0.15">
      <c r="A123" s="35" t="s">
        <v>56</v>
      </c>
      <c r="B123" s="15">
        <v>3</v>
      </c>
      <c r="C123" s="16"/>
      <c r="D123" s="36">
        <f t="shared" ref="D123" si="56">SUM(B123:C123)</f>
        <v>3</v>
      </c>
      <c r="E123" s="18"/>
      <c r="F123" s="16"/>
      <c r="G123" s="36">
        <f t="shared" si="49"/>
        <v>0</v>
      </c>
      <c r="H123" s="17">
        <f t="shared" si="50"/>
        <v>3</v>
      </c>
      <c r="I123" s="84">
        <v>44263</v>
      </c>
      <c r="J123" s="35"/>
      <c r="K123" s="15"/>
      <c r="L123" s="16"/>
      <c r="M123" s="36">
        <f t="shared" ref="M123" si="57">SUM(K123:L123)</f>
        <v>0</v>
      </c>
      <c r="N123" s="18"/>
      <c r="O123" s="16"/>
      <c r="P123" s="36">
        <f t="shared" si="52"/>
        <v>0</v>
      </c>
      <c r="Q123" s="17">
        <f t="shared" si="53"/>
        <v>0</v>
      </c>
      <c r="R123" s="83"/>
    </row>
    <row r="124" spans="1:19" x14ac:dyDescent="0.15">
      <c r="A124" s="35" t="s">
        <v>56</v>
      </c>
      <c r="B124" s="15"/>
      <c r="C124" s="16"/>
      <c r="D124" s="17">
        <f>SUM(B124:C124)</f>
        <v>0</v>
      </c>
      <c r="E124" s="18">
        <v>1</v>
      </c>
      <c r="F124" s="16"/>
      <c r="G124" s="17">
        <f t="shared" si="49"/>
        <v>1</v>
      </c>
      <c r="H124" s="17">
        <f t="shared" si="50"/>
        <v>1</v>
      </c>
      <c r="I124" s="84">
        <v>44264</v>
      </c>
      <c r="J124" s="52"/>
      <c r="K124" s="15"/>
      <c r="L124" s="16"/>
      <c r="M124" s="17">
        <f>SUM(K124:L124)</f>
        <v>0</v>
      </c>
      <c r="N124" s="18"/>
      <c r="O124" s="16"/>
      <c r="P124" s="17">
        <f t="shared" si="52"/>
        <v>0</v>
      </c>
      <c r="Q124" s="17">
        <f t="shared" si="53"/>
        <v>0</v>
      </c>
    </row>
    <row r="125" spans="1:19" ht="14.25" thickBot="1" x14ac:dyDescent="0.2">
      <c r="A125" s="35" t="s">
        <v>56</v>
      </c>
      <c r="B125" s="15"/>
      <c r="C125" s="16"/>
      <c r="D125" s="36">
        <f t="shared" ref="D125:D127" si="58">SUM(B125:C125)</f>
        <v>0</v>
      </c>
      <c r="E125" s="18"/>
      <c r="F125" s="16">
        <v>2</v>
      </c>
      <c r="G125" s="36">
        <f t="shared" si="49"/>
        <v>2</v>
      </c>
      <c r="H125" s="17">
        <f t="shared" si="50"/>
        <v>2</v>
      </c>
      <c r="I125" s="81">
        <v>44265</v>
      </c>
      <c r="J125" s="35" t="s">
        <v>62</v>
      </c>
      <c r="K125" s="15"/>
      <c r="L125" s="16"/>
      <c r="M125" s="36">
        <f t="shared" ref="M125:M127" si="59">SUM(K125:L125)</f>
        <v>0</v>
      </c>
      <c r="N125" s="18"/>
      <c r="O125" s="16"/>
      <c r="P125" s="36">
        <f t="shared" si="52"/>
        <v>0</v>
      </c>
      <c r="Q125" s="17">
        <f t="shared" si="53"/>
        <v>0</v>
      </c>
      <c r="R125" s="81" t="s">
        <v>63</v>
      </c>
      <c r="S125" s="22"/>
    </row>
    <row r="126" spans="1:19" ht="14.25" thickBot="1" x14ac:dyDescent="0.2">
      <c r="A126" s="40" t="s">
        <v>14</v>
      </c>
      <c r="B126" s="41">
        <f>SUM(B100:B125)</f>
        <v>19</v>
      </c>
      <c r="C126" s="42">
        <f t="shared" ref="C126" si="60">SUM(C100:C125)</f>
        <v>10</v>
      </c>
      <c r="D126" s="43">
        <f t="shared" si="58"/>
        <v>29</v>
      </c>
      <c r="E126" s="41">
        <f>SUM(E100:E125)</f>
        <v>35</v>
      </c>
      <c r="F126" s="42">
        <f t="shared" ref="F126" si="61">SUM(F100:F125)</f>
        <v>14</v>
      </c>
      <c r="G126" s="43">
        <f t="shared" si="49"/>
        <v>49</v>
      </c>
      <c r="H126" s="43">
        <f t="shared" si="50"/>
        <v>78</v>
      </c>
      <c r="J126" s="40" t="s">
        <v>14</v>
      </c>
      <c r="K126" s="41">
        <f>SUM(K100:K125)</f>
        <v>115</v>
      </c>
      <c r="L126" s="42">
        <f t="shared" ref="L126" si="62">SUM(L100:L125)</f>
        <v>125</v>
      </c>
      <c r="M126" s="43">
        <f t="shared" si="59"/>
        <v>240</v>
      </c>
      <c r="N126" s="41">
        <f>SUM(N100:N125)</f>
        <v>190</v>
      </c>
      <c r="O126" s="42">
        <f t="shared" ref="O126" si="63">SUM(O100:O125)</f>
        <v>170</v>
      </c>
      <c r="P126" s="43">
        <f t="shared" si="52"/>
        <v>360</v>
      </c>
      <c r="Q126" s="43">
        <f t="shared" si="53"/>
        <v>600</v>
      </c>
    </row>
    <row r="127" spans="1:19" ht="14.25" thickBot="1" x14ac:dyDescent="0.2">
      <c r="A127" s="44" t="s">
        <v>15</v>
      </c>
      <c r="B127" s="45">
        <f>B99-B126</f>
        <v>12</v>
      </c>
      <c r="C127" s="46">
        <f t="shared" ref="C127" si="64">C99-C126</f>
        <v>7</v>
      </c>
      <c r="D127" s="47">
        <f t="shared" si="58"/>
        <v>19</v>
      </c>
      <c r="E127" s="45">
        <f>E99-E126</f>
        <v>9</v>
      </c>
      <c r="F127" s="46">
        <f t="shared" ref="F127" si="65">F99-F126</f>
        <v>14</v>
      </c>
      <c r="G127" s="47">
        <f t="shared" si="49"/>
        <v>23</v>
      </c>
      <c r="H127" s="34">
        <f t="shared" si="50"/>
        <v>42</v>
      </c>
      <c r="J127" s="44" t="s">
        <v>15</v>
      </c>
      <c r="K127" s="45">
        <f>K99-K126</f>
        <v>695</v>
      </c>
      <c r="L127" s="46">
        <f t="shared" ref="L127" si="66">L99-L126</f>
        <v>744</v>
      </c>
      <c r="M127" s="47">
        <f t="shared" si="59"/>
        <v>1439</v>
      </c>
      <c r="N127" s="45">
        <f>N99-N126</f>
        <v>510</v>
      </c>
      <c r="O127" s="46">
        <f t="shared" ref="O127" si="67">O99-O126</f>
        <v>605</v>
      </c>
      <c r="P127" s="47">
        <f t="shared" si="52"/>
        <v>1115</v>
      </c>
      <c r="Q127" s="34">
        <f t="shared" si="53"/>
        <v>2554</v>
      </c>
    </row>
    <row r="130" spans="1:18" ht="19.5" thickBot="1" x14ac:dyDescent="0.25">
      <c r="A130" s="1" t="s">
        <v>23</v>
      </c>
      <c r="J130" s="1" t="s">
        <v>24</v>
      </c>
      <c r="K130" s="2"/>
      <c r="L130" s="2"/>
      <c r="M130" s="2"/>
      <c r="N130" s="2"/>
      <c r="O130" s="1" t="s">
        <v>34</v>
      </c>
      <c r="P130" s="2"/>
      <c r="Q130" s="2"/>
    </row>
    <row r="131" spans="1:18" ht="14.25" thickBot="1" x14ac:dyDescent="0.2">
      <c r="A131" s="3" t="s">
        <v>0</v>
      </c>
      <c r="B131" s="125" t="s">
        <v>18</v>
      </c>
      <c r="C131" s="126"/>
      <c r="D131" s="127"/>
      <c r="E131" s="125" t="s">
        <v>19</v>
      </c>
      <c r="F131" s="126"/>
      <c r="G131" s="128"/>
      <c r="H131" s="129" t="s">
        <v>1</v>
      </c>
      <c r="J131" s="3" t="s">
        <v>0</v>
      </c>
      <c r="K131" s="125" t="s">
        <v>18</v>
      </c>
      <c r="L131" s="126"/>
      <c r="M131" s="127"/>
      <c r="N131" s="125" t="s">
        <v>19</v>
      </c>
      <c r="O131" s="126"/>
      <c r="P131" s="128"/>
      <c r="Q131" s="129" t="s">
        <v>1</v>
      </c>
    </row>
    <row r="132" spans="1:18" ht="14.25" thickBot="1" x14ac:dyDescent="0.2">
      <c r="A132" s="3" t="s">
        <v>2</v>
      </c>
      <c r="B132" s="4" t="s">
        <v>16</v>
      </c>
      <c r="C132" s="5" t="s">
        <v>17</v>
      </c>
      <c r="D132" s="3" t="s">
        <v>3</v>
      </c>
      <c r="E132" s="4" t="s">
        <v>16</v>
      </c>
      <c r="F132" s="5" t="s">
        <v>17</v>
      </c>
      <c r="G132" s="3" t="s">
        <v>3</v>
      </c>
      <c r="H132" s="130"/>
      <c r="J132" s="3" t="s">
        <v>2</v>
      </c>
      <c r="K132" s="4" t="s">
        <v>16</v>
      </c>
      <c r="L132" s="5" t="s">
        <v>17</v>
      </c>
      <c r="M132" s="3" t="s">
        <v>3</v>
      </c>
      <c r="N132" s="4" t="s">
        <v>16</v>
      </c>
      <c r="O132" s="5" t="s">
        <v>17</v>
      </c>
      <c r="P132" s="3" t="s">
        <v>3</v>
      </c>
      <c r="Q132" s="130"/>
    </row>
    <row r="133" spans="1:18" ht="14.25" thickBot="1" x14ac:dyDescent="0.2">
      <c r="A133" s="6" t="s">
        <v>55</v>
      </c>
      <c r="B133" s="32">
        <f>B127</f>
        <v>12</v>
      </c>
      <c r="C133" s="33">
        <f>C127</f>
        <v>7</v>
      </c>
      <c r="D133" s="34">
        <f t="shared" ref="D133:D145" si="68">SUM(B133:C133)</f>
        <v>19</v>
      </c>
      <c r="E133" s="32">
        <f>E127</f>
        <v>9</v>
      </c>
      <c r="F133" s="33">
        <f>F127</f>
        <v>14</v>
      </c>
      <c r="G133" s="34">
        <f t="shared" ref="G133:G170" si="69">SUM(E133:F133)</f>
        <v>23</v>
      </c>
      <c r="H133" s="34">
        <f t="shared" ref="H133:H170" si="70">D133+G133</f>
        <v>42</v>
      </c>
      <c r="J133" s="6" t="s">
        <v>55</v>
      </c>
      <c r="K133" s="7">
        <f>K127</f>
        <v>695</v>
      </c>
      <c r="L133" s="8">
        <f>L127</f>
        <v>744</v>
      </c>
      <c r="M133" s="9">
        <f t="shared" ref="M133:M164" si="71">SUM(K133:L133)</f>
        <v>1439</v>
      </c>
      <c r="N133" s="7">
        <f>N127</f>
        <v>510</v>
      </c>
      <c r="O133" s="8">
        <f>O127</f>
        <v>605</v>
      </c>
      <c r="P133" s="9">
        <f t="shared" ref="P133:P170" si="72">SUM(N133:O133)</f>
        <v>1115</v>
      </c>
      <c r="Q133" s="9">
        <f t="shared" ref="Q133:Q170" si="73">M133+P133</f>
        <v>2554</v>
      </c>
    </row>
    <row r="134" spans="1:18" x14ac:dyDescent="0.15">
      <c r="A134" s="10" t="s">
        <v>5</v>
      </c>
      <c r="B134" s="64">
        <v>5</v>
      </c>
      <c r="C134" s="65">
        <v>5</v>
      </c>
      <c r="D134" s="36">
        <f t="shared" si="68"/>
        <v>10</v>
      </c>
      <c r="E134" s="66">
        <v>15</v>
      </c>
      <c r="F134" s="65">
        <v>5</v>
      </c>
      <c r="G134" s="36">
        <f t="shared" si="69"/>
        <v>20</v>
      </c>
      <c r="H134" s="36">
        <f t="shared" si="70"/>
        <v>30</v>
      </c>
      <c r="I134" s="81">
        <v>44278</v>
      </c>
      <c r="J134" s="10" t="s">
        <v>97</v>
      </c>
      <c r="K134" s="11">
        <v>3</v>
      </c>
      <c r="L134" s="12">
        <v>27</v>
      </c>
      <c r="M134" s="13">
        <f t="shared" si="71"/>
        <v>30</v>
      </c>
      <c r="N134" s="62">
        <v>40</v>
      </c>
      <c r="O134" s="12">
        <v>37</v>
      </c>
      <c r="P134" s="13">
        <f t="shared" si="72"/>
        <v>77</v>
      </c>
      <c r="Q134" s="13">
        <f t="shared" si="73"/>
        <v>107</v>
      </c>
      <c r="R134" s="81">
        <v>44295</v>
      </c>
    </row>
    <row r="135" spans="1:18" x14ac:dyDescent="0.15">
      <c r="A135" s="10" t="s">
        <v>98</v>
      </c>
      <c r="B135" s="15"/>
      <c r="C135" s="16"/>
      <c r="D135" s="17">
        <f t="shared" si="68"/>
        <v>0</v>
      </c>
      <c r="E135" s="18"/>
      <c r="F135" s="16">
        <v>1</v>
      </c>
      <c r="G135" s="17">
        <f t="shared" si="69"/>
        <v>1</v>
      </c>
      <c r="H135" s="17">
        <f t="shared" si="70"/>
        <v>1</v>
      </c>
      <c r="I135" s="81">
        <v>44281</v>
      </c>
      <c r="J135" s="10" t="s">
        <v>6</v>
      </c>
      <c r="K135" s="15"/>
      <c r="L135" s="16"/>
      <c r="M135" s="17">
        <f t="shared" si="71"/>
        <v>0</v>
      </c>
      <c r="N135" s="18"/>
      <c r="O135" s="16"/>
      <c r="P135" s="17">
        <f t="shared" si="72"/>
        <v>0</v>
      </c>
      <c r="Q135" s="17">
        <f t="shared" si="73"/>
        <v>0</v>
      </c>
    </row>
    <row r="136" spans="1:18" x14ac:dyDescent="0.15">
      <c r="A136" s="10" t="s">
        <v>98</v>
      </c>
      <c r="B136" s="19"/>
      <c r="C136" s="20"/>
      <c r="D136" s="17">
        <f t="shared" si="68"/>
        <v>0</v>
      </c>
      <c r="E136" s="21">
        <v>1</v>
      </c>
      <c r="F136" s="20"/>
      <c r="G136" s="17">
        <f t="shared" si="69"/>
        <v>1</v>
      </c>
      <c r="H136" s="17">
        <f t="shared" si="70"/>
        <v>1</v>
      </c>
      <c r="I136" s="81">
        <v>44284</v>
      </c>
      <c r="J136" s="10" t="s">
        <v>7</v>
      </c>
      <c r="K136" s="19"/>
      <c r="L136" s="20"/>
      <c r="M136" s="17">
        <f t="shared" si="71"/>
        <v>0</v>
      </c>
      <c r="N136" s="21"/>
      <c r="O136" s="20"/>
      <c r="P136" s="17">
        <f t="shared" si="72"/>
        <v>0</v>
      </c>
      <c r="Q136" s="17">
        <f t="shared" si="73"/>
        <v>0</v>
      </c>
    </row>
    <row r="137" spans="1:18" x14ac:dyDescent="0.15">
      <c r="A137" s="10" t="s">
        <v>8</v>
      </c>
      <c r="B137" s="15">
        <v>5</v>
      </c>
      <c r="C137" s="16"/>
      <c r="D137" s="17">
        <f t="shared" si="68"/>
        <v>5</v>
      </c>
      <c r="E137" s="18"/>
      <c r="F137" s="16">
        <v>5</v>
      </c>
      <c r="G137" s="17">
        <f t="shared" si="69"/>
        <v>5</v>
      </c>
      <c r="H137" s="17">
        <f t="shared" si="70"/>
        <v>10</v>
      </c>
      <c r="I137" s="81">
        <v>44287</v>
      </c>
      <c r="J137" s="10" t="s">
        <v>8</v>
      </c>
      <c r="K137" s="15"/>
      <c r="L137" s="16"/>
      <c r="M137" s="17">
        <f t="shared" si="71"/>
        <v>0</v>
      </c>
      <c r="N137" s="18"/>
      <c r="O137" s="16"/>
      <c r="P137" s="17">
        <f t="shared" si="72"/>
        <v>0</v>
      </c>
      <c r="Q137" s="17">
        <f t="shared" si="73"/>
        <v>0</v>
      </c>
    </row>
    <row r="138" spans="1:18" x14ac:dyDescent="0.15">
      <c r="A138" s="10" t="s">
        <v>9</v>
      </c>
      <c r="B138" s="15"/>
      <c r="C138" s="16"/>
      <c r="D138" s="17">
        <f t="shared" si="68"/>
        <v>0</v>
      </c>
      <c r="E138" s="18">
        <v>10</v>
      </c>
      <c r="F138" s="16"/>
      <c r="G138" s="17">
        <f t="shared" si="69"/>
        <v>10</v>
      </c>
      <c r="H138" s="17">
        <f t="shared" si="70"/>
        <v>10</v>
      </c>
      <c r="I138" s="81">
        <v>44298</v>
      </c>
      <c r="J138" s="10" t="s">
        <v>9</v>
      </c>
      <c r="K138" s="15"/>
      <c r="L138" s="16"/>
      <c r="M138" s="17">
        <f t="shared" si="71"/>
        <v>0</v>
      </c>
      <c r="N138" s="18"/>
      <c r="O138" s="16"/>
      <c r="P138" s="17">
        <f t="shared" si="72"/>
        <v>0</v>
      </c>
      <c r="Q138" s="17">
        <f t="shared" si="73"/>
        <v>0</v>
      </c>
    </row>
    <row r="139" spans="1:18" x14ac:dyDescent="0.15">
      <c r="A139" s="10" t="s">
        <v>10</v>
      </c>
      <c r="B139" s="15">
        <v>5</v>
      </c>
      <c r="C139" s="16">
        <v>5</v>
      </c>
      <c r="D139" s="17">
        <f t="shared" si="68"/>
        <v>10</v>
      </c>
      <c r="E139" s="18">
        <v>5</v>
      </c>
      <c r="F139" s="16"/>
      <c r="G139" s="17">
        <f t="shared" si="69"/>
        <v>5</v>
      </c>
      <c r="H139" s="17">
        <f t="shared" si="70"/>
        <v>15</v>
      </c>
      <c r="I139" s="81">
        <v>44303</v>
      </c>
      <c r="J139" s="10" t="s">
        <v>10</v>
      </c>
      <c r="K139" s="15"/>
      <c r="L139" s="16"/>
      <c r="M139" s="17">
        <f t="shared" si="71"/>
        <v>0</v>
      </c>
      <c r="N139" s="18"/>
      <c r="O139" s="16"/>
      <c r="P139" s="17">
        <f t="shared" si="72"/>
        <v>0</v>
      </c>
      <c r="Q139" s="17">
        <f t="shared" si="73"/>
        <v>0</v>
      </c>
    </row>
    <row r="140" spans="1:18" x14ac:dyDescent="0.15">
      <c r="A140" s="10" t="s">
        <v>11</v>
      </c>
      <c r="B140" s="23"/>
      <c r="C140" s="24"/>
      <c r="D140" s="17">
        <f t="shared" si="68"/>
        <v>0</v>
      </c>
      <c r="E140" s="25">
        <v>5</v>
      </c>
      <c r="F140" s="24">
        <v>5</v>
      </c>
      <c r="G140" s="17">
        <f t="shared" si="69"/>
        <v>10</v>
      </c>
      <c r="H140" s="17">
        <f t="shared" si="70"/>
        <v>10</v>
      </c>
      <c r="I140" s="84">
        <v>44312</v>
      </c>
      <c r="J140" s="10" t="s">
        <v>11</v>
      </c>
      <c r="K140" s="23"/>
      <c r="L140" s="24"/>
      <c r="M140" s="17">
        <f t="shared" si="71"/>
        <v>0</v>
      </c>
      <c r="N140" s="25"/>
      <c r="O140" s="24"/>
      <c r="P140" s="17">
        <f t="shared" si="72"/>
        <v>0</v>
      </c>
      <c r="Q140" s="17">
        <f t="shared" si="73"/>
        <v>0</v>
      </c>
    </row>
    <row r="141" spans="1:18" ht="14.25" thickBot="1" x14ac:dyDescent="0.2">
      <c r="A141" s="10" t="s">
        <v>78</v>
      </c>
      <c r="B141" s="26">
        <v>4</v>
      </c>
      <c r="C141" s="27">
        <v>2</v>
      </c>
      <c r="D141" s="28">
        <f t="shared" si="68"/>
        <v>6</v>
      </c>
      <c r="E141" s="29">
        <v>7</v>
      </c>
      <c r="F141" s="29">
        <v>1</v>
      </c>
      <c r="G141" s="28">
        <f t="shared" si="69"/>
        <v>8</v>
      </c>
      <c r="H141" s="30">
        <f t="shared" si="70"/>
        <v>14</v>
      </c>
      <c r="I141" s="81">
        <v>44327</v>
      </c>
      <c r="J141" s="10" t="s">
        <v>12</v>
      </c>
      <c r="K141" s="26"/>
      <c r="L141" s="27"/>
      <c r="M141" s="28">
        <f t="shared" si="71"/>
        <v>0</v>
      </c>
      <c r="N141" s="29"/>
      <c r="O141" s="29"/>
      <c r="P141" s="28">
        <f t="shared" si="72"/>
        <v>0</v>
      </c>
      <c r="Q141" s="30">
        <f t="shared" si="73"/>
        <v>0</v>
      </c>
    </row>
    <row r="142" spans="1:18" ht="14.25" thickBot="1" x14ac:dyDescent="0.2">
      <c r="A142" s="31" t="s">
        <v>13</v>
      </c>
      <c r="B142" s="32">
        <f>SUM(B133:B141)</f>
        <v>31</v>
      </c>
      <c r="C142" s="33">
        <f>SUM(C133:C141)</f>
        <v>19</v>
      </c>
      <c r="D142" s="34">
        <f t="shared" si="68"/>
        <v>50</v>
      </c>
      <c r="E142" s="32">
        <f>SUM(E133:E141)</f>
        <v>52</v>
      </c>
      <c r="F142" s="33">
        <f>SUM(F133:F141)</f>
        <v>31</v>
      </c>
      <c r="G142" s="34">
        <f t="shared" si="69"/>
        <v>83</v>
      </c>
      <c r="H142" s="34">
        <f t="shared" si="70"/>
        <v>133</v>
      </c>
      <c r="J142" s="31" t="s">
        <v>13</v>
      </c>
      <c r="K142" s="32">
        <f>SUM(K133:K141)</f>
        <v>698</v>
      </c>
      <c r="L142" s="33">
        <f>SUM(L133:L141)</f>
        <v>771</v>
      </c>
      <c r="M142" s="34">
        <f t="shared" si="71"/>
        <v>1469</v>
      </c>
      <c r="N142" s="32">
        <f>SUM(N133:N141)</f>
        <v>550</v>
      </c>
      <c r="O142" s="33">
        <f>SUM(O133:O141)</f>
        <v>642</v>
      </c>
      <c r="P142" s="34">
        <f t="shared" si="72"/>
        <v>1192</v>
      </c>
      <c r="Q142" s="34">
        <f t="shared" si="73"/>
        <v>2661</v>
      </c>
    </row>
    <row r="143" spans="1:18" x14ac:dyDescent="0.15">
      <c r="A143" s="35" t="s">
        <v>56</v>
      </c>
      <c r="B143" s="48">
        <v>1</v>
      </c>
      <c r="C143" s="49"/>
      <c r="D143" s="50">
        <f t="shared" si="68"/>
        <v>1</v>
      </c>
      <c r="E143" s="51"/>
      <c r="F143" s="49"/>
      <c r="G143" s="50">
        <f t="shared" si="69"/>
        <v>0</v>
      </c>
      <c r="H143" s="50">
        <f t="shared" si="70"/>
        <v>1</v>
      </c>
      <c r="I143" s="84">
        <v>44270</v>
      </c>
      <c r="J143" s="37" t="s">
        <v>96</v>
      </c>
      <c r="K143" s="15">
        <v>5</v>
      </c>
      <c r="L143" s="16">
        <v>5</v>
      </c>
      <c r="M143" s="36">
        <f t="shared" si="71"/>
        <v>10</v>
      </c>
      <c r="N143" s="18">
        <v>15</v>
      </c>
      <c r="O143" s="16">
        <v>5</v>
      </c>
      <c r="P143" s="36">
        <f t="shared" si="72"/>
        <v>20</v>
      </c>
      <c r="Q143" s="17">
        <f t="shared" si="73"/>
        <v>30</v>
      </c>
      <c r="R143" s="81">
        <v>44278</v>
      </c>
    </row>
    <row r="144" spans="1:18" x14ac:dyDescent="0.15">
      <c r="A144" s="35" t="s">
        <v>56</v>
      </c>
      <c r="B144" s="19"/>
      <c r="C144" s="20"/>
      <c r="D144" s="36">
        <f t="shared" si="68"/>
        <v>0</v>
      </c>
      <c r="E144" s="21"/>
      <c r="F144" s="20">
        <v>1</v>
      </c>
      <c r="G144" s="36">
        <f t="shared" si="69"/>
        <v>1</v>
      </c>
      <c r="H144" s="36">
        <f t="shared" si="70"/>
        <v>1</v>
      </c>
      <c r="I144" s="81">
        <v>44271</v>
      </c>
      <c r="J144" s="37" t="s">
        <v>30</v>
      </c>
      <c r="K144" s="15">
        <v>5</v>
      </c>
      <c r="L144" s="16"/>
      <c r="M144" s="36">
        <f t="shared" si="71"/>
        <v>5</v>
      </c>
      <c r="N144" s="18"/>
      <c r="O144" s="16">
        <v>5</v>
      </c>
      <c r="P144" s="36">
        <f t="shared" si="72"/>
        <v>5</v>
      </c>
      <c r="Q144" s="17">
        <f t="shared" si="73"/>
        <v>10</v>
      </c>
      <c r="R144" s="81">
        <v>44287</v>
      </c>
    </row>
    <row r="145" spans="1:18" x14ac:dyDescent="0.15">
      <c r="A145" s="35" t="s">
        <v>56</v>
      </c>
      <c r="B145" s="15"/>
      <c r="C145" s="16"/>
      <c r="D145" s="36">
        <f t="shared" si="68"/>
        <v>0</v>
      </c>
      <c r="E145" s="18">
        <v>3</v>
      </c>
      <c r="F145" s="16"/>
      <c r="G145" s="36">
        <f t="shared" si="69"/>
        <v>3</v>
      </c>
      <c r="H145" s="17">
        <f t="shared" si="70"/>
        <v>3</v>
      </c>
      <c r="I145" s="84">
        <v>44274</v>
      </c>
      <c r="J145" s="37" t="s">
        <v>30</v>
      </c>
      <c r="K145" s="15"/>
      <c r="L145" s="16"/>
      <c r="M145" s="17">
        <f t="shared" si="71"/>
        <v>0</v>
      </c>
      <c r="N145" s="18">
        <v>10</v>
      </c>
      <c r="O145" s="16"/>
      <c r="P145" s="17">
        <f t="shared" si="72"/>
        <v>10</v>
      </c>
      <c r="Q145" s="17">
        <f t="shared" si="73"/>
        <v>10</v>
      </c>
      <c r="R145" s="81">
        <v>44298</v>
      </c>
    </row>
    <row r="146" spans="1:18" x14ac:dyDescent="0.15">
      <c r="A146" s="35" t="s">
        <v>56</v>
      </c>
      <c r="B146" s="15">
        <v>3</v>
      </c>
      <c r="C146" s="16"/>
      <c r="D146" s="17">
        <f>SUM(B146:C146)</f>
        <v>3</v>
      </c>
      <c r="E146" s="18">
        <v>6</v>
      </c>
      <c r="F146" s="16">
        <f>1+1</f>
        <v>2</v>
      </c>
      <c r="G146" s="17">
        <f t="shared" si="69"/>
        <v>8</v>
      </c>
      <c r="H146" s="17">
        <f t="shared" si="70"/>
        <v>11</v>
      </c>
      <c r="I146" s="81">
        <v>44277</v>
      </c>
      <c r="J146" s="37" t="s">
        <v>30</v>
      </c>
      <c r="K146" s="15">
        <v>5</v>
      </c>
      <c r="L146" s="16">
        <v>5</v>
      </c>
      <c r="M146" s="36">
        <f t="shared" si="71"/>
        <v>10</v>
      </c>
      <c r="N146" s="18">
        <v>5</v>
      </c>
      <c r="O146" s="16"/>
      <c r="P146" s="36">
        <f t="shared" si="72"/>
        <v>5</v>
      </c>
      <c r="Q146" s="17">
        <f t="shared" si="73"/>
        <v>15</v>
      </c>
      <c r="R146" s="81">
        <v>44303</v>
      </c>
    </row>
    <row r="147" spans="1:18" x14ac:dyDescent="0.15">
      <c r="A147" s="35" t="s">
        <v>56</v>
      </c>
      <c r="B147" s="15"/>
      <c r="C147" s="16">
        <v>1</v>
      </c>
      <c r="D147" s="36">
        <f t="shared" ref="D147:D164" si="74">SUM(B147:C147)</f>
        <v>1</v>
      </c>
      <c r="E147" s="18">
        <v>1</v>
      </c>
      <c r="F147" s="16">
        <v>1</v>
      </c>
      <c r="G147" s="36">
        <f t="shared" si="69"/>
        <v>2</v>
      </c>
      <c r="H147" s="17">
        <f t="shared" si="70"/>
        <v>3</v>
      </c>
      <c r="I147" s="84">
        <v>44280</v>
      </c>
      <c r="J147" s="37" t="s">
        <v>30</v>
      </c>
      <c r="K147" s="15"/>
      <c r="L147" s="16"/>
      <c r="M147" s="17">
        <f t="shared" si="71"/>
        <v>0</v>
      </c>
      <c r="N147" s="18">
        <v>5</v>
      </c>
      <c r="O147" s="16">
        <v>5</v>
      </c>
      <c r="P147" s="17">
        <f t="shared" si="72"/>
        <v>10</v>
      </c>
      <c r="Q147" s="17">
        <f t="shared" si="73"/>
        <v>10</v>
      </c>
      <c r="R147" s="84">
        <v>44312</v>
      </c>
    </row>
    <row r="148" spans="1:18" x14ac:dyDescent="0.15">
      <c r="A148" s="35" t="s">
        <v>56</v>
      </c>
      <c r="B148" s="15">
        <v>2</v>
      </c>
      <c r="C148" s="16">
        <v>2</v>
      </c>
      <c r="D148" s="36">
        <f t="shared" si="74"/>
        <v>4</v>
      </c>
      <c r="E148" s="18">
        <f>1+3</f>
        <v>4</v>
      </c>
      <c r="F148" s="16">
        <v>4</v>
      </c>
      <c r="G148" s="36">
        <f t="shared" si="69"/>
        <v>8</v>
      </c>
      <c r="H148" s="17">
        <f t="shared" si="70"/>
        <v>12</v>
      </c>
      <c r="I148" s="84">
        <v>44281</v>
      </c>
      <c r="J148" s="35"/>
      <c r="K148" s="15"/>
      <c r="L148" s="16"/>
      <c r="M148" s="36">
        <f t="shared" si="71"/>
        <v>0</v>
      </c>
      <c r="N148" s="18"/>
      <c r="O148" s="16"/>
      <c r="P148" s="36">
        <f t="shared" si="72"/>
        <v>0</v>
      </c>
      <c r="Q148" s="17">
        <f t="shared" si="73"/>
        <v>0</v>
      </c>
    </row>
    <row r="149" spans="1:18" x14ac:dyDescent="0.15">
      <c r="A149" s="35" t="s">
        <v>56</v>
      </c>
      <c r="B149" s="15">
        <v>1</v>
      </c>
      <c r="C149" s="16"/>
      <c r="D149" s="36">
        <f t="shared" si="74"/>
        <v>1</v>
      </c>
      <c r="E149" s="18"/>
      <c r="F149" s="16"/>
      <c r="G149" s="36">
        <f t="shared" si="69"/>
        <v>0</v>
      </c>
      <c r="H149" s="17">
        <f t="shared" si="70"/>
        <v>1</v>
      </c>
      <c r="I149" s="84">
        <v>44284</v>
      </c>
      <c r="J149" s="35"/>
      <c r="K149" s="15"/>
      <c r="L149" s="16"/>
      <c r="M149" s="36">
        <f t="shared" si="71"/>
        <v>0</v>
      </c>
      <c r="N149" s="18"/>
      <c r="O149" s="16"/>
      <c r="P149" s="36">
        <f t="shared" si="72"/>
        <v>0</v>
      </c>
      <c r="Q149" s="17">
        <f t="shared" si="73"/>
        <v>0</v>
      </c>
    </row>
    <row r="150" spans="1:18" x14ac:dyDescent="0.15">
      <c r="A150" s="35" t="s">
        <v>56</v>
      </c>
      <c r="B150" s="15">
        <v>2</v>
      </c>
      <c r="C150" s="16"/>
      <c r="D150" s="36">
        <f t="shared" si="74"/>
        <v>2</v>
      </c>
      <c r="E150" s="18"/>
      <c r="F150" s="16">
        <v>2</v>
      </c>
      <c r="G150" s="36">
        <f t="shared" si="69"/>
        <v>2</v>
      </c>
      <c r="H150" s="17">
        <f t="shared" si="70"/>
        <v>4</v>
      </c>
      <c r="I150" s="84">
        <v>44286</v>
      </c>
      <c r="J150" s="35"/>
      <c r="K150" s="15"/>
      <c r="L150" s="16"/>
      <c r="M150" s="36">
        <f t="shared" si="71"/>
        <v>0</v>
      </c>
      <c r="N150" s="18"/>
      <c r="O150" s="16"/>
      <c r="P150" s="36">
        <f t="shared" si="72"/>
        <v>0</v>
      </c>
      <c r="Q150" s="17">
        <f t="shared" si="73"/>
        <v>0</v>
      </c>
    </row>
    <row r="151" spans="1:18" x14ac:dyDescent="0.15">
      <c r="A151" s="35" t="s">
        <v>56</v>
      </c>
      <c r="B151" s="15"/>
      <c r="C151" s="16"/>
      <c r="D151" s="36">
        <f t="shared" si="74"/>
        <v>0</v>
      </c>
      <c r="E151" s="18">
        <v>1</v>
      </c>
      <c r="F151" s="16"/>
      <c r="G151" s="36">
        <f t="shared" si="69"/>
        <v>1</v>
      </c>
      <c r="H151" s="17">
        <f t="shared" si="70"/>
        <v>1</v>
      </c>
      <c r="I151" s="84">
        <v>44287</v>
      </c>
      <c r="J151" s="10"/>
      <c r="K151" s="19"/>
      <c r="L151" s="20"/>
      <c r="M151" s="17">
        <f t="shared" si="71"/>
        <v>0</v>
      </c>
      <c r="N151" s="21"/>
      <c r="O151" s="20"/>
      <c r="P151" s="17">
        <f t="shared" si="72"/>
        <v>0</v>
      </c>
      <c r="Q151" s="17">
        <f t="shared" si="73"/>
        <v>0</v>
      </c>
    </row>
    <row r="152" spans="1:18" x14ac:dyDescent="0.15">
      <c r="A152" s="35" t="s">
        <v>56</v>
      </c>
      <c r="B152" s="23"/>
      <c r="C152" s="24"/>
      <c r="D152" s="36">
        <f t="shared" si="74"/>
        <v>0</v>
      </c>
      <c r="E152" s="25">
        <v>2</v>
      </c>
      <c r="F152" s="24"/>
      <c r="G152" s="36">
        <f t="shared" si="69"/>
        <v>2</v>
      </c>
      <c r="H152" s="17">
        <f t="shared" si="70"/>
        <v>2</v>
      </c>
      <c r="I152" s="84">
        <v>44288</v>
      </c>
      <c r="J152" s="35"/>
      <c r="K152" s="23"/>
      <c r="L152" s="24"/>
      <c r="M152" s="36">
        <f t="shared" si="71"/>
        <v>0</v>
      </c>
      <c r="N152" s="25"/>
      <c r="O152" s="24"/>
      <c r="P152" s="36">
        <f t="shared" si="72"/>
        <v>0</v>
      </c>
      <c r="Q152" s="17">
        <f t="shared" si="73"/>
        <v>0</v>
      </c>
    </row>
    <row r="153" spans="1:18" x14ac:dyDescent="0.15">
      <c r="A153" s="35" t="s">
        <v>56</v>
      </c>
      <c r="B153" s="15"/>
      <c r="C153" s="16"/>
      <c r="D153" s="36">
        <f t="shared" si="74"/>
        <v>0</v>
      </c>
      <c r="E153" s="18">
        <v>4</v>
      </c>
      <c r="F153" s="16"/>
      <c r="G153" s="36">
        <f t="shared" si="69"/>
        <v>4</v>
      </c>
      <c r="H153" s="17">
        <f t="shared" si="70"/>
        <v>4</v>
      </c>
      <c r="I153" s="84">
        <v>44292</v>
      </c>
      <c r="J153" s="35"/>
      <c r="K153" s="15"/>
      <c r="L153" s="16"/>
      <c r="M153" s="36">
        <f t="shared" si="71"/>
        <v>0</v>
      </c>
      <c r="N153" s="18"/>
      <c r="O153" s="16"/>
      <c r="P153" s="36">
        <f t="shared" si="72"/>
        <v>0</v>
      </c>
      <c r="Q153" s="17">
        <f t="shared" si="73"/>
        <v>0</v>
      </c>
    </row>
    <row r="154" spans="1:18" x14ac:dyDescent="0.15">
      <c r="A154" s="35" t="s">
        <v>56</v>
      </c>
      <c r="B154" s="15">
        <v>1</v>
      </c>
      <c r="C154" s="16"/>
      <c r="D154" s="36">
        <f t="shared" si="74"/>
        <v>1</v>
      </c>
      <c r="E154" s="18">
        <v>1</v>
      </c>
      <c r="F154" s="16">
        <v>1</v>
      </c>
      <c r="G154" s="36">
        <f t="shared" si="69"/>
        <v>2</v>
      </c>
      <c r="H154" s="17">
        <f t="shared" si="70"/>
        <v>3</v>
      </c>
      <c r="I154" s="84">
        <v>44293</v>
      </c>
      <c r="J154" s="35"/>
      <c r="K154" s="15"/>
      <c r="L154" s="16"/>
      <c r="M154" s="36">
        <f t="shared" si="71"/>
        <v>0</v>
      </c>
      <c r="N154" s="18"/>
      <c r="O154" s="16"/>
      <c r="P154" s="36">
        <f t="shared" si="72"/>
        <v>0</v>
      </c>
      <c r="Q154" s="17">
        <f t="shared" si="73"/>
        <v>0</v>
      </c>
    </row>
    <row r="155" spans="1:18" x14ac:dyDescent="0.15">
      <c r="A155" s="35" t="s">
        <v>56</v>
      </c>
      <c r="B155" s="15"/>
      <c r="C155" s="16">
        <v>1</v>
      </c>
      <c r="D155" s="36">
        <f t="shared" si="74"/>
        <v>1</v>
      </c>
      <c r="E155" s="18"/>
      <c r="F155" s="16"/>
      <c r="G155" s="36">
        <f t="shared" si="69"/>
        <v>0</v>
      </c>
      <c r="H155" s="17">
        <f t="shared" si="70"/>
        <v>1</v>
      </c>
      <c r="I155" s="84">
        <v>44295</v>
      </c>
      <c r="J155" s="35"/>
      <c r="K155" s="15"/>
      <c r="L155" s="16"/>
      <c r="M155" s="36">
        <f t="shared" si="71"/>
        <v>0</v>
      </c>
      <c r="N155" s="18"/>
      <c r="O155" s="16"/>
      <c r="P155" s="36">
        <f t="shared" si="72"/>
        <v>0</v>
      </c>
      <c r="Q155" s="17">
        <f t="shared" si="73"/>
        <v>0</v>
      </c>
    </row>
    <row r="156" spans="1:18" x14ac:dyDescent="0.15">
      <c r="A156" s="35" t="s">
        <v>56</v>
      </c>
      <c r="B156" s="15">
        <v>1</v>
      </c>
      <c r="C156" s="16">
        <v>1</v>
      </c>
      <c r="D156" s="17">
        <f t="shared" si="74"/>
        <v>2</v>
      </c>
      <c r="E156" s="18">
        <f>1+1</f>
        <v>2</v>
      </c>
      <c r="F156" s="16">
        <v>2</v>
      </c>
      <c r="G156" s="17">
        <f t="shared" si="69"/>
        <v>4</v>
      </c>
      <c r="H156" s="17">
        <f t="shared" si="70"/>
        <v>6</v>
      </c>
      <c r="I156" s="84">
        <v>44298</v>
      </c>
      <c r="J156" s="10"/>
      <c r="K156" s="15"/>
      <c r="L156" s="16"/>
      <c r="M156" s="17">
        <f t="shared" si="71"/>
        <v>0</v>
      </c>
      <c r="N156" s="18"/>
      <c r="O156" s="16"/>
      <c r="P156" s="17">
        <f t="shared" si="72"/>
        <v>0</v>
      </c>
      <c r="Q156" s="17">
        <f t="shared" si="73"/>
        <v>0</v>
      </c>
    </row>
    <row r="157" spans="1:18" x14ac:dyDescent="0.15">
      <c r="A157" s="35" t="s">
        <v>56</v>
      </c>
      <c r="B157" s="15">
        <v>1</v>
      </c>
      <c r="C157" s="16"/>
      <c r="D157" s="36">
        <f t="shared" si="74"/>
        <v>1</v>
      </c>
      <c r="E157" s="18">
        <v>1</v>
      </c>
      <c r="F157" s="16"/>
      <c r="G157" s="36">
        <f t="shared" si="69"/>
        <v>1</v>
      </c>
      <c r="H157" s="17">
        <f t="shared" si="70"/>
        <v>2</v>
      </c>
      <c r="I157" s="84">
        <v>44299</v>
      </c>
      <c r="J157" s="35"/>
      <c r="K157" s="15"/>
      <c r="L157" s="16"/>
      <c r="M157" s="36">
        <f t="shared" si="71"/>
        <v>0</v>
      </c>
      <c r="N157" s="18"/>
      <c r="O157" s="16"/>
      <c r="P157" s="36">
        <f t="shared" si="72"/>
        <v>0</v>
      </c>
      <c r="Q157" s="17">
        <f t="shared" si="73"/>
        <v>0</v>
      </c>
    </row>
    <row r="158" spans="1:18" x14ac:dyDescent="0.15">
      <c r="A158" s="35" t="s">
        <v>56</v>
      </c>
      <c r="B158" s="15">
        <v>1</v>
      </c>
      <c r="C158" s="16">
        <v>1</v>
      </c>
      <c r="D158" s="36">
        <f t="shared" si="74"/>
        <v>2</v>
      </c>
      <c r="E158" s="18">
        <f>2+2</f>
        <v>4</v>
      </c>
      <c r="F158" s="16">
        <v>1</v>
      </c>
      <c r="G158" s="36">
        <f t="shared" si="69"/>
        <v>5</v>
      </c>
      <c r="H158" s="17">
        <f t="shared" si="70"/>
        <v>7</v>
      </c>
      <c r="I158" s="84">
        <v>44301</v>
      </c>
      <c r="J158" s="37"/>
      <c r="K158" s="15"/>
      <c r="L158" s="16"/>
      <c r="M158" s="36">
        <f t="shared" si="71"/>
        <v>0</v>
      </c>
      <c r="N158" s="18"/>
      <c r="O158" s="16"/>
      <c r="P158" s="36">
        <f t="shared" si="72"/>
        <v>0</v>
      </c>
      <c r="Q158" s="17">
        <f t="shared" si="73"/>
        <v>0</v>
      </c>
    </row>
    <row r="159" spans="1:18" x14ac:dyDescent="0.15">
      <c r="A159" s="35" t="s">
        <v>56</v>
      </c>
      <c r="B159" s="15"/>
      <c r="C159" s="16">
        <v>2</v>
      </c>
      <c r="D159" s="36">
        <f t="shared" si="74"/>
        <v>2</v>
      </c>
      <c r="E159" s="18"/>
      <c r="F159" s="16"/>
      <c r="G159" s="36">
        <f t="shared" si="69"/>
        <v>0</v>
      </c>
      <c r="H159" s="17">
        <f t="shared" si="70"/>
        <v>2</v>
      </c>
      <c r="I159" s="84">
        <v>44302</v>
      </c>
      <c r="J159" s="37"/>
      <c r="K159" s="15"/>
      <c r="L159" s="16"/>
      <c r="M159" s="36">
        <f t="shared" si="71"/>
        <v>0</v>
      </c>
      <c r="N159" s="18"/>
      <c r="O159" s="16"/>
      <c r="P159" s="36">
        <f t="shared" si="72"/>
        <v>0</v>
      </c>
      <c r="Q159" s="17">
        <f t="shared" si="73"/>
        <v>0</v>
      </c>
    </row>
    <row r="160" spans="1:18" x14ac:dyDescent="0.15">
      <c r="A160" s="35" t="s">
        <v>56</v>
      </c>
      <c r="B160" s="15"/>
      <c r="C160" s="16">
        <v>1</v>
      </c>
      <c r="D160" s="36">
        <f t="shared" si="74"/>
        <v>1</v>
      </c>
      <c r="E160" s="18">
        <v>2</v>
      </c>
      <c r="F160" s="16"/>
      <c r="G160" s="36">
        <f t="shared" si="69"/>
        <v>2</v>
      </c>
      <c r="H160" s="17">
        <f t="shared" si="70"/>
        <v>3</v>
      </c>
      <c r="I160" s="84">
        <v>44305</v>
      </c>
      <c r="J160" s="35"/>
      <c r="K160" s="15"/>
      <c r="L160" s="16"/>
      <c r="M160" s="36">
        <f t="shared" si="71"/>
        <v>0</v>
      </c>
      <c r="N160" s="18"/>
      <c r="O160" s="16"/>
      <c r="P160" s="36">
        <f t="shared" si="72"/>
        <v>0</v>
      </c>
      <c r="Q160" s="17">
        <f t="shared" si="73"/>
        <v>0</v>
      </c>
    </row>
    <row r="161" spans="1:17" x14ac:dyDescent="0.15">
      <c r="A161" s="35" t="s">
        <v>56</v>
      </c>
      <c r="B161" s="15">
        <v>2</v>
      </c>
      <c r="C161" s="16"/>
      <c r="D161" s="36">
        <f t="shared" si="74"/>
        <v>2</v>
      </c>
      <c r="E161" s="18"/>
      <c r="F161" s="16"/>
      <c r="G161" s="36">
        <f t="shared" si="69"/>
        <v>0</v>
      </c>
      <c r="H161" s="17">
        <f t="shared" si="70"/>
        <v>2</v>
      </c>
      <c r="I161" s="84">
        <v>44306</v>
      </c>
      <c r="J161" s="38"/>
      <c r="K161" s="15"/>
      <c r="L161" s="16"/>
      <c r="M161" s="36">
        <f t="shared" si="71"/>
        <v>0</v>
      </c>
      <c r="N161" s="18"/>
      <c r="O161" s="16"/>
      <c r="P161" s="36">
        <f t="shared" si="72"/>
        <v>0</v>
      </c>
      <c r="Q161" s="17">
        <f t="shared" si="73"/>
        <v>0</v>
      </c>
    </row>
    <row r="162" spans="1:17" x14ac:dyDescent="0.15">
      <c r="A162" s="35" t="s">
        <v>56</v>
      </c>
      <c r="B162" s="15"/>
      <c r="C162" s="16">
        <v>1</v>
      </c>
      <c r="D162" s="36">
        <f t="shared" si="74"/>
        <v>1</v>
      </c>
      <c r="E162" s="18">
        <v>1</v>
      </c>
      <c r="F162" s="16">
        <f>1+1</f>
        <v>2</v>
      </c>
      <c r="G162" s="36">
        <f t="shared" si="69"/>
        <v>3</v>
      </c>
      <c r="H162" s="17">
        <f t="shared" si="70"/>
        <v>4</v>
      </c>
      <c r="I162" s="84">
        <v>44312</v>
      </c>
      <c r="J162" s="35"/>
      <c r="K162" s="15"/>
      <c r="L162" s="16"/>
      <c r="M162" s="36">
        <f t="shared" si="71"/>
        <v>0</v>
      </c>
      <c r="N162" s="18"/>
      <c r="O162" s="16"/>
      <c r="P162" s="36">
        <f t="shared" si="72"/>
        <v>0</v>
      </c>
      <c r="Q162" s="17">
        <f t="shared" si="73"/>
        <v>0</v>
      </c>
    </row>
    <row r="163" spans="1:17" x14ac:dyDescent="0.15">
      <c r="A163" s="35" t="s">
        <v>56</v>
      </c>
      <c r="B163" s="15"/>
      <c r="C163" s="16">
        <v>1</v>
      </c>
      <c r="D163" s="36">
        <f t="shared" si="74"/>
        <v>1</v>
      </c>
      <c r="E163" s="18"/>
      <c r="F163" s="16">
        <v>1</v>
      </c>
      <c r="G163" s="36">
        <f t="shared" si="69"/>
        <v>1</v>
      </c>
      <c r="H163" s="17">
        <f t="shared" si="70"/>
        <v>2</v>
      </c>
      <c r="I163" s="84">
        <v>44316</v>
      </c>
      <c r="J163" s="38"/>
      <c r="K163" s="15"/>
      <c r="L163" s="16"/>
      <c r="M163" s="36">
        <f t="shared" si="71"/>
        <v>0</v>
      </c>
      <c r="N163" s="18"/>
      <c r="O163" s="16"/>
      <c r="P163" s="36">
        <f t="shared" si="72"/>
        <v>0</v>
      </c>
      <c r="Q163" s="17">
        <f t="shared" si="73"/>
        <v>0</v>
      </c>
    </row>
    <row r="164" spans="1:17" x14ac:dyDescent="0.15">
      <c r="A164" s="35" t="s">
        <v>56</v>
      </c>
      <c r="B164" s="15"/>
      <c r="C164" s="16"/>
      <c r="D164" s="36">
        <f t="shared" si="74"/>
        <v>0</v>
      </c>
      <c r="E164" s="18">
        <v>1</v>
      </c>
      <c r="F164" s="16">
        <f>1+1</f>
        <v>2</v>
      </c>
      <c r="G164" s="36">
        <f t="shared" si="69"/>
        <v>3</v>
      </c>
      <c r="H164" s="17">
        <f t="shared" si="70"/>
        <v>3</v>
      </c>
      <c r="I164" s="84">
        <v>44317</v>
      </c>
      <c r="J164" s="35"/>
      <c r="K164" s="15"/>
      <c r="L164" s="16"/>
      <c r="M164" s="36">
        <f t="shared" si="71"/>
        <v>0</v>
      </c>
      <c r="N164" s="18"/>
      <c r="O164" s="16"/>
      <c r="P164" s="36">
        <f t="shared" si="72"/>
        <v>0</v>
      </c>
      <c r="Q164" s="17">
        <f t="shared" si="73"/>
        <v>0</v>
      </c>
    </row>
    <row r="165" spans="1:17" x14ac:dyDescent="0.15">
      <c r="A165" s="35" t="s">
        <v>56</v>
      </c>
      <c r="B165" s="15">
        <v>4</v>
      </c>
      <c r="C165" s="16">
        <v>1</v>
      </c>
      <c r="D165" s="17">
        <f>SUM(B165:C165)</f>
        <v>5</v>
      </c>
      <c r="E165" s="18">
        <v>1</v>
      </c>
      <c r="F165" s="16"/>
      <c r="G165" s="17">
        <f t="shared" si="69"/>
        <v>1</v>
      </c>
      <c r="H165" s="17">
        <f t="shared" si="70"/>
        <v>6</v>
      </c>
      <c r="I165" s="84">
        <v>44322</v>
      </c>
      <c r="J165" s="52"/>
      <c r="K165" s="15"/>
      <c r="L165" s="16"/>
      <c r="M165" s="17">
        <f>SUM(K165:L165)</f>
        <v>0</v>
      </c>
      <c r="N165" s="18"/>
      <c r="O165" s="16"/>
      <c r="P165" s="17">
        <f t="shared" si="72"/>
        <v>0</v>
      </c>
      <c r="Q165" s="17">
        <f t="shared" si="73"/>
        <v>0</v>
      </c>
    </row>
    <row r="166" spans="1:17" x14ac:dyDescent="0.15">
      <c r="A166" s="35" t="s">
        <v>56</v>
      </c>
      <c r="B166" s="15"/>
      <c r="C166" s="16"/>
      <c r="D166" s="36">
        <f t="shared" ref="D166" si="75">SUM(B166:C166)</f>
        <v>0</v>
      </c>
      <c r="E166" s="18">
        <v>1</v>
      </c>
      <c r="F166" s="16">
        <f>2+1</f>
        <v>3</v>
      </c>
      <c r="G166" s="36">
        <f t="shared" si="69"/>
        <v>4</v>
      </c>
      <c r="H166" s="17">
        <f t="shared" si="70"/>
        <v>4</v>
      </c>
      <c r="I166" s="84">
        <v>44326</v>
      </c>
      <c r="J166" s="35"/>
      <c r="K166" s="15"/>
      <c r="L166" s="16"/>
      <c r="M166" s="36">
        <f t="shared" ref="M166" si="76">SUM(K166:L166)</f>
        <v>0</v>
      </c>
      <c r="N166" s="18"/>
      <c r="O166" s="16"/>
      <c r="P166" s="36">
        <f t="shared" si="72"/>
        <v>0</v>
      </c>
      <c r="Q166" s="17">
        <f t="shared" si="73"/>
        <v>0</v>
      </c>
    </row>
    <row r="167" spans="1:17" x14ac:dyDescent="0.15">
      <c r="A167" s="35" t="s">
        <v>56</v>
      </c>
      <c r="B167" s="15"/>
      <c r="C167" s="16"/>
      <c r="D167" s="17">
        <f>SUM(B167:C167)</f>
        <v>0</v>
      </c>
      <c r="E167" s="18">
        <v>1</v>
      </c>
      <c r="F167" s="16">
        <v>2</v>
      </c>
      <c r="G167" s="17">
        <f t="shared" si="69"/>
        <v>3</v>
      </c>
      <c r="H167" s="17">
        <f t="shared" si="70"/>
        <v>3</v>
      </c>
      <c r="I167" s="84">
        <v>44327</v>
      </c>
      <c r="J167" s="52"/>
      <c r="K167" s="15"/>
      <c r="L167" s="16"/>
      <c r="M167" s="17">
        <f>SUM(K167:L167)</f>
        <v>0</v>
      </c>
      <c r="N167" s="18"/>
      <c r="O167" s="16"/>
      <c r="P167" s="17">
        <f t="shared" si="72"/>
        <v>0</v>
      </c>
      <c r="Q167" s="17">
        <f t="shared" si="73"/>
        <v>0</v>
      </c>
    </row>
    <row r="168" spans="1:17" ht="14.25" thickBot="1" x14ac:dyDescent="0.2">
      <c r="A168" s="35" t="s">
        <v>56</v>
      </c>
      <c r="B168" s="15">
        <v>1</v>
      </c>
      <c r="C168" s="16"/>
      <c r="D168" s="36">
        <f t="shared" ref="D168:D170" si="77">SUM(B168:C168)</f>
        <v>1</v>
      </c>
      <c r="E168" s="18">
        <v>2</v>
      </c>
      <c r="F168" s="16"/>
      <c r="G168" s="36">
        <f t="shared" si="69"/>
        <v>2</v>
      </c>
      <c r="H168" s="17">
        <f t="shared" si="70"/>
        <v>3</v>
      </c>
      <c r="I168" s="84">
        <v>44328</v>
      </c>
      <c r="J168" s="35"/>
      <c r="K168" s="15"/>
      <c r="L168" s="16"/>
      <c r="M168" s="36">
        <f t="shared" ref="M168:M170" si="78">SUM(K168:L168)</f>
        <v>0</v>
      </c>
      <c r="N168" s="18"/>
      <c r="O168" s="16"/>
      <c r="P168" s="36">
        <f t="shared" si="72"/>
        <v>0</v>
      </c>
      <c r="Q168" s="17">
        <f t="shared" si="73"/>
        <v>0</v>
      </c>
    </row>
    <row r="169" spans="1:17" ht="14.25" thickBot="1" x14ac:dyDescent="0.2">
      <c r="A169" s="40" t="s">
        <v>14</v>
      </c>
      <c r="B169" s="41">
        <f>SUM(B143:B168)</f>
        <v>20</v>
      </c>
      <c r="C169" s="42">
        <f t="shared" ref="C169" si="79">SUM(C143:C168)</f>
        <v>12</v>
      </c>
      <c r="D169" s="43">
        <f t="shared" si="77"/>
        <v>32</v>
      </c>
      <c r="E169" s="41">
        <f>SUM(E143:E168)</f>
        <v>38</v>
      </c>
      <c r="F169" s="42">
        <f t="shared" ref="F169" si="80">SUM(F143:F168)</f>
        <v>24</v>
      </c>
      <c r="G169" s="43">
        <f t="shared" si="69"/>
        <v>62</v>
      </c>
      <c r="H169" s="43">
        <f t="shared" si="70"/>
        <v>94</v>
      </c>
      <c r="J169" s="40" t="s">
        <v>14</v>
      </c>
      <c r="K169" s="41">
        <f>SUM(K143:K168)</f>
        <v>15</v>
      </c>
      <c r="L169" s="42">
        <f t="shared" ref="L169" si="81">SUM(L143:L168)</f>
        <v>10</v>
      </c>
      <c r="M169" s="43">
        <f t="shared" si="78"/>
        <v>25</v>
      </c>
      <c r="N169" s="41">
        <f>SUM(N143:N168)</f>
        <v>35</v>
      </c>
      <c r="O169" s="42">
        <f t="shared" ref="O169" si="82">SUM(O143:O168)</f>
        <v>15</v>
      </c>
      <c r="P169" s="43">
        <f t="shared" si="72"/>
        <v>50</v>
      </c>
      <c r="Q169" s="43">
        <f t="shared" si="73"/>
        <v>75</v>
      </c>
    </row>
    <row r="170" spans="1:17" ht="14.25" thickBot="1" x14ac:dyDescent="0.2">
      <c r="A170" s="44" t="s">
        <v>15</v>
      </c>
      <c r="B170" s="45">
        <f>B142-B169</f>
        <v>11</v>
      </c>
      <c r="C170" s="46">
        <f t="shared" ref="C170" si="83">C142-C169</f>
        <v>7</v>
      </c>
      <c r="D170" s="47">
        <f t="shared" si="77"/>
        <v>18</v>
      </c>
      <c r="E170" s="45">
        <f>E142-E169</f>
        <v>14</v>
      </c>
      <c r="F170" s="46">
        <f t="shared" ref="F170" si="84">F142-F169</f>
        <v>7</v>
      </c>
      <c r="G170" s="47">
        <f t="shared" si="69"/>
        <v>21</v>
      </c>
      <c r="H170" s="34">
        <f t="shared" si="70"/>
        <v>39</v>
      </c>
      <c r="J170" s="44" t="s">
        <v>15</v>
      </c>
      <c r="K170" s="45">
        <f>K142-K169</f>
        <v>683</v>
      </c>
      <c r="L170" s="46">
        <f t="shared" ref="L170" si="85">L142-L169</f>
        <v>761</v>
      </c>
      <c r="M170" s="47">
        <f t="shared" si="78"/>
        <v>1444</v>
      </c>
      <c r="N170" s="45">
        <f>N142-N169</f>
        <v>515</v>
      </c>
      <c r="O170" s="46">
        <f t="shared" ref="O170" si="86">O142-O169</f>
        <v>627</v>
      </c>
      <c r="P170" s="47">
        <f t="shared" si="72"/>
        <v>1142</v>
      </c>
      <c r="Q170" s="34">
        <f t="shared" si="73"/>
        <v>2586</v>
      </c>
    </row>
    <row r="173" spans="1:17" ht="19.5" thickBot="1" x14ac:dyDescent="0.25">
      <c r="A173" s="1" t="s">
        <v>23</v>
      </c>
      <c r="J173" s="1" t="s">
        <v>24</v>
      </c>
      <c r="K173" s="2"/>
      <c r="L173" s="2"/>
      <c r="M173" s="2"/>
      <c r="N173" s="2"/>
      <c r="O173" s="1" t="s">
        <v>34</v>
      </c>
      <c r="P173" s="2"/>
      <c r="Q173" s="2"/>
    </row>
    <row r="174" spans="1:17" ht="14.25" thickBot="1" x14ac:dyDescent="0.2">
      <c r="A174" s="3" t="s">
        <v>0</v>
      </c>
      <c r="B174" s="125" t="s">
        <v>18</v>
      </c>
      <c r="C174" s="126"/>
      <c r="D174" s="127"/>
      <c r="E174" s="125" t="s">
        <v>19</v>
      </c>
      <c r="F174" s="126"/>
      <c r="G174" s="128"/>
      <c r="H174" s="129" t="s">
        <v>1</v>
      </c>
      <c r="J174" s="3" t="s">
        <v>0</v>
      </c>
      <c r="K174" s="125" t="s">
        <v>18</v>
      </c>
      <c r="L174" s="126"/>
      <c r="M174" s="127"/>
      <c r="N174" s="125" t="s">
        <v>19</v>
      </c>
      <c r="O174" s="126"/>
      <c r="P174" s="128"/>
      <c r="Q174" s="129" t="s">
        <v>1</v>
      </c>
    </row>
    <row r="175" spans="1:17" ht="14.25" thickBot="1" x14ac:dyDescent="0.2">
      <c r="A175" s="3" t="s">
        <v>2</v>
      </c>
      <c r="B175" s="4" t="s">
        <v>16</v>
      </c>
      <c r="C175" s="5" t="s">
        <v>17</v>
      </c>
      <c r="D175" s="3" t="s">
        <v>3</v>
      </c>
      <c r="E175" s="4" t="s">
        <v>16</v>
      </c>
      <c r="F175" s="5" t="s">
        <v>17</v>
      </c>
      <c r="G175" s="3" t="s">
        <v>3</v>
      </c>
      <c r="H175" s="130"/>
      <c r="J175" s="3" t="s">
        <v>2</v>
      </c>
      <c r="K175" s="4" t="s">
        <v>16</v>
      </c>
      <c r="L175" s="5" t="s">
        <v>17</v>
      </c>
      <c r="M175" s="3" t="s">
        <v>3</v>
      </c>
      <c r="N175" s="4" t="s">
        <v>16</v>
      </c>
      <c r="O175" s="5" t="s">
        <v>17</v>
      </c>
      <c r="P175" s="3" t="s">
        <v>3</v>
      </c>
      <c r="Q175" s="130"/>
    </row>
    <row r="176" spans="1:17" ht="14.25" thickBot="1" x14ac:dyDescent="0.2">
      <c r="A176" s="6" t="s">
        <v>55</v>
      </c>
      <c r="B176" s="32">
        <f>B170</f>
        <v>11</v>
      </c>
      <c r="C176" s="33">
        <f>C170</f>
        <v>7</v>
      </c>
      <c r="D176" s="34">
        <f t="shared" ref="D176:D188" si="87">SUM(B176:C176)</f>
        <v>18</v>
      </c>
      <c r="E176" s="32">
        <f>E170</f>
        <v>14</v>
      </c>
      <c r="F176" s="33">
        <f>F170</f>
        <v>7</v>
      </c>
      <c r="G176" s="34">
        <f t="shared" ref="G176:G213" si="88">SUM(E176:F176)</f>
        <v>21</v>
      </c>
      <c r="H176" s="34">
        <f t="shared" ref="H176:H213" si="89">D176+G176</f>
        <v>39</v>
      </c>
      <c r="J176" s="6" t="s">
        <v>55</v>
      </c>
      <c r="K176" s="7">
        <f>K170</f>
        <v>683</v>
      </c>
      <c r="L176" s="8">
        <f>L170</f>
        <v>761</v>
      </c>
      <c r="M176" s="9">
        <f t="shared" ref="M176:M207" si="90">SUM(K176:L176)</f>
        <v>1444</v>
      </c>
      <c r="N176" s="7">
        <f>N170</f>
        <v>515</v>
      </c>
      <c r="O176" s="8">
        <f>O170</f>
        <v>627</v>
      </c>
      <c r="P176" s="9">
        <f t="shared" ref="P176:P213" si="91">SUM(N176:O176)</f>
        <v>1142</v>
      </c>
      <c r="Q176" s="9">
        <f t="shared" ref="Q176:Q213" si="92">M176+P176</f>
        <v>2586</v>
      </c>
    </row>
    <row r="177" spans="1:19" x14ac:dyDescent="0.15">
      <c r="A177" s="10" t="s">
        <v>5</v>
      </c>
      <c r="B177" s="64"/>
      <c r="C177" s="65"/>
      <c r="D177" s="36">
        <f t="shared" si="87"/>
        <v>0</v>
      </c>
      <c r="E177" s="66"/>
      <c r="F177" s="65">
        <v>5</v>
      </c>
      <c r="G177" s="36">
        <f t="shared" si="88"/>
        <v>5</v>
      </c>
      <c r="H177" s="36">
        <f t="shared" si="89"/>
        <v>5</v>
      </c>
      <c r="I177" s="81">
        <v>44331</v>
      </c>
      <c r="J177" s="10" t="s">
        <v>5</v>
      </c>
      <c r="K177" s="11"/>
      <c r="L177" s="12"/>
      <c r="M177" s="13">
        <f t="shared" si="90"/>
        <v>0</v>
      </c>
      <c r="N177" s="62"/>
      <c r="O177" s="12"/>
      <c r="P177" s="13">
        <f t="shared" si="91"/>
        <v>0</v>
      </c>
      <c r="Q177" s="13">
        <f t="shared" si="92"/>
        <v>0</v>
      </c>
      <c r="R177" s="81"/>
    </row>
    <row r="178" spans="1:19" x14ac:dyDescent="0.15">
      <c r="A178" s="10" t="s">
        <v>6</v>
      </c>
      <c r="B178" s="15"/>
      <c r="C178" s="16"/>
      <c r="D178" s="17">
        <f t="shared" si="87"/>
        <v>0</v>
      </c>
      <c r="E178" s="18">
        <v>10</v>
      </c>
      <c r="F178" s="16"/>
      <c r="G178" s="17">
        <f t="shared" si="88"/>
        <v>10</v>
      </c>
      <c r="H178" s="17">
        <f t="shared" si="89"/>
        <v>10</v>
      </c>
      <c r="I178" s="81">
        <v>44340</v>
      </c>
      <c r="J178" s="10" t="s">
        <v>6</v>
      </c>
      <c r="K178" s="15"/>
      <c r="L178" s="16"/>
      <c r="M178" s="17">
        <f t="shared" si="90"/>
        <v>0</v>
      </c>
      <c r="N178" s="18"/>
      <c r="O178" s="16"/>
      <c r="P178" s="17">
        <f t="shared" si="91"/>
        <v>0</v>
      </c>
      <c r="Q178" s="17">
        <f t="shared" si="92"/>
        <v>0</v>
      </c>
    </row>
    <row r="179" spans="1:19" x14ac:dyDescent="0.15">
      <c r="A179" s="10" t="s">
        <v>7</v>
      </c>
      <c r="B179" s="19">
        <v>10</v>
      </c>
      <c r="C179" s="20">
        <v>5</v>
      </c>
      <c r="D179" s="17">
        <f t="shared" si="87"/>
        <v>15</v>
      </c>
      <c r="E179" s="21">
        <v>5</v>
      </c>
      <c r="F179" s="20">
        <v>10</v>
      </c>
      <c r="G179" s="17">
        <f t="shared" si="88"/>
        <v>15</v>
      </c>
      <c r="H179" s="17">
        <f t="shared" si="89"/>
        <v>30</v>
      </c>
      <c r="I179" s="81">
        <v>44345</v>
      </c>
      <c r="J179" s="10" t="s">
        <v>7</v>
      </c>
      <c r="K179" s="19"/>
      <c r="L179" s="20"/>
      <c r="M179" s="17">
        <f t="shared" si="90"/>
        <v>0</v>
      </c>
      <c r="N179" s="21"/>
      <c r="O179" s="20"/>
      <c r="P179" s="17">
        <f t="shared" si="91"/>
        <v>0</v>
      </c>
      <c r="Q179" s="17">
        <f t="shared" si="92"/>
        <v>0</v>
      </c>
    </row>
    <row r="180" spans="1:19" x14ac:dyDescent="0.15">
      <c r="A180" s="10" t="s">
        <v>8</v>
      </c>
      <c r="B180" s="15"/>
      <c r="C180" s="16"/>
      <c r="D180" s="17">
        <f t="shared" si="87"/>
        <v>0</v>
      </c>
      <c r="E180" s="18">
        <v>15</v>
      </c>
      <c r="F180" s="16"/>
      <c r="G180" s="17">
        <f t="shared" si="88"/>
        <v>15</v>
      </c>
      <c r="H180" s="17">
        <f t="shared" si="89"/>
        <v>15</v>
      </c>
      <c r="I180" s="81">
        <v>44355</v>
      </c>
      <c r="J180" s="10" t="s">
        <v>8</v>
      </c>
      <c r="K180" s="15"/>
      <c r="L180" s="16"/>
      <c r="M180" s="17">
        <f t="shared" si="90"/>
        <v>0</v>
      </c>
      <c r="N180" s="18"/>
      <c r="O180" s="16"/>
      <c r="P180" s="17">
        <f t="shared" si="91"/>
        <v>0</v>
      </c>
      <c r="Q180" s="17">
        <f t="shared" si="92"/>
        <v>0</v>
      </c>
    </row>
    <row r="181" spans="1:19" x14ac:dyDescent="0.15">
      <c r="A181" s="10" t="s">
        <v>9</v>
      </c>
      <c r="B181" s="15">
        <v>5</v>
      </c>
      <c r="C181" s="16"/>
      <c r="D181" s="17">
        <f t="shared" si="87"/>
        <v>5</v>
      </c>
      <c r="E181" s="18"/>
      <c r="F181" s="16">
        <v>5</v>
      </c>
      <c r="G181" s="17">
        <f t="shared" si="88"/>
        <v>5</v>
      </c>
      <c r="H181" s="17">
        <f t="shared" si="89"/>
        <v>10</v>
      </c>
      <c r="I181" s="81">
        <v>44357</v>
      </c>
      <c r="J181" s="10" t="s">
        <v>9</v>
      </c>
      <c r="K181" s="15"/>
      <c r="L181" s="16"/>
      <c r="M181" s="17">
        <f t="shared" si="90"/>
        <v>0</v>
      </c>
      <c r="N181" s="18"/>
      <c r="O181" s="16"/>
      <c r="P181" s="17">
        <f t="shared" si="91"/>
        <v>0</v>
      </c>
      <c r="Q181" s="17">
        <f t="shared" si="92"/>
        <v>0</v>
      </c>
    </row>
    <row r="182" spans="1:19" x14ac:dyDescent="0.15">
      <c r="A182" s="10" t="s">
        <v>78</v>
      </c>
      <c r="B182" s="15"/>
      <c r="C182" s="16">
        <v>1</v>
      </c>
      <c r="D182" s="17">
        <f t="shared" si="87"/>
        <v>1</v>
      </c>
      <c r="E182" s="18"/>
      <c r="F182" s="16"/>
      <c r="G182" s="17">
        <f t="shared" si="88"/>
        <v>0</v>
      </c>
      <c r="H182" s="17">
        <f t="shared" si="89"/>
        <v>1</v>
      </c>
      <c r="I182" s="81">
        <v>44364</v>
      </c>
      <c r="J182" s="10" t="s">
        <v>10</v>
      </c>
      <c r="K182" s="15"/>
      <c r="L182" s="16"/>
      <c r="M182" s="17">
        <f t="shared" si="90"/>
        <v>0</v>
      </c>
      <c r="N182" s="18"/>
      <c r="O182" s="16"/>
      <c r="P182" s="17">
        <f t="shared" si="91"/>
        <v>0</v>
      </c>
      <c r="Q182" s="17">
        <f t="shared" si="92"/>
        <v>0</v>
      </c>
    </row>
    <row r="183" spans="1:19" x14ac:dyDescent="0.15">
      <c r="A183" s="10" t="s">
        <v>11</v>
      </c>
      <c r="B183" s="23">
        <v>5</v>
      </c>
      <c r="C183" s="24">
        <v>5</v>
      </c>
      <c r="D183" s="17">
        <f t="shared" si="87"/>
        <v>10</v>
      </c>
      <c r="E183" s="25">
        <v>10</v>
      </c>
      <c r="F183" s="24">
        <v>5</v>
      </c>
      <c r="G183" s="17">
        <f t="shared" si="88"/>
        <v>15</v>
      </c>
      <c r="H183" s="17">
        <f t="shared" si="89"/>
        <v>25</v>
      </c>
      <c r="I183" s="81">
        <v>44375</v>
      </c>
      <c r="J183" s="10" t="s">
        <v>11</v>
      </c>
      <c r="K183" s="23"/>
      <c r="L183" s="24"/>
      <c r="M183" s="17">
        <f t="shared" si="90"/>
        <v>0</v>
      </c>
      <c r="N183" s="25"/>
      <c r="O183" s="24"/>
      <c r="P183" s="17">
        <f t="shared" si="91"/>
        <v>0</v>
      </c>
      <c r="Q183" s="17">
        <f t="shared" si="92"/>
        <v>0</v>
      </c>
    </row>
    <row r="184" spans="1:19" ht="14.25" thickBot="1" x14ac:dyDescent="0.2">
      <c r="A184" s="10" t="s">
        <v>12</v>
      </c>
      <c r="B184" s="26"/>
      <c r="C184" s="27"/>
      <c r="D184" s="28">
        <f t="shared" si="87"/>
        <v>0</v>
      </c>
      <c r="E184" s="29"/>
      <c r="F184" s="29"/>
      <c r="G184" s="28">
        <f t="shared" si="88"/>
        <v>0</v>
      </c>
      <c r="H184" s="30">
        <f t="shared" si="89"/>
        <v>0</v>
      </c>
      <c r="I184" s="81"/>
      <c r="J184" s="10" t="s">
        <v>12</v>
      </c>
      <c r="K184" s="26"/>
      <c r="L184" s="27"/>
      <c r="M184" s="28">
        <f t="shared" si="90"/>
        <v>0</v>
      </c>
      <c r="N184" s="29"/>
      <c r="O184" s="29"/>
      <c r="P184" s="28">
        <f t="shared" si="91"/>
        <v>0</v>
      </c>
      <c r="Q184" s="30">
        <f t="shared" si="92"/>
        <v>0</v>
      </c>
    </row>
    <row r="185" spans="1:19" ht="14.25" thickBot="1" x14ac:dyDescent="0.2">
      <c r="A185" s="31" t="s">
        <v>13</v>
      </c>
      <c r="B185" s="32">
        <f>SUM(B176:B184)</f>
        <v>31</v>
      </c>
      <c r="C185" s="33">
        <f>SUM(C176:C184)</f>
        <v>18</v>
      </c>
      <c r="D185" s="34">
        <f t="shared" si="87"/>
        <v>49</v>
      </c>
      <c r="E185" s="32">
        <f>SUM(E176:E184)</f>
        <v>54</v>
      </c>
      <c r="F185" s="33">
        <f>SUM(F176:F184)</f>
        <v>32</v>
      </c>
      <c r="G185" s="34">
        <f t="shared" si="88"/>
        <v>86</v>
      </c>
      <c r="H185" s="34">
        <f t="shared" si="89"/>
        <v>135</v>
      </c>
      <c r="J185" s="31" t="s">
        <v>13</v>
      </c>
      <c r="K185" s="32">
        <f>SUM(K176:K184)</f>
        <v>683</v>
      </c>
      <c r="L185" s="33">
        <f>SUM(L176:L184)</f>
        <v>761</v>
      </c>
      <c r="M185" s="34">
        <f t="shared" si="90"/>
        <v>1444</v>
      </c>
      <c r="N185" s="32">
        <f>SUM(N176:N184)</f>
        <v>515</v>
      </c>
      <c r="O185" s="33">
        <f>SUM(O176:O184)</f>
        <v>627</v>
      </c>
      <c r="P185" s="34">
        <f t="shared" si="91"/>
        <v>1142</v>
      </c>
      <c r="Q185" s="34">
        <f t="shared" si="92"/>
        <v>2586</v>
      </c>
    </row>
    <row r="186" spans="1:19" x14ac:dyDescent="0.15">
      <c r="A186" s="35" t="s">
        <v>56</v>
      </c>
      <c r="B186" s="48"/>
      <c r="C186" s="49"/>
      <c r="D186" s="50">
        <f t="shared" si="87"/>
        <v>0</v>
      </c>
      <c r="E186" s="51">
        <f>1+1</f>
        <v>2</v>
      </c>
      <c r="F186" s="49"/>
      <c r="G186" s="50">
        <f t="shared" si="88"/>
        <v>2</v>
      </c>
      <c r="H186" s="50">
        <f t="shared" si="89"/>
        <v>2</v>
      </c>
      <c r="I186" s="84">
        <v>44329</v>
      </c>
      <c r="J186" s="10" t="s">
        <v>91</v>
      </c>
      <c r="K186" s="64"/>
      <c r="L186" s="65"/>
      <c r="M186" s="36">
        <f t="shared" si="90"/>
        <v>0</v>
      </c>
      <c r="N186" s="66"/>
      <c r="O186" s="65">
        <v>5</v>
      </c>
      <c r="P186" s="36">
        <f t="shared" si="91"/>
        <v>5</v>
      </c>
      <c r="Q186" s="36">
        <f t="shared" si="92"/>
        <v>5</v>
      </c>
      <c r="R186" s="81">
        <v>44331</v>
      </c>
    </row>
    <row r="187" spans="1:19" x14ac:dyDescent="0.15">
      <c r="A187" s="35" t="s">
        <v>56</v>
      </c>
      <c r="B187" s="19"/>
      <c r="C187" s="20"/>
      <c r="D187" s="36">
        <f t="shared" si="87"/>
        <v>0</v>
      </c>
      <c r="E187" s="21">
        <v>2</v>
      </c>
      <c r="F187" s="20"/>
      <c r="G187" s="36">
        <f t="shared" si="88"/>
        <v>2</v>
      </c>
      <c r="H187" s="36">
        <f t="shared" si="89"/>
        <v>2</v>
      </c>
      <c r="I187" s="81">
        <v>44330</v>
      </c>
      <c r="J187" s="10" t="s">
        <v>91</v>
      </c>
      <c r="K187" s="15"/>
      <c r="L187" s="16"/>
      <c r="M187" s="36">
        <f t="shared" si="90"/>
        <v>0</v>
      </c>
      <c r="N187" s="18">
        <v>10</v>
      </c>
      <c r="O187" s="16"/>
      <c r="P187" s="36">
        <f t="shared" si="91"/>
        <v>10</v>
      </c>
      <c r="Q187" s="17">
        <f t="shared" si="92"/>
        <v>10</v>
      </c>
      <c r="R187" s="81">
        <v>44340</v>
      </c>
    </row>
    <row r="188" spans="1:19" x14ac:dyDescent="0.15">
      <c r="A188" s="35" t="s">
        <v>56</v>
      </c>
      <c r="B188" s="15"/>
      <c r="C188" s="16">
        <f>1+1</f>
        <v>2</v>
      </c>
      <c r="D188" s="36">
        <f t="shared" si="87"/>
        <v>2</v>
      </c>
      <c r="E188" s="18">
        <v>2</v>
      </c>
      <c r="F188" s="16">
        <v>1</v>
      </c>
      <c r="G188" s="36">
        <f t="shared" si="88"/>
        <v>3</v>
      </c>
      <c r="H188" s="17">
        <f t="shared" si="89"/>
        <v>5</v>
      </c>
      <c r="I188" s="81">
        <v>44331</v>
      </c>
      <c r="J188" s="10" t="s">
        <v>91</v>
      </c>
      <c r="K188" s="15">
        <v>10</v>
      </c>
      <c r="L188" s="16">
        <v>5</v>
      </c>
      <c r="M188" s="17">
        <f t="shared" si="90"/>
        <v>15</v>
      </c>
      <c r="N188" s="18">
        <v>5</v>
      </c>
      <c r="O188" s="16">
        <v>10</v>
      </c>
      <c r="P188" s="17">
        <f t="shared" si="91"/>
        <v>15</v>
      </c>
      <c r="Q188" s="17">
        <f t="shared" si="92"/>
        <v>30</v>
      </c>
      <c r="R188" s="81">
        <v>44345</v>
      </c>
    </row>
    <row r="189" spans="1:19" x14ac:dyDescent="0.15">
      <c r="A189" s="35" t="s">
        <v>56</v>
      </c>
      <c r="B189" s="15">
        <v>1</v>
      </c>
      <c r="C189" s="16"/>
      <c r="D189" s="17">
        <f>SUM(B189:C189)</f>
        <v>1</v>
      </c>
      <c r="E189" s="18">
        <v>2</v>
      </c>
      <c r="F189" s="16"/>
      <c r="G189" s="17">
        <f t="shared" si="88"/>
        <v>2</v>
      </c>
      <c r="H189" s="17">
        <f t="shared" si="89"/>
        <v>3</v>
      </c>
      <c r="I189" s="81">
        <v>44333</v>
      </c>
      <c r="J189" s="10" t="s">
        <v>91</v>
      </c>
      <c r="K189" s="15"/>
      <c r="L189" s="16"/>
      <c r="M189" s="17">
        <f t="shared" si="90"/>
        <v>0</v>
      </c>
      <c r="N189" s="18">
        <v>15</v>
      </c>
      <c r="O189" s="16"/>
      <c r="P189" s="17">
        <f t="shared" si="91"/>
        <v>15</v>
      </c>
      <c r="Q189" s="17">
        <f t="shared" si="92"/>
        <v>15</v>
      </c>
      <c r="R189" s="81">
        <v>44355</v>
      </c>
    </row>
    <row r="190" spans="1:19" x14ac:dyDescent="0.15">
      <c r="A190" s="35" t="s">
        <v>56</v>
      </c>
      <c r="B190" s="15"/>
      <c r="C190" s="16"/>
      <c r="D190" s="36">
        <f t="shared" ref="D190:D207" si="93">SUM(B190:C190)</f>
        <v>0</v>
      </c>
      <c r="E190" s="18">
        <v>2</v>
      </c>
      <c r="F190" s="16"/>
      <c r="G190" s="36">
        <f t="shared" si="88"/>
        <v>2</v>
      </c>
      <c r="H190" s="17">
        <f t="shared" si="89"/>
        <v>2</v>
      </c>
      <c r="I190" s="84">
        <v>44335</v>
      </c>
      <c r="J190" s="10" t="s">
        <v>91</v>
      </c>
      <c r="K190" s="15">
        <v>5</v>
      </c>
      <c r="L190" s="16"/>
      <c r="M190" s="17">
        <f t="shared" si="90"/>
        <v>5</v>
      </c>
      <c r="N190" s="18"/>
      <c r="O190" s="16">
        <v>5</v>
      </c>
      <c r="P190" s="17">
        <f t="shared" si="91"/>
        <v>5</v>
      </c>
      <c r="Q190" s="17">
        <f t="shared" si="92"/>
        <v>10</v>
      </c>
      <c r="R190" s="81">
        <v>44357</v>
      </c>
    </row>
    <row r="191" spans="1:19" x14ac:dyDescent="0.15">
      <c r="A191" s="35" t="s">
        <v>56</v>
      </c>
      <c r="B191" s="15">
        <v>1</v>
      </c>
      <c r="C191" s="16"/>
      <c r="D191" s="36">
        <f t="shared" si="93"/>
        <v>1</v>
      </c>
      <c r="E191" s="18">
        <v>1</v>
      </c>
      <c r="F191" s="16"/>
      <c r="G191" s="36">
        <f t="shared" si="88"/>
        <v>1</v>
      </c>
      <c r="H191" s="17">
        <f t="shared" si="89"/>
        <v>2</v>
      </c>
      <c r="I191" s="84">
        <v>44336</v>
      </c>
      <c r="J191" s="52" t="s">
        <v>99</v>
      </c>
      <c r="K191" s="15">
        <v>5</v>
      </c>
      <c r="L191" s="16"/>
      <c r="M191" s="36">
        <f t="shared" si="90"/>
        <v>5</v>
      </c>
      <c r="N191" s="18">
        <v>10</v>
      </c>
      <c r="O191" s="16"/>
      <c r="P191" s="36">
        <f t="shared" si="91"/>
        <v>10</v>
      </c>
      <c r="Q191" s="17">
        <f t="shared" si="92"/>
        <v>15</v>
      </c>
      <c r="R191" s="81">
        <v>44375</v>
      </c>
    </row>
    <row r="192" spans="1:19" x14ac:dyDescent="0.15">
      <c r="A192" s="35" t="s">
        <v>56</v>
      </c>
      <c r="B192" s="15">
        <v>2</v>
      </c>
      <c r="C192" s="16"/>
      <c r="D192" s="36">
        <f t="shared" si="93"/>
        <v>2</v>
      </c>
      <c r="E192" s="18">
        <v>1</v>
      </c>
      <c r="F192" s="16">
        <f>2+1</f>
        <v>3</v>
      </c>
      <c r="G192" s="36">
        <f t="shared" si="88"/>
        <v>4</v>
      </c>
      <c r="H192" s="17">
        <f t="shared" si="89"/>
        <v>6</v>
      </c>
      <c r="I192" s="84">
        <v>44340</v>
      </c>
      <c r="J192" s="10" t="s">
        <v>91</v>
      </c>
      <c r="K192" s="15">
        <v>5</v>
      </c>
      <c r="L192" s="16">
        <v>5</v>
      </c>
      <c r="M192" s="36">
        <f t="shared" si="90"/>
        <v>10</v>
      </c>
      <c r="N192" s="18">
        <v>10</v>
      </c>
      <c r="O192" s="16">
        <v>5</v>
      </c>
      <c r="P192" s="36">
        <f t="shared" si="91"/>
        <v>15</v>
      </c>
      <c r="Q192" s="17">
        <f t="shared" si="92"/>
        <v>25</v>
      </c>
      <c r="R192" s="81">
        <v>44375</v>
      </c>
      <c r="S192" s="22"/>
    </row>
    <row r="193" spans="1:17" x14ac:dyDescent="0.15">
      <c r="A193" s="35" t="s">
        <v>56</v>
      </c>
      <c r="B193" s="15"/>
      <c r="C193" s="16"/>
      <c r="D193" s="36">
        <f t="shared" si="93"/>
        <v>0</v>
      </c>
      <c r="E193" s="18">
        <v>1</v>
      </c>
      <c r="F193" s="16">
        <v>2</v>
      </c>
      <c r="G193" s="36">
        <f t="shared" si="88"/>
        <v>3</v>
      </c>
      <c r="H193" s="17">
        <f t="shared" si="89"/>
        <v>3</v>
      </c>
      <c r="I193" s="84">
        <v>44341</v>
      </c>
      <c r="J193" s="35"/>
      <c r="K193" s="15"/>
      <c r="L193" s="16"/>
      <c r="M193" s="36">
        <f t="shared" si="90"/>
        <v>0</v>
      </c>
      <c r="N193" s="18"/>
      <c r="O193" s="16"/>
      <c r="P193" s="36">
        <f t="shared" si="91"/>
        <v>0</v>
      </c>
      <c r="Q193" s="17">
        <f t="shared" si="92"/>
        <v>0</v>
      </c>
    </row>
    <row r="194" spans="1:17" x14ac:dyDescent="0.15">
      <c r="A194" s="35" t="s">
        <v>56</v>
      </c>
      <c r="B194" s="15"/>
      <c r="C194" s="16"/>
      <c r="D194" s="36">
        <f t="shared" si="93"/>
        <v>0</v>
      </c>
      <c r="E194" s="18">
        <v>1</v>
      </c>
      <c r="F194" s="16">
        <v>1</v>
      </c>
      <c r="G194" s="36">
        <f t="shared" si="88"/>
        <v>2</v>
      </c>
      <c r="H194" s="17">
        <f t="shared" si="89"/>
        <v>2</v>
      </c>
      <c r="I194" s="84">
        <v>44342</v>
      </c>
      <c r="J194" s="10"/>
      <c r="K194" s="19"/>
      <c r="L194" s="20"/>
      <c r="M194" s="17">
        <f t="shared" si="90"/>
        <v>0</v>
      </c>
      <c r="N194" s="21"/>
      <c r="O194" s="20"/>
      <c r="P194" s="17">
        <f t="shared" si="91"/>
        <v>0</v>
      </c>
      <c r="Q194" s="17">
        <f t="shared" si="92"/>
        <v>0</v>
      </c>
    </row>
    <row r="195" spans="1:17" x14ac:dyDescent="0.15">
      <c r="A195" s="35" t="s">
        <v>56</v>
      </c>
      <c r="B195" s="23">
        <v>1</v>
      </c>
      <c r="C195" s="24">
        <v>1</v>
      </c>
      <c r="D195" s="36">
        <f t="shared" si="93"/>
        <v>2</v>
      </c>
      <c r="E195" s="25">
        <f>2+1</f>
        <v>3</v>
      </c>
      <c r="F195" s="24"/>
      <c r="G195" s="36">
        <f t="shared" si="88"/>
        <v>3</v>
      </c>
      <c r="H195" s="17">
        <f t="shared" si="89"/>
        <v>5</v>
      </c>
      <c r="I195" s="84">
        <v>44343</v>
      </c>
      <c r="J195" s="35"/>
      <c r="K195" s="23"/>
      <c r="L195" s="24"/>
      <c r="M195" s="36">
        <f t="shared" si="90"/>
        <v>0</v>
      </c>
      <c r="N195" s="25"/>
      <c r="O195" s="24"/>
      <c r="P195" s="36">
        <f t="shared" si="91"/>
        <v>0</v>
      </c>
      <c r="Q195" s="17">
        <f t="shared" si="92"/>
        <v>0</v>
      </c>
    </row>
    <row r="196" spans="1:17" x14ac:dyDescent="0.15">
      <c r="A196" s="35" t="s">
        <v>56</v>
      </c>
      <c r="B196" s="15"/>
      <c r="C196" s="16"/>
      <c r="D196" s="36">
        <f t="shared" si="93"/>
        <v>0</v>
      </c>
      <c r="E196" s="18"/>
      <c r="F196" s="16">
        <v>2</v>
      </c>
      <c r="G196" s="36">
        <f t="shared" si="88"/>
        <v>2</v>
      </c>
      <c r="H196" s="17">
        <f t="shared" si="89"/>
        <v>2</v>
      </c>
      <c r="I196" s="84">
        <v>44345</v>
      </c>
      <c r="J196" s="35"/>
      <c r="K196" s="15"/>
      <c r="L196" s="16"/>
      <c r="M196" s="36">
        <f t="shared" si="90"/>
        <v>0</v>
      </c>
      <c r="N196" s="18"/>
      <c r="O196" s="16"/>
      <c r="P196" s="36">
        <f t="shared" si="91"/>
        <v>0</v>
      </c>
      <c r="Q196" s="17">
        <f t="shared" si="92"/>
        <v>0</v>
      </c>
    </row>
    <row r="197" spans="1:17" x14ac:dyDescent="0.15">
      <c r="A197" s="35" t="s">
        <v>56</v>
      </c>
      <c r="B197" s="15">
        <v>1</v>
      </c>
      <c r="C197" s="16"/>
      <c r="D197" s="36">
        <f t="shared" si="93"/>
        <v>1</v>
      </c>
      <c r="E197" s="18">
        <f>1+4</f>
        <v>5</v>
      </c>
      <c r="F197" s="16"/>
      <c r="G197" s="36">
        <f t="shared" si="88"/>
        <v>5</v>
      </c>
      <c r="H197" s="17">
        <f t="shared" si="89"/>
        <v>6</v>
      </c>
      <c r="I197" s="84">
        <v>44347</v>
      </c>
      <c r="J197" s="35"/>
      <c r="K197" s="15"/>
      <c r="L197" s="16"/>
      <c r="M197" s="36">
        <f t="shared" si="90"/>
        <v>0</v>
      </c>
      <c r="N197" s="18"/>
      <c r="O197" s="16"/>
      <c r="P197" s="36">
        <f t="shared" si="91"/>
        <v>0</v>
      </c>
      <c r="Q197" s="17">
        <f t="shared" si="92"/>
        <v>0</v>
      </c>
    </row>
    <row r="198" spans="1:17" x14ac:dyDescent="0.15">
      <c r="A198" s="35" t="s">
        <v>56</v>
      </c>
      <c r="B198" s="15">
        <v>1</v>
      </c>
      <c r="C198" s="16"/>
      <c r="D198" s="36">
        <f t="shared" si="93"/>
        <v>1</v>
      </c>
      <c r="E198" s="18">
        <v>1</v>
      </c>
      <c r="F198" s="16"/>
      <c r="G198" s="36">
        <f t="shared" si="88"/>
        <v>1</v>
      </c>
      <c r="H198" s="17">
        <f t="shared" si="89"/>
        <v>2</v>
      </c>
      <c r="I198" s="84">
        <v>44348</v>
      </c>
      <c r="J198" s="35"/>
      <c r="K198" s="15"/>
      <c r="L198" s="16"/>
      <c r="M198" s="36">
        <f t="shared" si="90"/>
        <v>0</v>
      </c>
      <c r="N198" s="18"/>
      <c r="O198" s="16"/>
      <c r="P198" s="36">
        <f t="shared" si="91"/>
        <v>0</v>
      </c>
      <c r="Q198" s="17">
        <f t="shared" si="92"/>
        <v>0</v>
      </c>
    </row>
    <row r="199" spans="1:17" x14ac:dyDescent="0.15">
      <c r="A199" s="35" t="s">
        <v>56</v>
      </c>
      <c r="B199" s="15"/>
      <c r="C199" s="16"/>
      <c r="D199" s="17">
        <f t="shared" si="93"/>
        <v>0</v>
      </c>
      <c r="E199" s="18">
        <v>2</v>
      </c>
      <c r="F199" s="16"/>
      <c r="G199" s="17">
        <f t="shared" si="88"/>
        <v>2</v>
      </c>
      <c r="H199" s="17">
        <f t="shared" si="89"/>
        <v>2</v>
      </c>
      <c r="I199" s="84">
        <v>44351</v>
      </c>
      <c r="J199" s="10"/>
      <c r="K199" s="15"/>
      <c r="L199" s="16"/>
      <c r="M199" s="17">
        <f t="shared" si="90"/>
        <v>0</v>
      </c>
      <c r="N199" s="18"/>
      <c r="O199" s="16"/>
      <c r="P199" s="17">
        <f t="shared" si="91"/>
        <v>0</v>
      </c>
      <c r="Q199" s="17">
        <f t="shared" si="92"/>
        <v>0</v>
      </c>
    </row>
    <row r="200" spans="1:17" x14ac:dyDescent="0.15">
      <c r="A200" s="35" t="s">
        <v>56</v>
      </c>
      <c r="B200" s="15"/>
      <c r="C200" s="16">
        <v>1</v>
      </c>
      <c r="D200" s="36">
        <f t="shared" si="93"/>
        <v>1</v>
      </c>
      <c r="E200" s="18"/>
      <c r="F200" s="16">
        <v>2</v>
      </c>
      <c r="G200" s="36">
        <f t="shared" si="88"/>
        <v>2</v>
      </c>
      <c r="H200" s="17">
        <f t="shared" si="89"/>
        <v>3</v>
      </c>
      <c r="I200" s="84">
        <v>44352</v>
      </c>
      <c r="J200" s="35"/>
      <c r="K200" s="15"/>
      <c r="L200" s="16"/>
      <c r="M200" s="36">
        <f t="shared" si="90"/>
        <v>0</v>
      </c>
      <c r="N200" s="18"/>
      <c r="O200" s="16"/>
      <c r="P200" s="36">
        <f t="shared" si="91"/>
        <v>0</v>
      </c>
      <c r="Q200" s="17">
        <f t="shared" si="92"/>
        <v>0</v>
      </c>
    </row>
    <row r="201" spans="1:17" x14ac:dyDescent="0.15">
      <c r="A201" s="35" t="s">
        <v>56</v>
      </c>
      <c r="B201" s="15">
        <f>2+1+2</f>
        <v>5</v>
      </c>
      <c r="C201" s="16"/>
      <c r="D201" s="36">
        <f t="shared" si="93"/>
        <v>5</v>
      </c>
      <c r="E201" s="18">
        <f>2+2+1</f>
        <v>5</v>
      </c>
      <c r="F201" s="16"/>
      <c r="G201" s="36">
        <f t="shared" si="88"/>
        <v>5</v>
      </c>
      <c r="H201" s="17">
        <f t="shared" si="89"/>
        <v>10</v>
      </c>
      <c r="I201" s="84">
        <v>44354</v>
      </c>
      <c r="J201" s="37"/>
      <c r="K201" s="15"/>
      <c r="L201" s="16"/>
      <c r="M201" s="36">
        <f t="shared" si="90"/>
        <v>0</v>
      </c>
      <c r="N201" s="18"/>
      <c r="O201" s="16"/>
      <c r="P201" s="36">
        <f t="shared" si="91"/>
        <v>0</v>
      </c>
      <c r="Q201" s="17">
        <f t="shared" si="92"/>
        <v>0</v>
      </c>
    </row>
    <row r="202" spans="1:17" x14ac:dyDescent="0.15">
      <c r="A202" s="35" t="s">
        <v>56</v>
      </c>
      <c r="B202" s="15"/>
      <c r="C202" s="16"/>
      <c r="D202" s="36">
        <f t="shared" si="93"/>
        <v>0</v>
      </c>
      <c r="E202" s="18">
        <f>1+1</f>
        <v>2</v>
      </c>
      <c r="F202" s="16"/>
      <c r="G202" s="36">
        <f t="shared" si="88"/>
        <v>2</v>
      </c>
      <c r="H202" s="17">
        <f t="shared" si="89"/>
        <v>2</v>
      </c>
      <c r="I202" s="84">
        <v>44355</v>
      </c>
      <c r="J202" s="37"/>
      <c r="K202" s="15"/>
      <c r="L202" s="16"/>
      <c r="M202" s="36">
        <f t="shared" si="90"/>
        <v>0</v>
      </c>
      <c r="N202" s="18"/>
      <c r="O202" s="16"/>
      <c r="P202" s="36">
        <f t="shared" si="91"/>
        <v>0</v>
      </c>
      <c r="Q202" s="17">
        <f t="shared" si="92"/>
        <v>0</v>
      </c>
    </row>
    <row r="203" spans="1:17" x14ac:dyDescent="0.15">
      <c r="A203" s="35" t="s">
        <v>56</v>
      </c>
      <c r="B203" s="15">
        <v>1</v>
      </c>
      <c r="C203" s="16">
        <v>1</v>
      </c>
      <c r="D203" s="36">
        <f t="shared" si="93"/>
        <v>2</v>
      </c>
      <c r="E203" s="18"/>
      <c r="F203" s="16">
        <v>1</v>
      </c>
      <c r="G203" s="36">
        <f t="shared" si="88"/>
        <v>1</v>
      </c>
      <c r="H203" s="17">
        <f t="shared" si="89"/>
        <v>3</v>
      </c>
      <c r="I203" s="84">
        <v>44357</v>
      </c>
      <c r="J203" s="35"/>
      <c r="K203" s="15"/>
      <c r="L203" s="16"/>
      <c r="M203" s="36">
        <f t="shared" si="90"/>
        <v>0</v>
      </c>
      <c r="N203" s="18"/>
      <c r="O203" s="16"/>
      <c r="P203" s="36">
        <f t="shared" si="91"/>
        <v>0</v>
      </c>
      <c r="Q203" s="17">
        <f t="shared" si="92"/>
        <v>0</v>
      </c>
    </row>
    <row r="204" spans="1:17" x14ac:dyDescent="0.15">
      <c r="A204" s="35" t="s">
        <v>56</v>
      </c>
      <c r="B204" s="15"/>
      <c r="C204" s="16"/>
      <c r="D204" s="36">
        <f t="shared" si="93"/>
        <v>0</v>
      </c>
      <c r="E204" s="18">
        <v>1</v>
      </c>
      <c r="F204" s="16"/>
      <c r="G204" s="36">
        <f t="shared" si="88"/>
        <v>1</v>
      </c>
      <c r="H204" s="17">
        <f t="shared" si="89"/>
        <v>1</v>
      </c>
      <c r="I204" s="84">
        <v>44358</v>
      </c>
      <c r="J204" s="38"/>
      <c r="K204" s="15"/>
      <c r="L204" s="16"/>
      <c r="M204" s="36">
        <f t="shared" si="90"/>
        <v>0</v>
      </c>
      <c r="N204" s="18"/>
      <c r="O204" s="16"/>
      <c r="P204" s="36">
        <f t="shared" si="91"/>
        <v>0</v>
      </c>
      <c r="Q204" s="17">
        <f t="shared" si="92"/>
        <v>0</v>
      </c>
    </row>
    <row r="205" spans="1:17" x14ac:dyDescent="0.15">
      <c r="A205" s="35" t="s">
        <v>56</v>
      </c>
      <c r="B205" s="15">
        <f>1+2</f>
        <v>3</v>
      </c>
      <c r="C205" s="16"/>
      <c r="D205" s="36">
        <f t="shared" si="93"/>
        <v>3</v>
      </c>
      <c r="E205" s="18"/>
      <c r="F205" s="16">
        <v>1</v>
      </c>
      <c r="G205" s="36">
        <f t="shared" si="88"/>
        <v>1</v>
      </c>
      <c r="H205" s="17">
        <f t="shared" si="89"/>
        <v>4</v>
      </c>
      <c r="I205" s="84">
        <v>44361</v>
      </c>
      <c r="J205" s="35"/>
      <c r="K205" s="15"/>
      <c r="L205" s="16"/>
      <c r="M205" s="36">
        <f t="shared" si="90"/>
        <v>0</v>
      </c>
      <c r="N205" s="18"/>
      <c r="O205" s="16"/>
      <c r="P205" s="36">
        <f t="shared" si="91"/>
        <v>0</v>
      </c>
      <c r="Q205" s="17">
        <f t="shared" si="92"/>
        <v>0</v>
      </c>
    </row>
    <row r="206" spans="1:17" x14ac:dyDescent="0.15">
      <c r="A206" s="35" t="s">
        <v>56</v>
      </c>
      <c r="B206" s="15"/>
      <c r="C206" s="16"/>
      <c r="D206" s="36">
        <f t="shared" si="93"/>
        <v>0</v>
      </c>
      <c r="E206" s="18"/>
      <c r="F206" s="16">
        <v>2</v>
      </c>
      <c r="G206" s="36">
        <f t="shared" si="88"/>
        <v>2</v>
      </c>
      <c r="H206" s="17">
        <f t="shared" si="89"/>
        <v>2</v>
      </c>
      <c r="I206" s="84">
        <v>44365</v>
      </c>
      <c r="J206" s="38"/>
      <c r="K206" s="15"/>
      <c r="L206" s="16"/>
      <c r="M206" s="36">
        <f t="shared" si="90"/>
        <v>0</v>
      </c>
      <c r="N206" s="18"/>
      <c r="O206" s="16"/>
      <c r="P206" s="36">
        <f t="shared" si="91"/>
        <v>0</v>
      </c>
      <c r="Q206" s="17">
        <f t="shared" si="92"/>
        <v>0</v>
      </c>
    </row>
    <row r="207" spans="1:17" x14ac:dyDescent="0.15">
      <c r="A207" s="35" t="s">
        <v>56</v>
      </c>
      <c r="B207" s="15"/>
      <c r="C207" s="16"/>
      <c r="D207" s="36">
        <f t="shared" si="93"/>
        <v>0</v>
      </c>
      <c r="E207" s="18">
        <f>1+1</f>
        <v>2</v>
      </c>
      <c r="F207" s="16"/>
      <c r="G207" s="36">
        <f t="shared" si="88"/>
        <v>2</v>
      </c>
      <c r="H207" s="17">
        <f t="shared" si="89"/>
        <v>2</v>
      </c>
      <c r="I207" s="84">
        <v>44368</v>
      </c>
      <c r="J207" s="35"/>
      <c r="K207" s="15"/>
      <c r="L207" s="16"/>
      <c r="M207" s="36">
        <f t="shared" si="90"/>
        <v>0</v>
      </c>
      <c r="N207" s="18"/>
      <c r="O207" s="16"/>
      <c r="P207" s="36">
        <f t="shared" si="91"/>
        <v>0</v>
      </c>
      <c r="Q207" s="17">
        <f t="shared" si="92"/>
        <v>0</v>
      </c>
    </row>
    <row r="208" spans="1:17" x14ac:dyDescent="0.15">
      <c r="A208" s="35" t="s">
        <v>56</v>
      </c>
      <c r="B208" s="15">
        <v>1</v>
      </c>
      <c r="C208" s="16"/>
      <c r="D208" s="17">
        <f>SUM(B208:C208)</f>
        <v>1</v>
      </c>
      <c r="E208" s="18">
        <f>1+1</f>
        <v>2</v>
      </c>
      <c r="F208" s="16"/>
      <c r="G208" s="17">
        <f t="shared" si="88"/>
        <v>2</v>
      </c>
      <c r="H208" s="17">
        <f t="shared" si="89"/>
        <v>3</v>
      </c>
      <c r="I208" s="84">
        <v>44369</v>
      </c>
      <c r="J208" s="52"/>
      <c r="K208" s="15"/>
      <c r="L208" s="16"/>
      <c r="M208" s="17">
        <f>SUM(K208:L208)</f>
        <v>0</v>
      </c>
      <c r="N208" s="18"/>
      <c r="O208" s="16"/>
      <c r="P208" s="17">
        <f t="shared" si="91"/>
        <v>0</v>
      </c>
      <c r="Q208" s="17">
        <f t="shared" si="92"/>
        <v>0</v>
      </c>
    </row>
    <row r="209" spans="1:17" x14ac:dyDescent="0.15">
      <c r="A209" s="35" t="s">
        <v>56</v>
      </c>
      <c r="B209" s="15"/>
      <c r="C209" s="16">
        <v>1</v>
      </c>
      <c r="D209" s="36">
        <f t="shared" ref="D209" si="94">SUM(B209:C209)</f>
        <v>1</v>
      </c>
      <c r="E209" s="18"/>
      <c r="F209" s="16"/>
      <c r="G209" s="36">
        <f t="shared" si="88"/>
        <v>0</v>
      </c>
      <c r="H209" s="17">
        <f t="shared" si="89"/>
        <v>1</v>
      </c>
      <c r="I209" s="84">
        <v>44370</v>
      </c>
      <c r="J209" s="35"/>
      <c r="K209" s="15"/>
      <c r="L209" s="16"/>
      <c r="M209" s="36">
        <f t="shared" ref="M209" si="95">SUM(K209:L209)</f>
        <v>0</v>
      </c>
      <c r="N209" s="18"/>
      <c r="O209" s="16"/>
      <c r="P209" s="36">
        <f t="shared" si="91"/>
        <v>0</v>
      </c>
      <c r="Q209" s="17">
        <f t="shared" si="92"/>
        <v>0</v>
      </c>
    </row>
    <row r="210" spans="1:17" x14ac:dyDescent="0.15">
      <c r="A210" s="35" t="s">
        <v>102</v>
      </c>
      <c r="B210" s="15"/>
      <c r="C210" s="16"/>
      <c r="D210" s="17">
        <f>SUM(B210:C210)</f>
        <v>0</v>
      </c>
      <c r="E210" s="18">
        <v>1</v>
      </c>
      <c r="F210" s="16"/>
      <c r="G210" s="17">
        <f t="shared" si="88"/>
        <v>1</v>
      </c>
      <c r="H210" s="17">
        <f t="shared" si="89"/>
        <v>1</v>
      </c>
      <c r="I210" s="84">
        <v>44372</v>
      </c>
      <c r="J210" s="52"/>
      <c r="K210" s="15"/>
      <c r="L210" s="16"/>
      <c r="M210" s="17">
        <f>SUM(K210:L210)</f>
        <v>0</v>
      </c>
      <c r="N210" s="18"/>
      <c r="O210" s="16"/>
      <c r="P210" s="17">
        <f t="shared" si="91"/>
        <v>0</v>
      </c>
      <c r="Q210" s="17">
        <f t="shared" si="92"/>
        <v>0</v>
      </c>
    </row>
    <row r="211" spans="1:17" ht="14.25" thickBot="1" x14ac:dyDescent="0.2">
      <c r="A211" s="35" t="s">
        <v>56</v>
      </c>
      <c r="B211" s="15"/>
      <c r="C211" s="16">
        <v>1</v>
      </c>
      <c r="D211" s="36">
        <f t="shared" ref="D211:D213" si="96">SUM(B211:C211)</f>
        <v>1</v>
      </c>
      <c r="E211" s="18">
        <v>2</v>
      </c>
      <c r="F211" s="16">
        <v>1</v>
      </c>
      <c r="G211" s="36">
        <f t="shared" si="88"/>
        <v>3</v>
      </c>
      <c r="H211" s="17">
        <f t="shared" si="89"/>
        <v>4</v>
      </c>
      <c r="I211" s="81">
        <v>44372</v>
      </c>
      <c r="J211" s="35"/>
      <c r="K211" s="15"/>
      <c r="L211" s="16"/>
      <c r="M211" s="36">
        <f t="shared" ref="M211:M213" si="97">SUM(K211:L211)</f>
        <v>0</v>
      </c>
      <c r="N211" s="18"/>
      <c r="O211" s="16"/>
      <c r="P211" s="36">
        <f t="shared" si="91"/>
        <v>0</v>
      </c>
      <c r="Q211" s="17">
        <f t="shared" si="92"/>
        <v>0</v>
      </c>
    </row>
    <row r="212" spans="1:17" ht="14.25" thickBot="1" x14ac:dyDescent="0.2">
      <c r="A212" s="40" t="s">
        <v>14</v>
      </c>
      <c r="B212" s="41">
        <f>SUM(B186:B211)</f>
        <v>17</v>
      </c>
      <c r="C212" s="42">
        <f t="shared" ref="C212" si="98">SUM(C186:C211)</f>
        <v>7</v>
      </c>
      <c r="D212" s="43">
        <f t="shared" si="96"/>
        <v>24</v>
      </c>
      <c r="E212" s="41">
        <f>SUM(E186:E211)</f>
        <v>40</v>
      </c>
      <c r="F212" s="42">
        <f t="shared" ref="F212" si="99">SUM(F186:F211)</f>
        <v>16</v>
      </c>
      <c r="G212" s="43">
        <f t="shared" si="88"/>
        <v>56</v>
      </c>
      <c r="H212" s="43">
        <f t="shared" si="89"/>
        <v>80</v>
      </c>
      <c r="J212" s="40" t="s">
        <v>14</v>
      </c>
      <c r="K212" s="41">
        <f>SUM(K186:K211)</f>
        <v>25</v>
      </c>
      <c r="L212" s="42">
        <f t="shared" ref="L212" si="100">SUM(L186:L211)</f>
        <v>10</v>
      </c>
      <c r="M212" s="43">
        <f t="shared" si="97"/>
        <v>35</v>
      </c>
      <c r="N212" s="41">
        <f>SUM(N186:N211)</f>
        <v>50</v>
      </c>
      <c r="O212" s="42">
        <f t="shared" ref="O212" si="101">SUM(O186:O211)</f>
        <v>25</v>
      </c>
      <c r="P212" s="43">
        <f t="shared" si="91"/>
        <v>75</v>
      </c>
      <c r="Q212" s="43">
        <f t="shared" si="92"/>
        <v>110</v>
      </c>
    </row>
    <row r="213" spans="1:17" ht="14.25" thickBot="1" x14ac:dyDescent="0.2">
      <c r="A213" s="44" t="s">
        <v>15</v>
      </c>
      <c r="B213" s="45">
        <f>B185-B212</f>
        <v>14</v>
      </c>
      <c r="C213" s="46">
        <f t="shared" ref="C213" si="102">C185-C212</f>
        <v>11</v>
      </c>
      <c r="D213" s="47">
        <f t="shared" si="96"/>
        <v>25</v>
      </c>
      <c r="E213" s="45">
        <f>E185-E212</f>
        <v>14</v>
      </c>
      <c r="F213" s="46">
        <f t="shared" ref="F213" si="103">F185-F212</f>
        <v>16</v>
      </c>
      <c r="G213" s="47">
        <f t="shared" si="88"/>
        <v>30</v>
      </c>
      <c r="H213" s="34">
        <f t="shared" si="89"/>
        <v>55</v>
      </c>
      <c r="J213" s="44" t="s">
        <v>15</v>
      </c>
      <c r="K213" s="45">
        <f>K185-K212</f>
        <v>658</v>
      </c>
      <c r="L213" s="46">
        <f t="shared" ref="L213" si="104">L185-L212</f>
        <v>751</v>
      </c>
      <c r="M213" s="47">
        <f t="shared" si="97"/>
        <v>1409</v>
      </c>
      <c r="N213" s="45">
        <f>N185-N212</f>
        <v>465</v>
      </c>
      <c r="O213" s="46">
        <f t="shared" ref="O213" si="105">O185-O212</f>
        <v>602</v>
      </c>
      <c r="P213" s="47">
        <f t="shared" si="91"/>
        <v>1067</v>
      </c>
      <c r="Q213" s="34">
        <f t="shared" si="92"/>
        <v>2476</v>
      </c>
    </row>
    <row r="216" spans="1:17" ht="19.5" thickBot="1" x14ac:dyDescent="0.25">
      <c r="A216" s="1" t="s">
        <v>23</v>
      </c>
      <c r="J216" s="1" t="s">
        <v>24</v>
      </c>
      <c r="K216" s="2"/>
      <c r="L216" s="2"/>
      <c r="M216" s="2"/>
      <c r="N216" s="2"/>
      <c r="O216" s="1" t="s">
        <v>34</v>
      </c>
      <c r="P216" s="2"/>
      <c r="Q216" s="2"/>
    </row>
    <row r="217" spans="1:17" ht="14.25" thickBot="1" x14ac:dyDescent="0.2">
      <c r="A217" s="3" t="s">
        <v>0</v>
      </c>
      <c r="B217" s="125" t="s">
        <v>18</v>
      </c>
      <c r="C217" s="126"/>
      <c r="D217" s="127"/>
      <c r="E217" s="125" t="s">
        <v>19</v>
      </c>
      <c r="F217" s="126"/>
      <c r="G217" s="128"/>
      <c r="H217" s="129" t="s">
        <v>1</v>
      </c>
      <c r="J217" s="3" t="s">
        <v>0</v>
      </c>
      <c r="K217" s="125" t="s">
        <v>18</v>
      </c>
      <c r="L217" s="126"/>
      <c r="M217" s="127"/>
      <c r="N217" s="125" t="s">
        <v>19</v>
      </c>
      <c r="O217" s="126"/>
      <c r="P217" s="128"/>
      <c r="Q217" s="129" t="s">
        <v>1</v>
      </c>
    </row>
    <row r="218" spans="1:17" ht="14.25" thickBot="1" x14ac:dyDescent="0.2">
      <c r="A218" s="3" t="s">
        <v>2</v>
      </c>
      <c r="B218" s="4" t="s">
        <v>16</v>
      </c>
      <c r="C218" s="5" t="s">
        <v>17</v>
      </c>
      <c r="D218" s="3" t="s">
        <v>3</v>
      </c>
      <c r="E218" s="4" t="s">
        <v>16</v>
      </c>
      <c r="F218" s="5" t="s">
        <v>17</v>
      </c>
      <c r="G218" s="3" t="s">
        <v>3</v>
      </c>
      <c r="H218" s="130"/>
      <c r="J218" s="3" t="s">
        <v>2</v>
      </c>
      <c r="K218" s="4" t="s">
        <v>16</v>
      </c>
      <c r="L218" s="5" t="s">
        <v>17</v>
      </c>
      <c r="M218" s="3" t="s">
        <v>3</v>
      </c>
      <c r="N218" s="4" t="s">
        <v>16</v>
      </c>
      <c r="O218" s="5" t="s">
        <v>17</v>
      </c>
      <c r="P218" s="3" t="s">
        <v>3</v>
      </c>
      <c r="Q218" s="130"/>
    </row>
    <row r="219" spans="1:17" ht="14.25" thickBot="1" x14ac:dyDescent="0.2">
      <c r="A219" s="6" t="s">
        <v>55</v>
      </c>
      <c r="B219" s="32">
        <f>B213</f>
        <v>14</v>
      </c>
      <c r="C219" s="33">
        <f>C213</f>
        <v>11</v>
      </c>
      <c r="D219" s="34">
        <f t="shared" ref="D219:D231" si="106">SUM(B219:C219)</f>
        <v>25</v>
      </c>
      <c r="E219" s="32">
        <f>E213</f>
        <v>14</v>
      </c>
      <c r="F219" s="33">
        <f>F213</f>
        <v>16</v>
      </c>
      <c r="G219" s="34">
        <f t="shared" ref="G219:G256" si="107">SUM(E219:F219)</f>
        <v>30</v>
      </c>
      <c r="H219" s="34">
        <f t="shared" ref="H219:H256" si="108">D219+G219</f>
        <v>55</v>
      </c>
      <c r="J219" s="6" t="s">
        <v>55</v>
      </c>
      <c r="K219" s="7">
        <f>K213</f>
        <v>658</v>
      </c>
      <c r="L219" s="8">
        <f>L213</f>
        <v>751</v>
      </c>
      <c r="M219" s="9">
        <f t="shared" ref="M219:M250" si="109">SUM(K219:L219)</f>
        <v>1409</v>
      </c>
      <c r="N219" s="7">
        <f>N213</f>
        <v>465</v>
      </c>
      <c r="O219" s="8">
        <f>O213</f>
        <v>602</v>
      </c>
      <c r="P219" s="9">
        <f t="shared" ref="P219:P256" si="110">SUM(N219:O219)</f>
        <v>1067</v>
      </c>
      <c r="Q219" s="9">
        <f t="shared" ref="Q219:Q256" si="111">M219+P219</f>
        <v>2476</v>
      </c>
    </row>
    <row r="220" spans="1:17" x14ac:dyDescent="0.15">
      <c r="A220" s="10" t="s">
        <v>5</v>
      </c>
      <c r="B220" s="64">
        <v>5</v>
      </c>
      <c r="C220" s="65">
        <v>5</v>
      </c>
      <c r="D220" s="36">
        <f t="shared" si="106"/>
        <v>10</v>
      </c>
      <c r="E220" s="66">
        <v>5</v>
      </c>
      <c r="F220" s="65"/>
      <c r="G220" s="36">
        <f t="shared" si="107"/>
        <v>5</v>
      </c>
      <c r="H220" s="36">
        <f t="shared" si="108"/>
        <v>15</v>
      </c>
      <c r="I220" s="81">
        <v>44389</v>
      </c>
      <c r="J220" s="10" t="s">
        <v>5</v>
      </c>
      <c r="K220" s="11"/>
      <c r="L220" s="12"/>
      <c r="M220" s="13">
        <f t="shared" si="109"/>
        <v>0</v>
      </c>
      <c r="N220" s="62"/>
      <c r="O220" s="12"/>
      <c r="P220" s="13">
        <f t="shared" si="110"/>
        <v>0</v>
      </c>
      <c r="Q220" s="13">
        <f t="shared" si="111"/>
        <v>0</v>
      </c>
    </row>
    <row r="221" spans="1:17" x14ac:dyDescent="0.15">
      <c r="A221" s="10" t="s">
        <v>6</v>
      </c>
      <c r="B221" s="15">
        <v>5</v>
      </c>
      <c r="C221" s="16"/>
      <c r="D221" s="17">
        <f t="shared" si="106"/>
        <v>5</v>
      </c>
      <c r="E221" s="18">
        <v>5</v>
      </c>
      <c r="F221" s="16"/>
      <c r="G221" s="17">
        <f t="shared" si="107"/>
        <v>5</v>
      </c>
      <c r="H221" s="17">
        <f t="shared" si="108"/>
        <v>10</v>
      </c>
      <c r="I221" s="81">
        <v>44394</v>
      </c>
      <c r="J221" s="10" t="s">
        <v>6</v>
      </c>
      <c r="K221" s="15"/>
      <c r="L221" s="16"/>
      <c r="M221" s="17">
        <f t="shared" si="109"/>
        <v>0</v>
      </c>
      <c r="N221" s="18"/>
      <c r="O221" s="16"/>
      <c r="P221" s="17">
        <f t="shared" si="110"/>
        <v>0</v>
      </c>
      <c r="Q221" s="17">
        <f t="shared" si="111"/>
        <v>0</v>
      </c>
    </row>
    <row r="222" spans="1:17" x14ac:dyDescent="0.15">
      <c r="A222" s="10" t="s">
        <v>7</v>
      </c>
      <c r="B222" s="19"/>
      <c r="C222" s="20">
        <v>5</v>
      </c>
      <c r="D222" s="17">
        <f t="shared" si="106"/>
        <v>5</v>
      </c>
      <c r="E222" s="21">
        <v>10</v>
      </c>
      <c r="F222" s="20"/>
      <c r="G222" s="17">
        <f t="shared" si="107"/>
        <v>10</v>
      </c>
      <c r="H222" s="17">
        <f t="shared" si="108"/>
        <v>15</v>
      </c>
      <c r="I222" s="81">
        <v>44413</v>
      </c>
      <c r="J222" s="10" t="s">
        <v>7</v>
      </c>
      <c r="K222" s="19"/>
      <c r="L222" s="20"/>
      <c r="M222" s="17">
        <f t="shared" si="109"/>
        <v>0</v>
      </c>
      <c r="N222" s="21"/>
      <c r="O222" s="20"/>
      <c r="P222" s="17">
        <f t="shared" si="110"/>
        <v>0</v>
      </c>
      <c r="Q222" s="17">
        <f t="shared" si="111"/>
        <v>0</v>
      </c>
    </row>
    <row r="223" spans="1:17" x14ac:dyDescent="0.15">
      <c r="A223" s="10" t="s">
        <v>8</v>
      </c>
      <c r="B223" s="15"/>
      <c r="C223" s="16"/>
      <c r="D223" s="17">
        <f t="shared" si="106"/>
        <v>0</v>
      </c>
      <c r="E223" s="18">
        <v>10</v>
      </c>
      <c r="F223" s="16"/>
      <c r="G223" s="17">
        <f t="shared" si="107"/>
        <v>10</v>
      </c>
      <c r="H223" s="17">
        <f t="shared" si="108"/>
        <v>10</v>
      </c>
      <c r="I223" s="81">
        <v>44419</v>
      </c>
      <c r="J223" s="10" t="s">
        <v>8</v>
      </c>
      <c r="K223" s="15"/>
      <c r="L223" s="16"/>
      <c r="M223" s="17">
        <f t="shared" si="109"/>
        <v>0</v>
      </c>
      <c r="N223" s="18"/>
      <c r="O223" s="16"/>
      <c r="P223" s="17">
        <f t="shared" si="110"/>
        <v>0</v>
      </c>
      <c r="Q223" s="17">
        <f t="shared" si="111"/>
        <v>0</v>
      </c>
    </row>
    <row r="224" spans="1:17" x14ac:dyDescent="0.15">
      <c r="A224" s="10" t="s">
        <v>9</v>
      </c>
      <c r="B224" s="15"/>
      <c r="C224" s="16"/>
      <c r="D224" s="17">
        <f t="shared" si="106"/>
        <v>0</v>
      </c>
      <c r="E224" s="18"/>
      <c r="F224" s="16"/>
      <c r="G224" s="17">
        <f t="shared" si="107"/>
        <v>0</v>
      </c>
      <c r="H224" s="17">
        <f t="shared" si="108"/>
        <v>0</v>
      </c>
      <c r="I224" s="81"/>
      <c r="J224" s="10" t="s">
        <v>9</v>
      </c>
      <c r="K224" s="15"/>
      <c r="L224" s="16"/>
      <c r="M224" s="17">
        <f t="shared" si="109"/>
        <v>0</v>
      </c>
      <c r="N224" s="18"/>
      <c r="O224" s="16"/>
      <c r="P224" s="17">
        <f t="shared" si="110"/>
        <v>0</v>
      </c>
      <c r="Q224" s="17">
        <f t="shared" si="111"/>
        <v>0</v>
      </c>
    </row>
    <row r="225" spans="1:19" x14ac:dyDescent="0.15">
      <c r="A225" s="10" t="s">
        <v>10</v>
      </c>
      <c r="B225" s="15"/>
      <c r="C225" s="16"/>
      <c r="D225" s="17">
        <f t="shared" si="106"/>
        <v>0</v>
      </c>
      <c r="E225" s="18"/>
      <c r="F225" s="16"/>
      <c r="G225" s="17">
        <f t="shared" si="107"/>
        <v>0</v>
      </c>
      <c r="H225" s="17">
        <f t="shared" si="108"/>
        <v>0</v>
      </c>
      <c r="I225" s="81"/>
      <c r="J225" s="10" t="s">
        <v>10</v>
      </c>
      <c r="K225" s="15"/>
      <c r="L225" s="16"/>
      <c r="M225" s="17">
        <f t="shared" si="109"/>
        <v>0</v>
      </c>
      <c r="N225" s="18"/>
      <c r="O225" s="16"/>
      <c r="P225" s="17">
        <f t="shared" si="110"/>
        <v>0</v>
      </c>
      <c r="Q225" s="17">
        <f t="shared" si="111"/>
        <v>0</v>
      </c>
    </row>
    <row r="226" spans="1:19" x14ac:dyDescent="0.15">
      <c r="A226" s="10" t="s">
        <v>11</v>
      </c>
      <c r="B226" s="23"/>
      <c r="C226" s="24"/>
      <c r="D226" s="17">
        <f t="shared" si="106"/>
        <v>0</v>
      </c>
      <c r="E226" s="25"/>
      <c r="F226" s="24"/>
      <c r="G226" s="17">
        <f t="shared" si="107"/>
        <v>0</v>
      </c>
      <c r="H226" s="17">
        <f t="shared" si="108"/>
        <v>0</v>
      </c>
      <c r="I226" s="84"/>
      <c r="J226" s="10" t="s">
        <v>11</v>
      </c>
      <c r="K226" s="23"/>
      <c r="L226" s="24"/>
      <c r="M226" s="17">
        <f t="shared" si="109"/>
        <v>0</v>
      </c>
      <c r="N226" s="25"/>
      <c r="O226" s="24"/>
      <c r="P226" s="17">
        <f t="shared" si="110"/>
        <v>0</v>
      </c>
      <c r="Q226" s="17">
        <f t="shared" si="111"/>
        <v>0</v>
      </c>
    </row>
    <row r="227" spans="1:19" ht="14.25" thickBot="1" x14ac:dyDescent="0.2">
      <c r="A227" s="10" t="s">
        <v>12</v>
      </c>
      <c r="B227" s="26"/>
      <c r="C227" s="27"/>
      <c r="D227" s="28">
        <f t="shared" si="106"/>
        <v>0</v>
      </c>
      <c r="E227" s="29"/>
      <c r="F227" s="29"/>
      <c r="G227" s="28">
        <f t="shared" si="107"/>
        <v>0</v>
      </c>
      <c r="H227" s="30">
        <f t="shared" si="108"/>
        <v>0</v>
      </c>
      <c r="I227" s="81"/>
      <c r="J227" s="10" t="s">
        <v>12</v>
      </c>
      <c r="K227" s="26"/>
      <c r="L227" s="27"/>
      <c r="M227" s="28">
        <f t="shared" si="109"/>
        <v>0</v>
      </c>
      <c r="N227" s="29"/>
      <c r="O227" s="29"/>
      <c r="P227" s="28">
        <f t="shared" si="110"/>
        <v>0</v>
      </c>
      <c r="Q227" s="30">
        <f t="shared" si="111"/>
        <v>0</v>
      </c>
    </row>
    <row r="228" spans="1:19" ht="14.25" thickBot="1" x14ac:dyDescent="0.2">
      <c r="A228" s="31" t="s">
        <v>13</v>
      </c>
      <c r="B228" s="32">
        <f>SUM(B219:B227)</f>
        <v>24</v>
      </c>
      <c r="C228" s="33">
        <f>SUM(C219:C227)</f>
        <v>21</v>
      </c>
      <c r="D228" s="34">
        <f t="shared" si="106"/>
        <v>45</v>
      </c>
      <c r="E228" s="32">
        <f>SUM(E219:E227)</f>
        <v>44</v>
      </c>
      <c r="F228" s="33">
        <f>SUM(F219:F227)</f>
        <v>16</v>
      </c>
      <c r="G228" s="34">
        <f t="shared" si="107"/>
        <v>60</v>
      </c>
      <c r="H228" s="34">
        <f t="shared" si="108"/>
        <v>105</v>
      </c>
      <c r="J228" s="31" t="s">
        <v>13</v>
      </c>
      <c r="K228" s="32">
        <f>SUM(K219:K227)</f>
        <v>658</v>
      </c>
      <c r="L228" s="33">
        <f>SUM(L219:L227)</f>
        <v>751</v>
      </c>
      <c r="M228" s="34">
        <f t="shared" si="109"/>
        <v>1409</v>
      </c>
      <c r="N228" s="32">
        <f>SUM(N219:N227)</f>
        <v>465</v>
      </c>
      <c r="O228" s="33">
        <f>SUM(O219:O227)</f>
        <v>602</v>
      </c>
      <c r="P228" s="34">
        <f t="shared" si="110"/>
        <v>1067</v>
      </c>
      <c r="Q228" s="34">
        <f t="shared" si="111"/>
        <v>2476</v>
      </c>
    </row>
    <row r="229" spans="1:19" x14ac:dyDescent="0.15">
      <c r="A229" s="35" t="s">
        <v>103</v>
      </c>
      <c r="B229" s="48"/>
      <c r="C229" s="49"/>
      <c r="D229" s="50">
        <f t="shared" si="106"/>
        <v>0</v>
      </c>
      <c r="E229" s="51">
        <v>1</v>
      </c>
      <c r="F229" s="49"/>
      <c r="G229" s="50">
        <f t="shared" si="107"/>
        <v>1</v>
      </c>
      <c r="H229" s="50">
        <f t="shared" si="108"/>
        <v>1</v>
      </c>
      <c r="I229" s="84">
        <v>44376</v>
      </c>
      <c r="J229" s="10" t="s">
        <v>106</v>
      </c>
      <c r="K229" s="64">
        <v>5</v>
      </c>
      <c r="L229" s="65">
        <v>5</v>
      </c>
      <c r="M229" s="36">
        <f t="shared" si="109"/>
        <v>10</v>
      </c>
      <c r="N229" s="66">
        <v>5</v>
      </c>
      <c r="O229" s="65"/>
      <c r="P229" s="36">
        <f t="shared" si="110"/>
        <v>5</v>
      </c>
      <c r="Q229" s="36">
        <f t="shared" si="111"/>
        <v>15</v>
      </c>
      <c r="R229" s="81">
        <v>44389</v>
      </c>
    </row>
    <row r="230" spans="1:19" x14ac:dyDescent="0.15">
      <c r="A230" s="35" t="s">
        <v>105</v>
      </c>
      <c r="B230" s="19">
        <v>1</v>
      </c>
      <c r="C230" s="20"/>
      <c r="D230" s="36">
        <f t="shared" si="106"/>
        <v>1</v>
      </c>
      <c r="E230" s="21"/>
      <c r="F230" s="20"/>
      <c r="G230" s="36">
        <f t="shared" si="107"/>
        <v>0</v>
      </c>
      <c r="H230" s="36">
        <f t="shared" si="108"/>
        <v>1</v>
      </c>
      <c r="I230" s="81">
        <v>44379</v>
      </c>
      <c r="J230" s="10" t="s">
        <v>30</v>
      </c>
      <c r="K230" s="15">
        <v>5</v>
      </c>
      <c r="L230" s="16"/>
      <c r="M230" s="36">
        <f t="shared" si="109"/>
        <v>5</v>
      </c>
      <c r="N230" s="18">
        <v>5</v>
      </c>
      <c r="O230" s="16"/>
      <c r="P230" s="36">
        <f t="shared" si="110"/>
        <v>5</v>
      </c>
      <c r="Q230" s="17">
        <f t="shared" si="111"/>
        <v>10</v>
      </c>
      <c r="R230" s="81">
        <v>44394</v>
      </c>
    </row>
    <row r="231" spans="1:19" x14ac:dyDescent="0.15">
      <c r="A231" s="35" t="s">
        <v>56</v>
      </c>
      <c r="B231" s="15">
        <v>1</v>
      </c>
      <c r="C231" s="16"/>
      <c r="D231" s="36">
        <f t="shared" si="106"/>
        <v>1</v>
      </c>
      <c r="E231" s="18">
        <v>1</v>
      </c>
      <c r="F231" s="16"/>
      <c r="G231" s="36">
        <f t="shared" si="107"/>
        <v>1</v>
      </c>
      <c r="H231" s="17">
        <f t="shared" si="108"/>
        <v>2</v>
      </c>
      <c r="I231" s="81">
        <v>44379</v>
      </c>
      <c r="J231" s="10" t="s">
        <v>30</v>
      </c>
      <c r="K231" s="19"/>
      <c r="L231" s="20">
        <v>5</v>
      </c>
      <c r="M231" s="17">
        <f t="shared" si="109"/>
        <v>5</v>
      </c>
      <c r="N231" s="21">
        <v>10</v>
      </c>
      <c r="O231" s="20"/>
      <c r="P231" s="17">
        <f t="shared" si="110"/>
        <v>10</v>
      </c>
      <c r="Q231" s="17">
        <f t="shared" si="111"/>
        <v>15</v>
      </c>
      <c r="R231" s="81">
        <v>44413</v>
      </c>
    </row>
    <row r="232" spans="1:19" x14ac:dyDescent="0.15">
      <c r="A232" s="35" t="s">
        <v>56</v>
      </c>
      <c r="B232" s="15">
        <v>2</v>
      </c>
      <c r="C232" s="16"/>
      <c r="D232" s="17">
        <f>SUM(B232:C232)</f>
        <v>2</v>
      </c>
      <c r="E232" s="18"/>
      <c r="F232" s="16"/>
      <c r="G232" s="17">
        <f t="shared" si="107"/>
        <v>0</v>
      </c>
      <c r="H232" s="17">
        <f t="shared" si="108"/>
        <v>2</v>
      </c>
      <c r="I232" s="81">
        <v>44380</v>
      </c>
      <c r="J232" s="10" t="s">
        <v>30</v>
      </c>
      <c r="K232" s="15"/>
      <c r="L232" s="16"/>
      <c r="M232" s="17">
        <f t="shared" si="109"/>
        <v>0</v>
      </c>
      <c r="N232" s="18">
        <v>10</v>
      </c>
      <c r="O232" s="16"/>
      <c r="P232" s="17">
        <f t="shared" si="110"/>
        <v>10</v>
      </c>
      <c r="Q232" s="17">
        <f t="shared" si="111"/>
        <v>10</v>
      </c>
      <c r="R232" s="81">
        <v>44419</v>
      </c>
      <c r="S232" s="22"/>
    </row>
    <row r="233" spans="1:19" x14ac:dyDescent="0.15">
      <c r="A233" s="35" t="s">
        <v>56</v>
      </c>
      <c r="B233" s="15"/>
      <c r="C233" s="16">
        <v>1</v>
      </c>
      <c r="D233" s="36">
        <f t="shared" ref="D233:D250" si="112">SUM(B233:C233)</f>
        <v>1</v>
      </c>
      <c r="E233" s="18">
        <v>1</v>
      </c>
      <c r="F233" s="16"/>
      <c r="G233" s="36">
        <f t="shared" si="107"/>
        <v>1</v>
      </c>
      <c r="H233" s="17">
        <f t="shared" si="108"/>
        <v>2</v>
      </c>
      <c r="I233" s="84">
        <v>44382</v>
      </c>
      <c r="J233" s="10"/>
      <c r="K233" s="15"/>
      <c r="L233" s="16"/>
      <c r="M233" s="17">
        <f t="shared" si="109"/>
        <v>0</v>
      </c>
      <c r="N233" s="18"/>
      <c r="O233" s="16"/>
      <c r="P233" s="17">
        <f t="shared" si="110"/>
        <v>0</v>
      </c>
      <c r="Q233" s="17">
        <f t="shared" si="111"/>
        <v>0</v>
      </c>
      <c r="R233" s="83"/>
      <c r="S233" s="22"/>
    </row>
    <row r="234" spans="1:19" x14ac:dyDescent="0.15">
      <c r="A234" s="35" t="s">
        <v>56</v>
      </c>
      <c r="B234" s="15">
        <v>2</v>
      </c>
      <c r="C234" s="16"/>
      <c r="D234" s="36">
        <f t="shared" si="112"/>
        <v>2</v>
      </c>
      <c r="E234" s="18">
        <v>2</v>
      </c>
      <c r="F234" s="16"/>
      <c r="G234" s="36">
        <f t="shared" si="107"/>
        <v>2</v>
      </c>
      <c r="H234" s="17">
        <f t="shared" si="108"/>
        <v>4</v>
      </c>
      <c r="I234" s="84">
        <v>44383</v>
      </c>
      <c r="J234" s="52"/>
      <c r="K234" s="15"/>
      <c r="L234" s="16"/>
      <c r="M234" s="36">
        <f t="shared" si="109"/>
        <v>0</v>
      </c>
      <c r="N234" s="18"/>
      <c r="O234" s="16"/>
      <c r="P234" s="36">
        <f t="shared" si="110"/>
        <v>0</v>
      </c>
      <c r="Q234" s="17">
        <f t="shared" si="111"/>
        <v>0</v>
      </c>
      <c r="R234" s="83"/>
      <c r="S234" s="22"/>
    </row>
    <row r="235" spans="1:19" x14ac:dyDescent="0.15">
      <c r="A235" s="35" t="s">
        <v>56</v>
      </c>
      <c r="B235" s="15"/>
      <c r="C235" s="16"/>
      <c r="D235" s="36">
        <f t="shared" si="112"/>
        <v>0</v>
      </c>
      <c r="E235" s="18"/>
      <c r="F235" s="16">
        <v>1</v>
      </c>
      <c r="G235" s="36">
        <f t="shared" si="107"/>
        <v>1</v>
      </c>
      <c r="H235" s="17">
        <f t="shared" si="108"/>
        <v>1</v>
      </c>
      <c r="I235" s="84">
        <v>44385</v>
      </c>
      <c r="J235" s="35"/>
      <c r="K235" s="15"/>
      <c r="L235" s="16"/>
      <c r="M235" s="36">
        <f t="shared" si="109"/>
        <v>0</v>
      </c>
      <c r="N235" s="18"/>
      <c r="O235" s="16"/>
      <c r="P235" s="36">
        <f t="shared" si="110"/>
        <v>0</v>
      </c>
      <c r="Q235" s="17">
        <f t="shared" si="111"/>
        <v>0</v>
      </c>
      <c r="R235" s="83"/>
      <c r="S235" s="22"/>
    </row>
    <row r="236" spans="1:19" x14ac:dyDescent="0.15">
      <c r="A236" s="35" t="s">
        <v>56</v>
      </c>
      <c r="B236" s="15">
        <v>2</v>
      </c>
      <c r="C236" s="16">
        <v>1</v>
      </c>
      <c r="D236" s="36">
        <f t="shared" si="112"/>
        <v>3</v>
      </c>
      <c r="E236" s="18">
        <f>1+1</f>
        <v>2</v>
      </c>
      <c r="F236" s="16">
        <v>1</v>
      </c>
      <c r="G236" s="36">
        <f t="shared" si="107"/>
        <v>3</v>
      </c>
      <c r="H236" s="17">
        <f t="shared" si="108"/>
        <v>6</v>
      </c>
      <c r="I236" s="84">
        <v>44386</v>
      </c>
      <c r="J236" s="35"/>
      <c r="K236" s="15"/>
      <c r="L236" s="16"/>
      <c r="M236" s="36">
        <f t="shared" si="109"/>
        <v>0</v>
      </c>
      <c r="N236" s="18"/>
      <c r="O236" s="16"/>
      <c r="P236" s="36">
        <f t="shared" si="110"/>
        <v>0</v>
      </c>
      <c r="Q236" s="17">
        <f t="shared" si="111"/>
        <v>0</v>
      </c>
    </row>
    <row r="237" spans="1:19" x14ac:dyDescent="0.15">
      <c r="A237" s="35" t="s">
        <v>56</v>
      </c>
      <c r="B237" s="15"/>
      <c r="C237" s="16">
        <v>2</v>
      </c>
      <c r="D237" s="36">
        <f t="shared" si="112"/>
        <v>2</v>
      </c>
      <c r="E237" s="18">
        <f>1+1</f>
        <v>2</v>
      </c>
      <c r="F237" s="16"/>
      <c r="G237" s="36">
        <f t="shared" si="107"/>
        <v>2</v>
      </c>
      <c r="H237" s="17">
        <f t="shared" si="108"/>
        <v>4</v>
      </c>
      <c r="I237" s="84">
        <v>44389</v>
      </c>
      <c r="J237" s="10"/>
      <c r="K237" s="19"/>
      <c r="L237" s="20"/>
      <c r="M237" s="17">
        <f t="shared" si="109"/>
        <v>0</v>
      </c>
      <c r="N237" s="21"/>
      <c r="O237" s="20"/>
      <c r="P237" s="17">
        <f t="shared" si="110"/>
        <v>0</v>
      </c>
      <c r="Q237" s="17">
        <f t="shared" si="111"/>
        <v>0</v>
      </c>
    </row>
    <row r="238" spans="1:19" x14ac:dyDescent="0.15">
      <c r="A238" s="35" t="s">
        <v>56</v>
      </c>
      <c r="B238" s="23">
        <v>1</v>
      </c>
      <c r="C238" s="24"/>
      <c r="D238" s="36">
        <f t="shared" si="112"/>
        <v>1</v>
      </c>
      <c r="E238" s="25"/>
      <c r="F238" s="24"/>
      <c r="G238" s="36">
        <f t="shared" si="107"/>
        <v>0</v>
      </c>
      <c r="H238" s="17">
        <f t="shared" si="108"/>
        <v>1</v>
      </c>
      <c r="I238" s="84">
        <v>44390</v>
      </c>
      <c r="J238" s="35"/>
      <c r="K238" s="23"/>
      <c r="L238" s="24"/>
      <c r="M238" s="36">
        <f t="shared" si="109"/>
        <v>0</v>
      </c>
      <c r="N238" s="25"/>
      <c r="O238" s="24"/>
      <c r="P238" s="36">
        <f t="shared" si="110"/>
        <v>0</v>
      </c>
      <c r="Q238" s="17">
        <f t="shared" si="111"/>
        <v>0</v>
      </c>
    </row>
    <row r="239" spans="1:19" x14ac:dyDescent="0.15">
      <c r="A239" s="35" t="s">
        <v>56</v>
      </c>
      <c r="B239" s="15">
        <v>1</v>
      </c>
      <c r="C239" s="16"/>
      <c r="D239" s="36">
        <f t="shared" si="112"/>
        <v>1</v>
      </c>
      <c r="E239" s="18">
        <v>1</v>
      </c>
      <c r="F239" s="16"/>
      <c r="G239" s="36">
        <f t="shared" si="107"/>
        <v>1</v>
      </c>
      <c r="H239" s="17">
        <f t="shared" si="108"/>
        <v>2</v>
      </c>
      <c r="I239" s="84">
        <v>44392</v>
      </c>
      <c r="J239" s="35"/>
      <c r="K239" s="15"/>
      <c r="L239" s="16"/>
      <c r="M239" s="36">
        <f t="shared" si="109"/>
        <v>0</v>
      </c>
      <c r="N239" s="18"/>
      <c r="O239" s="16"/>
      <c r="P239" s="36">
        <f t="shared" si="110"/>
        <v>0</v>
      </c>
      <c r="Q239" s="17">
        <f t="shared" si="111"/>
        <v>0</v>
      </c>
    </row>
    <row r="240" spans="1:19" x14ac:dyDescent="0.15">
      <c r="A240" s="35" t="s">
        <v>56</v>
      </c>
      <c r="B240" s="15">
        <v>1</v>
      </c>
      <c r="C240" s="16"/>
      <c r="D240" s="36">
        <f t="shared" si="112"/>
        <v>1</v>
      </c>
      <c r="E240" s="18"/>
      <c r="F240" s="16"/>
      <c r="G240" s="36">
        <f t="shared" si="107"/>
        <v>0</v>
      </c>
      <c r="H240" s="17">
        <f t="shared" si="108"/>
        <v>1</v>
      </c>
      <c r="I240" s="84">
        <v>44393</v>
      </c>
      <c r="J240" s="35"/>
      <c r="K240" s="15"/>
      <c r="L240" s="16"/>
      <c r="M240" s="36">
        <f t="shared" si="109"/>
        <v>0</v>
      </c>
      <c r="N240" s="18"/>
      <c r="O240" s="16"/>
      <c r="P240" s="36">
        <f t="shared" si="110"/>
        <v>0</v>
      </c>
      <c r="Q240" s="17">
        <f t="shared" si="111"/>
        <v>0</v>
      </c>
    </row>
    <row r="241" spans="1:18" x14ac:dyDescent="0.15">
      <c r="A241" s="35" t="s">
        <v>56</v>
      </c>
      <c r="B241" s="15"/>
      <c r="C241" s="16"/>
      <c r="D241" s="36">
        <f t="shared" si="112"/>
        <v>0</v>
      </c>
      <c r="E241" s="18">
        <f>1+1</f>
        <v>2</v>
      </c>
      <c r="F241" s="16"/>
      <c r="G241" s="36">
        <f t="shared" si="107"/>
        <v>2</v>
      </c>
      <c r="H241" s="17">
        <f t="shared" si="108"/>
        <v>2</v>
      </c>
      <c r="I241" s="84">
        <v>44396</v>
      </c>
      <c r="J241" s="35"/>
      <c r="K241" s="15"/>
      <c r="L241" s="16"/>
      <c r="M241" s="36">
        <f t="shared" si="109"/>
        <v>0</v>
      </c>
      <c r="N241" s="18"/>
      <c r="O241" s="16"/>
      <c r="P241" s="36">
        <f t="shared" si="110"/>
        <v>0</v>
      </c>
      <c r="Q241" s="17">
        <f t="shared" si="111"/>
        <v>0</v>
      </c>
    </row>
    <row r="242" spans="1:18" x14ac:dyDescent="0.15">
      <c r="A242" s="35" t="s">
        <v>56</v>
      </c>
      <c r="B242" s="15">
        <v>1</v>
      </c>
      <c r="C242" s="16"/>
      <c r="D242" s="17">
        <f t="shared" si="112"/>
        <v>1</v>
      </c>
      <c r="E242" s="18">
        <f>2+1</f>
        <v>3</v>
      </c>
      <c r="F242" s="16"/>
      <c r="G242" s="17">
        <f t="shared" si="107"/>
        <v>3</v>
      </c>
      <c r="H242" s="17">
        <f t="shared" si="108"/>
        <v>4</v>
      </c>
      <c r="I242" s="84">
        <v>44397</v>
      </c>
      <c r="J242" s="10"/>
      <c r="K242" s="15"/>
      <c r="L242" s="16"/>
      <c r="M242" s="17">
        <f t="shared" si="109"/>
        <v>0</v>
      </c>
      <c r="N242" s="18"/>
      <c r="O242" s="16"/>
      <c r="P242" s="17">
        <f t="shared" si="110"/>
        <v>0</v>
      </c>
      <c r="Q242" s="17">
        <f t="shared" si="111"/>
        <v>0</v>
      </c>
    </row>
    <row r="243" spans="1:18" x14ac:dyDescent="0.15">
      <c r="A243" s="35" t="s">
        <v>56</v>
      </c>
      <c r="B243" s="15"/>
      <c r="C243" s="16"/>
      <c r="D243" s="36">
        <f t="shared" si="112"/>
        <v>0</v>
      </c>
      <c r="E243" s="18"/>
      <c r="F243" s="16"/>
      <c r="G243" s="36">
        <f t="shared" si="107"/>
        <v>0</v>
      </c>
      <c r="H243" s="17">
        <f t="shared" si="108"/>
        <v>0</v>
      </c>
      <c r="I243" s="84">
        <v>44398</v>
      </c>
      <c r="J243" s="35"/>
      <c r="K243" s="15"/>
      <c r="L243" s="16"/>
      <c r="M243" s="36">
        <f t="shared" si="109"/>
        <v>0</v>
      </c>
      <c r="N243" s="18"/>
      <c r="O243" s="16"/>
      <c r="P243" s="36">
        <f t="shared" si="110"/>
        <v>0</v>
      </c>
      <c r="Q243" s="17">
        <f t="shared" si="111"/>
        <v>0</v>
      </c>
    </row>
    <row r="244" spans="1:18" x14ac:dyDescent="0.15">
      <c r="A244" s="35" t="s">
        <v>56</v>
      </c>
      <c r="B244" s="15">
        <v>1</v>
      </c>
      <c r="C244" s="16"/>
      <c r="D244" s="36">
        <f t="shared" si="112"/>
        <v>1</v>
      </c>
      <c r="E244" s="18"/>
      <c r="F244" s="16"/>
      <c r="G244" s="36">
        <f t="shared" si="107"/>
        <v>0</v>
      </c>
      <c r="H244" s="17">
        <f t="shared" si="108"/>
        <v>1</v>
      </c>
      <c r="I244" s="84">
        <v>44401</v>
      </c>
      <c r="J244" s="37"/>
      <c r="K244" s="15"/>
      <c r="L244" s="16"/>
      <c r="M244" s="36">
        <f t="shared" si="109"/>
        <v>0</v>
      </c>
      <c r="N244" s="18"/>
      <c r="O244" s="16"/>
      <c r="P244" s="36">
        <f t="shared" si="110"/>
        <v>0</v>
      </c>
      <c r="Q244" s="17">
        <f t="shared" si="111"/>
        <v>0</v>
      </c>
    </row>
    <row r="245" spans="1:18" x14ac:dyDescent="0.15">
      <c r="A245" s="35" t="s">
        <v>56</v>
      </c>
      <c r="B245" s="15"/>
      <c r="C245" s="16"/>
      <c r="D245" s="36">
        <f t="shared" si="112"/>
        <v>0</v>
      </c>
      <c r="E245" s="18">
        <v>2</v>
      </c>
      <c r="F245" s="16"/>
      <c r="G245" s="36">
        <f t="shared" si="107"/>
        <v>2</v>
      </c>
      <c r="H245" s="17">
        <f t="shared" si="108"/>
        <v>2</v>
      </c>
      <c r="I245" s="84">
        <v>44403</v>
      </c>
      <c r="J245" s="37"/>
      <c r="K245" s="15"/>
      <c r="L245" s="16"/>
      <c r="M245" s="36">
        <f t="shared" si="109"/>
        <v>0</v>
      </c>
      <c r="N245" s="18"/>
      <c r="O245" s="16"/>
      <c r="P245" s="36">
        <f t="shared" si="110"/>
        <v>0</v>
      </c>
      <c r="Q245" s="17">
        <f t="shared" si="111"/>
        <v>0</v>
      </c>
    </row>
    <row r="246" spans="1:18" x14ac:dyDescent="0.15">
      <c r="A246" s="35" t="s">
        <v>56</v>
      </c>
      <c r="B246" s="15">
        <v>1</v>
      </c>
      <c r="C246" s="16">
        <v>1</v>
      </c>
      <c r="D246" s="36">
        <f t="shared" si="112"/>
        <v>2</v>
      </c>
      <c r="E246" s="18"/>
      <c r="F246" s="16"/>
      <c r="G246" s="36">
        <f t="shared" si="107"/>
        <v>0</v>
      </c>
      <c r="H246" s="17">
        <f t="shared" si="108"/>
        <v>2</v>
      </c>
      <c r="I246" s="84">
        <v>44404</v>
      </c>
      <c r="J246" s="35"/>
      <c r="K246" s="15"/>
      <c r="L246" s="16"/>
      <c r="M246" s="36">
        <f t="shared" si="109"/>
        <v>0</v>
      </c>
      <c r="N246" s="18"/>
      <c r="O246" s="16"/>
      <c r="P246" s="36">
        <f t="shared" si="110"/>
        <v>0</v>
      </c>
      <c r="Q246" s="17">
        <f t="shared" si="111"/>
        <v>0</v>
      </c>
    </row>
    <row r="247" spans="1:18" x14ac:dyDescent="0.15">
      <c r="A247" s="35" t="s">
        <v>56</v>
      </c>
      <c r="B247" s="15"/>
      <c r="C247" s="16"/>
      <c r="D247" s="36">
        <f t="shared" si="112"/>
        <v>0</v>
      </c>
      <c r="E247" s="18"/>
      <c r="F247" s="16">
        <v>2</v>
      </c>
      <c r="G247" s="36">
        <f t="shared" si="107"/>
        <v>2</v>
      </c>
      <c r="H247" s="17">
        <f t="shared" si="108"/>
        <v>2</v>
      </c>
      <c r="I247" s="84">
        <v>44408</v>
      </c>
      <c r="J247" s="38"/>
      <c r="K247" s="15"/>
      <c r="L247" s="16"/>
      <c r="M247" s="36">
        <f t="shared" si="109"/>
        <v>0</v>
      </c>
      <c r="N247" s="18"/>
      <c r="O247" s="16"/>
      <c r="P247" s="36">
        <f t="shared" si="110"/>
        <v>0</v>
      </c>
      <c r="Q247" s="17">
        <f t="shared" si="111"/>
        <v>0</v>
      </c>
    </row>
    <row r="248" spans="1:18" x14ac:dyDescent="0.15">
      <c r="A248" s="35" t="s">
        <v>56</v>
      </c>
      <c r="B248" s="15">
        <v>1</v>
      </c>
      <c r="C248" s="16"/>
      <c r="D248" s="36">
        <f t="shared" si="112"/>
        <v>1</v>
      </c>
      <c r="E248" s="18">
        <v>4</v>
      </c>
      <c r="F248" s="16"/>
      <c r="G248" s="36">
        <f t="shared" si="107"/>
        <v>4</v>
      </c>
      <c r="H248" s="17">
        <f t="shared" si="108"/>
        <v>5</v>
      </c>
      <c r="I248" s="84">
        <v>44410</v>
      </c>
      <c r="J248" s="35"/>
      <c r="K248" s="15"/>
      <c r="L248" s="16"/>
      <c r="M248" s="36">
        <f t="shared" si="109"/>
        <v>0</v>
      </c>
      <c r="N248" s="18"/>
      <c r="O248" s="16"/>
      <c r="P248" s="36">
        <f t="shared" si="110"/>
        <v>0</v>
      </c>
      <c r="Q248" s="17">
        <f t="shared" si="111"/>
        <v>0</v>
      </c>
    </row>
    <row r="249" spans="1:18" x14ac:dyDescent="0.15">
      <c r="A249" s="35" t="s">
        <v>56</v>
      </c>
      <c r="B249" s="15"/>
      <c r="C249" s="16"/>
      <c r="D249" s="36">
        <f t="shared" si="112"/>
        <v>0</v>
      </c>
      <c r="E249" s="18">
        <v>1</v>
      </c>
      <c r="F249" s="16"/>
      <c r="G249" s="36">
        <f t="shared" si="107"/>
        <v>1</v>
      </c>
      <c r="H249" s="17">
        <f t="shared" si="108"/>
        <v>1</v>
      </c>
      <c r="I249" s="84">
        <v>44411</v>
      </c>
      <c r="J249" s="38"/>
      <c r="K249" s="15"/>
      <c r="L249" s="16"/>
      <c r="M249" s="36">
        <f t="shared" si="109"/>
        <v>0</v>
      </c>
      <c r="N249" s="18"/>
      <c r="O249" s="16"/>
      <c r="P249" s="36">
        <f t="shared" si="110"/>
        <v>0</v>
      </c>
      <c r="Q249" s="17">
        <f t="shared" si="111"/>
        <v>0</v>
      </c>
    </row>
    <row r="250" spans="1:18" x14ac:dyDescent="0.15">
      <c r="A250" s="52" t="s">
        <v>107</v>
      </c>
      <c r="B250" s="15"/>
      <c r="C250" s="16">
        <v>5</v>
      </c>
      <c r="D250" s="36">
        <f t="shared" si="112"/>
        <v>5</v>
      </c>
      <c r="E250" s="18"/>
      <c r="F250" s="16"/>
      <c r="G250" s="36">
        <f t="shared" si="107"/>
        <v>0</v>
      </c>
      <c r="H250" s="17">
        <f t="shared" si="108"/>
        <v>5</v>
      </c>
      <c r="I250" s="81">
        <v>44425</v>
      </c>
      <c r="J250" s="35"/>
      <c r="K250" s="15"/>
      <c r="L250" s="16"/>
      <c r="M250" s="36">
        <f t="shared" si="109"/>
        <v>0</v>
      </c>
      <c r="N250" s="18"/>
      <c r="O250" s="16"/>
      <c r="P250" s="36">
        <f t="shared" si="110"/>
        <v>0</v>
      </c>
      <c r="Q250" s="17">
        <f t="shared" si="111"/>
        <v>0</v>
      </c>
    </row>
    <row r="251" spans="1:18" x14ac:dyDescent="0.15">
      <c r="A251" s="35" t="s">
        <v>56</v>
      </c>
      <c r="B251" s="15"/>
      <c r="C251" s="16"/>
      <c r="D251" s="17">
        <f>SUM(B251:C251)</f>
        <v>0</v>
      </c>
      <c r="E251" s="18">
        <v>2</v>
      </c>
      <c r="F251" s="16"/>
      <c r="G251" s="17">
        <f t="shared" si="107"/>
        <v>2</v>
      </c>
      <c r="H251" s="17">
        <f t="shared" si="108"/>
        <v>2</v>
      </c>
      <c r="I251" s="84">
        <v>44413</v>
      </c>
      <c r="J251" s="52"/>
      <c r="K251" s="15"/>
      <c r="L251" s="16"/>
      <c r="M251" s="17">
        <f>SUM(K251:L251)</f>
        <v>0</v>
      </c>
      <c r="N251" s="18"/>
      <c r="O251" s="16"/>
      <c r="P251" s="17">
        <f t="shared" si="110"/>
        <v>0</v>
      </c>
      <c r="Q251" s="17">
        <f t="shared" si="111"/>
        <v>0</v>
      </c>
      <c r="R251" s="83"/>
    </row>
    <row r="252" spans="1:18" x14ac:dyDescent="0.15">
      <c r="A252" s="35" t="s">
        <v>56</v>
      </c>
      <c r="B252" s="15"/>
      <c r="C252" s="16"/>
      <c r="D252" s="36">
        <f t="shared" ref="D252" si="113">SUM(B252:C252)</f>
        <v>0</v>
      </c>
      <c r="E252" s="18">
        <v>1</v>
      </c>
      <c r="F252" s="16">
        <v>1</v>
      </c>
      <c r="G252" s="36">
        <f t="shared" si="107"/>
        <v>2</v>
      </c>
      <c r="H252" s="17">
        <f t="shared" si="108"/>
        <v>2</v>
      </c>
      <c r="I252" s="84">
        <v>44415</v>
      </c>
      <c r="J252" s="35"/>
      <c r="K252" s="15"/>
      <c r="L252" s="16"/>
      <c r="M252" s="36">
        <f t="shared" ref="M252:M253" si="114">SUM(K252:L252)</f>
        <v>0</v>
      </c>
      <c r="N252" s="18"/>
      <c r="O252" s="16"/>
      <c r="P252" s="36">
        <f t="shared" si="110"/>
        <v>0</v>
      </c>
      <c r="Q252" s="17">
        <f t="shared" si="111"/>
        <v>0</v>
      </c>
      <c r="R252" s="83"/>
    </row>
    <row r="253" spans="1:18" x14ac:dyDescent="0.15">
      <c r="A253" s="35" t="s">
        <v>56</v>
      </c>
      <c r="B253" s="15"/>
      <c r="C253" s="16"/>
      <c r="D253" s="17">
        <f>SUM(B253:C253)</f>
        <v>0</v>
      </c>
      <c r="E253" s="18">
        <f>1+2</f>
        <v>3</v>
      </c>
      <c r="F253" s="16"/>
      <c r="G253" s="17">
        <f t="shared" si="107"/>
        <v>3</v>
      </c>
      <c r="H253" s="17">
        <f t="shared" si="108"/>
        <v>3</v>
      </c>
      <c r="I253" s="84">
        <v>44418</v>
      </c>
      <c r="J253" s="35"/>
      <c r="K253" s="15"/>
      <c r="L253" s="16"/>
      <c r="M253" s="36">
        <f t="shared" si="114"/>
        <v>0</v>
      </c>
      <c r="N253" s="18"/>
      <c r="O253" s="16"/>
      <c r="P253" s="36">
        <f t="shared" ref="P253" si="115">SUM(N253:O253)</f>
        <v>0</v>
      </c>
      <c r="Q253" s="17">
        <f t="shared" ref="Q253" si="116">M253+P253</f>
        <v>0</v>
      </c>
      <c r="R253" s="83"/>
    </row>
    <row r="254" spans="1:18" ht="14.25" thickBot="1" x14ac:dyDescent="0.2">
      <c r="A254" s="35" t="s">
        <v>56</v>
      </c>
      <c r="B254" s="15">
        <f>2+1</f>
        <v>3</v>
      </c>
      <c r="C254" s="16"/>
      <c r="D254" s="36">
        <f t="shared" ref="D254:D256" si="117">SUM(B254:C254)</f>
        <v>3</v>
      </c>
      <c r="E254" s="18">
        <v>2</v>
      </c>
      <c r="F254" s="16">
        <v>4</v>
      </c>
      <c r="G254" s="36">
        <f t="shared" si="107"/>
        <v>6</v>
      </c>
      <c r="H254" s="17">
        <f t="shared" si="108"/>
        <v>9</v>
      </c>
      <c r="I254" s="81">
        <v>44424</v>
      </c>
      <c r="J254" s="35"/>
      <c r="K254" s="15"/>
      <c r="L254" s="16"/>
      <c r="M254" s="36">
        <f t="shared" ref="M254:M256" si="118">SUM(K254:L254)</f>
        <v>0</v>
      </c>
      <c r="N254" s="18"/>
      <c r="O254" s="16"/>
      <c r="P254" s="36">
        <f t="shared" si="110"/>
        <v>0</v>
      </c>
      <c r="Q254" s="17">
        <f t="shared" si="111"/>
        <v>0</v>
      </c>
      <c r="R254" s="83"/>
    </row>
    <row r="255" spans="1:18" ht="14.25" thickBot="1" x14ac:dyDescent="0.2">
      <c r="A255" s="40" t="s">
        <v>14</v>
      </c>
      <c r="B255" s="41">
        <f>SUM(B229:B254)</f>
        <v>18</v>
      </c>
      <c r="C255" s="42">
        <f t="shared" ref="C255" si="119">SUM(C229:C254)</f>
        <v>10</v>
      </c>
      <c r="D255" s="43">
        <f t="shared" si="117"/>
        <v>28</v>
      </c>
      <c r="E255" s="41">
        <f>SUM(E229:E254)</f>
        <v>30</v>
      </c>
      <c r="F255" s="42">
        <f t="shared" ref="F255" si="120">SUM(F229:F254)</f>
        <v>9</v>
      </c>
      <c r="G255" s="43">
        <f t="shared" si="107"/>
        <v>39</v>
      </c>
      <c r="H255" s="43">
        <f t="shared" si="108"/>
        <v>67</v>
      </c>
      <c r="J255" s="40" t="s">
        <v>14</v>
      </c>
      <c r="K255" s="41">
        <f>SUM(K229:K254)</f>
        <v>10</v>
      </c>
      <c r="L255" s="42">
        <f t="shared" ref="L255" si="121">SUM(L229:L254)</f>
        <v>10</v>
      </c>
      <c r="M255" s="43">
        <f t="shared" si="118"/>
        <v>20</v>
      </c>
      <c r="N255" s="41">
        <f>SUM(N229:N254)</f>
        <v>30</v>
      </c>
      <c r="O255" s="42">
        <f t="shared" ref="O255" si="122">SUM(O229:O254)</f>
        <v>0</v>
      </c>
      <c r="P255" s="43">
        <f t="shared" si="110"/>
        <v>30</v>
      </c>
      <c r="Q255" s="43">
        <f t="shared" si="111"/>
        <v>50</v>
      </c>
    </row>
    <row r="256" spans="1:18" ht="14.25" thickBot="1" x14ac:dyDescent="0.2">
      <c r="A256" s="44" t="s">
        <v>15</v>
      </c>
      <c r="B256" s="45">
        <f>B228-B255</f>
        <v>6</v>
      </c>
      <c r="C256" s="46">
        <f t="shared" ref="C256" si="123">C228-C255</f>
        <v>11</v>
      </c>
      <c r="D256" s="47">
        <f t="shared" si="117"/>
        <v>17</v>
      </c>
      <c r="E256" s="45">
        <f>E228-E255</f>
        <v>14</v>
      </c>
      <c r="F256" s="46">
        <f t="shared" ref="F256" si="124">F228-F255</f>
        <v>7</v>
      </c>
      <c r="G256" s="47">
        <f t="shared" si="107"/>
        <v>21</v>
      </c>
      <c r="H256" s="34">
        <f t="shared" si="108"/>
        <v>38</v>
      </c>
      <c r="J256" s="44" t="s">
        <v>15</v>
      </c>
      <c r="K256" s="45">
        <f>K228-K255</f>
        <v>648</v>
      </c>
      <c r="L256" s="46">
        <f t="shared" ref="L256" si="125">L228-L255</f>
        <v>741</v>
      </c>
      <c r="M256" s="47">
        <f t="shared" si="118"/>
        <v>1389</v>
      </c>
      <c r="N256" s="45">
        <f>N228-N255</f>
        <v>435</v>
      </c>
      <c r="O256" s="46">
        <f t="shared" ref="O256" si="126">O228-O255</f>
        <v>602</v>
      </c>
      <c r="P256" s="47">
        <f t="shared" si="110"/>
        <v>1037</v>
      </c>
      <c r="Q256" s="34">
        <f t="shared" si="111"/>
        <v>2426</v>
      </c>
    </row>
    <row r="257" spans="1:18" x14ac:dyDescent="0.15">
      <c r="K257">
        <f t="shared" ref="K257:Q257" si="127">K255+K212+K169+K126+K83+K40</f>
        <v>330</v>
      </c>
      <c r="L257">
        <f t="shared" si="127"/>
        <v>265</v>
      </c>
      <c r="M257">
        <f t="shared" si="127"/>
        <v>595</v>
      </c>
      <c r="N257">
        <f t="shared" si="127"/>
        <v>580</v>
      </c>
      <c r="O257">
        <f t="shared" si="127"/>
        <v>439</v>
      </c>
      <c r="P257">
        <f t="shared" si="127"/>
        <v>1019</v>
      </c>
      <c r="Q257">
        <f t="shared" si="127"/>
        <v>1614</v>
      </c>
    </row>
    <row r="258" spans="1:18" x14ac:dyDescent="0.15">
      <c r="K258" s="68">
        <f>K257/$M$257*100</f>
        <v>55.462184873949582</v>
      </c>
      <c r="L258" s="68">
        <f t="shared" ref="L258:M258" si="128">L257/$M$257*100</f>
        <v>44.537815126050425</v>
      </c>
      <c r="M258" s="68">
        <f t="shared" si="128"/>
        <v>100</v>
      </c>
      <c r="N258" s="68">
        <f>N257/$P$257*100</f>
        <v>56.918547595682043</v>
      </c>
      <c r="O258" s="68">
        <f t="shared" ref="O258:P258" si="129">O257/$P$257*100</f>
        <v>43.081452404317957</v>
      </c>
      <c r="P258" s="68">
        <f t="shared" si="129"/>
        <v>100</v>
      </c>
    </row>
    <row r="259" spans="1:18" ht="19.5" thickBot="1" x14ac:dyDescent="0.25">
      <c r="A259" s="1" t="s">
        <v>23</v>
      </c>
      <c r="J259" s="1" t="s">
        <v>24</v>
      </c>
      <c r="K259" s="2"/>
      <c r="L259" s="2"/>
      <c r="M259" s="2"/>
      <c r="N259" s="2"/>
      <c r="O259" s="1" t="s">
        <v>34</v>
      </c>
      <c r="P259" s="2"/>
      <c r="Q259" s="2"/>
    </row>
    <row r="260" spans="1:18" ht="14.25" thickBot="1" x14ac:dyDescent="0.2">
      <c r="A260" s="3" t="s">
        <v>0</v>
      </c>
      <c r="B260" s="125" t="s">
        <v>18</v>
      </c>
      <c r="C260" s="126"/>
      <c r="D260" s="127"/>
      <c r="E260" s="125" t="s">
        <v>19</v>
      </c>
      <c r="F260" s="126"/>
      <c r="G260" s="128"/>
      <c r="H260" s="129" t="s">
        <v>1</v>
      </c>
      <c r="J260" s="3" t="s">
        <v>0</v>
      </c>
      <c r="K260" s="125" t="s">
        <v>18</v>
      </c>
      <c r="L260" s="126"/>
      <c r="M260" s="127"/>
      <c r="N260" s="125" t="s">
        <v>19</v>
      </c>
      <c r="O260" s="126"/>
      <c r="P260" s="128"/>
      <c r="Q260" s="129" t="s">
        <v>1</v>
      </c>
    </row>
    <row r="261" spans="1:18" ht="14.25" thickBot="1" x14ac:dyDescent="0.2">
      <c r="A261" s="3" t="s">
        <v>2</v>
      </c>
      <c r="B261" s="4" t="s">
        <v>16</v>
      </c>
      <c r="C261" s="5" t="s">
        <v>17</v>
      </c>
      <c r="D261" s="3" t="s">
        <v>3</v>
      </c>
      <c r="E261" s="4" t="s">
        <v>16</v>
      </c>
      <c r="F261" s="5" t="s">
        <v>17</v>
      </c>
      <c r="G261" s="3" t="s">
        <v>3</v>
      </c>
      <c r="H261" s="130"/>
      <c r="J261" s="3" t="s">
        <v>2</v>
      </c>
      <c r="K261" s="4" t="s">
        <v>16</v>
      </c>
      <c r="L261" s="5" t="s">
        <v>17</v>
      </c>
      <c r="M261" s="3" t="s">
        <v>3</v>
      </c>
      <c r="N261" s="4" t="s">
        <v>16</v>
      </c>
      <c r="O261" s="5" t="s">
        <v>17</v>
      </c>
      <c r="P261" s="3" t="s">
        <v>3</v>
      </c>
      <c r="Q261" s="130"/>
    </row>
    <row r="262" spans="1:18" ht="14.25" thickBot="1" x14ac:dyDescent="0.2">
      <c r="A262" s="6" t="s">
        <v>55</v>
      </c>
      <c r="B262" s="32">
        <f>B256</f>
        <v>6</v>
      </c>
      <c r="C262" s="33">
        <f>C256</f>
        <v>11</v>
      </c>
      <c r="D262" s="34">
        <f t="shared" ref="D262:D274" si="130">SUM(B262:C262)</f>
        <v>17</v>
      </c>
      <c r="E262" s="32">
        <f>E256</f>
        <v>14</v>
      </c>
      <c r="F262" s="33">
        <f>F256</f>
        <v>7</v>
      </c>
      <c r="G262" s="34">
        <f t="shared" ref="G262:G299" si="131">SUM(E262:F262)</f>
        <v>21</v>
      </c>
      <c r="H262" s="34">
        <f t="shared" ref="H262:H299" si="132">D262+G262</f>
        <v>38</v>
      </c>
      <c r="J262" s="6" t="s">
        <v>55</v>
      </c>
      <c r="K262" s="7">
        <f>K256</f>
        <v>648</v>
      </c>
      <c r="L262" s="8">
        <f>L256</f>
        <v>741</v>
      </c>
      <c r="M262" s="9">
        <f t="shared" ref="M262:M293" si="133">SUM(K262:L262)</f>
        <v>1389</v>
      </c>
      <c r="N262" s="7">
        <f>N256</f>
        <v>435</v>
      </c>
      <c r="O262" s="8">
        <f>O256</f>
        <v>602</v>
      </c>
      <c r="P262" s="9">
        <f t="shared" ref="P262:P299" si="134">SUM(N262:O262)</f>
        <v>1037</v>
      </c>
      <c r="Q262" s="9">
        <f t="shared" ref="Q262:Q299" si="135">M262+P262</f>
        <v>2426</v>
      </c>
    </row>
    <row r="263" spans="1:18" x14ac:dyDescent="0.15">
      <c r="A263" s="10" t="s">
        <v>110</v>
      </c>
      <c r="B263" s="64"/>
      <c r="C263" s="65"/>
      <c r="D263" s="36">
        <f t="shared" si="130"/>
        <v>0</v>
      </c>
      <c r="E263" s="66">
        <v>-1</v>
      </c>
      <c r="F263" s="65"/>
      <c r="G263" s="36">
        <f t="shared" si="131"/>
        <v>-1</v>
      </c>
      <c r="H263" s="36">
        <f t="shared" si="132"/>
        <v>-1</v>
      </c>
      <c r="I263" s="81">
        <v>44434</v>
      </c>
      <c r="J263" s="10" t="s">
        <v>5</v>
      </c>
      <c r="K263" s="11"/>
      <c r="L263" s="12"/>
      <c r="M263" s="13">
        <f t="shared" si="133"/>
        <v>0</v>
      </c>
      <c r="N263" s="62"/>
      <c r="O263" s="12"/>
      <c r="P263" s="13">
        <f t="shared" si="134"/>
        <v>0</v>
      </c>
      <c r="Q263" s="13">
        <f t="shared" si="135"/>
        <v>0</v>
      </c>
    </row>
    <row r="264" spans="1:18" x14ac:dyDescent="0.15">
      <c r="A264" s="10" t="s">
        <v>6</v>
      </c>
      <c r="B264" s="15">
        <v>10</v>
      </c>
      <c r="C264" s="16">
        <v>5</v>
      </c>
      <c r="D264" s="17">
        <f t="shared" si="130"/>
        <v>15</v>
      </c>
      <c r="E264" s="18">
        <v>5</v>
      </c>
      <c r="F264" s="16">
        <v>10</v>
      </c>
      <c r="G264" s="17">
        <f t="shared" si="131"/>
        <v>15</v>
      </c>
      <c r="H264" s="17">
        <f t="shared" si="132"/>
        <v>30</v>
      </c>
      <c r="I264" s="81">
        <v>44443</v>
      </c>
      <c r="J264" s="10" t="s">
        <v>6</v>
      </c>
      <c r="K264" s="15"/>
      <c r="L264" s="16"/>
      <c r="M264" s="17">
        <f t="shared" si="133"/>
        <v>0</v>
      </c>
      <c r="N264" s="18"/>
      <c r="O264" s="16"/>
      <c r="P264" s="17">
        <f t="shared" si="134"/>
        <v>0</v>
      </c>
      <c r="Q264" s="17">
        <f t="shared" si="135"/>
        <v>0</v>
      </c>
    </row>
    <row r="265" spans="1:18" x14ac:dyDescent="0.15">
      <c r="A265" s="10" t="s">
        <v>7</v>
      </c>
      <c r="B265" s="19">
        <v>5</v>
      </c>
      <c r="C265" s="20">
        <v>5</v>
      </c>
      <c r="D265" s="17">
        <f t="shared" si="130"/>
        <v>10</v>
      </c>
      <c r="E265" s="21">
        <v>5</v>
      </c>
      <c r="F265" s="20"/>
      <c r="G265" s="17">
        <f t="shared" si="131"/>
        <v>5</v>
      </c>
      <c r="H265" s="17">
        <f t="shared" si="132"/>
        <v>15</v>
      </c>
      <c r="I265" s="81">
        <v>44448</v>
      </c>
      <c r="J265" s="10" t="s">
        <v>7</v>
      </c>
      <c r="K265" s="19"/>
      <c r="L265" s="20"/>
      <c r="M265" s="17">
        <f t="shared" si="133"/>
        <v>0</v>
      </c>
      <c r="N265" s="21"/>
      <c r="O265" s="20"/>
      <c r="P265" s="17">
        <f t="shared" si="134"/>
        <v>0</v>
      </c>
      <c r="Q265" s="17">
        <f t="shared" si="135"/>
        <v>0</v>
      </c>
    </row>
    <row r="266" spans="1:18" x14ac:dyDescent="0.15">
      <c r="A266" s="10" t="s">
        <v>8</v>
      </c>
      <c r="B266" s="15"/>
      <c r="C266" s="16"/>
      <c r="D266" s="17">
        <f t="shared" si="130"/>
        <v>0</v>
      </c>
      <c r="E266" s="18">
        <v>10</v>
      </c>
      <c r="F266" s="16"/>
      <c r="G266" s="17">
        <f t="shared" si="131"/>
        <v>10</v>
      </c>
      <c r="H266" s="17">
        <f t="shared" si="132"/>
        <v>10</v>
      </c>
      <c r="I266" s="81">
        <v>44461</v>
      </c>
      <c r="J266" s="10" t="s">
        <v>8</v>
      </c>
      <c r="K266" s="15"/>
      <c r="L266" s="16"/>
      <c r="M266" s="17">
        <f t="shared" si="133"/>
        <v>0</v>
      </c>
      <c r="N266" s="18"/>
      <c r="O266" s="16"/>
      <c r="P266" s="17">
        <f t="shared" si="134"/>
        <v>0</v>
      </c>
      <c r="Q266" s="17">
        <f t="shared" si="135"/>
        <v>0</v>
      </c>
    </row>
    <row r="267" spans="1:18" x14ac:dyDescent="0.15">
      <c r="A267" s="10" t="s">
        <v>9</v>
      </c>
      <c r="B267" s="15"/>
      <c r="C267" s="16"/>
      <c r="D267" s="17">
        <f t="shared" si="130"/>
        <v>0</v>
      </c>
      <c r="E267" s="18">
        <v>10</v>
      </c>
      <c r="F267" s="16">
        <v>10</v>
      </c>
      <c r="G267" s="17">
        <f t="shared" si="131"/>
        <v>20</v>
      </c>
      <c r="H267" s="17">
        <f t="shared" si="132"/>
        <v>20</v>
      </c>
      <c r="I267" s="81">
        <v>44475</v>
      </c>
      <c r="J267" s="10" t="s">
        <v>9</v>
      </c>
      <c r="K267" s="15"/>
      <c r="L267" s="16"/>
      <c r="M267" s="17">
        <f t="shared" si="133"/>
        <v>0</v>
      </c>
      <c r="N267" s="18"/>
      <c r="O267" s="16"/>
      <c r="P267" s="17">
        <f t="shared" si="134"/>
        <v>0</v>
      </c>
      <c r="Q267" s="17">
        <f t="shared" si="135"/>
        <v>0</v>
      </c>
    </row>
    <row r="268" spans="1:18" x14ac:dyDescent="0.15">
      <c r="A268" s="10" t="s">
        <v>10</v>
      </c>
      <c r="B268" s="15"/>
      <c r="C268" s="16"/>
      <c r="D268" s="17">
        <f t="shared" si="130"/>
        <v>0</v>
      </c>
      <c r="E268" s="18"/>
      <c r="F268" s="16"/>
      <c r="G268" s="17">
        <f t="shared" si="131"/>
        <v>0</v>
      </c>
      <c r="H268" s="17">
        <f t="shared" si="132"/>
        <v>0</v>
      </c>
      <c r="I268" s="81"/>
      <c r="J268" s="10" t="s">
        <v>10</v>
      </c>
      <c r="K268" s="15"/>
      <c r="L268" s="16"/>
      <c r="M268" s="17">
        <f t="shared" si="133"/>
        <v>0</v>
      </c>
      <c r="N268" s="18"/>
      <c r="O268" s="16"/>
      <c r="P268" s="17">
        <f t="shared" si="134"/>
        <v>0</v>
      </c>
      <c r="Q268" s="17">
        <f t="shared" si="135"/>
        <v>0</v>
      </c>
    </row>
    <row r="269" spans="1:18" x14ac:dyDescent="0.15">
      <c r="A269" s="10" t="s">
        <v>11</v>
      </c>
      <c r="B269" s="23"/>
      <c r="C269" s="24"/>
      <c r="D269" s="17">
        <f t="shared" si="130"/>
        <v>0</v>
      </c>
      <c r="E269" s="25"/>
      <c r="F269" s="24"/>
      <c r="G269" s="17">
        <f t="shared" si="131"/>
        <v>0</v>
      </c>
      <c r="H269" s="17">
        <f t="shared" si="132"/>
        <v>0</v>
      </c>
      <c r="I269" s="84"/>
      <c r="J269" s="10" t="s">
        <v>11</v>
      </c>
      <c r="K269" s="23"/>
      <c r="L269" s="24"/>
      <c r="M269" s="17">
        <f t="shared" si="133"/>
        <v>0</v>
      </c>
      <c r="N269" s="25"/>
      <c r="O269" s="24"/>
      <c r="P269" s="17">
        <f t="shared" si="134"/>
        <v>0</v>
      </c>
      <c r="Q269" s="17">
        <f t="shared" si="135"/>
        <v>0</v>
      </c>
    </row>
    <row r="270" spans="1:18" ht="14.25" thickBot="1" x14ac:dyDescent="0.2">
      <c r="A270" s="10" t="s">
        <v>12</v>
      </c>
      <c r="B270" s="26"/>
      <c r="C270" s="27"/>
      <c r="D270" s="28">
        <f t="shared" si="130"/>
        <v>0</v>
      </c>
      <c r="E270" s="29"/>
      <c r="F270" s="29"/>
      <c r="G270" s="28">
        <f t="shared" si="131"/>
        <v>0</v>
      </c>
      <c r="H270" s="30">
        <f t="shared" si="132"/>
        <v>0</v>
      </c>
      <c r="I270" s="81"/>
      <c r="J270" s="10" t="s">
        <v>12</v>
      </c>
      <c r="K270" s="26"/>
      <c r="L270" s="27"/>
      <c r="M270" s="28">
        <f t="shared" si="133"/>
        <v>0</v>
      </c>
      <c r="N270" s="29"/>
      <c r="O270" s="29"/>
      <c r="P270" s="28">
        <f t="shared" si="134"/>
        <v>0</v>
      </c>
      <c r="Q270" s="30">
        <f t="shared" si="135"/>
        <v>0</v>
      </c>
    </row>
    <row r="271" spans="1:18" ht="14.25" thickBot="1" x14ac:dyDescent="0.2">
      <c r="A271" s="31" t="s">
        <v>13</v>
      </c>
      <c r="B271" s="32">
        <f>SUM(B262:B270)</f>
        <v>21</v>
      </c>
      <c r="C271" s="33">
        <f>SUM(C262:C270)</f>
        <v>21</v>
      </c>
      <c r="D271" s="34">
        <f t="shared" si="130"/>
        <v>42</v>
      </c>
      <c r="E271" s="32">
        <f>SUM(E262:E270)</f>
        <v>43</v>
      </c>
      <c r="F271" s="33">
        <f>SUM(F262:F270)</f>
        <v>27</v>
      </c>
      <c r="G271" s="34">
        <f t="shared" si="131"/>
        <v>70</v>
      </c>
      <c r="H271" s="34">
        <f t="shared" si="132"/>
        <v>112</v>
      </c>
      <c r="J271" s="31" t="s">
        <v>13</v>
      </c>
      <c r="K271" s="32">
        <f>SUM(K262:K270)</f>
        <v>648</v>
      </c>
      <c r="L271" s="33">
        <f>SUM(L262:L270)</f>
        <v>741</v>
      </c>
      <c r="M271" s="34">
        <f t="shared" si="133"/>
        <v>1389</v>
      </c>
      <c r="N271" s="32">
        <f>SUM(N262:N270)</f>
        <v>435</v>
      </c>
      <c r="O271" s="33">
        <f>SUM(O262:O270)</f>
        <v>602</v>
      </c>
      <c r="P271" s="34">
        <f t="shared" si="134"/>
        <v>1037</v>
      </c>
      <c r="Q271" s="34">
        <f t="shared" si="135"/>
        <v>2426</v>
      </c>
    </row>
    <row r="272" spans="1:18" x14ac:dyDescent="0.15">
      <c r="A272" s="35" t="s">
        <v>56</v>
      </c>
      <c r="B272" s="48"/>
      <c r="C272" s="49"/>
      <c r="D272" s="50">
        <f t="shared" si="130"/>
        <v>0</v>
      </c>
      <c r="E272" s="51"/>
      <c r="F272" s="49">
        <v>1</v>
      </c>
      <c r="G272" s="50">
        <f t="shared" si="131"/>
        <v>1</v>
      </c>
      <c r="H272" s="50">
        <f t="shared" si="132"/>
        <v>1</v>
      </c>
      <c r="I272" s="84">
        <v>44426</v>
      </c>
      <c r="J272" s="52" t="s">
        <v>108</v>
      </c>
      <c r="K272" s="64"/>
      <c r="L272" s="65"/>
      <c r="M272" s="36">
        <f t="shared" si="133"/>
        <v>0</v>
      </c>
      <c r="N272" s="66"/>
      <c r="O272" s="65">
        <v>5</v>
      </c>
      <c r="P272" s="36">
        <f t="shared" si="134"/>
        <v>5</v>
      </c>
      <c r="Q272" s="36">
        <f t="shared" si="135"/>
        <v>5</v>
      </c>
      <c r="R272" s="81">
        <v>44431</v>
      </c>
    </row>
    <row r="273" spans="1:19" x14ac:dyDescent="0.15">
      <c r="A273" s="35" t="s">
        <v>56</v>
      </c>
      <c r="B273" s="19">
        <v>1</v>
      </c>
      <c r="C273" s="20">
        <v>1</v>
      </c>
      <c r="D273" s="36">
        <f t="shared" si="130"/>
        <v>2</v>
      </c>
      <c r="E273" s="21">
        <v>1</v>
      </c>
      <c r="F273" s="20"/>
      <c r="G273" s="36">
        <f t="shared" si="131"/>
        <v>1</v>
      </c>
      <c r="H273" s="36">
        <f t="shared" si="132"/>
        <v>3</v>
      </c>
      <c r="I273" s="81">
        <v>44438</v>
      </c>
      <c r="J273" s="10" t="s">
        <v>35</v>
      </c>
      <c r="K273" s="15">
        <v>5</v>
      </c>
      <c r="L273" s="16">
        <v>5</v>
      </c>
      <c r="M273" s="36">
        <f t="shared" si="133"/>
        <v>10</v>
      </c>
      <c r="N273" s="18">
        <v>5</v>
      </c>
      <c r="O273" s="16">
        <v>5</v>
      </c>
      <c r="P273" s="36">
        <f t="shared" si="134"/>
        <v>10</v>
      </c>
      <c r="Q273" s="17">
        <f t="shared" si="135"/>
        <v>20</v>
      </c>
      <c r="R273" s="81">
        <v>44446</v>
      </c>
    </row>
    <row r="274" spans="1:19" x14ac:dyDescent="0.15">
      <c r="A274" s="35" t="s">
        <v>111</v>
      </c>
      <c r="B274" s="15"/>
      <c r="C274" s="16">
        <v>1</v>
      </c>
      <c r="D274" s="36">
        <f t="shared" si="130"/>
        <v>1</v>
      </c>
      <c r="E274" s="18"/>
      <c r="F274" s="16">
        <v>1</v>
      </c>
      <c r="G274" s="36">
        <f t="shared" si="131"/>
        <v>1</v>
      </c>
      <c r="H274" s="17">
        <f t="shared" si="132"/>
        <v>2</v>
      </c>
      <c r="I274" s="81">
        <v>44440</v>
      </c>
      <c r="J274" s="10" t="s">
        <v>112</v>
      </c>
      <c r="K274" s="19">
        <v>10</v>
      </c>
      <c r="L274" s="20">
        <v>5</v>
      </c>
      <c r="M274" s="17">
        <f t="shared" si="133"/>
        <v>15</v>
      </c>
      <c r="N274" s="21">
        <v>5</v>
      </c>
      <c r="O274" s="20">
        <v>10</v>
      </c>
      <c r="P274" s="17">
        <f t="shared" si="134"/>
        <v>15</v>
      </c>
      <c r="Q274" s="17">
        <f t="shared" si="135"/>
        <v>30</v>
      </c>
      <c r="R274" s="81">
        <v>44443</v>
      </c>
    </row>
    <row r="275" spans="1:19" x14ac:dyDescent="0.15">
      <c r="A275" s="35" t="s">
        <v>56</v>
      </c>
      <c r="B275" s="15">
        <v>1</v>
      </c>
      <c r="C275" s="16"/>
      <c r="D275" s="17">
        <f>SUM(B275:C275)</f>
        <v>1</v>
      </c>
      <c r="E275" s="18"/>
      <c r="F275" s="16"/>
      <c r="G275" s="17">
        <f t="shared" si="131"/>
        <v>0</v>
      </c>
      <c r="H275" s="17">
        <f t="shared" si="132"/>
        <v>1</v>
      </c>
      <c r="I275" s="81">
        <v>44441</v>
      </c>
      <c r="J275" s="52" t="s">
        <v>113</v>
      </c>
      <c r="K275" s="15"/>
      <c r="L275" s="16"/>
      <c r="M275" s="17">
        <f t="shared" si="133"/>
        <v>0</v>
      </c>
      <c r="N275" s="18"/>
      <c r="O275" s="16">
        <v>6</v>
      </c>
      <c r="P275" s="17">
        <f t="shared" si="134"/>
        <v>6</v>
      </c>
      <c r="Q275" s="17">
        <f t="shared" si="135"/>
        <v>6</v>
      </c>
      <c r="R275" s="81">
        <v>44452</v>
      </c>
    </row>
    <row r="276" spans="1:19" x14ac:dyDescent="0.15">
      <c r="A276" s="35" t="s">
        <v>56</v>
      </c>
      <c r="B276" s="15"/>
      <c r="C276" s="16"/>
      <c r="D276" s="36">
        <f t="shared" ref="D276:D293" si="136">SUM(B276:C276)</f>
        <v>0</v>
      </c>
      <c r="E276" s="18">
        <v>1</v>
      </c>
      <c r="F276" s="16"/>
      <c r="G276" s="36">
        <f t="shared" si="131"/>
        <v>1</v>
      </c>
      <c r="H276" s="17">
        <f t="shared" si="132"/>
        <v>1</v>
      </c>
      <c r="I276" s="84">
        <v>44442</v>
      </c>
      <c r="J276" s="10" t="s">
        <v>30</v>
      </c>
      <c r="K276" s="15">
        <v>5</v>
      </c>
      <c r="L276" s="16">
        <v>5</v>
      </c>
      <c r="M276" s="17">
        <f t="shared" si="133"/>
        <v>10</v>
      </c>
      <c r="N276" s="18">
        <v>5</v>
      </c>
      <c r="O276" s="16"/>
      <c r="P276" s="17">
        <f t="shared" si="134"/>
        <v>5</v>
      </c>
      <c r="Q276" s="17">
        <f t="shared" si="135"/>
        <v>15</v>
      </c>
      <c r="R276" s="81">
        <v>44448</v>
      </c>
    </row>
    <row r="277" spans="1:19" x14ac:dyDescent="0.15">
      <c r="A277" s="35" t="s">
        <v>56</v>
      </c>
      <c r="B277" s="15">
        <f>1+2</f>
        <v>3</v>
      </c>
      <c r="C277" s="16"/>
      <c r="D277" s="36">
        <f t="shared" si="136"/>
        <v>3</v>
      </c>
      <c r="E277" s="18">
        <f>5+1+1</f>
        <v>7</v>
      </c>
      <c r="F277" s="16"/>
      <c r="G277" s="36">
        <f t="shared" si="131"/>
        <v>7</v>
      </c>
      <c r="H277" s="17">
        <f t="shared" si="132"/>
        <v>10</v>
      </c>
      <c r="I277" s="84">
        <v>44445</v>
      </c>
      <c r="J277" s="10" t="s">
        <v>39</v>
      </c>
      <c r="K277" s="15">
        <v>13</v>
      </c>
      <c r="L277" s="16">
        <v>13</v>
      </c>
      <c r="M277" s="36">
        <f t="shared" si="133"/>
        <v>26</v>
      </c>
      <c r="N277" s="18">
        <v>19</v>
      </c>
      <c r="O277" s="16">
        <v>25</v>
      </c>
      <c r="P277" s="36">
        <f t="shared" si="134"/>
        <v>44</v>
      </c>
      <c r="Q277" s="17">
        <f t="shared" si="135"/>
        <v>70</v>
      </c>
      <c r="R277" s="81">
        <v>44456</v>
      </c>
    </row>
    <row r="278" spans="1:19" x14ac:dyDescent="0.15">
      <c r="A278" s="35" t="s">
        <v>56</v>
      </c>
      <c r="B278" s="15"/>
      <c r="C278" s="16"/>
      <c r="D278" s="36">
        <f t="shared" si="136"/>
        <v>0</v>
      </c>
      <c r="E278" s="18">
        <v>2</v>
      </c>
      <c r="F278" s="16"/>
      <c r="G278" s="36">
        <f t="shared" si="131"/>
        <v>2</v>
      </c>
      <c r="H278" s="17">
        <f t="shared" si="132"/>
        <v>2</v>
      </c>
      <c r="I278" s="84">
        <v>44446</v>
      </c>
      <c r="J278" s="10" t="s">
        <v>30</v>
      </c>
      <c r="K278" s="15"/>
      <c r="L278" s="16"/>
      <c r="M278" s="36">
        <f t="shared" si="133"/>
        <v>0</v>
      </c>
      <c r="N278" s="18">
        <v>10</v>
      </c>
      <c r="O278" s="16"/>
      <c r="P278" s="36">
        <f t="shared" si="134"/>
        <v>10</v>
      </c>
      <c r="Q278" s="17">
        <f t="shared" si="135"/>
        <v>10</v>
      </c>
      <c r="R278" s="81">
        <v>44461</v>
      </c>
    </row>
    <row r="279" spans="1:19" x14ac:dyDescent="0.15">
      <c r="A279" s="35" t="s">
        <v>56</v>
      </c>
      <c r="B279" s="15"/>
      <c r="C279" s="16">
        <f>1+2</f>
        <v>3</v>
      </c>
      <c r="D279" s="36">
        <f t="shared" si="136"/>
        <v>3</v>
      </c>
      <c r="E279" s="18"/>
      <c r="F279" s="16"/>
      <c r="G279" s="36">
        <f t="shared" si="131"/>
        <v>0</v>
      </c>
      <c r="H279" s="17">
        <f t="shared" si="132"/>
        <v>3</v>
      </c>
      <c r="I279" s="84">
        <v>44447</v>
      </c>
      <c r="J279" s="52" t="s">
        <v>114</v>
      </c>
      <c r="K279" s="15"/>
      <c r="L279" s="16"/>
      <c r="M279" s="36">
        <f t="shared" si="133"/>
        <v>0</v>
      </c>
      <c r="N279" s="18">
        <v>5</v>
      </c>
      <c r="O279" s="16"/>
      <c r="P279" s="36">
        <f t="shared" si="134"/>
        <v>5</v>
      </c>
      <c r="Q279" s="17">
        <f t="shared" si="135"/>
        <v>5</v>
      </c>
      <c r="R279" s="81">
        <v>44467</v>
      </c>
    </row>
    <row r="280" spans="1:19" x14ac:dyDescent="0.15">
      <c r="A280" s="35" t="s">
        <v>56</v>
      </c>
      <c r="B280" s="15"/>
      <c r="C280" s="16"/>
      <c r="D280" s="36">
        <f t="shared" si="136"/>
        <v>0</v>
      </c>
      <c r="E280" s="18">
        <v>1</v>
      </c>
      <c r="F280" s="16"/>
      <c r="G280" s="36">
        <f t="shared" si="131"/>
        <v>1</v>
      </c>
      <c r="H280" s="17">
        <f t="shared" si="132"/>
        <v>1</v>
      </c>
      <c r="I280" s="84">
        <v>44449</v>
      </c>
      <c r="J280" s="10" t="s">
        <v>44</v>
      </c>
      <c r="K280" s="19"/>
      <c r="L280" s="20"/>
      <c r="M280" s="17">
        <f t="shared" si="133"/>
        <v>0</v>
      </c>
      <c r="N280" s="21">
        <v>16</v>
      </c>
      <c r="O280" s="20"/>
      <c r="P280" s="17">
        <f t="shared" si="134"/>
        <v>16</v>
      </c>
      <c r="Q280" s="17">
        <f t="shared" si="135"/>
        <v>16</v>
      </c>
      <c r="R280" s="81">
        <v>44469</v>
      </c>
    </row>
    <row r="281" spans="1:19" x14ac:dyDescent="0.15">
      <c r="A281" s="35" t="s">
        <v>56</v>
      </c>
      <c r="B281" s="23"/>
      <c r="C281" s="24"/>
      <c r="D281" s="36">
        <f t="shared" si="136"/>
        <v>0</v>
      </c>
      <c r="E281" s="25">
        <f>1+2+2</f>
        <v>5</v>
      </c>
      <c r="F281" s="24"/>
      <c r="G281" s="36">
        <f t="shared" si="131"/>
        <v>5</v>
      </c>
      <c r="H281" s="17">
        <f t="shared" si="132"/>
        <v>5</v>
      </c>
      <c r="I281" s="84">
        <v>44452</v>
      </c>
      <c r="J281" s="35" t="s">
        <v>117</v>
      </c>
      <c r="K281" s="23">
        <v>21</v>
      </c>
      <c r="L281" s="24">
        <v>21</v>
      </c>
      <c r="M281" s="36">
        <f t="shared" si="133"/>
        <v>42</v>
      </c>
      <c r="N281" s="25">
        <v>21</v>
      </c>
      <c r="O281" s="24">
        <v>21</v>
      </c>
      <c r="P281" s="36">
        <f t="shared" si="134"/>
        <v>42</v>
      </c>
      <c r="Q281" s="17">
        <f t="shared" si="135"/>
        <v>84</v>
      </c>
      <c r="R281" s="81">
        <v>44468</v>
      </c>
      <c r="S281" s="22"/>
    </row>
    <row r="282" spans="1:19" x14ac:dyDescent="0.15">
      <c r="A282" s="35" t="s">
        <v>56</v>
      </c>
      <c r="B282" s="15"/>
      <c r="C282" s="16"/>
      <c r="D282" s="36">
        <f t="shared" si="136"/>
        <v>0</v>
      </c>
      <c r="E282" s="18"/>
      <c r="F282" s="16">
        <v>2</v>
      </c>
      <c r="G282" s="36">
        <f t="shared" si="131"/>
        <v>2</v>
      </c>
      <c r="H282" s="17">
        <f t="shared" si="132"/>
        <v>2</v>
      </c>
      <c r="I282" s="84">
        <v>44455</v>
      </c>
      <c r="J282" s="10" t="s">
        <v>54</v>
      </c>
      <c r="K282" s="15">
        <v>26</v>
      </c>
      <c r="L282" s="16"/>
      <c r="M282" s="36">
        <f t="shared" si="133"/>
        <v>26</v>
      </c>
      <c r="N282" s="18">
        <v>34</v>
      </c>
      <c r="O282" s="16">
        <v>65</v>
      </c>
      <c r="P282" s="36">
        <f t="shared" si="134"/>
        <v>99</v>
      </c>
      <c r="Q282" s="17">
        <f t="shared" si="135"/>
        <v>125</v>
      </c>
      <c r="R282" s="81">
        <v>44480</v>
      </c>
      <c r="S282" s="22"/>
    </row>
    <row r="283" spans="1:19" x14ac:dyDescent="0.15">
      <c r="A283" s="35" t="s">
        <v>56</v>
      </c>
      <c r="B283" s="15"/>
      <c r="C283" s="16"/>
      <c r="D283" s="36">
        <f t="shared" si="136"/>
        <v>0</v>
      </c>
      <c r="E283" s="18">
        <v>2</v>
      </c>
      <c r="F283" s="16"/>
      <c r="G283" s="36">
        <f t="shared" si="131"/>
        <v>2</v>
      </c>
      <c r="H283" s="17">
        <f t="shared" si="132"/>
        <v>2</v>
      </c>
      <c r="I283" s="84">
        <v>44457</v>
      </c>
      <c r="J283" s="10" t="s">
        <v>30</v>
      </c>
      <c r="K283" s="15"/>
      <c r="L283" s="16"/>
      <c r="M283" s="17">
        <f t="shared" ref="M283" si="137">SUM(K283:L283)</f>
        <v>0</v>
      </c>
      <c r="N283" s="18">
        <v>10</v>
      </c>
      <c r="O283" s="16">
        <v>10</v>
      </c>
      <c r="P283" s="17">
        <f t="shared" si="134"/>
        <v>20</v>
      </c>
      <c r="Q283" s="17">
        <f t="shared" si="135"/>
        <v>20</v>
      </c>
      <c r="R283" s="81">
        <v>44475</v>
      </c>
      <c r="S283" s="22"/>
    </row>
    <row r="284" spans="1:19" x14ac:dyDescent="0.15">
      <c r="A284" s="35" t="s">
        <v>56</v>
      </c>
      <c r="B284" s="15">
        <v>1</v>
      </c>
      <c r="C284" s="16"/>
      <c r="D284" s="36">
        <f t="shared" si="136"/>
        <v>1</v>
      </c>
      <c r="E284" s="18"/>
      <c r="F284" s="16">
        <v>2</v>
      </c>
      <c r="G284" s="36">
        <f t="shared" si="131"/>
        <v>2</v>
      </c>
      <c r="H284" s="17">
        <f t="shared" si="132"/>
        <v>3</v>
      </c>
      <c r="I284" s="84">
        <v>44460</v>
      </c>
      <c r="J284" s="35" t="s">
        <v>118</v>
      </c>
      <c r="K284" s="15">
        <v>48</v>
      </c>
      <c r="L284" s="16">
        <v>48</v>
      </c>
      <c r="M284" s="36">
        <f t="shared" si="133"/>
        <v>96</v>
      </c>
      <c r="N284" s="18">
        <v>32</v>
      </c>
      <c r="O284" s="16">
        <v>32</v>
      </c>
      <c r="P284" s="36">
        <f t="shared" si="134"/>
        <v>64</v>
      </c>
      <c r="Q284" s="17">
        <f t="shared" si="135"/>
        <v>160</v>
      </c>
      <c r="R284" s="81">
        <v>44488</v>
      </c>
      <c r="S284" s="22"/>
    </row>
    <row r="285" spans="1:19" x14ac:dyDescent="0.15">
      <c r="A285" s="35" t="s">
        <v>56</v>
      </c>
      <c r="B285" s="15"/>
      <c r="C285" s="16"/>
      <c r="D285" s="17">
        <f t="shared" si="136"/>
        <v>0</v>
      </c>
      <c r="E285" s="18">
        <v>1</v>
      </c>
      <c r="F285" s="16"/>
      <c r="G285" s="17">
        <f t="shared" si="131"/>
        <v>1</v>
      </c>
      <c r="H285" s="17">
        <f t="shared" si="132"/>
        <v>1</v>
      </c>
      <c r="I285" s="84">
        <v>44461</v>
      </c>
      <c r="J285" s="10" t="s">
        <v>121</v>
      </c>
      <c r="K285" s="15"/>
      <c r="L285" s="16">
        <v>5</v>
      </c>
      <c r="M285" s="17">
        <f t="shared" si="133"/>
        <v>5</v>
      </c>
      <c r="N285" s="18"/>
      <c r="O285" s="16"/>
      <c r="P285" s="17">
        <f t="shared" si="134"/>
        <v>0</v>
      </c>
      <c r="Q285" s="17">
        <f t="shared" si="135"/>
        <v>5</v>
      </c>
      <c r="R285" s="81">
        <v>44485</v>
      </c>
    </row>
    <row r="286" spans="1:19" x14ac:dyDescent="0.15">
      <c r="A286" s="35" t="s">
        <v>56</v>
      </c>
      <c r="B286" s="15"/>
      <c r="C286" s="16"/>
      <c r="D286" s="36">
        <f t="shared" si="136"/>
        <v>0</v>
      </c>
      <c r="E286" s="18"/>
      <c r="F286" s="16">
        <v>1</v>
      </c>
      <c r="G286" s="36">
        <f t="shared" si="131"/>
        <v>1</v>
      </c>
      <c r="H286" s="17">
        <f t="shared" si="132"/>
        <v>1</v>
      </c>
      <c r="I286" s="84">
        <v>44466</v>
      </c>
      <c r="J286" s="35"/>
      <c r="K286" s="15"/>
      <c r="L286" s="16"/>
      <c r="M286" s="36">
        <f t="shared" si="133"/>
        <v>0</v>
      </c>
      <c r="N286" s="18"/>
      <c r="O286" s="16"/>
      <c r="P286" s="36">
        <f t="shared" si="134"/>
        <v>0</v>
      </c>
      <c r="Q286" s="17">
        <f t="shared" si="135"/>
        <v>0</v>
      </c>
    </row>
    <row r="287" spans="1:19" x14ac:dyDescent="0.15">
      <c r="A287" s="35" t="s">
        <v>56</v>
      </c>
      <c r="B287" s="15"/>
      <c r="C287" s="16"/>
      <c r="D287" s="36">
        <f t="shared" si="136"/>
        <v>0</v>
      </c>
      <c r="E287" s="18">
        <v>2</v>
      </c>
      <c r="F287" s="16">
        <v>1</v>
      </c>
      <c r="G287" s="36">
        <f t="shared" si="131"/>
        <v>3</v>
      </c>
      <c r="H287" s="17">
        <f t="shared" si="132"/>
        <v>3</v>
      </c>
      <c r="I287" s="84">
        <v>44467</v>
      </c>
      <c r="J287" s="37"/>
      <c r="K287" s="15"/>
      <c r="L287" s="16"/>
      <c r="M287" s="36">
        <f t="shared" si="133"/>
        <v>0</v>
      </c>
      <c r="N287" s="18"/>
      <c r="O287" s="16"/>
      <c r="P287" s="36">
        <f t="shared" si="134"/>
        <v>0</v>
      </c>
      <c r="Q287" s="17">
        <f t="shared" si="135"/>
        <v>0</v>
      </c>
    </row>
    <row r="288" spans="1:19" x14ac:dyDescent="0.15">
      <c r="A288" s="35" t="s">
        <v>56</v>
      </c>
      <c r="B288" s="15"/>
      <c r="C288" s="16"/>
      <c r="D288" s="36">
        <f t="shared" si="136"/>
        <v>0</v>
      </c>
      <c r="E288" s="18"/>
      <c r="F288" s="16">
        <v>2</v>
      </c>
      <c r="G288" s="36">
        <f t="shared" si="131"/>
        <v>2</v>
      </c>
      <c r="H288" s="17">
        <f t="shared" si="132"/>
        <v>2</v>
      </c>
      <c r="I288" s="84">
        <v>44468</v>
      </c>
      <c r="J288" s="37"/>
      <c r="K288" s="15"/>
      <c r="L288" s="16"/>
      <c r="M288" s="36">
        <f t="shared" si="133"/>
        <v>0</v>
      </c>
      <c r="N288" s="18"/>
      <c r="O288" s="16"/>
      <c r="P288" s="36">
        <f t="shared" si="134"/>
        <v>0</v>
      </c>
      <c r="Q288" s="17">
        <f t="shared" si="135"/>
        <v>0</v>
      </c>
    </row>
    <row r="289" spans="1:18" x14ac:dyDescent="0.15">
      <c r="A289" s="35" t="s">
        <v>56</v>
      </c>
      <c r="B289" s="15">
        <v>1</v>
      </c>
      <c r="C289" s="16">
        <v>1</v>
      </c>
      <c r="D289" s="36">
        <f t="shared" si="136"/>
        <v>2</v>
      </c>
      <c r="E289" s="18">
        <f>1+2</f>
        <v>3</v>
      </c>
      <c r="F289" s="16">
        <v>1</v>
      </c>
      <c r="G289" s="36">
        <f t="shared" si="131"/>
        <v>4</v>
      </c>
      <c r="H289" s="17">
        <f t="shared" si="132"/>
        <v>6</v>
      </c>
      <c r="I289" s="84">
        <v>44473</v>
      </c>
      <c r="J289" s="35"/>
      <c r="K289" s="15"/>
      <c r="L289" s="16"/>
      <c r="M289" s="36">
        <f t="shared" si="133"/>
        <v>0</v>
      </c>
      <c r="N289" s="18"/>
      <c r="O289" s="16"/>
      <c r="P289" s="36">
        <f t="shared" si="134"/>
        <v>0</v>
      </c>
      <c r="Q289" s="17">
        <f t="shared" si="135"/>
        <v>0</v>
      </c>
    </row>
    <row r="290" spans="1:18" x14ac:dyDescent="0.15">
      <c r="A290" s="35" t="s">
        <v>56</v>
      </c>
      <c r="B290" s="15"/>
      <c r="C290" s="16"/>
      <c r="D290" s="36">
        <f t="shared" si="136"/>
        <v>0</v>
      </c>
      <c r="E290" s="18"/>
      <c r="F290" s="16">
        <v>2</v>
      </c>
      <c r="G290" s="36">
        <f t="shared" si="131"/>
        <v>2</v>
      </c>
      <c r="H290" s="17">
        <f t="shared" si="132"/>
        <v>2</v>
      </c>
      <c r="I290" s="84">
        <v>44474</v>
      </c>
      <c r="J290" s="38"/>
      <c r="K290" s="15"/>
      <c r="L290" s="16"/>
      <c r="M290" s="36">
        <f t="shared" si="133"/>
        <v>0</v>
      </c>
      <c r="N290" s="18"/>
      <c r="O290" s="16"/>
      <c r="P290" s="36">
        <f t="shared" si="134"/>
        <v>0</v>
      </c>
      <c r="Q290" s="17">
        <f t="shared" si="135"/>
        <v>0</v>
      </c>
    </row>
    <row r="291" spans="1:18" x14ac:dyDescent="0.15">
      <c r="A291" s="35" t="s">
        <v>56</v>
      </c>
      <c r="B291" s="15">
        <v>2</v>
      </c>
      <c r="C291" s="16"/>
      <c r="D291" s="36">
        <f t="shared" si="136"/>
        <v>2</v>
      </c>
      <c r="E291" s="18"/>
      <c r="F291" s="16"/>
      <c r="G291" s="36">
        <f t="shared" si="131"/>
        <v>0</v>
      </c>
      <c r="H291" s="17">
        <f t="shared" si="132"/>
        <v>2</v>
      </c>
      <c r="I291" s="84">
        <v>44475</v>
      </c>
      <c r="J291" s="35"/>
      <c r="K291" s="15"/>
      <c r="L291" s="16"/>
      <c r="M291" s="36">
        <f t="shared" si="133"/>
        <v>0</v>
      </c>
      <c r="N291" s="18"/>
      <c r="O291" s="16"/>
      <c r="P291" s="36">
        <f t="shared" si="134"/>
        <v>0</v>
      </c>
      <c r="Q291" s="17">
        <f t="shared" si="135"/>
        <v>0</v>
      </c>
    </row>
    <row r="292" spans="1:18" x14ac:dyDescent="0.15">
      <c r="A292" s="35" t="s">
        <v>56</v>
      </c>
      <c r="B292" s="15"/>
      <c r="C292" s="16"/>
      <c r="D292" s="36">
        <f t="shared" si="136"/>
        <v>0</v>
      </c>
      <c r="E292" s="18">
        <f>1+1</f>
        <v>2</v>
      </c>
      <c r="F292" s="16">
        <v>1</v>
      </c>
      <c r="G292" s="36">
        <f t="shared" si="131"/>
        <v>3</v>
      </c>
      <c r="H292" s="17">
        <f t="shared" si="132"/>
        <v>3</v>
      </c>
      <c r="I292" s="81">
        <v>44480</v>
      </c>
      <c r="J292" s="38"/>
      <c r="K292" s="15"/>
      <c r="L292" s="16"/>
      <c r="M292" s="36">
        <f t="shared" si="133"/>
        <v>0</v>
      </c>
      <c r="N292" s="18"/>
      <c r="O292" s="16"/>
      <c r="P292" s="36">
        <f t="shared" si="134"/>
        <v>0</v>
      </c>
      <c r="Q292" s="17">
        <f t="shared" si="135"/>
        <v>0</v>
      </c>
    </row>
    <row r="293" spans="1:18" x14ac:dyDescent="0.15">
      <c r="A293" s="35" t="s">
        <v>119</v>
      </c>
      <c r="B293" s="15">
        <v>-2</v>
      </c>
      <c r="C293" s="16">
        <v>2</v>
      </c>
      <c r="D293" s="36">
        <f t="shared" si="136"/>
        <v>0</v>
      </c>
      <c r="E293" s="18"/>
      <c r="F293" s="16"/>
      <c r="G293" s="36">
        <f t="shared" si="131"/>
        <v>0</v>
      </c>
      <c r="H293" s="17">
        <f t="shared" si="132"/>
        <v>0</v>
      </c>
      <c r="I293" s="81">
        <v>44480</v>
      </c>
      <c r="J293" s="35"/>
      <c r="K293" s="15"/>
      <c r="L293" s="16"/>
      <c r="M293" s="36">
        <f t="shared" si="133"/>
        <v>0</v>
      </c>
      <c r="N293" s="18"/>
      <c r="O293" s="16"/>
      <c r="P293" s="36">
        <f t="shared" si="134"/>
        <v>0</v>
      </c>
      <c r="Q293" s="17">
        <f t="shared" si="135"/>
        <v>0</v>
      </c>
    </row>
    <row r="294" spans="1:18" x14ac:dyDescent="0.15">
      <c r="A294" s="35" t="s">
        <v>56</v>
      </c>
      <c r="B294" s="15">
        <v>1</v>
      </c>
      <c r="C294" s="16"/>
      <c r="D294" s="17">
        <f>SUM(B294:C294)</f>
        <v>1</v>
      </c>
      <c r="E294" s="18"/>
      <c r="F294" s="16"/>
      <c r="G294" s="17">
        <f t="shared" si="131"/>
        <v>0</v>
      </c>
      <c r="H294" s="17">
        <f t="shared" si="132"/>
        <v>1</v>
      </c>
      <c r="I294" s="81">
        <v>44481</v>
      </c>
      <c r="J294" s="52"/>
      <c r="K294" s="15"/>
      <c r="L294" s="16"/>
      <c r="M294" s="17">
        <f>SUM(K294:L294)</f>
        <v>0</v>
      </c>
      <c r="N294" s="18"/>
      <c r="O294" s="16"/>
      <c r="P294" s="17">
        <f t="shared" si="134"/>
        <v>0</v>
      </c>
      <c r="Q294" s="17">
        <f t="shared" si="135"/>
        <v>0</v>
      </c>
    </row>
    <row r="295" spans="1:18" x14ac:dyDescent="0.15">
      <c r="A295" s="52" t="s">
        <v>120</v>
      </c>
      <c r="B295" s="15"/>
      <c r="C295" s="16">
        <v>5</v>
      </c>
      <c r="D295" s="36">
        <f t="shared" ref="D295" si="138">SUM(B295:C295)</f>
        <v>5</v>
      </c>
      <c r="E295" s="18"/>
      <c r="F295" s="16"/>
      <c r="G295" s="36">
        <f t="shared" si="131"/>
        <v>0</v>
      </c>
      <c r="H295" s="17">
        <f t="shared" si="132"/>
        <v>5</v>
      </c>
      <c r="I295" s="81">
        <v>44487</v>
      </c>
      <c r="J295" s="35"/>
      <c r="K295" s="15"/>
      <c r="L295" s="16"/>
      <c r="M295" s="36">
        <f t="shared" ref="M295:M299" si="139">SUM(K295:L295)</f>
        <v>0</v>
      </c>
      <c r="N295" s="18"/>
      <c r="O295" s="16"/>
      <c r="P295" s="36">
        <f t="shared" si="134"/>
        <v>0</v>
      </c>
      <c r="Q295" s="17">
        <f t="shared" si="135"/>
        <v>0</v>
      </c>
      <c r="R295" s="83"/>
    </row>
    <row r="296" spans="1:18" x14ac:dyDescent="0.15">
      <c r="A296" s="35" t="s">
        <v>122</v>
      </c>
      <c r="B296" s="15"/>
      <c r="C296" s="16">
        <v>-5</v>
      </c>
      <c r="D296" s="17">
        <f>SUM(B296:C296)</f>
        <v>-5</v>
      </c>
      <c r="E296" s="18"/>
      <c r="F296" s="16"/>
      <c r="G296" s="17">
        <f t="shared" si="131"/>
        <v>0</v>
      </c>
      <c r="H296" s="17">
        <f t="shared" si="132"/>
        <v>-5</v>
      </c>
      <c r="I296" s="81">
        <v>44485</v>
      </c>
      <c r="J296" s="35"/>
      <c r="K296" s="15"/>
      <c r="L296" s="18"/>
      <c r="M296" s="36">
        <f t="shared" si="139"/>
        <v>0</v>
      </c>
      <c r="N296" s="15"/>
      <c r="O296" s="18"/>
      <c r="P296" s="36">
        <f t="shared" si="134"/>
        <v>0</v>
      </c>
      <c r="Q296" s="17">
        <f t="shared" si="135"/>
        <v>0</v>
      </c>
      <c r="R296" s="83"/>
    </row>
    <row r="297" spans="1:18" ht="14.25" thickBot="1" x14ac:dyDescent="0.2">
      <c r="A297" s="35" t="s">
        <v>56</v>
      </c>
      <c r="B297" s="15">
        <v>2</v>
      </c>
      <c r="C297" s="16">
        <v>2</v>
      </c>
      <c r="D297" s="36">
        <f t="shared" ref="D297:D299" si="140">SUM(B297:C297)</f>
        <v>4</v>
      </c>
      <c r="E297" s="18"/>
      <c r="F297" s="16"/>
      <c r="G297" s="36">
        <f t="shared" si="131"/>
        <v>0</v>
      </c>
      <c r="H297" s="17">
        <f t="shared" si="132"/>
        <v>4</v>
      </c>
      <c r="I297" s="81">
        <v>44484</v>
      </c>
      <c r="J297" s="35" t="s">
        <v>100</v>
      </c>
      <c r="K297" s="15"/>
      <c r="L297" s="18"/>
      <c r="M297" s="36">
        <f t="shared" ref="M297" si="141">SUM(K297:L297)</f>
        <v>0</v>
      </c>
      <c r="N297" s="15"/>
      <c r="O297" s="18"/>
      <c r="P297" s="36">
        <f t="shared" ref="P297" si="142">SUM(N297:O297)</f>
        <v>0</v>
      </c>
      <c r="Q297" s="17">
        <f t="shared" ref="Q297" si="143">M297+P297</f>
        <v>0</v>
      </c>
      <c r="R297" s="83" t="s">
        <v>101</v>
      </c>
    </row>
    <row r="298" spans="1:18" ht="14.25" thickBot="1" x14ac:dyDescent="0.2">
      <c r="A298" s="40" t="s">
        <v>14</v>
      </c>
      <c r="B298" s="41">
        <f>SUM(B272:B297)</f>
        <v>10</v>
      </c>
      <c r="C298" s="42">
        <f t="shared" ref="C298" si="144">SUM(C272:C297)</f>
        <v>10</v>
      </c>
      <c r="D298" s="43">
        <f t="shared" si="140"/>
        <v>20</v>
      </c>
      <c r="E298" s="41">
        <f>SUM(E272:E297)</f>
        <v>27</v>
      </c>
      <c r="F298" s="42">
        <f t="shared" ref="F298" si="145">SUM(F272:F297)</f>
        <v>14</v>
      </c>
      <c r="G298" s="43">
        <f t="shared" si="131"/>
        <v>41</v>
      </c>
      <c r="H298" s="43">
        <f t="shared" si="132"/>
        <v>61</v>
      </c>
      <c r="J298" s="40" t="s">
        <v>14</v>
      </c>
      <c r="K298" s="41">
        <f>SUM(K272:K297)</f>
        <v>128</v>
      </c>
      <c r="L298" s="42">
        <f t="shared" ref="L298" si="146">SUM(L272:L297)</f>
        <v>102</v>
      </c>
      <c r="M298" s="43">
        <f t="shared" si="139"/>
        <v>230</v>
      </c>
      <c r="N298" s="41">
        <f>SUM(N272:N297)</f>
        <v>162</v>
      </c>
      <c r="O298" s="42">
        <f t="shared" ref="O298" si="147">SUM(O272:O297)</f>
        <v>179</v>
      </c>
      <c r="P298" s="43">
        <f t="shared" si="134"/>
        <v>341</v>
      </c>
      <c r="Q298" s="43">
        <f t="shared" si="135"/>
        <v>571</v>
      </c>
    </row>
    <row r="299" spans="1:18" ht="14.25" thickBot="1" x14ac:dyDescent="0.2">
      <c r="A299" s="44" t="s">
        <v>15</v>
      </c>
      <c r="B299" s="45">
        <f>B271-B298</f>
        <v>11</v>
      </c>
      <c r="C299" s="46">
        <f t="shared" ref="C299" si="148">C271-C298</f>
        <v>11</v>
      </c>
      <c r="D299" s="47">
        <f t="shared" si="140"/>
        <v>22</v>
      </c>
      <c r="E299" s="45">
        <f>E271-E298</f>
        <v>16</v>
      </c>
      <c r="F299" s="46">
        <f t="shared" ref="F299" si="149">F271-F298</f>
        <v>13</v>
      </c>
      <c r="G299" s="47">
        <f t="shared" si="131"/>
        <v>29</v>
      </c>
      <c r="H299" s="34">
        <f t="shared" si="132"/>
        <v>51</v>
      </c>
      <c r="J299" s="44" t="s">
        <v>15</v>
      </c>
      <c r="K299" s="45">
        <f>K271-K298</f>
        <v>520</v>
      </c>
      <c r="L299" s="46">
        <f t="shared" ref="L299" si="150">L271-L298</f>
        <v>639</v>
      </c>
      <c r="M299" s="47">
        <f t="shared" si="139"/>
        <v>1159</v>
      </c>
      <c r="N299" s="45">
        <f>N271-N298</f>
        <v>273</v>
      </c>
      <c r="O299" s="46">
        <f t="shared" ref="O299" si="151">O271-O298</f>
        <v>423</v>
      </c>
      <c r="P299" s="47">
        <f t="shared" si="134"/>
        <v>696</v>
      </c>
      <c r="Q299" s="34">
        <f t="shared" si="135"/>
        <v>1855</v>
      </c>
    </row>
    <row r="302" spans="1:18" ht="19.5" thickBot="1" x14ac:dyDescent="0.25">
      <c r="A302" s="1" t="s">
        <v>23</v>
      </c>
      <c r="J302" s="1" t="s">
        <v>24</v>
      </c>
      <c r="K302" s="2"/>
      <c r="L302" s="2"/>
      <c r="M302" s="2"/>
      <c r="N302" s="2"/>
      <c r="O302" s="1" t="s">
        <v>34</v>
      </c>
      <c r="P302" s="2"/>
      <c r="Q302" s="2"/>
    </row>
    <row r="303" spans="1:18" ht="14.25" thickBot="1" x14ac:dyDescent="0.2">
      <c r="A303" s="3" t="s">
        <v>0</v>
      </c>
      <c r="B303" s="125" t="s">
        <v>18</v>
      </c>
      <c r="C303" s="126"/>
      <c r="D303" s="127"/>
      <c r="E303" s="125" t="s">
        <v>19</v>
      </c>
      <c r="F303" s="126"/>
      <c r="G303" s="128"/>
      <c r="H303" s="129" t="s">
        <v>1</v>
      </c>
      <c r="J303" s="3" t="s">
        <v>0</v>
      </c>
      <c r="K303" s="125" t="s">
        <v>18</v>
      </c>
      <c r="L303" s="126"/>
      <c r="M303" s="127"/>
      <c r="N303" s="125" t="s">
        <v>19</v>
      </c>
      <c r="O303" s="126"/>
      <c r="P303" s="128"/>
      <c r="Q303" s="129" t="s">
        <v>1</v>
      </c>
    </row>
    <row r="304" spans="1:18" ht="14.25" thickBot="1" x14ac:dyDescent="0.2">
      <c r="A304" s="3" t="s">
        <v>2</v>
      </c>
      <c r="B304" s="4" t="s">
        <v>16</v>
      </c>
      <c r="C304" s="5" t="s">
        <v>17</v>
      </c>
      <c r="D304" s="3" t="s">
        <v>3</v>
      </c>
      <c r="E304" s="4" t="s">
        <v>16</v>
      </c>
      <c r="F304" s="5" t="s">
        <v>17</v>
      </c>
      <c r="G304" s="3" t="s">
        <v>3</v>
      </c>
      <c r="H304" s="130"/>
      <c r="J304" s="3" t="s">
        <v>2</v>
      </c>
      <c r="K304" s="4" t="s">
        <v>16</v>
      </c>
      <c r="L304" s="5" t="s">
        <v>17</v>
      </c>
      <c r="M304" s="3" t="s">
        <v>3</v>
      </c>
      <c r="N304" s="4" t="s">
        <v>16</v>
      </c>
      <c r="O304" s="5" t="s">
        <v>17</v>
      </c>
      <c r="P304" s="3" t="s">
        <v>3</v>
      </c>
      <c r="Q304" s="130"/>
    </row>
    <row r="305" spans="1:19" ht="14.25" thickBot="1" x14ac:dyDescent="0.2">
      <c r="A305" s="6" t="s">
        <v>55</v>
      </c>
      <c r="B305" s="32">
        <f>B299</f>
        <v>11</v>
      </c>
      <c r="C305" s="33">
        <f>C299</f>
        <v>11</v>
      </c>
      <c r="D305" s="34">
        <f t="shared" ref="D305:D317" si="152">SUM(B305:C305)</f>
        <v>22</v>
      </c>
      <c r="E305" s="32">
        <f>E299</f>
        <v>16</v>
      </c>
      <c r="F305" s="33">
        <f>F299</f>
        <v>13</v>
      </c>
      <c r="G305" s="34">
        <f t="shared" ref="G305:G342" si="153">SUM(E305:F305)</f>
        <v>29</v>
      </c>
      <c r="H305" s="34">
        <f t="shared" ref="H305:H342" si="154">D305+G305</f>
        <v>51</v>
      </c>
      <c r="J305" s="6" t="s">
        <v>55</v>
      </c>
      <c r="K305" s="7">
        <f>K299</f>
        <v>520</v>
      </c>
      <c r="L305" s="8">
        <f>L299</f>
        <v>639</v>
      </c>
      <c r="M305" s="9">
        <f t="shared" ref="M305:M336" si="155">SUM(K305:L305)</f>
        <v>1159</v>
      </c>
      <c r="N305" s="7">
        <f>N299</f>
        <v>273</v>
      </c>
      <c r="O305" s="8">
        <f>O299</f>
        <v>423</v>
      </c>
      <c r="P305" s="9">
        <f t="shared" ref="P305:P342" si="156">SUM(N305:O305)</f>
        <v>696</v>
      </c>
      <c r="Q305" s="9">
        <f t="shared" ref="Q305:Q342" si="157">M305+P305</f>
        <v>1855</v>
      </c>
    </row>
    <row r="306" spans="1:19" x14ac:dyDescent="0.15">
      <c r="A306" s="10" t="s">
        <v>5</v>
      </c>
      <c r="B306" s="64">
        <v>10</v>
      </c>
      <c r="C306" s="65">
        <v>10</v>
      </c>
      <c r="D306" s="36">
        <f t="shared" si="152"/>
        <v>20</v>
      </c>
      <c r="E306" s="66"/>
      <c r="F306" s="65"/>
      <c r="G306" s="36">
        <f t="shared" si="153"/>
        <v>0</v>
      </c>
      <c r="H306" s="36">
        <f t="shared" si="154"/>
        <v>20</v>
      </c>
      <c r="I306" s="81">
        <v>44490</v>
      </c>
      <c r="J306" s="10" t="s">
        <v>5</v>
      </c>
      <c r="K306" s="11"/>
      <c r="L306" s="12"/>
      <c r="M306" s="13">
        <f t="shared" si="155"/>
        <v>0</v>
      </c>
      <c r="N306" s="62"/>
      <c r="O306" s="12"/>
      <c r="P306" s="13">
        <f t="shared" si="156"/>
        <v>0</v>
      </c>
      <c r="Q306" s="13">
        <f t="shared" si="157"/>
        <v>0</v>
      </c>
    </row>
    <row r="307" spans="1:19" x14ac:dyDescent="0.15">
      <c r="A307" s="10" t="s">
        <v>6</v>
      </c>
      <c r="B307" s="15"/>
      <c r="C307" s="16"/>
      <c r="D307" s="17">
        <f t="shared" si="152"/>
        <v>0</v>
      </c>
      <c r="E307" s="18">
        <v>10</v>
      </c>
      <c r="F307" s="16">
        <v>10</v>
      </c>
      <c r="G307" s="17">
        <f t="shared" si="153"/>
        <v>20</v>
      </c>
      <c r="H307" s="17">
        <f t="shared" si="154"/>
        <v>20</v>
      </c>
      <c r="I307" s="81">
        <v>44499</v>
      </c>
      <c r="J307" s="10" t="s">
        <v>6</v>
      </c>
      <c r="K307" s="15"/>
      <c r="L307" s="16"/>
      <c r="M307" s="17">
        <f t="shared" si="155"/>
        <v>0</v>
      </c>
      <c r="N307" s="18"/>
      <c r="O307" s="16"/>
      <c r="P307" s="17">
        <f t="shared" si="156"/>
        <v>0</v>
      </c>
      <c r="Q307" s="17">
        <f t="shared" si="157"/>
        <v>0</v>
      </c>
      <c r="R307" s="83"/>
      <c r="S307" s="22"/>
    </row>
    <row r="308" spans="1:19" x14ac:dyDescent="0.15">
      <c r="A308" s="10" t="s">
        <v>7</v>
      </c>
      <c r="B308" s="19">
        <v>10</v>
      </c>
      <c r="C308" s="20"/>
      <c r="D308" s="17">
        <f t="shared" si="152"/>
        <v>10</v>
      </c>
      <c r="E308" s="21">
        <v>10</v>
      </c>
      <c r="F308" s="20"/>
      <c r="G308" s="17">
        <f t="shared" si="153"/>
        <v>10</v>
      </c>
      <c r="H308" s="17">
        <f t="shared" si="154"/>
        <v>20</v>
      </c>
      <c r="I308" s="81">
        <v>44511</v>
      </c>
      <c r="J308" s="10" t="s">
        <v>7</v>
      </c>
      <c r="K308" s="19"/>
      <c r="L308" s="20"/>
      <c r="M308" s="17">
        <f t="shared" si="155"/>
        <v>0</v>
      </c>
      <c r="N308" s="21"/>
      <c r="O308" s="20"/>
      <c r="P308" s="17">
        <f t="shared" si="156"/>
        <v>0</v>
      </c>
      <c r="Q308" s="17">
        <f t="shared" si="157"/>
        <v>0</v>
      </c>
      <c r="R308" s="83"/>
      <c r="S308" s="22"/>
    </row>
    <row r="309" spans="1:19" x14ac:dyDescent="0.15">
      <c r="A309" s="10" t="s">
        <v>8</v>
      </c>
      <c r="B309" s="15"/>
      <c r="C309" s="16"/>
      <c r="D309" s="17">
        <f t="shared" si="152"/>
        <v>0</v>
      </c>
      <c r="E309" s="18"/>
      <c r="F309" s="16">
        <v>10</v>
      </c>
      <c r="G309" s="17">
        <f t="shared" si="153"/>
        <v>10</v>
      </c>
      <c r="H309" s="17">
        <f t="shared" si="154"/>
        <v>10</v>
      </c>
      <c r="I309" s="81">
        <v>44525</v>
      </c>
      <c r="J309" s="10" t="s">
        <v>8</v>
      </c>
      <c r="K309" s="15"/>
      <c r="L309" s="16"/>
      <c r="M309" s="17">
        <f t="shared" si="155"/>
        <v>0</v>
      </c>
      <c r="N309" s="18"/>
      <c r="O309" s="16"/>
      <c r="P309" s="17">
        <f t="shared" si="156"/>
        <v>0</v>
      </c>
      <c r="Q309" s="17">
        <f t="shared" si="157"/>
        <v>0</v>
      </c>
      <c r="R309" s="83"/>
      <c r="S309" s="22"/>
    </row>
    <row r="310" spans="1:19" x14ac:dyDescent="0.15">
      <c r="A310" s="10" t="s">
        <v>9</v>
      </c>
      <c r="B310" s="15"/>
      <c r="C310" s="16"/>
      <c r="D310" s="17">
        <f t="shared" si="152"/>
        <v>0</v>
      </c>
      <c r="E310" s="18">
        <v>10</v>
      </c>
      <c r="F310" s="16"/>
      <c r="G310" s="17">
        <f t="shared" si="153"/>
        <v>10</v>
      </c>
      <c r="H310" s="17">
        <f t="shared" si="154"/>
        <v>10</v>
      </c>
      <c r="I310" s="81">
        <v>44526</v>
      </c>
      <c r="J310" s="10" t="s">
        <v>9</v>
      </c>
      <c r="K310" s="15"/>
      <c r="L310" s="16"/>
      <c r="M310" s="17">
        <f t="shared" si="155"/>
        <v>0</v>
      </c>
      <c r="N310" s="18"/>
      <c r="O310" s="16"/>
      <c r="P310" s="17">
        <f t="shared" si="156"/>
        <v>0</v>
      </c>
      <c r="Q310" s="17">
        <f t="shared" si="157"/>
        <v>0</v>
      </c>
      <c r="R310" s="83"/>
      <c r="S310" s="22"/>
    </row>
    <row r="311" spans="1:19" x14ac:dyDescent="0.15">
      <c r="A311" s="10" t="s">
        <v>10</v>
      </c>
      <c r="B311" s="15"/>
      <c r="C311" s="16"/>
      <c r="D311" s="17">
        <f t="shared" si="152"/>
        <v>0</v>
      </c>
      <c r="E311" s="18"/>
      <c r="F311" s="16"/>
      <c r="G311" s="17">
        <f t="shared" si="153"/>
        <v>0</v>
      </c>
      <c r="H311" s="17">
        <f t="shared" si="154"/>
        <v>0</v>
      </c>
      <c r="I311" s="81"/>
      <c r="J311" s="10" t="s">
        <v>10</v>
      </c>
      <c r="K311" s="15"/>
      <c r="L311" s="16"/>
      <c r="M311" s="17">
        <f t="shared" si="155"/>
        <v>0</v>
      </c>
      <c r="N311" s="18"/>
      <c r="O311" s="16"/>
      <c r="P311" s="17">
        <f t="shared" si="156"/>
        <v>0</v>
      </c>
      <c r="Q311" s="17">
        <f t="shared" si="157"/>
        <v>0</v>
      </c>
      <c r="R311" s="83"/>
      <c r="S311" s="22"/>
    </row>
    <row r="312" spans="1:19" x14ac:dyDescent="0.15">
      <c r="A312" s="10" t="s">
        <v>11</v>
      </c>
      <c r="B312" s="23"/>
      <c r="C312" s="24"/>
      <c r="D312" s="17">
        <f t="shared" si="152"/>
        <v>0</v>
      </c>
      <c r="E312" s="25"/>
      <c r="F312" s="24"/>
      <c r="G312" s="17">
        <f t="shared" si="153"/>
        <v>0</v>
      </c>
      <c r="H312" s="17">
        <f t="shared" si="154"/>
        <v>0</v>
      </c>
      <c r="I312" s="84"/>
      <c r="J312" s="10" t="s">
        <v>11</v>
      </c>
      <c r="K312" s="23"/>
      <c r="L312" s="24"/>
      <c r="M312" s="17">
        <f t="shared" si="155"/>
        <v>0</v>
      </c>
      <c r="N312" s="25"/>
      <c r="O312" s="24"/>
      <c r="P312" s="17">
        <f t="shared" si="156"/>
        <v>0</v>
      </c>
      <c r="Q312" s="17">
        <f t="shared" si="157"/>
        <v>0</v>
      </c>
      <c r="R312" s="83"/>
      <c r="S312" s="22"/>
    </row>
    <row r="313" spans="1:19" ht="14.25" thickBot="1" x14ac:dyDescent="0.2">
      <c r="A313" s="10" t="s">
        <v>12</v>
      </c>
      <c r="B313" s="26"/>
      <c r="C313" s="27"/>
      <c r="D313" s="28">
        <f t="shared" si="152"/>
        <v>0</v>
      </c>
      <c r="E313" s="29"/>
      <c r="F313" s="29"/>
      <c r="G313" s="28">
        <f t="shared" si="153"/>
        <v>0</v>
      </c>
      <c r="H313" s="30">
        <f t="shared" si="154"/>
        <v>0</v>
      </c>
      <c r="I313" s="81"/>
      <c r="J313" s="10" t="s">
        <v>12</v>
      </c>
      <c r="K313" s="26"/>
      <c r="L313" s="27"/>
      <c r="M313" s="28">
        <f t="shared" si="155"/>
        <v>0</v>
      </c>
      <c r="N313" s="29"/>
      <c r="O313" s="29"/>
      <c r="P313" s="28">
        <f t="shared" si="156"/>
        <v>0</v>
      </c>
      <c r="Q313" s="30">
        <f t="shared" si="157"/>
        <v>0</v>
      </c>
    </row>
    <row r="314" spans="1:19" ht="14.25" thickBot="1" x14ac:dyDescent="0.2">
      <c r="A314" s="31" t="s">
        <v>13</v>
      </c>
      <c r="B314" s="32">
        <f>SUM(B305:B313)</f>
        <v>31</v>
      </c>
      <c r="C314" s="33">
        <f>SUM(C305:C313)</f>
        <v>21</v>
      </c>
      <c r="D314" s="34">
        <f t="shared" si="152"/>
        <v>52</v>
      </c>
      <c r="E314" s="32">
        <f>SUM(E305:E313)</f>
        <v>46</v>
      </c>
      <c r="F314" s="33">
        <f>SUM(F305:F313)</f>
        <v>33</v>
      </c>
      <c r="G314" s="34">
        <f t="shared" si="153"/>
        <v>79</v>
      </c>
      <c r="H314" s="34">
        <f t="shared" si="154"/>
        <v>131</v>
      </c>
      <c r="J314" s="31" t="s">
        <v>13</v>
      </c>
      <c r="K314" s="32">
        <f>SUM(K305:K313)</f>
        <v>520</v>
      </c>
      <c r="L314" s="33">
        <f>SUM(L305:L313)</f>
        <v>639</v>
      </c>
      <c r="M314" s="34">
        <f t="shared" si="155"/>
        <v>1159</v>
      </c>
      <c r="N314" s="32">
        <f>SUM(N305:N313)</f>
        <v>273</v>
      </c>
      <c r="O314" s="33">
        <f>SUM(O305:O313)</f>
        <v>423</v>
      </c>
      <c r="P314" s="34">
        <f t="shared" si="156"/>
        <v>696</v>
      </c>
      <c r="Q314" s="34">
        <f t="shared" si="157"/>
        <v>1855</v>
      </c>
    </row>
    <row r="315" spans="1:19" x14ac:dyDescent="0.15">
      <c r="A315" s="35" t="s">
        <v>56</v>
      </c>
      <c r="B315" s="48">
        <v>2</v>
      </c>
      <c r="C315" s="49"/>
      <c r="D315" s="50">
        <f t="shared" si="152"/>
        <v>2</v>
      </c>
      <c r="E315" s="51">
        <v>1</v>
      </c>
      <c r="F315" s="49">
        <v>1</v>
      </c>
      <c r="G315" s="50">
        <f t="shared" si="153"/>
        <v>2</v>
      </c>
      <c r="H315" s="50">
        <f t="shared" si="154"/>
        <v>4</v>
      </c>
      <c r="I315" s="84">
        <v>44485</v>
      </c>
      <c r="J315" s="71" t="s">
        <v>65</v>
      </c>
      <c r="K315" s="64"/>
      <c r="L315" s="65">
        <v>21</v>
      </c>
      <c r="M315" s="39">
        <f t="shared" si="155"/>
        <v>21</v>
      </c>
      <c r="N315" s="66">
        <v>31</v>
      </c>
      <c r="O315" s="65"/>
      <c r="P315" s="39">
        <f t="shared" si="156"/>
        <v>31</v>
      </c>
      <c r="Q315" s="39">
        <f t="shared" si="157"/>
        <v>52</v>
      </c>
      <c r="R315" s="81">
        <v>44491</v>
      </c>
    </row>
    <row r="316" spans="1:19" x14ac:dyDescent="0.15">
      <c r="A316" s="35" t="s">
        <v>56</v>
      </c>
      <c r="B316" s="19"/>
      <c r="C316" s="20">
        <v>2</v>
      </c>
      <c r="D316" s="36">
        <f t="shared" si="152"/>
        <v>2</v>
      </c>
      <c r="E316" s="21">
        <v>2</v>
      </c>
      <c r="F316" s="20">
        <v>2</v>
      </c>
      <c r="G316" s="36">
        <f t="shared" si="153"/>
        <v>4</v>
      </c>
      <c r="H316" s="36">
        <f t="shared" si="154"/>
        <v>6</v>
      </c>
      <c r="I316" s="81">
        <v>44487</v>
      </c>
      <c r="J316" s="70" t="s">
        <v>91</v>
      </c>
      <c r="K316" s="15">
        <v>10</v>
      </c>
      <c r="L316" s="16">
        <v>10</v>
      </c>
      <c r="M316" s="17">
        <f t="shared" si="155"/>
        <v>20</v>
      </c>
      <c r="N316" s="18"/>
      <c r="O316" s="16"/>
      <c r="P316" s="17">
        <f t="shared" si="156"/>
        <v>0</v>
      </c>
      <c r="Q316" s="17">
        <f t="shared" si="157"/>
        <v>20</v>
      </c>
      <c r="R316" s="81">
        <v>44490</v>
      </c>
    </row>
    <row r="317" spans="1:19" x14ac:dyDescent="0.15">
      <c r="A317" s="35" t="s">
        <v>56</v>
      </c>
      <c r="B317" s="15"/>
      <c r="C317" s="16">
        <v>2</v>
      </c>
      <c r="D317" s="36">
        <f t="shared" si="152"/>
        <v>2</v>
      </c>
      <c r="E317" s="18">
        <v>1</v>
      </c>
      <c r="F317" s="16">
        <v>1</v>
      </c>
      <c r="G317" s="36">
        <f t="shared" si="153"/>
        <v>2</v>
      </c>
      <c r="H317" s="17">
        <f t="shared" si="154"/>
        <v>4</v>
      </c>
      <c r="I317" s="81">
        <v>44489</v>
      </c>
      <c r="J317" s="72" t="s">
        <v>68</v>
      </c>
      <c r="K317" s="19">
        <v>25</v>
      </c>
      <c r="L317" s="20"/>
      <c r="M317" s="36">
        <f t="shared" si="155"/>
        <v>25</v>
      </c>
      <c r="N317" s="21"/>
      <c r="O317" s="20"/>
      <c r="P317" s="36">
        <f t="shared" si="156"/>
        <v>0</v>
      </c>
      <c r="Q317" s="36">
        <f t="shared" si="157"/>
        <v>25</v>
      </c>
      <c r="R317" s="81">
        <v>44501</v>
      </c>
    </row>
    <row r="318" spans="1:19" x14ac:dyDescent="0.15">
      <c r="A318" s="35" t="s">
        <v>56</v>
      </c>
      <c r="B318" s="15">
        <v>1</v>
      </c>
      <c r="C318" s="16"/>
      <c r="D318" s="17">
        <f>SUM(B318:C318)</f>
        <v>1</v>
      </c>
      <c r="E318" s="18"/>
      <c r="F318" s="16"/>
      <c r="G318" s="17">
        <f t="shared" si="153"/>
        <v>0</v>
      </c>
      <c r="H318" s="17">
        <f t="shared" si="154"/>
        <v>1</v>
      </c>
      <c r="I318" s="81">
        <v>44490</v>
      </c>
      <c r="J318" s="70" t="s">
        <v>91</v>
      </c>
      <c r="K318" s="15"/>
      <c r="L318" s="16"/>
      <c r="M318" s="17">
        <f t="shared" si="155"/>
        <v>0</v>
      </c>
      <c r="N318" s="18">
        <v>10</v>
      </c>
      <c r="O318" s="16">
        <v>10</v>
      </c>
      <c r="P318" s="17">
        <f t="shared" si="156"/>
        <v>20</v>
      </c>
      <c r="Q318" s="17">
        <f t="shared" si="157"/>
        <v>20</v>
      </c>
      <c r="R318" s="81">
        <v>44499</v>
      </c>
    </row>
    <row r="319" spans="1:19" x14ac:dyDescent="0.15">
      <c r="A319" s="35" t="s">
        <v>56</v>
      </c>
      <c r="B319" s="15"/>
      <c r="C319" s="16"/>
      <c r="D319" s="36">
        <f t="shared" ref="D319:D336" si="158">SUM(B319:C319)</f>
        <v>0</v>
      </c>
      <c r="E319" s="18">
        <v>1</v>
      </c>
      <c r="F319" s="16"/>
      <c r="G319" s="36">
        <f t="shared" si="153"/>
        <v>1</v>
      </c>
      <c r="H319" s="17">
        <f t="shared" si="154"/>
        <v>1</v>
      </c>
      <c r="I319" s="84">
        <v>44494</v>
      </c>
      <c r="J319" s="70" t="s">
        <v>91</v>
      </c>
      <c r="K319" s="15">
        <v>10</v>
      </c>
      <c r="L319" s="16"/>
      <c r="M319" s="17">
        <f t="shared" si="155"/>
        <v>10</v>
      </c>
      <c r="N319" s="18">
        <v>10</v>
      </c>
      <c r="O319" s="16"/>
      <c r="P319" s="17">
        <f t="shared" si="156"/>
        <v>10</v>
      </c>
      <c r="Q319" s="17">
        <f t="shared" si="157"/>
        <v>20</v>
      </c>
      <c r="R319" s="81">
        <v>44511</v>
      </c>
    </row>
    <row r="320" spans="1:19" x14ac:dyDescent="0.15">
      <c r="A320" s="35" t="s">
        <v>56</v>
      </c>
      <c r="B320" s="15">
        <v>1</v>
      </c>
      <c r="C320" s="16"/>
      <c r="D320" s="36">
        <f t="shared" si="158"/>
        <v>1</v>
      </c>
      <c r="E320" s="18"/>
      <c r="F320" s="16"/>
      <c r="G320" s="36">
        <f t="shared" si="153"/>
        <v>0</v>
      </c>
      <c r="H320" s="17">
        <f t="shared" si="154"/>
        <v>1</v>
      </c>
      <c r="I320" s="84">
        <v>44495</v>
      </c>
      <c r="J320" s="72" t="s">
        <v>77</v>
      </c>
      <c r="K320" s="15">
        <v>23</v>
      </c>
      <c r="L320" s="16"/>
      <c r="M320" s="36">
        <f t="shared" si="155"/>
        <v>23</v>
      </c>
      <c r="N320" s="18"/>
      <c r="O320" s="16"/>
      <c r="P320" s="36">
        <f t="shared" si="156"/>
        <v>0</v>
      </c>
      <c r="Q320" s="17">
        <f t="shared" si="157"/>
        <v>23</v>
      </c>
      <c r="R320" s="81">
        <v>44522</v>
      </c>
    </row>
    <row r="321" spans="1:19" x14ac:dyDescent="0.15">
      <c r="A321" s="35" t="s">
        <v>56</v>
      </c>
      <c r="B321" s="15"/>
      <c r="C321" s="16">
        <v>2</v>
      </c>
      <c r="D321" s="36">
        <f t="shared" si="158"/>
        <v>2</v>
      </c>
      <c r="E321" s="18">
        <v>2</v>
      </c>
      <c r="F321" s="16"/>
      <c r="G321" s="36">
        <f t="shared" si="153"/>
        <v>2</v>
      </c>
      <c r="H321" s="17">
        <f t="shared" si="154"/>
        <v>4</v>
      </c>
      <c r="I321" s="84">
        <v>44497</v>
      </c>
      <c r="J321" s="10" t="s">
        <v>125</v>
      </c>
      <c r="K321" s="15">
        <v>3</v>
      </c>
      <c r="L321" s="16">
        <v>17</v>
      </c>
      <c r="M321" s="36">
        <f t="shared" si="155"/>
        <v>20</v>
      </c>
      <c r="N321" s="18">
        <v>21</v>
      </c>
      <c r="O321" s="16">
        <v>15</v>
      </c>
      <c r="P321" s="36">
        <f t="shared" si="156"/>
        <v>36</v>
      </c>
      <c r="Q321" s="17">
        <f t="shared" si="157"/>
        <v>56</v>
      </c>
      <c r="R321" s="81">
        <v>44520</v>
      </c>
    </row>
    <row r="322" spans="1:19" x14ac:dyDescent="0.15">
      <c r="A322" s="35" t="s">
        <v>56</v>
      </c>
      <c r="B322" s="15"/>
      <c r="C322" s="16"/>
      <c r="D322" s="36">
        <f t="shared" si="158"/>
        <v>0</v>
      </c>
      <c r="E322" s="18">
        <f>1+1</f>
        <v>2</v>
      </c>
      <c r="F322" s="16"/>
      <c r="G322" s="36">
        <f t="shared" si="153"/>
        <v>2</v>
      </c>
      <c r="H322" s="17">
        <f t="shared" si="154"/>
        <v>2</v>
      </c>
      <c r="I322" s="84">
        <v>44499</v>
      </c>
      <c r="J322" s="72" t="s">
        <v>82</v>
      </c>
      <c r="K322" s="15"/>
      <c r="L322" s="16"/>
      <c r="M322" s="36">
        <f t="shared" si="155"/>
        <v>0</v>
      </c>
      <c r="N322" s="18">
        <v>82</v>
      </c>
      <c r="O322" s="16">
        <v>68</v>
      </c>
      <c r="P322" s="36">
        <f t="shared" si="156"/>
        <v>150</v>
      </c>
      <c r="Q322" s="17">
        <f t="shared" si="157"/>
        <v>150</v>
      </c>
      <c r="R322" s="81">
        <v>44530</v>
      </c>
    </row>
    <row r="323" spans="1:19" x14ac:dyDescent="0.15">
      <c r="A323" s="35" t="s">
        <v>56</v>
      </c>
      <c r="B323" s="15">
        <f>1+1</f>
        <v>2</v>
      </c>
      <c r="C323" s="16"/>
      <c r="D323" s="36">
        <f t="shared" si="158"/>
        <v>2</v>
      </c>
      <c r="E323" s="18">
        <v>1</v>
      </c>
      <c r="F323" s="16">
        <v>2</v>
      </c>
      <c r="G323" s="36">
        <f t="shared" si="153"/>
        <v>3</v>
      </c>
      <c r="H323" s="17">
        <f t="shared" si="154"/>
        <v>5</v>
      </c>
      <c r="I323" s="84">
        <v>44501</v>
      </c>
      <c r="J323" s="10" t="s">
        <v>126</v>
      </c>
      <c r="K323" s="19">
        <v>20</v>
      </c>
      <c r="L323" s="20">
        <v>15</v>
      </c>
      <c r="M323" s="17">
        <f t="shared" si="155"/>
        <v>35</v>
      </c>
      <c r="N323" s="21">
        <v>28</v>
      </c>
      <c r="O323" s="20">
        <v>22</v>
      </c>
      <c r="P323" s="17">
        <f t="shared" si="156"/>
        <v>50</v>
      </c>
      <c r="Q323" s="17">
        <f t="shared" si="157"/>
        <v>85</v>
      </c>
      <c r="R323" s="81">
        <v>44526</v>
      </c>
    </row>
    <row r="324" spans="1:19" x14ac:dyDescent="0.15">
      <c r="A324" s="35" t="s">
        <v>56</v>
      </c>
      <c r="B324" s="23"/>
      <c r="C324" s="24"/>
      <c r="D324" s="36">
        <f t="shared" si="158"/>
        <v>0</v>
      </c>
      <c r="E324" s="25"/>
      <c r="F324" s="24">
        <v>1</v>
      </c>
      <c r="G324" s="36">
        <f t="shared" si="153"/>
        <v>1</v>
      </c>
      <c r="H324" s="17">
        <f t="shared" si="154"/>
        <v>1</v>
      </c>
      <c r="I324" s="84">
        <v>44504</v>
      </c>
      <c r="J324" s="73" t="s">
        <v>91</v>
      </c>
      <c r="K324" s="23"/>
      <c r="L324" s="24"/>
      <c r="M324" s="36">
        <f t="shared" si="155"/>
        <v>0</v>
      </c>
      <c r="N324" s="25"/>
      <c r="O324" s="24">
        <v>10</v>
      </c>
      <c r="P324" s="36">
        <f t="shared" si="156"/>
        <v>10</v>
      </c>
      <c r="Q324" s="17">
        <f t="shared" si="157"/>
        <v>10</v>
      </c>
      <c r="R324" s="81">
        <v>44525</v>
      </c>
    </row>
    <row r="325" spans="1:19" x14ac:dyDescent="0.15">
      <c r="A325" s="35" t="s">
        <v>56</v>
      </c>
      <c r="B325" s="15">
        <v>1</v>
      </c>
      <c r="C325" s="16">
        <v>2</v>
      </c>
      <c r="D325" s="36">
        <f t="shared" si="158"/>
        <v>3</v>
      </c>
      <c r="E325" s="18">
        <v>1</v>
      </c>
      <c r="F325" s="16"/>
      <c r="G325" s="36">
        <f t="shared" si="153"/>
        <v>1</v>
      </c>
      <c r="H325" s="17">
        <f t="shared" si="154"/>
        <v>4</v>
      </c>
      <c r="I325" s="84">
        <v>44505</v>
      </c>
      <c r="J325" s="73" t="s">
        <v>91</v>
      </c>
      <c r="K325" s="15"/>
      <c r="L325" s="16"/>
      <c r="M325" s="36">
        <f t="shared" si="155"/>
        <v>0</v>
      </c>
      <c r="N325" s="18">
        <v>10</v>
      </c>
      <c r="O325" s="16"/>
      <c r="P325" s="36">
        <f t="shared" si="156"/>
        <v>10</v>
      </c>
      <c r="Q325" s="17">
        <f t="shared" si="157"/>
        <v>10</v>
      </c>
      <c r="R325" s="81">
        <v>44526</v>
      </c>
    </row>
    <row r="326" spans="1:19" x14ac:dyDescent="0.15">
      <c r="A326" s="35" t="s">
        <v>56</v>
      </c>
      <c r="B326" s="15">
        <v>2</v>
      </c>
      <c r="C326" s="16"/>
      <c r="D326" s="36">
        <f t="shared" si="158"/>
        <v>2</v>
      </c>
      <c r="E326" s="18">
        <v>2</v>
      </c>
      <c r="F326" s="16"/>
      <c r="G326" s="36">
        <f t="shared" si="153"/>
        <v>2</v>
      </c>
      <c r="H326" s="17">
        <f t="shared" si="154"/>
        <v>4</v>
      </c>
      <c r="I326" s="84">
        <v>44506</v>
      </c>
      <c r="J326" s="72" t="s">
        <v>84</v>
      </c>
      <c r="K326" s="15"/>
      <c r="L326" s="16">
        <v>40</v>
      </c>
      <c r="M326" s="36">
        <f t="shared" si="155"/>
        <v>40</v>
      </c>
      <c r="N326" s="18"/>
      <c r="O326" s="16"/>
      <c r="P326" s="36">
        <f t="shared" si="156"/>
        <v>0</v>
      </c>
      <c r="Q326" s="17">
        <f t="shared" si="157"/>
        <v>40</v>
      </c>
      <c r="R326" s="81">
        <v>44537</v>
      </c>
    </row>
    <row r="327" spans="1:19" x14ac:dyDescent="0.15">
      <c r="A327" s="35" t="s">
        <v>56</v>
      </c>
      <c r="B327" s="15">
        <v>1</v>
      </c>
      <c r="C327" s="16"/>
      <c r="D327" s="36">
        <f t="shared" si="158"/>
        <v>1</v>
      </c>
      <c r="E327" s="18">
        <v>2</v>
      </c>
      <c r="F327" s="16">
        <v>1</v>
      </c>
      <c r="G327" s="36">
        <f t="shared" si="153"/>
        <v>3</v>
      </c>
      <c r="H327" s="17">
        <f t="shared" si="154"/>
        <v>4</v>
      </c>
      <c r="I327" s="84">
        <v>44508</v>
      </c>
      <c r="J327" s="10" t="s">
        <v>127</v>
      </c>
      <c r="K327" s="15">
        <v>2</v>
      </c>
      <c r="L327" s="16">
        <v>3</v>
      </c>
      <c r="M327" s="36">
        <f t="shared" si="155"/>
        <v>5</v>
      </c>
      <c r="N327" s="18">
        <v>1</v>
      </c>
      <c r="O327" s="16">
        <v>1</v>
      </c>
      <c r="P327" s="36">
        <f t="shared" si="156"/>
        <v>2</v>
      </c>
      <c r="Q327" s="17">
        <f t="shared" si="157"/>
        <v>7</v>
      </c>
      <c r="R327" s="81">
        <v>44532</v>
      </c>
    </row>
    <row r="328" spans="1:19" x14ac:dyDescent="0.15">
      <c r="A328" s="35" t="s">
        <v>56</v>
      </c>
      <c r="B328" s="15"/>
      <c r="C328" s="16">
        <v>1</v>
      </c>
      <c r="D328" s="17">
        <f t="shared" si="158"/>
        <v>1</v>
      </c>
      <c r="E328" s="18"/>
      <c r="F328" s="16">
        <v>1</v>
      </c>
      <c r="G328" s="17">
        <f t="shared" si="153"/>
        <v>1</v>
      </c>
      <c r="H328" s="17">
        <f t="shared" si="154"/>
        <v>2</v>
      </c>
      <c r="I328" s="84">
        <v>44509</v>
      </c>
      <c r="J328" s="10"/>
      <c r="K328" s="15"/>
      <c r="L328" s="16"/>
      <c r="M328" s="17">
        <f t="shared" si="155"/>
        <v>0</v>
      </c>
      <c r="N328" s="18"/>
      <c r="O328" s="16"/>
      <c r="P328" s="17">
        <f t="shared" si="156"/>
        <v>0</v>
      </c>
      <c r="Q328" s="17">
        <f t="shared" si="157"/>
        <v>0</v>
      </c>
      <c r="R328" s="81"/>
      <c r="S328" s="22"/>
    </row>
    <row r="329" spans="1:19" x14ac:dyDescent="0.15">
      <c r="A329" s="35" t="s">
        <v>56</v>
      </c>
      <c r="B329" s="15">
        <v>1</v>
      </c>
      <c r="C329" s="16"/>
      <c r="D329" s="36">
        <f t="shared" si="158"/>
        <v>1</v>
      </c>
      <c r="E329" s="18"/>
      <c r="F329" s="16"/>
      <c r="G329" s="36">
        <f t="shared" si="153"/>
        <v>0</v>
      </c>
      <c r="H329" s="17">
        <f t="shared" si="154"/>
        <v>1</v>
      </c>
      <c r="I329" s="84">
        <v>44510</v>
      </c>
      <c r="J329" s="35"/>
      <c r="K329" s="15"/>
      <c r="L329" s="16"/>
      <c r="M329" s="36">
        <f t="shared" si="155"/>
        <v>0</v>
      </c>
      <c r="N329" s="18"/>
      <c r="O329" s="16"/>
      <c r="P329" s="36">
        <f t="shared" si="156"/>
        <v>0</v>
      </c>
      <c r="Q329" s="17">
        <f t="shared" si="157"/>
        <v>0</v>
      </c>
    </row>
    <row r="330" spans="1:19" x14ac:dyDescent="0.15">
      <c r="A330" s="35" t="s">
        <v>56</v>
      </c>
      <c r="B330" s="15"/>
      <c r="C330" s="16"/>
      <c r="D330" s="36">
        <f t="shared" si="158"/>
        <v>0</v>
      </c>
      <c r="E330" s="18">
        <v>2</v>
      </c>
      <c r="F330" s="16">
        <v>2</v>
      </c>
      <c r="G330" s="36">
        <f t="shared" si="153"/>
        <v>4</v>
      </c>
      <c r="H330" s="17">
        <f t="shared" si="154"/>
        <v>4</v>
      </c>
      <c r="I330" s="84">
        <v>44511</v>
      </c>
      <c r="J330" s="37"/>
      <c r="K330" s="15"/>
      <c r="L330" s="16"/>
      <c r="M330" s="36">
        <f t="shared" si="155"/>
        <v>0</v>
      </c>
      <c r="N330" s="18"/>
      <c r="O330" s="16"/>
      <c r="P330" s="36">
        <f t="shared" si="156"/>
        <v>0</v>
      </c>
      <c r="Q330" s="17">
        <f t="shared" si="157"/>
        <v>0</v>
      </c>
    </row>
    <row r="331" spans="1:19" x14ac:dyDescent="0.15">
      <c r="A331" s="35" t="s">
        <v>56</v>
      </c>
      <c r="B331" s="15"/>
      <c r="C331" s="16"/>
      <c r="D331" s="36">
        <f t="shared" si="158"/>
        <v>0</v>
      </c>
      <c r="E331" s="18"/>
      <c r="F331" s="16">
        <v>1</v>
      </c>
      <c r="G331" s="36">
        <f t="shared" si="153"/>
        <v>1</v>
      </c>
      <c r="H331" s="17">
        <f t="shared" si="154"/>
        <v>1</v>
      </c>
      <c r="I331" s="84">
        <v>44512</v>
      </c>
      <c r="J331" s="37"/>
      <c r="K331" s="15"/>
      <c r="L331" s="16"/>
      <c r="M331" s="36">
        <f t="shared" si="155"/>
        <v>0</v>
      </c>
      <c r="N331" s="18"/>
      <c r="O331" s="16"/>
      <c r="P331" s="36">
        <f t="shared" si="156"/>
        <v>0</v>
      </c>
      <c r="Q331" s="17">
        <f t="shared" si="157"/>
        <v>0</v>
      </c>
    </row>
    <row r="332" spans="1:19" x14ac:dyDescent="0.15">
      <c r="A332" s="35" t="s">
        <v>56</v>
      </c>
      <c r="B332" s="15"/>
      <c r="C332" s="16"/>
      <c r="D332" s="36">
        <f t="shared" si="158"/>
        <v>0</v>
      </c>
      <c r="E332" s="18">
        <v>1</v>
      </c>
      <c r="F332" s="16"/>
      <c r="G332" s="36">
        <f t="shared" si="153"/>
        <v>1</v>
      </c>
      <c r="H332" s="17">
        <f t="shared" si="154"/>
        <v>1</v>
      </c>
      <c r="I332" s="84">
        <v>44515</v>
      </c>
      <c r="J332" s="35"/>
      <c r="K332" s="15"/>
      <c r="L332" s="16"/>
      <c r="M332" s="36">
        <f t="shared" si="155"/>
        <v>0</v>
      </c>
      <c r="N332" s="18"/>
      <c r="O332" s="16"/>
      <c r="P332" s="36">
        <f t="shared" si="156"/>
        <v>0</v>
      </c>
      <c r="Q332" s="17">
        <f t="shared" si="157"/>
        <v>0</v>
      </c>
    </row>
    <row r="333" spans="1:19" x14ac:dyDescent="0.15">
      <c r="A333" s="35" t="s">
        <v>56</v>
      </c>
      <c r="B333" s="15"/>
      <c r="C333" s="16"/>
      <c r="D333" s="36">
        <f t="shared" si="158"/>
        <v>0</v>
      </c>
      <c r="E333" s="18">
        <v>2</v>
      </c>
      <c r="F333" s="16"/>
      <c r="G333" s="36">
        <f t="shared" si="153"/>
        <v>2</v>
      </c>
      <c r="H333" s="17">
        <f t="shared" si="154"/>
        <v>2</v>
      </c>
      <c r="I333" s="81">
        <v>44518</v>
      </c>
      <c r="J333" s="38"/>
      <c r="K333" s="15"/>
      <c r="L333" s="16"/>
      <c r="M333" s="36">
        <f t="shared" si="155"/>
        <v>0</v>
      </c>
      <c r="N333" s="18"/>
      <c r="O333" s="16"/>
      <c r="P333" s="36">
        <f t="shared" si="156"/>
        <v>0</v>
      </c>
      <c r="Q333" s="17">
        <f t="shared" si="157"/>
        <v>0</v>
      </c>
    </row>
    <row r="334" spans="1:19" x14ac:dyDescent="0.15">
      <c r="A334" s="35" t="s">
        <v>56</v>
      </c>
      <c r="B334" s="15"/>
      <c r="C334" s="16"/>
      <c r="D334" s="36">
        <f t="shared" si="158"/>
        <v>0</v>
      </c>
      <c r="E334" s="18">
        <v>1</v>
      </c>
      <c r="F334" s="16">
        <v>1</v>
      </c>
      <c r="G334" s="36">
        <f t="shared" si="153"/>
        <v>2</v>
      </c>
      <c r="H334" s="17">
        <f t="shared" si="154"/>
        <v>2</v>
      </c>
      <c r="I334" s="81">
        <v>44520</v>
      </c>
      <c r="J334" s="35"/>
      <c r="K334" s="15"/>
      <c r="L334" s="16"/>
      <c r="M334" s="36">
        <f t="shared" si="155"/>
        <v>0</v>
      </c>
      <c r="N334" s="18"/>
      <c r="O334" s="16"/>
      <c r="P334" s="36">
        <f t="shared" si="156"/>
        <v>0</v>
      </c>
      <c r="Q334" s="17">
        <f t="shared" si="157"/>
        <v>0</v>
      </c>
    </row>
    <row r="335" spans="1:19" x14ac:dyDescent="0.15">
      <c r="A335" s="35" t="s">
        <v>56</v>
      </c>
      <c r="B335" s="15">
        <v>1</v>
      </c>
      <c r="C335" s="16"/>
      <c r="D335" s="36">
        <f t="shared" si="158"/>
        <v>1</v>
      </c>
      <c r="E335" s="18">
        <f>2+1</f>
        <v>3</v>
      </c>
      <c r="F335" s="16">
        <f>1+2</f>
        <v>3</v>
      </c>
      <c r="G335" s="36">
        <f t="shared" si="153"/>
        <v>6</v>
      </c>
      <c r="H335" s="17">
        <f t="shared" si="154"/>
        <v>7</v>
      </c>
      <c r="I335" s="81">
        <v>44522</v>
      </c>
      <c r="J335" s="38"/>
      <c r="K335" s="15"/>
      <c r="L335" s="16"/>
      <c r="M335" s="36">
        <f t="shared" si="155"/>
        <v>0</v>
      </c>
      <c r="N335" s="18"/>
      <c r="O335" s="16"/>
      <c r="P335" s="36">
        <f t="shared" si="156"/>
        <v>0</v>
      </c>
      <c r="Q335" s="17">
        <f t="shared" si="157"/>
        <v>0</v>
      </c>
    </row>
    <row r="336" spans="1:19" x14ac:dyDescent="0.15">
      <c r="A336" s="35" t="s">
        <v>56</v>
      </c>
      <c r="B336" s="15">
        <v>2</v>
      </c>
      <c r="C336" s="16"/>
      <c r="D336" s="36">
        <f t="shared" si="158"/>
        <v>2</v>
      </c>
      <c r="E336" s="18"/>
      <c r="F336" s="16"/>
      <c r="G336" s="36">
        <f t="shared" si="153"/>
        <v>0</v>
      </c>
      <c r="H336" s="17">
        <f t="shared" si="154"/>
        <v>2</v>
      </c>
      <c r="I336" s="81">
        <v>44524</v>
      </c>
      <c r="J336" s="35"/>
      <c r="K336" s="15"/>
      <c r="L336" s="16"/>
      <c r="M336" s="36">
        <f t="shared" si="155"/>
        <v>0</v>
      </c>
      <c r="N336" s="18"/>
      <c r="O336" s="16"/>
      <c r="P336" s="36">
        <f t="shared" si="156"/>
        <v>0</v>
      </c>
      <c r="Q336" s="17">
        <f t="shared" si="157"/>
        <v>0</v>
      </c>
    </row>
    <row r="337" spans="1:19" x14ac:dyDescent="0.15">
      <c r="A337" s="35" t="s">
        <v>56</v>
      </c>
      <c r="B337" s="15"/>
      <c r="C337" s="16"/>
      <c r="D337" s="17">
        <f>SUM(B337:C337)</f>
        <v>0</v>
      </c>
      <c r="E337" s="18">
        <v>6</v>
      </c>
      <c r="F337" s="16"/>
      <c r="G337" s="17">
        <f t="shared" si="153"/>
        <v>6</v>
      </c>
      <c r="H337" s="17">
        <f t="shared" si="154"/>
        <v>6</v>
      </c>
      <c r="I337" s="81">
        <v>44525</v>
      </c>
      <c r="J337" s="52"/>
      <c r="K337" s="15"/>
      <c r="L337" s="16"/>
      <c r="M337" s="17">
        <f>SUM(K337:L337)</f>
        <v>0</v>
      </c>
      <c r="N337" s="18"/>
      <c r="O337" s="16"/>
      <c r="P337" s="17">
        <f t="shared" si="156"/>
        <v>0</v>
      </c>
      <c r="Q337" s="17">
        <f t="shared" si="157"/>
        <v>0</v>
      </c>
    </row>
    <row r="338" spans="1:19" x14ac:dyDescent="0.15">
      <c r="A338" s="35" t="s">
        <v>56</v>
      </c>
      <c r="B338" s="15"/>
      <c r="C338" s="16"/>
      <c r="D338" s="36">
        <f t="shared" ref="D338" si="159">SUM(B338:C338)</f>
        <v>0</v>
      </c>
      <c r="E338" s="18">
        <v>1</v>
      </c>
      <c r="F338" s="16"/>
      <c r="G338" s="36">
        <f t="shared" si="153"/>
        <v>1</v>
      </c>
      <c r="H338" s="17">
        <f t="shared" si="154"/>
        <v>1</v>
      </c>
      <c r="I338" s="81">
        <v>44526</v>
      </c>
      <c r="J338" s="35"/>
      <c r="K338" s="15"/>
      <c r="L338" s="16"/>
      <c r="M338" s="36">
        <f t="shared" ref="M338:M342" si="160">SUM(K338:L338)</f>
        <v>0</v>
      </c>
      <c r="N338" s="18"/>
      <c r="O338" s="16"/>
      <c r="P338" s="36">
        <f t="shared" si="156"/>
        <v>0</v>
      </c>
      <c r="Q338" s="17">
        <f t="shared" si="157"/>
        <v>0</v>
      </c>
      <c r="R338" s="83"/>
    </row>
    <row r="339" spans="1:19" x14ac:dyDescent="0.15">
      <c r="A339" s="35" t="s">
        <v>56</v>
      </c>
      <c r="B339" s="15">
        <v>1</v>
      </c>
      <c r="C339" s="16"/>
      <c r="D339" s="17">
        <f>SUM(B339:C339)</f>
        <v>1</v>
      </c>
      <c r="E339" s="18">
        <v>1</v>
      </c>
      <c r="F339" s="16">
        <f>2+1</f>
        <v>3</v>
      </c>
      <c r="G339" s="17">
        <f t="shared" si="153"/>
        <v>4</v>
      </c>
      <c r="H339" s="17">
        <f t="shared" si="154"/>
        <v>5</v>
      </c>
      <c r="I339" s="84">
        <v>44529</v>
      </c>
      <c r="J339" s="35"/>
      <c r="K339" s="15"/>
      <c r="L339" s="16"/>
      <c r="M339" s="36">
        <f t="shared" si="160"/>
        <v>0</v>
      </c>
      <c r="N339" s="18"/>
      <c r="O339" s="16"/>
      <c r="P339" s="36">
        <f t="shared" si="156"/>
        <v>0</v>
      </c>
      <c r="Q339" s="17">
        <f t="shared" si="157"/>
        <v>0</v>
      </c>
      <c r="R339" s="83"/>
      <c r="S339" s="22"/>
    </row>
    <row r="340" spans="1:19" ht="14.25" thickBot="1" x14ac:dyDescent="0.2">
      <c r="A340" s="35"/>
      <c r="B340" s="15"/>
      <c r="C340" s="16"/>
      <c r="D340" s="36">
        <f t="shared" ref="D340:D342" si="161">SUM(B340:C340)</f>
        <v>0</v>
      </c>
      <c r="E340" s="18"/>
      <c r="F340" s="16"/>
      <c r="G340" s="36">
        <f t="shared" si="153"/>
        <v>0</v>
      </c>
      <c r="H340" s="17">
        <f t="shared" si="154"/>
        <v>0</v>
      </c>
      <c r="I340" s="83"/>
      <c r="J340" s="35" t="s">
        <v>115</v>
      </c>
      <c r="K340" s="15"/>
      <c r="L340" s="16"/>
      <c r="M340" s="36">
        <f t="shared" si="160"/>
        <v>0</v>
      </c>
      <c r="N340" s="18"/>
      <c r="O340" s="16"/>
      <c r="P340" s="36">
        <f t="shared" si="156"/>
        <v>0</v>
      </c>
      <c r="Q340" s="17">
        <f t="shared" si="157"/>
        <v>0</v>
      </c>
      <c r="R340" s="83" t="s">
        <v>116</v>
      </c>
    </row>
    <row r="341" spans="1:19" ht="14.25" thickBot="1" x14ac:dyDescent="0.2">
      <c r="A341" s="40" t="s">
        <v>14</v>
      </c>
      <c r="B341" s="41">
        <f>SUM(B315:B340)</f>
        <v>15</v>
      </c>
      <c r="C341" s="42">
        <f t="shared" ref="C341" si="162">SUM(C315:C340)</f>
        <v>9</v>
      </c>
      <c r="D341" s="43">
        <f t="shared" si="161"/>
        <v>24</v>
      </c>
      <c r="E341" s="41">
        <f>SUM(E315:E340)</f>
        <v>32</v>
      </c>
      <c r="F341" s="42">
        <f t="shared" ref="F341" si="163">SUM(F315:F340)</f>
        <v>19</v>
      </c>
      <c r="G341" s="43">
        <f t="shared" si="153"/>
        <v>51</v>
      </c>
      <c r="H341" s="43">
        <f t="shared" si="154"/>
        <v>75</v>
      </c>
      <c r="J341" s="40" t="s">
        <v>14</v>
      </c>
      <c r="K341" s="41">
        <f>SUM(K315:K340)</f>
        <v>93</v>
      </c>
      <c r="L341" s="42">
        <f t="shared" ref="L341" si="164">SUM(L315:L340)</f>
        <v>106</v>
      </c>
      <c r="M341" s="43">
        <f t="shared" si="160"/>
        <v>199</v>
      </c>
      <c r="N341" s="41">
        <f>SUM(N315:N340)</f>
        <v>193</v>
      </c>
      <c r="O341" s="42">
        <f t="shared" ref="O341" si="165">SUM(O315:O340)</f>
        <v>126</v>
      </c>
      <c r="P341" s="43">
        <f t="shared" si="156"/>
        <v>319</v>
      </c>
      <c r="Q341" s="43">
        <f t="shared" si="157"/>
        <v>518</v>
      </c>
    </row>
    <row r="342" spans="1:19" ht="14.25" thickBot="1" x14ac:dyDescent="0.2">
      <c r="A342" s="44" t="s">
        <v>15</v>
      </c>
      <c r="B342" s="45">
        <f>B314-B341</f>
        <v>16</v>
      </c>
      <c r="C342" s="46">
        <f t="shared" ref="C342" si="166">C314-C341</f>
        <v>12</v>
      </c>
      <c r="D342" s="47">
        <f t="shared" si="161"/>
        <v>28</v>
      </c>
      <c r="E342" s="45">
        <f>E314-E341</f>
        <v>14</v>
      </c>
      <c r="F342" s="46">
        <f t="shared" ref="F342" si="167">F314-F341</f>
        <v>14</v>
      </c>
      <c r="G342" s="47">
        <f t="shared" si="153"/>
        <v>28</v>
      </c>
      <c r="H342" s="34">
        <f t="shared" si="154"/>
        <v>56</v>
      </c>
      <c r="J342" s="44" t="s">
        <v>15</v>
      </c>
      <c r="K342" s="45">
        <f>K314-K341</f>
        <v>427</v>
      </c>
      <c r="L342" s="46">
        <f t="shared" ref="L342" si="168">L314-L341</f>
        <v>533</v>
      </c>
      <c r="M342" s="47">
        <f t="shared" si="160"/>
        <v>960</v>
      </c>
      <c r="N342" s="45">
        <f>N314-N341</f>
        <v>80</v>
      </c>
      <c r="O342" s="46">
        <f t="shared" ref="O342" si="169">O314-O341</f>
        <v>297</v>
      </c>
      <c r="P342" s="47">
        <f t="shared" si="156"/>
        <v>377</v>
      </c>
      <c r="Q342" s="34">
        <f t="shared" si="157"/>
        <v>1337</v>
      </c>
    </row>
    <row r="344" spans="1:19" x14ac:dyDescent="0.15">
      <c r="K344" s="69">
        <f>K342/$M$342*100</f>
        <v>44.479166666666664</v>
      </c>
      <c r="L344" s="69">
        <f t="shared" ref="L344:M344" si="170">L342/$M$342*100</f>
        <v>55.520833333333329</v>
      </c>
      <c r="M344" s="69">
        <f t="shared" si="170"/>
        <v>100</v>
      </c>
      <c r="N344" s="69">
        <f>N342/$P$342*100</f>
        <v>21.220159151193634</v>
      </c>
      <c r="O344" s="69">
        <f t="shared" ref="O344:P344" si="171">O342/$P$342*100</f>
        <v>78.779840848806373</v>
      </c>
      <c r="P344" s="69">
        <f t="shared" si="171"/>
        <v>100</v>
      </c>
    </row>
    <row r="345" spans="1:19" ht="19.5" thickBot="1" x14ac:dyDescent="0.25">
      <c r="A345" s="1" t="s">
        <v>23</v>
      </c>
      <c r="J345" s="1" t="s">
        <v>24</v>
      </c>
      <c r="K345" s="2"/>
      <c r="L345" s="2"/>
      <c r="M345" s="2"/>
      <c r="N345" s="2"/>
      <c r="O345" s="1" t="s">
        <v>34</v>
      </c>
      <c r="P345" s="2"/>
      <c r="Q345" s="2"/>
    </row>
    <row r="346" spans="1:19" ht="14.25" thickBot="1" x14ac:dyDescent="0.2">
      <c r="A346" s="3" t="s">
        <v>0</v>
      </c>
      <c r="B346" s="125" t="s">
        <v>18</v>
      </c>
      <c r="C346" s="126"/>
      <c r="D346" s="127"/>
      <c r="E346" s="125" t="s">
        <v>19</v>
      </c>
      <c r="F346" s="126"/>
      <c r="G346" s="128"/>
      <c r="H346" s="129" t="s">
        <v>1</v>
      </c>
      <c r="J346" s="3" t="s">
        <v>0</v>
      </c>
      <c r="K346" s="125" t="s">
        <v>18</v>
      </c>
      <c r="L346" s="126"/>
      <c r="M346" s="127"/>
      <c r="N346" s="125" t="s">
        <v>19</v>
      </c>
      <c r="O346" s="126"/>
      <c r="P346" s="128"/>
      <c r="Q346" s="129" t="s">
        <v>1</v>
      </c>
    </row>
    <row r="347" spans="1:19" ht="14.25" thickBot="1" x14ac:dyDescent="0.2">
      <c r="A347" s="3" t="s">
        <v>2</v>
      </c>
      <c r="B347" s="4" t="s">
        <v>16</v>
      </c>
      <c r="C347" s="5" t="s">
        <v>17</v>
      </c>
      <c r="D347" s="3" t="s">
        <v>3</v>
      </c>
      <c r="E347" s="4" t="s">
        <v>16</v>
      </c>
      <c r="F347" s="5" t="s">
        <v>17</v>
      </c>
      <c r="G347" s="3" t="s">
        <v>3</v>
      </c>
      <c r="H347" s="130"/>
      <c r="J347" s="3" t="s">
        <v>2</v>
      </c>
      <c r="K347" s="4" t="s">
        <v>16</v>
      </c>
      <c r="L347" s="5" t="s">
        <v>17</v>
      </c>
      <c r="M347" s="3" t="s">
        <v>3</v>
      </c>
      <c r="N347" s="4" t="s">
        <v>16</v>
      </c>
      <c r="O347" s="5" t="s">
        <v>17</v>
      </c>
      <c r="P347" s="3" t="s">
        <v>3</v>
      </c>
      <c r="Q347" s="130"/>
    </row>
    <row r="348" spans="1:19" ht="14.25" thickBot="1" x14ac:dyDescent="0.2">
      <c r="A348" s="6" t="s">
        <v>55</v>
      </c>
      <c r="B348" s="32">
        <f>B342</f>
        <v>16</v>
      </c>
      <c r="C348" s="33">
        <f>C342</f>
        <v>12</v>
      </c>
      <c r="D348" s="34">
        <f t="shared" ref="D348:D360" si="172">SUM(B348:C348)</f>
        <v>28</v>
      </c>
      <c r="E348" s="32">
        <f>E342</f>
        <v>14</v>
      </c>
      <c r="F348" s="33">
        <f>F342</f>
        <v>14</v>
      </c>
      <c r="G348" s="34">
        <f t="shared" ref="G348:G385" si="173">SUM(E348:F348)</f>
        <v>28</v>
      </c>
      <c r="H348" s="34">
        <f t="shared" ref="H348:H385" si="174">D348+G348</f>
        <v>56</v>
      </c>
      <c r="J348" s="6" t="s">
        <v>55</v>
      </c>
      <c r="K348" s="7">
        <f>K342</f>
        <v>427</v>
      </c>
      <c r="L348" s="8">
        <f>L342</f>
        <v>533</v>
      </c>
      <c r="M348" s="9">
        <f t="shared" ref="M348:M379" si="175">SUM(K348:L348)</f>
        <v>960</v>
      </c>
      <c r="N348" s="7">
        <f>N342</f>
        <v>80</v>
      </c>
      <c r="O348" s="8">
        <f>O342</f>
        <v>297</v>
      </c>
      <c r="P348" s="9">
        <f t="shared" ref="P348:P385" si="176">SUM(N348:O348)</f>
        <v>377</v>
      </c>
      <c r="Q348" s="9">
        <f t="shared" ref="Q348:Q385" si="177">M348+P348</f>
        <v>1337</v>
      </c>
    </row>
    <row r="349" spans="1:19" x14ac:dyDescent="0.15">
      <c r="A349" s="10" t="s">
        <v>130</v>
      </c>
      <c r="B349" s="64">
        <v>18</v>
      </c>
      <c r="C349" s="65">
        <v>18</v>
      </c>
      <c r="D349" s="36">
        <f t="shared" si="172"/>
        <v>36</v>
      </c>
      <c r="E349" s="66">
        <v>18</v>
      </c>
      <c r="F349" s="65">
        <v>18</v>
      </c>
      <c r="G349" s="36">
        <f t="shared" si="173"/>
        <v>36</v>
      </c>
      <c r="H349" s="36">
        <f t="shared" si="174"/>
        <v>72</v>
      </c>
      <c r="I349" s="81"/>
      <c r="J349" s="10" t="s">
        <v>5</v>
      </c>
      <c r="K349" s="11"/>
      <c r="L349" s="12"/>
      <c r="M349" s="13">
        <f t="shared" si="175"/>
        <v>0</v>
      </c>
      <c r="N349" s="62"/>
      <c r="O349" s="12"/>
      <c r="P349" s="13">
        <f t="shared" si="176"/>
        <v>0</v>
      </c>
      <c r="Q349" s="13">
        <f t="shared" si="177"/>
        <v>0</v>
      </c>
    </row>
    <row r="350" spans="1:19" x14ac:dyDescent="0.15">
      <c r="A350" s="10" t="s">
        <v>6</v>
      </c>
      <c r="B350" s="15"/>
      <c r="C350" s="16"/>
      <c r="D350" s="17">
        <f t="shared" si="172"/>
        <v>0</v>
      </c>
      <c r="E350" s="18">
        <v>10</v>
      </c>
      <c r="F350" s="16">
        <v>5</v>
      </c>
      <c r="G350" s="17">
        <f t="shared" si="173"/>
        <v>15</v>
      </c>
      <c r="H350" s="17">
        <f t="shared" si="174"/>
        <v>15</v>
      </c>
      <c r="I350" s="81">
        <v>44548</v>
      </c>
      <c r="J350" s="10" t="s">
        <v>6</v>
      </c>
      <c r="K350" s="15"/>
      <c r="L350" s="16"/>
      <c r="M350" s="17">
        <f t="shared" si="175"/>
        <v>0</v>
      </c>
      <c r="N350" s="18"/>
      <c r="O350" s="16"/>
      <c r="P350" s="17">
        <f t="shared" si="176"/>
        <v>0</v>
      </c>
      <c r="Q350" s="17">
        <f t="shared" si="177"/>
        <v>0</v>
      </c>
    </row>
    <row r="351" spans="1:19" x14ac:dyDescent="0.15">
      <c r="A351" s="10" t="s">
        <v>61</v>
      </c>
      <c r="B351" s="19"/>
      <c r="C351" s="20">
        <v>6</v>
      </c>
      <c r="D351" s="17">
        <f t="shared" si="172"/>
        <v>6</v>
      </c>
      <c r="E351" s="21"/>
      <c r="F351" s="20">
        <v>6</v>
      </c>
      <c r="G351" s="17">
        <f t="shared" si="173"/>
        <v>6</v>
      </c>
      <c r="H351" s="17">
        <f t="shared" si="174"/>
        <v>12</v>
      </c>
      <c r="I351" s="81">
        <v>44551</v>
      </c>
      <c r="J351" s="10" t="s">
        <v>7</v>
      </c>
      <c r="K351" s="19"/>
      <c r="L351" s="20"/>
      <c r="M351" s="17">
        <f t="shared" si="175"/>
        <v>0</v>
      </c>
      <c r="N351" s="21"/>
      <c r="O351" s="20"/>
      <c r="P351" s="17">
        <f t="shared" si="176"/>
        <v>0</v>
      </c>
      <c r="Q351" s="17">
        <f t="shared" si="177"/>
        <v>0</v>
      </c>
      <c r="R351" s="83"/>
    </row>
    <row r="352" spans="1:19" x14ac:dyDescent="0.15">
      <c r="A352" s="10" t="s">
        <v>61</v>
      </c>
      <c r="B352" s="15">
        <v>2</v>
      </c>
      <c r="C352" s="16"/>
      <c r="D352" s="17">
        <f t="shared" si="172"/>
        <v>2</v>
      </c>
      <c r="E352" s="18">
        <v>2</v>
      </c>
      <c r="F352" s="16"/>
      <c r="G352" s="17">
        <f t="shared" si="173"/>
        <v>2</v>
      </c>
      <c r="H352" s="17">
        <f t="shared" si="174"/>
        <v>4</v>
      </c>
      <c r="I352" s="81">
        <v>44552</v>
      </c>
      <c r="J352" s="10" t="s">
        <v>8</v>
      </c>
      <c r="K352" s="15"/>
      <c r="L352" s="16"/>
      <c r="M352" s="17">
        <f t="shared" si="175"/>
        <v>0</v>
      </c>
      <c r="N352" s="18"/>
      <c r="O352" s="16"/>
      <c r="P352" s="17">
        <f t="shared" si="176"/>
        <v>0</v>
      </c>
      <c r="Q352" s="17">
        <f t="shared" si="177"/>
        <v>0</v>
      </c>
    </row>
    <row r="353" spans="1:19" x14ac:dyDescent="0.15">
      <c r="A353" s="10" t="s">
        <v>9</v>
      </c>
      <c r="B353" s="15">
        <v>10</v>
      </c>
      <c r="C353" s="16"/>
      <c r="D353" s="17">
        <f t="shared" si="172"/>
        <v>10</v>
      </c>
      <c r="E353" s="18"/>
      <c r="F353" s="16">
        <v>10</v>
      </c>
      <c r="G353" s="17">
        <f t="shared" si="173"/>
        <v>10</v>
      </c>
      <c r="H353" s="17">
        <f t="shared" si="174"/>
        <v>20</v>
      </c>
      <c r="I353" s="81">
        <v>44558</v>
      </c>
      <c r="J353" s="10" t="s">
        <v>9</v>
      </c>
      <c r="K353" s="15"/>
      <c r="L353" s="16"/>
      <c r="M353" s="17">
        <f t="shared" si="175"/>
        <v>0</v>
      </c>
      <c r="N353" s="18"/>
      <c r="O353" s="16"/>
      <c r="P353" s="17">
        <f t="shared" si="176"/>
        <v>0</v>
      </c>
      <c r="Q353" s="17">
        <f t="shared" si="177"/>
        <v>0</v>
      </c>
    </row>
    <row r="354" spans="1:19" x14ac:dyDescent="0.15">
      <c r="A354" s="10" t="s">
        <v>10</v>
      </c>
      <c r="B354" s="15"/>
      <c r="C354" s="16"/>
      <c r="D354" s="17">
        <f t="shared" si="172"/>
        <v>0</v>
      </c>
      <c r="E354" s="18"/>
      <c r="F354" s="16"/>
      <c r="G354" s="17">
        <f t="shared" si="173"/>
        <v>0</v>
      </c>
      <c r="H354" s="17">
        <f t="shared" si="174"/>
        <v>0</v>
      </c>
      <c r="I354" s="81"/>
      <c r="J354" s="10" t="s">
        <v>10</v>
      </c>
      <c r="K354" s="15"/>
      <c r="L354" s="16"/>
      <c r="M354" s="17">
        <f t="shared" si="175"/>
        <v>0</v>
      </c>
      <c r="N354" s="18"/>
      <c r="O354" s="16"/>
      <c r="P354" s="17">
        <f t="shared" si="176"/>
        <v>0</v>
      </c>
      <c r="Q354" s="17">
        <f t="shared" si="177"/>
        <v>0</v>
      </c>
    </row>
    <row r="355" spans="1:19" x14ac:dyDescent="0.15">
      <c r="A355" s="10" t="s">
        <v>11</v>
      </c>
      <c r="B355" s="23"/>
      <c r="C355" s="24"/>
      <c r="D355" s="17">
        <f t="shared" si="172"/>
        <v>0</v>
      </c>
      <c r="E355" s="25"/>
      <c r="F355" s="24"/>
      <c r="G355" s="17">
        <f t="shared" si="173"/>
        <v>0</v>
      </c>
      <c r="H355" s="17">
        <f t="shared" si="174"/>
        <v>0</v>
      </c>
      <c r="I355" s="84"/>
      <c r="J355" s="10" t="s">
        <v>11</v>
      </c>
      <c r="K355" s="23"/>
      <c r="L355" s="24"/>
      <c r="M355" s="17">
        <f t="shared" si="175"/>
        <v>0</v>
      </c>
      <c r="N355" s="25"/>
      <c r="O355" s="24"/>
      <c r="P355" s="17">
        <f t="shared" si="176"/>
        <v>0</v>
      </c>
      <c r="Q355" s="17">
        <f t="shared" si="177"/>
        <v>0</v>
      </c>
    </row>
    <row r="356" spans="1:19" ht="14.25" thickBot="1" x14ac:dyDescent="0.2">
      <c r="A356" s="10" t="s">
        <v>12</v>
      </c>
      <c r="B356" s="26"/>
      <c r="C356" s="27"/>
      <c r="D356" s="28">
        <f t="shared" si="172"/>
        <v>0</v>
      </c>
      <c r="E356" s="29"/>
      <c r="F356" s="29"/>
      <c r="G356" s="28">
        <f t="shared" si="173"/>
        <v>0</v>
      </c>
      <c r="H356" s="30">
        <f t="shared" si="174"/>
        <v>0</v>
      </c>
      <c r="I356" s="81"/>
      <c r="J356" s="10" t="s">
        <v>12</v>
      </c>
      <c r="K356" s="26"/>
      <c r="L356" s="27"/>
      <c r="M356" s="28">
        <f t="shared" si="175"/>
        <v>0</v>
      </c>
      <c r="N356" s="29"/>
      <c r="O356" s="29"/>
      <c r="P356" s="28">
        <f t="shared" si="176"/>
        <v>0</v>
      </c>
      <c r="Q356" s="30">
        <f t="shared" si="177"/>
        <v>0</v>
      </c>
    </row>
    <row r="357" spans="1:19" ht="14.25" thickBot="1" x14ac:dyDescent="0.2">
      <c r="A357" s="31" t="s">
        <v>13</v>
      </c>
      <c r="B357" s="32">
        <f>SUM(B348:B356)</f>
        <v>46</v>
      </c>
      <c r="C357" s="33">
        <f>SUM(C348:C356)</f>
        <v>36</v>
      </c>
      <c r="D357" s="34">
        <f t="shared" si="172"/>
        <v>82</v>
      </c>
      <c r="E357" s="32">
        <f>SUM(E348:E356)</f>
        <v>44</v>
      </c>
      <c r="F357" s="33">
        <f>SUM(F348:F356)</f>
        <v>53</v>
      </c>
      <c r="G357" s="34">
        <f t="shared" si="173"/>
        <v>97</v>
      </c>
      <c r="H357" s="34">
        <f t="shared" si="174"/>
        <v>179</v>
      </c>
      <c r="J357" s="31" t="s">
        <v>13</v>
      </c>
      <c r="K357" s="32">
        <f>SUM(K348:K356)</f>
        <v>427</v>
      </c>
      <c r="L357" s="33">
        <f>SUM(L348:L356)</f>
        <v>533</v>
      </c>
      <c r="M357" s="34">
        <f t="shared" si="175"/>
        <v>960</v>
      </c>
      <c r="N357" s="32">
        <f>SUM(N348:N356)</f>
        <v>80</v>
      </c>
      <c r="O357" s="33">
        <f>SUM(O348:O356)</f>
        <v>297</v>
      </c>
      <c r="P357" s="34">
        <f t="shared" si="176"/>
        <v>377</v>
      </c>
      <c r="Q357" s="34">
        <f t="shared" si="177"/>
        <v>1337</v>
      </c>
    </row>
    <row r="358" spans="1:19" x14ac:dyDescent="0.15">
      <c r="A358" s="35" t="s">
        <v>56</v>
      </c>
      <c r="B358" s="48">
        <v>1</v>
      </c>
      <c r="C358" s="49"/>
      <c r="D358" s="50">
        <f t="shared" si="172"/>
        <v>1</v>
      </c>
      <c r="E358" s="51"/>
      <c r="F358" s="49"/>
      <c r="G358" s="50">
        <f t="shared" si="173"/>
        <v>0</v>
      </c>
      <c r="H358" s="50">
        <f t="shared" si="174"/>
        <v>1</v>
      </c>
      <c r="I358" s="84">
        <v>44531</v>
      </c>
      <c r="J358" s="52" t="s">
        <v>133</v>
      </c>
      <c r="K358" s="64">
        <v>4</v>
      </c>
      <c r="L358" s="65"/>
      <c r="M358" s="36">
        <f t="shared" si="175"/>
        <v>4</v>
      </c>
      <c r="N358" s="66">
        <v>4</v>
      </c>
      <c r="O358" s="65"/>
      <c r="P358" s="36">
        <f t="shared" si="176"/>
        <v>4</v>
      </c>
      <c r="Q358" s="36">
        <f t="shared" si="177"/>
        <v>8</v>
      </c>
      <c r="R358" s="81">
        <v>44543</v>
      </c>
      <c r="S358" s="22"/>
    </row>
    <row r="359" spans="1:19" x14ac:dyDescent="0.15">
      <c r="A359" s="35" t="s">
        <v>56</v>
      </c>
      <c r="B359" s="19"/>
      <c r="C359" s="20"/>
      <c r="D359" s="36">
        <f t="shared" si="172"/>
        <v>0</v>
      </c>
      <c r="E359" s="21"/>
      <c r="F359" s="20">
        <v>1</v>
      </c>
      <c r="G359" s="36">
        <f t="shared" si="173"/>
        <v>1</v>
      </c>
      <c r="H359" s="36">
        <f t="shared" si="174"/>
        <v>1</v>
      </c>
      <c r="I359" s="81">
        <v>44533</v>
      </c>
      <c r="J359" s="52" t="s">
        <v>134</v>
      </c>
      <c r="K359" s="15">
        <v>13</v>
      </c>
      <c r="L359" s="16">
        <v>8</v>
      </c>
      <c r="M359" s="36">
        <f t="shared" si="175"/>
        <v>21</v>
      </c>
      <c r="N359" s="18">
        <v>13</v>
      </c>
      <c r="O359" s="16">
        <v>8</v>
      </c>
      <c r="P359" s="36">
        <f t="shared" si="176"/>
        <v>21</v>
      </c>
      <c r="Q359" s="17">
        <f t="shared" si="177"/>
        <v>42</v>
      </c>
      <c r="R359" s="81">
        <v>44544</v>
      </c>
      <c r="S359" s="22"/>
    </row>
    <row r="360" spans="1:19" x14ac:dyDescent="0.15">
      <c r="A360" s="35" t="s">
        <v>56</v>
      </c>
      <c r="B360" s="15">
        <v>1</v>
      </c>
      <c r="C360" s="16"/>
      <c r="D360" s="36">
        <f t="shared" si="172"/>
        <v>1</v>
      </c>
      <c r="E360" s="18"/>
      <c r="F360" s="16"/>
      <c r="G360" s="36">
        <f t="shared" si="173"/>
        <v>0</v>
      </c>
      <c r="H360" s="17">
        <f t="shared" si="174"/>
        <v>1</v>
      </c>
      <c r="I360" s="81">
        <v>44537</v>
      </c>
      <c r="J360" s="52" t="s">
        <v>136</v>
      </c>
      <c r="K360" s="19">
        <v>2</v>
      </c>
      <c r="L360" s="20">
        <v>8</v>
      </c>
      <c r="M360" s="17">
        <f t="shared" si="175"/>
        <v>10</v>
      </c>
      <c r="N360" s="21">
        <v>2</v>
      </c>
      <c r="O360" s="20">
        <v>8</v>
      </c>
      <c r="P360" s="17">
        <f t="shared" si="176"/>
        <v>10</v>
      </c>
      <c r="Q360" s="17">
        <f t="shared" si="177"/>
        <v>20</v>
      </c>
      <c r="R360" s="81">
        <v>44546</v>
      </c>
    </row>
    <row r="361" spans="1:19" x14ac:dyDescent="0.15">
      <c r="A361" s="52" t="s">
        <v>38</v>
      </c>
      <c r="B361" s="64">
        <v>2</v>
      </c>
      <c r="C361" s="65">
        <v>2</v>
      </c>
      <c r="D361" s="36">
        <f t="shared" ref="D361" si="178">SUM(B361:C361)</f>
        <v>4</v>
      </c>
      <c r="E361" s="66">
        <v>2</v>
      </c>
      <c r="F361" s="65">
        <v>2</v>
      </c>
      <c r="G361" s="36">
        <f t="shared" si="173"/>
        <v>4</v>
      </c>
      <c r="H361" s="36">
        <f t="shared" si="174"/>
        <v>8</v>
      </c>
      <c r="I361" s="81">
        <v>44537</v>
      </c>
      <c r="J361" s="52" t="s">
        <v>137</v>
      </c>
      <c r="K361" s="15">
        <v>3</v>
      </c>
      <c r="L361" s="16">
        <v>2</v>
      </c>
      <c r="M361" s="17">
        <f t="shared" si="175"/>
        <v>5</v>
      </c>
      <c r="N361" s="18">
        <v>3</v>
      </c>
      <c r="O361" s="16">
        <v>2</v>
      </c>
      <c r="P361" s="17">
        <f t="shared" si="176"/>
        <v>5</v>
      </c>
      <c r="Q361" s="17">
        <f t="shared" si="177"/>
        <v>10</v>
      </c>
      <c r="R361" s="81">
        <v>44547</v>
      </c>
    </row>
    <row r="362" spans="1:19" x14ac:dyDescent="0.15">
      <c r="A362" s="35" t="s">
        <v>56</v>
      </c>
      <c r="B362" s="15">
        <v>6</v>
      </c>
      <c r="C362" s="16">
        <f>2+2</f>
        <v>4</v>
      </c>
      <c r="D362" s="36">
        <f t="shared" ref="D362:D379" si="179">SUM(B362:C362)</f>
        <v>10</v>
      </c>
      <c r="E362" s="18">
        <f>7+2+4</f>
        <v>13</v>
      </c>
      <c r="F362" s="16">
        <v>4</v>
      </c>
      <c r="G362" s="36">
        <f t="shared" si="173"/>
        <v>17</v>
      </c>
      <c r="H362" s="17">
        <f t="shared" si="174"/>
        <v>27</v>
      </c>
      <c r="I362" s="84">
        <v>44536</v>
      </c>
      <c r="J362" s="52" t="s">
        <v>138</v>
      </c>
      <c r="K362" s="15">
        <v>4</v>
      </c>
      <c r="L362" s="16">
        <v>13</v>
      </c>
      <c r="M362" s="17">
        <f t="shared" si="175"/>
        <v>17</v>
      </c>
      <c r="N362" s="18">
        <v>4</v>
      </c>
      <c r="O362" s="16">
        <v>13</v>
      </c>
      <c r="P362" s="17">
        <f t="shared" si="176"/>
        <v>17</v>
      </c>
      <c r="Q362" s="17">
        <f t="shared" si="177"/>
        <v>34</v>
      </c>
      <c r="R362" s="81">
        <v>44548</v>
      </c>
    </row>
    <row r="363" spans="1:19" x14ac:dyDescent="0.15">
      <c r="A363" s="10" t="s">
        <v>131</v>
      </c>
      <c r="B363" s="15">
        <v>2</v>
      </c>
      <c r="C363" s="16"/>
      <c r="D363" s="17">
        <f t="shared" si="179"/>
        <v>2</v>
      </c>
      <c r="E363" s="18"/>
      <c r="F363" s="16">
        <v>2</v>
      </c>
      <c r="G363" s="17">
        <f t="shared" si="173"/>
        <v>2</v>
      </c>
      <c r="H363" s="17">
        <f t="shared" si="174"/>
        <v>4</v>
      </c>
      <c r="I363" s="81">
        <v>44539</v>
      </c>
      <c r="J363" s="10" t="s">
        <v>139</v>
      </c>
      <c r="K363" s="15"/>
      <c r="L363" s="16"/>
      <c r="M363" s="36">
        <f t="shared" si="175"/>
        <v>0</v>
      </c>
      <c r="N363" s="18">
        <v>10</v>
      </c>
      <c r="O363" s="16">
        <v>5</v>
      </c>
      <c r="P363" s="36">
        <f t="shared" si="176"/>
        <v>15</v>
      </c>
      <c r="Q363" s="17">
        <f t="shared" si="177"/>
        <v>15</v>
      </c>
      <c r="R363" s="81">
        <v>44548</v>
      </c>
    </row>
    <row r="364" spans="1:19" x14ac:dyDescent="0.15">
      <c r="A364" s="35" t="s">
        <v>56</v>
      </c>
      <c r="B364" s="15">
        <v>1</v>
      </c>
      <c r="C364" s="16"/>
      <c r="D364" s="36">
        <f t="shared" si="179"/>
        <v>1</v>
      </c>
      <c r="E364" s="18"/>
      <c r="F364" s="16">
        <v>1</v>
      </c>
      <c r="G364" s="36">
        <f t="shared" si="173"/>
        <v>1</v>
      </c>
      <c r="H364" s="17">
        <f t="shared" si="174"/>
        <v>2</v>
      </c>
      <c r="I364" s="84">
        <v>44539</v>
      </c>
      <c r="J364" s="52" t="s">
        <v>140</v>
      </c>
      <c r="K364" s="15">
        <v>5</v>
      </c>
      <c r="L364" s="16">
        <v>7</v>
      </c>
      <c r="M364" s="36">
        <f t="shared" si="175"/>
        <v>12</v>
      </c>
      <c r="N364" s="18">
        <v>5</v>
      </c>
      <c r="O364" s="16">
        <v>7</v>
      </c>
      <c r="P364" s="36">
        <f t="shared" si="176"/>
        <v>12</v>
      </c>
      <c r="Q364" s="17">
        <f t="shared" si="177"/>
        <v>24</v>
      </c>
      <c r="R364" s="81">
        <v>44551</v>
      </c>
    </row>
    <row r="365" spans="1:19" x14ac:dyDescent="0.15">
      <c r="A365" s="35" t="s">
        <v>132</v>
      </c>
      <c r="B365" s="15"/>
      <c r="C365" s="16"/>
      <c r="D365" s="36">
        <f t="shared" si="179"/>
        <v>0</v>
      </c>
      <c r="E365" s="18"/>
      <c r="F365" s="16">
        <v>1</v>
      </c>
      <c r="G365" s="36">
        <f t="shared" si="173"/>
        <v>1</v>
      </c>
      <c r="H365" s="17">
        <f t="shared" si="174"/>
        <v>1</v>
      </c>
      <c r="I365" s="84">
        <v>44539</v>
      </c>
      <c r="J365" s="72" t="s">
        <v>141</v>
      </c>
      <c r="K365" s="15">
        <v>5</v>
      </c>
      <c r="L365" s="16">
        <v>5</v>
      </c>
      <c r="M365" s="36">
        <f t="shared" si="175"/>
        <v>10</v>
      </c>
      <c r="N365" s="18">
        <v>5</v>
      </c>
      <c r="O365" s="16">
        <v>5</v>
      </c>
      <c r="P365" s="36">
        <f t="shared" si="176"/>
        <v>10</v>
      </c>
      <c r="Q365" s="17">
        <f t="shared" si="177"/>
        <v>20</v>
      </c>
      <c r="R365" s="81">
        <v>44557</v>
      </c>
    </row>
    <row r="366" spans="1:19" x14ac:dyDescent="0.15">
      <c r="A366" s="35" t="s">
        <v>56</v>
      </c>
      <c r="B366" s="15">
        <v>1</v>
      </c>
      <c r="C366" s="16"/>
      <c r="D366" s="36">
        <f t="shared" si="179"/>
        <v>1</v>
      </c>
      <c r="E366" s="18">
        <f>2+1</f>
        <v>3</v>
      </c>
      <c r="F366" s="16">
        <f>2+1+1</f>
        <v>4</v>
      </c>
      <c r="G366" s="36">
        <f t="shared" si="173"/>
        <v>7</v>
      </c>
      <c r="H366" s="17">
        <f t="shared" si="174"/>
        <v>8</v>
      </c>
      <c r="I366" s="84">
        <v>44543</v>
      </c>
      <c r="J366" s="35" t="s">
        <v>146</v>
      </c>
      <c r="K366" s="19">
        <v>50</v>
      </c>
      <c r="L366" s="20">
        <v>6</v>
      </c>
      <c r="M366" s="17">
        <f t="shared" si="175"/>
        <v>56</v>
      </c>
      <c r="N366" s="21">
        <v>20</v>
      </c>
      <c r="O366" s="20">
        <v>40</v>
      </c>
      <c r="P366" s="17">
        <f t="shared" si="176"/>
        <v>60</v>
      </c>
      <c r="Q366" s="17">
        <f t="shared" si="177"/>
        <v>116</v>
      </c>
      <c r="R366" s="81">
        <v>44208</v>
      </c>
    </row>
    <row r="367" spans="1:19" x14ac:dyDescent="0.15">
      <c r="A367" s="52" t="s">
        <v>135</v>
      </c>
      <c r="B367" s="23">
        <v>1</v>
      </c>
      <c r="C367" s="24"/>
      <c r="D367" s="36">
        <f t="shared" si="179"/>
        <v>1</v>
      </c>
      <c r="E367" s="25">
        <v>1</v>
      </c>
      <c r="F367" s="24"/>
      <c r="G367" s="36">
        <f t="shared" si="173"/>
        <v>1</v>
      </c>
      <c r="H367" s="17">
        <f t="shared" si="174"/>
        <v>2</v>
      </c>
      <c r="I367" s="81">
        <v>44545</v>
      </c>
      <c r="J367" s="10" t="s">
        <v>30</v>
      </c>
      <c r="K367" s="23">
        <v>10</v>
      </c>
      <c r="L367" s="24"/>
      <c r="M367" s="36">
        <f t="shared" si="175"/>
        <v>10</v>
      </c>
      <c r="N367" s="25"/>
      <c r="O367" s="24">
        <v>10</v>
      </c>
      <c r="P367" s="36">
        <f t="shared" si="176"/>
        <v>10</v>
      </c>
      <c r="Q367" s="17">
        <f t="shared" si="177"/>
        <v>20</v>
      </c>
      <c r="R367" s="81">
        <v>44558</v>
      </c>
    </row>
    <row r="368" spans="1:19" x14ac:dyDescent="0.15">
      <c r="A368" s="35" t="s">
        <v>56</v>
      </c>
      <c r="B368" s="15"/>
      <c r="C368" s="16"/>
      <c r="D368" s="36">
        <f t="shared" si="179"/>
        <v>0</v>
      </c>
      <c r="E368" s="18"/>
      <c r="F368" s="16">
        <v>1</v>
      </c>
      <c r="G368" s="36">
        <f t="shared" si="173"/>
        <v>1</v>
      </c>
      <c r="H368" s="17">
        <f t="shared" si="174"/>
        <v>1</v>
      </c>
      <c r="I368" s="81">
        <v>44545</v>
      </c>
      <c r="J368" s="35"/>
      <c r="K368" s="15"/>
      <c r="L368" s="16"/>
      <c r="M368" s="36">
        <f t="shared" si="175"/>
        <v>0</v>
      </c>
      <c r="N368" s="18"/>
      <c r="O368" s="16"/>
      <c r="P368" s="36">
        <f t="shared" si="176"/>
        <v>0</v>
      </c>
      <c r="Q368" s="17">
        <f t="shared" si="177"/>
        <v>0</v>
      </c>
    </row>
    <row r="369" spans="1:18" x14ac:dyDescent="0.15">
      <c r="A369" s="35" t="s">
        <v>56</v>
      </c>
      <c r="B369" s="15">
        <v>1</v>
      </c>
      <c r="C369" s="16"/>
      <c r="D369" s="36">
        <f t="shared" si="179"/>
        <v>1</v>
      </c>
      <c r="E369" s="18">
        <v>1</v>
      </c>
      <c r="F369" s="16">
        <v>2</v>
      </c>
      <c r="G369" s="36">
        <f t="shared" si="173"/>
        <v>3</v>
      </c>
      <c r="H369" s="17">
        <f t="shared" si="174"/>
        <v>4</v>
      </c>
      <c r="I369" s="84">
        <v>44547</v>
      </c>
      <c r="J369" s="35"/>
      <c r="K369" s="15"/>
      <c r="L369" s="16"/>
      <c r="M369" s="36">
        <f t="shared" si="175"/>
        <v>0</v>
      </c>
      <c r="N369" s="18"/>
      <c r="O369" s="16"/>
      <c r="P369" s="36">
        <f t="shared" si="176"/>
        <v>0</v>
      </c>
      <c r="Q369" s="17">
        <f t="shared" si="177"/>
        <v>0</v>
      </c>
    </row>
    <row r="370" spans="1:18" x14ac:dyDescent="0.15">
      <c r="A370" s="35" t="s">
        <v>56</v>
      </c>
      <c r="B370" s="15">
        <v>1</v>
      </c>
      <c r="C370" s="16"/>
      <c r="D370" s="36">
        <f t="shared" si="179"/>
        <v>1</v>
      </c>
      <c r="E370" s="18"/>
      <c r="F370" s="16"/>
      <c r="G370" s="36">
        <f t="shared" si="173"/>
        <v>0</v>
      </c>
      <c r="H370" s="17">
        <f t="shared" si="174"/>
        <v>1</v>
      </c>
      <c r="I370" s="84">
        <v>44548</v>
      </c>
      <c r="J370" s="35"/>
      <c r="K370" s="15"/>
      <c r="L370" s="16"/>
      <c r="M370" s="36">
        <f t="shared" si="175"/>
        <v>0</v>
      </c>
      <c r="N370" s="18"/>
      <c r="O370" s="16"/>
      <c r="P370" s="36">
        <f t="shared" si="176"/>
        <v>0</v>
      </c>
      <c r="Q370" s="17">
        <f t="shared" si="177"/>
        <v>0</v>
      </c>
    </row>
    <row r="371" spans="1:18" x14ac:dyDescent="0.15">
      <c r="A371" s="35" t="s">
        <v>56</v>
      </c>
      <c r="B371" s="15">
        <v>1</v>
      </c>
      <c r="C371" s="16"/>
      <c r="D371" s="17">
        <f t="shared" si="179"/>
        <v>1</v>
      </c>
      <c r="E371" s="18">
        <v>1</v>
      </c>
      <c r="F371" s="16"/>
      <c r="G371" s="17">
        <f t="shared" si="173"/>
        <v>1</v>
      </c>
      <c r="H371" s="17">
        <f t="shared" si="174"/>
        <v>2</v>
      </c>
      <c r="I371" s="84">
        <v>44550</v>
      </c>
      <c r="J371" s="10"/>
      <c r="K371" s="15"/>
      <c r="L371" s="16"/>
      <c r="M371" s="17">
        <f t="shared" si="175"/>
        <v>0</v>
      </c>
      <c r="N371" s="18"/>
      <c r="O371" s="16"/>
      <c r="P371" s="17">
        <f t="shared" si="176"/>
        <v>0</v>
      </c>
      <c r="Q371" s="17">
        <f t="shared" si="177"/>
        <v>0</v>
      </c>
    </row>
    <row r="372" spans="1:18" x14ac:dyDescent="0.15">
      <c r="A372" s="35" t="s">
        <v>56</v>
      </c>
      <c r="B372" s="15">
        <v>1</v>
      </c>
      <c r="C372" s="16"/>
      <c r="D372" s="36">
        <f t="shared" si="179"/>
        <v>1</v>
      </c>
      <c r="E372" s="18">
        <v>1</v>
      </c>
      <c r="F372" s="16"/>
      <c r="G372" s="36">
        <f t="shared" si="173"/>
        <v>1</v>
      </c>
      <c r="H372" s="17">
        <f t="shared" si="174"/>
        <v>2</v>
      </c>
      <c r="I372" s="84">
        <v>44551</v>
      </c>
      <c r="J372" s="35"/>
      <c r="K372" s="15"/>
      <c r="L372" s="16"/>
      <c r="M372" s="36">
        <f t="shared" si="175"/>
        <v>0</v>
      </c>
      <c r="N372" s="18"/>
      <c r="O372" s="16"/>
      <c r="P372" s="36">
        <f t="shared" si="176"/>
        <v>0</v>
      </c>
      <c r="Q372" s="17">
        <f t="shared" si="177"/>
        <v>0</v>
      </c>
    </row>
    <row r="373" spans="1:18" x14ac:dyDescent="0.15">
      <c r="A373" s="52" t="s">
        <v>142</v>
      </c>
      <c r="B373" s="15">
        <v>2</v>
      </c>
      <c r="C373" s="16">
        <v>5</v>
      </c>
      <c r="D373" s="36">
        <f t="shared" si="179"/>
        <v>7</v>
      </c>
      <c r="E373" s="18">
        <v>2</v>
      </c>
      <c r="F373" s="16">
        <v>5</v>
      </c>
      <c r="G373" s="36">
        <f t="shared" si="173"/>
        <v>7</v>
      </c>
      <c r="H373" s="17">
        <f t="shared" si="174"/>
        <v>14</v>
      </c>
      <c r="I373" s="81">
        <v>44553</v>
      </c>
      <c r="J373" s="37"/>
      <c r="K373" s="15"/>
      <c r="L373" s="16"/>
      <c r="M373" s="36">
        <f t="shared" si="175"/>
        <v>0</v>
      </c>
      <c r="N373" s="18"/>
      <c r="O373" s="16"/>
      <c r="P373" s="36">
        <f t="shared" si="176"/>
        <v>0</v>
      </c>
      <c r="Q373" s="17">
        <f t="shared" si="177"/>
        <v>0</v>
      </c>
    </row>
    <row r="374" spans="1:18" x14ac:dyDescent="0.15">
      <c r="A374" s="52" t="s">
        <v>145</v>
      </c>
      <c r="B374" s="15"/>
      <c r="C374" s="16">
        <v>2</v>
      </c>
      <c r="D374" s="36">
        <f t="shared" si="179"/>
        <v>2</v>
      </c>
      <c r="E374" s="18"/>
      <c r="F374" s="16">
        <v>2</v>
      </c>
      <c r="G374" s="36">
        <f t="shared" si="173"/>
        <v>2</v>
      </c>
      <c r="H374" s="17">
        <f t="shared" si="174"/>
        <v>4</v>
      </c>
      <c r="I374" s="81">
        <v>44554</v>
      </c>
      <c r="J374" s="37"/>
      <c r="K374" s="15"/>
      <c r="L374" s="16"/>
      <c r="M374" s="36">
        <f t="shared" si="175"/>
        <v>0</v>
      </c>
      <c r="N374" s="18"/>
      <c r="O374" s="16"/>
      <c r="P374" s="36">
        <f t="shared" si="176"/>
        <v>0</v>
      </c>
      <c r="Q374" s="17">
        <f t="shared" si="177"/>
        <v>0</v>
      </c>
    </row>
    <row r="375" spans="1:18" x14ac:dyDescent="0.15">
      <c r="A375" s="35" t="s">
        <v>56</v>
      </c>
      <c r="B375" s="15"/>
      <c r="C375" s="16"/>
      <c r="D375" s="36">
        <f t="shared" si="179"/>
        <v>0</v>
      </c>
      <c r="E375" s="18"/>
      <c r="F375" s="16">
        <v>2</v>
      </c>
      <c r="G375" s="36">
        <f t="shared" si="173"/>
        <v>2</v>
      </c>
      <c r="H375" s="17">
        <f t="shared" si="174"/>
        <v>2</v>
      </c>
      <c r="I375" s="84">
        <v>44553</v>
      </c>
      <c r="J375" s="35"/>
      <c r="K375" s="15"/>
      <c r="L375" s="16"/>
      <c r="M375" s="36">
        <f t="shared" si="175"/>
        <v>0</v>
      </c>
      <c r="N375" s="18"/>
      <c r="O375" s="16"/>
      <c r="P375" s="36">
        <f t="shared" si="176"/>
        <v>0</v>
      </c>
      <c r="Q375" s="17">
        <f t="shared" si="177"/>
        <v>0</v>
      </c>
    </row>
    <row r="376" spans="1:18" x14ac:dyDescent="0.15">
      <c r="A376" s="52" t="s">
        <v>60</v>
      </c>
      <c r="B376" s="15">
        <v>5</v>
      </c>
      <c r="C376" s="16">
        <v>4</v>
      </c>
      <c r="D376" s="36">
        <f t="shared" si="179"/>
        <v>9</v>
      </c>
      <c r="E376" s="18">
        <v>5</v>
      </c>
      <c r="F376" s="16">
        <v>4</v>
      </c>
      <c r="G376" s="36">
        <f t="shared" si="173"/>
        <v>9</v>
      </c>
      <c r="H376" s="17">
        <f t="shared" si="174"/>
        <v>18</v>
      </c>
      <c r="I376" s="81">
        <v>44557</v>
      </c>
      <c r="J376" s="38"/>
      <c r="K376" s="15"/>
      <c r="L376" s="16"/>
      <c r="M376" s="36">
        <f t="shared" si="175"/>
        <v>0</v>
      </c>
      <c r="N376" s="18"/>
      <c r="O376" s="16"/>
      <c r="P376" s="36">
        <f t="shared" si="176"/>
        <v>0</v>
      </c>
      <c r="Q376" s="17">
        <f t="shared" si="177"/>
        <v>0</v>
      </c>
    </row>
    <row r="377" spans="1:18" x14ac:dyDescent="0.15">
      <c r="A377" s="35" t="s">
        <v>56</v>
      </c>
      <c r="B377" s="15">
        <f>1+1</f>
        <v>2</v>
      </c>
      <c r="C377" s="16">
        <v>1</v>
      </c>
      <c r="D377" s="36">
        <f t="shared" si="179"/>
        <v>3</v>
      </c>
      <c r="E377" s="18">
        <f>1+3</f>
        <v>4</v>
      </c>
      <c r="F377" s="16">
        <v>3</v>
      </c>
      <c r="G377" s="36">
        <f t="shared" si="173"/>
        <v>7</v>
      </c>
      <c r="H377" s="17">
        <f t="shared" si="174"/>
        <v>10</v>
      </c>
      <c r="I377" s="81">
        <v>44557</v>
      </c>
      <c r="J377" s="35"/>
      <c r="K377" s="15"/>
      <c r="L377" s="16"/>
      <c r="M377" s="36">
        <f t="shared" si="175"/>
        <v>0</v>
      </c>
      <c r="N377" s="18"/>
      <c r="O377" s="16"/>
      <c r="P377" s="36">
        <f t="shared" si="176"/>
        <v>0</v>
      </c>
      <c r="Q377" s="17">
        <f t="shared" si="177"/>
        <v>0</v>
      </c>
    </row>
    <row r="378" spans="1:18" x14ac:dyDescent="0.15">
      <c r="A378" s="52" t="s">
        <v>150</v>
      </c>
      <c r="B378" s="15">
        <v>3</v>
      </c>
      <c r="C378" s="16">
        <v>4</v>
      </c>
      <c r="D378" s="36">
        <f t="shared" si="179"/>
        <v>7</v>
      </c>
      <c r="E378" s="18">
        <v>3</v>
      </c>
      <c r="F378" s="16">
        <v>4</v>
      </c>
      <c r="G378" s="36">
        <f t="shared" si="173"/>
        <v>7</v>
      </c>
      <c r="H378" s="17">
        <f t="shared" si="174"/>
        <v>14</v>
      </c>
      <c r="I378" s="81">
        <v>44201</v>
      </c>
      <c r="J378" s="38"/>
      <c r="K378" s="15"/>
      <c r="L378" s="16"/>
      <c r="M378" s="36">
        <f t="shared" si="175"/>
        <v>0</v>
      </c>
      <c r="N378" s="18"/>
      <c r="O378" s="16"/>
      <c r="P378" s="36">
        <f t="shared" si="176"/>
        <v>0</v>
      </c>
      <c r="Q378" s="17">
        <f t="shared" si="177"/>
        <v>0</v>
      </c>
    </row>
    <row r="379" spans="1:18" x14ac:dyDescent="0.15">
      <c r="A379" s="35" t="s">
        <v>56</v>
      </c>
      <c r="B379" s="15"/>
      <c r="C379" s="16">
        <v>1</v>
      </c>
      <c r="D379" s="36">
        <f t="shared" si="179"/>
        <v>1</v>
      </c>
      <c r="E379" s="18"/>
      <c r="F379" s="16">
        <v>1</v>
      </c>
      <c r="G379" s="36">
        <f t="shared" si="173"/>
        <v>1</v>
      </c>
      <c r="H379" s="17">
        <f t="shared" si="174"/>
        <v>2</v>
      </c>
      <c r="I379" s="81">
        <v>44558</v>
      </c>
      <c r="J379" s="35"/>
      <c r="K379" s="15"/>
      <c r="L379" s="16"/>
      <c r="M379" s="36">
        <f t="shared" si="175"/>
        <v>0</v>
      </c>
      <c r="N379" s="18"/>
      <c r="O379" s="16"/>
      <c r="P379" s="36">
        <f t="shared" si="176"/>
        <v>0</v>
      </c>
      <c r="Q379" s="17">
        <f t="shared" si="177"/>
        <v>0</v>
      </c>
    </row>
    <row r="380" spans="1:18" x14ac:dyDescent="0.15">
      <c r="A380" s="52" t="s">
        <v>151</v>
      </c>
      <c r="B380" s="15">
        <v>3</v>
      </c>
      <c r="C380" s="16">
        <v>3</v>
      </c>
      <c r="D380" s="17">
        <f>SUM(B380:C380)</f>
        <v>6</v>
      </c>
      <c r="E380" s="18">
        <v>3</v>
      </c>
      <c r="F380" s="16">
        <v>3</v>
      </c>
      <c r="G380" s="17">
        <f t="shared" si="173"/>
        <v>6</v>
      </c>
      <c r="H380" s="17">
        <f t="shared" si="174"/>
        <v>12</v>
      </c>
      <c r="I380" s="81">
        <v>44567</v>
      </c>
      <c r="J380" s="52"/>
      <c r="K380" s="15"/>
      <c r="L380" s="16"/>
      <c r="M380" s="17">
        <f>SUM(K380:L380)</f>
        <v>0</v>
      </c>
      <c r="N380" s="18"/>
      <c r="O380" s="16"/>
      <c r="P380" s="17">
        <f t="shared" si="176"/>
        <v>0</v>
      </c>
      <c r="Q380" s="17">
        <f t="shared" si="177"/>
        <v>0</v>
      </c>
    </row>
    <row r="381" spans="1:18" x14ac:dyDescent="0.15">
      <c r="A381" s="35" t="s">
        <v>56</v>
      </c>
      <c r="B381" s="15">
        <f>1+2</f>
        <v>3</v>
      </c>
      <c r="C381" s="16"/>
      <c r="D381" s="36">
        <f t="shared" ref="D381" si="180">SUM(B381:C381)</f>
        <v>3</v>
      </c>
      <c r="E381" s="18"/>
      <c r="F381" s="16">
        <v>1</v>
      </c>
      <c r="G381" s="36">
        <f t="shared" si="173"/>
        <v>1</v>
      </c>
      <c r="H381" s="17">
        <f t="shared" si="174"/>
        <v>4</v>
      </c>
      <c r="I381" s="84">
        <v>44566</v>
      </c>
      <c r="J381" s="35"/>
      <c r="K381" s="15"/>
      <c r="L381" s="16"/>
      <c r="M381" s="36">
        <f t="shared" ref="M381:M385" si="181">SUM(K381:L381)</f>
        <v>0</v>
      </c>
      <c r="N381" s="18"/>
      <c r="O381" s="16"/>
      <c r="P381" s="36">
        <f t="shared" si="176"/>
        <v>0</v>
      </c>
      <c r="Q381" s="17">
        <f t="shared" si="177"/>
        <v>0</v>
      </c>
      <c r="R381" s="83"/>
    </row>
    <row r="382" spans="1:18" x14ac:dyDescent="0.15">
      <c r="A382" s="52" t="s">
        <v>152</v>
      </c>
      <c r="B382" s="15">
        <v>1</v>
      </c>
      <c r="C382" s="16">
        <v>1</v>
      </c>
      <c r="D382" s="17">
        <f>SUM(B382:C382)</f>
        <v>2</v>
      </c>
      <c r="E382" s="18">
        <v>1</v>
      </c>
      <c r="F382" s="16">
        <v>1</v>
      </c>
      <c r="G382" s="17">
        <f t="shared" si="173"/>
        <v>2</v>
      </c>
      <c r="H382" s="17">
        <f t="shared" si="174"/>
        <v>4</v>
      </c>
      <c r="I382" s="81">
        <v>44568</v>
      </c>
      <c r="J382" s="35"/>
      <c r="K382" s="15"/>
      <c r="L382" s="16"/>
      <c r="M382" s="36">
        <f t="shared" si="181"/>
        <v>0</v>
      </c>
      <c r="N382" s="18"/>
      <c r="O382" s="16"/>
      <c r="P382" s="36">
        <f t="shared" si="176"/>
        <v>0</v>
      </c>
      <c r="Q382" s="17">
        <f t="shared" si="177"/>
        <v>0</v>
      </c>
      <c r="R382" s="83"/>
    </row>
    <row r="383" spans="1:18" ht="14.25" thickBot="1" x14ac:dyDescent="0.2">
      <c r="A383" s="52" t="s">
        <v>153</v>
      </c>
      <c r="B383" s="15">
        <v>1</v>
      </c>
      <c r="C383" s="16"/>
      <c r="D383" s="36">
        <f t="shared" ref="D383:D385" si="182">SUM(B383:C383)</f>
        <v>1</v>
      </c>
      <c r="E383" s="18">
        <v>1</v>
      </c>
      <c r="F383" s="16"/>
      <c r="G383" s="36">
        <f t="shared" si="173"/>
        <v>1</v>
      </c>
      <c r="H383" s="17">
        <f t="shared" si="174"/>
        <v>2</v>
      </c>
      <c r="I383" s="81">
        <v>44569</v>
      </c>
      <c r="J383" s="35" t="s">
        <v>123</v>
      </c>
      <c r="K383" s="15"/>
      <c r="L383" s="16"/>
      <c r="M383" s="36">
        <f t="shared" si="181"/>
        <v>0</v>
      </c>
      <c r="N383" s="18"/>
      <c r="O383" s="16"/>
      <c r="P383" s="36">
        <f t="shared" si="176"/>
        <v>0</v>
      </c>
      <c r="Q383" s="17">
        <f t="shared" si="177"/>
        <v>0</v>
      </c>
      <c r="R383" s="83" t="s">
        <v>124</v>
      </c>
    </row>
    <row r="384" spans="1:18" ht="14.25" thickBot="1" x14ac:dyDescent="0.2">
      <c r="A384" s="40" t="s">
        <v>14</v>
      </c>
      <c r="B384" s="41">
        <f>SUM(B358:B383)</f>
        <v>39</v>
      </c>
      <c r="C384" s="42">
        <f t="shared" ref="C384" si="183">SUM(C358:C383)</f>
        <v>27</v>
      </c>
      <c r="D384" s="43">
        <f t="shared" si="182"/>
        <v>66</v>
      </c>
      <c r="E384" s="41">
        <f>SUM(E358:E383)</f>
        <v>41</v>
      </c>
      <c r="F384" s="42">
        <f t="shared" ref="F384" si="184">SUM(F358:F383)</f>
        <v>44</v>
      </c>
      <c r="G384" s="43">
        <f t="shared" si="173"/>
        <v>85</v>
      </c>
      <c r="H384" s="43">
        <f t="shared" si="174"/>
        <v>151</v>
      </c>
      <c r="J384" s="40" t="s">
        <v>14</v>
      </c>
      <c r="K384" s="41">
        <f>SUM(K358:K383)</f>
        <v>96</v>
      </c>
      <c r="L384" s="42">
        <f t="shared" ref="L384" si="185">SUM(L358:L383)</f>
        <v>49</v>
      </c>
      <c r="M384" s="43">
        <f t="shared" si="181"/>
        <v>145</v>
      </c>
      <c r="N384" s="41">
        <f>SUM(N358:N383)</f>
        <v>66</v>
      </c>
      <c r="O384" s="42">
        <f t="shared" ref="O384" si="186">SUM(O358:O383)</f>
        <v>98</v>
      </c>
      <c r="P384" s="43">
        <f t="shared" si="176"/>
        <v>164</v>
      </c>
      <c r="Q384" s="43">
        <f t="shared" si="177"/>
        <v>309</v>
      </c>
    </row>
    <row r="385" spans="1:18" ht="14.25" thickBot="1" x14ac:dyDescent="0.2">
      <c r="A385" s="44" t="s">
        <v>15</v>
      </c>
      <c r="B385" s="45">
        <f>B357-B384</f>
        <v>7</v>
      </c>
      <c r="C385" s="46">
        <f t="shared" ref="C385" si="187">C357-C384</f>
        <v>9</v>
      </c>
      <c r="D385" s="47">
        <f t="shared" si="182"/>
        <v>16</v>
      </c>
      <c r="E385" s="45">
        <f>E357-E384</f>
        <v>3</v>
      </c>
      <c r="F385" s="46">
        <f t="shared" ref="F385" si="188">F357-F384</f>
        <v>9</v>
      </c>
      <c r="G385" s="47">
        <f t="shared" si="173"/>
        <v>12</v>
      </c>
      <c r="H385" s="34">
        <f t="shared" si="174"/>
        <v>28</v>
      </c>
      <c r="J385" s="44" t="s">
        <v>15</v>
      </c>
      <c r="K385" s="45">
        <f>K357-K384</f>
        <v>331</v>
      </c>
      <c r="L385" s="46">
        <f t="shared" ref="L385" si="189">L357-L384</f>
        <v>484</v>
      </c>
      <c r="M385" s="47">
        <f t="shared" si="181"/>
        <v>815</v>
      </c>
      <c r="N385" s="45">
        <f>N357-N384</f>
        <v>14</v>
      </c>
      <c r="O385" s="46">
        <f t="shared" ref="O385" si="190">O357-O384</f>
        <v>199</v>
      </c>
      <c r="P385" s="47">
        <f t="shared" si="176"/>
        <v>213</v>
      </c>
      <c r="Q385" s="34">
        <f t="shared" si="177"/>
        <v>1028</v>
      </c>
    </row>
    <row r="387" spans="1:18" x14ac:dyDescent="0.15">
      <c r="K387" s="69"/>
      <c r="L387" s="69"/>
      <c r="M387" s="69"/>
      <c r="N387" s="69"/>
      <c r="O387" s="69"/>
      <c r="P387" s="69"/>
    </row>
    <row r="388" spans="1:18" ht="19.5" thickBot="1" x14ac:dyDescent="0.25">
      <c r="A388" s="1" t="s">
        <v>23</v>
      </c>
      <c r="J388" s="1" t="s">
        <v>24</v>
      </c>
      <c r="K388" s="2"/>
      <c r="L388" s="2"/>
      <c r="M388" s="2"/>
      <c r="N388" s="2"/>
      <c r="O388" s="1" t="s">
        <v>34</v>
      </c>
      <c r="P388" s="2"/>
      <c r="Q388" s="2"/>
    </row>
    <row r="389" spans="1:18" ht="14.25" thickBot="1" x14ac:dyDescent="0.2">
      <c r="A389" s="3" t="s">
        <v>0</v>
      </c>
      <c r="B389" s="125" t="s">
        <v>18</v>
      </c>
      <c r="C389" s="126"/>
      <c r="D389" s="127"/>
      <c r="E389" s="125" t="s">
        <v>19</v>
      </c>
      <c r="F389" s="126"/>
      <c r="G389" s="128"/>
      <c r="H389" s="129" t="s">
        <v>1</v>
      </c>
      <c r="J389" s="3" t="s">
        <v>0</v>
      </c>
      <c r="K389" s="125" t="s">
        <v>18</v>
      </c>
      <c r="L389" s="126"/>
      <c r="M389" s="127"/>
      <c r="N389" s="125" t="s">
        <v>19</v>
      </c>
      <c r="O389" s="126"/>
      <c r="P389" s="128"/>
      <c r="Q389" s="129" t="s">
        <v>1</v>
      </c>
    </row>
    <row r="390" spans="1:18" ht="14.25" thickBot="1" x14ac:dyDescent="0.2">
      <c r="A390" s="3" t="s">
        <v>2</v>
      </c>
      <c r="B390" s="4" t="s">
        <v>16</v>
      </c>
      <c r="C390" s="5" t="s">
        <v>17</v>
      </c>
      <c r="D390" s="3" t="s">
        <v>3</v>
      </c>
      <c r="E390" s="4" t="s">
        <v>16</v>
      </c>
      <c r="F390" s="5" t="s">
        <v>17</v>
      </c>
      <c r="G390" s="3" t="s">
        <v>3</v>
      </c>
      <c r="H390" s="130"/>
      <c r="J390" s="3" t="s">
        <v>2</v>
      </c>
      <c r="K390" s="4" t="s">
        <v>16</v>
      </c>
      <c r="L390" s="5" t="s">
        <v>17</v>
      </c>
      <c r="M390" s="3" t="s">
        <v>3</v>
      </c>
      <c r="N390" s="4" t="s">
        <v>16</v>
      </c>
      <c r="O390" s="5" t="s">
        <v>17</v>
      </c>
      <c r="P390" s="3" t="s">
        <v>3</v>
      </c>
      <c r="Q390" s="130"/>
    </row>
    <row r="391" spans="1:18" ht="14.25" thickBot="1" x14ac:dyDescent="0.2">
      <c r="A391" s="6" t="s">
        <v>55</v>
      </c>
      <c r="B391" s="32">
        <f>B385</f>
        <v>7</v>
      </c>
      <c r="C391" s="33">
        <f>C385</f>
        <v>9</v>
      </c>
      <c r="D391" s="34">
        <f t="shared" ref="D391:D403" si="191">SUM(B391:C391)</f>
        <v>16</v>
      </c>
      <c r="E391" s="32">
        <f>E385</f>
        <v>3</v>
      </c>
      <c r="F391" s="33">
        <f>F385</f>
        <v>9</v>
      </c>
      <c r="G391" s="34">
        <f t="shared" ref="G391:G428" si="192">SUM(E391:F391)</f>
        <v>12</v>
      </c>
      <c r="H391" s="34">
        <f t="shared" ref="H391:H428" si="193">D391+G391</f>
        <v>28</v>
      </c>
      <c r="J391" s="6" t="s">
        <v>55</v>
      </c>
      <c r="K391" s="7">
        <f>K385</f>
        <v>331</v>
      </c>
      <c r="L391" s="8">
        <f>L385</f>
        <v>484</v>
      </c>
      <c r="M391" s="9">
        <f t="shared" ref="M391:M423" si="194">SUM(K391:L391)</f>
        <v>815</v>
      </c>
      <c r="N391" s="7">
        <f>N385</f>
        <v>14</v>
      </c>
      <c r="O391" s="8">
        <f>O385</f>
        <v>199</v>
      </c>
      <c r="P391" s="9">
        <f t="shared" ref="P391:P428" si="195">SUM(N391:O391)</f>
        <v>213</v>
      </c>
      <c r="Q391" s="9">
        <f t="shared" ref="Q391:Q428" si="196">M391+P391</f>
        <v>1028</v>
      </c>
    </row>
    <row r="392" spans="1:18" x14ac:dyDescent="0.15">
      <c r="A392" s="10" t="s">
        <v>5</v>
      </c>
      <c r="B392" s="64">
        <v>15</v>
      </c>
      <c r="C392" s="65">
        <v>10</v>
      </c>
      <c r="D392" s="36">
        <f t="shared" si="191"/>
        <v>25</v>
      </c>
      <c r="E392" s="66">
        <v>14</v>
      </c>
      <c r="F392" s="65">
        <v>10</v>
      </c>
      <c r="G392" s="36">
        <f t="shared" si="192"/>
        <v>24</v>
      </c>
      <c r="H392" s="36">
        <f t="shared" si="193"/>
        <v>49</v>
      </c>
      <c r="I392" s="81">
        <v>44569</v>
      </c>
      <c r="J392" s="10" t="s">
        <v>5</v>
      </c>
      <c r="K392" s="11"/>
      <c r="L392" s="12"/>
      <c r="M392" s="13">
        <f t="shared" si="194"/>
        <v>0</v>
      </c>
      <c r="N392" s="62"/>
      <c r="O392" s="12"/>
      <c r="P392" s="13">
        <f t="shared" si="195"/>
        <v>0</v>
      </c>
      <c r="Q392" s="13">
        <f t="shared" si="196"/>
        <v>0</v>
      </c>
      <c r="R392" s="83"/>
    </row>
    <row r="393" spans="1:18" x14ac:dyDescent="0.15">
      <c r="A393" s="10" t="s">
        <v>61</v>
      </c>
      <c r="B393" s="15">
        <v>1</v>
      </c>
      <c r="C393" s="16">
        <v>1</v>
      </c>
      <c r="D393" s="17">
        <f t="shared" si="191"/>
        <v>2</v>
      </c>
      <c r="E393" s="16">
        <v>1</v>
      </c>
      <c r="F393" s="16">
        <v>1</v>
      </c>
      <c r="G393" s="17">
        <f t="shared" si="192"/>
        <v>2</v>
      </c>
      <c r="H393" s="17">
        <f t="shared" si="193"/>
        <v>4</v>
      </c>
      <c r="I393" s="81">
        <v>44574</v>
      </c>
      <c r="J393" s="10" t="s">
        <v>6</v>
      </c>
      <c r="K393" s="15"/>
      <c r="L393" s="16"/>
      <c r="M393" s="17">
        <f t="shared" si="194"/>
        <v>0</v>
      </c>
      <c r="N393" s="18"/>
      <c r="O393" s="16"/>
      <c r="P393" s="17">
        <f t="shared" si="195"/>
        <v>0</v>
      </c>
      <c r="Q393" s="17">
        <f t="shared" si="196"/>
        <v>0</v>
      </c>
      <c r="R393" s="83"/>
    </row>
    <row r="394" spans="1:18" x14ac:dyDescent="0.15">
      <c r="A394" s="10" t="s">
        <v>7</v>
      </c>
      <c r="B394" s="19"/>
      <c r="C394" s="20">
        <v>10</v>
      </c>
      <c r="D394" s="17">
        <f t="shared" si="191"/>
        <v>10</v>
      </c>
      <c r="E394" s="21"/>
      <c r="F394" s="20">
        <v>10</v>
      </c>
      <c r="G394" s="17">
        <f t="shared" si="192"/>
        <v>10</v>
      </c>
      <c r="H394" s="17">
        <f t="shared" si="193"/>
        <v>20</v>
      </c>
      <c r="I394" s="81">
        <v>44576</v>
      </c>
      <c r="J394" s="10" t="s">
        <v>7</v>
      </c>
      <c r="K394" s="19"/>
      <c r="L394" s="20"/>
      <c r="M394" s="17">
        <f t="shared" si="194"/>
        <v>0</v>
      </c>
      <c r="N394" s="21"/>
      <c r="O394" s="20"/>
      <c r="P394" s="17">
        <f t="shared" si="195"/>
        <v>0</v>
      </c>
      <c r="Q394" s="17">
        <f t="shared" si="196"/>
        <v>0</v>
      </c>
      <c r="R394" s="81"/>
    </row>
    <row r="395" spans="1:18" x14ac:dyDescent="0.15">
      <c r="A395" s="10" t="s">
        <v>8</v>
      </c>
      <c r="B395" s="15"/>
      <c r="C395" s="16"/>
      <c r="D395" s="17">
        <f t="shared" si="191"/>
        <v>0</v>
      </c>
      <c r="E395" s="18"/>
      <c r="F395" s="16"/>
      <c r="G395" s="17">
        <f t="shared" si="192"/>
        <v>0</v>
      </c>
      <c r="H395" s="17">
        <f t="shared" si="193"/>
        <v>0</v>
      </c>
      <c r="I395" s="81"/>
      <c r="J395" s="10" t="s">
        <v>8</v>
      </c>
      <c r="K395" s="15"/>
      <c r="L395" s="16"/>
      <c r="M395" s="17">
        <f t="shared" si="194"/>
        <v>0</v>
      </c>
      <c r="N395" s="18"/>
      <c r="O395" s="16"/>
      <c r="P395" s="17">
        <f t="shared" si="195"/>
        <v>0</v>
      </c>
      <c r="Q395" s="17">
        <f t="shared" si="196"/>
        <v>0</v>
      </c>
      <c r="R395" s="83"/>
    </row>
    <row r="396" spans="1:18" x14ac:dyDescent="0.15">
      <c r="A396" s="10" t="s">
        <v>9</v>
      </c>
      <c r="B396" s="15"/>
      <c r="C396" s="16"/>
      <c r="D396" s="17">
        <f t="shared" si="191"/>
        <v>0</v>
      </c>
      <c r="E396" s="18"/>
      <c r="F396" s="16"/>
      <c r="G396" s="17">
        <f t="shared" si="192"/>
        <v>0</v>
      </c>
      <c r="H396" s="17">
        <f t="shared" si="193"/>
        <v>0</v>
      </c>
      <c r="I396" s="81"/>
      <c r="J396" s="10" t="s">
        <v>9</v>
      </c>
      <c r="K396" s="15"/>
      <c r="L396" s="16"/>
      <c r="M396" s="17">
        <f t="shared" si="194"/>
        <v>0</v>
      </c>
      <c r="N396" s="18"/>
      <c r="O396" s="16"/>
      <c r="P396" s="17">
        <f t="shared" si="195"/>
        <v>0</v>
      </c>
      <c r="Q396" s="17">
        <f t="shared" si="196"/>
        <v>0</v>
      </c>
      <c r="R396" s="83"/>
    </row>
    <row r="397" spans="1:18" x14ac:dyDescent="0.15">
      <c r="A397" s="10" t="s">
        <v>10</v>
      </c>
      <c r="B397" s="15"/>
      <c r="C397" s="16"/>
      <c r="D397" s="17">
        <f t="shared" si="191"/>
        <v>0</v>
      </c>
      <c r="E397" s="18"/>
      <c r="F397" s="16"/>
      <c r="G397" s="17">
        <f t="shared" si="192"/>
        <v>0</v>
      </c>
      <c r="H397" s="17">
        <f t="shared" si="193"/>
        <v>0</v>
      </c>
      <c r="I397" s="81"/>
      <c r="J397" s="10" t="s">
        <v>10</v>
      </c>
      <c r="K397" s="15"/>
      <c r="L397" s="16"/>
      <c r="M397" s="17">
        <f t="shared" si="194"/>
        <v>0</v>
      </c>
      <c r="N397" s="18"/>
      <c r="O397" s="16"/>
      <c r="P397" s="17">
        <f t="shared" si="195"/>
        <v>0</v>
      </c>
      <c r="Q397" s="17">
        <f t="shared" si="196"/>
        <v>0</v>
      </c>
      <c r="R397" s="83"/>
    </row>
    <row r="398" spans="1:18" x14ac:dyDescent="0.15">
      <c r="A398" s="10" t="s">
        <v>11</v>
      </c>
      <c r="B398" s="23"/>
      <c r="C398" s="24"/>
      <c r="D398" s="17">
        <f t="shared" si="191"/>
        <v>0</v>
      </c>
      <c r="E398" s="25"/>
      <c r="F398" s="24"/>
      <c r="G398" s="17">
        <f t="shared" si="192"/>
        <v>0</v>
      </c>
      <c r="H398" s="17">
        <f t="shared" si="193"/>
        <v>0</v>
      </c>
      <c r="I398" s="84"/>
      <c r="J398" s="10" t="s">
        <v>11</v>
      </c>
      <c r="K398" s="23"/>
      <c r="L398" s="24"/>
      <c r="M398" s="17">
        <f t="shared" si="194"/>
        <v>0</v>
      </c>
      <c r="N398" s="25"/>
      <c r="O398" s="24"/>
      <c r="P398" s="17">
        <f t="shared" si="195"/>
        <v>0</v>
      </c>
      <c r="Q398" s="17">
        <f t="shared" si="196"/>
        <v>0</v>
      </c>
      <c r="R398" s="83"/>
    </row>
    <row r="399" spans="1:18" ht="14.25" thickBot="1" x14ac:dyDescent="0.2">
      <c r="A399" s="10" t="s">
        <v>12</v>
      </c>
      <c r="B399" s="26"/>
      <c r="C399" s="27"/>
      <c r="D399" s="28">
        <f t="shared" si="191"/>
        <v>0</v>
      </c>
      <c r="E399" s="29"/>
      <c r="F399" s="29"/>
      <c r="G399" s="28">
        <f t="shared" si="192"/>
        <v>0</v>
      </c>
      <c r="H399" s="30">
        <f t="shared" si="193"/>
        <v>0</v>
      </c>
      <c r="I399" s="81"/>
      <c r="J399" s="10" t="s">
        <v>12</v>
      </c>
      <c r="K399" s="26"/>
      <c r="L399" s="27"/>
      <c r="M399" s="28">
        <f t="shared" si="194"/>
        <v>0</v>
      </c>
      <c r="N399" s="29"/>
      <c r="O399" s="29"/>
      <c r="P399" s="28">
        <f t="shared" si="195"/>
        <v>0</v>
      </c>
      <c r="Q399" s="30">
        <f t="shared" si="196"/>
        <v>0</v>
      </c>
      <c r="R399" s="83"/>
    </row>
    <row r="400" spans="1:18" ht="14.25" thickBot="1" x14ac:dyDescent="0.2">
      <c r="A400" s="31" t="s">
        <v>13</v>
      </c>
      <c r="B400" s="32">
        <f>SUM(B391:B399)</f>
        <v>23</v>
      </c>
      <c r="C400" s="33">
        <f>SUM(C391:C399)</f>
        <v>30</v>
      </c>
      <c r="D400" s="34">
        <f t="shared" si="191"/>
        <v>53</v>
      </c>
      <c r="E400" s="32">
        <f>SUM(E391:E399)</f>
        <v>18</v>
      </c>
      <c r="F400" s="33">
        <f>SUM(F391:F399)</f>
        <v>30</v>
      </c>
      <c r="G400" s="34">
        <f t="shared" si="192"/>
        <v>48</v>
      </c>
      <c r="H400" s="34">
        <f t="shared" si="193"/>
        <v>101</v>
      </c>
      <c r="J400" s="31" t="s">
        <v>13</v>
      </c>
      <c r="K400" s="32">
        <f>SUM(K391:K399)</f>
        <v>331</v>
      </c>
      <c r="L400" s="33">
        <f>SUM(L391:L399)</f>
        <v>484</v>
      </c>
      <c r="M400" s="34">
        <f t="shared" si="194"/>
        <v>815</v>
      </c>
      <c r="N400" s="32">
        <f>SUM(N391:N399)</f>
        <v>14</v>
      </c>
      <c r="O400" s="33">
        <f>SUM(O391:O399)</f>
        <v>199</v>
      </c>
      <c r="P400" s="34">
        <f t="shared" si="195"/>
        <v>213</v>
      </c>
      <c r="Q400" s="34">
        <f t="shared" si="196"/>
        <v>1028</v>
      </c>
    </row>
    <row r="401" spans="1:19" x14ac:dyDescent="0.15">
      <c r="A401" s="35" t="s">
        <v>56</v>
      </c>
      <c r="B401" s="48">
        <v>1</v>
      </c>
      <c r="C401" s="49"/>
      <c r="D401" s="50">
        <f t="shared" si="191"/>
        <v>1</v>
      </c>
      <c r="E401" s="51">
        <v>2</v>
      </c>
      <c r="F401" s="49"/>
      <c r="G401" s="50">
        <f t="shared" si="192"/>
        <v>2</v>
      </c>
      <c r="H401" s="50">
        <f t="shared" si="193"/>
        <v>3</v>
      </c>
      <c r="I401" s="84">
        <v>44568</v>
      </c>
      <c r="J401" s="52" t="s">
        <v>154</v>
      </c>
      <c r="K401" s="64">
        <v>15</v>
      </c>
      <c r="L401" s="65">
        <v>10</v>
      </c>
      <c r="M401" s="36">
        <f t="shared" si="194"/>
        <v>25</v>
      </c>
      <c r="N401" s="66">
        <v>14</v>
      </c>
      <c r="O401" s="65">
        <v>10</v>
      </c>
      <c r="P401" s="36">
        <f t="shared" si="195"/>
        <v>24</v>
      </c>
      <c r="Q401" s="36">
        <f t="shared" si="196"/>
        <v>49</v>
      </c>
      <c r="R401" s="81">
        <v>44569</v>
      </c>
      <c r="S401" s="22"/>
    </row>
    <row r="402" spans="1:19" x14ac:dyDescent="0.15">
      <c r="A402" s="35" t="s">
        <v>56</v>
      </c>
      <c r="B402" s="19">
        <f>2+1</f>
        <v>3</v>
      </c>
      <c r="C402" s="20">
        <v>1</v>
      </c>
      <c r="D402" s="36">
        <f t="shared" si="191"/>
        <v>4</v>
      </c>
      <c r="E402" s="21">
        <f>2+1</f>
        <v>3</v>
      </c>
      <c r="F402" s="20"/>
      <c r="G402" s="36">
        <f t="shared" si="192"/>
        <v>3</v>
      </c>
      <c r="H402" s="36">
        <f t="shared" si="193"/>
        <v>7</v>
      </c>
      <c r="I402" s="81">
        <v>44572</v>
      </c>
      <c r="J402" s="52" t="s">
        <v>30</v>
      </c>
      <c r="K402" s="15"/>
      <c r="L402" s="16">
        <v>10</v>
      </c>
      <c r="M402" s="36">
        <f t="shared" si="194"/>
        <v>10</v>
      </c>
      <c r="N402" s="18"/>
      <c r="O402" s="16">
        <v>10</v>
      </c>
      <c r="P402" s="36">
        <f t="shared" si="195"/>
        <v>10</v>
      </c>
      <c r="Q402" s="17">
        <f t="shared" si="196"/>
        <v>20</v>
      </c>
      <c r="R402" s="81">
        <v>44576</v>
      </c>
      <c r="S402" s="22"/>
    </row>
    <row r="403" spans="1:19" x14ac:dyDescent="0.15">
      <c r="A403" s="52" t="s">
        <v>155</v>
      </c>
      <c r="B403" s="15">
        <v>1</v>
      </c>
      <c r="C403" s="16">
        <v>1</v>
      </c>
      <c r="D403" s="36">
        <f t="shared" si="191"/>
        <v>2</v>
      </c>
      <c r="E403" s="18">
        <v>1</v>
      </c>
      <c r="F403" s="16">
        <v>1</v>
      </c>
      <c r="G403" s="36">
        <f t="shared" si="192"/>
        <v>2</v>
      </c>
      <c r="H403" s="17">
        <f t="shared" si="193"/>
        <v>4</v>
      </c>
      <c r="I403" s="81">
        <v>44574</v>
      </c>
      <c r="J403" s="10"/>
      <c r="K403" s="19"/>
      <c r="L403" s="20"/>
      <c r="M403" s="17">
        <f t="shared" si="194"/>
        <v>0</v>
      </c>
      <c r="N403" s="21"/>
      <c r="O403" s="20"/>
      <c r="P403" s="17">
        <f t="shared" si="195"/>
        <v>0</v>
      </c>
      <c r="Q403" s="17">
        <f t="shared" si="196"/>
        <v>0</v>
      </c>
      <c r="R403" s="81"/>
      <c r="S403" s="22"/>
    </row>
    <row r="404" spans="1:19" x14ac:dyDescent="0.15">
      <c r="A404" s="35" t="s">
        <v>56</v>
      </c>
      <c r="B404" s="15"/>
      <c r="C404" s="16"/>
      <c r="D404" s="17">
        <f>SUM(B404:C404)</f>
        <v>0</v>
      </c>
      <c r="E404" s="18"/>
      <c r="F404" s="16">
        <v>1</v>
      </c>
      <c r="G404" s="17">
        <f t="shared" si="192"/>
        <v>1</v>
      </c>
      <c r="H404" s="17">
        <f t="shared" si="193"/>
        <v>1</v>
      </c>
      <c r="I404" s="81">
        <v>44573</v>
      </c>
      <c r="J404" s="52"/>
      <c r="K404" s="15"/>
      <c r="L404" s="16"/>
      <c r="M404" s="17">
        <f t="shared" si="194"/>
        <v>0</v>
      </c>
      <c r="N404" s="18"/>
      <c r="O404" s="16"/>
      <c r="P404" s="17">
        <f t="shared" si="195"/>
        <v>0</v>
      </c>
      <c r="Q404" s="17">
        <f t="shared" si="196"/>
        <v>0</v>
      </c>
      <c r="R404" s="81"/>
      <c r="S404" s="22"/>
    </row>
    <row r="405" spans="1:19" x14ac:dyDescent="0.15">
      <c r="A405" s="35" t="s">
        <v>56</v>
      </c>
      <c r="B405" s="15">
        <v>1</v>
      </c>
      <c r="C405" s="16"/>
      <c r="D405" s="36">
        <f t="shared" ref="D405:D422" si="197">SUM(B405:C405)</f>
        <v>1</v>
      </c>
      <c r="E405" s="18"/>
      <c r="F405" s="16"/>
      <c r="G405" s="36">
        <f t="shared" si="192"/>
        <v>0</v>
      </c>
      <c r="H405" s="17">
        <f t="shared" si="193"/>
        <v>1</v>
      </c>
      <c r="I405" s="84">
        <v>44574</v>
      </c>
      <c r="J405" s="10"/>
      <c r="K405" s="15"/>
      <c r="L405" s="16"/>
      <c r="M405" s="17">
        <f t="shared" si="194"/>
        <v>0</v>
      </c>
      <c r="N405" s="18"/>
      <c r="O405" s="16"/>
      <c r="P405" s="17">
        <f t="shared" si="195"/>
        <v>0</v>
      </c>
      <c r="Q405" s="17">
        <f t="shared" si="196"/>
        <v>0</v>
      </c>
      <c r="R405" s="81"/>
      <c r="S405" s="22"/>
    </row>
    <row r="406" spans="1:19" x14ac:dyDescent="0.15">
      <c r="A406" s="52" t="s">
        <v>158</v>
      </c>
      <c r="B406" s="15"/>
      <c r="C406" s="16">
        <v>5</v>
      </c>
      <c r="D406" s="36">
        <f t="shared" si="197"/>
        <v>5</v>
      </c>
      <c r="E406" s="18"/>
      <c r="F406" s="16">
        <v>5</v>
      </c>
      <c r="G406" s="36">
        <f t="shared" si="192"/>
        <v>5</v>
      </c>
      <c r="H406" s="17">
        <f t="shared" si="193"/>
        <v>10</v>
      </c>
      <c r="I406" s="81">
        <v>44578</v>
      </c>
      <c r="J406" s="10"/>
      <c r="K406" s="15"/>
      <c r="L406" s="16"/>
      <c r="M406" s="36">
        <f t="shared" si="194"/>
        <v>0</v>
      </c>
      <c r="N406" s="18"/>
      <c r="O406" s="16"/>
      <c r="P406" s="36">
        <f t="shared" si="195"/>
        <v>0</v>
      </c>
      <c r="Q406" s="17">
        <f t="shared" si="196"/>
        <v>0</v>
      </c>
      <c r="R406" s="81"/>
      <c r="S406" s="22"/>
    </row>
    <row r="407" spans="1:19" x14ac:dyDescent="0.15">
      <c r="A407" s="35" t="s">
        <v>56</v>
      </c>
      <c r="B407" s="15"/>
      <c r="C407" s="16"/>
      <c r="D407" s="36">
        <f t="shared" si="197"/>
        <v>0</v>
      </c>
      <c r="E407" s="18"/>
      <c r="F407" s="16">
        <v>2</v>
      </c>
      <c r="G407" s="36">
        <f t="shared" si="192"/>
        <v>2</v>
      </c>
      <c r="H407" s="17">
        <f t="shared" si="193"/>
        <v>2</v>
      </c>
      <c r="I407" s="84">
        <v>44576</v>
      </c>
      <c r="J407" s="10"/>
      <c r="K407" s="15"/>
      <c r="L407" s="16"/>
      <c r="M407" s="36">
        <f t="shared" si="194"/>
        <v>0</v>
      </c>
      <c r="N407" s="18"/>
      <c r="O407" s="16"/>
      <c r="P407" s="36">
        <f t="shared" si="195"/>
        <v>0</v>
      </c>
      <c r="Q407" s="17">
        <f t="shared" si="196"/>
        <v>0</v>
      </c>
      <c r="R407" s="81"/>
      <c r="S407" s="22"/>
    </row>
    <row r="408" spans="1:19" x14ac:dyDescent="0.15">
      <c r="A408" s="52" t="s">
        <v>160</v>
      </c>
      <c r="B408" s="15"/>
      <c r="C408" s="16">
        <v>1</v>
      </c>
      <c r="D408" s="36">
        <f t="shared" si="197"/>
        <v>1</v>
      </c>
      <c r="E408" s="18"/>
      <c r="F408" s="16">
        <v>1</v>
      </c>
      <c r="G408" s="36">
        <f t="shared" si="192"/>
        <v>1</v>
      </c>
      <c r="H408" s="17">
        <f t="shared" si="193"/>
        <v>2</v>
      </c>
      <c r="I408" s="81">
        <v>44579</v>
      </c>
      <c r="J408" s="52"/>
      <c r="K408" s="15"/>
      <c r="L408" s="16"/>
      <c r="M408" s="36">
        <f t="shared" si="194"/>
        <v>0</v>
      </c>
      <c r="N408" s="18"/>
      <c r="O408" s="16"/>
      <c r="P408" s="36">
        <f t="shared" si="195"/>
        <v>0</v>
      </c>
      <c r="Q408" s="17">
        <f t="shared" si="196"/>
        <v>0</v>
      </c>
      <c r="R408" s="81"/>
      <c r="S408" s="22"/>
    </row>
    <row r="409" spans="1:19" x14ac:dyDescent="0.15">
      <c r="A409" s="35" t="s">
        <v>56</v>
      </c>
      <c r="B409" s="15">
        <v>2</v>
      </c>
      <c r="C409" s="16">
        <v>3</v>
      </c>
      <c r="D409" s="36">
        <f t="shared" si="197"/>
        <v>5</v>
      </c>
      <c r="E409" s="18">
        <v>2</v>
      </c>
      <c r="F409" s="16"/>
      <c r="G409" s="36">
        <f t="shared" si="192"/>
        <v>2</v>
      </c>
      <c r="H409" s="17">
        <f t="shared" si="193"/>
        <v>7</v>
      </c>
      <c r="I409" s="84">
        <v>44578</v>
      </c>
      <c r="J409" s="10"/>
      <c r="K409" s="19"/>
      <c r="L409" s="20"/>
      <c r="M409" s="17">
        <f t="shared" si="194"/>
        <v>0</v>
      </c>
      <c r="N409" s="21"/>
      <c r="O409" s="20"/>
      <c r="P409" s="17">
        <f t="shared" si="195"/>
        <v>0</v>
      </c>
      <c r="Q409" s="17">
        <f t="shared" si="196"/>
        <v>0</v>
      </c>
      <c r="R409" s="83"/>
      <c r="S409" s="22"/>
    </row>
    <row r="410" spans="1:19" x14ac:dyDescent="0.15">
      <c r="A410" s="35"/>
      <c r="B410" s="23"/>
      <c r="C410" s="24"/>
      <c r="D410" s="36">
        <f t="shared" si="197"/>
        <v>0</v>
      </c>
      <c r="E410" s="25"/>
      <c r="F410" s="24"/>
      <c r="G410" s="36">
        <f t="shared" si="192"/>
        <v>0</v>
      </c>
      <c r="H410" s="17">
        <f t="shared" si="193"/>
        <v>0</v>
      </c>
      <c r="I410" s="84"/>
      <c r="J410" s="35"/>
      <c r="K410" s="23"/>
      <c r="L410" s="24"/>
      <c r="M410" s="36">
        <f t="shared" si="194"/>
        <v>0</v>
      </c>
      <c r="N410" s="25"/>
      <c r="O410" s="24"/>
      <c r="P410" s="36">
        <f t="shared" si="195"/>
        <v>0</v>
      </c>
      <c r="Q410" s="17">
        <f t="shared" si="196"/>
        <v>0</v>
      </c>
      <c r="R410" s="83"/>
      <c r="S410" s="22"/>
    </row>
    <row r="411" spans="1:19" x14ac:dyDescent="0.15">
      <c r="A411" s="35"/>
      <c r="B411" s="15"/>
      <c r="C411" s="16"/>
      <c r="D411" s="36">
        <f t="shared" si="197"/>
        <v>0</v>
      </c>
      <c r="E411" s="18"/>
      <c r="F411" s="16"/>
      <c r="G411" s="36">
        <f t="shared" si="192"/>
        <v>0</v>
      </c>
      <c r="H411" s="17">
        <f t="shared" si="193"/>
        <v>0</v>
      </c>
      <c r="I411" s="84"/>
      <c r="J411" s="35"/>
      <c r="K411" s="15"/>
      <c r="L411" s="16"/>
      <c r="M411" s="36">
        <f t="shared" si="194"/>
        <v>0</v>
      </c>
      <c r="N411" s="18"/>
      <c r="O411" s="16"/>
      <c r="P411" s="36">
        <f t="shared" si="195"/>
        <v>0</v>
      </c>
      <c r="Q411" s="17">
        <f t="shared" si="196"/>
        <v>0</v>
      </c>
      <c r="R411" s="83"/>
      <c r="S411" s="22"/>
    </row>
    <row r="412" spans="1:19" x14ac:dyDescent="0.15">
      <c r="A412" s="35"/>
      <c r="B412" s="15"/>
      <c r="C412" s="16"/>
      <c r="D412" s="36">
        <f t="shared" si="197"/>
        <v>0</v>
      </c>
      <c r="E412" s="18"/>
      <c r="F412" s="16"/>
      <c r="G412" s="36">
        <f t="shared" si="192"/>
        <v>0</v>
      </c>
      <c r="H412" s="17">
        <f t="shared" si="193"/>
        <v>0</v>
      </c>
      <c r="I412" s="84"/>
      <c r="J412" s="35"/>
      <c r="K412" s="15"/>
      <c r="L412" s="16"/>
      <c r="M412" s="36">
        <f t="shared" si="194"/>
        <v>0</v>
      </c>
      <c r="N412" s="18"/>
      <c r="O412" s="16"/>
      <c r="P412" s="36">
        <f t="shared" si="195"/>
        <v>0</v>
      </c>
      <c r="Q412" s="17">
        <f t="shared" si="196"/>
        <v>0</v>
      </c>
      <c r="R412" s="83"/>
      <c r="S412" s="22"/>
    </row>
    <row r="413" spans="1:19" x14ac:dyDescent="0.15">
      <c r="A413" s="35"/>
      <c r="B413" s="15"/>
      <c r="C413" s="16"/>
      <c r="D413" s="36">
        <f t="shared" si="197"/>
        <v>0</v>
      </c>
      <c r="E413" s="18"/>
      <c r="F413" s="16"/>
      <c r="G413" s="36">
        <f t="shared" si="192"/>
        <v>0</v>
      </c>
      <c r="H413" s="17">
        <f t="shared" si="193"/>
        <v>0</v>
      </c>
      <c r="I413" s="84"/>
      <c r="J413" s="35"/>
      <c r="K413" s="15"/>
      <c r="L413" s="16"/>
      <c r="M413" s="36">
        <f t="shared" si="194"/>
        <v>0</v>
      </c>
      <c r="N413" s="18"/>
      <c r="O413" s="16"/>
      <c r="P413" s="36">
        <f t="shared" si="195"/>
        <v>0</v>
      </c>
      <c r="Q413" s="17">
        <f t="shared" si="196"/>
        <v>0</v>
      </c>
      <c r="R413" s="83"/>
      <c r="S413" s="22"/>
    </row>
    <row r="414" spans="1:19" x14ac:dyDescent="0.15">
      <c r="A414" s="35"/>
      <c r="B414" s="15"/>
      <c r="C414" s="16"/>
      <c r="D414" s="17">
        <f t="shared" si="197"/>
        <v>0</v>
      </c>
      <c r="E414" s="18"/>
      <c r="F414" s="16"/>
      <c r="G414" s="17">
        <f t="shared" si="192"/>
        <v>0</v>
      </c>
      <c r="H414" s="17">
        <f t="shared" si="193"/>
        <v>0</v>
      </c>
      <c r="I414" s="84"/>
      <c r="J414" s="10"/>
      <c r="K414" s="15"/>
      <c r="L414" s="16"/>
      <c r="M414" s="17">
        <f t="shared" si="194"/>
        <v>0</v>
      </c>
      <c r="N414" s="18"/>
      <c r="O414" s="16"/>
      <c r="P414" s="17">
        <f t="shared" si="195"/>
        <v>0</v>
      </c>
      <c r="Q414" s="17">
        <f t="shared" si="196"/>
        <v>0</v>
      </c>
      <c r="R414" s="83"/>
      <c r="S414" s="22"/>
    </row>
    <row r="415" spans="1:19" x14ac:dyDescent="0.15">
      <c r="A415" s="35"/>
      <c r="B415" s="15"/>
      <c r="C415" s="16"/>
      <c r="D415" s="36">
        <f t="shared" si="197"/>
        <v>0</v>
      </c>
      <c r="E415" s="18"/>
      <c r="F415" s="16"/>
      <c r="G415" s="36">
        <f t="shared" si="192"/>
        <v>0</v>
      </c>
      <c r="H415" s="17">
        <f t="shared" si="193"/>
        <v>0</v>
      </c>
      <c r="I415" s="84"/>
      <c r="J415" s="35"/>
      <c r="K415" s="15"/>
      <c r="L415" s="16"/>
      <c r="M415" s="36">
        <f t="shared" si="194"/>
        <v>0</v>
      </c>
      <c r="N415" s="18"/>
      <c r="O415" s="16"/>
      <c r="P415" s="36">
        <f t="shared" si="195"/>
        <v>0</v>
      </c>
      <c r="Q415" s="17">
        <f t="shared" si="196"/>
        <v>0</v>
      </c>
      <c r="R415" s="83"/>
      <c r="S415" s="22"/>
    </row>
    <row r="416" spans="1:19" x14ac:dyDescent="0.15">
      <c r="A416" s="35"/>
      <c r="B416" s="15"/>
      <c r="C416" s="16"/>
      <c r="D416" s="36">
        <f t="shared" si="197"/>
        <v>0</v>
      </c>
      <c r="E416" s="18"/>
      <c r="F416" s="16"/>
      <c r="G416" s="36">
        <f t="shared" si="192"/>
        <v>0</v>
      </c>
      <c r="H416" s="17">
        <f t="shared" si="193"/>
        <v>0</v>
      </c>
      <c r="I416" s="84"/>
      <c r="J416" s="37"/>
      <c r="K416" s="15"/>
      <c r="L416" s="16"/>
      <c r="M416" s="36">
        <f t="shared" si="194"/>
        <v>0</v>
      </c>
      <c r="N416" s="18"/>
      <c r="O416" s="16"/>
      <c r="P416" s="36">
        <f t="shared" si="195"/>
        <v>0</v>
      </c>
      <c r="Q416" s="17">
        <f t="shared" si="196"/>
        <v>0</v>
      </c>
      <c r="R416" s="83"/>
      <c r="S416" s="22"/>
    </row>
    <row r="417" spans="1:26" x14ac:dyDescent="0.15">
      <c r="A417" s="35"/>
      <c r="B417" s="15"/>
      <c r="C417" s="16"/>
      <c r="D417" s="36">
        <f t="shared" si="197"/>
        <v>0</v>
      </c>
      <c r="E417" s="18"/>
      <c r="F417" s="16"/>
      <c r="G417" s="36">
        <f t="shared" si="192"/>
        <v>0</v>
      </c>
      <c r="H417" s="17">
        <f t="shared" si="193"/>
        <v>0</v>
      </c>
      <c r="I417" s="84"/>
      <c r="J417" s="37"/>
      <c r="K417" s="15"/>
      <c r="L417" s="16"/>
      <c r="M417" s="36">
        <f t="shared" si="194"/>
        <v>0</v>
      </c>
      <c r="N417" s="18"/>
      <c r="O417" s="16"/>
      <c r="P417" s="36">
        <f t="shared" si="195"/>
        <v>0</v>
      </c>
      <c r="Q417" s="17">
        <f t="shared" si="196"/>
        <v>0</v>
      </c>
      <c r="R417" s="83"/>
      <c r="S417" s="22"/>
    </row>
    <row r="418" spans="1:26" x14ac:dyDescent="0.15">
      <c r="A418" s="35"/>
      <c r="B418" s="15"/>
      <c r="C418" s="16"/>
      <c r="D418" s="36">
        <f t="shared" si="197"/>
        <v>0</v>
      </c>
      <c r="E418" s="18"/>
      <c r="F418" s="16"/>
      <c r="G418" s="36">
        <f t="shared" si="192"/>
        <v>0</v>
      </c>
      <c r="H418" s="17">
        <f t="shared" si="193"/>
        <v>0</v>
      </c>
      <c r="I418" s="84"/>
      <c r="J418" s="35"/>
      <c r="K418" s="15"/>
      <c r="L418" s="16"/>
      <c r="M418" s="36">
        <f t="shared" si="194"/>
        <v>0</v>
      </c>
      <c r="N418" s="18"/>
      <c r="O418" s="16"/>
      <c r="P418" s="36">
        <f t="shared" si="195"/>
        <v>0</v>
      </c>
      <c r="Q418" s="17">
        <f t="shared" si="196"/>
        <v>0</v>
      </c>
      <c r="R418" s="83"/>
      <c r="S418" s="22"/>
    </row>
    <row r="419" spans="1:26" x14ac:dyDescent="0.15">
      <c r="A419" s="35"/>
      <c r="B419" s="15"/>
      <c r="C419" s="16"/>
      <c r="D419" s="36">
        <f t="shared" si="197"/>
        <v>0</v>
      </c>
      <c r="E419" s="18"/>
      <c r="F419" s="16"/>
      <c r="G419" s="36">
        <f t="shared" si="192"/>
        <v>0</v>
      </c>
      <c r="H419" s="17">
        <f t="shared" si="193"/>
        <v>0</v>
      </c>
      <c r="I419" s="81"/>
      <c r="J419" s="38"/>
      <c r="K419" s="15"/>
      <c r="L419" s="16"/>
      <c r="M419" s="36">
        <f t="shared" si="194"/>
        <v>0</v>
      </c>
      <c r="N419" s="18"/>
      <c r="O419" s="16"/>
      <c r="P419" s="36">
        <f t="shared" si="195"/>
        <v>0</v>
      </c>
      <c r="Q419" s="17">
        <f t="shared" si="196"/>
        <v>0</v>
      </c>
      <c r="R419" s="83"/>
      <c r="S419" s="22"/>
    </row>
    <row r="420" spans="1:26" x14ac:dyDescent="0.15">
      <c r="A420" s="35"/>
      <c r="B420" s="15"/>
      <c r="C420" s="16"/>
      <c r="D420" s="36">
        <f t="shared" si="197"/>
        <v>0</v>
      </c>
      <c r="E420" s="18"/>
      <c r="F420" s="16"/>
      <c r="G420" s="36">
        <f t="shared" si="192"/>
        <v>0</v>
      </c>
      <c r="H420" s="17">
        <f t="shared" si="193"/>
        <v>0</v>
      </c>
      <c r="I420" s="81"/>
      <c r="J420" s="35"/>
      <c r="K420" s="15"/>
      <c r="L420" s="16"/>
      <c r="M420" s="36">
        <f t="shared" si="194"/>
        <v>0</v>
      </c>
      <c r="N420" s="18"/>
      <c r="O420" s="16"/>
      <c r="P420" s="36">
        <f t="shared" si="195"/>
        <v>0</v>
      </c>
      <c r="Q420" s="17">
        <f t="shared" si="196"/>
        <v>0</v>
      </c>
      <c r="R420" s="83"/>
      <c r="S420" s="22"/>
    </row>
    <row r="421" spans="1:26" x14ac:dyDescent="0.15">
      <c r="A421" s="35"/>
      <c r="B421" s="15"/>
      <c r="C421" s="16"/>
      <c r="D421" s="36">
        <f t="shared" si="197"/>
        <v>0</v>
      </c>
      <c r="E421" s="18"/>
      <c r="F421" s="16"/>
      <c r="G421" s="36">
        <f t="shared" si="192"/>
        <v>0</v>
      </c>
      <c r="H421" s="17">
        <f t="shared" si="193"/>
        <v>0</v>
      </c>
      <c r="I421" s="81"/>
      <c r="J421" s="38"/>
      <c r="K421" s="15"/>
      <c r="L421" s="16"/>
      <c r="M421" s="36">
        <f t="shared" si="194"/>
        <v>0</v>
      </c>
      <c r="N421" s="18"/>
      <c r="O421" s="16"/>
      <c r="P421" s="36">
        <f t="shared" si="195"/>
        <v>0</v>
      </c>
      <c r="Q421" s="17">
        <f t="shared" si="196"/>
        <v>0</v>
      </c>
      <c r="R421" s="83"/>
      <c r="S421" s="22"/>
    </row>
    <row r="422" spans="1:26" x14ac:dyDescent="0.15">
      <c r="A422" s="52"/>
      <c r="B422" s="15"/>
      <c r="C422" s="16"/>
      <c r="D422" s="36">
        <f t="shared" si="197"/>
        <v>0</v>
      </c>
      <c r="E422" s="18"/>
      <c r="F422" s="16"/>
      <c r="G422" s="36">
        <f t="shared" si="192"/>
        <v>0</v>
      </c>
      <c r="H422" s="17">
        <f t="shared" si="193"/>
        <v>0</v>
      </c>
      <c r="I422" s="81"/>
      <c r="J422" s="35"/>
      <c r="K422" s="15"/>
      <c r="L422" s="16"/>
      <c r="M422" s="36">
        <f t="shared" ref="M422" si="198">SUM(K422:L422)</f>
        <v>0</v>
      </c>
      <c r="N422" s="18"/>
      <c r="O422" s="16"/>
      <c r="P422" s="36">
        <f t="shared" si="195"/>
        <v>0</v>
      </c>
      <c r="Q422" s="17">
        <f t="shared" si="196"/>
        <v>0</v>
      </c>
      <c r="R422" s="83"/>
      <c r="S422" s="22"/>
    </row>
    <row r="423" spans="1:26" x14ac:dyDescent="0.15">
      <c r="A423" s="35"/>
      <c r="B423" s="15"/>
      <c r="C423" s="16"/>
      <c r="D423" s="17">
        <f>SUM(B423:C423)</f>
        <v>0</v>
      </c>
      <c r="E423" s="18"/>
      <c r="F423" s="16"/>
      <c r="G423" s="17">
        <f t="shared" si="192"/>
        <v>0</v>
      </c>
      <c r="H423" s="17">
        <f t="shared" si="193"/>
        <v>0</v>
      </c>
      <c r="I423" s="81"/>
      <c r="J423" s="35"/>
      <c r="K423" s="15"/>
      <c r="L423" s="16"/>
      <c r="M423" s="36">
        <f t="shared" si="194"/>
        <v>0</v>
      </c>
      <c r="N423" s="18"/>
      <c r="O423" s="16"/>
      <c r="P423" s="36">
        <f t="shared" ref="P423" si="199">SUM(N423:O423)</f>
        <v>0</v>
      </c>
      <c r="Q423" s="17">
        <f t="shared" ref="Q423" si="200">M423+P423</f>
        <v>0</v>
      </c>
      <c r="R423" s="83"/>
      <c r="S423" s="22"/>
    </row>
    <row r="424" spans="1:26" x14ac:dyDescent="0.15">
      <c r="A424" s="35"/>
      <c r="B424" s="15"/>
      <c r="C424" s="16"/>
      <c r="D424" s="36">
        <f t="shared" ref="D424" si="201">SUM(B424:C424)</f>
        <v>0</v>
      </c>
      <c r="E424" s="18"/>
      <c r="F424" s="16"/>
      <c r="G424" s="36">
        <f t="shared" si="192"/>
        <v>0</v>
      </c>
      <c r="H424" s="17">
        <f t="shared" si="193"/>
        <v>0</v>
      </c>
      <c r="I424" s="84"/>
      <c r="J424" s="35"/>
      <c r="K424" s="15"/>
      <c r="L424" s="16"/>
      <c r="M424" s="36">
        <f t="shared" ref="M424:M428" si="202">SUM(K424:L424)</f>
        <v>0</v>
      </c>
      <c r="N424" s="18"/>
      <c r="O424" s="16"/>
      <c r="P424" s="36">
        <f t="shared" si="195"/>
        <v>0</v>
      </c>
      <c r="Q424" s="17">
        <f t="shared" si="196"/>
        <v>0</v>
      </c>
      <c r="R424" s="83"/>
      <c r="S424" s="22"/>
    </row>
    <row r="425" spans="1:26" x14ac:dyDescent="0.15">
      <c r="A425" s="35"/>
      <c r="B425" s="15"/>
      <c r="C425" s="16"/>
      <c r="D425" s="17">
        <f>SUM(B425:C425)</f>
        <v>0</v>
      </c>
      <c r="E425" s="18"/>
      <c r="F425" s="16"/>
      <c r="G425" s="17">
        <f t="shared" si="192"/>
        <v>0</v>
      </c>
      <c r="H425" s="17">
        <f t="shared" si="193"/>
        <v>0</v>
      </c>
      <c r="I425" s="84"/>
      <c r="J425" s="35"/>
      <c r="K425" s="15"/>
      <c r="L425" s="16"/>
      <c r="M425" s="36">
        <f t="shared" ref="M425" si="203">SUM(K425:L425)</f>
        <v>0</v>
      </c>
      <c r="N425" s="18"/>
      <c r="O425" s="16"/>
      <c r="P425" s="36">
        <f t="shared" ref="P425" si="204">SUM(N425:O425)</f>
        <v>0</v>
      </c>
      <c r="Q425" s="17">
        <f t="shared" ref="Q425" si="205">M425+P425</f>
        <v>0</v>
      </c>
      <c r="R425" s="83"/>
      <c r="S425" s="22"/>
    </row>
    <row r="426" spans="1:26" ht="14.25" thickBot="1" x14ac:dyDescent="0.2">
      <c r="A426" s="35"/>
      <c r="B426" s="15"/>
      <c r="C426" s="16"/>
      <c r="D426" s="36">
        <f t="shared" ref="D426:D428" si="206">SUM(B426:C426)</f>
        <v>0</v>
      </c>
      <c r="E426" s="18"/>
      <c r="F426" s="16"/>
      <c r="G426" s="36">
        <f t="shared" si="192"/>
        <v>0</v>
      </c>
      <c r="H426" s="17">
        <f t="shared" si="193"/>
        <v>0</v>
      </c>
      <c r="I426" s="83"/>
      <c r="J426" s="35"/>
      <c r="K426" s="15"/>
      <c r="L426" s="16"/>
      <c r="M426" s="36">
        <f t="shared" si="202"/>
        <v>0</v>
      </c>
      <c r="N426" s="18"/>
      <c r="O426" s="16"/>
      <c r="P426" s="36">
        <f t="shared" si="195"/>
        <v>0</v>
      </c>
      <c r="Q426" s="17">
        <f t="shared" si="196"/>
        <v>0</v>
      </c>
      <c r="R426" s="83"/>
      <c r="S426" s="22"/>
    </row>
    <row r="427" spans="1:26" ht="14.25" thickBot="1" x14ac:dyDescent="0.2">
      <c r="A427" s="40" t="s">
        <v>14</v>
      </c>
      <c r="B427" s="41">
        <f>SUM(B401:B426)</f>
        <v>8</v>
      </c>
      <c r="C427" s="42">
        <f t="shared" ref="C427" si="207">SUM(C401:C426)</f>
        <v>11</v>
      </c>
      <c r="D427" s="43">
        <f t="shared" si="206"/>
        <v>19</v>
      </c>
      <c r="E427" s="41">
        <f>SUM(E401:E426)</f>
        <v>8</v>
      </c>
      <c r="F427" s="42">
        <f t="shared" ref="F427" si="208">SUM(F401:F426)</f>
        <v>10</v>
      </c>
      <c r="G427" s="43">
        <f t="shared" si="192"/>
        <v>18</v>
      </c>
      <c r="H427" s="43">
        <f t="shared" si="193"/>
        <v>37</v>
      </c>
      <c r="J427" s="40" t="s">
        <v>14</v>
      </c>
      <c r="K427" s="41">
        <f>SUM(K401:K426)</f>
        <v>15</v>
      </c>
      <c r="L427" s="42">
        <f t="shared" ref="L427" si="209">SUM(L401:L426)</f>
        <v>20</v>
      </c>
      <c r="M427" s="43">
        <f t="shared" si="202"/>
        <v>35</v>
      </c>
      <c r="N427" s="41">
        <f>SUM(N401:N426)</f>
        <v>14</v>
      </c>
      <c r="O427" s="42">
        <f t="shared" ref="O427" si="210">SUM(O401:O426)</f>
        <v>20</v>
      </c>
      <c r="P427" s="43">
        <f t="shared" si="195"/>
        <v>34</v>
      </c>
      <c r="Q427" s="43">
        <f t="shared" si="196"/>
        <v>69</v>
      </c>
    </row>
    <row r="428" spans="1:26" ht="14.25" thickBot="1" x14ac:dyDescent="0.2">
      <c r="A428" s="44" t="s">
        <v>15</v>
      </c>
      <c r="B428" s="45">
        <f>B400-B427</f>
        <v>15</v>
      </c>
      <c r="C428" s="46">
        <f t="shared" ref="C428" si="211">C400-C427</f>
        <v>19</v>
      </c>
      <c r="D428" s="47">
        <f t="shared" si="206"/>
        <v>34</v>
      </c>
      <c r="E428" s="45">
        <f>E400-E427</f>
        <v>10</v>
      </c>
      <c r="F428" s="46">
        <f t="shared" ref="F428" si="212">F400-F427</f>
        <v>20</v>
      </c>
      <c r="G428" s="47">
        <f t="shared" si="192"/>
        <v>30</v>
      </c>
      <c r="H428" s="34">
        <f t="shared" si="193"/>
        <v>64</v>
      </c>
      <c r="J428" s="44" t="s">
        <v>15</v>
      </c>
      <c r="K428" s="45">
        <f>K400-K427</f>
        <v>316</v>
      </c>
      <c r="L428" s="46">
        <f t="shared" ref="L428" si="213">L400-L427</f>
        <v>464</v>
      </c>
      <c r="M428" s="47">
        <f t="shared" si="202"/>
        <v>780</v>
      </c>
      <c r="N428" s="45">
        <f>N400-N427</f>
        <v>0</v>
      </c>
      <c r="O428" s="46">
        <f t="shared" ref="O428" si="214">O400-O427</f>
        <v>179</v>
      </c>
      <c r="P428" s="47">
        <f t="shared" si="195"/>
        <v>179</v>
      </c>
      <c r="Q428" s="34">
        <f t="shared" si="196"/>
        <v>959</v>
      </c>
    </row>
    <row r="430" spans="1:26" x14ac:dyDescent="0.15">
      <c r="K430" s="69"/>
      <c r="L430" s="69"/>
      <c r="M430" s="69"/>
      <c r="N430" s="69"/>
      <c r="O430" s="69"/>
      <c r="P430" s="69"/>
    </row>
    <row r="431" spans="1:26" ht="19.5" thickBot="1" x14ac:dyDescent="0.25">
      <c r="A431" s="1" t="s">
        <v>23</v>
      </c>
      <c r="J431" s="1" t="s">
        <v>24</v>
      </c>
      <c r="K431" s="2"/>
      <c r="L431" s="2"/>
      <c r="M431" s="2"/>
      <c r="N431" s="2"/>
      <c r="O431" s="1" t="s">
        <v>34</v>
      </c>
      <c r="P431" s="2"/>
      <c r="Q431" s="2"/>
      <c r="S431" s="1" t="s">
        <v>24</v>
      </c>
      <c r="T431" s="2"/>
      <c r="U431" s="2"/>
      <c r="V431" s="2"/>
      <c r="W431" s="2"/>
      <c r="X431" s="1" t="s">
        <v>34</v>
      </c>
      <c r="Y431" s="2"/>
      <c r="Z431" s="2"/>
    </row>
    <row r="432" spans="1:26" ht="14.25" thickBot="1" x14ac:dyDescent="0.2">
      <c r="A432" s="3" t="s">
        <v>0</v>
      </c>
      <c r="B432" s="125" t="s">
        <v>18</v>
      </c>
      <c r="C432" s="126"/>
      <c r="D432" s="127"/>
      <c r="E432" s="125" t="s">
        <v>19</v>
      </c>
      <c r="F432" s="126"/>
      <c r="G432" s="128"/>
      <c r="H432" s="129" t="s">
        <v>1</v>
      </c>
      <c r="J432" s="3" t="s">
        <v>0</v>
      </c>
      <c r="K432" s="125" t="s">
        <v>18</v>
      </c>
      <c r="L432" s="126"/>
      <c r="M432" s="127"/>
      <c r="N432" s="125" t="s">
        <v>19</v>
      </c>
      <c r="O432" s="126"/>
      <c r="P432" s="128"/>
      <c r="Q432" s="129" t="s">
        <v>1</v>
      </c>
      <c r="S432" s="3" t="s">
        <v>0</v>
      </c>
      <c r="T432" s="125" t="s">
        <v>18</v>
      </c>
      <c r="U432" s="126"/>
      <c r="V432" s="127"/>
      <c r="W432" s="125" t="s">
        <v>19</v>
      </c>
      <c r="X432" s="126"/>
      <c r="Y432" s="128"/>
      <c r="Z432" s="129" t="s">
        <v>1</v>
      </c>
    </row>
    <row r="433" spans="1:27" ht="14.25" thickBot="1" x14ac:dyDescent="0.2">
      <c r="A433" s="3" t="s">
        <v>2</v>
      </c>
      <c r="B433" s="4" t="s">
        <v>16</v>
      </c>
      <c r="C433" s="5" t="s">
        <v>17</v>
      </c>
      <c r="D433" s="3" t="s">
        <v>3</v>
      </c>
      <c r="E433" s="4" t="s">
        <v>16</v>
      </c>
      <c r="F433" s="5" t="s">
        <v>17</v>
      </c>
      <c r="G433" s="3" t="s">
        <v>3</v>
      </c>
      <c r="H433" s="130"/>
      <c r="J433" s="3" t="s">
        <v>2</v>
      </c>
      <c r="K433" s="4" t="s">
        <v>16</v>
      </c>
      <c r="L433" s="5" t="s">
        <v>17</v>
      </c>
      <c r="M433" s="3" t="s">
        <v>3</v>
      </c>
      <c r="N433" s="4" t="s">
        <v>16</v>
      </c>
      <c r="O433" s="5" t="s">
        <v>17</v>
      </c>
      <c r="P433" s="3" t="s">
        <v>3</v>
      </c>
      <c r="Q433" s="130"/>
      <c r="S433" s="3" t="s">
        <v>2</v>
      </c>
      <c r="T433" s="4" t="s">
        <v>16</v>
      </c>
      <c r="U433" s="5" t="s">
        <v>17</v>
      </c>
      <c r="V433" s="3" t="s">
        <v>3</v>
      </c>
      <c r="W433" s="4" t="s">
        <v>16</v>
      </c>
      <c r="X433" s="5" t="s">
        <v>17</v>
      </c>
      <c r="Y433" s="3" t="s">
        <v>3</v>
      </c>
      <c r="Z433" s="130"/>
    </row>
    <row r="434" spans="1:27" ht="14.25" thickBot="1" x14ac:dyDescent="0.2">
      <c r="A434" s="6" t="s">
        <v>55</v>
      </c>
      <c r="B434" s="32">
        <f>B428</f>
        <v>15</v>
      </c>
      <c r="C434" s="33">
        <f>C428</f>
        <v>19</v>
      </c>
      <c r="D434" s="34">
        <f t="shared" ref="D434:D446" si="215">SUM(B434:C434)</f>
        <v>34</v>
      </c>
      <c r="E434" s="32">
        <f>E428</f>
        <v>10</v>
      </c>
      <c r="F434" s="33">
        <f>F428</f>
        <v>20</v>
      </c>
      <c r="G434" s="34">
        <f t="shared" ref="G434:G471" si="216">SUM(E434:F434)</f>
        <v>30</v>
      </c>
      <c r="H434" s="34">
        <f t="shared" ref="H434:H471" si="217">D434+G434</f>
        <v>64</v>
      </c>
      <c r="J434" s="6" t="s">
        <v>55</v>
      </c>
      <c r="K434" s="7">
        <f>K428</f>
        <v>316</v>
      </c>
      <c r="L434" s="8">
        <f>L428</f>
        <v>464</v>
      </c>
      <c r="M434" s="9">
        <f t="shared" ref="M434:M471" si="218">SUM(K434:L434)</f>
        <v>780</v>
      </c>
      <c r="N434" s="7">
        <f>N428</f>
        <v>0</v>
      </c>
      <c r="O434" s="8">
        <f>O428</f>
        <v>179</v>
      </c>
      <c r="P434" s="9">
        <f t="shared" ref="P434:P471" si="219">SUM(N434:O434)</f>
        <v>179</v>
      </c>
      <c r="Q434" s="9">
        <f t="shared" ref="Q434:Q471" si="220">M434+P434</f>
        <v>959</v>
      </c>
      <c r="S434" s="6" t="s">
        <v>55</v>
      </c>
      <c r="T434" s="7">
        <f>T428</f>
        <v>0</v>
      </c>
      <c r="U434" s="8">
        <f>U428</f>
        <v>0</v>
      </c>
      <c r="V434" s="9">
        <f t="shared" ref="V434:V471" si="221">SUM(T434:U434)</f>
        <v>0</v>
      </c>
      <c r="W434" s="7">
        <f>W428</f>
        <v>0</v>
      </c>
      <c r="X434" s="8">
        <f>X428</f>
        <v>0</v>
      </c>
      <c r="Y434" s="9">
        <f t="shared" ref="Y434:Y471" si="222">SUM(W434:X434)</f>
        <v>0</v>
      </c>
      <c r="Z434" s="9">
        <f t="shared" ref="Z434:Z471" si="223">V434+Y434</f>
        <v>0</v>
      </c>
    </row>
    <row r="435" spans="1:27" x14ac:dyDescent="0.15">
      <c r="A435" s="10" t="s">
        <v>5</v>
      </c>
      <c r="B435" s="64"/>
      <c r="C435" s="65"/>
      <c r="D435" s="36">
        <f t="shared" si="215"/>
        <v>0</v>
      </c>
      <c r="E435" s="66">
        <v>10</v>
      </c>
      <c r="F435" s="65"/>
      <c r="G435" s="36">
        <f t="shared" si="216"/>
        <v>10</v>
      </c>
      <c r="H435" s="36">
        <f t="shared" si="217"/>
        <v>10</v>
      </c>
      <c r="I435" s="81">
        <v>44579</v>
      </c>
      <c r="J435" s="10" t="s">
        <v>5</v>
      </c>
      <c r="K435" s="11"/>
      <c r="L435" s="12"/>
      <c r="M435" s="13">
        <f t="shared" si="218"/>
        <v>0</v>
      </c>
      <c r="N435" s="62"/>
      <c r="O435" s="12"/>
      <c r="P435" s="13">
        <f t="shared" si="219"/>
        <v>0</v>
      </c>
      <c r="Q435" s="13">
        <f t="shared" si="220"/>
        <v>0</v>
      </c>
      <c r="S435" s="10" t="s">
        <v>5</v>
      </c>
      <c r="T435" s="11"/>
      <c r="U435" s="12"/>
      <c r="V435" s="13">
        <f t="shared" si="221"/>
        <v>0</v>
      </c>
      <c r="W435" s="62"/>
      <c r="X435" s="12"/>
      <c r="Y435" s="13">
        <f t="shared" si="222"/>
        <v>0</v>
      </c>
      <c r="Z435" s="13">
        <f t="shared" si="223"/>
        <v>0</v>
      </c>
    </row>
    <row r="436" spans="1:27" x14ac:dyDescent="0.15">
      <c r="A436" s="10" t="s">
        <v>166</v>
      </c>
      <c r="B436" s="15">
        <v>2</v>
      </c>
      <c r="C436" s="16">
        <v>1</v>
      </c>
      <c r="D436" s="17">
        <f t="shared" si="215"/>
        <v>3</v>
      </c>
      <c r="E436" s="18"/>
      <c r="F436" s="16"/>
      <c r="G436" s="17">
        <f t="shared" si="216"/>
        <v>0</v>
      </c>
      <c r="H436" s="17">
        <f t="shared" si="217"/>
        <v>3</v>
      </c>
      <c r="I436" s="81">
        <v>44581</v>
      </c>
      <c r="J436" s="10" t="s">
        <v>6</v>
      </c>
      <c r="K436" s="15"/>
      <c r="L436" s="16"/>
      <c r="M436" s="17">
        <f t="shared" si="218"/>
        <v>0</v>
      </c>
      <c r="N436" s="18"/>
      <c r="O436" s="16"/>
      <c r="P436" s="17">
        <f t="shared" si="219"/>
        <v>0</v>
      </c>
      <c r="Q436" s="17">
        <f t="shared" si="220"/>
        <v>0</v>
      </c>
      <c r="S436" s="10" t="s">
        <v>6</v>
      </c>
      <c r="T436" s="15"/>
      <c r="U436" s="16"/>
      <c r="V436" s="17">
        <f t="shared" si="221"/>
        <v>0</v>
      </c>
      <c r="W436" s="18"/>
      <c r="X436" s="16"/>
      <c r="Y436" s="17">
        <f t="shared" si="222"/>
        <v>0</v>
      </c>
      <c r="Z436" s="17">
        <f t="shared" si="223"/>
        <v>0</v>
      </c>
    </row>
    <row r="437" spans="1:27" x14ac:dyDescent="0.15">
      <c r="A437" s="10" t="s">
        <v>7</v>
      </c>
      <c r="B437" s="15">
        <v>10</v>
      </c>
      <c r="C437" s="16">
        <v>5</v>
      </c>
      <c r="D437" s="17">
        <f t="shared" ref="D437" si="224">SUM(B437:C437)</f>
        <v>15</v>
      </c>
      <c r="E437" s="18">
        <v>10</v>
      </c>
      <c r="F437" s="16">
        <v>5</v>
      </c>
      <c r="G437" s="17">
        <f t="shared" si="216"/>
        <v>15</v>
      </c>
      <c r="H437" s="17">
        <f t="shared" si="217"/>
        <v>30</v>
      </c>
      <c r="I437" s="81">
        <v>44586</v>
      </c>
      <c r="J437" s="10" t="s">
        <v>7</v>
      </c>
      <c r="K437" s="19">
        <v>1200</v>
      </c>
      <c r="L437" s="20">
        <v>800</v>
      </c>
      <c r="M437" s="17">
        <f t="shared" si="218"/>
        <v>2000</v>
      </c>
      <c r="N437" s="21">
        <v>1500</v>
      </c>
      <c r="O437" s="20">
        <v>900</v>
      </c>
      <c r="P437" s="17">
        <f t="shared" si="219"/>
        <v>2400</v>
      </c>
      <c r="Q437" s="17">
        <f t="shared" si="220"/>
        <v>4400</v>
      </c>
      <c r="R437" s="81" t="s">
        <v>173</v>
      </c>
      <c r="S437" s="10" t="s">
        <v>7</v>
      </c>
      <c r="T437" s="19"/>
      <c r="U437" s="20"/>
      <c r="V437" s="17">
        <f t="shared" si="221"/>
        <v>0</v>
      </c>
      <c r="W437" s="21"/>
      <c r="X437" s="20"/>
      <c r="Y437" s="17">
        <f t="shared" si="222"/>
        <v>0</v>
      </c>
      <c r="Z437" s="17">
        <f t="shared" si="223"/>
        <v>0</v>
      </c>
      <c r="AA437" s="22"/>
    </row>
    <row r="438" spans="1:27" x14ac:dyDescent="0.15">
      <c r="A438" s="10" t="s">
        <v>61</v>
      </c>
      <c r="B438" s="15"/>
      <c r="C438" s="16">
        <f>1-1</f>
        <v>0</v>
      </c>
      <c r="D438" s="17">
        <f t="shared" si="215"/>
        <v>0</v>
      </c>
      <c r="E438" s="18"/>
      <c r="F438" s="16">
        <v>1</v>
      </c>
      <c r="G438" s="17">
        <f t="shared" si="216"/>
        <v>1</v>
      </c>
      <c r="H438" s="17">
        <f t="shared" si="217"/>
        <v>1</v>
      </c>
      <c r="I438" s="81">
        <v>44587</v>
      </c>
      <c r="J438" s="10" t="s">
        <v>8</v>
      </c>
      <c r="K438" s="15"/>
      <c r="L438" s="16"/>
      <c r="M438" s="17">
        <f t="shared" si="218"/>
        <v>0</v>
      </c>
      <c r="N438" s="18"/>
      <c r="O438" s="16"/>
      <c r="P438" s="17">
        <f t="shared" si="219"/>
        <v>0</v>
      </c>
      <c r="Q438" s="17">
        <f t="shared" si="220"/>
        <v>0</v>
      </c>
      <c r="R438" s="83"/>
      <c r="S438" s="10" t="s">
        <v>8</v>
      </c>
      <c r="T438" s="15"/>
      <c r="U438" s="16"/>
      <c r="V438" s="17">
        <f t="shared" si="221"/>
        <v>0</v>
      </c>
      <c r="W438" s="18"/>
      <c r="X438" s="16"/>
      <c r="Y438" s="17">
        <f t="shared" si="222"/>
        <v>0</v>
      </c>
      <c r="Z438" s="17">
        <f t="shared" si="223"/>
        <v>0</v>
      </c>
    </row>
    <row r="439" spans="1:27" x14ac:dyDescent="0.15">
      <c r="A439" s="10" t="s">
        <v>9</v>
      </c>
      <c r="B439" s="15"/>
      <c r="C439" s="16"/>
      <c r="D439" s="17">
        <f t="shared" si="215"/>
        <v>0</v>
      </c>
      <c r="E439" s="18">
        <v>10</v>
      </c>
      <c r="F439" s="16">
        <v>10</v>
      </c>
      <c r="G439" s="17">
        <f t="shared" si="216"/>
        <v>20</v>
      </c>
      <c r="H439" s="17">
        <f t="shared" si="217"/>
        <v>20</v>
      </c>
      <c r="I439" s="81">
        <v>44600</v>
      </c>
      <c r="J439" s="10" t="s">
        <v>9</v>
      </c>
      <c r="K439" s="15"/>
      <c r="L439" s="16"/>
      <c r="M439" s="17">
        <f t="shared" si="218"/>
        <v>0</v>
      </c>
      <c r="N439" s="18"/>
      <c r="O439" s="16"/>
      <c r="P439" s="17">
        <f t="shared" si="219"/>
        <v>0</v>
      </c>
      <c r="Q439" s="17">
        <f t="shared" si="220"/>
        <v>0</v>
      </c>
      <c r="R439" s="83"/>
      <c r="S439" s="56" t="s">
        <v>156</v>
      </c>
      <c r="T439" s="74">
        <v>1011</v>
      </c>
      <c r="U439" s="75">
        <v>715</v>
      </c>
      <c r="V439" s="59">
        <f t="shared" si="221"/>
        <v>1726</v>
      </c>
      <c r="W439" s="76">
        <v>1532</v>
      </c>
      <c r="X439" s="75">
        <v>784</v>
      </c>
      <c r="Y439" s="59">
        <f t="shared" si="222"/>
        <v>2316</v>
      </c>
      <c r="Z439" s="59">
        <f t="shared" si="223"/>
        <v>4042</v>
      </c>
      <c r="AA439" s="22"/>
    </row>
    <row r="440" spans="1:27" x14ac:dyDescent="0.15">
      <c r="A440" s="10" t="s">
        <v>10</v>
      </c>
      <c r="B440" s="15">
        <v>20</v>
      </c>
      <c r="C440" s="16">
        <v>10</v>
      </c>
      <c r="D440" s="17">
        <f t="shared" si="215"/>
        <v>30</v>
      </c>
      <c r="E440" s="18">
        <v>5</v>
      </c>
      <c r="F440" s="16"/>
      <c r="G440" s="17">
        <f t="shared" si="216"/>
        <v>5</v>
      </c>
      <c r="H440" s="17">
        <f t="shared" si="217"/>
        <v>35</v>
      </c>
      <c r="I440" s="81">
        <v>44606</v>
      </c>
      <c r="J440" s="10" t="s">
        <v>10</v>
      </c>
      <c r="K440" s="15"/>
      <c r="L440" s="16"/>
      <c r="M440" s="17">
        <f t="shared" si="218"/>
        <v>0</v>
      </c>
      <c r="N440" s="18"/>
      <c r="O440" s="16"/>
      <c r="P440" s="17">
        <f t="shared" si="219"/>
        <v>0</v>
      </c>
      <c r="Q440" s="17">
        <f t="shared" si="220"/>
        <v>0</v>
      </c>
      <c r="S440" s="10" t="s">
        <v>10</v>
      </c>
      <c r="T440" s="15"/>
      <c r="U440" s="16"/>
      <c r="V440" s="17">
        <f t="shared" si="221"/>
        <v>0</v>
      </c>
      <c r="W440" s="18"/>
      <c r="X440" s="16"/>
      <c r="Y440" s="17">
        <f t="shared" si="222"/>
        <v>0</v>
      </c>
      <c r="Z440" s="17">
        <f t="shared" si="223"/>
        <v>0</v>
      </c>
    </row>
    <row r="441" spans="1:27" x14ac:dyDescent="0.15">
      <c r="A441" s="10" t="s">
        <v>11</v>
      </c>
      <c r="B441" s="23"/>
      <c r="C441" s="24"/>
      <c r="D441" s="17">
        <f t="shared" si="215"/>
        <v>0</v>
      </c>
      <c r="E441" s="25"/>
      <c r="F441" s="24"/>
      <c r="G441" s="17">
        <f t="shared" si="216"/>
        <v>0</v>
      </c>
      <c r="H441" s="17">
        <f t="shared" si="217"/>
        <v>0</v>
      </c>
      <c r="I441" s="84"/>
      <c r="J441" s="10" t="s">
        <v>11</v>
      </c>
      <c r="K441" s="23"/>
      <c r="L441" s="24"/>
      <c r="M441" s="17">
        <f t="shared" si="218"/>
        <v>0</v>
      </c>
      <c r="N441" s="25"/>
      <c r="O441" s="24"/>
      <c r="P441" s="17">
        <f t="shared" si="219"/>
        <v>0</v>
      </c>
      <c r="Q441" s="17">
        <f t="shared" si="220"/>
        <v>0</v>
      </c>
      <c r="S441" s="10" t="s">
        <v>11</v>
      </c>
      <c r="T441" s="23"/>
      <c r="U441" s="24"/>
      <c r="V441" s="17">
        <f t="shared" si="221"/>
        <v>0</v>
      </c>
      <c r="W441" s="25"/>
      <c r="X441" s="24"/>
      <c r="Y441" s="17">
        <f t="shared" si="222"/>
        <v>0</v>
      </c>
      <c r="Z441" s="17">
        <f t="shared" si="223"/>
        <v>0</v>
      </c>
    </row>
    <row r="442" spans="1:27" ht="14.25" thickBot="1" x14ac:dyDescent="0.2">
      <c r="A442" s="10" t="s">
        <v>12</v>
      </c>
      <c r="B442" s="26"/>
      <c r="C442" s="27"/>
      <c r="D442" s="28">
        <f t="shared" si="215"/>
        <v>0</v>
      </c>
      <c r="E442" s="29"/>
      <c r="F442" s="29"/>
      <c r="G442" s="28">
        <f t="shared" si="216"/>
        <v>0</v>
      </c>
      <c r="H442" s="30">
        <f t="shared" si="217"/>
        <v>0</v>
      </c>
      <c r="I442" s="81"/>
      <c r="J442" s="10" t="s">
        <v>12</v>
      </c>
      <c r="K442" s="26"/>
      <c r="L442" s="27"/>
      <c r="M442" s="28">
        <f t="shared" si="218"/>
        <v>0</v>
      </c>
      <c r="N442" s="29"/>
      <c r="O442" s="29"/>
      <c r="P442" s="28">
        <f t="shared" si="219"/>
        <v>0</v>
      </c>
      <c r="Q442" s="30">
        <f t="shared" si="220"/>
        <v>0</v>
      </c>
      <c r="S442" s="10" t="s">
        <v>12</v>
      </c>
      <c r="T442" s="26"/>
      <c r="U442" s="27"/>
      <c r="V442" s="28">
        <f t="shared" si="221"/>
        <v>0</v>
      </c>
      <c r="W442" s="29"/>
      <c r="X442" s="29"/>
      <c r="Y442" s="28">
        <f t="shared" si="222"/>
        <v>0</v>
      </c>
      <c r="Z442" s="30">
        <f t="shared" si="223"/>
        <v>0</v>
      </c>
    </row>
    <row r="443" spans="1:27" ht="14.25" thickBot="1" x14ac:dyDescent="0.2">
      <c r="A443" s="31" t="s">
        <v>13</v>
      </c>
      <c r="B443" s="32">
        <f>SUM(B434:B442)</f>
        <v>47</v>
      </c>
      <c r="C443" s="33">
        <f>SUM(C434:C442)</f>
        <v>35</v>
      </c>
      <c r="D443" s="34">
        <f t="shared" si="215"/>
        <v>82</v>
      </c>
      <c r="E443" s="32">
        <f>SUM(E434:E442)</f>
        <v>45</v>
      </c>
      <c r="F443" s="33">
        <f>SUM(F434:F442)</f>
        <v>36</v>
      </c>
      <c r="G443" s="34">
        <f t="shared" si="216"/>
        <v>81</v>
      </c>
      <c r="H443" s="34">
        <f t="shared" si="217"/>
        <v>163</v>
      </c>
      <c r="J443" s="31" t="s">
        <v>13</v>
      </c>
      <c r="K443" s="32">
        <f>SUM(K434:K442)</f>
        <v>1516</v>
      </c>
      <c r="L443" s="33">
        <f>SUM(L434:L442)</f>
        <v>1264</v>
      </c>
      <c r="M443" s="34">
        <f t="shared" si="218"/>
        <v>2780</v>
      </c>
      <c r="N443" s="32">
        <f>SUM(N434:N442)</f>
        <v>1500</v>
      </c>
      <c r="O443" s="33">
        <f>SUM(O434:O442)</f>
        <v>1079</v>
      </c>
      <c r="P443" s="34">
        <f t="shared" si="219"/>
        <v>2579</v>
      </c>
      <c r="Q443" s="34">
        <f t="shared" si="220"/>
        <v>5359</v>
      </c>
      <c r="S443" s="31" t="s">
        <v>13</v>
      </c>
      <c r="T443" s="32">
        <f>SUM(T434:T442)</f>
        <v>1011</v>
      </c>
      <c r="U443" s="33">
        <f>SUM(U434:U442)</f>
        <v>715</v>
      </c>
      <c r="V443" s="34">
        <f t="shared" si="221"/>
        <v>1726</v>
      </c>
      <c r="W443" s="32">
        <f>SUM(W434:W442)</f>
        <v>1532</v>
      </c>
      <c r="X443" s="33">
        <f>SUM(X434:X442)</f>
        <v>784</v>
      </c>
      <c r="Y443" s="34">
        <f t="shared" si="222"/>
        <v>2316</v>
      </c>
      <c r="Z443" s="34">
        <f t="shared" si="223"/>
        <v>4042</v>
      </c>
    </row>
    <row r="444" spans="1:27" x14ac:dyDescent="0.15">
      <c r="A444" s="52" t="s">
        <v>162</v>
      </c>
      <c r="B444" s="48"/>
      <c r="C444" s="49">
        <v>1</v>
      </c>
      <c r="D444" s="50">
        <f t="shared" si="215"/>
        <v>1</v>
      </c>
      <c r="E444" s="51"/>
      <c r="F444" s="49">
        <v>1</v>
      </c>
      <c r="G444" s="50">
        <f t="shared" si="216"/>
        <v>1</v>
      </c>
      <c r="H444" s="50">
        <f t="shared" si="217"/>
        <v>2</v>
      </c>
      <c r="I444" s="81">
        <v>44580</v>
      </c>
      <c r="J444" s="52" t="s">
        <v>157</v>
      </c>
      <c r="K444" s="64"/>
      <c r="L444" s="65"/>
      <c r="M444" s="36">
        <f t="shared" si="218"/>
        <v>0</v>
      </c>
      <c r="N444" s="66">
        <v>5</v>
      </c>
      <c r="O444" s="65"/>
      <c r="P444" s="36">
        <f t="shared" si="219"/>
        <v>5</v>
      </c>
      <c r="Q444" s="36">
        <f t="shared" si="220"/>
        <v>5</v>
      </c>
      <c r="R444" s="81">
        <v>44580</v>
      </c>
      <c r="S444" s="52"/>
      <c r="T444" s="64"/>
      <c r="U444" s="65"/>
      <c r="V444" s="36">
        <f t="shared" si="221"/>
        <v>0</v>
      </c>
      <c r="W444" s="66"/>
      <c r="X444" s="65"/>
      <c r="Y444" s="36">
        <f t="shared" si="222"/>
        <v>0</v>
      </c>
      <c r="Z444" s="36">
        <f t="shared" si="223"/>
        <v>0</v>
      </c>
    </row>
    <row r="445" spans="1:27" x14ac:dyDescent="0.15">
      <c r="A445" s="35" t="s">
        <v>163</v>
      </c>
      <c r="B445" s="19">
        <v>1</v>
      </c>
      <c r="C445" s="20"/>
      <c r="D445" s="36">
        <f t="shared" si="215"/>
        <v>1</v>
      </c>
      <c r="E445" s="21">
        <v>1</v>
      </c>
      <c r="F445" s="20"/>
      <c r="G445" s="36">
        <f t="shared" si="216"/>
        <v>1</v>
      </c>
      <c r="H445" s="36">
        <f t="shared" si="217"/>
        <v>2</v>
      </c>
      <c r="I445" s="81">
        <v>44579</v>
      </c>
      <c r="J445" s="35" t="s">
        <v>159</v>
      </c>
      <c r="K445" s="15">
        <v>50</v>
      </c>
      <c r="L445" s="16">
        <v>26</v>
      </c>
      <c r="M445" s="36">
        <f t="shared" si="218"/>
        <v>76</v>
      </c>
      <c r="N445" s="18">
        <v>60</v>
      </c>
      <c r="O445" s="16">
        <v>68</v>
      </c>
      <c r="P445" s="36">
        <f t="shared" si="219"/>
        <v>128</v>
      </c>
      <c r="Q445" s="17">
        <f t="shared" si="220"/>
        <v>204</v>
      </c>
      <c r="R445" s="81">
        <v>44583</v>
      </c>
      <c r="S445" s="10"/>
      <c r="T445" s="15"/>
      <c r="U445" s="16"/>
      <c r="V445" s="36">
        <f t="shared" si="221"/>
        <v>0</v>
      </c>
      <c r="W445" s="18"/>
      <c r="X445" s="16"/>
      <c r="Y445" s="36">
        <f t="shared" si="222"/>
        <v>0</v>
      </c>
      <c r="Z445" s="17">
        <f t="shared" si="223"/>
        <v>0</v>
      </c>
    </row>
    <row r="446" spans="1:27" x14ac:dyDescent="0.15">
      <c r="A446" s="35" t="s">
        <v>33</v>
      </c>
      <c r="B446" s="15"/>
      <c r="C446" s="16"/>
      <c r="D446" s="36">
        <f t="shared" si="215"/>
        <v>0</v>
      </c>
      <c r="E446" s="18">
        <v>1</v>
      </c>
      <c r="F446" s="16"/>
      <c r="G446" s="36">
        <f t="shared" si="216"/>
        <v>1</v>
      </c>
      <c r="H446" s="17">
        <f t="shared" si="217"/>
        <v>1</v>
      </c>
      <c r="I446" s="81">
        <v>44580</v>
      </c>
      <c r="J446" s="10" t="s">
        <v>161</v>
      </c>
      <c r="K446" s="19"/>
      <c r="L446" s="20"/>
      <c r="M446" s="17">
        <f t="shared" si="218"/>
        <v>0</v>
      </c>
      <c r="N446" s="21">
        <v>10</v>
      </c>
      <c r="O446" s="20"/>
      <c r="P446" s="17">
        <f t="shared" si="219"/>
        <v>10</v>
      </c>
      <c r="Q446" s="17">
        <f t="shared" si="220"/>
        <v>10</v>
      </c>
      <c r="R446" s="81">
        <v>44579</v>
      </c>
      <c r="S446" s="10"/>
      <c r="T446" s="19"/>
      <c r="U446" s="20"/>
      <c r="V446" s="17">
        <f t="shared" si="221"/>
        <v>0</v>
      </c>
      <c r="W446" s="21"/>
      <c r="X446" s="20"/>
      <c r="Y446" s="17">
        <f t="shared" si="222"/>
        <v>0</v>
      </c>
      <c r="Z446" s="17">
        <f t="shared" si="223"/>
        <v>0</v>
      </c>
    </row>
    <row r="447" spans="1:27" x14ac:dyDescent="0.15">
      <c r="A447" s="52" t="s">
        <v>164</v>
      </c>
      <c r="B447" s="15"/>
      <c r="C447" s="16">
        <v>1</v>
      </c>
      <c r="D447" s="17">
        <f>SUM(B447:C447)</f>
        <v>1</v>
      </c>
      <c r="E447" s="18"/>
      <c r="F447" s="16">
        <v>1</v>
      </c>
      <c r="G447" s="17">
        <f t="shared" si="216"/>
        <v>1</v>
      </c>
      <c r="H447" s="17">
        <f t="shared" si="217"/>
        <v>2</v>
      </c>
      <c r="I447" s="81">
        <v>44582</v>
      </c>
      <c r="J447" s="35" t="s">
        <v>165</v>
      </c>
      <c r="K447" s="15">
        <v>20</v>
      </c>
      <c r="L447" s="16">
        <v>40</v>
      </c>
      <c r="M447" s="17">
        <f t="shared" si="218"/>
        <v>60</v>
      </c>
      <c r="N447" s="18">
        <v>40</v>
      </c>
      <c r="O447" s="16">
        <v>20</v>
      </c>
      <c r="P447" s="17">
        <f t="shared" si="219"/>
        <v>60</v>
      </c>
      <c r="Q447" s="17">
        <f t="shared" si="220"/>
        <v>120</v>
      </c>
      <c r="R447" s="81">
        <v>44600</v>
      </c>
      <c r="S447" s="52"/>
      <c r="T447" s="15"/>
      <c r="U447" s="16"/>
      <c r="V447" s="17">
        <f t="shared" si="221"/>
        <v>0</v>
      </c>
      <c r="W447" s="18"/>
      <c r="X447" s="16"/>
      <c r="Y447" s="17">
        <f t="shared" si="222"/>
        <v>0</v>
      </c>
      <c r="Z447" s="17">
        <f t="shared" si="223"/>
        <v>0</v>
      </c>
    </row>
    <row r="448" spans="1:27" x14ac:dyDescent="0.15">
      <c r="A448" s="35" t="s">
        <v>33</v>
      </c>
      <c r="B448" s="15">
        <v>1</v>
      </c>
      <c r="C448" s="16"/>
      <c r="D448" s="36">
        <f t="shared" ref="D448:D465" si="225">SUM(B448:C448)</f>
        <v>1</v>
      </c>
      <c r="E448" s="18">
        <v>2</v>
      </c>
      <c r="F448" s="16">
        <v>2</v>
      </c>
      <c r="G448" s="36">
        <f t="shared" si="216"/>
        <v>4</v>
      </c>
      <c r="H448" s="17">
        <f t="shared" si="217"/>
        <v>5</v>
      </c>
      <c r="I448" s="84">
        <v>44582</v>
      </c>
      <c r="J448" s="10" t="s">
        <v>30</v>
      </c>
      <c r="K448" s="15">
        <v>10</v>
      </c>
      <c r="L448" s="16">
        <v>5</v>
      </c>
      <c r="M448" s="17">
        <f t="shared" si="218"/>
        <v>15</v>
      </c>
      <c r="N448" s="18">
        <v>10</v>
      </c>
      <c r="O448" s="16">
        <v>5</v>
      </c>
      <c r="P448" s="17">
        <f t="shared" si="219"/>
        <v>15</v>
      </c>
      <c r="Q448" s="17">
        <f t="shared" si="220"/>
        <v>30</v>
      </c>
      <c r="R448" s="81">
        <v>44586</v>
      </c>
      <c r="S448" s="10"/>
      <c r="T448" s="15"/>
      <c r="U448" s="16"/>
      <c r="V448" s="17">
        <f t="shared" si="221"/>
        <v>0</v>
      </c>
      <c r="W448" s="18"/>
      <c r="X448" s="16"/>
      <c r="Y448" s="17">
        <f t="shared" si="222"/>
        <v>0</v>
      </c>
      <c r="Z448" s="17">
        <f t="shared" si="223"/>
        <v>0</v>
      </c>
    </row>
    <row r="449" spans="1:26" x14ac:dyDescent="0.15">
      <c r="A449" s="35" t="s">
        <v>33</v>
      </c>
      <c r="B449" s="15">
        <f>1+1+3</f>
        <v>5</v>
      </c>
      <c r="C449" s="16">
        <v>2</v>
      </c>
      <c r="D449" s="36">
        <f t="shared" si="225"/>
        <v>7</v>
      </c>
      <c r="E449" s="18">
        <f>1+5</f>
        <v>6</v>
      </c>
      <c r="F449" s="16">
        <v>1</v>
      </c>
      <c r="G449" s="36">
        <f t="shared" si="216"/>
        <v>7</v>
      </c>
      <c r="H449" s="17">
        <f t="shared" si="217"/>
        <v>14</v>
      </c>
      <c r="I449" s="84">
        <v>44585</v>
      </c>
      <c r="J449" s="35" t="s">
        <v>168</v>
      </c>
      <c r="K449" s="15">
        <v>36</v>
      </c>
      <c r="L449" s="16">
        <v>36</v>
      </c>
      <c r="M449" s="36">
        <f t="shared" si="218"/>
        <v>72</v>
      </c>
      <c r="N449" s="18">
        <v>20</v>
      </c>
      <c r="O449" s="16">
        <v>10</v>
      </c>
      <c r="P449" s="36">
        <f t="shared" si="219"/>
        <v>30</v>
      </c>
      <c r="Q449" s="17">
        <f t="shared" si="220"/>
        <v>102</v>
      </c>
      <c r="R449" s="81">
        <v>44600</v>
      </c>
      <c r="S449" s="10"/>
      <c r="T449" s="15"/>
      <c r="U449" s="16"/>
      <c r="V449" s="36">
        <f t="shared" si="221"/>
        <v>0</v>
      </c>
      <c r="W449" s="18"/>
      <c r="X449" s="16"/>
      <c r="Y449" s="36">
        <f t="shared" si="222"/>
        <v>0</v>
      </c>
      <c r="Z449" s="17">
        <f t="shared" si="223"/>
        <v>0</v>
      </c>
    </row>
    <row r="450" spans="1:26" x14ac:dyDescent="0.15">
      <c r="A450" s="52" t="s">
        <v>167</v>
      </c>
      <c r="B450" s="15"/>
      <c r="C450" s="16">
        <v>3</v>
      </c>
      <c r="D450" s="36">
        <f t="shared" si="225"/>
        <v>3</v>
      </c>
      <c r="E450" s="18"/>
      <c r="F450" s="16">
        <v>3</v>
      </c>
      <c r="G450" s="36">
        <f t="shared" si="216"/>
        <v>3</v>
      </c>
      <c r="H450" s="17">
        <f t="shared" si="217"/>
        <v>6</v>
      </c>
      <c r="I450" s="81">
        <v>44587</v>
      </c>
      <c r="J450" s="52" t="s">
        <v>171</v>
      </c>
      <c r="K450" s="15">
        <v>14</v>
      </c>
      <c r="L450" s="16">
        <v>20</v>
      </c>
      <c r="M450" s="36">
        <f t="shared" si="218"/>
        <v>34</v>
      </c>
      <c r="N450" s="18">
        <v>14</v>
      </c>
      <c r="O450" s="16">
        <v>20</v>
      </c>
      <c r="P450" s="36">
        <f t="shared" si="219"/>
        <v>34</v>
      </c>
      <c r="Q450" s="17">
        <f t="shared" si="220"/>
        <v>68</v>
      </c>
      <c r="R450" s="81">
        <v>44594</v>
      </c>
      <c r="S450" s="10"/>
      <c r="T450" s="15"/>
      <c r="U450" s="16"/>
      <c r="V450" s="36">
        <f t="shared" si="221"/>
        <v>0</v>
      </c>
      <c r="W450" s="18"/>
      <c r="X450" s="16"/>
      <c r="Y450" s="36">
        <f t="shared" si="222"/>
        <v>0</v>
      </c>
      <c r="Z450" s="17">
        <f t="shared" si="223"/>
        <v>0</v>
      </c>
    </row>
    <row r="451" spans="1:26" x14ac:dyDescent="0.15">
      <c r="A451" s="35" t="s">
        <v>33</v>
      </c>
      <c r="B451" s="15"/>
      <c r="C451" s="16"/>
      <c r="D451" s="36">
        <f t="shared" si="225"/>
        <v>0</v>
      </c>
      <c r="E451" s="18"/>
      <c r="F451" s="16">
        <v>1</v>
      </c>
      <c r="G451" s="36">
        <f t="shared" si="216"/>
        <v>1</v>
      </c>
      <c r="H451" s="17">
        <f t="shared" si="217"/>
        <v>1</v>
      </c>
      <c r="I451" s="84">
        <v>44586</v>
      </c>
      <c r="J451" s="35" t="s">
        <v>172</v>
      </c>
      <c r="K451" s="15">
        <v>30</v>
      </c>
      <c r="L451" s="16">
        <v>10</v>
      </c>
      <c r="M451" s="36">
        <f t="shared" si="218"/>
        <v>40</v>
      </c>
      <c r="N451" s="18">
        <v>40</v>
      </c>
      <c r="O451" s="16"/>
      <c r="P451" s="36">
        <f t="shared" si="219"/>
        <v>40</v>
      </c>
      <c r="Q451" s="17">
        <f t="shared" si="220"/>
        <v>80</v>
      </c>
      <c r="R451" s="81">
        <v>44607</v>
      </c>
      <c r="S451" s="52"/>
      <c r="T451" s="15"/>
      <c r="U451" s="16"/>
      <c r="V451" s="36">
        <f t="shared" si="221"/>
        <v>0</v>
      </c>
      <c r="W451" s="18"/>
      <c r="X451" s="16"/>
      <c r="Y451" s="36">
        <f t="shared" si="222"/>
        <v>0</v>
      </c>
      <c r="Z451" s="17">
        <f t="shared" si="223"/>
        <v>0</v>
      </c>
    </row>
    <row r="452" spans="1:26" x14ac:dyDescent="0.15">
      <c r="A452" s="35" t="s">
        <v>33</v>
      </c>
      <c r="B452" s="15"/>
      <c r="C452" s="16">
        <v>2</v>
      </c>
      <c r="D452" s="36">
        <f t="shared" si="225"/>
        <v>2</v>
      </c>
      <c r="E452" s="18"/>
      <c r="F452" s="16">
        <v>1</v>
      </c>
      <c r="G452" s="36">
        <f t="shared" si="216"/>
        <v>1</v>
      </c>
      <c r="H452" s="17">
        <f t="shared" si="217"/>
        <v>3</v>
      </c>
      <c r="I452" s="84">
        <v>44588</v>
      </c>
      <c r="J452" s="10" t="s">
        <v>30</v>
      </c>
      <c r="K452" s="19"/>
      <c r="L452" s="20"/>
      <c r="M452" s="17">
        <f t="shared" si="218"/>
        <v>0</v>
      </c>
      <c r="N452" s="21">
        <v>10</v>
      </c>
      <c r="O452" s="20">
        <v>10</v>
      </c>
      <c r="P452" s="17">
        <f t="shared" si="219"/>
        <v>20</v>
      </c>
      <c r="Q452" s="17">
        <f t="shared" si="220"/>
        <v>20</v>
      </c>
      <c r="R452" s="81">
        <v>44600</v>
      </c>
      <c r="S452" s="10"/>
      <c r="T452" s="19"/>
      <c r="U452" s="20"/>
      <c r="V452" s="17">
        <f t="shared" si="221"/>
        <v>0</v>
      </c>
      <c r="W452" s="21"/>
      <c r="X452" s="20"/>
      <c r="Y452" s="17">
        <f t="shared" si="222"/>
        <v>0</v>
      </c>
      <c r="Z452" s="17">
        <f t="shared" si="223"/>
        <v>0</v>
      </c>
    </row>
    <row r="453" spans="1:26" x14ac:dyDescent="0.15">
      <c r="A453" s="52" t="s">
        <v>169</v>
      </c>
      <c r="B453" s="23"/>
      <c r="C453" s="24">
        <v>1</v>
      </c>
      <c r="D453" s="36">
        <f t="shared" si="225"/>
        <v>1</v>
      </c>
      <c r="E453" s="25"/>
      <c r="F453" s="24">
        <v>1</v>
      </c>
      <c r="G453" s="36">
        <f t="shared" si="216"/>
        <v>1</v>
      </c>
      <c r="H453" s="17">
        <f t="shared" si="217"/>
        <v>2</v>
      </c>
      <c r="I453" s="81">
        <v>44592</v>
      </c>
      <c r="J453" s="52" t="s">
        <v>176</v>
      </c>
      <c r="K453" s="23">
        <v>5</v>
      </c>
      <c r="L453" s="24"/>
      <c r="M453" s="36">
        <f t="shared" si="218"/>
        <v>5</v>
      </c>
      <c r="N453" s="25">
        <v>5</v>
      </c>
      <c r="O453" s="24"/>
      <c r="P453" s="36">
        <f t="shared" si="219"/>
        <v>5</v>
      </c>
      <c r="Q453" s="17">
        <f t="shared" si="220"/>
        <v>10</v>
      </c>
      <c r="R453" s="81">
        <v>44606</v>
      </c>
      <c r="S453" s="35"/>
      <c r="T453" s="23"/>
      <c r="U453" s="24"/>
      <c r="V453" s="36">
        <f t="shared" si="221"/>
        <v>0</v>
      </c>
      <c r="W453" s="25"/>
      <c r="X453" s="24"/>
      <c r="Y453" s="36">
        <f t="shared" si="222"/>
        <v>0</v>
      </c>
      <c r="Z453" s="17">
        <f t="shared" si="223"/>
        <v>0</v>
      </c>
    </row>
    <row r="454" spans="1:26" x14ac:dyDescent="0.15">
      <c r="A454" s="35" t="s">
        <v>33</v>
      </c>
      <c r="B454" s="15">
        <v>1</v>
      </c>
      <c r="C454" s="16"/>
      <c r="D454" s="36">
        <f t="shared" si="225"/>
        <v>1</v>
      </c>
      <c r="E454" s="18">
        <v>2</v>
      </c>
      <c r="F454" s="16">
        <v>2</v>
      </c>
      <c r="G454" s="36">
        <f t="shared" si="216"/>
        <v>4</v>
      </c>
      <c r="H454" s="17">
        <f t="shared" si="217"/>
        <v>5</v>
      </c>
      <c r="I454" s="84">
        <v>44590</v>
      </c>
      <c r="J454" s="35" t="s">
        <v>177</v>
      </c>
      <c r="K454" s="15"/>
      <c r="L454" s="16">
        <v>50</v>
      </c>
      <c r="M454" s="36">
        <f t="shared" si="218"/>
        <v>50</v>
      </c>
      <c r="N454" s="18">
        <v>24</v>
      </c>
      <c r="O454" s="16">
        <v>60</v>
      </c>
      <c r="P454" s="36">
        <f t="shared" si="219"/>
        <v>84</v>
      </c>
      <c r="Q454" s="17">
        <f t="shared" si="220"/>
        <v>134</v>
      </c>
      <c r="R454" s="81">
        <v>44610</v>
      </c>
      <c r="S454" s="35"/>
      <c r="T454" s="15"/>
      <c r="U454" s="16"/>
      <c r="V454" s="36">
        <f t="shared" si="221"/>
        <v>0</v>
      </c>
      <c r="W454" s="18"/>
      <c r="X454" s="16"/>
      <c r="Y454" s="36">
        <f t="shared" si="222"/>
        <v>0</v>
      </c>
      <c r="Z454" s="17">
        <f t="shared" si="223"/>
        <v>0</v>
      </c>
    </row>
    <row r="455" spans="1:26" x14ac:dyDescent="0.15">
      <c r="A455" s="52" t="s">
        <v>170</v>
      </c>
      <c r="B455" s="15">
        <v>1</v>
      </c>
      <c r="C455" s="16"/>
      <c r="D455" s="36">
        <f t="shared" si="225"/>
        <v>1</v>
      </c>
      <c r="E455" s="18">
        <v>1</v>
      </c>
      <c r="F455" s="16"/>
      <c r="G455" s="36">
        <f t="shared" si="216"/>
        <v>1</v>
      </c>
      <c r="H455" s="17">
        <f t="shared" si="217"/>
        <v>2</v>
      </c>
      <c r="I455" s="81">
        <v>44593</v>
      </c>
      <c r="J455" s="10" t="s">
        <v>30</v>
      </c>
      <c r="K455" s="15">
        <v>20</v>
      </c>
      <c r="L455" s="16">
        <v>10</v>
      </c>
      <c r="M455" s="36">
        <f t="shared" si="218"/>
        <v>30</v>
      </c>
      <c r="N455" s="18">
        <v>5</v>
      </c>
      <c r="O455" s="16"/>
      <c r="P455" s="36">
        <f t="shared" si="219"/>
        <v>5</v>
      </c>
      <c r="Q455" s="17">
        <f t="shared" si="220"/>
        <v>35</v>
      </c>
      <c r="R455" s="81">
        <v>44606</v>
      </c>
      <c r="S455" s="35"/>
      <c r="T455" s="15"/>
      <c r="U455" s="16"/>
      <c r="V455" s="36">
        <f t="shared" si="221"/>
        <v>0</v>
      </c>
      <c r="W455" s="18"/>
      <c r="X455" s="16"/>
      <c r="Y455" s="36">
        <f t="shared" si="222"/>
        <v>0</v>
      </c>
      <c r="Z455" s="17">
        <f t="shared" si="223"/>
        <v>0</v>
      </c>
    </row>
    <row r="456" spans="1:26" x14ac:dyDescent="0.15">
      <c r="A456" s="35" t="s">
        <v>33</v>
      </c>
      <c r="B456" s="15">
        <v>1</v>
      </c>
      <c r="C456" s="16"/>
      <c r="D456" s="36">
        <f t="shared" si="225"/>
        <v>1</v>
      </c>
      <c r="E456" s="18">
        <v>2</v>
      </c>
      <c r="F456" s="16"/>
      <c r="G456" s="36">
        <f t="shared" si="216"/>
        <v>2</v>
      </c>
      <c r="H456" s="17">
        <f t="shared" si="217"/>
        <v>3</v>
      </c>
      <c r="I456" s="84">
        <v>44592</v>
      </c>
      <c r="J456" s="52" t="s">
        <v>178</v>
      </c>
      <c r="K456" s="15">
        <v>11</v>
      </c>
      <c r="L456" s="16">
        <v>2</v>
      </c>
      <c r="M456" s="36">
        <f t="shared" si="218"/>
        <v>13</v>
      </c>
      <c r="N456" s="18">
        <v>11</v>
      </c>
      <c r="O456" s="16">
        <v>2</v>
      </c>
      <c r="P456" s="36">
        <f t="shared" si="219"/>
        <v>13</v>
      </c>
      <c r="Q456" s="17">
        <f t="shared" si="220"/>
        <v>26</v>
      </c>
      <c r="R456" s="81">
        <v>44607</v>
      </c>
      <c r="S456" s="35"/>
      <c r="T456" s="15"/>
      <c r="U456" s="16"/>
      <c r="V456" s="36">
        <f t="shared" si="221"/>
        <v>0</v>
      </c>
      <c r="W456" s="18"/>
      <c r="X456" s="16"/>
      <c r="Y456" s="36">
        <f t="shared" si="222"/>
        <v>0</v>
      </c>
      <c r="Z456" s="17">
        <f t="shared" si="223"/>
        <v>0</v>
      </c>
    </row>
    <row r="457" spans="1:26" x14ac:dyDescent="0.15">
      <c r="A457" s="35" t="s">
        <v>33</v>
      </c>
      <c r="B457" s="15"/>
      <c r="C457" s="16"/>
      <c r="D457" s="17">
        <f t="shared" si="225"/>
        <v>0</v>
      </c>
      <c r="E457" s="18">
        <v>1</v>
      </c>
      <c r="F457" s="16"/>
      <c r="G457" s="17">
        <f t="shared" si="216"/>
        <v>1</v>
      </c>
      <c r="H457" s="17">
        <f t="shared" si="217"/>
        <v>1</v>
      </c>
      <c r="I457" s="84">
        <v>44593</v>
      </c>
      <c r="J457" s="52" t="s">
        <v>181</v>
      </c>
      <c r="K457" s="15">
        <v>2</v>
      </c>
      <c r="L457" s="16">
        <v>6</v>
      </c>
      <c r="M457" s="17">
        <f t="shared" si="218"/>
        <v>8</v>
      </c>
      <c r="N457" s="18">
        <v>2</v>
      </c>
      <c r="O457" s="16">
        <v>6</v>
      </c>
      <c r="P457" s="17">
        <f t="shared" si="219"/>
        <v>8</v>
      </c>
      <c r="Q457" s="17">
        <f t="shared" si="220"/>
        <v>16</v>
      </c>
      <c r="R457" s="81">
        <v>44608</v>
      </c>
      <c r="S457" s="10"/>
      <c r="T457" s="15"/>
      <c r="U457" s="16"/>
      <c r="V457" s="17">
        <f t="shared" si="221"/>
        <v>0</v>
      </c>
      <c r="W457" s="18"/>
      <c r="X457" s="16"/>
      <c r="Y457" s="17">
        <f t="shared" si="222"/>
        <v>0</v>
      </c>
      <c r="Z457" s="17">
        <f t="shared" si="223"/>
        <v>0</v>
      </c>
    </row>
    <row r="458" spans="1:26" x14ac:dyDescent="0.15">
      <c r="A458" s="35" t="s">
        <v>33</v>
      </c>
      <c r="B458" s="15"/>
      <c r="C458" s="16">
        <v>1</v>
      </c>
      <c r="D458" s="36">
        <f t="shared" si="225"/>
        <v>1</v>
      </c>
      <c r="E458" s="18"/>
      <c r="F458" s="16"/>
      <c r="G458" s="36">
        <f t="shared" si="216"/>
        <v>0</v>
      </c>
      <c r="H458" s="17">
        <f t="shared" si="217"/>
        <v>1</v>
      </c>
      <c r="I458" s="84">
        <v>44594</v>
      </c>
      <c r="J458" s="52" t="s">
        <v>182</v>
      </c>
      <c r="K458" s="15">
        <v>5</v>
      </c>
      <c r="L458" s="16">
        <v>10</v>
      </c>
      <c r="M458" s="36">
        <f t="shared" si="218"/>
        <v>15</v>
      </c>
      <c r="N458" s="18">
        <v>5</v>
      </c>
      <c r="O458" s="16">
        <v>10</v>
      </c>
      <c r="P458" s="36">
        <f t="shared" si="219"/>
        <v>15</v>
      </c>
      <c r="Q458" s="17">
        <f t="shared" si="220"/>
        <v>30</v>
      </c>
      <c r="R458" s="81">
        <v>44609</v>
      </c>
      <c r="S458" s="35"/>
      <c r="T458" s="15"/>
      <c r="U458" s="16"/>
      <c r="V458" s="36">
        <f t="shared" si="221"/>
        <v>0</v>
      </c>
      <c r="W458" s="18"/>
      <c r="X458" s="16"/>
      <c r="Y458" s="36">
        <f t="shared" si="222"/>
        <v>0</v>
      </c>
      <c r="Z458" s="17">
        <f t="shared" si="223"/>
        <v>0</v>
      </c>
    </row>
    <row r="459" spans="1:26" x14ac:dyDescent="0.15">
      <c r="A459" s="35" t="s">
        <v>33</v>
      </c>
      <c r="B459" s="15"/>
      <c r="C459" s="16"/>
      <c r="D459" s="36">
        <f t="shared" si="225"/>
        <v>0</v>
      </c>
      <c r="E459" s="18">
        <v>1</v>
      </c>
      <c r="F459" s="16"/>
      <c r="G459" s="36">
        <f t="shared" si="216"/>
        <v>1</v>
      </c>
      <c r="H459" s="17">
        <f t="shared" si="217"/>
        <v>1</v>
      </c>
      <c r="I459" s="84">
        <v>44596</v>
      </c>
      <c r="J459" s="35" t="s">
        <v>184</v>
      </c>
      <c r="K459" s="15">
        <v>20</v>
      </c>
      <c r="L459" s="16">
        <v>40</v>
      </c>
      <c r="M459" s="36">
        <f t="shared" ref="M459" si="226">SUM(K459:L459)</f>
        <v>60</v>
      </c>
      <c r="N459" s="18">
        <v>20</v>
      </c>
      <c r="O459" s="16">
        <v>20</v>
      </c>
      <c r="P459" s="36">
        <f t="shared" ref="P459" si="227">SUM(N459:O459)</f>
        <v>40</v>
      </c>
      <c r="Q459" s="17">
        <f t="shared" ref="Q459" si="228">M459+P459</f>
        <v>100</v>
      </c>
      <c r="R459" s="81">
        <v>44614</v>
      </c>
      <c r="S459" s="37"/>
      <c r="T459" s="15"/>
      <c r="U459" s="16"/>
      <c r="V459" s="36">
        <f t="shared" si="221"/>
        <v>0</v>
      </c>
      <c r="W459" s="18"/>
      <c r="X459" s="16"/>
      <c r="Y459" s="36">
        <f t="shared" si="222"/>
        <v>0</v>
      </c>
      <c r="Z459" s="17">
        <f t="shared" si="223"/>
        <v>0</v>
      </c>
    </row>
    <row r="460" spans="1:26" x14ac:dyDescent="0.15">
      <c r="A460" s="35" t="s">
        <v>33</v>
      </c>
      <c r="B460" s="15">
        <v>2</v>
      </c>
      <c r="C460" s="16"/>
      <c r="D460" s="36">
        <f t="shared" si="225"/>
        <v>2</v>
      </c>
      <c r="E460" s="18">
        <v>2</v>
      </c>
      <c r="F460" s="16"/>
      <c r="G460" s="36">
        <f t="shared" si="216"/>
        <v>2</v>
      </c>
      <c r="H460" s="17">
        <f t="shared" si="217"/>
        <v>4</v>
      </c>
      <c r="I460" s="84">
        <v>44597</v>
      </c>
      <c r="J460" s="35"/>
      <c r="K460" s="15"/>
      <c r="L460" s="16"/>
      <c r="M460" s="36">
        <f t="shared" si="218"/>
        <v>0</v>
      </c>
      <c r="N460" s="18"/>
      <c r="O460" s="16"/>
      <c r="P460" s="36">
        <f t="shared" si="219"/>
        <v>0</v>
      </c>
      <c r="Q460" s="17">
        <f t="shared" si="220"/>
        <v>0</v>
      </c>
      <c r="R460" s="81"/>
      <c r="S460" s="37"/>
      <c r="T460" s="15"/>
      <c r="U460" s="16"/>
      <c r="V460" s="36">
        <f t="shared" si="221"/>
        <v>0</v>
      </c>
      <c r="W460" s="18"/>
      <c r="X460" s="16"/>
      <c r="Y460" s="36">
        <f t="shared" si="222"/>
        <v>0</v>
      </c>
      <c r="Z460" s="17">
        <f t="shared" si="223"/>
        <v>0</v>
      </c>
    </row>
    <row r="461" spans="1:26" x14ac:dyDescent="0.15">
      <c r="A461" s="35" t="s">
        <v>33</v>
      </c>
      <c r="B461" s="15"/>
      <c r="C461" s="16">
        <v>2</v>
      </c>
      <c r="D461" s="36">
        <f t="shared" si="225"/>
        <v>2</v>
      </c>
      <c r="E461" s="18"/>
      <c r="F461" s="16">
        <f>1+2</f>
        <v>3</v>
      </c>
      <c r="G461" s="36">
        <f t="shared" si="216"/>
        <v>3</v>
      </c>
      <c r="H461" s="17">
        <f t="shared" si="217"/>
        <v>5</v>
      </c>
      <c r="I461" s="84">
        <v>44599</v>
      </c>
      <c r="J461" s="35"/>
      <c r="K461" s="15"/>
      <c r="L461" s="16"/>
      <c r="M461" s="36">
        <f t="shared" si="218"/>
        <v>0</v>
      </c>
      <c r="N461" s="18"/>
      <c r="O461" s="16"/>
      <c r="P461" s="36">
        <f t="shared" si="219"/>
        <v>0</v>
      </c>
      <c r="Q461" s="17">
        <f t="shared" si="220"/>
        <v>0</v>
      </c>
      <c r="R461" s="83"/>
      <c r="S461" s="35"/>
      <c r="T461" s="15"/>
      <c r="U461" s="16"/>
      <c r="V461" s="36">
        <f t="shared" si="221"/>
        <v>0</v>
      </c>
      <c r="W461" s="18"/>
      <c r="X461" s="16"/>
      <c r="Y461" s="36">
        <f t="shared" si="222"/>
        <v>0</v>
      </c>
      <c r="Z461" s="17">
        <f t="shared" si="223"/>
        <v>0</v>
      </c>
    </row>
    <row r="462" spans="1:26" x14ac:dyDescent="0.15">
      <c r="A462" s="52" t="s">
        <v>174</v>
      </c>
      <c r="B462" s="15">
        <v>2</v>
      </c>
      <c r="C462" s="16"/>
      <c r="D462" s="36">
        <f t="shared" si="225"/>
        <v>2</v>
      </c>
      <c r="E462" s="18">
        <v>2</v>
      </c>
      <c r="F462" s="16"/>
      <c r="G462" s="36">
        <f t="shared" si="216"/>
        <v>2</v>
      </c>
      <c r="H462" s="17">
        <f t="shared" si="217"/>
        <v>4</v>
      </c>
      <c r="I462" s="81">
        <v>44601</v>
      </c>
      <c r="J462" s="38"/>
      <c r="K462" s="15"/>
      <c r="L462" s="16"/>
      <c r="M462" s="36">
        <f t="shared" si="218"/>
        <v>0</v>
      </c>
      <c r="N462" s="18"/>
      <c r="O462" s="16"/>
      <c r="P462" s="36">
        <f t="shared" si="219"/>
        <v>0</v>
      </c>
      <c r="Q462" s="17">
        <f t="shared" si="220"/>
        <v>0</v>
      </c>
      <c r="R462" s="83"/>
      <c r="S462" s="38"/>
      <c r="T462" s="15"/>
      <c r="U462" s="16"/>
      <c r="V462" s="36">
        <f t="shared" si="221"/>
        <v>0</v>
      </c>
      <c r="W462" s="18"/>
      <c r="X462" s="16"/>
      <c r="Y462" s="36">
        <f t="shared" si="222"/>
        <v>0</v>
      </c>
      <c r="Z462" s="17">
        <f t="shared" si="223"/>
        <v>0</v>
      </c>
    </row>
    <row r="463" spans="1:26" x14ac:dyDescent="0.15">
      <c r="A463" s="35" t="s">
        <v>33</v>
      </c>
      <c r="B463" s="15"/>
      <c r="C463" s="16"/>
      <c r="D463" s="36">
        <f t="shared" si="225"/>
        <v>0</v>
      </c>
      <c r="E463" s="18"/>
      <c r="F463" s="16">
        <v>1</v>
      </c>
      <c r="G463" s="36">
        <f t="shared" si="216"/>
        <v>1</v>
      </c>
      <c r="H463" s="17">
        <f t="shared" si="217"/>
        <v>1</v>
      </c>
      <c r="I463" s="81">
        <v>44600</v>
      </c>
      <c r="J463" s="35"/>
      <c r="K463" s="15"/>
      <c r="L463" s="16"/>
      <c r="M463" s="36">
        <f t="shared" si="218"/>
        <v>0</v>
      </c>
      <c r="N463" s="18"/>
      <c r="O463" s="16"/>
      <c r="P463" s="36">
        <f t="shared" si="219"/>
        <v>0</v>
      </c>
      <c r="Q463" s="17">
        <f t="shared" si="220"/>
        <v>0</v>
      </c>
      <c r="S463" s="35"/>
      <c r="T463" s="15"/>
      <c r="U463" s="16"/>
      <c r="V463" s="36">
        <f t="shared" si="221"/>
        <v>0</v>
      </c>
      <c r="W463" s="18"/>
      <c r="X463" s="16"/>
      <c r="Y463" s="36">
        <f t="shared" si="222"/>
        <v>0</v>
      </c>
      <c r="Z463" s="17">
        <f t="shared" si="223"/>
        <v>0</v>
      </c>
    </row>
    <row r="464" spans="1:26" x14ac:dyDescent="0.15">
      <c r="A464" s="52" t="s">
        <v>175</v>
      </c>
      <c r="B464" s="15">
        <v>3</v>
      </c>
      <c r="C464" s="16"/>
      <c r="D464" s="36">
        <f t="shared" si="225"/>
        <v>3</v>
      </c>
      <c r="E464" s="18">
        <v>3</v>
      </c>
      <c r="F464" s="16"/>
      <c r="G464" s="36">
        <f t="shared" si="216"/>
        <v>3</v>
      </c>
      <c r="H464" s="17">
        <f t="shared" si="217"/>
        <v>6</v>
      </c>
      <c r="I464" s="81">
        <v>44602</v>
      </c>
      <c r="J464" s="38"/>
      <c r="K464" s="15"/>
      <c r="L464" s="16"/>
      <c r="M464" s="36">
        <f t="shared" si="218"/>
        <v>0</v>
      </c>
      <c r="N464" s="18"/>
      <c r="O464" s="16"/>
      <c r="P464" s="36">
        <f t="shared" si="219"/>
        <v>0</v>
      </c>
      <c r="Q464" s="17">
        <f t="shared" si="220"/>
        <v>0</v>
      </c>
      <c r="S464" s="38"/>
      <c r="T464" s="15"/>
      <c r="U464" s="16"/>
      <c r="V464" s="36">
        <f t="shared" si="221"/>
        <v>0</v>
      </c>
      <c r="W464" s="18"/>
      <c r="X464" s="16"/>
      <c r="Y464" s="36">
        <f t="shared" si="222"/>
        <v>0</v>
      </c>
      <c r="Z464" s="17">
        <f t="shared" si="223"/>
        <v>0</v>
      </c>
    </row>
    <row r="465" spans="1:27" x14ac:dyDescent="0.15">
      <c r="A465" s="35" t="s">
        <v>33</v>
      </c>
      <c r="B465" s="15">
        <f>2+4+2</f>
        <v>8</v>
      </c>
      <c r="C465" s="16"/>
      <c r="D465" s="36">
        <f t="shared" si="225"/>
        <v>8</v>
      </c>
      <c r="E465" s="18"/>
      <c r="F465" s="16"/>
      <c r="G465" s="36">
        <f t="shared" si="216"/>
        <v>0</v>
      </c>
      <c r="H465" s="17">
        <f t="shared" si="217"/>
        <v>8</v>
      </c>
      <c r="I465" s="81">
        <v>44602</v>
      </c>
      <c r="J465" s="35"/>
      <c r="K465" s="15"/>
      <c r="L465" s="16"/>
      <c r="M465" s="36">
        <f t="shared" si="218"/>
        <v>0</v>
      </c>
      <c r="N465" s="18"/>
      <c r="O465" s="16"/>
      <c r="P465" s="36">
        <f t="shared" si="219"/>
        <v>0</v>
      </c>
      <c r="Q465" s="17">
        <f t="shared" si="220"/>
        <v>0</v>
      </c>
      <c r="R465" s="83"/>
      <c r="S465" s="35"/>
      <c r="T465" s="15"/>
      <c r="U465" s="16"/>
      <c r="V465" s="36">
        <f t="shared" si="221"/>
        <v>0</v>
      </c>
      <c r="W465" s="18"/>
      <c r="X465" s="16"/>
      <c r="Y465" s="36">
        <f t="shared" si="222"/>
        <v>0</v>
      </c>
      <c r="Z465" s="17">
        <f t="shared" si="223"/>
        <v>0</v>
      </c>
      <c r="AA465" s="22"/>
    </row>
    <row r="466" spans="1:27" x14ac:dyDescent="0.15">
      <c r="A466" s="35" t="s">
        <v>33</v>
      </c>
      <c r="B466" s="15">
        <f>2+2</f>
        <v>4</v>
      </c>
      <c r="C466" s="16">
        <f>1+1</f>
        <v>2</v>
      </c>
      <c r="D466" s="17">
        <f>SUM(B466:C466)</f>
        <v>6</v>
      </c>
      <c r="E466" s="18">
        <f>2+1+1+4</f>
        <v>8</v>
      </c>
      <c r="F466" s="16"/>
      <c r="G466" s="17">
        <f t="shared" si="216"/>
        <v>8</v>
      </c>
      <c r="H466" s="17">
        <f t="shared" si="217"/>
        <v>14</v>
      </c>
      <c r="I466" s="81">
        <v>44606</v>
      </c>
      <c r="J466" s="35"/>
      <c r="K466" s="15"/>
      <c r="L466" s="16"/>
      <c r="M466" s="36">
        <f t="shared" si="218"/>
        <v>0</v>
      </c>
      <c r="N466" s="18"/>
      <c r="O466" s="16"/>
      <c r="P466" s="36">
        <f t="shared" si="219"/>
        <v>0</v>
      </c>
      <c r="Q466" s="17">
        <f t="shared" si="220"/>
        <v>0</v>
      </c>
      <c r="R466" s="83"/>
      <c r="S466" s="35"/>
      <c r="T466" s="15"/>
      <c r="U466" s="16"/>
      <c r="V466" s="36">
        <f t="shared" si="221"/>
        <v>0</v>
      </c>
      <c r="W466" s="18"/>
      <c r="X466" s="16"/>
      <c r="Y466" s="36">
        <f t="shared" si="222"/>
        <v>0</v>
      </c>
      <c r="Z466" s="17">
        <f t="shared" si="223"/>
        <v>0</v>
      </c>
      <c r="AA466" s="22"/>
    </row>
    <row r="467" spans="1:27" x14ac:dyDescent="0.15">
      <c r="A467" s="35" t="s">
        <v>33</v>
      </c>
      <c r="B467" s="15"/>
      <c r="C467" s="16">
        <v>1</v>
      </c>
      <c r="D467" s="36">
        <f t="shared" ref="D467" si="229">SUM(B467:C467)</f>
        <v>1</v>
      </c>
      <c r="E467" s="18"/>
      <c r="F467" s="16"/>
      <c r="G467" s="36">
        <f t="shared" si="216"/>
        <v>0</v>
      </c>
      <c r="H467" s="17">
        <f t="shared" si="217"/>
        <v>1</v>
      </c>
      <c r="I467" s="84">
        <v>44607</v>
      </c>
      <c r="J467" s="35" t="s">
        <v>148</v>
      </c>
      <c r="K467" s="15"/>
      <c r="L467" s="16"/>
      <c r="M467" s="36">
        <f t="shared" ref="M467:M469" si="230">SUM(K467:L467)</f>
        <v>0</v>
      </c>
      <c r="N467" s="18"/>
      <c r="O467" s="16"/>
      <c r="P467" s="36">
        <f t="shared" ref="P467:P469" si="231">SUM(N467:O467)</f>
        <v>0</v>
      </c>
      <c r="Q467" s="17">
        <f t="shared" ref="Q467:Q469" si="232">M467+P467</f>
        <v>0</v>
      </c>
      <c r="R467" s="83" t="s">
        <v>149</v>
      </c>
      <c r="S467" s="35"/>
      <c r="T467" s="15"/>
      <c r="U467" s="16"/>
      <c r="V467" s="36">
        <f t="shared" si="221"/>
        <v>0</v>
      </c>
      <c r="W467" s="18"/>
      <c r="X467" s="16"/>
      <c r="Y467" s="36">
        <f t="shared" si="222"/>
        <v>0</v>
      </c>
      <c r="Z467" s="17">
        <f t="shared" si="223"/>
        <v>0</v>
      </c>
      <c r="AA467" s="22"/>
    </row>
    <row r="468" spans="1:27" x14ac:dyDescent="0.15">
      <c r="A468" s="35" t="s">
        <v>33</v>
      </c>
      <c r="B468" s="15"/>
      <c r="C468" s="16"/>
      <c r="D468" s="17">
        <f>SUM(B468:C468)</f>
        <v>0</v>
      </c>
      <c r="E468" s="18">
        <v>1</v>
      </c>
      <c r="F468" s="16"/>
      <c r="G468" s="17">
        <f t="shared" si="216"/>
        <v>1</v>
      </c>
      <c r="H468" s="17">
        <f t="shared" si="217"/>
        <v>1</v>
      </c>
      <c r="I468" s="84">
        <v>44609</v>
      </c>
      <c r="J468" s="35" t="s">
        <v>147</v>
      </c>
      <c r="K468" s="15"/>
      <c r="L468" s="16"/>
      <c r="M468" s="36">
        <f t="shared" si="230"/>
        <v>0</v>
      </c>
      <c r="N468" s="18"/>
      <c r="O468" s="16"/>
      <c r="P468" s="36">
        <f t="shared" si="231"/>
        <v>0</v>
      </c>
      <c r="Q468" s="17">
        <f t="shared" si="232"/>
        <v>0</v>
      </c>
      <c r="R468" s="83" t="s">
        <v>144</v>
      </c>
      <c r="S468" s="35"/>
      <c r="T468" s="15"/>
      <c r="U468" s="16"/>
      <c r="V468" s="36">
        <f t="shared" si="221"/>
        <v>0</v>
      </c>
      <c r="W468" s="18"/>
      <c r="X468" s="16"/>
      <c r="Y468" s="36">
        <f t="shared" si="222"/>
        <v>0</v>
      </c>
      <c r="Z468" s="17">
        <f t="shared" si="223"/>
        <v>0</v>
      </c>
      <c r="AA468" s="22"/>
    </row>
    <row r="469" spans="1:27" ht="14.25" thickBot="1" x14ac:dyDescent="0.2">
      <c r="A469" s="35" t="s">
        <v>33</v>
      </c>
      <c r="B469" s="15"/>
      <c r="C469" s="16"/>
      <c r="D469" s="36">
        <f t="shared" ref="D469:D471" si="233">SUM(B469:C469)</f>
        <v>0</v>
      </c>
      <c r="E469" s="18">
        <v>1</v>
      </c>
      <c r="F469" s="16"/>
      <c r="G469" s="36">
        <f t="shared" si="216"/>
        <v>1</v>
      </c>
      <c r="H469" s="17">
        <f t="shared" si="217"/>
        <v>1</v>
      </c>
      <c r="I469" s="84">
        <v>44610</v>
      </c>
      <c r="J469" s="35" t="s">
        <v>143</v>
      </c>
      <c r="K469" s="15"/>
      <c r="L469" s="16"/>
      <c r="M469" s="36">
        <f t="shared" si="230"/>
        <v>0</v>
      </c>
      <c r="N469" s="18"/>
      <c r="O469" s="16"/>
      <c r="P469" s="36">
        <f t="shared" si="231"/>
        <v>0</v>
      </c>
      <c r="Q469" s="17">
        <f t="shared" si="232"/>
        <v>0</v>
      </c>
      <c r="R469" s="83" t="s">
        <v>144</v>
      </c>
      <c r="S469" s="35"/>
      <c r="T469" s="15"/>
      <c r="U469" s="16"/>
      <c r="V469" s="36">
        <f t="shared" si="221"/>
        <v>0</v>
      </c>
      <c r="W469" s="18"/>
      <c r="X469" s="16"/>
      <c r="Y469" s="36">
        <f t="shared" si="222"/>
        <v>0</v>
      </c>
      <c r="Z469" s="17">
        <f t="shared" si="223"/>
        <v>0</v>
      </c>
      <c r="AA469" s="22"/>
    </row>
    <row r="470" spans="1:27" ht="14.25" thickBot="1" x14ac:dyDescent="0.2">
      <c r="A470" s="40" t="s">
        <v>14</v>
      </c>
      <c r="B470" s="41">
        <f>SUM(B444:B469)</f>
        <v>29</v>
      </c>
      <c r="C470" s="42">
        <f t="shared" ref="C470" si="234">SUM(C444:C469)</f>
        <v>16</v>
      </c>
      <c r="D470" s="43">
        <f t="shared" si="233"/>
        <v>45</v>
      </c>
      <c r="E470" s="41">
        <f>SUM(E444:E469)</f>
        <v>34</v>
      </c>
      <c r="F470" s="42">
        <f t="shared" ref="F470" si="235">SUM(F444:F469)</f>
        <v>17</v>
      </c>
      <c r="G470" s="43">
        <f t="shared" si="216"/>
        <v>51</v>
      </c>
      <c r="H470" s="43">
        <f t="shared" si="217"/>
        <v>96</v>
      </c>
      <c r="J470" s="40" t="s">
        <v>14</v>
      </c>
      <c r="K470" s="41">
        <f>SUM(K444:K469)</f>
        <v>223</v>
      </c>
      <c r="L470" s="42">
        <f t="shared" ref="L470" si="236">SUM(L444:L469)</f>
        <v>255</v>
      </c>
      <c r="M470" s="43">
        <f t="shared" si="218"/>
        <v>478</v>
      </c>
      <c r="N470" s="41">
        <f>SUM(N444:N469)</f>
        <v>281</v>
      </c>
      <c r="O470" s="42">
        <f t="shared" ref="O470" si="237">SUM(O444:O469)</f>
        <v>231</v>
      </c>
      <c r="P470" s="43">
        <f t="shared" si="219"/>
        <v>512</v>
      </c>
      <c r="Q470" s="43">
        <f t="shared" si="220"/>
        <v>990</v>
      </c>
      <c r="S470" s="40" t="s">
        <v>14</v>
      </c>
      <c r="T470" s="41">
        <f>SUM(T444:T469)</f>
        <v>0</v>
      </c>
      <c r="U470" s="42">
        <f t="shared" ref="U470" si="238">SUM(U444:U469)</f>
        <v>0</v>
      </c>
      <c r="V470" s="43">
        <f t="shared" si="221"/>
        <v>0</v>
      </c>
      <c r="W470" s="41">
        <f>SUM(W444:W469)</f>
        <v>0</v>
      </c>
      <c r="X470" s="42">
        <f t="shared" ref="X470" si="239">SUM(X444:X469)</f>
        <v>0</v>
      </c>
      <c r="Y470" s="43">
        <f t="shared" si="222"/>
        <v>0</v>
      </c>
      <c r="Z470" s="43">
        <f t="shared" si="223"/>
        <v>0</v>
      </c>
    </row>
    <row r="471" spans="1:27" ht="14.25" thickBot="1" x14ac:dyDescent="0.2">
      <c r="A471" s="44" t="s">
        <v>15</v>
      </c>
      <c r="B471" s="45">
        <f>B443-B470</f>
        <v>18</v>
      </c>
      <c r="C471" s="46">
        <f t="shared" ref="C471" si="240">C443-C470</f>
        <v>19</v>
      </c>
      <c r="D471" s="47">
        <f t="shared" si="233"/>
        <v>37</v>
      </c>
      <c r="E471" s="45">
        <f>E443-E470</f>
        <v>11</v>
      </c>
      <c r="F471" s="46">
        <f t="shared" ref="F471" si="241">F443-F470</f>
        <v>19</v>
      </c>
      <c r="G471" s="47">
        <f t="shared" si="216"/>
        <v>30</v>
      </c>
      <c r="H471" s="34">
        <f t="shared" si="217"/>
        <v>67</v>
      </c>
      <c r="J471" s="44" t="s">
        <v>15</v>
      </c>
      <c r="K471" s="45">
        <f>K443-K470</f>
        <v>1293</v>
      </c>
      <c r="L471" s="46">
        <f t="shared" ref="L471" si="242">L443-L470</f>
        <v>1009</v>
      </c>
      <c r="M471" s="47">
        <f t="shared" si="218"/>
        <v>2302</v>
      </c>
      <c r="N471" s="45">
        <f>N443-N470</f>
        <v>1219</v>
      </c>
      <c r="O471" s="46">
        <f t="shared" ref="O471" si="243">O443-O470</f>
        <v>848</v>
      </c>
      <c r="P471" s="47">
        <f t="shared" si="219"/>
        <v>2067</v>
      </c>
      <c r="Q471" s="34">
        <f t="shared" si="220"/>
        <v>4369</v>
      </c>
      <c r="S471" s="44" t="s">
        <v>15</v>
      </c>
      <c r="T471" s="45">
        <f>T443-T470</f>
        <v>1011</v>
      </c>
      <c r="U471" s="46">
        <f t="shared" ref="U471" si="244">U443-U470</f>
        <v>715</v>
      </c>
      <c r="V471" s="47">
        <f t="shared" si="221"/>
        <v>1726</v>
      </c>
      <c r="W471" s="45">
        <f>W443-W470</f>
        <v>1532</v>
      </c>
      <c r="X471" s="46">
        <f t="shared" ref="X471" si="245">X443-X470</f>
        <v>784</v>
      </c>
      <c r="Y471" s="47">
        <f t="shared" si="222"/>
        <v>2316</v>
      </c>
      <c r="Z471" s="34">
        <f t="shared" si="223"/>
        <v>4042</v>
      </c>
    </row>
    <row r="474" spans="1:27" ht="19.5" thickBot="1" x14ac:dyDescent="0.25">
      <c r="A474" s="1" t="s">
        <v>23</v>
      </c>
      <c r="J474" s="1" t="s">
        <v>24</v>
      </c>
      <c r="K474" s="2"/>
      <c r="L474" s="2"/>
      <c r="M474" s="2"/>
      <c r="N474" s="2"/>
      <c r="O474" s="1" t="s">
        <v>34</v>
      </c>
      <c r="P474" s="2"/>
      <c r="Q474" s="2"/>
      <c r="S474" s="1" t="s">
        <v>24</v>
      </c>
      <c r="T474" s="2"/>
      <c r="U474" s="2"/>
      <c r="V474" s="2"/>
      <c r="W474" s="2"/>
      <c r="X474" s="1" t="s">
        <v>34</v>
      </c>
      <c r="Y474" s="2"/>
      <c r="Z474" s="2"/>
    </row>
    <row r="475" spans="1:27" ht="14.25" thickBot="1" x14ac:dyDescent="0.2">
      <c r="A475" s="3" t="s">
        <v>0</v>
      </c>
      <c r="B475" s="125" t="s">
        <v>18</v>
      </c>
      <c r="C475" s="126"/>
      <c r="D475" s="127"/>
      <c r="E475" s="125" t="s">
        <v>19</v>
      </c>
      <c r="F475" s="126"/>
      <c r="G475" s="128"/>
      <c r="H475" s="129" t="s">
        <v>1</v>
      </c>
      <c r="J475" s="3" t="s">
        <v>0</v>
      </c>
      <c r="K475" s="125" t="s">
        <v>18</v>
      </c>
      <c r="L475" s="126"/>
      <c r="M475" s="127"/>
      <c r="N475" s="125" t="s">
        <v>19</v>
      </c>
      <c r="O475" s="126"/>
      <c r="P475" s="128"/>
      <c r="Q475" s="129" t="s">
        <v>1</v>
      </c>
      <c r="S475" s="3" t="s">
        <v>0</v>
      </c>
      <c r="T475" s="125" t="s">
        <v>18</v>
      </c>
      <c r="U475" s="126"/>
      <c r="V475" s="127"/>
      <c r="W475" s="125" t="s">
        <v>19</v>
      </c>
      <c r="X475" s="126"/>
      <c r="Y475" s="128"/>
      <c r="Z475" s="129" t="s">
        <v>1</v>
      </c>
    </row>
    <row r="476" spans="1:27" ht="14.25" thickBot="1" x14ac:dyDescent="0.2">
      <c r="A476" s="3" t="s">
        <v>2</v>
      </c>
      <c r="B476" s="4" t="s">
        <v>16</v>
      </c>
      <c r="C476" s="5" t="s">
        <v>17</v>
      </c>
      <c r="D476" s="3" t="s">
        <v>3</v>
      </c>
      <c r="E476" s="4" t="s">
        <v>16</v>
      </c>
      <c r="F476" s="5" t="s">
        <v>17</v>
      </c>
      <c r="G476" s="3" t="s">
        <v>3</v>
      </c>
      <c r="H476" s="130"/>
      <c r="J476" s="3" t="s">
        <v>2</v>
      </c>
      <c r="K476" s="4" t="s">
        <v>16</v>
      </c>
      <c r="L476" s="5" t="s">
        <v>17</v>
      </c>
      <c r="M476" s="3" t="s">
        <v>3</v>
      </c>
      <c r="N476" s="4" t="s">
        <v>16</v>
      </c>
      <c r="O476" s="5" t="s">
        <v>17</v>
      </c>
      <c r="P476" s="3" t="s">
        <v>3</v>
      </c>
      <c r="Q476" s="130"/>
      <c r="S476" s="3" t="s">
        <v>2</v>
      </c>
      <c r="T476" s="4" t="s">
        <v>16</v>
      </c>
      <c r="U476" s="5" t="s">
        <v>17</v>
      </c>
      <c r="V476" s="3" t="s">
        <v>3</v>
      </c>
      <c r="W476" s="4" t="s">
        <v>16</v>
      </c>
      <c r="X476" s="5" t="s">
        <v>17</v>
      </c>
      <c r="Y476" s="3" t="s">
        <v>3</v>
      </c>
      <c r="Z476" s="130"/>
    </row>
    <row r="477" spans="1:27" ht="14.25" thickBot="1" x14ac:dyDescent="0.2">
      <c r="A477" s="6" t="s">
        <v>55</v>
      </c>
      <c r="B477" s="32">
        <f>B471</f>
        <v>18</v>
      </c>
      <c r="C477" s="33">
        <f>C471</f>
        <v>19</v>
      </c>
      <c r="D477" s="34">
        <f t="shared" ref="D477:D489" si="246">SUM(B477:C477)</f>
        <v>37</v>
      </c>
      <c r="E477" s="32">
        <f>E471</f>
        <v>11</v>
      </c>
      <c r="F477" s="33">
        <f>F471</f>
        <v>19</v>
      </c>
      <c r="G477" s="34">
        <f t="shared" ref="G477:G514" si="247">SUM(E477:F477)</f>
        <v>30</v>
      </c>
      <c r="H477" s="34">
        <f t="shared" ref="H477:H514" si="248">D477+G477</f>
        <v>67</v>
      </c>
      <c r="J477" s="6" t="s">
        <v>55</v>
      </c>
      <c r="K477" s="7">
        <f>K471</f>
        <v>1293</v>
      </c>
      <c r="L477" s="8">
        <f>L471</f>
        <v>1009</v>
      </c>
      <c r="M477" s="9">
        <f t="shared" ref="M477:M514" si="249">SUM(K477:L477)</f>
        <v>2302</v>
      </c>
      <c r="N477" s="7">
        <f>N471</f>
        <v>1219</v>
      </c>
      <c r="O477" s="8">
        <f>O471</f>
        <v>848</v>
      </c>
      <c r="P477" s="9">
        <f t="shared" ref="P477:P514" si="250">SUM(N477:O477)</f>
        <v>2067</v>
      </c>
      <c r="Q477" s="9">
        <f t="shared" ref="Q477:Q514" si="251">M477+P477</f>
        <v>4369</v>
      </c>
      <c r="S477" s="6" t="s">
        <v>55</v>
      </c>
      <c r="T477" s="7">
        <f>T471</f>
        <v>1011</v>
      </c>
      <c r="U477" s="8">
        <f>U471</f>
        <v>715</v>
      </c>
      <c r="V477" s="9">
        <f t="shared" ref="V477:V514" si="252">SUM(T477:U477)</f>
        <v>1726</v>
      </c>
      <c r="W477" s="7">
        <f>W471</f>
        <v>1532</v>
      </c>
      <c r="X477" s="8">
        <f>X471</f>
        <v>784</v>
      </c>
      <c r="Y477" s="9">
        <f t="shared" ref="Y477:Y514" si="253">SUM(W477:X477)</f>
        <v>2316</v>
      </c>
      <c r="Z477" s="9">
        <f t="shared" ref="Z477:Z514" si="254">V477+Y477</f>
        <v>4042</v>
      </c>
    </row>
    <row r="478" spans="1:27" x14ac:dyDescent="0.15">
      <c r="A478" s="10" t="s">
        <v>5</v>
      </c>
      <c r="B478" s="64">
        <v>5</v>
      </c>
      <c r="C478" s="65">
        <v>5</v>
      </c>
      <c r="D478" s="36">
        <f t="shared" si="246"/>
        <v>10</v>
      </c>
      <c r="E478" s="66">
        <v>15</v>
      </c>
      <c r="F478" s="65">
        <v>15</v>
      </c>
      <c r="G478" s="36">
        <f t="shared" si="247"/>
        <v>30</v>
      </c>
      <c r="H478" s="36">
        <f t="shared" si="248"/>
        <v>40</v>
      </c>
      <c r="I478" s="81">
        <v>44614</v>
      </c>
      <c r="J478" s="10" t="s">
        <v>5</v>
      </c>
      <c r="K478" s="11"/>
      <c r="L478" s="12"/>
      <c r="M478" s="13">
        <f t="shared" si="249"/>
        <v>0</v>
      </c>
      <c r="N478" s="62"/>
      <c r="O478" s="12"/>
      <c r="P478" s="13">
        <f t="shared" si="250"/>
        <v>0</v>
      </c>
      <c r="Q478" s="13">
        <f t="shared" si="251"/>
        <v>0</v>
      </c>
      <c r="S478" s="10" t="s">
        <v>5</v>
      </c>
      <c r="T478" s="11"/>
      <c r="U478" s="12"/>
      <c r="V478" s="13">
        <f t="shared" si="252"/>
        <v>0</v>
      </c>
      <c r="W478" s="62"/>
      <c r="X478" s="12"/>
      <c r="Y478" s="13">
        <f t="shared" si="253"/>
        <v>0</v>
      </c>
      <c r="Z478" s="13">
        <f t="shared" si="254"/>
        <v>0</v>
      </c>
    </row>
    <row r="479" spans="1:27" x14ac:dyDescent="0.15">
      <c r="A479" s="10" t="s">
        <v>6</v>
      </c>
      <c r="B479" s="15">
        <v>20</v>
      </c>
      <c r="C479" s="16"/>
      <c r="D479" s="17">
        <f t="shared" si="246"/>
        <v>20</v>
      </c>
      <c r="E479" s="18">
        <v>5</v>
      </c>
      <c r="F479" s="16"/>
      <c r="G479" s="17">
        <f t="shared" si="247"/>
        <v>5</v>
      </c>
      <c r="H479" s="17">
        <f t="shared" si="248"/>
        <v>25</v>
      </c>
      <c r="I479" s="81">
        <v>44617</v>
      </c>
      <c r="J479" s="10" t="s">
        <v>6</v>
      </c>
      <c r="K479" s="15"/>
      <c r="L479" s="16"/>
      <c r="M479" s="17">
        <f t="shared" si="249"/>
        <v>0</v>
      </c>
      <c r="N479" s="18"/>
      <c r="O479" s="16"/>
      <c r="P479" s="17">
        <f t="shared" si="250"/>
        <v>0</v>
      </c>
      <c r="Q479" s="17">
        <f t="shared" si="251"/>
        <v>0</v>
      </c>
      <c r="S479" s="10" t="s">
        <v>6</v>
      </c>
      <c r="T479" s="15"/>
      <c r="U479" s="16"/>
      <c r="V479" s="17">
        <f t="shared" si="252"/>
        <v>0</v>
      </c>
      <c r="W479" s="18"/>
      <c r="X479" s="16"/>
      <c r="Y479" s="17">
        <f t="shared" si="253"/>
        <v>0</v>
      </c>
      <c r="Z479" s="17">
        <f t="shared" si="254"/>
        <v>0</v>
      </c>
    </row>
    <row r="480" spans="1:27" x14ac:dyDescent="0.15">
      <c r="A480" s="10" t="s">
        <v>7</v>
      </c>
      <c r="B480" s="15"/>
      <c r="C480" s="16">
        <v>10</v>
      </c>
      <c r="D480" s="17">
        <f t="shared" si="246"/>
        <v>10</v>
      </c>
      <c r="E480" s="18">
        <v>10</v>
      </c>
      <c r="F480" s="16"/>
      <c r="G480" s="17">
        <f t="shared" si="247"/>
        <v>10</v>
      </c>
      <c r="H480" s="17">
        <f t="shared" si="248"/>
        <v>20</v>
      </c>
      <c r="I480" s="81">
        <v>44623</v>
      </c>
      <c r="J480" s="10" t="s">
        <v>7</v>
      </c>
      <c r="K480" s="19"/>
      <c r="L480" s="20"/>
      <c r="M480" s="17">
        <f t="shared" si="249"/>
        <v>0</v>
      </c>
      <c r="N480" s="21"/>
      <c r="O480" s="20"/>
      <c r="P480" s="17">
        <f t="shared" si="250"/>
        <v>0</v>
      </c>
      <c r="Q480" s="17">
        <f t="shared" si="251"/>
        <v>0</v>
      </c>
      <c r="R480" s="81"/>
      <c r="S480" s="10" t="s">
        <v>7</v>
      </c>
      <c r="T480" s="19"/>
      <c r="U480" s="20"/>
      <c r="V480" s="17">
        <f t="shared" si="252"/>
        <v>0</v>
      </c>
      <c r="W480" s="21"/>
      <c r="X480" s="20"/>
      <c r="Y480" s="17">
        <f t="shared" si="253"/>
        <v>0</v>
      </c>
      <c r="Z480" s="17">
        <f t="shared" si="254"/>
        <v>0</v>
      </c>
    </row>
    <row r="481" spans="1:27" x14ac:dyDescent="0.15">
      <c r="A481" s="10" t="s">
        <v>200</v>
      </c>
      <c r="B481" s="15"/>
      <c r="C481" s="16"/>
      <c r="D481" s="17">
        <f t="shared" si="246"/>
        <v>0</v>
      </c>
      <c r="E481" s="18"/>
      <c r="F481" s="16">
        <v>1</v>
      </c>
      <c r="G481" s="17">
        <f t="shared" si="247"/>
        <v>1</v>
      </c>
      <c r="H481" s="17">
        <f t="shared" si="248"/>
        <v>1</v>
      </c>
      <c r="I481" s="81">
        <v>44624</v>
      </c>
      <c r="J481" s="10" t="s">
        <v>8</v>
      </c>
      <c r="K481" s="15"/>
      <c r="L481" s="16"/>
      <c r="M481" s="17">
        <f t="shared" si="249"/>
        <v>0</v>
      </c>
      <c r="N481" s="18"/>
      <c r="O481" s="16"/>
      <c r="P481" s="17">
        <f t="shared" si="250"/>
        <v>0</v>
      </c>
      <c r="Q481" s="17">
        <f t="shared" si="251"/>
        <v>0</v>
      </c>
      <c r="R481" s="83"/>
      <c r="S481" s="10" t="s">
        <v>8</v>
      </c>
      <c r="T481" s="15"/>
      <c r="U481" s="16"/>
      <c r="V481" s="17">
        <f t="shared" si="252"/>
        <v>0</v>
      </c>
      <c r="W481" s="18"/>
      <c r="X481" s="16"/>
      <c r="Y481" s="17">
        <f t="shared" si="253"/>
        <v>0</v>
      </c>
      <c r="Z481" s="17">
        <f t="shared" si="254"/>
        <v>0</v>
      </c>
    </row>
    <row r="482" spans="1:27" x14ac:dyDescent="0.15">
      <c r="A482" s="10" t="s">
        <v>9</v>
      </c>
      <c r="B482" s="15"/>
      <c r="C482" s="16"/>
      <c r="D482" s="17">
        <f t="shared" si="246"/>
        <v>0</v>
      </c>
      <c r="E482" s="18">
        <v>10</v>
      </c>
      <c r="F482" s="16"/>
      <c r="G482" s="17">
        <f t="shared" si="247"/>
        <v>10</v>
      </c>
      <c r="H482" s="17">
        <f t="shared" si="248"/>
        <v>10</v>
      </c>
      <c r="I482" s="81">
        <v>44629</v>
      </c>
      <c r="J482" s="10" t="s">
        <v>9</v>
      </c>
      <c r="K482" s="15"/>
      <c r="L482" s="16"/>
      <c r="M482" s="17">
        <f t="shared" si="249"/>
        <v>0</v>
      </c>
      <c r="N482" s="18"/>
      <c r="O482" s="16"/>
      <c r="P482" s="17">
        <f t="shared" si="250"/>
        <v>0</v>
      </c>
      <c r="Q482" s="17">
        <f t="shared" si="251"/>
        <v>0</v>
      </c>
      <c r="R482" s="83"/>
      <c r="S482" s="10" t="s">
        <v>9</v>
      </c>
      <c r="T482" s="15"/>
      <c r="U482" s="16"/>
      <c r="V482" s="17">
        <f t="shared" si="252"/>
        <v>0</v>
      </c>
      <c r="W482" s="18"/>
      <c r="X482" s="16"/>
      <c r="Y482" s="17">
        <f t="shared" si="253"/>
        <v>0</v>
      </c>
      <c r="Z482" s="17">
        <f t="shared" si="254"/>
        <v>0</v>
      </c>
      <c r="AA482" s="22"/>
    </row>
    <row r="483" spans="1:27" x14ac:dyDescent="0.15">
      <c r="A483" s="10" t="s">
        <v>61</v>
      </c>
      <c r="B483" s="15">
        <v>1</v>
      </c>
      <c r="C483" s="16">
        <v>1</v>
      </c>
      <c r="D483" s="17">
        <f t="shared" si="246"/>
        <v>2</v>
      </c>
      <c r="E483" s="18">
        <v>1</v>
      </c>
      <c r="F483" s="16">
        <v>1</v>
      </c>
      <c r="G483" s="17">
        <f t="shared" si="247"/>
        <v>2</v>
      </c>
      <c r="H483" s="17">
        <f t="shared" si="248"/>
        <v>4</v>
      </c>
      <c r="I483" s="81">
        <v>44631</v>
      </c>
      <c r="J483" s="10" t="s">
        <v>10</v>
      </c>
      <c r="K483" s="15"/>
      <c r="L483" s="16"/>
      <c r="M483" s="17">
        <f t="shared" si="249"/>
        <v>0</v>
      </c>
      <c r="N483" s="18"/>
      <c r="O483" s="16"/>
      <c r="P483" s="17">
        <f t="shared" si="250"/>
        <v>0</v>
      </c>
      <c r="Q483" s="17">
        <f t="shared" si="251"/>
        <v>0</v>
      </c>
      <c r="S483" s="10" t="s">
        <v>10</v>
      </c>
      <c r="T483" s="15"/>
      <c r="U483" s="16"/>
      <c r="V483" s="17">
        <f t="shared" si="252"/>
        <v>0</v>
      </c>
      <c r="W483" s="18"/>
      <c r="X483" s="16"/>
      <c r="Y483" s="17">
        <f t="shared" si="253"/>
        <v>0</v>
      </c>
      <c r="Z483" s="17">
        <f t="shared" si="254"/>
        <v>0</v>
      </c>
    </row>
    <row r="484" spans="1:27" x14ac:dyDescent="0.15">
      <c r="A484" s="10" t="s">
        <v>11</v>
      </c>
      <c r="B484" s="23">
        <v>10</v>
      </c>
      <c r="C484" s="24">
        <v>5</v>
      </c>
      <c r="D484" s="17">
        <f t="shared" si="246"/>
        <v>15</v>
      </c>
      <c r="E484" s="25">
        <v>15</v>
      </c>
      <c r="F484" s="24"/>
      <c r="G484" s="17">
        <f t="shared" si="247"/>
        <v>15</v>
      </c>
      <c r="H484" s="17">
        <f t="shared" si="248"/>
        <v>30</v>
      </c>
      <c r="I484" s="81">
        <v>44635</v>
      </c>
      <c r="J484" s="10" t="s">
        <v>11</v>
      </c>
      <c r="K484" s="23"/>
      <c r="L484" s="24"/>
      <c r="M484" s="17">
        <f t="shared" si="249"/>
        <v>0</v>
      </c>
      <c r="N484" s="25"/>
      <c r="O484" s="24"/>
      <c r="P484" s="17">
        <f t="shared" si="250"/>
        <v>0</v>
      </c>
      <c r="Q484" s="17">
        <f t="shared" si="251"/>
        <v>0</v>
      </c>
      <c r="S484" s="10" t="s">
        <v>11</v>
      </c>
      <c r="T484" s="23"/>
      <c r="U484" s="24"/>
      <c r="V484" s="17">
        <f t="shared" si="252"/>
        <v>0</v>
      </c>
      <c r="W484" s="25"/>
      <c r="X484" s="24"/>
      <c r="Y484" s="17">
        <f t="shared" si="253"/>
        <v>0</v>
      </c>
      <c r="Z484" s="17">
        <f t="shared" si="254"/>
        <v>0</v>
      </c>
    </row>
    <row r="485" spans="1:27" ht="14.25" thickBot="1" x14ac:dyDescent="0.2">
      <c r="A485" s="10" t="s">
        <v>12</v>
      </c>
      <c r="B485" s="26"/>
      <c r="C485" s="27"/>
      <c r="D485" s="28">
        <f t="shared" si="246"/>
        <v>0</v>
      </c>
      <c r="E485" s="29"/>
      <c r="F485" s="29"/>
      <c r="G485" s="28">
        <f t="shared" si="247"/>
        <v>0</v>
      </c>
      <c r="H485" s="30">
        <f t="shared" si="248"/>
        <v>0</v>
      </c>
      <c r="I485" s="81"/>
      <c r="J485" s="10" t="s">
        <v>12</v>
      </c>
      <c r="K485" s="26"/>
      <c r="L485" s="27"/>
      <c r="M485" s="28">
        <f t="shared" si="249"/>
        <v>0</v>
      </c>
      <c r="N485" s="29"/>
      <c r="O485" s="29"/>
      <c r="P485" s="28">
        <f t="shared" si="250"/>
        <v>0</v>
      </c>
      <c r="Q485" s="30">
        <f t="shared" si="251"/>
        <v>0</v>
      </c>
      <c r="S485" s="10" t="s">
        <v>12</v>
      </c>
      <c r="T485" s="26"/>
      <c r="U485" s="27"/>
      <c r="V485" s="28">
        <f t="shared" si="252"/>
        <v>0</v>
      </c>
      <c r="W485" s="29"/>
      <c r="X485" s="29"/>
      <c r="Y485" s="28">
        <f t="shared" si="253"/>
        <v>0</v>
      </c>
      <c r="Z485" s="30">
        <f t="shared" si="254"/>
        <v>0</v>
      </c>
    </row>
    <row r="486" spans="1:27" ht="14.25" thickBot="1" x14ac:dyDescent="0.2">
      <c r="A486" s="31" t="s">
        <v>13</v>
      </c>
      <c r="B486" s="32">
        <f>SUM(B477:B485)</f>
        <v>54</v>
      </c>
      <c r="C486" s="33">
        <f>SUM(C477:C485)</f>
        <v>40</v>
      </c>
      <c r="D486" s="34">
        <f t="shared" si="246"/>
        <v>94</v>
      </c>
      <c r="E486" s="32">
        <f>SUM(E477:E485)</f>
        <v>67</v>
      </c>
      <c r="F486" s="33">
        <f>SUM(F477:F485)</f>
        <v>36</v>
      </c>
      <c r="G486" s="34">
        <f t="shared" si="247"/>
        <v>103</v>
      </c>
      <c r="H486" s="34">
        <f t="shared" si="248"/>
        <v>197</v>
      </c>
      <c r="J486" s="31" t="s">
        <v>13</v>
      </c>
      <c r="K486" s="32">
        <f>SUM(K477:K485)</f>
        <v>1293</v>
      </c>
      <c r="L486" s="33">
        <f>SUM(L477:L485)</f>
        <v>1009</v>
      </c>
      <c r="M486" s="34">
        <f t="shared" si="249"/>
        <v>2302</v>
      </c>
      <c r="N486" s="32">
        <f>SUM(N477:N485)</f>
        <v>1219</v>
      </c>
      <c r="O486" s="33">
        <f>SUM(O477:O485)</f>
        <v>848</v>
      </c>
      <c r="P486" s="34">
        <f t="shared" si="250"/>
        <v>2067</v>
      </c>
      <c r="Q486" s="34">
        <f t="shared" si="251"/>
        <v>4369</v>
      </c>
      <c r="S486" s="31" t="s">
        <v>13</v>
      </c>
      <c r="T486" s="32">
        <f>SUM(T477:T485)</f>
        <v>1011</v>
      </c>
      <c r="U486" s="33">
        <f>SUM(U477:U485)</f>
        <v>715</v>
      </c>
      <c r="V486" s="34">
        <f t="shared" si="252"/>
        <v>1726</v>
      </c>
      <c r="W486" s="32">
        <f>SUM(W477:W485)</f>
        <v>1532</v>
      </c>
      <c r="X486" s="33">
        <f>SUM(X477:X485)</f>
        <v>784</v>
      </c>
      <c r="Y486" s="34">
        <f t="shared" si="253"/>
        <v>2316</v>
      </c>
      <c r="Z486" s="34">
        <f t="shared" si="254"/>
        <v>4042</v>
      </c>
    </row>
    <row r="487" spans="1:27" x14ac:dyDescent="0.15">
      <c r="A487" s="52" t="s">
        <v>183</v>
      </c>
      <c r="B487" s="15"/>
      <c r="C487" s="16"/>
      <c r="D487" s="36">
        <f t="shared" si="246"/>
        <v>0</v>
      </c>
      <c r="E487" s="18"/>
      <c r="F487" s="16">
        <v>10</v>
      </c>
      <c r="G487" s="36">
        <f t="shared" si="247"/>
        <v>10</v>
      </c>
      <c r="H487" s="17">
        <f t="shared" si="248"/>
        <v>10</v>
      </c>
      <c r="I487" s="81">
        <v>44616</v>
      </c>
      <c r="J487" s="77" t="s">
        <v>185</v>
      </c>
      <c r="K487" s="64">
        <v>5</v>
      </c>
      <c r="L487" s="65">
        <v>5</v>
      </c>
      <c r="M487" s="36">
        <f t="shared" si="249"/>
        <v>10</v>
      </c>
      <c r="N487" s="66">
        <v>15</v>
      </c>
      <c r="O487" s="65">
        <v>15</v>
      </c>
      <c r="P487" s="36">
        <f t="shared" si="250"/>
        <v>30</v>
      </c>
      <c r="Q487" s="36">
        <f t="shared" si="251"/>
        <v>40</v>
      </c>
      <c r="R487" s="81">
        <v>44614</v>
      </c>
      <c r="S487" s="52"/>
      <c r="T487" s="64"/>
      <c r="U487" s="65"/>
      <c r="V487" s="36">
        <f t="shared" si="252"/>
        <v>0</v>
      </c>
      <c r="W487" s="66"/>
      <c r="X487" s="65"/>
      <c r="Y487" s="36">
        <f t="shared" si="253"/>
        <v>0</v>
      </c>
      <c r="Z487" s="36">
        <f t="shared" si="254"/>
        <v>0</v>
      </c>
    </row>
    <row r="488" spans="1:27" x14ac:dyDescent="0.15">
      <c r="A488" s="35" t="s">
        <v>33</v>
      </c>
      <c r="B488" s="19">
        <v>1</v>
      </c>
      <c r="C488" s="20">
        <v>1</v>
      </c>
      <c r="D488" s="36">
        <f t="shared" si="246"/>
        <v>2</v>
      </c>
      <c r="E488" s="21">
        <v>2</v>
      </c>
      <c r="F488" s="20"/>
      <c r="G488" s="36">
        <f t="shared" si="247"/>
        <v>2</v>
      </c>
      <c r="H488" s="36">
        <f t="shared" si="248"/>
        <v>4</v>
      </c>
      <c r="I488" s="81">
        <v>44611</v>
      </c>
      <c r="J488" s="35" t="s">
        <v>187</v>
      </c>
      <c r="K488" s="15">
        <v>10</v>
      </c>
      <c r="L488" s="16">
        <v>10</v>
      </c>
      <c r="M488" s="36">
        <f t="shared" si="249"/>
        <v>20</v>
      </c>
      <c r="N488" s="18">
        <v>10</v>
      </c>
      <c r="O488" s="16">
        <v>10</v>
      </c>
      <c r="P488" s="36">
        <f t="shared" si="250"/>
        <v>20</v>
      </c>
      <c r="Q488" s="17">
        <f t="shared" si="251"/>
        <v>40</v>
      </c>
      <c r="R488" s="81">
        <v>44624</v>
      </c>
      <c r="S488" s="10"/>
      <c r="T488" s="15"/>
      <c r="U488" s="16"/>
      <c r="V488" s="36">
        <f t="shared" si="252"/>
        <v>0</v>
      </c>
      <c r="W488" s="18"/>
      <c r="X488" s="16"/>
      <c r="Y488" s="36">
        <f t="shared" si="253"/>
        <v>0</v>
      </c>
      <c r="Z488" s="17">
        <f t="shared" si="254"/>
        <v>0</v>
      </c>
    </row>
    <row r="489" spans="1:27" x14ac:dyDescent="0.15">
      <c r="A489" s="35" t="s">
        <v>33</v>
      </c>
      <c r="B489" s="15">
        <f>2+2</f>
        <v>4</v>
      </c>
      <c r="C489" s="16">
        <v>1</v>
      </c>
      <c r="D489" s="36">
        <f t="shared" si="246"/>
        <v>5</v>
      </c>
      <c r="E489" s="18">
        <v>2</v>
      </c>
      <c r="F489" s="16">
        <v>2</v>
      </c>
      <c r="G489" s="36">
        <f t="shared" si="247"/>
        <v>4</v>
      </c>
      <c r="H489" s="17">
        <f t="shared" si="248"/>
        <v>9</v>
      </c>
      <c r="I489" s="81">
        <v>44613</v>
      </c>
      <c r="J489" s="77" t="s">
        <v>91</v>
      </c>
      <c r="K489" s="19">
        <v>20</v>
      </c>
      <c r="L489" s="20"/>
      <c r="M489" s="17">
        <f t="shared" si="249"/>
        <v>20</v>
      </c>
      <c r="N489" s="21">
        <v>5</v>
      </c>
      <c r="O489" s="20"/>
      <c r="P489" s="17">
        <f t="shared" si="250"/>
        <v>5</v>
      </c>
      <c r="Q489" s="17">
        <f t="shared" si="251"/>
        <v>25</v>
      </c>
      <c r="R489" s="81">
        <v>44617</v>
      </c>
      <c r="S489" s="10"/>
      <c r="T489" s="19"/>
      <c r="U489" s="20"/>
      <c r="V489" s="17">
        <f t="shared" si="252"/>
        <v>0</v>
      </c>
      <c r="W489" s="21"/>
      <c r="X489" s="20"/>
      <c r="Y489" s="17">
        <f t="shared" si="253"/>
        <v>0</v>
      </c>
      <c r="Z489" s="17">
        <f t="shared" si="254"/>
        <v>0</v>
      </c>
    </row>
    <row r="490" spans="1:27" x14ac:dyDescent="0.15">
      <c r="A490" s="52" t="s">
        <v>186</v>
      </c>
      <c r="B490" s="15">
        <v>4</v>
      </c>
      <c r="C490" s="16"/>
      <c r="D490" s="17">
        <f>SUM(B490:C490)</f>
        <v>4</v>
      </c>
      <c r="E490" s="18">
        <v>4</v>
      </c>
      <c r="F490" s="16"/>
      <c r="G490" s="17">
        <f t="shared" si="247"/>
        <v>4</v>
      </c>
      <c r="H490" s="17">
        <f t="shared" si="248"/>
        <v>8</v>
      </c>
      <c r="I490" s="81">
        <v>44616</v>
      </c>
      <c r="J490" s="52" t="s">
        <v>189</v>
      </c>
      <c r="K490" s="15">
        <v>3</v>
      </c>
      <c r="L490" s="16"/>
      <c r="M490" s="17">
        <f t="shared" si="249"/>
        <v>3</v>
      </c>
      <c r="N490" s="18">
        <v>3</v>
      </c>
      <c r="O490" s="16"/>
      <c r="P490" s="17">
        <f t="shared" si="250"/>
        <v>3</v>
      </c>
      <c r="Q490" s="17">
        <f t="shared" si="251"/>
        <v>6</v>
      </c>
      <c r="R490" s="81">
        <v>44617</v>
      </c>
      <c r="S490" s="52"/>
      <c r="T490" s="15"/>
      <c r="U490" s="16"/>
      <c r="V490" s="17">
        <f t="shared" si="252"/>
        <v>0</v>
      </c>
      <c r="W490" s="18"/>
      <c r="X490" s="16"/>
      <c r="Y490" s="17">
        <f t="shared" si="253"/>
        <v>0</v>
      </c>
      <c r="Z490" s="17">
        <f t="shared" si="254"/>
        <v>0</v>
      </c>
    </row>
    <row r="491" spans="1:27" x14ac:dyDescent="0.15">
      <c r="A491" s="35" t="s">
        <v>33</v>
      </c>
      <c r="B491" s="15"/>
      <c r="C491" s="16">
        <v>1</v>
      </c>
      <c r="D491" s="36">
        <f t="shared" ref="D491:D508" si="255">SUM(B491:C491)</f>
        <v>1</v>
      </c>
      <c r="E491" s="18">
        <v>2</v>
      </c>
      <c r="F491" s="16"/>
      <c r="G491" s="36">
        <f t="shared" si="247"/>
        <v>2</v>
      </c>
      <c r="H491" s="17">
        <f t="shared" si="248"/>
        <v>3</v>
      </c>
      <c r="I491" s="84">
        <v>44614</v>
      </c>
      <c r="J491" s="35" t="s">
        <v>190</v>
      </c>
      <c r="K491" s="15">
        <v>20</v>
      </c>
      <c r="L491" s="16">
        <v>40</v>
      </c>
      <c r="M491" s="17">
        <f t="shared" si="249"/>
        <v>60</v>
      </c>
      <c r="N491" s="18">
        <v>20</v>
      </c>
      <c r="O491" s="16"/>
      <c r="P491" s="17">
        <f t="shared" si="250"/>
        <v>20</v>
      </c>
      <c r="Q491" s="17">
        <f t="shared" si="251"/>
        <v>80</v>
      </c>
      <c r="R491" s="81">
        <v>44621</v>
      </c>
      <c r="S491" s="10"/>
      <c r="T491" s="15"/>
      <c r="U491" s="16"/>
      <c r="V491" s="17">
        <f t="shared" si="252"/>
        <v>0</v>
      </c>
      <c r="W491" s="18"/>
      <c r="X491" s="16"/>
      <c r="Y491" s="17">
        <f t="shared" si="253"/>
        <v>0</v>
      </c>
      <c r="Z491" s="17">
        <f t="shared" si="254"/>
        <v>0</v>
      </c>
    </row>
    <row r="492" spans="1:27" x14ac:dyDescent="0.15">
      <c r="A492" s="52" t="s">
        <v>188</v>
      </c>
      <c r="B492" s="15">
        <v>10</v>
      </c>
      <c r="C492" s="16"/>
      <c r="D492" s="36">
        <f t="shared" si="255"/>
        <v>10</v>
      </c>
      <c r="E492" s="18"/>
      <c r="F492" s="16"/>
      <c r="G492" s="36">
        <f t="shared" si="247"/>
        <v>0</v>
      </c>
      <c r="H492" s="17">
        <f t="shared" si="248"/>
        <v>10</v>
      </c>
      <c r="I492" s="81">
        <v>44621</v>
      </c>
      <c r="J492" s="52" t="s">
        <v>192</v>
      </c>
      <c r="K492" s="15">
        <v>7</v>
      </c>
      <c r="L492" s="16">
        <v>2</v>
      </c>
      <c r="M492" s="36">
        <f t="shared" si="249"/>
        <v>9</v>
      </c>
      <c r="N492" s="18">
        <v>7</v>
      </c>
      <c r="O492" s="16">
        <v>2</v>
      </c>
      <c r="P492" s="36">
        <f t="shared" si="250"/>
        <v>9</v>
      </c>
      <c r="Q492" s="17">
        <f t="shared" si="251"/>
        <v>18</v>
      </c>
      <c r="R492" s="81">
        <v>44621</v>
      </c>
      <c r="S492" s="10"/>
      <c r="T492" s="15"/>
      <c r="U492" s="16"/>
      <c r="V492" s="36">
        <f t="shared" si="252"/>
        <v>0</v>
      </c>
      <c r="W492" s="18"/>
      <c r="X492" s="16"/>
      <c r="Y492" s="36">
        <f t="shared" si="253"/>
        <v>0</v>
      </c>
      <c r="Z492" s="17">
        <f t="shared" si="254"/>
        <v>0</v>
      </c>
    </row>
    <row r="493" spans="1:27" x14ac:dyDescent="0.15">
      <c r="A493" s="35" t="s">
        <v>33</v>
      </c>
      <c r="B493" s="15"/>
      <c r="C493" s="16"/>
      <c r="D493" s="36">
        <f t="shared" si="255"/>
        <v>0</v>
      </c>
      <c r="E493" s="18">
        <v>2</v>
      </c>
      <c r="F493" s="16"/>
      <c r="G493" s="36">
        <f t="shared" si="247"/>
        <v>2</v>
      </c>
      <c r="H493" s="17">
        <f t="shared" si="248"/>
        <v>2</v>
      </c>
      <c r="I493" s="81">
        <v>44616</v>
      </c>
      <c r="J493" s="52" t="s">
        <v>193</v>
      </c>
      <c r="K493" s="15"/>
      <c r="L493" s="16">
        <v>3</v>
      </c>
      <c r="M493" s="36">
        <f t="shared" si="249"/>
        <v>3</v>
      </c>
      <c r="N493" s="18"/>
      <c r="O493" s="16">
        <v>3</v>
      </c>
      <c r="P493" s="36">
        <f t="shared" si="250"/>
        <v>3</v>
      </c>
      <c r="Q493" s="17">
        <f t="shared" si="251"/>
        <v>6</v>
      </c>
      <c r="R493" s="81">
        <v>44622</v>
      </c>
      <c r="S493" s="10"/>
      <c r="T493" s="15"/>
      <c r="U493" s="16"/>
      <c r="V493" s="36">
        <f t="shared" si="252"/>
        <v>0</v>
      </c>
      <c r="W493" s="18"/>
      <c r="X493" s="16"/>
      <c r="Y493" s="36">
        <f t="shared" si="253"/>
        <v>0</v>
      </c>
      <c r="Z493" s="17">
        <f t="shared" si="254"/>
        <v>0</v>
      </c>
    </row>
    <row r="494" spans="1:27" x14ac:dyDescent="0.15">
      <c r="A494" s="52" t="s">
        <v>191</v>
      </c>
      <c r="B494" s="15"/>
      <c r="C494" s="16">
        <v>3</v>
      </c>
      <c r="D494" s="36">
        <f t="shared" si="255"/>
        <v>3</v>
      </c>
      <c r="E494" s="18"/>
      <c r="F494" s="16">
        <v>3</v>
      </c>
      <c r="G494" s="36">
        <f t="shared" si="247"/>
        <v>3</v>
      </c>
      <c r="H494" s="17">
        <f t="shared" si="248"/>
        <v>6</v>
      </c>
      <c r="I494" s="81">
        <v>44620</v>
      </c>
      <c r="J494" s="77" t="s">
        <v>91</v>
      </c>
      <c r="K494" s="15"/>
      <c r="L494" s="16">
        <v>10</v>
      </c>
      <c r="M494" s="36">
        <f t="shared" si="249"/>
        <v>10</v>
      </c>
      <c r="N494" s="18">
        <v>10</v>
      </c>
      <c r="O494" s="16"/>
      <c r="P494" s="36">
        <f t="shared" si="250"/>
        <v>10</v>
      </c>
      <c r="Q494" s="17">
        <f t="shared" si="251"/>
        <v>20</v>
      </c>
      <c r="R494" s="81">
        <v>44623</v>
      </c>
      <c r="S494" s="52"/>
      <c r="T494" s="15"/>
      <c r="U494" s="16"/>
      <c r="V494" s="36">
        <f t="shared" si="252"/>
        <v>0</v>
      </c>
      <c r="W494" s="18"/>
      <c r="X494" s="16"/>
      <c r="Y494" s="36">
        <f t="shared" si="253"/>
        <v>0</v>
      </c>
      <c r="Z494" s="17">
        <f t="shared" si="254"/>
        <v>0</v>
      </c>
    </row>
    <row r="495" spans="1:27" x14ac:dyDescent="0.15">
      <c r="A495" s="35" t="s">
        <v>33</v>
      </c>
      <c r="B495" s="15"/>
      <c r="C495" s="16"/>
      <c r="D495" s="36">
        <f t="shared" si="255"/>
        <v>0</v>
      </c>
      <c r="E495" s="18">
        <v>1</v>
      </c>
      <c r="F495" s="16">
        <v>1</v>
      </c>
      <c r="G495" s="36">
        <f t="shared" si="247"/>
        <v>2</v>
      </c>
      <c r="H495" s="17">
        <f t="shared" si="248"/>
        <v>2</v>
      </c>
      <c r="I495" s="84">
        <v>44617</v>
      </c>
      <c r="J495" s="35" t="s">
        <v>196</v>
      </c>
      <c r="K495" s="19">
        <v>30</v>
      </c>
      <c r="L495" s="20">
        <v>30</v>
      </c>
      <c r="M495" s="17">
        <f t="shared" si="249"/>
        <v>60</v>
      </c>
      <c r="N495" s="21">
        <v>25</v>
      </c>
      <c r="O495" s="20">
        <v>25</v>
      </c>
      <c r="P495" s="17">
        <f t="shared" si="250"/>
        <v>50</v>
      </c>
      <c r="Q495" s="17">
        <f t="shared" si="251"/>
        <v>110</v>
      </c>
      <c r="R495" s="81">
        <v>44631</v>
      </c>
      <c r="S495" s="10"/>
      <c r="T495" s="19"/>
      <c r="U495" s="20"/>
      <c r="V495" s="17">
        <f t="shared" si="252"/>
        <v>0</v>
      </c>
      <c r="W495" s="21"/>
      <c r="X495" s="20"/>
      <c r="Y495" s="17">
        <f t="shared" si="253"/>
        <v>0</v>
      </c>
      <c r="Z495" s="17">
        <f t="shared" si="254"/>
        <v>0</v>
      </c>
    </row>
    <row r="496" spans="1:27" x14ac:dyDescent="0.15">
      <c r="A496" s="35" t="s">
        <v>33</v>
      </c>
      <c r="B496" s="23">
        <f>2+1</f>
        <v>3</v>
      </c>
      <c r="C496" s="24">
        <v>1</v>
      </c>
      <c r="D496" s="36">
        <f t="shared" si="255"/>
        <v>4</v>
      </c>
      <c r="E496" s="25">
        <f>1+2</f>
        <v>3</v>
      </c>
      <c r="F496" s="24">
        <v>1</v>
      </c>
      <c r="G496" s="36">
        <f t="shared" si="247"/>
        <v>4</v>
      </c>
      <c r="H496" s="17">
        <f t="shared" si="248"/>
        <v>8</v>
      </c>
      <c r="I496" s="81">
        <v>44620</v>
      </c>
      <c r="J496" s="35" t="s">
        <v>197</v>
      </c>
      <c r="K496" s="23">
        <v>20</v>
      </c>
      <c r="L496" s="24">
        <v>20</v>
      </c>
      <c r="M496" s="36">
        <f t="shared" si="249"/>
        <v>40</v>
      </c>
      <c r="N496" s="25">
        <v>20</v>
      </c>
      <c r="O496" s="24">
        <v>30</v>
      </c>
      <c r="P496" s="36">
        <f t="shared" si="250"/>
        <v>50</v>
      </c>
      <c r="Q496" s="17">
        <f t="shared" si="251"/>
        <v>90</v>
      </c>
      <c r="R496" s="81">
        <v>44631</v>
      </c>
      <c r="S496" s="35"/>
      <c r="T496" s="23"/>
      <c r="U496" s="24"/>
      <c r="V496" s="36">
        <f t="shared" si="252"/>
        <v>0</v>
      </c>
      <c r="W496" s="25"/>
      <c r="X496" s="24"/>
      <c r="Y496" s="36">
        <f t="shared" si="253"/>
        <v>0</v>
      </c>
      <c r="Z496" s="17">
        <f t="shared" si="254"/>
        <v>0</v>
      </c>
    </row>
    <row r="497" spans="1:26" x14ac:dyDescent="0.15">
      <c r="A497" s="35" t="s">
        <v>33</v>
      </c>
      <c r="B497" s="15"/>
      <c r="C497" s="16"/>
      <c r="D497" s="36">
        <f t="shared" si="255"/>
        <v>0</v>
      </c>
      <c r="E497" s="18">
        <v>4</v>
      </c>
      <c r="F497" s="16"/>
      <c r="G497" s="36">
        <f t="shared" si="247"/>
        <v>4</v>
      </c>
      <c r="H497" s="17">
        <f t="shared" si="248"/>
        <v>4</v>
      </c>
      <c r="I497" s="81">
        <v>44621</v>
      </c>
      <c r="J497" s="52" t="s">
        <v>199</v>
      </c>
      <c r="K497" s="15">
        <v>1</v>
      </c>
      <c r="L497" s="16"/>
      <c r="M497" s="36">
        <f t="shared" si="249"/>
        <v>1</v>
      </c>
      <c r="N497" s="18">
        <v>1</v>
      </c>
      <c r="O497" s="16"/>
      <c r="P497" s="36">
        <f t="shared" si="250"/>
        <v>1</v>
      </c>
      <c r="Q497" s="17">
        <f t="shared" si="251"/>
        <v>2</v>
      </c>
      <c r="R497" s="81">
        <v>44627</v>
      </c>
      <c r="S497" s="35"/>
      <c r="T497" s="15"/>
      <c r="U497" s="16"/>
      <c r="V497" s="36">
        <f t="shared" si="252"/>
        <v>0</v>
      </c>
      <c r="W497" s="18"/>
      <c r="X497" s="16"/>
      <c r="Y497" s="36">
        <f t="shared" si="253"/>
        <v>0</v>
      </c>
      <c r="Z497" s="17">
        <f t="shared" si="254"/>
        <v>0</v>
      </c>
    </row>
    <row r="498" spans="1:26" x14ac:dyDescent="0.15">
      <c r="A498" s="52" t="s">
        <v>194</v>
      </c>
      <c r="B498" s="15"/>
      <c r="C498" s="16">
        <v>10</v>
      </c>
      <c r="D498" s="36">
        <f t="shared" si="255"/>
        <v>10</v>
      </c>
      <c r="E498" s="18"/>
      <c r="F498" s="16"/>
      <c r="G498" s="36">
        <f t="shared" si="247"/>
        <v>0</v>
      </c>
      <c r="H498" s="17">
        <f t="shared" si="248"/>
        <v>10</v>
      </c>
      <c r="I498" s="81">
        <v>44627</v>
      </c>
      <c r="J498" s="52" t="s">
        <v>201</v>
      </c>
      <c r="K498" s="15"/>
      <c r="L498" s="16">
        <v>4</v>
      </c>
      <c r="M498" s="36">
        <f t="shared" si="249"/>
        <v>4</v>
      </c>
      <c r="N498" s="18"/>
      <c r="O498" s="16">
        <v>4</v>
      </c>
      <c r="P498" s="36">
        <f t="shared" si="250"/>
        <v>4</v>
      </c>
      <c r="Q498" s="17">
        <f t="shared" si="251"/>
        <v>8</v>
      </c>
      <c r="R498" s="81">
        <v>44628</v>
      </c>
      <c r="S498" s="35"/>
      <c r="T498" s="15"/>
      <c r="U498" s="16"/>
      <c r="V498" s="36">
        <f t="shared" si="252"/>
        <v>0</v>
      </c>
      <c r="W498" s="18"/>
      <c r="X498" s="16"/>
      <c r="Y498" s="36">
        <f t="shared" si="253"/>
        <v>0</v>
      </c>
      <c r="Z498" s="17">
        <f t="shared" si="254"/>
        <v>0</v>
      </c>
    </row>
    <row r="499" spans="1:26" x14ac:dyDescent="0.15">
      <c r="A499" s="52" t="s">
        <v>195</v>
      </c>
      <c r="B499" s="15">
        <v>3</v>
      </c>
      <c r="C499" s="16"/>
      <c r="D499" s="36">
        <f t="shared" si="255"/>
        <v>3</v>
      </c>
      <c r="E499" s="18">
        <v>3</v>
      </c>
      <c r="F499" s="16"/>
      <c r="G499" s="36">
        <f t="shared" si="247"/>
        <v>3</v>
      </c>
      <c r="H499" s="17">
        <f t="shared" si="248"/>
        <v>6</v>
      </c>
      <c r="I499" s="81">
        <v>44623</v>
      </c>
      <c r="J499" s="35" t="s">
        <v>202</v>
      </c>
      <c r="K499" s="15">
        <v>20</v>
      </c>
      <c r="L499" s="16"/>
      <c r="M499" s="36">
        <f t="shared" si="249"/>
        <v>20</v>
      </c>
      <c r="N499" s="18"/>
      <c r="O499" s="16">
        <v>50</v>
      </c>
      <c r="P499" s="36">
        <f t="shared" si="250"/>
        <v>50</v>
      </c>
      <c r="Q499" s="17">
        <f t="shared" si="251"/>
        <v>70</v>
      </c>
      <c r="R499" s="81">
        <v>44631</v>
      </c>
      <c r="S499" s="35"/>
      <c r="T499" s="15"/>
      <c r="U499" s="16"/>
      <c r="V499" s="36">
        <f t="shared" si="252"/>
        <v>0</v>
      </c>
      <c r="W499" s="18"/>
      <c r="X499" s="16"/>
      <c r="Y499" s="36">
        <f t="shared" si="253"/>
        <v>0</v>
      </c>
      <c r="Z499" s="17">
        <f t="shared" si="254"/>
        <v>0</v>
      </c>
    </row>
    <row r="500" spans="1:26" x14ac:dyDescent="0.15">
      <c r="A500" s="52" t="s">
        <v>198</v>
      </c>
      <c r="B500" s="15"/>
      <c r="C500" s="16">
        <v>2</v>
      </c>
      <c r="D500" s="17">
        <f t="shared" si="255"/>
        <v>2</v>
      </c>
      <c r="E500" s="18"/>
      <c r="F500" s="16">
        <v>2</v>
      </c>
      <c r="G500" s="17">
        <f t="shared" si="247"/>
        <v>2</v>
      </c>
      <c r="H500" s="17">
        <f t="shared" si="248"/>
        <v>4</v>
      </c>
      <c r="I500" s="81">
        <v>44624</v>
      </c>
      <c r="J500" s="52" t="s">
        <v>203</v>
      </c>
      <c r="K500" s="15"/>
      <c r="L500" s="16">
        <v>3</v>
      </c>
      <c r="M500" s="17">
        <f t="shared" si="249"/>
        <v>3</v>
      </c>
      <c r="N500" s="18"/>
      <c r="O500" s="16">
        <v>3</v>
      </c>
      <c r="P500" s="17">
        <f t="shared" si="250"/>
        <v>3</v>
      </c>
      <c r="Q500" s="17">
        <f t="shared" si="251"/>
        <v>6</v>
      </c>
      <c r="R500" s="81">
        <v>44629</v>
      </c>
      <c r="S500" s="10"/>
      <c r="T500" s="15"/>
      <c r="U500" s="16"/>
      <c r="V500" s="17">
        <f t="shared" si="252"/>
        <v>0</v>
      </c>
      <c r="W500" s="18"/>
      <c r="X500" s="16"/>
      <c r="Y500" s="17">
        <f t="shared" si="253"/>
        <v>0</v>
      </c>
      <c r="Z500" s="17">
        <f t="shared" si="254"/>
        <v>0</v>
      </c>
    </row>
    <row r="501" spans="1:26" x14ac:dyDescent="0.15">
      <c r="A501" s="35" t="s">
        <v>33</v>
      </c>
      <c r="B501" s="15">
        <v>4</v>
      </c>
      <c r="C501" s="16">
        <v>4</v>
      </c>
      <c r="D501" s="36">
        <f t="shared" si="255"/>
        <v>8</v>
      </c>
      <c r="E501" s="18">
        <v>4</v>
      </c>
      <c r="F501" s="16"/>
      <c r="G501" s="36">
        <f t="shared" si="247"/>
        <v>4</v>
      </c>
      <c r="H501" s="17">
        <f t="shared" si="248"/>
        <v>12</v>
      </c>
      <c r="I501" s="84">
        <v>44625</v>
      </c>
      <c r="J501" s="77" t="s">
        <v>91</v>
      </c>
      <c r="K501" s="15"/>
      <c r="L501" s="16"/>
      <c r="M501" s="17">
        <f t="shared" si="249"/>
        <v>0</v>
      </c>
      <c r="N501" s="18">
        <v>10</v>
      </c>
      <c r="O501" s="16"/>
      <c r="P501" s="17">
        <f t="shared" si="250"/>
        <v>10</v>
      </c>
      <c r="Q501" s="17">
        <f t="shared" si="251"/>
        <v>10</v>
      </c>
      <c r="R501" s="81">
        <v>44629</v>
      </c>
      <c r="S501" s="35"/>
      <c r="T501" s="15"/>
      <c r="U501" s="16"/>
      <c r="V501" s="36">
        <f t="shared" si="252"/>
        <v>0</v>
      </c>
      <c r="W501" s="18"/>
      <c r="X501" s="16"/>
      <c r="Y501" s="36">
        <f t="shared" si="253"/>
        <v>0</v>
      </c>
      <c r="Z501" s="17">
        <f t="shared" si="254"/>
        <v>0</v>
      </c>
    </row>
    <row r="502" spans="1:26" x14ac:dyDescent="0.15">
      <c r="A502" s="35" t="s">
        <v>33</v>
      </c>
      <c r="B502" s="15">
        <v>1</v>
      </c>
      <c r="C502" s="16">
        <v>1</v>
      </c>
      <c r="D502" s="36">
        <f t="shared" si="255"/>
        <v>2</v>
      </c>
      <c r="E502" s="18">
        <f>1+4+2</f>
        <v>7</v>
      </c>
      <c r="F502" s="16">
        <v>1</v>
      </c>
      <c r="G502" s="36">
        <f t="shared" si="247"/>
        <v>8</v>
      </c>
      <c r="H502" s="17">
        <f t="shared" si="248"/>
        <v>10</v>
      </c>
      <c r="I502" s="84">
        <v>44627</v>
      </c>
      <c r="J502" s="52" t="s">
        <v>204</v>
      </c>
      <c r="K502" s="15">
        <v>1</v>
      </c>
      <c r="L502" s="16"/>
      <c r="M502" s="36">
        <f t="shared" si="249"/>
        <v>1</v>
      </c>
      <c r="N502" s="18">
        <v>1</v>
      </c>
      <c r="O502" s="16"/>
      <c r="P502" s="36">
        <f t="shared" si="250"/>
        <v>1</v>
      </c>
      <c r="Q502" s="17">
        <f t="shared" si="251"/>
        <v>2</v>
      </c>
      <c r="R502" s="81">
        <v>44630</v>
      </c>
      <c r="S502" s="37"/>
      <c r="T502" s="15"/>
      <c r="U502" s="16"/>
      <c r="V502" s="36">
        <f t="shared" si="252"/>
        <v>0</v>
      </c>
      <c r="W502" s="18"/>
      <c r="X502" s="16"/>
      <c r="Y502" s="36">
        <f t="shared" si="253"/>
        <v>0</v>
      </c>
      <c r="Z502" s="17">
        <f t="shared" si="254"/>
        <v>0</v>
      </c>
    </row>
    <row r="503" spans="1:26" x14ac:dyDescent="0.15">
      <c r="A503" s="35" t="s">
        <v>33</v>
      </c>
      <c r="B503" s="15">
        <v>1</v>
      </c>
      <c r="C503" s="16"/>
      <c r="D503" s="36">
        <f t="shared" si="255"/>
        <v>1</v>
      </c>
      <c r="E503" s="18">
        <f>3+1</f>
        <v>4</v>
      </c>
      <c r="F503" s="16"/>
      <c r="G503" s="36">
        <f t="shared" si="247"/>
        <v>4</v>
      </c>
      <c r="H503" s="17">
        <f t="shared" si="248"/>
        <v>5</v>
      </c>
      <c r="I503" s="84">
        <v>44628</v>
      </c>
      <c r="J503" s="35" t="s">
        <v>206</v>
      </c>
      <c r="K503" s="15"/>
      <c r="L503" s="16">
        <v>10</v>
      </c>
      <c r="M503" s="36">
        <f t="shared" si="249"/>
        <v>10</v>
      </c>
      <c r="N503" s="18">
        <v>10</v>
      </c>
      <c r="O503" s="16"/>
      <c r="P503" s="36">
        <f t="shared" si="250"/>
        <v>10</v>
      </c>
      <c r="Q503" s="17">
        <f t="shared" si="251"/>
        <v>20</v>
      </c>
      <c r="R503" s="81">
        <v>44638</v>
      </c>
      <c r="S503" s="37"/>
      <c r="T503" s="15"/>
      <c r="U503" s="16"/>
      <c r="V503" s="36">
        <f t="shared" si="252"/>
        <v>0</v>
      </c>
      <c r="W503" s="18"/>
      <c r="X503" s="16"/>
      <c r="Y503" s="36">
        <f t="shared" si="253"/>
        <v>0</v>
      </c>
      <c r="Z503" s="17">
        <f t="shared" si="254"/>
        <v>0</v>
      </c>
    </row>
    <row r="504" spans="1:26" x14ac:dyDescent="0.15">
      <c r="A504" s="52" t="s">
        <v>205</v>
      </c>
      <c r="B504" s="15">
        <v>2</v>
      </c>
      <c r="C504" s="16"/>
      <c r="D504" s="36">
        <f t="shared" si="255"/>
        <v>2</v>
      </c>
      <c r="E504" s="18">
        <v>2</v>
      </c>
      <c r="F504" s="16"/>
      <c r="G504" s="36">
        <f t="shared" si="247"/>
        <v>2</v>
      </c>
      <c r="H504" s="17">
        <f t="shared" si="248"/>
        <v>4</v>
      </c>
      <c r="I504" s="81">
        <v>44631</v>
      </c>
      <c r="J504" s="77" t="s">
        <v>91</v>
      </c>
      <c r="K504" s="15">
        <v>10</v>
      </c>
      <c r="L504" s="16">
        <v>5</v>
      </c>
      <c r="M504" s="36">
        <f t="shared" si="249"/>
        <v>15</v>
      </c>
      <c r="N504" s="18">
        <v>15</v>
      </c>
      <c r="O504" s="16"/>
      <c r="P504" s="36">
        <f t="shared" si="250"/>
        <v>15</v>
      </c>
      <c r="Q504" s="17">
        <f t="shared" si="251"/>
        <v>30</v>
      </c>
      <c r="R504" s="81">
        <v>44635</v>
      </c>
      <c r="S504" s="35"/>
      <c r="T504" s="15"/>
      <c r="U504" s="16"/>
      <c r="V504" s="36">
        <f t="shared" si="252"/>
        <v>0</v>
      </c>
      <c r="W504" s="18"/>
      <c r="X504" s="16"/>
      <c r="Y504" s="36">
        <f t="shared" si="253"/>
        <v>0</v>
      </c>
      <c r="Z504" s="17">
        <f t="shared" si="254"/>
        <v>0</v>
      </c>
    </row>
    <row r="505" spans="1:26" x14ac:dyDescent="0.15">
      <c r="A505" s="35" t="s">
        <v>33</v>
      </c>
      <c r="B505" s="15">
        <v>1</v>
      </c>
      <c r="C505" s="16"/>
      <c r="D505" s="36">
        <f t="shared" si="255"/>
        <v>1</v>
      </c>
      <c r="E505" s="18">
        <f>1+3</f>
        <v>4</v>
      </c>
      <c r="F505" s="16">
        <v>1</v>
      </c>
      <c r="G505" s="36">
        <f t="shared" si="247"/>
        <v>5</v>
      </c>
      <c r="H505" s="17">
        <f t="shared" si="248"/>
        <v>6</v>
      </c>
      <c r="I505" s="81">
        <v>44630</v>
      </c>
      <c r="J505" s="35" t="s">
        <v>211</v>
      </c>
      <c r="K505" s="15">
        <v>20</v>
      </c>
      <c r="L505" s="16">
        <v>15</v>
      </c>
      <c r="M505" s="36">
        <f t="shared" si="249"/>
        <v>35</v>
      </c>
      <c r="N505" s="18">
        <v>20</v>
      </c>
      <c r="O505" s="16">
        <v>30</v>
      </c>
      <c r="P505" s="36">
        <f t="shared" si="250"/>
        <v>50</v>
      </c>
      <c r="Q505" s="17">
        <f t="shared" si="251"/>
        <v>85</v>
      </c>
      <c r="R505" s="81">
        <v>44637</v>
      </c>
      <c r="S505" s="38"/>
      <c r="T505" s="15"/>
      <c r="U505" s="16"/>
      <c r="V505" s="36">
        <f t="shared" si="252"/>
        <v>0</v>
      </c>
      <c r="W505" s="18"/>
      <c r="X505" s="16"/>
      <c r="Y505" s="36">
        <f t="shared" si="253"/>
        <v>0</v>
      </c>
      <c r="Z505" s="17">
        <f t="shared" si="254"/>
        <v>0</v>
      </c>
    </row>
    <row r="506" spans="1:26" x14ac:dyDescent="0.15">
      <c r="A506" s="35" t="s">
        <v>33</v>
      </c>
      <c r="B506" s="15">
        <v>1</v>
      </c>
      <c r="C506" s="16"/>
      <c r="D506" s="36">
        <f t="shared" si="255"/>
        <v>1</v>
      </c>
      <c r="E506" s="18">
        <v>1</v>
      </c>
      <c r="F506" s="16"/>
      <c r="G506" s="36">
        <f t="shared" si="247"/>
        <v>1</v>
      </c>
      <c r="H506" s="17">
        <f t="shared" si="248"/>
        <v>2</v>
      </c>
      <c r="I506" s="81">
        <v>44631</v>
      </c>
      <c r="J506" s="35" t="s">
        <v>212</v>
      </c>
      <c r="K506" s="15">
        <v>50</v>
      </c>
      <c r="L506" s="16">
        <v>50</v>
      </c>
      <c r="M506" s="36">
        <f t="shared" si="249"/>
        <v>100</v>
      </c>
      <c r="N506" s="18">
        <v>65</v>
      </c>
      <c r="O506" s="16">
        <v>100</v>
      </c>
      <c r="P506" s="36">
        <f t="shared" si="250"/>
        <v>165</v>
      </c>
      <c r="Q506" s="17">
        <f t="shared" si="251"/>
        <v>265</v>
      </c>
      <c r="R506" s="81">
        <v>44638</v>
      </c>
      <c r="S506" s="35"/>
      <c r="T506" s="15"/>
      <c r="U506" s="16"/>
      <c r="V506" s="36">
        <f t="shared" si="252"/>
        <v>0</v>
      </c>
      <c r="W506" s="18"/>
      <c r="X506" s="16"/>
      <c r="Y506" s="36">
        <f t="shared" si="253"/>
        <v>0</v>
      </c>
      <c r="Z506" s="17">
        <f t="shared" si="254"/>
        <v>0</v>
      </c>
    </row>
    <row r="507" spans="1:26" x14ac:dyDescent="0.15">
      <c r="A507" s="52" t="s">
        <v>207</v>
      </c>
      <c r="B507" s="15"/>
      <c r="C507" s="16">
        <v>1</v>
      </c>
      <c r="D507" s="36">
        <f t="shared" si="255"/>
        <v>1</v>
      </c>
      <c r="E507" s="18"/>
      <c r="F507" s="16">
        <v>1</v>
      </c>
      <c r="G507" s="36">
        <f t="shared" si="247"/>
        <v>1</v>
      </c>
      <c r="H507" s="17">
        <f t="shared" si="248"/>
        <v>2</v>
      </c>
      <c r="I507" s="81">
        <v>44635</v>
      </c>
      <c r="J507" s="35" t="s">
        <v>213</v>
      </c>
      <c r="K507" s="15">
        <v>20</v>
      </c>
      <c r="L507" s="16">
        <v>25</v>
      </c>
      <c r="M507" s="36">
        <f t="shared" si="249"/>
        <v>45</v>
      </c>
      <c r="N507" s="18">
        <v>40</v>
      </c>
      <c r="O507" s="16">
        <v>65</v>
      </c>
      <c r="P507" s="36">
        <f t="shared" si="250"/>
        <v>105</v>
      </c>
      <c r="Q507" s="17">
        <f t="shared" si="251"/>
        <v>150</v>
      </c>
      <c r="R507" s="81">
        <v>44638</v>
      </c>
      <c r="S507" s="38"/>
      <c r="T507" s="15"/>
      <c r="U507" s="16"/>
      <c r="V507" s="36">
        <f t="shared" si="252"/>
        <v>0</v>
      </c>
      <c r="W507" s="18"/>
      <c r="X507" s="16"/>
      <c r="Y507" s="36">
        <f t="shared" si="253"/>
        <v>0</v>
      </c>
      <c r="Z507" s="17">
        <f t="shared" si="254"/>
        <v>0</v>
      </c>
    </row>
    <row r="508" spans="1:26" x14ac:dyDescent="0.15">
      <c r="A508" s="35" t="s">
        <v>33</v>
      </c>
      <c r="B508" s="15">
        <v>3</v>
      </c>
      <c r="C508" s="16"/>
      <c r="D508" s="36">
        <f t="shared" si="255"/>
        <v>3</v>
      </c>
      <c r="E508" s="18">
        <v>5</v>
      </c>
      <c r="F508" s="16"/>
      <c r="G508" s="36">
        <f t="shared" si="247"/>
        <v>5</v>
      </c>
      <c r="H508" s="17">
        <f t="shared" si="248"/>
        <v>8</v>
      </c>
      <c r="I508" s="81">
        <v>44634</v>
      </c>
      <c r="J508" s="35" t="s">
        <v>215</v>
      </c>
      <c r="K508" s="15">
        <v>10</v>
      </c>
      <c r="L508" s="16">
        <v>14</v>
      </c>
      <c r="M508" s="36">
        <f t="shared" si="249"/>
        <v>24</v>
      </c>
      <c r="N508" s="18">
        <v>16</v>
      </c>
      <c r="O508" s="16">
        <v>4</v>
      </c>
      <c r="P508" s="36">
        <f t="shared" si="250"/>
        <v>20</v>
      </c>
      <c r="Q508" s="17">
        <f t="shared" si="251"/>
        <v>44</v>
      </c>
      <c r="R508" s="81">
        <v>44642</v>
      </c>
      <c r="S508" s="35"/>
      <c r="T508" s="15"/>
      <c r="U508" s="16"/>
      <c r="V508" s="36">
        <f t="shared" si="252"/>
        <v>0</v>
      </c>
      <c r="W508" s="18"/>
      <c r="X508" s="16"/>
      <c r="Y508" s="36">
        <f t="shared" si="253"/>
        <v>0</v>
      </c>
      <c r="Z508" s="17">
        <f t="shared" si="254"/>
        <v>0</v>
      </c>
    </row>
    <row r="509" spans="1:26" x14ac:dyDescent="0.15">
      <c r="A509" s="52" t="s">
        <v>210</v>
      </c>
      <c r="B509" s="15">
        <v>2</v>
      </c>
      <c r="C509" s="16"/>
      <c r="D509" s="17">
        <f>SUM(B509:C509)</f>
        <v>2</v>
      </c>
      <c r="E509" s="18">
        <v>2</v>
      </c>
      <c r="F509" s="16"/>
      <c r="G509" s="17">
        <f t="shared" si="247"/>
        <v>2</v>
      </c>
      <c r="H509" s="17">
        <f t="shared" si="248"/>
        <v>4</v>
      </c>
      <c r="I509" s="81">
        <v>44636</v>
      </c>
      <c r="J509" s="35" t="s">
        <v>216</v>
      </c>
      <c r="K509" s="15">
        <v>5</v>
      </c>
      <c r="L509" s="16">
        <v>15</v>
      </c>
      <c r="M509" s="36">
        <f t="shared" ref="M509" si="256">SUM(K509:L509)</f>
        <v>20</v>
      </c>
      <c r="N509" s="18">
        <v>10</v>
      </c>
      <c r="O509" s="16">
        <v>10</v>
      </c>
      <c r="P509" s="36">
        <f t="shared" ref="P509" si="257">SUM(N509:O509)</f>
        <v>20</v>
      </c>
      <c r="Q509" s="17">
        <f t="shared" ref="Q509" si="258">M509+P509</f>
        <v>40</v>
      </c>
      <c r="R509" s="81">
        <v>44639</v>
      </c>
      <c r="S509" s="35"/>
      <c r="T509" s="15"/>
      <c r="U509" s="16"/>
      <c r="V509" s="36">
        <f t="shared" si="252"/>
        <v>0</v>
      </c>
      <c r="W509" s="18"/>
      <c r="X509" s="16"/>
      <c r="Y509" s="36">
        <f t="shared" si="253"/>
        <v>0</v>
      </c>
      <c r="Z509" s="17">
        <f t="shared" si="254"/>
        <v>0</v>
      </c>
    </row>
    <row r="510" spans="1:26" x14ac:dyDescent="0.15">
      <c r="A510" s="35" t="s">
        <v>33</v>
      </c>
      <c r="B510" s="15"/>
      <c r="C510" s="16"/>
      <c r="D510" s="36">
        <f t="shared" ref="D510" si="259">SUM(B510:C510)</f>
        <v>0</v>
      </c>
      <c r="E510" s="18">
        <v>3</v>
      </c>
      <c r="F510" s="16"/>
      <c r="G510" s="36">
        <f t="shared" si="247"/>
        <v>3</v>
      </c>
      <c r="H510" s="17">
        <f t="shared" si="248"/>
        <v>3</v>
      </c>
      <c r="I510" s="84">
        <v>44635</v>
      </c>
      <c r="J510" s="35" t="s">
        <v>217</v>
      </c>
      <c r="K510" s="15">
        <v>5</v>
      </c>
      <c r="L510" s="16">
        <v>20</v>
      </c>
      <c r="M510" s="36">
        <f t="shared" si="249"/>
        <v>25</v>
      </c>
      <c r="N510" s="18">
        <v>10</v>
      </c>
      <c r="O510" s="16">
        <v>10</v>
      </c>
      <c r="P510" s="36">
        <f t="shared" si="250"/>
        <v>20</v>
      </c>
      <c r="Q510" s="17">
        <f t="shared" si="251"/>
        <v>45</v>
      </c>
      <c r="R510" s="81">
        <v>44639</v>
      </c>
      <c r="S510" s="35"/>
      <c r="T510" s="15"/>
      <c r="U510" s="16"/>
      <c r="V510" s="36">
        <f t="shared" si="252"/>
        <v>0</v>
      </c>
      <c r="W510" s="18"/>
      <c r="X510" s="16"/>
      <c r="Y510" s="36">
        <f t="shared" si="253"/>
        <v>0</v>
      </c>
      <c r="Z510" s="17">
        <f t="shared" si="254"/>
        <v>0</v>
      </c>
    </row>
    <row r="511" spans="1:26" x14ac:dyDescent="0.15">
      <c r="A511" s="35" t="s">
        <v>33</v>
      </c>
      <c r="B511" s="15"/>
      <c r="C511" s="16">
        <v>2</v>
      </c>
      <c r="D511" s="17">
        <f>SUM(B511:C511)</f>
        <v>2</v>
      </c>
      <c r="E511" s="18">
        <v>1</v>
      </c>
      <c r="F511" s="16">
        <v>1</v>
      </c>
      <c r="G511" s="17">
        <f t="shared" si="247"/>
        <v>2</v>
      </c>
      <c r="H511" s="17">
        <f t="shared" si="248"/>
        <v>4</v>
      </c>
      <c r="I511" s="84">
        <v>44636</v>
      </c>
      <c r="J511" s="35"/>
      <c r="K511" s="15"/>
      <c r="L511" s="16"/>
      <c r="M511" s="36">
        <f t="shared" si="249"/>
        <v>0</v>
      </c>
      <c r="N511" s="18"/>
      <c r="O511" s="16"/>
      <c r="P511" s="36">
        <f t="shared" si="250"/>
        <v>0</v>
      </c>
      <c r="Q511" s="17">
        <f t="shared" si="251"/>
        <v>0</v>
      </c>
      <c r="R511" s="83"/>
      <c r="S511" s="35"/>
      <c r="T511" s="15"/>
      <c r="U511" s="16"/>
      <c r="V511" s="36">
        <f t="shared" si="252"/>
        <v>0</v>
      </c>
      <c r="W511" s="18"/>
      <c r="X511" s="16"/>
      <c r="Y511" s="36">
        <f t="shared" si="253"/>
        <v>0</v>
      </c>
      <c r="Z511" s="17">
        <f t="shared" si="254"/>
        <v>0</v>
      </c>
    </row>
    <row r="512" spans="1:26" ht="14.25" thickBot="1" x14ac:dyDescent="0.2">
      <c r="A512" s="52" t="s">
        <v>214</v>
      </c>
      <c r="B512" s="15">
        <v>2</v>
      </c>
      <c r="C512" s="16">
        <v>1</v>
      </c>
      <c r="D512" s="36">
        <f t="shared" ref="D512:D514" si="260">SUM(B512:C512)</f>
        <v>3</v>
      </c>
      <c r="E512" s="18">
        <v>2</v>
      </c>
      <c r="F512" s="16">
        <v>1</v>
      </c>
      <c r="G512" s="36">
        <f t="shared" si="247"/>
        <v>3</v>
      </c>
      <c r="H512" s="17">
        <f t="shared" si="248"/>
        <v>6</v>
      </c>
      <c r="I512" s="81">
        <v>44638</v>
      </c>
      <c r="J512" s="35"/>
      <c r="K512" s="15"/>
      <c r="L512" s="16"/>
      <c r="M512" s="36">
        <f t="shared" ref="M512" si="261">SUM(K512:L512)</f>
        <v>0</v>
      </c>
      <c r="N512" s="18"/>
      <c r="O512" s="16"/>
      <c r="P512" s="36">
        <f t="shared" ref="P512" si="262">SUM(N512:O512)</f>
        <v>0</v>
      </c>
      <c r="Q512" s="17">
        <f t="shared" ref="Q512" si="263">M512+P512</f>
        <v>0</v>
      </c>
      <c r="R512" s="83"/>
      <c r="S512" s="35"/>
      <c r="T512" s="15"/>
      <c r="U512" s="16"/>
      <c r="V512" s="36">
        <f t="shared" si="252"/>
        <v>0</v>
      </c>
      <c r="W512" s="18"/>
      <c r="X512" s="16"/>
      <c r="Y512" s="36">
        <f t="shared" si="253"/>
        <v>0</v>
      </c>
      <c r="Z512" s="17">
        <f t="shared" si="254"/>
        <v>0</v>
      </c>
    </row>
    <row r="513" spans="1:27" ht="14.25" thickBot="1" x14ac:dyDescent="0.2">
      <c r="A513" s="40" t="s">
        <v>14</v>
      </c>
      <c r="B513" s="41">
        <f>SUM(B487:B512)</f>
        <v>42</v>
      </c>
      <c r="C513" s="42">
        <f t="shared" ref="C513" si="264">SUM(C487:C512)</f>
        <v>28</v>
      </c>
      <c r="D513" s="43">
        <f t="shared" si="260"/>
        <v>70</v>
      </c>
      <c r="E513" s="41">
        <f>SUM(E487:E512)</f>
        <v>58</v>
      </c>
      <c r="F513" s="42">
        <f t="shared" ref="F513" si="265">SUM(F487:F512)</f>
        <v>24</v>
      </c>
      <c r="G513" s="43">
        <f t="shared" si="247"/>
        <v>82</v>
      </c>
      <c r="H513" s="43">
        <f t="shared" si="248"/>
        <v>152</v>
      </c>
      <c r="J513" s="40" t="s">
        <v>14</v>
      </c>
      <c r="K513" s="41">
        <f>SUM(K487:K512)</f>
        <v>257</v>
      </c>
      <c r="L513" s="42">
        <f t="shared" ref="L513" si="266">SUM(L487:L512)</f>
        <v>281</v>
      </c>
      <c r="M513" s="43">
        <f t="shared" si="249"/>
        <v>538</v>
      </c>
      <c r="N513" s="41">
        <f>SUM(N487:N512)</f>
        <v>313</v>
      </c>
      <c r="O513" s="42">
        <f t="shared" ref="O513" si="267">SUM(O487:O512)</f>
        <v>361</v>
      </c>
      <c r="P513" s="43">
        <f t="shared" si="250"/>
        <v>674</v>
      </c>
      <c r="Q513" s="43">
        <f t="shared" si="251"/>
        <v>1212</v>
      </c>
      <c r="S513" s="40" t="s">
        <v>14</v>
      </c>
      <c r="T513" s="41">
        <f>SUM(T487:T512)</f>
        <v>0</v>
      </c>
      <c r="U513" s="42">
        <f t="shared" ref="U513" si="268">SUM(U487:U512)</f>
        <v>0</v>
      </c>
      <c r="V513" s="43">
        <f t="shared" si="252"/>
        <v>0</v>
      </c>
      <c r="W513" s="41">
        <f>SUM(W487:W512)</f>
        <v>0</v>
      </c>
      <c r="X513" s="42">
        <f t="shared" ref="X513" si="269">SUM(X487:X512)</f>
        <v>0</v>
      </c>
      <c r="Y513" s="43">
        <f t="shared" si="253"/>
        <v>0</v>
      </c>
      <c r="Z513" s="43">
        <f t="shared" si="254"/>
        <v>0</v>
      </c>
    </row>
    <row r="514" spans="1:27" ht="14.25" thickBot="1" x14ac:dyDescent="0.2">
      <c r="A514" s="44" t="s">
        <v>15</v>
      </c>
      <c r="B514" s="45">
        <f>B486-B513</f>
        <v>12</v>
      </c>
      <c r="C514" s="46">
        <f t="shared" ref="C514" si="270">C486-C513</f>
        <v>12</v>
      </c>
      <c r="D514" s="47">
        <f t="shared" si="260"/>
        <v>24</v>
      </c>
      <c r="E514" s="45">
        <f>E486-E513</f>
        <v>9</v>
      </c>
      <c r="F514" s="46">
        <f t="shared" ref="F514" si="271">F486-F513</f>
        <v>12</v>
      </c>
      <c r="G514" s="47">
        <f t="shared" si="247"/>
        <v>21</v>
      </c>
      <c r="H514" s="34">
        <f t="shared" si="248"/>
        <v>45</v>
      </c>
      <c r="J514" s="44" t="s">
        <v>15</v>
      </c>
      <c r="K514" s="45">
        <f>K486-K513</f>
        <v>1036</v>
      </c>
      <c r="L514" s="46">
        <f t="shared" ref="L514" si="272">L486-L513</f>
        <v>728</v>
      </c>
      <c r="M514" s="47">
        <f t="shared" si="249"/>
        <v>1764</v>
      </c>
      <c r="N514" s="45">
        <f>N486-N513</f>
        <v>906</v>
      </c>
      <c r="O514" s="46">
        <f t="shared" ref="O514" si="273">O486-O513</f>
        <v>487</v>
      </c>
      <c r="P514" s="47">
        <f t="shared" si="250"/>
        <v>1393</v>
      </c>
      <c r="Q514" s="34">
        <f t="shared" si="251"/>
        <v>3157</v>
      </c>
      <c r="S514" s="44" t="s">
        <v>15</v>
      </c>
      <c r="T514" s="45">
        <f>T486-T513</f>
        <v>1011</v>
      </c>
      <c r="U514" s="46">
        <f t="shared" ref="U514" si="274">U486-U513</f>
        <v>715</v>
      </c>
      <c r="V514" s="47">
        <f t="shared" si="252"/>
        <v>1726</v>
      </c>
      <c r="W514" s="45">
        <f>W486-W513</f>
        <v>1532</v>
      </c>
      <c r="X514" s="46">
        <f t="shared" ref="X514" si="275">X486-X513</f>
        <v>784</v>
      </c>
      <c r="Y514" s="47">
        <f t="shared" si="253"/>
        <v>2316</v>
      </c>
      <c r="Z514" s="34">
        <f t="shared" si="254"/>
        <v>4042</v>
      </c>
    </row>
    <row r="517" spans="1:27" ht="19.5" thickBot="1" x14ac:dyDescent="0.25">
      <c r="A517" s="1" t="s">
        <v>23</v>
      </c>
      <c r="J517" s="1" t="s">
        <v>24</v>
      </c>
      <c r="K517" s="2"/>
      <c r="L517" s="2"/>
      <c r="M517" s="2"/>
      <c r="N517" s="2"/>
      <c r="O517" s="1" t="s">
        <v>34</v>
      </c>
      <c r="P517" s="2"/>
      <c r="Q517" s="2"/>
      <c r="S517" s="1" t="s">
        <v>24</v>
      </c>
      <c r="T517" s="2"/>
      <c r="U517" s="2"/>
      <c r="V517" s="2"/>
      <c r="W517" s="2"/>
      <c r="X517" s="1" t="s">
        <v>34</v>
      </c>
      <c r="Y517" s="2"/>
      <c r="Z517" s="2"/>
    </row>
    <row r="518" spans="1:27" ht="14.25" thickBot="1" x14ac:dyDescent="0.2">
      <c r="A518" s="3" t="s">
        <v>0</v>
      </c>
      <c r="B518" s="125" t="s">
        <v>18</v>
      </c>
      <c r="C518" s="126"/>
      <c r="D518" s="127"/>
      <c r="E518" s="125" t="s">
        <v>19</v>
      </c>
      <c r="F518" s="126"/>
      <c r="G518" s="128"/>
      <c r="H518" s="129" t="s">
        <v>1</v>
      </c>
      <c r="J518" s="3" t="s">
        <v>0</v>
      </c>
      <c r="K518" s="125" t="s">
        <v>18</v>
      </c>
      <c r="L518" s="126"/>
      <c r="M518" s="127"/>
      <c r="N518" s="125" t="s">
        <v>19</v>
      </c>
      <c r="O518" s="126"/>
      <c r="P518" s="128"/>
      <c r="Q518" s="129" t="s">
        <v>1</v>
      </c>
      <c r="S518" s="3" t="s">
        <v>0</v>
      </c>
      <c r="T518" s="125" t="s">
        <v>18</v>
      </c>
      <c r="U518" s="126"/>
      <c r="V518" s="127"/>
      <c r="W518" s="125" t="s">
        <v>19</v>
      </c>
      <c r="X518" s="126"/>
      <c r="Y518" s="128"/>
      <c r="Z518" s="129" t="s">
        <v>1</v>
      </c>
    </row>
    <row r="519" spans="1:27" ht="14.25" thickBot="1" x14ac:dyDescent="0.2">
      <c r="A519" s="3" t="s">
        <v>2</v>
      </c>
      <c r="B519" s="4" t="s">
        <v>16</v>
      </c>
      <c r="C519" s="5" t="s">
        <v>17</v>
      </c>
      <c r="D519" s="3" t="s">
        <v>3</v>
      </c>
      <c r="E519" s="4" t="s">
        <v>16</v>
      </c>
      <c r="F519" s="5" t="s">
        <v>17</v>
      </c>
      <c r="G519" s="3" t="s">
        <v>3</v>
      </c>
      <c r="H519" s="130"/>
      <c r="J519" s="3" t="s">
        <v>2</v>
      </c>
      <c r="K519" s="4" t="s">
        <v>16</v>
      </c>
      <c r="L519" s="5" t="s">
        <v>17</v>
      </c>
      <c r="M519" s="3" t="s">
        <v>3</v>
      </c>
      <c r="N519" s="4" t="s">
        <v>16</v>
      </c>
      <c r="O519" s="5" t="s">
        <v>17</v>
      </c>
      <c r="P519" s="3" t="s">
        <v>3</v>
      </c>
      <c r="Q519" s="130"/>
      <c r="S519" s="3" t="s">
        <v>2</v>
      </c>
      <c r="T519" s="4" t="s">
        <v>16</v>
      </c>
      <c r="U519" s="5" t="s">
        <v>17</v>
      </c>
      <c r="V519" s="3" t="s">
        <v>3</v>
      </c>
      <c r="W519" s="4" t="s">
        <v>16</v>
      </c>
      <c r="X519" s="5" t="s">
        <v>17</v>
      </c>
      <c r="Y519" s="3" t="s">
        <v>3</v>
      </c>
      <c r="Z519" s="130"/>
    </row>
    <row r="520" spans="1:27" ht="14.25" thickBot="1" x14ac:dyDescent="0.2">
      <c r="A520" s="6" t="s">
        <v>55</v>
      </c>
      <c r="B520" s="32">
        <f>B514</f>
        <v>12</v>
      </c>
      <c r="C520" s="33">
        <f>C514</f>
        <v>12</v>
      </c>
      <c r="D520" s="34">
        <f t="shared" ref="D520:D532" si="276">SUM(B520:C520)</f>
        <v>24</v>
      </c>
      <c r="E520" s="32">
        <f>E514</f>
        <v>9</v>
      </c>
      <c r="F520" s="33">
        <f>F514</f>
        <v>12</v>
      </c>
      <c r="G520" s="34">
        <f t="shared" ref="G520:G557" si="277">SUM(E520:F520)</f>
        <v>21</v>
      </c>
      <c r="H520" s="34">
        <f t="shared" ref="H520:H557" si="278">D520+G520</f>
        <v>45</v>
      </c>
      <c r="J520" s="6" t="s">
        <v>55</v>
      </c>
      <c r="K520" s="7">
        <f>K514</f>
        <v>1036</v>
      </c>
      <c r="L520" s="8">
        <f>L514</f>
        <v>728</v>
      </c>
      <c r="M520" s="9">
        <f t="shared" ref="M520:M557" si="279">SUM(K520:L520)</f>
        <v>1764</v>
      </c>
      <c r="N520" s="7">
        <f>N514</f>
        <v>906</v>
      </c>
      <c r="O520" s="8">
        <f>O514</f>
        <v>487</v>
      </c>
      <c r="P520" s="9">
        <f t="shared" ref="P520:P557" si="280">SUM(N520:O520)</f>
        <v>1393</v>
      </c>
      <c r="Q520" s="9">
        <f t="shared" ref="Q520:Q557" si="281">M520+P520</f>
        <v>3157</v>
      </c>
      <c r="S520" s="6" t="s">
        <v>55</v>
      </c>
      <c r="T520" s="7">
        <f>T514</f>
        <v>1011</v>
      </c>
      <c r="U520" s="8">
        <f>U514</f>
        <v>715</v>
      </c>
      <c r="V520" s="9">
        <f t="shared" ref="V520:V557" si="282">SUM(T520:U520)</f>
        <v>1726</v>
      </c>
      <c r="W520" s="7">
        <f>W514</f>
        <v>1532</v>
      </c>
      <c r="X520" s="8">
        <f>X514</f>
        <v>784</v>
      </c>
      <c r="Y520" s="9">
        <f t="shared" ref="Y520:Y557" si="283">SUM(W520:X520)</f>
        <v>2316</v>
      </c>
      <c r="Z520" s="9">
        <f t="shared" ref="Z520:Z557" si="284">V520+Y520</f>
        <v>4042</v>
      </c>
    </row>
    <row r="521" spans="1:27" x14ac:dyDescent="0.15">
      <c r="A521" s="10" t="s">
        <v>5</v>
      </c>
      <c r="B521" s="64">
        <v>5</v>
      </c>
      <c r="C521" s="65">
        <v>5</v>
      </c>
      <c r="D521" s="36">
        <f t="shared" si="276"/>
        <v>10</v>
      </c>
      <c r="E521" s="66">
        <v>10</v>
      </c>
      <c r="F521" s="65">
        <v>5</v>
      </c>
      <c r="G521" s="36">
        <f t="shared" si="277"/>
        <v>15</v>
      </c>
      <c r="H521" s="36">
        <f t="shared" si="278"/>
        <v>25</v>
      </c>
      <c r="I521" s="81">
        <v>44638</v>
      </c>
      <c r="J521" s="10" t="s">
        <v>5</v>
      </c>
      <c r="K521" s="11"/>
      <c r="L521" s="12"/>
      <c r="M521" s="13">
        <f t="shared" si="279"/>
        <v>0</v>
      </c>
      <c r="N521" s="62"/>
      <c r="O521" s="12"/>
      <c r="P521" s="13">
        <f t="shared" si="280"/>
        <v>0</v>
      </c>
      <c r="Q521" s="13">
        <f t="shared" si="281"/>
        <v>0</v>
      </c>
      <c r="S521" s="10" t="s">
        <v>5</v>
      </c>
      <c r="T521" s="11"/>
      <c r="U521" s="12"/>
      <c r="V521" s="13">
        <f t="shared" si="282"/>
        <v>0</v>
      </c>
      <c r="W521" s="62"/>
      <c r="X521" s="12"/>
      <c r="Y521" s="13">
        <f t="shared" si="283"/>
        <v>0</v>
      </c>
      <c r="Z521" s="13">
        <f t="shared" si="284"/>
        <v>0</v>
      </c>
    </row>
    <row r="522" spans="1:27" x14ac:dyDescent="0.15">
      <c r="A522" s="10" t="s">
        <v>219</v>
      </c>
      <c r="B522" s="15"/>
      <c r="C522" s="16">
        <v>1</v>
      </c>
      <c r="D522" s="17">
        <f t="shared" si="276"/>
        <v>1</v>
      </c>
      <c r="E522" s="18"/>
      <c r="F522" s="16"/>
      <c r="G522" s="17">
        <f t="shared" si="277"/>
        <v>0</v>
      </c>
      <c r="H522" s="17">
        <f t="shared" si="278"/>
        <v>1</v>
      </c>
      <c r="I522" s="84">
        <v>44637</v>
      </c>
      <c r="J522" s="10" t="s">
        <v>6</v>
      </c>
      <c r="K522" s="15"/>
      <c r="L522" s="16"/>
      <c r="M522" s="17">
        <f t="shared" si="279"/>
        <v>0</v>
      </c>
      <c r="N522" s="18"/>
      <c r="O522" s="16"/>
      <c r="P522" s="17">
        <f t="shared" si="280"/>
        <v>0</v>
      </c>
      <c r="Q522" s="17">
        <f t="shared" si="281"/>
        <v>0</v>
      </c>
      <c r="S522" s="10" t="s">
        <v>6</v>
      </c>
      <c r="T522" s="15"/>
      <c r="U522" s="16"/>
      <c r="V522" s="17">
        <f t="shared" si="282"/>
        <v>0</v>
      </c>
      <c r="W522" s="18"/>
      <c r="X522" s="16"/>
      <c r="Y522" s="17">
        <f t="shared" si="283"/>
        <v>0</v>
      </c>
      <c r="Z522" s="17">
        <f t="shared" si="284"/>
        <v>0</v>
      </c>
    </row>
    <row r="523" spans="1:27" x14ac:dyDescent="0.15">
      <c r="A523" s="10" t="s">
        <v>7</v>
      </c>
      <c r="B523" s="15">
        <v>15</v>
      </c>
      <c r="C523" s="16">
        <v>10</v>
      </c>
      <c r="D523" s="17">
        <f t="shared" si="276"/>
        <v>25</v>
      </c>
      <c r="E523" s="18">
        <v>15</v>
      </c>
      <c r="F523" s="16">
        <v>10</v>
      </c>
      <c r="G523" s="17">
        <f t="shared" si="277"/>
        <v>25</v>
      </c>
      <c r="H523" s="17">
        <f t="shared" si="278"/>
        <v>50</v>
      </c>
      <c r="I523" s="81">
        <v>44643</v>
      </c>
      <c r="J523" s="10" t="s">
        <v>7</v>
      </c>
      <c r="K523" s="19"/>
      <c r="L523" s="20"/>
      <c r="M523" s="17">
        <f t="shared" si="279"/>
        <v>0</v>
      </c>
      <c r="N523" s="21"/>
      <c r="O523" s="20"/>
      <c r="P523" s="17">
        <f t="shared" si="280"/>
        <v>0</v>
      </c>
      <c r="Q523" s="17">
        <f t="shared" si="281"/>
        <v>0</v>
      </c>
      <c r="R523" s="81"/>
      <c r="S523" s="10" t="s">
        <v>7</v>
      </c>
      <c r="T523" s="19"/>
      <c r="U523" s="20"/>
      <c r="V523" s="17">
        <f t="shared" si="282"/>
        <v>0</v>
      </c>
      <c r="W523" s="21"/>
      <c r="X523" s="20"/>
      <c r="Y523" s="17">
        <f t="shared" si="283"/>
        <v>0</v>
      </c>
      <c r="Z523" s="17">
        <f t="shared" si="284"/>
        <v>0</v>
      </c>
    </row>
    <row r="524" spans="1:27" x14ac:dyDescent="0.15">
      <c r="A524" s="10" t="s">
        <v>8</v>
      </c>
      <c r="B524" s="15">
        <v>10</v>
      </c>
      <c r="C524" s="16"/>
      <c r="D524" s="17">
        <f t="shared" si="276"/>
        <v>10</v>
      </c>
      <c r="E524" s="18">
        <v>10</v>
      </c>
      <c r="F524" s="16">
        <v>5</v>
      </c>
      <c r="G524" s="17">
        <f t="shared" si="277"/>
        <v>15</v>
      </c>
      <c r="H524" s="17">
        <f t="shared" si="278"/>
        <v>25</v>
      </c>
      <c r="I524" s="81">
        <v>44649</v>
      </c>
      <c r="J524" s="10" t="s">
        <v>8</v>
      </c>
      <c r="K524" s="15"/>
      <c r="L524" s="16"/>
      <c r="M524" s="17">
        <f t="shared" si="279"/>
        <v>0</v>
      </c>
      <c r="N524" s="18"/>
      <c r="O524" s="16"/>
      <c r="P524" s="17">
        <f t="shared" si="280"/>
        <v>0</v>
      </c>
      <c r="Q524" s="17">
        <f t="shared" si="281"/>
        <v>0</v>
      </c>
      <c r="R524" s="83"/>
      <c r="S524" s="10" t="s">
        <v>8</v>
      </c>
      <c r="T524" s="15"/>
      <c r="U524" s="16"/>
      <c r="V524" s="17">
        <f t="shared" si="282"/>
        <v>0</v>
      </c>
      <c r="W524" s="18"/>
      <c r="X524" s="16"/>
      <c r="Y524" s="17">
        <f t="shared" si="283"/>
        <v>0</v>
      </c>
      <c r="Z524" s="17">
        <f t="shared" si="284"/>
        <v>0</v>
      </c>
    </row>
    <row r="525" spans="1:27" x14ac:dyDescent="0.15">
      <c r="A525" s="10" t="s">
        <v>9</v>
      </c>
      <c r="B525" s="15"/>
      <c r="C525" s="16">
        <v>5</v>
      </c>
      <c r="D525" s="17">
        <f t="shared" si="276"/>
        <v>5</v>
      </c>
      <c r="E525" s="18"/>
      <c r="F525" s="16">
        <v>15</v>
      </c>
      <c r="G525" s="17">
        <f t="shared" si="277"/>
        <v>15</v>
      </c>
      <c r="H525" s="17">
        <f t="shared" si="278"/>
        <v>20</v>
      </c>
      <c r="I525" s="81">
        <v>44651</v>
      </c>
      <c r="J525" s="10" t="s">
        <v>9</v>
      </c>
      <c r="K525" s="15"/>
      <c r="L525" s="16"/>
      <c r="M525" s="17">
        <f t="shared" si="279"/>
        <v>0</v>
      </c>
      <c r="N525" s="18"/>
      <c r="O525" s="16"/>
      <c r="P525" s="17">
        <f t="shared" si="280"/>
        <v>0</v>
      </c>
      <c r="Q525" s="17">
        <f t="shared" si="281"/>
        <v>0</v>
      </c>
      <c r="R525" s="83"/>
      <c r="S525" s="10" t="s">
        <v>9</v>
      </c>
      <c r="T525" s="15"/>
      <c r="U525" s="16"/>
      <c r="V525" s="17">
        <f t="shared" si="282"/>
        <v>0</v>
      </c>
      <c r="W525" s="18"/>
      <c r="X525" s="16"/>
      <c r="Y525" s="17">
        <f t="shared" si="283"/>
        <v>0</v>
      </c>
      <c r="Z525" s="17">
        <f t="shared" si="284"/>
        <v>0</v>
      </c>
      <c r="AA525" s="22"/>
    </row>
    <row r="526" spans="1:27" x14ac:dyDescent="0.15">
      <c r="A526" s="10" t="s">
        <v>10</v>
      </c>
      <c r="B526" s="15">
        <v>10</v>
      </c>
      <c r="C526" s="16">
        <v>5</v>
      </c>
      <c r="D526" s="17">
        <f t="shared" si="276"/>
        <v>15</v>
      </c>
      <c r="E526" s="18">
        <v>10</v>
      </c>
      <c r="F526" s="16">
        <v>5</v>
      </c>
      <c r="G526" s="17">
        <f t="shared" si="277"/>
        <v>15</v>
      </c>
      <c r="H526" s="17">
        <f t="shared" si="278"/>
        <v>30</v>
      </c>
      <c r="I526" s="81">
        <v>44663</v>
      </c>
      <c r="J526" s="10" t="s">
        <v>10</v>
      </c>
      <c r="K526" s="15"/>
      <c r="L526" s="16"/>
      <c r="M526" s="17">
        <f t="shared" si="279"/>
        <v>0</v>
      </c>
      <c r="N526" s="18"/>
      <c r="O526" s="16"/>
      <c r="P526" s="17">
        <f t="shared" si="280"/>
        <v>0</v>
      </c>
      <c r="Q526" s="17">
        <f t="shared" si="281"/>
        <v>0</v>
      </c>
      <c r="S526" s="10" t="s">
        <v>10</v>
      </c>
      <c r="T526" s="15"/>
      <c r="U526" s="16"/>
      <c r="V526" s="17">
        <f t="shared" si="282"/>
        <v>0</v>
      </c>
      <c r="W526" s="18"/>
      <c r="X526" s="16"/>
      <c r="Y526" s="17">
        <f t="shared" si="283"/>
        <v>0</v>
      </c>
      <c r="Z526" s="17">
        <f t="shared" si="284"/>
        <v>0</v>
      </c>
    </row>
    <row r="527" spans="1:27" x14ac:dyDescent="0.15">
      <c r="A527" s="10" t="s">
        <v>11</v>
      </c>
      <c r="B527" s="23"/>
      <c r="C527" s="24"/>
      <c r="D527" s="17">
        <f t="shared" si="276"/>
        <v>0</v>
      </c>
      <c r="E527" s="25"/>
      <c r="F527" s="24">
        <v>10</v>
      </c>
      <c r="G527" s="17">
        <f t="shared" si="277"/>
        <v>10</v>
      </c>
      <c r="H527" s="17">
        <f t="shared" si="278"/>
        <v>10</v>
      </c>
      <c r="I527" s="81">
        <v>44664</v>
      </c>
      <c r="J527" s="10" t="s">
        <v>11</v>
      </c>
      <c r="K527" s="23"/>
      <c r="L527" s="24"/>
      <c r="M527" s="17">
        <f t="shared" si="279"/>
        <v>0</v>
      </c>
      <c r="N527" s="25"/>
      <c r="O527" s="24"/>
      <c r="P527" s="17">
        <f t="shared" si="280"/>
        <v>0</v>
      </c>
      <c r="Q527" s="17">
        <f t="shared" si="281"/>
        <v>0</v>
      </c>
      <c r="S527" s="10" t="s">
        <v>11</v>
      </c>
      <c r="T527" s="23"/>
      <c r="U527" s="24"/>
      <c r="V527" s="17">
        <f t="shared" si="282"/>
        <v>0</v>
      </c>
      <c r="W527" s="25"/>
      <c r="X527" s="24"/>
      <c r="Y527" s="17">
        <f t="shared" si="283"/>
        <v>0</v>
      </c>
      <c r="Z527" s="17">
        <f t="shared" si="284"/>
        <v>0</v>
      </c>
    </row>
    <row r="528" spans="1:27" ht="14.25" thickBot="1" x14ac:dyDescent="0.2">
      <c r="A528" s="10" t="s">
        <v>12</v>
      </c>
      <c r="B528" s="26"/>
      <c r="C528" s="27"/>
      <c r="D528" s="28">
        <f t="shared" si="276"/>
        <v>0</v>
      </c>
      <c r="E528" s="29"/>
      <c r="F528" s="29"/>
      <c r="G528" s="28">
        <f t="shared" si="277"/>
        <v>0</v>
      </c>
      <c r="H528" s="30">
        <f t="shared" si="278"/>
        <v>0</v>
      </c>
      <c r="I528" s="83"/>
      <c r="J528" s="10" t="s">
        <v>12</v>
      </c>
      <c r="K528" s="26"/>
      <c r="L528" s="27"/>
      <c r="M528" s="28">
        <f t="shared" si="279"/>
        <v>0</v>
      </c>
      <c r="N528" s="29"/>
      <c r="O528" s="29"/>
      <c r="P528" s="28">
        <f t="shared" si="280"/>
        <v>0</v>
      </c>
      <c r="Q528" s="30">
        <f t="shared" si="281"/>
        <v>0</v>
      </c>
      <c r="S528" s="10" t="s">
        <v>12</v>
      </c>
      <c r="T528" s="26"/>
      <c r="U528" s="27"/>
      <c r="V528" s="28">
        <f t="shared" si="282"/>
        <v>0</v>
      </c>
      <c r="W528" s="29"/>
      <c r="X528" s="29"/>
      <c r="Y528" s="28">
        <f t="shared" si="283"/>
        <v>0</v>
      </c>
      <c r="Z528" s="30">
        <f t="shared" si="284"/>
        <v>0</v>
      </c>
    </row>
    <row r="529" spans="1:26" ht="14.25" thickBot="1" x14ac:dyDescent="0.2">
      <c r="A529" s="31" t="s">
        <v>13</v>
      </c>
      <c r="B529" s="32">
        <f>SUM(B520:B528)</f>
        <v>52</v>
      </c>
      <c r="C529" s="33">
        <f>SUM(C520:C528)</f>
        <v>38</v>
      </c>
      <c r="D529" s="34">
        <f t="shared" si="276"/>
        <v>90</v>
      </c>
      <c r="E529" s="32">
        <f>SUM(E520:E528)</f>
        <v>54</v>
      </c>
      <c r="F529" s="33">
        <f>SUM(F520:F528)</f>
        <v>62</v>
      </c>
      <c r="G529" s="34">
        <f t="shared" si="277"/>
        <v>116</v>
      </c>
      <c r="H529" s="34">
        <f t="shared" si="278"/>
        <v>206</v>
      </c>
      <c r="J529" s="31" t="s">
        <v>13</v>
      </c>
      <c r="K529" s="32">
        <f>SUM(K520:K528)</f>
        <v>1036</v>
      </c>
      <c r="L529" s="33">
        <f>SUM(L520:L528)</f>
        <v>728</v>
      </c>
      <c r="M529" s="34">
        <f t="shared" si="279"/>
        <v>1764</v>
      </c>
      <c r="N529" s="32">
        <f>SUM(N520:N528)</f>
        <v>906</v>
      </c>
      <c r="O529" s="33">
        <f>SUM(O520:O528)</f>
        <v>487</v>
      </c>
      <c r="P529" s="34">
        <f t="shared" si="280"/>
        <v>1393</v>
      </c>
      <c r="Q529" s="34">
        <f t="shared" si="281"/>
        <v>3157</v>
      </c>
      <c r="S529" s="31" t="s">
        <v>13</v>
      </c>
      <c r="T529" s="32">
        <f>SUM(T520:T528)</f>
        <v>1011</v>
      </c>
      <c r="U529" s="33">
        <f>SUM(U520:U528)</f>
        <v>715</v>
      </c>
      <c r="V529" s="34">
        <f t="shared" si="282"/>
        <v>1726</v>
      </c>
      <c r="W529" s="32">
        <f>SUM(W520:W528)</f>
        <v>1532</v>
      </c>
      <c r="X529" s="33">
        <f>SUM(X520:X528)</f>
        <v>784</v>
      </c>
      <c r="Y529" s="34">
        <f t="shared" si="283"/>
        <v>2316</v>
      </c>
      <c r="Z529" s="34">
        <f t="shared" si="284"/>
        <v>4042</v>
      </c>
    </row>
    <row r="530" spans="1:26" x14ac:dyDescent="0.15">
      <c r="A530" s="35" t="s">
        <v>33</v>
      </c>
      <c r="B530" s="15">
        <v>1</v>
      </c>
      <c r="C530" s="16"/>
      <c r="D530" s="36">
        <f t="shared" si="276"/>
        <v>1</v>
      </c>
      <c r="E530" s="18">
        <v>1</v>
      </c>
      <c r="F530" s="16"/>
      <c r="G530" s="36">
        <f t="shared" si="277"/>
        <v>1</v>
      </c>
      <c r="H530" s="17">
        <f t="shared" si="278"/>
        <v>2</v>
      </c>
      <c r="I530" s="84">
        <v>44637</v>
      </c>
      <c r="J530" s="77" t="s">
        <v>218</v>
      </c>
      <c r="K530" s="64">
        <v>5</v>
      </c>
      <c r="L530" s="65">
        <v>5</v>
      </c>
      <c r="M530" s="36">
        <f t="shared" si="279"/>
        <v>10</v>
      </c>
      <c r="N530" s="66">
        <v>10</v>
      </c>
      <c r="O530" s="65">
        <v>5</v>
      </c>
      <c r="P530" s="36">
        <f t="shared" si="280"/>
        <v>15</v>
      </c>
      <c r="Q530" s="36">
        <f t="shared" si="281"/>
        <v>25</v>
      </c>
      <c r="R530" s="81">
        <v>44638</v>
      </c>
      <c r="S530" s="52"/>
      <c r="T530" s="64"/>
      <c r="U530" s="65"/>
      <c r="V530" s="36">
        <f t="shared" si="282"/>
        <v>0</v>
      </c>
      <c r="W530" s="66"/>
      <c r="X530" s="65"/>
      <c r="Y530" s="36">
        <f t="shared" si="283"/>
        <v>0</v>
      </c>
      <c r="Z530" s="36">
        <f t="shared" si="284"/>
        <v>0</v>
      </c>
    </row>
    <row r="531" spans="1:26" x14ac:dyDescent="0.15">
      <c r="A531" s="52" t="s">
        <v>220</v>
      </c>
      <c r="B531" s="19"/>
      <c r="C531" s="20">
        <v>1</v>
      </c>
      <c r="D531" s="36">
        <f t="shared" si="276"/>
        <v>1</v>
      </c>
      <c r="E531" s="21"/>
      <c r="F531" s="20">
        <v>1</v>
      </c>
      <c r="G531" s="36">
        <f t="shared" si="277"/>
        <v>1</v>
      </c>
      <c r="H531" s="36">
        <f t="shared" si="278"/>
        <v>2</v>
      </c>
      <c r="I531" s="81">
        <v>44642</v>
      </c>
      <c r="J531" s="35" t="s">
        <v>222</v>
      </c>
      <c r="K531" s="15"/>
      <c r="L531" s="16"/>
      <c r="M531" s="36">
        <f t="shared" si="279"/>
        <v>0</v>
      </c>
      <c r="N531" s="18">
        <v>25</v>
      </c>
      <c r="O531" s="16"/>
      <c r="P531" s="36">
        <f t="shared" si="280"/>
        <v>25</v>
      </c>
      <c r="Q531" s="17">
        <f t="shared" si="281"/>
        <v>25</v>
      </c>
      <c r="R531" s="81">
        <v>44643</v>
      </c>
      <c r="S531" s="10"/>
      <c r="T531" s="15"/>
      <c r="U531" s="16"/>
      <c r="V531" s="36">
        <f t="shared" si="282"/>
        <v>0</v>
      </c>
      <c r="W531" s="18"/>
      <c r="X531" s="16"/>
      <c r="Y531" s="36">
        <f t="shared" si="283"/>
        <v>0</v>
      </c>
      <c r="Z531" s="17">
        <f t="shared" si="284"/>
        <v>0</v>
      </c>
    </row>
    <row r="532" spans="1:26" x14ac:dyDescent="0.15">
      <c r="A532" s="35" t="s">
        <v>33</v>
      </c>
      <c r="B532" s="15"/>
      <c r="C532" s="16"/>
      <c r="D532" s="36">
        <f t="shared" si="276"/>
        <v>0</v>
      </c>
      <c r="E532" s="18"/>
      <c r="F532" s="16">
        <v>1</v>
      </c>
      <c r="G532" s="36">
        <f t="shared" si="277"/>
        <v>1</v>
      </c>
      <c r="H532" s="17">
        <f t="shared" si="278"/>
        <v>1</v>
      </c>
      <c r="I532" s="84">
        <v>44638</v>
      </c>
      <c r="J532" s="77" t="s">
        <v>91</v>
      </c>
      <c r="K532" s="19">
        <v>15</v>
      </c>
      <c r="L532" s="20">
        <v>10</v>
      </c>
      <c r="M532" s="17">
        <f t="shared" si="279"/>
        <v>25</v>
      </c>
      <c r="N532" s="21">
        <v>15</v>
      </c>
      <c r="O532" s="20">
        <v>10</v>
      </c>
      <c r="P532" s="17">
        <f t="shared" si="280"/>
        <v>25</v>
      </c>
      <c r="Q532" s="17">
        <f t="shared" si="281"/>
        <v>50</v>
      </c>
      <c r="R532" s="81">
        <v>44643</v>
      </c>
      <c r="S532" s="10"/>
      <c r="T532" s="19"/>
      <c r="U532" s="20"/>
      <c r="V532" s="17">
        <f t="shared" si="282"/>
        <v>0</v>
      </c>
      <c r="W532" s="21"/>
      <c r="X532" s="20"/>
      <c r="Y532" s="17">
        <f t="shared" si="283"/>
        <v>0</v>
      </c>
      <c r="Z532" s="17">
        <f t="shared" si="284"/>
        <v>0</v>
      </c>
    </row>
    <row r="533" spans="1:26" x14ac:dyDescent="0.15">
      <c r="A533" s="35" t="s">
        <v>33</v>
      </c>
      <c r="B533" s="15"/>
      <c r="C533" s="16"/>
      <c r="D533" s="17">
        <f>SUM(B533:C533)</f>
        <v>0</v>
      </c>
      <c r="E533" s="18">
        <v>2</v>
      </c>
      <c r="F533" s="16"/>
      <c r="G533" s="17">
        <f t="shared" si="277"/>
        <v>2</v>
      </c>
      <c r="H533" s="17">
        <f t="shared" si="278"/>
        <v>2</v>
      </c>
      <c r="I533" s="84">
        <v>44639</v>
      </c>
      <c r="J533" s="35" t="s">
        <v>223</v>
      </c>
      <c r="K533" s="15"/>
      <c r="L533" s="16">
        <v>40</v>
      </c>
      <c r="M533" s="17">
        <f t="shared" si="279"/>
        <v>40</v>
      </c>
      <c r="N533" s="18">
        <v>25</v>
      </c>
      <c r="O533" s="16"/>
      <c r="P533" s="17">
        <f t="shared" si="280"/>
        <v>25</v>
      </c>
      <c r="Q533" s="17">
        <f t="shared" si="281"/>
        <v>65</v>
      </c>
      <c r="R533" s="81">
        <v>44644</v>
      </c>
      <c r="S533" s="52"/>
      <c r="T533" s="15"/>
      <c r="U533" s="16"/>
      <c r="V533" s="17">
        <f t="shared" si="282"/>
        <v>0</v>
      </c>
      <c r="W533" s="18"/>
      <c r="X533" s="16"/>
      <c r="Y533" s="17">
        <f t="shared" si="283"/>
        <v>0</v>
      </c>
      <c r="Z533" s="17">
        <f t="shared" si="284"/>
        <v>0</v>
      </c>
    </row>
    <row r="534" spans="1:26" x14ac:dyDescent="0.15">
      <c r="A534" s="52" t="s">
        <v>221</v>
      </c>
      <c r="B534" s="15">
        <v>1</v>
      </c>
      <c r="C534" s="16">
        <v>1</v>
      </c>
      <c r="D534" s="36">
        <f t="shared" ref="D534:D551" si="285">SUM(B534:C534)</f>
        <v>2</v>
      </c>
      <c r="E534" s="18">
        <v>1</v>
      </c>
      <c r="F534" s="16">
        <v>1</v>
      </c>
      <c r="G534" s="36">
        <f t="shared" si="277"/>
        <v>2</v>
      </c>
      <c r="H534" s="17">
        <f t="shared" si="278"/>
        <v>4</v>
      </c>
      <c r="I534" s="81">
        <v>44643</v>
      </c>
      <c r="J534" s="35" t="s">
        <v>224</v>
      </c>
      <c r="K534" s="15">
        <v>35</v>
      </c>
      <c r="L534" s="16">
        <v>80</v>
      </c>
      <c r="M534" s="17">
        <f t="shared" si="279"/>
        <v>115</v>
      </c>
      <c r="N534" s="18">
        <v>100</v>
      </c>
      <c r="O534" s="16">
        <v>110</v>
      </c>
      <c r="P534" s="17">
        <f t="shared" si="280"/>
        <v>210</v>
      </c>
      <c r="Q534" s="17">
        <f t="shared" si="281"/>
        <v>325</v>
      </c>
      <c r="R534" s="81">
        <v>44645</v>
      </c>
      <c r="S534" s="10"/>
      <c r="T534" s="15"/>
      <c r="U534" s="16"/>
      <c r="V534" s="17">
        <f t="shared" si="282"/>
        <v>0</v>
      </c>
      <c r="W534" s="18"/>
      <c r="X534" s="16"/>
      <c r="Y534" s="17">
        <f t="shared" si="283"/>
        <v>0</v>
      </c>
      <c r="Z534" s="17">
        <f t="shared" si="284"/>
        <v>0</v>
      </c>
    </row>
    <row r="535" spans="1:26" x14ac:dyDescent="0.15">
      <c r="A535" s="35" t="s">
        <v>33</v>
      </c>
      <c r="B535" s="15">
        <v>13</v>
      </c>
      <c r="C535" s="16">
        <f>1+1</f>
        <v>2</v>
      </c>
      <c r="D535" s="36">
        <f t="shared" si="285"/>
        <v>15</v>
      </c>
      <c r="E535" s="18">
        <v>11</v>
      </c>
      <c r="F535" s="16">
        <f>5+1</f>
        <v>6</v>
      </c>
      <c r="G535" s="36">
        <f t="shared" si="277"/>
        <v>17</v>
      </c>
      <c r="H535" s="17">
        <f t="shared" si="278"/>
        <v>32</v>
      </c>
      <c r="I535" s="84">
        <v>44642</v>
      </c>
      <c r="J535" s="35" t="s">
        <v>226</v>
      </c>
      <c r="K535" s="15"/>
      <c r="L535" s="16">
        <v>5</v>
      </c>
      <c r="M535" s="36">
        <f t="shared" si="279"/>
        <v>5</v>
      </c>
      <c r="N535" s="18">
        <v>25</v>
      </c>
      <c r="O535" s="16">
        <v>20</v>
      </c>
      <c r="P535" s="36">
        <f t="shared" si="280"/>
        <v>45</v>
      </c>
      <c r="Q535" s="17">
        <f t="shared" si="281"/>
        <v>50</v>
      </c>
      <c r="R535" s="81">
        <v>44646</v>
      </c>
      <c r="S535" s="10"/>
      <c r="T535" s="15"/>
      <c r="U535" s="16"/>
      <c r="V535" s="36">
        <f t="shared" si="282"/>
        <v>0</v>
      </c>
      <c r="W535" s="18"/>
      <c r="X535" s="16"/>
      <c r="Y535" s="36">
        <f t="shared" si="283"/>
        <v>0</v>
      </c>
      <c r="Z535" s="17">
        <f t="shared" si="284"/>
        <v>0</v>
      </c>
    </row>
    <row r="536" spans="1:26" x14ac:dyDescent="0.15">
      <c r="A536" s="35" t="s">
        <v>33</v>
      </c>
      <c r="B536" s="15"/>
      <c r="C536" s="16"/>
      <c r="D536" s="36">
        <f t="shared" si="285"/>
        <v>0</v>
      </c>
      <c r="E536" s="18">
        <v>1</v>
      </c>
      <c r="F536" s="16"/>
      <c r="G536" s="36">
        <f t="shared" si="277"/>
        <v>1</v>
      </c>
      <c r="H536" s="17">
        <f t="shared" si="278"/>
        <v>1</v>
      </c>
      <c r="I536" s="84">
        <v>44643</v>
      </c>
      <c r="J536" s="52" t="s">
        <v>229</v>
      </c>
      <c r="K536" s="15">
        <v>9</v>
      </c>
      <c r="L536" s="16">
        <v>9</v>
      </c>
      <c r="M536" s="36">
        <f t="shared" ref="M536:M537" si="286">SUM(K536:L536)</f>
        <v>18</v>
      </c>
      <c r="N536" s="18">
        <v>9</v>
      </c>
      <c r="O536" s="16">
        <v>9</v>
      </c>
      <c r="P536" s="36">
        <f t="shared" ref="P536:P537" si="287">SUM(N536:O536)</f>
        <v>18</v>
      </c>
      <c r="Q536" s="17">
        <f t="shared" ref="Q536:Q537" si="288">M536+P536</f>
        <v>36</v>
      </c>
      <c r="R536" s="81">
        <v>44649</v>
      </c>
      <c r="S536" s="10"/>
      <c r="T536" s="15"/>
      <c r="U536" s="16"/>
      <c r="V536" s="36">
        <f t="shared" si="282"/>
        <v>0</v>
      </c>
      <c r="W536" s="18"/>
      <c r="X536" s="16"/>
      <c r="Y536" s="36">
        <f t="shared" si="283"/>
        <v>0</v>
      </c>
      <c r="Z536" s="17">
        <f t="shared" si="284"/>
        <v>0</v>
      </c>
    </row>
    <row r="537" spans="1:26" x14ac:dyDescent="0.15">
      <c r="A537" s="52" t="s">
        <v>225</v>
      </c>
      <c r="B537" s="15">
        <v>1</v>
      </c>
      <c r="C537" s="16"/>
      <c r="D537" s="36">
        <f t="shared" si="285"/>
        <v>1</v>
      </c>
      <c r="E537" s="18">
        <v>1</v>
      </c>
      <c r="F537" s="16"/>
      <c r="G537" s="36">
        <f t="shared" si="277"/>
        <v>1</v>
      </c>
      <c r="H537" s="17">
        <f t="shared" si="278"/>
        <v>2</v>
      </c>
      <c r="I537" s="81">
        <v>44645</v>
      </c>
      <c r="J537" s="77" t="s">
        <v>91</v>
      </c>
      <c r="K537" s="19">
        <v>10</v>
      </c>
      <c r="L537" s="20"/>
      <c r="M537" s="17">
        <f t="shared" si="286"/>
        <v>10</v>
      </c>
      <c r="N537" s="21">
        <v>10</v>
      </c>
      <c r="O537" s="20">
        <v>5</v>
      </c>
      <c r="P537" s="17">
        <f t="shared" si="287"/>
        <v>15</v>
      </c>
      <c r="Q537" s="17">
        <f t="shared" si="288"/>
        <v>25</v>
      </c>
      <c r="R537" s="81">
        <v>44649</v>
      </c>
      <c r="S537" s="52"/>
      <c r="T537" s="15"/>
      <c r="U537" s="16"/>
      <c r="V537" s="36">
        <f t="shared" si="282"/>
        <v>0</v>
      </c>
      <c r="W537" s="18"/>
      <c r="X537" s="16"/>
      <c r="Y537" s="36">
        <f t="shared" si="283"/>
        <v>0</v>
      </c>
      <c r="Z537" s="17">
        <f t="shared" si="284"/>
        <v>0</v>
      </c>
    </row>
    <row r="538" spans="1:26" x14ac:dyDescent="0.15">
      <c r="A538" s="35" t="s">
        <v>33</v>
      </c>
      <c r="B538" s="15"/>
      <c r="C538" s="16"/>
      <c r="D538" s="36">
        <f t="shared" si="285"/>
        <v>0</v>
      </c>
      <c r="E538" s="18">
        <v>1</v>
      </c>
      <c r="F538" s="16"/>
      <c r="G538" s="36">
        <f t="shared" si="277"/>
        <v>1</v>
      </c>
      <c r="H538" s="17">
        <f t="shared" si="278"/>
        <v>1</v>
      </c>
      <c r="I538" s="84">
        <v>44644</v>
      </c>
      <c r="J538" s="35" t="s">
        <v>230</v>
      </c>
      <c r="K538" s="19"/>
      <c r="L538" s="20"/>
      <c r="M538" s="17">
        <f t="shared" si="279"/>
        <v>0</v>
      </c>
      <c r="N538" s="21">
        <v>4</v>
      </c>
      <c r="O538" s="20">
        <v>4</v>
      </c>
      <c r="P538" s="17">
        <f t="shared" si="280"/>
        <v>8</v>
      </c>
      <c r="Q538" s="17">
        <f t="shared" si="281"/>
        <v>8</v>
      </c>
      <c r="R538" s="81">
        <v>44663</v>
      </c>
      <c r="S538" s="10"/>
      <c r="T538" s="19"/>
      <c r="U538" s="20"/>
      <c r="V538" s="17">
        <f t="shared" si="282"/>
        <v>0</v>
      </c>
      <c r="W538" s="21"/>
      <c r="X538" s="20"/>
      <c r="Y538" s="17">
        <f t="shared" si="283"/>
        <v>0</v>
      </c>
      <c r="Z538" s="17">
        <f t="shared" si="284"/>
        <v>0</v>
      </c>
    </row>
    <row r="539" spans="1:26" x14ac:dyDescent="0.15">
      <c r="A539" s="52" t="s">
        <v>227</v>
      </c>
      <c r="B539" s="23"/>
      <c r="C539" s="24">
        <v>1</v>
      </c>
      <c r="D539" s="36">
        <f t="shared" si="285"/>
        <v>1</v>
      </c>
      <c r="E539" s="25"/>
      <c r="F539" s="24">
        <v>1</v>
      </c>
      <c r="G539" s="36">
        <f t="shared" si="277"/>
        <v>1</v>
      </c>
      <c r="H539" s="17">
        <f t="shared" si="278"/>
        <v>2</v>
      </c>
      <c r="I539" s="81">
        <v>44648</v>
      </c>
      <c r="J539" s="77" t="s">
        <v>91</v>
      </c>
      <c r="K539" s="23"/>
      <c r="L539" s="24">
        <v>5</v>
      </c>
      <c r="M539" s="36">
        <f t="shared" si="279"/>
        <v>5</v>
      </c>
      <c r="N539" s="25"/>
      <c r="O539" s="24">
        <v>15</v>
      </c>
      <c r="P539" s="36">
        <f t="shared" si="280"/>
        <v>15</v>
      </c>
      <c r="Q539" s="17">
        <f t="shared" si="281"/>
        <v>20</v>
      </c>
      <c r="R539" s="81">
        <v>44651</v>
      </c>
      <c r="S539" s="35"/>
      <c r="T539" s="23"/>
      <c r="U539" s="24"/>
      <c r="V539" s="36">
        <f t="shared" si="282"/>
        <v>0</v>
      </c>
      <c r="W539" s="25"/>
      <c r="X539" s="24"/>
      <c r="Y539" s="36">
        <f t="shared" si="283"/>
        <v>0</v>
      </c>
      <c r="Z539" s="17">
        <f t="shared" si="284"/>
        <v>0</v>
      </c>
    </row>
    <row r="540" spans="1:26" x14ac:dyDescent="0.15">
      <c r="A540" s="35" t="s">
        <v>33</v>
      </c>
      <c r="B540" s="15">
        <v>1</v>
      </c>
      <c r="C540" s="16"/>
      <c r="D540" s="36">
        <f t="shared" si="285"/>
        <v>1</v>
      </c>
      <c r="E540" s="18"/>
      <c r="F540" s="16">
        <v>1</v>
      </c>
      <c r="G540" s="36">
        <f t="shared" si="277"/>
        <v>1</v>
      </c>
      <c r="H540" s="17">
        <f t="shared" si="278"/>
        <v>2</v>
      </c>
      <c r="I540" s="84">
        <v>44645</v>
      </c>
      <c r="J540" s="52" t="s">
        <v>234</v>
      </c>
      <c r="K540" s="15">
        <v>5</v>
      </c>
      <c r="L540" s="16">
        <v>3</v>
      </c>
      <c r="M540" s="36">
        <f t="shared" si="279"/>
        <v>8</v>
      </c>
      <c r="N540" s="18">
        <v>5</v>
      </c>
      <c r="O540" s="16">
        <v>3</v>
      </c>
      <c r="P540" s="36">
        <f t="shared" si="280"/>
        <v>8</v>
      </c>
      <c r="Q540" s="17">
        <f t="shared" si="281"/>
        <v>16</v>
      </c>
      <c r="R540" s="81">
        <v>44659</v>
      </c>
      <c r="S540" s="35"/>
      <c r="T540" s="15"/>
      <c r="U540" s="16"/>
      <c r="V540" s="36">
        <f t="shared" si="282"/>
        <v>0</v>
      </c>
      <c r="W540" s="18"/>
      <c r="X540" s="16"/>
      <c r="Y540" s="36">
        <f t="shared" si="283"/>
        <v>0</v>
      </c>
      <c r="Z540" s="17">
        <f t="shared" si="284"/>
        <v>0</v>
      </c>
    </row>
    <row r="541" spans="1:26" x14ac:dyDescent="0.15">
      <c r="A541" s="35" t="s">
        <v>33</v>
      </c>
      <c r="B541" s="15">
        <f>3+1</f>
        <v>4</v>
      </c>
      <c r="C541" s="16">
        <f>1+1</f>
        <v>2</v>
      </c>
      <c r="D541" s="36">
        <f t="shared" si="285"/>
        <v>6</v>
      </c>
      <c r="E541" s="18">
        <f>1+4+1</f>
        <v>6</v>
      </c>
      <c r="F541" s="16">
        <f>1+2</f>
        <v>3</v>
      </c>
      <c r="G541" s="36">
        <f t="shared" si="277"/>
        <v>9</v>
      </c>
      <c r="H541" s="17">
        <f t="shared" si="278"/>
        <v>15</v>
      </c>
      <c r="I541" s="84">
        <v>44648</v>
      </c>
      <c r="J541" s="52" t="s">
        <v>235</v>
      </c>
      <c r="K541" s="15">
        <v>4</v>
      </c>
      <c r="L541" s="16">
        <v>4</v>
      </c>
      <c r="M541" s="36">
        <f t="shared" si="279"/>
        <v>8</v>
      </c>
      <c r="N541" s="18">
        <v>4</v>
      </c>
      <c r="O541" s="16">
        <v>4</v>
      </c>
      <c r="P541" s="36">
        <f t="shared" si="280"/>
        <v>8</v>
      </c>
      <c r="Q541" s="17">
        <f t="shared" si="281"/>
        <v>16</v>
      </c>
      <c r="R541" s="81">
        <v>44663</v>
      </c>
      <c r="S541" s="35"/>
      <c r="T541" s="15"/>
      <c r="U541" s="16"/>
      <c r="V541" s="36">
        <f t="shared" si="282"/>
        <v>0</v>
      </c>
      <c r="W541" s="18"/>
      <c r="X541" s="16"/>
      <c r="Y541" s="36">
        <f t="shared" si="283"/>
        <v>0</v>
      </c>
      <c r="Z541" s="17">
        <f t="shared" si="284"/>
        <v>0</v>
      </c>
    </row>
    <row r="542" spans="1:26" x14ac:dyDescent="0.15">
      <c r="A542" s="35" t="s">
        <v>33</v>
      </c>
      <c r="B542" s="15"/>
      <c r="C542" s="16"/>
      <c r="D542" s="36">
        <f t="shared" si="285"/>
        <v>0</v>
      </c>
      <c r="E542" s="18">
        <v>1</v>
      </c>
      <c r="F542" s="16"/>
      <c r="G542" s="36">
        <f t="shared" si="277"/>
        <v>1</v>
      </c>
      <c r="H542" s="17">
        <f t="shared" si="278"/>
        <v>1</v>
      </c>
      <c r="I542" s="81">
        <v>44649</v>
      </c>
      <c r="J542" s="77" t="s">
        <v>91</v>
      </c>
      <c r="K542" s="15">
        <v>10</v>
      </c>
      <c r="L542" s="16">
        <v>5</v>
      </c>
      <c r="M542" s="36">
        <f t="shared" si="279"/>
        <v>15</v>
      </c>
      <c r="N542" s="18">
        <v>10</v>
      </c>
      <c r="O542" s="16">
        <v>5</v>
      </c>
      <c r="P542" s="36">
        <f t="shared" si="280"/>
        <v>15</v>
      </c>
      <c r="Q542" s="17">
        <f t="shared" si="281"/>
        <v>30</v>
      </c>
      <c r="R542" s="81">
        <v>44663</v>
      </c>
      <c r="S542" s="35"/>
      <c r="T542" s="15"/>
      <c r="U542" s="16"/>
      <c r="V542" s="36">
        <f t="shared" si="282"/>
        <v>0</v>
      </c>
      <c r="W542" s="18"/>
      <c r="X542" s="16"/>
      <c r="Y542" s="36">
        <f t="shared" si="283"/>
        <v>0</v>
      </c>
      <c r="Z542" s="17">
        <f t="shared" si="284"/>
        <v>0</v>
      </c>
    </row>
    <row r="543" spans="1:26" x14ac:dyDescent="0.15">
      <c r="A543" s="35" t="s">
        <v>228</v>
      </c>
      <c r="B543" s="15">
        <v>4</v>
      </c>
      <c r="C543" s="16">
        <v>6</v>
      </c>
      <c r="D543" s="36">
        <f t="shared" si="285"/>
        <v>10</v>
      </c>
      <c r="E543" s="18">
        <v>4</v>
      </c>
      <c r="F543" s="16">
        <v>14</v>
      </c>
      <c r="G543" s="36">
        <f t="shared" si="277"/>
        <v>18</v>
      </c>
      <c r="H543" s="17">
        <f t="shared" si="278"/>
        <v>28</v>
      </c>
      <c r="I543" s="81">
        <v>44651</v>
      </c>
      <c r="J543" s="77" t="s">
        <v>91</v>
      </c>
      <c r="K543" s="23"/>
      <c r="L543" s="24"/>
      <c r="M543" s="17">
        <f t="shared" si="279"/>
        <v>0</v>
      </c>
      <c r="N543" s="25"/>
      <c r="O543" s="24">
        <v>10</v>
      </c>
      <c r="P543" s="17">
        <f t="shared" si="280"/>
        <v>10</v>
      </c>
      <c r="Q543" s="17">
        <f t="shared" si="281"/>
        <v>10</v>
      </c>
      <c r="R543" s="81">
        <v>44664</v>
      </c>
      <c r="S543" s="10"/>
      <c r="T543" s="15"/>
      <c r="U543" s="16"/>
      <c r="V543" s="17">
        <f t="shared" si="282"/>
        <v>0</v>
      </c>
      <c r="W543" s="18"/>
      <c r="X543" s="16"/>
      <c r="Y543" s="17">
        <f t="shared" si="283"/>
        <v>0</v>
      </c>
      <c r="Z543" s="17">
        <f t="shared" si="284"/>
        <v>0</v>
      </c>
    </row>
    <row r="544" spans="1:26" x14ac:dyDescent="0.15">
      <c r="A544" s="35" t="s">
        <v>33</v>
      </c>
      <c r="B544" s="15"/>
      <c r="C544" s="16">
        <f>1+1</f>
        <v>2</v>
      </c>
      <c r="D544" s="36">
        <f t="shared" si="285"/>
        <v>2</v>
      </c>
      <c r="E544" s="18"/>
      <c r="F544" s="16">
        <v>1</v>
      </c>
      <c r="G544" s="36">
        <f t="shared" si="277"/>
        <v>1</v>
      </c>
      <c r="H544" s="17">
        <f t="shared" si="278"/>
        <v>3</v>
      </c>
      <c r="I544" s="84">
        <v>44650</v>
      </c>
      <c r="J544" s="35" t="s">
        <v>237</v>
      </c>
      <c r="K544" s="15">
        <v>12</v>
      </c>
      <c r="L544" s="16"/>
      <c r="M544" s="17">
        <f t="shared" si="279"/>
        <v>12</v>
      </c>
      <c r="N544" s="18">
        <v>10</v>
      </c>
      <c r="O544" s="16">
        <v>10</v>
      </c>
      <c r="P544" s="17">
        <f t="shared" si="280"/>
        <v>20</v>
      </c>
      <c r="Q544" s="17">
        <f t="shared" si="281"/>
        <v>32</v>
      </c>
      <c r="R544" s="81">
        <v>44672</v>
      </c>
      <c r="S544" s="35"/>
      <c r="T544" s="15"/>
      <c r="U544" s="16"/>
      <c r="V544" s="36">
        <f t="shared" si="282"/>
        <v>0</v>
      </c>
      <c r="W544" s="18"/>
      <c r="X544" s="16"/>
      <c r="Y544" s="36">
        <f t="shared" si="283"/>
        <v>0</v>
      </c>
      <c r="Z544" s="17">
        <f t="shared" si="284"/>
        <v>0</v>
      </c>
    </row>
    <row r="545" spans="1:26" x14ac:dyDescent="0.15">
      <c r="A545" s="35" t="s">
        <v>33</v>
      </c>
      <c r="B545" s="15"/>
      <c r="C545" s="16">
        <v>1</v>
      </c>
      <c r="D545" s="36">
        <f t="shared" si="285"/>
        <v>1</v>
      </c>
      <c r="E545" s="18"/>
      <c r="F545" s="16">
        <v>1</v>
      </c>
      <c r="G545" s="36">
        <f t="shared" si="277"/>
        <v>1</v>
      </c>
      <c r="H545" s="17">
        <f t="shared" si="278"/>
        <v>2</v>
      </c>
      <c r="I545" s="81">
        <v>44653</v>
      </c>
      <c r="J545" s="52" t="s">
        <v>238</v>
      </c>
      <c r="K545" s="15">
        <v>1</v>
      </c>
      <c r="L545" s="16">
        <v>2</v>
      </c>
      <c r="M545" s="36">
        <f t="shared" si="279"/>
        <v>3</v>
      </c>
      <c r="N545" s="18">
        <v>1</v>
      </c>
      <c r="O545" s="16">
        <v>2</v>
      </c>
      <c r="P545" s="36">
        <f t="shared" si="280"/>
        <v>3</v>
      </c>
      <c r="Q545" s="17">
        <f t="shared" si="281"/>
        <v>6</v>
      </c>
      <c r="R545" s="81">
        <v>44666</v>
      </c>
      <c r="S545" s="37"/>
      <c r="T545" s="15"/>
      <c r="U545" s="16"/>
      <c r="V545" s="36">
        <f t="shared" si="282"/>
        <v>0</v>
      </c>
      <c r="W545" s="18"/>
      <c r="X545" s="16"/>
      <c r="Y545" s="36">
        <f t="shared" si="283"/>
        <v>0</v>
      </c>
      <c r="Z545" s="17">
        <f t="shared" si="284"/>
        <v>0</v>
      </c>
    </row>
    <row r="546" spans="1:26" x14ac:dyDescent="0.15">
      <c r="A546" s="52" t="s">
        <v>231</v>
      </c>
      <c r="B546" s="15">
        <v>2</v>
      </c>
      <c r="C546" s="16"/>
      <c r="D546" s="36">
        <f t="shared" si="285"/>
        <v>2</v>
      </c>
      <c r="E546" s="18">
        <v>2</v>
      </c>
      <c r="F546" s="16"/>
      <c r="G546" s="36">
        <f t="shared" si="277"/>
        <v>2</v>
      </c>
      <c r="H546" s="17">
        <f t="shared" si="278"/>
        <v>4</v>
      </c>
      <c r="I546" s="81">
        <v>44656</v>
      </c>
      <c r="J546" s="35"/>
      <c r="K546" s="15"/>
      <c r="L546" s="16"/>
      <c r="M546" s="36">
        <f t="shared" si="279"/>
        <v>0</v>
      </c>
      <c r="N546" s="18"/>
      <c r="O546" s="16"/>
      <c r="P546" s="36">
        <f t="shared" si="280"/>
        <v>0</v>
      </c>
      <c r="Q546" s="17">
        <f t="shared" si="281"/>
        <v>0</v>
      </c>
      <c r="R546" s="81"/>
      <c r="S546" s="37"/>
      <c r="T546" s="15"/>
      <c r="U546" s="16"/>
      <c r="V546" s="36">
        <f t="shared" si="282"/>
        <v>0</v>
      </c>
      <c r="W546" s="18"/>
      <c r="X546" s="16"/>
      <c r="Y546" s="36">
        <f t="shared" si="283"/>
        <v>0</v>
      </c>
      <c r="Z546" s="17">
        <f t="shared" si="284"/>
        <v>0</v>
      </c>
    </row>
    <row r="547" spans="1:26" x14ac:dyDescent="0.15">
      <c r="A547" s="35" t="s">
        <v>33</v>
      </c>
      <c r="B547" s="15">
        <v>1</v>
      </c>
      <c r="C547" s="16"/>
      <c r="D547" s="36">
        <f t="shared" si="285"/>
        <v>1</v>
      </c>
      <c r="E547" s="18">
        <v>2</v>
      </c>
      <c r="F547" s="16">
        <v>2</v>
      </c>
      <c r="G547" s="36">
        <f t="shared" si="277"/>
        <v>4</v>
      </c>
      <c r="H547" s="17">
        <f t="shared" si="278"/>
        <v>5</v>
      </c>
      <c r="I547" s="84">
        <v>44655</v>
      </c>
      <c r="J547" s="77"/>
      <c r="K547" s="15"/>
      <c r="L547" s="16"/>
      <c r="M547" s="36">
        <f t="shared" si="279"/>
        <v>0</v>
      </c>
      <c r="N547" s="18"/>
      <c r="O547" s="16"/>
      <c r="P547" s="36">
        <f t="shared" si="280"/>
        <v>0</v>
      </c>
      <c r="Q547" s="17">
        <f t="shared" si="281"/>
        <v>0</v>
      </c>
      <c r="R547" s="81"/>
      <c r="S547" s="35"/>
      <c r="T547" s="15"/>
      <c r="U547" s="16"/>
      <c r="V547" s="36">
        <f t="shared" si="282"/>
        <v>0</v>
      </c>
      <c r="W547" s="18"/>
      <c r="X547" s="16"/>
      <c r="Y547" s="36">
        <f t="shared" si="283"/>
        <v>0</v>
      </c>
      <c r="Z547" s="17">
        <f t="shared" si="284"/>
        <v>0</v>
      </c>
    </row>
    <row r="548" spans="1:26" x14ac:dyDescent="0.15">
      <c r="A548" s="35" t="s">
        <v>33</v>
      </c>
      <c r="B548" s="15">
        <f>1+1</f>
        <v>2</v>
      </c>
      <c r="C548" s="16"/>
      <c r="D548" s="36">
        <f t="shared" si="285"/>
        <v>2</v>
      </c>
      <c r="E548" s="18"/>
      <c r="F548" s="16"/>
      <c r="G548" s="36">
        <f t="shared" si="277"/>
        <v>0</v>
      </c>
      <c r="H548" s="17">
        <f t="shared" si="278"/>
        <v>2</v>
      </c>
      <c r="I548" s="84">
        <v>44657</v>
      </c>
      <c r="J548" s="38"/>
      <c r="K548" s="15"/>
      <c r="L548" s="16"/>
      <c r="M548" s="36">
        <f t="shared" si="279"/>
        <v>0</v>
      </c>
      <c r="N548" s="18"/>
      <c r="O548" s="16"/>
      <c r="P548" s="36">
        <f t="shared" si="280"/>
        <v>0</v>
      </c>
      <c r="Q548" s="17">
        <f t="shared" si="281"/>
        <v>0</v>
      </c>
      <c r="R548" s="83"/>
      <c r="S548" s="38"/>
      <c r="T548" s="15"/>
      <c r="U548" s="16"/>
      <c r="V548" s="36">
        <f t="shared" si="282"/>
        <v>0</v>
      </c>
      <c r="W548" s="18"/>
      <c r="X548" s="16"/>
      <c r="Y548" s="36">
        <f t="shared" si="283"/>
        <v>0</v>
      </c>
      <c r="Z548" s="17">
        <f t="shared" si="284"/>
        <v>0</v>
      </c>
    </row>
    <row r="549" spans="1:26" x14ac:dyDescent="0.15">
      <c r="A549" s="35" t="s">
        <v>33</v>
      </c>
      <c r="B549" s="15"/>
      <c r="C549" s="16"/>
      <c r="D549" s="36">
        <f t="shared" si="285"/>
        <v>0</v>
      </c>
      <c r="E549" s="18">
        <v>1</v>
      </c>
      <c r="F549" s="16"/>
      <c r="G549" s="36">
        <f t="shared" si="277"/>
        <v>1</v>
      </c>
      <c r="H549" s="17">
        <f t="shared" si="278"/>
        <v>1</v>
      </c>
      <c r="I549" s="84">
        <v>44658</v>
      </c>
      <c r="J549" s="35"/>
      <c r="K549" s="15"/>
      <c r="L549" s="16"/>
      <c r="M549" s="36">
        <f t="shared" si="279"/>
        <v>0</v>
      </c>
      <c r="N549" s="18"/>
      <c r="O549" s="16"/>
      <c r="P549" s="36">
        <f t="shared" si="280"/>
        <v>0</v>
      </c>
      <c r="Q549" s="17">
        <f t="shared" si="281"/>
        <v>0</v>
      </c>
      <c r="S549" s="35"/>
      <c r="T549" s="15"/>
      <c r="U549" s="16"/>
      <c r="V549" s="36">
        <f t="shared" si="282"/>
        <v>0</v>
      </c>
      <c r="W549" s="18"/>
      <c r="X549" s="16"/>
      <c r="Y549" s="36">
        <f t="shared" si="283"/>
        <v>0</v>
      </c>
      <c r="Z549" s="17">
        <f t="shared" si="284"/>
        <v>0</v>
      </c>
    </row>
    <row r="550" spans="1:26" x14ac:dyDescent="0.15">
      <c r="A550" s="35" t="s">
        <v>33</v>
      </c>
      <c r="B550" s="15">
        <v>1</v>
      </c>
      <c r="C550" s="16">
        <v>1</v>
      </c>
      <c r="D550" s="36">
        <f t="shared" si="285"/>
        <v>2</v>
      </c>
      <c r="E550" s="18"/>
      <c r="F550" s="16">
        <v>1</v>
      </c>
      <c r="G550" s="36">
        <f t="shared" si="277"/>
        <v>1</v>
      </c>
      <c r="H550" s="17">
        <f t="shared" si="278"/>
        <v>3</v>
      </c>
      <c r="I550" s="84">
        <v>44659</v>
      </c>
      <c r="J550" s="38"/>
      <c r="K550" s="15"/>
      <c r="L550" s="16"/>
      <c r="M550" s="36">
        <f t="shared" si="279"/>
        <v>0</v>
      </c>
      <c r="N550" s="18"/>
      <c r="O550" s="16"/>
      <c r="P550" s="36">
        <f t="shared" si="280"/>
        <v>0</v>
      </c>
      <c r="Q550" s="17">
        <f t="shared" si="281"/>
        <v>0</v>
      </c>
      <c r="S550" s="38"/>
      <c r="T550" s="15"/>
      <c r="U550" s="16"/>
      <c r="V550" s="36">
        <f t="shared" si="282"/>
        <v>0</v>
      </c>
      <c r="W550" s="18"/>
      <c r="X550" s="16"/>
      <c r="Y550" s="36">
        <f t="shared" si="283"/>
        <v>0</v>
      </c>
      <c r="Z550" s="17">
        <f t="shared" si="284"/>
        <v>0</v>
      </c>
    </row>
    <row r="551" spans="1:26" x14ac:dyDescent="0.15">
      <c r="A551" s="35" t="s">
        <v>33</v>
      </c>
      <c r="B551" s="15"/>
      <c r="C551" s="16">
        <f>2+2</f>
        <v>4</v>
      </c>
      <c r="D551" s="36">
        <f t="shared" si="285"/>
        <v>4</v>
      </c>
      <c r="E551" s="18"/>
      <c r="F551" s="16">
        <f>5+5</f>
        <v>10</v>
      </c>
      <c r="G551" s="36">
        <f t="shared" si="277"/>
        <v>10</v>
      </c>
      <c r="H551" s="17">
        <f t="shared" si="278"/>
        <v>14</v>
      </c>
      <c r="I551" s="84">
        <v>44662</v>
      </c>
      <c r="J551" s="35"/>
      <c r="K551" s="15"/>
      <c r="L551" s="16"/>
      <c r="M551" s="36">
        <f t="shared" ref="M551" si="289">SUM(K551:L551)</f>
        <v>0</v>
      </c>
      <c r="N551" s="18"/>
      <c r="O551" s="16"/>
      <c r="P551" s="36">
        <f t="shared" ref="P551" si="290">SUM(N551:O551)</f>
        <v>0</v>
      </c>
      <c r="Q551" s="17">
        <f t="shared" ref="Q551:Q552" si="291">M551+P551</f>
        <v>0</v>
      </c>
      <c r="R551" s="83"/>
      <c r="S551" s="35"/>
      <c r="T551" s="15"/>
      <c r="U551" s="16"/>
      <c r="V551" s="36">
        <f t="shared" si="282"/>
        <v>0</v>
      </c>
      <c r="W551" s="18"/>
      <c r="X551" s="16"/>
      <c r="Y551" s="36">
        <f t="shared" si="283"/>
        <v>0</v>
      </c>
      <c r="Z551" s="17">
        <f t="shared" si="284"/>
        <v>0</v>
      </c>
    </row>
    <row r="552" spans="1:26" x14ac:dyDescent="0.15">
      <c r="A552" s="52" t="s">
        <v>236</v>
      </c>
      <c r="B552" s="15"/>
      <c r="C552" s="16">
        <v>1</v>
      </c>
      <c r="D552" s="17">
        <f>SUM(B552:C552)</f>
        <v>1</v>
      </c>
      <c r="E552" s="18"/>
      <c r="F552" s="16">
        <v>1</v>
      </c>
      <c r="G552" s="17">
        <f t="shared" si="277"/>
        <v>1</v>
      </c>
      <c r="H552" s="17">
        <f t="shared" si="278"/>
        <v>2</v>
      </c>
      <c r="I552" s="81">
        <v>44664</v>
      </c>
      <c r="J552" s="35"/>
      <c r="K552" s="15"/>
      <c r="L552" s="16"/>
      <c r="M552" s="36">
        <f t="shared" ref="M552" si="292">SUM(K552:L552)</f>
        <v>0</v>
      </c>
      <c r="N552" s="18"/>
      <c r="O552" s="16"/>
      <c r="P552" s="36">
        <f t="shared" ref="P552" si="293">SUM(N552:O552)</f>
        <v>0</v>
      </c>
      <c r="Q552" s="17">
        <f t="shared" si="291"/>
        <v>0</v>
      </c>
      <c r="R552" s="83"/>
      <c r="S552" s="35"/>
      <c r="T552" s="15"/>
      <c r="U552" s="16"/>
      <c r="V552" s="36">
        <f t="shared" si="282"/>
        <v>0</v>
      </c>
      <c r="W552" s="18"/>
      <c r="X552" s="16"/>
      <c r="Y552" s="36">
        <f t="shared" si="283"/>
        <v>0</v>
      </c>
      <c r="Z552" s="17">
        <f t="shared" si="284"/>
        <v>0</v>
      </c>
    </row>
    <row r="553" spans="1:26" x14ac:dyDescent="0.15">
      <c r="A553" s="35" t="s">
        <v>33</v>
      </c>
      <c r="B553" s="15"/>
      <c r="C553" s="16"/>
      <c r="D553" s="36">
        <f t="shared" ref="D553" si="294">SUM(B553:C553)</f>
        <v>0</v>
      </c>
      <c r="E553" s="18">
        <f>6+2</f>
        <v>8</v>
      </c>
      <c r="F553" s="16"/>
      <c r="G553" s="36">
        <f t="shared" si="277"/>
        <v>8</v>
      </c>
      <c r="H553" s="17">
        <f t="shared" si="278"/>
        <v>8</v>
      </c>
      <c r="I553" s="84">
        <v>44665</v>
      </c>
      <c r="J553" s="35" t="s">
        <v>128</v>
      </c>
      <c r="K553" s="15"/>
      <c r="L553" s="16"/>
      <c r="M553" s="36">
        <f t="shared" ref="M553" si="295">SUM(K553:L553)</f>
        <v>0</v>
      </c>
      <c r="N553" s="18"/>
      <c r="O553" s="16"/>
      <c r="P553" s="36">
        <f t="shared" ref="P553" si="296">SUM(N553:O553)</f>
        <v>0</v>
      </c>
      <c r="Q553" s="17">
        <f t="shared" ref="Q553" si="297">M553+P553</f>
        <v>0</v>
      </c>
      <c r="R553" s="83" t="s">
        <v>129</v>
      </c>
      <c r="S553" s="35"/>
      <c r="T553" s="15"/>
      <c r="U553" s="16"/>
      <c r="V553" s="36">
        <f t="shared" si="282"/>
        <v>0</v>
      </c>
      <c r="W553" s="18"/>
      <c r="X553" s="16"/>
      <c r="Y553" s="36">
        <f t="shared" si="283"/>
        <v>0</v>
      </c>
      <c r="Z553" s="17">
        <f t="shared" si="284"/>
        <v>0</v>
      </c>
    </row>
    <row r="554" spans="1:26" x14ac:dyDescent="0.15">
      <c r="A554" s="52" t="s">
        <v>241</v>
      </c>
      <c r="B554" s="15">
        <v>2</v>
      </c>
      <c r="C554" s="16"/>
      <c r="D554" s="17">
        <f>SUM(B554:C554)</f>
        <v>2</v>
      </c>
      <c r="E554" s="18">
        <v>2</v>
      </c>
      <c r="F554" s="16"/>
      <c r="G554" s="17">
        <f t="shared" si="277"/>
        <v>2</v>
      </c>
      <c r="H554" s="17">
        <f t="shared" si="278"/>
        <v>4</v>
      </c>
      <c r="I554" s="81">
        <v>44669</v>
      </c>
      <c r="J554" s="35" t="s">
        <v>179</v>
      </c>
      <c r="K554" s="15"/>
      <c r="L554" s="16"/>
      <c r="M554" s="36">
        <f t="shared" si="279"/>
        <v>0</v>
      </c>
      <c r="N554" s="18"/>
      <c r="O554" s="16"/>
      <c r="P554" s="36">
        <f t="shared" si="280"/>
        <v>0</v>
      </c>
      <c r="Q554" s="17">
        <f t="shared" si="281"/>
        <v>0</v>
      </c>
      <c r="R554" s="83" t="s">
        <v>180</v>
      </c>
      <c r="S554" s="35"/>
      <c r="T554" s="15"/>
      <c r="U554" s="16"/>
      <c r="V554" s="36">
        <f t="shared" si="282"/>
        <v>0</v>
      </c>
      <c r="W554" s="18"/>
      <c r="X554" s="16"/>
      <c r="Y554" s="36">
        <f t="shared" si="283"/>
        <v>0</v>
      </c>
      <c r="Z554" s="17">
        <f t="shared" si="284"/>
        <v>0</v>
      </c>
    </row>
    <row r="555" spans="1:26" ht="14.25" thickBot="1" x14ac:dyDescent="0.2">
      <c r="A555" s="35" t="s">
        <v>33</v>
      </c>
      <c r="B555" s="15"/>
      <c r="C555" s="16"/>
      <c r="D555" s="36">
        <f t="shared" ref="D555:D557" si="298">SUM(B555:C555)</f>
        <v>0</v>
      </c>
      <c r="E555" s="18">
        <f>2+1</f>
        <v>3</v>
      </c>
      <c r="F555" s="16">
        <f>1+1</f>
        <v>2</v>
      </c>
      <c r="G555" s="36">
        <f t="shared" si="277"/>
        <v>5</v>
      </c>
      <c r="H555" s="17">
        <f t="shared" si="278"/>
        <v>5</v>
      </c>
      <c r="I555" s="84">
        <v>44666</v>
      </c>
      <c r="J555" s="35" t="s">
        <v>208</v>
      </c>
      <c r="K555" s="15"/>
      <c r="L555" s="16"/>
      <c r="M555" s="36">
        <f t="shared" ref="M555" si="299">SUM(K555:L555)</f>
        <v>0</v>
      </c>
      <c r="N555" s="18"/>
      <c r="O555" s="16"/>
      <c r="P555" s="36">
        <f t="shared" ref="P555" si="300">SUM(N555:O555)</f>
        <v>0</v>
      </c>
      <c r="Q555" s="17">
        <f t="shared" ref="Q555" si="301">M555+P555</f>
        <v>0</v>
      </c>
      <c r="R555" s="83" t="s">
        <v>209</v>
      </c>
      <c r="S555" s="35"/>
      <c r="T555" s="15"/>
      <c r="U555" s="16"/>
      <c r="V555" s="36">
        <f t="shared" si="282"/>
        <v>0</v>
      </c>
      <c r="W555" s="18"/>
      <c r="X555" s="16"/>
      <c r="Y555" s="36">
        <f t="shared" si="283"/>
        <v>0</v>
      </c>
      <c r="Z555" s="17">
        <f t="shared" si="284"/>
        <v>0</v>
      </c>
    </row>
    <row r="556" spans="1:26" ht="14.25" thickBot="1" x14ac:dyDescent="0.2">
      <c r="A556" s="40" t="s">
        <v>14</v>
      </c>
      <c r="B556" s="41">
        <f>SUM(B530:B555)</f>
        <v>33</v>
      </c>
      <c r="C556" s="42">
        <f t="shared" ref="C556" si="302">SUM(C530:C555)</f>
        <v>22</v>
      </c>
      <c r="D556" s="43">
        <f t="shared" si="298"/>
        <v>55</v>
      </c>
      <c r="E556" s="41">
        <f>SUM(E530:E555)</f>
        <v>47</v>
      </c>
      <c r="F556" s="42">
        <f t="shared" ref="F556" si="303">SUM(F530:F555)</f>
        <v>46</v>
      </c>
      <c r="G556" s="43">
        <f t="shared" si="277"/>
        <v>93</v>
      </c>
      <c r="H556" s="43">
        <f t="shared" si="278"/>
        <v>148</v>
      </c>
      <c r="J556" s="40" t="s">
        <v>14</v>
      </c>
      <c r="K556" s="41">
        <f>SUM(K530:K555)</f>
        <v>106</v>
      </c>
      <c r="L556" s="42">
        <f t="shared" ref="L556" si="304">SUM(L530:L555)</f>
        <v>168</v>
      </c>
      <c r="M556" s="43">
        <f t="shared" si="279"/>
        <v>274</v>
      </c>
      <c r="N556" s="41">
        <f>SUM(N530:N555)</f>
        <v>253</v>
      </c>
      <c r="O556" s="42">
        <f t="shared" ref="O556" si="305">SUM(O530:O555)</f>
        <v>212</v>
      </c>
      <c r="P556" s="43">
        <f t="shared" si="280"/>
        <v>465</v>
      </c>
      <c r="Q556" s="43">
        <f t="shared" si="281"/>
        <v>739</v>
      </c>
      <c r="S556" s="40" t="s">
        <v>14</v>
      </c>
      <c r="T556" s="41">
        <f>SUM(T530:T555)</f>
        <v>0</v>
      </c>
      <c r="U556" s="42">
        <f t="shared" ref="U556" si="306">SUM(U530:U555)</f>
        <v>0</v>
      </c>
      <c r="V556" s="43">
        <f t="shared" si="282"/>
        <v>0</v>
      </c>
      <c r="W556" s="41">
        <f>SUM(W530:W555)</f>
        <v>0</v>
      </c>
      <c r="X556" s="42">
        <f t="shared" ref="X556" si="307">SUM(X530:X555)</f>
        <v>0</v>
      </c>
      <c r="Y556" s="43">
        <f t="shared" si="283"/>
        <v>0</v>
      </c>
      <c r="Z556" s="43">
        <f t="shared" si="284"/>
        <v>0</v>
      </c>
    </row>
    <row r="557" spans="1:26" ht="14.25" thickBot="1" x14ac:dyDescent="0.2">
      <c r="A557" s="44" t="s">
        <v>15</v>
      </c>
      <c r="B557" s="45">
        <f>B529-B556</f>
        <v>19</v>
      </c>
      <c r="C557" s="46">
        <f t="shared" ref="C557" si="308">C529-C556</f>
        <v>16</v>
      </c>
      <c r="D557" s="47">
        <f t="shared" si="298"/>
        <v>35</v>
      </c>
      <c r="E557" s="45">
        <f>E529-E556</f>
        <v>7</v>
      </c>
      <c r="F557" s="46">
        <f t="shared" ref="F557" si="309">F529-F556</f>
        <v>16</v>
      </c>
      <c r="G557" s="47">
        <f t="shared" si="277"/>
        <v>23</v>
      </c>
      <c r="H557" s="34">
        <f t="shared" si="278"/>
        <v>58</v>
      </c>
      <c r="J557" s="44" t="s">
        <v>15</v>
      </c>
      <c r="K557" s="45">
        <f>K529-K556</f>
        <v>930</v>
      </c>
      <c r="L557" s="46">
        <f t="shared" ref="L557" si="310">L529-L556</f>
        <v>560</v>
      </c>
      <c r="M557" s="47">
        <f t="shared" si="279"/>
        <v>1490</v>
      </c>
      <c r="N557" s="45">
        <f>N529-N556</f>
        <v>653</v>
      </c>
      <c r="O557" s="46">
        <f t="shared" ref="O557" si="311">O529-O556</f>
        <v>275</v>
      </c>
      <c r="P557" s="47">
        <f t="shared" si="280"/>
        <v>928</v>
      </c>
      <c r="Q557" s="34">
        <f t="shared" si="281"/>
        <v>2418</v>
      </c>
      <c r="S557" s="44" t="s">
        <v>15</v>
      </c>
      <c r="T557" s="45">
        <f>T529-T556</f>
        <v>1011</v>
      </c>
      <c r="U557" s="46">
        <f t="shared" ref="U557" si="312">U529-U556</f>
        <v>715</v>
      </c>
      <c r="V557" s="47">
        <f t="shared" si="282"/>
        <v>1726</v>
      </c>
      <c r="W557" s="45">
        <f>W529-W556</f>
        <v>1532</v>
      </c>
      <c r="X557" s="46">
        <f t="shared" ref="X557" si="313">X529-X556</f>
        <v>784</v>
      </c>
      <c r="Y557" s="47">
        <f t="shared" si="283"/>
        <v>2316</v>
      </c>
      <c r="Z557" s="34">
        <f t="shared" si="284"/>
        <v>4042</v>
      </c>
    </row>
    <row r="560" spans="1:26" ht="19.5" thickBot="1" x14ac:dyDescent="0.25">
      <c r="A560" s="1" t="s">
        <v>23</v>
      </c>
      <c r="J560" s="1" t="s">
        <v>24</v>
      </c>
      <c r="K560" s="2"/>
      <c r="L560" s="2"/>
      <c r="M560" s="2"/>
      <c r="N560" s="2"/>
      <c r="O560" s="1" t="s">
        <v>34</v>
      </c>
      <c r="P560" s="2"/>
      <c r="Q560" s="2"/>
      <c r="S560" s="1" t="s">
        <v>24</v>
      </c>
      <c r="T560" s="2"/>
      <c r="U560" s="2"/>
      <c r="V560" s="2"/>
      <c r="W560" s="2"/>
      <c r="X560" s="1" t="s">
        <v>34</v>
      </c>
      <c r="Y560" s="2"/>
      <c r="Z560" s="2"/>
    </row>
    <row r="561" spans="1:27" ht="14.25" thickBot="1" x14ac:dyDescent="0.2">
      <c r="A561" s="3" t="s">
        <v>0</v>
      </c>
      <c r="B561" s="125" t="s">
        <v>18</v>
      </c>
      <c r="C561" s="126"/>
      <c r="D561" s="127"/>
      <c r="E561" s="125" t="s">
        <v>19</v>
      </c>
      <c r="F561" s="126"/>
      <c r="G561" s="128"/>
      <c r="H561" s="129" t="s">
        <v>1</v>
      </c>
      <c r="J561" s="3" t="s">
        <v>0</v>
      </c>
      <c r="K561" s="125" t="s">
        <v>18</v>
      </c>
      <c r="L561" s="126"/>
      <c r="M561" s="127"/>
      <c r="N561" s="125" t="s">
        <v>19</v>
      </c>
      <c r="O561" s="126"/>
      <c r="P561" s="128"/>
      <c r="Q561" s="129" t="s">
        <v>1</v>
      </c>
      <c r="S561" s="3" t="s">
        <v>0</v>
      </c>
      <c r="T561" s="125" t="s">
        <v>18</v>
      </c>
      <c r="U561" s="126"/>
      <c r="V561" s="127"/>
      <c r="W561" s="125" t="s">
        <v>19</v>
      </c>
      <c r="X561" s="126"/>
      <c r="Y561" s="128"/>
      <c r="Z561" s="129" t="s">
        <v>1</v>
      </c>
    </row>
    <row r="562" spans="1:27" ht="14.25" thickBot="1" x14ac:dyDescent="0.2">
      <c r="A562" s="3" t="s">
        <v>2</v>
      </c>
      <c r="B562" s="4" t="s">
        <v>16</v>
      </c>
      <c r="C562" s="5" t="s">
        <v>17</v>
      </c>
      <c r="D562" s="3" t="s">
        <v>3</v>
      </c>
      <c r="E562" s="4" t="s">
        <v>16</v>
      </c>
      <c r="F562" s="5" t="s">
        <v>17</v>
      </c>
      <c r="G562" s="3" t="s">
        <v>3</v>
      </c>
      <c r="H562" s="130"/>
      <c r="J562" s="3" t="s">
        <v>2</v>
      </c>
      <c r="K562" s="4" t="s">
        <v>16</v>
      </c>
      <c r="L562" s="5" t="s">
        <v>17</v>
      </c>
      <c r="M562" s="3" t="s">
        <v>3</v>
      </c>
      <c r="N562" s="4" t="s">
        <v>16</v>
      </c>
      <c r="O562" s="5" t="s">
        <v>17</v>
      </c>
      <c r="P562" s="3" t="s">
        <v>3</v>
      </c>
      <c r="Q562" s="130"/>
      <c r="S562" s="3" t="s">
        <v>2</v>
      </c>
      <c r="T562" s="4" t="s">
        <v>16</v>
      </c>
      <c r="U562" s="5" t="s">
        <v>17</v>
      </c>
      <c r="V562" s="3" t="s">
        <v>3</v>
      </c>
      <c r="W562" s="4" t="s">
        <v>16</v>
      </c>
      <c r="X562" s="5" t="s">
        <v>17</v>
      </c>
      <c r="Y562" s="3" t="s">
        <v>3</v>
      </c>
      <c r="Z562" s="130"/>
    </row>
    <row r="563" spans="1:27" ht="14.25" thickBot="1" x14ac:dyDescent="0.2">
      <c r="A563" s="6" t="s">
        <v>55</v>
      </c>
      <c r="B563" s="32">
        <f>B557</f>
        <v>19</v>
      </c>
      <c r="C563" s="33">
        <f>C557</f>
        <v>16</v>
      </c>
      <c r="D563" s="34">
        <f t="shared" ref="D563:D575" si="314">SUM(B563:C563)</f>
        <v>35</v>
      </c>
      <c r="E563" s="32">
        <f>E557</f>
        <v>7</v>
      </c>
      <c r="F563" s="33">
        <f>F557</f>
        <v>16</v>
      </c>
      <c r="G563" s="34">
        <f t="shared" ref="G563:G600" si="315">SUM(E563:F563)</f>
        <v>23</v>
      </c>
      <c r="H563" s="34">
        <f t="shared" ref="H563:H600" si="316">D563+G563</f>
        <v>58</v>
      </c>
      <c r="J563" s="6" t="s">
        <v>55</v>
      </c>
      <c r="K563" s="7">
        <f>K557</f>
        <v>930</v>
      </c>
      <c r="L563" s="8">
        <f>L557</f>
        <v>560</v>
      </c>
      <c r="M563" s="9">
        <f t="shared" ref="M563:M595" si="317">SUM(K563:L563)</f>
        <v>1490</v>
      </c>
      <c r="N563" s="7">
        <f>N557</f>
        <v>653</v>
      </c>
      <c r="O563" s="8">
        <f>O557</f>
        <v>275</v>
      </c>
      <c r="P563" s="9">
        <f t="shared" ref="P563:P595" si="318">SUM(N563:O563)</f>
        <v>928</v>
      </c>
      <c r="Q563" s="9">
        <f t="shared" ref="Q563:Q600" si="319">M563+P563</f>
        <v>2418</v>
      </c>
      <c r="S563" s="6" t="s">
        <v>55</v>
      </c>
      <c r="T563" s="7">
        <f>T557</f>
        <v>1011</v>
      </c>
      <c r="U563" s="8">
        <f>U557</f>
        <v>715</v>
      </c>
      <c r="V563" s="9">
        <f t="shared" ref="V563:V600" si="320">SUM(T563:U563)</f>
        <v>1726</v>
      </c>
      <c r="W563" s="7">
        <f>W557</f>
        <v>1532</v>
      </c>
      <c r="X563" s="8">
        <f>X557</f>
        <v>784</v>
      </c>
      <c r="Y563" s="9">
        <f t="shared" ref="Y563:Y600" si="321">SUM(W563:X563)</f>
        <v>2316</v>
      </c>
      <c r="Z563" s="9">
        <f t="shared" ref="Z563:Z600" si="322">V563+Y563</f>
        <v>4042</v>
      </c>
    </row>
    <row r="564" spans="1:27" x14ac:dyDescent="0.15">
      <c r="A564" s="10" t="s">
        <v>5</v>
      </c>
      <c r="B564" s="64"/>
      <c r="C564" s="65"/>
      <c r="D564" s="36">
        <f t="shared" si="314"/>
        <v>0</v>
      </c>
      <c r="E564" s="66">
        <v>10</v>
      </c>
      <c r="F564" s="65"/>
      <c r="G564" s="36">
        <f t="shared" si="315"/>
        <v>10</v>
      </c>
      <c r="H564" s="36">
        <f t="shared" si="316"/>
        <v>10</v>
      </c>
      <c r="I564" s="81">
        <v>44667</v>
      </c>
      <c r="J564" s="10" t="s">
        <v>5</v>
      </c>
      <c r="K564" s="11"/>
      <c r="L564" s="12"/>
      <c r="M564" s="13">
        <f t="shared" si="317"/>
        <v>0</v>
      </c>
      <c r="N564" s="62"/>
      <c r="O564" s="12"/>
      <c r="P564" s="13">
        <f t="shared" si="318"/>
        <v>0</v>
      </c>
      <c r="Q564" s="13">
        <f t="shared" si="319"/>
        <v>0</v>
      </c>
      <c r="S564" s="10" t="s">
        <v>5</v>
      </c>
      <c r="T564" s="11"/>
      <c r="U564" s="12"/>
      <c r="V564" s="13">
        <f t="shared" si="320"/>
        <v>0</v>
      </c>
      <c r="W564" s="62"/>
      <c r="X564" s="12"/>
      <c r="Y564" s="13">
        <f t="shared" si="321"/>
        <v>0</v>
      </c>
      <c r="Z564" s="13">
        <f t="shared" si="322"/>
        <v>0</v>
      </c>
    </row>
    <row r="565" spans="1:27" x14ac:dyDescent="0.15">
      <c r="A565" s="10" t="s">
        <v>6</v>
      </c>
      <c r="B565" s="15"/>
      <c r="C565" s="16">
        <v>10</v>
      </c>
      <c r="D565" s="17">
        <f t="shared" si="314"/>
        <v>10</v>
      </c>
      <c r="E565" s="18">
        <v>10</v>
      </c>
      <c r="F565" s="16">
        <v>10</v>
      </c>
      <c r="G565" s="17">
        <f t="shared" si="315"/>
        <v>20</v>
      </c>
      <c r="H565" s="17">
        <f t="shared" si="316"/>
        <v>30</v>
      </c>
      <c r="I565" s="81">
        <v>44673</v>
      </c>
      <c r="J565" s="10" t="s">
        <v>78</v>
      </c>
      <c r="K565" s="15">
        <v>5</v>
      </c>
      <c r="L565" s="16">
        <v>43</v>
      </c>
      <c r="M565" s="17">
        <f t="shared" si="317"/>
        <v>48</v>
      </c>
      <c r="N565" s="18">
        <v>17</v>
      </c>
      <c r="O565" s="16">
        <v>36</v>
      </c>
      <c r="P565" s="17">
        <f t="shared" si="318"/>
        <v>53</v>
      </c>
      <c r="Q565" s="17">
        <f t="shared" si="319"/>
        <v>101</v>
      </c>
      <c r="R565" s="81">
        <v>44687</v>
      </c>
      <c r="S565" s="10" t="s">
        <v>6</v>
      </c>
      <c r="T565" s="15"/>
      <c r="U565" s="16"/>
      <c r="V565" s="17">
        <f t="shared" si="320"/>
        <v>0</v>
      </c>
      <c r="W565" s="18"/>
      <c r="X565" s="16"/>
      <c r="Y565" s="17">
        <f t="shared" si="321"/>
        <v>0</v>
      </c>
      <c r="Z565" s="17">
        <f t="shared" si="322"/>
        <v>0</v>
      </c>
    </row>
    <row r="566" spans="1:27" x14ac:dyDescent="0.15">
      <c r="A566" s="35" t="s">
        <v>247</v>
      </c>
      <c r="B566" s="15"/>
      <c r="C566" s="16"/>
      <c r="D566" s="17">
        <f t="shared" si="314"/>
        <v>0</v>
      </c>
      <c r="E566" s="18">
        <v>1</v>
      </c>
      <c r="F566" s="16"/>
      <c r="G566" s="17">
        <f t="shared" si="315"/>
        <v>1</v>
      </c>
      <c r="H566" s="17">
        <f t="shared" si="316"/>
        <v>1</v>
      </c>
      <c r="I566" s="81">
        <v>44676</v>
      </c>
      <c r="J566" s="10" t="s">
        <v>7</v>
      </c>
      <c r="K566" s="19"/>
      <c r="L566" s="20"/>
      <c r="M566" s="17">
        <f t="shared" si="317"/>
        <v>0</v>
      </c>
      <c r="N566" s="21"/>
      <c r="O566" s="20"/>
      <c r="P566" s="17">
        <f t="shared" si="318"/>
        <v>0</v>
      </c>
      <c r="Q566" s="17">
        <f t="shared" si="319"/>
        <v>0</v>
      </c>
      <c r="R566" s="81"/>
      <c r="S566" s="10" t="s">
        <v>7</v>
      </c>
      <c r="T566" s="19"/>
      <c r="U566" s="20"/>
      <c r="V566" s="17">
        <f t="shared" si="320"/>
        <v>0</v>
      </c>
      <c r="W566" s="21"/>
      <c r="X566" s="20"/>
      <c r="Y566" s="17">
        <f t="shared" si="321"/>
        <v>0</v>
      </c>
      <c r="Z566" s="17">
        <f t="shared" si="322"/>
        <v>0</v>
      </c>
    </row>
    <row r="567" spans="1:27" x14ac:dyDescent="0.15">
      <c r="A567" s="35" t="s">
        <v>105</v>
      </c>
      <c r="B567" s="15">
        <v>1</v>
      </c>
      <c r="C567" s="16"/>
      <c r="D567" s="17">
        <f t="shared" si="314"/>
        <v>1</v>
      </c>
      <c r="E567" s="18"/>
      <c r="F567" s="16"/>
      <c r="G567" s="17">
        <f t="shared" si="315"/>
        <v>0</v>
      </c>
      <c r="H567" s="17">
        <f t="shared" si="316"/>
        <v>1</v>
      </c>
      <c r="I567" s="81">
        <v>44676</v>
      </c>
      <c r="J567" s="10" t="s">
        <v>8</v>
      </c>
      <c r="K567" s="15"/>
      <c r="L567" s="16"/>
      <c r="M567" s="17">
        <f t="shared" si="317"/>
        <v>0</v>
      </c>
      <c r="N567" s="18"/>
      <c r="O567" s="16"/>
      <c r="P567" s="17">
        <f t="shared" si="318"/>
        <v>0</v>
      </c>
      <c r="Q567" s="17">
        <f t="shared" si="319"/>
        <v>0</v>
      </c>
      <c r="R567" s="83"/>
      <c r="S567" s="10" t="s">
        <v>8</v>
      </c>
      <c r="T567" s="15"/>
      <c r="U567" s="16"/>
      <c r="V567" s="17">
        <f t="shared" si="320"/>
        <v>0</v>
      </c>
      <c r="W567" s="18"/>
      <c r="X567" s="16"/>
      <c r="Y567" s="17">
        <f t="shared" si="321"/>
        <v>0</v>
      </c>
      <c r="Z567" s="17">
        <f t="shared" si="322"/>
        <v>0</v>
      </c>
    </row>
    <row r="568" spans="1:27" x14ac:dyDescent="0.15">
      <c r="A568" s="10" t="s">
        <v>61</v>
      </c>
      <c r="B568" s="15">
        <v>10</v>
      </c>
      <c r="C568" s="16">
        <v>8</v>
      </c>
      <c r="D568" s="17">
        <f t="shared" si="314"/>
        <v>18</v>
      </c>
      <c r="E568" s="18">
        <v>10</v>
      </c>
      <c r="F568" s="16">
        <v>8</v>
      </c>
      <c r="G568" s="17">
        <f t="shared" si="315"/>
        <v>18</v>
      </c>
      <c r="H568" s="17">
        <f t="shared" si="316"/>
        <v>36</v>
      </c>
      <c r="I568" s="81">
        <v>44677</v>
      </c>
      <c r="J568" s="10" t="s">
        <v>9</v>
      </c>
      <c r="K568" s="15"/>
      <c r="L568" s="16"/>
      <c r="M568" s="17">
        <f t="shared" si="317"/>
        <v>0</v>
      </c>
      <c r="N568" s="18"/>
      <c r="O568" s="16"/>
      <c r="P568" s="17">
        <f t="shared" si="318"/>
        <v>0</v>
      </c>
      <c r="Q568" s="17">
        <f t="shared" si="319"/>
        <v>0</v>
      </c>
      <c r="R568" s="83"/>
      <c r="S568" s="10" t="s">
        <v>9</v>
      </c>
      <c r="T568" s="15"/>
      <c r="U568" s="16"/>
      <c r="V568" s="17">
        <f t="shared" si="320"/>
        <v>0</v>
      </c>
      <c r="W568" s="18"/>
      <c r="X568" s="16"/>
      <c r="Y568" s="17">
        <f t="shared" si="321"/>
        <v>0</v>
      </c>
      <c r="Z568" s="17">
        <f t="shared" si="322"/>
        <v>0</v>
      </c>
      <c r="AA568" s="22"/>
    </row>
    <row r="569" spans="1:27" x14ac:dyDescent="0.15">
      <c r="A569" s="10" t="s">
        <v>10</v>
      </c>
      <c r="B569" s="15">
        <v>5</v>
      </c>
      <c r="C569" s="16"/>
      <c r="D569" s="17">
        <f t="shared" si="314"/>
        <v>5</v>
      </c>
      <c r="E569" s="18">
        <v>10</v>
      </c>
      <c r="F569" s="16"/>
      <c r="G569" s="17">
        <f t="shared" si="315"/>
        <v>10</v>
      </c>
      <c r="H569" s="17">
        <f t="shared" si="316"/>
        <v>15</v>
      </c>
      <c r="I569" s="81">
        <v>44683</v>
      </c>
      <c r="J569" s="10" t="s">
        <v>10</v>
      </c>
      <c r="K569" s="15"/>
      <c r="L569" s="16"/>
      <c r="M569" s="17">
        <f t="shared" si="317"/>
        <v>0</v>
      </c>
      <c r="N569" s="18"/>
      <c r="O569" s="16"/>
      <c r="P569" s="17">
        <f t="shared" si="318"/>
        <v>0</v>
      </c>
      <c r="Q569" s="17">
        <f t="shared" si="319"/>
        <v>0</v>
      </c>
      <c r="S569" s="10" t="s">
        <v>10</v>
      </c>
      <c r="T569" s="15"/>
      <c r="U569" s="16"/>
      <c r="V569" s="17">
        <f t="shared" si="320"/>
        <v>0</v>
      </c>
      <c r="W569" s="18"/>
      <c r="X569" s="16"/>
      <c r="Y569" s="17">
        <f t="shared" si="321"/>
        <v>0</v>
      </c>
      <c r="Z569" s="17">
        <f t="shared" si="322"/>
        <v>0</v>
      </c>
    </row>
    <row r="570" spans="1:27" x14ac:dyDescent="0.15">
      <c r="A570" s="10" t="s">
        <v>11</v>
      </c>
      <c r="B570" s="23">
        <v>10</v>
      </c>
      <c r="C570" s="24"/>
      <c r="D570" s="17">
        <f t="shared" si="314"/>
        <v>10</v>
      </c>
      <c r="E570" s="25">
        <v>20</v>
      </c>
      <c r="F570" s="24"/>
      <c r="G570" s="17">
        <f t="shared" si="315"/>
        <v>20</v>
      </c>
      <c r="H570" s="17">
        <f t="shared" si="316"/>
        <v>30</v>
      </c>
      <c r="I570" s="81">
        <v>44691</v>
      </c>
      <c r="J570" s="10" t="s">
        <v>11</v>
      </c>
      <c r="K570" s="23"/>
      <c r="L570" s="24"/>
      <c r="M570" s="17">
        <f t="shared" si="317"/>
        <v>0</v>
      </c>
      <c r="N570" s="25"/>
      <c r="O570" s="24"/>
      <c r="P570" s="17">
        <f t="shared" si="318"/>
        <v>0</v>
      </c>
      <c r="Q570" s="17">
        <f t="shared" si="319"/>
        <v>0</v>
      </c>
      <c r="S570" s="10" t="s">
        <v>11</v>
      </c>
      <c r="T570" s="23"/>
      <c r="U570" s="24"/>
      <c r="V570" s="17">
        <f t="shared" si="320"/>
        <v>0</v>
      </c>
      <c r="W570" s="25"/>
      <c r="X570" s="24"/>
      <c r="Y570" s="17">
        <f t="shared" si="321"/>
        <v>0</v>
      </c>
      <c r="Z570" s="17">
        <f t="shared" si="322"/>
        <v>0</v>
      </c>
    </row>
    <row r="571" spans="1:27" ht="14.25" thickBot="1" x14ac:dyDescent="0.2">
      <c r="A571" s="10" t="s">
        <v>12</v>
      </c>
      <c r="B571" s="26"/>
      <c r="C571" s="27"/>
      <c r="D571" s="28">
        <f t="shared" si="314"/>
        <v>0</v>
      </c>
      <c r="E571" s="29"/>
      <c r="F571" s="29"/>
      <c r="G571" s="28">
        <f t="shared" si="315"/>
        <v>0</v>
      </c>
      <c r="H571" s="30">
        <f t="shared" si="316"/>
        <v>0</v>
      </c>
      <c r="I571" s="83"/>
      <c r="J571" s="10" t="s">
        <v>12</v>
      </c>
      <c r="K571" s="26"/>
      <c r="L571" s="27"/>
      <c r="M571" s="28">
        <f t="shared" si="317"/>
        <v>0</v>
      </c>
      <c r="N571" s="29"/>
      <c r="O571" s="29"/>
      <c r="P571" s="28">
        <f t="shared" si="318"/>
        <v>0</v>
      </c>
      <c r="Q571" s="30">
        <f t="shared" si="319"/>
        <v>0</v>
      </c>
      <c r="S571" s="10" t="s">
        <v>12</v>
      </c>
      <c r="T571" s="26"/>
      <c r="U571" s="27"/>
      <c r="V571" s="28">
        <f t="shared" si="320"/>
        <v>0</v>
      </c>
      <c r="W571" s="29"/>
      <c r="X571" s="29"/>
      <c r="Y571" s="28">
        <f t="shared" si="321"/>
        <v>0</v>
      </c>
      <c r="Z571" s="30">
        <f t="shared" si="322"/>
        <v>0</v>
      </c>
    </row>
    <row r="572" spans="1:27" ht="14.25" thickBot="1" x14ac:dyDescent="0.2">
      <c r="A572" s="31" t="s">
        <v>13</v>
      </c>
      <c r="B572" s="32">
        <f>SUM(B563:B571)</f>
        <v>45</v>
      </c>
      <c r="C572" s="33">
        <f>SUM(C563:C571)</f>
        <v>34</v>
      </c>
      <c r="D572" s="34">
        <f t="shared" si="314"/>
        <v>79</v>
      </c>
      <c r="E572" s="32">
        <f>SUM(E563:E571)</f>
        <v>68</v>
      </c>
      <c r="F572" s="33">
        <f>SUM(F563:F571)</f>
        <v>34</v>
      </c>
      <c r="G572" s="34">
        <f t="shared" si="315"/>
        <v>102</v>
      </c>
      <c r="H572" s="34">
        <f t="shared" si="316"/>
        <v>181</v>
      </c>
      <c r="J572" s="31" t="s">
        <v>13</v>
      </c>
      <c r="K572" s="32">
        <f>SUM(K563:K571)</f>
        <v>935</v>
      </c>
      <c r="L572" s="33">
        <f>SUM(L563:L571)</f>
        <v>603</v>
      </c>
      <c r="M572" s="34">
        <f t="shared" si="317"/>
        <v>1538</v>
      </c>
      <c r="N572" s="32">
        <f>SUM(N563:N571)</f>
        <v>670</v>
      </c>
      <c r="O572" s="33">
        <f>SUM(O563:O571)</f>
        <v>311</v>
      </c>
      <c r="P572" s="34">
        <f t="shared" si="318"/>
        <v>981</v>
      </c>
      <c r="Q572" s="34">
        <f t="shared" si="319"/>
        <v>2519</v>
      </c>
      <c r="S572" s="31" t="s">
        <v>13</v>
      </c>
      <c r="T572" s="32">
        <f>SUM(T563:T571)</f>
        <v>1011</v>
      </c>
      <c r="U572" s="33">
        <f>SUM(U563:U571)</f>
        <v>715</v>
      </c>
      <c r="V572" s="34">
        <f t="shared" si="320"/>
        <v>1726</v>
      </c>
      <c r="W572" s="32">
        <f>SUM(W563:W571)</f>
        <v>1532</v>
      </c>
      <c r="X572" s="33">
        <f>SUM(X563:X571)</f>
        <v>784</v>
      </c>
      <c r="Y572" s="34">
        <f t="shared" si="321"/>
        <v>2316</v>
      </c>
      <c r="Z572" s="34">
        <f t="shared" si="322"/>
        <v>4042</v>
      </c>
    </row>
    <row r="573" spans="1:27" x14ac:dyDescent="0.15">
      <c r="A573" s="35" t="s">
        <v>33</v>
      </c>
      <c r="B573" s="15">
        <v>1</v>
      </c>
      <c r="C573" s="16">
        <v>1</v>
      </c>
      <c r="D573" s="36">
        <f t="shared" si="314"/>
        <v>2</v>
      </c>
      <c r="E573" s="18">
        <f>2+4</f>
        <v>6</v>
      </c>
      <c r="F573" s="16">
        <v>1</v>
      </c>
      <c r="G573" s="36">
        <f t="shared" si="315"/>
        <v>7</v>
      </c>
      <c r="H573" s="17">
        <f t="shared" si="316"/>
        <v>9</v>
      </c>
      <c r="I573" s="84">
        <v>44669</v>
      </c>
      <c r="J573" s="77" t="s">
        <v>91</v>
      </c>
      <c r="K573" s="64"/>
      <c r="L573" s="65"/>
      <c r="M573" s="36">
        <f t="shared" si="317"/>
        <v>0</v>
      </c>
      <c r="N573" s="66">
        <v>10</v>
      </c>
      <c r="O573" s="65"/>
      <c r="P573" s="36">
        <f t="shared" si="318"/>
        <v>10</v>
      </c>
      <c r="Q573" s="36">
        <f t="shared" si="319"/>
        <v>10</v>
      </c>
      <c r="R573" s="81">
        <v>44667</v>
      </c>
      <c r="S573" s="86" t="s">
        <v>249</v>
      </c>
      <c r="T573" s="87"/>
      <c r="U573" s="88"/>
      <c r="V573" s="67">
        <f t="shared" si="320"/>
        <v>0</v>
      </c>
      <c r="W573" s="89"/>
      <c r="X573" s="88">
        <v>1</v>
      </c>
      <c r="Y573" s="67">
        <f t="shared" si="321"/>
        <v>1</v>
      </c>
      <c r="Z573" s="67">
        <f t="shared" si="322"/>
        <v>1</v>
      </c>
      <c r="AA573" s="90">
        <v>44676</v>
      </c>
    </row>
    <row r="574" spans="1:27" x14ac:dyDescent="0.15">
      <c r="A574" s="52" t="s">
        <v>242</v>
      </c>
      <c r="B574" s="19">
        <v>2</v>
      </c>
      <c r="C574" s="20">
        <v>3</v>
      </c>
      <c r="D574" s="36">
        <f t="shared" si="314"/>
        <v>5</v>
      </c>
      <c r="E574" s="21">
        <v>2</v>
      </c>
      <c r="F574" s="20">
        <v>3</v>
      </c>
      <c r="G574" s="36">
        <f t="shared" si="315"/>
        <v>5</v>
      </c>
      <c r="H574" s="36">
        <f t="shared" si="316"/>
        <v>10</v>
      </c>
      <c r="I574" s="81">
        <v>44671</v>
      </c>
      <c r="J574" s="52" t="s">
        <v>243</v>
      </c>
      <c r="K574" s="15">
        <v>10</v>
      </c>
      <c r="L574" s="16">
        <v>8</v>
      </c>
      <c r="M574" s="36">
        <f t="shared" si="317"/>
        <v>18</v>
      </c>
      <c r="N574" s="18">
        <v>10</v>
      </c>
      <c r="O574" s="16">
        <v>8</v>
      </c>
      <c r="P574" s="36">
        <f t="shared" si="318"/>
        <v>18</v>
      </c>
      <c r="Q574" s="17">
        <f t="shared" si="319"/>
        <v>36</v>
      </c>
      <c r="R574" s="81">
        <v>44672</v>
      </c>
      <c r="S574" s="10"/>
      <c r="T574" s="15"/>
      <c r="U574" s="16"/>
      <c r="V574" s="36">
        <f t="shared" si="320"/>
        <v>0</v>
      </c>
      <c r="W574" s="18"/>
      <c r="X574" s="16"/>
      <c r="Y574" s="36">
        <f t="shared" si="321"/>
        <v>0</v>
      </c>
      <c r="Z574" s="17">
        <f t="shared" si="322"/>
        <v>0</v>
      </c>
    </row>
    <row r="575" spans="1:27" x14ac:dyDescent="0.15">
      <c r="A575" s="35" t="s">
        <v>33</v>
      </c>
      <c r="B575" s="15">
        <v>1</v>
      </c>
      <c r="C575" s="16"/>
      <c r="D575" s="36">
        <f t="shared" si="314"/>
        <v>1</v>
      </c>
      <c r="E575" s="18"/>
      <c r="F575" s="16"/>
      <c r="G575" s="36">
        <f t="shared" si="315"/>
        <v>0</v>
      </c>
      <c r="H575" s="17">
        <f t="shared" si="316"/>
        <v>1</v>
      </c>
      <c r="I575" s="84">
        <v>44671</v>
      </c>
      <c r="J575" s="35" t="s">
        <v>244</v>
      </c>
      <c r="K575" s="19">
        <v>6</v>
      </c>
      <c r="L575" s="20">
        <v>8</v>
      </c>
      <c r="M575" s="17">
        <f t="shared" si="317"/>
        <v>14</v>
      </c>
      <c r="N575" s="21">
        <v>10</v>
      </c>
      <c r="O575" s="20">
        <v>4</v>
      </c>
      <c r="P575" s="17">
        <f t="shared" si="318"/>
        <v>14</v>
      </c>
      <c r="Q575" s="17">
        <f t="shared" si="319"/>
        <v>28</v>
      </c>
      <c r="R575" s="81">
        <v>44681</v>
      </c>
      <c r="S575" s="10"/>
      <c r="T575" s="19"/>
      <c r="U575" s="20"/>
      <c r="V575" s="17">
        <f t="shared" si="320"/>
        <v>0</v>
      </c>
      <c r="W575" s="21"/>
      <c r="X575" s="20"/>
      <c r="Y575" s="17">
        <f t="shared" si="321"/>
        <v>0</v>
      </c>
      <c r="Z575" s="17">
        <f t="shared" si="322"/>
        <v>0</v>
      </c>
    </row>
    <row r="576" spans="1:27" x14ac:dyDescent="0.15">
      <c r="A576" s="35" t="s">
        <v>33</v>
      </c>
      <c r="B576" s="15"/>
      <c r="C576" s="16">
        <v>1</v>
      </c>
      <c r="D576" s="17">
        <f>SUM(B576:C576)</f>
        <v>1</v>
      </c>
      <c r="E576" s="18"/>
      <c r="F576" s="16"/>
      <c r="G576" s="17">
        <f t="shared" si="315"/>
        <v>0</v>
      </c>
      <c r="H576" s="17">
        <f t="shared" si="316"/>
        <v>1</v>
      </c>
      <c r="I576" s="84">
        <v>44672</v>
      </c>
      <c r="J576" s="77" t="s">
        <v>91</v>
      </c>
      <c r="K576" s="15"/>
      <c r="L576" s="16">
        <v>10</v>
      </c>
      <c r="M576" s="17">
        <f t="shared" si="317"/>
        <v>10</v>
      </c>
      <c r="N576" s="18">
        <v>10</v>
      </c>
      <c r="O576" s="16">
        <v>10</v>
      </c>
      <c r="P576" s="17">
        <f t="shared" si="318"/>
        <v>20</v>
      </c>
      <c r="Q576" s="17">
        <f t="shared" si="319"/>
        <v>30</v>
      </c>
      <c r="R576" s="81">
        <v>44673</v>
      </c>
      <c r="S576" s="52"/>
      <c r="T576" s="15"/>
      <c r="U576" s="16"/>
      <c r="V576" s="17">
        <f t="shared" si="320"/>
        <v>0</v>
      </c>
      <c r="W576" s="18"/>
      <c r="X576" s="16"/>
      <c r="Y576" s="17">
        <f t="shared" si="321"/>
        <v>0</v>
      </c>
      <c r="Z576" s="17">
        <f t="shared" si="322"/>
        <v>0</v>
      </c>
    </row>
    <row r="577" spans="1:26" x14ac:dyDescent="0.15">
      <c r="A577" s="35" t="s">
        <v>33</v>
      </c>
      <c r="B577" s="15"/>
      <c r="C577" s="16"/>
      <c r="D577" s="36">
        <f t="shared" ref="D577:D594" si="323">SUM(B577:C577)</f>
        <v>0</v>
      </c>
      <c r="E577" s="18"/>
      <c r="F577" s="16">
        <v>1</v>
      </c>
      <c r="G577" s="36">
        <f t="shared" si="315"/>
        <v>1</v>
      </c>
      <c r="H577" s="17">
        <f t="shared" si="316"/>
        <v>1</v>
      </c>
      <c r="I577" s="81">
        <v>44672</v>
      </c>
      <c r="J577" s="52" t="s">
        <v>245</v>
      </c>
      <c r="K577" s="15">
        <v>10</v>
      </c>
      <c r="L577" s="16">
        <v>8</v>
      </c>
      <c r="M577" s="17">
        <f t="shared" si="317"/>
        <v>18</v>
      </c>
      <c r="N577" s="18">
        <v>10</v>
      </c>
      <c r="O577" s="16">
        <v>8</v>
      </c>
      <c r="P577" s="17">
        <f t="shared" si="318"/>
        <v>18</v>
      </c>
      <c r="Q577" s="17">
        <f t="shared" si="319"/>
        <v>36</v>
      </c>
      <c r="R577" s="81">
        <v>44676</v>
      </c>
      <c r="S577" s="10"/>
      <c r="T577" s="15"/>
      <c r="U577" s="16"/>
      <c r="V577" s="17">
        <f t="shared" si="320"/>
        <v>0</v>
      </c>
      <c r="W577" s="18"/>
      <c r="X577" s="16"/>
      <c r="Y577" s="17">
        <f t="shared" si="321"/>
        <v>0</v>
      </c>
      <c r="Z577" s="17">
        <f t="shared" si="322"/>
        <v>0</v>
      </c>
    </row>
    <row r="578" spans="1:26" x14ac:dyDescent="0.15">
      <c r="A578" s="35" t="s">
        <v>33</v>
      </c>
      <c r="B578" s="15">
        <f>2+1</f>
        <v>3</v>
      </c>
      <c r="C578" s="16"/>
      <c r="D578" s="36">
        <f t="shared" si="323"/>
        <v>3</v>
      </c>
      <c r="E578" s="18">
        <f>3+1</f>
        <v>4</v>
      </c>
      <c r="F578" s="16"/>
      <c r="G578" s="36">
        <f t="shared" si="315"/>
        <v>4</v>
      </c>
      <c r="H578" s="17">
        <f t="shared" si="316"/>
        <v>7</v>
      </c>
      <c r="I578" s="84">
        <v>44676</v>
      </c>
      <c r="J578" s="35" t="s">
        <v>246</v>
      </c>
      <c r="K578" s="15">
        <v>2</v>
      </c>
      <c r="L578" s="16"/>
      <c r="M578" s="36">
        <f t="shared" si="317"/>
        <v>2</v>
      </c>
      <c r="N578" s="18"/>
      <c r="O578" s="16"/>
      <c r="P578" s="36">
        <f t="shared" si="318"/>
        <v>0</v>
      </c>
      <c r="Q578" s="17">
        <f t="shared" si="319"/>
        <v>2</v>
      </c>
      <c r="R578" s="81">
        <v>44679</v>
      </c>
      <c r="S578" s="10"/>
      <c r="T578" s="15"/>
      <c r="U578" s="16"/>
      <c r="V578" s="36">
        <f t="shared" si="320"/>
        <v>0</v>
      </c>
      <c r="W578" s="18"/>
      <c r="X578" s="16"/>
      <c r="Y578" s="36">
        <f t="shared" si="321"/>
        <v>0</v>
      </c>
      <c r="Z578" s="17">
        <f t="shared" si="322"/>
        <v>0</v>
      </c>
    </row>
    <row r="579" spans="1:26" x14ac:dyDescent="0.15">
      <c r="A579" s="35" t="s">
        <v>248</v>
      </c>
      <c r="B579" s="15"/>
      <c r="C579" s="16"/>
      <c r="D579" s="36">
        <f t="shared" si="323"/>
        <v>0</v>
      </c>
      <c r="E579" s="18">
        <v>-2</v>
      </c>
      <c r="F579" s="16"/>
      <c r="G579" s="36">
        <f t="shared" si="315"/>
        <v>-2</v>
      </c>
      <c r="H579" s="17">
        <f t="shared" si="316"/>
        <v>-2</v>
      </c>
      <c r="I579" s="84">
        <v>44676</v>
      </c>
      <c r="J579" s="77" t="s">
        <v>91</v>
      </c>
      <c r="K579" s="15">
        <v>5</v>
      </c>
      <c r="L579" s="16"/>
      <c r="M579" s="36">
        <f t="shared" si="317"/>
        <v>5</v>
      </c>
      <c r="N579" s="18">
        <v>10</v>
      </c>
      <c r="O579" s="16"/>
      <c r="P579" s="36">
        <f t="shared" si="318"/>
        <v>10</v>
      </c>
      <c r="Q579" s="17">
        <f t="shared" si="319"/>
        <v>15</v>
      </c>
      <c r="R579" s="81">
        <v>44683</v>
      </c>
      <c r="S579" s="10"/>
      <c r="T579" s="15"/>
      <c r="U579" s="16"/>
      <c r="V579" s="36">
        <f t="shared" si="320"/>
        <v>0</v>
      </c>
      <c r="W579" s="18"/>
      <c r="X579" s="16"/>
      <c r="Y579" s="36">
        <f t="shared" si="321"/>
        <v>0</v>
      </c>
      <c r="Z579" s="17">
        <f t="shared" si="322"/>
        <v>0</v>
      </c>
    </row>
    <row r="580" spans="1:26" x14ac:dyDescent="0.15">
      <c r="A580" s="35" t="s">
        <v>33</v>
      </c>
      <c r="B580" s="15">
        <f>1+1</f>
        <v>2</v>
      </c>
      <c r="C580" s="16"/>
      <c r="D580" s="36">
        <f t="shared" si="323"/>
        <v>2</v>
      </c>
      <c r="E580" s="18">
        <f>3+1</f>
        <v>4</v>
      </c>
      <c r="F580" s="16"/>
      <c r="G580" s="36">
        <f t="shared" si="315"/>
        <v>4</v>
      </c>
      <c r="H580" s="17">
        <f t="shared" si="316"/>
        <v>6</v>
      </c>
      <c r="I580" s="81">
        <v>44677</v>
      </c>
      <c r="J580" s="52" t="s">
        <v>256</v>
      </c>
      <c r="K580" s="19">
        <v>1</v>
      </c>
      <c r="L580" s="20">
        <v>3</v>
      </c>
      <c r="M580" s="17">
        <f t="shared" si="317"/>
        <v>4</v>
      </c>
      <c r="N580" s="21">
        <v>1</v>
      </c>
      <c r="O580" s="20">
        <v>3</v>
      </c>
      <c r="P580" s="17">
        <f t="shared" si="318"/>
        <v>4</v>
      </c>
      <c r="Q580" s="17">
        <f t="shared" si="319"/>
        <v>8</v>
      </c>
      <c r="R580" s="81">
        <v>44691</v>
      </c>
      <c r="S580" s="52"/>
      <c r="T580" s="15"/>
      <c r="U580" s="16"/>
      <c r="V580" s="36">
        <f t="shared" si="320"/>
        <v>0</v>
      </c>
      <c r="W580" s="18"/>
      <c r="X580" s="16"/>
      <c r="Y580" s="36">
        <f t="shared" si="321"/>
        <v>0</v>
      </c>
      <c r="Z580" s="17">
        <f t="shared" si="322"/>
        <v>0</v>
      </c>
    </row>
    <row r="581" spans="1:26" x14ac:dyDescent="0.15">
      <c r="A581" s="52" t="s">
        <v>250</v>
      </c>
      <c r="B581" s="15"/>
      <c r="C581" s="16"/>
      <c r="D581" s="36">
        <f t="shared" si="323"/>
        <v>0</v>
      </c>
      <c r="E581" s="18">
        <v>5</v>
      </c>
      <c r="F581" s="16"/>
      <c r="G581" s="36">
        <f t="shared" si="315"/>
        <v>5</v>
      </c>
      <c r="H581" s="17">
        <f t="shared" si="316"/>
        <v>5</v>
      </c>
      <c r="I581" s="81">
        <v>44691</v>
      </c>
      <c r="J581" s="77" t="s">
        <v>91</v>
      </c>
      <c r="K581" s="19">
        <v>10</v>
      </c>
      <c r="L581" s="20"/>
      <c r="M581" s="17">
        <f t="shared" si="317"/>
        <v>10</v>
      </c>
      <c r="N581" s="21">
        <v>20</v>
      </c>
      <c r="O581" s="20"/>
      <c r="P581" s="17">
        <f t="shared" si="318"/>
        <v>20</v>
      </c>
      <c r="Q581" s="17">
        <f t="shared" si="319"/>
        <v>30</v>
      </c>
      <c r="R581" s="81">
        <v>44691</v>
      </c>
      <c r="S581" s="10"/>
      <c r="T581" s="19"/>
      <c r="U581" s="20"/>
      <c r="V581" s="17">
        <f t="shared" si="320"/>
        <v>0</v>
      </c>
      <c r="W581" s="21"/>
      <c r="X581" s="20"/>
      <c r="Y581" s="17">
        <f t="shared" si="321"/>
        <v>0</v>
      </c>
      <c r="Z581" s="17">
        <f t="shared" si="322"/>
        <v>0</v>
      </c>
    </row>
    <row r="582" spans="1:26" x14ac:dyDescent="0.15">
      <c r="A582" s="35" t="s">
        <v>33</v>
      </c>
      <c r="B582" s="23">
        <v>1</v>
      </c>
      <c r="C582" s="24">
        <v>1</v>
      </c>
      <c r="D582" s="36">
        <f t="shared" si="323"/>
        <v>2</v>
      </c>
      <c r="E582" s="25">
        <v>3</v>
      </c>
      <c r="F582" s="24">
        <v>1</v>
      </c>
      <c r="G582" s="36">
        <f t="shared" si="315"/>
        <v>4</v>
      </c>
      <c r="H582" s="17">
        <f t="shared" si="316"/>
        <v>6</v>
      </c>
      <c r="I582" s="81">
        <v>44678</v>
      </c>
      <c r="J582" s="35" t="s">
        <v>259</v>
      </c>
      <c r="K582" s="23">
        <v>6</v>
      </c>
      <c r="L582" s="24">
        <v>12</v>
      </c>
      <c r="M582" s="36">
        <f t="shared" si="317"/>
        <v>18</v>
      </c>
      <c r="N582" s="25">
        <v>8</v>
      </c>
      <c r="O582" s="24">
        <v>10</v>
      </c>
      <c r="P582" s="36">
        <f t="shared" si="318"/>
        <v>18</v>
      </c>
      <c r="Q582" s="17">
        <f t="shared" si="319"/>
        <v>36</v>
      </c>
      <c r="R582" s="81">
        <v>44697</v>
      </c>
      <c r="S582" s="35"/>
      <c r="T582" s="23"/>
      <c r="U582" s="24"/>
      <c r="V582" s="36">
        <f t="shared" si="320"/>
        <v>0</v>
      </c>
      <c r="W582" s="25"/>
      <c r="X582" s="24"/>
      <c r="Y582" s="36">
        <f t="shared" si="321"/>
        <v>0</v>
      </c>
      <c r="Z582" s="17">
        <f t="shared" si="322"/>
        <v>0</v>
      </c>
    </row>
    <row r="583" spans="1:26" x14ac:dyDescent="0.15">
      <c r="A583" s="35" t="s">
        <v>33</v>
      </c>
      <c r="B583" s="15">
        <v>1</v>
      </c>
      <c r="C583" s="16"/>
      <c r="D583" s="36">
        <f t="shared" si="323"/>
        <v>1</v>
      </c>
      <c r="E583" s="18">
        <v>1</v>
      </c>
      <c r="F583" s="16">
        <v>1</v>
      </c>
      <c r="G583" s="36">
        <f t="shared" si="315"/>
        <v>2</v>
      </c>
      <c r="H583" s="17">
        <f t="shared" si="316"/>
        <v>3</v>
      </c>
      <c r="I583" s="84">
        <v>44681</v>
      </c>
      <c r="J583" s="52"/>
      <c r="K583" s="15"/>
      <c r="L583" s="16"/>
      <c r="M583" s="36">
        <f t="shared" si="317"/>
        <v>0</v>
      </c>
      <c r="N583" s="18"/>
      <c r="O583" s="16"/>
      <c r="P583" s="36">
        <f t="shared" si="318"/>
        <v>0</v>
      </c>
      <c r="Q583" s="17">
        <f t="shared" si="319"/>
        <v>0</v>
      </c>
      <c r="R583" s="81"/>
      <c r="S583" s="35"/>
      <c r="T583" s="15"/>
      <c r="U583" s="16"/>
      <c r="V583" s="36">
        <f t="shared" si="320"/>
        <v>0</v>
      </c>
      <c r="W583" s="18"/>
      <c r="X583" s="16"/>
      <c r="Y583" s="36">
        <f t="shared" si="321"/>
        <v>0</v>
      </c>
      <c r="Z583" s="17">
        <f t="shared" si="322"/>
        <v>0</v>
      </c>
    </row>
    <row r="584" spans="1:26" x14ac:dyDescent="0.15">
      <c r="A584" s="52" t="s">
        <v>253</v>
      </c>
      <c r="B584" s="15">
        <v>1</v>
      </c>
      <c r="C584" s="16">
        <v>1</v>
      </c>
      <c r="D584" s="36">
        <f t="shared" si="323"/>
        <v>2</v>
      </c>
      <c r="E584" s="18">
        <v>1</v>
      </c>
      <c r="F584" s="16">
        <v>1</v>
      </c>
      <c r="G584" s="36">
        <f t="shared" si="315"/>
        <v>2</v>
      </c>
      <c r="H584" s="17">
        <f t="shared" si="316"/>
        <v>4</v>
      </c>
      <c r="I584" s="81">
        <v>44687</v>
      </c>
      <c r="J584" s="52"/>
      <c r="K584" s="15"/>
      <c r="L584" s="16"/>
      <c r="M584" s="36">
        <f t="shared" si="317"/>
        <v>0</v>
      </c>
      <c r="N584" s="18"/>
      <c r="O584" s="16"/>
      <c r="P584" s="36">
        <f t="shared" si="318"/>
        <v>0</v>
      </c>
      <c r="Q584" s="17">
        <f t="shared" si="319"/>
        <v>0</v>
      </c>
      <c r="R584" s="81"/>
      <c r="S584" s="35"/>
      <c r="T584" s="15"/>
      <c r="U584" s="16"/>
      <c r="V584" s="36">
        <f t="shared" si="320"/>
        <v>0</v>
      </c>
      <c r="W584" s="18"/>
      <c r="X584" s="16"/>
      <c r="Y584" s="36">
        <f t="shared" si="321"/>
        <v>0</v>
      </c>
      <c r="Z584" s="17">
        <f t="shared" si="322"/>
        <v>0</v>
      </c>
    </row>
    <row r="585" spans="1:26" x14ac:dyDescent="0.15">
      <c r="A585" s="35" t="s">
        <v>33</v>
      </c>
      <c r="B585" s="15"/>
      <c r="C585" s="16">
        <v>1</v>
      </c>
      <c r="D585" s="36">
        <f t="shared" si="323"/>
        <v>1</v>
      </c>
      <c r="E585" s="18">
        <v>1</v>
      </c>
      <c r="F585" s="16"/>
      <c r="G585" s="36">
        <f t="shared" si="315"/>
        <v>1</v>
      </c>
      <c r="H585" s="17">
        <f t="shared" si="316"/>
        <v>2</v>
      </c>
      <c r="I585" s="81">
        <v>44683</v>
      </c>
      <c r="J585" s="35"/>
      <c r="K585" s="15"/>
      <c r="L585" s="16"/>
      <c r="M585" s="36">
        <f t="shared" si="317"/>
        <v>0</v>
      </c>
      <c r="N585" s="18"/>
      <c r="O585" s="16"/>
      <c r="P585" s="36">
        <f t="shared" si="318"/>
        <v>0</v>
      </c>
      <c r="Q585" s="17">
        <f t="shared" si="319"/>
        <v>0</v>
      </c>
      <c r="R585" s="81"/>
      <c r="S585" s="35"/>
      <c r="T585" s="15"/>
      <c r="U585" s="16"/>
      <c r="V585" s="36">
        <f t="shared" si="320"/>
        <v>0</v>
      </c>
      <c r="W585" s="18"/>
      <c r="X585" s="16"/>
      <c r="Y585" s="36">
        <f t="shared" si="321"/>
        <v>0</v>
      </c>
      <c r="Z585" s="17">
        <f t="shared" si="322"/>
        <v>0</v>
      </c>
    </row>
    <row r="586" spans="1:26" x14ac:dyDescent="0.15">
      <c r="A586" s="35" t="s">
        <v>254</v>
      </c>
      <c r="B586" s="15"/>
      <c r="C586" s="16"/>
      <c r="D586" s="36">
        <f t="shared" si="323"/>
        <v>0</v>
      </c>
      <c r="E586" s="18">
        <v>1</v>
      </c>
      <c r="F586" s="16"/>
      <c r="G586" s="36">
        <f t="shared" si="315"/>
        <v>1</v>
      </c>
      <c r="H586" s="17">
        <f t="shared" si="316"/>
        <v>1</v>
      </c>
      <c r="I586" s="81">
        <v>44690</v>
      </c>
      <c r="J586" s="52"/>
      <c r="K586" s="15"/>
      <c r="L586" s="16"/>
      <c r="M586" s="17">
        <f t="shared" si="317"/>
        <v>0</v>
      </c>
      <c r="N586" s="18"/>
      <c r="O586" s="16"/>
      <c r="P586" s="17">
        <f t="shared" si="318"/>
        <v>0</v>
      </c>
      <c r="Q586" s="17">
        <f t="shared" si="319"/>
        <v>0</v>
      </c>
      <c r="R586" s="81"/>
      <c r="S586" s="10"/>
      <c r="T586" s="15"/>
      <c r="U586" s="16"/>
      <c r="V586" s="17">
        <f t="shared" si="320"/>
        <v>0</v>
      </c>
      <c r="W586" s="18"/>
      <c r="X586" s="16"/>
      <c r="Y586" s="17">
        <f t="shared" si="321"/>
        <v>0</v>
      </c>
      <c r="Z586" s="17">
        <f t="shared" si="322"/>
        <v>0</v>
      </c>
    </row>
    <row r="587" spans="1:26" x14ac:dyDescent="0.15">
      <c r="A587" s="52" t="s">
        <v>255</v>
      </c>
      <c r="B587" s="15">
        <v>3</v>
      </c>
      <c r="C587" s="16"/>
      <c r="D587" s="36">
        <f t="shared" si="323"/>
        <v>3</v>
      </c>
      <c r="E587" s="18">
        <v>3</v>
      </c>
      <c r="F587" s="16"/>
      <c r="G587" s="36">
        <f t="shared" si="315"/>
        <v>3</v>
      </c>
      <c r="H587" s="17">
        <f t="shared" si="316"/>
        <v>6</v>
      </c>
      <c r="I587" s="81">
        <v>44690</v>
      </c>
      <c r="J587" s="77"/>
      <c r="K587" s="15"/>
      <c r="L587" s="16"/>
      <c r="M587" s="17">
        <f t="shared" si="317"/>
        <v>0</v>
      </c>
      <c r="N587" s="18"/>
      <c r="O587" s="16"/>
      <c r="P587" s="17">
        <f t="shared" si="318"/>
        <v>0</v>
      </c>
      <c r="Q587" s="17">
        <f t="shared" si="319"/>
        <v>0</v>
      </c>
      <c r="R587" s="81"/>
      <c r="S587" s="35"/>
      <c r="T587" s="15"/>
      <c r="U587" s="16"/>
      <c r="V587" s="36">
        <f t="shared" si="320"/>
        <v>0</v>
      </c>
      <c r="W587" s="18"/>
      <c r="X587" s="16"/>
      <c r="Y587" s="36">
        <f t="shared" si="321"/>
        <v>0</v>
      </c>
      <c r="Z587" s="17">
        <f t="shared" si="322"/>
        <v>0</v>
      </c>
    </row>
    <row r="588" spans="1:26" x14ac:dyDescent="0.15">
      <c r="A588" s="35" t="s">
        <v>33</v>
      </c>
      <c r="B588" s="15">
        <v>5</v>
      </c>
      <c r="C588" s="16">
        <f>1+1</f>
        <v>2</v>
      </c>
      <c r="D588" s="36">
        <f t="shared" si="323"/>
        <v>7</v>
      </c>
      <c r="E588" s="18">
        <f>1+4</f>
        <v>5</v>
      </c>
      <c r="F588" s="16">
        <v>1</v>
      </c>
      <c r="G588" s="36">
        <f t="shared" si="315"/>
        <v>6</v>
      </c>
      <c r="H588" s="17">
        <f t="shared" si="316"/>
        <v>13</v>
      </c>
      <c r="I588" s="81">
        <v>44687</v>
      </c>
      <c r="J588" s="52"/>
      <c r="K588" s="15"/>
      <c r="L588" s="16"/>
      <c r="M588" s="36">
        <f t="shared" si="317"/>
        <v>0</v>
      </c>
      <c r="N588" s="18"/>
      <c r="O588" s="16"/>
      <c r="P588" s="36">
        <f t="shared" si="318"/>
        <v>0</v>
      </c>
      <c r="Q588" s="17">
        <f t="shared" si="319"/>
        <v>0</v>
      </c>
      <c r="R588" s="81"/>
      <c r="S588" s="37"/>
      <c r="T588" s="15"/>
      <c r="U588" s="16"/>
      <c r="V588" s="36">
        <f t="shared" si="320"/>
        <v>0</v>
      </c>
      <c r="W588" s="18"/>
      <c r="X588" s="16"/>
      <c r="Y588" s="36">
        <f t="shared" si="321"/>
        <v>0</v>
      </c>
      <c r="Z588" s="17">
        <f t="shared" si="322"/>
        <v>0</v>
      </c>
    </row>
    <row r="589" spans="1:26" x14ac:dyDescent="0.15">
      <c r="A589" s="35" t="s">
        <v>33</v>
      </c>
      <c r="B589" s="15"/>
      <c r="C589" s="16"/>
      <c r="D589" s="36">
        <f t="shared" si="323"/>
        <v>0</v>
      </c>
      <c r="E589" s="18"/>
      <c r="F589" s="16">
        <v>1</v>
      </c>
      <c r="G589" s="36">
        <f t="shared" si="315"/>
        <v>1</v>
      </c>
      <c r="H589" s="17">
        <f t="shared" si="316"/>
        <v>1</v>
      </c>
      <c r="I589" s="81">
        <v>44688</v>
      </c>
      <c r="J589" s="35"/>
      <c r="K589" s="15"/>
      <c r="L589" s="16"/>
      <c r="M589" s="36">
        <f t="shared" si="317"/>
        <v>0</v>
      </c>
      <c r="N589" s="18"/>
      <c r="O589" s="16"/>
      <c r="P589" s="36">
        <f t="shared" si="318"/>
        <v>0</v>
      </c>
      <c r="Q589" s="17">
        <f t="shared" si="319"/>
        <v>0</v>
      </c>
      <c r="R589" s="81"/>
      <c r="S589" s="37"/>
      <c r="T589" s="15"/>
      <c r="U589" s="16"/>
      <c r="V589" s="36">
        <f t="shared" si="320"/>
        <v>0</v>
      </c>
      <c r="W589" s="18"/>
      <c r="X589" s="16"/>
      <c r="Y589" s="36">
        <f t="shared" si="321"/>
        <v>0</v>
      </c>
      <c r="Z589" s="17">
        <f t="shared" si="322"/>
        <v>0</v>
      </c>
    </row>
    <row r="590" spans="1:26" x14ac:dyDescent="0.15">
      <c r="A590" s="35" t="s">
        <v>33</v>
      </c>
      <c r="B590" s="15"/>
      <c r="C590" s="16">
        <v>1</v>
      </c>
      <c r="D590" s="36">
        <f t="shared" si="323"/>
        <v>1</v>
      </c>
      <c r="E590" s="18">
        <f>1+6+1+1</f>
        <v>9</v>
      </c>
      <c r="F590" s="16">
        <v>2</v>
      </c>
      <c r="G590" s="36">
        <f t="shared" si="315"/>
        <v>11</v>
      </c>
      <c r="H590" s="17">
        <f t="shared" si="316"/>
        <v>12</v>
      </c>
      <c r="I590" s="84">
        <v>44690</v>
      </c>
      <c r="J590" s="77"/>
      <c r="K590" s="15"/>
      <c r="L590" s="16"/>
      <c r="M590" s="36">
        <f t="shared" si="317"/>
        <v>0</v>
      </c>
      <c r="N590" s="18"/>
      <c r="O590" s="16"/>
      <c r="P590" s="36">
        <f t="shared" si="318"/>
        <v>0</v>
      </c>
      <c r="Q590" s="17">
        <f t="shared" si="319"/>
        <v>0</v>
      </c>
      <c r="R590" s="81"/>
      <c r="S590" s="35"/>
      <c r="T590" s="15"/>
      <c r="U590" s="16"/>
      <c r="V590" s="36">
        <f t="shared" si="320"/>
        <v>0</v>
      </c>
      <c r="W590" s="18"/>
      <c r="X590" s="16"/>
      <c r="Y590" s="36">
        <f t="shared" si="321"/>
        <v>0</v>
      </c>
      <c r="Z590" s="17">
        <f t="shared" si="322"/>
        <v>0</v>
      </c>
    </row>
    <row r="591" spans="1:26" x14ac:dyDescent="0.15">
      <c r="A591" s="52" t="s">
        <v>257</v>
      </c>
      <c r="B591" s="15"/>
      <c r="C591" s="16">
        <v>3</v>
      </c>
      <c r="D591" s="36">
        <f t="shared" si="323"/>
        <v>3</v>
      </c>
      <c r="E591" s="18"/>
      <c r="F591" s="16">
        <v>3</v>
      </c>
      <c r="G591" s="36">
        <f t="shared" si="315"/>
        <v>3</v>
      </c>
      <c r="H591" s="17">
        <f t="shared" si="316"/>
        <v>6</v>
      </c>
      <c r="I591" s="81">
        <v>44694</v>
      </c>
      <c r="J591" s="38"/>
      <c r="K591" s="15"/>
      <c r="L591" s="16"/>
      <c r="M591" s="36">
        <f t="shared" si="317"/>
        <v>0</v>
      </c>
      <c r="N591" s="18"/>
      <c r="O591" s="16"/>
      <c r="P591" s="36">
        <f t="shared" si="318"/>
        <v>0</v>
      </c>
      <c r="Q591" s="17">
        <f t="shared" si="319"/>
        <v>0</v>
      </c>
      <c r="R591" s="83"/>
      <c r="S591" s="38"/>
      <c r="T591" s="15"/>
      <c r="U591" s="16"/>
      <c r="V591" s="36">
        <f t="shared" si="320"/>
        <v>0</v>
      </c>
      <c r="W591" s="18"/>
      <c r="X591" s="16"/>
      <c r="Y591" s="36">
        <f t="shared" si="321"/>
        <v>0</v>
      </c>
      <c r="Z591" s="17">
        <f t="shared" si="322"/>
        <v>0</v>
      </c>
    </row>
    <row r="592" spans="1:26" x14ac:dyDescent="0.15">
      <c r="A592" s="35" t="s">
        <v>33</v>
      </c>
      <c r="B592" s="15"/>
      <c r="C592" s="16"/>
      <c r="D592" s="36">
        <f t="shared" si="323"/>
        <v>0</v>
      </c>
      <c r="E592" s="18">
        <v>2</v>
      </c>
      <c r="F592" s="16"/>
      <c r="G592" s="36">
        <f t="shared" si="315"/>
        <v>2</v>
      </c>
      <c r="H592" s="17">
        <f t="shared" si="316"/>
        <v>2</v>
      </c>
      <c r="I592" s="81">
        <v>44691</v>
      </c>
      <c r="J592" s="35"/>
      <c r="K592" s="15"/>
      <c r="L592" s="16"/>
      <c r="M592" s="36">
        <f t="shared" si="317"/>
        <v>0</v>
      </c>
      <c r="N592" s="18"/>
      <c r="O592" s="16"/>
      <c r="P592" s="36">
        <f t="shared" si="318"/>
        <v>0</v>
      </c>
      <c r="Q592" s="17">
        <f t="shared" si="319"/>
        <v>0</v>
      </c>
      <c r="S592" s="35"/>
      <c r="T592" s="15"/>
      <c r="U592" s="16"/>
      <c r="V592" s="36">
        <f t="shared" si="320"/>
        <v>0</v>
      </c>
      <c r="W592" s="18"/>
      <c r="X592" s="16"/>
      <c r="Y592" s="36">
        <f t="shared" si="321"/>
        <v>0</v>
      </c>
      <c r="Z592" s="17">
        <f t="shared" si="322"/>
        <v>0</v>
      </c>
    </row>
    <row r="593" spans="1:26" x14ac:dyDescent="0.15">
      <c r="A593" s="52" t="s">
        <v>258</v>
      </c>
      <c r="B593" s="15">
        <v>1</v>
      </c>
      <c r="C593" s="16">
        <v>1</v>
      </c>
      <c r="D593" s="36">
        <f t="shared" si="323"/>
        <v>2</v>
      </c>
      <c r="E593" s="18">
        <v>1</v>
      </c>
      <c r="F593" s="16">
        <v>1</v>
      </c>
      <c r="G593" s="36">
        <f t="shared" si="315"/>
        <v>2</v>
      </c>
      <c r="H593" s="17">
        <f t="shared" si="316"/>
        <v>4</v>
      </c>
      <c r="I593" s="81">
        <v>44694</v>
      </c>
      <c r="J593" s="38"/>
      <c r="K593" s="15"/>
      <c r="L593" s="16"/>
      <c r="M593" s="36">
        <f t="shared" si="317"/>
        <v>0</v>
      </c>
      <c r="N593" s="18"/>
      <c r="O593" s="16"/>
      <c r="P593" s="36">
        <f t="shared" si="318"/>
        <v>0</v>
      </c>
      <c r="Q593" s="17">
        <f t="shared" si="319"/>
        <v>0</v>
      </c>
      <c r="S593" s="38"/>
      <c r="T593" s="15"/>
      <c r="U593" s="16"/>
      <c r="V593" s="36">
        <f t="shared" si="320"/>
        <v>0</v>
      </c>
      <c r="W593" s="18"/>
      <c r="X593" s="16"/>
      <c r="Y593" s="36">
        <f t="shared" si="321"/>
        <v>0</v>
      </c>
      <c r="Z593" s="17">
        <f t="shared" si="322"/>
        <v>0</v>
      </c>
    </row>
    <row r="594" spans="1:26" x14ac:dyDescent="0.15">
      <c r="A594" s="35" t="s">
        <v>33</v>
      </c>
      <c r="B594" s="15">
        <f>1+1</f>
        <v>2</v>
      </c>
      <c r="C594" s="16">
        <f>1+1</f>
        <v>2</v>
      </c>
      <c r="D594" s="36">
        <f t="shared" si="323"/>
        <v>4</v>
      </c>
      <c r="E594" s="18"/>
      <c r="F594" s="16"/>
      <c r="G594" s="36">
        <f t="shared" si="315"/>
        <v>0</v>
      </c>
      <c r="H594" s="17">
        <f t="shared" si="316"/>
        <v>4</v>
      </c>
      <c r="I594" s="81">
        <v>44692</v>
      </c>
      <c r="J594" s="35"/>
      <c r="K594" s="15"/>
      <c r="L594" s="16"/>
      <c r="M594" s="36">
        <f t="shared" si="317"/>
        <v>0</v>
      </c>
      <c r="N594" s="18"/>
      <c r="O594" s="16"/>
      <c r="P594" s="36">
        <f t="shared" si="318"/>
        <v>0</v>
      </c>
      <c r="Q594" s="17">
        <f t="shared" si="319"/>
        <v>0</v>
      </c>
      <c r="R594" s="83"/>
      <c r="S594" s="35"/>
      <c r="T594" s="15"/>
      <c r="U594" s="16"/>
      <c r="V594" s="36">
        <f t="shared" si="320"/>
        <v>0</v>
      </c>
      <c r="W594" s="18"/>
      <c r="X594" s="16"/>
      <c r="Y594" s="36">
        <f t="shared" si="321"/>
        <v>0</v>
      </c>
      <c r="Z594" s="17">
        <f t="shared" si="322"/>
        <v>0</v>
      </c>
    </row>
    <row r="595" spans="1:26" x14ac:dyDescent="0.15">
      <c r="A595" s="52" t="s">
        <v>258</v>
      </c>
      <c r="B595" s="15">
        <v>1</v>
      </c>
      <c r="C595" s="16">
        <v>1</v>
      </c>
      <c r="D595" s="17">
        <f>SUM(B595:C595)</f>
        <v>2</v>
      </c>
      <c r="E595" s="18">
        <v>1</v>
      </c>
      <c r="F595" s="16">
        <v>1</v>
      </c>
      <c r="G595" s="17">
        <f t="shared" si="315"/>
        <v>2</v>
      </c>
      <c r="H595" s="17">
        <f t="shared" si="316"/>
        <v>4</v>
      </c>
      <c r="I595" s="81">
        <v>44694</v>
      </c>
      <c r="J595" s="35"/>
      <c r="K595" s="15"/>
      <c r="L595" s="16"/>
      <c r="M595" s="36">
        <f t="shared" si="317"/>
        <v>0</v>
      </c>
      <c r="N595" s="18"/>
      <c r="O595" s="16"/>
      <c r="P595" s="36">
        <f t="shared" si="318"/>
        <v>0</v>
      </c>
      <c r="Q595" s="17">
        <f t="shared" si="319"/>
        <v>0</v>
      </c>
      <c r="R595" s="81"/>
      <c r="S595" s="35"/>
      <c r="T595" s="15"/>
      <c r="U595" s="16"/>
      <c r="V595" s="36">
        <f t="shared" si="320"/>
        <v>0</v>
      </c>
      <c r="W595" s="18"/>
      <c r="X595" s="16"/>
      <c r="Y595" s="36">
        <f t="shared" si="321"/>
        <v>0</v>
      </c>
      <c r="Z595" s="17">
        <f t="shared" si="322"/>
        <v>0</v>
      </c>
    </row>
    <row r="596" spans="1:26" x14ac:dyDescent="0.15">
      <c r="A596" s="52" t="s">
        <v>260</v>
      </c>
      <c r="B596" s="15"/>
      <c r="C596" s="16">
        <v>2</v>
      </c>
      <c r="D596" s="36">
        <f t="shared" ref="D596" si="324">SUM(B596:C596)</f>
        <v>2</v>
      </c>
      <c r="E596" s="18"/>
      <c r="F596" s="16">
        <v>2</v>
      </c>
      <c r="G596" s="36">
        <f t="shared" si="315"/>
        <v>2</v>
      </c>
      <c r="H596" s="17">
        <f t="shared" si="316"/>
        <v>4</v>
      </c>
      <c r="I596" s="81">
        <v>44697</v>
      </c>
      <c r="J596" s="35"/>
      <c r="K596" s="15"/>
      <c r="L596" s="16"/>
      <c r="M596" s="36">
        <f t="shared" ref="M596" si="325">SUM(K596:L596)</f>
        <v>0</v>
      </c>
      <c r="N596" s="18"/>
      <c r="O596" s="16"/>
      <c r="P596" s="36">
        <f t="shared" ref="P596" si="326">SUM(N596:O596)</f>
        <v>0</v>
      </c>
      <c r="Q596" s="17">
        <f t="shared" si="319"/>
        <v>0</v>
      </c>
      <c r="R596" s="83"/>
      <c r="S596" s="35"/>
      <c r="T596" s="15"/>
      <c r="U596" s="16"/>
      <c r="V596" s="36">
        <f t="shared" si="320"/>
        <v>0</v>
      </c>
      <c r="W596" s="18"/>
      <c r="X596" s="16"/>
      <c r="Y596" s="36">
        <f t="shared" si="321"/>
        <v>0</v>
      </c>
      <c r="Z596" s="17">
        <f t="shared" si="322"/>
        <v>0</v>
      </c>
    </row>
    <row r="597" spans="1:26" x14ac:dyDescent="0.15">
      <c r="A597" s="35" t="s">
        <v>33</v>
      </c>
      <c r="B597" s="15"/>
      <c r="C597" s="16"/>
      <c r="D597" s="17">
        <f>SUM(B597:C597)</f>
        <v>0</v>
      </c>
      <c r="E597" s="18">
        <v>1</v>
      </c>
      <c r="F597" s="16"/>
      <c r="G597" s="17">
        <f t="shared" si="315"/>
        <v>1</v>
      </c>
      <c r="H597" s="17">
        <f t="shared" si="316"/>
        <v>1</v>
      </c>
      <c r="I597" s="81">
        <v>44694</v>
      </c>
      <c r="J597" s="35" t="s">
        <v>232</v>
      </c>
      <c r="K597" s="15"/>
      <c r="L597" s="16"/>
      <c r="M597" s="36">
        <f t="shared" ref="M597" si="327">SUM(K597:L597)</f>
        <v>0</v>
      </c>
      <c r="N597" s="18"/>
      <c r="O597" s="16"/>
      <c r="P597" s="36">
        <f t="shared" ref="P597" si="328">SUM(N597:O597)</f>
        <v>0</v>
      </c>
      <c r="Q597" s="17">
        <f t="shared" ref="Q597:Q598" si="329">M597+P597</f>
        <v>0</v>
      </c>
      <c r="R597" s="83" t="s">
        <v>233</v>
      </c>
      <c r="S597" s="35"/>
      <c r="T597" s="15"/>
      <c r="U597" s="16"/>
      <c r="V597" s="36">
        <f t="shared" si="320"/>
        <v>0</v>
      </c>
      <c r="W597" s="18"/>
      <c r="X597" s="16"/>
      <c r="Y597" s="36">
        <f t="shared" si="321"/>
        <v>0</v>
      </c>
      <c r="Z597" s="17">
        <f t="shared" si="322"/>
        <v>0</v>
      </c>
    </row>
    <row r="598" spans="1:26" ht="14.25" thickBot="1" x14ac:dyDescent="0.2">
      <c r="A598" s="52" t="s">
        <v>261</v>
      </c>
      <c r="B598" s="15">
        <v>3</v>
      </c>
      <c r="C598" s="16">
        <v>2</v>
      </c>
      <c r="D598" s="36">
        <f t="shared" ref="D598:D600" si="330">SUM(B598:C598)</f>
        <v>5</v>
      </c>
      <c r="E598" s="18">
        <v>3</v>
      </c>
      <c r="F598" s="16">
        <v>2</v>
      </c>
      <c r="G598" s="36">
        <f t="shared" si="315"/>
        <v>5</v>
      </c>
      <c r="H598" s="17">
        <f t="shared" si="316"/>
        <v>10</v>
      </c>
      <c r="I598" s="81">
        <v>44698</v>
      </c>
      <c r="J598" s="35" t="s">
        <v>104</v>
      </c>
      <c r="K598" s="15"/>
      <c r="L598" s="16"/>
      <c r="M598" s="36">
        <f t="shared" ref="M598" si="331">SUM(K598:L598)</f>
        <v>0</v>
      </c>
      <c r="N598" s="18"/>
      <c r="O598" s="16"/>
      <c r="P598" s="36">
        <f t="shared" ref="P598" si="332">SUM(N598:O598)</f>
        <v>0</v>
      </c>
      <c r="Q598" s="17">
        <f t="shared" si="329"/>
        <v>0</v>
      </c>
      <c r="R598" s="83" t="s">
        <v>109</v>
      </c>
      <c r="S598" s="35"/>
      <c r="T598" s="15"/>
      <c r="U598" s="16"/>
      <c r="V598" s="36">
        <f t="shared" si="320"/>
        <v>0</v>
      </c>
      <c r="W598" s="18"/>
      <c r="X598" s="16"/>
      <c r="Y598" s="36">
        <f t="shared" si="321"/>
        <v>0</v>
      </c>
      <c r="Z598" s="17">
        <f t="shared" si="322"/>
        <v>0</v>
      </c>
    </row>
    <row r="599" spans="1:26" ht="14.25" thickBot="1" x14ac:dyDescent="0.2">
      <c r="A599" s="40" t="s">
        <v>14</v>
      </c>
      <c r="B599" s="41">
        <f>SUM(B573:B598)</f>
        <v>27</v>
      </c>
      <c r="C599" s="42">
        <f t="shared" ref="C599" si="333">SUM(C573:C598)</f>
        <v>22</v>
      </c>
      <c r="D599" s="43">
        <f t="shared" si="330"/>
        <v>49</v>
      </c>
      <c r="E599" s="41">
        <f>SUM(E573:E598)</f>
        <v>51</v>
      </c>
      <c r="F599" s="42">
        <f t="shared" ref="F599" si="334">SUM(F573:F598)</f>
        <v>21</v>
      </c>
      <c r="G599" s="43">
        <f t="shared" si="315"/>
        <v>72</v>
      </c>
      <c r="H599" s="43">
        <f t="shared" si="316"/>
        <v>121</v>
      </c>
      <c r="J599" s="40" t="s">
        <v>14</v>
      </c>
      <c r="K599" s="41">
        <f>SUM(K573:K598)</f>
        <v>50</v>
      </c>
      <c r="L599" s="42">
        <f t="shared" ref="L599" si="335">SUM(L573:L598)</f>
        <v>49</v>
      </c>
      <c r="M599" s="43">
        <f t="shared" ref="M599:M600" si="336">SUM(K599:L599)</f>
        <v>99</v>
      </c>
      <c r="N599" s="41">
        <f>SUM(N573:N598)</f>
        <v>89</v>
      </c>
      <c r="O599" s="42">
        <f t="shared" ref="O599" si="337">SUM(O573:O598)</f>
        <v>43</v>
      </c>
      <c r="P599" s="43">
        <f t="shared" ref="P599:P600" si="338">SUM(N599:O599)</f>
        <v>132</v>
      </c>
      <c r="Q599" s="43">
        <f t="shared" si="319"/>
        <v>231</v>
      </c>
      <c r="S599" s="40" t="s">
        <v>14</v>
      </c>
      <c r="T599" s="41">
        <f>SUM(T573:T598)</f>
        <v>0</v>
      </c>
      <c r="U599" s="42">
        <f t="shared" ref="U599" si="339">SUM(U573:U598)</f>
        <v>0</v>
      </c>
      <c r="V599" s="43">
        <f t="shared" si="320"/>
        <v>0</v>
      </c>
      <c r="W599" s="41">
        <f>SUM(W573:W598)</f>
        <v>0</v>
      </c>
      <c r="X599" s="42">
        <f t="shared" ref="X599" si="340">SUM(X573:X598)</f>
        <v>1</v>
      </c>
      <c r="Y599" s="43">
        <f t="shared" si="321"/>
        <v>1</v>
      </c>
      <c r="Z599" s="43">
        <f t="shared" si="322"/>
        <v>1</v>
      </c>
    </row>
    <row r="600" spans="1:26" ht="14.25" thickBot="1" x14ac:dyDescent="0.2">
      <c r="A600" s="44" t="s">
        <v>15</v>
      </c>
      <c r="B600" s="45">
        <f>B572-B599</f>
        <v>18</v>
      </c>
      <c r="C600" s="46">
        <f t="shared" ref="C600" si="341">C572-C599</f>
        <v>12</v>
      </c>
      <c r="D600" s="47">
        <f t="shared" si="330"/>
        <v>30</v>
      </c>
      <c r="E600" s="45">
        <f>E572-E599</f>
        <v>17</v>
      </c>
      <c r="F600" s="46">
        <f t="shared" ref="F600" si="342">F572-F599</f>
        <v>13</v>
      </c>
      <c r="G600" s="47">
        <f t="shared" si="315"/>
        <v>30</v>
      </c>
      <c r="H600" s="34">
        <f t="shared" si="316"/>
        <v>60</v>
      </c>
      <c r="J600" s="44" t="s">
        <v>15</v>
      </c>
      <c r="K600" s="45">
        <f>K572-K599</f>
        <v>885</v>
      </c>
      <c r="L600" s="46">
        <f t="shared" ref="L600" si="343">L572-L599</f>
        <v>554</v>
      </c>
      <c r="M600" s="47">
        <f t="shared" si="336"/>
        <v>1439</v>
      </c>
      <c r="N600" s="45">
        <f>N572-N599</f>
        <v>581</v>
      </c>
      <c r="O600" s="46">
        <f t="shared" ref="O600" si="344">O572-O599</f>
        <v>268</v>
      </c>
      <c r="P600" s="47">
        <f t="shared" si="338"/>
        <v>849</v>
      </c>
      <c r="Q600" s="34">
        <f t="shared" si="319"/>
        <v>2288</v>
      </c>
      <c r="S600" s="44" t="s">
        <v>15</v>
      </c>
      <c r="T600" s="45">
        <f>T572-T599</f>
        <v>1011</v>
      </c>
      <c r="U600" s="46">
        <f t="shared" ref="U600" si="345">U572-U599</f>
        <v>715</v>
      </c>
      <c r="V600" s="47">
        <f t="shared" si="320"/>
        <v>1726</v>
      </c>
      <c r="W600" s="45">
        <f>W572-W599</f>
        <v>1532</v>
      </c>
      <c r="X600" s="46">
        <f t="shared" ref="X600" si="346">X572-X599</f>
        <v>783</v>
      </c>
      <c r="Y600" s="47">
        <f t="shared" si="321"/>
        <v>2315</v>
      </c>
      <c r="Z600" s="34">
        <f t="shared" si="322"/>
        <v>4041</v>
      </c>
    </row>
    <row r="603" spans="1:26" ht="19.5" thickBot="1" x14ac:dyDescent="0.25">
      <c r="A603" s="1" t="s">
        <v>23</v>
      </c>
      <c r="J603" s="1" t="s">
        <v>24</v>
      </c>
      <c r="K603" s="2"/>
      <c r="L603" s="2"/>
      <c r="M603" s="2"/>
      <c r="N603" s="2"/>
      <c r="O603" s="1" t="s">
        <v>34</v>
      </c>
      <c r="P603" s="2"/>
      <c r="Q603" s="2"/>
      <c r="S603" s="1" t="s">
        <v>24</v>
      </c>
      <c r="T603" s="2"/>
      <c r="U603" s="2"/>
      <c r="V603" s="2"/>
      <c r="W603" s="2"/>
      <c r="X603" s="1" t="s">
        <v>34</v>
      </c>
      <c r="Y603" s="2"/>
      <c r="Z603" s="2"/>
    </row>
    <row r="604" spans="1:26" ht="14.25" thickBot="1" x14ac:dyDescent="0.2">
      <c r="A604" s="3" t="s">
        <v>0</v>
      </c>
      <c r="B604" s="125" t="s">
        <v>18</v>
      </c>
      <c r="C604" s="126"/>
      <c r="D604" s="127"/>
      <c r="E604" s="125" t="s">
        <v>19</v>
      </c>
      <c r="F604" s="126"/>
      <c r="G604" s="128"/>
      <c r="H604" s="129" t="s">
        <v>1</v>
      </c>
      <c r="J604" s="3" t="s">
        <v>0</v>
      </c>
      <c r="K604" s="125" t="s">
        <v>18</v>
      </c>
      <c r="L604" s="126"/>
      <c r="M604" s="127"/>
      <c r="N604" s="125" t="s">
        <v>19</v>
      </c>
      <c r="O604" s="126"/>
      <c r="P604" s="128"/>
      <c r="Q604" s="129" t="s">
        <v>1</v>
      </c>
      <c r="S604" s="3" t="s">
        <v>0</v>
      </c>
      <c r="T604" s="125" t="s">
        <v>18</v>
      </c>
      <c r="U604" s="126"/>
      <c r="V604" s="127"/>
      <c r="W604" s="125" t="s">
        <v>19</v>
      </c>
      <c r="X604" s="126"/>
      <c r="Y604" s="128"/>
      <c r="Z604" s="129" t="s">
        <v>1</v>
      </c>
    </row>
    <row r="605" spans="1:26" ht="14.25" thickBot="1" x14ac:dyDescent="0.2">
      <c r="A605" s="3" t="s">
        <v>2</v>
      </c>
      <c r="B605" s="4" t="s">
        <v>16</v>
      </c>
      <c r="C605" s="5" t="s">
        <v>17</v>
      </c>
      <c r="D605" s="3" t="s">
        <v>3</v>
      </c>
      <c r="E605" s="4" t="s">
        <v>16</v>
      </c>
      <c r="F605" s="5" t="s">
        <v>17</v>
      </c>
      <c r="G605" s="3" t="s">
        <v>3</v>
      </c>
      <c r="H605" s="130"/>
      <c r="J605" s="3" t="s">
        <v>2</v>
      </c>
      <c r="K605" s="4" t="s">
        <v>16</v>
      </c>
      <c r="L605" s="5" t="s">
        <v>17</v>
      </c>
      <c r="M605" s="3" t="s">
        <v>3</v>
      </c>
      <c r="N605" s="4" t="s">
        <v>16</v>
      </c>
      <c r="O605" s="5" t="s">
        <v>17</v>
      </c>
      <c r="P605" s="3" t="s">
        <v>3</v>
      </c>
      <c r="Q605" s="130"/>
      <c r="S605" s="3" t="s">
        <v>2</v>
      </c>
      <c r="T605" s="4" t="s">
        <v>16</v>
      </c>
      <c r="U605" s="5" t="s">
        <v>17</v>
      </c>
      <c r="V605" s="3" t="s">
        <v>3</v>
      </c>
      <c r="W605" s="4" t="s">
        <v>16</v>
      </c>
      <c r="X605" s="5" t="s">
        <v>17</v>
      </c>
      <c r="Y605" s="3" t="s">
        <v>3</v>
      </c>
      <c r="Z605" s="130"/>
    </row>
    <row r="606" spans="1:26" ht="14.25" thickBot="1" x14ac:dyDescent="0.2">
      <c r="A606" s="6" t="s">
        <v>55</v>
      </c>
      <c r="B606" s="32">
        <f>B600</f>
        <v>18</v>
      </c>
      <c r="C606" s="33">
        <f>C600</f>
        <v>12</v>
      </c>
      <c r="D606" s="34">
        <f t="shared" ref="D606:D618" si="347">SUM(B606:C606)</f>
        <v>30</v>
      </c>
      <c r="E606" s="32">
        <f>E600</f>
        <v>17</v>
      </c>
      <c r="F606" s="33">
        <f>F600</f>
        <v>13</v>
      </c>
      <c r="G606" s="34">
        <f t="shared" ref="G606:G643" si="348">SUM(E606:F606)</f>
        <v>30</v>
      </c>
      <c r="H606" s="34">
        <f t="shared" ref="H606:H643" si="349">D606+G606</f>
        <v>60</v>
      </c>
      <c r="J606" s="6" t="s">
        <v>55</v>
      </c>
      <c r="K606" s="7">
        <f>K600</f>
        <v>885</v>
      </c>
      <c r="L606" s="8">
        <f>L600</f>
        <v>554</v>
      </c>
      <c r="M606" s="9">
        <f t="shared" ref="M606:M639" si="350">SUM(K606:L606)</f>
        <v>1439</v>
      </c>
      <c r="N606" s="7">
        <f>N600</f>
        <v>581</v>
      </c>
      <c r="O606" s="8">
        <f>O600</f>
        <v>268</v>
      </c>
      <c r="P606" s="9">
        <f t="shared" ref="P606:P639" si="351">SUM(N606:O606)</f>
        <v>849</v>
      </c>
      <c r="Q606" s="9">
        <f t="shared" ref="Q606:Q643" si="352">M606+P606</f>
        <v>2288</v>
      </c>
      <c r="S606" s="6" t="s">
        <v>55</v>
      </c>
      <c r="T606" s="7">
        <f>T600</f>
        <v>1011</v>
      </c>
      <c r="U606" s="8">
        <f>U600</f>
        <v>715</v>
      </c>
      <c r="V606" s="9">
        <f t="shared" ref="V606:V643" si="353">SUM(T606:U606)</f>
        <v>1726</v>
      </c>
      <c r="W606" s="7">
        <f>W600</f>
        <v>1532</v>
      </c>
      <c r="X606" s="8">
        <f>X600</f>
        <v>783</v>
      </c>
      <c r="Y606" s="9">
        <f t="shared" ref="Y606:Y643" si="354">SUM(W606:X606)</f>
        <v>2315</v>
      </c>
      <c r="Z606" s="9">
        <f t="shared" ref="Z606:Z643" si="355">V606+Y606</f>
        <v>4041</v>
      </c>
    </row>
    <row r="607" spans="1:26" x14ac:dyDescent="0.15">
      <c r="A607" s="10" t="s">
        <v>5</v>
      </c>
      <c r="B607" s="64"/>
      <c r="C607" s="65">
        <v>5</v>
      </c>
      <c r="D607" s="36">
        <f t="shared" si="347"/>
        <v>5</v>
      </c>
      <c r="E607" s="66"/>
      <c r="F607" s="65">
        <v>10</v>
      </c>
      <c r="G607" s="36">
        <f t="shared" si="348"/>
        <v>10</v>
      </c>
      <c r="H607" s="36">
        <f t="shared" si="349"/>
        <v>15</v>
      </c>
      <c r="I607" s="81">
        <v>44699</v>
      </c>
      <c r="J607" s="10" t="s">
        <v>5</v>
      </c>
      <c r="K607" s="11"/>
      <c r="L607" s="12"/>
      <c r="M607" s="13">
        <f t="shared" si="350"/>
        <v>0</v>
      </c>
      <c r="N607" s="62"/>
      <c r="O607" s="12"/>
      <c r="P607" s="13">
        <f t="shared" si="351"/>
        <v>0</v>
      </c>
      <c r="Q607" s="13">
        <f t="shared" si="352"/>
        <v>0</v>
      </c>
      <c r="S607" s="10" t="s">
        <v>5</v>
      </c>
      <c r="T607" s="11"/>
      <c r="U607" s="12"/>
      <c r="V607" s="13">
        <f t="shared" si="353"/>
        <v>0</v>
      </c>
      <c r="W607" s="62"/>
      <c r="X607" s="12"/>
      <c r="Y607" s="13">
        <f t="shared" si="354"/>
        <v>0</v>
      </c>
      <c r="Z607" s="13">
        <f t="shared" si="355"/>
        <v>0</v>
      </c>
    </row>
    <row r="608" spans="1:26" x14ac:dyDescent="0.15">
      <c r="A608" s="10" t="s">
        <v>267</v>
      </c>
      <c r="B608" s="15"/>
      <c r="C608" s="16">
        <v>3</v>
      </c>
      <c r="D608" s="17">
        <f t="shared" si="347"/>
        <v>3</v>
      </c>
      <c r="E608" s="18">
        <v>2</v>
      </c>
      <c r="F608" s="16">
        <v>9</v>
      </c>
      <c r="G608" s="17">
        <f t="shared" si="348"/>
        <v>11</v>
      </c>
      <c r="H608" s="17">
        <f t="shared" si="349"/>
        <v>14</v>
      </c>
      <c r="I608" s="81">
        <v>44700</v>
      </c>
      <c r="J608" s="10" t="s">
        <v>6</v>
      </c>
      <c r="K608" s="15"/>
      <c r="L608" s="16"/>
      <c r="M608" s="17">
        <f t="shared" si="350"/>
        <v>0</v>
      </c>
      <c r="N608" s="18"/>
      <c r="O608" s="16"/>
      <c r="P608" s="17">
        <f t="shared" si="351"/>
        <v>0</v>
      </c>
      <c r="Q608" s="17">
        <f t="shared" si="352"/>
        <v>0</v>
      </c>
      <c r="R608" s="81"/>
      <c r="S608" s="10" t="s">
        <v>6</v>
      </c>
      <c r="T608" s="15"/>
      <c r="U608" s="16"/>
      <c r="V608" s="17">
        <f t="shared" si="353"/>
        <v>0</v>
      </c>
      <c r="W608" s="18"/>
      <c r="X608" s="16"/>
      <c r="Y608" s="17">
        <f t="shared" si="354"/>
        <v>0</v>
      </c>
      <c r="Z608" s="17">
        <f t="shared" si="355"/>
        <v>0</v>
      </c>
    </row>
    <row r="609" spans="1:27" x14ac:dyDescent="0.15">
      <c r="A609" s="10" t="s">
        <v>7</v>
      </c>
      <c r="B609" s="15">
        <v>5</v>
      </c>
      <c r="C609" s="16">
        <v>5</v>
      </c>
      <c r="D609" s="17">
        <f t="shared" si="347"/>
        <v>10</v>
      </c>
      <c r="E609" s="18">
        <v>10</v>
      </c>
      <c r="F609" s="16"/>
      <c r="G609" s="17">
        <f t="shared" si="348"/>
        <v>10</v>
      </c>
      <c r="H609" s="17">
        <f t="shared" si="349"/>
        <v>20</v>
      </c>
      <c r="I609" s="81">
        <v>44702</v>
      </c>
      <c r="J609" s="10" t="s">
        <v>7</v>
      </c>
      <c r="K609" s="19"/>
      <c r="L609" s="20"/>
      <c r="M609" s="17">
        <f t="shared" si="350"/>
        <v>0</v>
      </c>
      <c r="N609" s="21"/>
      <c r="O609" s="20"/>
      <c r="P609" s="17">
        <f t="shared" si="351"/>
        <v>0</v>
      </c>
      <c r="Q609" s="17">
        <f t="shared" si="352"/>
        <v>0</v>
      </c>
      <c r="R609" s="81"/>
      <c r="S609" s="10" t="s">
        <v>7</v>
      </c>
      <c r="T609" s="19"/>
      <c r="U609" s="20"/>
      <c r="V609" s="17">
        <f t="shared" si="353"/>
        <v>0</v>
      </c>
      <c r="W609" s="21"/>
      <c r="X609" s="20"/>
      <c r="Y609" s="17">
        <f t="shared" si="354"/>
        <v>0</v>
      </c>
      <c r="Z609" s="17">
        <f t="shared" si="355"/>
        <v>0</v>
      </c>
    </row>
    <row r="610" spans="1:27" x14ac:dyDescent="0.15">
      <c r="A610" s="10" t="s">
        <v>8</v>
      </c>
      <c r="B610" s="15"/>
      <c r="C610" s="16"/>
      <c r="D610" s="17">
        <f t="shared" si="347"/>
        <v>0</v>
      </c>
      <c r="E610" s="18">
        <v>10</v>
      </c>
      <c r="F610" s="16"/>
      <c r="G610" s="17">
        <f t="shared" si="348"/>
        <v>10</v>
      </c>
      <c r="H610" s="17">
        <f t="shared" si="349"/>
        <v>10</v>
      </c>
      <c r="I610" s="81">
        <v>44708</v>
      </c>
      <c r="J610" s="10" t="s">
        <v>8</v>
      </c>
      <c r="K610" s="15"/>
      <c r="L610" s="16"/>
      <c r="M610" s="17">
        <f t="shared" si="350"/>
        <v>0</v>
      </c>
      <c r="N610" s="18"/>
      <c r="O610" s="16"/>
      <c r="P610" s="17">
        <f t="shared" si="351"/>
        <v>0</v>
      </c>
      <c r="Q610" s="17">
        <f t="shared" si="352"/>
        <v>0</v>
      </c>
      <c r="R610" s="83"/>
      <c r="S610" s="10" t="s">
        <v>8</v>
      </c>
      <c r="T610" s="15"/>
      <c r="U610" s="16"/>
      <c r="V610" s="17">
        <f t="shared" si="353"/>
        <v>0</v>
      </c>
      <c r="W610" s="18"/>
      <c r="X610" s="16"/>
      <c r="Y610" s="17">
        <f t="shared" si="354"/>
        <v>0</v>
      </c>
      <c r="Z610" s="17">
        <f t="shared" si="355"/>
        <v>0</v>
      </c>
    </row>
    <row r="611" spans="1:27" x14ac:dyDescent="0.15">
      <c r="A611" s="10" t="s">
        <v>76</v>
      </c>
      <c r="B611" s="15"/>
      <c r="C611" s="16"/>
      <c r="D611" s="17">
        <f t="shared" si="347"/>
        <v>0</v>
      </c>
      <c r="E611" s="18">
        <v>2</v>
      </c>
      <c r="F611" s="16"/>
      <c r="G611" s="17">
        <f t="shared" si="348"/>
        <v>2</v>
      </c>
      <c r="H611" s="17">
        <f t="shared" si="349"/>
        <v>2</v>
      </c>
      <c r="I611" s="81">
        <v>44708</v>
      </c>
      <c r="J611" s="10" t="s">
        <v>9</v>
      </c>
      <c r="K611" s="15"/>
      <c r="L611" s="16"/>
      <c r="M611" s="17">
        <f t="shared" si="350"/>
        <v>0</v>
      </c>
      <c r="N611" s="18"/>
      <c r="O611" s="16"/>
      <c r="P611" s="17">
        <f t="shared" si="351"/>
        <v>0</v>
      </c>
      <c r="Q611" s="17">
        <f t="shared" si="352"/>
        <v>0</v>
      </c>
      <c r="R611" s="83"/>
      <c r="S611" s="10" t="s">
        <v>9</v>
      </c>
      <c r="T611" s="15"/>
      <c r="U611" s="16"/>
      <c r="V611" s="17">
        <f t="shared" si="353"/>
        <v>0</v>
      </c>
      <c r="W611" s="18"/>
      <c r="X611" s="16"/>
      <c r="Y611" s="17">
        <f t="shared" si="354"/>
        <v>0</v>
      </c>
      <c r="Z611" s="17">
        <f t="shared" si="355"/>
        <v>0</v>
      </c>
      <c r="AA611" s="22"/>
    </row>
    <row r="612" spans="1:27" x14ac:dyDescent="0.15">
      <c r="A612" s="10" t="s">
        <v>10</v>
      </c>
      <c r="B612" s="15">
        <v>5</v>
      </c>
      <c r="C612" s="16">
        <v>10</v>
      </c>
      <c r="D612" s="17">
        <f t="shared" si="347"/>
        <v>15</v>
      </c>
      <c r="E612" s="18"/>
      <c r="F612" s="16">
        <v>5</v>
      </c>
      <c r="G612" s="17">
        <f t="shared" si="348"/>
        <v>5</v>
      </c>
      <c r="H612" s="17">
        <f t="shared" si="349"/>
        <v>20</v>
      </c>
      <c r="I612" s="81">
        <v>44712</v>
      </c>
      <c r="J612" s="10" t="s">
        <v>10</v>
      </c>
      <c r="K612" s="15"/>
      <c r="L612" s="16"/>
      <c r="M612" s="17">
        <f t="shared" si="350"/>
        <v>0</v>
      </c>
      <c r="N612" s="18"/>
      <c r="O612" s="16"/>
      <c r="P612" s="17">
        <f t="shared" si="351"/>
        <v>0</v>
      </c>
      <c r="Q612" s="17">
        <f t="shared" si="352"/>
        <v>0</v>
      </c>
      <c r="S612" s="10" t="s">
        <v>10</v>
      </c>
      <c r="T612" s="15"/>
      <c r="U612" s="16"/>
      <c r="V612" s="17">
        <f t="shared" si="353"/>
        <v>0</v>
      </c>
      <c r="W612" s="18"/>
      <c r="X612" s="16"/>
      <c r="Y612" s="17">
        <f t="shared" si="354"/>
        <v>0</v>
      </c>
      <c r="Z612" s="17">
        <f t="shared" si="355"/>
        <v>0</v>
      </c>
    </row>
    <row r="613" spans="1:27" x14ac:dyDescent="0.15">
      <c r="A613" s="10" t="s">
        <v>11</v>
      </c>
      <c r="B613" s="23">
        <v>10</v>
      </c>
      <c r="C613" s="24">
        <v>5</v>
      </c>
      <c r="D613" s="17">
        <f t="shared" si="347"/>
        <v>15</v>
      </c>
      <c r="E613" s="25">
        <v>10</v>
      </c>
      <c r="F613" s="24">
        <v>5</v>
      </c>
      <c r="G613" s="17">
        <f t="shared" si="348"/>
        <v>15</v>
      </c>
      <c r="H613" s="17">
        <f t="shared" si="349"/>
        <v>30</v>
      </c>
      <c r="I613" s="81">
        <v>44718</v>
      </c>
      <c r="J613" s="10" t="s">
        <v>11</v>
      </c>
      <c r="K613" s="23"/>
      <c r="L613" s="24"/>
      <c r="M613" s="17">
        <f t="shared" si="350"/>
        <v>0</v>
      </c>
      <c r="N613" s="25"/>
      <c r="O613" s="24"/>
      <c r="P613" s="17">
        <f t="shared" si="351"/>
        <v>0</v>
      </c>
      <c r="Q613" s="17">
        <f t="shared" si="352"/>
        <v>0</v>
      </c>
      <c r="S613" s="10" t="s">
        <v>11</v>
      </c>
      <c r="T613" s="23"/>
      <c r="U613" s="24"/>
      <c r="V613" s="17">
        <f t="shared" si="353"/>
        <v>0</v>
      </c>
      <c r="W613" s="25"/>
      <c r="X613" s="24"/>
      <c r="Y613" s="17">
        <f t="shared" si="354"/>
        <v>0</v>
      </c>
      <c r="Z613" s="17">
        <f t="shared" si="355"/>
        <v>0</v>
      </c>
    </row>
    <row r="614" spans="1:27" ht="14.25" thickBot="1" x14ac:dyDescent="0.2">
      <c r="A614" s="10" t="s">
        <v>12</v>
      </c>
      <c r="B614" s="26">
        <v>15</v>
      </c>
      <c r="C614" s="27"/>
      <c r="D614" s="28">
        <f t="shared" si="347"/>
        <v>15</v>
      </c>
      <c r="E614" s="29">
        <v>15</v>
      </c>
      <c r="F614" s="29"/>
      <c r="G614" s="28">
        <f t="shared" si="348"/>
        <v>15</v>
      </c>
      <c r="H614" s="30">
        <f t="shared" si="349"/>
        <v>30</v>
      </c>
      <c r="I614" s="81">
        <v>44719</v>
      </c>
      <c r="J614" s="10" t="s">
        <v>12</v>
      </c>
      <c r="K614" s="26"/>
      <c r="L614" s="27"/>
      <c r="M614" s="28">
        <f t="shared" si="350"/>
        <v>0</v>
      </c>
      <c r="N614" s="29"/>
      <c r="O614" s="29"/>
      <c r="P614" s="28">
        <f t="shared" si="351"/>
        <v>0</v>
      </c>
      <c r="Q614" s="30">
        <f t="shared" si="352"/>
        <v>0</v>
      </c>
      <c r="S614" s="10" t="s">
        <v>12</v>
      </c>
      <c r="T614" s="26"/>
      <c r="U614" s="27"/>
      <c r="V614" s="28">
        <f t="shared" si="353"/>
        <v>0</v>
      </c>
      <c r="W614" s="29"/>
      <c r="X614" s="29"/>
      <c r="Y614" s="28">
        <f t="shared" si="354"/>
        <v>0</v>
      </c>
      <c r="Z614" s="30">
        <f t="shared" si="355"/>
        <v>0</v>
      </c>
    </row>
    <row r="615" spans="1:27" ht="14.25" thickBot="1" x14ac:dyDescent="0.2">
      <c r="A615" s="31" t="s">
        <v>13</v>
      </c>
      <c r="B615" s="32">
        <f>SUM(B606:B614)</f>
        <v>53</v>
      </c>
      <c r="C615" s="33">
        <f>SUM(C606:C614)</f>
        <v>40</v>
      </c>
      <c r="D615" s="34">
        <f t="shared" si="347"/>
        <v>93</v>
      </c>
      <c r="E615" s="32">
        <f>SUM(E606:E614)</f>
        <v>66</v>
      </c>
      <c r="F615" s="33">
        <f>SUM(F606:F614)</f>
        <v>42</v>
      </c>
      <c r="G615" s="34">
        <f t="shared" si="348"/>
        <v>108</v>
      </c>
      <c r="H615" s="34">
        <f t="shared" si="349"/>
        <v>201</v>
      </c>
      <c r="J615" s="31" t="s">
        <v>13</v>
      </c>
      <c r="K615" s="32">
        <f>SUM(K606:K614)</f>
        <v>885</v>
      </c>
      <c r="L615" s="33">
        <f>SUM(L606:L614)</f>
        <v>554</v>
      </c>
      <c r="M615" s="34">
        <f t="shared" si="350"/>
        <v>1439</v>
      </c>
      <c r="N615" s="32">
        <f>SUM(N606:N614)</f>
        <v>581</v>
      </c>
      <c r="O615" s="33">
        <f>SUM(O606:O614)</f>
        <v>268</v>
      </c>
      <c r="P615" s="34">
        <f t="shared" si="351"/>
        <v>849</v>
      </c>
      <c r="Q615" s="34">
        <f t="shared" si="352"/>
        <v>2288</v>
      </c>
      <c r="S615" s="31" t="s">
        <v>13</v>
      </c>
      <c r="T615" s="32">
        <f>SUM(T606:T614)</f>
        <v>1011</v>
      </c>
      <c r="U615" s="33">
        <f>SUM(U606:U614)</f>
        <v>715</v>
      </c>
      <c r="V615" s="34">
        <f t="shared" si="353"/>
        <v>1726</v>
      </c>
      <c r="W615" s="32">
        <f>SUM(W606:W614)</f>
        <v>1532</v>
      </c>
      <c r="X615" s="33">
        <f>SUM(X606:X614)</f>
        <v>783</v>
      </c>
      <c r="Y615" s="34">
        <f t="shared" si="354"/>
        <v>2315</v>
      </c>
      <c r="Z615" s="34">
        <f t="shared" si="355"/>
        <v>4041</v>
      </c>
    </row>
    <row r="616" spans="1:27" x14ac:dyDescent="0.15">
      <c r="A616" s="35" t="s">
        <v>33</v>
      </c>
      <c r="B616" s="15"/>
      <c r="C616" s="16">
        <v>1</v>
      </c>
      <c r="D616" s="36">
        <f t="shared" si="347"/>
        <v>1</v>
      </c>
      <c r="E616" s="18">
        <v>4</v>
      </c>
      <c r="F616" s="16">
        <f>2+2</f>
        <v>4</v>
      </c>
      <c r="G616" s="36">
        <f t="shared" si="348"/>
        <v>8</v>
      </c>
      <c r="H616" s="17">
        <f t="shared" si="349"/>
        <v>9</v>
      </c>
      <c r="I616" s="84">
        <v>44697</v>
      </c>
      <c r="J616" s="77" t="s">
        <v>263</v>
      </c>
      <c r="K616" s="64"/>
      <c r="L616" s="65">
        <v>5</v>
      </c>
      <c r="M616" s="36">
        <f t="shared" si="350"/>
        <v>5</v>
      </c>
      <c r="N616" s="66"/>
      <c r="O616" s="65">
        <v>10</v>
      </c>
      <c r="P616" s="36">
        <f t="shared" si="351"/>
        <v>10</v>
      </c>
      <c r="Q616" s="36">
        <f t="shared" si="352"/>
        <v>15</v>
      </c>
      <c r="R616" s="81">
        <v>44699</v>
      </c>
      <c r="S616" s="52"/>
      <c r="T616" s="64"/>
      <c r="U616" s="65"/>
      <c r="V616" s="36">
        <f t="shared" si="353"/>
        <v>0</v>
      </c>
      <c r="W616" s="66"/>
      <c r="X616" s="65"/>
      <c r="Y616" s="36">
        <f t="shared" si="354"/>
        <v>0</v>
      </c>
      <c r="Z616" s="36">
        <f t="shared" si="355"/>
        <v>0</v>
      </c>
      <c r="AA616" s="91"/>
    </row>
    <row r="617" spans="1:27" x14ac:dyDescent="0.15">
      <c r="A617" s="52" t="s">
        <v>262</v>
      </c>
      <c r="B617" s="19"/>
      <c r="C617" s="20">
        <v>2</v>
      </c>
      <c r="D617" s="36">
        <f t="shared" si="347"/>
        <v>2</v>
      </c>
      <c r="E617" s="21"/>
      <c r="F617" s="20">
        <v>2</v>
      </c>
      <c r="G617" s="36">
        <f t="shared" si="348"/>
        <v>2</v>
      </c>
      <c r="H617" s="36">
        <f t="shared" si="349"/>
        <v>4</v>
      </c>
      <c r="I617" s="81">
        <v>44699</v>
      </c>
      <c r="J617" s="52" t="s">
        <v>268</v>
      </c>
      <c r="K617" s="15">
        <v>10</v>
      </c>
      <c r="L617" s="16">
        <v>8</v>
      </c>
      <c r="M617" s="36">
        <f t="shared" si="350"/>
        <v>18</v>
      </c>
      <c r="N617" s="18">
        <v>10</v>
      </c>
      <c r="O617" s="16">
        <v>8</v>
      </c>
      <c r="P617" s="36">
        <f t="shared" si="351"/>
        <v>18</v>
      </c>
      <c r="Q617" s="17">
        <f t="shared" si="352"/>
        <v>36</v>
      </c>
      <c r="R617" s="81">
        <v>44704</v>
      </c>
      <c r="S617" s="10"/>
      <c r="T617" s="15"/>
      <c r="U617" s="16"/>
      <c r="V617" s="36">
        <f t="shared" si="353"/>
        <v>0</v>
      </c>
      <c r="W617" s="18"/>
      <c r="X617" s="16"/>
      <c r="Y617" s="36">
        <f t="shared" si="354"/>
        <v>0</v>
      </c>
      <c r="Z617" s="17">
        <f t="shared" si="355"/>
        <v>0</v>
      </c>
    </row>
    <row r="618" spans="1:27" x14ac:dyDescent="0.15">
      <c r="A618" s="35" t="s">
        <v>33</v>
      </c>
      <c r="B618" s="15"/>
      <c r="C618" s="16"/>
      <c r="D618" s="36">
        <f t="shared" si="347"/>
        <v>0</v>
      </c>
      <c r="E618" s="18">
        <v>1</v>
      </c>
      <c r="F618" s="16">
        <v>1</v>
      </c>
      <c r="G618" s="36">
        <f t="shared" si="348"/>
        <v>2</v>
      </c>
      <c r="H618" s="17">
        <f t="shared" si="349"/>
        <v>2</v>
      </c>
      <c r="I618" s="84">
        <v>44698</v>
      </c>
      <c r="J618" s="35" t="s">
        <v>269</v>
      </c>
      <c r="K618" s="19">
        <v>5</v>
      </c>
      <c r="L618" s="20">
        <v>5</v>
      </c>
      <c r="M618" s="17">
        <f t="shared" si="350"/>
        <v>10</v>
      </c>
      <c r="N618" s="21">
        <v>10</v>
      </c>
      <c r="O618" s="20"/>
      <c r="P618" s="17">
        <f t="shared" si="351"/>
        <v>10</v>
      </c>
      <c r="Q618" s="17">
        <f t="shared" si="352"/>
        <v>20</v>
      </c>
      <c r="R618" s="81">
        <v>44702</v>
      </c>
      <c r="S618" s="10"/>
      <c r="T618" s="19"/>
      <c r="U618" s="20"/>
      <c r="V618" s="17">
        <f t="shared" si="353"/>
        <v>0</v>
      </c>
      <c r="W618" s="21"/>
      <c r="X618" s="20"/>
      <c r="Y618" s="17">
        <f t="shared" si="354"/>
        <v>0</v>
      </c>
      <c r="Z618" s="17">
        <f t="shared" si="355"/>
        <v>0</v>
      </c>
    </row>
    <row r="619" spans="1:27" x14ac:dyDescent="0.15">
      <c r="A619" s="52" t="s">
        <v>264</v>
      </c>
      <c r="B619" s="15">
        <v>3</v>
      </c>
      <c r="C619" s="16">
        <v>1</v>
      </c>
      <c r="D619" s="17">
        <f>SUM(B619:C619)</f>
        <v>4</v>
      </c>
      <c r="E619" s="18">
        <v>3</v>
      </c>
      <c r="F619" s="16">
        <v>1</v>
      </c>
      <c r="G619" s="17">
        <f t="shared" si="348"/>
        <v>4</v>
      </c>
      <c r="H619" s="17">
        <f t="shared" si="349"/>
        <v>8</v>
      </c>
      <c r="I619" s="81">
        <v>44700</v>
      </c>
      <c r="J619" s="35" t="s">
        <v>91</v>
      </c>
      <c r="K619" s="15"/>
      <c r="L619" s="16"/>
      <c r="M619" s="17">
        <f t="shared" si="350"/>
        <v>0</v>
      </c>
      <c r="N619" s="18">
        <v>10</v>
      </c>
      <c r="O619" s="16"/>
      <c r="P619" s="17">
        <f t="shared" si="351"/>
        <v>10</v>
      </c>
      <c r="Q619" s="17">
        <f t="shared" si="352"/>
        <v>10</v>
      </c>
      <c r="R619" s="81">
        <v>44708</v>
      </c>
      <c r="S619" s="52"/>
      <c r="T619" s="15"/>
      <c r="U619" s="16"/>
      <c r="V619" s="17">
        <f t="shared" si="353"/>
        <v>0</v>
      </c>
      <c r="W619" s="18"/>
      <c r="X619" s="16"/>
      <c r="Y619" s="17">
        <f t="shared" si="354"/>
        <v>0</v>
      </c>
      <c r="Z619" s="17">
        <f t="shared" si="355"/>
        <v>0</v>
      </c>
    </row>
    <row r="620" spans="1:27" x14ac:dyDescent="0.15">
      <c r="A620" s="35" t="s">
        <v>33</v>
      </c>
      <c r="B620" s="15"/>
      <c r="C620" s="16">
        <v>1</v>
      </c>
      <c r="D620" s="36">
        <f t="shared" ref="D620:D637" si="356">SUM(B620:C620)</f>
        <v>1</v>
      </c>
      <c r="E620" s="18"/>
      <c r="F620" s="16">
        <v>1</v>
      </c>
      <c r="G620" s="36">
        <f t="shared" si="348"/>
        <v>1</v>
      </c>
      <c r="H620" s="17">
        <f t="shared" si="349"/>
        <v>2</v>
      </c>
      <c r="I620" s="81">
        <v>44699</v>
      </c>
      <c r="J620" s="35" t="s">
        <v>91</v>
      </c>
      <c r="K620" s="15">
        <v>5</v>
      </c>
      <c r="L620" s="16">
        <v>10</v>
      </c>
      <c r="M620" s="17">
        <f t="shared" si="350"/>
        <v>15</v>
      </c>
      <c r="N620" s="18"/>
      <c r="O620" s="16">
        <v>5</v>
      </c>
      <c r="P620" s="17">
        <f t="shared" si="351"/>
        <v>5</v>
      </c>
      <c r="Q620" s="17">
        <f t="shared" si="352"/>
        <v>20</v>
      </c>
      <c r="R620" s="81">
        <v>44712</v>
      </c>
      <c r="S620" s="10"/>
      <c r="T620" s="15"/>
      <c r="U620" s="16"/>
      <c r="V620" s="17">
        <f t="shared" si="353"/>
        <v>0</v>
      </c>
      <c r="W620" s="18"/>
      <c r="X620" s="16"/>
      <c r="Y620" s="17">
        <f t="shared" si="354"/>
        <v>0</v>
      </c>
      <c r="Z620" s="17">
        <f t="shared" si="355"/>
        <v>0</v>
      </c>
    </row>
    <row r="621" spans="1:27" x14ac:dyDescent="0.15">
      <c r="A621" s="52" t="s">
        <v>265</v>
      </c>
      <c r="B621" s="15"/>
      <c r="C621" s="16">
        <v>1</v>
      </c>
      <c r="D621" s="36">
        <f t="shared" si="356"/>
        <v>1</v>
      </c>
      <c r="E621" s="18"/>
      <c r="F621" s="16">
        <v>1</v>
      </c>
      <c r="G621" s="36">
        <f t="shared" si="348"/>
        <v>1</v>
      </c>
      <c r="H621" s="17">
        <f t="shared" si="349"/>
        <v>2</v>
      </c>
      <c r="I621" s="81">
        <v>44701</v>
      </c>
      <c r="J621" s="52" t="s">
        <v>274</v>
      </c>
      <c r="K621" s="15">
        <v>4</v>
      </c>
      <c r="L621" s="16">
        <v>4</v>
      </c>
      <c r="M621" s="36">
        <f t="shared" si="350"/>
        <v>8</v>
      </c>
      <c r="N621" s="18">
        <v>4</v>
      </c>
      <c r="O621" s="16">
        <v>4</v>
      </c>
      <c r="P621" s="36">
        <f t="shared" si="351"/>
        <v>8</v>
      </c>
      <c r="Q621" s="17">
        <f t="shared" si="352"/>
        <v>16</v>
      </c>
      <c r="R621" s="81">
        <v>44713</v>
      </c>
      <c r="S621" s="10"/>
      <c r="T621" s="15"/>
      <c r="U621" s="16"/>
      <c r="V621" s="36">
        <f t="shared" si="353"/>
        <v>0</v>
      </c>
      <c r="W621" s="18"/>
      <c r="X621" s="16"/>
      <c r="Y621" s="36">
        <f t="shared" si="354"/>
        <v>0</v>
      </c>
      <c r="Z621" s="17">
        <f t="shared" si="355"/>
        <v>0</v>
      </c>
    </row>
    <row r="622" spans="1:27" x14ac:dyDescent="0.15">
      <c r="A622" s="52" t="s">
        <v>266</v>
      </c>
      <c r="B622" s="15"/>
      <c r="C622" s="16">
        <v>1</v>
      </c>
      <c r="D622" s="36">
        <f t="shared" si="356"/>
        <v>1</v>
      </c>
      <c r="E622" s="18"/>
      <c r="F622" s="16">
        <v>1</v>
      </c>
      <c r="G622" s="36">
        <f t="shared" si="348"/>
        <v>1</v>
      </c>
      <c r="H622" s="17">
        <f t="shared" si="349"/>
        <v>2</v>
      </c>
      <c r="I622" s="81">
        <v>44701</v>
      </c>
      <c r="J622" s="35" t="s">
        <v>276</v>
      </c>
      <c r="K622" s="15">
        <v>4</v>
      </c>
      <c r="L622" s="16">
        <v>4</v>
      </c>
      <c r="M622" s="36">
        <f t="shared" si="350"/>
        <v>8</v>
      </c>
      <c r="N622" s="18">
        <v>2</v>
      </c>
      <c r="O622" s="16">
        <v>4</v>
      </c>
      <c r="P622" s="36">
        <f t="shared" si="351"/>
        <v>6</v>
      </c>
      <c r="Q622" s="17">
        <f t="shared" si="352"/>
        <v>14</v>
      </c>
      <c r="R622" s="81">
        <v>44719</v>
      </c>
      <c r="S622" s="10"/>
      <c r="T622" s="15"/>
      <c r="U622" s="16"/>
      <c r="V622" s="36">
        <f t="shared" si="353"/>
        <v>0</v>
      </c>
      <c r="W622" s="18"/>
      <c r="X622" s="16"/>
      <c r="Y622" s="36">
        <f t="shared" si="354"/>
        <v>0</v>
      </c>
      <c r="Z622" s="17">
        <f t="shared" si="355"/>
        <v>0</v>
      </c>
    </row>
    <row r="623" spans="1:27" x14ac:dyDescent="0.15">
      <c r="A623" s="35" t="s">
        <v>33</v>
      </c>
      <c r="B623" s="15">
        <v>1</v>
      </c>
      <c r="C623" s="16">
        <v>1</v>
      </c>
      <c r="D623" s="36">
        <f t="shared" si="356"/>
        <v>2</v>
      </c>
      <c r="E623" s="18"/>
      <c r="F623" s="16"/>
      <c r="G623" s="36">
        <f t="shared" si="348"/>
        <v>0</v>
      </c>
      <c r="H623" s="17">
        <f t="shared" si="349"/>
        <v>2</v>
      </c>
      <c r="I623" s="81">
        <v>44700</v>
      </c>
      <c r="J623" s="35" t="s">
        <v>91</v>
      </c>
      <c r="K623" s="19">
        <v>10</v>
      </c>
      <c r="L623" s="20">
        <v>5</v>
      </c>
      <c r="M623" s="17">
        <f t="shared" si="350"/>
        <v>15</v>
      </c>
      <c r="N623" s="21">
        <v>10</v>
      </c>
      <c r="O623" s="20">
        <v>5</v>
      </c>
      <c r="P623" s="17">
        <f t="shared" si="351"/>
        <v>15</v>
      </c>
      <c r="Q623" s="17">
        <f t="shared" si="352"/>
        <v>30</v>
      </c>
      <c r="R623" s="81">
        <v>44718</v>
      </c>
      <c r="S623" s="52"/>
      <c r="T623" s="15"/>
      <c r="U623" s="16"/>
      <c r="V623" s="36">
        <f t="shared" si="353"/>
        <v>0</v>
      </c>
      <c r="W623" s="18"/>
      <c r="X623" s="16"/>
      <c r="Y623" s="36">
        <f t="shared" si="354"/>
        <v>0</v>
      </c>
      <c r="Z623" s="17">
        <f t="shared" si="355"/>
        <v>0</v>
      </c>
    </row>
    <row r="624" spans="1:27" x14ac:dyDescent="0.15">
      <c r="A624" s="35" t="s">
        <v>33</v>
      </c>
      <c r="B624" s="15">
        <v>2</v>
      </c>
      <c r="C624" s="16"/>
      <c r="D624" s="36">
        <f t="shared" si="356"/>
        <v>2</v>
      </c>
      <c r="E624" s="18">
        <v>2</v>
      </c>
      <c r="F624" s="16"/>
      <c r="G624" s="36">
        <f t="shared" si="348"/>
        <v>2</v>
      </c>
      <c r="H624" s="17">
        <f t="shared" si="349"/>
        <v>4</v>
      </c>
      <c r="I624" s="81">
        <v>44701</v>
      </c>
      <c r="J624" s="52" t="s">
        <v>279</v>
      </c>
      <c r="K624" s="19">
        <v>10</v>
      </c>
      <c r="L624" s="20">
        <v>10</v>
      </c>
      <c r="M624" s="17">
        <f t="shared" si="350"/>
        <v>20</v>
      </c>
      <c r="N624" s="21">
        <v>10</v>
      </c>
      <c r="O624" s="20">
        <v>10</v>
      </c>
      <c r="P624" s="17">
        <f t="shared" si="351"/>
        <v>20</v>
      </c>
      <c r="Q624" s="17">
        <f t="shared" si="352"/>
        <v>40</v>
      </c>
      <c r="R624" s="81">
        <v>44719</v>
      </c>
      <c r="S624" s="10"/>
      <c r="T624" s="19"/>
      <c r="U624" s="20"/>
      <c r="V624" s="17">
        <f t="shared" si="353"/>
        <v>0</v>
      </c>
      <c r="W624" s="21"/>
      <c r="X624" s="20"/>
      <c r="Y624" s="17">
        <f t="shared" si="354"/>
        <v>0</v>
      </c>
      <c r="Z624" s="17">
        <f t="shared" si="355"/>
        <v>0</v>
      </c>
    </row>
    <row r="625" spans="1:26" x14ac:dyDescent="0.15">
      <c r="A625" s="35" t="s">
        <v>33</v>
      </c>
      <c r="B625" s="23">
        <v>1</v>
      </c>
      <c r="C625" s="24">
        <v>1</v>
      </c>
      <c r="D625" s="36">
        <f t="shared" si="356"/>
        <v>2</v>
      </c>
      <c r="E625" s="25">
        <f>1+1</f>
        <v>2</v>
      </c>
      <c r="F625" s="24">
        <f>1+2</f>
        <v>3</v>
      </c>
      <c r="G625" s="36">
        <f t="shared" si="348"/>
        <v>5</v>
      </c>
      <c r="H625" s="17">
        <f t="shared" si="349"/>
        <v>7</v>
      </c>
      <c r="I625" s="81">
        <v>44704</v>
      </c>
      <c r="J625" s="35" t="s">
        <v>91</v>
      </c>
      <c r="K625" s="23">
        <v>15</v>
      </c>
      <c r="L625" s="24"/>
      <c r="M625" s="36">
        <f t="shared" si="350"/>
        <v>15</v>
      </c>
      <c r="N625" s="25">
        <v>15</v>
      </c>
      <c r="O625" s="24"/>
      <c r="P625" s="36">
        <f t="shared" si="351"/>
        <v>15</v>
      </c>
      <c r="Q625" s="17">
        <f t="shared" si="352"/>
        <v>30</v>
      </c>
      <c r="R625" s="81">
        <v>44719</v>
      </c>
      <c r="S625" s="35"/>
      <c r="T625" s="23"/>
      <c r="U625" s="24"/>
      <c r="V625" s="36">
        <f t="shared" si="353"/>
        <v>0</v>
      </c>
      <c r="W625" s="25"/>
      <c r="X625" s="24"/>
      <c r="Y625" s="36">
        <f t="shared" si="354"/>
        <v>0</v>
      </c>
      <c r="Z625" s="17">
        <f t="shared" si="355"/>
        <v>0</v>
      </c>
    </row>
    <row r="626" spans="1:26" x14ac:dyDescent="0.15">
      <c r="A626" s="35" t="s">
        <v>33</v>
      </c>
      <c r="B626" s="15"/>
      <c r="C626" s="16"/>
      <c r="D626" s="36">
        <f t="shared" si="356"/>
        <v>0</v>
      </c>
      <c r="E626" s="18">
        <f>4+1</f>
        <v>5</v>
      </c>
      <c r="F626" s="16"/>
      <c r="G626" s="36">
        <f t="shared" si="348"/>
        <v>5</v>
      </c>
      <c r="H626" s="17">
        <f t="shared" si="349"/>
        <v>5</v>
      </c>
      <c r="I626" s="81">
        <v>44705</v>
      </c>
      <c r="J626" s="52"/>
      <c r="K626" s="15"/>
      <c r="L626" s="16"/>
      <c r="M626" s="36">
        <f t="shared" si="350"/>
        <v>0</v>
      </c>
      <c r="N626" s="18">
        <v>5</v>
      </c>
      <c r="O626" s="16"/>
      <c r="P626" s="36">
        <f t="shared" si="351"/>
        <v>5</v>
      </c>
      <c r="Q626" s="17">
        <f t="shared" si="352"/>
        <v>5</v>
      </c>
      <c r="R626" s="81"/>
      <c r="S626" s="35"/>
      <c r="T626" s="15"/>
      <c r="U626" s="16"/>
      <c r="V626" s="36">
        <f t="shared" si="353"/>
        <v>0</v>
      </c>
      <c r="W626" s="18"/>
      <c r="X626" s="16"/>
      <c r="Y626" s="36">
        <f t="shared" si="354"/>
        <v>0</v>
      </c>
      <c r="Z626" s="17">
        <f t="shared" si="355"/>
        <v>0</v>
      </c>
    </row>
    <row r="627" spans="1:26" x14ac:dyDescent="0.15">
      <c r="A627" s="35" t="s">
        <v>33</v>
      </c>
      <c r="B627" s="15"/>
      <c r="C627" s="16">
        <v>2</v>
      </c>
      <c r="D627" s="36">
        <f t="shared" si="356"/>
        <v>2</v>
      </c>
      <c r="E627" s="18">
        <f>1+2</f>
        <v>3</v>
      </c>
      <c r="F627" s="16"/>
      <c r="G627" s="36">
        <f t="shared" si="348"/>
        <v>3</v>
      </c>
      <c r="H627" s="17">
        <f t="shared" si="349"/>
        <v>5</v>
      </c>
      <c r="I627" s="81">
        <v>44706</v>
      </c>
      <c r="J627" s="52"/>
      <c r="K627" s="15"/>
      <c r="L627" s="16"/>
      <c r="M627" s="36">
        <f t="shared" si="350"/>
        <v>0</v>
      </c>
      <c r="N627" s="18"/>
      <c r="O627" s="16"/>
      <c r="P627" s="36">
        <f t="shared" si="351"/>
        <v>0</v>
      </c>
      <c r="Q627" s="17">
        <f t="shared" si="352"/>
        <v>0</v>
      </c>
      <c r="R627" s="81"/>
      <c r="S627" s="35"/>
      <c r="T627" s="15"/>
      <c r="U627" s="16"/>
      <c r="V627" s="36">
        <f t="shared" si="353"/>
        <v>0</v>
      </c>
      <c r="W627" s="18"/>
      <c r="X627" s="16"/>
      <c r="Y627" s="36">
        <f t="shared" si="354"/>
        <v>0</v>
      </c>
      <c r="Z627" s="17">
        <f t="shared" si="355"/>
        <v>0</v>
      </c>
    </row>
    <row r="628" spans="1:26" x14ac:dyDescent="0.15">
      <c r="A628" s="35" t="s">
        <v>33</v>
      </c>
      <c r="B628" s="15">
        <v>2</v>
      </c>
      <c r="C628" s="16"/>
      <c r="D628" s="36">
        <f t="shared" si="356"/>
        <v>2</v>
      </c>
      <c r="E628" s="18"/>
      <c r="F628" s="16">
        <v>2</v>
      </c>
      <c r="G628" s="36">
        <f t="shared" si="348"/>
        <v>2</v>
      </c>
      <c r="H628" s="17">
        <f t="shared" si="349"/>
        <v>4</v>
      </c>
      <c r="I628" s="81">
        <v>44707</v>
      </c>
      <c r="J628" s="35"/>
      <c r="K628" s="15"/>
      <c r="L628" s="16"/>
      <c r="M628" s="36">
        <f t="shared" si="350"/>
        <v>0</v>
      </c>
      <c r="N628" s="18"/>
      <c r="O628" s="16"/>
      <c r="P628" s="36">
        <f t="shared" si="351"/>
        <v>0</v>
      </c>
      <c r="Q628" s="17">
        <f t="shared" si="352"/>
        <v>0</v>
      </c>
      <c r="R628" s="81"/>
      <c r="S628" s="35"/>
      <c r="T628" s="15"/>
      <c r="U628" s="16"/>
      <c r="V628" s="36">
        <f t="shared" si="353"/>
        <v>0</v>
      </c>
      <c r="W628" s="18"/>
      <c r="X628" s="16"/>
      <c r="Y628" s="36">
        <f t="shared" si="354"/>
        <v>0</v>
      </c>
      <c r="Z628" s="17">
        <f t="shared" si="355"/>
        <v>0</v>
      </c>
    </row>
    <row r="629" spans="1:26" x14ac:dyDescent="0.15">
      <c r="A629" s="52" t="s">
        <v>272</v>
      </c>
      <c r="B629" s="15">
        <v>1</v>
      </c>
      <c r="C629" s="16">
        <v>5</v>
      </c>
      <c r="D629" s="36">
        <f t="shared" si="356"/>
        <v>6</v>
      </c>
      <c r="E629" s="18">
        <v>1</v>
      </c>
      <c r="F629" s="16">
        <v>5</v>
      </c>
      <c r="G629" s="36">
        <f t="shared" si="348"/>
        <v>6</v>
      </c>
      <c r="H629" s="17">
        <f t="shared" si="349"/>
        <v>12</v>
      </c>
      <c r="I629" s="81">
        <v>44712</v>
      </c>
      <c r="J629" s="52"/>
      <c r="K629" s="15"/>
      <c r="L629" s="16"/>
      <c r="M629" s="17">
        <f t="shared" si="350"/>
        <v>0</v>
      </c>
      <c r="N629" s="18"/>
      <c r="O629" s="16"/>
      <c r="P629" s="17">
        <f t="shared" si="351"/>
        <v>0</v>
      </c>
      <c r="Q629" s="17">
        <f t="shared" si="352"/>
        <v>0</v>
      </c>
      <c r="R629" s="81"/>
      <c r="S629" s="10"/>
      <c r="T629" s="15"/>
      <c r="U629" s="16"/>
      <c r="V629" s="17">
        <f t="shared" si="353"/>
        <v>0</v>
      </c>
      <c r="W629" s="18"/>
      <c r="X629" s="16"/>
      <c r="Y629" s="17">
        <f t="shared" si="354"/>
        <v>0</v>
      </c>
      <c r="Z629" s="17">
        <f t="shared" si="355"/>
        <v>0</v>
      </c>
    </row>
    <row r="630" spans="1:26" x14ac:dyDescent="0.15">
      <c r="A630" s="35" t="s">
        <v>273</v>
      </c>
      <c r="B630" s="15"/>
      <c r="C630" s="16">
        <v>4</v>
      </c>
      <c r="D630" s="36">
        <f t="shared" si="356"/>
        <v>4</v>
      </c>
      <c r="E630" s="18"/>
      <c r="F630" s="16"/>
      <c r="G630" s="36">
        <f t="shared" si="348"/>
        <v>0</v>
      </c>
      <c r="H630" s="17">
        <f t="shared" si="349"/>
        <v>4</v>
      </c>
      <c r="I630" s="81">
        <v>44718</v>
      </c>
      <c r="J630" s="77"/>
      <c r="K630" s="15"/>
      <c r="L630" s="16"/>
      <c r="M630" s="17">
        <f t="shared" si="350"/>
        <v>0</v>
      </c>
      <c r="N630" s="18"/>
      <c r="O630" s="16"/>
      <c r="P630" s="17">
        <f t="shared" si="351"/>
        <v>0</v>
      </c>
      <c r="Q630" s="17">
        <f t="shared" si="352"/>
        <v>0</v>
      </c>
      <c r="R630" s="81"/>
      <c r="S630" s="35"/>
      <c r="T630" s="15"/>
      <c r="U630" s="16"/>
      <c r="V630" s="36">
        <f t="shared" si="353"/>
        <v>0</v>
      </c>
      <c r="W630" s="18"/>
      <c r="X630" s="16"/>
      <c r="Y630" s="36">
        <f t="shared" si="354"/>
        <v>0</v>
      </c>
      <c r="Z630" s="17">
        <f t="shared" si="355"/>
        <v>0</v>
      </c>
    </row>
    <row r="631" spans="1:26" x14ac:dyDescent="0.15">
      <c r="A631" s="35" t="s">
        <v>33</v>
      </c>
      <c r="B631" s="15">
        <f>2+1</f>
        <v>3</v>
      </c>
      <c r="C631" s="16">
        <v>2</v>
      </c>
      <c r="D631" s="36">
        <f t="shared" si="356"/>
        <v>5</v>
      </c>
      <c r="E631" s="18">
        <f>5+1</f>
        <v>6</v>
      </c>
      <c r="F631" s="16">
        <v>2</v>
      </c>
      <c r="G631" s="36">
        <f t="shared" si="348"/>
        <v>8</v>
      </c>
      <c r="H631" s="17">
        <f t="shared" si="349"/>
        <v>13</v>
      </c>
      <c r="I631" s="81">
        <v>44711</v>
      </c>
      <c r="J631" s="52"/>
      <c r="K631" s="15"/>
      <c r="L631" s="16"/>
      <c r="M631" s="36">
        <f t="shared" si="350"/>
        <v>0</v>
      </c>
      <c r="N631" s="18"/>
      <c r="O631" s="16"/>
      <c r="P631" s="36">
        <f t="shared" si="351"/>
        <v>0</v>
      </c>
      <c r="Q631" s="17">
        <f t="shared" si="352"/>
        <v>0</v>
      </c>
      <c r="R631" s="81"/>
      <c r="S631" s="37"/>
      <c r="T631" s="15"/>
      <c r="U631" s="16"/>
      <c r="V631" s="36">
        <f t="shared" si="353"/>
        <v>0</v>
      </c>
      <c r="W631" s="18"/>
      <c r="X631" s="16"/>
      <c r="Y631" s="36">
        <f t="shared" si="354"/>
        <v>0</v>
      </c>
      <c r="Z631" s="17">
        <f t="shared" si="355"/>
        <v>0</v>
      </c>
    </row>
    <row r="632" spans="1:26" x14ac:dyDescent="0.15">
      <c r="A632" s="35" t="s">
        <v>33</v>
      </c>
      <c r="B632" s="15">
        <v>2</v>
      </c>
      <c r="C632" s="16"/>
      <c r="D632" s="36">
        <f t="shared" si="356"/>
        <v>2</v>
      </c>
      <c r="E632" s="18"/>
      <c r="F632" s="16"/>
      <c r="G632" s="36">
        <f t="shared" si="348"/>
        <v>0</v>
      </c>
      <c r="H632" s="17">
        <f t="shared" si="349"/>
        <v>2</v>
      </c>
      <c r="I632" s="81">
        <v>44712</v>
      </c>
      <c r="J632" s="35"/>
      <c r="K632" s="15"/>
      <c r="L632" s="16"/>
      <c r="M632" s="36">
        <f t="shared" si="350"/>
        <v>0</v>
      </c>
      <c r="N632" s="18"/>
      <c r="O632" s="16"/>
      <c r="P632" s="36">
        <f t="shared" si="351"/>
        <v>0</v>
      </c>
      <c r="Q632" s="17">
        <f t="shared" si="352"/>
        <v>0</v>
      </c>
      <c r="R632" s="81"/>
      <c r="S632" s="37"/>
      <c r="T632" s="15"/>
      <c r="U632" s="16"/>
      <c r="V632" s="36">
        <f t="shared" si="353"/>
        <v>0</v>
      </c>
      <c r="W632" s="18"/>
      <c r="X632" s="16"/>
      <c r="Y632" s="36">
        <f t="shared" si="354"/>
        <v>0</v>
      </c>
      <c r="Z632" s="17">
        <f t="shared" si="355"/>
        <v>0</v>
      </c>
    </row>
    <row r="633" spans="1:26" x14ac:dyDescent="0.15">
      <c r="A633" s="52" t="s">
        <v>275</v>
      </c>
      <c r="B633" s="15"/>
      <c r="C633" s="16">
        <v>1</v>
      </c>
      <c r="D633" s="36">
        <f t="shared" si="356"/>
        <v>1</v>
      </c>
      <c r="E633" s="18"/>
      <c r="F633" s="16">
        <v>1</v>
      </c>
      <c r="G633" s="36">
        <f t="shared" si="348"/>
        <v>1</v>
      </c>
      <c r="H633" s="17">
        <f t="shared" si="349"/>
        <v>2</v>
      </c>
      <c r="I633" s="81">
        <v>44714</v>
      </c>
      <c r="J633" s="77"/>
      <c r="K633" s="15"/>
      <c r="L633" s="16"/>
      <c r="M633" s="36">
        <f t="shared" si="350"/>
        <v>0</v>
      </c>
      <c r="N633" s="18"/>
      <c r="O633" s="16"/>
      <c r="P633" s="36">
        <f t="shared" si="351"/>
        <v>0</v>
      </c>
      <c r="Q633" s="17">
        <f t="shared" si="352"/>
        <v>0</v>
      </c>
      <c r="R633" s="81"/>
      <c r="S633" s="35"/>
      <c r="T633" s="15"/>
      <c r="U633" s="16"/>
      <c r="V633" s="36">
        <f t="shared" si="353"/>
        <v>0</v>
      </c>
      <c r="W633" s="18"/>
      <c r="X633" s="16"/>
      <c r="Y633" s="36">
        <f t="shared" si="354"/>
        <v>0</v>
      </c>
      <c r="Z633" s="17">
        <f t="shared" si="355"/>
        <v>0</v>
      </c>
    </row>
    <row r="634" spans="1:26" x14ac:dyDescent="0.15">
      <c r="A634" s="52" t="s">
        <v>277</v>
      </c>
      <c r="B634" s="15">
        <v>1</v>
      </c>
      <c r="C634" s="16"/>
      <c r="D634" s="36">
        <f t="shared" si="356"/>
        <v>1</v>
      </c>
      <c r="E634" s="18">
        <v>1</v>
      </c>
      <c r="F634" s="16"/>
      <c r="G634" s="36">
        <f t="shared" si="348"/>
        <v>1</v>
      </c>
      <c r="H634" s="17">
        <f t="shared" si="349"/>
        <v>2</v>
      </c>
      <c r="I634" s="81">
        <v>44715</v>
      </c>
      <c r="J634" s="38"/>
      <c r="K634" s="15"/>
      <c r="L634" s="16"/>
      <c r="M634" s="36">
        <f t="shared" si="350"/>
        <v>0</v>
      </c>
      <c r="N634" s="18"/>
      <c r="O634" s="16"/>
      <c r="P634" s="36">
        <f t="shared" si="351"/>
        <v>0</v>
      </c>
      <c r="Q634" s="17">
        <f t="shared" si="352"/>
        <v>0</v>
      </c>
      <c r="R634" s="83"/>
      <c r="S634" s="38"/>
      <c r="T634" s="15"/>
      <c r="U634" s="16"/>
      <c r="V634" s="36">
        <f t="shared" si="353"/>
        <v>0</v>
      </c>
      <c r="W634" s="18"/>
      <c r="X634" s="16"/>
      <c r="Y634" s="36">
        <f t="shared" si="354"/>
        <v>0</v>
      </c>
      <c r="Z634" s="17">
        <f t="shared" si="355"/>
        <v>0</v>
      </c>
    </row>
    <row r="635" spans="1:26" x14ac:dyDescent="0.15">
      <c r="A635" s="35" t="s">
        <v>33</v>
      </c>
      <c r="B635" s="15">
        <v>2</v>
      </c>
      <c r="C635" s="16"/>
      <c r="D635" s="36">
        <f t="shared" si="356"/>
        <v>2</v>
      </c>
      <c r="E635" s="18"/>
      <c r="F635" s="16"/>
      <c r="G635" s="36">
        <f t="shared" si="348"/>
        <v>0</v>
      </c>
      <c r="H635" s="17">
        <f t="shared" si="349"/>
        <v>2</v>
      </c>
      <c r="I635" s="84">
        <v>44714</v>
      </c>
      <c r="J635" s="35"/>
      <c r="K635" s="15"/>
      <c r="L635" s="16"/>
      <c r="M635" s="36">
        <f t="shared" si="350"/>
        <v>0</v>
      </c>
      <c r="N635" s="18"/>
      <c r="O635" s="16"/>
      <c r="P635" s="36">
        <f t="shared" si="351"/>
        <v>0</v>
      </c>
      <c r="Q635" s="17">
        <f t="shared" si="352"/>
        <v>0</v>
      </c>
      <c r="S635" s="35"/>
      <c r="T635" s="15"/>
      <c r="U635" s="16"/>
      <c r="V635" s="36">
        <f t="shared" si="353"/>
        <v>0</v>
      </c>
      <c r="W635" s="18"/>
      <c r="X635" s="16"/>
      <c r="Y635" s="36">
        <f t="shared" si="354"/>
        <v>0</v>
      </c>
      <c r="Z635" s="17">
        <f t="shared" si="355"/>
        <v>0</v>
      </c>
    </row>
    <row r="636" spans="1:26" x14ac:dyDescent="0.15">
      <c r="A636" s="52" t="s">
        <v>278</v>
      </c>
      <c r="B636" s="15">
        <v>4</v>
      </c>
      <c r="C636" s="16"/>
      <c r="D636" s="36">
        <f t="shared" si="356"/>
        <v>4</v>
      </c>
      <c r="E636" s="18">
        <v>4</v>
      </c>
      <c r="F636" s="16"/>
      <c r="G636" s="36">
        <f t="shared" si="348"/>
        <v>4</v>
      </c>
      <c r="H636" s="17">
        <f t="shared" si="349"/>
        <v>8</v>
      </c>
      <c r="I636" s="81">
        <v>44718</v>
      </c>
      <c r="J636" s="38"/>
      <c r="K636" s="15"/>
      <c r="L636" s="16"/>
      <c r="M636" s="36">
        <f t="shared" si="350"/>
        <v>0</v>
      </c>
      <c r="N636" s="18"/>
      <c r="O636" s="16"/>
      <c r="P636" s="36">
        <f t="shared" si="351"/>
        <v>0</v>
      </c>
      <c r="Q636" s="17">
        <f t="shared" si="352"/>
        <v>0</v>
      </c>
      <c r="S636" s="38"/>
      <c r="T636" s="15"/>
      <c r="U636" s="16"/>
      <c r="V636" s="36">
        <f t="shared" si="353"/>
        <v>0</v>
      </c>
      <c r="W636" s="18"/>
      <c r="X636" s="16"/>
      <c r="Y636" s="36">
        <f t="shared" si="354"/>
        <v>0</v>
      </c>
      <c r="Z636" s="17">
        <f t="shared" si="355"/>
        <v>0</v>
      </c>
    </row>
    <row r="637" spans="1:26" x14ac:dyDescent="0.15">
      <c r="A637" s="35" t="s">
        <v>33</v>
      </c>
      <c r="B637" s="15">
        <v>1</v>
      </c>
      <c r="C637" s="16"/>
      <c r="D637" s="36">
        <f t="shared" si="356"/>
        <v>1</v>
      </c>
      <c r="E637" s="18">
        <v>1</v>
      </c>
      <c r="F637" s="16">
        <v>1</v>
      </c>
      <c r="G637" s="36">
        <f t="shared" si="348"/>
        <v>2</v>
      </c>
      <c r="H637" s="17">
        <f t="shared" si="349"/>
        <v>3</v>
      </c>
      <c r="I637" s="84">
        <v>44715</v>
      </c>
      <c r="J637" s="35"/>
      <c r="K637" s="15"/>
      <c r="L637" s="16"/>
      <c r="M637" s="36">
        <f t="shared" si="350"/>
        <v>0</v>
      </c>
      <c r="N637" s="18"/>
      <c r="O637" s="16"/>
      <c r="P637" s="36">
        <f t="shared" si="351"/>
        <v>0</v>
      </c>
      <c r="Q637" s="17">
        <f t="shared" si="352"/>
        <v>0</v>
      </c>
      <c r="R637" s="83"/>
      <c r="S637" s="35"/>
      <c r="T637" s="15"/>
      <c r="U637" s="16"/>
      <c r="V637" s="36">
        <f t="shared" si="353"/>
        <v>0</v>
      </c>
      <c r="W637" s="18"/>
      <c r="X637" s="16"/>
      <c r="Y637" s="36">
        <f t="shared" si="354"/>
        <v>0</v>
      </c>
      <c r="Z637" s="17">
        <f t="shared" si="355"/>
        <v>0</v>
      </c>
    </row>
    <row r="638" spans="1:26" x14ac:dyDescent="0.15">
      <c r="A638" s="35" t="s">
        <v>33</v>
      </c>
      <c r="B638" s="15"/>
      <c r="C638" s="16"/>
      <c r="D638" s="17">
        <f>SUM(B638:C638)</f>
        <v>0</v>
      </c>
      <c r="E638" s="18">
        <v>2</v>
      </c>
      <c r="F638" s="16">
        <v>1</v>
      </c>
      <c r="G638" s="17">
        <f t="shared" si="348"/>
        <v>3</v>
      </c>
      <c r="H638" s="17">
        <f t="shared" si="349"/>
        <v>3</v>
      </c>
      <c r="I638" s="84">
        <v>44716</v>
      </c>
      <c r="J638" s="35"/>
      <c r="K638" s="15"/>
      <c r="L638" s="16"/>
      <c r="M638" s="36">
        <f t="shared" si="350"/>
        <v>0</v>
      </c>
      <c r="N638" s="18"/>
      <c r="O638" s="16"/>
      <c r="P638" s="36">
        <f t="shared" si="351"/>
        <v>0</v>
      </c>
      <c r="Q638" s="17">
        <f t="shared" si="352"/>
        <v>0</v>
      </c>
      <c r="R638" s="81"/>
      <c r="S638" s="35"/>
      <c r="T638" s="15"/>
      <c r="U638" s="16"/>
      <c r="V638" s="36">
        <f t="shared" si="353"/>
        <v>0</v>
      </c>
      <c r="W638" s="18"/>
      <c r="X638" s="16"/>
      <c r="Y638" s="36">
        <f t="shared" si="354"/>
        <v>0</v>
      </c>
      <c r="Z638" s="17">
        <f t="shared" si="355"/>
        <v>0</v>
      </c>
    </row>
    <row r="639" spans="1:26" x14ac:dyDescent="0.15">
      <c r="A639" s="35" t="s">
        <v>33</v>
      </c>
      <c r="B639" s="15">
        <f>1+5+1</f>
        <v>7</v>
      </c>
      <c r="C639" s="16">
        <v>2</v>
      </c>
      <c r="D639" s="36">
        <f t="shared" ref="D639" si="357">SUM(B639:C639)</f>
        <v>9</v>
      </c>
      <c r="E639" s="18">
        <f>3+4</f>
        <v>7</v>
      </c>
      <c r="F639" s="16"/>
      <c r="G639" s="36">
        <f t="shared" si="348"/>
        <v>7</v>
      </c>
      <c r="H639" s="17">
        <f t="shared" si="349"/>
        <v>16</v>
      </c>
      <c r="I639" s="84">
        <v>44718</v>
      </c>
      <c r="J639" s="35"/>
      <c r="K639" s="15"/>
      <c r="L639" s="16"/>
      <c r="M639" s="36">
        <f t="shared" si="350"/>
        <v>0</v>
      </c>
      <c r="N639" s="18"/>
      <c r="O639" s="16"/>
      <c r="P639" s="36">
        <f t="shared" si="351"/>
        <v>0</v>
      </c>
      <c r="Q639" s="17">
        <f t="shared" si="352"/>
        <v>0</v>
      </c>
      <c r="R639" s="81"/>
      <c r="S639" s="35"/>
      <c r="T639" s="15"/>
      <c r="U639" s="16"/>
      <c r="V639" s="36">
        <f t="shared" si="353"/>
        <v>0</v>
      </c>
      <c r="W639" s="18"/>
      <c r="X639" s="16"/>
      <c r="Y639" s="36">
        <f t="shared" si="354"/>
        <v>0</v>
      </c>
      <c r="Z639" s="17">
        <f t="shared" si="355"/>
        <v>0</v>
      </c>
    </row>
    <row r="640" spans="1:26" x14ac:dyDescent="0.15">
      <c r="A640" s="35" t="s">
        <v>33</v>
      </c>
      <c r="B640" s="15">
        <v>1</v>
      </c>
      <c r="C640" s="16"/>
      <c r="D640" s="17">
        <f>SUM(B640:C640)</f>
        <v>1</v>
      </c>
      <c r="E640" s="18"/>
      <c r="F640" s="16">
        <v>2</v>
      </c>
      <c r="G640" s="17">
        <f t="shared" si="348"/>
        <v>2</v>
      </c>
      <c r="H640" s="17">
        <f t="shared" si="349"/>
        <v>3</v>
      </c>
      <c r="I640" s="81">
        <v>44719</v>
      </c>
      <c r="J640" s="35"/>
      <c r="K640" s="15"/>
      <c r="L640" s="16"/>
      <c r="M640" s="36">
        <f t="shared" ref="M640" si="358">SUM(K640:L640)</f>
        <v>0</v>
      </c>
      <c r="N640" s="18"/>
      <c r="O640" s="16"/>
      <c r="P640" s="36">
        <f t="shared" ref="P640" si="359">SUM(N640:O640)</f>
        <v>0</v>
      </c>
      <c r="Q640" s="17">
        <f t="shared" ref="Q640" si="360">M640+P640</f>
        <v>0</v>
      </c>
      <c r="R640" s="81"/>
      <c r="S640" s="35"/>
      <c r="T640" s="15"/>
      <c r="U640" s="16"/>
      <c r="V640" s="36">
        <f t="shared" si="353"/>
        <v>0</v>
      </c>
      <c r="W640" s="18"/>
      <c r="X640" s="16"/>
      <c r="Y640" s="36">
        <f t="shared" si="354"/>
        <v>0</v>
      </c>
      <c r="Z640" s="17">
        <f t="shared" si="355"/>
        <v>0</v>
      </c>
    </row>
    <row r="641" spans="1:26" ht="14.25" thickBot="1" x14ac:dyDescent="0.2">
      <c r="A641" s="52" t="s">
        <v>281</v>
      </c>
      <c r="B641" s="15">
        <v>3</v>
      </c>
      <c r="C641" s="16"/>
      <c r="D641" s="36">
        <f t="shared" ref="D641:D643" si="361">SUM(B641:C641)</f>
        <v>3</v>
      </c>
      <c r="E641" s="18">
        <v>3</v>
      </c>
      <c r="F641" s="16"/>
      <c r="G641" s="36">
        <f t="shared" si="348"/>
        <v>3</v>
      </c>
      <c r="H641" s="17">
        <f t="shared" si="349"/>
        <v>6</v>
      </c>
      <c r="I641" s="81">
        <v>44725</v>
      </c>
      <c r="J641" s="35" t="s">
        <v>251</v>
      </c>
      <c r="K641" s="15"/>
      <c r="L641" s="16"/>
      <c r="M641" s="36">
        <f t="shared" ref="M641" si="362">SUM(K641:L641)</f>
        <v>0</v>
      </c>
      <c r="N641" s="18"/>
      <c r="O641" s="16"/>
      <c r="P641" s="36">
        <f t="shared" ref="P641" si="363">SUM(N641:O641)</f>
        <v>0</v>
      </c>
      <c r="Q641" s="17">
        <f t="shared" ref="Q641" si="364">M641+P641</f>
        <v>0</v>
      </c>
      <c r="R641" s="81" t="s">
        <v>252</v>
      </c>
      <c r="S641" s="35"/>
      <c r="T641" s="15"/>
      <c r="U641" s="16"/>
      <c r="V641" s="36">
        <f t="shared" si="353"/>
        <v>0</v>
      </c>
      <c r="W641" s="18"/>
      <c r="X641" s="16"/>
      <c r="Y641" s="36">
        <f t="shared" si="354"/>
        <v>0</v>
      </c>
      <c r="Z641" s="17">
        <f t="shared" si="355"/>
        <v>0</v>
      </c>
    </row>
    <row r="642" spans="1:26" ht="14.25" thickBot="1" x14ac:dyDescent="0.2">
      <c r="A642" s="40" t="s">
        <v>14</v>
      </c>
      <c r="B642" s="41">
        <f>SUM(B616:B641)</f>
        <v>34</v>
      </c>
      <c r="C642" s="42">
        <f t="shared" ref="C642" si="365">SUM(C616:C641)</f>
        <v>25</v>
      </c>
      <c r="D642" s="43">
        <f t="shared" si="361"/>
        <v>59</v>
      </c>
      <c r="E642" s="41">
        <f>SUM(E616:E641)</f>
        <v>45</v>
      </c>
      <c r="F642" s="42">
        <f t="shared" ref="F642" si="366">SUM(F616:F641)</f>
        <v>28</v>
      </c>
      <c r="G642" s="43">
        <f t="shared" si="348"/>
        <v>73</v>
      </c>
      <c r="H642" s="43">
        <f t="shared" si="349"/>
        <v>132</v>
      </c>
      <c r="J642" s="40" t="s">
        <v>14</v>
      </c>
      <c r="K642" s="41">
        <f>SUM(K616:K641)</f>
        <v>63</v>
      </c>
      <c r="L642" s="42">
        <f t="shared" ref="L642" si="367">SUM(L616:L641)</f>
        <v>51</v>
      </c>
      <c r="M642" s="43">
        <f t="shared" ref="M642:M643" si="368">SUM(K642:L642)</f>
        <v>114</v>
      </c>
      <c r="N642" s="41">
        <f>SUM(N616:N641)</f>
        <v>76</v>
      </c>
      <c r="O642" s="42">
        <f t="shared" ref="O642" si="369">SUM(O616:O641)</f>
        <v>46</v>
      </c>
      <c r="P642" s="43">
        <f t="shared" ref="P642:P643" si="370">SUM(N642:O642)</f>
        <v>122</v>
      </c>
      <c r="Q642" s="43">
        <f t="shared" si="352"/>
        <v>236</v>
      </c>
      <c r="S642" s="40" t="s">
        <v>14</v>
      </c>
      <c r="T642" s="41">
        <f>SUM(T616:T641)</f>
        <v>0</v>
      </c>
      <c r="U642" s="42">
        <f t="shared" ref="U642" si="371">SUM(U616:U641)</f>
        <v>0</v>
      </c>
      <c r="V642" s="43">
        <f t="shared" si="353"/>
        <v>0</v>
      </c>
      <c r="W642" s="41">
        <f>SUM(W616:W641)</f>
        <v>0</v>
      </c>
      <c r="X642" s="42">
        <f t="shared" ref="X642" si="372">SUM(X616:X641)</f>
        <v>0</v>
      </c>
      <c r="Y642" s="43">
        <f t="shared" si="354"/>
        <v>0</v>
      </c>
      <c r="Z642" s="43">
        <f t="shared" si="355"/>
        <v>0</v>
      </c>
    </row>
    <row r="643" spans="1:26" ht="14.25" thickBot="1" x14ac:dyDescent="0.2">
      <c r="A643" s="44" t="s">
        <v>15</v>
      </c>
      <c r="B643" s="45">
        <f>B615-B642</f>
        <v>19</v>
      </c>
      <c r="C643" s="46">
        <f t="shared" ref="C643" si="373">C615-C642</f>
        <v>15</v>
      </c>
      <c r="D643" s="47">
        <f t="shared" si="361"/>
        <v>34</v>
      </c>
      <c r="E643" s="45">
        <f>E615-E642</f>
        <v>21</v>
      </c>
      <c r="F643" s="46">
        <f t="shared" ref="F643" si="374">F615-F642</f>
        <v>14</v>
      </c>
      <c r="G643" s="47">
        <f t="shared" si="348"/>
        <v>35</v>
      </c>
      <c r="H643" s="34">
        <f t="shared" si="349"/>
        <v>69</v>
      </c>
      <c r="J643" s="44" t="s">
        <v>15</v>
      </c>
      <c r="K643" s="45">
        <f>K615-K642</f>
        <v>822</v>
      </c>
      <c r="L643" s="46">
        <f t="shared" ref="L643" si="375">L615-L642</f>
        <v>503</v>
      </c>
      <c r="M643" s="47">
        <f t="shared" si="368"/>
        <v>1325</v>
      </c>
      <c r="N643" s="45">
        <f>N615-N642</f>
        <v>505</v>
      </c>
      <c r="O643" s="46">
        <f t="shared" ref="O643" si="376">O615-O642</f>
        <v>222</v>
      </c>
      <c r="P643" s="47">
        <f t="shared" si="370"/>
        <v>727</v>
      </c>
      <c r="Q643" s="34">
        <f t="shared" si="352"/>
        <v>2052</v>
      </c>
      <c r="S643" s="44" t="s">
        <v>15</v>
      </c>
      <c r="T643" s="45">
        <f>T615-T642</f>
        <v>1011</v>
      </c>
      <c r="U643" s="46">
        <f t="shared" ref="U643" si="377">U615-U642</f>
        <v>715</v>
      </c>
      <c r="V643" s="47">
        <f t="shared" si="353"/>
        <v>1726</v>
      </c>
      <c r="W643" s="45">
        <f>W615-W642</f>
        <v>1532</v>
      </c>
      <c r="X643" s="46">
        <f t="shared" ref="X643" si="378">X615-X642</f>
        <v>783</v>
      </c>
      <c r="Y643" s="47">
        <f t="shared" si="354"/>
        <v>2315</v>
      </c>
      <c r="Z643" s="34">
        <f t="shared" si="355"/>
        <v>4041</v>
      </c>
    </row>
    <row r="646" spans="1:26" ht="19.5" thickBot="1" x14ac:dyDescent="0.25">
      <c r="A646" s="1" t="s">
        <v>23</v>
      </c>
      <c r="J646" s="1" t="s">
        <v>24</v>
      </c>
      <c r="K646" s="2"/>
      <c r="L646" s="2"/>
      <c r="M646" s="2"/>
      <c r="N646" s="2"/>
      <c r="O646" s="1" t="s">
        <v>34</v>
      </c>
      <c r="P646" s="2"/>
      <c r="Q646" s="2"/>
      <c r="S646" s="1" t="s">
        <v>24</v>
      </c>
      <c r="T646" s="2"/>
      <c r="U646" s="2"/>
      <c r="V646" s="2"/>
      <c r="W646" s="2"/>
      <c r="X646" s="1" t="s">
        <v>34</v>
      </c>
      <c r="Y646" s="2"/>
      <c r="Z646" s="2"/>
    </row>
    <row r="647" spans="1:26" ht="14.25" thickBot="1" x14ac:dyDescent="0.2">
      <c r="A647" s="3" t="s">
        <v>0</v>
      </c>
      <c r="B647" s="125" t="s">
        <v>18</v>
      </c>
      <c r="C647" s="126"/>
      <c r="D647" s="127"/>
      <c r="E647" s="125" t="s">
        <v>19</v>
      </c>
      <c r="F647" s="126"/>
      <c r="G647" s="128"/>
      <c r="H647" s="129" t="s">
        <v>1</v>
      </c>
      <c r="J647" s="3" t="s">
        <v>0</v>
      </c>
      <c r="K647" s="125" t="s">
        <v>18</v>
      </c>
      <c r="L647" s="126"/>
      <c r="M647" s="127"/>
      <c r="N647" s="125" t="s">
        <v>19</v>
      </c>
      <c r="O647" s="126"/>
      <c r="P647" s="128"/>
      <c r="Q647" s="129" t="s">
        <v>1</v>
      </c>
      <c r="S647" s="3" t="s">
        <v>0</v>
      </c>
      <c r="T647" s="125" t="s">
        <v>18</v>
      </c>
      <c r="U647" s="126"/>
      <c r="V647" s="127"/>
      <c r="W647" s="125" t="s">
        <v>19</v>
      </c>
      <c r="X647" s="126"/>
      <c r="Y647" s="128"/>
      <c r="Z647" s="129" t="s">
        <v>1</v>
      </c>
    </row>
    <row r="648" spans="1:26" ht="14.25" thickBot="1" x14ac:dyDescent="0.2">
      <c r="A648" s="3" t="s">
        <v>2</v>
      </c>
      <c r="B648" s="4" t="s">
        <v>16</v>
      </c>
      <c r="C648" s="5" t="s">
        <v>17</v>
      </c>
      <c r="D648" s="3" t="s">
        <v>3</v>
      </c>
      <c r="E648" s="4" t="s">
        <v>16</v>
      </c>
      <c r="F648" s="5" t="s">
        <v>17</v>
      </c>
      <c r="G648" s="3" t="s">
        <v>3</v>
      </c>
      <c r="H648" s="130"/>
      <c r="J648" s="3" t="s">
        <v>2</v>
      </c>
      <c r="K648" s="4" t="s">
        <v>16</v>
      </c>
      <c r="L648" s="5" t="s">
        <v>17</v>
      </c>
      <c r="M648" s="3" t="s">
        <v>3</v>
      </c>
      <c r="N648" s="4" t="s">
        <v>16</v>
      </c>
      <c r="O648" s="5" t="s">
        <v>17</v>
      </c>
      <c r="P648" s="3" t="s">
        <v>3</v>
      </c>
      <c r="Q648" s="130"/>
      <c r="S648" s="3" t="s">
        <v>2</v>
      </c>
      <c r="T648" s="4" t="s">
        <v>16</v>
      </c>
      <c r="U648" s="5" t="s">
        <v>17</v>
      </c>
      <c r="V648" s="3" t="s">
        <v>3</v>
      </c>
      <c r="W648" s="4" t="s">
        <v>16</v>
      </c>
      <c r="X648" s="5" t="s">
        <v>17</v>
      </c>
      <c r="Y648" s="3" t="s">
        <v>3</v>
      </c>
      <c r="Z648" s="130"/>
    </row>
    <row r="649" spans="1:26" ht="14.25" thickBot="1" x14ac:dyDescent="0.2">
      <c r="A649" s="6" t="s">
        <v>55</v>
      </c>
      <c r="B649" s="32">
        <f>B643</f>
        <v>19</v>
      </c>
      <c r="C649" s="33">
        <f>C643</f>
        <v>15</v>
      </c>
      <c r="D649" s="34">
        <f t="shared" ref="D649:D661" si="379">SUM(B649:C649)</f>
        <v>34</v>
      </c>
      <c r="E649" s="32">
        <f>E643</f>
        <v>21</v>
      </c>
      <c r="F649" s="33">
        <f>F643</f>
        <v>14</v>
      </c>
      <c r="G649" s="34">
        <f t="shared" ref="G649:G686" si="380">SUM(E649:F649)</f>
        <v>35</v>
      </c>
      <c r="H649" s="34">
        <f t="shared" ref="H649:H686" si="381">D649+G649</f>
        <v>69</v>
      </c>
      <c r="J649" s="6" t="s">
        <v>55</v>
      </c>
      <c r="K649" s="7">
        <f>K643</f>
        <v>822</v>
      </c>
      <c r="L649" s="8">
        <f>L643</f>
        <v>503</v>
      </c>
      <c r="M649" s="9">
        <f t="shared" ref="M649:M686" si="382">SUM(K649:L649)</f>
        <v>1325</v>
      </c>
      <c r="N649" s="7">
        <f>N643</f>
        <v>505</v>
      </c>
      <c r="O649" s="8">
        <f>O643</f>
        <v>222</v>
      </c>
      <c r="P649" s="9">
        <f t="shared" ref="P649:P686" si="383">SUM(N649:O649)</f>
        <v>727</v>
      </c>
      <c r="Q649" s="9">
        <f t="shared" ref="Q649:Q686" si="384">M649+P649</f>
        <v>2052</v>
      </c>
      <c r="S649" s="6" t="s">
        <v>55</v>
      </c>
      <c r="T649" s="7">
        <f>T643</f>
        <v>1011</v>
      </c>
      <c r="U649" s="8">
        <f>U643</f>
        <v>715</v>
      </c>
      <c r="V649" s="9">
        <f t="shared" ref="V649:V686" si="385">SUM(T649:U649)</f>
        <v>1726</v>
      </c>
      <c r="W649" s="7">
        <f>W643</f>
        <v>1532</v>
      </c>
      <c r="X649" s="8">
        <f>X643</f>
        <v>783</v>
      </c>
      <c r="Y649" s="9">
        <f t="shared" ref="Y649:Y686" si="386">SUM(W649:X649)</f>
        <v>2315</v>
      </c>
      <c r="Z649" s="9">
        <f t="shared" ref="Z649:Z686" si="387">V649+Y649</f>
        <v>4041</v>
      </c>
    </row>
    <row r="650" spans="1:26" x14ac:dyDescent="0.15">
      <c r="A650" s="10" t="s">
        <v>61</v>
      </c>
      <c r="B650" s="64"/>
      <c r="C650" s="65">
        <v>1</v>
      </c>
      <c r="D650" s="36">
        <f t="shared" si="379"/>
        <v>1</v>
      </c>
      <c r="E650" s="66"/>
      <c r="F650" s="65">
        <v>1</v>
      </c>
      <c r="G650" s="36">
        <f t="shared" si="380"/>
        <v>1</v>
      </c>
      <c r="H650" s="36">
        <f t="shared" si="381"/>
        <v>2</v>
      </c>
      <c r="I650" s="81">
        <v>44722</v>
      </c>
      <c r="J650" s="10" t="s">
        <v>5</v>
      </c>
      <c r="K650" s="11"/>
      <c r="L650" s="12"/>
      <c r="M650" s="13">
        <f t="shared" si="382"/>
        <v>0</v>
      </c>
      <c r="N650" s="62"/>
      <c r="O650" s="12"/>
      <c r="P650" s="13">
        <f t="shared" si="383"/>
        <v>0</v>
      </c>
      <c r="Q650" s="13">
        <f t="shared" si="384"/>
        <v>0</v>
      </c>
      <c r="S650" s="10" t="s">
        <v>5</v>
      </c>
      <c r="T650" s="11"/>
      <c r="U650" s="12"/>
      <c r="V650" s="13">
        <f t="shared" si="385"/>
        <v>0</v>
      </c>
      <c r="W650" s="62"/>
      <c r="X650" s="12"/>
      <c r="Y650" s="13">
        <f t="shared" si="386"/>
        <v>0</v>
      </c>
      <c r="Z650" s="13">
        <f t="shared" si="387"/>
        <v>0</v>
      </c>
    </row>
    <row r="651" spans="1:26" x14ac:dyDescent="0.15">
      <c r="A651" s="10" t="s">
        <v>6</v>
      </c>
      <c r="B651" s="15">
        <v>5</v>
      </c>
      <c r="C651" s="16">
        <v>5</v>
      </c>
      <c r="D651" s="17">
        <f t="shared" si="379"/>
        <v>10</v>
      </c>
      <c r="E651" s="18">
        <v>5</v>
      </c>
      <c r="F651" s="16">
        <v>5</v>
      </c>
      <c r="G651" s="17">
        <f t="shared" si="380"/>
        <v>10</v>
      </c>
      <c r="H651" s="17">
        <f t="shared" si="381"/>
        <v>20</v>
      </c>
      <c r="I651" s="81">
        <v>44728</v>
      </c>
      <c r="J651" s="10" t="s">
        <v>6</v>
      </c>
      <c r="K651" s="15"/>
      <c r="L651" s="16"/>
      <c r="M651" s="17">
        <f t="shared" si="382"/>
        <v>0</v>
      </c>
      <c r="N651" s="18"/>
      <c r="O651" s="16"/>
      <c r="P651" s="17">
        <f t="shared" si="383"/>
        <v>0</v>
      </c>
      <c r="Q651" s="17">
        <f t="shared" si="384"/>
        <v>0</v>
      </c>
      <c r="R651" s="81"/>
      <c r="S651" s="10" t="s">
        <v>6</v>
      </c>
      <c r="T651" s="15"/>
      <c r="U651" s="16"/>
      <c r="V651" s="17">
        <f t="shared" si="385"/>
        <v>0</v>
      </c>
      <c r="W651" s="18"/>
      <c r="X651" s="16"/>
      <c r="Y651" s="17">
        <f t="shared" si="386"/>
        <v>0</v>
      </c>
      <c r="Z651" s="17">
        <f t="shared" si="387"/>
        <v>0</v>
      </c>
    </row>
    <row r="652" spans="1:26" x14ac:dyDescent="0.15">
      <c r="A652" s="10" t="s">
        <v>267</v>
      </c>
      <c r="B652" s="15">
        <v>3</v>
      </c>
      <c r="C652" s="16">
        <v>7</v>
      </c>
      <c r="D652" s="17">
        <f t="shared" si="379"/>
        <v>10</v>
      </c>
      <c r="E652" s="18">
        <v>1</v>
      </c>
      <c r="F652" s="16">
        <v>3</v>
      </c>
      <c r="G652" s="17">
        <f t="shared" si="380"/>
        <v>4</v>
      </c>
      <c r="H652" s="17">
        <f t="shared" si="381"/>
        <v>14</v>
      </c>
      <c r="I652" s="81">
        <v>44728</v>
      </c>
      <c r="J652" s="10" t="s">
        <v>7</v>
      </c>
      <c r="K652" s="19"/>
      <c r="L652" s="20"/>
      <c r="M652" s="17">
        <f t="shared" si="382"/>
        <v>0</v>
      </c>
      <c r="N652" s="21"/>
      <c r="O652" s="20"/>
      <c r="P652" s="17">
        <f t="shared" si="383"/>
        <v>0</v>
      </c>
      <c r="Q652" s="17">
        <f t="shared" si="384"/>
        <v>0</v>
      </c>
      <c r="R652" s="81"/>
      <c r="S652" s="10" t="s">
        <v>7</v>
      </c>
      <c r="T652" s="19"/>
      <c r="U652" s="20"/>
      <c r="V652" s="17">
        <f t="shared" si="385"/>
        <v>0</v>
      </c>
      <c r="W652" s="21"/>
      <c r="X652" s="20"/>
      <c r="Y652" s="17">
        <f t="shared" si="386"/>
        <v>0</v>
      </c>
      <c r="Z652" s="17">
        <f t="shared" si="387"/>
        <v>0</v>
      </c>
    </row>
    <row r="653" spans="1:26" x14ac:dyDescent="0.15">
      <c r="A653" s="10" t="s">
        <v>8</v>
      </c>
      <c r="B653" s="15">
        <v>5</v>
      </c>
      <c r="C653" s="16">
        <v>10</v>
      </c>
      <c r="D653" s="17">
        <f t="shared" si="379"/>
        <v>15</v>
      </c>
      <c r="E653" s="18">
        <v>10</v>
      </c>
      <c r="F653" s="16">
        <v>10</v>
      </c>
      <c r="G653" s="17">
        <f t="shared" si="380"/>
        <v>20</v>
      </c>
      <c r="H653" s="17">
        <f t="shared" si="381"/>
        <v>35</v>
      </c>
      <c r="I653" s="81">
        <v>44734</v>
      </c>
      <c r="J653" s="10" t="s">
        <v>8</v>
      </c>
      <c r="K653" s="15"/>
      <c r="L653" s="16"/>
      <c r="M653" s="17">
        <f t="shared" si="382"/>
        <v>0</v>
      </c>
      <c r="N653" s="18"/>
      <c r="O653" s="16"/>
      <c r="P653" s="17">
        <f t="shared" si="383"/>
        <v>0</v>
      </c>
      <c r="Q653" s="17">
        <f t="shared" si="384"/>
        <v>0</v>
      </c>
      <c r="R653" s="83"/>
      <c r="S653" s="10" t="s">
        <v>8</v>
      </c>
      <c r="T653" s="15"/>
      <c r="U653" s="16"/>
      <c r="V653" s="17">
        <f t="shared" si="385"/>
        <v>0</v>
      </c>
      <c r="W653" s="18"/>
      <c r="X653" s="16"/>
      <c r="Y653" s="17">
        <f t="shared" si="386"/>
        <v>0</v>
      </c>
      <c r="Z653" s="17">
        <f t="shared" si="387"/>
        <v>0</v>
      </c>
    </row>
    <row r="654" spans="1:26" x14ac:dyDescent="0.15">
      <c r="A654" s="10" t="s">
        <v>61</v>
      </c>
      <c r="B654" s="15">
        <v>1</v>
      </c>
      <c r="C654" s="16"/>
      <c r="D654" s="17">
        <f t="shared" si="379"/>
        <v>1</v>
      </c>
      <c r="E654" s="18">
        <v>1</v>
      </c>
      <c r="F654" s="16"/>
      <c r="G654" s="17">
        <f t="shared" si="380"/>
        <v>1</v>
      </c>
      <c r="H654" s="17">
        <f t="shared" si="381"/>
        <v>2</v>
      </c>
      <c r="I654" s="81">
        <v>44736</v>
      </c>
      <c r="J654" s="10" t="s">
        <v>9</v>
      </c>
      <c r="K654" s="15"/>
      <c r="L654" s="16"/>
      <c r="M654" s="17">
        <f t="shared" si="382"/>
        <v>0</v>
      </c>
      <c r="N654" s="18"/>
      <c r="O654" s="16"/>
      <c r="P654" s="17">
        <f t="shared" si="383"/>
        <v>0</v>
      </c>
      <c r="Q654" s="17">
        <f t="shared" si="384"/>
        <v>0</v>
      </c>
      <c r="R654" s="83"/>
      <c r="S654" s="10" t="s">
        <v>9</v>
      </c>
      <c r="T654" s="15"/>
      <c r="U654" s="16"/>
      <c r="V654" s="17">
        <f t="shared" si="385"/>
        <v>0</v>
      </c>
      <c r="W654" s="18"/>
      <c r="X654" s="16"/>
      <c r="Y654" s="17">
        <f t="shared" si="386"/>
        <v>0</v>
      </c>
      <c r="Z654" s="17">
        <f t="shared" si="387"/>
        <v>0</v>
      </c>
    </row>
    <row r="655" spans="1:26" x14ac:dyDescent="0.15">
      <c r="A655" s="10" t="s">
        <v>10</v>
      </c>
      <c r="B655" s="15">
        <v>5</v>
      </c>
      <c r="C655" s="16">
        <v>5</v>
      </c>
      <c r="D655" s="17">
        <f t="shared" si="379"/>
        <v>10</v>
      </c>
      <c r="E655" s="18">
        <v>10</v>
      </c>
      <c r="F655" s="16">
        <v>5</v>
      </c>
      <c r="G655" s="17">
        <f t="shared" si="380"/>
        <v>15</v>
      </c>
      <c r="H655" s="17">
        <f t="shared" si="381"/>
        <v>25</v>
      </c>
      <c r="I655" s="81">
        <v>44742</v>
      </c>
      <c r="J655" s="10" t="s">
        <v>10</v>
      </c>
      <c r="K655" s="15"/>
      <c r="L655" s="16"/>
      <c r="M655" s="17">
        <f t="shared" si="382"/>
        <v>0</v>
      </c>
      <c r="N655" s="18"/>
      <c r="O655" s="16"/>
      <c r="P655" s="17">
        <f t="shared" si="383"/>
        <v>0</v>
      </c>
      <c r="Q655" s="17">
        <f t="shared" si="384"/>
        <v>0</v>
      </c>
      <c r="S655" s="10" t="s">
        <v>10</v>
      </c>
      <c r="T655" s="15"/>
      <c r="U655" s="16"/>
      <c r="V655" s="17">
        <f t="shared" si="385"/>
        <v>0</v>
      </c>
      <c r="W655" s="18"/>
      <c r="X655" s="16"/>
      <c r="Y655" s="17">
        <f t="shared" si="386"/>
        <v>0</v>
      </c>
      <c r="Z655" s="17">
        <f t="shared" si="387"/>
        <v>0</v>
      </c>
    </row>
    <row r="656" spans="1:26" x14ac:dyDescent="0.15">
      <c r="A656" s="10" t="s">
        <v>11</v>
      </c>
      <c r="B656" s="23">
        <v>10</v>
      </c>
      <c r="C656" s="24">
        <v>10</v>
      </c>
      <c r="D656" s="17">
        <f t="shared" si="379"/>
        <v>20</v>
      </c>
      <c r="E656" s="25">
        <v>10</v>
      </c>
      <c r="F656" s="24">
        <v>10</v>
      </c>
      <c r="G656" s="17">
        <f t="shared" si="380"/>
        <v>20</v>
      </c>
      <c r="H656" s="17">
        <f t="shared" si="381"/>
        <v>40</v>
      </c>
      <c r="I656" s="81">
        <v>44750</v>
      </c>
      <c r="J656" s="10" t="s">
        <v>11</v>
      </c>
      <c r="K656" s="23"/>
      <c r="L656" s="24"/>
      <c r="M656" s="17">
        <f t="shared" si="382"/>
        <v>0</v>
      </c>
      <c r="N656" s="25"/>
      <c r="O656" s="24"/>
      <c r="P656" s="17">
        <f t="shared" si="383"/>
        <v>0</v>
      </c>
      <c r="Q656" s="17">
        <f t="shared" si="384"/>
        <v>0</v>
      </c>
      <c r="S656" s="10" t="s">
        <v>11</v>
      </c>
      <c r="T656" s="23"/>
      <c r="U656" s="24"/>
      <c r="V656" s="17">
        <f t="shared" si="385"/>
        <v>0</v>
      </c>
      <c r="W656" s="25"/>
      <c r="X656" s="24"/>
      <c r="Y656" s="17">
        <f t="shared" si="386"/>
        <v>0</v>
      </c>
      <c r="Z656" s="17">
        <f t="shared" si="387"/>
        <v>0</v>
      </c>
    </row>
    <row r="657" spans="1:26" ht="14.25" thickBot="1" x14ac:dyDescent="0.2">
      <c r="A657" s="10" t="s">
        <v>12</v>
      </c>
      <c r="B657" s="26"/>
      <c r="C657" s="27"/>
      <c r="D657" s="28">
        <f t="shared" si="379"/>
        <v>0</v>
      </c>
      <c r="E657" s="29"/>
      <c r="F657" s="29"/>
      <c r="G657" s="28">
        <f t="shared" si="380"/>
        <v>0</v>
      </c>
      <c r="H657" s="30">
        <f t="shared" si="381"/>
        <v>0</v>
      </c>
      <c r="I657" s="81"/>
      <c r="J657" s="10" t="s">
        <v>12</v>
      </c>
      <c r="K657" s="26"/>
      <c r="L657" s="27"/>
      <c r="M657" s="28">
        <f t="shared" si="382"/>
        <v>0</v>
      </c>
      <c r="N657" s="29"/>
      <c r="O657" s="29"/>
      <c r="P657" s="28">
        <f t="shared" si="383"/>
        <v>0</v>
      </c>
      <c r="Q657" s="30">
        <f t="shared" si="384"/>
        <v>0</v>
      </c>
      <c r="S657" s="10" t="s">
        <v>12</v>
      </c>
      <c r="T657" s="26"/>
      <c r="U657" s="27"/>
      <c r="V657" s="28">
        <f t="shared" si="385"/>
        <v>0</v>
      </c>
      <c r="W657" s="29"/>
      <c r="X657" s="29"/>
      <c r="Y657" s="28">
        <f t="shared" si="386"/>
        <v>0</v>
      </c>
      <c r="Z657" s="30">
        <f t="shared" si="387"/>
        <v>0</v>
      </c>
    </row>
    <row r="658" spans="1:26" ht="14.25" thickBot="1" x14ac:dyDescent="0.2">
      <c r="A658" s="31" t="s">
        <v>13</v>
      </c>
      <c r="B658" s="32">
        <f>SUM(B649:B657)</f>
        <v>48</v>
      </c>
      <c r="C658" s="33">
        <f>SUM(C649:C657)</f>
        <v>53</v>
      </c>
      <c r="D658" s="34">
        <f t="shared" si="379"/>
        <v>101</v>
      </c>
      <c r="E658" s="32">
        <f>SUM(E649:E657)</f>
        <v>58</v>
      </c>
      <c r="F658" s="33">
        <f>SUM(F649:F657)</f>
        <v>48</v>
      </c>
      <c r="G658" s="34">
        <f t="shared" si="380"/>
        <v>106</v>
      </c>
      <c r="H658" s="34">
        <f t="shared" si="381"/>
        <v>207</v>
      </c>
      <c r="J658" s="31" t="s">
        <v>13</v>
      </c>
      <c r="K658" s="32">
        <f>SUM(K649:K657)</f>
        <v>822</v>
      </c>
      <c r="L658" s="33">
        <f>SUM(L649:L657)</f>
        <v>503</v>
      </c>
      <c r="M658" s="34">
        <f t="shared" si="382"/>
        <v>1325</v>
      </c>
      <c r="N658" s="32">
        <f>SUM(N649:N657)</f>
        <v>505</v>
      </c>
      <c r="O658" s="33">
        <f>SUM(O649:O657)</f>
        <v>222</v>
      </c>
      <c r="P658" s="34">
        <f t="shared" si="383"/>
        <v>727</v>
      </c>
      <c r="Q658" s="34">
        <f t="shared" si="384"/>
        <v>2052</v>
      </c>
      <c r="S658" s="31" t="s">
        <v>13</v>
      </c>
      <c r="T658" s="32">
        <f>SUM(T649:T657)</f>
        <v>1011</v>
      </c>
      <c r="U658" s="33">
        <f>SUM(U649:U657)</f>
        <v>715</v>
      </c>
      <c r="V658" s="34">
        <f t="shared" si="385"/>
        <v>1726</v>
      </c>
      <c r="W658" s="32">
        <f>SUM(W649:W657)</f>
        <v>1532</v>
      </c>
      <c r="X658" s="33">
        <f>SUM(X649:X657)</f>
        <v>783</v>
      </c>
      <c r="Y658" s="34">
        <f t="shared" si="386"/>
        <v>2315</v>
      </c>
      <c r="Z658" s="34">
        <f t="shared" si="387"/>
        <v>4041</v>
      </c>
    </row>
    <row r="659" spans="1:26" x14ac:dyDescent="0.15">
      <c r="A659" s="35" t="s">
        <v>33</v>
      </c>
      <c r="B659" s="15">
        <f>1+4</f>
        <v>5</v>
      </c>
      <c r="C659" s="16"/>
      <c r="D659" s="36">
        <f t="shared" si="379"/>
        <v>5</v>
      </c>
      <c r="E659" s="18">
        <v>2</v>
      </c>
      <c r="F659" s="16"/>
      <c r="G659" s="36">
        <f t="shared" si="380"/>
        <v>2</v>
      </c>
      <c r="H659" s="17">
        <f t="shared" si="381"/>
        <v>7</v>
      </c>
      <c r="I659" s="84">
        <v>44725</v>
      </c>
      <c r="J659" s="52" t="s">
        <v>280</v>
      </c>
      <c r="K659" s="64"/>
      <c r="L659" s="65"/>
      <c r="M659" s="36">
        <f t="shared" si="382"/>
        <v>0</v>
      </c>
      <c r="N659" s="66">
        <v>5</v>
      </c>
      <c r="O659" s="65"/>
      <c r="P659" s="36">
        <f t="shared" si="383"/>
        <v>5</v>
      </c>
      <c r="Q659" s="36">
        <f t="shared" si="384"/>
        <v>5</v>
      </c>
      <c r="R659" s="81">
        <v>44725</v>
      </c>
      <c r="S659" s="52"/>
      <c r="T659" s="64"/>
      <c r="U659" s="65"/>
      <c r="V659" s="36">
        <f t="shared" si="385"/>
        <v>0</v>
      </c>
      <c r="W659" s="66"/>
      <c r="X659" s="65"/>
      <c r="Y659" s="36">
        <f t="shared" si="386"/>
        <v>0</v>
      </c>
      <c r="Z659" s="36">
        <f t="shared" si="387"/>
        <v>0</v>
      </c>
    </row>
    <row r="660" spans="1:26" x14ac:dyDescent="0.15">
      <c r="A660" s="52" t="s">
        <v>283</v>
      </c>
      <c r="B660" s="19"/>
      <c r="C660" s="20">
        <v>1</v>
      </c>
      <c r="D660" s="36">
        <f t="shared" si="379"/>
        <v>1</v>
      </c>
      <c r="E660" s="21">
        <v>1</v>
      </c>
      <c r="F660" s="20"/>
      <c r="G660" s="36">
        <f t="shared" si="380"/>
        <v>1</v>
      </c>
      <c r="H660" s="36">
        <f t="shared" si="381"/>
        <v>2</v>
      </c>
      <c r="I660" s="81">
        <v>44725</v>
      </c>
      <c r="J660" s="52" t="s">
        <v>282</v>
      </c>
      <c r="K660" s="15">
        <v>6</v>
      </c>
      <c r="L660" s="16">
        <v>3</v>
      </c>
      <c r="M660" s="36">
        <f t="shared" si="382"/>
        <v>9</v>
      </c>
      <c r="N660" s="18">
        <v>6</v>
      </c>
      <c r="O660" s="16">
        <v>3</v>
      </c>
      <c r="P660" s="36">
        <f t="shared" si="383"/>
        <v>9</v>
      </c>
      <c r="Q660" s="17">
        <f t="shared" si="384"/>
        <v>18</v>
      </c>
      <c r="R660" s="81">
        <v>44726</v>
      </c>
      <c r="S660" s="10"/>
      <c r="T660" s="15"/>
      <c r="U660" s="16"/>
      <c r="V660" s="36">
        <f t="shared" si="385"/>
        <v>0</v>
      </c>
      <c r="W660" s="18"/>
      <c r="X660" s="16"/>
      <c r="Y660" s="36">
        <f t="shared" si="386"/>
        <v>0</v>
      </c>
      <c r="Z660" s="17">
        <f t="shared" si="387"/>
        <v>0</v>
      </c>
    </row>
    <row r="661" spans="1:26" x14ac:dyDescent="0.15">
      <c r="A661" s="35" t="s">
        <v>284</v>
      </c>
      <c r="B661" s="15"/>
      <c r="C661" s="16"/>
      <c r="D661" s="36">
        <f t="shared" si="379"/>
        <v>0</v>
      </c>
      <c r="E661" s="18">
        <v>4</v>
      </c>
      <c r="F661" s="16"/>
      <c r="G661" s="36">
        <f t="shared" si="380"/>
        <v>4</v>
      </c>
      <c r="H661" s="17">
        <f t="shared" si="381"/>
        <v>4</v>
      </c>
      <c r="I661" s="81">
        <v>44729</v>
      </c>
      <c r="J661" s="35" t="s">
        <v>286</v>
      </c>
      <c r="K661" s="19">
        <v>10</v>
      </c>
      <c r="L661" s="20">
        <v>12</v>
      </c>
      <c r="M661" s="17">
        <f t="shared" si="382"/>
        <v>22</v>
      </c>
      <c r="N661" s="21">
        <v>5</v>
      </c>
      <c r="O661" s="20">
        <v>15</v>
      </c>
      <c r="P661" s="17">
        <f t="shared" si="383"/>
        <v>20</v>
      </c>
      <c r="Q661" s="17">
        <f t="shared" si="384"/>
        <v>42</v>
      </c>
      <c r="R661" s="81">
        <v>44728</v>
      </c>
      <c r="S661" s="10"/>
      <c r="T661" s="19"/>
      <c r="U661" s="20"/>
      <c r="V661" s="17">
        <f t="shared" si="385"/>
        <v>0</v>
      </c>
      <c r="W661" s="21"/>
      <c r="X661" s="20"/>
      <c r="Y661" s="17">
        <f t="shared" si="386"/>
        <v>0</v>
      </c>
      <c r="Z661" s="17">
        <f t="shared" si="387"/>
        <v>0</v>
      </c>
    </row>
    <row r="662" spans="1:26" x14ac:dyDescent="0.15">
      <c r="A662" s="35" t="s">
        <v>33</v>
      </c>
      <c r="B662" s="15"/>
      <c r="C662" s="16">
        <v>2</v>
      </c>
      <c r="D662" s="17">
        <f>SUM(B662:C662)</f>
        <v>2</v>
      </c>
      <c r="E662" s="18">
        <v>1</v>
      </c>
      <c r="F662" s="16"/>
      <c r="G662" s="17">
        <f t="shared" si="380"/>
        <v>1</v>
      </c>
      <c r="H662" s="17">
        <f t="shared" si="381"/>
        <v>3</v>
      </c>
      <c r="I662" s="81">
        <v>44726</v>
      </c>
      <c r="J662" s="35" t="s">
        <v>287</v>
      </c>
      <c r="K662" s="15">
        <v>5</v>
      </c>
      <c r="L662" s="16">
        <v>5</v>
      </c>
      <c r="M662" s="17">
        <f t="shared" si="382"/>
        <v>10</v>
      </c>
      <c r="N662" s="18">
        <v>5</v>
      </c>
      <c r="O662" s="16">
        <v>5</v>
      </c>
      <c r="P662" s="17">
        <f t="shared" si="383"/>
        <v>10</v>
      </c>
      <c r="Q662" s="17">
        <f t="shared" si="384"/>
        <v>20</v>
      </c>
      <c r="R662" s="81">
        <v>44728</v>
      </c>
      <c r="S662" s="52"/>
      <c r="T662" s="15"/>
      <c r="U662" s="16"/>
      <c r="V662" s="17">
        <f t="shared" si="385"/>
        <v>0</v>
      </c>
      <c r="W662" s="18"/>
      <c r="X662" s="16"/>
      <c r="Y662" s="17">
        <f t="shared" si="386"/>
        <v>0</v>
      </c>
      <c r="Z662" s="17">
        <f t="shared" si="387"/>
        <v>0</v>
      </c>
    </row>
    <row r="663" spans="1:26" x14ac:dyDescent="0.15">
      <c r="A663" s="52" t="s">
        <v>285</v>
      </c>
      <c r="B663" s="15"/>
      <c r="C663" s="16">
        <v>2</v>
      </c>
      <c r="D663" s="36">
        <f t="shared" ref="D663:D680" si="388">SUM(B663:C663)</f>
        <v>2</v>
      </c>
      <c r="E663" s="18"/>
      <c r="F663" s="16">
        <v>2</v>
      </c>
      <c r="G663" s="36">
        <f t="shared" si="380"/>
        <v>2</v>
      </c>
      <c r="H663" s="17">
        <f t="shared" si="381"/>
        <v>4</v>
      </c>
      <c r="I663" s="81">
        <v>44728</v>
      </c>
      <c r="J663" s="35" t="s">
        <v>288</v>
      </c>
      <c r="K663" s="15">
        <v>2</v>
      </c>
      <c r="L663" s="16">
        <v>4</v>
      </c>
      <c r="M663" s="17">
        <f t="shared" si="382"/>
        <v>6</v>
      </c>
      <c r="N663" s="18">
        <v>10</v>
      </c>
      <c r="O663" s="16">
        <v>4</v>
      </c>
      <c r="P663" s="17">
        <f t="shared" si="383"/>
        <v>14</v>
      </c>
      <c r="Q663" s="17">
        <f t="shared" si="384"/>
        <v>20</v>
      </c>
      <c r="R663" s="81">
        <v>44732</v>
      </c>
      <c r="S663" s="10"/>
      <c r="T663" s="15"/>
      <c r="U663" s="16"/>
      <c r="V663" s="17">
        <f t="shared" si="385"/>
        <v>0</v>
      </c>
      <c r="W663" s="18"/>
      <c r="X663" s="16"/>
      <c r="Y663" s="17">
        <f t="shared" si="386"/>
        <v>0</v>
      </c>
      <c r="Z663" s="17">
        <f t="shared" si="387"/>
        <v>0</v>
      </c>
    </row>
    <row r="664" spans="1:26" x14ac:dyDescent="0.15">
      <c r="A664" s="35" t="s">
        <v>33</v>
      </c>
      <c r="B664" s="15"/>
      <c r="C664" s="16">
        <v>1</v>
      </c>
      <c r="D664" s="36">
        <f t="shared" si="388"/>
        <v>1</v>
      </c>
      <c r="E664" s="18"/>
      <c r="F664" s="16">
        <v>1</v>
      </c>
      <c r="G664" s="36">
        <f t="shared" si="380"/>
        <v>1</v>
      </c>
      <c r="H664" s="17">
        <f t="shared" si="381"/>
        <v>2</v>
      </c>
      <c r="I664" s="81">
        <v>44728</v>
      </c>
      <c r="J664" s="52" t="s">
        <v>289</v>
      </c>
      <c r="K664" s="15">
        <v>4</v>
      </c>
      <c r="L664" s="16">
        <v>3</v>
      </c>
      <c r="M664" s="36">
        <f t="shared" si="382"/>
        <v>7</v>
      </c>
      <c r="N664" s="18">
        <v>4</v>
      </c>
      <c r="O664" s="16">
        <v>3</v>
      </c>
      <c r="P664" s="36">
        <f t="shared" si="383"/>
        <v>7</v>
      </c>
      <c r="Q664" s="17">
        <f t="shared" si="384"/>
        <v>14</v>
      </c>
      <c r="R664" s="81">
        <v>44729</v>
      </c>
      <c r="S664" s="10"/>
      <c r="T664" s="15"/>
      <c r="U664" s="16"/>
      <c r="V664" s="36">
        <f t="shared" si="385"/>
        <v>0</v>
      </c>
      <c r="W664" s="18"/>
      <c r="X664" s="16"/>
      <c r="Y664" s="36">
        <f t="shared" si="386"/>
        <v>0</v>
      </c>
      <c r="Z664" s="17">
        <f t="shared" si="387"/>
        <v>0</v>
      </c>
    </row>
    <row r="665" spans="1:26" x14ac:dyDescent="0.15">
      <c r="A665" s="35" t="s">
        <v>33</v>
      </c>
      <c r="B665" s="15">
        <v>1</v>
      </c>
      <c r="C665" s="16"/>
      <c r="D665" s="36">
        <f t="shared" si="388"/>
        <v>1</v>
      </c>
      <c r="E665" s="18">
        <v>1</v>
      </c>
      <c r="F665" s="16"/>
      <c r="G665" s="36">
        <f t="shared" si="380"/>
        <v>1</v>
      </c>
      <c r="H665" s="17">
        <f t="shared" si="381"/>
        <v>2</v>
      </c>
      <c r="I665" s="81">
        <v>44730</v>
      </c>
      <c r="J665" s="35" t="s">
        <v>290</v>
      </c>
      <c r="K665" s="15">
        <v>5</v>
      </c>
      <c r="L665" s="16">
        <v>5</v>
      </c>
      <c r="M665" s="36">
        <f t="shared" si="382"/>
        <v>10</v>
      </c>
      <c r="N665" s="18">
        <v>5</v>
      </c>
      <c r="O665" s="16"/>
      <c r="P665" s="36">
        <f t="shared" si="383"/>
        <v>5</v>
      </c>
      <c r="Q665" s="17">
        <f t="shared" si="384"/>
        <v>15</v>
      </c>
      <c r="R665" s="81">
        <v>44732</v>
      </c>
      <c r="S665" s="10"/>
      <c r="T665" s="15"/>
      <c r="U665" s="16"/>
      <c r="V665" s="36">
        <f t="shared" si="385"/>
        <v>0</v>
      </c>
      <c r="W665" s="18"/>
      <c r="X665" s="16"/>
      <c r="Y665" s="36">
        <f t="shared" si="386"/>
        <v>0</v>
      </c>
      <c r="Z665" s="17">
        <f t="shared" si="387"/>
        <v>0</v>
      </c>
    </row>
    <row r="666" spans="1:26" x14ac:dyDescent="0.15">
      <c r="A666" s="52" t="s">
        <v>293</v>
      </c>
      <c r="B666" s="15">
        <v>3</v>
      </c>
      <c r="C666" s="16">
        <v>2</v>
      </c>
      <c r="D666" s="36">
        <f t="shared" si="388"/>
        <v>5</v>
      </c>
      <c r="E666" s="18">
        <v>3</v>
      </c>
      <c r="F666" s="16">
        <v>2</v>
      </c>
      <c r="G666" s="36">
        <f t="shared" si="380"/>
        <v>5</v>
      </c>
      <c r="H666" s="17">
        <f t="shared" si="381"/>
        <v>10</v>
      </c>
      <c r="I666" s="81">
        <v>44733</v>
      </c>
      <c r="J666" s="35" t="s">
        <v>296</v>
      </c>
      <c r="K666" s="19"/>
      <c r="L666" s="20">
        <v>3</v>
      </c>
      <c r="M666" s="17">
        <f t="shared" si="382"/>
        <v>3</v>
      </c>
      <c r="N666" s="21">
        <v>4</v>
      </c>
      <c r="O666" s="20"/>
      <c r="P666" s="17">
        <f t="shared" si="383"/>
        <v>4</v>
      </c>
      <c r="Q666" s="17">
        <f t="shared" si="384"/>
        <v>7</v>
      </c>
      <c r="R666" s="81">
        <v>44734</v>
      </c>
      <c r="S666" s="52"/>
      <c r="T666" s="15"/>
      <c r="U666" s="16"/>
      <c r="V666" s="36">
        <f t="shared" si="385"/>
        <v>0</v>
      </c>
      <c r="W666" s="18"/>
      <c r="X666" s="16"/>
      <c r="Y666" s="36">
        <f t="shared" si="386"/>
        <v>0</v>
      </c>
      <c r="Z666" s="17">
        <f t="shared" si="387"/>
        <v>0</v>
      </c>
    </row>
    <row r="667" spans="1:26" x14ac:dyDescent="0.15">
      <c r="A667" s="35" t="s">
        <v>294</v>
      </c>
      <c r="B667" s="15">
        <v>1</v>
      </c>
      <c r="C667" s="16"/>
      <c r="D667" s="36">
        <f t="shared" si="388"/>
        <v>1</v>
      </c>
      <c r="E667" s="18"/>
      <c r="F667" s="16"/>
      <c r="G667" s="36">
        <f t="shared" si="380"/>
        <v>0</v>
      </c>
      <c r="H667" s="17">
        <f t="shared" si="381"/>
        <v>1</v>
      </c>
      <c r="I667" s="81">
        <v>44733</v>
      </c>
      <c r="J667" s="35" t="s">
        <v>91</v>
      </c>
      <c r="K667" s="19">
        <v>5</v>
      </c>
      <c r="L667" s="20">
        <v>10</v>
      </c>
      <c r="M667" s="17">
        <f>SUM(K667:L667)</f>
        <v>15</v>
      </c>
      <c r="N667" s="21">
        <v>10</v>
      </c>
      <c r="O667" s="20">
        <v>10</v>
      </c>
      <c r="P667" s="17">
        <f>SUM(N667:O667)</f>
        <v>20</v>
      </c>
      <c r="Q667" s="17">
        <f>M667+P667</f>
        <v>35</v>
      </c>
      <c r="R667" s="81">
        <v>44734</v>
      </c>
      <c r="S667" s="10"/>
      <c r="T667" s="19"/>
      <c r="U667" s="20"/>
      <c r="V667" s="17">
        <f t="shared" si="385"/>
        <v>0</v>
      </c>
      <c r="W667" s="21"/>
      <c r="X667" s="20"/>
      <c r="Y667" s="17">
        <f t="shared" si="386"/>
        <v>0</v>
      </c>
      <c r="Z667" s="17">
        <f t="shared" si="387"/>
        <v>0</v>
      </c>
    </row>
    <row r="668" spans="1:26" x14ac:dyDescent="0.15">
      <c r="A668" s="35" t="s">
        <v>33</v>
      </c>
      <c r="B668" s="23">
        <v>2</v>
      </c>
      <c r="C668" s="24">
        <f>1+2</f>
        <v>3</v>
      </c>
      <c r="D668" s="36">
        <f t="shared" si="388"/>
        <v>5</v>
      </c>
      <c r="E668" s="25">
        <v>2</v>
      </c>
      <c r="F668" s="24">
        <f>1+2</f>
        <v>3</v>
      </c>
      <c r="G668" s="36">
        <f t="shared" si="380"/>
        <v>5</v>
      </c>
      <c r="H668" s="17">
        <f t="shared" si="381"/>
        <v>10</v>
      </c>
      <c r="I668" s="81">
        <v>44732</v>
      </c>
      <c r="J668" s="52" t="s">
        <v>297</v>
      </c>
      <c r="K668" s="23"/>
      <c r="L668" s="24"/>
      <c r="M668" s="36">
        <f t="shared" si="382"/>
        <v>0</v>
      </c>
      <c r="N668" s="25"/>
      <c r="O668" s="24">
        <v>5</v>
      </c>
      <c r="P668" s="36">
        <f t="shared" si="383"/>
        <v>5</v>
      </c>
      <c r="Q668" s="17">
        <f t="shared" si="384"/>
        <v>5</v>
      </c>
      <c r="R668" s="81">
        <v>44739</v>
      </c>
      <c r="S668" s="35"/>
      <c r="T668" s="23"/>
      <c r="U668" s="24"/>
      <c r="V668" s="36">
        <f t="shared" si="385"/>
        <v>0</v>
      </c>
      <c r="W668" s="25"/>
      <c r="X668" s="24"/>
      <c r="Y668" s="36">
        <f t="shared" si="386"/>
        <v>0</v>
      </c>
      <c r="Z668" s="17">
        <f t="shared" si="387"/>
        <v>0</v>
      </c>
    </row>
    <row r="669" spans="1:26" x14ac:dyDescent="0.15">
      <c r="A669" s="52" t="s">
        <v>295</v>
      </c>
      <c r="B669" s="15">
        <v>1</v>
      </c>
      <c r="C669" s="16">
        <v>5</v>
      </c>
      <c r="D669" s="36">
        <f t="shared" si="388"/>
        <v>6</v>
      </c>
      <c r="E669" s="18">
        <v>1</v>
      </c>
      <c r="F669" s="16">
        <v>5</v>
      </c>
      <c r="G669" s="36">
        <f t="shared" si="380"/>
        <v>6</v>
      </c>
      <c r="H669" s="17">
        <f t="shared" si="381"/>
        <v>12</v>
      </c>
      <c r="I669" s="81">
        <v>44734</v>
      </c>
      <c r="J669" s="52" t="s">
        <v>302</v>
      </c>
      <c r="K669" s="15">
        <v>3</v>
      </c>
      <c r="L669" s="16">
        <v>3</v>
      </c>
      <c r="M669" s="36">
        <f t="shared" si="382"/>
        <v>6</v>
      </c>
      <c r="N669" s="18">
        <v>3</v>
      </c>
      <c r="O669" s="16">
        <v>3</v>
      </c>
      <c r="P669" s="36">
        <f t="shared" si="383"/>
        <v>6</v>
      </c>
      <c r="Q669" s="17">
        <f t="shared" si="384"/>
        <v>12</v>
      </c>
      <c r="R669" s="81">
        <v>44740</v>
      </c>
      <c r="S669" s="35"/>
      <c r="T669" s="15"/>
      <c r="U669" s="16"/>
      <c r="V669" s="36">
        <f t="shared" si="385"/>
        <v>0</v>
      </c>
      <c r="W669" s="18"/>
      <c r="X669" s="16"/>
      <c r="Y669" s="36">
        <f t="shared" si="386"/>
        <v>0</v>
      </c>
      <c r="Z669" s="17">
        <f t="shared" si="387"/>
        <v>0</v>
      </c>
    </row>
    <row r="670" spans="1:26" x14ac:dyDescent="0.15">
      <c r="A670" s="35" t="s">
        <v>33</v>
      </c>
      <c r="B670" s="15">
        <v>1</v>
      </c>
      <c r="C670" s="16"/>
      <c r="D670" s="36">
        <f t="shared" si="388"/>
        <v>1</v>
      </c>
      <c r="E670" s="18">
        <v>3</v>
      </c>
      <c r="F670" s="16"/>
      <c r="G670" s="36">
        <f t="shared" si="380"/>
        <v>3</v>
      </c>
      <c r="H670" s="17">
        <f t="shared" si="381"/>
        <v>4</v>
      </c>
      <c r="I670" s="81">
        <v>44733</v>
      </c>
      <c r="J670" s="52" t="s">
        <v>303</v>
      </c>
      <c r="K670" s="15"/>
      <c r="L670" s="16"/>
      <c r="M670" s="36">
        <f t="shared" si="382"/>
        <v>0</v>
      </c>
      <c r="N670" s="18"/>
      <c r="O670" s="16">
        <v>1</v>
      </c>
      <c r="P670" s="36">
        <f t="shared" si="383"/>
        <v>1</v>
      </c>
      <c r="Q670" s="17">
        <f t="shared" si="384"/>
        <v>1</v>
      </c>
      <c r="R670" s="81">
        <v>44740</v>
      </c>
      <c r="S670" s="35"/>
      <c r="T670" s="15"/>
      <c r="U670" s="16"/>
      <c r="V670" s="36">
        <f t="shared" si="385"/>
        <v>0</v>
      </c>
      <c r="W670" s="18"/>
      <c r="X670" s="16"/>
      <c r="Y670" s="36">
        <f t="shared" si="386"/>
        <v>0</v>
      </c>
      <c r="Z670" s="17">
        <f t="shared" si="387"/>
        <v>0</v>
      </c>
    </row>
    <row r="671" spans="1:26" x14ac:dyDescent="0.15">
      <c r="A671" s="52" t="s">
        <v>298</v>
      </c>
      <c r="B671" s="15">
        <v>5</v>
      </c>
      <c r="C671" s="16">
        <v>1</v>
      </c>
      <c r="D671" s="36">
        <f t="shared" si="388"/>
        <v>6</v>
      </c>
      <c r="E671" s="18">
        <v>5</v>
      </c>
      <c r="F671" s="16">
        <v>1</v>
      </c>
      <c r="G671" s="36">
        <f t="shared" si="380"/>
        <v>6</v>
      </c>
      <c r="H671" s="17">
        <f t="shared" si="381"/>
        <v>12</v>
      </c>
      <c r="I671" s="81">
        <v>44735</v>
      </c>
      <c r="J671" s="35" t="s">
        <v>246</v>
      </c>
      <c r="K671" s="15">
        <v>5</v>
      </c>
      <c r="L671" s="16"/>
      <c r="M671" s="36">
        <f t="shared" si="382"/>
        <v>5</v>
      </c>
      <c r="N671" s="18"/>
      <c r="O671" s="16"/>
      <c r="P671" s="36">
        <f t="shared" si="383"/>
        <v>0</v>
      </c>
      <c r="Q671" s="17">
        <f t="shared" si="384"/>
        <v>5</v>
      </c>
      <c r="R671" s="81">
        <v>44747</v>
      </c>
      <c r="S671" s="35"/>
      <c r="T671" s="15"/>
      <c r="U671" s="16"/>
      <c r="V671" s="36">
        <f t="shared" si="385"/>
        <v>0</v>
      </c>
      <c r="W671" s="18"/>
      <c r="X671" s="16"/>
      <c r="Y671" s="36">
        <f t="shared" si="386"/>
        <v>0</v>
      </c>
      <c r="Z671" s="17">
        <f t="shared" si="387"/>
        <v>0</v>
      </c>
    </row>
    <row r="672" spans="1:26" x14ac:dyDescent="0.15">
      <c r="A672" s="52" t="s">
        <v>299</v>
      </c>
      <c r="B672" s="15">
        <v>2</v>
      </c>
      <c r="C672" s="16">
        <v>3</v>
      </c>
      <c r="D672" s="36">
        <f t="shared" si="388"/>
        <v>5</v>
      </c>
      <c r="E672" s="18">
        <v>2</v>
      </c>
      <c r="F672" s="16">
        <v>3</v>
      </c>
      <c r="G672" s="36">
        <f t="shared" si="380"/>
        <v>5</v>
      </c>
      <c r="H672" s="17">
        <f t="shared" si="381"/>
        <v>10</v>
      </c>
      <c r="I672" s="81">
        <v>44736</v>
      </c>
      <c r="J672" s="35" t="s">
        <v>91</v>
      </c>
      <c r="K672" s="15">
        <v>5</v>
      </c>
      <c r="L672" s="16">
        <v>5</v>
      </c>
      <c r="M672" s="17">
        <f t="shared" si="382"/>
        <v>10</v>
      </c>
      <c r="N672" s="18">
        <v>10</v>
      </c>
      <c r="O672" s="16">
        <v>5</v>
      </c>
      <c r="P672" s="17">
        <f t="shared" si="383"/>
        <v>15</v>
      </c>
      <c r="Q672" s="17">
        <f t="shared" si="384"/>
        <v>25</v>
      </c>
      <c r="R672" s="81">
        <v>44742</v>
      </c>
      <c r="S672" s="10"/>
      <c r="T672" s="15"/>
      <c r="U672" s="16"/>
      <c r="V672" s="17">
        <f t="shared" si="385"/>
        <v>0</v>
      </c>
      <c r="W672" s="18"/>
      <c r="X672" s="16"/>
      <c r="Y672" s="17">
        <f t="shared" si="386"/>
        <v>0</v>
      </c>
      <c r="Z672" s="17">
        <f t="shared" si="387"/>
        <v>0</v>
      </c>
    </row>
    <row r="673" spans="1:26" x14ac:dyDescent="0.15">
      <c r="A673" s="35" t="s">
        <v>300</v>
      </c>
      <c r="B673" s="15"/>
      <c r="C673" s="16">
        <v>1</v>
      </c>
      <c r="D673" s="36">
        <f t="shared" si="388"/>
        <v>1</v>
      </c>
      <c r="E673" s="18"/>
      <c r="F673" s="16"/>
      <c r="G673" s="36">
        <f t="shared" si="380"/>
        <v>0</v>
      </c>
      <c r="H673" s="17">
        <f t="shared" si="381"/>
        <v>1</v>
      </c>
      <c r="I673" s="81">
        <v>44736</v>
      </c>
      <c r="J673" s="52" t="s">
        <v>306</v>
      </c>
      <c r="K673" s="15">
        <v>5</v>
      </c>
      <c r="L673" s="16">
        <v>3</v>
      </c>
      <c r="M673" s="17">
        <f t="shared" si="382"/>
        <v>8</v>
      </c>
      <c r="N673" s="18">
        <v>5</v>
      </c>
      <c r="O673" s="16">
        <v>3</v>
      </c>
      <c r="P673" s="17">
        <f t="shared" si="383"/>
        <v>8</v>
      </c>
      <c r="Q673" s="17">
        <f t="shared" si="384"/>
        <v>16</v>
      </c>
      <c r="R673" s="81">
        <v>44747</v>
      </c>
      <c r="S673" s="35"/>
      <c r="T673" s="15"/>
      <c r="U673" s="16"/>
      <c r="V673" s="36">
        <f t="shared" si="385"/>
        <v>0</v>
      </c>
      <c r="W673" s="18"/>
      <c r="X673" s="16"/>
      <c r="Y673" s="36">
        <f t="shared" si="386"/>
        <v>0</v>
      </c>
      <c r="Z673" s="17">
        <f t="shared" si="387"/>
        <v>0</v>
      </c>
    </row>
    <row r="674" spans="1:26" x14ac:dyDescent="0.15">
      <c r="A674" s="35" t="s">
        <v>33</v>
      </c>
      <c r="B674" s="15"/>
      <c r="C674" s="16"/>
      <c r="D674" s="36">
        <f t="shared" si="388"/>
        <v>0</v>
      </c>
      <c r="E674" s="18"/>
      <c r="F674" s="16">
        <v>2</v>
      </c>
      <c r="G674" s="36">
        <f t="shared" si="380"/>
        <v>2</v>
      </c>
      <c r="H674" s="17">
        <f t="shared" si="381"/>
        <v>2</v>
      </c>
      <c r="I674" s="81">
        <v>44735</v>
      </c>
      <c r="J674" s="35" t="s">
        <v>307</v>
      </c>
      <c r="K674" s="15">
        <v>4</v>
      </c>
      <c r="L674" s="16"/>
      <c r="M674" s="36">
        <f t="shared" si="382"/>
        <v>4</v>
      </c>
      <c r="N674" s="18"/>
      <c r="O674" s="16"/>
      <c r="P674" s="36">
        <f t="shared" si="383"/>
        <v>0</v>
      </c>
      <c r="Q674" s="17">
        <f t="shared" si="384"/>
        <v>4</v>
      </c>
      <c r="R674" s="81">
        <v>44753</v>
      </c>
      <c r="S674" s="37"/>
      <c r="T674" s="15"/>
      <c r="U674" s="16"/>
      <c r="V674" s="36">
        <f t="shared" si="385"/>
        <v>0</v>
      </c>
      <c r="W674" s="18"/>
      <c r="X674" s="16"/>
      <c r="Y674" s="36">
        <f t="shared" si="386"/>
        <v>0</v>
      </c>
      <c r="Z674" s="17">
        <f t="shared" si="387"/>
        <v>0</v>
      </c>
    </row>
    <row r="675" spans="1:26" x14ac:dyDescent="0.15">
      <c r="A675" s="52" t="s">
        <v>301</v>
      </c>
      <c r="B675" s="15"/>
      <c r="C675" s="16">
        <v>3</v>
      </c>
      <c r="D675" s="36">
        <f t="shared" si="388"/>
        <v>3</v>
      </c>
      <c r="E675" s="18"/>
      <c r="F675" s="16">
        <v>3</v>
      </c>
      <c r="G675" s="36">
        <f t="shared" si="380"/>
        <v>3</v>
      </c>
      <c r="H675" s="17">
        <f t="shared" si="381"/>
        <v>6</v>
      </c>
      <c r="I675" s="81">
        <v>44739</v>
      </c>
      <c r="J675" s="35" t="s">
        <v>300</v>
      </c>
      <c r="K675" s="15">
        <v>1</v>
      </c>
      <c r="L675" s="16"/>
      <c r="M675" s="36">
        <f t="shared" si="382"/>
        <v>1</v>
      </c>
      <c r="N675" s="18"/>
      <c r="O675" s="16"/>
      <c r="P675" s="36">
        <f t="shared" si="383"/>
        <v>0</v>
      </c>
      <c r="Q675" s="17">
        <f t="shared" si="384"/>
        <v>1</v>
      </c>
      <c r="R675" s="81">
        <v>44748</v>
      </c>
      <c r="S675" s="37"/>
      <c r="T675" s="15"/>
      <c r="U675" s="16"/>
      <c r="V675" s="36">
        <f t="shared" si="385"/>
        <v>0</v>
      </c>
      <c r="W675" s="18"/>
      <c r="X675" s="16"/>
      <c r="Y675" s="36">
        <f t="shared" si="386"/>
        <v>0</v>
      </c>
      <c r="Z675" s="17">
        <f t="shared" si="387"/>
        <v>0</v>
      </c>
    </row>
    <row r="676" spans="1:26" x14ac:dyDescent="0.15">
      <c r="A676" s="35" t="s">
        <v>33</v>
      </c>
      <c r="B676" s="15">
        <v>1</v>
      </c>
      <c r="C676" s="16"/>
      <c r="D676" s="36">
        <f t="shared" si="388"/>
        <v>1</v>
      </c>
      <c r="E676" s="18">
        <f>1+1</f>
        <v>2</v>
      </c>
      <c r="F676" s="16"/>
      <c r="G676" s="36">
        <f t="shared" si="380"/>
        <v>2</v>
      </c>
      <c r="H676" s="17">
        <f t="shared" si="381"/>
        <v>3</v>
      </c>
      <c r="I676" s="81">
        <v>44740</v>
      </c>
      <c r="J676" s="52" t="s">
        <v>308</v>
      </c>
      <c r="K676" s="15">
        <v>2</v>
      </c>
      <c r="L676" s="16">
        <v>3</v>
      </c>
      <c r="M676" s="36">
        <f t="shared" si="382"/>
        <v>5</v>
      </c>
      <c r="N676" s="18">
        <v>2</v>
      </c>
      <c r="O676" s="16">
        <v>3</v>
      </c>
      <c r="P676" s="36">
        <f t="shared" si="383"/>
        <v>5</v>
      </c>
      <c r="Q676" s="17">
        <f t="shared" si="384"/>
        <v>10</v>
      </c>
      <c r="R676" s="81">
        <v>44748</v>
      </c>
      <c r="S676" s="35"/>
      <c r="T676" s="15"/>
      <c r="U676" s="16"/>
      <c r="V676" s="36">
        <f t="shared" si="385"/>
        <v>0</v>
      </c>
      <c r="W676" s="18"/>
      <c r="X676" s="16"/>
      <c r="Y676" s="36">
        <f t="shared" si="386"/>
        <v>0</v>
      </c>
      <c r="Z676" s="17">
        <f t="shared" si="387"/>
        <v>0</v>
      </c>
    </row>
    <row r="677" spans="1:26" x14ac:dyDescent="0.15">
      <c r="A677" s="35" t="s">
        <v>33</v>
      </c>
      <c r="B677" s="15"/>
      <c r="C677" s="16"/>
      <c r="D677" s="36">
        <f t="shared" si="388"/>
        <v>0</v>
      </c>
      <c r="E677" s="18">
        <v>3</v>
      </c>
      <c r="F677" s="16"/>
      <c r="G677" s="36">
        <f t="shared" si="380"/>
        <v>3</v>
      </c>
      <c r="H677" s="17">
        <f t="shared" si="381"/>
        <v>3</v>
      </c>
      <c r="I677" s="81">
        <v>44741</v>
      </c>
      <c r="J677" s="35" t="s">
        <v>91</v>
      </c>
      <c r="K677" s="15">
        <v>10</v>
      </c>
      <c r="L677" s="16">
        <v>10</v>
      </c>
      <c r="M677" s="36">
        <f t="shared" si="382"/>
        <v>20</v>
      </c>
      <c r="N677" s="18">
        <v>10</v>
      </c>
      <c r="O677" s="16">
        <v>10</v>
      </c>
      <c r="P677" s="36">
        <f t="shared" si="383"/>
        <v>20</v>
      </c>
      <c r="Q677" s="17">
        <f t="shared" si="384"/>
        <v>40</v>
      </c>
      <c r="R677" s="81">
        <v>44750</v>
      </c>
      <c r="S677" s="38"/>
      <c r="T677" s="15"/>
      <c r="U677" s="16"/>
      <c r="V677" s="36">
        <f t="shared" si="385"/>
        <v>0</v>
      </c>
      <c r="W677" s="18"/>
      <c r="X677" s="16"/>
      <c r="Y677" s="36">
        <f t="shared" si="386"/>
        <v>0</v>
      </c>
      <c r="Z677" s="17">
        <f t="shared" si="387"/>
        <v>0</v>
      </c>
    </row>
    <row r="678" spans="1:26" x14ac:dyDescent="0.15">
      <c r="A678" s="52" t="s">
        <v>304</v>
      </c>
      <c r="B678" s="15">
        <v>1</v>
      </c>
      <c r="C678" s="16"/>
      <c r="D678" s="36">
        <f t="shared" si="388"/>
        <v>1</v>
      </c>
      <c r="E678" s="18">
        <v>1</v>
      </c>
      <c r="F678" s="16"/>
      <c r="G678" s="36">
        <f t="shared" si="380"/>
        <v>1</v>
      </c>
      <c r="H678" s="17">
        <f t="shared" si="381"/>
        <v>2</v>
      </c>
      <c r="I678" s="81">
        <v>44743</v>
      </c>
      <c r="J678" s="52" t="s">
        <v>310</v>
      </c>
      <c r="K678" s="15">
        <v>1</v>
      </c>
      <c r="L678" s="16">
        <v>1</v>
      </c>
      <c r="M678" s="36">
        <f t="shared" si="382"/>
        <v>2</v>
      </c>
      <c r="N678" s="18">
        <v>1</v>
      </c>
      <c r="O678" s="16">
        <v>1</v>
      </c>
      <c r="P678" s="36">
        <f t="shared" si="383"/>
        <v>2</v>
      </c>
      <c r="Q678" s="17">
        <f t="shared" si="384"/>
        <v>4</v>
      </c>
      <c r="R678" s="81">
        <v>44750</v>
      </c>
      <c r="S678" s="35"/>
      <c r="T678" s="15"/>
      <c r="U678" s="16"/>
      <c r="V678" s="36">
        <f t="shared" si="385"/>
        <v>0</v>
      </c>
      <c r="W678" s="18"/>
      <c r="X678" s="16"/>
      <c r="Y678" s="36">
        <f t="shared" si="386"/>
        <v>0</v>
      </c>
      <c r="Z678" s="17">
        <f t="shared" si="387"/>
        <v>0</v>
      </c>
    </row>
    <row r="679" spans="1:26" x14ac:dyDescent="0.15">
      <c r="A679" s="52" t="s">
        <v>305</v>
      </c>
      <c r="B679" s="15"/>
      <c r="C679" s="16">
        <v>5</v>
      </c>
      <c r="D679" s="36">
        <f t="shared" si="388"/>
        <v>5</v>
      </c>
      <c r="E679" s="18"/>
      <c r="F679" s="16">
        <v>5</v>
      </c>
      <c r="G679" s="36">
        <f t="shared" si="380"/>
        <v>5</v>
      </c>
      <c r="H679" s="17">
        <f t="shared" si="381"/>
        <v>10</v>
      </c>
      <c r="I679" s="81">
        <v>44746</v>
      </c>
      <c r="J679" s="38"/>
      <c r="K679" s="15"/>
      <c r="L679" s="16"/>
      <c r="M679" s="36">
        <f t="shared" si="382"/>
        <v>0</v>
      </c>
      <c r="N679" s="18"/>
      <c r="O679" s="16"/>
      <c r="P679" s="36">
        <f t="shared" si="383"/>
        <v>0</v>
      </c>
      <c r="Q679" s="17">
        <f t="shared" si="384"/>
        <v>0</v>
      </c>
      <c r="R679" s="83"/>
      <c r="S679" s="38"/>
      <c r="T679" s="15"/>
      <c r="U679" s="16"/>
      <c r="V679" s="36">
        <f t="shared" si="385"/>
        <v>0</v>
      </c>
      <c r="W679" s="18"/>
      <c r="X679" s="16"/>
      <c r="Y679" s="36">
        <f t="shared" si="386"/>
        <v>0</v>
      </c>
      <c r="Z679" s="17">
        <f t="shared" si="387"/>
        <v>0</v>
      </c>
    </row>
    <row r="680" spans="1:26" x14ac:dyDescent="0.15">
      <c r="A680" s="35" t="s">
        <v>33</v>
      </c>
      <c r="B680" s="15">
        <v>1</v>
      </c>
      <c r="C680" s="16"/>
      <c r="D680" s="36">
        <f t="shared" si="388"/>
        <v>1</v>
      </c>
      <c r="E680" s="18"/>
      <c r="F680" s="16"/>
      <c r="G680" s="36">
        <f t="shared" si="380"/>
        <v>0</v>
      </c>
      <c r="H680" s="17">
        <f t="shared" si="381"/>
        <v>1</v>
      </c>
      <c r="I680" s="84">
        <v>44743</v>
      </c>
      <c r="J680" s="35"/>
      <c r="K680" s="15"/>
      <c r="L680" s="16"/>
      <c r="M680" s="36">
        <f t="shared" si="382"/>
        <v>0</v>
      </c>
      <c r="N680" s="18"/>
      <c r="O680" s="16"/>
      <c r="P680" s="36">
        <f t="shared" si="383"/>
        <v>0</v>
      </c>
      <c r="Q680" s="17">
        <f t="shared" si="384"/>
        <v>0</v>
      </c>
      <c r="R680" s="83"/>
      <c r="S680" s="35"/>
      <c r="T680" s="15"/>
      <c r="U680" s="16"/>
      <c r="V680" s="36">
        <f t="shared" si="385"/>
        <v>0</v>
      </c>
      <c r="W680" s="18"/>
      <c r="X680" s="16"/>
      <c r="Y680" s="36">
        <f t="shared" si="386"/>
        <v>0</v>
      </c>
      <c r="Z680" s="17">
        <f t="shared" si="387"/>
        <v>0</v>
      </c>
    </row>
    <row r="681" spans="1:26" x14ac:dyDescent="0.15">
      <c r="A681" s="35" t="s">
        <v>33</v>
      </c>
      <c r="B681" s="15"/>
      <c r="C681" s="16">
        <v>2</v>
      </c>
      <c r="D681" s="17">
        <f>SUM(B681:C681)</f>
        <v>2</v>
      </c>
      <c r="E681" s="18"/>
      <c r="F681" s="16"/>
      <c r="G681" s="17">
        <f t="shared" si="380"/>
        <v>0</v>
      </c>
      <c r="H681" s="17">
        <f t="shared" si="381"/>
        <v>2</v>
      </c>
      <c r="I681" s="84">
        <v>44746</v>
      </c>
      <c r="J681" s="35"/>
      <c r="K681" s="15"/>
      <c r="L681" s="16"/>
      <c r="M681" s="36">
        <f t="shared" si="382"/>
        <v>0</v>
      </c>
      <c r="N681" s="18"/>
      <c r="O681" s="16"/>
      <c r="P681" s="36">
        <f t="shared" si="383"/>
        <v>0</v>
      </c>
      <c r="Q681" s="17">
        <f t="shared" si="384"/>
        <v>0</v>
      </c>
      <c r="R681" s="81"/>
      <c r="S681" s="35"/>
      <c r="T681" s="15"/>
      <c r="U681" s="16"/>
      <c r="V681" s="36">
        <f t="shared" si="385"/>
        <v>0</v>
      </c>
      <c r="W681" s="18"/>
      <c r="X681" s="16"/>
      <c r="Y681" s="36">
        <f t="shared" si="386"/>
        <v>0</v>
      </c>
      <c r="Z681" s="17">
        <f t="shared" si="387"/>
        <v>0</v>
      </c>
    </row>
    <row r="682" spans="1:26" x14ac:dyDescent="0.15">
      <c r="A682" s="35" t="s">
        <v>33</v>
      </c>
      <c r="B682" s="15"/>
      <c r="C682" s="16"/>
      <c r="D682" s="36">
        <f t="shared" ref="D682" si="389">SUM(B682:C682)</f>
        <v>0</v>
      </c>
      <c r="E682" s="18">
        <f>1+1</f>
        <v>2</v>
      </c>
      <c r="F682" s="16"/>
      <c r="G682" s="36">
        <f t="shared" si="380"/>
        <v>2</v>
      </c>
      <c r="H682" s="17">
        <f t="shared" si="381"/>
        <v>2</v>
      </c>
      <c r="I682" s="84">
        <v>44747</v>
      </c>
      <c r="J682" s="35"/>
      <c r="K682" s="15"/>
      <c r="L682" s="16"/>
      <c r="M682" s="36">
        <f t="shared" si="382"/>
        <v>0</v>
      </c>
      <c r="N682" s="18"/>
      <c r="O682" s="16"/>
      <c r="P682" s="36">
        <f t="shared" si="383"/>
        <v>0</v>
      </c>
      <c r="Q682" s="17">
        <f t="shared" si="384"/>
        <v>0</v>
      </c>
      <c r="R682" s="81"/>
      <c r="S682" s="35"/>
      <c r="T682" s="15"/>
      <c r="U682" s="16"/>
      <c r="V682" s="36">
        <f t="shared" si="385"/>
        <v>0</v>
      </c>
      <c r="W682" s="18"/>
      <c r="X682" s="16"/>
      <c r="Y682" s="36">
        <f t="shared" si="386"/>
        <v>0</v>
      </c>
      <c r="Z682" s="17">
        <f t="shared" si="387"/>
        <v>0</v>
      </c>
    </row>
    <row r="683" spans="1:26" x14ac:dyDescent="0.15">
      <c r="A683" s="52" t="s">
        <v>309</v>
      </c>
      <c r="B683" s="15">
        <v>1</v>
      </c>
      <c r="C683" s="16"/>
      <c r="D683" s="17">
        <f>SUM(B683:C683)</f>
        <v>1</v>
      </c>
      <c r="E683" s="18">
        <v>1</v>
      </c>
      <c r="F683" s="16"/>
      <c r="G683" s="17">
        <f t="shared" si="380"/>
        <v>1</v>
      </c>
      <c r="H683" s="17">
        <f t="shared" si="381"/>
        <v>2</v>
      </c>
      <c r="I683" s="81">
        <v>44749</v>
      </c>
      <c r="J683" s="35" t="s">
        <v>270</v>
      </c>
      <c r="K683" s="15"/>
      <c r="L683" s="16"/>
      <c r="M683" s="36">
        <f t="shared" ref="M683" si="390">SUM(K683:L683)</f>
        <v>0</v>
      </c>
      <c r="N683" s="18"/>
      <c r="O683" s="16"/>
      <c r="P683" s="36">
        <f t="shared" ref="P683" si="391">SUM(N683:O683)</f>
        <v>0</v>
      </c>
      <c r="Q683" s="17">
        <f t="shared" ref="Q683" si="392">M683+P683</f>
        <v>0</v>
      </c>
      <c r="R683" s="81" t="s">
        <v>271</v>
      </c>
      <c r="S683" s="35"/>
      <c r="T683" s="15"/>
      <c r="U683" s="16"/>
      <c r="V683" s="36">
        <f t="shared" si="385"/>
        <v>0</v>
      </c>
      <c r="W683" s="18"/>
      <c r="X683" s="16"/>
      <c r="Y683" s="36">
        <f t="shared" si="386"/>
        <v>0</v>
      </c>
      <c r="Z683" s="17">
        <f t="shared" si="387"/>
        <v>0</v>
      </c>
    </row>
    <row r="684" spans="1:26" ht="14.25" thickBot="1" x14ac:dyDescent="0.2">
      <c r="A684" s="35" t="s">
        <v>283</v>
      </c>
      <c r="B684" s="15">
        <v>1</v>
      </c>
      <c r="C684" s="16"/>
      <c r="D684" s="36">
        <f t="shared" ref="D684:D686" si="393">SUM(B684:C684)</f>
        <v>1</v>
      </c>
      <c r="E684" s="18"/>
      <c r="F684" s="16"/>
      <c r="G684" s="36">
        <f t="shared" si="380"/>
        <v>0</v>
      </c>
      <c r="H684" s="17">
        <f t="shared" si="381"/>
        <v>1</v>
      </c>
      <c r="I684" s="81">
        <v>44749</v>
      </c>
      <c r="J684" s="35" t="s">
        <v>239</v>
      </c>
      <c r="K684" s="15"/>
      <c r="L684" s="16"/>
      <c r="M684" s="36">
        <f t="shared" si="382"/>
        <v>0</v>
      </c>
      <c r="N684" s="18"/>
      <c r="O684" s="16"/>
      <c r="P684" s="36">
        <f t="shared" si="383"/>
        <v>0</v>
      </c>
      <c r="Q684" s="17">
        <f t="shared" si="384"/>
        <v>0</v>
      </c>
      <c r="R684" s="83" t="s">
        <v>240</v>
      </c>
      <c r="S684" s="35"/>
      <c r="T684" s="15"/>
      <c r="U684" s="16"/>
      <c r="V684" s="36">
        <f t="shared" si="385"/>
        <v>0</v>
      </c>
      <c r="W684" s="18"/>
      <c r="X684" s="16"/>
      <c r="Y684" s="36">
        <f t="shared" si="386"/>
        <v>0</v>
      </c>
      <c r="Z684" s="17">
        <f t="shared" si="387"/>
        <v>0</v>
      </c>
    </row>
    <row r="685" spans="1:26" ht="14.25" thickBot="1" x14ac:dyDescent="0.2">
      <c r="A685" s="40" t="s">
        <v>14</v>
      </c>
      <c r="B685" s="41">
        <f>SUM(B659:B684)</f>
        <v>26</v>
      </c>
      <c r="C685" s="42">
        <f t="shared" ref="C685" si="394">SUM(C659:C684)</f>
        <v>31</v>
      </c>
      <c r="D685" s="43">
        <f t="shared" si="393"/>
        <v>57</v>
      </c>
      <c r="E685" s="41">
        <f>SUM(E659:E684)</f>
        <v>34</v>
      </c>
      <c r="F685" s="42">
        <f t="shared" ref="F685" si="395">SUM(F659:F684)</f>
        <v>27</v>
      </c>
      <c r="G685" s="43">
        <f t="shared" si="380"/>
        <v>61</v>
      </c>
      <c r="H685" s="43">
        <f t="shared" si="381"/>
        <v>118</v>
      </c>
      <c r="J685" s="40" t="s">
        <v>14</v>
      </c>
      <c r="K685" s="41">
        <f>SUM(K659:K684)</f>
        <v>73</v>
      </c>
      <c r="L685" s="42">
        <f t="shared" ref="L685" si="396">SUM(L659:L684)</f>
        <v>70</v>
      </c>
      <c r="M685" s="43">
        <f t="shared" si="382"/>
        <v>143</v>
      </c>
      <c r="N685" s="41">
        <f>SUM(N659:N684)</f>
        <v>85</v>
      </c>
      <c r="O685" s="42">
        <f t="shared" ref="O685" si="397">SUM(O659:O684)</f>
        <v>71</v>
      </c>
      <c r="P685" s="43">
        <f t="shared" si="383"/>
        <v>156</v>
      </c>
      <c r="Q685" s="43">
        <f t="shared" si="384"/>
        <v>299</v>
      </c>
      <c r="S685" s="40" t="s">
        <v>14</v>
      </c>
      <c r="T685" s="41">
        <f>SUM(T659:T684)</f>
        <v>0</v>
      </c>
      <c r="U685" s="42">
        <f t="shared" ref="U685" si="398">SUM(U659:U684)</f>
        <v>0</v>
      </c>
      <c r="V685" s="43">
        <f t="shared" si="385"/>
        <v>0</v>
      </c>
      <c r="W685" s="41">
        <f>SUM(W659:W684)</f>
        <v>0</v>
      </c>
      <c r="X685" s="42">
        <f t="shared" ref="X685" si="399">SUM(X659:X684)</f>
        <v>0</v>
      </c>
      <c r="Y685" s="43">
        <f t="shared" si="386"/>
        <v>0</v>
      </c>
      <c r="Z685" s="43">
        <f t="shared" si="387"/>
        <v>0</v>
      </c>
    </row>
    <row r="686" spans="1:26" ht="14.25" thickBot="1" x14ac:dyDescent="0.2">
      <c r="A686" s="44" t="s">
        <v>15</v>
      </c>
      <c r="B686" s="45">
        <f>B658-B685</f>
        <v>22</v>
      </c>
      <c r="C686" s="46">
        <f t="shared" ref="C686" si="400">C658-C685</f>
        <v>22</v>
      </c>
      <c r="D686" s="47">
        <f t="shared" si="393"/>
        <v>44</v>
      </c>
      <c r="E686" s="45">
        <f>E658-E685</f>
        <v>24</v>
      </c>
      <c r="F686" s="46">
        <f t="shared" ref="F686" si="401">F658-F685</f>
        <v>21</v>
      </c>
      <c r="G686" s="47">
        <f t="shared" si="380"/>
        <v>45</v>
      </c>
      <c r="H686" s="34">
        <f t="shared" si="381"/>
        <v>89</v>
      </c>
      <c r="J686" s="44" t="s">
        <v>15</v>
      </c>
      <c r="K686" s="45">
        <f>K658-K685</f>
        <v>749</v>
      </c>
      <c r="L686" s="46">
        <f t="shared" ref="L686" si="402">L658-L685</f>
        <v>433</v>
      </c>
      <c r="M686" s="47">
        <f t="shared" si="382"/>
        <v>1182</v>
      </c>
      <c r="N686" s="45">
        <f>N658-N685</f>
        <v>420</v>
      </c>
      <c r="O686" s="46">
        <f t="shared" ref="O686" si="403">O658-O685</f>
        <v>151</v>
      </c>
      <c r="P686" s="47">
        <f t="shared" si="383"/>
        <v>571</v>
      </c>
      <c r="Q686" s="34">
        <f t="shared" si="384"/>
        <v>1753</v>
      </c>
      <c r="S686" s="44" t="s">
        <v>15</v>
      </c>
      <c r="T686" s="45">
        <f>T658-T685</f>
        <v>1011</v>
      </c>
      <c r="U686" s="46">
        <f t="shared" ref="U686" si="404">U658-U685</f>
        <v>715</v>
      </c>
      <c r="V686" s="47">
        <f t="shared" si="385"/>
        <v>1726</v>
      </c>
      <c r="W686" s="45">
        <f>W658-W685</f>
        <v>1532</v>
      </c>
      <c r="X686" s="46">
        <f t="shared" ref="X686" si="405">X658-X685</f>
        <v>783</v>
      </c>
      <c r="Y686" s="47">
        <f t="shared" si="386"/>
        <v>2315</v>
      </c>
      <c r="Z686" s="34">
        <f t="shared" si="387"/>
        <v>4041</v>
      </c>
    </row>
    <row r="689" spans="1:26" ht="19.5" thickBot="1" x14ac:dyDescent="0.25">
      <c r="A689" s="1" t="s">
        <v>23</v>
      </c>
      <c r="J689" s="1" t="s">
        <v>24</v>
      </c>
      <c r="K689" s="2"/>
      <c r="L689" s="2"/>
      <c r="M689" s="2"/>
      <c r="N689" s="2"/>
      <c r="O689" s="1" t="s">
        <v>34</v>
      </c>
      <c r="P689" s="2"/>
      <c r="Q689" s="2"/>
      <c r="S689" s="1" t="s">
        <v>24</v>
      </c>
      <c r="T689" s="2"/>
      <c r="U689" s="2"/>
      <c r="V689" s="2"/>
      <c r="W689" s="2"/>
      <c r="X689" s="1" t="s">
        <v>34</v>
      </c>
      <c r="Y689" s="2"/>
      <c r="Z689" s="2"/>
    </row>
    <row r="690" spans="1:26" ht="14.25" thickBot="1" x14ac:dyDescent="0.2">
      <c r="A690" s="3" t="s">
        <v>0</v>
      </c>
      <c r="B690" s="125" t="s">
        <v>18</v>
      </c>
      <c r="C690" s="126"/>
      <c r="D690" s="127"/>
      <c r="E690" s="125" t="s">
        <v>19</v>
      </c>
      <c r="F690" s="126"/>
      <c r="G690" s="128"/>
      <c r="H690" s="129" t="s">
        <v>1</v>
      </c>
      <c r="J690" s="3" t="s">
        <v>0</v>
      </c>
      <c r="K690" s="125" t="s">
        <v>18</v>
      </c>
      <c r="L690" s="126"/>
      <c r="M690" s="127"/>
      <c r="N690" s="125" t="s">
        <v>19</v>
      </c>
      <c r="O690" s="126"/>
      <c r="P690" s="128"/>
      <c r="Q690" s="129" t="s">
        <v>1</v>
      </c>
      <c r="S690" s="3" t="s">
        <v>0</v>
      </c>
      <c r="T690" s="125" t="s">
        <v>18</v>
      </c>
      <c r="U690" s="126"/>
      <c r="V690" s="127"/>
      <c r="W690" s="125" t="s">
        <v>19</v>
      </c>
      <c r="X690" s="126"/>
      <c r="Y690" s="128"/>
      <c r="Z690" s="129" t="s">
        <v>1</v>
      </c>
    </row>
    <row r="691" spans="1:26" ht="14.25" thickBot="1" x14ac:dyDescent="0.2">
      <c r="A691" s="3" t="s">
        <v>2</v>
      </c>
      <c r="B691" s="4" t="s">
        <v>16</v>
      </c>
      <c r="C691" s="5" t="s">
        <v>17</v>
      </c>
      <c r="D691" s="3" t="s">
        <v>3</v>
      </c>
      <c r="E691" s="4" t="s">
        <v>16</v>
      </c>
      <c r="F691" s="5" t="s">
        <v>17</v>
      </c>
      <c r="G691" s="3" t="s">
        <v>3</v>
      </c>
      <c r="H691" s="130"/>
      <c r="J691" s="3" t="s">
        <v>2</v>
      </c>
      <c r="K691" s="4" t="s">
        <v>16</v>
      </c>
      <c r="L691" s="5" t="s">
        <v>17</v>
      </c>
      <c r="M691" s="3" t="s">
        <v>3</v>
      </c>
      <c r="N691" s="4" t="s">
        <v>16</v>
      </c>
      <c r="O691" s="5" t="s">
        <v>17</v>
      </c>
      <c r="P691" s="3" t="s">
        <v>3</v>
      </c>
      <c r="Q691" s="130"/>
      <c r="S691" s="3" t="s">
        <v>2</v>
      </c>
      <c r="T691" s="4" t="s">
        <v>16</v>
      </c>
      <c r="U691" s="5" t="s">
        <v>17</v>
      </c>
      <c r="V691" s="3" t="s">
        <v>3</v>
      </c>
      <c r="W691" s="4" t="s">
        <v>16</v>
      </c>
      <c r="X691" s="5" t="s">
        <v>17</v>
      </c>
      <c r="Y691" s="3" t="s">
        <v>3</v>
      </c>
      <c r="Z691" s="130"/>
    </row>
    <row r="692" spans="1:26" ht="14.25" thickBot="1" x14ac:dyDescent="0.2">
      <c r="A692" s="6" t="s">
        <v>55</v>
      </c>
      <c r="B692" s="32">
        <f>B686</f>
        <v>22</v>
      </c>
      <c r="C692" s="33">
        <f>C686</f>
        <v>22</v>
      </c>
      <c r="D692" s="34">
        <f t="shared" ref="D692:D704" si="406">SUM(B692:C692)</f>
        <v>44</v>
      </c>
      <c r="E692" s="32">
        <f>E686</f>
        <v>24</v>
      </c>
      <c r="F692" s="33">
        <f>F686</f>
        <v>21</v>
      </c>
      <c r="G692" s="34">
        <f t="shared" ref="G692:G729" si="407">SUM(E692:F692)</f>
        <v>45</v>
      </c>
      <c r="H692" s="34">
        <f t="shared" ref="H692:H729" si="408">D692+G692</f>
        <v>89</v>
      </c>
      <c r="J692" s="6" t="s">
        <v>55</v>
      </c>
      <c r="K692" s="7">
        <f>K686</f>
        <v>749</v>
      </c>
      <c r="L692" s="8">
        <f>L686</f>
        <v>433</v>
      </c>
      <c r="M692" s="9">
        <f t="shared" ref="M692:M710" si="409">SUM(K692:L692)</f>
        <v>1182</v>
      </c>
      <c r="N692" s="7">
        <f>N686</f>
        <v>420</v>
      </c>
      <c r="O692" s="8">
        <f>O686</f>
        <v>151</v>
      </c>
      <c r="P692" s="9">
        <f t="shared" ref="P692:P710" si="410">SUM(N692:O692)</f>
        <v>571</v>
      </c>
      <c r="Q692" s="9">
        <f t="shared" ref="Q692:Q710" si="411">M692+P692</f>
        <v>1753</v>
      </c>
      <c r="S692" s="6" t="s">
        <v>55</v>
      </c>
      <c r="T692" s="7">
        <f>T686</f>
        <v>1011</v>
      </c>
      <c r="U692" s="8">
        <f>U686</f>
        <v>715</v>
      </c>
      <c r="V692" s="9">
        <f t="shared" ref="V692:V729" si="412">SUM(T692:U692)</f>
        <v>1726</v>
      </c>
      <c r="W692" s="7">
        <f>W686</f>
        <v>1532</v>
      </c>
      <c r="X692" s="8">
        <f>X686</f>
        <v>783</v>
      </c>
      <c r="Y692" s="9">
        <f t="shared" ref="Y692:Y729" si="413">SUM(W692:X692)</f>
        <v>2315</v>
      </c>
      <c r="Z692" s="9">
        <f t="shared" ref="Z692:Z729" si="414">V692+Y692</f>
        <v>4041</v>
      </c>
    </row>
    <row r="693" spans="1:26" x14ac:dyDescent="0.15">
      <c r="A693" s="10" t="s">
        <v>61</v>
      </c>
      <c r="B693" s="64"/>
      <c r="C693" s="65">
        <v>1</v>
      </c>
      <c r="D693" s="36">
        <f t="shared" si="406"/>
        <v>1</v>
      </c>
      <c r="E693" s="66"/>
      <c r="F693" s="65">
        <v>1</v>
      </c>
      <c r="G693" s="36">
        <f t="shared" si="407"/>
        <v>1</v>
      </c>
      <c r="H693" s="36">
        <f t="shared" si="408"/>
        <v>2</v>
      </c>
      <c r="I693" s="81">
        <v>44750</v>
      </c>
      <c r="J693" s="10" t="s">
        <v>5</v>
      </c>
      <c r="K693" s="11"/>
      <c r="L693" s="12"/>
      <c r="M693" s="13">
        <f t="shared" si="409"/>
        <v>0</v>
      </c>
      <c r="N693" s="62"/>
      <c r="O693" s="12"/>
      <c r="P693" s="13">
        <f t="shared" si="410"/>
        <v>0</v>
      </c>
      <c r="Q693" s="13">
        <f t="shared" si="411"/>
        <v>0</v>
      </c>
      <c r="S693" s="10" t="s">
        <v>5</v>
      </c>
      <c r="T693" s="11"/>
      <c r="U693" s="12"/>
      <c r="V693" s="13">
        <f t="shared" si="412"/>
        <v>0</v>
      </c>
      <c r="W693" s="62"/>
      <c r="X693" s="12"/>
      <c r="Y693" s="13">
        <f t="shared" si="413"/>
        <v>0</v>
      </c>
      <c r="Z693" s="13">
        <f t="shared" si="414"/>
        <v>0</v>
      </c>
    </row>
    <row r="694" spans="1:26" x14ac:dyDescent="0.15">
      <c r="A694" s="10" t="s">
        <v>6</v>
      </c>
      <c r="B694" s="15">
        <v>5</v>
      </c>
      <c r="C694" s="16">
        <v>5</v>
      </c>
      <c r="D694" s="17">
        <f t="shared" si="406"/>
        <v>10</v>
      </c>
      <c r="E694" s="18">
        <v>5</v>
      </c>
      <c r="F694" s="16">
        <v>10</v>
      </c>
      <c r="G694" s="17">
        <f t="shared" si="407"/>
        <v>15</v>
      </c>
      <c r="H694" s="17">
        <f t="shared" si="408"/>
        <v>25</v>
      </c>
      <c r="I694" s="81">
        <v>44762</v>
      </c>
      <c r="J694" s="10" t="s">
        <v>6</v>
      </c>
      <c r="K694" s="15"/>
      <c r="L694" s="16"/>
      <c r="M694" s="17">
        <f t="shared" si="409"/>
        <v>0</v>
      </c>
      <c r="N694" s="18"/>
      <c r="O694" s="16"/>
      <c r="P694" s="17">
        <f t="shared" si="410"/>
        <v>0</v>
      </c>
      <c r="Q694" s="17">
        <f t="shared" si="411"/>
        <v>0</v>
      </c>
      <c r="R694" s="81"/>
      <c r="S694" s="10" t="s">
        <v>6</v>
      </c>
      <c r="T694" s="15"/>
      <c r="U694" s="16"/>
      <c r="V694" s="17">
        <f t="shared" si="412"/>
        <v>0</v>
      </c>
      <c r="W694" s="18"/>
      <c r="X694" s="16"/>
      <c r="Y694" s="17">
        <f t="shared" si="413"/>
        <v>0</v>
      </c>
      <c r="Z694" s="17">
        <f t="shared" si="414"/>
        <v>0</v>
      </c>
    </row>
    <row r="695" spans="1:26" x14ac:dyDescent="0.15">
      <c r="A695" s="10" t="s">
        <v>7</v>
      </c>
      <c r="B695" s="15">
        <v>5</v>
      </c>
      <c r="C695" s="16"/>
      <c r="D695" s="17">
        <f t="shared" si="406"/>
        <v>5</v>
      </c>
      <c r="E695" s="18"/>
      <c r="F695" s="16">
        <v>5</v>
      </c>
      <c r="G695" s="17">
        <f t="shared" si="407"/>
        <v>5</v>
      </c>
      <c r="H695" s="17">
        <f t="shared" si="408"/>
        <v>10</v>
      </c>
      <c r="I695" s="81">
        <v>44770</v>
      </c>
      <c r="J695" s="10" t="s">
        <v>7</v>
      </c>
      <c r="K695" s="19"/>
      <c r="L695" s="20"/>
      <c r="M695" s="17">
        <f t="shared" si="409"/>
        <v>0</v>
      </c>
      <c r="N695" s="21"/>
      <c r="O695" s="20"/>
      <c r="P695" s="17">
        <f t="shared" si="410"/>
        <v>0</v>
      </c>
      <c r="Q695" s="17">
        <f t="shared" si="411"/>
        <v>0</v>
      </c>
      <c r="R695" s="81"/>
      <c r="S695" s="10" t="s">
        <v>7</v>
      </c>
      <c r="T695" s="19"/>
      <c r="U695" s="20"/>
      <c r="V695" s="17">
        <f t="shared" si="412"/>
        <v>0</v>
      </c>
      <c r="W695" s="21"/>
      <c r="X695" s="20"/>
      <c r="Y695" s="17">
        <f t="shared" si="413"/>
        <v>0</v>
      </c>
      <c r="Z695" s="17">
        <f t="shared" si="414"/>
        <v>0</v>
      </c>
    </row>
    <row r="696" spans="1:26" x14ac:dyDescent="0.15">
      <c r="A696" s="10" t="s">
        <v>61</v>
      </c>
      <c r="B696" s="15">
        <v>1</v>
      </c>
      <c r="C696" s="16"/>
      <c r="D696" s="17">
        <f t="shared" si="406"/>
        <v>1</v>
      </c>
      <c r="E696" s="18">
        <v>1</v>
      </c>
      <c r="F696" s="16"/>
      <c r="G696" s="17">
        <f t="shared" si="407"/>
        <v>1</v>
      </c>
      <c r="H696" s="17">
        <f t="shared" si="408"/>
        <v>2</v>
      </c>
      <c r="I696" s="81">
        <v>44771</v>
      </c>
      <c r="J696" s="10" t="s">
        <v>8</v>
      </c>
      <c r="K696" s="15"/>
      <c r="L696" s="16"/>
      <c r="M696" s="17">
        <f t="shared" si="409"/>
        <v>0</v>
      </c>
      <c r="N696" s="18"/>
      <c r="O696" s="16"/>
      <c r="P696" s="17">
        <f t="shared" si="410"/>
        <v>0</v>
      </c>
      <c r="Q696" s="17">
        <f t="shared" si="411"/>
        <v>0</v>
      </c>
      <c r="R696" s="83"/>
      <c r="S696" s="10" t="s">
        <v>8</v>
      </c>
      <c r="T696" s="15"/>
      <c r="U696" s="16"/>
      <c r="V696" s="17">
        <f t="shared" si="412"/>
        <v>0</v>
      </c>
      <c r="W696" s="18"/>
      <c r="X696" s="16"/>
      <c r="Y696" s="17">
        <f t="shared" si="413"/>
        <v>0</v>
      </c>
      <c r="Z696" s="17">
        <f t="shared" si="414"/>
        <v>0</v>
      </c>
    </row>
    <row r="697" spans="1:26" x14ac:dyDescent="0.15">
      <c r="A697" s="10" t="s">
        <v>9</v>
      </c>
      <c r="B697" s="15">
        <v>5</v>
      </c>
      <c r="C697" s="16">
        <v>5</v>
      </c>
      <c r="D697" s="17">
        <f t="shared" si="406"/>
        <v>10</v>
      </c>
      <c r="E697" s="18"/>
      <c r="F697" s="16">
        <v>10</v>
      </c>
      <c r="G697" s="17">
        <f t="shared" si="407"/>
        <v>10</v>
      </c>
      <c r="H697" s="17">
        <f t="shared" si="408"/>
        <v>20</v>
      </c>
      <c r="I697" s="81">
        <v>44777</v>
      </c>
      <c r="J697" s="10" t="s">
        <v>9</v>
      </c>
      <c r="K697" s="15"/>
      <c r="L697" s="16"/>
      <c r="M697" s="17">
        <f t="shared" si="409"/>
        <v>0</v>
      </c>
      <c r="N697" s="18"/>
      <c r="O697" s="16"/>
      <c r="P697" s="17">
        <f t="shared" si="410"/>
        <v>0</v>
      </c>
      <c r="Q697" s="17">
        <f t="shared" si="411"/>
        <v>0</v>
      </c>
      <c r="R697" s="83"/>
      <c r="S697" s="10" t="s">
        <v>9</v>
      </c>
      <c r="T697" s="15"/>
      <c r="U697" s="16"/>
      <c r="V697" s="17">
        <f t="shared" si="412"/>
        <v>0</v>
      </c>
      <c r="W697" s="18"/>
      <c r="X697" s="16"/>
      <c r="Y697" s="17">
        <f t="shared" si="413"/>
        <v>0</v>
      </c>
      <c r="Z697" s="17">
        <f t="shared" si="414"/>
        <v>0</v>
      </c>
    </row>
    <row r="698" spans="1:26" x14ac:dyDescent="0.15">
      <c r="A698" s="10" t="s">
        <v>10</v>
      </c>
      <c r="B698" s="15">
        <v>5</v>
      </c>
      <c r="C698" s="16">
        <v>5</v>
      </c>
      <c r="D698" s="17">
        <f t="shared" si="406"/>
        <v>10</v>
      </c>
      <c r="E698" s="18">
        <v>20</v>
      </c>
      <c r="F698" s="16">
        <v>5</v>
      </c>
      <c r="G698" s="17">
        <f t="shared" si="407"/>
        <v>25</v>
      </c>
      <c r="H698" s="17">
        <f t="shared" si="408"/>
        <v>35</v>
      </c>
      <c r="I698" s="81">
        <v>44782</v>
      </c>
      <c r="J698" s="10" t="s">
        <v>10</v>
      </c>
      <c r="K698" s="15"/>
      <c r="L698" s="16"/>
      <c r="M698" s="17">
        <f t="shared" si="409"/>
        <v>0</v>
      </c>
      <c r="N698" s="18"/>
      <c r="O698" s="16"/>
      <c r="P698" s="17">
        <f t="shared" si="410"/>
        <v>0</v>
      </c>
      <c r="Q698" s="17">
        <f t="shared" si="411"/>
        <v>0</v>
      </c>
      <c r="S698" s="10" t="s">
        <v>10</v>
      </c>
      <c r="T698" s="15"/>
      <c r="U698" s="16"/>
      <c r="V698" s="17">
        <f t="shared" si="412"/>
        <v>0</v>
      </c>
      <c r="W698" s="18"/>
      <c r="X698" s="16"/>
      <c r="Y698" s="17">
        <f t="shared" si="413"/>
        <v>0</v>
      </c>
      <c r="Z698" s="17">
        <f t="shared" si="414"/>
        <v>0</v>
      </c>
    </row>
    <row r="699" spans="1:26" x14ac:dyDescent="0.15">
      <c r="A699" s="10" t="s">
        <v>61</v>
      </c>
      <c r="B699" s="23"/>
      <c r="C699" s="24">
        <v>2</v>
      </c>
      <c r="D699" s="17">
        <f t="shared" si="406"/>
        <v>2</v>
      </c>
      <c r="E699" s="25"/>
      <c r="F699" s="24">
        <v>2</v>
      </c>
      <c r="G699" s="17">
        <f t="shared" si="407"/>
        <v>2</v>
      </c>
      <c r="H699" s="17">
        <f t="shared" si="408"/>
        <v>4</v>
      </c>
      <c r="I699" s="81">
        <v>44783</v>
      </c>
      <c r="J699" s="10" t="s">
        <v>11</v>
      </c>
      <c r="K699" s="23"/>
      <c r="L699" s="24"/>
      <c r="M699" s="17">
        <f t="shared" si="409"/>
        <v>0</v>
      </c>
      <c r="N699" s="25"/>
      <c r="O699" s="24"/>
      <c r="P699" s="17">
        <f t="shared" si="410"/>
        <v>0</v>
      </c>
      <c r="Q699" s="17">
        <f t="shared" si="411"/>
        <v>0</v>
      </c>
      <c r="S699" s="10" t="s">
        <v>11</v>
      </c>
      <c r="T699" s="23"/>
      <c r="U699" s="24"/>
      <c r="V699" s="17">
        <f t="shared" si="412"/>
        <v>0</v>
      </c>
      <c r="W699" s="25"/>
      <c r="X699" s="24"/>
      <c r="Y699" s="17">
        <f t="shared" si="413"/>
        <v>0</v>
      </c>
      <c r="Z699" s="17">
        <f t="shared" si="414"/>
        <v>0</v>
      </c>
    </row>
    <row r="700" spans="1:26" ht="14.25" thickBot="1" x14ac:dyDescent="0.2">
      <c r="A700" s="10" t="s">
        <v>12</v>
      </c>
      <c r="B700" s="26">
        <v>10</v>
      </c>
      <c r="C700" s="27">
        <v>5</v>
      </c>
      <c r="D700" s="28">
        <f t="shared" si="406"/>
        <v>15</v>
      </c>
      <c r="E700" s="29">
        <v>5</v>
      </c>
      <c r="F700" s="29">
        <v>10</v>
      </c>
      <c r="G700" s="28">
        <f t="shared" si="407"/>
        <v>15</v>
      </c>
      <c r="H700" s="30">
        <f t="shared" si="408"/>
        <v>30</v>
      </c>
      <c r="I700" s="81">
        <v>44792</v>
      </c>
      <c r="J700" s="10" t="s">
        <v>12</v>
      </c>
      <c r="K700" s="26"/>
      <c r="L700" s="27"/>
      <c r="M700" s="28">
        <f t="shared" si="409"/>
        <v>0</v>
      </c>
      <c r="N700" s="29"/>
      <c r="O700" s="29"/>
      <c r="P700" s="28">
        <f t="shared" si="410"/>
        <v>0</v>
      </c>
      <c r="Q700" s="30">
        <f t="shared" si="411"/>
        <v>0</v>
      </c>
      <c r="S700" s="10" t="s">
        <v>12</v>
      </c>
      <c r="T700" s="26"/>
      <c r="U700" s="27"/>
      <c r="V700" s="28">
        <f t="shared" si="412"/>
        <v>0</v>
      </c>
      <c r="W700" s="29"/>
      <c r="X700" s="29"/>
      <c r="Y700" s="28">
        <f t="shared" si="413"/>
        <v>0</v>
      </c>
      <c r="Z700" s="30">
        <f t="shared" si="414"/>
        <v>0</v>
      </c>
    </row>
    <row r="701" spans="1:26" ht="14.25" thickBot="1" x14ac:dyDescent="0.2">
      <c r="A701" s="31" t="s">
        <v>13</v>
      </c>
      <c r="B701" s="32">
        <f>SUM(B692:B700)</f>
        <v>53</v>
      </c>
      <c r="C701" s="33">
        <f>SUM(C692:C700)</f>
        <v>45</v>
      </c>
      <c r="D701" s="34">
        <f t="shared" si="406"/>
        <v>98</v>
      </c>
      <c r="E701" s="32">
        <f>SUM(E692:E700)</f>
        <v>55</v>
      </c>
      <c r="F701" s="33">
        <f>SUM(F692:F700)</f>
        <v>64</v>
      </c>
      <c r="G701" s="34">
        <f t="shared" si="407"/>
        <v>119</v>
      </c>
      <c r="H701" s="34">
        <f t="shared" si="408"/>
        <v>217</v>
      </c>
      <c r="J701" s="31" t="s">
        <v>13</v>
      </c>
      <c r="K701" s="32">
        <f>SUM(K692:K700)</f>
        <v>749</v>
      </c>
      <c r="L701" s="33">
        <f>SUM(L692:L700)</f>
        <v>433</v>
      </c>
      <c r="M701" s="34">
        <f t="shared" si="409"/>
        <v>1182</v>
      </c>
      <c r="N701" s="32">
        <f>SUM(N692:N700)</f>
        <v>420</v>
      </c>
      <c r="O701" s="33">
        <f>SUM(O692:O700)</f>
        <v>151</v>
      </c>
      <c r="P701" s="34">
        <f t="shared" si="410"/>
        <v>571</v>
      </c>
      <c r="Q701" s="34">
        <f t="shared" si="411"/>
        <v>1753</v>
      </c>
      <c r="S701" s="31" t="s">
        <v>13</v>
      </c>
      <c r="T701" s="32">
        <f>SUM(T692:T700)</f>
        <v>1011</v>
      </c>
      <c r="U701" s="33">
        <f>SUM(U692:U700)</f>
        <v>715</v>
      </c>
      <c r="V701" s="34">
        <f t="shared" si="412"/>
        <v>1726</v>
      </c>
      <c r="W701" s="32">
        <f>SUM(W692:W700)</f>
        <v>1532</v>
      </c>
      <c r="X701" s="33">
        <f>SUM(X692:X700)</f>
        <v>783</v>
      </c>
      <c r="Y701" s="34">
        <f t="shared" si="413"/>
        <v>2315</v>
      </c>
      <c r="Z701" s="34">
        <f t="shared" si="414"/>
        <v>4041</v>
      </c>
    </row>
    <row r="702" spans="1:26" x14ac:dyDescent="0.15">
      <c r="A702" s="52" t="s">
        <v>311</v>
      </c>
      <c r="B702" s="15">
        <v>3</v>
      </c>
      <c r="C702" s="16">
        <v>2</v>
      </c>
      <c r="D702" s="36">
        <f t="shared" si="406"/>
        <v>5</v>
      </c>
      <c r="E702" s="18">
        <v>3</v>
      </c>
      <c r="F702" s="16">
        <v>2</v>
      </c>
      <c r="G702" s="36">
        <f t="shared" si="407"/>
        <v>5</v>
      </c>
      <c r="H702" s="17">
        <f t="shared" si="408"/>
        <v>10</v>
      </c>
      <c r="I702" s="81">
        <v>44753</v>
      </c>
      <c r="J702" s="52" t="s">
        <v>312</v>
      </c>
      <c r="K702" s="64">
        <v>8</v>
      </c>
      <c r="L702" s="65">
        <v>5</v>
      </c>
      <c r="M702" s="36">
        <f t="shared" si="409"/>
        <v>13</v>
      </c>
      <c r="N702" s="66">
        <v>8</v>
      </c>
      <c r="O702" s="65">
        <v>5</v>
      </c>
      <c r="P702" s="36">
        <f t="shared" si="410"/>
        <v>13</v>
      </c>
      <c r="Q702" s="36">
        <f t="shared" si="411"/>
        <v>26</v>
      </c>
      <c r="R702" s="81">
        <v>44754</v>
      </c>
      <c r="S702" s="52"/>
      <c r="T702" s="64"/>
      <c r="U702" s="65"/>
      <c r="V702" s="36">
        <f t="shared" si="412"/>
        <v>0</v>
      </c>
      <c r="W702" s="66"/>
      <c r="X702" s="65"/>
      <c r="Y702" s="36">
        <f t="shared" si="413"/>
        <v>0</v>
      </c>
      <c r="Z702" s="36">
        <f t="shared" si="414"/>
        <v>0</v>
      </c>
    </row>
    <row r="703" spans="1:26" x14ac:dyDescent="0.15">
      <c r="A703" s="35" t="s">
        <v>33</v>
      </c>
      <c r="B703" s="19"/>
      <c r="C703" s="20"/>
      <c r="D703" s="36">
        <f t="shared" si="406"/>
        <v>0</v>
      </c>
      <c r="E703" s="21"/>
      <c r="F703" s="20">
        <f>2+2</f>
        <v>4</v>
      </c>
      <c r="G703" s="36">
        <f t="shared" si="407"/>
        <v>4</v>
      </c>
      <c r="H703" s="36">
        <f t="shared" si="408"/>
        <v>4</v>
      </c>
      <c r="I703" s="81">
        <v>44753</v>
      </c>
      <c r="J703" s="52" t="s">
        <v>314</v>
      </c>
      <c r="K703" s="15">
        <v>1</v>
      </c>
      <c r="L703" s="16">
        <v>6</v>
      </c>
      <c r="M703" s="36">
        <f t="shared" si="409"/>
        <v>7</v>
      </c>
      <c r="N703" s="18">
        <v>1</v>
      </c>
      <c r="O703" s="16">
        <v>6</v>
      </c>
      <c r="P703" s="36">
        <f t="shared" si="410"/>
        <v>7</v>
      </c>
      <c r="Q703" s="17">
        <f t="shared" si="411"/>
        <v>14</v>
      </c>
      <c r="R703" s="81">
        <v>44761</v>
      </c>
      <c r="S703" s="10"/>
      <c r="T703" s="15"/>
      <c r="U703" s="16"/>
      <c r="V703" s="36">
        <f t="shared" si="412"/>
        <v>0</v>
      </c>
      <c r="W703" s="18"/>
      <c r="X703" s="16"/>
      <c r="Y703" s="36">
        <f t="shared" si="413"/>
        <v>0</v>
      </c>
      <c r="Z703" s="17">
        <f t="shared" si="414"/>
        <v>0</v>
      </c>
    </row>
    <row r="704" spans="1:26" x14ac:dyDescent="0.15">
      <c r="A704" s="35" t="s">
        <v>313</v>
      </c>
      <c r="B704" s="15"/>
      <c r="C704" s="16">
        <v>6</v>
      </c>
      <c r="D704" s="36">
        <f t="shared" si="406"/>
        <v>6</v>
      </c>
      <c r="E704" s="18">
        <v>6</v>
      </c>
      <c r="F704" s="16"/>
      <c r="G704" s="36">
        <f t="shared" si="407"/>
        <v>6</v>
      </c>
      <c r="H704" s="17">
        <f t="shared" si="408"/>
        <v>12</v>
      </c>
      <c r="I704" s="81">
        <v>44757</v>
      </c>
      <c r="J704" s="35" t="s">
        <v>317</v>
      </c>
      <c r="K704" s="19">
        <v>5</v>
      </c>
      <c r="L704" s="20">
        <v>5</v>
      </c>
      <c r="M704" s="17">
        <f t="shared" si="409"/>
        <v>10</v>
      </c>
      <c r="N704" s="21">
        <v>5</v>
      </c>
      <c r="O704" s="20">
        <v>10</v>
      </c>
      <c r="P704" s="17">
        <f t="shared" si="410"/>
        <v>15</v>
      </c>
      <c r="Q704" s="17">
        <f t="shared" si="411"/>
        <v>25</v>
      </c>
      <c r="R704" s="81">
        <v>44762</v>
      </c>
      <c r="S704" s="10"/>
      <c r="T704" s="19"/>
      <c r="U704" s="20"/>
      <c r="V704" s="17">
        <f t="shared" si="412"/>
        <v>0</v>
      </c>
      <c r="W704" s="21"/>
      <c r="X704" s="20"/>
      <c r="Y704" s="17">
        <f t="shared" si="413"/>
        <v>0</v>
      </c>
      <c r="Z704" s="17">
        <f t="shared" si="414"/>
        <v>0</v>
      </c>
    </row>
    <row r="705" spans="1:26" x14ac:dyDescent="0.15">
      <c r="A705" s="35" t="s">
        <v>33</v>
      </c>
      <c r="B705" s="15"/>
      <c r="C705" s="16"/>
      <c r="D705" s="17">
        <f>SUM(B705:C705)</f>
        <v>0</v>
      </c>
      <c r="E705" s="18">
        <v>2</v>
      </c>
      <c r="F705" s="16"/>
      <c r="G705" s="17">
        <f t="shared" si="407"/>
        <v>2</v>
      </c>
      <c r="H705" s="17">
        <f t="shared" si="408"/>
        <v>2</v>
      </c>
      <c r="I705" s="81">
        <v>44754</v>
      </c>
      <c r="J705" s="35" t="s">
        <v>320</v>
      </c>
      <c r="K705" s="15">
        <v>4</v>
      </c>
      <c r="L705" s="16">
        <v>6</v>
      </c>
      <c r="M705" s="17">
        <f t="shared" si="409"/>
        <v>10</v>
      </c>
      <c r="N705" s="18">
        <v>4</v>
      </c>
      <c r="O705" s="16">
        <v>6</v>
      </c>
      <c r="P705" s="17">
        <f t="shared" si="410"/>
        <v>10</v>
      </c>
      <c r="Q705" s="17">
        <f t="shared" si="411"/>
        <v>20</v>
      </c>
      <c r="R705" s="81">
        <v>44768</v>
      </c>
      <c r="S705" s="52"/>
      <c r="T705" s="15"/>
      <c r="U705" s="16"/>
      <c r="V705" s="17">
        <f t="shared" si="412"/>
        <v>0</v>
      </c>
      <c r="W705" s="18"/>
      <c r="X705" s="16"/>
      <c r="Y705" s="17">
        <f t="shared" si="413"/>
        <v>0</v>
      </c>
      <c r="Z705" s="17">
        <f t="shared" si="414"/>
        <v>0</v>
      </c>
    </row>
    <row r="706" spans="1:26" x14ac:dyDescent="0.15">
      <c r="A706" s="35" t="s">
        <v>33</v>
      </c>
      <c r="B706" s="15">
        <v>6</v>
      </c>
      <c r="C706" s="16"/>
      <c r="D706" s="36">
        <f t="shared" ref="D706:D723" si="415">SUM(B706:C706)</f>
        <v>6</v>
      </c>
      <c r="E706" s="18"/>
      <c r="F706" s="16"/>
      <c r="G706" s="36">
        <f t="shared" si="407"/>
        <v>0</v>
      </c>
      <c r="H706" s="17">
        <f t="shared" si="408"/>
        <v>6</v>
      </c>
      <c r="I706" s="81">
        <v>44755</v>
      </c>
      <c r="J706" s="35" t="s">
        <v>91</v>
      </c>
      <c r="K706" s="15">
        <v>5</v>
      </c>
      <c r="L706" s="16"/>
      <c r="M706" s="17">
        <f t="shared" si="409"/>
        <v>5</v>
      </c>
      <c r="N706" s="18"/>
      <c r="O706" s="16">
        <v>5</v>
      </c>
      <c r="P706" s="17">
        <f t="shared" si="410"/>
        <v>5</v>
      </c>
      <c r="Q706" s="17">
        <f t="shared" si="411"/>
        <v>10</v>
      </c>
      <c r="R706" s="81">
        <v>44770</v>
      </c>
      <c r="S706" s="10"/>
      <c r="T706" s="15"/>
      <c r="U706" s="16"/>
      <c r="V706" s="17">
        <f t="shared" si="412"/>
        <v>0</v>
      </c>
      <c r="W706" s="18"/>
      <c r="X706" s="16"/>
      <c r="Y706" s="17">
        <f t="shared" si="413"/>
        <v>0</v>
      </c>
      <c r="Z706" s="17">
        <f t="shared" si="414"/>
        <v>0</v>
      </c>
    </row>
    <row r="707" spans="1:26" x14ac:dyDescent="0.15">
      <c r="A707" s="35" t="s">
        <v>33</v>
      </c>
      <c r="B707" s="15"/>
      <c r="C707" s="16">
        <v>1</v>
      </c>
      <c r="D707" s="36">
        <f t="shared" si="415"/>
        <v>1</v>
      </c>
      <c r="E707" s="18"/>
      <c r="F707" s="16"/>
      <c r="G707" s="36">
        <f t="shared" si="407"/>
        <v>0</v>
      </c>
      <c r="H707" s="17">
        <f t="shared" si="408"/>
        <v>1</v>
      </c>
      <c r="I707" s="81">
        <v>44756</v>
      </c>
      <c r="J707" s="35" t="s">
        <v>321</v>
      </c>
      <c r="K707" s="15">
        <v>6</v>
      </c>
      <c r="L707" s="16"/>
      <c r="M707" s="36">
        <f t="shared" si="409"/>
        <v>6</v>
      </c>
      <c r="N707" s="18">
        <v>6</v>
      </c>
      <c r="O707" s="16"/>
      <c r="P707" s="36">
        <f t="shared" si="410"/>
        <v>6</v>
      </c>
      <c r="Q707" s="17">
        <f t="shared" si="411"/>
        <v>12</v>
      </c>
      <c r="R707" s="81">
        <v>44775</v>
      </c>
      <c r="S707" s="10"/>
      <c r="T707" s="15"/>
      <c r="U707" s="16"/>
      <c r="V707" s="36">
        <f t="shared" si="412"/>
        <v>0</v>
      </c>
      <c r="W707" s="18"/>
      <c r="X707" s="16"/>
      <c r="Y707" s="36">
        <f t="shared" si="413"/>
        <v>0</v>
      </c>
      <c r="Z707" s="17">
        <f t="shared" si="414"/>
        <v>0</v>
      </c>
    </row>
    <row r="708" spans="1:26" x14ac:dyDescent="0.15">
      <c r="A708" s="52" t="s">
        <v>315</v>
      </c>
      <c r="B708" s="15"/>
      <c r="C708" s="16">
        <v>2</v>
      </c>
      <c r="D708" s="36">
        <f t="shared" si="415"/>
        <v>2</v>
      </c>
      <c r="E708" s="18"/>
      <c r="F708" s="16">
        <v>2</v>
      </c>
      <c r="G708" s="36">
        <f t="shared" si="407"/>
        <v>2</v>
      </c>
      <c r="H708" s="17">
        <f t="shared" si="408"/>
        <v>4</v>
      </c>
      <c r="I708" s="81">
        <v>44762</v>
      </c>
      <c r="J708" s="35" t="s">
        <v>91</v>
      </c>
      <c r="K708" s="15">
        <v>5</v>
      </c>
      <c r="L708" s="16">
        <v>5</v>
      </c>
      <c r="M708" s="36">
        <f t="shared" si="409"/>
        <v>10</v>
      </c>
      <c r="N708" s="18"/>
      <c r="O708" s="16">
        <v>10</v>
      </c>
      <c r="P708" s="36">
        <f t="shared" si="410"/>
        <v>10</v>
      </c>
      <c r="Q708" s="17">
        <f t="shared" si="411"/>
        <v>20</v>
      </c>
      <c r="R708" s="81">
        <v>44777</v>
      </c>
      <c r="S708" s="10"/>
      <c r="T708" s="15"/>
      <c r="U708" s="16"/>
      <c r="V708" s="36">
        <f t="shared" si="412"/>
        <v>0</v>
      </c>
      <c r="W708" s="18"/>
      <c r="X708" s="16"/>
      <c r="Y708" s="36">
        <f t="shared" si="413"/>
        <v>0</v>
      </c>
      <c r="Z708" s="17">
        <f t="shared" si="414"/>
        <v>0</v>
      </c>
    </row>
    <row r="709" spans="1:26" x14ac:dyDescent="0.15">
      <c r="A709" s="35" t="s">
        <v>33</v>
      </c>
      <c r="B709" s="15">
        <v>1</v>
      </c>
      <c r="C709" s="16"/>
      <c r="D709" s="36">
        <f t="shared" si="415"/>
        <v>1</v>
      </c>
      <c r="E709" s="18">
        <v>2</v>
      </c>
      <c r="F709" s="16">
        <v>2</v>
      </c>
      <c r="G709" s="36">
        <f t="shared" si="407"/>
        <v>4</v>
      </c>
      <c r="H709" s="17">
        <f t="shared" si="408"/>
        <v>5</v>
      </c>
      <c r="I709" s="81">
        <v>44761</v>
      </c>
      <c r="J709" s="35" t="s">
        <v>91</v>
      </c>
      <c r="K709" s="19">
        <v>5</v>
      </c>
      <c r="L709" s="20">
        <v>5</v>
      </c>
      <c r="M709" s="17">
        <f t="shared" si="409"/>
        <v>10</v>
      </c>
      <c r="N709" s="21">
        <v>20</v>
      </c>
      <c r="O709" s="20">
        <v>5</v>
      </c>
      <c r="P709" s="17">
        <f t="shared" si="410"/>
        <v>25</v>
      </c>
      <c r="Q709" s="17">
        <f t="shared" si="411"/>
        <v>35</v>
      </c>
      <c r="R709" s="81">
        <v>44782</v>
      </c>
      <c r="S709" s="52"/>
      <c r="T709" s="15"/>
      <c r="U709" s="16"/>
      <c r="V709" s="36">
        <f t="shared" si="412"/>
        <v>0</v>
      </c>
      <c r="W709" s="18"/>
      <c r="X709" s="16"/>
      <c r="Y709" s="36">
        <f t="shared" si="413"/>
        <v>0</v>
      </c>
      <c r="Z709" s="17">
        <f t="shared" si="414"/>
        <v>0</v>
      </c>
    </row>
    <row r="710" spans="1:26" x14ac:dyDescent="0.15">
      <c r="A710" s="35" t="s">
        <v>316</v>
      </c>
      <c r="B710" s="15"/>
      <c r="C710" s="16"/>
      <c r="D710" s="36">
        <f t="shared" si="415"/>
        <v>0</v>
      </c>
      <c r="E710" s="18"/>
      <c r="F710" s="16">
        <v>10</v>
      </c>
      <c r="G710" s="36">
        <f t="shared" si="407"/>
        <v>10</v>
      </c>
      <c r="H710" s="17">
        <f t="shared" si="408"/>
        <v>10</v>
      </c>
      <c r="I710" s="81">
        <v>44767</v>
      </c>
      <c r="J710" s="35" t="s">
        <v>91</v>
      </c>
      <c r="K710" s="19">
        <v>10</v>
      </c>
      <c r="L710" s="20">
        <v>5</v>
      </c>
      <c r="M710" s="17">
        <f t="shared" si="409"/>
        <v>15</v>
      </c>
      <c r="N710" s="21">
        <v>5</v>
      </c>
      <c r="O710" s="20">
        <v>10</v>
      </c>
      <c r="P710" s="17">
        <f t="shared" si="410"/>
        <v>15</v>
      </c>
      <c r="Q710" s="17">
        <f t="shared" si="411"/>
        <v>30</v>
      </c>
      <c r="R710" s="81">
        <v>44792</v>
      </c>
      <c r="S710" s="10"/>
      <c r="T710" s="19"/>
      <c r="U710" s="20"/>
      <c r="V710" s="17">
        <f t="shared" si="412"/>
        <v>0</v>
      </c>
      <c r="W710" s="21"/>
      <c r="X710" s="20"/>
      <c r="Y710" s="17">
        <f t="shared" si="413"/>
        <v>0</v>
      </c>
      <c r="Z710" s="17">
        <f t="shared" si="414"/>
        <v>0</v>
      </c>
    </row>
    <row r="711" spans="1:26" x14ac:dyDescent="0.15">
      <c r="A711" s="52" t="s">
        <v>318</v>
      </c>
      <c r="B711" s="23">
        <v>2</v>
      </c>
      <c r="C711" s="24"/>
      <c r="D711" s="36">
        <f t="shared" si="415"/>
        <v>2</v>
      </c>
      <c r="E711" s="25">
        <v>2</v>
      </c>
      <c r="F711" s="24"/>
      <c r="G711" s="36">
        <f t="shared" si="407"/>
        <v>2</v>
      </c>
      <c r="H711" s="17">
        <f t="shared" si="408"/>
        <v>4</v>
      </c>
      <c r="I711" s="81">
        <v>44763</v>
      </c>
      <c r="J711" s="35" t="s">
        <v>328</v>
      </c>
      <c r="K711" s="23">
        <v>3</v>
      </c>
      <c r="L711" s="24">
        <v>2</v>
      </c>
      <c r="M711" s="36">
        <f t="shared" ref="M711:M729" si="416">SUM(K711:L711)</f>
        <v>5</v>
      </c>
      <c r="N711" s="25">
        <v>3</v>
      </c>
      <c r="O711" s="24">
        <v>2</v>
      </c>
      <c r="P711" s="36">
        <f t="shared" ref="P711:P729" si="417">SUM(N711:O711)</f>
        <v>5</v>
      </c>
      <c r="Q711" s="17">
        <f t="shared" ref="Q711:Q729" si="418">M711+P711</f>
        <v>10</v>
      </c>
      <c r="R711" s="81">
        <v>44796</v>
      </c>
      <c r="S711" s="35"/>
      <c r="T711" s="23"/>
      <c r="U711" s="24"/>
      <c r="V711" s="36">
        <f t="shared" si="412"/>
        <v>0</v>
      </c>
      <c r="W711" s="25"/>
      <c r="X711" s="24"/>
      <c r="Y711" s="36">
        <f t="shared" si="413"/>
        <v>0</v>
      </c>
      <c r="Z711" s="17">
        <f t="shared" si="414"/>
        <v>0</v>
      </c>
    </row>
    <row r="712" spans="1:26" x14ac:dyDescent="0.15">
      <c r="A712" s="35" t="s">
        <v>33</v>
      </c>
      <c r="B712" s="15"/>
      <c r="C712" s="16">
        <v>2</v>
      </c>
      <c r="D712" s="36">
        <f t="shared" si="415"/>
        <v>2</v>
      </c>
      <c r="E712" s="18"/>
      <c r="F712" s="16"/>
      <c r="G712" s="36">
        <f t="shared" si="407"/>
        <v>0</v>
      </c>
      <c r="H712" s="17">
        <f t="shared" si="408"/>
        <v>2</v>
      </c>
      <c r="I712" s="81">
        <v>44763</v>
      </c>
      <c r="J712" s="52"/>
      <c r="K712" s="15"/>
      <c r="L712" s="16"/>
      <c r="M712" s="36">
        <f t="shared" ref="M712" si="419">SUM(K712:L712)</f>
        <v>0</v>
      </c>
      <c r="N712" s="18"/>
      <c r="O712" s="16"/>
      <c r="P712" s="36">
        <f t="shared" ref="P712" si="420">SUM(N712:O712)</f>
        <v>0</v>
      </c>
      <c r="Q712" s="17">
        <f t="shared" ref="Q712" si="421">M712+P712</f>
        <v>0</v>
      </c>
      <c r="R712" s="81"/>
      <c r="S712" s="35"/>
      <c r="T712" s="15"/>
      <c r="U712" s="16"/>
      <c r="V712" s="36">
        <f t="shared" si="412"/>
        <v>0</v>
      </c>
      <c r="W712" s="18"/>
      <c r="X712" s="16"/>
      <c r="Y712" s="36">
        <f t="shared" si="413"/>
        <v>0</v>
      </c>
      <c r="Z712" s="17">
        <f t="shared" si="414"/>
        <v>0</v>
      </c>
    </row>
    <row r="713" spans="1:26" x14ac:dyDescent="0.15">
      <c r="A713" s="35" t="s">
        <v>33</v>
      </c>
      <c r="B713" s="15"/>
      <c r="C713" s="16"/>
      <c r="D713" s="36">
        <f t="shared" si="415"/>
        <v>0</v>
      </c>
      <c r="E713" s="18"/>
      <c r="F713" s="16">
        <v>3</v>
      </c>
      <c r="G713" s="36">
        <f t="shared" si="407"/>
        <v>3</v>
      </c>
      <c r="H713" s="17">
        <f t="shared" si="408"/>
        <v>3</v>
      </c>
      <c r="I713" s="81">
        <v>44767</v>
      </c>
      <c r="J713" s="52"/>
      <c r="K713" s="15"/>
      <c r="L713" s="16"/>
      <c r="M713" s="36">
        <f t="shared" si="416"/>
        <v>0</v>
      </c>
      <c r="N713" s="18"/>
      <c r="O713" s="16"/>
      <c r="P713" s="36">
        <f t="shared" si="417"/>
        <v>0</v>
      </c>
      <c r="Q713" s="17">
        <f t="shared" si="418"/>
        <v>0</v>
      </c>
      <c r="R713" s="81"/>
      <c r="S713" s="35"/>
      <c r="T713" s="15"/>
      <c r="U713" s="16"/>
      <c r="V713" s="36">
        <f t="shared" si="412"/>
        <v>0</v>
      </c>
      <c r="W713" s="18"/>
      <c r="X713" s="16"/>
      <c r="Y713" s="36">
        <f t="shared" si="413"/>
        <v>0</v>
      </c>
      <c r="Z713" s="17">
        <f t="shared" si="414"/>
        <v>0</v>
      </c>
    </row>
    <row r="714" spans="1:26" x14ac:dyDescent="0.15">
      <c r="A714" s="35" t="s">
        <v>33</v>
      </c>
      <c r="B714" s="15">
        <v>4</v>
      </c>
      <c r="C714" s="16"/>
      <c r="D714" s="36">
        <f t="shared" si="415"/>
        <v>4</v>
      </c>
      <c r="E714" s="18">
        <v>2</v>
      </c>
      <c r="F714" s="16">
        <v>2</v>
      </c>
      <c r="G714" s="36">
        <f t="shared" si="407"/>
        <v>4</v>
      </c>
      <c r="H714" s="17">
        <f t="shared" si="408"/>
        <v>8</v>
      </c>
      <c r="I714" s="81">
        <v>44768</v>
      </c>
      <c r="J714" s="35"/>
      <c r="K714" s="15"/>
      <c r="L714" s="16"/>
      <c r="M714" s="36">
        <f t="shared" si="416"/>
        <v>0</v>
      </c>
      <c r="N714" s="18"/>
      <c r="O714" s="16"/>
      <c r="P714" s="36">
        <f t="shared" si="417"/>
        <v>0</v>
      </c>
      <c r="Q714" s="17">
        <f t="shared" si="418"/>
        <v>0</v>
      </c>
      <c r="R714" s="81"/>
      <c r="S714" s="35"/>
      <c r="T714" s="15"/>
      <c r="U714" s="16"/>
      <c r="V714" s="36">
        <f t="shared" si="412"/>
        <v>0</v>
      </c>
      <c r="W714" s="18"/>
      <c r="X714" s="16"/>
      <c r="Y714" s="36">
        <f t="shared" si="413"/>
        <v>0</v>
      </c>
      <c r="Z714" s="17">
        <f t="shared" si="414"/>
        <v>0</v>
      </c>
    </row>
    <row r="715" spans="1:26" x14ac:dyDescent="0.15">
      <c r="A715" s="35" t="s">
        <v>33</v>
      </c>
      <c r="B715" s="15"/>
      <c r="C715" s="16"/>
      <c r="D715" s="36">
        <f t="shared" si="415"/>
        <v>0</v>
      </c>
      <c r="E715" s="18">
        <v>1</v>
      </c>
      <c r="F715" s="16"/>
      <c r="G715" s="36">
        <f t="shared" si="407"/>
        <v>1</v>
      </c>
      <c r="H715" s="17">
        <f t="shared" si="408"/>
        <v>1</v>
      </c>
      <c r="I715" s="81">
        <v>44774</v>
      </c>
      <c r="J715" s="35"/>
      <c r="K715" s="15"/>
      <c r="L715" s="16"/>
      <c r="M715" s="17">
        <f t="shared" si="416"/>
        <v>0</v>
      </c>
      <c r="N715" s="18"/>
      <c r="O715" s="16"/>
      <c r="P715" s="17">
        <f t="shared" si="417"/>
        <v>0</v>
      </c>
      <c r="Q715" s="17">
        <f t="shared" si="418"/>
        <v>0</v>
      </c>
      <c r="R715" s="81"/>
      <c r="S715" s="10"/>
      <c r="T715" s="15"/>
      <c r="U715" s="16"/>
      <c r="V715" s="17">
        <f t="shared" si="412"/>
        <v>0</v>
      </c>
      <c r="W715" s="18"/>
      <c r="X715" s="16"/>
      <c r="Y715" s="17">
        <f t="shared" si="413"/>
        <v>0</v>
      </c>
      <c r="Z715" s="17">
        <f t="shared" si="414"/>
        <v>0</v>
      </c>
    </row>
    <row r="716" spans="1:26" x14ac:dyDescent="0.15">
      <c r="A716" s="35" t="s">
        <v>322</v>
      </c>
      <c r="B716" s="15"/>
      <c r="C716" s="16">
        <v>3</v>
      </c>
      <c r="D716" s="36">
        <f t="shared" si="415"/>
        <v>3</v>
      </c>
      <c r="E716" s="18"/>
      <c r="F716" s="16">
        <v>3</v>
      </c>
      <c r="G716" s="36">
        <f t="shared" si="407"/>
        <v>3</v>
      </c>
      <c r="H716" s="17">
        <f t="shared" si="408"/>
        <v>6</v>
      </c>
      <c r="I716" s="81">
        <v>44777</v>
      </c>
      <c r="J716" s="52"/>
      <c r="K716" s="15"/>
      <c r="L716" s="16"/>
      <c r="M716" s="17">
        <f t="shared" si="416"/>
        <v>0</v>
      </c>
      <c r="N716" s="18"/>
      <c r="O716" s="16"/>
      <c r="P716" s="17">
        <f t="shared" si="417"/>
        <v>0</v>
      </c>
      <c r="Q716" s="17">
        <f t="shared" si="418"/>
        <v>0</v>
      </c>
      <c r="R716" s="81"/>
      <c r="S716" s="35"/>
      <c r="T716" s="15"/>
      <c r="U716" s="16"/>
      <c r="V716" s="36">
        <f t="shared" si="412"/>
        <v>0</v>
      </c>
      <c r="W716" s="18"/>
      <c r="X716" s="16"/>
      <c r="Y716" s="36">
        <f t="shared" si="413"/>
        <v>0</v>
      </c>
      <c r="Z716" s="17">
        <f t="shared" si="414"/>
        <v>0</v>
      </c>
    </row>
    <row r="717" spans="1:26" x14ac:dyDescent="0.15">
      <c r="A717" s="35" t="s">
        <v>323</v>
      </c>
      <c r="B717" s="15"/>
      <c r="C717" s="16">
        <v>2</v>
      </c>
      <c r="D717" s="36">
        <f t="shared" si="415"/>
        <v>2</v>
      </c>
      <c r="E717" s="18"/>
      <c r="F717" s="16">
        <v>2</v>
      </c>
      <c r="G717" s="36">
        <f t="shared" si="407"/>
        <v>2</v>
      </c>
      <c r="H717" s="17">
        <f t="shared" si="408"/>
        <v>4</v>
      </c>
      <c r="I717" s="81">
        <v>44778</v>
      </c>
      <c r="J717" s="35"/>
      <c r="K717" s="15"/>
      <c r="L717" s="16"/>
      <c r="M717" s="36">
        <f t="shared" si="416"/>
        <v>0</v>
      </c>
      <c r="N717" s="18"/>
      <c r="O717" s="16"/>
      <c r="P717" s="36">
        <f t="shared" si="417"/>
        <v>0</v>
      </c>
      <c r="Q717" s="17">
        <f t="shared" si="418"/>
        <v>0</v>
      </c>
      <c r="R717" s="81"/>
      <c r="S717" s="37"/>
      <c r="T717" s="15"/>
      <c r="U717" s="16"/>
      <c r="V717" s="36">
        <f t="shared" si="412"/>
        <v>0</v>
      </c>
      <c r="W717" s="18"/>
      <c r="X717" s="16"/>
      <c r="Y717" s="36">
        <f t="shared" si="413"/>
        <v>0</v>
      </c>
      <c r="Z717" s="17">
        <f t="shared" si="414"/>
        <v>0</v>
      </c>
    </row>
    <row r="718" spans="1:26" x14ac:dyDescent="0.15">
      <c r="A718" s="35" t="s">
        <v>324</v>
      </c>
      <c r="B718" s="15">
        <v>2</v>
      </c>
      <c r="C718" s="16"/>
      <c r="D718" s="36">
        <f t="shared" si="415"/>
        <v>2</v>
      </c>
      <c r="E718" s="18">
        <v>2</v>
      </c>
      <c r="F718" s="16"/>
      <c r="G718" s="36">
        <f t="shared" si="407"/>
        <v>2</v>
      </c>
      <c r="H718" s="17">
        <f t="shared" si="408"/>
        <v>4</v>
      </c>
      <c r="I718" s="81">
        <v>44781</v>
      </c>
      <c r="J718" s="35"/>
      <c r="K718" s="15"/>
      <c r="L718" s="16"/>
      <c r="M718" s="36">
        <f t="shared" si="416"/>
        <v>0</v>
      </c>
      <c r="N718" s="18"/>
      <c r="O718" s="16"/>
      <c r="P718" s="36">
        <f t="shared" si="417"/>
        <v>0</v>
      </c>
      <c r="Q718" s="17">
        <f t="shared" si="418"/>
        <v>0</v>
      </c>
      <c r="R718" s="81"/>
      <c r="S718" s="37"/>
      <c r="T718" s="15"/>
      <c r="U718" s="16"/>
      <c r="V718" s="36">
        <f t="shared" si="412"/>
        <v>0</v>
      </c>
      <c r="W718" s="18"/>
      <c r="X718" s="16"/>
      <c r="Y718" s="36">
        <f t="shared" si="413"/>
        <v>0</v>
      </c>
      <c r="Z718" s="17">
        <f t="shared" si="414"/>
        <v>0</v>
      </c>
    </row>
    <row r="719" spans="1:26" x14ac:dyDescent="0.15">
      <c r="A719" s="35" t="s">
        <v>33</v>
      </c>
      <c r="B719" s="15"/>
      <c r="C719" s="16"/>
      <c r="D719" s="36">
        <f t="shared" si="415"/>
        <v>0</v>
      </c>
      <c r="E719" s="18">
        <v>6</v>
      </c>
      <c r="F719" s="16"/>
      <c r="G719" s="36">
        <f t="shared" si="407"/>
        <v>6</v>
      </c>
      <c r="H719" s="17">
        <f t="shared" si="408"/>
        <v>6</v>
      </c>
      <c r="I719" s="81">
        <v>44779</v>
      </c>
      <c r="J719" s="52"/>
      <c r="K719" s="15"/>
      <c r="L719" s="16"/>
      <c r="M719" s="36">
        <f t="shared" si="416"/>
        <v>0</v>
      </c>
      <c r="N719" s="18"/>
      <c r="O719" s="16"/>
      <c r="P719" s="36">
        <f t="shared" si="417"/>
        <v>0</v>
      </c>
      <c r="Q719" s="17">
        <f t="shared" si="418"/>
        <v>0</v>
      </c>
      <c r="R719" s="81"/>
      <c r="S719" s="35"/>
      <c r="T719" s="15"/>
      <c r="U719" s="16"/>
      <c r="V719" s="36">
        <f t="shared" si="412"/>
        <v>0</v>
      </c>
      <c r="W719" s="18"/>
      <c r="X719" s="16"/>
      <c r="Y719" s="36">
        <f t="shared" si="413"/>
        <v>0</v>
      </c>
      <c r="Z719" s="17">
        <f t="shared" si="414"/>
        <v>0</v>
      </c>
    </row>
    <row r="720" spans="1:26" x14ac:dyDescent="0.15">
      <c r="A720" s="35" t="s">
        <v>33</v>
      </c>
      <c r="B720" s="15">
        <v>1</v>
      </c>
      <c r="C720" s="16"/>
      <c r="D720" s="36">
        <f t="shared" si="415"/>
        <v>1</v>
      </c>
      <c r="E720" s="18">
        <f>1+2</f>
        <v>3</v>
      </c>
      <c r="F720" s="16"/>
      <c r="G720" s="36">
        <f t="shared" si="407"/>
        <v>3</v>
      </c>
      <c r="H720" s="17">
        <f t="shared" si="408"/>
        <v>4</v>
      </c>
      <c r="I720" s="81">
        <v>44781</v>
      </c>
      <c r="J720" s="35"/>
      <c r="K720" s="15"/>
      <c r="L720" s="16"/>
      <c r="M720" s="36">
        <f t="shared" si="416"/>
        <v>0</v>
      </c>
      <c r="N720" s="18"/>
      <c r="O720" s="16"/>
      <c r="P720" s="36">
        <f t="shared" si="417"/>
        <v>0</v>
      </c>
      <c r="Q720" s="17">
        <f t="shared" si="418"/>
        <v>0</v>
      </c>
      <c r="R720" s="81"/>
      <c r="S720" s="38"/>
      <c r="T720" s="15"/>
      <c r="U720" s="16"/>
      <c r="V720" s="36">
        <f t="shared" si="412"/>
        <v>0</v>
      </c>
      <c r="W720" s="18"/>
      <c r="X720" s="16"/>
      <c r="Y720" s="36">
        <f t="shared" si="413"/>
        <v>0</v>
      </c>
      <c r="Z720" s="17">
        <f t="shared" si="414"/>
        <v>0</v>
      </c>
    </row>
    <row r="721" spans="1:26" x14ac:dyDescent="0.15">
      <c r="A721" s="35" t="s">
        <v>325</v>
      </c>
      <c r="B721" s="15">
        <v>2</v>
      </c>
      <c r="C721" s="16">
        <v>2</v>
      </c>
      <c r="D721" s="36">
        <f t="shared" si="415"/>
        <v>4</v>
      </c>
      <c r="E721" s="18">
        <v>2</v>
      </c>
      <c r="F721" s="16">
        <v>2</v>
      </c>
      <c r="G721" s="36">
        <f t="shared" si="407"/>
        <v>4</v>
      </c>
      <c r="H721" s="17">
        <f t="shared" si="408"/>
        <v>8</v>
      </c>
      <c r="I721" s="81">
        <v>44783</v>
      </c>
      <c r="J721" s="35"/>
      <c r="K721" s="15"/>
      <c r="L721" s="16"/>
      <c r="M721" s="36">
        <f t="shared" si="416"/>
        <v>0</v>
      </c>
      <c r="N721" s="18"/>
      <c r="O721" s="16"/>
      <c r="P721" s="36">
        <f t="shared" si="417"/>
        <v>0</v>
      </c>
      <c r="Q721" s="17">
        <f t="shared" si="418"/>
        <v>0</v>
      </c>
      <c r="S721" s="35"/>
      <c r="T721" s="15"/>
      <c r="U721" s="16"/>
      <c r="V721" s="36">
        <f t="shared" si="412"/>
        <v>0</v>
      </c>
      <c r="W721" s="18"/>
      <c r="X721" s="16"/>
      <c r="Y721" s="36">
        <f t="shared" si="413"/>
        <v>0</v>
      </c>
      <c r="Z721" s="17">
        <f t="shared" si="414"/>
        <v>0</v>
      </c>
    </row>
    <row r="722" spans="1:26" x14ac:dyDescent="0.15">
      <c r="A722" s="35" t="s">
        <v>326</v>
      </c>
      <c r="B722" s="15">
        <v>1</v>
      </c>
      <c r="C722" s="16">
        <v>1</v>
      </c>
      <c r="D722" s="36">
        <f t="shared" si="415"/>
        <v>2</v>
      </c>
      <c r="E722" s="18">
        <v>1</v>
      </c>
      <c r="F722" s="16">
        <v>1</v>
      </c>
      <c r="G722" s="36">
        <f t="shared" si="407"/>
        <v>2</v>
      </c>
      <c r="H722" s="17">
        <f t="shared" si="408"/>
        <v>4</v>
      </c>
      <c r="I722" s="81">
        <v>44785</v>
      </c>
      <c r="J722" s="38"/>
      <c r="K722" s="15"/>
      <c r="L722" s="16"/>
      <c r="M722" s="36">
        <f t="shared" si="416"/>
        <v>0</v>
      </c>
      <c r="N722" s="18"/>
      <c r="O722" s="16"/>
      <c r="P722" s="36">
        <f t="shared" si="417"/>
        <v>0</v>
      </c>
      <c r="Q722" s="17">
        <f t="shared" si="418"/>
        <v>0</v>
      </c>
      <c r="R722" s="83"/>
      <c r="S722" s="38"/>
      <c r="T722" s="15"/>
      <c r="U722" s="16"/>
      <c r="V722" s="36">
        <f t="shared" si="412"/>
        <v>0</v>
      </c>
      <c r="W722" s="18"/>
      <c r="X722" s="16"/>
      <c r="Y722" s="36">
        <f t="shared" si="413"/>
        <v>0</v>
      </c>
      <c r="Z722" s="17">
        <f t="shared" si="414"/>
        <v>0</v>
      </c>
    </row>
    <row r="723" spans="1:26" x14ac:dyDescent="0.15">
      <c r="A723" s="35" t="s">
        <v>327</v>
      </c>
      <c r="B723" s="15"/>
      <c r="C723" s="16">
        <v>1</v>
      </c>
      <c r="D723" s="36">
        <f t="shared" si="415"/>
        <v>1</v>
      </c>
      <c r="E723" s="18"/>
      <c r="F723" s="16">
        <v>1</v>
      </c>
      <c r="G723" s="36">
        <f t="shared" si="407"/>
        <v>1</v>
      </c>
      <c r="H723" s="17">
        <f t="shared" si="408"/>
        <v>2</v>
      </c>
      <c r="I723" s="81">
        <v>44791</v>
      </c>
      <c r="J723" s="35"/>
      <c r="K723" s="15"/>
      <c r="L723" s="16"/>
      <c r="M723" s="36">
        <f t="shared" si="416"/>
        <v>0</v>
      </c>
      <c r="N723" s="18"/>
      <c r="O723" s="16"/>
      <c r="P723" s="36">
        <f t="shared" si="417"/>
        <v>0</v>
      </c>
      <c r="Q723" s="17">
        <f t="shared" si="418"/>
        <v>0</v>
      </c>
      <c r="R723" s="83"/>
      <c r="S723" s="35"/>
      <c r="T723" s="15"/>
      <c r="U723" s="16"/>
      <c r="V723" s="36">
        <f t="shared" si="412"/>
        <v>0</v>
      </c>
      <c r="W723" s="18"/>
      <c r="X723" s="16"/>
      <c r="Y723" s="36">
        <f t="shared" si="413"/>
        <v>0</v>
      </c>
      <c r="Z723" s="17">
        <f t="shared" si="414"/>
        <v>0</v>
      </c>
    </row>
    <row r="724" spans="1:26" x14ac:dyDescent="0.15">
      <c r="A724" s="35" t="s">
        <v>33</v>
      </c>
      <c r="B724" s="15"/>
      <c r="C724" s="16"/>
      <c r="D724" s="17">
        <f>SUM(B724:C724)</f>
        <v>0</v>
      </c>
      <c r="E724" s="18"/>
      <c r="F724" s="16">
        <v>1</v>
      </c>
      <c r="G724" s="17">
        <f t="shared" si="407"/>
        <v>1</v>
      </c>
      <c r="H724" s="17">
        <f t="shared" si="408"/>
        <v>1</v>
      </c>
      <c r="I724" s="81">
        <v>44784</v>
      </c>
      <c r="J724" s="35"/>
      <c r="K724" s="15"/>
      <c r="L724" s="16"/>
      <c r="M724" s="36">
        <f t="shared" si="416"/>
        <v>0</v>
      </c>
      <c r="N724" s="18"/>
      <c r="O724" s="16"/>
      <c r="P724" s="36">
        <f t="shared" si="417"/>
        <v>0</v>
      </c>
      <c r="Q724" s="17">
        <f t="shared" si="418"/>
        <v>0</v>
      </c>
      <c r="R724" s="81"/>
      <c r="S724" s="35"/>
      <c r="T724" s="15"/>
      <c r="U724" s="16"/>
      <c r="V724" s="36">
        <f t="shared" si="412"/>
        <v>0</v>
      </c>
      <c r="W724" s="18"/>
      <c r="X724" s="16"/>
      <c r="Y724" s="36">
        <f t="shared" si="413"/>
        <v>0</v>
      </c>
      <c r="Z724" s="17">
        <f t="shared" si="414"/>
        <v>0</v>
      </c>
    </row>
    <row r="725" spans="1:26" x14ac:dyDescent="0.15">
      <c r="A725" s="35" t="s">
        <v>33</v>
      </c>
      <c r="B725" s="15">
        <v>5</v>
      </c>
      <c r="C725" s="16"/>
      <c r="D725" s="36">
        <f t="shared" ref="D725" si="422">SUM(B725:C725)</f>
        <v>5</v>
      </c>
      <c r="E725" s="18">
        <v>1</v>
      </c>
      <c r="F725" s="16">
        <v>3</v>
      </c>
      <c r="G725" s="36">
        <f t="shared" si="407"/>
        <v>4</v>
      </c>
      <c r="H725" s="17">
        <f t="shared" si="408"/>
        <v>9</v>
      </c>
      <c r="I725" s="81">
        <v>44790</v>
      </c>
      <c r="J725" s="35"/>
      <c r="K725" s="15"/>
      <c r="L725" s="16"/>
      <c r="M725" s="36">
        <f t="shared" ref="M725:M726" si="423">SUM(K725:L725)</f>
        <v>0</v>
      </c>
      <c r="N725" s="18"/>
      <c r="O725" s="16"/>
      <c r="P725" s="36">
        <f t="shared" ref="P725:P726" si="424">SUM(N725:O725)</f>
        <v>0</v>
      </c>
      <c r="Q725" s="17">
        <f t="shared" ref="Q725:Q726" si="425">M725+P725</f>
        <v>0</v>
      </c>
      <c r="R725" s="81"/>
      <c r="S725" s="35"/>
      <c r="T725" s="15"/>
      <c r="U725" s="16"/>
      <c r="V725" s="36">
        <f t="shared" si="412"/>
        <v>0</v>
      </c>
      <c r="W725" s="18"/>
      <c r="X725" s="16"/>
      <c r="Y725" s="36">
        <f t="shared" si="413"/>
        <v>0</v>
      </c>
      <c r="Z725" s="17">
        <f t="shared" si="414"/>
        <v>0</v>
      </c>
    </row>
    <row r="726" spans="1:26" x14ac:dyDescent="0.15">
      <c r="A726" s="35" t="s">
        <v>33</v>
      </c>
      <c r="B726" s="15"/>
      <c r="C726" s="16"/>
      <c r="D726" s="17">
        <f>SUM(B726:C726)</f>
        <v>0</v>
      </c>
      <c r="E726" s="18">
        <v>1</v>
      </c>
      <c r="F726" s="16"/>
      <c r="G726" s="17">
        <f t="shared" si="407"/>
        <v>1</v>
      </c>
      <c r="H726" s="17">
        <f t="shared" si="408"/>
        <v>1</v>
      </c>
      <c r="I726" s="81">
        <v>44791</v>
      </c>
      <c r="J726" s="35"/>
      <c r="K726" s="15"/>
      <c r="L726" s="16"/>
      <c r="M726" s="36">
        <f t="shared" si="423"/>
        <v>0</v>
      </c>
      <c r="N726" s="18"/>
      <c r="O726" s="16"/>
      <c r="P726" s="36">
        <f t="shared" si="424"/>
        <v>0</v>
      </c>
      <c r="Q726" s="17">
        <f t="shared" si="425"/>
        <v>0</v>
      </c>
      <c r="R726" s="81"/>
      <c r="S726" s="35"/>
      <c r="T726" s="15"/>
      <c r="U726" s="16"/>
      <c r="V726" s="36">
        <f t="shared" si="412"/>
        <v>0</v>
      </c>
      <c r="W726" s="18"/>
      <c r="X726" s="16"/>
      <c r="Y726" s="36">
        <f t="shared" si="413"/>
        <v>0</v>
      </c>
      <c r="Z726" s="17">
        <f t="shared" si="414"/>
        <v>0</v>
      </c>
    </row>
    <row r="727" spans="1:26" ht="14.25" thickBot="1" x14ac:dyDescent="0.2">
      <c r="A727" s="35" t="s">
        <v>329</v>
      </c>
      <c r="B727" s="15">
        <v>1</v>
      </c>
      <c r="C727" s="16"/>
      <c r="D727" s="36">
        <f t="shared" ref="D727:D729" si="426">SUM(B727:C727)</f>
        <v>1</v>
      </c>
      <c r="E727" s="18">
        <v>1</v>
      </c>
      <c r="F727" s="16"/>
      <c r="G727" s="36">
        <f t="shared" si="407"/>
        <v>1</v>
      </c>
      <c r="H727" s="17">
        <f t="shared" si="408"/>
        <v>2</v>
      </c>
      <c r="I727" s="81">
        <v>44796</v>
      </c>
      <c r="J727" s="35" t="s">
        <v>291</v>
      </c>
      <c r="K727" s="15"/>
      <c r="L727" s="16"/>
      <c r="M727" s="36">
        <f t="shared" ref="M727" si="427">SUM(K727:L727)</f>
        <v>0</v>
      </c>
      <c r="N727" s="18"/>
      <c r="O727" s="16"/>
      <c r="P727" s="36">
        <f t="shared" ref="P727" si="428">SUM(N727:O727)</f>
        <v>0</v>
      </c>
      <c r="Q727" s="17">
        <f t="shared" ref="Q727" si="429">M727+P727</f>
        <v>0</v>
      </c>
      <c r="R727" s="81" t="s">
        <v>292</v>
      </c>
      <c r="S727" s="35"/>
      <c r="T727" s="15"/>
      <c r="U727" s="16"/>
      <c r="V727" s="36">
        <f t="shared" si="412"/>
        <v>0</v>
      </c>
      <c r="W727" s="18"/>
      <c r="X727" s="16"/>
      <c r="Y727" s="36">
        <f t="shared" si="413"/>
        <v>0</v>
      </c>
      <c r="Z727" s="17">
        <f t="shared" si="414"/>
        <v>0</v>
      </c>
    </row>
    <row r="728" spans="1:26" ht="14.25" thickBot="1" x14ac:dyDescent="0.2">
      <c r="A728" s="40" t="s">
        <v>14</v>
      </c>
      <c r="B728" s="41">
        <f>SUM(B702:B727)</f>
        <v>28</v>
      </c>
      <c r="C728" s="42">
        <f t="shared" ref="C728" si="430">SUM(C702:C727)</f>
        <v>22</v>
      </c>
      <c r="D728" s="43">
        <f t="shared" si="426"/>
        <v>50</v>
      </c>
      <c r="E728" s="41">
        <f>SUM(E702:E727)</f>
        <v>35</v>
      </c>
      <c r="F728" s="42">
        <f t="shared" ref="F728" si="431">SUM(F702:F727)</f>
        <v>38</v>
      </c>
      <c r="G728" s="43">
        <f t="shared" si="407"/>
        <v>73</v>
      </c>
      <c r="H728" s="43">
        <f t="shared" si="408"/>
        <v>123</v>
      </c>
      <c r="J728" s="40" t="s">
        <v>14</v>
      </c>
      <c r="K728" s="41">
        <f>SUM(K702:K727)</f>
        <v>52</v>
      </c>
      <c r="L728" s="42">
        <f t="shared" ref="L728" si="432">SUM(L702:L727)</f>
        <v>39</v>
      </c>
      <c r="M728" s="43">
        <f t="shared" si="416"/>
        <v>91</v>
      </c>
      <c r="N728" s="41">
        <f>SUM(N702:N727)</f>
        <v>52</v>
      </c>
      <c r="O728" s="42">
        <f t="shared" ref="O728" si="433">SUM(O702:O727)</f>
        <v>59</v>
      </c>
      <c r="P728" s="43">
        <f t="shared" si="417"/>
        <v>111</v>
      </c>
      <c r="Q728" s="43">
        <f t="shared" si="418"/>
        <v>202</v>
      </c>
      <c r="S728" s="40" t="s">
        <v>14</v>
      </c>
      <c r="T728" s="41">
        <f>SUM(T702:T727)</f>
        <v>0</v>
      </c>
      <c r="U728" s="42">
        <f t="shared" ref="U728" si="434">SUM(U702:U727)</f>
        <v>0</v>
      </c>
      <c r="V728" s="43">
        <f t="shared" si="412"/>
        <v>0</v>
      </c>
      <c r="W728" s="41">
        <f>SUM(W702:W727)</f>
        <v>0</v>
      </c>
      <c r="X728" s="42">
        <f t="shared" ref="X728" si="435">SUM(X702:X727)</f>
        <v>0</v>
      </c>
      <c r="Y728" s="43">
        <f t="shared" si="413"/>
        <v>0</v>
      </c>
      <c r="Z728" s="43">
        <f t="shared" si="414"/>
        <v>0</v>
      </c>
    </row>
    <row r="729" spans="1:26" ht="14.25" thickBot="1" x14ac:dyDescent="0.2">
      <c r="A729" s="44" t="s">
        <v>15</v>
      </c>
      <c r="B729" s="45">
        <f>B701-B728</f>
        <v>25</v>
      </c>
      <c r="C729" s="46">
        <f t="shared" ref="C729" si="436">C701-C728</f>
        <v>23</v>
      </c>
      <c r="D729" s="47">
        <f t="shared" si="426"/>
        <v>48</v>
      </c>
      <c r="E729" s="45">
        <f>E701-E728</f>
        <v>20</v>
      </c>
      <c r="F729" s="46">
        <f t="shared" ref="F729" si="437">F701-F728</f>
        <v>26</v>
      </c>
      <c r="G729" s="47">
        <f t="shared" si="407"/>
        <v>46</v>
      </c>
      <c r="H729" s="34">
        <f t="shared" si="408"/>
        <v>94</v>
      </c>
      <c r="J729" s="44" t="s">
        <v>15</v>
      </c>
      <c r="K729" s="45">
        <f>K701-K728</f>
        <v>697</v>
      </c>
      <c r="L729" s="46">
        <f t="shared" ref="L729" si="438">L701-L728</f>
        <v>394</v>
      </c>
      <c r="M729" s="47">
        <f t="shared" si="416"/>
        <v>1091</v>
      </c>
      <c r="N729" s="45">
        <f>N701-N728</f>
        <v>368</v>
      </c>
      <c r="O729" s="46">
        <f t="shared" ref="O729" si="439">O701-O728</f>
        <v>92</v>
      </c>
      <c r="P729" s="47">
        <f t="shared" si="417"/>
        <v>460</v>
      </c>
      <c r="Q729" s="34">
        <f t="shared" si="418"/>
        <v>1551</v>
      </c>
      <c r="S729" s="44" t="s">
        <v>15</v>
      </c>
      <c r="T729" s="45">
        <f>T701-T728</f>
        <v>1011</v>
      </c>
      <c r="U729" s="46">
        <f t="shared" ref="U729" si="440">U701-U728</f>
        <v>715</v>
      </c>
      <c r="V729" s="47">
        <f t="shared" si="412"/>
        <v>1726</v>
      </c>
      <c r="W729" s="45">
        <f>W701-W728</f>
        <v>1532</v>
      </c>
      <c r="X729" s="46">
        <f t="shared" ref="X729" si="441">X701-X728</f>
        <v>783</v>
      </c>
      <c r="Y729" s="47">
        <f t="shared" si="413"/>
        <v>2315</v>
      </c>
      <c r="Z729" s="34">
        <f t="shared" si="414"/>
        <v>4041</v>
      </c>
    </row>
    <row r="732" spans="1:26" ht="19.5" thickBot="1" x14ac:dyDescent="0.25">
      <c r="A732" s="1" t="s">
        <v>23</v>
      </c>
      <c r="J732" s="1" t="s">
        <v>24</v>
      </c>
      <c r="K732" s="2"/>
      <c r="L732" s="2"/>
      <c r="M732" s="2"/>
      <c r="N732" s="2"/>
      <c r="O732" s="1" t="s">
        <v>34</v>
      </c>
      <c r="P732" s="2"/>
      <c r="Q732" s="2"/>
      <c r="S732" s="1" t="s">
        <v>24</v>
      </c>
      <c r="T732" s="2"/>
      <c r="U732" s="2"/>
      <c r="V732" s="2"/>
      <c r="W732" s="2"/>
      <c r="X732" s="1" t="s">
        <v>34</v>
      </c>
      <c r="Y732" s="2"/>
      <c r="Z732" s="2"/>
    </row>
    <row r="733" spans="1:26" ht="14.25" thickBot="1" x14ac:dyDescent="0.2">
      <c r="A733" s="3" t="s">
        <v>0</v>
      </c>
      <c r="B733" s="125" t="s">
        <v>18</v>
      </c>
      <c r="C733" s="126"/>
      <c r="D733" s="127"/>
      <c r="E733" s="125" t="s">
        <v>19</v>
      </c>
      <c r="F733" s="126"/>
      <c r="G733" s="128"/>
      <c r="H733" s="129" t="s">
        <v>1</v>
      </c>
      <c r="J733" s="3" t="s">
        <v>0</v>
      </c>
      <c r="K733" s="125" t="s">
        <v>18</v>
      </c>
      <c r="L733" s="126"/>
      <c r="M733" s="127"/>
      <c r="N733" s="125" t="s">
        <v>19</v>
      </c>
      <c r="O733" s="126"/>
      <c r="P733" s="128"/>
      <c r="Q733" s="129" t="s">
        <v>1</v>
      </c>
      <c r="S733" s="3" t="s">
        <v>0</v>
      </c>
      <c r="T733" s="125" t="s">
        <v>18</v>
      </c>
      <c r="U733" s="126"/>
      <c r="V733" s="127"/>
      <c r="W733" s="125" t="s">
        <v>19</v>
      </c>
      <c r="X733" s="126"/>
      <c r="Y733" s="128"/>
      <c r="Z733" s="129" t="s">
        <v>1</v>
      </c>
    </row>
    <row r="734" spans="1:26" ht="14.25" thickBot="1" x14ac:dyDescent="0.2">
      <c r="A734" s="3" t="s">
        <v>2</v>
      </c>
      <c r="B734" s="4" t="s">
        <v>16</v>
      </c>
      <c r="C734" s="5" t="s">
        <v>17</v>
      </c>
      <c r="D734" s="3" t="s">
        <v>3</v>
      </c>
      <c r="E734" s="4" t="s">
        <v>16</v>
      </c>
      <c r="F734" s="5" t="s">
        <v>17</v>
      </c>
      <c r="G734" s="3" t="s">
        <v>3</v>
      </c>
      <c r="H734" s="130"/>
      <c r="J734" s="3" t="s">
        <v>2</v>
      </c>
      <c r="K734" s="4" t="s">
        <v>16</v>
      </c>
      <c r="L734" s="5" t="s">
        <v>17</v>
      </c>
      <c r="M734" s="3" t="s">
        <v>3</v>
      </c>
      <c r="N734" s="4" t="s">
        <v>16</v>
      </c>
      <c r="O734" s="5" t="s">
        <v>17</v>
      </c>
      <c r="P734" s="3" t="s">
        <v>3</v>
      </c>
      <c r="Q734" s="130"/>
      <c r="S734" s="3" t="s">
        <v>2</v>
      </c>
      <c r="T734" s="4" t="s">
        <v>16</v>
      </c>
      <c r="U734" s="5" t="s">
        <v>17</v>
      </c>
      <c r="V734" s="3" t="s">
        <v>3</v>
      </c>
      <c r="W734" s="4" t="s">
        <v>16</v>
      </c>
      <c r="X734" s="5" t="s">
        <v>17</v>
      </c>
      <c r="Y734" s="3" t="s">
        <v>3</v>
      </c>
      <c r="Z734" s="130"/>
    </row>
    <row r="735" spans="1:26" ht="14.25" thickBot="1" x14ac:dyDescent="0.2">
      <c r="A735" s="6" t="s">
        <v>55</v>
      </c>
      <c r="B735" s="32">
        <f>B729</f>
        <v>25</v>
      </c>
      <c r="C735" s="33">
        <f>C729</f>
        <v>23</v>
      </c>
      <c r="D735" s="34">
        <f t="shared" ref="D735:D747" si="442">SUM(B735:C735)</f>
        <v>48</v>
      </c>
      <c r="E735" s="32">
        <f>E729</f>
        <v>20</v>
      </c>
      <c r="F735" s="33">
        <f>F729</f>
        <v>26</v>
      </c>
      <c r="G735" s="34">
        <f t="shared" ref="G735:G772" si="443">SUM(E735:F735)</f>
        <v>46</v>
      </c>
      <c r="H735" s="34">
        <f t="shared" ref="H735:H772" si="444">D735+G735</f>
        <v>94</v>
      </c>
      <c r="J735" s="6" t="s">
        <v>55</v>
      </c>
      <c r="K735" s="7">
        <f>K729</f>
        <v>697</v>
      </c>
      <c r="L735" s="8">
        <f>L729</f>
        <v>394</v>
      </c>
      <c r="M735" s="9">
        <f t="shared" ref="M735:M772" si="445">SUM(K735:L735)</f>
        <v>1091</v>
      </c>
      <c r="N735" s="7">
        <f>N729</f>
        <v>368</v>
      </c>
      <c r="O735" s="8">
        <f>O729</f>
        <v>92</v>
      </c>
      <c r="P735" s="9">
        <f t="shared" ref="P735:P772" si="446">SUM(N735:O735)</f>
        <v>460</v>
      </c>
      <c r="Q735" s="9">
        <f t="shared" ref="Q735:Q772" si="447">M735+P735</f>
        <v>1551</v>
      </c>
      <c r="S735" s="6" t="s">
        <v>55</v>
      </c>
      <c r="T735" s="7">
        <f>T729</f>
        <v>1011</v>
      </c>
      <c r="U735" s="8">
        <f>U729</f>
        <v>715</v>
      </c>
      <c r="V735" s="9">
        <f t="shared" ref="V735:V772" si="448">SUM(T735:U735)</f>
        <v>1726</v>
      </c>
      <c r="W735" s="7">
        <f>W729</f>
        <v>1532</v>
      </c>
      <c r="X735" s="8">
        <f>X729</f>
        <v>783</v>
      </c>
      <c r="Y735" s="9">
        <f t="shared" ref="Y735:Y772" si="449">SUM(W735:X735)</f>
        <v>2315</v>
      </c>
      <c r="Z735" s="9">
        <f t="shared" ref="Z735:Z772" si="450">V735+Y735</f>
        <v>4041</v>
      </c>
    </row>
    <row r="736" spans="1:26" x14ac:dyDescent="0.15">
      <c r="A736" s="10" t="s">
        <v>166</v>
      </c>
      <c r="B736" s="64"/>
      <c r="C736" s="65">
        <v>1</v>
      </c>
      <c r="D736" s="36">
        <f t="shared" si="442"/>
        <v>1</v>
      </c>
      <c r="E736" s="66"/>
      <c r="F736" s="65"/>
      <c r="G736" s="36">
        <f t="shared" si="443"/>
        <v>0</v>
      </c>
      <c r="H736" s="36">
        <f t="shared" si="444"/>
        <v>1</v>
      </c>
      <c r="I736" s="81">
        <v>44793</v>
      </c>
      <c r="J736" s="10" t="s">
        <v>5</v>
      </c>
      <c r="K736" s="11"/>
      <c r="L736" s="12"/>
      <c r="M736" s="13">
        <f t="shared" si="445"/>
        <v>0</v>
      </c>
      <c r="N736" s="62"/>
      <c r="O736" s="12"/>
      <c r="P736" s="13">
        <f t="shared" si="446"/>
        <v>0</v>
      </c>
      <c r="Q736" s="13">
        <f t="shared" si="447"/>
        <v>0</v>
      </c>
      <c r="S736" s="10" t="s">
        <v>5</v>
      </c>
      <c r="T736" s="11"/>
      <c r="U736" s="12"/>
      <c r="V736" s="13">
        <f t="shared" si="448"/>
        <v>0</v>
      </c>
      <c r="W736" s="62"/>
      <c r="X736" s="12"/>
      <c r="Y736" s="13">
        <f t="shared" si="449"/>
        <v>0</v>
      </c>
      <c r="Z736" s="13">
        <f t="shared" si="450"/>
        <v>0</v>
      </c>
    </row>
    <row r="737" spans="1:26" x14ac:dyDescent="0.15">
      <c r="A737" s="10" t="s">
        <v>335</v>
      </c>
      <c r="B737" s="15">
        <v>1</v>
      </c>
      <c r="C737" s="16">
        <v>2</v>
      </c>
      <c r="D737" s="17">
        <f t="shared" si="442"/>
        <v>3</v>
      </c>
      <c r="E737" s="18">
        <v>1</v>
      </c>
      <c r="F737" s="16">
        <v>3</v>
      </c>
      <c r="G737" s="17">
        <f t="shared" si="443"/>
        <v>4</v>
      </c>
      <c r="H737" s="17">
        <f t="shared" si="444"/>
        <v>7</v>
      </c>
      <c r="I737" s="81">
        <v>44798</v>
      </c>
      <c r="J737" s="10" t="s">
        <v>6</v>
      </c>
      <c r="K737" s="15"/>
      <c r="L737" s="16"/>
      <c r="M737" s="17">
        <f t="shared" si="445"/>
        <v>0</v>
      </c>
      <c r="N737" s="18"/>
      <c r="O737" s="16"/>
      <c r="P737" s="17">
        <f t="shared" si="446"/>
        <v>0</v>
      </c>
      <c r="Q737" s="17">
        <f t="shared" si="447"/>
        <v>0</v>
      </c>
      <c r="R737" s="81"/>
      <c r="S737" s="10" t="s">
        <v>6</v>
      </c>
      <c r="T737" s="15"/>
      <c r="U737" s="16"/>
      <c r="V737" s="17">
        <f t="shared" si="448"/>
        <v>0</v>
      </c>
      <c r="W737" s="18"/>
      <c r="X737" s="16"/>
      <c r="Y737" s="17">
        <f t="shared" si="449"/>
        <v>0</v>
      </c>
      <c r="Z737" s="17">
        <f t="shared" si="450"/>
        <v>0</v>
      </c>
    </row>
    <row r="738" spans="1:26" x14ac:dyDescent="0.15">
      <c r="A738" s="56" t="s">
        <v>336</v>
      </c>
      <c r="B738" s="74">
        <v>0</v>
      </c>
      <c r="C738" s="75">
        <v>0</v>
      </c>
      <c r="D738" s="59">
        <f t="shared" si="442"/>
        <v>0</v>
      </c>
      <c r="E738" s="76">
        <v>1</v>
      </c>
      <c r="F738" s="75">
        <v>0</v>
      </c>
      <c r="G738" s="59">
        <f t="shared" si="443"/>
        <v>1</v>
      </c>
      <c r="H738" s="59">
        <f t="shared" si="444"/>
        <v>1</v>
      </c>
      <c r="I738" s="92">
        <v>44798</v>
      </c>
      <c r="J738" s="10" t="s">
        <v>7</v>
      </c>
      <c r="K738" s="19"/>
      <c r="L738" s="20"/>
      <c r="M738" s="17">
        <f t="shared" si="445"/>
        <v>0</v>
      </c>
      <c r="N738" s="21"/>
      <c r="O738" s="20"/>
      <c r="P738" s="17">
        <f t="shared" si="446"/>
        <v>0</v>
      </c>
      <c r="Q738" s="17">
        <f t="shared" si="447"/>
        <v>0</v>
      </c>
      <c r="R738" s="81"/>
      <c r="S738" s="10" t="s">
        <v>7</v>
      </c>
      <c r="T738" s="19"/>
      <c r="U738" s="20"/>
      <c r="V738" s="17">
        <f t="shared" si="448"/>
        <v>0</v>
      </c>
      <c r="W738" s="21"/>
      <c r="X738" s="20"/>
      <c r="Y738" s="17">
        <f t="shared" si="449"/>
        <v>0</v>
      </c>
      <c r="Z738" s="17">
        <f t="shared" si="450"/>
        <v>0</v>
      </c>
    </row>
    <row r="739" spans="1:26" x14ac:dyDescent="0.15">
      <c r="A739" s="10" t="s">
        <v>8</v>
      </c>
      <c r="B739" s="15"/>
      <c r="C739" s="16"/>
      <c r="D739" s="17">
        <f t="shared" si="442"/>
        <v>0</v>
      </c>
      <c r="E739" s="18">
        <v>10</v>
      </c>
      <c r="F739" s="16"/>
      <c r="G739" s="17">
        <f t="shared" si="443"/>
        <v>10</v>
      </c>
      <c r="H739" s="17">
        <f t="shared" si="444"/>
        <v>10</v>
      </c>
      <c r="I739" s="81">
        <v>44810</v>
      </c>
      <c r="J739" s="10" t="s">
        <v>8</v>
      </c>
      <c r="K739" s="15"/>
      <c r="L739" s="16"/>
      <c r="M739" s="17">
        <f t="shared" si="445"/>
        <v>0</v>
      </c>
      <c r="N739" s="18"/>
      <c r="O739" s="16"/>
      <c r="P739" s="17">
        <f t="shared" si="446"/>
        <v>0</v>
      </c>
      <c r="Q739" s="17">
        <f t="shared" si="447"/>
        <v>0</v>
      </c>
      <c r="R739" s="83"/>
      <c r="S739" s="10" t="s">
        <v>8</v>
      </c>
      <c r="T739" s="15"/>
      <c r="U739" s="16"/>
      <c r="V739" s="17">
        <f t="shared" si="448"/>
        <v>0</v>
      </c>
      <c r="W739" s="18"/>
      <c r="X739" s="16"/>
      <c r="Y739" s="17">
        <f t="shared" si="449"/>
        <v>0</v>
      </c>
      <c r="Z739" s="17">
        <f t="shared" si="450"/>
        <v>0</v>
      </c>
    </row>
    <row r="740" spans="1:26" x14ac:dyDescent="0.15">
      <c r="A740" s="10" t="s">
        <v>9</v>
      </c>
      <c r="B740" s="15">
        <v>15</v>
      </c>
      <c r="C740" s="16">
        <v>10</v>
      </c>
      <c r="D740" s="17">
        <f t="shared" si="442"/>
        <v>25</v>
      </c>
      <c r="E740" s="18">
        <v>15</v>
      </c>
      <c r="F740" s="16">
        <v>15</v>
      </c>
      <c r="G740" s="17">
        <f t="shared" si="443"/>
        <v>30</v>
      </c>
      <c r="H740" s="17">
        <f t="shared" si="444"/>
        <v>55</v>
      </c>
      <c r="I740" s="81">
        <v>44830</v>
      </c>
      <c r="J740" s="10" t="s">
        <v>9</v>
      </c>
      <c r="K740" s="15"/>
      <c r="L740" s="16"/>
      <c r="M740" s="17">
        <f t="shared" si="445"/>
        <v>0</v>
      </c>
      <c r="N740" s="18"/>
      <c r="O740" s="16"/>
      <c r="P740" s="17">
        <f t="shared" si="446"/>
        <v>0</v>
      </c>
      <c r="Q740" s="17">
        <f t="shared" si="447"/>
        <v>0</v>
      </c>
      <c r="R740" s="83"/>
      <c r="S740" s="10" t="s">
        <v>9</v>
      </c>
      <c r="T740" s="15"/>
      <c r="U740" s="16"/>
      <c r="V740" s="17">
        <f t="shared" si="448"/>
        <v>0</v>
      </c>
      <c r="W740" s="18"/>
      <c r="X740" s="16"/>
      <c r="Y740" s="17">
        <f t="shared" si="449"/>
        <v>0</v>
      </c>
      <c r="Z740" s="17">
        <f t="shared" si="450"/>
        <v>0</v>
      </c>
    </row>
    <row r="741" spans="1:26" x14ac:dyDescent="0.15">
      <c r="A741" s="10" t="s">
        <v>10</v>
      </c>
      <c r="B741" s="15"/>
      <c r="C741" s="16"/>
      <c r="D741" s="17">
        <f t="shared" si="442"/>
        <v>0</v>
      </c>
      <c r="E741" s="18"/>
      <c r="F741" s="16"/>
      <c r="G741" s="17">
        <f t="shared" si="443"/>
        <v>0</v>
      </c>
      <c r="H741" s="17">
        <f t="shared" si="444"/>
        <v>0</v>
      </c>
      <c r="I741" s="81"/>
      <c r="J741" s="10" t="s">
        <v>10</v>
      </c>
      <c r="K741" s="15"/>
      <c r="L741" s="16"/>
      <c r="M741" s="17">
        <f t="shared" si="445"/>
        <v>0</v>
      </c>
      <c r="N741" s="18"/>
      <c r="O741" s="16"/>
      <c r="P741" s="17">
        <f t="shared" si="446"/>
        <v>0</v>
      </c>
      <c r="Q741" s="17">
        <f t="shared" si="447"/>
        <v>0</v>
      </c>
      <c r="S741" s="10" t="s">
        <v>10</v>
      </c>
      <c r="T741" s="15"/>
      <c r="U741" s="16"/>
      <c r="V741" s="17">
        <f t="shared" si="448"/>
        <v>0</v>
      </c>
      <c r="W741" s="18"/>
      <c r="X741" s="16"/>
      <c r="Y741" s="17">
        <f t="shared" si="449"/>
        <v>0</v>
      </c>
      <c r="Z741" s="17">
        <f t="shared" si="450"/>
        <v>0</v>
      </c>
    </row>
    <row r="742" spans="1:26" x14ac:dyDescent="0.15">
      <c r="A742" s="10" t="s">
        <v>11</v>
      </c>
      <c r="B742" s="23"/>
      <c r="C742" s="24"/>
      <c r="D742" s="17">
        <f t="shared" si="442"/>
        <v>0</v>
      </c>
      <c r="E742" s="25"/>
      <c r="F742" s="24"/>
      <c r="G742" s="17">
        <f t="shared" si="443"/>
        <v>0</v>
      </c>
      <c r="H742" s="17">
        <f t="shared" si="444"/>
        <v>0</v>
      </c>
      <c r="I742" s="81"/>
      <c r="J742" s="10" t="s">
        <v>11</v>
      </c>
      <c r="K742" s="23"/>
      <c r="L742" s="24"/>
      <c r="M742" s="17">
        <f t="shared" si="445"/>
        <v>0</v>
      </c>
      <c r="N742" s="25"/>
      <c r="O742" s="24"/>
      <c r="P742" s="17">
        <f t="shared" si="446"/>
        <v>0</v>
      </c>
      <c r="Q742" s="17">
        <f t="shared" si="447"/>
        <v>0</v>
      </c>
      <c r="S742" s="10" t="s">
        <v>11</v>
      </c>
      <c r="T742" s="23"/>
      <c r="U742" s="24"/>
      <c r="V742" s="17">
        <f t="shared" si="448"/>
        <v>0</v>
      </c>
      <c r="W742" s="25"/>
      <c r="X742" s="24"/>
      <c r="Y742" s="17">
        <f t="shared" si="449"/>
        <v>0</v>
      </c>
      <c r="Z742" s="17">
        <f t="shared" si="450"/>
        <v>0</v>
      </c>
    </row>
    <row r="743" spans="1:26" ht="14.25" thickBot="1" x14ac:dyDescent="0.2">
      <c r="A743" s="10" t="s">
        <v>12</v>
      </c>
      <c r="B743" s="26"/>
      <c r="C743" s="27"/>
      <c r="D743" s="28">
        <f t="shared" si="442"/>
        <v>0</v>
      </c>
      <c r="E743" s="29"/>
      <c r="F743" s="29"/>
      <c r="G743" s="28">
        <f t="shared" si="443"/>
        <v>0</v>
      </c>
      <c r="H743" s="30">
        <f t="shared" si="444"/>
        <v>0</v>
      </c>
      <c r="I743" s="81"/>
      <c r="J743" s="10" t="s">
        <v>110</v>
      </c>
      <c r="K743" s="26"/>
      <c r="L743" s="27"/>
      <c r="M743" s="28">
        <f t="shared" si="445"/>
        <v>0</v>
      </c>
      <c r="N743" s="29"/>
      <c r="O743" s="29">
        <v>8</v>
      </c>
      <c r="P743" s="28">
        <f t="shared" si="446"/>
        <v>8</v>
      </c>
      <c r="Q743" s="30">
        <f t="shared" si="447"/>
        <v>8</v>
      </c>
      <c r="S743" s="10" t="s">
        <v>12</v>
      </c>
      <c r="T743" s="26"/>
      <c r="U743" s="27"/>
      <c r="V743" s="28">
        <f t="shared" si="448"/>
        <v>0</v>
      </c>
      <c r="W743" s="29"/>
      <c r="X743" s="29"/>
      <c r="Y743" s="28">
        <f t="shared" si="449"/>
        <v>0</v>
      </c>
      <c r="Z743" s="30">
        <f t="shared" si="450"/>
        <v>0</v>
      </c>
    </row>
    <row r="744" spans="1:26" ht="14.25" thickBot="1" x14ac:dyDescent="0.2">
      <c r="A744" s="31" t="s">
        <v>13</v>
      </c>
      <c r="B744" s="32">
        <f>SUM(B735:B743)</f>
        <v>41</v>
      </c>
      <c r="C744" s="33">
        <f>SUM(C735:C743)</f>
        <v>36</v>
      </c>
      <c r="D744" s="34">
        <f t="shared" si="442"/>
        <v>77</v>
      </c>
      <c r="E744" s="32">
        <f>SUM(E735:E743)</f>
        <v>47</v>
      </c>
      <c r="F744" s="33">
        <f>SUM(F735:F743)</f>
        <v>44</v>
      </c>
      <c r="G744" s="34">
        <f t="shared" si="443"/>
        <v>91</v>
      </c>
      <c r="H744" s="34">
        <f t="shared" si="444"/>
        <v>168</v>
      </c>
      <c r="J744" s="31" t="s">
        <v>13</v>
      </c>
      <c r="K744" s="32">
        <f>SUM(K735:K743)</f>
        <v>697</v>
      </c>
      <c r="L744" s="33">
        <f>SUM(L735:L743)</f>
        <v>394</v>
      </c>
      <c r="M744" s="34">
        <f t="shared" si="445"/>
        <v>1091</v>
      </c>
      <c r="N744" s="32">
        <f>SUM(N735:N743)</f>
        <v>368</v>
      </c>
      <c r="O744" s="33">
        <f>SUM(O735:O743)</f>
        <v>100</v>
      </c>
      <c r="P744" s="34">
        <f t="shared" si="446"/>
        <v>468</v>
      </c>
      <c r="Q744" s="34">
        <f t="shared" si="447"/>
        <v>1559</v>
      </c>
      <c r="S744" s="31" t="s">
        <v>13</v>
      </c>
      <c r="T744" s="32">
        <f>SUM(T735:T743)</f>
        <v>1011</v>
      </c>
      <c r="U744" s="33">
        <f>SUM(U735:U743)</f>
        <v>715</v>
      </c>
      <c r="V744" s="34">
        <f t="shared" si="448"/>
        <v>1726</v>
      </c>
      <c r="W744" s="32">
        <f>SUM(W735:W743)</f>
        <v>1532</v>
      </c>
      <c r="X744" s="33">
        <f>SUM(X735:X743)</f>
        <v>783</v>
      </c>
      <c r="Y744" s="34">
        <f t="shared" si="449"/>
        <v>2315</v>
      </c>
      <c r="Z744" s="34">
        <f t="shared" si="450"/>
        <v>4041</v>
      </c>
    </row>
    <row r="745" spans="1:26" x14ac:dyDescent="0.15">
      <c r="A745" s="35" t="s">
        <v>33</v>
      </c>
      <c r="B745" s="15">
        <v>2</v>
      </c>
      <c r="C745" s="16"/>
      <c r="D745" s="36">
        <f t="shared" si="442"/>
        <v>2</v>
      </c>
      <c r="E745" s="18"/>
      <c r="F745" s="16">
        <v>1</v>
      </c>
      <c r="G745" s="36">
        <f t="shared" si="443"/>
        <v>1</v>
      </c>
      <c r="H745" s="17">
        <f t="shared" si="444"/>
        <v>3</v>
      </c>
      <c r="I745" s="81">
        <v>44795</v>
      </c>
      <c r="J745" s="52" t="s">
        <v>330</v>
      </c>
      <c r="K745" s="64"/>
      <c r="L745" s="65"/>
      <c r="M745" s="36">
        <f t="shared" si="445"/>
        <v>0</v>
      </c>
      <c r="N745" s="66"/>
      <c r="O745" s="65">
        <v>10</v>
      </c>
      <c r="P745" s="36">
        <f t="shared" si="446"/>
        <v>10</v>
      </c>
      <c r="Q745" s="36">
        <f t="shared" si="447"/>
        <v>10</v>
      </c>
      <c r="R745" s="81">
        <v>44803</v>
      </c>
      <c r="S745" s="52"/>
      <c r="T745" s="64"/>
      <c r="U745" s="65"/>
      <c r="V745" s="36">
        <f t="shared" si="448"/>
        <v>0</v>
      </c>
      <c r="W745" s="66"/>
      <c r="X745" s="65"/>
      <c r="Y745" s="36">
        <f t="shared" si="449"/>
        <v>0</v>
      </c>
      <c r="Z745" s="36">
        <f t="shared" si="450"/>
        <v>0</v>
      </c>
    </row>
    <row r="746" spans="1:26" x14ac:dyDescent="0.15">
      <c r="A746" s="35" t="s">
        <v>33</v>
      </c>
      <c r="B746" s="19">
        <v>1</v>
      </c>
      <c r="C746" s="20"/>
      <c r="D746" s="36">
        <f t="shared" si="442"/>
        <v>1</v>
      </c>
      <c r="E746" s="21"/>
      <c r="F746" s="20"/>
      <c r="G746" s="36">
        <f t="shared" si="443"/>
        <v>0</v>
      </c>
      <c r="H746" s="36">
        <f t="shared" si="444"/>
        <v>1</v>
      </c>
      <c r="I746" s="81">
        <v>44797</v>
      </c>
      <c r="J746" s="35" t="s">
        <v>339</v>
      </c>
      <c r="K746" s="15">
        <v>8</v>
      </c>
      <c r="L746" s="16">
        <v>8</v>
      </c>
      <c r="M746" s="36">
        <f t="shared" si="445"/>
        <v>16</v>
      </c>
      <c r="N746" s="18">
        <v>8</v>
      </c>
      <c r="O746" s="16">
        <v>8</v>
      </c>
      <c r="P746" s="36">
        <f t="shared" si="446"/>
        <v>16</v>
      </c>
      <c r="Q746" s="17">
        <f t="shared" si="447"/>
        <v>32</v>
      </c>
      <c r="R746" s="81">
        <v>44809</v>
      </c>
      <c r="S746" s="10"/>
      <c r="T746" s="15"/>
      <c r="U746" s="16"/>
      <c r="V746" s="36">
        <f t="shared" si="448"/>
        <v>0</v>
      </c>
      <c r="W746" s="18"/>
      <c r="X746" s="16"/>
      <c r="Y746" s="36">
        <f t="shared" si="449"/>
        <v>0</v>
      </c>
      <c r="Z746" s="17">
        <f t="shared" si="450"/>
        <v>0</v>
      </c>
    </row>
    <row r="747" spans="1:26" x14ac:dyDescent="0.15">
      <c r="A747" s="35" t="s">
        <v>334</v>
      </c>
      <c r="B747" s="15"/>
      <c r="C747" s="16">
        <v>1</v>
      </c>
      <c r="D747" s="36">
        <f t="shared" si="442"/>
        <v>1</v>
      </c>
      <c r="E747" s="18"/>
      <c r="F747" s="16">
        <v>1</v>
      </c>
      <c r="G747" s="36">
        <f t="shared" si="443"/>
        <v>1</v>
      </c>
      <c r="H747" s="17">
        <f t="shared" si="444"/>
        <v>2</v>
      </c>
      <c r="I747" s="81">
        <v>44799</v>
      </c>
      <c r="J747" s="35" t="s">
        <v>341</v>
      </c>
      <c r="K747" s="19"/>
      <c r="L747" s="20"/>
      <c r="M747" s="17">
        <f t="shared" si="445"/>
        <v>0</v>
      </c>
      <c r="N747" s="21">
        <v>10</v>
      </c>
      <c r="O747" s="20"/>
      <c r="P747" s="17">
        <f t="shared" si="446"/>
        <v>10</v>
      </c>
      <c r="Q747" s="17">
        <f t="shared" si="447"/>
        <v>10</v>
      </c>
      <c r="R747" s="81">
        <v>44810</v>
      </c>
      <c r="S747" s="10"/>
      <c r="T747" s="19"/>
      <c r="U747" s="20"/>
      <c r="V747" s="17">
        <f t="shared" si="448"/>
        <v>0</v>
      </c>
      <c r="W747" s="21"/>
      <c r="X747" s="20"/>
      <c r="Y747" s="17">
        <f t="shared" si="449"/>
        <v>0</v>
      </c>
      <c r="Z747" s="17">
        <f t="shared" si="450"/>
        <v>0</v>
      </c>
    </row>
    <row r="748" spans="1:26" x14ac:dyDescent="0.15">
      <c r="A748" s="35" t="s">
        <v>33</v>
      </c>
      <c r="B748" s="15"/>
      <c r="C748" s="16"/>
      <c r="D748" s="17">
        <f>SUM(B748:C748)</f>
        <v>0</v>
      </c>
      <c r="E748" s="18">
        <v>2</v>
      </c>
      <c r="F748" s="16"/>
      <c r="G748" s="17">
        <f t="shared" si="443"/>
        <v>2</v>
      </c>
      <c r="H748" s="17">
        <f t="shared" si="444"/>
        <v>2</v>
      </c>
      <c r="I748" s="81">
        <v>44798</v>
      </c>
      <c r="J748" s="35" t="s">
        <v>345</v>
      </c>
      <c r="K748" s="15"/>
      <c r="L748" s="16">
        <v>1</v>
      </c>
      <c r="M748" s="17">
        <f t="shared" si="445"/>
        <v>1</v>
      </c>
      <c r="N748" s="18"/>
      <c r="O748" s="16">
        <v>1</v>
      </c>
      <c r="P748" s="17">
        <f t="shared" si="446"/>
        <v>1</v>
      </c>
      <c r="Q748" s="17">
        <f t="shared" si="447"/>
        <v>2</v>
      </c>
      <c r="R748" s="81">
        <v>44820</v>
      </c>
      <c r="S748" s="52"/>
      <c r="T748" s="15"/>
      <c r="U748" s="16"/>
      <c r="V748" s="17">
        <f t="shared" si="448"/>
        <v>0</v>
      </c>
      <c r="W748" s="18"/>
      <c r="X748" s="16"/>
      <c r="Y748" s="17">
        <f t="shared" si="449"/>
        <v>0</v>
      </c>
      <c r="Z748" s="17">
        <f t="shared" si="450"/>
        <v>0</v>
      </c>
    </row>
    <row r="749" spans="1:26" x14ac:dyDescent="0.15">
      <c r="A749" s="35" t="s">
        <v>337</v>
      </c>
      <c r="B749" s="15"/>
      <c r="C749" s="16">
        <v>1</v>
      </c>
      <c r="D749" s="36">
        <f t="shared" ref="D749:D766" si="451">SUM(B749:C749)</f>
        <v>1</v>
      </c>
      <c r="E749" s="18"/>
      <c r="F749" s="16">
        <v>1</v>
      </c>
      <c r="G749" s="36">
        <f t="shared" si="443"/>
        <v>1</v>
      </c>
      <c r="H749" s="17">
        <f t="shared" si="444"/>
        <v>2</v>
      </c>
      <c r="I749" s="81">
        <v>44803</v>
      </c>
      <c r="J749" s="35" t="s">
        <v>91</v>
      </c>
      <c r="K749" s="15">
        <v>15</v>
      </c>
      <c r="L749" s="16">
        <v>10</v>
      </c>
      <c r="M749" s="17">
        <f t="shared" si="445"/>
        <v>25</v>
      </c>
      <c r="N749" s="18">
        <v>15</v>
      </c>
      <c r="O749" s="16">
        <v>15</v>
      </c>
      <c r="P749" s="17">
        <f t="shared" si="446"/>
        <v>30</v>
      </c>
      <c r="Q749" s="17">
        <f t="shared" si="447"/>
        <v>55</v>
      </c>
      <c r="R749" s="81">
        <v>44830</v>
      </c>
      <c r="S749" s="10"/>
      <c r="T749" s="15"/>
      <c r="U749" s="16"/>
      <c r="V749" s="17">
        <f t="shared" si="448"/>
        <v>0</v>
      </c>
      <c r="W749" s="18"/>
      <c r="X749" s="16"/>
      <c r="Y749" s="17">
        <f t="shared" si="449"/>
        <v>0</v>
      </c>
      <c r="Z749" s="17">
        <f t="shared" si="450"/>
        <v>0</v>
      </c>
    </row>
    <row r="750" spans="1:26" x14ac:dyDescent="0.15">
      <c r="A750" s="35" t="s">
        <v>33</v>
      </c>
      <c r="B750" s="15">
        <v>2</v>
      </c>
      <c r="C750" s="16">
        <f>1+1</f>
        <v>2</v>
      </c>
      <c r="D750" s="36">
        <f t="shared" si="451"/>
        <v>4</v>
      </c>
      <c r="E750" s="18">
        <f>3+1</f>
        <v>4</v>
      </c>
      <c r="F750" s="16">
        <v>1</v>
      </c>
      <c r="G750" s="36">
        <f t="shared" si="443"/>
        <v>5</v>
      </c>
      <c r="H750" s="17">
        <f t="shared" si="444"/>
        <v>9</v>
      </c>
      <c r="I750" s="81">
        <v>44802</v>
      </c>
      <c r="J750" s="35" t="s">
        <v>351</v>
      </c>
      <c r="K750" s="15">
        <v>1</v>
      </c>
      <c r="L750" s="16"/>
      <c r="M750" s="36">
        <f t="shared" si="445"/>
        <v>1</v>
      </c>
      <c r="N750" s="18">
        <v>1</v>
      </c>
      <c r="O750" s="16"/>
      <c r="P750" s="36">
        <f t="shared" si="446"/>
        <v>1</v>
      </c>
      <c r="Q750" s="17">
        <f t="shared" si="447"/>
        <v>2</v>
      </c>
      <c r="R750" s="81">
        <v>44830</v>
      </c>
      <c r="S750" s="10"/>
      <c r="T750" s="15"/>
      <c r="U750" s="16"/>
      <c r="V750" s="36">
        <f t="shared" si="448"/>
        <v>0</v>
      </c>
      <c r="W750" s="18"/>
      <c r="X750" s="16"/>
      <c r="Y750" s="36">
        <f t="shared" si="449"/>
        <v>0</v>
      </c>
      <c r="Z750" s="17">
        <f t="shared" si="450"/>
        <v>0</v>
      </c>
    </row>
    <row r="751" spans="1:26" x14ac:dyDescent="0.15">
      <c r="A751" s="35" t="s">
        <v>33</v>
      </c>
      <c r="B751" s="15">
        <v>1</v>
      </c>
      <c r="C751" s="16"/>
      <c r="D751" s="36">
        <f t="shared" si="451"/>
        <v>1</v>
      </c>
      <c r="E751" s="18"/>
      <c r="F751" s="16"/>
      <c r="G751" s="36">
        <f t="shared" si="443"/>
        <v>0</v>
      </c>
      <c r="H751" s="17">
        <f t="shared" si="444"/>
        <v>1</v>
      </c>
      <c r="I751" s="81">
        <v>44803</v>
      </c>
      <c r="J751" s="35"/>
      <c r="K751" s="15"/>
      <c r="L751" s="16"/>
      <c r="M751" s="36">
        <f t="shared" si="445"/>
        <v>0</v>
      </c>
      <c r="N751" s="18"/>
      <c r="O751" s="16"/>
      <c r="P751" s="36">
        <f t="shared" si="446"/>
        <v>0</v>
      </c>
      <c r="Q751" s="17">
        <f t="shared" si="447"/>
        <v>0</v>
      </c>
      <c r="R751" s="81"/>
      <c r="S751" s="10"/>
      <c r="T751" s="15"/>
      <c r="U751" s="16"/>
      <c r="V751" s="36">
        <f t="shared" si="448"/>
        <v>0</v>
      </c>
      <c r="W751" s="18"/>
      <c r="X751" s="16"/>
      <c r="Y751" s="36">
        <f t="shared" si="449"/>
        <v>0</v>
      </c>
      <c r="Z751" s="17">
        <f t="shared" si="450"/>
        <v>0</v>
      </c>
    </row>
    <row r="752" spans="1:26" x14ac:dyDescent="0.15">
      <c r="A752" s="35" t="s">
        <v>33</v>
      </c>
      <c r="B752" s="15"/>
      <c r="C752" s="16"/>
      <c r="D752" s="36">
        <f t="shared" si="451"/>
        <v>0</v>
      </c>
      <c r="E752" s="18">
        <v>1</v>
      </c>
      <c r="F752" s="16"/>
      <c r="G752" s="36">
        <f t="shared" si="443"/>
        <v>1</v>
      </c>
      <c r="H752" s="17">
        <f t="shared" si="444"/>
        <v>1</v>
      </c>
      <c r="I752" s="81">
        <v>44804</v>
      </c>
      <c r="J752" s="35"/>
      <c r="K752" s="19"/>
      <c r="L752" s="20"/>
      <c r="M752" s="17">
        <f t="shared" si="445"/>
        <v>0</v>
      </c>
      <c r="N752" s="21"/>
      <c r="O752" s="20"/>
      <c r="P752" s="17">
        <f t="shared" si="446"/>
        <v>0</v>
      </c>
      <c r="Q752" s="17">
        <f t="shared" si="447"/>
        <v>0</v>
      </c>
      <c r="R752" s="81"/>
      <c r="S752" s="52"/>
      <c r="T752" s="15"/>
      <c r="U752" s="16"/>
      <c r="V752" s="36">
        <f t="shared" si="448"/>
        <v>0</v>
      </c>
      <c r="W752" s="18"/>
      <c r="X752" s="16"/>
      <c r="Y752" s="36">
        <f t="shared" si="449"/>
        <v>0</v>
      </c>
      <c r="Z752" s="17">
        <f t="shared" si="450"/>
        <v>0</v>
      </c>
    </row>
    <row r="753" spans="1:26" x14ac:dyDescent="0.15">
      <c r="A753" s="35" t="s">
        <v>338</v>
      </c>
      <c r="B753" s="15"/>
      <c r="C753" s="16">
        <v>1</v>
      </c>
      <c r="D753" s="36">
        <f t="shared" si="451"/>
        <v>1</v>
      </c>
      <c r="E753" s="18"/>
      <c r="F753" s="16">
        <v>1</v>
      </c>
      <c r="G753" s="36">
        <f t="shared" si="443"/>
        <v>1</v>
      </c>
      <c r="H753" s="17">
        <f t="shared" si="444"/>
        <v>2</v>
      </c>
      <c r="I753" s="81">
        <v>44806</v>
      </c>
      <c r="J753" s="35"/>
      <c r="K753" s="19"/>
      <c r="L753" s="20"/>
      <c r="M753" s="17">
        <f t="shared" si="445"/>
        <v>0</v>
      </c>
      <c r="N753" s="21"/>
      <c r="O753" s="20"/>
      <c r="P753" s="17">
        <f t="shared" si="446"/>
        <v>0</v>
      </c>
      <c r="Q753" s="17">
        <f t="shared" si="447"/>
        <v>0</v>
      </c>
      <c r="R753" s="81"/>
      <c r="S753" s="10"/>
      <c r="T753" s="19"/>
      <c r="U753" s="20"/>
      <c r="V753" s="17">
        <f t="shared" si="448"/>
        <v>0</v>
      </c>
      <c r="W753" s="21"/>
      <c r="X753" s="20"/>
      <c r="Y753" s="17">
        <f t="shared" si="449"/>
        <v>0</v>
      </c>
      <c r="Z753" s="17">
        <f t="shared" si="450"/>
        <v>0</v>
      </c>
    </row>
    <row r="754" spans="1:26" x14ac:dyDescent="0.15">
      <c r="A754" s="35" t="s">
        <v>33</v>
      </c>
      <c r="B754" s="23"/>
      <c r="C754" s="24"/>
      <c r="D754" s="36">
        <f t="shared" si="451"/>
        <v>0</v>
      </c>
      <c r="E754" s="25">
        <v>3</v>
      </c>
      <c r="F754" s="24"/>
      <c r="G754" s="36">
        <f t="shared" si="443"/>
        <v>3</v>
      </c>
      <c r="H754" s="17">
        <f t="shared" si="444"/>
        <v>3</v>
      </c>
      <c r="I754" s="81">
        <v>44806</v>
      </c>
      <c r="J754" s="52"/>
      <c r="K754" s="23"/>
      <c r="L754" s="24"/>
      <c r="M754" s="36">
        <f t="shared" si="445"/>
        <v>0</v>
      </c>
      <c r="N754" s="25"/>
      <c r="O754" s="24"/>
      <c r="P754" s="36">
        <f t="shared" si="446"/>
        <v>0</v>
      </c>
      <c r="Q754" s="17">
        <f t="shared" si="447"/>
        <v>0</v>
      </c>
      <c r="R754" s="81"/>
      <c r="S754" s="35"/>
      <c r="T754" s="23"/>
      <c r="U754" s="24"/>
      <c r="V754" s="36">
        <f t="shared" si="448"/>
        <v>0</v>
      </c>
      <c r="W754" s="25"/>
      <c r="X754" s="24"/>
      <c r="Y754" s="36">
        <f t="shared" si="449"/>
        <v>0</v>
      </c>
      <c r="Z754" s="17">
        <f t="shared" si="450"/>
        <v>0</v>
      </c>
    </row>
    <row r="755" spans="1:26" x14ac:dyDescent="0.15">
      <c r="A755" s="35" t="s">
        <v>33</v>
      </c>
      <c r="B755" s="15"/>
      <c r="C755" s="16"/>
      <c r="D755" s="36">
        <f t="shared" si="451"/>
        <v>0</v>
      </c>
      <c r="E755" s="18">
        <f>1+2</f>
        <v>3</v>
      </c>
      <c r="F755" s="16">
        <v>3</v>
      </c>
      <c r="G755" s="36">
        <f t="shared" si="443"/>
        <v>6</v>
      </c>
      <c r="H755" s="17">
        <f t="shared" si="444"/>
        <v>6</v>
      </c>
      <c r="I755" s="81">
        <v>44809</v>
      </c>
      <c r="J755" s="52"/>
      <c r="K755" s="15"/>
      <c r="L755" s="16"/>
      <c r="M755" s="36">
        <f t="shared" si="445"/>
        <v>0</v>
      </c>
      <c r="N755" s="18"/>
      <c r="O755" s="16"/>
      <c r="P755" s="36">
        <f t="shared" si="446"/>
        <v>0</v>
      </c>
      <c r="Q755" s="17">
        <f t="shared" si="447"/>
        <v>0</v>
      </c>
      <c r="R755" s="81"/>
      <c r="S755" s="35"/>
      <c r="T755" s="15"/>
      <c r="U755" s="16"/>
      <c r="V755" s="36">
        <f t="shared" si="448"/>
        <v>0</v>
      </c>
      <c r="W755" s="18"/>
      <c r="X755" s="16"/>
      <c r="Y755" s="36">
        <f t="shared" si="449"/>
        <v>0</v>
      </c>
      <c r="Z755" s="17">
        <f t="shared" si="450"/>
        <v>0</v>
      </c>
    </row>
    <row r="756" spans="1:26" x14ac:dyDescent="0.15">
      <c r="A756" s="35" t="s">
        <v>340</v>
      </c>
      <c r="B756" s="15">
        <v>1</v>
      </c>
      <c r="C756" s="16"/>
      <c r="D756" s="36">
        <f t="shared" si="451"/>
        <v>1</v>
      </c>
      <c r="E756" s="18">
        <v>1</v>
      </c>
      <c r="F756" s="16"/>
      <c r="G756" s="36">
        <f t="shared" si="443"/>
        <v>1</v>
      </c>
      <c r="H756" s="17">
        <f t="shared" si="444"/>
        <v>2</v>
      </c>
      <c r="I756" s="81">
        <v>44811</v>
      </c>
      <c r="J756" s="52"/>
      <c r="K756" s="15"/>
      <c r="L756" s="16"/>
      <c r="M756" s="36">
        <f t="shared" si="445"/>
        <v>0</v>
      </c>
      <c r="N756" s="18"/>
      <c r="O756" s="16"/>
      <c r="P756" s="36">
        <f t="shared" si="446"/>
        <v>0</v>
      </c>
      <c r="Q756" s="17">
        <f t="shared" si="447"/>
        <v>0</v>
      </c>
      <c r="R756" s="81"/>
      <c r="S756" s="35"/>
      <c r="T756" s="15"/>
      <c r="U756" s="16"/>
      <c r="V756" s="36">
        <f t="shared" si="448"/>
        <v>0</v>
      </c>
      <c r="W756" s="18"/>
      <c r="X756" s="16"/>
      <c r="Y756" s="36">
        <f t="shared" si="449"/>
        <v>0</v>
      </c>
      <c r="Z756" s="17">
        <f t="shared" si="450"/>
        <v>0</v>
      </c>
    </row>
    <row r="757" spans="1:26" x14ac:dyDescent="0.15">
      <c r="A757" s="35" t="s">
        <v>33</v>
      </c>
      <c r="B757" s="15">
        <v>2</v>
      </c>
      <c r="C757" s="16"/>
      <c r="D757" s="36">
        <f t="shared" si="451"/>
        <v>2</v>
      </c>
      <c r="E757" s="18">
        <v>2</v>
      </c>
      <c r="F757" s="16"/>
      <c r="G757" s="36">
        <f t="shared" si="443"/>
        <v>2</v>
      </c>
      <c r="H757" s="17">
        <f t="shared" si="444"/>
        <v>4</v>
      </c>
      <c r="I757" s="81">
        <v>44811</v>
      </c>
      <c r="J757" s="35"/>
      <c r="K757" s="15"/>
      <c r="L757" s="16"/>
      <c r="M757" s="36">
        <f t="shared" si="445"/>
        <v>0</v>
      </c>
      <c r="N757" s="18"/>
      <c r="O757" s="16"/>
      <c r="P757" s="36">
        <f t="shared" si="446"/>
        <v>0</v>
      </c>
      <c r="Q757" s="17">
        <f t="shared" si="447"/>
        <v>0</v>
      </c>
      <c r="R757" s="81"/>
      <c r="S757" s="35"/>
      <c r="T757" s="15"/>
      <c r="U757" s="16"/>
      <c r="V757" s="36">
        <f t="shared" si="448"/>
        <v>0</v>
      </c>
      <c r="W757" s="18"/>
      <c r="X757" s="16"/>
      <c r="Y757" s="36">
        <f t="shared" si="449"/>
        <v>0</v>
      </c>
      <c r="Z757" s="17">
        <f t="shared" si="450"/>
        <v>0</v>
      </c>
    </row>
    <row r="758" spans="1:26" x14ac:dyDescent="0.15">
      <c r="A758" s="35" t="s">
        <v>33</v>
      </c>
      <c r="B758" s="15">
        <v>1</v>
      </c>
      <c r="C758" s="16"/>
      <c r="D758" s="36">
        <f t="shared" si="451"/>
        <v>1</v>
      </c>
      <c r="E758" s="18"/>
      <c r="F758" s="16">
        <v>1</v>
      </c>
      <c r="G758" s="36">
        <f t="shared" si="443"/>
        <v>1</v>
      </c>
      <c r="H758" s="17">
        <f t="shared" si="444"/>
        <v>2</v>
      </c>
      <c r="I758" s="81">
        <v>44812</v>
      </c>
      <c r="J758" s="35"/>
      <c r="K758" s="15"/>
      <c r="L758" s="16"/>
      <c r="M758" s="17">
        <f t="shared" si="445"/>
        <v>0</v>
      </c>
      <c r="N758" s="18"/>
      <c r="O758" s="16"/>
      <c r="P758" s="17">
        <f t="shared" si="446"/>
        <v>0</v>
      </c>
      <c r="Q758" s="17">
        <f t="shared" si="447"/>
        <v>0</v>
      </c>
      <c r="R758" s="81"/>
      <c r="S758" s="10"/>
      <c r="T758" s="15"/>
      <c r="U758" s="16"/>
      <c r="V758" s="17">
        <f t="shared" si="448"/>
        <v>0</v>
      </c>
      <c r="W758" s="18"/>
      <c r="X758" s="16"/>
      <c r="Y758" s="17">
        <f t="shared" si="449"/>
        <v>0</v>
      </c>
      <c r="Z758" s="17">
        <f t="shared" si="450"/>
        <v>0</v>
      </c>
    </row>
    <row r="759" spans="1:26" x14ac:dyDescent="0.15">
      <c r="A759" s="35" t="s">
        <v>342</v>
      </c>
      <c r="B759" s="15">
        <v>2</v>
      </c>
      <c r="C759" s="16">
        <v>1</v>
      </c>
      <c r="D759" s="36">
        <f t="shared" si="451"/>
        <v>3</v>
      </c>
      <c r="E759" s="18">
        <v>2</v>
      </c>
      <c r="F759" s="16">
        <v>1</v>
      </c>
      <c r="G759" s="36">
        <f t="shared" si="443"/>
        <v>3</v>
      </c>
      <c r="H759" s="17">
        <f t="shared" si="444"/>
        <v>6</v>
      </c>
      <c r="I759" s="81">
        <v>44817</v>
      </c>
      <c r="J759" s="52"/>
      <c r="K759" s="15"/>
      <c r="L759" s="16"/>
      <c r="M759" s="17">
        <f t="shared" si="445"/>
        <v>0</v>
      </c>
      <c r="N759" s="18"/>
      <c r="O759" s="16"/>
      <c r="P759" s="17">
        <f t="shared" si="446"/>
        <v>0</v>
      </c>
      <c r="Q759" s="17">
        <f t="shared" si="447"/>
        <v>0</v>
      </c>
      <c r="R759" s="81"/>
      <c r="S759" s="35"/>
      <c r="T759" s="15"/>
      <c r="U759" s="16"/>
      <c r="V759" s="36">
        <f t="shared" si="448"/>
        <v>0</v>
      </c>
      <c r="W759" s="18"/>
      <c r="X759" s="16"/>
      <c r="Y759" s="36">
        <f t="shared" si="449"/>
        <v>0</v>
      </c>
      <c r="Z759" s="17">
        <f t="shared" si="450"/>
        <v>0</v>
      </c>
    </row>
    <row r="760" spans="1:26" x14ac:dyDescent="0.15">
      <c r="A760" s="35" t="s">
        <v>33</v>
      </c>
      <c r="B760" s="15">
        <f>1+1</f>
        <v>2</v>
      </c>
      <c r="C760" s="16">
        <v>1</v>
      </c>
      <c r="D760" s="36">
        <f t="shared" si="451"/>
        <v>3</v>
      </c>
      <c r="E760" s="18">
        <v>1</v>
      </c>
      <c r="F760" s="16">
        <v>1</v>
      </c>
      <c r="G760" s="36">
        <f t="shared" si="443"/>
        <v>2</v>
      </c>
      <c r="H760" s="17">
        <f t="shared" si="444"/>
        <v>5</v>
      </c>
      <c r="I760" s="81">
        <v>44816</v>
      </c>
      <c r="J760" s="35"/>
      <c r="K760" s="15"/>
      <c r="L760" s="16"/>
      <c r="M760" s="36">
        <f t="shared" si="445"/>
        <v>0</v>
      </c>
      <c r="N760" s="18"/>
      <c r="O760" s="16"/>
      <c r="P760" s="36">
        <f t="shared" si="446"/>
        <v>0</v>
      </c>
      <c r="Q760" s="17">
        <f t="shared" si="447"/>
        <v>0</v>
      </c>
      <c r="R760" s="81"/>
      <c r="S760" s="37"/>
      <c r="T760" s="15"/>
      <c r="U760" s="16"/>
      <c r="V760" s="36">
        <f t="shared" si="448"/>
        <v>0</v>
      </c>
      <c r="W760" s="18"/>
      <c r="X760" s="16"/>
      <c r="Y760" s="36">
        <f t="shared" si="449"/>
        <v>0</v>
      </c>
      <c r="Z760" s="17">
        <f t="shared" si="450"/>
        <v>0</v>
      </c>
    </row>
    <row r="761" spans="1:26" x14ac:dyDescent="0.15">
      <c r="A761" s="35" t="s">
        <v>343</v>
      </c>
      <c r="B761" s="15"/>
      <c r="C761" s="16">
        <v>3</v>
      </c>
      <c r="D761" s="36">
        <f t="shared" si="451"/>
        <v>3</v>
      </c>
      <c r="E761" s="18"/>
      <c r="F761" s="16">
        <v>3</v>
      </c>
      <c r="G761" s="36">
        <f t="shared" si="443"/>
        <v>3</v>
      </c>
      <c r="H761" s="17">
        <f t="shared" si="444"/>
        <v>6</v>
      </c>
      <c r="I761" s="81">
        <v>44818</v>
      </c>
      <c r="J761" s="35"/>
      <c r="K761" s="15"/>
      <c r="L761" s="16"/>
      <c r="M761" s="36">
        <f t="shared" si="445"/>
        <v>0</v>
      </c>
      <c r="N761" s="18"/>
      <c r="O761" s="16"/>
      <c r="P761" s="36">
        <f t="shared" si="446"/>
        <v>0</v>
      </c>
      <c r="Q761" s="17">
        <f t="shared" si="447"/>
        <v>0</v>
      </c>
      <c r="R761" s="81"/>
      <c r="S761" s="37"/>
      <c r="T761" s="15"/>
      <c r="U761" s="16"/>
      <c r="V761" s="36">
        <f t="shared" si="448"/>
        <v>0</v>
      </c>
      <c r="W761" s="18"/>
      <c r="X761" s="16"/>
      <c r="Y761" s="36">
        <f t="shared" si="449"/>
        <v>0</v>
      </c>
      <c r="Z761" s="17">
        <f t="shared" si="450"/>
        <v>0</v>
      </c>
    </row>
    <row r="762" spans="1:26" x14ac:dyDescent="0.15">
      <c r="A762" s="35" t="s">
        <v>344</v>
      </c>
      <c r="B762" s="15">
        <v>1</v>
      </c>
      <c r="C762" s="16">
        <v>2</v>
      </c>
      <c r="D762" s="36">
        <f t="shared" si="451"/>
        <v>3</v>
      </c>
      <c r="E762" s="18">
        <v>1</v>
      </c>
      <c r="F762" s="16">
        <v>2</v>
      </c>
      <c r="G762" s="36">
        <f t="shared" si="443"/>
        <v>3</v>
      </c>
      <c r="H762" s="17">
        <f t="shared" si="444"/>
        <v>6</v>
      </c>
      <c r="I762" s="81">
        <v>44819</v>
      </c>
      <c r="J762" s="52"/>
      <c r="K762" s="15"/>
      <c r="L762" s="16"/>
      <c r="M762" s="36">
        <f t="shared" si="445"/>
        <v>0</v>
      </c>
      <c r="N762" s="18"/>
      <c r="O762" s="16"/>
      <c r="P762" s="36">
        <f t="shared" si="446"/>
        <v>0</v>
      </c>
      <c r="Q762" s="17">
        <f t="shared" si="447"/>
        <v>0</v>
      </c>
      <c r="R762" s="81"/>
      <c r="S762" s="35"/>
      <c r="T762" s="15"/>
      <c r="U762" s="16"/>
      <c r="V762" s="36">
        <f t="shared" si="448"/>
        <v>0</v>
      </c>
      <c r="W762" s="18"/>
      <c r="X762" s="16"/>
      <c r="Y762" s="36">
        <f t="shared" si="449"/>
        <v>0</v>
      </c>
      <c r="Z762" s="17">
        <f t="shared" si="450"/>
        <v>0</v>
      </c>
    </row>
    <row r="763" spans="1:26" x14ac:dyDescent="0.15">
      <c r="A763" s="35" t="s">
        <v>283</v>
      </c>
      <c r="B763" s="15"/>
      <c r="C763" s="16">
        <v>2</v>
      </c>
      <c r="D763" s="36">
        <f t="shared" si="451"/>
        <v>2</v>
      </c>
      <c r="E763" s="18"/>
      <c r="F763" s="16"/>
      <c r="G763" s="36">
        <f t="shared" si="443"/>
        <v>0</v>
      </c>
      <c r="H763" s="17">
        <f t="shared" si="444"/>
        <v>2</v>
      </c>
      <c r="I763" s="81">
        <v>44819</v>
      </c>
      <c r="J763" s="35"/>
      <c r="K763" s="15"/>
      <c r="L763" s="16"/>
      <c r="M763" s="36">
        <f t="shared" si="445"/>
        <v>0</v>
      </c>
      <c r="N763" s="18"/>
      <c r="O763" s="16"/>
      <c r="P763" s="36">
        <f t="shared" si="446"/>
        <v>0</v>
      </c>
      <c r="Q763" s="17">
        <f t="shared" si="447"/>
        <v>0</v>
      </c>
      <c r="R763" s="81"/>
      <c r="S763" s="38"/>
      <c r="T763" s="15"/>
      <c r="U763" s="16"/>
      <c r="V763" s="36">
        <f t="shared" si="448"/>
        <v>0</v>
      </c>
      <c r="W763" s="18"/>
      <c r="X763" s="16"/>
      <c r="Y763" s="36">
        <f t="shared" si="449"/>
        <v>0</v>
      </c>
      <c r="Z763" s="17">
        <f t="shared" si="450"/>
        <v>0</v>
      </c>
    </row>
    <row r="764" spans="1:26" x14ac:dyDescent="0.15">
      <c r="A764" s="35" t="s">
        <v>346</v>
      </c>
      <c r="B764" s="15"/>
      <c r="C764" s="16">
        <v>2</v>
      </c>
      <c r="D764" s="36">
        <f t="shared" si="451"/>
        <v>2</v>
      </c>
      <c r="E764" s="18"/>
      <c r="F764" s="16">
        <v>2</v>
      </c>
      <c r="G764" s="36">
        <f t="shared" si="443"/>
        <v>2</v>
      </c>
      <c r="H764" s="17">
        <f t="shared" si="444"/>
        <v>4</v>
      </c>
      <c r="I764" s="81">
        <v>44824</v>
      </c>
      <c r="J764" s="35"/>
      <c r="K764" s="15"/>
      <c r="L764" s="16"/>
      <c r="M764" s="36">
        <f t="shared" si="445"/>
        <v>0</v>
      </c>
      <c r="N764" s="18"/>
      <c r="O764" s="16"/>
      <c r="P764" s="36">
        <f t="shared" si="446"/>
        <v>0</v>
      </c>
      <c r="Q764" s="17">
        <f t="shared" si="447"/>
        <v>0</v>
      </c>
      <c r="S764" s="35"/>
      <c r="T764" s="15"/>
      <c r="U764" s="16"/>
      <c r="V764" s="36">
        <f t="shared" si="448"/>
        <v>0</v>
      </c>
      <c r="W764" s="18"/>
      <c r="X764" s="16"/>
      <c r="Y764" s="36">
        <f t="shared" si="449"/>
        <v>0</v>
      </c>
      <c r="Z764" s="17">
        <f t="shared" si="450"/>
        <v>0</v>
      </c>
    </row>
    <row r="765" spans="1:26" x14ac:dyDescent="0.15">
      <c r="A765" s="35" t="s">
        <v>33</v>
      </c>
      <c r="B765" s="15"/>
      <c r="C765" s="16"/>
      <c r="D765" s="36">
        <f t="shared" si="451"/>
        <v>0</v>
      </c>
      <c r="E765" s="18">
        <v>1</v>
      </c>
      <c r="F765" s="16"/>
      <c r="G765" s="36">
        <f t="shared" si="443"/>
        <v>1</v>
      </c>
      <c r="H765" s="17">
        <f t="shared" si="444"/>
        <v>1</v>
      </c>
      <c r="I765" s="81">
        <v>44820</v>
      </c>
      <c r="J765" s="38"/>
      <c r="K765" s="15"/>
      <c r="L765" s="16"/>
      <c r="M765" s="36">
        <f t="shared" si="445"/>
        <v>0</v>
      </c>
      <c r="N765" s="18"/>
      <c r="O765" s="16"/>
      <c r="P765" s="36">
        <f t="shared" si="446"/>
        <v>0</v>
      </c>
      <c r="Q765" s="17">
        <f t="shared" si="447"/>
        <v>0</v>
      </c>
      <c r="R765" s="83"/>
      <c r="S765" s="38"/>
      <c r="T765" s="15"/>
      <c r="U765" s="16"/>
      <c r="V765" s="36">
        <f t="shared" si="448"/>
        <v>0</v>
      </c>
      <c r="W765" s="18"/>
      <c r="X765" s="16"/>
      <c r="Y765" s="36">
        <f t="shared" si="449"/>
        <v>0</v>
      </c>
      <c r="Z765" s="17">
        <f t="shared" si="450"/>
        <v>0</v>
      </c>
    </row>
    <row r="766" spans="1:26" x14ac:dyDescent="0.15">
      <c r="A766" s="35" t="s">
        <v>33</v>
      </c>
      <c r="B766" s="15"/>
      <c r="C766" s="16"/>
      <c r="D766" s="36">
        <f t="shared" si="451"/>
        <v>0</v>
      </c>
      <c r="E766" s="18"/>
      <c r="F766" s="16">
        <v>2</v>
      </c>
      <c r="G766" s="36">
        <f t="shared" si="443"/>
        <v>2</v>
      </c>
      <c r="H766" s="17">
        <f t="shared" si="444"/>
        <v>2</v>
      </c>
      <c r="I766" s="81">
        <v>44821</v>
      </c>
      <c r="J766" s="35"/>
      <c r="K766" s="15"/>
      <c r="L766" s="16"/>
      <c r="M766" s="36">
        <f t="shared" si="445"/>
        <v>0</v>
      </c>
      <c r="N766" s="18"/>
      <c r="O766" s="16"/>
      <c r="P766" s="36">
        <f t="shared" si="446"/>
        <v>0</v>
      </c>
      <c r="Q766" s="17">
        <f t="shared" si="447"/>
        <v>0</v>
      </c>
      <c r="R766" s="83"/>
      <c r="S766" s="35"/>
      <c r="T766" s="15"/>
      <c r="U766" s="16"/>
      <c r="V766" s="36">
        <f t="shared" si="448"/>
        <v>0</v>
      </c>
      <c r="W766" s="18"/>
      <c r="X766" s="16"/>
      <c r="Y766" s="36">
        <f t="shared" si="449"/>
        <v>0</v>
      </c>
      <c r="Z766" s="17">
        <f t="shared" si="450"/>
        <v>0</v>
      </c>
    </row>
    <row r="767" spans="1:26" x14ac:dyDescent="0.15">
      <c r="A767" s="35" t="s">
        <v>349</v>
      </c>
      <c r="B767" s="15"/>
      <c r="C767" s="16">
        <v>1</v>
      </c>
      <c r="D767" s="17">
        <f>SUM(B767:C767)</f>
        <v>1</v>
      </c>
      <c r="E767" s="18"/>
      <c r="F767" s="16">
        <v>1</v>
      </c>
      <c r="G767" s="17">
        <f t="shared" si="443"/>
        <v>1</v>
      </c>
      <c r="H767" s="17">
        <f t="shared" si="444"/>
        <v>2</v>
      </c>
      <c r="I767" s="81">
        <v>44825</v>
      </c>
      <c r="J767" s="35"/>
      <c r="K767" s="15"/>
      <c r="L767" s="16"/>
      <c r="M767" s="36">
        <f t="shared" si="445"/>
        <v>0</v>
      </c>
      <c r="N767" s="18"/>
      <c r="O767" s="16"/>
      <c r="P767" s="36">
        <f t="shared" si="446"/>
        <v>0</v>
      </c>
      <c r="Q767" s="17">
        <f t="shared" si="447"/>
        <v>0</v>
      </c>
      <c r="R767" s="81"/>
      <c r="S767" s="35"/>
      <c r="T767" s="15"/>
      <c r="U767" s="16"/>
      <c r="V767" s="36">
        <f t="shared" si="448"/>
        <v>0</v>
      </c>
      <c r="W767" s="18"/>
      <c r="X767" s="16"/>
      <c r="Y767" s="36">
        <f t="shared" si="449"/>
        <v>0</v>
      </c>
      <c r="Z767" s="17">
        <f t="shared" si="450"/>
        <v>0</v>
      </c>
    </row>
    <row r="768" spans="1:26" x14ac:dyDescent="0.15">
      <c r="A768" s="35" t="s">
        <v>33</v>
      </c>
      <c r="B768" s="15">
        <v>3</v>
      </c>
      <c r="C768" s="16"/>
      <c r="D768" s="36">
        <f t="shared" ref="D768" si="452">SUM(B768:C768)</f>
        <v>3</v>
      </c>
      <c r="E768" s="18"/>
      <c r="F768" s="16">
        <v>2</v>
      </c>
      <c r="G768" s="36">
        <f t="shared" si="443"/>
        <v>2</v>
      </c>
      <c r="H768" s="17">
        <f t="shared" si="444"/>
        <v>5</v>
      </c>
      <c r="I768" s="81">
        <v>44824</v>
      </c>
      <c r="J768" s="35"/>
      <c r="K768" s="15"/>
      <c r="L768" s="16"/>
      <c r="M768" s="36">
        <f t="shared" ref="M768:M769" si="453">SUM(K768:L768)</f>
        <v>0</v>
      </c>
      <c r="N768" s="18"/>
      <c r="O768" s="16"/>
      <c r="P768" s="36">
        <f t="shared" ref="P768:P769" si="454">SUM(N768:O768)</f>
        <v>0</v>
      </c>
      <c r="Q768" s="17">
        <f t="shared" ref="Q768:Q769" si="455">M768+P768</f>
        <v>0</v>
      </c>
      <c r="R768" s="81"/>
      <c r="S768" s="35"/>
      <c r="T768" s="15"/>
      <c r="U768" s="16"/>
      <c r="V768" s="36">
        <f t="shared" si="448"/>
        <v>0</v>
      </c>
      <c r="W768" s="18"/>
      <c r="X768" s="16"/>
      <c r="Y768" s="36">
        <f t="shared" si="449"/>
        <v>0</v>
      </c>
      <c r="Z768" s="17">
        <f t="shared" si="450"/>
        <v>0</v>
      </c>
    </row>
    <row r="769" spans="1:26" x14ac:dyDescent="0.15">
      <c r="A769" s="35" t="s">
        <v>350</v>
      </c>
      <c r="B769" s="15">
        <v>2</v>
      </c>
      <c r="C769" s="16"/>
      <c r="D769" s="17">
        <f>SUM(B769:C769)</f>
        <v>2</v>
      </c>
      <c r="E769" s="18">
        <v>2</v>
      </c>
      <c r="F769" s="16"/>
      <c r="G769" s="17">
        <f t="shared" si="443"/>
        <v>2</v>
      </c>
      <c r="H769" s="17">
        <f t="shared" si="444"/>
        <v>4</v>
      </c>
      <c r="I769" s="81">
        <v>44826</v>
      </c>
      <c r="J769" s="35"/>
      <c r="K769" s="15"/>
      <c r="L769" s="16"/>
      <c r="M769" s="36">
        <f t="shared" si="453"/>
        <v>0</v>
      </c>
      <c r="N769" s="18"/>
      <c r="O769" s="16"/>
      <c r="P769" s="36">
        <f t="shared" si="454"/>
        <v>0</v>
      </c>
      <c r="Q769" s="17">
        <f t="shared" si="455"/>
        <v>0</v>
      </c>
      <c r="R769" s="81"/>
      <c r="S769" s="35"/>
      <c r="T769" s="15"/>
      <c r="U769" s="16"/>
      <c r="V769" s="36">
        <f t="shared" si="448"/>
        <v>0</v>
      </c>
      <c r="W769" s="18"/>
      <c r="X769" s="16"/>
      <c r="Y769" s="36">
        <f t="shared" si="449"/>
        <v>0</v>
      </c>
      <c r="Z769" s="17">
        <f t="shared" si="450"/>
        <v>0</v>
      </c>
    </row>
    <row r="770" spans="1:26" ht="14.25" thickBot="1" x14ac:dyDescent="0.2">
      <c r="A770" s="35" t="s">
        <v>33</v>
      </c>
      <c r="B770" s="15">
        <v>1</v>
      </c>
      <c r="C770" s="16">
        <v>1</v>
      </c>
      <c r="D770" s="36">
        <f t="shared" ref="D770:D772" si="456">SUM(B770:C770)</f>
        <v>2</v>
      </c>
      <c r="E770" s="18">
        <v>3</v>
      </c>
      <c r="F770" s="16"/>
      <c r="G770" s="36">
        <f t="shared" si="443"/>
        <v>3</v>
      </c>
      <c r="H770" s="17">
        <f t="shared" si="444"/>
        <v>5</v>
      </c>
      <c r="I770" s="81">
        <v>44825</v>
      </c>
      <c r="J770" s="35" t="s">
        <v>333</v>
      </c>
      <c r="K770" s="15"/>
      <c r="L770" s="16"/>
      <c r="M770" s="36">
        <f t="shared" ref="M770" si="457">SUM(K770:L770)</f>
        <v>0</v>
      </c>
      <c r="N770" s="18"/>
      <c r="O770" s="16"/>
      <c r="P770" s="36">
        <f t="shared" ref="P770" si="458">SUM(N770:O770)</f>
        <v>0</v>
      </c>
      <c r="Q770" s="17">
        <f t="shared" ref="Q770" si="459">M770+P770</f>
        <v>0</v>
      </c>
      <c r="R770" s="81" t="s">
        <v>319</v>
      </c>
      <c r="S770" s="35"/>
      <c r="T770" s="15"/>
      <c r="U770" s="16"/>
      <c r="V770" s="36">
        <f t="shared" si="448"/>
        <v>0</v>
      </c>
      <c r="W770" s="18"/>
      <c r="X770" s="16"/>
      <c r="Y770" s="36">
        <f t="shared" si="449"/>
        <v>0</v>
      </c>
      <c r="Z770" s="17">
        <f t="shared" si="450"/>
        <v>0</v>
      </c>
    </row>
    <row r="771" spans="1:26" ht="14.25" thickBot="1" x14ac:dyDescent="0.2">
      <c r="A771" s="40" t="s">
        <v>14</v>
      </c>
      <c r="B771" s="41">
        <f>SUM(B745:B770)</f>
        <v>21</v>
      </c>
      <c r="C771" s="42">
        <f t="shared" ref="C771" si="460">SUM(C745:C770)</f>
        <v>18</v>
      </c>
      <c r="D771" s="43">
        <f t="shared" si="456"/>
        <v>39</v>
      </c>
      <c r="E771" s="41">
        <f>SUM(E745:E770)</f>
        <v>26</v>
      </c>
      <c r="F771" s="42">
        <f t="shared" ref="F771" si="461">SUM(F745:F770)</f>
        <v>23</v>
      </c>
      <c r="G771" s="43">
        <f t="shared" si="443"/>
        <v>49</v>
      </c>
      <c r="H771" s="43">
        <f t="shared" si="444"/>
        <v>88</v>
      </c>
      <c r="J771" s="40" t="s">
        <v>14</v>
      </c>
      <c r="K771" s="41">
        <f>SUM(K745:K770)</f>
        <v>24</v>
      </c>
      <c r="L771" s="42">
        <f t="shared" ref="L771" si="462">SUM(L745:L770)</f>
        <v>19</v>
      </c>
      <c r="M771" s="43">
        <f t="shared" si="445"/>
        <v>43</v>
      </c>
      <c r="N771" s="41">
        <f>SUM(N745:N770)</f>
        <v>34</v>
      </c>
      <c r="O771" s="42">
        <f t="shared" ref="O771" si="463">SUM(O745:O770)</f>
        <v>34</v>
      </c>
      <c r="P771" s="43">
        <f t="shared" si="446"/>
        <v>68</v>
      </c>
      <c r="Q771" s="43">
        <f t="shared" si="447"/>
        <v>111</v>
      </c>
      <c r="S771" s="40" t="s">
        <v>14</v>
      </c>
      <c r="T771" s="41">
        <f>SUM(T745:T770)</f>
        <v>0</v>
      </c>
      <c r="U771" s="42">
        <f t="shared" ref="U771" si="464">SUM(U745:U770)</f>
        <v>0</v>
      </c>
      <c r="V771" s="43">
        <f t="shared" si="448"/>
        <v>0</v>
      </c>
      <c r="W771" s="41">
        <f>SUM(W745:W770)</f>
        <v>0</v>
      </c>
      <c r="X771" s="42">
        <f t="shared" ref="X771" si="465">SUM(X745:X770)</f>
        <v>0</v>
      </c>
      <c r="Y771" s="43">
        <f t="shared" si="449"/>
        <v>0</v>
      </c>
      <c r="Z771" s="43">
        <f t="shared" si="450"/>
        <v>0</v>
      </c>
    </row>
    <row r="772" spans="1:26" ht="14.25" thickBot="1" x14ac:dyDescent="0.2">
      <c r="A772" s="44" t="s">
        <v>15</v>
      </c>
      <c r="B772" s="45">
        <f>B744-B771</f>
        <v>20</v>
      </c>
      <c r="C772" s="46">
        <f t="shared" ref="C772" si="466">C744-C771</f>
        <v>18</v>
      </c>
      <c r="D772" s="47">
        <f t="shared" si="456"/>
        <v>38</v>
      </c>
      <c r="E772" s="45">
        <f>E744-E771</f>
        <v>21</v>
      </c>
      <c r="F772" s="46">
        <f t="shared" ref="F772" si="467">F744-F771</f>
        <v>21</v>
      </c>
      <c r="G772" s="47">
        <f t="shared" si="443"/>
        <v>42</v>
      </c>
      <c r="H772" s="34">
        <f t="shared" si="444"/>
        <v>80</v>
      </c>
      <c r="J772" s="44" t="s">
        <v>15</v>
      </c>
      <c r="K772" s="45">
        <f>K744-K771</f>
        <v>673</v>
      </c>
      <c r="L772" s="46">
        <f t="shared" ref="L772" si="468">L744-L771</f>
        <v>375</v>
      </c>
      <c r="M772" s="47">
        <f t="shared" si="445"/>
        <v>1048</v>
      </c>
      <c r="N772" s="45">
        <f>N744-N771</f>
        <v>334</v>
      </c>
      <c r="O772" s="46">
        <f t="shared" ref="O772" si="469">O744-O771</f>
        <v>66</v>
      </c>
      <c r="P772" s="47">
        <f t="shared" si="446"/>
        <v>400</v>
      </c>
      <c r="Q772" s="34">
        <f t="shared" si="447"/>
        <v>1448</v>
      </c>
      <c r="S772" s="44" t="s">
        <v>15</v>
      </c>
      <c r="T772" s="45">
        <f>T744-T771</f>
        <v>1011</v>
      </c>
      <c r="U772" s="46">
        <f t="shared" ref="U772" si="470">U744-U771</f>
        <v>715</v>
      </c>
      <c r="V772" s="47">
        <f t="shared" si="448"/>
        <v>1726</v>
      </c>
      <c r="W772" s="45">
        <f>W744-W771</f>
        <v>1532</v>
      </c>
      <c r="X772" s="46">
        <f t="shared" ref="X772" si="471">X744-X771</f>
        <v>783</v>
      </c>
      <c r="Y772" s="47">
        <f t="shared" si="449"/>
        <v>2315</v>
      </c>
      <c r="Z772" s="34">
        <f t="shared" si="450"/>
        <v>4041</v>
      </c>
    </row>
    <row r="775" spans="1:26" ht="19.5" thickBot="1" x14ac:dyDescent="0.25">
      <c r="A775" s="1" t="s">
        <v>23</v>
      </c>
      <c r="J775" s="1" t="s">
        <v>24</v>
      </c>
      <c r="K775" s="2"/>
      <c r="L775" s="2"/>
      <c r="M775" s="2"/>
      <c r="N775" s="2"/>
      <c r="O775" s="1" t="s">
        <v>34</v>
      </c>
      <c r="P775" s="2"/>
      <c r="Q775" s="2"/>
      <c r="S775" s="1" t="s">
        <v>24</v>
      </c>
      <c r="T775" s="2"/>
      <c r="U775" s="2"/>
      <c r="V775" s="2"/>
      <c r="W775" s="2"/>
      <c r="X775" s="1" t="s">
        <v>34</v>
      </c>
      <c r="Y775" s="2"/>
      <c r="Z775" s="2"/>
    </row>
    <row r="776" spans="1:26" ht="14.25" thickBot="1" x14ac:dyDescent="0.2">
      <c r="A776" s="3" t="s">
        <v>0</v>
      </c>
      <c r="B776" s="125" t="s">
        <v>18</v>
      </c>
      <c r="C776" s="126"/>
      <c r="D776" s="127"/>
      <c r="E776" s="125" t="s">
        <v>19</v>
      </c>
      <c r="F776" s="126"/>
      <c r="G776" s="128"/>
      <c r="H776" s="129" t="s">
        <v>1</v>
      </c>
      <c r="J776" s="3" t="s">
        <v>0</v>
      </c>
      <c r="K776" s="125" t="s">
        <v>18</v>
      </c>
      <c r="L776" s="126"/>
      <c r="M776" s="127"/>
      <c r="N776" s="125" t="s">
        <v>19</v>
      </c>
      <c r="O776" s="126"/>
      <c r="P776" s="128"/>
      <c r="Q776" s="129" t="s">
        <v>1</v>
      </c>
      <c r="S776" s="3" t="s">
        <v>0</v>
      </c>
      <c r="T776" s="125" t="s">
        <v>18</v>
      </c>
      <c r="U776" s="126"/>
      <c r="V776" s="127"/>
      <c r="W776" s="125" t="s">
        <v>19</v>
      </c>
      <c r="X776" s="126"/>
      <c r="Y776" s="128"/>
      <c r="Z776" s="129" t="s">
        <v>1</v>
      </c>
    </row>
    <row r="777" spans="1:26" ht="14.25" thickBot="1" x14ac:dyDescent="0.2">
      <c r="A777" s="3" t="s">
        <v>2</v>
      </c>
      <c r="B777" s="4" t="s">
        <v>16</v>
      </c>
      <c r="C777" s="5" t="s">
        <v>17</v>
      </c>
      <c r="D777" s="3" t="s">
        <v>3</v>
      </c>
      <c r="E777" s="4" t="s">
        <v>16</v>
      </c>
      <c r="F777" s="5" t="s">
        <v>17</v>
      </c>
      <c r="G777" s="3" t="s">
        <v>3</v>
      </c>
      <c r="H777" s="130"/>
      <c r="J777" s="3" t="s">
        <v>2</v>
      </c>
      <c r="K777" s="4" t="s">
        <v>16</v>
      </c>
      <c r="L777" s="5" t="s">
        <v>17</v>
      </c>
      <c r="M777" s="3" t="s">
        <v>3</v>
      </c>
      <c r="N777" s="4" t="s">
        <v>16</v>
      </c>
      <c r="O777" s="5" t="s">
        <v>17</v>
      </c>
      <c r="P777" s="3" t="s">
        <v>3</v>
      </c>
      <c r="Q777" s="130"/>
      <c r="S777" s="3" t="s">
        <v>2</v>
      </c>
      <c r="T777" s="4" t="s">
        <v>16</v>
      </c>
      <c r="U777" s="5" t="s">
        <v>17</v>
      </c>
      <c r="V777" s="3" t="s">
        <v>3</v>
      </c>
      <c r="W777" s="4" t="s">
        <v>16</v>
      </c>
      <c r="X777" s="5" t="s">
        <v>17</v>
      </c>
      <c r="Y777" s="3" t="s">
        <v>3</v>
      </c>
      <c r="Z777" s="130"/>
    </row>
    <row r="778" spans="1:26" ht="14.25" thickBot="1" x14ac:dyDescent="0.2">
      <c r="A778" s="6" t="s">
        <v>55</v>
      </c>
      <c r="B778" s="32">
        <f>B772</f>
        <v>20</v>
      </c>
      <c r="C778" s="33">
        <f>C772</f>
        <v>18</v>
      </c>
      <c r="D778" s="34">
        <f t="shared" ref="D778:D813" si="472">SUM(B778:C778)</f>
        <v>38</v>
      </c>
      <c r="E778" s="32">
        <f>E772</f>
        <v>21</v>
      </c>
      <c r="F778" s="33">
        <f>F772</f>
        <v>21</v>
      </c>
      <c r="G778" s="34">
        <f t="shared" ref="G778:G815" si="473">SUM(E778:F778)</f>
        <v>42</v>
      </c>
      <c r="H778" s="34">
        <f t="shared" ref="H778:H815" si="474">D778+G778</f>
        <v>80</v>
      </c>
      <c r="J778" s="6" t="s">
        <v>55</v>
      </c>
      <c r="K778" s="7">
        <f>K772</f>
        <v>673</v>
      </c>
      <c r="L778" s="8">
        <f>L772</f>
        <v>375</v>
      </c>
      <c r="M778" s="9">
        <f t="shared" ref="M778:M815" si="475">SUM(K778:L778)</f>
        <v>1048</v>
      </c>
      <c r="N778" s="7">
        <f>N772</f>
        <v>334</v>
      </c>
      <c r="O778" s="8">
        <f>O772</f>
        <v>66</v>
      </c>
      <c r="P778" s="9">
        <f t="shared" ref="P778:P815" si="476">SUM(N778:O778)</f>
        <v>400</v>
      </c>
      <c r="Q778" s="9">
        <f t="shared" ref="Q778:Q815" si="477">M778+P778</f>
        <v>1448</v>
      </c>
      <c r="S778" s="6" t="s">
        <v>55</v>
      </c>
      <c r="T778" s="7">
        <f>T772</f>
        <v>1011</v>
      </c>
      <c r="U778" s="8">
        <f>U772</f>
        <v>715</v>
      </c>
      <c r="V778" s="9">
        <f t="shared" ref="V778:V815" si="478">SUM(T778:U778)</f>
        <v>1726</v>
      </c>
      <c r="W778" s="7">
        <f>W772</f>
        <v>1532</v>
      </c>
      <c r="X778" s="8">
        <f>X772</f>
        <v>783</v>
      </c>
      <c r="Y778" s="9">
        <f t="shared" ref="Y778:Y815" si="479">SUM(W778:X778)</f>
        <v>2315</v>
      </c>
      <c r="Z778" s="9">
        <f t="shared" ref="Z778:Z815" si="480">V778+Y778</f>
        <v>4041</v>
      </c>
    </row>
    <row r="779" spans="1:26" x14ac:dyDescent="0.15">
      <c r="A779" s="10" t="s">
        <v>61</v>
      </c>
      <c r="B779" s="15"/>
      <c r="C779" s="16">
        <v>1</v>
      </c>
      <c r="D779" s="17">
        <f t="shared" si="472"/>
        <v>1</v>
      </c>
      <c r="E779" s="18"/>
      <c r="F779" s="16">
        <v>1</v>
      </c>
      <c r="G779" s="17">
        <f t="shared" si="473"/>
        <v>1</v>
      </c>
      <c r="H779" s="17">
        <f t="shared" si="474"/>
        <v>2</v>
      </c>
      <c r="I779" s="81">
        <v>44832</v>
      </c>
      <c r="J779" s="10" t="s">
        <v>5</v>
      </c>
      <c r="K779" s="11"/>
      <c r="L779" s="12"/>
      <c r="M779" s="13">
        <f t="shared" si="475"/>
        <v>0</v>
      </c>
      <c r="N779" s="62"/>
      <c r="O779" s="12"/>
      <c r="P779" s="13">
        <f t="shared" si="476"/>
        <v>0</v>
      </c>
      <c r="Q779" s="13">
        <f t="shared" si="477"/>
        <v>0</v>
      </c>
      <c r="S779" s="10" t="s">
        <v>5</v>
      </c>
      <c r="T779" s="11"/>
      <c r="U779" s="12"/>
      <c r="V779" s="13">
        <f t="shared" si="478"/>
        <v>0</v>
      </c>
      <c r="W779" s="62"/>
      <c r="X779" s="12"/>
      <c r="Y779" s="13">
        <f t="shared" si="479"/>
        <v>0</v>
      </c>
      <c r="Z779" s="13">
        <f t="shared" si="480"/>
        <v>0</v>
      </c>
    </row>
    <row r="780" spans="1:26" x14ac:dyDescent="0.15">
      <c r="A780" s="10" t="s">
        <v>6</v>
      </c>
      <c r="B780" s="15">
        <v>10</v>
      </c>
      <c r="C780" s="16">
        <v>5</v>
      </c>
      <c r="D780" s="17">
        <f t="shared" ref="D780:D782" si="481">SUM(B780:C780)</f>
        <v>15</v>
      </c>
      <c r="E780" s="18">
        <v>10</v>
      </c>
      <c r="F780" s="16">
        <v>5</v>
      </c>
      <c r="G780" s="17">
        <f t="shared" ref="G780:G782" si="482">SUM(E780:F780)</f>
        <v>15</v>
      </c>
      <c r="H780" s="17">
        <f t="shared" ref="H780:H782" si="483">D780+G780</f>
        <v>30</v>
      </c>
      <c r="I780" s="81">
        <v>44841</v>
      </c>
      <c r="J780" s="10" t="s">
        <v>6</v>
      </c>
      <c r="K780" s="15"/>
      <c r="L780" s="16"/>
      <c r="M780" s="17">
        <f t="shared" si="475"/>
        <v>0</v>
      </c>
      <c r="N780" s="18"/>
      <c r="O780" s="16"/>
      <c r="P780" s="17">
        <f t="shared" si="476"/>
        <v>0</v>
      </c>
      <c r="Q780" s="17">
        <f t="shared" si="477"/>
        <v>0</v>
      </c>
      <c r="R780" s="81"/>
      <c r="S780" s="10" t="s">
        <v>6</v>
      </c>
      <c r="T780" s="15"/>
      <c r="U780" s="16"/>
      <c r="V780" s="17">
        <f t="shared" si="478"/>
        <v>0</v>
      </c>
      <c r="W780" s="18"/>
      <c r="X780" s="16"/>
      <c r="Y780" s="17">
        <f t="shared" si="479"/>
        <v>0</v>
      </c>
      <c r="Z780" s="17">
        <f t="shared" si="480"/>
        <v>0</v>
      </c>
    </row>
    <row r="781" spans="1:26" x14ac:dyDescent="0.15">
      <c r="A781" s="10" t="s">
        <v>7</v>
      </c>
      <c r="B781" s="15">
        <v>10</v>
      </c>
      <c r="C781" s="16">
        <v>10</v>
      </c>
      <c r="D781" s="17">
        <f t="shared" si="481"/>
        <v>20</v>
      </c>
      <c r="E781" s="18">
        <v>10</v>
      </c>
      <c r="F781" s="16">
        <v>5</v>
      </c>
      <c r="G781" s="17">
        <f t="shared" si="482"/>
        <v>15</v>
      </c>
      <c r="H781" s="17">
        <f t="shared" si="483"/>
        <v>35</v>
      </c>
      <c r="I781" s="81">
        <v>44855</v>
      </c>
      <c r="J781" s="10" t="s">
        <v>7</v>
      </c>
      <c r="K781" s="19"/>
      <c r="L781" s="20"/>
      <c r="M781" s="17">
        <f t="shared" si="475"/>
        <v>0</v>
      </c>
      <c r="N781" s="21"/>
      <c r="O781" s="20"/>
      <c r="P781" s="17">
        <f t="shared" si="476"/>
        <v>0</v>
      </c>
      <c r="Q781" s="17">
        <f t="shared" si="477"/>
        <v>0</v>
      </c>
      <c r="R781" s="81"/>
      <c r="S781" s="10" t="s">
        <v>7</v>
      </c>
      <c r="T781" s="19"/>
      <c r="U781" s="20"/>
      <c r="V781" s="17">
        <f t="shared" si="478"/>
        <v>0</v>
      </c>
      <c r="W781" s="21"/>
      <c r="X781" s="20"/>
      <c r="Y781" s="17">
        <f t="shared" si="479"/>
        <v>0</v>
      </c>
      <c r="Z781" s="17">
        <f t="shared" si="480"/>
        <v>0</v>
      </c>
    </row>
    <row r="782" spans="1:26" x14ac:dyDescent="0.15">
      <c r="A782" s="10" t="s">
        <v>8</v>
      </c>
      <c r="B782" s="15">
        <v>5</v>
      </c>
      <c r="C782" s="16">
        <v>10</v>
      </c>
      <c r="D782" s="17">
        <f t="shared" si="481"/>
        <v>15</v>
      </c>
      <c r="E782" s="18">
        <v>15</v>
      </c>
      <c r="F782" s="16">
        <v>10</v>
      </c>
      <c r="G782" s="17">
        <f t="shared" si="482"/>
        <v>25</v>
      </c>
      <c r="H782" s="17">
        <f t="shared" si="483"/>
        <v>40</v>
      </c>
      <c r="I782" s="81">
        <v>44862</v>
      </c>
      <c r="J782" s="10" t="s">
        <v>8</v>
      </c>
      <c r="K782" s="15"/>
      <c r="L782" s="16"/>
      <c r="M782" s="17">
        <f t="shared" si="475"/>
        <v>0</v>
      </c>
      <c r="N782" s="18"/>
      <c r="O782" s="16"/>
      <c r="P782" s="17">
        <f t="shared" si="476"/>
        <v>0</v>
      </c>
      <c r="Q782" s="17">
        <f t="shared" si="477"/>
        <v>0</v>
      </c>
      <c r="R782" s="83"/>
      <c r="S782" s="10" t="s">
        <v>8</v>
      </c>
      <c r="T782" s="15"/>
      <c r="U782" s="16"/>
      <c r="V782" s="17">
        <f t="shared" si="478"/>
        <v>0</v>
      </c>
      <c r="W782" s="18"/>
      <c r="X782" s="16"/>
      <c r="Y782" s="17">
        <f t="shared" si="479"/>
        <v>0</v>
      </c>
      <c r="Z782" s="17">
        <f t="shared" si="480"/>
        <v>0</v>
      </c>
    </row>
    <row r="783" spans="1:26" x14ac:dyDescent="0.15">
      <c r="A783" s="10" t="s">
        <v>9</v>
      </c>
      <c r="B783" s="15"/>
      <c r="C783" s="16"/>
      <c r="D783" s="17">
        <f t="shared" si="472"/>
        <v>0</v>
      </c>
      <c r="E783" s="18"/>
      <c r="F783" s="16"/>
      <c r="G783" s="17">
        <f t="shared" si="473"/>
        <v>0</v>
      </c>
      <c r="H783" s="17">
        <f t="shared" si="474"/>
        <v>0</v>
      </c>
      <c r="I783" s="81"/>
      <c r="J783" s="10" t="s">
        <v>9</v>
      </c>
      <c r="K783" s="15"/>
      <c r="L783" s="16"/>
      <c r="M783" s="17">
        <f t="shared" si="475"/>
        <v>0</v>
      </c>
      <c r="N783" s="18"/>
      <c r="O783" s="16"/>
      <c r="P783" s="17">
        <f t="shared" si="476"/>
        <v>0</v>
      </c>
      <c r="Q783" s="17">
        <f t="shared" si="477"/>
        <v>0</v>
      </c>
      <c r="R783" s="83"/>
      <c r="S783" s="10" t="s">
        <v>9</v>
      </c>
      <c r="T783" s="15"/>
      <c r="U783" s="16"/>
      <c r="V783" s="17">
        <f t="shared" si="478"/>
        <v>0</v>
      </c>
      <c r="W783" s="18"/>
      <c r="X783" s="16"/>
      <c r="Y783" s="17">
        <f t="shared" si="479"/>
        <v>0</v>
      </c>
      <c r="Z783" s="17">
        <f t="shared" si="480"/>
        <v>0</v>
      </c>
    </row>
    <row r="784" spans="1:26" x14ac:dyDescent="0.15">
      <c r="A784" s="10" t="s">
        <v>10</v>
      </c>
      <c r="B784" s="15"/>
      <c r="C784" s="16"/>
      <c r="D784" s="17">
        <f t="shared" si="472"/>
        <v>0</v>
      </c>
      <c r="E784" s="18"/>
      <c r="F784" s="16"/>
      <c r="G784" s="17">
        <f t="shared" si="473"/>
        <v>0</v>
      </c>
      <c r="H784" s="17">
        <f t="shared" si="474"/>
        <v>0</v>
      </c>
      <c r="I784" s="81"/>
      <c r="J784" s="10" t="s">
        <v>10</v>
      </c>
      <c r="K784" s="15"/>
      <c r="L784" s="16"/>
      <c r="M784" s="17">
        <f t="shared" si="475"/>
        <v>0</v>
      </c>
      <c r="N784" s="18"/>
      <c r="O784" s="16"/>
      <c r="P784" s="17">
        <f t="shared" si="476"/>
        <v>0</v>
      </c>
      <c r="Q784" s="17">
        <f t="shared" si="477"/>
        <v>0</v>
      </c>
      <c r="S784" s="10" t="s">
        <v>10</v>
      </c>
      <c r="T784" s="15"/>
      <c r="U784" s="16"/>
      <c r="V784" s="17">
        <f t="shared" si="478"/>
        <v>0</v>
      </c>
      <c r="W784" s="18"/>
      <c r="X784" s="16"/>
      <c r="Y784" s="17">
        <f t="shared" si="479"/>
        <v>0</v>
      </c>
      <c r="Z784" s="17">
        <f t="shared" si="480"/>
        <v>0</v>
      </c>
    </row>
    <row r="785" spans="1:26" x14ac:dyDescent="0.15">
      <c r="A785" s="10" t="s">
        <v>11</v>
      </c>
      <c r="B785" s="23"/>
      <c r="C785" s="24"/>
      <c r="D785" s="17">
        <f t="shared" si="472"/>
        <v>0</v>
      </c>
      <c r="E785" s="25"/>
      <c r="F785" s="24"/>
      <c r="G785" s="17">
        <f t="shared" si="473"/>
        <v>0</v>
      </c>
      <c r="H785" s="17">
        <f t="shared" si="474"/>
        <v>0</v>
      </c>
      <c r="I785" s="81"/>
      <c r="J785" s="10" t="s">
        <v>11</v>
      </c>
      <c r="K785" s="23"/>
      <c r="L785" s="24"/>
      <c r="M785" s="17">
        <f t="shared" si="475"/>
        <v>0</v>
      </c>
      <c r="N785" s="25"/>
      <c r="O785" s="24"/>
      <c r="P785" s="17">
        <f t="shared" si="476"/>
        <v>0</v>
      </c>
      <c r="Q785" s="17">
        <f t="shared" si="477"/>
        <v>0</v>
      </c>
      <c r="S785" s="10" t="s">
        <v>11</v>
      </c>
      <c r="T785" s="23"/>
      <c r="U785" s="24"/>
      <c r="V785" s="17">
        <f t="shared" si="478"/>
        <v>0</v>
      </c>
      <c r="W785" s="25"/>
      <c r="X785" s="24"/>
      <c r="Y785" s="17">
        <f t="shared" si="479"/>
        <v>0</v>
      </c>
      <c r="Z785" s="17">
        <f t="shared" si="480"/>
        <v>0</v>
      </c>
    </row>
    <row r="786" spans="1:26" ht="14.25" thickBot="1" x14ac:dyDescent="0.2">
      <c r="A786" s="10" t="s">
        <v>12</v>
      </c>
      <c r="B786" s="26"/>
      <c r="C786" s="27"/>
      <c r="D786" s="28">
        <f t="shared" si="472"/>
        <v>0</v>
      </c>
      <c r="E786" s="29"/>
      <c r="F786" s="29"/>
      <c r="G786" s="28">
        <f t="shared" si="473"/>
        <v>0</v>
      </c>
      <c r="H786" s="30">
        <f t="shared" si="474"/>
        <v>0</v>
      </c>
      <c r="I786" s="81"/>
      <c r="J786" s="10" t="s">
        <v>12</v>
      </c>
      <c r="K786" s="26"/>
      <c r="L786" s="27"/>
      <c r="M786" s="28">
        <f t="shared" si="475"/>
        <v>0</v>
      </c>
      <c r="N786" s="29"/>
      <c r="O786" s="29"/>
      <c r="P786" s="28">
        <f t="shared" si="476"/>
        <v>0</v>
      </c>
      <c r="Q786" s="30">
        <f t="shared" si="477"/>
        <v>0</v>
      </c>
      <c r="S786" s="10" t="s">
        <v>12</v>
      </c>
      <c r="T786" s="26"/>
      <c r="U786" s="27"/>
      <c r="V786" s="28">
        <f t="shared" si="478"/>
        <v>0</v>
      </c>
      <c r="W786" s="29"/>
      <c r="X786" s="29"/>
      <c r="Y786" s="28">
        <f t="shared" si="479"/>
        <v>0</v>
      </c>
      <c r="Z786" s="30">
        <f t="shared" si="480"/>
        <v>0</v>
      </c>
    </row>
    <row r="787" spans="1:26" ht="14.25" thickBot="1" x14ac:dyDescent="0.2">
      <c r="A787" s="31" t="s">
        <v>13</v>
      </c>
      <c r="B787" s="32">
        <f>SUM(B778:B786)</f>
        <v>45</v>
      </c>
      <c r="C787" s="33">
        <f>SUM(C778:C786)</f>
        <v>44</v>
      </c>
      <c r="D787" s="34">
        <f t="shared" si="472"/>
        <v>89</v>
      </c>
      <c r="E787" s="32">
        <f>SUM(E778:E786)</f>
        <v>56</v>
      </c>
      <c r="F787" s="33">
        <f>SUM(F778:F786)</f>
        <v>42</v>
      </c>
      <c r="G787" s="34">
        <f t="shared" si="473"/>
        <v>98</v>
      </c>
      <c r="H787" s="34">
        <f t="shared" si="474"/>
        <v>187</v>
      </c>
      <c r="J787" s="31" t="s">
        <v>13</v>
      </c>
      <c r="K787" s="32">
        <f>SUM(K778:K786)</f>
        <v>673</v>
      </c>
      <c r="L787" s="33">
        <f>SUM(L778:L786)</f>
        <v>375</v>
      </c>
      <c r="M787" s="34">
        <f t="shared" si="475"/>
        <v>1048</v>
      </c>
      <c r="N787" s="32">
        <f>SUM(N778:N786)</f>
        <v>334</v>
      </c>
      <c r="O787" s="33">
        <f>SUM(O778:O786)</f>
        <v>66</v>
      </c>
      <c r="P787" s="34">
        <f t="shared" si="476"/>
        <v>400</v>
      </c>
      <c r="Q787" s="34">
        <f t="shared" si="477"/>
        <v>1448</v>
      </c>
      <c r="S787" s="31" t="s">
        <v>13</v>
      </c>
      <c r="T787" s="32">
        <f>SUM(T778:T786)</f>
        <v>1011</v>
      </c>
      <c r="U787" s="33">
        <f>SUM(U778:U786)</f>
        <v>715</v>
      </c>
      <c r="V787" s="34">
        <f t="shared" si="478"/>
        <v>1726</v>
      </c>
      <c r="W787" s="32">
        <f>SUM(W778:W786)</f>
        <v>1532</v>
      </c>
      <c r="X787" s="33">
        <f>SUM(X778:X786)</f>
        <v>783</v>
      </c>
      <c r="Y787" s="34">
        <f t="shared" si="479"/>
        <v>2315</v>
      </c>
      <c r="Z787" s="34">
        <f t="shared" si="480"/>
        <v>4041</v>
      </c>
    </row>
    <row r="788" spans="1:26" x14ac:dyDescent="0.15">
      <c r="A788" s="35" t="s">
        <v>33</v>
      </c>
      <c r="B788" s="15"/>
      <c r="C788" s="16">
        <v>1</v>
      </c>
      <c r="D788" s="36">
        <f t="shared" si="472"/>
        <v>1</v>
      </c>
      <c r="E788" s="18">
        <v>2</v>
      </c>
      <c r="F788" s="16">
        <v>1</v>
      </c>
      <c r="G788" s="36">
        <f t="shared" si="473"/>
        <v>3</v>
      </c>
      <c r="H788" s="17">
        <f t="shared" si="474"/>
        <v>4</v>
      </c>
      <c r="I788" s="81">
        <v>44826</v>
      </c>
      <c r="J788" s="35" t="s">
        <v>357</v>
      </c>
      <c r="K788" s="15">
        <v>2</v>
      </c>
      <c r="L788" s="16">
        <v>5</v>
      </c>
      <c r="M788" s="17">
        <f t="shared" ref="M788:M791" si="484">SUM(K788:L788)</f>
        <v>7</v>
      </c>
      <c r="N788" s="18">
        <v>2</v>
      </c>
      <c r="O788" s="16">
        <v>5</v>
      </c>
      <c r="P788" s="17">
        <f t="shared" ref="P788:P791" si="485">SUM(N788:O788)</f>
        <v>7</v>
      </c>
      <c r="Q788" s="17">
        <f t="shared" ref="Q788:Q791" si="486">M788+P788</f>
        <v>14</v>
      </c>
      <c r="R788" s="81">
        <v>44838</v>
      </c>
      <c r="S788" s="52"/>
      <c r="T788" s="64"/>
      <c r="U788" s="65"/>
      <c r="V788" s="36">
        <f t="shared" si="478"/>
        <v>0</v>
      </c>
      <c r="W788" s="66"/>
      <c r="X788" s="65"/>
      <c r="Y788" s="36">
        <f t="shared" si="479"/>
        <v>0</v>
      </c>
      <c r="Z788" s="36">
        <f t="shared" si="480"/>
        <v>0</v>
      </c>
    </row>
    <row r="789" spans="1:26" x14ac:dyDescent="0.15">
      <c r="A789" s="35" t="s">
        <v>352</v>
      </c>
      <c r="B789" s="15">
        <v>1</v>
      </c>
      <c r="C789" s="16">
        <v>1</v>
      </c>
      <c r="D789" s="36">
        <f t="shared" si="472"/>
        <v>2</v>
      </c>
      <c r="E789" s="18">
        <v>1</v>
      </c>
      <c r="F789" s="16">
        <v>1</v>
      </c>
      <c r="G789" s="36">
        <f t="shared" si="473"/>
        <v>2</v>
      </c>
      <c r="H789" s="17">
        <f t="shared" si="474"/>
        <v>4</v>
      </c>
      <c r="I789" s="81">
        <v>44831</v>
      </c>
      <c r="J789" s="52" t="s">
        <v>358</v>
      </c>
      <c r="K789" s="15"/>
      <c r="L789" s="16"/>
      <c r="M789" s="17">
        <f t="shared" si="484"/>
        <v>0</v>
      </c>
      <c r="N789" s="18">
        <v>5</v>
      </c>
      <c r="O789" s="16"/>
      <c r="P789" s="17">
        <f t="shared" si="485"/>
        <v>5</v>
      </c>
      <c r="Q789" s="17">
        <f t="shared" si="486"/>
        <v>5</v>
      </c>
      <c r="R789" s="81">
        <v>44846</v>
      </c>
      <c r="S789" s="10"/>
      <c r="T789" s="15"/>
      <c r="U789" s="16"/>
      <c r="V789" s="36">
        <f t="shared" si="478"/>
        <v>0</v>
      </c>
      <c r="W789" s="18"/>
      <c r="X789" s="16"/>
      <c r="Y789" s="36">
        <f t="shared" si="479"/>
        <v>0</v>
      </c>
      <c r="Z789" s="17">
        <f t="shared" si="480"/>
        <v>0</v>
      </c>
    </row>
    <row r="790" spans="1:26" x14ac:dyDescent="0.15">
      <c r="A790" s="35" t="s">
        <v>33</v>
      </c>
      <c r="B790" s="15">
        <f>2+2</f>
        <v>4</v>
      </c>
      <c r="C790" s="16"/>
      <c r="D790" s="36">
        <f t="shared" si="472"/>
        <v>4</v>
      </c>
      <c r="E790" s="18">
        <f>1+2</f>
        <v>3</v>
      </c>
      <c r="F790" s="16"/>
      <c r="G790" s="36">
        <f t="shared" si="473"/>
        <v>3</v>
      </c>
      <c r="H790" s="17">
        <f t="shared" si="474"/>
        <v>7</v>
      </c>
      <c r="I790" s="81">
        <v>44830</v>
      </c>
      <c r="J790" s="73" t="s">
        <v>359</v>
      </c>
      <c r="K790" s="15">
        <v>10</v>
      </c>
      <c r="L790" s="16">
        <v>5</v>
      </c>
      <c r="M790" s="17">
        <f t="shared" si="484"/>
        <v>15</v>
      </c>
      <c r="N790" s="18">
        <v>10</v>
      </c>
      <c r="O790" s="16">
        <v>5</v>
      </c>
      <c r="P790" s="17">
        <f t="shared" si="485"/>
        <v>15</v>
      </c>
      <c r="Q790" s="17">
        <f t="shared" si="486"/>
        <v>30</v>
      </c>
      <c r="R790" s="81">
        <v>44841</v>
      </c>
      <c r="S790" s="10"/>
      <c r="T790" s="19"/>
      <c r="U790" s="20"/>
      <c r="V790" s="17">
        <f t="shared" si="478"/>
        <v>0</v>
      </c>
      <c r="W790" s="21"/>
      <c r="X790" s="20"/>
      <c r="Y790" s="17">
        <f t="shared" si="479"/>
        <v>0</v>
      </c>
      <c r="Z790" s="17">
        <f t="shared" si="480"/>
        <v>0</v>
      </c>
    </row>
    <row r="791" spans="1:26" x14ac:dyDescent="0.15">
      <c r="A791" s="35" t="s">
        <v>353</v>
      </c>
      <c r="B791" s="15">
        <v>2</v>
      </c>
      <c r="C791" s="16"/>
      <c r="D791" s="36">
        <f t="shared" si="472"/>
        <v>2</v>
      </c>
      <c r="E791" s="18">
        <v>2</v>
      </c>
      <c r="F791" s="16"/>
      <c r="G791" s="36">
        <f t="shared" si="473"/>
        <v>2</v>
      </c>
      <c r="H791" s="17">
        <f t="shared" si="474"/>
        <v>4</v>
      </c>
      <c r="I791" s="81">
        <v>44832</v>
      </c>
      <c r="J791" s="35" t="s">
        <v>363</v>
      </c>
      <c r="K791" s="15"/>
      <c r="L791" s="16">
        <v>1</v>
      </c>
      <c r="M791" s="17">
        <f t="shared" si="484"/>
        <v>1</v>
      </c>
      <c r="N791" s="18"/>
      <c r="O791" s="16">
        <v>1</v>
      </c>
      <c r="P791" s="17">
        <f t="shared" si="485"/>
        <v>1</v>
      </c>
      <c r="Q791" s="17">
        <f t="shared" si="486"/>
        <v>2</v>
      </c>
      <c r="R791" s="81">
        <v>44848</v>
      </c>
      <c r="S791" s="52"/>
      <c r="T791" s="15"/>
      <c r="U791" s="16"/>
      <c r="V791" s="17">
        <f t="shared" si="478"/>
        <v>0</v>
      </c>
      <c r="W791" s="18"/>
      <c r="X791" s="16"/>
      <c r="Y791" s="17">
        <f t="shared" si="479"/>
        <v>0</v>
      </c>
      <c r="Z791" s="17">
        <f t="shared" si="480"/>
        <v>0</v>
      </c>
    </row>
    <row r="792" spans="1:26" x14ac:dyDescent="0.15">
      <c r="A792" s="35" t="s">
        <v>356</v>
      </c>
      <c r="B792" s="15">
        <v>1</v>
      </c>
      <c r="C792" s="16">
        <v>1</v>
      </c>
      <c r="D792" s="36">
        <f t="shared" si="472"/>
        <v>2</v>
      </c>
      <c r="E792" s="18">
        <v>1</v>
      </c>
      <c r="F792" s="16">
        <v>1</v>
      </c>
      <c r="G792" s="36">
        <f t="shared" si="473"/>
        <v>2</v>
      </c>
      <c r="H792" s="17">
        <f t="shared" si="474"/>
        <v>4</v>
      </c>
      <c r="I792" s="81">
        <v>44834</v>
      </c>
      <c r="J792" s="35" t="s">
        <v>365</v>
      </c>
      <c r="K792" s="15">
        <v>7</v>
      </c>
      <c r="L792" s="16">
        <v>3</v>
      </c>
      <c r="M792" s="17">
        <f t="shared" si="475"/>
        <v>10</v>
      </c>
      <c r="N792" s="18">
        <v>7</v>
      </c>
      <c r="O792" s="16">
        <v>3</v>
      </c>
      <c r="P792" s="17">
        <f t="shared" si="476"/>
        <v>10</v>
      </c>
      <c r="Q792" s="17">
        <f t="shared" si="477"/>
        <v>20</v>
      </c>
      <c r="R792" s="81">
        <v>44851</v>
      </c>
      <c r="S792" s="10"/>
      <c r="T792" s="15"/>
      <c r="U792" s="16"/>
      <c r="V792" s="17">
        <f t="shared" si="478"/>
        <v>0</v>
      </c>
      <c r="W792" s="18"/>
      <c r="X792" s="16"/>
      <c r="Y792" s="17">
        <f t="shared" si="479"/>
        <v>0</v>
      </c>
      <c r="Z792" s="17">
        <f t="shared" si="480"/>
        <v>0</v>
      </c>
    </row>
    <row r="793" spans="1:26" x14ac:dyDescent="0.15">
      <c r="A793" s="35" t="s">
        <v>33</v>
      </c>
      <c r="B793" s="15">
        <v>1</v>
      </c>
      <c r="C793" s="16"/>
      <c r="D793" s="36">
        <f t="shared" si="472"/>
        <v>1</v>
      </c>
      <c r="E793" s="18"/>
      <c r="F793" s="16"/>
      <c r="G793" s="36">
        <f t="shared" si="473"/>
        <v>0</v>
      </c>
      <c r="H793" s="17">
        <f t="shared" si="474"/>
        <v>1</v>
      </c>
      <c r="I793" s="81">
        <v>44833</v>
      </c>
      <c r="J793" s="35" t="s">
        <v>367</v>
      </c>
      <c r="K793" s="15"/>
      <c r="L793" s="16">
        <v>1</v>
      </c>
      <c r="M793" s="36">
        <f t="shared" si="475"/>
        <v>1</v>
      </c>
      <c r="N793" s="18"/>
      <c r="O793" s="16">
        <v>1</v>
      </c>
      <c r="P793" s="36">
        <f t="shared" si="476"/>
        <v>1</v>
      </c>
      <c r="Q793" s="17">
        <f t="shared" si="477"/>
        <v>2</v>
      </c>
      <c r="R793" s="81">
        <v>44853</v>
      </c>
      <c r="S793" s="10"/>
      <c r="T793" s="15"/>
      <c r="U793" s="16"/>
      <c r="V793" s="36">
        <f t="shared" si="478"/>
        <v>0</v>
      </c>
      <c r="W793" s="18"/>
      <c r="X793" s="16"/>
      <c r="Y793" s="36">
        <f t="shared" si="479"/>
        <v>0</v>
      </c>
      <c r="Z793" s="17">
        <f t="shared" si="480"/>
        <v>0</v>
      </c>
    </row>
    <row r="794" spans="1:26" x14ac:dyDescent="0.15">
      <c r="A794" s="35" t="s">
        <v>33</v>
      </c>
      <c r="B794" s="15">
        <v>1</v>
      </c>
      <c r="C794" s="16"/>
      <c r="D794" s="36">
        <f t="shared" si="472"/>
        <v>1</v>
      </c>
      <c r="E794" s="18">
        <v>2</v>
      </c>
      <c r="F794" s="16">
        <v>2</v>
      </c>
      <c r="G794" s="36">
        <f t="shared" si="473"/>
        <v>4</v>
      </c>
      <c r="H794" s="17">
        <f t="shared" si="474"/>
        <v>5</v>
      </c>
      <c r="I794" s="81">
        <v>44837</v>
      </c>
      <c r="J794" s="73" t="s">
        <v>91</v>
      </c>
      <c r="K794" s="15">
        <v>10</v>
      </c>
      <c r="L794" s="16">
        <v>10</v>
      </c>
      <c r="M794" s="36">
        <f t="shared" si="475"/>
        <v>20</v>
      </c>
      <c r="N794" s="18">
        <v>10</v>
      </c>
      <c r="O794" s="16">
        <v>5</v>
      </c>
      <c r="P794" s="36">
        <f t="shared" si="476"/>
        <v>15</v>
      </c>
      <c r="Q794" s="17">
        <f t="shared" si="477"/>
        <v>35</v>
      </c>
      <c r="R794" s="81">
        <v>44855</v>
      </c>
      <c r="S794" s="10"/>
      <c r="T794" s="15"/>
      <c r="U794" s="16"/>
      <c r="V794" s="36">
        <f t="shared" si="478"/>
        <v>0</v>
      </c>
      <c r="W794" s="18"/>
      <c r="X794" s="16"/>
      <c r="Y794" s="36">
        <f t="shared" si="479"/>
        <v>0</v>
      </c>
      <c r="Z794" s="17">
        <f t="shared" si="480"/>
        <v>0</v>
      </c>
    </row>
    <row r="795" spans="1:26" x14ac:dyDescent="0.15">
      <c r="A795" s="35" t="s">
        <v>33</v>
      </c>
      <c r="B795" s="15">
        <v>1</v>
      </c>
      <c r="C795" s="16"/>
      <c r="D795" s="36">
        <f t="shared" si="472"/>
        <v>1</v>
      </c>
      <c r="E795" s="18">
        <v>2</v>
      </c>
      <c r="F795" s="16"/>
      <c r="G795" s="36">
        <f t="shared" si="473"/>
        <v>2</v>
      </c>
      <c r="H795" s="17">
        <f t="shared" si="474"/>
        <v>3</v>
      </c>
      <c r="I795" s="81">
        <v>44840</v>
      </c>
      <c r="J795" s="35" t="s">
        <v>372</v>
      </c>
      <c r="K795" s="19">
        <v>3</v>
      </c>
      <c r="L795" s="20"/>
      <c r="M795" s="17">
        <f t="shared" si="475"/>
        <v>3</v>
      </c>
      <c r="N795" s="21">
        <v>3</v>
      </c>
      <c r="O795" s="20"/>
      <c r="P795" s="17">
        <f t="shared" si="476"/>
        <v>3</v>
      </c>
      <c r="Q795" s="17">
        <f t="shared" si="477"/>
        <v>6</v>
      </c>
      <c r="R795" s="81">
        <v>44861</v>
      </c>
      <c r="S795" s="52"/>
      <c r="T795" s="15"/>
      <c r="U795" s="16"/>
      <c r="V795" s="36">
        <f t="shared" si="478"/>
        <v>0</v>
      </c>
      <c r="W795" s="18"/>
      <c r="X795" s="16"/>
      <c r="Y795" s="36">
        <f t="shared" si="479"/>
        <v>0</v>
      </c>
      <c r="Z795" s="17">
        <f t="shared" si="480"/>
        <v>0</v>
      </c>
    </row>
    <row r="796" spans="1:26" x14ac:dyDescent="0.15">
      <c r="A796" s="35" t="s">
        <v>33</v>
      </c>
      <c r="B796" s="15">
        <v>2</v>
      </c>
      <c r="C796" s="16">
        <v>2</v>
      </c>
      <c r="D796" s="36">
        <f t="shared" si="472"/>
        <v>4</v>
      </c>
      <c r="E796" s="18">
        <f>1+3</f>
        <v>4</v>
      </c>
      <c r="F796" s="16"/>
      <c r="G796" s="36">
        <f t="shared" si="473"/>
        <v>4</v>
      </c>
      <c r="H796" s="17">
        <f t="shared" si="474"/>
        <v>8</v>
      </c>
      <c r="I796" s="81">
        <v>44845</v>
      </c>
      <c r="J796" s="73" t="s">
        <v>91</v>
      </c>
      <c r="K796" s="19">
        <v>5</v>
      </c>
      <c r="L796" s="20">
        <v>10</v>
      </c>
      <c r="M796" s="17">
        <f t="shared" si="475"/>
        <v>15</v>
      </c>
      <c r="N796" s="21">
        <v>15</v>
      </c>
      <c r="O796" s="20">
        <v>10</v>
      </c>
      <c r="P796" s="17">
        <f t="shared" si="476"/>
        <v>25</v>
      </c>
      <c r="Q796" s="17">
        <f t="shared" si="477"/>
        <v>40</v>
      </c>
      <c r="R796" s="81">
        <v>44862</v>
      </c>
      <c r="S796" s="10"/>
      <c r="T796" s="19"/>
      <c r="U796" s="20"/>
      <c r="V796" s="17">
        <f t="shared" si="478"/>
        <v>0</v>
      </c>
      <c r="W796" s="21"/>
      <c r="X796" s="20"/>
      <c r="Y796" s="17">
        <f t="shared" si="479"/>
        <v>0</v>
      </c>
      <c r="Z796" s="17">
        <f t="shared" si="480"/>
        <v>0</v>
      </c>
    </row>
    <row r="797" spans="1:26" x14ac:dyDescent="0.15">
      <c r="A797" s="35" t="s">
        <v>362</v>
      </c>
      <c r="B797" s="15">
        <v>1</v>
      </c>
      <c r="C797" s="16">
        <v>6</v>
      </c>
      <c r="D797" s="36">
        <f t="shared" si="472"/>
        <v>7</v>
      </c>
      <c r="E797" s="18">
        <v>1</v>
      </c>
      <c r="F797" s="16">
        <v>6</v>
      </c>
      <c r="G797" s="36">
        <f t="shared" si="473"/>
        <v>7</v>
      </c>
      <c r="H797" s="17">
        <f t="shared" si="474"/>
        <v>14</v>
      </c>
      <c r="I797" s="81">
        <v>44847</v>
      </c>
      <c r="J797" s="52"/>
      <c r="K797" s="23"/>
      <c r="L797" s="24"/>
      <c r="M797" s="36">
        <f t="shared" si="475"/>
        <v>0</v>
      </c>
      <c r="N797" s="25"/>
      <c r="O797" s="24"/>
      <c r="P797" s="36">
        <f t="shared" si="476"/>
        <v>0</v>
      </c>
      <c r="Q797" s="17">
        <f t="shared" si="477"/>
        <v>0</v>
      </c>
      <c r="R797" s="81"/>
      <c r="S797" s="35"/>
      <c r="T797" s="23"/>
      <c r="U797" s="24"/>
      <c r="V797" s="36">
        <f t="shared" si="478"/>
        <v>0</v>
      </c>
      <c r="W797" s="25"/>
      <c r="X797" s="24"/>
      <c r="Y797" s="36">
        <f t="shared" si="479"/>
        <v>0</v>
      </c>
      <c r="Z797" s="17">
        <f t="shared" si="480"/>
        <v>0</v>
      </c>
    </row>
    <row r="798" spans="1:26" x14ac:dyDescent="0.15">
      <c r="A798" s="35" t="s">
        <v>364</v>
      </c>
      <c r="B798" s="15">
        <v>1</v>
      </c>
      <c r="C798" s="16"/>
      <c r="D798" s="36">
        <f t="shared" si="472"/>
        <v>1</v>
      </c>
      <c r="E798" s="18">
        <v>1</v>
      </c>
      <c r="F798" s="16"/>
      <c r="G798" s="36">
        <f t="shared" si="473"/>
        <v>1</v>
      </c>
      <c r="H798" s="17">
        <f t="shared" si="474"/>
        <v>2</v>
      </c>
      <c r="I798" s="81">
        <v>44851</v>
      </c>
      <c r="J798" s="52"/>
      <c r="K798" s="15"/>
      <c r="L798" s="16"/>
      <c r="M798" s="36">
        <f t="shared" si="475"/>
        <v>0</v>
      </c>
      <c r="N798" s="18"/>
      <c r="O798" s="16"/>
      <c r="P798" s="36">
        <f t="shared" si="476"/>
        <v>0</v>
      </c>
      <c r="Q798" s="17">
        <f t="shared" si="477"/>
        <v>0</v>
      </c>
      <c r="R798" s="81"/>
      <c r="S798" s="35"/>
      <c r="T798" s="15"/>
      <c r="U798" s="16"/>
      <c r="V798" s="36">
        <f t="shared" si="478"/>
        <v>0</v>
      </c>
      <c r="W798" s="18"/>
      <c r="X798" s="16"/>
      <c r="Y798" s="36">
        <f t="shared" si="479"/>
        <v>0</v>
      </c>
      <c r="Z798" s="17">
        <f t="shared" si="480"/>
        <v>0</v>
      </c>
    </row>
    <row r="799" spans="1:26" x14ac:dyDescent="0.15">
      <c r="A799" s="35" t="s">
        <v>33</v>
      </c>
      <c r="B799" s="15"/>
      <c r="C799" s="16"/>
      <c r="D799" s="36">
        <f t="shared" si="472"/>
        <v>0</v>
      </c>
      <c r="E799" s="18">
        <v>1</v>
      </c>
      <c r="F799" s="16"/>
      <c r="G799" s="36">
        <f t="shared" si="473"/>
        <v>1</v>
      </c>
      <c r="H799" s="17">
        <f t="shared" si="474"/>
        <v>1</v>
      </c>
      <c r="I799" s="81">
        <v>44848</v>
      </c>
      <c r="J799" s="52"/>
      <c r="K799" s="15"/>
      <c r="L799" s="16"/>
      <c r="M799" s="36">
        <f t="shared" si="475"/>
        <v>0</v>
      </c>
      <c r="N799" s="18"/>
      <c r="O799" s="16"/>
      <c r="P799" s="36">
        <f t="shared" si="476"/>
        <v>0</v>
      </c>
      <c r="Q799" s="17">
        <f t="shared" si="477"/>
        <v>0</v>
      </c>
      <c r="R799" s="81"/>
      <c r="S799" s="35"/>
      <c r="T799" s="15"/>
      <c r="U799" s="16"/>
      <c r="V799" s="36">
        <f t="shared" si="478"/>
        <v>0</v>
      </c>
      <c r="W799" s="18"/>
      <c r="X799" s="16"/>
      <c r="Y799" s="36">
        <f t="shared" si="479"/>
        <v>0</v>
      </c>
      <c r="Z799" s="17">
        <f t="shared" si="480"/>
        <v>0</v>
      </c>
    </row>
    <row r="800" spans="1:26" x14ac:dyDescent="0.15">
      <c r="A800" s="35" t="s">
        <v>366</v>
      </c>
      <c r="B800" s="15">
        <v>2</v>
      </c>
      <c r="C800" s="16">
        <v>3</v>
      </c>
      <c r="D800" s="36">
        <f t="shared" si="472"/>
        <v>5</v>
      </c>
      <c r="E800" s="18">
        <v>2</v>
      </c>
      <c r="F800" s="16">
        <v>3</v>
      </c>
      <c r="G800" s="36">
        <f t="shared" si="473"/>
        <v>5</v>
      </c>
      <c r="H800" s="17">
        <f t="shared" si="474"/>
        <v>10</v>
      </c>
      <c r="I800" s="81">
        <v>44852</v>
      </c>
      <c r="J800" s="35"/>
      <c r="K800" s="15"/>
      <c r="L800" s="16"/>
      <c r="M800" s="36">
        <f t="shared" si="475"/>
        <v>0</v>
      </c>
      <c r="N800" s="18"/>
      <c r="O800" s="16"/>
      <c r="P800" s="36">
        <f t="shared" si="476"/>
        <v>0</v>
      </c>
      <c r="Q800" s="17">
        <f t="shared" si="477"/>
        <v>0</v>
      </c>
      <c r="R800" s="81"/>
      <c r="S800" s="35"/>
      <c r="T800" s="15"/>
      <c r="U800" s="16"/>
      <c r="V800" s="36">
        <f t="shared" si="478"/>
        <v>0</v>
      </c>
      <c r="W800" s="18"/>
      <c r="X800" s="16"/>
      <c r="Y800" s="36">
        <f t="shared" si="479"/>
        <v>0</v>
      </c>
      <c r="Z800" s="17">
        <f t="shared" si="480"/>
        <v>0</v>
      </c>
    </row>
    <row r="801" spans="1:26" x14ac:dyDescent="0.15">
      <c r="A801" s="35" t="s">
        <v>33</v>
      </c>
      <c r="B801" s="15">
        <v>1</v>
      </c>
      <c r="C801" s="16"/>
      <c r="D801" s="36">
        <f t="shared" si="472"/>
        <v>1</v>
      </c>
      <c r="E801" s="18"/>
      <c r="F801" s="16"/>
      <c r="G801" s="36">
        <f t="shared" si="473"/>
        <v>0</v>
      </c>
      <c r="H801" s="17">
        <f t="shared" si="474"/>
        <v>1</v>
      </c>
      <c r="I801" s="81">
        <v>44851</v>
      </c>
      <c r="J801" s="35"/>
      <c r="K801" s="15"/>
      <c r="L801" s="16"/>
      <c r="M801" s="17">
        <f t="shared" si="475"/>
        <v>0</v>
      </c>
      <c r="N801" s="18"/>
      <c r="O801" s="16"/>
      <c r="P801" s="17">
        <f t="shared" si="476"/>
        <v>0</v>
      </c>
      <c r="Q801" s="17">
        <f t="shared" si="477"/>
        <v>0</v>
      </c>
      <c r="R801" s="81"/>
      <c r="S801" s="10"/>
      <c r="T801" s="15"/>
      <c r="U801" s="16"/>
      <c r="V801" s="17">
        <f t="shared" si="478"/>
        <v>0</v>
      </c>
      <c r="W801" s="18"/>
      <c r="X801" s="16"/>
      <c r="Y801" s="17">
        <f t="shared" si="479"/>
        <v>0</v>
      </c>
      <c r="Z801" s="17">
        <f t="shared" si="480"/>
        <v>0</v>
      </c>
    </row>
    <row r="802" spans="1:26" x14ac:dyDescent="0.15">
      <c r="A802" s="35" t="s">
        <v>368</v>
      </c>
      <c r="B802" s="15"/>
      <c r="C802" s="16">
        <v>2</v>
      </c>
      <c r="D802" s="36">
        <f t="shared" si="472"/>
        <v>2</v>
      </c>
      <c r="E802" s="18"/>
      <c r="F802" s="16">
        <v>2</v>
      </c>
      <c r="G802" s="36">
        <f t="shared" si="473"/>
        <v>2</v>
      </c>
      <c r="H802" s="17">
        <f t="shared" si="474"/>
        <v>4</v>
      </c>
      <c r="I802" s="81">
        <v>44854</v>
      </c>
      <c r="J802" s="52"/>
      <c r="K802" s="15"/>
      <c r="L802" s="16"/>
      <c r="M802" s="17">
        <f t="shared" si="475"/>
        <v>0</v>
      </c>
      <c r="N802" s="18"/>
      <c r="O802" s="16"/>
      <c r="P802" s="17">
        <f t="shared" si="476"/>
        <v>0</v>
      </c>
      <c r="Q802" s="17">
        <f t="shared" si="477"/>
        <v>0</v>
      </c>
      <c r="R802" s="81"/>
      <c r="S802" s="35"/>
      <c r="T802" s="15"/>
      <c r="U802" s="16"/>
      <c r="V802" s="36">
        <f t="shared" si="478"/>
        <v>0</v>
      </c>
      <c r="W802" s="18"/>
      <c r="X802" s="16"/>
      <c r="Y802" s="36">
        <f t="shared" si="479"/>
        <v>0</v>
      </c>
      <c r="Z802" s="17">
        <f t="shared" si="480"/>
        <v>0</v>
      </c>
    </row>
    <row r="803" spans="1:26" x14ac:dyDescent="0.15">
      <c r="A803" s="35" t="s">
        <v>369</v>
      </c>
      <c r="B803" s="15">
        <v>1</v>
      </c>
      <c r="C803" s="16"/>
      <c r="D803" s="36">
        <f t="shared" si="472"/>
        <v>1</v>
      </c>
      <c r="E803" s="18">
        <v>1</v>
      </c>
      <c r="F803" s="16"/>
      <c r="G803" s="36">
        <f t="shared" si="473"/>
        <v>1</v>
      </c>
      <c r="H803" s="17">
        <f t="shared" si="474"/>
        <v>2</v>
      </c>
      <c r="I803" s="81">
        <v>44855</v>
      </c>
      <c r="J803" s="35"/>
      <c r="K803" s="15"/>
      <c r="L803" s="16"/>
      <c r="M803" s="36">
        <f t="shared" si="475"/>
        <v>0</v>
      </c>
      <c r="N803" s="18"/>
      <c r="O803" s="16"/>
      <c r="P803" s="36">
        <f t="shared" si="476"/>
        <v>0</v>
      </c>
      <c r="Q803" s="17">
        <f t="shared" si="477"/>
        <v>0</v>
      </c>
      <c r="R803" s="81"/>
      <c r="S803" s="37"/>
      <c r="T803" s="15"/>
      <c r="U803" s="16"/>
      <c r="V803" s="36">
        <f t="shared" si="478"/>
        <v>0</v>
      </c>
      <c r="W803" s="18"/>
      <c r="X803" s="16"/>
      <c r="Y803" s="36">
        <f t="shared" si="479"/>
        <v>0</v>
      </c>
      <c r="Z803" s="17">
        <f t="shared" si="480"/>
        <v>0</v>
      </c>
    </row>
    <row r="804" spans="1:26" x14ac:dyDescent="0.15">
      <c r="A804" s="35" t="s">
        <v>33</v>
      </c>
      <c r="B804" s="15">
        <v>1</v>
      </c>
      <c r="C804" s="16"/>
      <c r="D804" s="36">
        <f t="shared" si="472"/>
        <v>1</v>
      </c>
      <c r="E804" s="18">
        <v>1</v>
      </c>
      <c r="F804" s="16"/>
      <c r="G804" s="36">
        <f t="shared" si="473"/>
        <v>1</v>
      </c>
      <c r="H804" s="17">
        <f t="shared" si="474"/>
        <v>2</v>
      </c>
      <c r="I804" s="81">
        <v>44854</v>
      </c>
      <c r="J804" s="35"/>
      <c r="K804" s="15"/>
      <c r="L804" s="16"/>
      <c r="M804" s="36">
        <f t="shared" si="475"/>
        <v>0</v>
      </c>
      <c r="N804" s="18"/>
      <c r="O804" s="16"/>
      <c r="P804" s="36">
        <f t="shared" si="476"/>
        <v>0</v>
      </c>
      <c r="Q804" s="17">
        <f t="shared" si="477"/>
        <v>0</v>
      </c>
      <c r="R804" s="81"/>
      <c r="S804" s="37"/>
      <c r="T804" s="15"/>
      <c r="U804" s="16"/>
      <c r="V804" s="36">
        <f t="shared" si="478"/>
        <v>0</v>
      </c>
      <c r="W804" s="18"/>
      <c r="X804" s="16"/>
      <c r="Y804" s="36">
        <f t="shared" si="479"/>
        <v>0</v>
      </c>
      <c r="Z804" s="17">
        <f t="shared" si="480"/>
        <v>0</v>
      </c>
    </row>
    <row r="805" spans="1:26" x14ac:dyDescent="0.15">
      <c r="A805" s="35" t="s">
        <v>33</v>
      </c>
      <c r="B805" s="15">
        <v>1</v>
      </c>
      <c r="C805" s="16"/>
      <c r="D805" s="36">
        <f t="shared" si="472"/>
        <v>1</v>
      </c>
      <c r="E805" s="18">
        <v>3</v>
      </c>
      <c r="F805" s="16"/>
      <c r="G805" s="36">
        <f t="shared" si="473"/>
        <v>3</v>
      </c>
      <c r="H805" s="17">
        <f t="shared" si="474"/>
        <v>4</v>
      </c>
      <c r="I805" s="81">
        <v>44855</v>
      </c>
      <c r="J805" s="52"/>
      <c r="K805" s="15"/>
      <c r="L805" s="16"/>
      <c r="M805" s="36">
        <f t="shared" si="475"/>
        <v>0</v>
      </c>
      <c r="N805" s="18"/>
      <c r="O805" s="16"/>
      <c r="P805" s="36">
        <f t="shared" si="476"/>
        <v>0</v>
      </c>
      <c r="Q805" s="17">
        <f t="shared" si="477"/>
        <v>0</v>
      </c>
      <c r="R805" s="81"/>
      <c r="S805" s="35"/>
      <c r="T805" s="15"/>
      <c r="U805" s="16"/>
      <c r="V805" s="36">
        <f t="shared" si="478"/>
        <v>0</v>
      </c>
      <c r="W805" s="18"/>
      <c r="X805" s="16"/>
      <c r="Y805" s="36">
        <f t="shared" si="479"/>
        <v>0</v>
      </c>
      <c r="Z805" s="17">
        <f t="shared" si="480"/>
        <v>0</v>
      </c>
    </row>
    <row r="806" spans="1:26" x14ac:dyDescent="0.15">
      <c r="A806" s="35" t="s">
        <v>33</v>
      </c>
      <c r="B806" s="15"/>
      <c r="C806" s="16">
        <v>2</v>
      </c>
      <c r="D806" s="36">
        <f t="shared" si="472"/>
        <v>2</v>
      </c>
      <c r="E806" s="18"/>
      <c r="F806" s="16">
        <v>2</v>
      </c>
      <c r="G806" s="36">
        <f t="shared" si="473"/>
        <v>2</v>
      </c>
      <c r="H806" s="17">
        <f t="shared" si="474"/>
        <v>4</v>
      </c>
      <c r="I806" s="81">
        <v>44858</v>
      </c>
      <c r="J806" s="35"/>
      <c r="K806" s="15"/>
      <c r="L806" s="16"/>
      <c r="M806" s="36">
        <f t="shared" si="475"/>
        <v>0</v>
      </c>
      <c r="N806" s="18"/>
      <c r="O806" s="16"/>
      <c r="P806" s="36">
        <f t="shared" si="476"/>
        <v>0</v>
      </c>
      <c r="Q806" s="17">
        <f t="shared" si="477"/>
        <v>0</v>
      </c>
      <c r="R806" s="81"/>
      <c r="S806" s="38"/>
      <c r="T806" s="15"/>
      <c r="U806" s="16"/>
      <c r="V806" s="36">
        <f t="shared" si="478"/>
        <v>0</v>
      </c>
      <c r="W806" s="18"/>
      <c r="X806" s="16"/>
      <c r="Y806" s="36">
        <f t="shared" si="479"/>
        <v>0</v>
      </c>
      <c r="Z806" s="17">
        <f t="shared" si="480"/>
        <v>0</v>
      </c>
    </row>
    <row r="807" spans="1:26" x14ac:dyDescent="0.15">
      <c r="A807" s="35" t="s">
        <v>33</v>
      </c>
      <c r="B807" s="15"/>
      <c r="C807" s="16"/>
      <c r="D807" s="36">
        <f t="shared" si="472"/>
        <v>0</v>
      </c>
      <c r="E807" s="18">
        <v>1</v>
      </c>
      <c r="F807" s="16">
        <v>2</v>
      </c>
      <c r="G807" s="36">
        <f t="shared" si="473"/>
        <v>3</v>
      </c>
      <c r="H807" s="17">
        <f t="shared" si="474"/>
        <v>3</v>
      </c>
      <c r="I807" s="81">
        <v>44860</v>
      </c>
      <c r="J807" s="35"/>
      <c r="K807" s="15"/>
      <c r="L807" s="16"/>
      <c r="M807" s="36">
        <f t="shared" si="475"/>
        <v>0</v>
      </c>
      <c r="N807" s="18"/>
      <c r="O807" s="16"/>
      <c r="P807" s="36">
        <f t="shared" si="476"/>
        <v>0</v>
      </c>
      <c r="Q807" s="17">
        <f t="shared" si="477"/>
        <v>0</v>
      </c>
      <c r="S807" s="35"/>
      <c r="T807" s="15"/>
      <c r="U807" s="16"/>
      <c r="V807" s="36">
        <f t="shared" si="478"/>
        <v>0</v>
      </c>
      <c r="W807" s="18"/>
      <c r="X807" s="16"/>
      <c r="Y807" s="36">
        <f t="shared" si="479"/>
        <v>0</v>
      </c>
      <c r="Z807" s="17">
        <f t="shared" si="480"/>
        <v>0</v>
      </c>
    </row>
    <row r="808" spans="1:26" x14ac:dyDescent="0.15">
      <c r="A808" s="35" t="s">
        <v>373</v>
      </c>
      <c r="B808" s="15">
        <v>3</v>
      </c>
      <c r="C808" s="16">
        <v>4</v>
      </c>
      <c r="D808" s="36">
        <f t="shared" si="472"/>
        <v>7</v>
      </c>
      <c r="E808" s="18">
        <v>3</v>
      </c>
      <c r="F808" s="16">
        <v>4</v>
      </c>
      <c r="G808" s="36">
        <f t="shared" si="473"/>
        <v>7</v>
      </c>
      <c r="H808" s="17">
        <f t="shared" si="474"/>
        <v>14</v>
      </c>
      <c r="I808" s="81">
        <v>44862</v>
      </c>
      <c r="J808" s="38"/>
      <c r="K808" s="15"/>
      <c r="L808" s="16"/>
      <c r="M808" s="36">
        <f t="shared" si="475"/>
        <v>0</v>
      </c>
      <c r="N808" s="18"/>
      <c r="O808" s="16"/>
      <c r="P808" s="36">
        <f t="shared" si="476"/>
        <v>0</v>
      </c>
      <c r="Q808" s="17">
        <f t="shared" si="477"/>
        <v>0</v>
      </c>
      <c r="R808" s="83"/>
      <c r="S808" s="38"/>
      <c r="T808" s="15"/>
      <c r="U808" s="16"/>
      <c r="V808" s="36">
        <f t="shared" si="478"/>
        <v>0</v>
      </c>
      <c r="W808" s="18"/>
      <c r="X808" s="16"/>
      <c r="Y808" s="36">
        <f t="shared" si="479"/>
        <v>0</v>
      </c>
      <c r="Z808" s="17">
        <f t="shared" si="480"/>
        <v>0</v>
      </c>
    </row>
    <row r="809" spans="1:26" x14ac:dyDescent="0.15">
      <c r="A809" s="35" t="s">
        <v>33</v>
      </c>
      <c r="B809" s="15"/>
      <c r="C809" s="16"/>
      <c r="D809" s="36">
        <f t="shared" si="472"/>
        <v>0</v>
      </c>
      <c r="E809" s="18">
        <v>6</v>
      </c>
      <c r="F809" s="16"/>
      <c r="G809" s="36">
        <f t="shared" si="473"/>
        <v>6</v>
      </c>
      <c r="H809" s="17">
        <f t="shared" si="474"/>
        <v>6</v>
      </c>
      <c r="I809" s="81">
        <v>44861</v>
      </c>
      <c r="J809" s="35"/>
      <c r="K809" s="15"/>
      <c r="L809" s="16"/>
      <c r="M809" s="36">
        <f t="shared" si="475"/>
        <v>0</v>
      </c>
      <c r="N809" s="18"/>
      <c r="O809" s="16"/>
      <c r="P809" s="36">
        <f t="shared" si="476"/>
        <v>0</v>
      </c>
      <c r="Q809" s="17">
        <f t="shared" si="477"/>
        <v>0</v>
      </c>
      <c r="R809" s="83"/>
      <c r="S809" s="35"/>
      <c r="T809" s="15"/>
      <c r="U809" s="16"/>
      <c r="V809" s="36">
        <f t="shared" si="478"/>
        <v>0</v>
      </c>
      <c r="W809" s="18"/>
      <c r="X809" s="16"/>
      <c r="Y809" s="36">
        <f t="shared" si="479"/>
        <v>0</v>
      </c>
      <c r="Z809" s="17">
        <f t="shared" si="480"/>
        <v>0</v>
      </c>
    </row>
    <row r="810" spans="1:26" x14ac:dyDescent="0.15">
      <c r="A810" s="35" t="s">
        <v>33</v>
      </c>
      <c r="B810" s="15">
        <v>1</v>
      </c>
      <c r="C810" s="16"/>
      <c r="D810" s="36">
        <f t="shared" si="472"/>
        <v>1</v>
      </c>
      <c r="E810" s="18"/>
      <c r="F810" s="16">
        <v>1</v>
      </c>
      <c r="G810" s="36">
        <f t="shared" si="473"/>
        <v>1</v>
      </c>
      <c r="H810" s="17">
        <f t="shared" si="474"/>
        <v>2</v>
      </c>
      <c r="I810" s="81">
        <v>44865</v>
      </c>
      <c r="J810" s="35"/>
      <c r="K810" s="15"/>
      <c r="L810" s="16"/>
      <c r="M810" s="36">
        <f t="shared" si="475"/>
        <v>0</v>
      </c>
      <c r="N810" s="18"/>
      <c r="O810" s="16"/>
      <c r="P810" s="36">
        <f t="shared" si="476"/>
        <v>0</v>
      </c>
      <c r="Q810" s="17">
        <f t="shared" si="477"/>
        <v>0</v>
      </c>
      <c r="R810" s="81"/>
      <c r="S810" s="35"/>
      <c r="T810" s="15"/>
      <c r="U810" s="16"/>
      <c r="V810" s="36">
        <f t="shared" si="478"/>
        <v>0</v>
      </c>
      <c r="W810" s="18"/>
      <c r="X810" s="16"/>
      <c r="Y810" s="36">
        <f t="shared" si="479"/>
        <v>0</v>
      </c>
      <c r="Z810" s="17">
        <f t="shared" si="480"/>
        <v>0</v>
      </c>
    </row>
    <row r="811" spans="1:26" x14ac:dyDescent="0.15">
      <c r="A811" s="35" t="s">
        <v>374</v>
      </c>
      <c r="B811" s="15">
        <v>2</v>
      </c>
      <c r="C811" s="16"/>
      <c r="D811" s="36">
        <f t="shared" si="472"/>
        <v>2</v>
      </c>
      <c r="E811" s="18">
        <v>2</v>
      </c>
      <c r="F811" s="16"/>
      <c r="G811" s="36">
        <f t="shared" si="473"/>
        <v>2</v>
      </c>
      <c r="H811" s="17">
        <f t="shared" si="474"/>
        <v>4</v>
      </c>
      <c r="I811" s="81">
        <v>44872</v>
      </c>
      <c r="J811" s="35"/>
      <c r="K811" s="15"/>
      <c r="L811" s="16"/>
      <c r="M811" s="36">
        <f t="shared" si="475"/>
        <v>0</v>
      </c>
      <c r="N811" s="18"/>
      <c r="O811" s="16"/>
      <c r="P811" s="36">
        <f t="shared" si="476"/>
        <v>0</v>
      </c>
      <c r="Q811" s="17">
        <f t="shared" si="477"/>
        <v>0</v>
      </c>
      <c r="R811" s="81"/>
      <c r="S811" s="35"/>
      <c r="T811" s="15"/>
      <c r="U811" s="16"/>
      <c r="V811" s="36">
        <f t="shared" si="478"/>
        <v>0</v>
      </c>
      <c r="W811" s="18"/>
      <c r="X811" s="16"/>
      <c r="Y811" s="36">
        <f t="shared" si="479"/>
        <v>0</v>
      </c>
      <c r="Z811" s="17">
        <f t="shared" si="480"/>
        <v>0</v>
      </c>
    </row>
    <row r="812" spans="1:26" x14ac:dyDescent="0.15">
      <c r="A812" s="35" t="s">
        <v>33</v>
      </c>
      <c r="B812" s="15"/>
      <c r="C812" s="16">
        <v>2</v>
      </c>
      <c r="D812" s="36">
        <f t="shared" si="472"/>
        <v>2</v>
      </c>
      <c r="E812" s="18"/>
      <c r="F812" s="16">
        <v>1</v>
      </c>
      <c r="G812" s="36">
        <f t="shared" si="473"/>
        <v>1</v>
      </c>
      <c r="H812" s="17">
        <f t="shared" si="474"/>
        <v>3</v>
      </c>
      <c r="I812" s="81">
        <v>44870</v>
      </c>
      <c r="J812" s="35" t="s">
        <v>331</v>
      </c>
      <c r="K812" s="15"/>
      <c r="L812" s="16"/>
      <c r="M812" s="36">
        <f t="shared" si="475"/>
        <v>0</v>
      </c>
      <c r="N812" s="18"/>
      <c r="O812" s="16"/>
      <c r="P812" s="36">
        <f t="shared" si="476"/>
        <v>0</v>
      </c>
      <c r="Q812" s="17">
        <f t="shared" si="477"/>
        <v>0</v>
      </c>
      <c r="R812" s="81" t="s">
        <v>332</v>
      </c>
      <c r="S812" s="35"/>
      <c r="T812" s="15"/>
      <c r="U812" s="16"/>
      <c r="V812" s="36">
        <f t="shared" si="478"/>
        <v>0</v>
      </c>
      <c r="W812" s="18"/>
      <c r="X812" s="16"/>
      <c r="Y812" s="36">
        <f t="shared" si="479"/>
        <v>0</v>
      </c>
      <c r="Z812" s="17">
        <f t="shared" si="480"/>
        <v>0</v>
      </c>
    </row>
    <row r="813" spans="1:26" ht="14.25" thickBot="1" x14ac:dyDescent="0.2">
      <c r="A813" s="35" t="s">
        <v>375</v>
      </c>
      <c r="B813" s="15">
        <v>3</v>
      </c>
      <c r="C813" s="16">
        <v>1</v>
      </c>
      <c r="D813" s="36">
        <f t="shared" si="472"/>
        <v>4</v>
      </c>
      <c r="E813" s="18">
        <v>3</v>
      </c>
      <c r="F813" s="16">
        <v>1</v>
      </c>
      <c r="G813" s="36">
        <f t="shared" si="473"/>
        <v>4</v>
      </c>
      <c r="H813" s="17">
        <f t="shared" si="474"/>
        <v>8</v>
      </c>
      <c r="I813" s="81">
        <v>44873</v>
      </c>
      <c r="J813" s="35" t="s">
        <v>347</v>
      </c>
      <c r="K813" s="15"/>
      <c r="L813" s="16"/>
      <c r="M813" s="36">
        <f t="shared" si="475"/>
        <v>0</v>
      </c>
      <c r="N813" s="18"/>
      <c r="O813" s="16"/>
      <c r="P813" s="36">
        <f t="shared" si="476"/>
        <v>0</v>
      </c>
      <c r="Q813" s="17">
        <f t="shared" si="477"/>
        <v>0</v>
      </c>
      <c r="R813" s="81" t="s">
        <v>348</v>
      </c>
      <c r="S813" s="35"/>
      <c r="T813" s="15"/>
      <c r="U813" s="16"/>
      <c r="V813" s="36">
        <f t="shared" si="478"/>
        <v>0</v>
      </c>
      <c r="W813" s="18"/>
      <c r="X813" s="16"/>
      <c r="Y813" s="36">
        <f t="shared" si="479"/>
        <v>0</v>
      </c>
      <c r="Z813" s="17">
        <f t="shared" si="480"/>
        <v>0</v>
      </c>
    </row>
    <row r="814" spans="1:26" ht="14.25" thickBot="1" x14ac:dyDescent="0.2">
      <c r="A814" s="40" t="s">
        <v>14</v>
      </c>
      <c r="B814" s="41">
        <f>SUM(B788:B813)</f>
        <v>30</v>
      </c>
      <c r="C814" s="42">
        <f t="shared" ref="C814" si="487">SUM(C788:C813)</f>
        <v>25</v>
      </c>
      <c r="D814" s="43">
        <f t="shared" ref="D814:D815" si="488">SUM(B814:C814)</f>
        <v>55</v>
      </c>
      <c r="E814" s="41">
        <f>SUM(E788:E813)</f>
        <v>42</v>
      </c>
      <c r="F814" s="42">
        <f t="shared" ref="F814" si="489">SUM(F788:F813)</f>
        <v>27</v>
      </c>
      <c r="G814" s="43">
        <f t="shared" si="473"/>
        <v>69</v>
      </c>
      <c r="H814" s="43">
        <f t="shared" si="474"/>
        <v>124</v>
      </c>
      <c r="J814" s="40" t="s">
        <v>14</v>
      </c>
      <c r="K814" s="41">
        <f>SUM(K788:K813)</f>
        <v>37</v>
      </c>
      <c r="L814" s="42">
        <f t="shared" ref="L814" si="490">SUM(L788:L813)</f>
        <v>35</v>
      </c>
      <c r="M814" s="43">
        <f t="shared" si="475"/>
        <v>72</v>
      </c>
      <c r="N814" s="41">
        <f>SUM(N788:N813)</f>
        <v>52</v>
      </c>
      <c r="O814" s="42">
        <f t="shared" ref="O814" si="491">SUM(O788:O813)</f>
        <v>30</v>
      </c>
      <c r="P814" s="43">
        <f t="shared" si="476"/>
        <v>82</v>
      </c>
      <c r="Q814" s="43">
        <f t="shared" si="477"/>
        <v>154</v>
      </c>
      <c r="S814" s="40" t="s">
        <v>14</v>
      </c>
      <c r="T814" s="41">
        <f>SUM(T788:T813)</f>
        <v>0</v>
      </c>
      <c r="U814" s="42">
        <f t="shared" ref="U814" si="492">SUM(U788:U813)</f>
        <v>0</v>
      </c>
      <c r="V814" s="43">
        <f t="shared" si="478"/>
        <v>0</v>
      </c>
      <c r="W814" s="41">
        <f>SUM(W788:W813)</f>
        <v>0</v>
      </c>
      <c r="X814" s="42">
        <f t="shared" ref="X814" si="493">SUM(X788:X813)</f>
        <v>0</v>
      </c>
      <c r="Y814" s="43">
        <f t="shared" si="479"/>
        <v>0</v>
      </c>
      <c r="Z814" s="43">
        <f t="shared" si="480"/>
        <v>0</v>
      </c>
    </row>
    <row r="815" spans="1:26" ht="14.25" thickBot="1" x14ac:dyDescent="0.2">
      <c r="A815" s="44" t="s">
        <v>15</v>
      </c>
      <c r="B815" s="45">
        <f>B787-B814</f>
        <v>15</v>
      </c>
      <c r="C815" s="46">
        <f t="shared" ref="C815" si="494">C787-C814</f>
        <v>19</v>
      </c>
      <c r="D815" s="47">
        <f t="shared" si="488"/>
        <v>34</v>
      </c>
      <c r="E815" s="45">
        <f>E787-E814</f>
        <v>14</v>
      </c>
      <c r="F815" s="46">
        <f t="shared" ref="F815" si="495">F787-F814</f>
        <v>15</v>
      </c>
      <c r="G815" s="47">
        <f t="shared" si="473"/>
        <v>29</v>
      </c>
      <c r="H815" s="34">
        <f t="shared" si="474"/>
        <v>63</v>
      </c>
      <c r="J815" s="44" t="s">
        <v>15</v>
      </c>
      <c r="K815" s="45">
        <f>K787-K814</f>
        <v>636</v>
      </c>
      <c r="L815" s="46">
        <f t="shared" ref="L815" si="496">L787-L814</f>
        <v>340</v>
      </c>
      <c r="M815" s="47">
        <f t="shared" si="475"/>
        <v>976</v>
      </c>
      <c r="N815" s="45">
        <f>N787-N814</f>
        <v>282</v>
      </c>
      <c r="O815" s="46">
        <f t="shared" ref="O815" si="497">O787-O814</f>
        <v>36</v>
      </c>
      <c r="P815" s="47">
        <f t="shared" si="476"/>
        <v>318</v>
      </c>
      <c r="Q815" s="34">
        <f t="shared" si="477"/>
        <v>1294</v>
      </c>
      <c r="S815" s="44" t="s">
        <v>15</v>
      </c>
      <c r="T815" s="45">
        <f>T787-T814</f>
        <v>1011</v>
      </c>
      <c r="U815" s="46">
        <f t="shared" ref="U815" si="498">U787-U814</f>
        <v>715</v>
      </c>
      <c r="V815" s="47">
        <f t="shared" si="478"/>
        <v>1726</v>
      </c>
      <c r="W815" s="45">
        <f>W787-W814</f>
        <v>1532</v>
      </c>
      <c r="X815" s="46">
        <f t="shared" ref="X815" si="499">X787-X814</f>
        <v>783</v>
      </c>
      <c r="Y815" s="47">
        <f t="shared" si="479"/>
        <v>2315</v>
      </c>
      <c r="Z815" s="34">
        <f t="shared" si="480"/>
        <v>4041</v>
      </c>
    </row>
    <row r="818" spans="1:26" ht="19.5" thickBot="1" x14ac:dyDescent="0.25">
      <c r="A818" s="1" t="s">
        <v>23</v>
      </c>
      <c r="J818" s="1" t="s">
        <v>24</v>
      </c>
      <c r="K818" s="2"/>
      <c r="L818" s="2"/>
      <c r="M818" s="2"/>
      <c r="N818" s="2"/>
      <c r="O818" s="1" t="s">
        <v>34</v>
      </c>
      <c r="P818" s="2"/>
      <c r="Q818" s="2"/>
      <c r="S818" s="1" t="s">
        <v>24</v>
      </c>
      <c r="T818" s="2"/>
      <c r="U818" s="2"/>
      <c r="V818" s="2"/>
      <c r="W818" s="2"/>
      <c r="X818" s="1" t="s">
        <v>34</v>
      </c>
      <c r="Y818" s="2"/>
      <c r="Z818" s="2"/>
    </row>
    <row r="819" spans="1:26" ht="14.25" thickBot="1" x14ac:dyDescent="0.2">
      <c r="A819" s="3" t="s">
        <v>0</v>
      </c>
      <c r="B819" s="125" t="s">
        <v>18</v>
      </c>
      <c r="C819" s="126"/>
      <c r="D819" s="127"/>
      <c r="E819" s="125" t="s">
        <v>19</v>
      </c>
      <c r="F819" s="126"/>
      <c r="G819" s="128"/>
      <c r="H819" s="129" t="s">
        <v>1</v>
      </c>
      <c r="J819" s="3" t="s">
        <v>0</v>
      </c>
      <c r="K819" s="125" t="s">
        <v>18</v>
      </c>
      <c r="L819" s="126"/>
      <c r="M819" s="127"/>
      <c r="N819" s="125" t="s">
        <v>19</v>
      </c>
      <c r="O819" s="126"/>
      <c r="P819" s="128"/>
      <c r="Q819" s="129" t="s">
        <v>1</v>
      </c>
      <c r="S819" s="3" t="s">
        <v>0</v>
      </c>
      <c r="T819" s="125" t="s">
        <v>18</v>
      </c>
      <c r="U819" s="126"/>
      <c r="V819" s="127"/>
      <c r="W819" s="125" t="s">
        <v>19</v>
      </c>
      <c r="X819" s="126"/>
      <c r="Y819" s="128"/>
      <c r="Z819" s="129" t="s">
        <v>1</v>
      </c>
    </row>
    <row r="820" spans="1:26" ht="14.25" thickBot="1" x14ac:dyDescent="0.2">
      <c r="A820" s="3" t="s">
        <v>2</v>
      </c>
      <c r="B820" s="4" t="s">
        <v>16</v>
      </c>
      <c r="C820" s="5" t="s">
        <v>17</v>
      </c>
      <c r="D820" s="3" t="s">
        <v>3</v>
      </c>
      <c r="E820" s="4" t="s">
        <v>16</v>
      </c>
      <c r="F820" s="5" t="s">
        <v>17</v>
      </c>
      <c r="G820" s="3" t="s">
        <v>3</v>
      </c>
      <c r="H820" s="130"/>
      <c r="J820" s="3" t="s">
        <v>2</v>
      </c>
      <c r="K820" s="4" t="s">
        <v>16</v>
      </c>
      <c r="L820" s="5" t="s">
        <v>17</v>
      </c>
      <c r="M820" s="3" t="s">
        <v>3</v>
      </c>
      <c r="N820" s="4" t="s">
        <v>16</v>
      </c>
      <c r="O820" s="5" t="s">
        <v>17</v>
      </c>
      <c r="P820" s="3" t="s">
        <v>3</v>
      </c>
      <c r="Q820" s="130"/>
      <c r="S820" s="3" t="s">
        <v>2</v>
      </c>
      <c r="T820" s="4" t="s">
        <v>16</v>
      </c>
      <c r="U820" s="5" t="s">
        <v>17</v>
      </c>
      <c r="V820" s="3" t="s">
        <v>3</v>
      </c>
      <c r="W820" s="4" t="s">
        <v>16</v>
      </c>
      <c r="X820" s="5" t="s">
        <v>17</v>
      </c>
      <c r="Y820" s="3" t="s">
        <v>3</v>
      </c>
      <c r="Z820" s="130"/>
    </row>
    <row r="821" spans="1:26" ht="14.25" thickBot="1" x14ac:dyDescent="0.2">
      <c r="A821" s="6" t="s">
        <v>55</v>
      </c>
      <c r="B821" s="32">
        <f>B815</f>
        <v>15</v>
      </c>
      <c r="C821" s="33">
        <f>C815</f>
        <v>19</v>
      </c>
      <c r="D821" s="34">
        <f t="shared" ref="D821:D858" si="500">SUM(B821:C821)</f>
        <v>34</v>
      </c>
      <c r="E821" s="32">
        <f>E815</f>
        <v>14</v>
      </c>
      <c r="F821" s="33">
        <f>F815</f>
        <v>15</v>
      </c>
      <c r="G821" s="34">
        <f t="shared" ref="G821:G858" si="501">SUM(E821:F821)</f>
        <v>29</v>
      </c>
      <c r="H821" s="34">
        <f t="shared" ref="H821:H858" si="502">D821+G821</f>
        <v>63</v>
      </c>
      <c r="J821" s="6" t="s">
        <v>55</v>
      </c>
      <c r="K821" s="7">
        <f>K815</f>
        <v>636</v>
      </c>
      <c r="L821" s="8">
        <f>L815</f>
        <v>340</v>
      </c>
      <c r="M821" s="9">
        <f t="shared" ref="M821:M858" si="503">SUM(K821:L821)</f>
        <v>976</v>
      </c>
      <c r="N821" s="7">
        <f>N815</f>
        <v>282</v>
      </c>
      <c r="O821" s="8">
        <f>O815</f>
        <v>36</v>
      </c>
      <c r="P821" s="9">
        <f t="shared" ref="P821:P858" si="504">SUM(N821:O821)</f>
        <v>318</v>
      </c>
      <c r="Q821" s="9">
        <f t="shared" ref="Q821:Q858" si="505">M821+P821</f>
        <v>1294</v>
      </c>
      <c r="S821" s="6" t="s">
        <v>55</v>
      </c>
      <c r="T821" s="7">
        <f>T815</f>
        <v>1011</v>
      </c>
      <c r="U821" s="8">
        <f>U815</f>
        <v>715</v>
      </c>
      <c r="V821" s="9">
        <f t="shared" ref="V821:V858" si="506">SUM(T821:U821)</f>
        <v>1726</v>
      </c>
      <c r="W821" s="7">
        <f>W815</f>
        <v>1532</v>
      </c>
      <c r="X821" s="8">
        <f>X815</f>
        <v>783</v>
      </c>
      <c r="Y821" s="9">
        <f t="shared" ref="Y821:Y858" si="507">SUM(W821:X821)</f>
        <v>2315</v>
      </c>
      <c r="Z821" s="9">
        <f t="shared" ref="Z821:Z858" si="508">V821+Y821</f>
        <v>4041</v>
      </c>
    </row>
    <row r="822" spans="1:26" x14ac:dyDescent="0.15">
      <c r="A822" s="10" t="s">
        <v>5</v>
      </c>
      <c r="B822" s="15">
        <v>10</v>
      </c>
      <c r="C822" s="16"/>
      <c r="D822" s="17">
        <f t="shared" ref="D822" si="509">SUM(B822:C822)</f>
        <v>10</v>
      </c>
      <c r="E822" s="18">
        <v>10</v>
      </c>
      <c r="F822" s="16">
        <v>5</v>
      </c>
      <c r="G822" s="17">
        <f t="shared" ref="G822" si="510">SUM(E822:F822)</f>
        <v>15</v>
      </c>
      <c r="H822" s="17">
        <f t="shared" ref="H822" si="511">D822+G822</f>
        <v>25</v>
      </c>
      <c r="I822" s="81">
        <v>44875</v>
      </c>
      <c r="J822" s="10" t="s">
        <v>166</v>
      </c>
      <c r="K822" s="11"/>
      <c r="L822" s="12"/>
      <c r="M822" s="13">
        <f t="shared" si="503"/>
        <v>0</v>
      </c>
      <c r="N822" s="62"/>
      <c r="O822" s="12">
        <v>5</v>
      </c>
      <c r="P822" s="13">
        <f t="shared" si="504"/>
        <v>5</v>
      </c>
      <c r="Q822" s="13">
        <f t="shared" si="505"/>
        <v>5</v>
      </c>
      <c r="R822" s="84">
        <v>44883</v>
      </c>
      <c r="S822" s="10" t="s">
        <v>5</v>
      </c>
      <c r="T822" s="11"/>
      <c r="U822" s="12"/>
      <c r="V822" s="13">
        <f t="shared" si="506"/>
        <v>0</v>
      </c>
      <c r="W822" s="62"/>
      <c r="X822" s="12"/>
      <c r="Y822" s="13">
        <f t="shared" si="507"/>
        <v>0</v>
      </c>
      <c r="Z822" s="13">
        <f t="shared" si="508"/>
        <v>0</v>
      </c>
    </row>
    <row r="823" spans="1:26" x14ac:dyDescent="0.15">
      <c r="A823" s="10" t="s">
        <v>61</v>
      </c>
      <c r="B823" s="15"/>
      <c r="C823" s="16">
        <v>1</v>
      </c>
      <c r="D823" s="17">
        <f t="shared" si="500"/>
        <v>1</v>
      </c>
      <c r="E823" s="18"/>
      <c r="F823" s="16">
        <v>1</v>
      </c>
      <c r="G823" s="17">
        <f t="shared" si="501"/>
        <v>1</v>
      </c>
      <c r="H823" s="17">
        <f t="shared" si="502"/>
        <v>2</v>
      </c>
      <c r="I823" s="81">
        <v>44875</v>
      </c>
      <c r="J823" s="10" t="s">
        <v>6</v>
      </c>
      <c r="K823" s="15"/>
      <c r="L823" s="16"/>
      <c r="M823" s="17">
        <f t="shared" si="503"/>
        <v>0</v>
      </c>
      <c r="N823" s="18"/>
      <c r="O823" s="16"/>
      <c r="P823" s="17">
        <f t="shared" si="504"/>
        <v>0</v>
      </c>
      <c r="Q823" s="17">
        <f t="shared" si="505"/>
        <v>0</v>
      </c>
      <c r="R823" s="81"/>
      <c r="S823" s="10" t="s">
        <v>6</v>
      </c>
      <c r="T823" s="15"/>
      <c r="U823" s="16"/>
      <c r="V823" s="17">
        <f t="shared" si="506"/>
        <v>0</v>
      </c>
      <c r="W823" s="18"/>
      <c r="X823" s="16"/>
      <c r="Y823" s="17">
        <f t="shared" si="507"/>
        <v>0</v>
      </c>
      <c r="Z823" s="17">
        <f t="shared" si="508"/>
        <v>0</v>
      </c>
    </row>
    <row r="824" spans="1:26" x14ac:dyDescent="0.15">
      <c r="A824" s="10" t="s">
        <v>7</v>
      </c>
      <c r="B824" s="15">
        <v>5</v>
      </c>
      <c r="C824" s="16">
        <v>5</v>
      </c>
      <c r="D824" s="17">
        <f t="shared" si="500"/>
        <v>10</v>
      </c>
      <c r="E824" s="18">
        <v>5</v>
      </c>
      <c r="F824" s="16">
        <v>5</v>
      </c>
      <c r="G824" s="17">
        <f t="shared" si="501"/>
        <v>10</v>
      </c>
      <c r="H824" s="17">
        <f t="shared" si="502"/>
        <v>20</v>
      </c>
      <c r="I824" s="81">
        <v>44880</v>
      </c>
      <c r="J824" s="10" t="s">
        <v>7</v>
      </c>
      <c r="K824" s="19"/>
      <c r="L824" s="20"/>
      <c r="M824" s="17">
        <f t="shared" si="503"/>
        <v>0</v>
      </c>
      <c r="N824" s="21"/>
      <c r="O824" s="20"/>
      <c r="P824" s="17">
        <f t="shared" si="504"/>
        <v>0</v>
      </c>
      <c r="Q824" s="17">
        <f t="shared" si="505"/>
        <v>0</v>
      </c>
      <c r="R824" s="81"/>
      <c r="S824" s="10" t="s">
        <v>7</v>
      </c>
      <c r="T824" s="19"/>
      <c r="U824" s="20"/>
      <c r="V824" s="17">
        <f t="shared" si="506"/>
        <v>0</v>
      </c>
      <c r="W824" s="21"/>
      <c r="X824" s="20"/>
      <c r="Y824" s="17">
        <f t="shared" si="507"/>
        <v>0</v>
      </c>
      <c r="Z824" s="17">
        <f t="shared" si="508"/>
        <v>0</v>
      </c>
    </row>
    <row r="825" spans="1:26" x14ac:dyDescent="0.15">
      <c r="A825" s="10" t="s">
        <v>8</v>
      </c>
      <c r="B825" s="15">
        <v>5</v>
      </c>
      <c r="C825" s="16"/>
      <c r="D825" s="17">
        <f t="shared" si="500"/>
        <v>5</v>
      </c>
      <c r="E825" s="18"/>
      <c r="F825" s="16">
        <v>5</v>
      </c>
      <c r="G825" s="17">
        <f t="shared" si="501"/>
        <v>5</v>
      </c>
      <c r="H825" s="17">
        <f t="shared" si="502"/>
        <v>10</v>
      </c>
      <c r="I825" s="81">
        <v>44887</v>
      </c>
      <c r="J825" s="10" t="s">
        <v>8</v>
      </c>
      <c r="K825" s="15"/>
      <c r="L825" s="16"/>
      <c r="M825" s="17">
        <f t="shared" si="503"/>
        <v>0</v>
      </c>
      <c r="N825" s="18"/>
      <c r="O825" s="16"/>
      <c r="P825" s="17">
        <f t="shared" si="504"/>
        <v>0</v>
      </c>
      <c r="Q825" s="17">
        <f t="shared" si="505"/>
        <v>0</v>
      </c>
      <c r="R825" s="83"/>
      <c r="S825" s="10" t="s">
        <v>8</v>
      </c>
      <c r="T825" s="15"/>
      <c r="U825" s="16"/>
      <c r="V825" s="17">
        <f t="shared" si="506"/>
        <v>0</v>
      </c>
      <c r="W825" s="18"/>
      <c r="X825" s="16"/>
      <c r="Y825" s="17">
        <f t="shared" si="507"/>
        <v>0</v>
      </c>
      <c r="Z825" s="17">
        <f t="shared" si="508"/>
        <v>0</v>
      </c>
    </row>
    <row r="826" spans="1:26" x14ac:dyDescent="0.15">
      <c r="A826" s="10" t="s">
        <v>9</v>
      </c>
      <c r="B826" s="15">
        <v>5</v>
      </c>
      <c r="C826" s="16">
        <v>10</v>
      </c>
      <c r="D826" s="17">
        <f t="shared" si="500"/>
        <v>15</v>
      </c>
      <c r="E826" s="18">
        <v>10</v>
      </c>
      <c r="F826" s="16">
        <v>5</v>
      </c>
      <c r="G826" s="17">
        <f t="shared" si="501"/>
        <v>15</v>
      </c>
      <c r="H826" s="17">
        <f t="shared" si="502"/>
        <v>30</v>
      </c>
      <c r="I826" s="81">
        <v>44889</v>
      </c>
      <c r="J826" s="10" t="s">
        <v>9</v>
      </c>
      <c r="K826" s="15"/>
      <c r="L826" s="16"/>
      <c r="M826" s="17">
        <f t="shared" si="503"/>
        <v>0</v>
      </c>
      <c r="N826" s="18"/>
      <c r="O826" s="16"/>
      <c r="P826" s="17">
        <f t="shared" si="504"/>
        <v>0</v>
      </c>
      <c r="Q826" s="17">
        <f t="shared" si="505"/>
        <v>0</v>
      </c>
      <c r="R826" s="83"/>
      <c r="S826" s="10" t="s">
        <v>9</v>
      </c>
      <c r="T826" s="15"/>
      <c r="U826" s="16"/>
      <c r="V826" s="17">
        <f t="shared" si="506"/>
        <v>0</v>
      </c>
      <c r="W826" s="18"/>
      <c r="X826" s="16"/>
      <c r="Y826" s="17">
        <f t="shared" si="507"/>
        <v>0</v>
      </c>
      <c r="Z826" s="17">
        <f t="shared" si="508"/>
        <v>0</v>
      </c>
    </row>
    <row r="827" spans="1:26" x14ac:dyDescent="0.15">
      <c r="A827" s="10" t="s">
        <v>10</v>
      </c>
      <c r="B827" s="15">
        <v>10</v>
      </c>
      <c r="C827" s="16">
        <v>5</v>
      </c>
      <c r="D827" s="17">
        <f t="shared" si="500"/>
        <v>15</v>
      </c>
      <c r="E827" s="18">
        <v>10</v>
      </c>
      <c r="F827" s="16">
        <v>5</v>
      </c>
      <c r="G827" s="17">
        <f t="shared" si="501"/>
        <v>15</v>
      </c>
      <c r="H827" s="17">
        <f t="shared" si="502"/>
        <v>30</v>
      </c>
      <c r="I827" s="81">
        <v>44893</v>
      </c>
      <c r="J827" s="10" t="s">
        <v>10</v>
      </c>
      <c r="K827" s="15"/>
      <c r="L827" s="16"/>
      <c r="M827" s="17">
        <f t="shared" si="503"/>
        <v>0</v>
      </c>
      <c r="N827" s="18"/>
      <c r="O827" s="16"/>
      <c r="P827" s="17">
        <f t="shared" si="504"/>
        <v>0</v>
      </c>
      <c r="Q827" s="17">
        <f t="shared" si="505"/>
        <v>0</v>
      </c>
      <c r="S827" s="10" t="s">
        <v>10</v>
      </c>
      <c r="T827" s="15"/>
      <c r="U827" s="16"/>
      <c r="V827" s="17">
        <f t="shared" si="506"/>
        <v>0</v>
      </c>
      <c r="W827" s="18"/>
      <c r="X827" s="16"/>
      <c r="Y827" s="17">
        <f t="shared" si="507"/>
        <v>0</v>
      </c>
      <c r="Z827" s="17">
        <f t="shared" si="508"/>
        <v>0</v>
      </c>
    </row>
    <row r="828" spans="1:26" x14ac:dyDescent="0.15">
      <c r="A828" s="10" t="s">
        <v>11</v>
      </c>
      <c r="B828" s="23"/>
      <c r="C828" s="24"/>
      <c r="D828" s="17">
        <f t="shared" si="500"/>
        <v>0</v>
      </c>
      <c r="E828" s="25"/>
      <c r="F828" s="24"/>
      <c r="G828" s="17">
        <f t="shared" si="501"/>
        <v>0</v>
      </c>
      <c r="H828" s="17">
        <f t="shared" si="502"/>
        <v>0</v>
      </c>
      <c r="I828" s="81"/>
      <c r="J828" s="10" t="s">
        <v>11</v>
      </c>
      <c r="K828" s="23"/>
      <c r="L828" s="24"/>
      <c r="M828" s="17">
        <f t="shared" si="503"/>
        <v>0</v>
      </c>
      <c r="N828" s="25"/>
      <c r="O828" s="24"/>
      <c r="P828" s="17">
        <f t="shared" si="504"/>
        <v>0</v>
      </c>
      <c r="Q828" s="17">
        <f t="shared" si="505"/>
        <v>0</v>
      </c>
      <c r="S828" s="10" t="s">
        <v>11</v>
      </c>
      <c r="T828" s="23"/>
      <c r="U828" s="24"/>
      <c r="V828" s="17">
        <f t="shared" si="506"/>
        <v>0</v>
      </c>
      <c r="W828" s="25"/>
      <c r="X828" s="24"/>
      <c r="Y828" s="17">
        <f t="shared" si="507"/>
        <v>0</v>
      </c>
      <c r="Z828" s="17">
        <f t="shared" si="508"/>
        <v>0</v>
      </c>
    </row>
    <row r="829" spans="1:26" ht="14.25" thickBot="1" x14ac:dyDescent="0.2">
      <c r="A829" s="10" t="s">
        <v>12</v>
      </c>
      <c r="B829" s="26"/>
      <c r="C829" s="27"/>
      <c r="D829" s="28">
        <f t="shared" si="500"/>
        <v>0</v>
      </c>
      <c r="E829" s="29"/>
      <c r="F829" s="29"/>
      <c r="G829" s="28">
        <f t="shared" si="501"/>
        <v>0</v>
      </c>
      <c r="H829" s="30">
        <f t="shared" si="502"/>
        <v>0</v>
      </c>
      <c r="I829" s="81"/>
      <c r="J829" s="10" t="s">
        <v>12</v>
      </c>
      <c r="K829" s="26"/>
      <c r="L829" s="27"/>
      <c r="M829" s="28">
        <f t="shared" si="503"/>
        <v>0</v>
      </c>
      <c r="N829" s="29"/>
      <c r="O829" s="29"/>
      <c r="P829" s="28">
        <f t="shared" si="504"/>
        <v>0</v>
      </c>
      <c r="Q829" s="30">
        <f t="shared" si="505"/>
        <v>0</v>
      </c>
      <c r="S829" s="10" t="s">
        <v>12</v>
      </c>
      <c r="T829" s="26"/>
      <c r="U829" s="27"/>
      <c r="V829" s="28">
        <f t="shared" si="506"/>
        <v>0</v>
      </c>
      <c r="W829" s="29"/>
      <c r="X829" s="29"/>
      <c r="Y829" s="28">
        <f t="shared" si="507"/>
        <v>0</v>
      </c>
      <c r="Z829" s="30">
        <f t="shared" si="508"/>
        <v>0</v>
      </c>
    </row>
    <row r="830" spans="1:26" ht="14.25" thickBot="1" x14ac:dyDescent="0.2">
      <c r="A830" s="31" t="s">
        <v>13</v>
      </c>
      <c r="B830" s="32">
        <f>SUM(B821:B829)</f>
        <v>50</v>
      </c>
      <c r="C830" s="33">
        <f>SUM(C821:C829)</f>
        <v>40</v>
      </c>
      <c r="D830" s="34">
        <f t="shared" si="500"/>
        <v>90</v>
      </c>
      <c r="E830" s="32">
        <f>SUM(E821:E829)</f>
        <v>49</v>
      </c>
      <c r="F830" s="33">
        <f>SUM(F821:F829)</f>
        <v>41</v>
      </c>
      <c r="G830" s="34">
        <f t="shared" si="501"/>
        <v>90</v>
      </c>
      <c r="H830" s="34">
        <f t="shared" si="502"/>
        <v>180</v>
      </c>
      <c r="J830" s="31" t="s">
        <v>13</v>
      </c>
      <c r="K830" s="32">
        <f>SUM(K821:K829)</f>
        <v>636</v>
      </c>
      <c r="L830" s="33">
        <f>SUM(L821:L829)</f>
        <v>340</v>
      </c>
      <c r="M830" s="34">
        <f t="shared" si="503"/>
        <v>976</v>
      </c>
      <c r="N830" s="32">
        <f>SUM(N821:N829)</f>
        <v>282</v>
      </c>
      <c r="O830" s="33">
        <f>SUM(O821:O829)</f>
        <v>41</v>
      </c>
      <c r="P830" s="34">
        <f t="shared" si="504"/>
        <v>323</v>
      </c>
      <c r="Q830" s="34">
        <f t="shared" si="505"/>
        <v>1299</v>
      </c>
      <c r="S830" s="31" t="s">
        <v>13</v>
      </c>
      <c r="T830" s="32">
        <f>SUM(T821:T829)</f>
        <v>1011</v>
      </c>
      <c r="U830" s="33">
        <f>SUM(U821:U829)</f>
        <v>715</v>
      </c>
      <c r="V830" s="34">
        <f t="shared" si="506"/>
        <v>1726</v>
      </c>
      <c r="W830" s="32">
        <f>SUM(W821:W829)</f>
        <v>1532</v>
      </c>
      <c r="X830" s="33">
        <f>SUM(X821:X829)</f>
        <v>783</v>
      </c>
      <c r="Y830" s="34">
        <f t="shared" si="507"/>
        <v>2315</v>
      </c>
      <c r="Z830" s="34">
        <f t="shared" si="508"/>
        <v>4041</v>
      </c>
    </row>
    <row r="831" spans="1:26" x14ac:dyDescent="0.15">
      <c r="A831" s="35" t="s">
        <v>376</v>
      </c>
      <c r="B831" s="15">
        <v>3</v>
      </c>
      <c r="C831" s="16"/>
      <c r="D831" s="36">
        <f t="shared" ref="D831:D837" si="512">SUM(B831:C831)</f>
        <v>3</v>
      </c>
      <c r="E831" s="18">
        <v>3</v>
      </c>
      <c r="F831" s="16"/>
      <c r="G831" s="36">
        <f t="shared" ref="G831:G837" si="513">SUM(E831:F831)</f>
        <v>3</v>
      </c>
      <c r="H831" s="17">
        <f t="shared" ref="H831:H837" si="514">D831+G831</f>
        <v>6</v>
      </c>
      <c r="I831" s="81">
        <v>44874</v>
      </c>
      <c r="J831" s="73" t="s">
        <v>91</v>
      </c>
      <c r="K831" s="15">
        <v>10</v>
      </c>
      <c r="L831" s="16"/>
      <c r="M831" s="17">
        <f t="shared" si="503"/>
        <v>10</v>
      </c>
      <c r="N831" s="18">
        <v>10</v>
      </c>
      <c r="O831" s="16">
        <v>5</v>
      </c>
      <c r="P831" s="17">
        <f t="shared" si="504"/>
        <v>15</v>
      </c>
      <c r="Q831" s="17">
        <f t="shared" si="505"/>
        <v>25</v>
      </c>
      <c r="R831" s="81">
        <v>44875</v>
      </c>
      <c r="S831" s="52"/>
      <c r="T831" s="64"/>
      <c r="U831" s="65"/>
      <c r="V831" s="36">
        <f t="shared" si="506"/>
        <v>0</v>
      </c>
      <c r="W831" s="66"/>
      <c r="X831" s="65"/>
      <c r="Y831" s="36">
        <f t="shared" si="507"/>
        <v>0</v>
      </c>
      <c r="Z831" s="36">
        <f t="shared" si="508"/>
        <v>0</v>
      </c>
    </row>
    <row r="832" spans="1:26" x14ac:dyDescent="0.15">
      <c r="A832" s="35" t="s">
        <v>377</v>
      </c>
      <c r="B832" s="15"/>
      <c r="C832" s="16">
        <v>2</v>
      </c>
      <c r="D832" s="36">
        <f t="shared" si="512"/>
        <v>2</v>
      </c>
      <c r="E832" s="18"/>
      <c r="F832" s="16">
        <v>2</v>
      </c>
      <c r="G832" s="36">
        <f t="shared" si="513"/>
        <v>2</v>
      </c>
      <c r="H832" s="17">
        <f t="shared" si="514"/>
        <v>4</v>
      </c>
      <c r="I832" s="81">
        <v>44875</v>
      </c>
      <c r="J832" s="52" t="s">
        <v>379</v>
      </c>
      <c r="K832" s="15"/>
      <c r="L832" s="16">
        <v>5</v>
      </c>
      <c r="M832" s="17">
        <f t="shared" si="503"/>
        <v>5</v>
      </c>
      <c r="N832" s="18"/>
      <c r="O832" s="16"/>
      <c r="P832" s="17">
        <f t="shared" si="504"/>
        <v>0</v>
      </c>
      <c r="Q832" s="17">
        <f t="shared" si="505"/>
        <v>5</v>
      </c>
      <c r="R832" s="81">
        <v>44880</v>
      </c>
      <c r="S832" s="10"/>
      <c r="T832" s="15"/>
      <c r="U832" s="16"/>
      <c r="V832" s="36">
        <f t="shared" si="506"/>
        <v>0</v>
      </c>
      <c r="W832" s="18"/>
      <c r="X832" s="16"/>
      <c r="Y832" s="36">
        <f t="shared" si="507"/>
        <v>0</v>
      </c>
      <c r="Z832" s="17">
        <f t="shared" si="508"/>
        <v>0</v>
      </c>
    </row>
    <row r="833" spans="1:26" x14ac:dyDescent="0.15">
      <c r="A833" s="35" t="s">
        <v>378</v>
      </c>
      <c r="B833" s="15">
        <v>2</v>
      </c>
      <c r="C833" s="16">
        <v>1</v>
      </c>
      <c r="D833" s="36">
        <f t="shared" si="512"/>
        <v>3</v>
      </c>
      <c r="E833" s="18">
        <v>2</v>
      </c>
      <c r="F833" s="16">
        <v>1</v>
      </c>
      <c r="G833" s="36">
        <f t="shared" si="513"/>
        <v>3</v>
      </c>
      <c r="H833" s="17">
        <f t="shared" si="514"/>
        <v>6</v>
      </c>
      <c r="I833" s="81">
        <v>44876</v>
      </c>
      <c r="J833" s="73" t="s">
        <v>91</v>
      </c>
      <c r="K833" s="15">
        <v>5</v>
      </c>
      <c r="L833" s="16">
        <v>5</v>
      </c>
      <c r="M833" s="17">
        <f t="shared" si="503"/>
        <v>10</v>
      </c>
      <c r="N833" s="18">
        <v>5</v>
      </c>
      <c r="O833" s="16">
        <v>5</v>
      </c>
      <c r="P833" s="17">
        <f t="shared" si="504"/>
        <v>10</v>
      </c>
      <c r="Q833" s="17">
        <f t="shared" si="505"/>
        <v>20</v>
      </c>
      <c r="R833" s="81">
        <v>44880</v>
      </c>
      <c r="S833" s="10"/>
      <c r="T833" s="19"/>
      <c r="U833" s="20"/>
      <c r="V833" s="17">
        <f t="shared" si="506"/>
        <v>0</v>
      </c>
      <c r="W833" s="21"/>
      <c r="X833" s="20"/>
      <c r="Y833" s="17">
        <f t="shared" si="507"/>
        <v>0</v>
      </c>
      <c r="Z833" s="17">
        <f t="shared" si="508"/>
        <v>0</v>
      </c>
    </row>
    <row r="834" spans="1:26" x14ac:dyDescent="0.15">
      <c r="A834" s="35" t="s">
        <v>380</v>
      </c>
      <c r="B834" s="15"/>
      <c r="C834" s="16">
        <v>4</v>
      </c>
      <c r="D834" s="36">
        <f t="shared" si="512"/>
        <v>4</v>
      </c>
      <c r="E834" s="18"/>
      <c r="F834" s="16">
        <v>4</v>
      </c>
      <c r="G834" s="36">
        <f t="shared" si="513"/>
        <v>4</v>
      </c>
      <c r="H834" s="17">
        <f t="shared" si="514"/>
        <v>8</v>
      </c>
      <c r="I834" s="81">
        <v>44879</v>
      </c>
      <c r="J834" s="52" t="s">
        <v>386</v>
      </c>
      <c r="K834" s="15"/>
      <c r="L834" s="16">
        <v>5</v>
      </c>
      <c r="M834" s="17">
        <f t="shared" si="503"/>
        <v>5</v>
      </c>
      <c r="N834" s="18"/>
      <c r="O834" s="16">
        <v>5</v>
      </c>
      <c r="P834" s="17">
        <f t="shared" si="504"/>
        <v>5</v>
      </c>
      <c r="Q834" s="17">
        <f t="shared" si="505"/>
        <v>10</v>
      </c>
      <c r="R834" s="81">
        <v>44886</v>
      </c>
      <c r="S834" s="52"/>
      <c r="T834" s="15"/>
      <c r="U834" s="16"/>
      <c r="V834" s="17">
        <f t="shared" si="506"/>
        <v>0</v>
      </c>
      <c r="W834" s="18"/>
      <c r="X834" s="16"/>
      <c r="Y834" s="17">
        <f t="shared" si="507"/>
        <v>0</v>
      </c>
      <c r="Z834" s="17">
        <f t="shared" si="508"/>
        <v>0</v>
      </c>
    </row>
    <row r="835" spans="1:26" x14ac:dyDescent="0.15">
      <c r="A835" s="35" t="s">
        <v>33</v>
      </c>
      <c r="B835" s="15">
        <v>1</v>
      </c>
      <c r="C835" s="16"/>
      <c r="D835" s="36">
        <f t="shared" si="512"/>
        <v>1</v>
      </c>
      <c r="E835" s="18"/>
      <c r="F835" s="16"/>
      <c r="G835" s="36">
        <f t="shared" si="513"/>
        <v>0</v>
      </c>
      <c r="H835" s="17">
        <f t="shared" si="514"/>
        <v>1</v>
      </c>
      <c r="I835" s="81">
        <v>44876</v>
      </c>
      <c r="J835" s="73" t="s">
        <v>91</v>
      </c>
      <c r="K835" s="15">
        <v>5</v>
      </c>
      <c r="L835" s="16"/>
      <c r="M835" s="17">
        <f t="shared" si="503"/>
        <v>5</v>
      </c>
      <c r="N835" s="18"/>
      <c r="O835" s="16">
        <v>5</v>
      </c>
      <c r="P835" s="17">
        <f t="shared" si="504"/>
        <v>5</v>
      </c>
      <c r="Q835" s="17">
        <f t="shared" si="505"/>
        <v>10</v>
      </c>
      <c r="R835" s="81">
        <v>44887</v>
      </c>
      <c r="S835" s="10"/>
      <c r="T835" s="15"/>
      <c r="U835" s="16"/>
      <c r="V835" s="17">
        <f t="shared" si="506"/>
        <v>0</v>
      </c>
      <c r="W835" s="18"/>
      <c r="X835" s="16"/>
      <c r="Y835" s="17">
        <f t="shared" si="507"/>
        <v>0</v>
      </c>
      <c r="Z835" s="17">
        <f t="shared" si="508"/>
        <v>0</v>
      </c>
    </row>
    <row r="836" spans="1:26" x14ac:dyDescent="0.15">
      <c r="A836" s="35" t="s">
        <v>381</v>
      </c>
      <c r="B836" s="15">
        <v>2</v>
      </c>
      <c r="C836" s="16">
        <v>2</v>
      </c>
      <c r="D836" s="36">
        <f t="shared" si="512"/>
        <v>4</v>
      </c>
      <c r="E836" s="18">
        <v>2</v>
      </c>
      <c r="F836" s="16">
        <v>2</v>
      </c>
      <c r="G836" s="36">
        <f t="shared" si="513"/>
        <v>4</v>
      </c>
      <c r="H836" s="17">
        <f t="shared" si="514"/>
        <v>8</v>
      </c>
      <c r="I836" s="81">
        <v>44880</v>
      </c>
      <c r="J836" s="73" t="s">
        <v>91</v>
      </c>
      <c r="K836" s="15">
        <v>5</v>
      </c>
      <c r="L836" s="16">
        <v>10</v>
      </c>
      <c r="M836" s="36">
        <f t="shared" si="503"/>
        <v>15</v>
      </c>
      <c r="N836" s="18">
        <v>10</v>
      </c>
      <c r="O836" s="16">
        <v>5</v>
      </c>
      <c r="P836" s="36">
        <f t="shared" si="504"/>
        <v>15</v>
      </c>
      <c r="Q836" s="17">
        <f t="shared" si="505"/>
        <v>30</v>
      </c>
      <c r="R836" s="81">
        <v>44889</v>
      </c>
      <c r="S836" s="10"/>
      <c r="T836" s="15"/>
      <c r="U836" s="16"/>
      <c r="V836" s="36">
        <f t="shared" si="506"/>
        <v>0</v>
      </c>
      <c r="W836" s="18"/>
      <c r="X836" s="16"/>
      <c r="Y836" s="36">
        <f t="shared" si="507"/>
        <v>0</v>
      </c>
      <c r="Z836" s="17">
        <f t="shared" si="508"/>
        <v>0</v>
      </c>
    </row>
    <row r="837" spans="1:26" x14ac:dyDescent="0.15">
      <c r="A837" s="35" t="s">
        <v>33</v>
      </c>
      <c r="B837" s="15"/>
      <c r="C837" s="16"/>
      <c r="D837" s="36">
        <f t="shared" si="512"/>
        <v>0</v>
      </c>
      <c r="E837" s="18"/>
      <c r="F837" s="16">
        <v>2</v>
      </c>
      <c r="G837" s="36">
        <f t="shared" si="513"/>
        <v>2</v>
      </c>
      <c r="H837" s="17">
        <f t="shared" si="514"/>
        <v>2</v>
      </c>
      <c r="I837" s="81">
        <v>44879</v>
      </c>
      <c r="J837" s="73" t="s">
        <v>91</v>
      </c>
      <c r="K837" s="15">
        <v>10</v>
      </c>
      <c r="L837" s="16">
        <v>5</v>
      </c>
      <c r="M837" s="36">
        <f t="shared" si="503"/>
        <v>15</v>
      </c>
      <c r="N837" s="18">
        <v>10</v>
      </c>
      <c r="O837" s="16">
        <v>5</v>
      </c>
      <c r="P837" s="36">
        <f t="shared" si="504"/>
        <v>15</v>
      </c>
      <c r="Q837" s="17">
        <f t="shared" si="505"/>
        <v>30</v>
      </c>
      <c r="R837" s="81">
        <v>44893</v>
      </c>
      <c r="S837" s="10"/>
      <c r="T837" s="15"/>
      <c r="U837" s="16"/>
      <c r="V837" s="36">
        <f t="shared" si="506"/>
        <v>0</v>
      </c>
      <c r="W837" s="18"/>
      <c r="X837" s="16"/>
      <c r="Y837" s="36">
        <f t="shared" si="507"/>
        <v>0</v>
      </c>
      <c r="Z837" s="17">
        <f t="shared" si="508"/>
        <v>0</v>
      </c>
    </row>
    <row r="838" spans="1:26" x14ac:dyDescent="0.15">
      <c r="A838" s="35" t="s">
        <v>382</v>
      </c>
      <c r="B838" s="15">
        <v>1</v>
      </c>
      <c r="C838" s="16"/>
      <c r="D838" s="36">
        <f t="shared" si="500"/>
        <v>1</v>
      </c>
      <c r="E838" s="18">
        <v>1</v>
      </c>
      <c r="F838" s="16"/>
      <c r="G838" s="36">
        <f t="shared" si="501"/>
        <v>1</v>
      </c>
      <c r="H838" s="17">
        <f t="shared" si="502"/>
        <v>2</v>
      </c>
      <c r="I838" s="81">
        <v>44881</v>
      </c>
      <c r="J838" s="35"/>
      <c r="K838" s="19"/>
      <c r="L838" s="20"/>
      <c r="M838" s="17">
        <f t="shared" ref="M838" si="515">SUM(K838:L838)</f>
        <v>0</v>
      </c>
      <c r="N838" s="21"/>
      <c r="O838" s="20"/>
      <c r="P838" s="17">
        <f t="shared" ref="P838" si="516">SUM(N838:O838)</f>
        <v>0</v>
      </c>
      <c r="Q838" s="17">
        <f t="shared" ref="Q838" si="517">M838+P838</f>
        <v>0</v>
      </c>
      <c r="R838" s="81"/>
      <c r="S838" s="52"/>
      <c r="T838" s="15"/>
      <c r="U838" s="16"/>
      <c r="V838" s="36">
        <f t="shared" si="506"/>
        <v>0</v>
      </c>
      <c r="W838" s="18"/>
      <c r="X838" s="16"/>
      <c r="Y838" s="36">
        <f t="shared" si="507"/>
        <v>0</v>
      </c>
      <c r="Z838" s="17">
        <f t="shared" si="508"/>
        <v>0</v>
      </c>
    </row>
    <row r="839" spans="1:26" x14ac:dyDescent="0.15">
      <c r="A839" s="35" t="s">
        <v>33</v>
      </c>
      <c r="B839" s="15">
        <v>1</v>
      </c>
      <c r="C839" s="16"/>
      <c r="D839" s="36">
        <f t="shared" si="500"/>
        <v>1</v>
      </c>
      <c r="E839" s="18"/>
      <c r="F839" s="16">
        <v>1</v>
      </c>
      <c r="G839" s="36">
        <f t="shared" si="501"/>
        <v>1</v>
      </c>
      <c r="H839" s="17">
        <f t="shared" si="502"/>
        <v>2</v>
      </c>
      <c r="I839" s="81">
        <v>44880</v>
      </c>
      <c r="J839" s="35"/>
      <c r="K839" s="19"/>
      <c r="L839" s="20"/>
      <c r="M839" s="17">
        <f t="shared" si="503"/>
        <v>0</v>
      </c>
      <c r="N839" s="21"/>
      <c r="O839" s="20"/>
      <c r="P839" s="17">
        <f t="shared" si="504"/>
        <v>0</v>
      </c>
      <c r="Q839" s="17">
        <f t="shared" si="505"/>
        <v>0</v>
      </c>
      <c r="R839" s="81"/>
      <c r="S839" s="10"/>
      <c r="T839" s="19"/>
      <c r="U839" s="20"/>
      <c r="V839" s="17">
        <f t="shared" si="506"/>
        <v>0</v>
      </c>
      <c r="W839" s="21"/>
      <c r="X839" s="20"/>
      <c r="Y839" s="17">
        <f t="shared" si="507"/>
        <v>0</v>
      </c>
      <c r="Z839" s="17">
        <f t="shared" si="508"/>
        <v>0</v>
      </c>
    </row>
    <row r="840" spans="1:26" x14ac:dyDescent="0.15">
      <c r="A840" s="35" t="s">
        <v>385</v>
      </c>
      <c r="B840" s="15">
        <v>1</v>
      </c>
      <c r="C840" s="16"/>
      <c r="D840" s="36">
        <f t="shared" si="500"/>
        <v>1</v>
      </c>
      <c r="E840" s="18">
        <v>1</v>
      </c>
      <c r="F840" s="16"/>
      <c r="G840" s="36">
        <f t="shared" si="501"/>
        <v>1</v>
      </c>
      <c r="H840" s="17">
        <f t="shared" si="502"/>
        <v>2</v>
      </c>
      <c r="I840" s="81">
        <v>44882</v>
      </c>
      <c r="J840" s="52"/>
      <c r="K840" s="23"/>
      <c r="L840" s="24"/>
      <c r="M840" s="36">
        <f t="shared" si="503"/>
        <v>0</v>
      </c>
      <c r="N840" s="25"/>
      <c r="O840" s="24"/>
      <c r="P840" s="36">
        <f t="shared" si="504"/>
        <v>0</v>
      </c>
      <c r="Q840" s="17">
        <f t="shared" si="505"/>
        <v>0</v>
      </c>
      <c r="R840" s="81"/>
      <c r="S840" s="35"/>
      <c r="T840" s="23"/>
      <c r="U840" s="24"/>
      <c r="V840" s="36">
        <f t="shared" si="506"/>
        <v>0</v>
      </c>
      <c r="W840" s="25"/>
      <c r="X840" s="24"/>
      <c r="Y840" s="36">
        <f t="shared" si="507"/>
        <v>0</v>
      </c>
      <c r="Z840" s="17">
        <f t="shared" si="508"/>
        <v>0</v>
      </c>
    </row>
    <row r="841" spans="1:26" x14ac:dyDescent="0.15">
      <c r="A841" s="35" t="s">
        <v>33</v>
      </c>
      <c r="B841" s="15">
        <v>1</v>
      </c>
      <c r="C841" s="16"/>
      <c r="D841" s="36">
        <f t="shared" si="500"/>
        <v>1</v>
      </c>
      <c r="E841" s="18"/>
      <c r="F841" s="16"/>
      <c r="G841" s="36">
        <f t="shared" si="501"/>
        <v>0</v>
      </c>
      <c r="H841" s="17">
        <f t="shared" si="502"/>
        <v>1</v>
      </c>
      <c r="I841" s="81">
        <v>44882</v>
      </c>
      <c r="J841" s="52"/>
      <c r="K841" s="15"/>
      <c r="L841" s="16"/>
      <c r="M841" s="36">
        <f t="shared" si="503"/>
        <v>0</v>
      </c>
      <c r="N841" s="18"/>
      <c r="O841" s="16"/>
      <c r="P841" s="36">
        <f t="shared" si="504"/>
        <v>0</v>
      </c>
      <c r="Q841" s="17">
        <f t="shared" si="505"/>
        <v>0</v>
      </c>
      <c r="R841" s="81"/>
      <c r="S841" s="35"/>
      <c r="T841" s="15"/>
      <c r="U841" s="16"/>
      <c r="V841" s="36">
        <f t="shared" si="506"/>
        <v>0</v>
      </c>
      <c r="W841" s="18"/>
      <c r="X841" s="16"/>
      <c r="Y841" s="36">
        <f t="shared" si="507"/>
        <v>0</v>
      </c>
      <c r="Z841" s="17">
        <f t="shared" si="508"/>
        <v>0</v>
      </c>
    </row>
    <row r="842" spans="1:26" x14ac:dyDescent="0.15">
      <c r="A842" s="35" t="s">
        <v>387</v>
      </c>
      <c r="B842" s="15">
        <v>1</v>
      </c>
      <c r="C842" s="16"/>
      <c r="D842" s="36">
        <f t="shared" si="500"/>
        <v>1</v>
      </c>
      <c r="E842" s="18">
        <v>1</v>
      </c>
      <c r="F842" s="16"/>
      <c r="G842" s="36">
        <f t="shared" si="501"/>
        <v>1</v>
      </c>
      <c r="H842" s="17">
        <f t="shared" si="502"/>
        <v>2</v>
      </c>
      <c r="I842" s="81">
        <v>44886</v>
      </c>
      <c r="J842" s="52"/>
      <c r="K842" s="15"/>
      <c r="L842" s="16"/>
      <c r="M842" s="36">
        <f t="shared" si="503"/>
        <v>0</v>
      </c>
      <c r="N842" s="18"/>
      <c r="O842" s="16"/>
      <c r="P842" s="36">
        <f t="shared" si="504"/>
        <v>0</v>
      </c>
      <c r="Q842" s="17">
        <f t="shared" si="505"/>
        <v>0</v>
      </c>
      <c r="R842" s="81"/>
      <c r="S842" s="35"/>
      <c r="T842" s="15"/>
      <c r="U842" s="16"/>
      <c r="V842" s="36">
        <f t="shared" si="506"/>
        <v>0</v>
      </c>
      <c r="W842" s="18"/>
      <c r="X842" s="16"/>
      <c r="Y842" s="36">
        <f t="shared" si="507"/>
        <v>0</v>
      </c>
      <c r="Z842" s="17">
        <f t="shared" si="508"/>
        <v>0</v>
      </c>
    </row>
    <row r="843" spans="1:26" x14ac:dyDescent="0.15">
      <c r="A843" s="35" t="s">
        <v>33</v>
      </c>
      <c r="B843" s="15">
        <v>2</v>
      </c>
      <c r="C843" s="16"/>
      <c r="D843" s="36">
        <f t="shared" si="500"/>
        <v>2</v>
      </c>
      <c r="E843" s="18"/>
      <c r="F843" s="16"/>
      <c r="G843" s="36">
        <f t="shared" si="501"/>
        <v>0</v>
      </c>
      <c r="H843" s="17">
        <f t="shared" si="502"/>
        <v>2</v>
      </c>
      <c r="I843" s="81">
        <v>44883</v>
      </c>
      <c r="J843" s="35"/>
      <c r="K843" s="15"/>
      <c r="L843" s="16"/>
      <c r="M843" s="36">
        <f t="shared" si="503"/>
        <v>0</v>
      </c>
      <c r="N843" s="18"/>
      <c r="O843" s="16"/>
      <c r="P843" s="36">
        <f t="shared" si="504"/>
        <v>0</v>
      </c>
      <c r="Q843" s="17">
        <f t="shared" si="505"/>
        <v>0</v>
      </c>
      <c r="R843" s="81"/>
      <c r="S843" s="35"/>
      <c r="T843" s="15"/>
      <c r="U843" s="16"/>
      <c r="V843" s="36">
        <f t="shared" si="506"/>
        <v>0</v>
      </c>
      <c r="W843" s="18"/>
      <c r="X843" s="16"/>
      <c r="Y843" s="36">
        <f t="shared" si="507"/>
        <v>0</v>
      </c>
      <c r="Z843" s="17">
        <f t="shared" si="508"/>
        <v>0</v>
      </c>
    </row>
    <row r="844" spans="1:26" x14ac:dyDescent="0.15">
      <c r="A844" s="35" t="s">
        <v>33</v>
      </c>
      <c r="B844" s="15"/>
      <c r="C844" s="16"/>
      <c r="D844" s="36">
        <f t="shared" si="500"/>
        <v>0</v>
      </c>
      <c r="E844" s="18">
        <v>2</v>
      </c>
      <c r="F844" s="16"/>
      <c r="G844" s="36">
        <f t="shared" si="501"/>
        <v>2</v>
      </c>
      <c r="H844" s="17">
        <f t="shared" si="502"/>
        <v>2</v>
      </c>
      <c r="I844" s="81">
        <v>44884</v>
      </c>
      <c r="J844" s="35"/>
      <c r="K844" s="15"/>
      <c r="L844" s="16"/>
      <c r="M844" s="17">
        <f t="shared" si="503"/>
        <v>0</v>
      </c>
      <c r="N844" s="18"/>
      <c r="O844" s="16"/>
      <c r="P844" s="17">
        <f t="shared" si="504"/>
        <v>0</v>
      </c>
      <c r="Q844" s="17">
        <f t="shared" si="505"/>
        <v>0</v>
      </c>
      <c r="R844" s="81"/>
      <c r="S844" s="10"/>
      <c r="T844" s="15"/>
      <c r="U844" s="16"/>
      <c r="V844" s="17">
        <f t="shared" si="506"/>
        <v>0</v>
      </c>
      <c r="W844" s="18"/>
      <c r="X844" s="16"/>
      <c r="Y844" s="17">
        <f t="shared" si="507"/>
        <v>0</v>
      </c>
      <c r="Z844" s="17">
        <f t="shared" si="508"/>
        <v>0</v>
      </c>
    </row>
    <row r="845" spans="1:26" x14ac:dyDescent="0.15">
      <c r="A845" s="35" t="s">
        <v>388</v>
      </c>
      <c r="B845" s="15">
        <v>1</v>
      </c>
      <c r="C845" s="16">
        <v>2</v>
      </c>
      <c r="D845" s="36">
        <f t="shared" si="500"/>
        <v>3</v>
      </c>
      <c r="E845" s="18">
        <v>1</v>
      </c>
      <c r="F845" s="16">
        <v>2</v>
      </c>
      <c r="G845" s="36">
        <f t="shared" si="501"/>
        <v>3</v>
      </c>
      <c r="H845" s="17">
        <f t="shared" si="502"/>
        <v>6</v>
      </c>
      <c r="I845" s="81">
        <v>44887</v>
      </c>
      <c r="J845" s="52"/>
      <c r="K845" s="15"/>
      <c r="L845" s="16"/>
      <c r="M845" s="17">
        <f t="shared" si="503"/>
        <v>0</v>
      </c>
      <c r="N845" s="18"/>
      <c r="O845" s="16"/>
      <c r="P845" s="17">
        <f t="shared" si="504"/>
        <v>0</v>
      </c>
      <c r="Q845" s="17">
        <f t="shared" si="505"/>
        <v>0</v>
      </c>
      <c r="R845" s="81"/>
      <c r="S845" s="35"/>
      <c r="T845" s="15"/>
      <c r="U845" s="16"/>
      <c r="V845" s="36">
        <f t="shared" si="506"/>
        <v>0</v>
      </c>
      <c r="W845" s="18"/>
      <c r="X845" s="16"/>
      <c r="Y845" s="36">
        <f t="shared" si="507"/>
        <v>0</v>
      </c>
      <c r="Z845" s="17">
        <f t="shared" si="508"/>
        <v>0</v>
      </c>
    </row>
    <row r="846" spans="1:26" x14ac:dyDescent="0.15">
      <c r="A846" s="35" t="s">
        <v>389</v>
      </c>
      <c r="B846" s="15"/>
      <c r="C846" s="16"/>
      <c r="D846" s="36">
        <f t="shared" si="500"/>
        <v>0</v>
      </c>
      <c r="E846" s="18">
        <v>1</v>
      </c>
      <c r="F846" s="16"/>
      <c r="G846" s="36">
        <f t="shared" si="501"/>
        <v>1</v>
      </c>
      <c r="H846" s="17">
        <f t="shared" si="502"/>
        <v>1</v>
      </c>
      <c r="I846" s="81">
        <v>44887</v>
      </c>
      <c r="J846" s="35"/>
      <c r="K846" s="15"/>
      <c r="L846" s="16"/>
      <c r="M846" s="36">
        <f t="shared" si="503"/>
        <v>0</v>
      </c>
      <c r="N846" s="18"/>
      <c r="O846" s="16"/>
      <c r="P846" s="36">
        <f t="shared" si="504"/>
        <v>0</v>
      </c>
      <c r="Q846" s="17">
        <f t="shared" si="505"/>
        <v>0</v>
      </c>
      <c r="R846" s="81"/>
      <c r="S846" s="37"/>
      <c r="T846" s="15"/>
      <c r="U846" s="16"/>
      <c r="V846" s="36">
        <f t="shared" si="506"/>
        <v>0</v>
      </c>
      <c r="W846" s="18"/>
      <c r="X846" s="16"/>
      <c r="Y846" s="36">
        <f t="shared" si="507"/>
        <v>0</v>
      </c>
      <c r="Z846" s="17">
        <f t="shared" si="508"/>
        <v>0</v>
      </c>
    </row>
    <row r="847" spans="1:26" x14ac:dyDescent="0.15">
      <c r="A847" s="35" t="s">
        <v>33</v>
      </c>
      <c r="B847" s="15"/>
      <c r="C847" s="16"/>
      <c r="D847" s="36">
        <f t="shared" si="500"/>
        <v>0</v>
      </c>
      <c r="E847" s="18">
        <v>1</v>
      </c>
      <c r="F847" s="16"/>
      <c r="G847" s="36">
        <f t="shared" si="501"/>
        <v>1</v>
      </c>
      <c r="H847" s="17">
        <f t="shared" si="502"/>
        <v>1</v>
      </c>
      <c r="I847" s="81">
        <v>44886</v>
      </c>
      <c r="J847" s="35"/>
      <c r="K847" s="15"/>
      <c r="L847" s="16"/>
      <c r="M847" s="36">
        <f t="shared" si="503"/>
        <v>0</v>
      </c>
      <c r="N847" s="18"/>
      <c r="O847" s="16"/>
      <c r="P847" s="36">
        <f t="shared" si="504"/>
        <v>0</v>
      </c>
      <c r="Q847" s="17">
        <f t="shared" si="505"/>
        <v>0</v>
      </c>
      <c r="R847" s="81"/>
      <c r="S847" s="37"/>
      <c r="T847" s="15"/>
      <c r="U847" s="16"/>
      <c r="V847" s="36">
        <f t="shared" si="506"/>
        <v>0</v>
      </c>
      <c r="W847" s="18"/>
      <c r="X847" s="16"/>
      <c r="Y847" s="36">
        <f t="shared" si="507"/>
        <v>0</v>
      </c>
      <c r="Z847" s="17">
        <f t="shared" si="508"/>
        <v>0</v>
      </c>
    </row>
    <row r="848" spans="1:26" x14ac:dyDescent="0.15">
      <c r="A848" s="35" t="s">
        <v>390</v>
      </c>
      <c r="B848" s="15">
        <v>4</v>
      </c>
      <c r="C848" s="16">
        <v>4</v>
      </c>
      <c r="D848" s="36">
        <f t="shared" si="500"/>
        <v>8</v>
      </c>
      <c r="E848" s="18">
        <v>4</v>
      </c>
      <c r="F848" s="16">
        <v>4</v>
      </c>
      <c r="G848" s="36">
        <f t="shared" si="501"/>
        <v>8</v>
      </c>
      <c r="H848" s="17">
        <f t="shared" si="502"/>
        <v>16</v>
      </c>
      <c r="I848" s="81">
        <v>44889</v>
      </c>
      <c r="J848" s="52"/>
      <c r="K848" s="15"/>
      <c r="L848" s="16"/>
      <c r="M848" s="36">
        <f t="shared" si="503"/>
        <v>0</v>
      </c>
      <c r="N848" s="18"/>
      <c r="O848" s="16"/>
      <c r="P848" s="36">
        <f t="shared" si="504"/>
        <v>0</v>
      </c>
      <c r="Q848" s="17">
        <f t="shared" si="505"/>
        <v>0</v>
      </c>
      <c r="R848" s="81"/>
      <c r="S848" s="35"/>
      <c r="T848" s="15"/>
      <c r="U848" s="16"/>
      <c r="V848" s="36">
        <f t="shared" si="506"/>
        <v>0</v>
      </c>
      <c r="W848" s="18"/>
      <c r="X848" s="16"/>
      <c r="Y848" s="36">
        <f t="shared" si="507"/>
        <v>0</v>
      </c>
      <c r="Z848" s="17">
        <f t="shared" si="508"/>
        <v>0</v>
      </c>
    </row>
    <row r="849" spans="1:26" x14ac:dyDescent="0.15">
      <c r="A849" s="35" t="s">
        <v>33</v>
      </c>
      <c r="B849" s="15">
        <v>1</v>
      </c>
      <c r="C849" s="16"/>
      <c r="D849" s="36">
        <f t="shared" si="500"/>
        <v>1</v>
      </c>
      <c r="E849" s="18"/>
      <c r="F849" s="16"/>
      <c r="G849" s="36">
        <f t="shared" si="501"/>
        <v>0</v>
      </c>
      <c r="H849" s="17">
        <f t="shared" si="502"/>
        <v>1</v>
      </c>
      <c r="I849" s="81">
        <v>44887</v>
      </c>
      <c r="J849" s="35"/>
      <c r="K849" s="15"/>
      <c r="L849" s="16"/>
      <c r="M849" s="36">
        <f t="shared" si="503"/>
        <v>0</v>
      </c>
      <c r="N849" s="18"/>
      <c r="O849" s="16"/>
      <c r="P849" s="36">
        <f t="shared" si="504"/>
        <v>0</v>
      </c>
      <c r="Q849" s="17">
        <f t="shared" si="505"/>
        <v>0</v>
      </c>
      <c r="R849" s="81"/>
      <c r="S849" s="38"/>
      <c r="T849" s="15"/>
      <c r="U849" s="16"/>
      <c r="V849" s="36">
        <f t="shared" si="506"/>
        <v>0</v>
      </c>
      <c r="W849" s="18"/>
      <c r="X849" s="16"/>
      <c r="Y849" s="36">
        <f t="shared" si="507"/>
        <v>0</v>
      </c>
      <c r="Z849" s="17">
        <f t="shared" si="508"/>
        <v>0</v>
      </c>
    </row>
    <row r="850" spans="1:26" x14ac:dyDescent="0.15">
      <c r="A850" s="35" t="s">
        <v>391</v>
      </c>
      <c r="B850" s="15">
        <v>3</v>
      </c>
      <c r="C850" s="16"/>
      <c r="D850" s="36">
        <f t="shared" si="500"/>
        <v>3</v>
      </c>
      <c r="E850" s="18">
        <v>3</v>
      </c>
      <c r="F850" s="16"/>
      <c r="G850" s="36">
        <f t="shared" si="501"/>
        <v>3</v>
      </c>
      <c r="H850" s="17">
        <f t="shared" si="502"/>
        <v>6</v>
      </c>
      <c r="I850" s="81">
        <v>44890</v>
      </c>
      <c r="J850" s="35"/>
      <c r="K850" s="15"/>
      <c r="L850" s="16"/>
      <c r="M850" s="36">
        <f t="shared" si="503"/>
        <v>0</v>
      </c>
      <c r="N850" s="18"/>
      <c r="O850" s="16"/>
      <c r="P850" s="36">
        <f t="shared" si="504"/>
        <v>0</v>
      </c>
      <c r="Q850" s="17">
        <f t="shared" si="505"/>
        <v>0</v>
      </c>
      <c r="S850" s="35"/>
      <c r="T850" s="15"/>
      <c r="U850" s="16"/>
      <c r="V850" s="36">
        <f t="shared" si="506"/>
        <v>0</v>
      </c>
      <c r="W850" s="18"/>
      <c r="X850" s="16"/>
      <c r="Y850" s="36">
        <f t="shared" si="507"/>
        <v>0</v>
      </c>
      <c r="Z850" s="17">
        <f t="shared" si="508"/>
        <v>0</v>
      </c>
    </row>
    <row r="851" spans="1:26" x14ac:dyDescent="0.15">
      <c r="A851" s="35" t="s">
        <v>33</v>
      </c>
      <c r="B851" s="15">
        <v>1</v>
      </c>
      <c r="C851" s="16"/>
      <c r="D851" s="36">
        <f t="shared" si="500"/>
        <v>1</v>
      </c>
      <c r="E851" s="18">
        <v>2</v>
      </c>
      <c r="F851" s="16">
        <v>2</v>
      </c>
      <c r="G851" s="36">
        <f t="shared" si="501"/>
        <v>4</v>
      </c>
      <c r="H851" s="17">
        <f t="shared" si="502"/>
        <v>5</v>
      </c>
      <c r="I851" s="81">
        <v>44889</v>
      </c>
      <c r="J851" s="38"/>
      <c r="K851" s="15"/>
      <c r="L851" s="16"/>
      <c r="M851" s="36">
        <f t="shared" si="503"/>
        <v>0</v>
      </c>
      <c r="N851" s="18"/>
      <c r="O851" s="16"/>
      <c r="P851" s="36">
        <f t="shared" si="504"/>
        <v>0</v>
      </c>
      <c r="Q851" s="17">
        <f t="shared" si="505"/>
        <v>0</v>
      </c>
      <c r="R851" s="83"/>
      <c r="S851" s="38"/>
      <c r="T851" s="15"/>
      <c r="U851" s="16"/>
      <c r="V851" s="36">
        <f t="shared" si="506"/>
        <v>0</v>
      </c>
      <c r="W851" s="18"/>
      <c r="X851" s="16"/>
      <c r="Y851" s="36">
        <f t="shared" si="507"/>
        <v>0</v>
      </c>
      <c r="Z851" s="17">
        <f t="shared" si="508"/>
        <v>0</v>
      </c>
    </row>
    <row r="852" spans="1:26" x14ac:dyDescent="0.15">
      <c r="A852" s="35" t="s">
        <v>392</v>
      </c>
      <c r="B852" s="15">
        <v>2</v>
      </c>
      <c r="C852" s="16">
        <v>2</v>
      </c>
      <c r="D852" s="36">
        <f t="shared" si="500"/>
        <v>4</v>
      </c>
      <c r="E852" s="18">
        <v>2</v>
      </c>
      <c r="F852" s="16">
        <v>2</v>
      </c>
      <c r="G852" s="36">
        <f t="shared" si="501"/>
        <v>4</v>
      </c>
      <c r="H852" s="17">
        <f t="shared" si="502"/>
        <v>8</v>
      </c>
      <c r="I852" s="81">
        <v>44893</v>
      </c>
      <c r="J852" s="35"/>
      <c r="K852" s="15"/>
      <c r="L852" s="16"/>
      <c r="M852" s="36">
        <f t="shared" si="503"/>
        <v>0</v>
      </c>
      <c r="N852" s="18"/>
      <c r="O852" s="16"/>
      <c r="P852" s="36">
        <f t="shared" si="504"/>
        <v>0</v>
      </c>
      <c r="Q852" s="17">
        <f t="shared" si="505"/>
        <v>0</v>
      </c>
      <c r="R852" s="83"/>
      <c r="S852" s="35"/>
      <c r="T852" s="15"/>
      <c r="U852" s="16"/>
      <c r="V852" s="36">
        <f t="shared" si="506"/>
        <v>0</v>
      </c>
      <c r="W852" s="18"/>
      <c r="X852" s="16"/>
      <c r="Y852" s="36">
        <f t="shared" si="507"/>
        <v>0</v>
      </c>
      <c r="Z852" s="17">
        <f t="shared" si="508"/>
        <v>0</v>
      </c>
    </row>
    <row r="853" spans="1:26" x14ac:dyDescent="0.15">
      <c r="A853" s="35" t="s">
        <v>33</v>
      </c>
      <c r="B853" s="15">
        <v>1</v>
      </c>
      <c r="C853" s="16">
        <v>1</v>
      </c>
      <c r="D853" s="36">
        <f t="shared" si="500"/>
        <v>2</v>
      </c>
      <c r="E853" s="18"/>
      <c r="F853" s="16"/>
      <c r="G853" s="36">
        <f t="shared" si="501"/>
        <v>0</v>
      </c>
      <c r="H853" s="17">
        <f t="shared" si="502"/>
        <v>2</v>
      </c>
      <c r="I853" s="81">
        <v>44890</v>
      </c>
      <c r="J853" s="35"/>
      <c r="K853" s="15"/>
      <c r="L853" s="16"/>
      <c r="M853" s="36">
        <f t="shared" si="503"/>
        <v>0</v>
      </c>
      <c r="N853" s="18"/>
      <c r="O853" s="16"/>
      <c r="P853" s="36">
        <f t="shared" si="504"/>
        <v>0</v>
      </c>
      <c r="Q853" s="17">
        <f t="shared" si="505"/>
        <v>0</v>
      </c>
      <c r="R853" s="81"/>
      <c r="S853" s="35"/>
      <c r="T853" s="15"/>
      <c r="U853" s="16"/>
      <c r="V853" s="36">
        <f t="shared" si="506"/>
        <v>0</v>
      </c>
      <c r="W853" s="18"/>
      <c r="X853" s="16"/>
      <c r="Y853" s="36">
        <f t="shared" si="507"/>
        <v>0</v>
      </c>
      <c r="Z853" s="17">
        <f t="shared" si="508"/>
        <v>0</v>
      </c>
    </row>
    <row r="854" spans="1:26" x14ac:dyDescent="0.15">
      <c r="A854" s="35" t="s">
        <v>393</v>
      </c>
      <c r="B854" s="15">
        <v>5</v>
      </c>
      <c r="C854" s="16">
        <v>6</v>
      </c>
      <c r="D854" s="36">
        <f t="shared" si="500"/>
        <v>11</v>
      </c>
      <c r="E854" s="18">
        <v>5</v>
      </c>
      <c r="F854" s="16">
        <v>6</v>
      </c>
      <c r="G854" s="36">
        <f t="shared" si="501"/>
        <v>11</v>
      </c>
      <c r="H854" s="17">
        <f t="shared" si="502"/>
        <v>22</v>
      </c>
      <c r="I854" s="81">
        <v>44894</v>
      </c>
      <c r="J854" s="35"/>
      <c r="K854" s="15"/>
      <c r="L854" s="16"/>
      <c r="M854" s="36">
        <f t="shared" ref="M854" si="518">SUM(K854:L854)</f>
        <v>0</v>
      </c>
      <c r="N854" s="18"/>
      <c r="O854" s="16"/>
      <c r="P854" s="36">
        <f t="shared" ref="P854" si="519">SUM(N854:O854)</f>
        <v>0</v>
      </c>
      <c r="Q854" s="17">
        <f t="shared" ref="Q854" si="520">M854+P854</f>
        <v>0</v>
      </c>
      <c r="R854" s="81"/>
      <c r="S854" s="35"/>
      <c r="T854" s="15"/>
      <c r="U854" s="16"/>
      <c r="V854" s="36">
        <f t="shared" si="506"/>
        <v>0</v>
      </c>
      <c r="W854" s="18"/>
      <c r="X854" s="16"/>
      <c r="Y854" s="36">
        <f t="shared" si="507"/>
        <v>0</v>
      </c>
      <c r="Z854" s="17">
        <f t="shared" si="508"/>
        <v>0</v>
      </c>
    </row>
    <row r="855" spans="1:26" x14ac:dyDescent="0.15">
      <c r="A855" s="35" t="s">
        <v>33</v>
      </c>
      <c r="B855" s="15"/>
      <c r="C855" s="16"/>
      <c r="D855" s="36">
        <f t="shared" si="500"/>
        <v>0</v>
      </c>
      <c r="E855" s="18">
        <v>1</v>
      </c>
      <c r="F855" s="16"/>
      <c r="G855" s="36">
        <f t="shared" si="501"/>
        <v>1</v>
      </c>
      <c r="H855" s="17">
        <f t="shared" si="502"/>
        <v>1</v>
      </c>
      <c r="I855" s="81">
        <v>44893</v>
      </c>
      <c r="J855" s="35" t="s">
        <v>370</v>
      </c>
      <c r="K855" s="15"/>
      <c r="L855" s="16"/>
      <c r="M855" s="36">
        <f t="shared" si="503"/>
        <v>0</v>
      </c>
      <c r="N855" s="18"/>
      <c r="O855" s="16"/>
      <c r="P855" s="36">
        <f t="shared" si="504"/>
        <v>0</v>
      </c>
      <c r="Q855" s="17">
        <f t="shared" si="505"/>
        <v>0</v>
      </c>
      <c r="R855" s="81" t="s">
        <v>371</v>
      </c>
      <c r="S855" s="35"/>
      <c r="T855" s="15"/>
      <c r="U855" s="16"/>
      <c r="V855" s="36">
        <f t="shared" si="506"/>
        <v>0</v>
      </c>
      <c r="W855" s="18"/>
      <c r="X855" s="16"/>
      <c r="Y855" s="36">
        <f t="shared" si="507"/>
        <v>0</v>
      </c>
      <c r="Z855" s="17">
        <f t="shared" si="508"/>
        <v>0</v>
      </c>
    </row>
    <row r="856" spans="1:26" ht="14.25" thickBot="1" x14ac:dyDescent="0.2">
      <c r="A856" s="35" t="s">
        <v>394</v>
      </c>
      <c r="B856" s="15">
        <v>3</v>
      </c>
      <c r="C856" s="16">
        <v>1</v>
      </c>
      <c r="D856" s="36">
        <f t="shared" si="500"/>
        <v>4</v>
      </c>
      <c r="E856" s="18">
        <v>3</v>
      </c>
      <c r="F856" s="16">
        <v>1</v>
      </c>
      <c r="G856" s="36">
        <f t="shared" si="501"/>
        <v>4</v>
      </c>
      <c r="H856" s="17">
        <f t="shared" si="502"/>
        <v>8</v>
      </c>
      <c r="I856" s="81">
        <v>44895</v>
      </c>
      <c r="J856" s="35" t="s">
        <v>360</v>
      </c>
      <c r="K856" s="15"/>
      <c r="L856" s="16"/>
      <c r="M856" s="36">
        <f t="shared" si="503"/>
        <v>0</v>
      </c>
      <c r="N856" s="18"/>
      <c r="O856" s="16"/>
      <c r="P856" s="36">
        <f t="shared" si="504"/>
        <v>0</v>
      </c>
      <c r="Q856" s="17">
        <f t="shared" si="505"/>
        <v>0</v>
      </c>
      <c r="R856" s="81" t="s">
        <v>361</v>
      </c>
      <c r="S856" s="35"/>
      <c r="T856" s="15"/>
      <c r="U856" s="16"/>
      <c r="V856" s="36">
        <f t="shared" si="506"/>
        <v>0</v>
      </c>
      <c r="W856" s="18"/>
      <c r="X856" s="16"/>
      <c r="Y856" s="36">
        <f t="shared" si="507"/>
        <v>0</v>
      </c>
      <c r="Z856" s="17">
        <f t="shared" si="508"/>
        <v>0</v>
      </c>
    </row>
    <row r="857" spans="1:26" ht="14.25" thickBot="1" x14ac:dyDescent="0.2">
      <c r="A857" s="40" t="s">
        <v>14</v>
      </c>
      <c r="B857" s="41">
        <f>SUM(B831:B856)</f>
        <v>36</v>
      </c>
      <c r="C857" s="42">
        <f t="shared" ref="C857" si="521">SUM(C831:C856)</f>
        <v>25</v>
      </c>
      <c r="D857" s="43">
        <f t="shared" si="500"/>
        <v>61</v>
      </c>
      <c r="E857" s="41">
        <f>SUM(E831:E856)</f>
        <v>35</v>
      </c>
      <c r="F857" s="42">
        <f t="shared" ref="F857" si="522">SUM(F831:F856)</f>
        <v>29</v>
      </c>
      <c r="G857" s="43">
        <f t="shared" si="501"/>
        <v>64</v>
      </c>
      <c r="H857" s="43">
        <f t="shared" si="502"/>
        <v>125</v>
      </c>
      <c r="J857" s="40" t="s">
        <v>14</v>
      </c>
      <c r="K857" s="41">
        <f>SUM(K831:K856)</f>
        <v>35</v>
      </c>
      <c r="L857" s="42">
        <f t="shared" ref="L857" si="523">SUM(L831:L856)</f>
        <v>30</v>
      </c>
      <c r="M857" s="43">
        <f t="shared" si="503"/>
        <v>65</v>
      </c>
      <c r="N857" s="41">
        <f>SUM(N831:N856)</f>
        <v>35</v>
      </c>
      <c r="O857" s="42">
        <f t="shared" ref="O857" si="524">SUM(O831:O856)</f>
        <v>30</v>
      </c>
      <c r="P857" s="43">
        <f t="shared" si="504"/>
        <v>65</v>
      </c>
      <c r="Q857" s="43">
        <f t="shared" si="505"/>
        <v>130</v>
      </c>
      <c r="S857" s="40" t="s">
        <v>14</v>
      </c>
      <c r="T857" s="41">
        <f>SUM(T831:T856)</f>
        <v>0</v>
      </c>
      <c r="U857" s="42">
        <f t="shared" ref="U857" si="525">SUM(U831:U856)</f>
        <v>0</v>
      </c>
      <c r="V857" s="43">
        <f t="shared" si="506"/>
        <v>0</v>
      </c>
      <c r="W857" s="41">
        <f>SUM(W831:W856)</f>
        <v>0</v>
      </c>
      <c r="X857" s="42">
        <f t="shared" ref="X857" si="526">SUM(X831:X856)</f>
        <v>0</v>
      </c>
      <c r="Y857" s="43">
        <f t="shared" si="507"/>
        <v>0</v>
      </c>
      <c r="Z857" s="43">
        <f t="shared" si="508"/>
        <v>0</v>
      </c>
    </row>
    <row r="858" spans="1:26" ht="14.25" thickBot="1" x14ac:dyDescent="0.2">
      <c r="A858" s="44" t="s">
        <v>15</v>
      </c>
      <c r="B858" s="45">
        <f>B830-B857</f>
        <v>14</v>
      </c>
      <c r="C858" s="46">
        <f t="shared" ref="C858" si="527">C830-C857</f>
        <v>15</v>
      </c>
      <c r="D858" s="47">
        <f t="shared" si="500"/>
        <v>29</v>
      </c>
      <c r="E858" s="45">
        <f>E830-E857</f>
        <v>14</v>
      </c>
      <c r="F858" s="46">
        <f t="shared" ref="F858" si="528">F830-F857</f>
        <v>12</v>
      </c>
      <c r="G858" s="47">
        <f t="shared" si="501"/>
        <v>26</v>
      </c>
      <c r="H858" s="34">
        <f t="shared" si="502"/>
        <v>55</v>
      </c>
      <c r="J858" s="44" t="s">
        <v>15</v>
      </c>
      <c r="K858" s="45">
        <f>K830-K857</f>
        <v>601</v>
      </c>
      <c r="L858" s="46">
        <f t="shared" ref="L858" si="529">L830-L857</f>
        <v>310</v>
      </c>
      <c r="M858" s="47">
        <f t="shared" si="503"/>
        <v>911</v>
      </c>
      <c r="N858" s="45">
        <f>N830-N857</f>
        <v>247</v>
      </c>
      <c r="O858" s="46">
        <f t="shared" ref="O858" si="530">O830-O857</f>
        <v>11</v>
      </c>
      <c r="P858" s="47">
        <f t="shared" si="504"/>
        <v>258</v>
      </c>
      <c r="Q858" s="34">
        <f t="shared" si="505"/>
        <v>1169</v>
      </c>
      <c r="S858" s="44" t="s">
        <v>15</v>
      </c>
      <c r="T858" s="45">
        <f>T830-T857</f>
        <v>1011</v>
      </c>
      <c r="U858" s="46">
        <f t="shared" ref="U858" si="531">U830-U857</f>
        <v>715</v>
      </c>
      <c r="V858" s="47">
        <f t="shared" si="506"/>
        <v>1726</v>
      </c>
      <c r="W858" s="45">
        <f>W830-W857</f>
        <v>1532</v>
      </c>
      <c r="X858" s="46">
        <f t="shared" ref="X858" si="532">X830-X857</f>
        <v>783</v>
      </c>
      <c r="Y858" s="47">
        <f t="shared" si="507"/>
        <v>2315</v>
      </c>
      <c r="Z858" s="34">
        <f t="shared" si="508"/>
        <v>4041</v>
      </c>
    </row>
    <row r="861" spans="1:26" ht="19.5" thickBot="1" x14ac:dyDescent="0.25">
      <c r="A861" s="1" t="s">
        <v>23</v>
      </c>
      <c r="J861" s="1" t="s">
        <v>24</v>
      </c>
      <c r="K861" s="2"/>
      <c r="L861" s="2"/>
      <c r="M861" s="2"/>
      <c r="N861" s="2"/>
      <c r="O861" s="1" t="s">
        <v>34</v>
      </c>
      <c r="P861" s="2"/>
      <c r="Q861" s="2"/>
      <c r="S861" s="1" t="s">
        <v>24</v>
      </c>
      <c r="T861" s="2"/>
      <c r="U861" s="2"/>
      <c r="V861" s="2"/>
      <c r="W861" s="2"/>
      <c r="X861" s="1" t="s">
        <v>34</v>
      </c>
      <c r="Y861" s="2"/>
      <c r="Z861" s="2"/>
    </row>
    <row r="862" spans="1:26" ht="14.25" thickBot="1" x14ac:dyDescent="0.2">
      <c r="A862" s="3" t="s">
        <v>0</v>
      </c>
      <c r="B862" s="125" t="s">
        <v>18</v>
      </c>
      <c r="C862" s="126"/>
      <c r="D862" s="127"/>
      <c r="E862" s="125" t="s">
        <v>19</v>
      </c>
      <c r="F862" s="126"/>
      <c r="G862" s="128"/>
      <c r="H862" s="129" t="s">
        <v>1</v>
      </c>
      <c r="J862" s="3" t="s">
        <v>0</v>
      </c>
      <c r="K862" s="125" t="s">
        <v>18</v>
      </c>
      <c r="L862" s="126"/>
      <c r="M862" s="127"/>
      <c r="N862" s="125" t="s">
        <v>19</v>
      </c>
      <c r="O862" s="126"/>
      <c r="P862" s="128"/>
      <c r="Q862" s="129" t="s">
        <v>1</v>
      </c>
      <c r="S862" s="3" t="s">
        <v>0</v>
      </c>
      <c r="T862" s="125" t="s">
        <v>18</v>
      </c>
      <c r="U862" s="126"/>
      <c r="V862" s="127"/>
      <c r="W862" s="125" t="s">
        <v>19</v>
      </c>
      <c r="X862" s="126"/>
      <c r="Y862" s="128"/>
      <c r="Z862" s="129" t="s">
        <v>1</v>
      </c>
    </row>
    <row r="863" spans="1:26" ht="14.25" thickBot="1" x14ac:dyDescent="0.2">
      <c r="A863" s="3" t="s">
        <v>2</v>
      </c>
      <c r="B863" s="4" t="s">
        <v>16</v>
      </c>
      <c r="C863" s="5" t="s">
        <v>17</v>
      </c>
      <c r="D863" s="3" t="s">
        <v>3</v>
      </c>
      <c r="E863" s="4" t="s">
        <v>16</v>
      </c>
      <c r="F863" s="5" t="s">
        <v>17</v>
      </c>
      <c r="G863" s="3" t="s">
        <v>3</v>
      </c>
      <c r="H863" s="130"/>
      <c r="J863" s="3" t="s">
        <v>2</v>
      </c>
      <c r="K863" s="4" t="s">
        <v>16</v>
      </c>
      <c r="L863" s="5" t="s">
        <v>17</v>
      </c>
      <c r="M863" s="3" t="s">
        <v>3</v>
      </c>
      <c r="N863" s="4" t="s">
        <v>16</v>
      </c>
      <c r="O863" s="5" t="s">
        <v>17</v>
      </c>
      <c r="P863" s="3" t="s">
        <v>3</v>
      </c>
      <c r="Q863" s="130"/>
      <c r="S863" s="3" t="s">
        <v>2</v>
      </c>
      <c r="T863" s="4" t="s">
        <v>16</v>
      </c>
      <c r="U863" s="5" t="s">
        <v>17</v>
      </c>
      <c r="V863" s="3" t="s">
        <v>3</v>
      </c>
      <c r="W863" s="4" t="s">
        <v>16</v>
      </c>
      <c r="X863" s="5" t="s">
        <v>17</v>
      </c>
      <c r="Y863" s="3" t="s">
        <v>3</v>
      </c>
      <c r="Z863" s="130"/>
    </row>
    <row r="864" spans="1:26" ht="14.25" thickBot="1" x14ac:dyDescent="0.2">
      <c r="A864" s="6" t="s">
        <v>55</v>
      </c>
      <c r="B864" s="32">
        <f>B858</f>
        <v>14</v>
      </c>
      <c r="C864" s="33">
        <f>C858</f>
        <v>15</v>
      </c>
      <c r="D864" s="34">
        <f t="shared" ref="D864:D901" si="533">SUM(B864:C864)</f>
        <v>29</v>
      </c>
      <c r="E864" s="32">
        <f>E858</f>
        <v>14</v>
      </c>
      <c r="F864" s="33">
        <f>F858</f>
        <v>12</v>
      </c>
      <c r="G864" s="34">
        <f t="shared" ref="G864:G901" si="534">SUM(E864:F864)</f>
        <v>26</v>
      </c>
      <c r="H864" s="34">
        <f t="shared" ref="H864:H901" si="535">D864+G864</f>
        <v>55</v>
      </c>
      <c r="J864" s="6" t="s">
        <v>55</v>
      </c>
      <c r="K864" s="7">
        <f>K858</f>
        <v>601</v>
      </c>
      <c r="L864" s="8">
        <f>L858</f>
        <v>310</v>
      </c>
      <c r="M864" s="9">
        <f t="shared" ref="M864:M901" si="536">SUM(K864:L864)</f>
        <v>911</v>
      </c>
      <c r="N864" s="7">
        <f>N858</f>
        <v>247</v>
      </c>
      <c r="O864" s="8">
        <f>O858</f>
        <v>11</v>
      </c>
      <c r="P864" s="9">
        <f t="shared" ref="P864:P901" si="537">SUM(N864:O864)</f>
        <v>258</v>
      </c>
      <c r="Q864" s="9">
        <f t="shared" ref="Q864:Q901" si="538">M864+P864</f>
        <v>1169</v>
      </c>
      <c r="S864" s="6" t="s">
        <v>55</v>
      </c>
      <c r="T864" s="7">
        <f>T858</f>
        <v>1011</v>
      </c>
      <c r="U864" s="8">
        <f>U858</f>
        <v>715</v>
      </c>
      <c r="V864" s="9">
        <f t="shared" ref="V864:V901" si="539">SUM(T864:U864)</f>
        <v>1726</v>
      </c>
      <c r="W864" s="7">
        <f>W858</f>
        <v>1532</v>
      </c>
      <c r="X864" s="8">
        <f>X858</f>
        <v>783</v>
      </c>
      <c r="Y864" s="9">
        <f t="shared" ref="Y864:Y901" si="540">SUM(W864:X864)</f>
        <v>2315</v>
      </c>
      <c r="Z864" s="9">
        <f t="shared" ref="Z864:Z901" si="541">V864+Y864</f>
        <v>4041</v>
      </c>
    </row>
    <row r="865" spans="1:28" x14ac:dyDescent="0.15">
      <c r="A865" s="10" t="s">
        <v>5</v>
      </c>
      <c r="B865" s="15">
        <v>5</v>
      </c>
      <c r="C865" s="16">
        <v>5</v>
      </c>
      <c r="D865" s="17">
        <f t="shared" si="533"/>
        <v>10</v>
      </c>
      <c r="E865" s="18">
        <v>5</v>
      </c>
      <c r="F865" s="16">
        <v>5</v>
      </c>
      <c r="G865" s="17">
        <f t="shared" si="534"/>
        <v>10</v>
      </c>
      <c r="H865" s="17">
        <f t="shared" si="535"/>
        <v>20</v>
      </c>
      <c r="I865" s="81">
        <v>44896</v>
      </c>
      <c r="J865" s="10" t="s">
        <v>5</v>
      </c>
      <c r="K865" s="11"/>
      <c r="L865" s="12"/>
      <c r="M865" s="13">
        <f t="shared" si="536"/>
        <v>0</v>
      </c>
      <c r="N865" s="62"/>
      <c r="O865" s="12"/>
      <c r="P865" s="13">
        <f t="shared" si="537"/>
        <v>0</v>
      </c>
      <c r="Q865" s="13">
        <f t="shared" si="538"/>
        <v>0</v>
      </c>
      <c r="S865" s="10" t="s">
        <v>5</v>
      </c>
      <c r="T865" s="11"/>
      <c r="U865" s="12"/>
      <c r="V865" s="13">
        <f t="shared" si="539"/>
        <v>0</v>
      </c>
      <c r="W865" s="62"/>
      <c r="X865" s="12"/>
      <c r="Y865" s="13">
        <f t="shared" si="540"/>
        <v>0</v>
      </c>
      <c r="Z865" s="13">
        <f t="shared" si="541"/>
        <v>0</v>
      </c>
    </row>
    <row r="866" spans="1:28" x14ac:dyDescent="0.15">
      <c r="A866" s="10" t="s">
        <v>6</v>
      </c>
      <c r="B866" s="15">
        <v>10</v>
      </c>
      <c r="C866" s="16">
        <v>10</v>
      </c>
      <c r="D866" s="17">
        <f t="shared" si="533"/>
        <v>20</v>
      </c>
      <c r="E866" s="18">
        <v>15</v>
      </c>
      <c r="F866" s="16">
        <v>15</v>
      </c>
      <c r="G866" s="17">
        <f t="shared" si="534"/>
        <v>30</v>
      </c>
      <c r="H866" s="17">
        <f t="shared" si="535"/>
        <v>50</v>
      </c>
      <c r="I866" s="81">
        <v>44903</v>
      </c>
      <c r="J866" s="10" t="s">
        <v>6</v>
      </c>
      <c r="K866" s="15"/>
      <c r="L866" s="16"/>
      <c r="M866" s="17">
        <f t="shared" si="536"/>
        <v>0</v>
      </c>
      <c r="N866" s="18"/>
      <c r="O866" s="16"/>
      <c r="P866" s="17">
        <f t="shared" si="537"/>
        <v>0</v>
      </c>
      <c r="Q866" s="17">
        <f t="shared" si="538"/>
        <v>0</v>
      </c>
      <c r="R866" s="81"/>
      <c r="S866" s="10" t="s">
        <v>6</v>
      </c>
      <c r="T866" s="15"/>
      <c r="U866" s="16"/>
      <c r="V866" s="17">
        <f t="shared" si="539"/>
        <v>0</v>
      </c>
      <c r="W866" s="18"/>
      <c r="X866" s="16"/>
      <c r="Y866" s="17">
        <f t="shared" si="540"/>
        <v>0</v>
      </c>
      <c r="Z866" s="17">
        <f t="shared" si="541"/>
        <v>0</v>
      </c>
    </row>
    <row r="867" spans="1:28" x14ac:dyDescent="0.15">
      <c r="A867" s="10" t="s">
        <v>61</v>
      </c>
      <c r="B867" s="15">
        <v>3</v>
      </c>
      <c r="C867" s="16"/>
      <c r="D867" s="17">
        <f t="shared" si="533"/>
        <v>3</v>
      </c>
      <c r="E867" s="18">
        <v>3</v>
      </c>
      <c r="F867" s="16"/>
      <c r="G867" s="17">
        <f t="shared" si="534"/>
        <v>3</v>
      </c>
      <c r="H867" s="17">
        <f t="shared" si="535"/>
        <v>6</v>
      </c>
      <c r="I867" s="81">
        <v>44904</v>
      </c>
      <c r="J867" s="10" t="s">
        <v>7</v>
      </c>
      <c r="K867" s="15"/>
      <c r="L867" s="16"/>
      <c r="M867" s="17">
        <f t="shared" ref="M867" si="542">SUM(K867:L867)</f>
        <v>0</v>
      </c>
      <c r="N867" s="18"/>
      <c r="O867" s="16"/>
      <c r="P867" s="17">
        <f t="shared" ref="P867" si="543">SUM(N867:O867)</f>
        <v>0</v>
      </c>
      <c r="Q867" s="17">
        <f t="shared" ref="Q867" si="544">M867+P867</f>
        <v>0</v>
      </c>
      <c r="R867" s="83"/>
      <c r="S867" s="10" t="s">
        <v>7</v>
      </c>
      <c r="T867" s="19"/>
      <c r="U867" s="20"/>
      <c r="V867" s="17">
        <f t="shared" si="539"/>
        <v>0</v>
      </c>
      <c r="W867" s="21"/>
      <c r="X867" s="20"/>
      <c r="Y867" s="17">
        <f t="shared" si="540"/>
        <v>0</v>
      </c>
      <c r="Z867" s="17">
        <f t="shared" si="541"/>
        <v>0</v>
      </c>
    </row>
    <row r="868" spans="1:28" x14ac:dyDescent="0.15">
      <c r="A868" s="10" t="s">
        <v>8</v>
      </c>
      <c r="B868" s="15">
        <v>5</v>
      </c>
      <c r="C868" s="16"/>
      <c r="D868" s="17">
        <f t="shared" si="533"/>
        <v>5</v>
      </c>
      <c r="E868" s="18"/>
      <c r="F868" s="16">
        <v>5</v>
      </c>
      <c r="G868" s="17">
        <f t="shared" si="534"/>
        <v>5</v>
      </c>
      <c r="H868" s="17">
        <f t="shared" si="535"/>
        <v>10</v>
      </c>
      <c r="I868" s="81">
        <v>44917</v>
      </c>
      <c r="J868" s="10" t="s">
        <v>8</v>
      </c>
      <c r="K868" s="15"/>
      <c r="L868" s="16"/>
      <c r="M868" s="17">
        <f t="shared" si="536"/>
        <v>0</v>
      </c>
      <c r="N868" s="18"/>
      <c r="O868" s="16"/>
      <c r="P868" s="17">
        <f t="shared" si="537"/>
        <v>0</v>
      </c>
      <c r="Q868" s="17">
        <f t="shared" si="538"/>
        <v>0</v>
      </c>
      <c r="R868" s="83"/>
      <c r="S868" s="10" t="s">
        <v>8</v>
      </c>
      <c r="T868" s="15"/>
      <c r="U868" s="16"/>
      <c r="V868" s="17">
        <f t="shared" si="539"/>
        <v>0</v>
      </c>
      <c r="W868" s="18"/>
      <c r="X868" s="16"/>
      <c r="Y868" s="17">
        <f t="shared" si="540"/>
        <v>0</v>
      </c>
      <c r="Z868" s="17">
        <f t="shared" si="541"/>
        <v>0</v>
      </c>
    </row>
    <row r="869" spans="1:28" x14ac:dyDescent="0.15">
      <c r="A869" s="10" t="s">
        <v>61</v>
      </c>
      <c r="B869" s="15"/>
      <c r="C869" s="16">
        <v>1</v>
      </c>
      <c r="D869" s="17">
        <f t="shared" si="533"/>
        <v>1</v>
      </c>
      <c r="E869" s="18"/>
      <c r="F869" s="16">
        <v>1</v>
      </c>
      <c r="G869" s="17">
        <f t="shared" si="534"/>
        <v>1</v>
      </c>
      <c r="H869" s="17">
        <f t="shared" si="535"/>
        <v>2</v>
      </c>
      <c r="I869" s="84">
        <v>44922</v>
      </c>
      <c r="J869" s="10" t="s">
        <v>9</v>
      </c>
      <c r="K869" s="15"/>
      <c r="L869" s="16"/>
      <c r="M869" s="17">
        <f t="shared" si="536"/>
        <v>0</v>
      </c>
      <c r="N869" s="18"/>
      <c r="O869" s="16"/>
      <c r="P869" s="17">
        <f t="shared" si="537"/>
        <v>0</v>
      </c>
      <c r="Q869" s="17">
        <f t="shared" si="538"/>
        <v>0</v>
      </c>
      <c r="R869" s="83"/>
      <c r="S869" s="10" t="s">
        <v>9</v>
      </c>
      <c r="T869" s="15"/>
      <c r="U869" s="16"/>
      <c r="V869" s="17">
        <f t="shared" si="539"/>
        <v>0</v>
      </c>
      <c r="W869" s="18"/>
      <c r="X869" s="16"/>
      <c r="Y869" s="17">
        <f t="shared" si="540"/>
        <v>0</v>
      </c>
      <c r="Z869" s="17">
        <f t="shared" si="541"/>
        <v>0</v>
      </c>
    </row>
    <row r="870" spans="1:28" x14ac:dyDescent="0.15">
      <c r="A870" s="10" t="s">
        <v>10</v>
      </c>
      <c r="B870" s="15"/>
      <c r="C870" s="16"/>
      <c r="D870" s="17">
        <f t="shared" si="533"/>
        <v>0</v>
      </c>
      <c r="E870" s="18"/>
      <c r="F870" s="16"/>
      <c r="G870" s="17">
        <f t="shared" si="534"/>
        <v>0</v>
      </c>
      <c r="H870" s="17">
        <f t="shared" si="535"/>
        <v>0</v>
      </c>
      <c r="J870" s="10" t="s">
        <v>10</v>
      </c>
      <c r="K870" s="15"/>
      <c r="L870" s="16"/>
      <c r="M870" s="17">
        <f t="shared" si="536"/>
        <v>0</v>
      </c>
      <c r="N870" s="18"/>
      <c r="O870" s="16"/>
      <c r="P870" s="17">
        <f t="shared" si="537"/>
        <v>0</v>
      </c>
      <c r="Q870" s="17">
        <f t="shared" si="538"/>
        <v>0</v>
      </c>
      <c r="S870" s="10" t="s">
        <v>10</v>
      </c>
      <c r="T870" s="15"/>
      <c r="U870" s="16"/>
      <c r="V870" s="17">
        <f t="shared" si="539"/>
        <v>0</v>
      </c>
      <c r="W870" s="18"/>
      <c r="X870" s="16"/>
      <c r="Y870" s="17">
        <f t="shared" si="540"/>
        <v>0</v>
      </c>
      <c r="Z870" s="17">
        <f t="shared" si="541"/>
        <v>0</v>
      </c>
    </row>
    <row r="871" spans="1:28" x14ac:dyDescent="0.15">
      <c r="A871" s="10" t="s">
        <v>11</v>
      </c>
      <c r="B871" s="23"/>
      <c r="C871" s="24"/>
      <c r="D871" s="17">
        <f t="shared" si="533"/>
        <v>0</v>
      </c>
      <c r="E871" s="25"/>
      <c r="F871" s="24"/>
      <c r="G871" s="17">
        <f t="shared" si="534"/>
        <v>0</v>
      </c>
      <c r="H871" s="17">
        <f t="shared" si="535"/>
        <v>0</v>
      </c>
      <c r="J871" s="10" t="s">
        <v>11</v>
      </c>
      <c r="K871" s="23"/>
      <c r="L871" s="24"/>
      <c r="M871" s="17">
        <f t="shared" si="536"/>
        <v>0</v>
      </c>
      <c r="N871" s="25"/>
      <c r="O871" s="24"/>
      <c r="P871" s="17">
        <f t="shared" si="537"/>
        <v>0</v>
      </c>
      <c r="Q871" s="17">
        <f t="shared" si="538"/>
        <v>0</v>
      </c>
      <c r="S871" s="10" t="s">
        <v>11</v>
      </c>
      <c r="T871" s="23"/>
      <c r="U871" s="24"/>
      <c r="V871" s="17">
        <f t="shared" si="539"/>
        <v>0</v>
      </c>
      <c r="W871" s="25"/>
      <c r="X871" s="24"/>
      <c r="Y871" s="17">
        <f t="shared" si="540"/>
        <v>0</v>
      </c>
      <c r="Z871" s="17">
        <f t="shared" si="541"/>
        <v>0</v>
      </c>
    </row>
    <row r="872" spans="1:28" ht="14.25" thickBot="1" x14ac:dyDescent="0.2">
      <c r="A872" s="10" t="s">
        <v>12</v>
      </c>
      <c r="B872" s="26"/>
      <c r="C872" s="27"/>
      <c r="D872" s="28">
        <f t="shared" si="533"/>
        <v>0</v>
      </c>
      <c r="E872" s="29"/>
      <c r="F872" s="29">
        <v>1</v>
      </c>
      <c r="G872" s="28">
        <f t="shared" si="534"/>
        <v>1</v>
      </c>
      <c r="H872" s="30">
        <f t="shared" si="535"/>
        <v>1</v>
      </c>
      <c r="J872" s="10" t="s">
        <v>12</v>
      </c>
      <c r="K872" s="26"/>
      <c r="L872" s="27"/>
      <c r="M872" s="28">
        <f t="shared" si="536"/>
        <v>0</v>
      </c>
      <c r="N872" s="29"/>
      <c r="O872" s="29"/>
      <c r="P872" s="28">
        <f t="shared" si="537"/>
        <v>0</v>
      </c>
      <c r="Q872" s="30">
        <f t="shared" si="538"/>
        <v>0</v>
      </c>
      <c r="S872" s="10" t="s">
        <v>12</v>
      </c>
      <c r="T872" s="26"/>
      <c r="U872" s="27"/>
      <c r="V872" s="28">
        <f t="shared" si="539"/>
        <v>0</v>
      </c>
      <c r="W872" s="29"/>
      <c r="X872" s="29"/>
      <c r="Y872" s="28">
        <f t="shared" si="540"/>
        <v>0</v>
      </c>
      <c r="Z872" s="30">
        <f t="shared" si="541"/>
        <v>0</v>
      </c>
    </row>
    <row r="873" spans="1:28" ht="14.25" thickBot="1" x14ac:dyDescent="0.2">
      <c r="A873" s="31" t="s">
        <v>13</v>
      </c>
      <c r="B873" s="32">
        <f>SUM(B864:B872)</f>
        <v>37</v>
      </c>
      <c r="C873" s="33">
        <f>SUM(C864:C872)</f>
        <v>31</v>
      </c>
      <c r="D873" s="34">
        <f t="shared" si="533"/>
        <v>68</v>
      </c>
      <c r="E873" s="32">
        <f>SUM(E864:E872)</f>
        <v>37</v>
      </c>
      <c r="F873" s="33">
        <f>SUM(F864:F872)</f>
        <v>39</v>
      </c>
      <c r="G873" s="34">
        <f t="shared" si="534"/>
        <v>76</v>
      </c>
      <c r="H873" s="34">
        <f t="shared" si="535"/>
        <v>144</v>
      </c>
      <c r="J873" s="31" t="s">
        <v>13</v>
      </c>
      <c r="K873" s="32">
        <f>SUM(K864:K872)</f>
        <v>601</v>
      </c>
      <c r="L873" s="33">
        <f>SUM(L864:L872)</f>
        <v>310</v>
      </c>
      <c r="M873" s="34">
        <f t="shared" si="536"/>
        <v>911</v>
      </c>
      <c r="N873" s="32">
        <f>SUM(N864:N872)</f>
        <v>247</v>
      </c>
      <c r="O873" s="33">
        <f>SUM(O864:O872)</f>
        <v>11</v>
      </c>
      <c r="P873" s="34">
        <f t="shared" si="537"/>
        <v>258</v>
      </c>
      <c r="Q873" s="34">
        <f t="shared" si="538"/>
        <v>1169</v>
      </c>
      <c r="S873" s="31" t="s">
        <v>13</v>
      </c>
      <c r="T873" s="32">
        <f>SUM(T864:T872)</f>
        <v>1011</v>
      </c>
      <c r="U873" s="33">
        <f>SUM(U864:U872)</f>
        <v>715</v>
      </c>
      <c r="V873" s="34">
        <f t="shared" si="539"/>
        <v>1726</v>
      </c>
      <c r="W873" s="32">
        <f>SUM(W864:W872)</f>
        <v>1532</v>
      </c>
      <c r="X873" s="33">
        <f>SUM(X864:X872)</f>
        <v>783</v>
      </c>
      <c r="Y873" s="34">
        <f t="shared" si="540"/>
        <v>2315</v>
      </c>
      <c r="Z873" s="34">
        <f t="shared" si="541"/>
        <v>4041</v>
      </c>
    </row>
    <row r="874" spans="1:28" x14ac:dyDescent="0.15">
      <c r="A874" s="35" t="s">
        <v>395</v>
      </c>
      <c r="B874" s="15">
        <v>4</v>
      </c>
      <c r="C874" s="16">
        <v>3</v>
      </c>
      <c r="D874" s="36">
        <f t="shared" si="533"/>
        <v>7</v>
      </c>
      <c r="E874" s="18">
        <v>4</v>
      </c>
      <c r="F874" s="16">
        <v>3</v>
      </c>
      <c r="G874" s="36">
        <f t="shared" si="534"/>
        <v>7</v>
      </c>
      <c r="H874" s="17">
        <f t="shared" si="535"/>
        <v>14</v>
      </c>
      <c r="I874" s="81">
        <v>44896</v>
      </c>
      <c r="J874" s="73" t="s">
        <v>91</v>
      </c>
      <c r="K874" s="19">
        <v>5</v>
      </c>
      <c r="L874" s="20">
        <v>5</v>
      </c>
      <c r="M874" s="17">
        <f t="shared" si="536"/>
        <v>10</v>
      </c>
      <c r="N874" s="21">
        <v>5</v>
      </c>
      <c r="O874" s="20">
        <v>5</v>
      </c>
      <c r="P874" s="17">
        <f t="shared" si="537"/>
        <v>10</v>
      </c>
      <c r="Q874" s="17">
        <f t="shared" si="538"/>
        <v>20</v>
      </c>
      <c r="R874" s="81">
        <v>44896</v>
      </c>
      <c r="S874" s="10"/>
      <c r="T874" s="15"/>
      <c r="U874" s="16"/>
      <c r="V874" s="36">
        <f t="shared" ref="V874" si="545">SUM(T874:U874)</f>
        <v>0</v>
      </c>
      <c r="W874" s="18"/>
      <c r="X874" s="16"/>
      <c r="Y874" s="36">
        <f t="shared" ref="Y874" si="546">SUM(W874:X874)</f>
        <v>0</v>
      </c>
      <c r="Z874" s="17">
        <f t="shared" ref="Z874" si="547">V874+Y874</f>
        <v>0</v>
      </c>
      <c r="AA874" s="22"/>
      <c r="AB874" s="22"/>
    </row>
    <row r="875" spans="1:28" x14ac:dyDescent="0.15">
      <c r="A875" s="35" t="s">
        <v>33</v>
      </c>
      <c r="B875" s="15"/>
      <c r="C875" s="16">
        <v>2</v>
      </c>
      <c r="D875" s="36">
        <f t="shared" si="533"/>
        <v>2</v>
      </c>
      <c r="E875" s="18"/>
      <c r="F875" s="16">
        <v>2</v>
      </c>
      <c r="G875" s="36">
        <f t="shared" si="534"/>
        <v>2</v>
      </c>
      <c r="H875" s="17">
        <f t="shared" si="535"/>
        <v>4</v>
      </c>
      <c r="I875" s="84">
        <v>44895</v>
      </c>
      <c r="J875" s="35" t="s">
        <v>400</v>
      </c>
      <c r="K875" s="15">
        <v>2</v>
      </c>
      <c r="L875" s="16">
        <v>3</v>
      </c>
      <c r="M875" s="17">
        <f t="shared" si="536"/>
        <v>5</v>
      </c>
      <c r="N875" s="18">
        <v>2</v>
      </c>
      <c r="O875" s="16">
        <v>3</v>
      </c>
      <c r="P875" s="17">
        <f t="shared" si="537"/>
        <v>5</v>
      </c>
      <c r="Q875" s="17">
        <f t="shared" si="538"/>
        <v>10</v>
      </c>
      <c r="R875" s="81">
        <v>44901</v>
      </c>
      <c r="S875" s="10"/>
      <c r="T875" s="15"/>
      <c r="U875" s="16"/>
      <c r="V875" s="36">
        <f t="shared" si="539"/>
        <v>0</v>
      </c>
      <c r="W875" s="18"/>
      <c r="X875" s="16"/>
      <c r="Y875" s="36">
        <f t="shared" si="540"/>
        <v>0</v>
      </c>
      <c r="Z875" s="17">
        <f t="shared" si="541"/>
        <v>0</v>
      </c>
      <c r="AA875" s="22"/>
      <c r="AB875" s="22"/>
    </row>
    <row r="876" spans="1:28" x14ac:dyDescent="0.15">
      <c r="A876" s="35" t="s">
        <v>398</v>
      </c>
      <c r="B876" s="15">
        <v>4</v>
      </c>
      <c r="C876" s="16"/>
      <c r="D876" s="36">
        <f t="shared" si="533"/>
        <v>4</v>
      </c>
      <c r="E876" s="18">
        <v>4</v>
      </c>
      <c r="F876" s="16"/>
      <c r="G876" s="36">
        <f t="shared" si="534"/>
        <v>4</v>
      </c>
      <c r="H876" s="17">
        <f t="shared" si="535"/>
        <v>8</v>
      </c>
      <c r="I876" s="81">
        <v>44897</v>
      </c>
      <c r="J876" s="35" t="s">
        <v>401</v>
      </c>
      <c r="K876" s="15"/>
      <c r="L876" s="16">
        <v>1</v>
      </c>
      <c r="M876" s="17">
        <f t="shared" si="536"/>
        <v>1</v>
      </c>
      <c r="N876" s="18"/>
      <c r="O876" s="16">
        <v>1</v>
      </c>
      <c r="P876" s="17">
        <f t="shared" si="537"/>
        <v>1</v>
      </c>
      <c r="Q876" s="17">
        <f t="shared" si="538"/>
        <v>2</v>
      </c>
      <c r="R876" s="81">
        <v>44902</v>
      </c>
      <c r="S876" s="10"/>
      <c r="T876" s="19"/>
      <c r="U876" s="20"/>
      <c r="V876" s="17">
        <f t="shared" si="539"/>
        <v>0</v>
      </c>
      <c r="W876" s="21"/>
      <c r="X876" s="20"/>
      <c r="Y876" s="17">
        <f t="shared" si="540"/>
        <v>0</v>
      </c>
      <c r="Z876" s="17">
        <f t="shared" si="541"/>
        <v>0</v>
      </c>
      <c r="AA876" s="22"/>
      <c r="AB876" s="22"/>
    </row>
    <row r="877" spans="1:28" x14ac:dyDescent="0.15">
      <c r="A877" s="35" t="s">
        <v>399</v>
      </c>
      <c r="B877" s="15">
        <v>1</v>
      </c>
      <c r="C877" s="16">
        <v>2</v>
      </c>
      <c r="D877" s="36">
        <f t="shared" si="533"/>
        <v>3</v>
      </c>
      <c r="E877" s="18">
        <v>1</v>
      </c>
      <c r="F877" s="16">
        <v>2</v>
      </c>
      <c r="G877" s="36">
        <f t="shared" si="534"/>
        <v>3</v>
      </c>
      <c r="H877" s="17">
        <f t="shared" si="535"/>
        <v>6</v>
      </c>
      <c r="I877" s="81">
        <v>44900</v>
      </c>
      <c r="J877" s="73" t="s">
        <v>91</v>
      </c>
      <c r="K877" s="15">
        <v>10</v>
      </c>
      <c r="L877" s="16">
        <v>10</v>
      </c>
      <c r="M877" s="17">
        <f t="shared" si="536"/>
        <v>20</v>
      </c>
      <c r="N877" s="18">
        <v>15</v>
      </c>
      <c r="O877" s="16">
        <v>15</v>
      </c>
      <c r="P877" s="17">
        <f t="shared" si="537"/>
        <v>30</v>
      </c>
      <c r="Q877" s="17">
        <f t="shared" si="538"/>
        <v>50</v>
      </c>
      <c r="R877" s="81">
        <v>44903</v>
      </c>
      <c r="S877" s="52"/>
      <c r="T877" s="15"/>
      <c r="U877" s="16"/>
      <c r="V877" s="17">
        <f t="shared" si="539"/>
        <v>0</v>
      </c>
      <c r="W877" s="18"/>
      <c r="X877" s="16"/>
      <c r="Y877" s="17">
        <f t="shared" si="540"/>
        <v>0</v>
      </c>
      <c r="Z877" s="17">
        <f t="shared" si="541"/>
        <v>0</v>
      </c>
      <c r="AA877" s="93"/>
    </row>
    <row r="878" spans="1:28" x14ac:dyDescent="0.15">
      <c r="A878" s="35" t="s">
        <v>33</v>
      </c>
      <c r="B878" s="15"/>
      <c r="C878" s="16"/>
      <c r="D878" s="36">
        <f t="shared" si="533"/>
        <v>0</v>
      </c>
      <c r="E878" s="18">
        <v>1</v>
      </c>
      <c r="F878" s="16"/>
      <c r="G878" s="36">
        <f t="shared" si="534"/>
        <v>1</v>
      </c>
      <c r="H878" s="17">
        <f t="shared" si="535"/>
        <v>1</v>
      </c>
      <c r="I878" s="81">
        <v>44897</v>
      </c>
      <c r="J878" s="35" t="s">
        <v>403</v>
      </c>
      <c r="K878" s="15">
        <v>5</v>
      </c>
      <c r="L878" s="16">
        <v>2</v>
      </c>
      <c r="M878" s="17">
        <f t="shared" si="536"/>
        <v>7</v>
      </c>
      <c r="N878" s="18">
        <v>5</v>
      </c>
      <c r="O878" s="16">
        <v>2</v>
      </c>
      <c r="P878" s="17">
        <f t="shared" si="537"/>
        <v>7</v>
      </c>
      <c r="Q878" s="17">
        <f t="shared" si="538"/>
        <v>14</v>
      </c>
      <c r="R878" s="81">
        <v>44904</v>
      </c>
      <c r="S878" s="10"/>
      <c r="T878" s="15"/>
      <c r="U878" s="16"/>
      <c r="V878" s="17">
        <f t="shared" si="539"/>
        <v>0</v>
      </c>
      <c r="W878" s="18"/>
      <c r="X878" s="16"/>
      <c r="Y878" s="17">
        <f t="shared" si="540"/>
        <v>0</v>
      </c>
      <c r="Z878" s="17">
        <f t="shared" si="541"/>
        <v>0</v>
      </c>
    </row>
    <row r="879" spans="1:28" x14ac:dyDescent="0.15">
      <c r="A879" s="35" t="s">
        <v>33</v>
      </c>
      <c r="B879" s="15"/>
      <c r="C879" s="16"/>
      <c r="D879" s="36">
        <f t="shared" si="533"/>
        <v>0</v>
      </c>
      <c r="E879" s="18"/>
      <c r="F879" s="16">
        <v>2</v>
      </c>
      <c r="G879" s="36">
        <f t="shared" si="534"/>
        <v>2</v>
      </c>
      <c r="H879" s="17">
        <f t="shared" si="535"/>
        <v>2</v>
      </c>
      <c r="I879" s="81">
        <v>44900</v>
      </c>
      <c r="J879" s="35" t="s">
        <v>406</v>
      </c>
      <c r="K879" s="15">
        <v>6</v>
      </c>
      <c r="L879" s="16">
        <v>5</v>
      </c>
      <c r="M879" s="36">
        <f t="shared" si="536"/>
        <v>11</v>
      </c>
      <c r="N879" s="18">
        <v>6</v>
      </c>
      <c r="O879" s="16">
        <v>5</v>
      </c>
      <c r="P879" s="36">
        <f t="shared" si="537"/>
        <v>11</v>
      </c>
      <c r="Q879" s="17">
        <f t="shared" si="538"/>
        <v>22</v>
      </c>
      <c r="R879" s="81">
        <v>44908</v>
      </c>
      <c r="S879" s="10"/>
      <c r="T879" s="15"/>
      <c r="U879" s="16"/>
      <c r="V879" s="36">
        <f t="shared" si="539"/>
        <v>0</v>
      </c>
      <c r="W879" s="18"/>
      <c r="X879" s="16"/>
      <c r="Y879" s="36">
        <f t="shared" si="540"/>
        <v>0</v>
      </c>
      <c r="Z879" s="17">
        <f t="shared" si="541"/>
        <v>0</v>
      </c>
    </row>
    <row r="880" spans="1:28" x14ac:dyDescent="0.15">
      <c r="A880" s="35" t="s">
        <v>402</v>
      </c>
      <c r="B880" s="15"/>
      <c r="C880" s="16">
        <v>1</v>
      </c>
      <c r="D880" s="36">
        <f t="shared" si="533"/>
        <v>1</v>
      </c>
      <c r="E880" s="18"/>
      <c r="F880" s="16">
        <v>1</v>
      </c>
      <c r="G880" s="36">
        <f t="shared" si="534"/>
        <v>1</v>
      </c>
      <c r="H880" s="17">
        <f t="shared" si="535"/>
        <v>2</v>
      </c>
      <c r="I880" s="81">
        <v>44903</v>
      </c>
      <c r="J880" s="35" t="s">
        <v>408</v>
      </c>
      <c r="K880" s="15">
        <v>4</v>
      </c>
      <c r="L880" s="16">
        <v>2</v>
      </c>
      <c r="M880" s="36">
        <f t="shared" si="536"/>
        <v>6</v>
      </c>
      <c r="N880" s="18">
        <v>4</v>
      </c>
      <c r="O880" s="16">
        <v>2</v>
      </c>
      <c r="P880" s="36">
        <f t="shared" si="537"/>
        <v>6</v>
      </c>
      <c r="Q880" s="17">
        <f t="shared" si="538"/>
        <v>12</v>
      </c>
      <c r="R880" s="81">
        <v>44914</v>
      </c>
      <c r="S880" s="10"/>
      <c r="T880" s="15"/>
      <c r="U880" s="16"/>
      <c r="V880" s="36">
        <f t="shared" si="539"/>
        <v>0</v>
      </c>
      <c r="W880" s="18"/>
      <c r="X880" s="16"/>
      <c r="Y880" s="36">
        <f t="shared" si="540"/>
        <v>0</v>
      </c>
      <c r="Z880" s="17">
        <f t="shared" si="541"/>
        <v>0</v>
      </c>
    </row>
    <row r="881" spans="1:26" x14ac:dyDescent="0.15">
      <c r="A881" s="35" t="s">
        <v>404</v>
      </c>
      <c r="B881" s="15">
        <v>4</v>
      </c>
      <c r="C881" s="16">
        <v>1</v>
      </c>
      <c r="D881" s="36">
        <f t="shared" si="533"/>
        <v>5</v>
      </c>
      <c r="E881" s="18">
        <v>4</v>
      </c>
      <c r="F881" s="16">
        <v>1</v>
      </c>
      <c r="G881" s="36">
        <f t="shared" si="534"/>
        <v>5</v>
      </c>
      <c r="H881" s="17">
        <f t="shared" si="535"/>
        <v>10</v>
      </c>
      <c r="I881" s="81">
        <v>44907</v>
      </c>
      <c r="J881" s="35" t="s">
        <v>410</v>
      </c>
      <c r="K881" s="19"/>
      <c r="L881" s="20">
        <v>2</v>
      </c>
      <c r="M881" s="17">
        <f t="shared" si="536"/>
        <v>2</v>
      </c>
      <c r="N881" s="21"/>
      <c r="O881" s="20">
        <v>2</v>
      </c>
      <c r="P881" s="17">
        <f t="shared" si="537"/>
        <v>2</v>
      </c>
      <c r="Q881" s="17">
        <f t="shared" si="538"/>
        <v>4</v>
      </c>
      <c r="R881" s="81">
        <v>44915</v>
      </c>
      <c r="S881" s="52"/>
      <c r="T881" s="15"/>
      <c r="U881" s="16"/>
      <c r="V881" s="36">
        <f t="shared" si="539"/>
        <v>0</v>
      </c>
      <c r="W881" s="18"/>
      <c r="X881" s="16"/>
      <c r="Y881" s="36">
        <f t="shared" si="540"/>
        <v>0</v>
      </c>
      <c r="Z881" s="17">
        <f t="shared" si="541"/>
        <v>0</v>
      </c>
    </row>
    <row r="882" spans="1:26" x14ac:dyDescent="0.15">
      <c r="A882" s="35" t="s">
        <v>405</v>
      </c>
      <c r="B882" s="15"/>
      <c r="C882" s="16"/>
      <c r="D882" s="36">
        <f t="shared" si="533"/>
        <v>0</v>
      </c>
      <c r="E882" s="18">
        <v>1</v>
      </c>
      <c r="F882" s="16"/>
      <c r="G882" s="36">
        <f t="shared" si="534"/>
        <v>1</v>
      </c>
      <c r="H882" s="17">
        <f t="shared" si="535"/>
        <v>1</v>
      </c>
      <c r="I882" s="81">
        <v>44905</v>
      </c>
      <c r="J882" s="35" t="s">
        <v>411</v>
      </c>
      <c r="K882" s="19"/>
      <c r="L882" s="20">
        <v>3</v>
      </c>
      <c r="M882" s="17">
        <f t="shared" si="536"/>
        <v>3</v>
      </c>
      <c r="N882" s="21"/>
      <c r="O882" s="20">
        <v>3</v>
      </c>
      <c r="P882" s="17">
        <f t="shared" si="537"/>
        <v>3</v>
      </c>
      <c r="Q882" s="17">
        <f t="shared" si="538"/>
        <v>6</v>
      </c>
      <c r="R882" s="81">
        <v>44916</v>
      </c>
      <c r="S882" s="10"/>
      <c r="T882" s="19"/>
      <c r="U882" s="20"/>
      <c r="V882" s="17">
        <f t="shared" si="539"/>
        <v>0</v>
      </c>
      <c r="W882" s="21"/>
      <c r="X882" s="20"/>
      <c r="Y882" s="17">
        <f t="shared" si="540"/>
        <v>0</v>
      </c>
      <c r="Z882" s="17">
        <f t="shared" si="541"/>
        <v>0</v>
      </c>
    </row>
    <row r="883" spans="1:26" x14ac:dyDescent="0.15">
      <c r="A883" s="35" t="s">
        <v>33</v>
      </c>
      <c r="B883" s="15"/>
      <c r="C883" s="16"/>
      <c r="D883" s="36">
        <f t="shared" si="533"/>
        <v>0</v>
      </c>
      <c r="E883" s="18">
        <v>1</v>
      </c>
      <c r="F883" s="16">
        <v>1</v>
      </c>
      <c r="G883" s="36">
        <f t="shared" si="534"/>
        <v>2</v>
      </c>
      <c r="H883" s="17">
        <f t="shared" si="535"/>
        <v>2</v>
      </c>
      <c r="I883" s="84">
        <v>44904</v>
      </c>
      <c r="J883" s="73" t="s">
        <v>91</v>
      </c>
      <c r="K883" s="23">
        <v>5</v>
      </c>
      <c r="L883" s="24"/>
      <c r="M883" s="36">
        <f t="shared" si="536"/>
        <v>5</v>
      </c>
      <c r="N883" s="25"/>
      <c r="O883" s="24">
        <v>5</v>
      </c>
      <c r="P883" s="36">
        <f t="shared" si="537"/>
        <v>5</v>
      </c>
      <c r="Q883" s="17">
        <f t="shared" si="538"/>
        <v>10</v>
      </c>
      <c r="R883" s="81">
        <v>44917</v>
      </c>
      <c r="S883" s="35"/>
      <c r="T883" s="23"/>
      <c r="U883" s="24"/>
      <c r="V883" s="36">
        <f t="shared" si="539"/>
        <v>0</v>
      </c>
      <c r="W883" s="25"/>
      <c r="X883" s="24"/>
      <c r="Y883" s="36">
        <f t="shared" si="540"/>
        <v>0</v>
      </c>
      <c r="Z883" s="17">
        <f t="shared" si="541"/>
        <v>0</v>
      </c>
    </row>
    <row r="884" spans="1:26" x14ac:dyDescent="0.15">
      <c r="A884" s="35" t="s">
        <v>33</v>
      </c>
      <c r="B884" s="15">
        <v>2</v>
      </c>
      <c r="C884" s="16"/>
      <c r="D884" s="36">
        <f t="shared" si="533"/>
        <v>2</v>
      </c>
      <c r="E884" s="18"/>
      <c r="F884" s="16"/>
      <c r="G884" s="36">
        <f t="shared" si="534"/>
        <v>0</v>
      </c>
      <c r="H884" s="17">
        <f t="shared" si="535"/>
        <v>2</v>
      </c>
      <c r="I884" s="84">
        <v>44907</v>
      </c>
      <c r="J884" s="35" t="s">
        <v>413</v>
      </c>
      <c r="K884" s="15">
        <v>4</v>
      </c>
      <c r="L884" s="16"/>
      <c r="M884" s="36">
        <f t="shared" si="536"/>
        <v>4</v>
      </c>
      <c r="N884" s="18">
        <v>4</v>
      </c>
      <c r="O884" s="16"/>
      <c r="P884" s="36">
        <f t="shared" si="537"/>
        <v>4</v>
      </c>
      <c r="Q884" s="17">
        <f t="shared" si="538"/>
        <v>8</v>
      </c>
      <c r="R884" s="81">
        <v>44918</v>
      </c>
      <c r="S884" s="35"/>
      <c r="T884" s="15"/>
      <c r="U884" s="16"/>
      <c r="V884" s="36">
        <f t="shared" si="539"/>
        <v>0</v>
      </c>
      <c r="W884" s="18"/>
      <c r="X884" s="16"/>
      <c r="Y884" s="36">
        <f t="shared" si="540"/>
        <v>0</v>
      </c>
      <c r="Z884" s="17">
        <f t="shared" si="541"/>
        <v>0</v>
      </c>
    </row>
    <row r="885" spans="1:26" x14ac:dyDescent="0.15">
      <c r="A885" s="35" t="s">
        <v>33</v>
      </c>
      <c r="B885" s="15"/>
      <c r="C885" s="16"/>
      <c r="D885" s="36">
        <f t="shared" si="533"/>
        <v>0</v>
      </c>
      <c r="E885" s="18"/>
      <c r="F885" s="16">
        <v>2</v>
      </c>
      <c r="G885" s="36">
        <f t="shared" si="534"/>
        <v>2</v>
      </c>
      <c r="H885" s="17">
        <f t="shared" si="535"/>
        <v>2</v>
      </c>
      <c r="I885" s="84">
        <v>44908</v>
      </c>
      <c r="J885" s="35" t="s">
        <v>414</v>
      </c>
      <c r="K885" s="15">
        <v>2</v>
      </c>
      <c r="L885" s="16">
        <v>6</v>
      </c>
      <c r="M885" s="36">
        <f t="shared" si="536"/>
        <v>8</v>
      </c>
      <c r="N885" s="18">
        <v>2</v>
      </c>
      <c r="O885" s="16">
        <v>6</v>
      </c>
      <c r="P885" s="36">
        <f t="shared" si="537"/>
        <v>8</v>
      </c>
      <c r="Q885" s="17">
        <f t="shared" si="538"/>
        <v>16</v>
      </c>
      <c r="R885" s="81">
        <v>44921</v>
      </c>
      <c r="S885" s="35"/>
      <c r="T885" s="15"/>
      <c r="U885" s="16"/>
      <c r="V885" s="36">
        <f t="shared" si="539"/>
        <v>0</v>
      </c>
      <c r="W885" s="18"/>
      <c r="X885" s="16"/>
      <c r="Y885" s="36">
        <f t="shared" si="540"/>
        <v>0</v>
      </c>
      <c r="Z885" s="17">
        <f t="shared" si="541"/>
        <v>0</v>
      </c>
    </row>
    <row r="886" spans="1:26" x14ac:dyDescent="0.15">
      <c r="A886" s="35" t="s">
        <v>407</v>
      </c>
      <c r="B886" s="15">
        <v>2</v>
      </c>
      <c r="C886" s="16"/>
      <c r="D886" s="36">
        <f t="shared" si="533"/>
        <v>2</v>
      </c>
      <c r="E886" s="18">
        <v>2</v>
      </c>
      <c r="F886" s="16"/>
      <c r="G886" s="36">
        <f t="shared" si="534"/>
        <v>2</v>
      </c>
      <c r="H886" s="17">
        <f t="shared" si="535"/>
        <v>4</v>
      </c>
      <c r="I886" s="81">
        <v>44910</v>
      </c>
      <c r="J886" s="35" t="s">
        <v>417</v>
      </c>
      <c r="K886" s="15">
        <v>1</v>
      </c>
      <c r="L886" s="16">
        <v>4</v>
      </c>
      <c r="M886" s="36">
        <f t="shared" si="536"/>
        <v>5</v>
      </c>
      <c r="N886" s="18">
        <v>1</v>
      </c>
      <c r="O886" s="16">
        <v>4</v>
      </c>
      <c r="P886" s="36">
        <f t="shared" si="537"/>
        <v>5</v>
      </c>
      <c r="Q886" s="17">
        <f t="shared" si="538"/>
        <v>10</v>
      </c>
      <c r="R886" s="81">
        <v>44922</v>
      </c>
      <c r="S886" s="35"/>
      <c r="T886" s="15"/>
      <c r="U886" s="16"/>
      <c r="V886" s="36">
        <f t="shared" si="539"/>
        <v>0</v>
      </c>
      <c r="W886" s="18"/>
      <c r="X886" s="16"/>
      <c r="Y886" s="36">
        <f t="shared" si="540"/>
        <v>0</v>
      </c>
      <c r="Z886" s="17">
        <f t="shared" si="541"/>
        <v>0</v>
      </c>
    </row>
    <row r="887" spans="1:26" x14ac:dyDescent="0.15">
      <c r="A887" s="35" t="s">
        <v>33</v>
      </c>
      <c r="B887" s="15"/>
      <c r="C887" s="16"/>
      <c r="D887" s="36">
        <f t="shared" si="533"/>
        <v>0</v>
      </c>
      <c r="E887" s="18">
        <v>1</v>
      </c>
      <c r="F887" s="16"/>
      <c r="G887" s="36">
        <f t="shared" si="534"/>
        <v>1</v>
      </c>
      <c r="H887" s="17">
        <f t="shared" si="535"/>
        <v>1</v>
      </c>
      <c r="I887" s="84">
        <v>44911</v>
      </c>
      <c r="J887" s="35"/>
      <c r="K887" s="15"/>
      <c r="L887" s="16"/>
      <c r="M887" s="17">
        <f t="shared" si="536"/>
        <v>0</v>
      </c>
      <c r="N887" s="18"/>
      <c r="O887" s="16"/>
      <c r="P887" s="17">
        <f t="shared" si="537"/>
        <v>0</v>
      </c>
      <c r="Q887" s="17">
        <f t="shared" si="538"/>
        <v>0</v>
      </c>
      <c r="R887" s="81"/>
      <c r="S887" s="10"/>
      <c r="T887" s="15"/>
      <c r="U887" s="16"/>
      <c r="V887" s="17">
        <f t="shared" si="539"/>
        <v>0</v>
      </c>
      <c r="W887" s="18"/>
      <c r="X887" s="16"/>
      <c r="Y887" s="17">
        <f t="shared" si="540"/>
        <v>0</v>
      </c>
      <c r="Z887" s="17">
        <f t="shared" si="541"/>
        <v>0</v>
      </c>
    </row>
    <row r="888" spans="1:26" x14ac:dyDescent="0.15">
      <c r="A888" s="35" t="s">
        <v>283</v>
      </c>
      <c r="B888" s="15">
        <v>1</v>
      </c>
      <c r="C888" s="16"/>
      <c r="D888" s="36">
        <f t="shared" si="533"/>
        <v>1</v>
      </c>
      <c r="E888" s="18"/>
      <c r="F888" s="16"/>
      <c r="G888" s="36">
        <f t="shared" si="534"/>
        <v>0</v>
      </c>
      <c r="H888" s="17">
        <f t="shared" si="535"/>
        <v>1</v>
      </c>
      <c r="I888" s="81">
        <v>44915</v>
      </c>
      <c r="J888" s="52"/>
      <c r="K888" s="15"/>
      <c r="L888" s="16"/>
      <c r="M888" s="17">
        <f t="shared" si="536"/>
        <v>0</v>
      </c>
      <c r="N888" s="18"/>
      <c r="O888" s="16"/>
      <c r="P888" s="17">
        <f t="shared" si="537"/>
        <v>0</v>
      </c>
      <c r="Q888" s="17">
        <f t="shared" si="538"/>
        <v>0</v>
      </c>
      <c r="R888" s="81"/>
      <c r="S888" s="35"/>
      <c r="T888" s="15"/>
      <c r="U888" s="16"/>
      <c r="V888" s="36">
        <f t="shared" si="539"/>
        <v>0</v>
      </c>
      <c r="W888" s="18"/>
      <c r="X888" s="16"/>
      <c r="Y888" s="36">
        <f t="shared" si="540"/>
        <v>0</v>
      </c>
      <c r="Z888" s="17">
        <f t="shared" si="541"/>
        <v>0</v>
      </c>
    </row>
    <row r="889" spans="1:26" x14ac:dyDescent="0.15">
      <c r="A889" s="35" t="s">
        <v>33</v>
      </c>
      <c r="B889" s="15"/>
      <c r="C889" s="16"/>
      <c r="D889" s="36">
        <f t="shared" si="533"/>
        <v>0</v>
      </c>
      <c r="E889" s="18"/>
      <c r="F889" s="16">
        <v>3</v>
      </c>
      <c r="G889" s="36">
        <f t="shared" si="534"/>
        <v>3</v>
      </c>
      <c r="H889" s="17">
        <f t="shared" si="535"/>
        <v>3</v>
      </c>
      <c r="I889" s="81">
        <v>44914</v>
      </c>
      <c r="J889" s="35"/>
      <c r="K889" s="15"/>
      <c r="L889" s="16"/>
      <c r="M889" s="36">
        <f t="shared" si="536"/>
        <v>0</v>
      </c>
      <c r="N889" s="18"/>
      <c r="O889" s="16"/>
      <c r="P889" s="36">
        <f t="shared" si="537"/>
        <v>0</v>
      </c>
      <c r="Q889" s="17">
        <f t="shared" si="538"/>
        <v>0</v>
      </c>
      <c r="R889" s="81"/>
      <c r="S889" s="37"/>
      <c r="T889" s="15"/>
      <c r="U889" s="16"/>
      <c r="V889" s="36">
        <f t="shared" si="539"/>
        <v>0</v>
      </c>
      <c r="W889" s="18"/>
      <c r="X889" s="16"/>
      <c r="Y889" s="36">
        <f t="shared" si="540"/>
        <v>0</v>
      </c>
      <c r="Z889" s="17">
        <f t="shared" si="541"/>
        <v>0</v>
      </c>
    </row>
    <row r="890" spans="1:26" x14ac:dyDescent="0.15">
      <c r="A890" s="35" t="s">
        <v>412</v>
      </c>
      <c r="B890" s="15"/>
      <c r="C890" s="16">
        <v>1</v>
      </c>
      <c r="D890" s="36">
        <f t="shared" si="533"/>
        <v>1</v>
      </c>
      <c r="E890" s="18"/>
      <c r="F890" s="16">
        <v>1</v>
      </c>
      <c r="G890" s="36">
        <f t="shared" si="534"/>
        <v>1</v>
      </c>
      <c r="H890" s="17">
        <f t="shared" si="535"/>
        <v>2</v>
      </c>
      <c r="I890" s="81">
        <v>44917</v>
      </c>
      <c r="J890" s="35"/>
      <c r="K890" s="15"/>
      <c r="L890" s="16"/>
      <c r="M890" s="36">
        <f t="shared" si="536"/>
        <v>0</v>
      </c>
      <c r="N890" s="18"/>
      <c r="O890" s="16"/>
      <c r="P890" s="36">
        <f t="shared" si="537"/>
        <v>0</v>
      </c>
      <c r="Q890" s="17">
        <f t="shared" si="538"/>
        <v>0</v>
      </c>
      <c r="R890" s="81"/>
      <c r="S890" s="37"/>
      <c r="T890" s="15"/>
      <c r="U890" s="16"/>
      <c r="V890" s="36">
        <f t="shared" si="539"/>
        <v>0</v>
      </c>
      <c r="W890" s="18"/>
      <c r="X890" s="16"/>
      <c r="Y890" s="36">
        <f t="shared" si="540"/>
        <v>0</v>
      </c>
      <c r="Z890" s="17">
        <f t="shared" si="541"/>
        <v>0</v>
      </c>
    </row>
    <row r="891" spans="1:26" x14ac:dyDescent="0.15">
      <c r="A891" s="35" t="s">
        <v>33</v>
      </c>
      <c r="B891" s="15">
        <v>1</v>
      </c>
      <c r="C891" s="16"/>
      <c r="D891" s="36">
        <f t="shared" si="533"/>
        <v>1</v>
      </c>
      <c r="E891" s="18"/>
      <c r="F891" s="16"/>
      <c r="G891" s="36">
        <f t="shared" si="534"/>
        <v>0</v>
      </c>
      <c r="H891" s="17">
        <f t="shared" si="535"/>
        <v>1</v>
      </c>
      <c r="I891" s="84">
        <v>44916</v>
      </c>
      <c r="J891" s="52"/>
      <c r="K891" s="15"/>
      <c r="L891" s="16"/>
      <c r="M891" s="36">
        <f t="shared" si="536"/>
        <v>0</v>
      </c>
      <c r="N891" s="18"/>
      <c r="O891" s="16"/>
      <c r="P891" s="36">
        <f t="shared" si="537"/>
        <v>0</v>
      </c>
      <c r="Q891" s="17">
        <f t="shared" si="538"/>
        <v>0</v>
      </c>
      <c r="R891" s="81"/>
      <c r="S891" s="35"/>
      <c r="T891" s="15"/>
      <c r="U891" s="16"/>
      <c r="V891" s="36">
        <f t="shared" si="539"/>
        <v>0</v>
      </c>
      <c r="W891" s="18"/>
      <c r="X891" s="16"/>
      <c r="Y891" s="36">
        <f t="shared" si="540"/>
        <v>0</v>
      </c>
      <c r="Z891" s="17">
        <f t="shared" si="541"/>
        <v>0</v>
      </c>
    </row>
    <row r="892" spans="1:26" x14ac:dyDescent="0.15">
      <c r="A892" s="35" t="s">
        <v>33</v>
      </c>
      <c r="B892" s="15"/>
      <c r="C892" s="16"/>
      <c r="D892" s="36">
        <f t="shared" si="533"/>
        <v>0</v>
      </c>
      <c r="E892" s="18"/>
      <c r="F892" s="16"/>
      <c r="G892" s="36">
        <f t="shared" si="534"/>
        <v>0</v>
      </c>
      <c r="H892" s="17">
        <f t="shared" si="535"/>
        <v>0</v>
      </c>
      <c r="I892" s="84">
        <v>44917</v>
      </c>
      <c r="J892" s="35"/>
      <c r="K892" s="15"/>
      <c r="L892" s="16"/>
      <c r="M892" s="36">
        <f t="shared" si="536"/>
        <v>0</v>
      </c>
      <c r="N892" s="18"/>
      <c r="O892" s="16"/>
      <c r="P892" s="36">
        <f t="shared" si="537"/>
        <v>0</v>
      </c>
      <c r="Q892" s="17">
        <f t="shared" si="538"/>
        <v>0</v>
      </c>
      <c r="R892" s="81"/>
      <c r="S892" s="38"/>
      <c r="T892" s="15"/>
      <c r="U892" s="16"/>
      <c r="V892" s="36">
        <f t="shared" si="539"/>
        <v>0</v>
      </c>
      <c r="W892" s="18"/>
      <c r="X892" s="16"/>
      <c r="Y892" s="36">
        <f t="shared" si="540"/>
        <v>0</v>
      </c>
      <c r="Z892" s="17">
        <f t="shared" si="541"/>
        <v>0</v>
      </c>
    </row>
    <row r="893" spans="1:26" x14ac:dyDescent="0.15">
      <c r="A893" s="35" t="s">
        <v>33</v>
      </c>
      <c r="B893" s="15">
        <v>1</v>
      </c>
      <c r="C893" s="16"/>
      <c r="D893" s="36">
        <f t="shared" si="533"/>
        <v>1</v>
      </c>
      <c r="E893" s="18"/>
      <c r="F893" s="16"/>
      <c r="G893" s="36">
        <f t="shared" si="534"/>
        <v>0</v>
      </c>
      <c r="H893" s="17">
        <f t="shared" si="535"/>
        <v>1</v>
      </c>
      <c r="I893" s="84">
        <v>44918</v>
      </c>
      <c r="J893" s="35"/>
      <c r="K893" s="15"/>
      <c r="L893" s="16"/>
      <c r="M893" s="36">
        <f t="shared" si="536"/>
        <v>0</v>
      </c>
      <c r="N893" s="18"/>
      <c r="O893" s="16"/>
      <c r="P893" s="36">
        <f t="shared" si="537"/>
        <v>0</v>
      </c>
      <c r="Q893" s="17">
        <f t="shared" si="538"/>
        <v>0</v>
      </c>
      <c r="S893" s="35"/>
      <c r="T893" s="15"/>
      <c r="U893" s="16"/>
      <c r="V893" s="36">
        <f t="shared" si="539"/>
        <v>0</v>
      </c>
      <c r="W893" s="18"/>
      <c r="X893" s="16"/>
      <c r="Y893" s="36">
        <f t="shared" si="540"/>
        <v>0</v>
      </c>
      <c r="Z893" s="17">
        <f t="shared" si="541"/>
        <v>0</v>
      </c>
    </row>
    <row r="894" spans="1:26" x14ac:dyDescent="0.15">
      <c r="A894" s="35" t="s">
        <v>33</v>
      </c>
      <c r="B894" s="15">
        <v>2</v>
      </c>
      <c r="C894" s="16">
        <f>1+2</f>
        <v>3</v>
      </c>
      <c r="D894" s="36">
        <f t="shared" si="533"/>
        <v>5</v>
      </c>
      <c r="E894" s="18">
        <v>3</v>
      </c>
      <c r="F894" s="16">
        <v>1</v>
      </c>
      <c r="G894" s="36">
        <f t="shared" si="534"/>
        <v>4</v>
      </c>
      <c r="H894" s="17">
        <f t="shared" si="535"/>
        <v>9</v>
      </c>
      <c r="I894" s="84">
        <v>44921</v>
      </c>
      <c r="J894" s="38"/>
      <c r="K894" s="15"/>
      <c r="L894" s="16"/>
      <c r="M894" s="36">
        <f t="shared" si="536"/>
        <v>0</v>
      </c>
      <c r="N894" s="18"/>
      <c r="O894" s="16"/>
      <c r="P894" s="36">
        <f t="shared" si="537"/>
        <v>0</v>
      </c>
      <c r="Q894" s="17">
        <f t="shared" si="538"/>
        <v>0</v>
      </c>
      <c r="R894" s="83"/>
      <c r="S894" s="38"/>
      <c r="T894" s="15"/>
      <c r="U894" s="16"/>
      <c r="V894" s="36">
        <f t="shared" si="539"/>
        <v>0</v>
      </c>
      <c r="W894" s="18"/>
      <c r="X894" s="16"/>
      <c r="Y894" s="36">
        <f t="shared" si="540"/>
        <v>0</v>
      </c>
      <c r="Z894" s="17">
        <f t="shared" si="541"/>
        <v>0</v>
      </c>
    </row>
    <row r="895" spans="1:26" x14ac:dyDescent="0.15">
      <c r="A895" s="35" t="s">
        <v>418</v>
      </c>
      <c r="B895" s="15"/>
      <c r="C895" s="16">
        <v>3</v>
      </c>
      <c r="D895" s="36">
        <f t="shared" si="533"/>
        <v>3</v>
      </c>
      <c r="E895" s="18"/>
      <c r="F895" s="16">
        <v>3</v>
      </c>
      <c r="G895" s="36">
        <f t="shared" si="534"/>
        <v>3</v>
      </c>
      <c r="H895" s="17">
        <f t="shared" si="535"/>
        <v>6</v>
      </c>
      <c r="I895" s="81">
        <v>44566</v>
      </c>
      <c r="J895" s="35"/>
      <c r="K895" s="15"/>
      <c r="L895" s="16"/>
      <c r="M895" s="36">
        <f t="shared" si="536"/>
        <v>0</v>
      </c>
      <c r="N895" s="18"/>
      <c r="O895" s="16"/>
      <c r="P895" s="36">
        <f t="shared" si="537"/>
        <v>0</v>
      </c>
      <c r="Q895" s="17">
        <f t="shared" si="538"/>
        <v>0</v>
      </c>
      <c r="R895" s="83"/>
      <c r="S895" s="35"/>
      <c r="T895" s="15"/>
      <c r="U895" s="16"/>
      <c r="V895" s="36">
        <f t="shared" si="539"/>
        <v>0</v>
      </c>
      <c r="W895" s="18"/>
      <c r="X895" s="16"/>
      <c r="Y895" s="36">
        <f t="shared" si="540"/>
        <v>0</v>
      </c>
      <c r="Z895" s="17">
        <f t="shared" si="541"/>
        <v>0</v>
      </c>
    </row>
    <row r="896" spans="1:26" x14ac:dyDescent="0.15">
      <c r="A896" s="35" t="s">
        <v>419</v>
      </c>
      <c r="B896" s="15">
        <v>1</v>
      </c>
      <c r="C896" s="16">
        <v>2</v>
      </c>
      <c r="D896" s="36">
        <f t="shared" si="533"/>
        <v>3</v>
      </c>
      <c r="E896" s="18">
        <v>1</v>
      </c>
      <c r="F896" s="16">
        <v>2</v>
      </c>
      <c r="G896" s="36">
        <f t="shared" si="534"/>
        <v>3</v>
      </c>
      <c r="H896" s="17">
        <f t="shared" si="535"/>
        <v>6</v>
      </c>
      <c r="I896" s="81">
        <v>44932</v>
      </c>
      <c r="J896" s="35"/>
      <c r="K896" s="15"/>
      <c r="L896" s="16"/>
      <c r="M896" s="36">
        <f t="shared" si="536"/>
        <v>0</v>
      </c>
      <c r="N896" s="18"/>
      <c r="O896" s="16"/>
      <c r="P896" s="36">
        <f t="shared" si="537"/>
        <v>0</v>
      </c>
      <c r="Q896" s="17">
        <f t="shared" si="538"/>
        <v>0</v>
      </c>
      <c r="R896" s="81"/>
      <c r="S896" s="35"/>
      <c r="T896" s="15"/>
      <c r="U896" s="16"/>
      <c r="V896" s="36">
        <f t="shared" si="539"/>
        <v>0</v>
      </c>
      <c r="W896" s="18"/>
      <c r="X896" s="16"/>
      <c r="Y896" s="36">
        <f t="shared" si="540"/>
        <v>0</v>
      </c>
      <c r="Z896" s="17">
        <f t="shared" si="541"/>
        <v>0</v>
      </c>
    </row>
    <row r="897" spans="1:26" x14ac:dyDescent="0.15">
      <c r="A897" s="35" t="s">
        <v>33</v>
      </c>
      <c r="B897" s="15"/>
      <c r="C897" s="16">
        <f>1+1</f>
        <v>2</v>
      </c>
      <c r="D897" s="36">
        <f t="shared" si="533"/>
        <v>2</v>
      </c>
      <c r="E897" s="18">
        <v>2</v>
      </c>
      <c r="F897" s="16">
        <f>1+1</f>
        <v>2</v>
      </c>
      <c r="G897" s="36">
        <f t="shared" si="534"/>
        <v>4</v>
      </c>
      <c r="H897" s="17">
        <f t="shared" si="535"/>
        <v>6</v>
      </c>
      <c r="I897" s="84">
        <v>44931</v>
      </c>
      <c r="J897" s="35"/>
      <c r="K897" s="15"/>
      <c r="L897" s="16"/>
      <c r="M897" s="36">
        <f t="shared" si="536"/>
        <v>0</v>
      </c>
      <c r="N897" s="18"/>
      <c r="O897" s="16"/>
      <c r="P897" s="36">
        <f t="shared" si="537"/>
        <v>0</v>
      </c>
      <c r="Q897" s="17">
        <f t="shared" si="538"/>
        <v>0</v>
      </c>
      <c r="R897" s="81"/>
      <c r="S897" s="35"/>
      <c r="T897" s="15"/>
      <c r="U897" s="16"/>
      <c r="V897" s="36">
        <f t="shared" si="539"/>
        <v>0</v>
      </c>
      <c r="W897" s="18"/>
      <c r="X897" s="16"/>
      <c r="Y897" s="36">
        <f t="shared" si="540"/>
        <v>0</v>
      </c>
      <c r="Z897" s="17">
        <f t="shared" si="541"/>
        <v>0</v>
      </c>
    </row>
    <row r="898" spans="1:26" x14ac:dyDescent="0.15">
      <c r="A898" s="35"/>
      <c r="B898" s="15"/>
      <c r="C898" s="16"/>
      <c r="D898" s="36">
        <f t="shared" si="533"/>
        <v>0</v>
      </c>
      <c r="E898" s="18"/>
      <c r="F898" s="16"/>
      <c r="G898" s="36">
        <f t="shared" si="534"/>
        <v>0</v>
      </c>
      <c r="H898" s="17">
        <f t="shared" si="535"/>
        <v>0</v>
      </c>
      <c r="J898" s="35" t="s">
        <v>396</v>
      </c>
      <c r="K898" s="15"/>
      <c r="L898" s="16"/>
      <c r="M898" s="36">
        <f t="shared" ref="M898" si="548">SUM(K898:L898)</f>
        <v>0</v>
      </c>
      <c r="N898" s="18"/>
      <c r="O898" s="16"/>
      <c r="P898" s="36">
        <f t="shared" ref="P898" si="549">SUM(N898:O898)</f>
        <v>0</v>
      </c>
      <c r="Q898" s="17">
        <f t="shared" ref="Q898" si="550">M898+P898</f>
        <v>0</v>
      </c>
      <c r="R898" s="81" t="s">
        <v>397</v>
      </c>
      <c r="S898" s="35"/>
      <c r="T898" s="15"/>
      <c r="U898" s="16"/>
      <c r="V898" s="36">
        <f t="shared" si="539"/>
        <v>0</v>
      </c>
      <c r="W898" s="18"/>
      <c r="X898" s="16"/>
      <c r="Y898" s="36">
        <f t="shared" si="540"/>
        <v>0</v>
      </c>
      <c r="Z898" s="17">
        <f t="shared" si="541"/>
        <v>0</v>
      </c>
    </row>
    <row r="899" spans="1:26" ht="14.25" thickBot="1" x14ac:dyDescent="0.2">
      <c r="A899" s="35"/>
      <c r="B899" s="15"/>
      <c r="C899" s="16"/>
      <c r="D899" s="36">
        <f t="shared" si="533"/>
        <v>0</v>
      </c>
      <c r="E899" s="18"/>
      <c r="F899" s="16"/>
      <c r="G899" s="36">
        <f t="shared" si="534"/>
        <v>0</v>
      </c>
      <c r="H899" s="17">
        <f t="shared" si="535"/>
        <v>0</v>
      </c>
      <c r="J899" s="35" t="s">
        <v>383</v>
      </c>
      <c r="K899" s="15"/>
      <c r="L899" s="16"/>
      <c r="M899" s="36">
        <f t="shared" si="536"/>
        <v>0</v>
      </c>
      <c r="N899" s="18"/>
      <c r="O899" s="16"/>
      <c r="P899" s="36">
        <f t="shared" si="537"/>
        <v>0</v>
      </c>
      <c r="Q899" s="17">
        <f t="shared" si="538"/>
        <v>0</v>
      </c>
      <c r="R899" s="81" t="s">
        <v>384</v>
      </c>
      <c r="S899" s="35"/>
      <c r="T899" s="15"/>
      <c r="U899" s="16"/>
      <c r="V899" s="36">
        <f t="shared" si="539"/>
        <v>0</v>
      </c>
      <c r="W899" s="18"/>
      <c r="X899" s="16"/>
      <c r="Y899" s="36">
        <f t="shared" si="540"/>
        <v>0</v>
      </c>
      <c r="Z899" s="17">
        <f t="shared" si="541"/>
        <v>0</v>
      </c>
    </row>
    <row r="900" spans="1:26" ht="14.25" thickBot="1" x14ac:dyDescent="0.2">
      <c r="A900" s="40" t="s">
        <v>14</v>
      </c>
      <c r="B900" s="41">
        <f>SUM(B874:B899)</f>
        <v>23</v>
      </c>
      <c r="C900" s="42">
        <f t="shared" ref="C900" si="551">SUM(C874:C899)</f>
        <v>20</v>
      </c>
      <c r="D900" s="43">
        <f t="shared" si="533"/>
        <v>43</v>
      </c>
      <c r="E900" s="41">
        <f>SUM(E874:E899)</f>
        <v>25</v>
      </c>
      <c r="F900" s="42">
        <f t="shared" ref="F900" si="552">SUM(F874:F899)</f>
        <v>26</v>
      </c>
      <c r="G900" s="43">
        <f t="shared" si="534"/>
        <v>51</v>
      </c>
      <c r="H900" s="43">
        <f t="shared" si="535"/>
        <v>94</v>
      </c>
      <c r="J900" s="40" t="s">
        <v>14</v>
      </c>
      <c r="K900" s="41">
        <f>SUM(K874:K899)</f>
        <v>44</v>
      </c>
      <c r="L900" s="42">
        <f t="shared" ref="L900" si="553">SUM(L874:L899)</f>
        <v>43</v>
      </c>
      <c r="M900" s="43">
        <f t="shared" si="536"/>
        <v>87</v>
      </c>
      <c r="N900" s="41">
        <f>SUM(N874:N899)</f>
        <v>44</v>
      </c>
      <c r="O900" s="42">
        <f t="shared" ref="O900" si="554">SUM(O874:O899)</f>
        <v>53</v>
      </c>
      <c r="P900" s="43">
        <f t="shared" si="537"/>
        <v>97</v>
      </c>
      <c r="Q900" s="43">
        <f t="shared" si="538"/>
        <v>184</v>
      </c>
      <c r="S900" s="40" t="s">
        <v>14</v>
      </c>
      <c r="T900" s="41">
        <f>SUM(T874:T899)</f>
        <v>0</v>
      </c>
      <c r="U900" s="42">
        <f t="shared" ref="U900" si="555">SUM(U874:U899)</f>
        <v>0</v>
      </c>
      <c r="V900" s="43">
        <f t="shared" si="539"/>
        <v>0</v>
      </c>
      <c r="W900" s="41">
        <f>SUM(W874:W899)</f>
        <v>0</v>
      </c>
      <c r="X900" s="42">
        <f t="shared" ref="X900" si="556">SUM(X874:X899)</f>
        <v>0</v>
      </c>
      <c r="Y900" s="43">
        <f t="shared" si="540"/>
        <v>0</v>
      </c>
      <c r="Z900" s="43">
        <f t="shared" si="541"/>
        <v>0</v>
      </c>
    </row>
    <row r="901" spans="1:26" ht="14.25" thickBot="1" x14ac:dyDescent="0.2">
      <c r="A901" s="44" t="s">
        <v>15</v>
      </c>
      <c r="B901" s="45">
        <f>B873-B900</f>
        <v>14</v>
      </c>
      <c r="C901" s="46">
        <f t="shared" ref="C901" si="557">C873-C900</f>
        <v>11</v>
      </c>
      <c r="D901" s="47">
        <f t="shared" si="533"/>
        <v>25</v>
      </c>
      <c r="E901" s="45">
        <f>E873-E900</f>
        <v>12</v>
      </c>
      <c r="F901" s="46">
        <f t="shared" ref="F901" si="558">F873-F900</f>
        <v>13</v>
      </c>
      <c r="G901" s="47">
        <f t="shared" si="534"/>
        <v>25</v>
      </c>
      <c r="H901" s="34">
        <f t="shared" si="535"/>
        <v>50</v>
      </c>
      <c r="J901" s="44" t="s">
        <v>15</v>
      </c>
      <c r="K901" s="45">
        <f>K873-K900</f>
        <v>557</v>
      </c>
      <c r="L901" s="46">
        <f t="shared" ref="L901" si="559">L873-L900</f>
        <v>267</v>
      </c>
      <c r="M901" s="47">
        <f t="shared" si="536"/>
        <v>824</v>
      </c>
      <c r="N901" s="45">
        <f>N873-N900</f>
        <v>203</v>
      </c>
      <c r="O901" s="46">
        <f t="shared" ref="O901" si="560">O873-O900</f>
        <v>-42</v>
      </c>
      <c r="P901" s="47">
        <f t="shared" si="537"/>
        <v>161</v>
      </c>
      <c r="Q901" s="34">
        <f t="shared" si="538"/>
        <v>985</v>
      </c>
      <c r="S901" s="44" t="s">
        <v>15</v>
      </c>
      <c r="T901" s="45">
        <f>T873-T900</f>
        <v>1011</v>
      </c>
      <c r="U901" s="46">
        <f t="shared" ref="U901" si="561">U873-U900</f>
        <v>715</v>
      </c>
      <c r="V901" s="47">
        <f t="shared" si="539"/>
        <v>1726</v>
      </c>
      <c r="W901" s="45">
        <f>W873-W900</f>
        <v>1532</v>
      </c>
      <c r="X901" s="46">
        <f t="shared" ref="X901" si="562">X873-X900</f>
        <v>783</v>
      </c>
      <c r="Y901" s="47">
        <f t="shared" si="540"/>
        <v>2315</v>
      </c>
      <c r="Z901" s="34">
        <f t="shared" si="541"/>
        <v>4041</v>
      </c>
    </row>
    <row r="904" spans="1:26" ht="19.5" thickBot="1" x14ac:dyDescent="0.25">
      <c r="A904" s="1" t="s">
        <v>23</v>
      </c>
      <c r="J904" s="1" t="s">
        <v>24</v>
      </c>
      <c r="K904" s="2"/>
      <c r="L904" s="2"/>
      <c r="M904" s="2"/>
      <c r="N904" s="2"/>
      <c r="O904" s="1" t="s">
        <v>34</v>
      </c>
      <c r="P904" s="2"/>
      <c r="Q904" s="2"/>
      <c r="S904" s="1" t="s">
        <v>24</v>
      </c>
      <c r="T904" s="2"/>
      <c r="U904" s="2"/>
      <c r="V904" s="2"/>
      <c r="W904" s="2"/>
      <c r="X904" s="1" t="s">
        <v>34</v>
      </c>
      <c r="Y904" s="2"/>
      <c r="Z904" s="2"/>
    </row>
    <row r="905" spans="1:26" ht="14.25" thickBot="1" x14ac:dyDescent="0.2">
      <c r="A905" s="3" t="s">
        <v>0</v>
      </c>
      <c r="B905" s="125" t="s">
        <v>18</v>
      </c>
      <c r="C905" s="126"/>
      <c r="D905" s="127"/>
      <c r="E905" s="125" t="s">
        <v>19</v>
      </c>
      <c r="F905" s="126"/>
      <c r="G905" s="128"/>
      <c r="H905" s="129" t="s">
        <v>1</v>
      </c>
      <c r="J905" s="3" t="s">
        <v>0</v>
      </c>
      <c r="K905" s="125" t="s">
        <v>18</v>
      </c>
      <c r="L905" s="126"/>
      <c r="M905" s="127"/>
      <c r="N905" s="125" t="s">
        <v>19</v>
      </c>
      <c r="O905" s="126"/>
      <c r="P905" s="128"/>
      <c r="Q905" s="129" t="s">
        <v>1</v>
      </c>
      <c r="S905" s="3" t="s">
        <v>0</v>
      </c>
      <c r="T905" s="125" t="s">
        <v>18</v>
      </c>
      <c r="U905" s="126"/>
      <c r="V905" s="127"/>
      <c r="W905" s="125" t="s">
        <v>19</v>
      </c>
      <c r="X905" s="126"/>
      <c r="Y905" s="128"/>
      <c r="Z905" s="129" t="s">
        <v>1</v>
      </c>
    </row>
    <row r="906" spans="1:26" ht="14.25" thickBot="1" x14ac:dyDescent="0.2">
      <c r="A906" s="3" t="s">
        <v>2</v>
      </c>
      <c r="B906" s="4" t="s">
        <v>16</v>
      </c>
      <c r="C906" s="5" t="s">
        <v>17</v>
      </c>
      <c r="D906" s="3" t="s">
        <v>3</v>
      </c>
      <c r="E906" s="4" t="s">
        <v>16</v>
      </c>
      <c r="F906" s="5" t="s">
        <v>17</v>
      </c>
      <c r="G906" s="3" t="s">
        <v>3</v>
      </c>
      <c r="H906" s="130"/>
      <c r="J906" s="3" t="s">
        <v>2</v>
      </c>
      <c r="K906" s="4" t="s">
        <v>16</v>
      </c>
      <c r="L906" s="5" t="s">
        <v>17</v>
      </c>
      <c r="M906" s="3" t="s">
        <v>3</v>
      </c>
      <c r="N906" s="4" t="s">
        <v>16</v>
      </c>
      <c r="O906" s="5" t="s">
        <v>17</v>
      </c>
      <c r="P906" s="3" t="s">
        <v>3</v>
      </c>
      <c r="Q906" s="130"/>
      <c r="S906" s="3" t="s">
        <v>2</v>
      </c>
      <c r="T906" s="4" t="s">
        <v>16</v>
      </c>
      <c r="U906" s="5" t="s">
        <v>17</v>
      </c>
      <c r="V906" s="3" t="s">
        <v>3</v>
      </c>
      <c r="W906" s="4" t="s">
        <v>16</v>
      </c>
      <c r="X906" s="5" t="s">
        <v>17</v>
      </c>
      <c r="Y906" s="3" t="s">
        <v>3</v>
      </c>
      <c r="Z906" s="130"/>
    </row>
    <row r="907" spans="1:26" ht="14.25" thickBot="1" x14ac:dyDescent="0.2">
      <c r="A907" s="6" t="s">
        <v>55</v>
      </c>
      <c r="B907" s="32">
        <f>B901</f>
        <v>14</v>
      </c>
      <c r="C907" s="33">
        <f>C901</f>
        <v>11</v>
      </c>
      <c r="D907" s="34">
        <f t="shared" ref="D907:D944" si="563">SUM(B907:C907)</f>
        <v>25</v>
      </c>
      <c r="E907" s="32">
        <f>E901</f>
        <v>12</v>
      </c>
      <c r="F907" s="33">
        <f>F901</f>
        <v>13</v>
      </c>
      <c r="G907" s="34">
        <f t="shared" ref="G907:G944" si="564">SUM(E907:F907)</f>
        <v>25</v>
      </c>
      <c r="H907" s="34">
        <f t="shared" ref="H907:H944" si="565">D907+G907</f>
        <v>50</v>
      </c>
      <c r="J907" s="6" t="s">
        <v>55</v>
      </c>
      <c r="K907" s="7">
        <f>K901</f>
        <v>557</v>
      </c>
      <c r="L907" s="8">
        <f>L901</f>
        <v>267</v>
      </c>
      <c r="M907" s="9">
        <f t="shared" ref="M907:M944" si="566">SUM(K907:L907)</f>
        <v>824</v>
      </c>
      <c r="N907" s="7">
        <f>N901</f>
        <v>203</v>
      </c>
      <c r="O907" s="8">
        <f>O901</f>
        <v>-42</v>
      </c>
      <c r="P907" s="9">
        <f t="shared" ref="P907:P944" si="567">SUM(N907:O907)</f>
        <v>161</v>
      </c>
      <c r="Q907" s="9">
        <f t="shared" ref="Q907:Q944" si="568">M907+P907</f>
        <v>985</v>
      </c>
      <c r="S907" s="6" t="s">
        <v>55</v>
      </c>
      <c r="T907" s="7">
        <f>T901</f>
        <v>1011</v>
      </c>
      <c r="U907" s="8">
        <f>U901</f>
        <v>715</v>
      </c>
      <c r="V907" s="9">
        <f t="shared" ref="V907:V944" si="569">SUM(T907:U907)</f>
        <v>1726</v>
      </c>
      <c r="W907" s="7">
        <f>W901</f>
        <v>1532</v>
      </c>
      <c r="X907" s="8">
        <f>X901</f>
        <v>783</v>
      </c>
      <c r="Y907" s="9">
        <f t="shared" ref="Y907:Y944" si="570">SUM(W907:X907)</f>
        <v>2315</v>
      </c>
      <c r="Z907" s="9">
        <f t="shared" ref="Z907:Z944" si="571">V907+Y907</f>
        <v>4041</v>
      </c>
    </row>
    <row r="908" spans="1:26" x14ac:dyDescent="0.15">
      <c r="A908" s="10" t="s">
        <v>5</v>
      </c>
      <c r="B908" s="15">
        <v>5</v>
      </c>
      <c r="C908" s="16">
        <v>10</v>
      </c>
      <c r="D908" s="17">
        <f t="shared" si="563"/>
        <v>15</v>
      </c>
      <c r="E908" s="18">
        <v>10</v>
      </c>
      <c r="F908" s="16">
        <v>10</v>
      </c>
      <c r="G908" s="17">
        <f t="shared" si="564"/>
        <v>20</v>
      </c>
      <c r="H908" s="17">
        <f t="shared" si="565"/>
        <v>35</v>
      </c>
      <c r="I908" s="81">
        <v>44933</v>
      </c>
      <c r="J908" s="94" t="s">
        <v>5</v>
      </c>
      <c r="K908" s="48"/>
      <c r="L908" s="49"/>
      <c r="M908" s="50">
        <f t="shared" si="566"/>
        <v>0</v>
      </c>
      <c r="N908" s="51"/>
      <c r="O908" s="49"/>
      <c r="P908" s="50">
        <f t="shared" si="567"/>
        <v>0</v>
      </c>
      <c r="Q908" s="13">
        <f t="shared" si="568"/>
        <v>0</v>
      </c>
      <c r="S908" s="10" t="s">
        <v>5</v>
      </c>
      <c r="T908" s="11"/>
      <c r="U908" s="12"/>
      <c r="V908" s="13">
        <f t="shared" si="569"/>
        <v>0</v>
      </c>
      <c r="W908" s="62"/>
      <c r="X908" s="12"/>
      <c r="Y908" s="13">
        <f t="shared" si="570"/>
        <v>0</v>
      </c>
      <c r="Z908" s="13">
        <f t="shared" si="571"/>
        <v>0</v>
      </c>
    </row>
    <row r="909" spans="1:26" x14ac:dyDescent="0.15">
      <c r="A909" s="10" t="s">
        <v>6</v>
      </c>
      <c r="B909" s="15"/>
      <c r="C909" s="16"/>
      <c r="D909" s="17">
        <f t="shared" si="563"/>
        <v>0</v>
      </c>
      <c r="E909" s="18">
        <v>15</v>
      </c>
      <c r="F909" s="16"/>
      <c r="G909" s="17">
        <f t="shared" si="564"/>
        <v>15</v>
      </c>
      <c r="H909" s="17">
        <f t="shared" si="565"/>
        <v>15</v>
      </c>
      <c r="I909" s="81">
        <v>44944</v>
      </c>
      <c r="J909" s="52" t="s">
        <v>424</v>
      </c>
      <c r="K909" s="19">
        <v>1011</v>
      </c>
      <c r="L909" s="20">
        <v>715</v>
      </c>
      <c r="M909" s="36">
        <f t="shared" si="566"/>
        <v>1726</v>
      </c>
      <c r="N909" s="21">
        <v>1532</v>
      </c>
      <c r="O909" s="20">
        <v>783</v>
      </c>
      <c r="P909" s="36">
        <f t="shared" si="567"/>
        <v>2315</v>
      </c>
      <c r="Q909" s="17">
        <f t="shared" si="568"/>
        <v>4041</v>
      </c>
      <c r="R909" s="81" t="s">
        <v>423</v>
      </c>
      <c r="S909" s="10" t="s">
        <v>6</v>
      </c>
      <c r="T909" s="15"/>
      <c r="U909" s="16"/>
      <c r="V909" s="17">
        <f t="shared" si="569"/>
        <v>0</v>
      </c>
      <c r="W909" s="18"/>
      <c r="X909" s="16"/>
      <c r="Y909" s="17">
        <f t="shared" si="570"/>
        <v>0</v>
      </c>
      <c r="Z909" s="17">
        <f t="shared" si="571"/>
        <v>0</v>
      </c>
    </row>
    <row r="910" spans="1:26" x14ac:dyDescent="0.15">
      <c r="A910" s="10" t="s">
        <v>436</v>
      </c>
      <c r="B910" s="15"/>
      <c r="C910" s="16"/>
      <c r="D910" s="17">
        <f t="shared" si="563"/>
        <v>0</v>
      </c>
      <c r="E910" s="18">
        <v>1</v>
      </c>
      <c r="F910" s="16"/>
      <c r="G910" s="17">
        <f t="shared" si="564"/>
        <v>1</v>
      </c>
      <c r="H910" s="17">
        <f t="shared" si="565"/>
        <v>1</v>
      </c>
      <c r="I910" s="81">
        <v>44945</v>
      </c>
      <c r="J910" s="10" t="s">
        <v>7</v>
      </c>
      <c r="K910" s="19"/>
      <c r="L910" s="20"/>
      <c r="M910" s="17">
        <f t="shared" si="566"/>
        <v>0</v>
      </c>
      <c r="N910" s="21"/>
      <c r="O910" s="20"/>
      <c r="P910" s="17">
        <f t="shared" si="567"/>
        <v>0</v>
      </c>
      <c r="Q910" s="17">
        <f t="shared" si="568"/>
        <v>0</v>
      </c>
      <c r="R910" s="81"/>
      <c r="S910" s="10" t="s">
        <v>7</v>
      </c>
      <c r="T910" s="19"/>
      <c r="U910" s="20"/>
      <c r="V910" s="17">
        <f t="shared" si="569"/>
        <v>0</v>
      </c>
      <c r="W910" s="21"/>
      <c r="X910" s="20"/>
      <c r="Y910" s="17">
        <f t="shared" si="570"/>
        <v>0</v>
      </c>
      <c r="Z910" s="17">
        <f t="shared" si="571"/>
        <v>0</v>
      </c>
    </row>
    <row r="911" spans="1:26" x14ac:dyDescent="0.15">
      <c r="A911" s="10" t="s">
        <v>8</v>
      </c>
      <c r="B911" s="15">
        <v>5</v>
      </c>
      <c r="C911" s="16">
        <v>5</v>
      </c>
      <c r="D911" s="17">
        <f t="shared" si="563"/>
        <v>10</v>
      </c>
      <c r="E911" s="18"/>
      <c r="F911" s="16">
        <v>5</v>
      </c>
      <c r="G911" s="17">
        <f t="shared" si="564"/>
        <v>5</v>
      </c>
      <c r="H911" s="17">
        <f t="shared" si="565"/>
        <v>15</v>
      </c>
      <c r="I911" s="81">
        <v>44951</v>
      </c>
      <c r="J911" s="10" t="s">
        <v>8</v>
      </c>
      <c r="K911" s="15"/>
      <c r="L911" s="16"/>
      <c r="M911" s="17">
        <f t="shared" si="566"/>
        <v>0</v>
      </c>
      <c r="N911" s="18"/>
      <c r="O911" s="16"/>
      <c r="P911" s="17">
        <f t="shared" si="567"/>
        <v>0</v>
      </c>
      <c r="Q911" s="17">
        <f t="shared" si="568"/>
        <v>0</v>
      </c>
      <c r="R911" s="83"/>
      <c r="S911" s="10" t="s">
        <v>8</v>
      </c>
      <c r="T911" s="15"/>
      <c r="U911" s="16"/>
      <c r="V911" s="17">
        <f t="shared" si="569"/>
        <v>0</v>
      </c>
      <c r="W911" s="18"/>
      <c r="X911" s="16"/>
      <c r="Y911" s="17">
        <f t="shared" si="570"/>
        <v>0</v>
      </c>
      <c r="Z911" s="17">
        <f t="shared" si="571"/>
        <v>0</v>
      </c>
    </row>
    <row r="912" spans="1:26" x14ac:dyDescent="0.15">
      <c r="A912" s="10" t="s">
        <v>61</v>
      </c>
      <c r="B912" s="15"/>
      <c r="C912" s="16">
        <v>1</v>
      </c>
      <c r="D912" s="17">
        <f t="shared" si="563"/>
        <v>1</v>
      </c>
      <c r="E912" s="18"/>
      <c r="F912" s="16">
        <v>1</v>
      </c>
      <c r="G912" s="17">
        <f t="shared" si="564"/>
        <v>1</v>
      </c>
      <c r="H912" s="17">
        <f t="shared" si="565"/>
        <v>2</v>
      </c>
      <c r="I912" s="84">
        <v>44951</v>
      </c>
      <c r="J912" s="10" t="s">
        <v>9</v>
      </c>
      <c r="K912" s="15"/>
      <c r="L912" s="16"/>
      <c r="M912" s="17">
        <f t="shared" si="566"/>
        <v>0</v>
      </c>
      <c r="N912" s="18"/>
      <c r="O912" s="16"/>
      <c r="P912" s="17">
        <f t="shared" si="567"/>
        <v>0</v>
      </c>
      <c r="Q912" s="17">
        <f t="shared" si="568"/>
        <v>0</v>
      </c>
      <c r="R912" s="83"/>
      <c r="S912" s="10" t="s">
        <v>9</v>
      </c>
      <c r="T912" s="15"/>
      <c r="U912" s="16"/>
      <c r="V912" s="17">
        <f t="shared" si="569"/>
        <v>0</v>
      </c>
      <c r="W912" s="18"/>
      <c r="X912" s="16"/>
      <c r="Y912" s="17">
        <f t="shared" si="570"/>
        <v>0</v>
      </c>
      <c r="Z912" s="17">
        <f t="shared" si="571"/>
        <v>0</v>
      </c>
    </row>
    <row r="913" spans="1:27" x14ac:dyDescent="0.15">
      <c r="A913" s="10" t="s">
        <v>10</v>
      </c>
      <c r="B913" s="15">
        <v>10</v>
      </c>
      <c r="C913" s="16">
        <v>5</v>
      </c>
      <c r="D913" s="17">
        <f t="shared" si="563"/>
        <v>15</v>
      </c>
      <c r="E913" s="18">
        <v>10</v>
      </c>
      <c r="F913" s="16">
        <v>10</v>
      </c>
      <c r="G913" s="17">
        <f t="shared" si="564"/>
        <v>20</v>
      </c>
      <c r="H913" s="17">
        <f t="shared" si="565"/>
        <v>35</v>
      </c>
      <c r="I913" s="81">
        <v>44957</v>
      </c>
      <c r="J913" s="10" t="s">
        <v>10</v>
      </c>
      <c r="K913" s="15"/>
      <c r="L913" s="16"/>
      <c r="M913" s="17">
        <f t="shared" si="566"/>
        <v>0</v>
      </c>
      <c r="N913" s="18"/>
      <c r="O913" s="16"/>
      <c r="P913" s="17">
        <f t="shared" si="567"/>
        <v>0</v>
      </c>
      <c r="Q913" s="17">
        <f t="shared" si="568"/>
        <v>0</v>
      </c>
      <c r="S913" s="10" t="s">
        <v>10</v>
      </c>
      <c r="T913" s="15"/>
      <c r="U913" s="16"/>
      <c r="V913" s="17">
        <f t="shared" si="569"/>
        <v>0</v>
      </c>
      <c r="W913" s="18"/>
      <c r="X913" s="16"/>
      <c r="Y913" s="17">
        <f t="shared" si="570"/>
        <v>0</v>
      </c>
      <c r="Z913" s="17">
        <f t="shared" si="571"/>
        <v>0</v>
      </c>
    </row>
    <row r="914" spans="1:27" x14ac:dyDescent="0.15">
      <c r="A914" s="10" t="s">
        <v>11</v>
      </c>
      <c r="B914" s="23"/>
      <c r="C914" s="24"/>
      <c r="D914" s="17">
        <f t="shared" si="563"/>
        <v>0</v>
      </c>
      <c r="E914" s="25"/>
      <c r="F914" s="24"/>
      <c r="G914" s="17">
        <f t="shared" si="564"/>
        <v>0</v>
      </c>
      <c r="H914" s="17">
        <f t="shared" si="565"/>
        <v>0</v>
      </c>
      <c r="J914" s="10" t="s">
        <v>11</v>
      </c>
      <c r="K914" s="23"/>
      <c r="L914" s="24"/>
      <c r="M914" s="17">
        <f t="shared" si="566"/>
        <v>0</v>
      </c>
      <c r="N914" s="25"/>
      <c r="O914" s="24"/>
      <c r="P914" s="17">
        <f t="shared" si="567"/>
        <v>0</v>
      </c>
      <c r="Q914" s="17">
        <f t="shared" si="568"/>
        <v>0</v>
      </c>
      <c r="S914" s="10" t="s">
        <v>11</v>
      </c>
      <c r="T914" s="23"/>
      <c r="U914" s="24"/>
      <c r="V914" s="17">
        <f t="shared" si="569"/>
        <v>0</v>
      </c>
      <c r="W914" s="25"/>
      <c r="X914" s="24"/>
      <c r="Y914" s="17">
        <f t="shared" si="570"/>
        <v>0</v>
      </c>
      <c r="Z914" s="17">
        <f t="shared" si="571"/>
        <v>0</v>
      </c>
    </row>
    <row r="915" spans="1:27" ht="14.25" thickBot="1" x14ac:dyDescent="0.2">
      <c r="A915" s="10" t="s">
        <v>12</v>
      </c>
      <c r="B915" s="26"/>
      <c r="C915" s="27"/>
      <c r="D915" s="28">
        <f t="shared" si="563"/>
        <v>0</v>
      </c>
      <c r="E915" s="29"/>
      <c r="F915" s="29"/>
      <c r="G915" s="28">
        <f t="shared" si="564"/>
        <v>0</v>
      </c>
      <c r="H915" s="30">
        <f t="shared" si="565"/>
        <v>0</v>
      </c>
      <c r="J915" s="10" t="s">
        <v>12</v>
      </c>
      <c r="K915" s="26"/>
      <c r="L915" s="27"/>
      <c r="M915" s="28">
        <f t="shared" si="566"/>
        <v>0</v>
      </c>
      <c r="N915" s="29"/>
      <c r="O915" s="29"/>
      <c r="P915" s="28">
        <f t="shared" si="567"/>
        <v>0</v>
      </c>
      <c r="Q915" s="30">
        <f t="shared" si="568"/>
        <v>0</v>
      </c>
      <c r="S915" s="10" t="s">
        <v>12</v>
      </c>
      <c r="T915" s="26"/>
      <c r="U915" s="27"/>
      <c r="V915" s="28">
        <f t="shared" si="569"/>
        <v>0</v>
      </c>
      <c r="W915" s="29"/>
      <c r="X915" s="29"/>
      <c r="Y915" s="28">
        <f t="shared" si="570"/>
        <v>0</v>
      </c>
      <c r="Z915" s="30">
        <f t="shared" si="571"/>
        <v>0</v>
      </c>
    </row>
    <row r="916" spans="1:27" ht="14.25" thickBot="1" x14ac:dyDescent="0.2">
      <c r="A916" s="31" t="s">
        <v>13</v>
      </c>
      <c r="B916" s="32">
        <f>SUM(B907:B915)</f>
        <v>34</v>
      </c>
      <c r="C916" s="33">
        <f>SUM(C907:C915)</f>
        <v>32</v>
      </c>
      <c r="D916" s="34">
        <f t="shared" si="563"/>
        <v>66</v>
      </c>
      <c r="E916" s="32">
        <f>SUM(E907:E915)</f>
        <v>48</v>
      </c>
      <c r="F916" s="33">
        <f>SUM(F907:F915)</f>
        <v>39</v>
      </c>
      <c r="G916" s="34">
        <f t="shared" si="564"/>
        <v>87</v>
      </c>
      <c r="H916" s="34">
        <f t="shared" si="565"/>
        <v>153</v>
      </c>
      <c r="J916" s="31" t="s">
        <v>13</v>
      </c>
      <c r="K916" s="32">
        <f>SUM(K907:K915)</f>
        <v>1568</v>
      </c>
      <c r="L916" s="33">
        <f>SUM(L907:L915)</f>
        <v>982</v>
      </c>
      <c r="M916" s="34">
        <f t="shared" si="566"/>
        <v>2550</v>
      </c>
      <c r="N916" s="32">
        <f>SUM(N907:N915)</f>
        <v>1735</v>
      </c>
      <c r="O916" s="33">
        <f>SUM(O907:O915)</f>
        <v>741</v>
      </c>
      <c r="P916" s="34">
        <f t="shared" si="567"/>
        <v>2476</v>
      </c>
      <c r="Q916" s="34">
        <f t="shared" si="568"/>
        <v>5026</v>
      </c>
      <c r="S916" s="31" t="s">
        <v>13</v>
      </c>
      <c r="T916" s="32">
        <f>SUM(T907:T915)</f>
        <v>1011</v>
      </c>
      <c r="U916" s="33">
        <f>SUM(U907:U915)</f>
        <v>715</v>
      </c>
      <c r="V916" s="34">
        <f t="shared" si="569"/>
        <v>1726</v>
      </c>
      <c r="W916" s="32">
        <f>SUM(W907:W915)</f>
        <v>1532</v>
      </c>
      <c r="X916" s="33">
        <f>SUM(X907:X915)</f>
        <v>783</v>
      </c>
      <c r="Y916" s="34">
        <f t="shared" si="570"/>
        <v>2315</v>
      </c>
      <c r="Z916" s="34">
        <f t="shared" si="571"/>
        <v>4041</v>
      </c>
    </row>
    <row r="917" spans="1:27" x14ac:dyDescent="0.15">
      <c r="A917" s="35" t="s">
        <v>33</v>
      </c>
      <c r="B917" s="15"/>
      <c r="C917" s="16"/>
      <c r="D917" s="36">
        <f t="shared" si="563"/>
        <v>0</v>
      </c>
      <c r="E917" s="18">
        <v>2</v>
      </c>
      <c r="F917" s="16"/>
      <c r="G917" s="36">
        <f t="shared" si="564"/>
        <v>2</v>
      </c>
      <c r="H917" s="17">
        <f t="shared" si="565"/>
        <v>2</v>
      </c>
      <c r="I917" s="84">
        <v>44936</v>
      </c>
      <c r="J917" s="35" t="s">
        <v>409</v>
      </c>
      <c r="K917" s="15">
        <v>10</v>
      </c>
      <c r="L917" s="16">
        <v>10</v>
      </c>
      <c r="M917" s="17">
        <f t="shared" si="566"/>
        <v>20</v>
      </c>
      <c r="N917" s="18">
        <v>10</v>
      </c>
      <c r="O917" s="16">
        <v>10</v>
      </c>
      <c r="P917" s="17">
        <f t="shared" si="567"/>
        <v>20</v>
      </c>
      <c r="Q917" s="17">
        <f t="shared" si="568"/>
        <v>40</v>
      </c>
      <c r="R917" s="81">
        <v>44567</v>
      </c>
      <c r="S917" s="10" t="s">
        <v>422</v>
      </c>
      <c r="T917" s="19">
        <v>1011</v>
      </c>
      <c r="U917" s="20">
        <v>715</v>
      </c>
      <c r="V917" s="36">
        <f t="shared" si="569"/>
        <v>1726</v>
      </c>
      <c r="W917" s="21">
        <v>1532</v>
      </c>
      <c r="X917" s="20">
        <v>783</v>
      </c>
      <c r="Y917" s="17">
        <f t="shared" si="570"/>
        <v>2315</v>
      </c>
      <c r="Z917" s="17">
        <f t="shared" si="571"/>
        <v>4041</v>
      </c>
      <c r="AA917" s="91">
        <v>44931</v>
      </c>
    </row>
    <row r="918" spans="1:27" x14ac:dyDescent="0.15">
      <c r="A918" s="35" t="s">
        <v>33</v>
      </c>
      <c r="B918" s="15"/>
      <c r="C918" s="16"/>
      <c r="D918" s="36">
        <f t="shared" si="563"/>
        <v>0</v>
      </c>
      <c r="E918" s="18"/>
      <c r="F918" s="16">
        <v>1</v>
      </c>
      <c r="G918" s="36">
        <f t="shared" si="564"/>
        <v>1</v>
      </c>
      <c r="H918" s="17">
        <f t="shared" si="565"/>
        <v>1</v>
      </c>
      <c r="I918" s="84">
        <v>44938</v>
      </c>
      <c r="J918" s="35" t="s">
        <v>415</v>
      </c>
      <c r="K918" s="15">
        <v>20</v>
      </c>
      <c r="L918" s="16">
        <v>30</v>
      </c>
      <c r="M918" s="17">
        <f t="shared" si="566"/>
        <v>50</v>
      </c>
      <c r="N918" s="18">
        <v>30</v>
      </c>
      <c r="O918" s="16">
        <v>10</v>
      </c>
      <c r="P918" s="17">
        <f t="shared" si="567"/>
        <v>40</v>
      </c>
      <c r="Q918" s="17">
        <f t="shared" si="568"/>
        <v>90</v>
      </c>
      <c r="R918" s="81">
        <v>44574</v>
      </c>
      <c r="S918" s="10"/>
      <c r="T918" s="19"/>
      <c r="U918" s="20"/>
      <c r="V918" s="36">
        <f t="shared" ref="V918" si="572">SUM(T918:U918)</f>
        <v>0</v>
      </c>
      <c r="W918" s="21"/>
      <c r="X918" s="20"/>
      <c r="Y918" s="17">
        <f t="shared" ref="Y918" si="573">SUM(W918:X918)</f>
        <v>0</v>
      </c>
      <c r="Z918" s="17">
        <f t="shared" ref="Z918" si="574">V918+Y918</f>
        <v>0</v>
      </c>
    </row>
    <row r="919" spans="1:27" x14ac:dyDescent="0.15">
      <c r="A919" s="35" t="s">
        <v>33</v>
      </c>
      <c r="B919" s="15"/>
      <c r="C919" s="16"/>
      <c r="D919" s="36">
        <f t="shared" si="563"/>
        <v>0</v>
      </c>
      <c r="E919" s="18">
        <v>1</v>
      </c>
      <c r="F919" s="16"/>
      <c r="G919" s="36">
        <f t="shared" si="564"/>
        <v>1</v>
      </c>
      <c r="H919" s="17">
        <f t="shared" si="565"/>
        <v>1</v>
      </c>
      <c r="I919" s="84">
        <v>44939</v>
      </c>
      <c r="J919" s="35" t="s">
        <v>416</v>
      </c>
      <c r="K919" s="15">
        <v>10</v>
      </c>
      <c r="L919" s="16">
        <v>10</v>
      </c>
      <c r="M919" s="17">
        <f t="shared" si="566"/>
        <v>20</v>
      </c>
      <c r="N919" s="18">
        <v>15</v>
      </c>
      <c r="O919" s="16">
        <v>15</v>
      </c>
      <c r="P919" s="17">
        <f t="shared" si="567"/>
        <v>30</v>
      </c>
      <c r="Q919" s="17">
        <f t="shared" si="568"/>
        <v>50</v>
      </c>
      <c r="R919" s="81">
        <v>44574</v>
      </c>
      <c r="S919" s="10"/>
      <c r="T919" s="19"/>
      <c r="U919" s="20"/>
      <c r="V919" s="17">
        <f t="shared" si="569"/>
        <v>0</v>
      </c>
      <c r="W919" s="21"/>
      <c r="X919" s="20"/>
      <c r="Y919" s="17">
        <f t="shared" si="570"/>
        <v>0</v>
      </c>
      <c r="Z919" s="17">
        <f t="shared" si="571"/>
        <v>0</v>
      </c>
    </row>
    <row r="920" spans="1:27" x14ac:dyDescent="0.15">
      <c r="A920" s="35" t="s">
        <v>33</v>
      </c>
      <c r="B920" s="15"/>
      <c r="C920" s="16"/>
      <c r="D920" s="36">
        <f t="shared" si="563"/>
        <v>0</v>
      </c>
      <c r="E920" s="18">
        <v>11</v>
      </c>
      <c r="F920" s="16"/>
      <c r="G920" s="36">
        <f t="shared" si="564"/>
        <v>11</v>
      </c>
      <c r="H920" s="17">
        <f t="shared" si="565"/>
        <v>11</v>
      </c>
      <c r="I920" s="84">
        <v>44942</v>
      </c>
      <c r="J920" s="35" t="s">
        <v>420</v>
      </c>
      <c r="K920" s="15"/>
      <c r="L920" s="16">
        <v>3</v>
      </c>
      <c r="M920" s="17">
        <f t="shared" si="566"/>
        <v>3</v>
      </c>
      <c r="N920" s="18"/>
      <c r="O920" s="16">
        <v>3</v>
      </c>
      <c r="P920" s="17">
        <f t="shared" si="567"/>
        <v>3</v>
      </c>
      <c r="Q920" s="17">
        <f t="shared" si="568"/>
        <v>6</v>
      </c>
      <c r="R920" s="81">
        <v>44936</v>
      </c>
      <c r="S920" s="52"/>
      <c r="T920" s="15"/>
      <c r="U920" s="16"/>
      <c r="V920" s="17">
        <f t="shared" si="569"/>
        <v>0</v>
      </c>
      <c r="W920" s="18"/>
      <c r="X920" s="16"/>
      <c r="Y920" s="17">
        <f t="shared" si="570"/>
        <v>0</v>
      </c>
      <c r="Z920" s="17">
        <f t="shared" si="571"/>
        <v>0</v>
      </c>
      <c r="AA920" s="93"/>
    </row>
    <row r="921" spans="1:27" x14ac:dyDescent="0.15">
      <c r="A921" s="35" t="s">
        <v>33</v>
      </c>
      <c r="B921" s="15"/>
      <c r="C921" s="16">
        <v>2</v>
      </c>
      <c r="D921" s="36">
        <f t="shared" si="563"/>
        <v>2</v>
      </c>
      <c r="E921" s="18"/>
      <c r="F921" s="16">
        <v>1</v>
      </c>
      <c r="G921" s="36">
        <f t="shared" si="564"/>
        <v>1</v>
      </c>
      <c r="H921" s="17">
        <f t="shared" si="565"/>
        <v>3</v>
      </c>
      <c r="I921" s="81">
        <v>44943</v>
      </c>
      <c r="J921" s="73" t="s">
        <v>91</v>
      </c>
      <c r="K921" s="15">
        <v>5</v>
      </c>
      <c r="L921" s="16">
        <v>10</v>
      </c>
      <c r="M921" s="17">
        <f t="shared" si="566"/>
        <v>15</v>
      </c>
      <c r="N921" s="18">
        <v>10</v>
      </c>
      <c r="O921" s="16">
        <v>10</v>
      </c>
      <c r="P921" s="17">
        <f t="shared" si="567"/>
        <v>20</v>
      </c>
      <c r="Q921" s="17">
        <f t="shared" si="568"/>
        <v>35</v>
      </c>
      <c r="R921" s="81">
        <v>44933</v>
      </c>
      <c r="S921" s="10"/>
      <c r="T921" s="15"/>
      <c r="U921" s="16"/>
      <c r="V921" s="17">
        <f t="shared" si="569"/>
        <v>0</v>
      </c>
      <c r="W921" s="18"/>
      <c r="X921" s="16"/>
      <c r="Y921" s="17">
        <f t="shared" si="570"/>
        <v>0</v>
      </c>
      <c r="Z921" s="17">
        <f t="shared" si="571"/>
        <v>0</v>
      </c>
    </row>
    <row r="922" spans="1:27" x14ac:dyDescent="0.15">
      <c r="A922" s="35" t="s">
        <v>431</v>
      </c>
      <c r="B922" s="15"/>
      <c r="C922" s="16">
        <v>1</v>
      </c>
      <c r="D922" s="36">
        <f t="shared" si="563"/>
        <v>1</v>
      </c>
      <c r="E922" s="18"/>
      <c r="F922" s="16">
        <v>1</v>
      </c>
      <c r="G922" s="36">
        <f t="shared" si="564"/>
        <v>1</v>
      </c>
      <c r="H922" s="17">
        <f t="shared" si="565"/>
        <v>2</v>
      </c>
      <c r="I922" s="81">
        <v>44945</v>
      </c>
      <c r="J922" s="35" t="s">
        <v>421</v>
      </c>
      <c r="K922" s="15">
        <v>4</v>
      </c>
      <c r="L922" s="16">
        <v>8</v>
      </c>
      <c r="M922" s="36">
        <f t="shared" si="566"/>
        <v>12</v>
      </c>
      <c r="N922" s="18">
        <v>4</v>
      </c>
      <c r="O922" s="16">
        <v>8</v>
      </c>
      <c r="P922" s="36">
        <f t="shared" si="567"/>
        <v>12</v>
      </c>
      <c r="Q922" s="17">
        <f t="shared" si="568"/>
        <v>24</v>
      </c>
      <c r="R922" s="81">
        <v>44937</v>
      </c>
      <c r="S922" s="10"/>
      <c r="T922" s="15"/>
      <c r="U922" s="16"/>
      <c r="V922" s="36">
        <f t="shared" si="569"/>
        <v>0</v>
      </c>
      <c r="W922" s="18"/>
      <c r="X922" s="16"/>
      <c r="Y922" s="36">
        <f t="shared" si="570"/>
        <v>0</v>
      </c>
      <c r="Z922" s="17">
        <f t="shared" si="571"/>
        <v>0</v>
      </c>
    </row>
    <row r="923" spans="1:27" x14ac:dyDescent="0.15">
      <c r="A923" s="35" t="s">
        <v>433</v>
      </c>
      <c r="B923" s="15">
        <v>2</v>
      </c>
      <c r="C923" s="16">
        <v>1</v>
      </c>
      <c r="D923" s="36">
        <f t="shared" si="563"/>
        <v>3</v>
      </c>
      <c r="E923" s="18">
        <v>2</v>
      </c>
      <c r="F923" s="16">
        <v>1</v>
      </c>
      <c r="G923" s="36">
        <f t="shared" si="564"/>
        <v>3</v>
      </c>
      <c r="H923" s="17">
        <f t="shared" si="565"/>
        <v>6</v>
      </c>
      <c r="I923" s="81">
        <v>44946</v>
      </c>
      <c r="J923" s="35" t="s">
        <v>425</v>
      </c>
      <c r="K923" s="15">
        <v>4</v>
      </c>
      <c r="L923" s="16">
        <v>2</v>
      </c>
      <c r="M923" s="36">
        <f t="shared" si="566"/>
        <v>6</v>
      </c>
      <c r="N923" s="18">
        <v>4</v>
      </c>
      <c r="O923" s="16">
        <v>2</v>
      </c>
      <c r="P923" s="36">
        <f t="shared" si="567"/>
        <v>6</v>
      </c>
      <c r="Q923" s="17">
        <f t="shared" si="568"/>
        <v>12</v>
      </c>
      <c r="R923" s="81">
        <v>44938</v>
      </c>
      <c r="S923" s="10"/>
      <c r="T923" s="15"/>
      <c r="U923" s="16"/>
      <c r="V923" s="36">
        <f t="shared" si="569"/>
        <v>0</v>
      </c>
      <c r="W923" s="18"/>
      <c r="X923" s="16"/>
      <c r="Y923" s="36">
        <f t="shared" si="570"/>
        <v>0</v>
      </c>
      <c r="Z923" s="17">
        <f t="shared" si="571"/>
        <v>0</v>
      </c>
    </row>
    <row r="924" spans="1:27" x14ac:dyDescent="0.15">
      <c r="A924" s="35" t="s">
        <v>33</v>
      </c>
      <c r="B924" s="15"/>
      <c r="C924" s="16"/>
      <c r="D924" s="36">
        <f t="shared" si="563"/>
        <v>0</v>
      </c>
      <c r="E924" s="18">
        <v>1</v>
      </c>
      <c r="F924" s="16"/>
      <c r="G924" s="36">
        <f t="shared" si="564"/>
        <v>1</v>
      </c>
      <c r="H924" s="17">
        <f t="shared" si="565"/>
        <v>1</v>
      </c>
      <c r="I924" s="81">
        <v>44945</v>
      </c>
      <c r="J924" s="35" t="s">
        <v>428</v>
      </c>
      <c r="K924" s="19">
        <v>4</v>
      </c>
      <c r="L924" s="20">
        <v>1</v>
      </c>
      <c r="M924" s="17">
        <f t="shared" si="566"/>
        <v>5</v>
      </c>
      <c r="N924" s="21">
        <v>4</v>
      </c>
      <c r="O924" s="20">
        <v>1</v>
      </c>
      <c r="P924" s="17">
        <f t="shared" si="567"/>
        <v>5</v>
      </c>
      <c r="Q924" s="17">
        <f t="shared" si="568"/>
        <v>10</v>
      </c>
      <c r="R924" s="81">
        <v>44939</v>
      </c>
      <c r="S924" s="52"/>
      <c r="T924" s="15"/>
      <c r="U924" s="16"/>
      <c r="V924" s="36">
        <f t="shared" si="569"/>
        <v>0</v>
      </c>
      <c r="W924" s="18"/>
      <c r="X924" s="16"/>
      <c r="Y924" s="36">
        <f t="shared" si="570"/>
        <v>0</v>
      </c>
      <c r="Z924" s="17">
        <f t="shared" si="571"/>
        <v>0</v>
      </c>
    </row>
    <row r="925" spans="1:27" x14ac:dyDescent="0.15">
      <c r="A925" s="35" t="s">
        <v>33</v>
      </c>
      <c r="B925" s="15">
        <v>1</v>
      </c>
      <c r="C925" s="16"/>
      <c r="D925" s="36">
        <f t="shared" si="563"/>
        <v>1</v>
      </c>
      <c r="E925" s="18"/>
      <c r="F925" s="16">
        <v>2</v>
      </c>
      <c r="G925" s="36">
        <f t="shared" si="564"/>
        <v>2</v>
      </c>
      <c r="H925" s="17">
        <f t="shared" si="565"/>
        <v>3</v>
      </c>
      <c r="I925" s="81">
        <v>44949</v>
      </c>
      <c r="J925" s="35" t="s">
        <v>429</v>
      </c>
      <c r="K925" s="19">
        <v>4</v>
      </c>
      <c r="L925" s="20">
        <v>2</v>
      </c>
      <c r="M925" s="17">
        <f t="shared" si="566"/>
        <v>6</v>
      </c>
      <c r="N925" s="21">
        <v>4</v>
      </c>
      <c r="O925" s="20">
        <v>2</v>
      </c>
      <c r="P925" s="17">
        <f t="shared" si="567"/>
        <v>6</v>
      </c>
      <c r="Q925" s="17">
        <f t="shared" si="568"/>
        <v>12</v>
      </c>
      <c r="R925" s="81">
        <v>44942</v>
      </c>
      <c r="S925" s="10"/>
      <c r="T925" s="19"/>
      <c r="U925" s="20"/>
      <c r="V925" s="17">
        <f t="shared" si="569"/>
        <v>0</v>
      </c>
      <c r="W925" s="21"/>
      <c r="X925" s="20"/>
      <c r="Y925" s="17">
        <f t="shared" si="570"/>
        <v>0</v>
      </c>
      <c r="Z925" s="17">
        <f t="shared" si="571"/>
        <v>0</v>
      </c>
    </row>
    <row r="926" spans="1:27" x14ac:dyDescent="0.15">
      <c r="A926" s="35" t="s">
        <v>439</v>
      </c>
      <c r="B926" s="15"/>
      <c r="C926" s="16">
        <v>1</v>
      </c>
      <c r="D926" s="36">
        <f t="shared" si="563"/>
        <v>1</v>
      </c>
      <c r="E926" s="18"/>
      <c r="F926" s="16">
        <v>1</v>
      </c>
      <c r="G926" s="36">
        <f t="shared" si="564"/>
        <v>1</v>
      </c>
      <c r="H926" s="17">
        <f t="shared" si="565"/>
        <v>2</v>
      </c>
      <c r="I926" s="81">
        <v>44951</v>
      </c>
      <c r="J926" s="35" t="s">
        <v>430</v>
      </c>
      <c r="K926" s="23">
        <v>5</v>
      </c>
      <c r="L926" s="24"/>
      <c r="M926" s="36">
        <f t="shared" si="566"/>
        <v>5</v>
      </c>
      <c r="N926" s="25">
        <v>5</v>
      </c>
      <c r="O926" s="24"/>
      <c r="P926" s="36">
        <f t="shared" si="567"/>
        <v>5</v>
      </c>
      <c r="Q926" s="17">
        <f t="shared" si="568"/>
        <v>10</v>
      </c>
      <c r="R926" s="81">
        <v>44943</v>
      </c>
      <c r="S926" s="35"/>
      <c r="T926" s="23"/>
      <c r="U926" s="24"/>
      <c r="V926" s="36">
        <f t="shared" si="569"/>
        <v>0</v>
      </c>
      <c r="W926" s="25"/>
      <c r="X926" s="24"/>
      <c r="Y926" s="36">
        <f t="shared" si="570"/>
        <v>0</v>
      </c>
      <c r="Z926" s="17">
        <f t="shared" si="571"/>
        <v>0</v>
      </c>
    </row>
    <row r="927" spans="1:27" x14ac:dyDescent="0.15">
      <c r="A927" s="35" t="s">
        <v>33</v>
      </c>
      <c r="B927" s="15">
        <v>1</v>
      </c>
      <c r="C927" s="16">
        <v>1</v>
      </c>
      <c r="D927" s="36">
        <f t="shared" si="563"/>
        <v>2</v>
      </c>
      <c r="E927" s="18"/>
      <c r="F927" s="16"/>
      <c r="G927" s="36">
        <f t="shared" si="564"/>
        <v>0</v>
      </c>
      <c r="H927" s="17">
        <f t="shared" si="565"/>
        <v>2</v>
      </c>
      <c r="I927" s="81">
        <v>44950</v>
      </c>
      <c r="J927" s="73" t="s">
        <v>91</v>
      </c>
      <c r="K927" s="15"/>
      <c r="L927" s="16"/>
      <c r="M927" s="17">
        <f t="shared" si="566"/>
        <v>0</v>
      </c>
      <c r="N927" s="18">
        <v>15</v>
      </c>
      <c r="O927" s="16"/>
      <c r="P927" s="17">
        <f t="shared" si="567"/>
        <v>15</v>
      </c>
      <c r="Q927" s="17">
        <f t="shared" si="568"/>
        <v>15</v>
      </c>
      <c r="R927" s="81">
        <v>44944</v>
      </c>
      <c r="S927" s="35"/>
      <c r="T927" s="15"/>
      <c r="U927" s="16"/>
      <c r="V927" s="36">
        <f t="shared" si="569"/>
        <v>0</v>
      </c>
      <c r="W927" s="18"/>
      <c r="X927" s="16"/>
      <c r="Y927" s="36">
        <f t="shared" si="570"/>
        <v>0</v>
      </c>
      <c r="Z927" s="17">
        <f t="shared" si="571"/>
        <v>0</v>
      </c>
    </row>
    <row r="928" spans="1:27" x14ac:dyDescent="0.15">
      <c r="A928" s="52" t="s">
        <v>441</v>
      </c>
      <c r="B928" s="15"/>
      <c r="C928" s="16"/>
      <c r="D928" s="36">
        <f t="shared" si="563"/>
        <v>0</v>
      </c>
      <c r="E928" s="18"/>
      <c r="F928" s="16">
        <v>5</v>
      </c>
      <c r="G928" s="36">
        <f t="shared" si="564"/>
        <v>5</v>
      </c>
      <c r="H928" s="17">
        <f t="shared" si="565"/>
        <v>5</v>
      </c>
      <c r="I928" s="81">
        <v>44958</v>
      </c>
      <c r="J928" s="35" t="s">
        <v>432</v>
      </c>
      <c r="K928" s="15">
        <v>1</v>
      </c>
      <c r="L928" s="16"/>
      <c r="M928" s="36">
        <f t="shared" si="566"/>
        <v>1</v>
      </c>
      <c r="N928" s="18">
        <v>1</v>
      </c>
      <c r="O928" s="16"/>
      <c r="P928" s="36">
        <f t="shared" si="567"/>
        <v>1</v>
      </c>
      <c r="Q928" s="17">
        <f t="shared" si="568"/>
        <v>2</v>
      </c>
      <c r="R928" s="81">
        <v>44945</v>
      </c>
      <c r="S928" s="35"/>
      <c r="T928" s="15"/>
      <c r="U928" s="16"/>
      <c r="V928" s="36">
        <f t="shared" si="569"/>
        <v>0</v>
      </c>
      <c r="W928" s="18"/>
      <c r="X928" s="16"/>
      <c r="Y928" s="36">
        <f t="shared" si="570"/>
        <v>0</v>
      </c>
      <c r="Z928" s="17">
        <f t="shared" si="571"/>
        <v>0</v>
      </c>
    </row>
    <row r="929" spans="1:26" x14ac:dyDescent="0.15">
      <c r="A929" s="35" t="s">
        <v>442</v>
      </c>
      <c r="B929" s="15">
        <v>2</v>
      </c>
      <c r="C929" s="16">
        <v>1</v>
      </c>
      <c r="D929" s="36">
        <f t="shared" si="563"/>
        <v>3</v>
      </c>
      <c r="E929" s="18">
        <v>2</v>
      </c>
      <c r="F929" s="16">
        <v>1</v>
      </c>
      <c r="G929" s="36">
        <f t="shared" si="564"/>
        <v>3</v>
      </c>
      <c r="H929" s="17">
        <f t="shared" si="565"/>
        <v>6</v>
      </c>
      <c r="I929" s="81">
        <v>44952</v>
      </c>
      <c r="J929" s="35" t="s">
        <v>434</v>
      </c>
      <c r="K929" s="15">
        <v>10</v>
      </c>
      <c r="L929" s="16">
        <v>20</v>
      </c>
      <c r="M929" s="36">
        <f t="shared" si="566"/>
        <v>30</v>
      </c>
      <c r="N929" s="18">
        <v>35</v>
      </c>
      <c r="O929" s="16">
        <v>40</v>
      </c>
      <c r="P929" s="36">
        <f t="shared" si="567"/>
        <v>75</v>
      </c>
      <c r="Q929" s="17">
        <f t="shared" si="568"/>
        <v>105</v>
      </c>
      <c r="R929" s="81">
        <v>44947</v>
      </c>
      <c r="S929" s="35"/>
      <c r="T929" s="15"/>
      <c r="U929" s="16"/>
      <c r="V929" s="36">
        <f t="shared" si="569"/>
        <v>0</v>
      </c>
      <c r="W929" s="18"/>
      <c r="X929" s="16"/>
      <c r="Y929" s="36">
        <f t="shared" si="570"/>
        <v>0</v>
      </c>
      <c r="Z929" s="17">
        <f t="shared" si="571"/>
        <v>0</v>
      </c>
    </row>
    <row r="930" spans="1:26" x14ac:dyDescent="0.15">
      <c r="A930" s="35" t="s">
        <v>33</v>
      </c>
      <c r="B930" s="15">
        <v>2</v>
      </c>
      <c r="C930" s="16"/>
      <c r="D930" s="36">
        <f t="shared" si="563"/>
        <v>2</v>
      </c>
      <c r="E930" s="18"/>
      <c r="F930" s="16"/>
      <c r="G930" s="36">
        <f t="shared" si="564"/>
        <v>0</v>
      </c>
      <c r="H930" s="17">
        <f t="shared" si="565"/>
        <v>2</v>
      </c>
      <c r="I930" s="81">
        <v>44951</v>
      </c>
      <c r="J930" s="35" t="s">
        <v>435</v>
      </c>
      <c r="K930" s="15"/>
      <c r="L930" s="16"/>
      <c r="M930" s="17">
        <f t="shared" si="566"/>
        <v>0</v>
      </c>
      <c r="N930" s="18"/>
      <c r="O930" s="16">
        <v>20</v>
      </c>
      <c r="P930" s="17">
        <f t="shared" si="567"/>
        <v>20</v>
      </c>
      <c r="Q930" s="17">
        <f t="shared" si="568"/>
        <v>20</v>
      </c>
      <c r="R930" s="81">
        <v>44949</v>
      </c>
      <c r="S930" s="10"/>
      <c r="T930" s="15"/>
      <c r="U930" s="16"/>
      <c r="V930" s="17">
        <f t="shared" si="569"/>
        <v>0</v>
      </c>
      <c r="W930" s="18"/>
      <c r="X930" s="16"/>
      <c r="Y930" s="17">
        <f t="shared" si="570"/>
        <v>0</v>
      </c>
      <c r="Z930" s="17">
        <f t="shared" si="571"/>
        <v>0</v>
      </c>
    </row>
    <row r="931" spans="1:26" x14ac:dyDescent="0.15">
      <c r="A931" s="35" t="s">
        <v>444</v>
      </c>
      <c r="B931" s="15">
        <v>1</v>
      </c>
      <c r="C931" s="16"/>
      <c r="D931" s="36">
        <f t="shared" si="563"/>
        <v>1</v>
      </c>
      <c r="E931" s="18">
        <v>1</v>
      </c>
      <c r="F931" s="16"/>
      <c r="G931" s="36">
        <f t="shared" si="564"/>
        <v>1</v>
      </c>
      <c r="H931" s="17">
        <f t="shared" si="565"/>
        <v>2</v>
      </c>
      <c r="I931" s="81">
        <v>44953</v>
      </c>
      <c r="J931" s="35" t="s">
        <v>437</v>
      </c>
      <c r="K931" s="15"/>
      <c r="L931" s="16"/>
      <c r="M931" s="17">
        <f t="shared" si="566"/>
        <v>0</v>
      </c>
      <c r="N931" s="18">
        <v>5</v>
      </c>
      <c r="O931" s="16">
        <v>5</v>
      </c>
      <c r="P931" s="17">
        <f t="shared" si="567"/>
        <v>10</v>
      </c>
      <c r="Q931" s="17">
        <f t="shared" si="568"/>
        <v>10</v>
      </c>
      <c r="R931" s="81">
        <v>44950</v>
      </c>
      <c r="S931" s="35"/>
      <c r="T931" s="15"/>
      <c r="U931" s="16"/>
      <c r="V931" s="36">
        <f t="shared" si="569"/>
        <v>0</v>
      </c>
      <c r="W931" s="18"/>
      <c r="X931" s="16"/>
      <c r="Y931" s="36">
        <f t="shared" si="570"/>
        <v>0</v>
      </c>
      <c r="Z931" s="17">
        <f t="shared" si="571"/>
        <v>0</v>
      </c>
    </row>
    <row r="932" spans="1:26" x14ac:dyDescent="0.15">
      <c r="A932" s="35" t="s">
        <v>33</v>
      </c>
      <c r="B932" s="15"/>
      <c r="C932" s="16"/>
      <c r="D932" s="36">
        <f t="shared" si="563"/>
        <v>0</v>
      </c>
      <c r="E932" s="18">
        <v>1</v>
      </c>
      <c r="F932" s="16">
        <v>1</v>
      </c>
      <c r="G932" s="36">
        <f t="shared" si="564"/>
        <v>2</v>
      </c>
      <c r="H932" s="17">
        <f t="shared" si="565"/>
        <v>2</v>
      </c>
      <c r="I932" s="81">
        <v>44952</v>
      </c>
      <c r="J932" s="35" t="s">
        <v>438</v>
      </c>
      <c r="K932" s="15"/>
      <c r="L932" s="16"/>
      <c r="M932" s="36">
        <f t="shared" si="566"/>
        <v>0</v>
      </c>
      <c r="N932" s="18">
        <v>10</v>
      </c>
      <c r="O932" s="16"/>
      <c r="P932" s="36">
        <f t="shared" si="567"/>
        <v>10</v>
      </c>
      <c r="Q932" s="17">
        <f t="shared" si="568"/>
        <v>10</v>
      </c>
      <c r="R932" s="81">
        <v>44950</v>
      </c>
      <c r="S932" s="37"/>
      <c r="T932" s="15"/>
      <c r="U932" s="16"/>
      <c r="V932" s="36">
        <f t="shared" si="569"/>
        <v>0</v>
      </c>
      <c r="W932" s="18"/>
      <c r="X932" s="16"/>
      <c r="Y932" s="36">
        <f t="shared" si="570"/>
        <v>0</v>
      </c>
      <c r="Z932" s="17">
        <f t="shared" si="571"/>
        <v>0</v>
      </c>
    </row>
    <row r="933" spans="1:26" x14ac:dyDescent="0.15">
      <c r="A933" s="35" t="s">
        <v>33</v>
      </c>
      <c r="B933" s="15"/>
      <c r="C933" s="16"/>
      <c r="D933" s="36">
        <f t="shared" si="563"/>
        <v>0</v>
      </c>
      <c r="E933" s="18"/>
      <c r="F933" s="16">
        <v>2</v>
      </c>
      <c r="G933" s="36">
        <f t="shared" si="564"/>
        <v>2</v>
      </c>
      <c r="H933" s="17">
        <f t="shared" si="565"/>
        <v>2</v>
      </c>
      <c r="I933" s="81">
        <v>44953</v>
      </c>
      <c r="J933" s="73" t="s">
        <v>91</v>
      </c>
      <c r="K933" s="15">
        <v>5</v>
      </c>
      <c r="L933" s="16">
        <v>5</v>
      </c>
      <c r="M933" s="36">
        <f t="shared" si="566"/>
        <v>10</v>
      </c>
      <c r="N933" s="18"/>
      <c r="O933" s="16">
        <v>5</v>
      </c>
      <c r="P933" s="36">
        <f t="shared" si="567"/>
        <v>5</v>
      </c>
      <c r="Q933" s="17">
        <f t="shared" si="568"/>
        <v>15</v>
      </c>
      <c r="R933" s="81">
        <v>44951</v>
      </c>
      <c r="S933" s="37"/>
      <c r="T933" s="15"/>
      <c r="U933" s="16"/>
      <c r="V933" s="36">
        <f t="shared" si="569"/>
        <v>0</v>
      </c>
      <c r="W933" s="18"/>
      <c r="X933" s="16"/>
      <c r="Y933" s="36">
        <f t="shared" si="570"/>
        <v>0</v>
      </c>
      <c r="Z933" s="17">
        <f t="shared" si="571"/>
        <v>0</v>
      </c>
    </row>
    <row r="934" spans="1:26" x14ac:dyDescent="0.15">
      <c r="A934" s="35" t="s">
        <v>448</v>
      </c>
      <c r="B934" s="15"/>
      <c r="C934" s="16">
        <v>2</v>
      </c>
      <c r="D934" s="36">
        <f t="shared" si="563"/>
        <v>2</v>
      </c>
      <c r="E934" s="18"/>
      <c r="F934" s="16">
        <v>2</v>
      </c>
      <c r="G934" s="36">
        <f t="shared" si="564"/>
        <v>2</v>
      </c>
      <c r="H934" s="17">
        <f t="shared" si="565"/>
        <v>4</v>
      </c>
      <c r="I934" s="81">
        <v>44957</v>
      </c>
      <c r="J934" s="35" t="s">
        <v>440</v>
      </c>
      <c r="K934" s="15">
        <v>10</v>
      </c>
      <c r="L934" s="16">
        <v>5</v>
      </c>
      <c r="M934" s="36">
        <f t="shared" si="566"/>
        <v>15</v>
      </c>
      <c r="N934" s="18">
        <v>15</v>
      </c>
      <c r="O934" s="16">
        <v>20</v>
      </c>
      <c r="P934" s="36">
        <f t="shared" si="567"/>
        <v>35</v>
      </c>
      <c r="Q934" s="17">
        <f t="shared" si="568"/>
        <v>50</v>
      </c>
      <c r="R934" s="81">
        <v>44952</v>
      </c>
      <c r="S934" s="35"/>
      <c r="T934" s="15"/>
      <c r="U934" s="16"/>
      <c r="V934" s="36">
        <f t="shared" si="569"/>
        <v>0</v>
      </c>
      <c r="W934" s="18"/>
      <c r="X934" s="16"/>
      <c r="Y934" s="36">
        <f t="shared" si="570"/>
        <v>0</v>
      </c>
      <c r="Z934" s="17">
        <f t="shared" si="571"/>
        <v>0</v>
      </c>
    </row>
    <row r="935" spans="1:26" x14ac:dyDescent="0.15">
      <c r="A935" s="35" t="s">
        <v>33</v>
      </c>
      <c r="B935" s="15">
        <v>2</v>
      </c>
      <c r="C935" s="16"/>
      <c r="D935" s="36">
        <f t="shared" si="563"/>
        <v>2</v>
      </c>
      <c r="E935" s="18">
        <f>3+2</f>
        <v>5</v>
      </c>
      <c r="F935" s="16"/>
      <c r="G935" s="36">
        <f t="shared" si="564"/>
        <v>5</v>
      </c>
      <c r="H935" s="17">
        <f t="shared" si="565"/>
        <v>7</v>
      </c>
      <c r="I935" s="81">
        <v>44956</v>
      </c>
      <c r="J935" s="35" t="s">
        <v>443</v>
      </c>
      <c r="K935" s="15">
        <v>30</v>
      </c>
      <c r="L935" s="16">
        <v>50</v>
      </c>
      <c r="M935" s="36">
        <f t="shared" si="566"/>
        <v>80</v>
      </c>
      <c r="N935" s="18">
        <v>50</v>
      </c>
      <c r="O935" s="16">
        <v>105</v>
      </c>
      <c r="P935" s="36">
        <f t="shared" si="567"/>
        <v>155</v>
      </c>
      <c r="Q935" s="17">
        <f t="shared" si="568"/>
        <v>235</v>
      </c>
      <c r="R935" s="81">
        <v>44953</v>
      </c>
      <c r="S935" s="38"/>
      <c r="T935" s="15"/>
      <c r="U935" s="16"/>
      <c r="V935" s="36">
        <f t="shared" si="569"/>
        <v>0</v>
      </c>
      <c r="W935" s="18"/>
      <c r="X935" s="16"/>
      <c r="Y935" s="36">
        <f t="shared" si="570"/>
        <v>0</v>
      </c>
      <c r="Z935" s="17">
        <f t="shared" si="571"/>
        <v>0</v>
      </c>
    </row>
    <row r="936" spans="1:26" x14ac:dyDescent="0.15">
      <c r="A936" s="35" t="s">
        <v>449</v>
      </c>
      <c r="B936" s="15">
        <v>1</v>
      </c>
      <c r="C936" s="16"/>
      <c r="D936" s="36">
        <f t="shared" si="563"/>
        <v>1</v>
      </c>
      <c r="E936" s="18">
        <v>1</v>
      </c>
      <c r="F936" s="16"/>
      <c r="G936" s="36">
        <f t="shared" si="564"/>
        <v>1</v>
      </c>
      <c r="H936" s="17">
        <f t="shared" si="565"/>
        <v>2</v>
      </c>
      <c r="I936" s="81">
        <v>44958</v>
      </c>
      <c r="J936" s="35" t="s">
        <v>445</v>
      </c>
      <c r="K936" s="15">
        <v>20</v>
      </c>
      <c r="L936" s="16">
        <v>10</v>
      </c>
      <c r="M936" s="36">
        <f t="shared" si="566"/>
        <v>30</v>
      </c>
      <c r="N936" s="18">
        <v>30</v>
      </c>
      <c r="O936" s="16"/>
      <c r="P936" s="36">
        <f t="shared" si="567"/>
        <v>30</v>
      </c>
      <c r="Q936" s="17">
        <f t="shared" si="568"/>
        <v>60</v>
      </c>
      <c r="R936" s="81">
        <v>44953</v>
      </c>
      <c r="S936" s="35"/>
      <c r="T936" s="15"/>
      <c r="U936" s="16"/>
      <c r="V936" s="36">
        <f t="shared" si="569"/>
        <v>0</v>
      </c>
      <c r="W936" s="18"/>
      <c r="X936" s="16"/>
      <c r="Y936" s="36">
        <f t="shared" si="570"/>
        <v>0</v>
      </c>
      <c r="Z936" s="17">
        <f t="shared" si="571"/>
        <v>0</v>
      </c>
    </row>
    <row r="937" spans="1:26" x14ac:dyDescent="0.15">
      <c r="A937" s="35" t="s">
        <v>33</v>
      </c>
      <c r="B937" s="15">
        <v>1</v>
      </c>
      <c r="C937" s="16"/>
      <c r="D937" s="36">
        <f t="shared" si="563"/>
        <v>1</v>
      </c>
      <c r="E937" s="18"/>
      <c r="F937" s="16"/>
      <c r="G937" s="36">
        <f t="shared" si="564"/>
        <v>0</v>
      </c>
      <c r="H937" s="17">
        <f t="shared" si="565"/>
        <v>1</v>
      </c>
      <c r="I937" s="81">
        <v>44957</v>
      </c>
      <c r="J937" s="35" t="s">
        <v>446</v>
      </c>
      <c r="K937" s="15">
        <v>2</v>
      </c>
      <c r="L937" s="16"/>
      <c r="M937" s="36">
        <f t="shared" si="566"/>
        <v>2</v>
      </c>
      <c r="N937" s="18">
        <v>2</v>
      </c>
      <c r="O937" s="16"/>
      <c r="P937" s="36">
        <f t="shared" si="567"/>
        <v>2</v>
      </c>
      <c r="Q937" s="17">
        <f t="shared" si="568"/>
        <v>4</v>
      </c>
      <c r="R937" s="81">
        <v>44956</v>
      </c>
      <c r="S937" s="38"/>
      <c r="T937" s="15"/>
      <c r="U937" s="16"/>
      <c r="V937" s="36">
        <f t="shared" si="569"/>
        <v>0</v>
      </c>
      <c r="W937" s="18"/>
      <c r="X937" s="16"/>
      <c r="Y937" s="36">
        <f t="shared" si="570"/>
        <v>0</v>
      </c>
      <c r="Z937" s="17">
        <f t="shared" si="571"/>
        <v>0</v>
      </c>
    </row>
    <row r="938" spans="1:26" x14ac:dyDescent="0.15">
      <c r="A938" s="35" t="s">
        <v>450</v>
      </c>
      <c r="B938" s="15"/>
      <c r="C938" s="16"/>
      <c r="D938" s="36">
        <f t="shared" si="563"/>
        <v>0</v>
      </c>
      <c r="E938" s="18"/>
      <c r="F938" s="16">
        <v>2</v>
      </c>
      <c r="G938" s="36">
        <f t="shared" si="564"/>
        <v>2</v>
      </c>
      <c r="H938" s="17">
        <f t="shared" si="565"/>
        <v>2</v>
      </c>
      <c r="I938" s="81">
        <v>44958</v>
      </c>
      <c r="J938" s="35" t="s">
        <v>447</v>
      </c>
      <c r="K938" s="15"/>
      <c r="L938" s="16"/>
      <c r="M938" s="36">
        <f t="shared" si="566"/>
        <v>0</v>
      </c>
      <c r="N938" s="18">
        <v>30</v>
      </c>
      <c r="O938" s="16"/>
      <c r="P938" s="36">
        <f t="shared" si="567"/>
        <v>30</v>
      </c>
      <c r="Q938" s="17">
        <f t="shared" si="568"/>
        <v>30</v>
      </c>
      <c r="R938" s="81">
        <v>44954</v>
      </c>
      <c r="S938" s="35"/>
      <c r="T938" s="15"/>
      <c r="U938" s="16"/>
      <c r="V938" s="36">
        <f t="shared" si="569"/>
        <v>0</v>
      </c>
      <c r="W938" s="18"/>
      <c r="X938" s="16"/>
      <c r="Y938" s="36">
        <f t="shared" si="570"/>
        <v>0</v>
      </c>
      <c r="Z938" s="17">
        <f t="shared" si="571"/>
        <v>0</v>
      </c>
    </row>
    <row r="939" spans="1:26" x14ac:dyDescent="0.15">
      <c r="A939" s="35" t="s">
        <v>33</v>
      </c>
      <c r="B939" s="15">
        <v>1</v>
      </c>
      <c r="C939" s="16"/>
      <c r="D939" s="36">
        <f t="shared" si="563"/>
        <v>1</v>
      </c>
      <c r="E939" s="18"/>
      <c r="F939" s="16"/>
      <c r="G939" s="36">
        <f t="shared" si="564"/>
        <v>0</v>
      </c>
      <c r="H939" s="17">
        <f t="shared" si="565"/>
        <v>1</v>
      </c>
      <c r="I939" s="84">
        <v>44960</v>
      </c>
      <c r="J939" s="73" t="s">
        <v>91</v>
      </c>
      <c r="K939" s="15">
        <v>10</v>
      </c>
      <c r="L939" s="16">
        <v>5</v>
      </c>
      <c r="M939" s="36">
        <f t="shared" si="566"/>
        <v>15</v>
      </c>
      <c r="N939" s="18">
        <v>10</v>
      </c>
      <c r="O939" s="16">
        <v>10</v>
      </c>
      <c r="P939" s="36">
        <f t="shared" si="567"/>
        <v>20</v>
      </c>
      <c r="Q939" s="17">
        <f t="shared" si="568"/>
        <v>35</v>
      </c>
      <c r="R939" s="81">
        <v>44957</v>
      </c>
      <c r="S939" s="35"/>
      <c r="T939" s="15"/>
      <c r="U939" s="16"/>
      <c r="V939" s="36">
        <f t="shared" si="569"/>
        <v>0</v>
      </c>
      <c r="W939" s="18"/>
      <c r="X939" s="16"/>
      <c r="Y939" s="36">
        <f t="shared" si="570"/>
        <v>0</v>
      </c>
      <c r="Z939" s="17">
        <f t="shared" si="571"/>
        <v>0</v>
      </c>
    </row>
    <row r="940" spans="1:26" x14ac:dyDescent="0.15">
      <c r="A940" s="35" t="s">
        <v>33</v>
      </c>
      <c r="B940" s="15"/>
      <c r="C940" s="16"/>
      <c r="D940" s="36">
        <f t="shared" si="563"/>
        <v>0</v>
      </c>
      <c r="E940" s="18"/>
      <c r="F940" s="16">
        <v>1</v>
      </c>
      <c r="G940" s="36">
        <f t="shared" si="564"/>
        <v>1</v>
      </c>
      <c r="H940" s="17">
        <f t="shared" si="565"/>
        <v>1</v>
      </c>
      <c r="I940" s="84">
        <v>44961</v>
      </c>
      <c r="J940" s="35"/>
      <c r="K940" s="15"/>
      <c r="L940" s="16"/>
      <c r="M940" s="36">
        <f t="shared" ref="M940" si="575">SUM(K940:L940)</f>
        <v>0</v>
      </c>
      <c r="N940" s="18"/>
      <c r="O940" s="16"/>
      <c r="P940" s="36">
        <f t="shared" ref="P940" si="576">SUM(N940:O940)</f>
        <v>0</v>
      </c>
      <c r="Q940" s="17">
        <f t="shared" ref="Q940" si="577">M940+P940</f>
        <v>0</v>
      </c>
      <c r="R940" s="81"/>
      <c r="S940" s="35"/>
      <c r="T940" s="15"/>
      <c r="U940" s="16"/>
      <c r="V940" s="36">
        <f t="shared" si="569"/>
        <v>0</v>
      </c>
      <c r="W940" s="18"/>
      <c r="X940" s="16"/>
      <c r="Y940" s="36">
        <f t="shared" si="570"/>
        <v>0</v>
      </c>
      <c r="Z940" s="17">
        <f t="shared" si="571"/>
        <v>0</v>
      </c>
    </row>
    <row r="941" spans="1:26" x14ac:dyDescent="0.15">
      <c r="A941" s="35"/>
      <c r="B941" s="15"/>
      <c r="C941" s="16"/>
      <c r="D941" s="36">
        <f t="shared" si="563"/>
        <v>0</v>
      </c>
      <c r="E941" s="18"/>
      <c r="F941" s="16"/>
      <c r="G941" s="36">
        <f t="shared" si="564"/>
        <v>0</v>
      </c>
      <c r="H941" s="17">
        <f t="shared" si="565"/>
        <v>0</v>
      </c>
      <c r="J941" s="35"/>
      <c r="K941" s="15"/>
      <c r="L941" s="16"/>
      <c r="M941" s="36">
        <f t="shared" si="566"/>
        <v>0</v>
      </c>
      <c r="N941" s="18"/>
      <c r="O941" s="16"/>
      <c r="P941" s="36">
        <f t="shared" si="567"/>
        <v>0</v>
      </c>
      <c r="Q941" s="17">
        <f t="shared" si="568"/>
        <v>0</v>
      </c>
      <c r="R941" s="81"/>
      <c r="S941" s="35"/>
      <c r="T941" s="15"/>
      <c r="U941" s="16"/>
      <c r="V941" s="36">
        <f t="shared" si="569"/>
        <v>0</v>
      </c>
      <c r="W941" s="18"/>
      <c r="X941" s="16"/>
      <c r="Y941" s="36">
        <f t="shared" si="570"/>
        <v>0</v>
      </c>
      <c r="Z941" s="17">
        <f t="shared" si="571"/>
        <v>0</v>
      </c>
    </row>
    <row r="942" spans="1:26" ht="14.25" thickBot="1" x14ac:dyDescent="0.2">
      <c r="A942" s="35"/>
      <c r="B942" s="15"/>
      <c r="C942" s="16"/>
      <c r="D942" s="36">
        <f t="shared" si="563"/>
        <v>0</v>
      </c>
      <c r="E942" s="18"/>
      <c r="F942" s="16"/>
      <c r="G942" s="36">
        <f t="shared" si="564"/>
        <v>0</v>
      </c>
      <c r="H942" s="17">
        <f t="shared" si="565"/>
        <v>0</v>
      </c>
      <c r="J942" s="35" t="s">
        <v>354</v>
      </c>
      <c r="K942" s="15"/>
      <c r="L942" s="16"/>
      <c r="M942" s="36">
        <f t="shared" si="566"/>
        <v>0</v>
      </c>
      <c r="N942" s="18"/>
      <c r="O942" s="16"/>
      <c r="P942" s="36">
        <f t="shared" si="567"/>
        <v>0</v>
      </c>
      <c r="Q942" s="17">
        <f t="shared" si="568"/>
        <v>0</v>
      </c>
      <c r="R942" s="81" t="s">
        <v>355</v>
      </c>
      <c r="S942" s="35"/>
      <c r="T942" s="15"/>
      <c r="U942" s="16"/>
      <c r="V942" s="36">
        <f t="shared" si="569"/>
        <v>0</v>
      </c>
      <c r="W942" s="18"/>
      <c r="X942" s="16"/>
      <c r="Y942" s="36">
        <f t="shared" si="570"/>
        <v>0</v>
      </c>
      <c r="Z942" s="17">
        <f t="shared" si="571"/>
        <v>0</v>
      </c>
    </row>
    <row r="943" spans="1:26" ht="14.25" thickBot="1" x14ac:dyDescent="0.2">
      <c r="A943" s="40" t="s">
        <v>14</v>
      </c>
      <c r="B943" s="41">
        <f>SUM(B917:B942)</f>
        <v>14</v>
      </c>
      <c r="C943" s="42">
        <f t="shared" ref="C943" si="578">SUM(C917:C942)</f>
        <v>9</v>
      </c>
      <c r="D943" s="43">
        <f t="shared" si="563"/>
        <v>23</v>
      </c>
      <c r="E943" s="41">
        <f>SUM(E917:E942)</f>
        <v>27</v>
      </c>
      <c r="F943" s="42">
        <f t="shared" ref="F943" si="579">SUM(F917:F942)</f>
        <v>21</v>
      </c>
      <c r="G943" s="43">
        <f t="shared" si="564"/>
        <v>48</v>
      </c>
      <c r="H943" s="43">
        <f t="shared" si="565"/>
        <v>71</v>
      </c>
      <c r="J943" s="40" t="s">
        <v>14</v>
      </c>
      <c r="K943" s="41">
        <f>SUM(K917:K942)</f>
        <v>154</v>
      </c>
      <c r="L943" s="42">
        <f t="shared" ref="L943" si="580">SUM(L917:L942)</f>
        <v>171</v>
      </c>
      <c r="M943" s="43">
        <f t="shared" si="566"/>
        <v>325</v>
      </c>
      <c r="N943" s="41">
        <f>SUM(N917:N942)</f>
        <v>289</v>
      </c>
      <c r="O943" s="42">
        <f t="shared" ref="O943" si="581">SUM(O917:O942)</f>
        <v>266</v>
      </c>
      <c r="P943" s="43">
        <f t="shared" si="567"/>
        <v>555</v>
      </c>
      <c r="Q943" s="43">
        <f t="shared" si="568"/>
        <v>880</v>
      </c>
      <c r="S943" s="40" t="s">
        <v>14</v>
      </c>
      <c r="T943" s="41">
        <f>SUM(T917:T942)</f>
        <v>1011</v>
      </c>
      <c r="U943" s="42">
        <f t="shared" ref="U943" si="582">SUM(U917:U942)</f>
        <v>715</v>
      </c>
      <c r="V943" s="43">
        <f t="shared" si="569"/>
        <v>1726</v>
      </c>
      <c r="W943" s="41">
        <f>SUM(W917:W942)</f>
        <v>1532</v>
      </c>
      <c r="X943" s="42">
        <f t="shared" ref="X943" si="583">SUM(X917:X942)</f>
        <v>783</v>
      </c>
      <c r="Y943" s="43">
        <f t="shared" si="570"/>
        <v>2315</v>
      </c>
      <c r="Z943" s="43">
        <f t="shared" si="571"/>
        <v>4041</v>
      </c>
    </row>
    <row r="944" spans="1:26" ht="14.25" thickBot="1" x14ac:dyDescent="0.2">
      <c r="A944" s="44" t="s">
        <v>15</v>
      </c>
      <c r="B944" s="45">
        <f>B916-B943</f>
        <v>20</v>
      </c>
      <c r="C944" s="46">
        <f t="shared" ref="C944" si="584">C916-C943</f>
        <v>23</v>
      </c>
      <c r="D944" s="47">
        <f t="shared" si="563"/>
        <v>43</v>
      </c>
      <c r="E944" s="45">
        <f>E916-E943</f>
        <v>21</v>
      </c>
      <c r="F944" s="46">
        <f t="shared" ref="F944" si="585">F916-F943</f>
        <v>18</v>
      </c>
      <c r="G944" s="47">
        <f t="shared" si="564"/>
        <v>39</v>
      </c>
      <c r="H944" s="34">
        <f t="shared" si="565"/>
        <v>82</v>
      </c>
      <c r="J944" s="44" t="s">
        <v>15</v>
      </c>
      <c r="K944" s="45">
        <f>K916-K943</f>
        <v>1414</v>
      </c>
      <c r="L944" s="46">
        <f t="shared" ref="L944" si="586">L916-L943</f>
        <v>811</v>
      </c>
      <c r="M944" s="47">
        <f t="shared" si="566"/>
        <v>2225</v>
      </c>
      <c r="N944" s="45">
        <f>N916-N943</f>
        <v>1446</v>
      </c>
      <c r="O944" s="46">
        <f t="shared" ref="O944" si="587">O916-O943</f>
        <v>475</v>
      </c>
      <c r="P944" s="47">
        <f t="shared" si="567"/>
        <v>1921</v>
      </c>
      <c r="Q944" s="34">
        <f t="shared" si="568"/>
        <v>4146</v>
      </c>
      <c r="S944" s="44" t="s">
        <v>15</v>
      </c>
      <c r="T944" s="45">
        <f>T916-T943</f>
        <v>0</v>
      </c>
      <c r="U944" s="46">
        <f t="shared" ref="U944" si="588">U916-U943</f>
        <v>0</v>
      </c>
      <c r="V944" s="47">
        <f t="shared" si="569"/>
        <v>0</v>
      </c>
      <c r="W944" s="45">
        <f>W916-W943</f>
        <v>0</v>
      </c>
      <c r="X944" s="46">
        <f t="shared" ref="X944" si="589">X916-X943</f>
        <v>0</v>
      </c>
      <c r="Y944" s="47">
        <f t="shared" si="570"/>
        <v>0</v>
      </c>
      <c r="Z944" s="34">
        <f t="shared" si="571"/>
        <v>0</v>
      </c>
    </row>
    <row r="947" spans="1:26" ht="19.5" thickBot="1" x14ac:dyDescent="0.25">
      <c r="A947" s="1" t="s">
        <v>23</v>
      </c>
      <c r="J947" s="1" t="s">
        <v>24</v>
      </c>
      <c r="K947" s="2"/>
      <c r="L947" s="2"/>
      <c r="M947" s="2"/>
      <c r="N947" s="2"/>
      <c r="O947" s="1" t="s">
        <v>34</v>
      </c>
      <c r="P947" s="2"/>
      <c r="Q947" s="2"/>
      <c r="S947" s="1" t="s">
        <v>24</v>
      </c>
      <c r="T947" s="2"/>
      <c r="U947" s="2"/>
      <c r="V947" s="2"/>
      <c r="W947" s="2"/>
      <c r="X947" s="1" t="s">
        <v>34</v>
      </c>
      <c r="Y947" s="2"/>
      <c r="Z947" s="2"/>
    </row>
    <row r="948" spans="1:26" ht="14.25" thickBot="1" x14ac:dyDescent="0.2">
      <c r="A948" s="3" t="s">
        <v>0</v>
      </c>
      <c r="B948" s="125" t="s">
        <v>18</v>
      </c>
      <c r="C948" s="126"/>
      <c r="D948" s="127"/>
      <c r="E948" s="125" t="s">
        <v>19</v>
      </c>
      <c r="F948" s="126"/>
      <c r="G948" s="128"/>
      <c r="H948" s="129" t="s">
        <v>1</v>
      </c>
      <c r="J948" s="3" t="s">
        <v>0</v>
      </c>
      <c r="K948" s="125" t="s">
        <v>18</v>
      </c>
      <c r="L948" s="126"/>
      <c r="M948" s="127"/>
      <c r="N948" s="125" t="s">
        <v>19</v>
      </c>
      <c r="O948" s="126"/>
      <c r="P948" s="128"/>
      <c r="Q948" s="129" t="s">
        <v>1</v>
      </c>
      <c r="S948" s="3" t="s">
        <v>0</v>
      </c>
      <c r="T948" s="125" t="s">
        <v>18</v>
      </c>
      <c r="U948" s="126"/>
      <c r="V948" s="127"/>
      <c r="W948" s="125" t="s">
        <v>19</v>
      </c>
      <c r="X948" s="126"/>
      <c r="Y948" s="128"/>
      <c r="Z948" s="129" t="s">
        <v>1</v>
      </c>
    </row>
    <row r="949" spans="1:26" ht="14.25" thickBot="1" x14ac:dyDescent="0.2">
      <c r="A949" s="3" t="s">
        <v>2</v>
      </c>
      <c r="B949" s="4" t="s">
        <v>16</v>
      </c>
      <c r="C949" s="5" t="s">
        <v>17</v>
      </c>
      <c r="D949" s="3" t="s">
        <v>3</v>
      </c>
      <c r="E949" s="4" t="s">
        <v>16</v>
      </c>
      <c r="F949" s="5" t="s">
        <v>17</v>
      </c>
      <c r="G949" s="3" t="s">
        <v>3</v>
      </c>
      <c r="H949" s="130"/>
      <c r="J949" s="3" t="s">
        <v>2</v>
      </c>
      <c r="K949" s="4" t="s">
        <v>16</v>
      </c>
      <c r="L949" s="5" t="s">
        <v>17</v>
      </c>
      <c r="M949" s="3" t="s">
        <v>3</v>
      </c>
      <c r="N949" s="4" t="s">
        <v>16</v>
      </c>
      <c r="O949" s="5" t="s">
        <v>17</v>
      </c>
      <c r="P949" s="3" t="s">
        <v>3</v>
      </c>
      <c r="Q949" s="130"/>
      <c r="S949" s="3" t="s">
        <v>2</v>
      </c>
      <c r="T949" s="4" t="s">
        <v>16</v>
      </c>
      <c r="U949" s="5" t="s">
        <v>17</v>
      </c>
      <c r="V949" s="3" t="s">
        <v>3</v>
      </c>
      <c r="W949" s="4" t="s">
        <v>16</v>
      </c>
      <c r="X949" s="5" t="s">
        <v>17</v>
      </c>
      <c r="Y949" s="3" t="s">
        <v>3</v>
      </c>
      <c r="Z949" s="130"/>
    </row>
    <row r="950" spans="1:26" ht="14.25" thickBot="1" x14ac:dyDescent="0.2">
      <c r="A950" s="6" t="s">
        <v>55</v>
      </c>
      <c r="B950" s="32">
        <f>B944</f>
        <v>20</v>
      </c>
      <c r="C950" s="33">
        <f>C944</f>
        <v>23</v>
      </c>
      <c r="D950" s="34">
        <f t="shared" ref="D950:D987" si="590">SUM(B950:C950)</f>
        <v>43</v>
      </c>
      <c r="E950" s="32">
        <f>E944</f>
        <v>21</v>
      </c>
      <c r="F950" s="33">
        <f>F944</f>
        <v>18</v>
      </c>
      <c r="G950" s="34">
        <f t="shared" ref="G950:G987" si="591">SUM(E950:F950)</f>
        <v>39</v>
      </c>
      <c r="H950" s="34">
        <f t="shared" ref="H950:H987" si="592">D950+G950</f>
        <v>82</v>
      </c>
      <c r="J950" s="6" t="s">
        <v>55</v>
      </c>
      <c r="K950" s="7">
        <f>K944</f>
        <v>1414</v>
      </c>
      <c r="L950" s="8">
        <f>L944</f>
        <v>811</v>
      </c>
      <c r="M950" s="9">
        <f t="shared" ref="M950:M987" si="593">SUM(K950:L950)</f>
        <v>2225</v>
      </c>
      <c r="N950" s="7">
        <f>N944</f>
        <v>1446</v>
      </c>
      <c r="O950" s="8">
        <f>O944</f>
        <v>475</v>
      </c>
      <c r="P950" s="9">
        <f t="shared" ref="P950:P987" si="594">SUM(N950:O950)</f>
        <v>1921</v>
      </c>
      <c r="Q950" s="9">
        <f t="shared" ref="Q950:Q987" si="595">M950+P950</f>
        <v>4146</v>
      </c>
      <c r="S950" s="6" t="s">
        <v>55</v>
      </c>
      <c r="T950" s="7">
        <f>T944</f>
        <v>0</v>
      </c>
      <c r="U950" s="8">
        <f>U944</f>
        <v>0</v>
      </c>
      <c r="V950" s="9">
        <f t="shared" ref="V950:V987" si="596">SUM(T950:U950)</f>
        <v>0</v>
      </c>
      <c r="W950" s="7">
        <f>W944</f>
        <v>0</v>
      </c>
      <c r="X950" s="8">
        <f>X944</f>
        <v>0</v>
      </c>
      <c r="Y950" s="9">
        <f t="shared" ref="Y950:Y987" si="597">SUM(W950:X950)</f>
        <v>0</v>
      </c>
      <c r="Z950" s="9">
        <f t="shared" ref="Z950:Z987" si="598">V950+Y950</f>
        <v>0</v>
      </c>
    </row>
    <row r="951" spans="1:26" x14ac:dyDescent="0.15">
      <c r="A951" s="10" t="s">
        <v>5</v>
      </c>
      <c r="B951" s="15">
        <v>5</v>
      </c>
      <c r="C951" s="16"/>
      <c r="D951" s="17">
        <f t="shared" si="590"/>
        <v>5</v>
      </c>
      <c r="E951" s="18">
        <v>5</v>
      </c>
      <c r="F951" s="16">
        <v>5</v>
      </c>
      <c r="G951" s="17">
        <f t="shared" si="591"/>
        <v>10</v>
      </c>
      <c r="H951" s="17">
        <f t="shared" si="592"/>
        <v>15</v>
      </c>
      <c r="I951" s="81">
        <v>44967</v>
      </c>
      <c r="J951" s="94" t="s">
        <v>5</v>
      </c>
      <c r="K951" s="48"/>
      <c r="L951" s="49"/>
      <c r="M951" s="50">
        <f t="shared" si="593"/>
        <v>0</v>
      </c>
      <c r="N951" s="51"/>
      <c r="O951" s="49"/>
      <c r="P951" s="50">
        <f t="shared" si="594"/>
        <v>0</v>
      </c>
      <c r="Q951" s="13">
        <f t="shared" si="595"/>
        <v>0</v>
      </c>
      <c r="S951" s="10" t="s">
        <v>5</v>
      </c>
      <c r="T951" s="11"/>
      <c r="U951" s="12"/>
      <c r="V951" s="13">
        <f t="shared" si="596"/>
        <v>0</v>
      </c>
      <c r="W951" s="62"/>
      <c r="X951" s="12"/>
      <c r="Y951" s="13">
        <f t="shared" si="597"/>
        <v>0</v>
      </c>
      <c r="Z951" s="13">
        <f t="shared" si="598"/>
        <v>0</v>
      </c>
    </row>
    <row r="952" spans="1:26" x14ac:dyDescent="0.15">
      <c r="A952" s="10" t="s">
        <v>78</v>
      </c>
      <c r="B952" s="15"/>
      <c r="C952" s="16"/>
      <c r="D952" s="17">
        <f t="shared" si="590"/>
        <v>0</v>
      </c>
      <c r="E952" s="18"/>
      <c r="F952" s="16">
        <v>1</v>
      </c>
      <c r="G952" s="17">
        <f t="shared" si="591"/>
        <v>1</v>
      </c>
      <c r="H952" s="17">
        <f t="shared" si="592"/>
        <v>1</v>
      </c>
      <c r="I952" s="81">
        <v>44973</v>
      </c>
      <c r="J952" s="10" t="s">
        <v>78</v>
      </c>
      <c r="K952" s="19">
        <v>23</v>
      </c>
      <c r="L952" s="20">
        <v>45</v>
      </c>
      <c r="M952" s="17">
        <f t="shared" ref="M952" si="599">SUM(K952:L952)</f>
        <v>68</v>
      </c>
      <c r="N952" s="21">
        <v>36</v>
      </c>
      <c r="O952" s="20">
        <v>27</v>
      </c>
      <c r="P952" s="17">
        <f t="shared" ref="P952" si="600">SUM(N952:O952)</f>
        <v>63</v>
      </c>
      <c r="Q952" s="17">
        <f t="shared" ref="Q952" si="601">M952+P952</f>
        <v>131</v>
      </c>
      <c r="R952" s="81">
        <v>44988</v>
      </c>
      <c r="S952" s="10" t="s">
        <v>6</v>
      </c>
      <c r="T952" s="15"/>
      <c r="U952" s="16"/>
      <c r="V952" s="17">
        <f t="shared" si="596"/>
        <v>0</v>
      </c>
      <c r="W952" s="18"/>
      <c r="X952" s="16"/>
      <c r="Y952" s="17">
        <f t="shared" si="597"/>
        <v>0</v>
      </c>
      <c r="Z952" s="17">
        <f t="shared" si="598"/>
        <v>0</v>
      </c>
    </row>
    <row r="953" spans="1:26" x14ac:dyDescent="0.15">
      <c r="A953" s="10" t="s">
        <v>7</v>
      </c>
      <c r="B953" s="15"/>
      <c r="C953" s="16">
        <v>5</v>
      </c>
      <c r="D953" s="17">
        <f t="shared" si="590"/>
        <v>5</v>
      </c>
      <c r="E953" s="18">
        <v>5</v>
      </c>
      <c r="F953" s="16">
        <v>5</v>
      </c>
      <c r="G953" s="17">
        <f t="shared" si="591"/>
        <v>10</v>
      </c>
      <c r="H953" s="17">
        <f t="shared" si="592"/>
        <v>15</v>
      </c>
      <c r="I953" s="81">
        <v>44977</v>
      </c>
      <c r="J953" s="10" t="s">
        <v>7</v>
      </c>
      <c r="K953" s="19"/>
      <c r="L953" s="20"/>
      <c r="M953" s="17">
        <f t="shared" si="593"/>
        <v>0</v>
      </c>
      <c r="N953" s="21"/>
      <c r="O953" s="20"/>
      <c r="P953" s="17">
        <f t="shared" si="594"/>
        <v>0</v>
      </c>
      <c r="Q953" s="17">
        <f t="shared" si="595"/>
        <v>0</v>
      </c>
      <c r="R953" s="81"/>
      <c r="S953" s="10" t="s">
        <v>7</v>
      </c>
      <c r="T953" s="19"/>
      <c r="U953" s="20"/>
      <c r="V953" s="17">
        <f t="shared" si="596"/>
        <v>0</v>
      </c>
      <c r="W953" s="21"/>
      <c r="X953" s="20"/>
      <c r="Y953" s="17">
        <f t="shared" si="597"/>
        <v>0</v>
      </c>
      <c r="Z953" s="17">
        <f t="shared" si="598"/>
        <v>0</v>
      </c>
    </row>
    <row r="954" spans="1:26" x14ac:dyDescent="0.15">
      <c r="A954" s="10" t="s">
        <v>8</v>
      </c>
      <c r="B954" s="15"/>
      <c r="C954" s="16">
        <v>5</v>
      </c>
      <c r="D954" s="17">
        <f t="shared" si="590"/>
        <v>5</v>
      </c>
      <c r="E954" s="18">
        <v>5</v>
      </c>
      <c r="F954" s="16"/>
      <c r="G954" s="17">
        <f t="shared" si="591"/>
        <v>5</v>
      </c>
      <c r="H954" s="17">
        <f t="shared" si="592"/>
        <v>10</v>
      </c>
      <c r="I954" s="81">
        <v>44979</v>
      </c>
      <c r="J954" s="10" t="s">
        <v>8</v>
      </c>
      <c r="K954" s="15"/>
      <c r="L954" s="16"/>
      <c r="M954" s="17">
        <f t="shared" si="593"/>
        <v>0</v>
      </c>
      <c r="N954" s="18"/>
      <c r="O954" s="16"/>
      <c r="P954" s="17">
        <f t="shared" si="594"/>
        <v>0</v>
      </c>
      <c r="Q954" s="17">
        <f t="shared" si="595"/>
        <v>0</v>
      </c>
      <c r="R954" s="83"/>
      <c r="S954" s="10" t="s">
        <v>8</v>
      </c>
      <c r="T954" s="15"/>
      <c r="U954" s="16"/>
      <c r="V954" s="17">
        <f t="shared" si="596"/>
        <v>0</v>
      </c>
      <c r="W954" s="18"/>
      <c r="X954" s="16"/>
      <c r="Y954" s="17">
        <f t="shared" si="597"/>
        <v>0</v>
      </c>
      <c r="Z954" s="17">
        <f t="shared" si="598"/>
        <v>0</v>
      </c>
    </row>
    <row r="955" spans="1:26" x14ac:dyDescent="0.15">
      <c r="A955" s="10" t="s">
        <v>9</v>
      </c>
      <c r="B955" s="15">
        <v>5</v>
      </c>
      <c r="C955" s="16"/>
      <c r="D955" s="17">
        <f t="shared" si="590"/>
        <v>5</v>
      </c>
      <c r="E955" s="18"/>
      <c r="F955" s="16"/>
      <c r="G955" s="17">
        <f t="shared" si="591"/>
        <v>0</v>
      </c>
      <c r="H955" s="17">
        <f t="shared" si="592"/>
        <v>5</v>
      </c>
      <c r="I955" s="81">
        <v>44984</v>
      </c>
      <c r="J955" s="10" t="s">
        <v>9</v>
      </c>
      <c r="K955" s="15"/>
      <c r="L955" s="16"/>
      <c r="M955" s="17">
        <f t="shared" si="593"/>
        <v>0</v>
      </c>
      <c r="N955" s="18"/>
      <c r="O955" s="16"/>
      <c r="P955" s="17">
        <f t="shared" si="594"/>
        <v>0</v>
      </c>
      <c r="Q955" s="17">
        <f t="shared" si="595"/>
        <v>0</v>
      </c>
      <c r="R955" s="83"/>
      <c r="S955" s="10" t="s">
        <v>9</v>
      </c>
      <c r="T955" s="15"/>
      <c r="U955" s="16"/>
      <c r="V955" s="17">
        <f t="shared" si="596"/>
        <v>0</v>
      </c>
      <c r="W955" s="18"/>
      <c r="X955" s="16"/>
      <c r="Y955" s="17">
        <f t="shared" si="597"/>
        <v>0</v>
      </c>
      <c r="Z955" s="17">
        <f t="shared" si="598"/>
        <v>0</v>
      </c>
    </row>
    <row r="956" spans="1:26" x14ac:dyDescent="0.15">
      <c r="A956" s="10" t="s">
        <v>10</v>
      </c>
      <c r="B956" s="15">
        <v>10</v>
      </c>
      <c r="C956" s="16"/>
      <c r="D956" s="17">
        <f t="shared" si="590"/>
        <v>10</v>
      </c>
      <c r="E956" s="18">
        <v>10</v>
      </c>
      <c r="F956" s="16"/>
      <c r="G956" s="17">
        <f t="shared" si="591"/>
        <v>10</v>
      </c>
      <c r="H956" s="17">
        <f t="shared" si="592"/>
        <v>20</v>
      </c>
      <c r="I956" s="81">
        <v>44988</v>
      </c>
      <c r="J956" s="10" t="s">
        <v>10</v>
      </c>
      <c r="K956" s="15"/>
      <c r="L956" s="16"/>
      <c r="M956" s="17">
        <f t="shared" si="593"/>
        <v>0</v>
      </c>
      <c r="N956" s="18"/>
      <c r="O956" s="16"/>
      <c r="P956" s="17">
        <f t="shared" si="594"/>
        <v>0</v>
      </c>
      <c r="Q956" s="17">
        <f t="shared" si="595"/>
        <v>0</v>
      </c>
      <c r="S956" s="10" t="s">
        <v>10</v>
      </c>
      <c r="T956" s="15"/>
      <c r="U956" s="16"/>
      <c r="V956" s="17">
        <f t="shared" si="596"/>
        <v>0</v>
      </c>
      <c r="W956" s="18"/>
      <c r="X956" s="16"/>
      <c r="Y956" s="17">
        <f t="shared" si="597"/>
        <v>0</v>
      </c>
      <c r="Z956" s="17">
        <f t="shared" si="598"/>
        <v>0</v>
      </c>
    </row>
    <row r="957" spans="1:26" x14ac:dyDescent="0.15">
      <c r="A957" s="10" t="s">
        <v>11</v>
      </c>
      <c r="B957" s="23">
        <v>5</v>
      </c>
      <c r="C957" s="24">
        <v>5</v>
      </c>
      <c r="D957" s="17">
        <f t="shared" si="590"/>
        <v>10</v>
      </c>
      <c r="E957" s="25">
        <v>5</v>
      </c>
      <c r="F957" s="24">
        <v>15</v>
      </c>
      <c r="G957" s="17">
        <f t="shared" si="591"/>
        <v>20</v>
      </c>
      <c r="H957" s="17">
        <f t="shared" si="592"/>
        <v>30</v>
      </c>
      <c r="I957" s="81">
        <v>44993</v>
      </c>
      <c r="J957" s="10" t="s">
        <v>11</v>
      </c>
      <c r="K957" s="23"/>
      <c r="L957" s="24"/>
      <c r="M957" s="17">
        <f t="shared" si="593"/>
        <v>0</v>
      </c>
      <c r="N957" s="25"/>
      <c r="O957" s="24"/>
      <c r="P957" s="17">
        <f t="shared" si="594"/>
        <v>0</v>
      </c>
      <c r="Q957" s="17">
        <f t="shared" si="595"/>
        <v>0</v>
      </c>
      <c r="S957" s="10" t="s">
        <v>11</v>
      </c>
      <c r="T957" s="23"/>
      <c r="U957" s="24"/>
      <c r="V957" s="17">
        <f t="shared" si="596"/>
        <v>0</v>
      </c>
      <c r="W957" s="25"/>
      <c r="X957" s="24"/>
      <c r="Y957" s="17">
        <f t="shared" si="597"/>
        <v>0</v>
      </c>
      <c r="Z957" s="17">
        <f t="shared" si="598"/>
        <v>0</v>
      </c>
    </row>
    <row r="958" spans="1:26" ht="14.25" thickBot="1" x14ac:dyDescent="0.2">
      <c r="A958" s="10" t="s">
        <v>12</v>
      </c>
      <c r="B958" s="26"/>
      <c r="C958" s="27"/>
      <c r="D958" s="28">
        <f t="shared" si="590"/>
        <v>0</v>
      </c>
      <c r="E958" s="29"/>
      <c r="F958" s="29"/>
      <c r="G958" s="28">
        <f t="shared" si="591"/>
        <v>0</v>
      </c>
      <c r="H958" s="30">
        <f t="shared" si="592"/>
        <v>0</v>
      </c>
      <c r="J958" s="10" t="s">
        <v>12</v>
      </c>
      <c r="K958" s="26"/>
      <c r="L958" s="27"/>
      <c r="M958" s="28">
        <f t="shared" si="593"/>
        <v>0</v>
      </c>
      <c r="N958" s="29"/>
      <c r="O958" s="29"/>
      <c r="P958" s="28">
        <f t="shared" si="594"/>
        <v>0</v>
      </c>
      <c r="Q958" s="30">
        <f t="shared" si="595"/>
        <v>0</v>
      </c>
      <c r="S958" s="10" t="s">
        <v>12</v>
      </c>
      <c r="T958" s="26"/>
      <c r="U958" s="27"/>
      <c r="V958" s="28">
        <f t="shared" si="596"/>
        <v>0</v>
      </c>
      <c r="W958" s="29"/>
      <c r="X958" s="29"/>
      <c r="Y958" s="28">
        <f t="shared" si="597"/>
        <v>0</v>
      </c>
      <c r="Z958" s="30">
        <f t="shared" si="598"/>
        <v>0</v>
      </c>
    </row>
    <row r="959" spans="1:26" ht="14.25" thickBot="1" x14ac:dyDescent="0.2">
      <c r="A959" s="31" t="s">
        <v>13</v>
      </c>
      <c r="B959" s="32">
        <f>SUM(B950:B958)</f>
        <v>45</v>
      </c>
      <c r="C959" s="33">
        <f>SUM(C950:C958)</f>
        <v>38</v>
      </c>
      <c r="D959" s="34">
        <f t="shared" si="590"/>
        <v>83</v>
      </c>
      <c r="E959" s="32">
        <f>SUM(E950:E958)</f>
        <v>51</v>
      </c>
      <c r="F959" s="33">
        <f>SUM(F950:F958)</f>
        <v>44</v>
      </c>
      <c r="G959" s="34">
        <f t="shared" si="591"/>
        <v>95</v>
      </c>
      <c r="H959" s="34">
        <f t="shared" si="592"/>
        <v>178</v>
      </c>
      <c r="J959" s="31" t="s">
        <v>13</v>
      </c>
      <c r="K959" s="32">
        <f>SUM(K950:K958)</f>
        <v>1437</v>
      </c>
      <c r="L959" s="33">
        <f>SUM(L950:L958)</f>
        <v>856</v>
      </c>
      <c r="M959" s="34">
        <f t="shared" si="593"/>
        <v>2293</v>
      </c>
      <c r="N959" s="32">
        <f>SUM(N950:N958)</f>
        <v>1482</v>
      </c>
      <c r="O959" s="33">
        <f>SUM(O950:O958)</f>
        <v>502</v>
      </c>
      <c r="P959" s="34">
        <f t="shared" si="594"/>
        <v>1984</v>
      </c>
      <c r="Q959" s="34">
        <f t="shared" si="595"/>
        <v>4277</v>
      </c>
      <c r="S959" s="31" t="s">
        <v>13</v>
      </c>
      <c r="T959" s="32">
        <f>SUM(T950:T958)</f>
        <v>0</v>
      </c>
      <c r="U959" s="33">
        <f>SUM(U950:U958)</f>
        <v>0</v>
      </c>
      <c r="V959" s="34">
        <f t="shared" si="596"/>
        <v>0</v>
      </c>
      <c r="W959" s="32">
        <f>SUM(W950:W958)</f>
        <v>0</v>
      </c>
      <c r="X959" s="33">
        <f>SUM(X950:X958)</f>
        <v>0</v>
      </c>
      <c r="Y959" s="34">
        <f t="shared" si="597"/>
        <v>0</v>
      </c>
      <c r="Z959" s="34">
        <f t="shared" si="598"/>
        <v>0</v>
      </c>
    </row>
    <row r="960" spans="1:26" x14ac:dyDescent="0.15">
      <c r="A960" s="35" t="s">
        <v>452</v>
      </c>
      <c r="B960" s="15"/>
      <c r="C960" s="16">
        <v>2</v>
      </c>
      <c r="D960" s="36">
        <f t="shared" si="590"/>
        <v>2</v>
      </c>
      <c r="E960" s="18"/>
      <c r="F960" s="16">
        <v>2</v>
      </c>
      <c r="G960" s="36">
        <f t="shared" si="591"/>
        <v>2</v>
      </c>
      <c r="H960" s="17">
        <f t="shared" si="592"/>
        <v>4</v>
      </c>
      <c r="I960" s="81">
        <v>44964</v>
      </c>
      <c r="J960" s="52" t="s">
        <v>451</v>
      </c>
      <c r="K960" s="15">
        <v>5</v>
      </c>
      <c r="L960" s="16"/>
      <c r="M960" s="36">
        <f t="shared" si="593"/>
        <v>5</v>
      </c>
      <c r="N960" s="18">
        <v>5</v>
      </c>
      <c r="O960" s="16"/>
      <c r="P960" s="36">
        <f t="shared" si="594"/>
        <v>5</v>
      </c>
      <c r="Q960" s="17">
        <f t="shared" si="595"/>
        <v>10</v>
      </c>
      <c r="R960" s="81">
        <v>44964</v>
      </c>
      <c r="S960" s="10"/>
      <c r="T960" s="19"/>
      <c r="U960" s="20"/>
      <c r="V960" s="17">
        <f t="shared" si="596"/>
        <v>0</v>
      </c>
      <c r="W960" s="21"/>
      <c r="X960" s="20"/>
      <c r="Y960" s="17">
        <f t="shared" si="597"/>
        <v>0</v>
      </c>
      <c r="Z960" s="17">
        <f t="shared" si="598"/>
        <v>0</v>
      </c>
    </row>
    <row r="961" spans="1:27" x14ac:dyDescent="0.15">
      <c r="A961" s="35" t="s">
        <v>453</v>
      </c>
      <c r="B961" s="15">
        <v>1</v>
      </c>
      <c r="C961" s="16">
        <v>2</v>
      </c>
      <c r="D961" s="36">
        <f t="shared" si="590"/>
        <v>3</v>
      </c>
      <c r="E961" s="18">
        <v>1</v>
      </c>
      <c r="F961" s="16">
        <v>2</v>
      </c>
      <c r="G961" s="36">
        <f t="shared" si="591"/>
        <v>3</v>
      </c>
      <c r="H961" s="17">
        <f t="shared" si="592"/>
        <v>6</v>
      </c>
      <c r="I961" s="81">
        <v>44965</v>
      </c>
      <c r="J961" s="73" t="s">
        <v>91</v>
      </c>
      <c r="K961" s="15">
        <v>5</v>
      </c>
      <c r="L961" s="16"/>
      <c r="M961" s="17">
        <f t="shared" si="593"/>
        <v>5</v>
      </c>
      <c r="N961" s="18">
        <v>5</v>
      </c>
      <c r="O961" s="16">
        <v>5</v>
      </c>
      <c r="P961" s="17">
        <f t="shared" si="594"/>
        <v>10</v>
      </c>
      <c r="Q961" s="17">
        <f t="shared" si="595"/>
        <v>15</v>
      </c>
      <c r="R961" s="81">
        <v>44967</v>
      </c>
      <c r="S961" s="10"/>
      <c r="T961" s="19"/>
      <c r="U961" s="20"/>
      <c r="V961" s="17">
        <f t="shared" ref="V961" si="602">SUM(T961:U961)</f>
        <v>0</v>
      </c>
      <c r="W961" s="21"/>
      <c r="X961" s="20"/>
      <c r="Y961" s="17">
        <f t="shared" ref="Y961" si="603">SUM(W961:X961)</f>
        <v>0</v>
      </c>
      <c r="Z961" s="17">
        <f t="shared" ref="Z961" si="604">V961+Y961</f>
        <v>0</v>
      </c>
    </row>
    <row r="962" spans="1:27" x14ac:dyDescent="0.15">
      <c r="A962" s="35" t="s">
        <v>454</v>
      </c>
      <c r="B962" s="15">
        <v>1</v>
      </c>
      <c r="C962" s="16"/>
      <c r="D962" s="36">
        <f t="shared" si="590"/>
        <v>1</v>
      </c>
      <c r="E962" s="18">
        <v>1</v>
      </c>
      <c r="F962" s="16"/>
      <c r="G962" s="36">
        <f t="shared" si="591"/>
        <v>1</v>
      </c>
      <c r="H962" s="17">
        <f t="shared" si="592"/>
        <v>2</v>
      </c>
      <c r="I962" s="81">
        <v>44966</v>
      </c>
      <c r="J962" s="73" t="s">
        <v>91</v>
      </c>
      <c r="K962" s="15"/>
      <c r="L962" s="16">
        <v>5</v>
      </c>
      <c r="M962" s="17">
        <f t="shared" si="593"/>
        <v>5</v>
      </c>
      <c r="N962" s="18">
        <v>5</v>
      </c>
      <c r="O962" s="16">
        <v>5</v>
      </c>
      <c r="P962" s="17">
        <f t="shared" si="594"/>
        <v>10</v>
      </c>
      <c r="Q962" s="17">
        <f t="shared" si="595"/>
        <v>15</v>
      </c>
      <c r="R962" s="81">
        <v>44977</v>
      </c>
      <c r="S962" s="10"/>
      <c r="T962" s="19"/>
      <c r="U962" s="20"/>
      <c r="V962" s="17">
        <f t="shared" si="596"/>
        <v>0</v>
      </c>
      <c r="W962" s="21"/>
      <c r="X962" s="20"/>
      <c r="Y962" s="17">
        <f t="shared" si="597"/>
        <v>0</v>
      </c>
      <c r="Z962" s="17">
        <f t="shared" si="598"/>
        <v>0</v>
      </c>
    </row>
    <row r="963" spans="1:27" x14ac:dyDescent="0.15">
      <c r="A963" s="35" t="s">
        <v>33</v>
      </c>
      <c r="B963" s="15"/>
      <c r="C963" s="16"/>
      <c r="D963" s="36">
        <f t="shared" si="590"/>
        <v>0</v>
      </c>
      <c r="E963" s="18">
        <v>1</v>
      </c>
      <c r="F963" s="16"/>
      <c r="G963" s="36">
        <f t="shared" si="591"/>
        <v>1</v>
      </c>
      <c r="H963" s="17">
        <f t="shared" si="592"/>
        <v>1</v>
      </c>
      <c r="I963" s="84">
        <v>44965</v>
      </c>
      <c r="J963" s="35" t="s">
        <v>459</v>
      </c>
      <c r="K963" s="15">
        <v>7</v>
      </c>
      <c r="L963" s="16">
        <v>7</v>
      </c>
      <c r="M963" s="17">
        <f t="shared" si="593"/>
        <v>14</v>
      </c>
      <c r="N963" s="18">
        <v>7</v>
      </c>
      <c r="O963" s="16">
        <v>7</v>
      </c>
      <c r="P963" s="17">
        <f t="shared" si="594"/>
        <v>14</v>
      </c>
      <c r="Q963" s="17">
        <f t="shared" si="595"/>
        <v>28</v>
      </c>
      <c r="R963" s="81">
        <v>44978</v>
      </c>
      <c r="S963" s="52"/>
      <c r="T963" s="15"/>
      <c r="U963" s="16"/>
      <c r="V963" s="17">
        <f t="shared" si="596"/>
        <v>0</v>
      </c>
      <c r="W963" s="18"/>
      <c r="X963" s="16"/>
      <c r="Y963" s="17">
        <f t="shared" si="597"/>
        <v>0</v>
      </c>
      <c r="Z963" s="17">
        <f t="shared" si="598"/>
        <v>0</v>
      </c>
      <c r="AA963" s="93"/>
    </row>
    <row r="964" spans="1:27" x14ac:dyDescent="0.15">
      <c r="A964" s="35" t="s">
        <v>455</v>
      </c>
      <c r="B964" s="15">
        <v>1</v>
      </c>
      <c r="C964" s="16"/>
      <c r="D964" s="36">
        <f t="shared" si="590"/>
        <v>1</v>
      </c>
      <c r="E964" s="18">
        <v>1</v>
      </c>
      <c r="F964" s="16"/>
      <c r="G964" s="36">
        <f t="shared" si="591"/>
        <v>1</v>
      </c>
      <c r="H964" s="17">
        <f t="shared" si="592"/>
        <v>2</v>
      </c>
      <c r="I964" s="81">
        <v>44967</v>
      </c>
      <c r="J964" s="73" t="s">
        <v>91</v>
      </c>
      <c r="K964" s="15"/>
      <c r="L964" s="16">
        <v>5</v>
      </c>
      <c r="M964" s="17">
        <f t="shared" si="593"/>
        <v>5</v>
      </c>
      <c r="N964" s="18">
        <v>5</v>
      </c>
      <c r="O964" s="16"/>
      <c r="P964" s="17">
        <f t="shared" si="594"/>
        <v>5</v>
      </c>
      <c r="Q964" s="17">
        <f t="shared" si="595"/>
        <v>10</v>
      </c>
      <c r="R964" s="81">
        <v>44979</v>
      </c>
      <c r="S964" s="10"/>
      <c r="T964" s="15"/>
      <c r="U964" s="16"/>
      <c r="V964" s="17">
        <f t="shared" si="596"/>
        <v>0</v>
      </c>
      <c r="W964" s="18"/>
      <c r="X964" s="16"/>
      <c r="Y964" s="17">
        <f t="shared" si="597"/>
        <v>0</v>
      </c>
      <c r="Z964" s="17">
        <f t="shared" si="598"/>
        <v>0</v>
      </c>
    </row>
    <row r="965" spans="1:27" x14ac:dyDescent="0.15">
      <c r="A965" s="35" t="s">
        <v>33</v>
      </c>
      <c r="B965" s="15">
        <v>1</v>
      </c>
      <c r="C965" s="16"/>
      <c r="D965" s="36">
        <f t="shared" si="590"/>
        <v>1</v>
      </c>
      <c r="E965" s="18">
        <v>1</v>
      </c>
      <c r="F965" s="16"/>
      <c r="G965" s="36">
        <f t="shared" si="591"/>
        <v>1</v>
      </c>
      <c r="H965" s="17">
        <f t="shared" si="592"/>
        <v>2</v>
      </c>
      <c r="I965" s="84">
        <v>44966</v>
      </c>
      <c r="J965" s="73" t="s">
        <v>91</v>
      </c>
      <c r="K965" s="15">
        <v>5</v>
      </c>
      <c r="L965" s="16"/>
      <c r="M965" s="36">
        <f t="shared" si="593"/>
        <v>5</v>
      </c>
      <c r="N965" s="18"/>
      <c r="O965" s="16"/>
      <c r="P965" s="36">
        <f t="shared" si="594"/>
        <v>0</v>
      </c>
      <c r="Q965" s="17">
        <f t="shared" si="595"/>
        <v>5</v>
      </c>
      <c r="R965" s="81">
        <v>44984</v>
      </c>
      <c r="S965" s="10"/>
      <c r="T965" s="15"/>
      <c r="U965" s="16"/>
      <c r="V965" s="36">
        <f t="shared" si="596"/>
        <v>0</v>
      </c>
      <c r="W965" s="18"/>
      <c r="X965" s="16"/>
      <c r="Y965" s="36">
        <f t="shared" si="597"/>
        <v>0</v>
      </c>
      <c r="Z965" s="17">
        <f t="shared" si="598"/>
        <v>0</v>
      </c>
    </row>
    <row r="966" spans="1:27" x14ac:dyDescent="0.15">
      <c r="A966" s="35" t="s">
        <v>456</v>
      </c>
      <c r="B966" s="15">
        <v>1</v>
      </c>
      <c r="C966" s="16">
        <v>1</v>
      </c>
      <c r="D966" s="36">
        <f t="shared" si="590"/>
        <v>2</v>
      </c>
      <c r="E966" s="18">
        <v>1</v>
      </c>
      <c r="F966" s="16">
        <v>1</v>
      </c>
      <c r="G966" s="36">
        <f t="shared" si="591"/>
        <v>2</v>
      </c>
      <c r="H966" s="17">
        <f t="shared" si="592"/>
        <v>4</v>
      </c>
      <c r="I966" s="81">
        <v>44970</v>
      </c>
      <c r="J966" s="73" t="s">
        <v>91</v>
      </c>
      <c r="K966" s="15">
        <v>10</v>
      </c>
      <c r="L966" s="16"/>
      <c r="M966" s="36">
        <f t="shared" si="593"/>
        <v>10</v>
      </c>
      <c r="N966" s="18">
        <v>10</v>
      </c>
      <c r="O966" s="16"/>
      <c r="P966" s="36">
        <f t="shared" si="594"/>
        <v>10</v>
      </c>
      <c r="Q966" s="17">
        <f t="shared" si="595"/>
        <v>20</v>
      </c>
      <c r="R966" s="81">
        <v>44988</v>
      </c>
      <c r="S966" s="10"/>
      <c r="T966" s="15"/>
      <c r="U966" s="16"/>
      <c r="V966" s="36">
        <f t="shared" si="596"/>
        <v>0</v>
      </c>
      <c r="W966" s="18"/>
      <c r="X966" s="16"/>
      <c r="Y966" s="36">
        <f t="shared" si="597"/>
        <v>0</v>
      </c>
      <c r="Z966" s="17">
        <f t="shared" si="598"/>
        <v>0</v>
      </c>
    </row>
    <row r="967" spans="1:27" x14ac:dyDescent="0.15">
      <c r="A967" s="35" t="s">
        <v>33</v>
      </c>
      <c r="B967" s="15"/>
      <c r="C967" s="16"/>
      <c r="D967" s="36">
        <f t="shared" si="590"/>
        <v>0</v>
      </c>
      <c r="E967" s="18">
        <v>1</v>
      </c>
      <c r="F967" s="16"/>
      <c r="G967" s="36">
        <f t="shared" si="591"/>
        <v>1</v>
      </c>
      <c r="H967" s="17">
        <f t="shared" si="592"/>
        <v>1</v>
      </c>
      <c r="I967" s="84">
        <v>44967</v>
      </c>
      <c r="J967" s="73" t="s">
        <v>91</v>
      </c>
      <c r="K967" s="19">
        <v>5</v>
      </c>
      <c r="L967" s="20">
        <v>5</v>
      </c>
      <c r="M967" s="17">
        <f t="shared" si="593"/>
        <v>10</v>
      </c>
      <c r="N967" s="21">
        <v>5</v>
      </c>
      <c r="O967" s="20">
        <v>15</v>
      </c>
      <c r="P967" s="17">
        <f t="shared" si="594"/>
        <v>20</v>
      </c>
      <c r="Q967" s="17">
        <f t="shared" si="595"/>
        <v>30</v>
      </c>
      <c r="R967" s="81">
        <v>44993</v>
      </c>
      <c r="S967" s="52"/>
      <c r="T967" s="15"/>
      <c r="U967" s="16"/>
      <c r="V967" s="36">
        <f t="shared" si="596"/>
        <v>0</v>
      </c>
      <c r="W967" s="18"/>
      <c r="X967" s="16"/>
      <c r="Y967" s="36">
        <f t="shared" si="597"/>
        <v>0</v>
      </c>
      <c r="Z967" s="17">
        <f t="shared" si="598"/>
        <v>0</v>
      </c>
    </row>
    <row r="968" spans="1:27" x14ac:dyDescent="0.15">
      <c r="A968" s="35" t="s">
        <v>457</v>
      </c>
      <c r="B968" s="15">
        <v>1</v>
      </c>
      <c r="C968" s="16"/>
      <c r="D968" s="36">
        <f t="shared" si="590"/>
        <v>1</v>
      </c>
      <c r="E968" s="18">
        <v>1</v>
      </c>
      <c r="F968" s="16"/>
      <c r="G968" s="36">
        <f t="shared" si="591"/>
        <v>1</v>
      </c>
      <c r="H968" s="17">
        <f t="shared" si="592"/>
        <v>2</v>
      </c>
      <c r="I968" s="81">
        <v>44971</v>
      </c>
      <c r="J968" s="35" t="s">
        <v>523</v>
      </c>
      <c r="K968" s="19"/>
      <c r="L968" s="20"/>
      <c r="M968" s="17">
        <f t="shared" si="593"/>
        <v>0</v>
      </c>
      <c r="N968" s="21"/>
      <c r="O968" s="20">
        <v>3</v>
      </c>
      <c r="P968" s="17">
        <f t="shared" si="594"/>
        <v>3</v>
      </c>
      <c r="Q968" s="17">
        <f t="shared" si="595"/>
        <v>3</v>
      </c>
      <c r="R968" s="81"/>
      <c r="S968" s="10"/>
      <c r="T968" s="19"/>
      <c r="U968" s="20"/>
      <c r="V968" s="17">
        <f t="shared" si="596"/>
        <v>0</v>
      </c>
      <c r="W968" s="21"/>
      <c r="X968" s="20"/>
      <c r="Y968" s="17">
        <f t="shared" si="597"/>
        <v>0</v>
      </c>
      <c r="Z968" s="17">
        <f t="shared" si="598"/>
        <v>0</v>
      </c>
    </row>
    <row r="969" spans="1:27" x14ac:dyDescent="0.15">
      <c r="A969" s="35" t="s">
        <v>33</v>
      </c>
      <c r="B969" s="15"/>
      <c r="C969" s="16">
        <v>1</v>
      </c>
      <c r="D969" s="36">
        <f t="shared" si="590"/>
        <v>1</v>
      </c>
      <c r="E969" s="18">
        <v>1</v>
      </c>
      <c r="F969" s="16">
        <f>1+1</f>
        <v>2</v>
      </c>
      <c r="G969" s="36">
        <f t="shared" si="591"/>
        <v>3</v>
      </c>
      <c r="H969" s="17">
        <f t="shared" si="592"/>
        <v>4</v>
      </c>
      <c r="I969" s="84">
        <v>44970</v>
      </c>
      <c r="J969" s="52"/>
      <c r="K969" s="23"/>
      <c r="L969" s="24"/>
      <c r="M969" s="36">
        <f t="shared" si="593"/>
        <v>0</v>
      </c>
      <c r="N969" s="25"/>
      <c r="O969" s="24"/>
      <c r="P969" s="36">
        <f t="shared" si="594"/>
        <v>0</v>
      </c>
      <c r="Q969" s="17">
        <f t="shared" si="595"/>
        <v>0</v>
      </c>
      <c r="R969" s="81"/>
      <c r="S969" s="35"/>
      <c r="T969" s="23"/>
      <c r="U969" s="24"/>
      <c r="V969" s="36">
        <f t="shared" si="596"/>
        <v>0</v>
      </c>
      <c r="W969" s="25"/>
      <c r="X969" s="24"/>
      <c r="Y969" s="36">
        <f t="shared" si="597"/>
        <v>0</v>
      </c>
      <c r="Z969" s="17">
        <f t="shared" si="598"/>
        <v>0</v>
      </c>
    </row>
    <row r="970" spans="1:27" x14ac:dyDescent="0.15">
      <c r="A970" s="35" t="s">
        <v>33</v>
      </c>
      <c r="B970" s="15"/>
      <c r="C970" s="16">
        <v>1</v>
      </c>
      <c r="D970" s="36">
        <f t="shared" si="590"/>
        <v>1</v>
      </c>
      <c r="E970" s="18"/>
      <c r="F970" s="16"/>
      <c r="G970" s="36">
        <f t="shared" si="591"/>
        <v>0</v>
      </c>
      <c r="H970" s="17">
        <f t="shared" si="592"/>
        <v>1</v>
      </c>
      <c r="I970" s="84">
        <v>44971</v>
      </c>
      <c r="J970" s="52"/>
      <c r="K970" s="15"/>
      <c r="L970" s="16"/>
      <c r="M970" s="36">
        <f t="shared" si="593"/>
        <v>0</v>
      </c>
      <c r="N970" s="18"/>
      <c r="O970" s="16"/>
      <c r="P970" s="36">
        <f t="shared" si="594"/>
        <v>0</v>
      </c>
      <c r="Q970" s="17">
        <f t="shared" si="595"/>
        <v>0</v>
      </c>
      <c r="R970" s="81"/>
      <c r="S970" s="35"/>
      <c r="T970" s="15"/>
      <c r="U970" s="16"/>
      <c r="V970" s="36">
        <f t="shared" si="596"/>
        <v>0</v>
      </c>
      <c r="W970" s="18"/>
      <c r="X970" s="16"/>
      <c r="Y970" s="36">
        <f t="shared" si="597"/>
        <v>0</v>
      </c>
      <c r="Z970" s="17">
        <f t="shared" si="598"/>
        <v>0</v>
      </c>
    </row>
    <row r="971" spans="1:27" x14ac:dyDescent="0.15">
      <c r="A971" s="35" t="s">
        <v>458</v>
      </c>
      <c r="B971" s="15">
        <v>1</v>
      </c>
      <c r="C971" s="16"/>
      <c r="D971" s="36">
        <f t="shared" si="590"/>
        <v>1</v>
      </c>
      <c r="E971" s="18">
        <v>1</v>
      </c>
      <c r="F971" s="16"/>
      <c r="G971" s="36">
        <f t="shared" si="591"/>
        <v>1</v>
      </c>
      <c r="H971" s="17">
        <f t="shared" si="592"/>
        <v>2</v>
      </c>
      <c r="I971" s="81">
        <v>44977</v>
      </c>
      <c r="J971" s="52"/>
      <c r="K971" s="15"/>
      <c r="L971" s="16"/>
      <c r="M971" s="36">
        <f t="shared" si="593"/>
        <v>0</v>
      </c>
      <c r="N971" s="18"/>
      <c r="O971" s="16"/>
      <c r="P971" s="36">
        <f t="shared" si="594"/>
        <v>0</v>
      </c>
      <c r="Q971" s="17">
        <f t="shared" si="595"/>
        <v>0</v>
      </c>
      <c r="R971" s="81"/>
      <c r="S971" s="35"/>
      <c r="T971" s="15"/>
      <c r="U971" s="16"/>
      <c r="V971" s="36">
        <f t="shared" si="596"/>
        <v>0</v>
      </c>
      <c r="W971" s="18"/>
      <c r="X971" s="16"/>
      <c r="Y971" s="36">
        <f t="shared" si="597"/>
        <v>0</v>
      </c>
      <c r="Z971" s="17">
        <f t="shared" si="598"/>
        <v>0</v>
      </c>
    </row>
    <row r="972" spans="1:27" x14ac:dyDescent="0.15">
      <c r="A972" s="35" t="s">
        <v>33</v>
      </c>
      <c r="B972" s="15"/>
      <c r="C972" s="16"/>
      <c r="D972" s="36">
        <f t="shared" si="590"/>
        <v>0</v>
      </c>
      <c r="E972" s="18">
        <v>3</v>
      </c>
      <c r="F972" s="16"/>
      <c r="G972" s="36">
        <f t="shared" si="591"/>
        <v>3</v>
      </c>
      <c r="H972" s="17">
        <f t="shared" si="592"/>
        <v>3</v>
      </c>
      <c r="I972" s="84">
        <v>44974</v>
      </c>
      <c r="J972" s="35"/>
      <c r="K972" s="15"/>
      <c r="L972" s="16"/>
      <c r="M972" s="36">
        <f t="shared" si="593"/>
        <v>0</v>
      </c>
      <c r="N972" s="18"/>
      <c r="O972" s="16"/>
      <c r="P972" s="36">
        <f t="shared" si="594"/>
        <v>0</v>
      </c>
      <c r="Q972" s="17">
        <f t="shared" si="595"/>
        <v>0</v>
      </c>
      <c r="R972" s="81"/>
      <c r="S972" s="35"/>
      <c r="T972" s="15"/>
      <c r="U972" s="16"/>
      <c r="V972" s="36">
        <f t="shared" si="596"/>
        <v>0</v>
      </c>
      <c r="W972" s="18"/>
      <c r="X972" s="16"/>
      <c r="Y972" s="36">
        <f t="shared" si="597"/>
        <v>0</v>
      </c>
      <c r="Z972" s="17">
        <f t="shared" si="598"/>
        <v>0</v>
      </c>
    </row>
    <row r="973" spans="1:27" x14ac:dyDescent="0.15">
      <c r="A973" s="35" t="s">
        <v>33</v>
      </c>
      <c r="B973" s="15">
        <v>2</v>
      </c>
      <c r="C973" s="16">
        <v>1</v>
      </c>
      <c r="D973" s="36">
        <f t="shared" si="590"/>
        <v>3</v>
      </c>
      <c r="E973" s="18">
        <v>1</v>
      </c>
      <c r="F973" s="16">
        <v>1</v>
      </c>
      <c r="G973" s="36">
        <f t="shared" si="591"/>
        <v>2</v>
      </c>
      <c r="H973" s="17">
        <f t="shared" si="592"/>
        <v>5</v>
      </c>
      <c r="I973" s="84">
        <v>44977</v>
      </c>
      <c r="J973" s="35"/>
      <c r="K973" s="15"/>
      <c r="L973" s="16"/>
      <c r="M973" s="17">
        <f t="shared" si="593"/>
        <v>0</v>
      </c>
      <c r="N973" s="18"/>
      <c r="O973" s="16"/>
      <c r="P973" s="17">
        <f t="shared" si="594"/>
        <v>0</v>
      </c>
      <c r="Q973" s="17">
        <f t="shared" si="595"/>
        <v>0</v>
      </c>
      <c r="R973" s="81"/>
      <c r="S973" s="10"/>
      <c r="T973" s="15"/>
      <c r="U973" s="16"/>
      <c r="V973" s="17">
        <f t="shared" si="596"/>
        <v>0</v>
      </c>
      <c r="W973" s="18"/>
      <c r="X973" s="16"/>
      <c r="Y973" s="17">
        <f t="shared" si="597"/>
        <v>0</v>
      </c>
      <c r="Z973" s="17">
        <f t="shared" si="598"/>
        <v>0</v>
      </c>
    </row>
    <row r="974" spans="1:27" x14ac:dyDescent="0.15">
      <c r="A974" s="35" t="s">
        <v>33</v>
      </c>
      <c r="B974" s="15"/>
      <c r="C974" s="16">
        <v>1</v>
      </c>
      <c r="D974" s="36">
        <f t="shared" si="590"/>
        <v>1</v>
      </c>
      <c r="E974" s="18"/>
      <c r="F974" s="16"/>
      <c r="G974" s="36">
        <f t="shared" si="591"/>
        <v>0</v>
      </c>
      <c r="H974" s="17">
        <f t="shared" si="592"/>
        <v>1</v>
      </c>
      <c r="I974" s="84">
        <v>44978</v>
      </c>
      <c r="J974" s="52"/>
      <c r="K974" s="15"/>
      <c r="L974" s="16"/>
      <c r="M974" s="17">
        <f t="shared" si="593"/>
        <v>0</v>
      </c>
      <c r="N974" s="18"/>
      <c r="O974" s="16"/>
      <c r="P974" s="17">
        <f t="shared" si="594"/>
        <v>0</v>
      </c>
      <c r="Q974" s="17">
        <f t="shared" si="595"/>
        <v>0</v>
      </c>
      <c r="R974" s="81"/>
      <c r="S974" s="35"/>
      <c r="T974" s="15"/>
      <c r="U974" s="16"/>
      <c r="V974" s="36">
        <f t="shared" si="596"/>
        <v>0</v>
      </c>
      <c r="W974" s="18"/>
      <c r="X974" s="16"/>
      <c r="Y974" s="36">
        <f t="shared" si="597"/>
        <v>0</v>
      </c>
      <c r="Z974" s="17">
        <f t="shared" si="598"/>
        <v>0</v>
      </c>
    </row>
    <row r="975" spans="1:27" x14ac:dyDescent="0.15">
      <c r="A975" s="35" t="s">
        <v>33</v>
      </c>
      <c r="B975" s="15">
        <v>1</v>
      </c>
      <c r="C975" s="16">
        <v>1</v>
      </c>
      <c r="D975" s="36">
        <f t="shared" si="590"/>
        <v>2</v>
      </c>
      <c r="E975" s="18"/>
      <c r="F975" s="16"/>
      <c r="G975" s="36">
        <f t="shared" si="591"/>
        <v>0</v>
      </c>
      <c r="H975" s="17">
        <f t="shared" si="592"/>
        <v>2</v>
      </c>
      <c r="I975" s="84">
        <v>44981</v>
      </c>
      <c r="J975" s="35"/>
      <c r="K975" s="15"/>
      <c r="L975" s="16"/>
      <c r="M975" s="36">
        <f t="shared" si="593"/>
        <v>0</v>
      </c>
      <c r="N975" s="18"/>
      <c r="O975" s="16"/>
      <c r="P975" s="36">
        <f t="shared" si="594"/>
        <v>0</v>
      </c>
      <c r="Q975" s="17">
        <f t="shared" si="595"/>
        <v>0</v>
      </c>
      <c r="R975" s="81"/>
      <c r="S975" s="37"/>
      <c r="T975" s="15"/>
      <c r="U975" s="16"/>
      <c r="V975" s="36">
        <f t="shared" si="596"/>
        <v>0</v>
      </c>
      <c r="W975" s="18"/>
      <c r="X975" s="16"/>
      <c r="Y975" s="36">
        <f t="shared" si="597"/>
        <v>0</v>
      </c>
      <c r="Z975" s="17">
        <f t="shared" si="598"/>
        <v>0</v>
      </c>
    </row>
    <row r="976" spans="1:27" x14ac:dyDescent="0.15">
      <c r="A976" s="35" t="s">
        <v>33</v>
      </c>
      <c r="B976" s="15">
        <v>1</v>
      </c>
      <c r="C976" s="16"/>
      <c r="D976" s="36">
        <f t="shared" si="590"/>
        <v>1</v>
      </c>
      <c r="E976" s="18">
        <v>2</v>
      </c>
      <c r="F976" s="16"/>
      <c r="G976" s="36">
        <f t="shared" si="591"/>
        <v>2</v>
      </c>
      <c r="H976" s="17">
        <f t="shared" si="592"/>
        <v>3</v>
      </c>
      <c r="I976" s="84">
        <v>44984</v>
      </c>
      <c r="J976" s="35"/>
      <c r="K976" s="15"/>
      <c r="L976" s="16"/>
      <c r="M976" s="36">
        <f t="shared" si="593"/>
        <v>0</v>
      </c>
      <c r="N976" s="18"/>
      <c r="O976" s="16"/>
      <c r="P976" s="36">
        <f t="shared" si="594"/>
        <v>0</v>
      </c>
      <c r="Q976" s="17">
        <f t="shared" si="595"/>
        <v>0</v>
      </c>
      <c r="R976" s="81"/>
      <c r="S976" s="37"/>
      <c r="T976" s="15"/>
      <c r="U976" s="16"/>
      <c r="V976" s="36">
        <f t="shared" si="596"/>
        <v>0</v>
      </c>
      <c r="W976" s="18"/>
      <c r="X976" s="16"/>
      <c r="Y976" s="36">
        <f t="shared" si="597"/>
        <v>0</v>
      </c>
      <c r="Z976" s="17">
        <f t="shared" si="598"/>
        <v>0</v>
      </c>
    </row>
    <row r="977" spans="1:26" x14ac:dyDescent="0.15">
      <c r="A977" s="35" t="s">
        <v>462</v>
      </c>
      <c r="B977" s="15">
        <v>1</v>
      </c>
      <c r="C977" s="16"/>
      <c r="D977" s="36">
        <f t="shared" si="590"/>
        <v>1</v>
      </c>
      <c r="E977" s="18">
        <v>1</v>
      </c>
      <c r="F977" s="16"/>
      <c r="G977" s="36">
        <f t="shared" si="591"/>
        <v>1</v>
      </c>
      <c r="H977" s="17">
        <f t="shared" si="592"/>
        <v>2</v>
      </c>
      <c r="I977" s="81">
        <v>44986</v>
      </c>
      <c r="J977" s="52"/>
      <c r="K977" s="15"/>
      <c r="L977" s="16"/>
      <c r="M977" s="36">
        <f t="shared" si="593"/>
        <v>0</v>
      </c>
      <c r="N977" s="18"/>
      <c r="O977" s="16"/>
      <c r="P977" s="36">
        <f t="shared" si="594"/>
        <v>0</v>
      </c>
      <c r="Q977" s="17">
        <f t="shared" si="595"/>
        <v>0</v>
      </c>
      <c r="R977" s="81"/>
      <c r="S977" s="35"/>
      <c r="T977" s="15"/>
      <c r="U977" s="16"/>
      <c r="V977" s="36">
        <f t="shared" si="596"/>
        <v>0</v>
      </c>
      <c r="W977" s="18"/>
      <c r="X977" s="16"/>
      <c r="Y977" s="36">
        <f t="shared" si="597"/>
        <v>0</v>
      </c>
      <c r="Z977" s="17">
        <f t="shared" si="598"/>
        <v>0</v>
      </c>
    </row>
    <row r="978" spans="1:26" x14ac:dyDescent="0.15">
      <c r="A978" s="35" t="s">
        <v>463</v>
      </c>
      <c r="B978" s="15">
        <v>7</v>
      </c>
      <c r="C978" s="16">
        <v>1</v>
      </c>
      <c r="D978" s="36">
        <f t="shared" si="590"/>
        <v>8</v>
      </c>
      <c r="E978" s="18">
        <v>7</v>
      </c>
      <c r="F978" s="16">
        <v>1</v>
      </c>
      <c r="G978" s="36">
        <f t="shared" si="591"/>
        <v>8</v>
      </c>
      <c r="H978" s="17">
        <f t="shared" si="592"/>
        <v>16</v>
      </c>
      <c r="I978" s="81">
        <v>44987</v>
      </c>
      <c r="J978" s="35"/>
      <c r="K978" s="15"/>
      <c r="L978" s="16"/>
      <c r="M978" s="36">
        <f t="shared" si="593"/>
        <v>0</v>
      </c>
      <c r="N978" s="18"/>
      <c r="O978" s="16"/>
      <c r="P978" s="36">
        <f t="shared" si="594"/>
        <v>0</v>
      </c>
      <c r="Q978" s="17">
        <f t="shared" si="595"/>
        <v>0</v>
      </c>
      <c r="R978" s="81"/>
      <c r="S978" s="38"/>
      <c r="T978" s="15"/>
      <c r="U978" s="16"/>
      <c r="V978" s="36">
        <f t="shared" si="596"/>
        <v>0</v>
      </c>
      <c r="W978" s="18"/>
      <c r="X978" s="16"/>
      <c r="Y978" s="36">
        <f t="shared" si="597"/>
        <v>0</v>
      </c>
      <c r="Z978" s="17">
        <f t="shared" si="598"/>
        <v>0</v>
      </c>
    </row>
    <row r="979" spans="1:26" x14ac:dyDescent="0.15">
      <c r="A979" s="35" t="s">
        <v>33</v>
      </c>
      <c r="B979" s="15"/>
      <c r="C979" s="16"/>
      <c r="D979" s="36">
        <f t="shared" si="590"/>
        <v>0</v>
      </c>
      <c r="E979" s="18"/>
      <c r="F979" s="16">
        <v>1</v>
      </c>
      <c r="G979" s="36">
        <f t="shared" si="591"/>
        <v>1</v>
      </c>
      <c r="H979" s="17">
        <f t="shared" si="592"/>
        <v>1</v>
      </c>
      <c r="I979" s="81">
        <v>44986</v>
      </c>
      <c r="J979" s="35"/>
      <c r="K979" s="15"/>
      <c r="L979" s="16"/>
      <c r="M979" s="36">
        <f t="shared" si="593"/>
        <v>0</v>
      </c>
      <c r="N979" s="18"/>
      <c r="O979" s="16"/>
      <c r="P979" s="36">
        <f t="shared" si="594"/>
        <v>0</v>
      </c>
      <c r="Q979" s="17">
        <f t="shared" si="595"/>
        <v>0</v>
      </c>
      <c r="S979" s="35"/>
      <c r="T979" s="15"/>
      <c r="U979" s="16"/>
      <c r="V979" s="36">
        <f t="shared" si="596"/>
        <v>0</v>
      </c>
      <c r="W979" s="18"/>
      <c r="X979" s="16"/>
      <c r="Y979" s="36">
        <f t="shared" si="597"/>
        <v>0</v>
      </c>
      <c r="Z979" s="17">
        <f t="shared" si="598"/>
        <v>0</v>
      </c>
    </row>
    <row r="980" spans="1:26" x14ac:dyDescent="0.15">
      <c r="A980" s="35" t="s">
        <v>464</v>
      </c>
      <c r="B980" s="15">
        <v>2</v>
      </c>
      <c r="C980" s="16">
        <v>1</v>
      </c>
      <c r="D980" s="36">
        <f t="shared" si="590"/>
        <v>3</v>
      </c>
      <c r="E980" s="18">
        <v>2</v>
      </c>
      <c r="F980" s="16">
        <v>1</v>
      </c>
      <c r="G980" s="36">
        <f t="shared" si="591"/>
        <v>3</v>
      </c>
      <c r="H980" s="17">
        <f t="shared" si="592"/>
        <v>6</v>
      </c>
      <c r="I980" s="81">
        <v>44988</v>
      </c>
      <c r="J980" s="38"/>
      <c r="K980" s="15"/>
      <c r="L980" s="16"/>
      <c r="M980" s="36">
        <f t="shared" si="593"/>
        <v>0</v>
      </c>
      <c r="N980" s="18"/>
      <c r="O980" s="16"/>
      <c r="P980" s="36">
        <f t="shared" si="594"/>
        <v>0</v>
      </c>
      <c r="Q980" s="17">
        <f t="shared" si="595"/>
        <v>0</v>
      </c>
      <c r="R980" s="83"/>
      <c r="S980" s="38"/>
      <c r="T980" s="15"/>
      <c r="U980" s="16"/>
      <c r="V980" s="36">
        <f t="shared" si="596"/>
        <v>0</v>
      </c>
      <c r="W980" s="18"/>
      <c r="X980" s="16"/>
      <c r="Y980" s="36">
        <f t="shared" si="597"/>
        <v>0</v>
      </c>
      <c r="Z980" s="17">
        <f t="shared" si="598"/>
        <v>0</v>
      </c>
    </row>
    <row r="981" spans="1:26" x14ac:dyDescent="0.15">
      <c r="A981" s="35" t="s">
        <v>465</v>
      </c>
      <c r="B981" s="15">
        <v>1</v>
      </c>
      <c r="C981" s="16"/>
      <c r="D981" s="36">
        <f t="shared" si="590"/>
        <v>1</v>
      </c>
      <c r="E981" s="18">
        <v>1</v>
      </c>
      <c r="F981" s="16"/>
      <c r="G981" s="36">
        <f t="shared" si="591"/>
        <v>1</v>
      </c>
      <c r="H981" s="17">
        <f t="shared" si="592"/>
        <v>2</v>
      </c>
      <c r="I981" s="81">
        <v>44991</v>
      </c>
      <c r="J981" s="35"/>
      <c r="K981" s="15"/>
      <c r="L981" s="16"/>
      <c r="M981" s="36">
        <f t="shared" si="593"/>
        <v>0</v>
      </c>
      <c r="N981" s="18"/>
      <c r="O981" s="16"/>
      <c r="P981" s="36">
        <f t="shared" si="594"/>
        <v>0</v>
      </c>
      <c r="Q981" s="17">
        <f t="shared" si="595"/>
        <v>0</v>
      </c>
      <c r="R981" s="83"/>
      <c r="S981" s="35"/>
      <c r="T981" s="15"/>
      <c r="U981" s="16"/>
      <c r="V981" s="36">
        <f t="shared" si="596"/>
        <v>0</v>
      </c>
      <c r="W981" s="18"/>
      <c r="X981" s="16"/>
      <c r="Y981" s="36">
        <f t="shared" si="597"/>
        <v>0</v>
      </c>
      <c r="Z981" s="17">
        <f t="shared" si="598"/>
        <v>0</v>
      </c>
    </row>
    <row r="982" spans="1:26" x14ac:dyDescent="0.15">
      <c r="A982" s="35" t="s">
        <v>466</v>
      </c>
      <c r="B982" s="15">
        <v>3</v>
      </c>
      <c r="C982" s="16">
        <v>4</v>
      </c>
      <c r="D982" s="36">
        <f t="shared" si="590"/>
        <v>7</v>
      </c>
      <c r="E982" s="18">
        <v>3</v>
      </c>
      <c r="F982" s="16">
        <v>4</v>
      </c>
      <c r="G982" s="36">
        <f t="shared" si="591"/>
        <v>7</v>
      </c>
      <c r="H982" s="17">
        <f t="shared" si="592"/>
        <v>14</v>
      </c>
      <c r="I982" s="81">
        <v>44992</v>
      </c>
      <c r="J982" s="35"/>
      <c r="K982" s="15"/>
      <c r="L982" s="16"/>
      <c r="M982" s="36">
        <f t="shared" si="593"/>
        <v>0</v>
      </c>
      <c r="N982" s="18"/>
      <c r="O982" s="16"/>
      <c r="P982" s="36">
        <f t="shared" si="594"/>
        <v>0</v>
      </c>
      <c r="Q982" s="17">
        <f t="shared" si="595"/>
        <v>0</v>
      </c>
      <c r="R982" s="81"/>
      <c r="S982" s="35"/>
      <c r="T982" s="15"/>
      <c r="U982" s="16"/>
      <c r="V982" s="36">
        <f t="shared" si="596"/>
        <v>0</v>
      </c>
      <c r="W982" s="18"/>
      <c r="X982" s="16"/>
      <c r="Y982" s="36">
        <f t="shared" si="597"/>
        <v>0</v>
      </c>
      <c r="Z982" s="17">
        <f t="shared" si="598"/>
        <v>0</v>
      </c>
    </row>
    <row r="983" spans="1:26" x14ac:dyDescent="0.15">
      <c r="A983" s="35" t="s">
        <v>33</v>
      </c>
      <c r="B983" s="15"/>
      <c r="C983" s="16">
        <v>1</v>
      </c>
      <c r="D983" s="36">
        <f t="shared" si="590"/>
        <v>1</v>
      </c>
      <c r="E983" s="18">
        <v>1</v>
      </c>
      <c r="F983" s="16">
        <f>2+1+2</f>
        <v>5</v>
      </c>
      <c r="G983" s="36">
        <f t="shared" si="591"/>
        <v>6</v>
      </c>
      <c r="H983" s="17">
        <f t="shared" si="592"/>
        <v>7</v>
      </c>
      <c r="I983" s="84">
        <v>44991</v>
      </c>
      <c r="J983" s="35"/>
      <c r="K983" s="15"/>
      <c r="L983" s="16"/>
      <c r="M983" s="36">
        <f t="shared" si="593"/>
        <v>0</v>
      </c>
      <c r="N983" s="18"/>
      <c r="O983" s="16"/>
      <c r="P983" s="36">
        <f t="shared" si="594"/>
        <v>0</v>
      </c>
      <c r="Q983" s="17">
        <f t="shared" si="595"/>
        <v>0</v>
      </c>
      <c r="R983" s="81"/>
      <c r="S983" s="35"/>
      <c r="T983" s="15"/>
      <c r="U983" s="16"/>
      <c r="V983" s="36">
        <f t="shared" si="596"/>
        <v>0</v>
      </c>
      <c r="W983" s="18"/>
      <c r="X983" s="16"/>
      <c r="Y983" s="36">
        <f t="shared" si="597"/>
        <v>0</v>
      </c>
      <c r="Z983" s="17">
        <f t="shared" si="598"/>
        <v>0</v>
      </c>
    </row>
    <row r="984" spans="1:26" x14ac:dyDescent="0.15">
      <c r="A984" s="35" t="s">
        <v>467</v>
      </c>
      <c r="B984" s="15"/>
      <c r="C984" s="16">
        <v>1</v>
      </c>
      <c r="D984" s="36">
        <f t="shared" si="590"/>
        <v>1</v>
      </c>
      <c r="E984" s="18"/>
      <c r="F984" s="16">
        <v>1</v>
      </c>
      <c r="G984" s="36">
        <f t="shared" si="591"/>
        <v>1</v>
      </c>
      <c r="H984" s="17">
        <f t="shared" si="592"/>
        <v>2</v>
      </c>
      <c r="I984" s="81">
        <v>44993</v>
      </c>
      <c r="J984" s="35"/>
      <c r="K984" s="15"/>
      <c r="L984" s="16"/>
      <c r="M984" s="36">
        <f t="shared" ref="M984" si="605">SUM(K984:L984)</f>
        <v>0</v>
      </c>
      <c r="N984" s="18"/>
      <c r="O984" s="16"/>
      <c r="P984" s="36">
        <f t="shared" ref="P984" si="606">SUM(N984:O984)</f>
        <v>0</v>
      </c>
      <c r="Q984" s="17">
        <f t="shared" ref="Q984" si="607">M984+P984</f>
        <v>0</v>
      </c>
      <c r="R984" s="81"/>
      <c r="S984" s="35"/>
      <c r="T984" s="15"/>
      <c r="U984" s="16"/>
      <c r="V984" s="36">
        <f t="shared" si="596"/>
        <v>0</v>
      </c>
      <c r="W984" s="18"/>
      <c r="X984" s="16"/>
      <c r="Y984" s="36">
        <f t="shared" si="597"/>
        <v>0</v>
      </c>
      <c r="Z984" s="17">
        <f t="shared" si="598"/>
        <v>0</v>
      </c>
    </row>
    <row r="985" spans="1:26" ht="14.25" thickBot="1" x14ac:dyDescent="0.2">
      <c r="A985" s="35" t="s">
        <v>33</v>
      </c>
      <c r="B985" s="15"/>
      <c r="C985" s="16"/>
      <c r="D985" s="36">
        <f t="shared" si="590"/>
        <v>0</v>
      </c>
      <c r="E985" s="18">
        <v>1</v>
      </c>
      <c r="F985" s="16"/>
      <c r="G985" s="36">
        <f t="shared" si="591"/>
        <v>1</v>
      </c>
      <c r="H985" s="17">
        <f t="shared" si="592"/>
        <v>1</v>
      </c>
      <c r="I985" s="84">
        <v>44992</v>
      </c>
      <c r="J985" s="35" t="s">
        <v>426</v>
      </c>
      <c r="K985" s="15"/>
      <c r="L985" s="16"/>
      <c r="M985" s="36">
        <f t="shared" ref="M985" si="608">SUM(K985:L985)</f>
        <v>0</v>
      </c>
      <c r="N985" s="18"/>
      <c r="O985" s="16"/>
      <c r="P985" s="36">
        <f t="shared" ref="P985" si="609">SUM(N985:O985)</f>
        <v>0</v>
      </c>
      <c r="Q985" s="17">
        <f t="shared" ref="Q985" si="610">M985+P985</f>
        <v>0</v>
      </c>
      <c r="R985" s="81" t="s">
        <v>427</v>
      </c>
      <c r="S985" s="35"/>
      <c r="T985" s="15"/>
      <c r="U985" s="16"/>
      <c r="V985" s="36">
        <f t="shared" si="596"/>
        <v>0</v>
      </c>
      <c r="W985" s="18"/>
      <c r="X985" s="16"/>
      <c r="Y985" s="36">
        <f t="shared" si="597"/>
        <v>0</v>
      </c>
      <c r="Z985" s="17">
        <f t="shared" si="598"/>
        <v>0</v>
      </c>
    </row>
    <row r="986" spans="1:26" ht="14.25" thickBot="1" x14ac:dyDescent="0.2">
      <c r="A986" s="40" t="s">
        <v>14</v>
      </c>
      <c r="B986" s="41">
        <f>SUM(B960:B985)</f>
        <v>25</v>
      </c>
      <c r="C986" s="42">
        <f t="shared" ref="C986" si="611">SUM(C960:C985)</f>
        <v>18</v>
      </c>
      <c r="D986" s="43">
        <f t="shared" si="590"/>
        <v>43</v>
      </c>
      <c r="E986" s="41">
        <f>SUM(E960:E985)</f>
        <v>32</v>
      </c>
      <c r="F986" s="42">
        <f t="shared" ref="F986" si="612">SUM(F960:F985)</f>
        <v>21</v>
      </c>
      <c r="G986" s="43">
        <f t="shared" si="591"/>
        <v>53</v>
      </c>
      <c r="H986" s="43">
        <f t="shared" si="592"/>
        <v>96</v>
      </c>
      <c r="J986" s="40" t="s">
        <v>14</v>
      </c>
      <c r="K986" s="41">
        <f>SUM(K960:K985)</f>
        <v>37</v>
      </c>
      <c r="L986" s="42">
        <f t="shared" ref="L986" si="613">SUM(L960:L985)</f>
        <v>22</v>
      </c>
      <c r="M986" s="43">
        <f t="shared" si="593"/>
        <v>59</v>
      </c>
      <c r="N986" s="41">
        <f>SUM(N960:N985)</f>
        <v>42</v>
      </c>
      <c r="O986" s="42">
        <f t="shared" ref="O986" si="614">SUM(O960:O985)</f>
        <v>35</v>
      </c>
      <c r="P986" s="43">
        <f t="shared" si="594"/>
        <v>77</v>
      </c>
      <c r="Q986" s="43">
        <f t="shared" si="595"/>
        <v>136</v>
      </c>
      <c r="S986" s="40" t="s">
        <v>14</v>
      </c>
      <c r="T986" s="41">
        <f>SUM(T960:T985)</f>
        <v>0</v>
      </c>
      <c r="U986" s="42">
        <f t="shared" ref="U986" si="615">SUM(U960:U985)</f>
        <v>0</v>
      </c>
      <c r="V986" s="43">
        <f t="shared" si="596"/>
        <v>0</v>
      </c>
      <c r="W986" s="41">
        <f>SUM(W960:W985)</f>
        <v>0</v>
      </c>
      <c r="X986" s="42">
        <f t="shared" ref="X986" si="616">SUM(X960:X985)</f>
        <v>0</v>
      </c>
      <c r="Y986" s="43">
        <f t="shared" si="597"/>
        <v>0</v>
      </c>
      <c r="Z986" s="43">
        <f t="shared" si="598"/>
        <v>0</v>
      </c>
    </row>
    <row r="987" spans="1:26" ht="14.25" thickBot="1" x14ac:dyDescent="0.2">
      <c r="A987" s="44" t="s">
        <v>15</v>
      </c>
      <c r="B987" s="45">
        <f>B959-B986</f>
        <v>20</v>
      </c>
      <c r="C987" s="46">
        <f t="shared" ref="C987" si="617">C959-C986</f>
        <v>20</v>
      </c>
      <c r="D987" s="47">
        <f t="shared" si="590"/>
        <v>40</v>
      </c>
      <c r="E987" s="45">
        <f>E959-E986</f>
        <v>19</v>
      </c>
      <c r="F987" s="46">
        <f t="shared" ref="F987" si="618">F959-F986</f>
        <v>23</v>
      </c>
      <c r="G987" s="47">
        <f t="shared" si="591"/>
        <v>42</v>
      </c>
      <c r="H987" s="34">
        <f t="shared" si="592"/>
        <v>82</v>
      </c>
      <c r="J987" s="44" t="s">
        <v>15</v>
      </c>
      <c r="K987" s="45">
        <f>K959-K986</f>
        <v>1400</v>
      </c>
      <c r="L987" s="46">
        <f t="shared" ref="L987" si="619">L959-L986</f>
        <v>834</v>
      </c>
      <c r="M987" s="47">
        <f t="shared" si="593"/>
        <v>2234</v>
      </c>
      <c r="N987" s="45">
        <f>N959-N986</f>
        <v>1440</v>
      </c>
      <c r="O987" s="46">
        <f t="shared" ref="O987" si="620">O959-O986</f>
        <v>467</v>
      </c>
      <c r="P987" s="47">
        <f t="shared" si="594"/>
        <v>1907</v>
      </c>
      <c r="Q987" s="34">
        <f t="shared" si="595"/>
        <v>4141</v>
      </c>
      <c r="S987" s="44" t="s">
        <v>15</v>
      </c>
      <c r="T987" s="45">
        <f>T959-T986</f>
        <v>0</v>
      </c>
      <c r="U987" s="46">
        <f t="shared" ref="U987" si="621">U959-U986</f>
        <v>0</v>
      </c>
      <c r="V987" s="47">
        <f t="shared" si="596"/>
        <v>0</v>
      </c>
      <c r="W987" s="45">
        <f>W959-W986</f>
        <v>0</v>
      </c>
      <c r="X987" s="46">
        <f t="shared" ref="X987" si="622">X959-X986</f>
        <v>0</v>
      </c>
      <c r="Y987" s="47">
        <f t="shared" si="597"/>
        <v>0</v>
      </c>
      <c r="Z987" s="34">
        <f t="shared" si="598"/>
        <v>0</v>
      </c>
    </row>
    <row r="990" spans="1:26" ht="19.5" thickBot="1" x14ac:dyDescent="0.25">
      <c r="A990" s="1" t="s">
        <v>23</v>
      </c>
      <c r="J990" s="1" t="s">
        <v>24</v>
      </c>
      <c r="K990" s="2"/>
      <c r="L990" s="2"/>
      <c r="M990" s="2"/>
      <c r="N990" s="2"/>
      <c r="O990" s="1" t="s">
        <v>34</v>
      </c>
      <c r="P990" s="2"/>
      <c r="Q990" s="2"/>
      <c r="S990" s="1" t="s">
        <v>24</v>
      </c>
      <c r="T990" s="2"/>
      <c r="U990" s="2"/>
      <c r="V990" s="2"/>
      <c r="W990" s="2"/>
      <c r="X990" s="1" t="s">
        <v>34</v>
      </c>
      <c r="Y990" s="2"/>
      <c r="Z990" s="2"/>
    </row>
    <row r="991" spans="1:26" ht="14.25" thickBot="1" x14ac:dyDescent="0.2">
      <c r="A991" s="3" t="s">
        <v>0</v>
      </c>
      <c r="B991" s="125" t="s">
        <v>18</v>
      </c>
      <c r="C991" s="126"/>
      <c r="D991" s="127"/>
      <c r="E991" s="125" t="s">
        <v>19</v>
      </c>
      <c r="F991" s="126"/>
      <c r="G991" s="128"/>
      <c r="H991" s="129" t="s">
        <v>1</v>
      </c>
      <c r="J991" s="3" t="s">
        <v>0</v>
      </c>
      <c r="K991" s="125" t="s">
        <v>18</v>
      </c>
      <c r="L991" s="126"/>
      <c r="M991" s="127"/>
      <c r="N991" s="125" t="s">
        <v>19</v>
      </c>
      <c r="O991" s="126"/>
      <c r="P991" s="128"/>
      <c r="Q991" s="129" t="s">
        <v>1</v>
      </c>
      <c r="S991" s="3" t="s">
        <v>0</v>
      </c>
      <c r="T991" s="125" t="s">
        <v>18</v>
      </c>
      <c r="U991" s="126"/>
      <c r="V991" s="127"/>
      <c r="W991" s="125" t="s">
        <v>19</v>
      </c>
      <c r="X991" s="126"/>
      <c r="Y991" s="128"/>
      <c r="Z991" s="129" t="s">
        <v>1</v>
      </c>
    </row>
    <row r="992" spans="1:26" ht="14.25" thickBot="1" x14ac:dyDescent="0.2">
      <c r="A992" s="3" t="s">
        <v>2</v>
      </c>
      <c r="B992" s="4" t="s">
        <v>16</v>
      </c>
      <c r="C992" s="5" t="s">
        <v>17</v>
      </c>
      <c r="D992" s="3" t="s">
        <v>3</v>
      </c>
      <c r="E992" s="4" t="s">
        <v>16</v>
      </c>
      <c r="F992" s="5" t="s">
        <v>17</v>
      </c>
      <c r="G992" s="3" t="s">
        <v>3</v>
      </c>
      <c r="H992" s="130"/>
      <c r="J992" s="3" t="s">
        <v>2</v>
      </c>
      <c r="K992" s="4" t="s">
        <v>16</v>
      </c>
      <c r="L992" s="5" t="s">
        <v>17</v>
      </c>
      <c r="M992" s="3" t="s">
        <v>3</v>
      </c>
      <c r="N992" s="4" t="s">
        <v>16</v>
      </c>
      <c r="O992" s="5" t="s">
        <v>17</v>
      </c>
      <c r="P992" s="3" t="s">
        <v>3</v>
      </c>
      <c r="Q992" s="130"/>
      <c r="S992" s="3" t="s">
        <v>2</v>
      </c>
      <c r="T992" s="4" t="s">
        <v>16</v>
      </c>
      <c r="U992" s="5" t="s">
        <v>17</v>
      </c>
      <c r="V992" s="3" t="s">
        <v>3</v>
      </c>
      <c r="W992" s="4" t="s">
        <v>16</v>
      </c>
      <c r="X992" s="5" t="s">
        <v>17</v>
      </c>
      <c r="Y992" s="3" t="s">
        <v>3</v>
      </c>
      <c r="Z992" s="130"/>
    </row>
    <row r="993" spans="1:26" ht="14.25" thickBot="1" x14ac:dyDescent="0.2">
      <c r="A993" s="6" t="s">
        <v>55</v>
      </c>
      <c r="B993" s="32">
        <f>B987</f>
        <v>20</v>
      </c>
      <c r="C993" s="33">
        <f>C987</f>
        <v>20</v>
      </c>
      <c r="D993" s="34">
        <f t="shared" ref="D993:D1030" si="623">SUM(B993:C993)</f>
        <v>40</v>
      </c>
      <c r="E993" s="32">
        <f>E987</f>
        <v>19</v>
      </c>
      <c r="F993" s="33">
        <f>F987</f>
        <v>23</v>
      </c>
      <c r="G993" s="34">
        <f t="shared" ref="G993:G1030" si="624">SUM(E993:F993)</f>
        <v>42</v>
      </c>
      <c r="H993" s="34">
        <f t="shared" ref="H993:H1030" si="625">D993+G993</f>
        <v>82</v>
      </c>
      <c r="J993" s="6" t="s">
        <v>55</v>
      </c>
      <c r="K993" s="7">
        <f>K987</f>
        <v>1400</v>
      </c>
      <c r="L993" s="8">
        <f>L987</f>
        <v>834</v>
      </c>
      <c r="M993" s="9">
        <f t="shared" ref="M993:M1030" si="626">SUM(K993:L993)</f>
        <v>2234</v>
      </c>
      <c r="N993" s="7">
        <f>N987</f>
        <v>1440</v>
      </c>
      <c r="O993" s="8">
        <f>O987</f>
        <v>467</v>
      </c>
      <c r="P993" s="9">
        <f t="shared" ref="P993:P1030" si="627">SUM(N993:O993)</f>
        <v>1907</v>
      </c>
      <c r="Q993" s="9">
        <f t="shared" ref="Q993:Q1030" si="628">M993+P993</f>
        <v>4141</v>
      </c>
      <c r="S993" s="6" t="s">
        <v>55</v>
      </c>
      <c r="T993" s="7">
        <f>T987</f>
        <v>0</v>
      </c>
      <c r="U993" s="8">
        <f>U987</f>
        <v>0</v>
      </c>
      <c r="V993" s="9">
        <f t="shared" ref="V993:V1030" si="629">SUM(T993:U993)</f>
        <v>0</v>
      </c>
      <c r="W993" s="7">
        <f>W987</f>
        <v>0</v>
      </c>
      <c r="X993" s="8">
        <f>X987</f>
        <v>0</v>
      </c>
      <c r="Y993" s="9">
        <f t="shared" ref="Y993:Y1030" si="630">SUM(W993:X993)</f>
        <v>0</v>
      </c>
      <c r="Z993" s="9">
        <f t="shared" ref="Z993:Z1030" si="631">V993+Y993</f>
        <v>0</v>
      </c>
    </row>
    <row r="994" spans="1:26" x14ac:dyDescent="0.15">
      <c r="A994" s="10" t="s">
        <v>5</v>
      </c>
      <c r="B994" s="23">
        <v>5</v>
      </c>
      <c r="C994" s="24">
        <v>5</v>
      </c>
      <c r="D994" s="17">
        <f t="shared" si="623"/>
        <v>10</v>
      </c>
      <c r="E994" s="25">
        <v>20</v>
      </c>
      <c r="F994" s="24"/>
      <c r="G994" s="17">
        <f t="shared" si="624"/>
        <v>20</v>
      </c>
      <c r="H994" s="17">
        <f t="shared" si="625"/>
        <v>30</v>
      </c>
      <c r="I994" s="81">
        <v>45000</v>
      </c>
      <c r="J994" s="94" t="s">
        <v>5</v>
      </c>
      <c r="K994" s="48"/>
      <c r="L994" s="49"/>
      <c r="M994" s="50">
        <f t="shared" si="626"/>
        <v>0</v>
      </c>
      <c r="N994" s="51"/>
      <c r="O994" s="49"/>
      <c r="P994" s="50">
        <f t="shared" si="627"/>
        <v>0</v>
      </c>
      <c r="Q994" s="13">
        <f t="shared" si="628"/>
        <v>0</v>
      </c>
      <c r="S994" s="10" t="s">
        <v>5</v>
      </c>
      <c r="T994" s="11"/>
      <c r="U994" s="12"/>
      <c r="V994" s="13">
        <f t="shared" si="629"/>
        <v>0</v>
      </c>
      <c r="W994" s="62"/>
      <c r="X994" s="12"/>
      <c r="Y994" s="13">
        <f t="shared" si="630"/>
        <v>0</v>
      </c>
      <c r="Z994" s="13">
        <f t="shared" si="631"/>
        <v>0</v>
      </c>
    </row>
    <row r="995" spans="1:26" x14ac:dyDescent="0.15">
      <c r="A995" s="10" t="s">
        <v>78</v>
      </c>
      <c r="B995" s="23"/>
      <c r="C995" s="24">
        <v>4</v>
      </c>
      <c r="D995" s="17">
        <f t="shared" ref="D995:D999" si="632">SUM(B995:C995)</f>
        <v>4</v>
      </c>
      <c r="E995" s="25">
        <v>1</v>
      </c>
      <c r="F995" s="24">
        <v>3</v>
      </c>
      <c r="G995" s="17">
        <f t="shared" ref="G995:G999" si="633">SUM(E995:F995)</f>
        <v>4</v>
      </c>
      <c r="H995" s="17">
        <f t="shared" ref="H995:H999" si="634">D995+G995</f>
        <v>8</v>
      </c>
      <c r="I995" s="81">
        <v>45000</v>
      </c>
      <c r="J995" s="10" t="s">
        <v>6</v>
      </c>
      <c r="K995" s="19"/>
      <c r="L995" s="20"/>
      <c r="M995" s="17">
        <f t="shared" ref="M995" si="635">SUM(K995:L995)</f>
        <v>0</v>
      </c>
      <c r="N995" s="21"/>
      <c r="O995" s="20"/>
      <c r="P995" s="17">
        <f t="shared" ref="P995" si="636">SUM(N995:O995)</f>
        <v>0</v>
      </c>
      <c r="Q995" s="17">
        <f t="shared" ref="Q995" si="637">M995+P995</f>
        <v>0</v>
      </c>
      <c r="R995" s="81"/>
      <c r="S995" s="10" t="s">
        <v>6</v>
      </c>
      <c r="T995" s="15"/>
      <c r="U995" s="16"/>
      <c r="V995" s="17">
        <f t="shared" si="629"/>
        <v>0</v>
      </c>
      <c r="W995" s="18"/>
      <c r="X995" s="16"/>
      <c r="Y995" s="17">
        <f t="shared" si="630"/>
        <v>0</v>
      </c>
      <c r="Z995" s="17">
        <f t="shared" si="631"/>
        <v>0</v>
      </c>
    </row>
    <row r="996" spans="1:26" x14ac:dyDescent="0.15">
      <c r="A996" s="10" t="s">
        <v>7</v>
      </c>
      <c r="B996" s="23">
        <v>10</v>
      </c>
      <c r="C996" s="24">
        <v>5</v>
      </c>
      <c r="D996" s="17">
        <f t="shared" si="632"/>
        <v>15</v>
      </c>
      <c r="E996" s="25">
        <v>10</v>
      </c>
      <c r="F996" s="24">
        <v>10</v>
      </c>
      <c r="G996" s="17">
        <f t="shared" si="633"/>
        <v>20</v>
      </c>
      <c r="H996" s="17">
        <f t="shared" si="634"/>
        <v>35</v>
      </c>
      <c r="I996" s="81">
        <v>45009</v>
      </c>
      <c r="J996" s="10" t="s">
        <v>7</v>
      </c>
      <c r="K996" s="19"/>
      <c r="L996" s="20"/>
      <c r="M996" s="17">
        <f t="shared" si="626"/>
        <v>0</v>
      </c>
      <c r="N996" s="21"/>
      <c r="O996" s="20"/>
      <c r="P996" s="17">
        <f t="shared" si="627"/>
        <v>0</v>
      </c>
      <c r="Q996" s="17">
        <f t="shared" si="628"/>
        <v>0</v>
      </c>
      <c r="R996" s="81"/>
      <c r="S996" s="10" t="s">
        <v>7</v>
      </c>
      <c r="T996" s="19"/>
      <c r="U996" s="20"/>
      <c r="V996" s="17">
        <f t="shared" si="629"/>
        <v>0</v>
      </c>
      <c r="W996" s="21"/>
      <c r="X996" s="20"/>
      <c r="Y996" s="17">
        <f t="shared" si="630"/>
        <v>0</v>
      </c>
      <c r="Z996" s="17">
        <f t="shared" si="631"/>
        <v>0</v>
      </c>
    </row>
    <row r="997" spans="1:26" x14ac:dyDescent="0.15">
      <c r="A997" s="10" t="s">
        <v>61</v>
      </c>
      <c r="B997" s="23">
        <v>1</v>
      </c>
      <c r="C997" s="24"/>
      <c r="D997" s="17">
        <f t="shared" si="632"/>
        <v>1</v>
      </c>
      <c r="E997" s="25">
        <v>1</v>
      </c>
      <c r="F997" s="24"/>
      <c r="G997" s="17">
        <f t="shared" si="633"/>
        <v>1</v>
      </c>
      <c r="H997" s="17">
        <f t="shared" si="634"/>
        <v>2</v>
      </c>
      <c r="I997" s="81">
        <v>45012</v>
      </c>
      <c r="J997" s="10" t="s">
        <v>8</v>
      </c>
      <c r="K997" s="15"/>
      <c r="L997" s="16"/>
      <c r="M997" s="17">
        <f t="shared" si="626"/>
        <v>0</v>
      </c>
      <c r="N997" s="18"/>
      <c r="O997" s="16"/>
      <c r="P997" s="17">
        <f t="shared" si="627"/>
        <v>0</v>
      </c>
      <c r="Q997" s="17">
        <f t="shared" si="628"/>
        <v>0</v>
      </c>
      <c r="R997" s="83"/>
      <c r="S997" s="10" t="s">
        <v>8</v>
      </c>
      <c r="T997" s="15"/>
      <c r="U997" s="16"/>
      <c r="V997" s="17">
        <f t="shared" si="629"/>
        <v>0</v>
      </c>
      <c r="W997" s="18"/>
      <c r="X997" s="16"/>
      <c r="Y997" s="17">
        <f t="shared" si="630"/>
        <v>0</v>
      </c>
      <c r="Z997" s="17">
        <f t="shared" si="631"/>
        <v>0</v>
      </c>
    </row>
    <row r="998" spans="1:26" x14ac:dyDescent="0.15">
      <c r="A998" s="10" t="s">
        <v>9</v>
      </c>
      <c r="B998" s="23">
        <v>5</v>
      </c>
      <c r="C998" s="24"/>
      <c r="D998" s="17">
        <f t="shared" si="632"/>
        <v>5</v>
      </c>
      <c r="E998" s="25">
        <v>10</v>
      </c>
      <c r="F998" s="24">
        <v>5</v>
      </c>
      <c r="G998" s="17">
        <f t="shared" si="633"/>
        <v>15</v>
      </c>
      <c r="H998" s="17">
        <f t="shared" si="634"/>
        <v>20</v>
      </c>
      <c r="I998" s="81">
        <v>45020</v>
      </c>
      <c r="J998" s="10" t="s">
        <v>9</v>
      </c>
      <c r="K998" s="15"/>
      <c r="L998" s="16"/>
      <c r="M998" s="17">
        <f t="shared" si="626"/>
        <v>0</v>
      </c>
      <c r="N998" s="18"/>
      <c r="O998" s="16"/>
      <c r="P998" s="17">
        <f t="shared" si="627"/>
        <v>0</v>
      </c>
      <c r="Q998" s="17">
        <f t="shared" si="628"/>
        <v>0</v>
      </c>
      <c r="R998" s="83"/>
      <c r="S998" s="10" t="s">
        <v>9</v>
      </c>
      <c r="T998" s="15"/>
      <c r="U998" s="16"/>
      <c r="V998" s="17">
        <f t="shared" si="629"/>
        <v>0</v>
      </c>
      <c r="W998" s="18"/>
      <c r="X998" s="16"/>
      <c r="Y998" s="17">
        <f t="shared" si="630"/>
        <v>0</v>
      </c>
      <c r="Z998" s="17">
        <f t="shared" si="631"/>
        <v>0</v>
      </c>
    </row>
    <row r="999" spans="1:26" x14ac:dyDescent="0.15">
      <c r="A999" s="10" t="s">
        <v>10</v>
      </c>
      <c r="B999" s="23"/>
      <c r="C999" s="24"/>
      <c r="D999" s="17">
        <f t="shared" si="632"/>
        <v>0</v>
      </c>
      <c r="E999" s="25"/>
      <c r="F999" s="24"/>
      <c r="G999" s="17">
        <f t="shared" si="633"/>
        <v>0</v>
      </c>
      <c r="H999" s="17">
        <f t="shared" si="634"/>
        <v>0</v>
      </c>
      <c r="I999" s="83"/>
      <c r="J999" s="10" t="s">
        <v>10</v>
      </c>
      <c r="K999" s="15"/>
      <c r="L999" s="16"/>
      <c r="M999" s="17">
        <f t="shared" si="626"/>
        <v>0</v>
      </c>
      <c r="N999" s="18"/>
      <c r="O999" s="16"/>
      <c r="P999" s="17">
        <f t="shared" si="627"/>
        <v>0</v>
      </c>
      <c r="Q999" s="17">
        <f t="shared" si="628"/>
        <v>0</v>
      </c>
      <c r="S999" s="10" t="s">
        <v>10</v>
      </c>
      <c r="T999" s="15"/>
      <c r="U999" s="16"/>
      <c r="V999" s="17">
        <f t="shared" si="629"/>
        <v>0</v>
      </c>
      <c r="W999" s="18"/>
      <c r="X999" s="16"/>
      <c r="Y999" s="17">
        <f t="shared" si="630"/>
        <v>0</v>
      </c>
      <c r="Z999" s="17">
        <f t="shared" si="631"/>
        <v>0</v>
      </c>
    </row>
    <row r="1000" spans="1:26" x14ac:dyDescent="0.15">
      <c r="A1000" s="10" t="s">
        <v>11</v>
      </c>
      <c r="B1000" s="23"/>
      <c r="C1000" s="24"/>
      <c r="D1000" s="17">
        <f t="shared" si="623"/>
        <v>0</v>
      </c>
      <c r="E1000" s="25"/>
      <c r="F1000" s="24"/>
      <c r="G1000" s="17">
        <f t="shared" si="624"/>
        <v>0</v>
      </c>
      <c r="H1000" s="17">
        <f t="shared" si="625"/>
        <v>0</v>
      </c>
      <c r="I1000" s="83"/>
      <c r="J1000" s="10" t="s">
        <v>11</v>
      </c>
      <c r="K1000" s="23"/>
      <c r="L1000" s="24"/>
      <c r="M1000" s="17">
        <f t="shared" si="626"/>
        <v>0</v>
      </c>
      <c r="N1000" s="25"/>
      <c r="O1000" s="24"/>
      <c r="P1000" s="17">
        <f t="shared" si="627"/>
        <v>0</v>
      </c>
      <c r="Q1000" s="17">
        <f t="shared" si="628"/>
        <v>0</v>
      </c>
      <c r="S1000" s="10" t="s">
        <v>11</v>
      </c>
      <c r="T1000" s="23"/>
      <c r="U1000" s="24"/>
      <c r="V1000" s="17">
        <f t="shared" si="629"/>
        <v>0</v>
      </c>
      <c r="W1000" s="25"/>
      <c r="X1000" s="24"/>
      <c r="Y1000" s="17">
        <f t="shared" si="630"/>
        <v>0</v>
      </c>
      <c r="Z1000" s="17">
        <f t="shared" si="631"/>
        <v>0</v>
      </c>
    </row>
    <row r="1001" spans="1:26" ht="14.25" thickBot="1" x14ac:dyDescent="0.2">
      <c r="A1001" s="10" t="s">
        <v>494</v>
      </c>
      <c r="B1001" s="26">
        <v>4</v>
      </c>
      <c r="C1001" s="27">
        <v>3</v>
      </c>
      <c r="D1001" s="28">
        <f t="shared" si="623"/>
        <v>7</v>
      </c>
      <c r="E1001" s="29">
        <v>-1</v>
      </c>
      <c r="F1001" s="29">
        <v>3</v>
      </c>
      <c r="G1001" s="28">
        <f t="shared" si="624"/>
        <v>2</v>
      </c>
      <c r="H1001" s="30">
        <f t="shared" si="625"/>
        <v>9</v>
      </c>
      <c r="J1001" s="10" t="s">
        <v>12</v>
      </c>
      <c r="K1001" s="26"/>
      <c r="L1001" s="27"/>
      <c r="M1001" s="28">
        <f t="shared" si="626"/>
        <v>0</v>
      </c>
      <c r="N1001" s="29"/>
      <c r="O1001" s="29"/>
      <c r="P1001" s="28">
        <f t="shared" si="627"/>
        <v>0</v>
      </c>
      <c r="Q1001" s="30">
        <f t="shared" si="628"/>
        <v>0</v>
      </c>
      <c r="S1001" s="10" t="s">
        <v>12</v>
      </c>
      <c r="T1001" s="26"/>
      <c r="U1001" s="27"/>
      <c r="V1001" s="28">
        <f t="shared" si="629"/>
        <v>0</v>
      </c>
      <c r="W1001" s="29"/>
      <c r="X1001" s="29"/>
      <c r="Y1001" s="28">
        <f t="shared" si="630"/>
        <v>0</v>
      </c>
      <c r="Z1001" s="30">
        <f t="shared" si="631"/>
        <v>0</v>
      </c>
    </row>
    <row r="1002" spans="1:26" ht="14.25" thickBot="1" x14ac:dyDescent="0.2">
      <c r="A1002" s="31" t="s">
        <v>13</v>
      </c>
      <c r="B1002" s="32">
        <f>SUM(B993:B1001)</f>
        <v>45</v>
      </c>
      <c r="C1002" s="33">
        <f>SUM(C993:C1001)</f>
        <v>37</v>
      </c>
      <c r="D1002" s="34">
        <f t="shared" si="623"/>
        <v>82</v>
      </c>
      <c r="E1002" s="32">
        <f>SUM(E993:E1001)</f>
        <v>60</v>
      </c>
      <c r="F1002" s="33">
        <f>SUM(F993:F1001)</f>
        <v>44</v>
      </c>
      <c r="G1002" s="34">
        <f t="shared" si="624"/>
        <v>104</v>
      </c>
      <c r="H1002" s="34">
        <f t="shared" si="625"/>
        <v>186</v>
      </c>
      <c r="J1002" s="31" t="s">
        <v>13</v>
      </c>
      <c r="K1002" s="32">
        <f>SUM(K993:K1001)</f>
        <v>1400</v>
      </c>
      <c r="L1002" s="33">
        <f>SUM(L993:L1001)</f>
        <v>834</v>
      </c>
      <c r="M1002" s="34">
        <f t="shared" si="626"/>
        <v>2234</v>
      </c>
      <c r="N1002" s="32">
        <f>SUM(N993:N1001)</f>
        <v>1440</v>
      </c>
      <c r="O1002" s="33">
        <f>SUM(O993:O1001)</f>
        <v>467</v>
      </c>
      <c r="P1002" s="34">
        <f t="shared" si="627"/>
        <v>1907</v>
      </c>
      <c r="Q1002" s="34">
        <f t="shared" si="628"/>
        <v>4141</v>
      </c>
      <c r="S1002" s="31" t="s">
        <v>13</v>
      </c>
      <c r="T1002" s="32">
        <f>SUM(T993:T1001)</f>
        <v>0</v>
      </c>
      <c r="U1002" s="33">
        <f>SUM(U993:U1001)</f>
        <v>0</v>
      </c>
      <c r="V1002" s="34">
        <f t="shared" si="629"/>
        <v>0</v>
      </c>
      <c r="W1002" s="32">
        <f>SUM(W993:W1001)</f>
        <v>0</v>
      </c>
      <c r="X1002" s="33">
        <f>SUM(X993:X1001)</f>
        <v>0</v>
      </c>
      <c r="Y1002" s="34">
        <f t="shared" si="630"/>
        <v>0</v>
      </c>
      <c r="Z1002" s="34">
        <f t="shared" si="631"/>
        <v>0</v>
      </c>
    </row>
    <row r="1003" spans="1:26" x14ac:dyDescent="0.15">
      <c r="A1003" s="35" t="s">
        <v>468</v>
      </c>
      <c r="B1003" s="15"/>
      <c r="C1003" s="16">
        <v>1</v>
      </c>
      <c r="D1003" s="36">
        <f t="shared" ref="D1003:D1026" si="638">SUM(B1003:C1003)</f>
        <v>1</v>
      </c>
      <c r="E1003" s="18"/>
      <c r="F1003" s="16">
        <v>1</v>
      </c>
      <c r="G1003" s="36">
        <f t="shared" ref="G1003:G1026" si="639">SUM(E1003:F1003)</f>
        <v>1</v>
      </c>
      <c r="H1003" s="17">
        <f t="shared" ref="H1003:H1026" si="640">D1003+G1003</f>
        <v>2</v>
      </c>
      <c r="I1003" s="81">
        <v>44994</v>
      </c>
      <c r="J1003" s="73" t="s">
        <v>91</v>
      </c>
      <c r="K1003" s="19">
        <v>5</v>
      </c>
      <c r="L1003" s="20">
        <v>5</v>
      </c>
      <c r="M1003" s="17">
        <f t="shared" si="626"/>
        <v>10</v>
      </c>
      <c r="N1003" s="21">
        <v>20</v>
      </c>
      <c r="O1003" s="20"/>
      <c r="P1003" s="17">
        <f t="shared" si="627"/>
        <v>20</v>
      </c>
      <c r="Q1003" s="17">
        <f t="shared" si="628"/>
        <v>30</v>
      </c>
      <c r="R1003" s="81">
        <v>45000</v>
      </c>
      <c r="S1003" s="10"/>
      <c r="T1003" s="19"/>
      <c r="U1003" s="20"/>
      <c r="V1003" s="17">
        <f t="shared" si="629"/>
        <v>0</v>
      </c>
      <c r="W1003" s="21"/>
      <c r="X1003" s="20"/>
      <c r="Y1003" s="17">
        <f t="shared" si="630"/>
        <v>0</v>
      </c>
      <c r="Z1003" s="17">
        <f t="shared" si="631"/>
        <v>0</v>
      </c>
    </row>
    <row r="1004" spans="1:26" x14ac:dyDescent="0.15">
      <c r="A1004" s="35" t="s">
        <v>33</v>
      </c>
      <c r="B1004" s="15"/>
      <c r="C1004" s="16">
        <v>1</v>
      </c>
      <c r="D1004" s="36">
        <f t="shared" si="638"/>
        <v>1</v>
      </c>
      <c r="E1004" s="18"/>
      <c r="F1004" s="16"/>
      <c r="G1004" s="36">
        <f t="shared" si="639"/>
        <v>0</v>
      </c>
      <c r="H1004" s="17">
        <f t="shared" si="640"/>
        <v>1</v>
      </c>
      <c r="I1004" s="84">
        <v>44993</v>
      </c>
      <c r="J1004" s="73" t="s">
        <v>91</v>
      </c>
      <c r="K1004" s="19">
        <v>10</v>
      </c>
      <c r="L1004" s="20">
        <v>5</v>
      </c>
      <c r="M1004" s="17">
        <f t="shared" si="626"/>
        <v>15</v>
      </c>
      <c r="N1004" s="21">
        <v>10</v>
      </c>
      <c r="O1004" s="20">
        <v>10</v>
      </c>
      <c r="P1004" s="17">
        <f t="shared" si="627"/>
        <v>20</v>
      </c>
      <c r="Q1004" s="17">
        <f t="shared" si="628"/>
        <v>35</v>
      </c>
      <c r="R1004" s="81">
        <v>45009</v>
      </c>
      <c r="S1004" s="10"/>
      <c r="T1004" s="19"/>
      <c r="U1004" s="20"/>
      <c r="V1004" s="17">
        <f t="shared" si="629"/>
        <v>0</v>
      </c>
      <c r="W1004" s="21"/>
      <c r="X1004" s="20"/>
      <c r="Y1004" s="17">
        <f t="shared" si="630"/>
        <v>0</v>
      </c>
      <c r="Z1004" s="17">
        <f t="shared" si="631"/>
        <v>0</v>
      </c>
    </row>
    <row r="1005" spans="1:26" x14ac:dyDescent="0.15">
      <c r="A1005" s="35" t="s">
        <v>469</v>
      </c>
      <c r="B1005" s="15">
        <v>3</v>
      </c>
      <c r="C1005" s="16">
        <v>1</v>
      </c>
      <c r="D1005" s="36">
        <f t="shared" si="638"/>
        <v>4</v>
      </c>
      <c r="E1005" s="18">
        <v>3</v>
      </c>
      <c r="F1005" s="16">
        <v>1</v>
      </c>
      <c r="G1005" s="36">
        <f t="shared" si="639"/>
        <v>4</v>
      </c>
      <c r="H1005" s="17">
        <f t="shared" si="640"/>
        <v>8</v>
      </c>
      <c r="I1005" s="81">
        <v>44998</v>
      </c>
      <c r="J1005" s="73" t="s">
        <v>91</v>
      </c>
      <c r="K1005" s="19">
        <v>5</v>
      </c>
      <c r="L1005" s="20"/>
      <c r="M1005" s="17">
        <f t="shared" si="626"/>
        <v>5</v>
      </c>
      <c r="N1005" s="21">
        <v>10</v>
      </c>
      <c r="O1005" s="20">
        <v>5</v>
      </c>
      <c r="P1005" s="17">
        <f t="shared" si="627"/>
        <v>15</v>
      </c>
      <c r="Q1005" s="17">
        <f t="shared" si="628"/>
        <v>20</v>
      </c>
      <c r="R1005" s="81">
        <v>45020</v>
      </c>
      <c r="S1005" s="10"/>
      <c r="T1005" s="19"/>
      <c r="U1005" s="20"/>
      <c r="V1005" s="17">
        <f t="shared" si="629"/>
        <v>0</v>
      </c>
      <c r="W1005" s="21"/>
      <c r="X1005" s="20"/>
      <c r="Y1005" s="17">
        <f t="shared" si="630"/>
        <v>0</v>
      </c>
      <c r="Z1005" s="17">
        <f t="shared" si="631"/>
        <v>0</v>
      </c>
    </row>
    <row r="1006" spans="1:26" x14ac:dyDescent="0.15">
      <c r="A1006" s="35" t="s">
        <v>33</v>
      </c>
      <c r="B1006" s="15"/>
      <c r="C1006" s="16"/>
      <c r="D1006" s="36">
        <f t="shared" si="638"/>
        <v>0</v>
      </c>
      <c r="E1006" s="18">
        <v>2</v>
      </c>
      <c r="F1006" s="16"/>
      <c r="G1006" s="36">
        <f t="shared" si="639"/>
        <v>2</v>
      </c>
      <c r="H1006" s="17">
        <f t="shared" si="640"/>
        <v>2</v>
      </c>
      <c r="I1006" s="84">
        <v>44995</v>
      </c>
      <c r="J1006" s="35"/>
      <c r="K1006" s="19"/>
      <c r="L1006" s="20"/>
      <c r="M1006" s="17">
        <f t="shared" ref="M1006:M1009" si="641">SUM(K1006:L1006)</f>
        <v>0</v>
      </c>
      <c r="N1006" s="21"/>
      <c r="O1006" s="20"/>
      <c r="P1006" s="17">
        <f t="shared" ref="P1006:P1009" si="642">SUM(N1006:O1006)</f>
        <v>0</v>
      </c>
      <c r="Q1006" s="17">
        <f t="shared" ref="Q1006:Q1009" si="643">M1006+P1006</f>
        <v>0</v>
      </c>
      <c r="R1006" s="81"/>
      <c r="S1006" s="52"/>
      <c r="T1006" s="15"/>
      <c r="U1006" s="16"/>
      <c r="V1006" s="17">
        <f t="shared" si="629"/>
        <v>0</v>
      </c>
      <c r="W1006" s="18"/>
      <c r="X1006" s="16"/>
      <c r="Y1006" s="17">
        <f t="shared" si="630"/>
        <v>0</v>
      </c>
      <c r="Z1006" s="17">
        <f t="shared" si="631"/>
        <v>0</v>
      </c>
    </row>
    <row r="1007" spans="1:26" x14ac:dyDescent="0.15">
      <c r="A1007" s="35" t="s">
        <v>472</v>
      </c>
      <c r="B1007" s="15"/>
      <c r="C1007" s="16">
        <v>3</v>
      </c>
      <c r="D1007" s="36">
        <f t="shared" si="638"/>
        <v>3</v>
      </c>
      <c r="E1007" s="18"/>
      <c r="F1007" s="16">
        <v>3</v>
      </c>
      <c r="G1007" s="36">
        <f t="shared" si="639"/>
        <v>3</v>
      </c>
      <c r="H1007" s="17">
        <f t="shared" si="640"/>
        <v>6</v>
      </c>
      <c r="I1007" s="81">
        <v>44999</v>
      </c>
      <c r="J1007" s="35"/>
      <c r="K1007" s="19"/>
      <c r="L1007" s="20"/>
      <c r="M1007" s="17">
        <f t="shared" si="641"/>
        <v>0</v>
      </c>
      <c r="N1007" s="21"/>
      <c r="O1007" s="20"/>
      <c r="P1007" s="17">
        <f t="shared" si="642"/>
        <v>0</v>
      </c>
      <c r="Q1007" s="17">
        <f t="shared" si="643"/>
        <v>0</v>
      </c>
      <c r="R1007" s="81"/>
      <c r="S1007" s="10"/>
      <c r="T1007" s="15"/>
      <c r="U1007" s="16"/>
      <c r="V1007" s="17">
        <f t="shared" si="629"/>
        <v>0</v>
      </c>
      <c r="W1007" s="18"/>
      <c r="X1007" s="16"/>
      <c r="Y1007" s="17">
        <f t="shared" si="630"/>
        <v>0</v>
      </c>
      <c r="Z1007" s="17">
        <f t="shared" si="631"/>
        <v>0</v>
      </c>
    </row>
    <row r="1008" spans="1:26" x14ac:dyDescent="0.15">
      <c r="A1008" s="35" t="s">
        <v>283</v>
      </c>
      <c r="B1008" s="15">
        <v>3</v>
      </c>
      <c r="C1008" s="16"/>
      <c r="D1008" s="36">
        <f t="shared" si="638"/>
        <v>3</v>
      </c>
      <c r="E1008" s="18"/>
      <c r="F1008" s="16"/>
      <c r="G1008" s="36">
        <f t="shared" si="639"/>
        <v>0</v>
      </c>
      <c r="H1008" s="17">
        <f t="shared" si="640"/>
        <v>3</v>
      </c>
      <c r="I1008" s="81">
        <v>45000</v>
      </c>
      <c r="J1008" s="35"/>
      <c r="K1008" s="19"/>
      <c r="L1008" s="20"/>
      <c r="M1008" s="17">
        <f t="shared" si="641"/>
        <v>0</v>
      </c>
      <c r="N1008" s="21"/>
      <c r="O1008" s="20"/>
      <c r="P1008" s="17">
        <f t="shared" si="642"/>
        <v>0</v>
      </c>
      <c r="Q1008" s="17">
        <f t="shared" si="643"/>
        <v>0</v>
      </c>
      <c r="R1008" s="81"/>
      <c r="S1008" s="10"/>
      <c r="T1008" s="15"/>
      <c r="U1008" s="16"/>
      <c r="V1008" s="36">
        <f t="shared" si="629"/>
        <v>0</v>
      </c>
      <c r="W1008" s="18"/>
      <c r="X1008" s="16"/>
      <c r="Y1008" s="36">
        <f t="shared" si="630"/>
        <v>0</v>
      </c>
      <c r="Z1008" s="17">
        <f t="shared" si="631"/>
        <v>0</v>
      </c>
    </row>
    <row r="1009" spans="1:26" x14ac:dyDescent="0.15">
      <c r="A1009" s="35" t="s">
        <v>33</v>
      </c>
      <c r="B1009" s="15"/>
      <c r="C1009" s="16">
        <v>1</v>
      </c>
      <c r="D1009" s="36">
        <f t="shared" si="638"/>
        <v>1</v>
      </c>
      <c r="E1009" s="18">
        <f>2+1+3</f>
        <v>6</v>
      </c>
      <c r="F1009" s="16"/>
      <c r="G1009" s="36">
        <f t="shared" si="639"/>
        <v>6</v>
      </c>
      <c r="H1009" s="17">
        <f t="shared" si="640"/>
        <v>7</v>
      </c>
      <c r="I1009" s="84">
        <v>44998</v>
      </c>
      <c r="J1009" s="35"/>
      <c r="K1009" s="19"/>
      <c r="L1009" s="20"/>
      <c r="M1009" s="17">
        <f t="shared" si="641"/>
        <v>0</v>
      </c>
      <c r="N1009" s="21"/>
      <c r="O1009" s="20"/>
      <c r="P1009" s="17">
        <f t="shared" si="642"/>
        <v>0</v>
      </c>
      <c r="Q1009" s="17">
        <f t="shared" si="643"/>
        <v>0</v>
      </c>
      <c r="R1009" s="81"/>
      <c r="S1009" s="10"/>
      <c r="T1009" s="15"/>
      <c r="U1009" s="16"/>
      <c r="V1009" s="36">
        <f t="shared" si="629"/>
        <v>0</v>
      </c>
      <c r="W1009" s="18"/>
      <c r="X1009" s="16"/>
      <c r="Y1009" s="36">
        <f t="shared" si="630"/>
        <v>0</v>
      </c>
      <c r="Z1009" s="17">
        <f t="shared" si="631"/>
        <v>0</v>
      </c>
    </row>
    <row r="1010" spans="1:26" x14ac:dyDescent="0.15">
      <c r="A1010" s="35" t="s">
        <v>33</v>
      </c>
      <c r="B1010" s="15"/>
      <c r="C1010" s="16"/>
      <c r="D1010" s="36">
        <f t="shared" si="638"/>
        <v>0</v>
      </c>
      <c r="E1010" s="18">
        <v>5</v>
      </c>
      <c r="F1010" s="16"/>
      <c r="G1010" s="36">
        <f t="shared" si="639"/>
        <v>5</v>
      </c>
      <c r="H1010" s="17">
        <f t="shared" si="640"/>
        <v>5</v>
      </c>
      <c r="I1010" s="84">
        <v>44999</v>
      </c>
      <c r="J1010" s="35"/>
      <c r="K1010" s="19"/>
      <c r="L1010" s="20"/>
      <c r="M1010" s="17">
        <f t="shared" si="626"/>
        <v>0</v>
      </c>
      <c r="N1010" s="21"/>
      <c r="O1010" s="20"/>
      <c r="P1010" s="17">
        <f t="shared" si="627"/>
        <v>0</v>
      </c>
      <c r="Q1010" s="17">
        <f t="shared" si="628"/>
        <v>0</v>
      </c>
      <c r="R1010" s="81"/>
      <c r="S1010" s="52"/>
      <c r="T1010" s="15"/>
      <c r="U1010" s="16"/>
      <c r="V1010" s="36">
        <f t="shared" si="629"/>
        <v>0</v>
      </c>
      <c r="W1010" s="18"/>
      <c r="X1010" s="16"/>
      <c r="Y1010" s="36">
        <f t="shared" si="630"/>
        <v>0</v>
      </c>
      <c r="Z1010" s="17">
        <f t="shared" si="631"/>
        <v>0</v>
      </c>
    </row>
    <row r="1011" spans="1:26" x14ac:dyDescent="0.15">
      <c r="A1011" s="35" t="s">
        <v>33</v>
      </c>
      <c r="B1011" s="15"/>
      <c r="C1011" s="16"/>
      <c r="D1011" s="36">
        <f t="shared" si="638"/>
        <v>0</v>
      </c>
      <c r="E1011" s="18">
        <f>1+2</f>
        <v>3</v>
      </c>
      <c r="F1011" s="16"/>
      <c r="G1011" s="36">
        <f t="shared" si="639"/>
        <v>3</v>
      </c>
      <c r="H1011" s="17">
        <f t="shared" si="640"/>
        <v>3</v>
      </c>
      <c r="I1011" s="84">
        <v>45000</v>
      </c>
      <c r="J1011" s="35"/>
      <c r="K1011" s="19"/>
      <c r="L1011" s="20"/>
      <c r="M1011" s="17">
        <f t="shared" si="626"/>
        <v>0</v>
      </c>
      <c r="N1011" s="21"/>
      <c r="O1011" s="20"/>
      <c r="P1011" s="17">
        <f t="shared" si="627"/>
        <v>0</v>
      </c>
      <c r="Q1011" s="17">
        <f t="shared" si="628"/>
        <v>0</v>
      </c>
      <c r="R1011" s="81"/>
      <c r="S1011" s="10"/>
      <c r="T1011" s="19"/>
      <c r="U1011" s="20"/>
      <c r="V1011" s="17">
        <f t="shared" si="629"/>
        <v>0</v>
      </c>
      <c r="W1011" s="21"/>
      <c r="X1011" s="20"/>
      <c r="Y1011" s="17">
        <f t="shared" si="630"/>
        <v>0</v>
      </c>
      <c r="Z1011" s="17">
        <f t="shared" si="631"/>
        <v>0</v>
      </c>
    </row>
    <row r="1012" spans="1:26" x14ac:dyDescent="0.15">
      <c r="A1012" s="35" t="s">
        <v>33</v>
      </c>
      <c r="B1012" s="15">
        <v>2</v>
      </c>
      <c r="C1012" s="16"/>
      <c r="D1012" s="36">
        <f t="shared" si="638"/>
        <v>2</v>
      </c>
      <c r="E1012" s="18"/>
      <c r="F1012" s="16"/>
      <c r="G1012" s="36">
        <f t="shared" si="639"/>
        <v>0</v>
      </c>
      <c r="H1012" s="17">
        <f t="shared" si="640"/>
        <v>2</v>
      </c>
      <c r="I1012" s="84">
        <v>45001</v>
      </c>
      <c r="J1012" s="52"/>
      <c r="K1012" s="23"/>
      <c r="L1012" s="24"/>
      <c r="M1012" s="36">
        <f t="shared" si="626"/>
        <v>0</v>
      </c>
      <c r="N1012" s="25"/>
      <c r="O1012" s="24"/>
      <c r="P1012" s="36">
        <f t="shared" si="627"/>
        <v>0</v>
      </c>
      <c r="Q1012" s="17">
        <f t="shared" si="628"/>
        <v>0</v>
      </c>
      <c r="R1012" s="81"/>
      <c r="S1012" s="35"/>
      <c r="T1012" s="23"/>
      <c r="U1012" s="24"/>
      <c r="V1012" s="36">
        <f t="shared" si="629"/>
        <v>0</v>
      </c>
      <c r="W1012" s="25"/>
      <c r="X1012" s="24"/>
      <c r="Y1012" s="36">
        <f t="shared" si="630"/>
        <v>0</v>
      </c>
      <c r="Z1012" s="17">
        <f t="shared" si="631"/>
        <v>0</v>
      </c>
    </row>
    <row r="1013" spans="1:26" x14ac:dyDescent="0.15">
      <c r="A1013" s="35" t="s">
        <v>33</v>
      </c>
      <c r="B1013" s="15"/>
      <c r="C1013" s="16"/>
      <c r="D1013" s="36">
        <f t="shared" si="638"/>
        <v>0</v>
      </c>
      <c r="E1013" s="18">
        <v>1</v>
      </c>
      <c r="F1013" s="16"/>
      <c r="G1013" s="36">
        <f t="shared" si="639"/>
        <v>1</v>
      </c>
      <c r="H1013" s="17">
        <f t="shared" si="640"/>
        <v>1</v>
      </c>
      <c r="I1013" s="84">
        <v>45002</v>
      </c>
      <c r="J1013" s="52"/>
      <c r="K1013" s="15"/>
      <c r="L1013" s="16"/>
      <c r="M1013" s="36">
        <f t="shared" si="626"/>
        <v>0</v>
      </c>
      <c r="N1013" s="18"/>
      <c r="O1013" s="16"/>
      <c r="P1013" s="36">
        <f t="shared" si="627"/>
        <v>0</v>
      </c>
      <c r="Q1013" s="17">
        <f t="shared" si="628"/>
        <v>0</v>
      </c>
      <c r="R1013" s="81"/>
      <c r="S1013" s="35"/>
      <c r="T1013" s="15"/>
      <c r="U1013" s="16"/>
      <c r="V1013" s="36">
        <f t="shared" si="629"/>
        <v>0</v>
      </c>
      <c r="W1013" s="18"/>
      <c r="X1013" s="16"/>
      <c r="Y1013" s="36">
        <f t="shared" si="630"/>
        <v>0</v>
      </c>
      <c r="Z1013" s="17">
        <f t="shared" si="631"/>
        <v>0</v>
      </c>
    </row>
    <row r="1014" spans="1:26" x14ac:dyDescent="0.15">
      <c r="A1014" s="35" t="s">
        <v>473</v>
      </c>
      <c r="B1014" s="15">
        <v>2</v>
      </c>
      <c r="C1014" s="16"/>
      <c r="D1014" s="36">
        <f t="shared" si="638"/>
        <v>2</v>
      </c>
      <c r="E1014" s="18">
        <v>2</v>
      </c>
      <c r="F1014" s="16"/>
      <c r="G1014" s="36">
        <f t="shared" si="639"/>
        <v>2</v>
      </c>
      <c r="H1014" s="17">
        <f t="shared" si="640"/>
        <v>4</v>
      </c>
      <c r="I1014" s="81">
        <v>45007</v>
      </c>
      <c r="J1014" s="52"/>
      <c r="K1014" s="15"/>
      <c r="L1014" s="16"/>
      <c r="M1014" s="36">
        <f t="shared" si="626"/>
        <v>0</v>
      </c>
      <c r="N1014" s="18"/>
      <c r="O1014" s="16"/>
      <c r="P1014" s="36">
        <f t="shared" si="627"/>
        <v>0</v>
      </c>
      <c r="Q1014" s="17">
        <f t="shared" si="628"/>
        <v>0</v>
      </c>
      <c r="R1014" s="81"/>
      <c r="S1014" s="35"/>
      <c r="T1014" s="15"/>
      <c r="U1014" s="16"/>
      <c r="V1014" s="36">
        <f t="shared" si="629"/>
        <v>0</v>
      </c>
      <c r="W1014" s="18"/>
      <c r="X1014" s="16"/>
      <c r="Y1014" s="36">
        <f t="shared" si="630"/>
        <v>0</v>
      </c>
      <c r="Z1014" s="17">
        <f t="shared" si="631"/>
        <v>0</v>
      </c>
    </row>
    <row r="1015" spans="1:26" x14ac:dyDescent="0.15">
      <c r="A1015" s="35" t="s">
        <v>33</v>
      </c>
      <c r="B1015" s="15">
        <v>1</v>
      </c>
      <c r="C1015" s="16">
        <v>1</v>
      </c>
      <c r="D1015" s="36">
        <f t="shared" si="638"/>
        <v>2</v>
      </c>
      <c r="E1015" s="18">
        <v>4</v>
      </c>
      <c r="F1015" s="16">
        <v>4</v>
      </c>
      <c r="G1015" s="36">
        <f t="shared" si="639"/>
        <v>8</v>
      </c>
      <c r="H1015" s="17">
        <f t="shared" si="640"/>
        <v>10</v>
      </c>
      <c r="I1015" s="84">
        <v>45005</v>
      </c>
      <c r="J1015" s="35"/>
      <c r="K1015" s="15"/>
      <c r="L1015" s="16"/>
      <c r="M1015" s="36">
        <f t="shared" si="626"/>
        <v>0</v>
      </c>
      <c r="N1015" s="18"/>
      <c r="O1015" s="16"/>
      <c r="P1015" s="36">
        <f t="shared" si="627"/>
        <v>0</v>
      </c>
      <c r="Q1015" s="17">
        <f t="shared" si="628"/>
        <v>0</v>
      </c>
      <c r="R1015" s="81"/>
      <c r="S1015" s="35"/>
      <c r="T1015" s="15"/>
      <c r="U1015" s="16"/>
      <c r="V1015" s="36">
        <f t="shared" si="629"/>
        <v>0</v>
      </c>
      <c r="W1015" s="18"/>
      <c r="X1015" s="16"/>
      <c r="Y1015" s="36">
        <f t="shared" si="630"/>
        <v>0</v>
      </c>
      <c r="Z1015" s="17">
        <f t="shared" si="631"/>
        <v>0</v>
      </c>
    </row>
    <row r="1016" spans="1:26" x14ac:dyDescent="0.15">
      <c r="A1016" s="35" t="s">
        <v>33</v>
      </c>
      <c r="B1016" s="15">
        <f>1+1</f>
        <v>2</v>
      </c>
      <c r="C1016" s="16">
        <v>2</v>
      </c>
      <c r="D1016" s="36">
        <f t="shared" si="638"/>
        <v>4</v>
      </c>
      <c r="E1016" s="18">
        <f>1+1</f>
        <v>2</v>
      </c>
      <c r="F1016" s="16">
        <f>1+2</f>
        <v>3</v>
      </c>
      <c r="G1016" s="36">
        <f t="shared" si="639"/>
        <v>5</v>
      </c>
      <c r="H1016" s="17">
        <f t="shared" si="640"/>
        <v>9</v>
      </c>
      <c r="I1016" s="84">
        <v>45007</v>
      </c>
      <c r="J1016" s="35"/>
      <c r="K1016" s="15"/>
      <c r="L1016" s="16"/>
      <c r="M1016" s="17">
        <f t="shared" si="626"/>
        <v>0</v>
      </c>
      <c r="N1016" s="18"/>
      <c r="O1016" s="16"/>
      <c r="P1016" s="17">
        <f t="shared" si="627"/>
        <v>0</v>
      </c>
      <c r="Q1016" s="17">
        <f t="shared" si="628"/>
        <v>0</v>
      </c>
      <c r="R1016" s="81"/>
      <c r="S1016" s="10"/>
      <c r="T1016" s="15"/>
      <c r="U1016" s="16"/>
      <c r="V1016" s="17">
        <f t="shared" si="629"/>
        <v>0</v>
      </c>
      <c r="W1016" s="18"/>
      <c r="X1016" s="16"/>
      <c r="Y1016" s="17">
        <f t="shared" si="630"/>
        <v>0</v>
      </c>
      <c r="Z1016" s="17">
        <f t="shared" si="631"/>
        <v>0</v>
      </c>
    </row>
    <row r="1017" spans="1:26" x14ac:dyDescent="0.15">
      <c r="A1017" s="35" t="s">
        <v>33</v>
      </c>
      <c r="B1017" s="15"/>
      <c r="C1017" s="16"/>
      <c r="D1017" s="36">
        <f t="shared" si="638"/>
        <v>0</v>
      </c>
      <c r="E1017" s="18"/>
      <c r="F1017" s="16">
        <v>2</v>
      </c>
      <c r="G1017" s="36">
        <f t="shared" si="639"/>
        <v>2</v>
      </c>
      <c r="H1017" s="17">
        <f t="shared" si="640"/>
        <v>2</v>
      </c>
      <c r="I1017" s="81">
        <v>45008</v>
      </c>
      <c r="J1017" s="52"/>
      <c r="K1017" s="15"/>
      <c r="L1017" s="16"/>
      <c r="M1017" s="17">
        <f t="shared" si="626"/>
        <v>0</v>
      </c>
      <c r="N1017" s="18"/>
      <c r="O1017" s="16"/>
      <c r="P1017" s="17">
        <f t="shared" si="627"/>
        <v>0</v>
      </c>
      <c r="Q1017" s="17">
        <f t="shared" si="628"/>
        <v>0</v>
      </c>
      <c r="R1017" s="81"/>
      <c r="S1017" s="35"/>
      <c r="T1017" s="15"/>
      <c r="U1017" s="16"/>
      <c r="V1017" s="36">
        <f t="shared" si="629"/>
        <v>0</v>
      </c>
      <c r="W1017" s="18"/>
      <c r="X1017" s="16"/>
      <c r="Y1017" s="36">
        <f t="shared" si="630"/>
        <v>0</v>
      </c>
      <c r="Z1017" s="17">
        <f t="shared" si="631"/>
        <v>0</v>
      </c>
    </row>
    <row r="1018" spans="1:26" x14ac:dyDescent="0.15">
      <c r="A1018" s="35" t="s">
        <v>474</v>
      </c>
      <c r="B1018" s="15">
        <v>3</v>
      </c>
      <c r="C1018" s="16"/>
      <c r="D1018" s="36">
        <f t="shared" si="638"/>
        <v>3</v>
      </c>
      <c r="E1018" s="18">
        <v>3</v>
      </c>
      <c r="F1018" s="16"/>
      <c r="G1018" s="36">
        <f t="shared" si="639"/>
        <v>3</v>
      </c>
      <c r="H1018" s="17">
        <f t="shared" si="640"/>
        <v>6</v>
      </c>
      <c r="I1018" s="81">
        <v>45012</v>
      </c>
      <c r="J1018" s="35"/>
      <c r="K1018" s="15"/>
      <c r="L1018" s="16"/>
      <c r="M1018" s="36">
        <f t="shared" si="626"/>
        <v>0</v>
      </c>
      <c r="N1018" s="18"/>
      <c r="O1018" s="16"/>
      <c r="P1018" s="36">
        <f t="shared" si="627"/>
        <v>0</v>
      </c>
      <c r="Q1018" s="17">
        <f t="shared" si="628"/>
        <v>0</v>
      </c>
      <c r="R1018" s="81"/>
      <c r="S1018" s="37"/>
      <c r="T1018" s="15"/>
      <c r="U1018" s="16"/>
      <c r="V1018" s="36">
        <f t="shared" si="629"/>
        <v>0</v>
      </c>
      <c r="W1018" s="18"/>
      <c r="X1018" s="16"/>
      <c r="Y1018" s="36">
        <f t="shared" si="630"/>
        <v>0</v>
      </c>
      <c r="Z1018" s="17">
        <f t="shared" si="631"/>
        <v>0</v>
      </c>
    </row>
    <row r="1019" spans="1:26" x14ac:dyDescent="0.15">
      <c r="A1019" s="35" t="s">
        <v>475</v>
      </c>
      <c r="B1019" s="15">
        <v>1</v>
      </c>
      <c r="C1019" s="16"/>
      <c r="D1019" s="36">
        <f t="shared" si="638"/>
        <v>1</v>
      </c>
      <c r="E1019" s="18">
        <v>1</v>
      </c>
      <c r="F1019" s="16"/>
      <c r="G1019" s="36">
        <f t="shared" si="639"/>
        <v>1</v>
      </c>
      <c r="H1019" s="17">
        <f t="shared" si="640"/>
        <v>2</v>
      </c>
      <c r="I1019" s="81">
        <v>45013</v>
      </c>
      <c r="J1019" s="35"/>
      <c r="K1019" s="15"/>
      <c r="L1019" s="16"/>
      <c r="M1019" s="36">
        <f t="shared" si="626"/>
        <v>0</v>
      </c>
      <c r="N1019" s="18"/>
      <c r="O1019" s="16"/>
      <c r="P1019" s="36">
        <f t="shared" si="627"/>
        <v>0</v>
      </c>
      <c r="Q1019" s="17">
        <f t="shared" si="628"/>
        <v>0</v>
      </c>
      <c r="R1019" s="81"/>
      <c r="S1019" s="37"/>
      <c r="T1019" s="15"/>
      <c r="U1019" s="16"/>
      <c r="V1019" s="36">
        <f t="shared" si="629"/>
        <v>0</v>
      </c>
      <c r="W1019" s="18"/>
      <c r="X1019" s="16"/>
      <c r="Y1019" s="36">
        <f t="shared" si="630"/>
        <v>0</v>
      </c>
      <c r="Z1019" s="17">
        <f t="shared" si="631"/>
        <v>0</v>
      </c>
    </row>
    <row r="1020" spans="1:26" x14ac:dyDescent="0.15">
      <c r="A1020" s="35" t="s">
        <v>33</v>
      </c>
      <c r="B1020" s="15">
        <v>1</v>
      </c>
      <c r="C1020" s="16"/>
      <c r="D1020" s="36">
        <f t="shared" si="638"/>
        <v>1</v>
      </c>
      <c r="E1020" s="18">
        <v>3</v>
      </c>
      <c r="F1020" s="16">
        <f>2+2</f>
        <v>4</v>
      </c>
      <c r="G1020" s="36">
        <f t="shared" si="639"/>
        <v>7</v>
      </c>
      <c r="H1020" s="17">
        <f t="shared" si="640"/>
        <v>8</v>
      </c>
      <c r="I1020" s="84">
        <v>45012</v>
      </c>
      <c r="J1020" s="52"/>
      <c r="K1020" s="15"/>
      <c r="L1020" s="16"/>
      <c r="M1020" s="36">
        <f t="shared" si="626"/>
        <v>0</v>
      </c>
      <c r="N1020" s="18"/>
      <c r="O1020" s="16"/>
      <c r="P1020" s="36">
        <f t="shared" si="627"/>
        <v>0</v>
      </c>
      <c r="Q1020" s="17">
        <f t="shared" si="628"/>
        <v>0</v>
      </c>
      <c r="R1020" s="81"/>
      <c r="S1020" s="35"/>
      <c r="T1020" s="15"/>
      <c r="U1020" s="16"/>
      <c r="V1020" s="36">
        <f t="shared" si="629"/>
        <v>0</v>
      </c>
      <c r="W1020" s="18"/>
      <c r="X1020" s="16"/>
      <c r="Y1020" s="36">
        <f t="shared" si="630"/>
        <v>0</v>
      </c>
      <c r="Z1020" s="17">
        <f t="shared" si="631"/>
        <v>0</v>
      </c>
    </row>
    <row r="1021" spans="1:26" x14ac:dyDescent="0.15">
      <c r="A1021" s="35" t="s">
        <v>33</v>
      </c>
      <c r="B1021" s="15"/>
      <c r="C1021" s="16"/>
      <c r="D1021" s="36">
        <f t="shared" si="638"/>
        <v>0</v>
      </c>
      <c r="E1021" s="18">
        <v>2</v>
      </c>
      <c r="F1021" s="16"/>
      <c r="G1021" s="36">
        <f t="shared" si="639"/>
        <v>2</v>
      </c>
      <c r="H1021" s="17">
        <f t="shared" si="640"/>
        <v>2</v>
      </c>
      <c r="I1021" s="84">
        <v>45014</v>
      </c>
      <c r="J1021" s="35"/>
      <c r="K1021" s="15"/>
      <c r="L1021" s="16"/>
      <c r="M1021" s="36">
        <f t="shared" si="626"/>
        <v>0</v>
      </c>
      <c r="N1021" s="18"/>
      <c r="O1021" s="16"/>
      <c r="P1021" s="36">
        <f t="shared" si="627"/>
        <v>0</v>
      </c>
      <c r="Q1021" s="17">
        <f t="shared" si="628"/>
        <v>0</v>
      </c>
      <c r="R1021" s="81"/>
      <c r="S1021" s="38"/>
      <c r="T1021" s="15"/>
      <c r="U1021" s="16"/>
      <c r="V1021" s="36">
        <f t="shared" si="629"/>
        <v>0</v>
      </c>
      <c r="W1021" s="18"/>
      <c r="X1021" s="16"/>
      <c r="Y1021" s="36">
        <f t="shared" si="630"/>
        <v>0</v>
      </c>
      <c r="Z1021" s="17">
        <f t="shared" si="631"/>
        <v>0</v>
      </c>
    </row>
    <row r="1022" spans="1:26" x14ac:dyDescent="0.15">
      <c r="A1022" s="35" t="s">
        <v>476</v>
      </c>
      <c r="B1022" s="15"/>
      <c r="C1022" s="16">
        <v>1</v>
      </c>
      <c r="D1022" s="36">
        <f t="shared" si="638"/>
        <v>1</v>
      </c>
      <c r="E1022" s="18"/>
      <c r="F1022" s="16">
        <v>1</v>
      </c>
      <c r="G1022" s="36">
        <f t="shared" si="639"/>
        <v>1</v>
      </c>
      <c r="H1022" s="17">
        <f t="shared" si="640"/>
        <v>2</v>
      </c>
      <c r="I1022" s="81">
        <v>45019</v>
      </c>
      <c r="J1022" s="35"/>
      <c r="K1022" s="15"/>
      <c r="L1022" s="16"/>
      <c r="M1022" s="36">
        <f t="shared" si="626"/>
        <v>0</v>
      </c>
      <c r="N1022" s="18"/>
      <c r="O1022" s="16"/>
      <c r="P1022" s="36">
        <f t="shared" si="627"/>
        <v>0</v>
      </c>
      <c r="Q1022" s="17">
        <f t="shared" si="628"/>
        <v>0</v>
      </c>
      <c r="S1022" s="35"/>
      <c r="T1022" s="15"/>
      <c r="U1022" s="16"/>
      <c r="V1022" s="36">
        <f t="shared" si="629"/>
        <v>0</v>
      </c>
      <c r="W1022" s="18"/>
      <c r="X1022" s="16"/>
      <c r="Y1022" s="36">
        <f t="shared" si="630"/>
        <v>0</v>
      </c>
      <c r="Z1022" s="17">
        <f t="shared" si="631"/>
        <v>0</v>
      </c>
    </row>
    <row r="1023" spans="1:26" x14ac:dyDescent="0.15">
      <c r="A1023" s="35" t="s">
        <v>33</v>
      </c>
      <c r="B1023" s="15"/>
      <c r="C1023" s="16"/>
      <c r="D1023" s="36">
        <f t="shared" si="638"/>
        <v>0</v>
      </c>
      <c r="E1023" s="18"/>
      <c r="F1023" s="16">
        <v>1</v>
      </c>
      <c r="G1023" s="36">
        <f t="shared" si="639"/>
        <v>1</v>
      </c>
      <c r="H1023" s="17">
        <f t="shared" si="640"/>
        <v>1</v>
      </c>
      <c r="I1023" s="84">
        <v>45016</v>
      </c>
      <c r="J1023" s="38"/>
      <c r="K1023" s="15"/>
      <c r="L1023" s="16"/>
      <c r="M1023" s="36">
        <f t="shared" si="626"/>
        <v>0</v>
      </c>
      <c r="N1023" s="18"/>
      <c r="O1023" s="16"/>
      <c r="P1023" s="36">
        <f t="shared" si="627"/>
        <v>0</v>
      </c>
      <c r="Q1023" s="17">
        <f t="shared" si="628"/>
        <v>0</v>
      </c>
      <c r="R1023" s="83"/>
      <c r="S1023" s="38"/>
      <c r="T1023" s="15"/>
      <c r="U1023" s="16"/>
      <c r="V1023" s="36">
        <f t="shared" si="629"/>
        <v>0</v>
      </c>
      <c r="W1023" s="18"/>
      <c r="X1023" s="16"/>
      <c r="Y1023" s="36">
        <f t="shared" si="630"/>
        <v>0</v>
      </c>
      <c r="Z1023" s="17">
        <f t="shared" si="631"/>
        <v>0</v>
      </c>
    </row>
    <row r="1024" spans="1:26" x14ac:dyDescent="0.15">
      <c r="A1024" s="35" t="s">
        <v>33</v>
      </c>
      <c r="B1024" s="15">
        <v>2</v>
      </c>
      <c r="C1024" s="16"/>
      <c r="D1024" s="36">
        <f t="shared" si="638"/>
        <v>2</v>
      </c>
      <c r="E1024" s="18">
        <v>1</v>
      </c>
      <c r="F1024" s="16"/>
      <c r="G1024" s="36">
        <f t="shared" si="639"/>
        <v>1</v>
      </c>
      <c r="H1024" s="17">
        <f t="shared" si="640"/>
        <v>3</v>
      </c>
      <c r="I1024" s="84">
        <v>45017</v>
      </c>
      <c r="J1024" s="35"/>
      <c r="K1024" s="15"/>
      <c r="L1024" s="16"/>
      <c r="M1024" s="36">
        <f t="shared" si="626"/>
        <v>0</v>
      </c>
      <c r="N1024" s="18"/>
      <c r="O1024" s="16"/>
      <c r="P1024" s="36">
        <f t="shared" si="627"/>
        <v>0</v>
      </c>
      <c r="Q1024" s="17">
        <f t="shared" si="628"/>
        <v>0</v>
      </c>
      <c r="R1024" s="83"/>
      <c r="S1024" s="35"/>
      <c r="T1024" s="15"/>
      <c r="U1024" s="16"/>
      <c r="V1024" s="36">
        <f t="shared" si="629"/>
        <v>0</v>
      </c>
      <c r="W1024" s="18"/>
      <c r="X1024" s="16"/>
      <c r="Y1024" s="36">
        <f t="shared" si="630"/>
        <v>0</v>
      </c>
      <c r="Z1024" s="17">
        <f t="shared" si="631"/>
        <v>0</v>
      </c>
    </row>
    <row r="1025" spans="1:26" x14ac:dyDescent="0.15">
      <c r="A1025" s="35" t="s">
        <v>33</v>
      </c>
      <c r="B1025" s="15">
        <v>2</v>
      </c>
      <c r="C1025" s="16"/>
      <c r="D1025" s="36">
        <f t="shared" si="638"/>
        <v>2</v>
      </c>
      <c r="E1025" s="18">
        <v>2</v>
      </c>
      <c r="F1025" s="16"/>
      <c r="G1025" s="36">
        <f t="shared" si="639"/>
        <v>2</v>
      </c>
      <c r="H1025" s="17">
        <f t="shared" si="640"/>
        <v>4</v>
      </c>
      <c r="I1025" s="84">
        <v>45019</v>
      </c>
      <c r="J1025" s="35"/>
      <c r="K1025" s="15"/>
      <c r="L1025" s="16"/>
      <c r="M1025" s="36">
        <f t="shared" si="626"/>
        <v>0</v>
      </c>
      <c r="N1025" s="18"/>
      <c r="O1025" s="16"/>
      <c r="P1025" s="36">
        <f t="shared" si="627"/>
        <v>0</v>
      </c>
      <c r="Q1025" s="17">
        <f t="shared" si="628"/>
        <v>0</v>
      </c>
      <c r="R1025" s="81"/>
      <c r="S1025" s="35"/>
      <c r="T1025" s="15"/>
      <c r="U1025" s="16"/>
      <c r="V1025" s="36">
        <f t="shared" si="629"/>
        <v>0</v>
      </c>
      <c r="W1025" s="18"/>
      <c r="X1025" s="16"/>
      <c r="Y1025" s="36">
        <f t="shared" si="630"/>
        <v>0</v>
      </c>
      <c r="Z1025" s="17">
        <f t="shared" si="631"/>
        <v>0</v>
      </c>
    </row>
    <row r="1026" spans="1:26" x14ac:dyDescent="0.15">
      <c r="A1026" s="35" t="s">
        <v>479</v>
      </c>
      <c r="B1026" s="15">
        <v>1</v>
      </c>
      <c r="C1026" s="16"/>
      <c r="D1026" s="36">
        <f t="shared" si="638"/>
        <v>1</v>
      </c>
      <c r="E1026" s="18">
        <v>1</v>
      </c>
      <c r="F1026" s="16"/>
      <c r="G1026" s="36">
        <f t="shared" si="639"/>
        <v>1</v>
      </c>
      <c r="H1026" s="17">
        <f t="shared" si="640"/>
        <v>2</v>
      </c>
      <c r="I1026" s="81">
        <v>45022</v>
      </c>
      <c r="J1026" s="35"/>
      <c r="K1026" s="15"/>
      <c r="L1026" s="16"/>
      <c r="M1026" s="36">
        <f t="shared" ref="M1026" si="644">SUM(K1026:L1026)</f>
        <v>0</v>
      </c>
      <c r="N1026" s="18"/>
      <c r="O1026" s="16"/>
      <c r="P1026" s="36">
        <f t="shared" ref="P1026" si="645">SUM(N1026:O1026)</f>
        <v>0</v>
      </c>
      <c r="Q1026" s="17">
        <f t="shared" ref="Q1026" si="646">M1026+P1026</f>
        <v>0</v>
      </c>
      <c r="R1026" s="81"/>
      <c r="S1026" s="35"/>
      <c r="T1026" s="15"/>
      <c r="U1026" s="16"/>
      <c r="V1026" s="36">
        <f t="shared" si="629"/>
        <v>0</v>
      </c>
      <c r="W1026" s="18"/>
      <c r="X1026" s="16"/>
      <c r="Y1026" s="36">
        <f t="shared" si="630"/>
        <v>0</v>
      </c>
      <c r="Z1026" s="17">
        <f t="shared" si="631"/>
        <v>0</v>
      </c>
    </row>
    <row r="1027" spans="1:26" x14ac:dyDescent="0.15">
      <c r="A1027" s="35" t="s">
        <v>480</v>
      </c>
      <c r="B1027" s="15">
        <v>6</v>
      </c>
      <c r="C1027" s="16">
        <v>6</v>
      </c>
      <c r="D1027" s="36">
        <f t="shared" si="623"/>
        <v>12</v>
      </c>
      <c r="E1027" s="18">
        <v>6</v>
      </c>
      <c r="F1027" s="16">
        <v>6</v>
      </c>
      <c r="G1027" s="36">
        <f t="shared" si="624"/>
        <v>12</v>
      </c>
      <c r="H1027" s="17">
        <f t="shared" si="625"/>
        <v>24</v>
      </c>
      <c r="I1027" s="81">
        <v>45023</v>
      </c>
      <c r="J1027" s="35"/>
      <c r="K1027" s="15"/>
      <c r="L1027" s="16"/>
      <c r="M1027" s="36">
        <f t="shared" ref="M1027:M1028" si="647">SUM(K1027:L1027)</f>
        <v>0</v>
      </c>
      <c r="N1027" s="18"/>
      <c r="O1027" s="16"/>
      <c r="P1027" s="36">
        <f t="shared" ref="P1027:P1028" si="648">SUM(N1027:O1027)</f>
        <v>0</v>
      </c>
      <c r="Q1027" s="17">
        <f t="shared" ref="Q1027:Q1028" si="649">M1027+P1027</f>
        <v>0</v>
      </c>
      <c r="R1027" s="81"/>
      <c r="S1027" s="35"/>
      <c r="T1027" s="15"/>
      <c r="U1027" s="16"/>
      <c r="V1027" s="36">
        <f t="shared" si="629"/>
        <v>0</v>
      </c>
      <c r="W1027" s="18"/>
      <c r="X1027" s="16"/>
      <c r="Y1027" s="36">
        <f t="shared" si="630"/>
        <v>0</v>
      </c>
      <c r="Z1027" s="17">
        <f t="shared" si="631"/>
        <v>0</v>
      </c>
    </row>
    <row r="1028" spans="1:26" ht="14.25" thickBot="1" x14ac:dyDescent="0.2">
      <c r="A1028" s="35" t="s">
        <v>33</v>
      </c>
      <c r="B1028" s="15"/>
      <c r="C1028" s="16"/>
      <c r="D1028" s="36">
        <f t="shared" si="623"/>
        <v>0</v>
      </c>
      <c r="E1028" s="18">
        <v>4</v>
      </c>
      <c r="F1028" s="16"/>
      <c r="G1028" s="36">
        <f t="shared" si="624"/>
        <v>4</v>
      </c>
      <c r="H1028" s="17">
        <f t="shared" si="625"/>
        <v>4</v>
      </c>
      <c r="I1028" s="84">
        <v>45022</v>
      </c>
      <c r="J1028" s="35"/>
      <c r="K1028" s="15"/>
      <c r="L1028" s="16"/>
      <c r="M1028" s="36">
        <f t="shared" si="647"/>
        <v>0</v>
      </c>
      <c r="N1028" s="18"/>
      <c r="O1028" s="16"/>
      <c r="P1028" s="36">
        <f t="shared" si="648"/>
        <v>0</v>
      </c>
      <c r="Q1028" s="17">
        <f t="shared" si="649"/>
        <v>0</v>
      </c>
      <c r="R1028" s="81"/>
      <c r="S1028" s="35"/>
      <c r="T1028" s="15"/>
      <c r="U1028" s="16"/>
      <c r="V1028" s="36">
        <f t="shared" si="629"/>
        <v>0</v>
      </c>
      <c r="W1028" s="18"/>
      <c r="X1028" s="16"/>
      <c r="Y1028" s="36">
        <f t="shared" si="630"/>
        <v>0</v>
      </c>
      <c r="Z1028" s="17">
        <f t="shared" si="631"/>
        <v>0</v>
      </c>
    </row>
    <row r="1029" spans="1:26" ht="14.25" thickBot="1" x14ac:dyDescent="0.2">
      <c r="A1029" s="40" t="s">
        <v>14</v>
      </c>
      <c r="B1029" s="41">
        <f>SUM(B1003:B1028)</f>
        <v>29</v>
      </c>
      <c r="C1029" s="42">
        <f t="shared" ref="C1029" si="650">SUM(C1003:C1028)</f>
        <v>17</v>
      </c>
      <c r="D1029" s="43">
        <f t="shared" si="623"/>
        <v>46</v>
      </c>
      <c r="E1029" s="41">
        <f>SUM(E1003:E1028)</f>
        <v>51</v>
      </c>
      <c r="F1029" s="42">
        <f t="shared" ref="F1029" si="651">SUM(F1003:F1028)</f>
        <v>26</v>
      </c>
      <c r="G1029" s="43">
        <f t="shared" si="624"/>
        <v>77</v>
      </c>
      <c r="H1029" s="43">
        <f t="shared" si="625"/>
        <v>123</v>
      </c>
      <c r="J1029" s="40" t="s">
        <v>14</v>
      </c>
      <c r="K1029" s="41">
        <f>SUM(K1003:K1028)</f>
        <v>20</v>
      </c>
      <c r="L1029" s="42">
        <f t="shared" ref="L1029" si="652">SUM(L1003:L1028)</f>
        <v>10</v>
      </c>
      <c r="M1029" s="43">
        <f t="shared" si="626"/>
        <v>30</v>
      </c>
      <c r="N1029" s="41">
        <f>SUM(N1003:N1028)</f>
        <v>40</v>
      </c>
      <c r="O1029" s="42">
        <f t="shared" ref="O1029" si="653">SUM(O1003:O1028)</f>
        <v>15</v>
      </c>
      <c r="P1029" s="43">
        <f t="shared" si="627"/>
        <v>55</v>
      </c>
      <c r="Q1029" s="43">
        <f t="shared" si="628"/>
        <v>85</v>
      </c>
      <c r="S1029" s="40" t="s">
        <v>14</v>
      </c>
      <c r="T1029" s="41">
        <f>SUM(T1003:T1028)</f>
        <v>0</v>
      </c>
      <c r="U1029" s="42">
        <f t="shared" ref="U1029" si="654">SUM(U1003:U1028)</f>
        <v>0</v>
      </c>
      <c r="V1029" s="43">
        <f t="shared" si="629"/>
        <v>0</v>
      </c>
      <c r="W1029" s="41">
        <f>SUM(W1003:W1028)</f>
        <v>0</v>
      </c>
      <c r="X1029" s="42">
        <f t="shared" ref="X1029" si="655">SUM(X1003:X1028)</f>
        <v>0</v>
      </c>
      <c r="Y1029" s="43">
        <f t="shared" si="630"/>
        <v>0</v>
      </c>
      <c r="Z1029" s="43">
        <f t="shared" si="631"/>
        <v>0</v>
      </c>
    </row>
    <row r="1030" spans="1:26" ht="14.25" thickBot="1" x14ac:dyDescent="0.2">
      <c r="A1030" s="44" t="s">
        <v>15</v>
      </c>
      <c r="B1030" s="45">
        <f>B1002-B1029</f>
        <v>16</v>
      </c>
      <c r="C1030" s="46">
        <f t="shared" ref="C1030" si="656">C1002-C1029</f>
        <v>20</v>
      </c>
      <c r="D1030" s="47">
        <f t="shared" si="623"/>
        <v>36</v>
      </c>
      <c r="E1030" s="45">
        <f>E1002-E1029</f>
        <v>9</v>
      </c>
      <c r="F1030" s="46">
        <f t="shared" ref="F1030" si="657">F1002-F1029</f>
        <v>18</v>
      </c>
      <c r="G1030" s="47">
        <f t="shared" si="624"/>
        <v>27</v>
      </c>
      <c r="H1030" s="34">
        <f t="shared" si="625"/>
        <v>63</v>
      </c>
      <c r="J1030" s="44" t="s">
        <v>15</v>
      </c>
      <c r="K1030" s="45">
        <f>K1002-K1029</f>
        <v>1380</v>
      </c>
      <c r="L1030" s="46">
        <f t="shared" ref="L1030" si="658">L1002-L1029</f>
        <v>824</v>
      </c>
      <c r="M1030" s="47">
        <f t="shared" si="626"/>
        <v>2204</v>
      </c>
      <c r="N1030" s="45">
        <f>N1002-N1029</f>
        <v>1400</v>
      </c>
      <c r="O1030" s="46">
        <f t="shared" ref="O1030" si="659">O1002-O1029</f>
        <v>452</v>
      </c>
      <c r="P1030" s="47">
        <f t="shared" si="627"/>
        <v>1852</v>
      </c>
      <c r="Q1030" s="34">
        <f t="shared" si="628"/>
        <v>4056</v>
      </c>
      <c r="S1030" s="44" t="s">
        <v>15</v>
      </c>
      <c r="T1030" s="45">
        <f>T1002-T1029</f>
        <v>0</v>
      </c>
      <c r="U1030" s="46">
        <f t="shared" ref="U1030" si="660">U1002-U1029</f>
        <v>0</v>
      </c>
      <c r="V1030" s="47">
        <f t="shared" si="629"/>
        <v>0</v>
      </c>
      <c r="W1030" s="45">
        <f>W1002-W1029</f>
        <v>0</v>
      </c>
      <c r="X1030" s="46">
        <f t="shared" ref="X1030" si="661">X1002-X1029</f>
        <v>0</v>
      </c>
      <c r="Y1030" s="47">
        <f t="shared" si="630"/>
        <v>0</v>
      </c>
      <c r="Z1030" s="34">
        <f t="shared" si="631"/>
        <v>0</v>
      </c>
    </row>
    <row r="1033" spans="1:26" ht="19.5" thickBot="1" x14ac:dyDescent="0.25">
      <c r="A1033" s="1" t="s">
        <v>23</v>
      </c>
      <c r="J1033" s="1" t="s">
        <v>24</v>
      </c>
      <c r="K1033" s="2"/>
      <c r="L1033" s="2"/>
      <c r="M1033" s="2"/>
      <c r="N1033" s="2"/>
      <c r="O1033" s="1" t="s">
        <v>34</v>
      </c>
      <c r="P1033" s="2"/>
      <c r="Q1033" s="2"/>
    </row>
    <row r="1034" spans="1:26" ht="14.25" thickBot="1" x14ac:dyDescent="0.2">
      <c r="A1034" s="3" t="s">
        <v>0</v>
      </c>
      <c r="B1034" s="125" t="s">
        <v>18</v>
      </c>
      <c r="C1034" s="126"/>
      <c r="D1034" s="127"/>
      <c r="E1034" s="125" t="s">
        <v>19</v>
      </c>
      <c r="F1034" s="126"/>
      <c r="G1034" s="128"/>
      <c r="H1034" s="129" t="s">
        <v>1</v>
      </c>
      <c r="J1034" s="3" t="s">
        <v>0</v>
      </c>
      <c r="K1034" s="125" t="s">
        <v>18</v>
      </c>
      <c r="L1034" s="126"/>
      <c r="M1034" s="127"/>
      <c r="N1034" s="125" t="s">
        <v>19</v>
      </c>
      <c r="O1034" s="126"/>
      <c r="P1034" s="128"/>
      <c r="Q1034" s="129" t="s">
        <v>1</v>
      </c>
    </row>
    <row r="1035" spans="1:26" ht="14.25" thickBot="1" x14ac:dyDescent="0.2">
      <c r="A1035" s="3" t="s">
        <v>2</v>
      </c>
      <c r="B1035" s="4" t="s">
        <v>16</v>
      </c>
      <c r="C1035" s="5" t="s">
        <v>17</v>
      </c>
      <c r="D1035" s="3" t="s">
        <v>3</v>
      </c>
      <c r="E1035" s="4" t="s">
        <v>16</v>
      </c>
      <c r="F1035" s="5" t="s">
        <v>17</v>
      </c>
      <c r="G1035" s="3" t="s">
        <v>3</v>
      </c>
      <c r="H1035" s="130"/>
      <c r="J1035" s="3" t="s">
        <v>2</v>
      </c>
      <c r="K1035" s="4" t="s">
        <v>16</v>
      </c>
      <c r="L1035" s="5" t="s">
        <v>17</v>
      </c>
      <c r="M1035" s="3" t="s">
        <v>3</v>
      </c>
      <c r="N1035" s="4" t="s">
        <v>16</v>
      </c>
      <c r="O1035" s="5" t="s">
        <v>17</v>
      </c>
      <c r="P1035" s="3" t="s">
        <v>3</v>
      </c>
      <c r="Q1035" s="130"/>
    </row>
    <row r="1036" spans="1:26" ht="14.25" thickBot="1" x14ac:dyDescent="0.2">
      <c r="A1036" s="6" t="s">
        <v>55</v>
      </c>
      <c r="B1036" s="32">
        <f>B1030</f>
        <v>16</v>
      </c>
      <c r="C1036" s="33">
        <f>C1030</f>
        <v>20</v>
      </c>
      <c r="D1036" s="34">
        <f t="shared" ref="D1036:D1073" si="662">SUM(B1036:C1036)</f>
        <v>36</v>
      </c>
      <c r="E1036" s="32">
        <f>E1030</f>
        <v>9</v>
      </c>
      <c r="F1036" s="33">
        <f>F1030</f>
        <v>18</v>
      </c>
      <c r="G1036" s="34">
        <f t="shared" ref="G1036:G1073" si="663">SUM(E1036:F1036)</f>
        <v>27</v>
      </c>
      <c r="H1036" s="34">
        <f t="shared" ref="H1036:H1073" si="664">D1036+G1036</f>
        <v>63</v>
      </c>
      <c r="J1036" s="6" t="s">
        <v>55</v>
      </c>
      <c r="K1036" s="7">
        <f>K1030</f>
        <v>1380</v>
      </c>
      <c r="L1036" s="8">
        <f>L1030</f>
        <v>824</v>
      </c>
      <c r="M1036" s="9">
        <f t="shared" ref="M1036:M1073" si="665">SUM(K1036:L1036)</f>
        <v>2204</v>
      </c>
      <c r="N1036" s="7">
        <f>N1030</f>
        <v>1400</v>
      </c>
      <c r="O1036" s="8">
        <f>O1030</f>
        <v>452</v>
      </c>
      <c r="P1036" s="9">
        <f t="shared" ref="P1036:P1073" si="666">SUM(N1036:O1036)</f>
        <v>1852</v>
      </c>
      <c r="Q1036" s="9">
        <f t="shared" ref="Q1036:Q1073" si="667">M1036+P1036</f>
        <v>4056</v>
      </c>
    </row>
    <row r="1037" spans="1:26" x14ac:dyDescent="0.15">
      <c r="A1037" s="10" t="s">
        <v>78</v>
      </c>
      <c r="B1037" s="23">
        <v>2</v>
      </c>
      <c r="C1037" s="24">
        <v>3</v>
      </c>
      <c r="D1037" s="17">
        <f t="shared" si="662"/>
        <v>5</v>
      </c>
      <c r="E1037" s="25">
        <v>1</v>
      </c>
      <c r="F1037" s="24">
        <v>1</v>
      </c>
      <c r="G1037" s="17">
        <f t="shared" si="663"/>
        <v>2</v>
      </c>
      <c r="H1037" s="17">
        <f t="shared" si="664"/>
        <v>7</v>
      </c>
      <c r="I1037" s="81">
        <v>45027</v>
      </c>
      <c r="J1037" s="94" t="s">
        <v>5</v>
      </c>
      <c r="K1037" s="48"/>
      <c r="L1037" s="49"/>
      <c r="M1037" s="50">
        <f t="shared" si="665"/>
        <v>0</v>
      </c>
      <c r="N1037" s="51"/>
      <c r="O1037" s="49"/>
      <c r="P1037" s="50">
        <f t="shared" si="666"/>
        <v>0</v>
      </c>
      <c r="Q1037" s="13">
        <f t="shared" si="667"/>
        <v>0</v>
      </c>
    </row>
    <row r="1038" spans="1:26" x14ac:dyDescent="0.15">
      <c r="A1038" s="10" t="s">
        <v>6</v>
      </c>
      <c r="B1038" s="23">
        <v>10</v>
      </c>
      <c r="C1038" s="24"/>
      <c r="D1038" s="17">
        <f t="shared" ref="D1038:D1043" si="668">SUM(B1038:C1038)</f>
        <v>10</v>
      </c>
      <c r="E1038" s="25">
        <v>10</v>
      </c>
      <c r="F1038" s="24">
        <v>5</v>
      </c>
      <c r="G1038" s="17">
        <f t="shared" ref="G1038:G1043" si="669">SUM(E1038:F1038)</f>
        <v>15</v>
      </c>
      <c r="H1038" s="17">
        <f t="shared" ref="H1038:H1043" si="670">D1038+G1038</f>
        <v>25</v>
      </c>
      <c r="I1038" s="81">
        <v>45030</v>
      </c>
      <c r="J1038" s="10" t="s">
        <v>6</v>
      </c>
      <c r="K1038" s="19"/>
      <c r="L1038" s="20"/>
      <c r="M1038" s="17">
        <f t="shared" si="665"/>
        <v>0</v>
      </c>
      <c r="N1038" s="21"/>
      <c r="O1038" s="20"/>
      <c r="P1038" s="17">
        <f t="shared" si="666"/>
        <v>0</v>
      </c>
      <c r="Q1038" s="17">
        <f t="shared" si="667"/>
        <v>0</v>
      </c>
      <c r="R1038" s="81"/>
    </row>
    <row r="1039" spans="1:26" x14ac:dyDescent="0.15">
      <c r="A1039" s="10" t="s">
        <v>61</v>
      </c>
      <c r="B1039" s="23"/>
      <c r="C1039" s="24">
        <v>1</v>
      </c>
      <c r="D1039" s="17">
        <f t="shared" si="668"/>
        <v>1</v>
      </c>
      <c r="E1039" s="25"/>
      <c r="F1039" s="24">
        <v>1</v>
      </c>
      <c r="G1039" s="17">
        <f t="shared" si="669"/>
        <v>1</v>
      </c>
      <c r="H1039" s="17">
        <f t="shared" si="670"/>
        <v>2</v>
      </c>
      <c r="I1039" s="81">
        <v>45030</v>
      </c>
      <c r="J1039" s="10" t="s">
        <v>7</v>
      </c>
      <c r="K1039" s="19"/>
      <c r="L1039" s="20"/>
      <c r="M1039" s="17">
        <f t="shared" si="665"/>
        <v>0</v>
      </c>
      <c r="N1039" s="21"/>
      <c r="O1039" s="20"/>
      <c r="P1039" s="17">
        <f t="shared" si="666"/>
        <v>0</v>
      </c>
      <c r="Q1039" s="17">
        <f t="shared" si="667"/>
        <v>0</v>
      </c>
      <c r="R1039" s="81"/>
    </row>
    <row r="1040" spans="1:26" x14ac:dyDescent="0.15">
      <c r="A1040" s="10" t="s">
        <v>8</v>
      </c>
      <c r="B1040" s="23">
        <v>5</v>
      </c>
      <c r="C1040" s="24"/>
      <c r="D1040" s="17">
        <f t="shared" si="668"/>
        <v>5</v>
      </c>
      <c r="E1040" s="25"/>
      <c r="F1040" s="24"/>
      <c r="G1040" s="17">
        <f t="shared" si="669"/>
        <v>0</v>
      </c>
      <c r="H1040" s="17">
        <f t="shared" si="670"/>
        <v>5</v>
      </c>
      <c r="I1040" s="81">
        <v>45047</v>
      </c>
      <c r="J1040" s="10" t="s">
        <v>8</v>
      </c>
      <c r="K1040" s="15"/>
      <c r="L1040" s="16"/>
      <c r="M1040" s="17">
        <f t="shared" si="665"/>
        <v>0</v>
      </c>
      <c r="N1040" s="18"/>
      <c r="O1040" s="16"/>
      <c r="P1040" s="17">
        <f t="shared" si="666"/>
        <v>0</v>
      </c>
      <c r="Q1040" s="17">
        <f t="shared" si="667"/>
        <v>0</v>
      </c>
      <c r="R1040" s="83"/>
    </row>
    <row r="1041" spans="1:18" x14ac:dyDescent="0.15">
      <c r="A1041" s="10" t="s">
        <v>9</v>
      </c>
      <c r="B1041" s="23">
        <v>5</v>
      </c>
      <c r="C1041" s="24">
        <v>5</v>
      </c>
      <c r="D1041" s="17">
        <f t="shared" si="668"/>
        <v>10</v>
      </c>
      <c r="E1041" s="25">
        <v>5</v>
      </c>
      <c r="F1041" s="24">
        <v>10</v>
      </c>
      <c r="G1041" s="17">
        <f t="shared" si="669"/>
        <v>15</v>
      </c>
      <c r="H1041" s="17">
        <f t="shared" si="670"/>
        <v>25</v>
      </c>
      <c r="I1041" s="81">
        <v>45056</v>
      </c>
      <c r="J1041" s="10" t="s">
        <v>9</v>
      </c>
      <c r="K1041" s="15"/>
      <c r="L1041" s="16"/>
      <c r="M1041" s="17">
        <f t="shared" si="665"/>
        <v>0</v>
      </c>
      <c r="N1041" s="18"/>
      <c r="O1041" s="16"/>
      <c r="P1041" s="17">
        <f t="shared" si="666"/>
        <v>0</v>
      </c>
      <c r="Q1041" s="17">
        <f t="shared" si="667"/>
        <v>0</v>
      </c>
      <c r="R1041" s="83"/>
    </row>
    <row r="1042" spans="1:18" x14ac:dyDescent="0.15">
      <c r="A1042" s="10" t="s">
        <v>61</v>
      </c>
      <c r="B1042" s="23">
        <v>1</v>
      </c>
      <c r="C1042" s="24"/>
      <c r="D1042" s="17">
        <f t="shared" si="668"/>
        <v>1</v>
      </c>
      <c r="E1042" s="25">
        <v>1</v>
      </c>
      <c r="F1042" s="24"/>
      <c r="G1042" s="17">
        <f t="shared" si="669"/>
        <v>1</v>
      </c>
      <c r="H1042" s="17">
        <f t="shared" si="670"/>
        <v>2</v>
      </c>
      <c r="I1042" s="81">
        <v>45058</v>
      </c>
      <c r="J1042" s="10" t="s">
        <v>10</v>
      </c>
      <c r="K1042" s="15"/>
      <c r="L1042" s="16"/>
      <c r="M1042" s="17">
        <f t="shared" si="665"/>
        <v>0</v>
      </c>
      <c r="N1042" s="18"/>
      <c r="O1042" s="16"/>
      <c r="P1042" s="17">
        <f t="shared" si="666"/>
        <v>0</v>
      </c>
      <c r="Q1042" s="17">
        <f t="shared" si="667"/>
        <v>0</v>
      </c>
    </row>
    <row r="1043" spans="1:18" x14ac:dyDescent="0.15">
      <c r="A1043" s="10" t="s">
        <v>11</v>
      </c>
      <c r="B1043" s="23">
        <v>5</v>
      </c>
      <c r="C1043" s="24"/>
      <c r="D1043" s="17">
        <f t="shared" si="668"/>
        <v>5</v>
      </c>
      <c r="E1043" s="25">
        <v>5</v>
      </c>
      <c r="F1043" s="24">
        <v>10</v>
      </c>
      <c r="G1043" s="17">
        <f t="shared" si="669"/>
        <v>15</v>
      </c>
      <c r="H1043" s="17">
        <f t="shared" si="670"/>
        <v>20</v>
      </c>
      <c r="I1043" s="81">
        <v>45062</v>
      </c>
      <c r="J1043" s="10" t="s">
        <v>11</v>
      </c>
      <c r="K1043" s="23"/>
      <c r="L1043" s="24"/>
      <c r="M1043" s="17">
        <f t="shared" si="665"/>
        <v>0</v>
      </c>
      <c r="N1043" s="25"/>
      <c r="O1043" s="24"/>
      <c r="P1043" s="17">
        <f t="shared" si="666"/>
        <v>0</v>
      </c>
      <c r="Q1043" s="17">
        <f t="shared" si="667"/>
        <v>0</v>
      </c>
    </row>
    <row r="1044" spans="1:18" ht="14.25" thickBot="1" x14ac:dyDescent="0.2">
      <c r="A1044" s="10" t="s">
        <v>12</v>
      </c>
      <c r="B1044" s="26"/>
      <c r="C1044" s="27"/>
      <c r="D1044" s="28">
        <f t="shared" si="662"/>
        <v>0</v>
      </c>
      <c r="E1044" s="29"/>
      <c r="F1044" s="29"/>
      <c r="G1044" s="28">
        <f t="shared" si="663"/>
        <v>0</v>
      </c>
      <c r="H1044" s="30">
        <f t="shared" si="664"/>
        <v>0</v>
      </c>
      <c r="I1044" s="83"/>
      <c r="J1044" s="10" t="s">
        <v>12</v>
      </c>
      <c r="K1044" s="26"/>
      <c r="L1044" s="27"/>
      <c r="M1044" s="28">
        <f t="shared" si="665"/>
        <v>0</v>
      </c>
      <c r="N1044" s="29"/>
      <c r="O1044" s="29"/>
      <c r="P1044" s="28">
        <f t="shared" si="666"/>
        <v>0</v>
      </c>
      <c r="Q1044" s="30">
        <f t="shared" si="667"/>
        <v>0</v>
      </c>
    </row>
    <row r="1045" spans="1:18" ht="14.25" thickBot="1" x14ac:dyDescent="0.2">
      <c r="A1045" s="31" t="s">
        <v>13</v>
      </c>
      <c r="B1045" s="32">
        <f>SUM(B1036:B1044)</f>
        <v>44</v>
      </c>
      <c r="C1045" s="33">
        <f>SUM(C1036:C1044)</f>
        <v>29</v>
      </c>
      <c r="D1045" s="34">
        <f t="shared" si="662"/>
        <v>73</v>
      </c>
      <c r="E1045" s="32">
        <f>SUM(E1036:E1044)</f>
        <v>31</v>
      </c>
      <c r="F1045" s="33">
        <f>SUM(F1036:F1044)</f>
        <v>45</v>
      </c>
      <c r="G1045" s="34">
        <f t="shared" si="663"/>
        <v>76</v>
      </c>
      <c r="H1045" s="34">
        <f t="shared" si="664"/>
        <v>149</v>
      </c>
      <c r="J1045" s="31" t="s">
        <v>13</v>
      </c>
      <c r="K1045" s="32">
        <f>SUM(K1036:K1044)</f>
        <v>1380</v>
      </c>
      <c r="L1045" s="33">
        <f>SUM(L1036:L1044)</f>
        <v>824</v>
      </c>
      <c r="M1045" s="34">
        <f t="shared" si="665"/>
        <v>2204</v>
      </c>
      <c r="N1045" s="32">
        <f>SUM(N1036:N1044)</f>
        <v>1400</v>
      </c>
      <c r="O1045" s="33">
        <f>SUM(O1036:O1044)</f>
        <v>452</v>
      </c>
      <c r="P1045" s="34">
        <f t="shared" si="666"/>
        <v>1852</v>
      </c>
      <c r="Q1045" s="34">
        <f t="shared" si="667"/>
        <v>4056</v>
      </c>
    </row>
    <row r="1046" spans="1:18" x14ac:dyDescent="0.15">
      <c r="A1046" s="35" t="s">
        <v>33</v>
      </c>
      <c r="B1046" s="15">
        <v>2</v>
      </c>
      <c r="C1046" s="16"/>
      <c r="D1046" s="36">
        <f t="shared" si="662"/>
        <v>2</v>
      </c>
      <c r="E1046" s="18">
        <v>1</v>
      </c>
      <c r="F1046" s="16"/>
      <c r="G1046" s="36">
        <f t="shared" si="663"/>
        <v>1</v>
      </c>
      <c r="H1046" s="17">
        <f t="shared" si="664"/>
        <v>3</v>
      </c>
      <c r="I1046" s="81">
        <v>45026</v>
      </c>
      <c r="J1046" s="35" t="s">
        <v>485</v>
      </c>
      <c r="K1046" s="19">
        <v>6</v>
      </c>
      <c r="L1046" s="20"/>
      <c r="M1046" s="17">
        <f t="shared" si="665"/>
        <v>6</v>
      </c>
      <c r="N1046" s="21">
        <v>6</v>
      </c>
      <c r="O1046" s="20"/>
      <c r="P1046" s="17">
        <f t="shared" si="666"/>
        <v>6</v>
      </c>
      <c r="Q1046" s="17">
        <f t="shared" si="667"/>
        <v>12</v>
      </c>
      <c r="R1046" s="81">
        <v>45029</v>
      </c>
    </row>
    <row r="1047" spans="1:18" x14ac:dyDescent="0.15">
      <c r="A1047" s="35" t="s">
        <v>283</v>
      </c>
      <c r="B1047" s="15">
        <v>1</v>
      </c>
      <c r="C1047" s="16"/>
      <c r="D1047" s="36">
        <f t="shared" ref="D1047:D1070" si="671">SUM(B1047:C1047)</f>
        <v>1</v>
      </c>
      <c r="E1047" s="18"/>
      <c r="F1047" s="16"/>
      <c r="G1047" s="36">
        <f t="shared" ref="G1047:G1070" si="672">SUM(E1047:F1047)</f>
        <v>0</v>
      </c>
      <c r="H1047" s="17">
        <f t="shared" ref="H1047:H1070" si="673">D1047+G1047</f>
        <v>1</v>
      </c>
      <c r="I1047" s="81">
        <v>45028</v>
      </c>
      <c r="J1047" s="73" t="s">
        <v>91</v>
      </c>
      <c r="K1047" s="19">
        <v>10</v>
      </c>
      <c r="L1047" s="20"/>
      <c r="M1047" s="17">
        <f t="shared" si="665"/>
        <v>10</v>
      </c>
      <c r="N1047" s="21">
        <v>10</v>
      </c>
      <c r="O1047" s="20">
        <v>5</v>
      </c>
      <c r="P1047" s="17">
        <f t="shared" si="666"/>
        <v>15</v>
      </c>
      <c r="Q1047" s="17">
        <f t="shared" si="667"/>
        <v>25</v>
      </c>
      <c r="R1047" s="81">
        <v>45030</v>
      </c>
    </row>
    <row r="1048" spans="1:18" x14ac:dyDescent="0.15">
      <c r="A1048" s="35" t="s">
        <v>33</v>
      </c>
      <c r="B1048" s="15">
        <v>3</v>
      </c>
      <c r="C1048" s="16"/>
      <c r="D1048" s="36">
        <f t="shared" si="671"/>
        <v>3</v>
      </c>
      <c r="E1048" s="18"/>
      <c r="F1048" s="16"/>
      <c r="G1048" s="36">
        <f t="shared" si="672"/>
        <v>0</v>
      </c>
      <c r="H1048" s="17">
        <f t="shared" si="673"/>
        <v>3</v>
      </c>
      <c r="I1048" s="81">
        <v>45028</v>
      </c>
      <c r="J1048" s="35" t="s">
        <v>488</v>
      </c>
      <c r="K1048" s="19">
        <v>4</v>
      </c>
      <c r="L1048" s="20"/>
      <c r="M1048" s="17">
        <f t="shared" si="665"/>
        <v>4</v>
      </c>
      <c r="N1048" s="21">
        <v>4</v>
      </c>
      <c r="O1048" s="20"/>
      <c r="P1048" s="17">
        <f t="shared" si="666"/>
        <v>4</v>
      </c>
      <c r="Q1048" s="17">
        <f t="shared" si="667"/>
        <v>8</v>
      </c>
      <c r="R1048" s="81">
        <v>45034</v>
      </c>
    </row>
    <row r="1049" spans="1:18" x14ac:dyDescent="0.15">
      <c r="A1049" s="35" t="s">
        <v>486</v>
      </c>
      <c r="B1049" s="15"/>
      <c r="C1049" s="16">
        <v>2</v>
      </c>
      <c r="D1049" s="36">
        <f t="shared" si="671"/>
        <v>2</v>
      </c>
      <c r="E1049" s="18"/>
      <c r="F1049" s="16">
        <v>2</v>
      </c>
      <c r="G1049" s="36">
        <f t="shared" si="672"/>
        <v>2</v>
      </c>
      <c r="H1049" s="17">
        <f t="shared" si="673"/>
        <v>4</v>
      </c>
      <c r="I1049" s="81">
        <v>45030</v>
      </c>
      <c r="J1049" s="35" t="s">
        <v>489</v>
      </c>
      <c r="K1049" s="19">
        <v>5</v>
      </c>
      <c r="L1049" s="20">
        <v>6</v>
      </c>
      <c r="M1049" s="17">
        <f t="shared" si="665"/>
        <v>11</v>
      </c>
      <c r="N1049" s="21">
        <v>5</v>
      </c>
      <c r="O1049" s="20">
        <v>6</v>
      </c>
      <c r="P1049" s="17">
        <f t="shared" si="666"/>
        <v>11</v>
      </c>
      <c r="Q1049" s="17">
        <f t="shared" si="667"/>
        <v>22</v>
      </c>
      <c r="R1049" s="81">
        <v>45035</v>
      </c>
    </row>
    <row r="1050" spans="1:18" x14ac:dyDescent="0.15">
      <c r="A1050" s="35" t="s">
        <v>33</v>
      </c>
      <c r="B1050" s="15">
        <v>1</v>
      </c>
      <c r="C1050" s="16">
        <v>1</v>
      </c>
      <c r="D1050" s="36">
        <f t="shared" si="671"/>
        <v>2</v>
      </c>
      <c r="E1050" s="18"/>
      <c r="F1050" s="16">
        <v>1</v>
      </c>
      <c r="G1050" s="36">
        <f t="shared" si="672"/>
        <v>1</v>
      </c>
      <c r="H1050" s="17">
        <f t="shared" si="673"/>
        <v>3</v>
      </c>
      <c r="I1050" s="81">
        <v>45029</v>
      </c>
      <c r="J1050" s="35" t="s">
        <v>491</v>
      </c>
      <c r="K1050" s="15">
        <v>5</v>
      </c>
      <c r="L1050" s="16">
        <v>5</v>
      </c>
      <c r="M1050" s="36">
        <f t="shared" si="665"/>
        <v>10</v>
      </c>
      <c r="N1050" s="18">
        <v>5</v>
      </c>
      <c r="O1050" s="16">
        <v>5</v>
      </c>
      <c r="P1050" s="36">
        <f t="shared" si="666"/>
        <v>10</v>
      </c>
      <c r="Q1050" s="17">
        <f t="shared" si="667"/>
        <v>20</v>
      </c>
      <c r="R1050" s="81">
        <v>45037</v>
      </c>
    </row>
    <row r="1051" spans="1:18" x14ac:dyDescent="0.15">
      <c r="A1051" s="35" t="s">
        <v>487</v>
      </c>
      <c r="B1051" s="15"/>
      <c r="C1051" s="16">
        <v>3</v>
      </c>
      <c r="D1051" s="36">
        <f t="shared" si="671"/>
        <v>3</v>
      </c>
      <c r="E1051" s="18"/>
      <c r="F1051" s="16">
        <v>3</v>
      </c>
      <c r="G1051" s="36">
        <f t="shared" si="672"/>
        <v>3</v>
      </c>
      <c r="H1051" s="17">
        <f t="shared" si="673"/>
        <v>6</v>
      </c>
      <c r="I1051" s="81">
        <v>45033</v>
      </c>
      <c r="J1051" s="35" t="s">
        <v>492</v>
      </c>
      <c r="K1051" s="19">
        <v>2</v>
      </c>
      <c r="L1051" s="20">
        <v>5</v>
      </c>
      <c r="M1051" s="17">
        <f t="shared" si="665"/>
        <v>7</v>
      </c>
      <c r="N1051" s="21">
        <v>2</v>
      </c>
      <c r="O1051" s="20">
        <v>5</v>
      </c>
      <c r="P1051" s="17">
        <f t="shared" si="666"/>
        <v>7</v>
      </c>
      <c r="Q1051" s="17">
        <f t="shared" si="667"/>
        <v>14</v>
      </c>
      <c r="R1051" s="81">
        <v>45040</v>
      </c>
    </row>
    <row r="1052" spans="1:18" x14ac:dyDescent="0.15">
      <c r="A1052" s="35" t="s">
        <v>33</v>
      </c>
      <c r="B1052" s="15"/>
      <c r="C1052" s="16">
        <v>1</v>
      </c>
      <c r="D1052" s="36">
        <f t="shared" si="671"/>
        <v>1</v>
      </c>
      <c r="E1052" s="18"/>
      <c r="F1052" s="16">
        <v>1</v>
      </c>
      <c r="G1052" s="36">
        <f t="shared" si="672"/>
        <v>1</v>
      </c>
      <c r="H1052" s="17">
        <f t="shared" si="673"/>
        <v>2</v>
      </c>
      <c r="I1052" s="81">
        <v>45030</v>
      </c>
      <c r="J1052" s="35" t="s">
        <v>493</v>
      </c>
      <c r="K1052" s="19">
        <v>15</v>
      </c>
      <c r="L1052" s="20">
        <v>7</v>
      </c>
      <c r="M1052" s="17">
        <f t="shared" si="665"/>
        <v>22</v>
      </c>
      <c r="N1052" s="21">
        <v>15</v>
      </c>
      <c r="O1052" s="20">
        <v>7</v>
      </c>
      <c r="P1052" s="17">
        <f t="shared" si="666"/>
        <v>22</v>
      </c>
      <c r="Q1052" s="17">
        <f t="shared" si="667"/>
        <v>44</v>
      </c>
      <c r="R1052" s="81">
        <v>45041</v>
      </c>
    </row>
    <row r="1053" spans="1:18" x14ac:dyDescent="0.15">
      <c r="A1053" s="35" t="s">
        <v>283</v>
      </c>
      <c r="B1053" s="15"/>
      <c r="C1053" s="16">
        <v>1</v>
      </c>
      <c r="D1053" s="36">
        <f t="shared" si="671"/>
        <v>1</v>
      </c>
      <c r="E1053" s="18"/>
      <c r="F1053" s="16"/>
      <c r="G1053" s="36">
        <f t="shared" si="672"/>
        <v>0</v>
      </c>
      <c r="H1053" s="17">
        <f t="shared" si="673"/>
        <v>1</v>
      </c>
      <c r="I1053" s="81">
        <v>45034</v>
      </c>
      <c r="J1053" s="35" t="s">
        <v>495</v>
      </c>
      <c r="K1053" s="19">
        <v>3</v>
      </c>
      <c r="L1053" s="20">
        <v>7</v>
      </c>
      <c r="M1053" s="17">
        <f t="shared" si="665"/>
        <v>10</v>
      </c>
      <c r="N1053" s="21">
        <v>3</v>
      </c>
      <c r="O1053" s="20">
        <v>7</v>
      </c>
      <c r="P1053" s="17">
        <f t="shared" si="666"/>
        <v>10</v>
      </c>
      <c r="Q1053" s="17">
        <f t="shared" si="667"/>
        <v>20</v>
      </c>
      <c r="R1053" s="81">
        <v>45042</v>
      </c>
    </row>
    <row r="1054" spans="1:18" x14ac:dyDescent="0.15">
      <c r="A1054" s="35" t="s">
        <v>33</v>
      </c>
      <c r="B1054" s="15"/>
      <c r="C1054" s="16"/>
      <c r="D1054" s="36">
        <f t="shared" si="671"/>
        <v>0</v>
      </c>
      <c r="E1054" s="18"/>
      <c r="F1054" s="16">
        <v>2</v>
      </c>
      <c r="G1054" s="36">
        <f t="shared" si="672"/>
        <v>2</v>
      </c>
      <c r="H1054" s="17">
        <f t="shared" si="673"/>
        <v>2</v>
      </c>
      <c r="I1054" s="81">
        <v>45033</v>
      </c>
      <c r="J1054" s="35" t="s">
        <v>496</v>
      </c>
      <c r="K1054" s="19">
        <v>9</v>
      </c>
      <c r="L1054" s="20">
        <v>4</v>
      </c>
      <c r="M1054" s="17">
        <f t="shared" si="665"/>
        <v>13</v>
      </c>
      <c r="N1054" s="21">
        <v>9</v>
      </c>
      <c r="O1054" s="20">
        <v>4</v>
      </c>
      <c r="P1054" s="17">
        <f t="shared" si="666"/>
        <v>13</v>
      </c>
      <c r="Q1054" s="17">
        <f t="shared" si="667"/>
        <v>26</v>
      </c>
      <c r="R1054" s="81">
        <v>45043</v>
      </c>
    </row>
    <row r="1055" spans="1:18" x14ac:dyDescent="0.15">
      <c r="A1055" s="35" t="s">
        <v>33</v>
      </c>
      <c r="B1055" s="15">
        <f>1+1</f>
        <v>2</v>
      </c>
      <c r="C1055" s="16"/>
      <c r="D1055" s="36">
        <f t="shared" si="671"/>
        <v>2</v>
      </c>
      <c r="E1055" s="18">
        <v>1</v>
      </c>
      <c r="F1055" s="16"/>
      <c r="G1055" s="36">
        <f t="shared" si="672"/>
        <v>1</v>
      </c>
      <c r="H1055" s="17">
        <f t="shared" si="673"/>
        <v>3</v>
      </c>
      <c r="I1055" s="81">
        <v>45034</v>
      </c>
      <c r="J1055" s="35" t="s">
        <v>497</v>
      </c>
      <c r="K1055" s="23">
        <v>2</v>
      </c>
      <c r="L1055" s="24">
        <v>2</v>
      </c>
      <c r="M1055" s="36">
        <f t="shared" si="665"/>
        <v>4</v>
      </c>
      <c r="N1055" s="25">
        <v>2</v>
      </c>
      <c r="O1055" s="24">
        <v>2</v>
      </c>
      <c r="P1055" s="36">
        <f t="shared" si="666"/>
        <v>4</v>
      </c>
      <c r="Q1055" s="17">
        <f t="shared" si="667"/>
        <v>8</v>
      </c>
      <c r="R1055" s="81">
        <v>45044</v>
      </c>
    </row>
    <row r="1056" spans="1:18" x14ac:dyDescent="0.15">
      <c r="A1056" s="35" t="s">
        <v>490</v>
      </c>
      <c r="B1056" s="15">
        <v>4</v>
      </c>
      <c r="C1056" s="16">
        <v>3</v>
      </c>
      <c r="D1056" s="36">
        <f t="shared" si="671"/>
        <v>7</v>
      </c>
      <c r="E1056" s="18">
        <v>4</v>
      </c>
      <c r="F1056" s="16">
        <v>3</v>
      </c>
      <c r="G1056" s="36">
        <f t="shared" si="672"/>
        <v>7</v>
      </c>
      <c r="H1056" s="17">
        <f t="shared" si="673"/>
        <v>14</v>
      </c>
      <c r="I1056" s="81">
        <v>45036</v>
      </c>
      <c r="J1056" s="35" t="s">
        <v>498</v>
      </c>
      <c r="K1056" s="15">
        <v>1</v>
      </c>
      <c r="L1056" s="16">
        <v>3</v>
      </c>
      <c r="M1056" s="36">
        <f t="shared" si="665"/>
        <v>4</v>
      </c>
      <c r="N1056" s="18">
        <v>1</v>
      </c>
      <c r="O1056" s="16">
        <v>3</v>
      </c>
      <c r="P1056" s="36">
        <f t="shared" si="666"/>
        <v>4</v>
      </c>
      <c r="Q1056" s="17">
        <f t="shared" si="667"/>
        <v>8</v>
      </c>
      <c r="R1056" s="81">
        <v>45047</v>
      </c>
    </row>
    <row r="1057" spans="1:18" x14ac:dyDescent="0.15">
      <c r="A1057" s="35" t="s">
        <v>33</v>
      </c>
      <c r="B1057" s="15">
        <v>3</v>
      </c>
      <c r="C1057" s="16"/>
      <c r="D1057" s="36">
        <f t="shared" ref="D1057" si="674">SUM(B1057:C1057)</f>
        <v>3</v>
      </c>
      <c r="E1057" s="18"/>
      <c r="F1057" s="16"/>
      <c r="G1057" s="36">
        <f t="shared" ref="G1057" si="675">SUM(E1057:F1057)</f>
        <v>0</v>
      </c>
      <c r="H1057" s="17">
        <f t="shared" ref="H1057" si="676">D1057+G1057</f>
        <v>3</v>
      </c>
      <c r="I1057" s="81">
        <v>45037</v>
      </c>
      <c r="J1057" s="52" t="s">
        <v>499</v>
      </c>
      <c r="K1057" s="15">
        <v>5</v>
      </c>
      <c r="L1057" s="16"/>
      <c r="M1057" s="36">
        <f t="shared" si="665"/>
        <v>5</v>
      </c>
      <c r="N1057" s="18"/>
      <c r="O1057" s="16"/>
      <c r="P1057" s="36">
        <f t="shared" si="666"/>
        <v>0</v>
      </c>
      <c r="Q1057" s="17">
        <f t="shared" si="667"/>
        <v>5</v>
      </c>
      <c r="R1057" s="81">
        <v>45047</v>
      </c>
    </row>
    <row r="1058" spans="1:18" x14ac:dyDescent="0.15">
      <c r="A1058" s="35" t="s">
        <v>283</v>
      </c>
      <c r="B1058" s="15">
        <v>1</v>
      </c>
      <c r="C1058" s="16"/>
      <c r="D1058" s="36">
        <f t="shared" si="671"/>
        <v>1</v>
      </c>
      <c r="E1058" s="18"/>
      <c r="F1058" s="16"/>
      <c r="G1058" s="36">
        <f t="shared" si="672"/>
        <v>0</v>
      </c>
      <c r="H1058" s="17">
        <f t="shared" si="673"/>
        <v>1</v>
      </c>
      <c r="I1058" s="81">
        <v>45041</v>
      </c>
      <c r="J1058" s="35" t="s">
        <v>500</v>
      </c>
      <c r="K1058" s="15">
        <v>3</v>
      </c>
      <c r="L1058" s="16"/>
      <c r="M1058" s="36">
        <f t="shared" si="665"/>
        <v>3</v>
      </c>
      <c r="N1058" s="18">
        <v>3</v>
      </c>
      <c r="O1058" s="16"/>
      <c r="P1058" s="36">
        <f t="shared" si="666"/>
        <v>3</v>
      </c>
      <c r="Q1058" s="17">
        <f t="shared" si="667"/>
        <v>6</v>
      </c>
      <c r="R1058" s="81">
        <v>45048</v>
      </c>
    </row>
    <row r="1059" spans="1:18" x14ac:dyDescent="0.15">
      <c r="A1059" s="35" t="s">
        <v>33</v>
      </c>
      <c r="B1059" s="15">
        <v>4</v>
      </c>
      <c r="C1059" s="16">
        <v>2</v>
      </c>
      <c r="D1059" s="36">
        <f t="shared" si="671"/>
        <v>6</v>
      </c>
      <c r="E1059" s="18">
        <v>2</v>
      </c>
      <c r="F1059" s="16"/>
      <c r="G1059" s="36">
        <f t="shared" si="672"/>
        <v>2</v>
      </c>
      <c r="H1059" s="17">
        <f t="shared" si="673"/>
        <v>8</v>
      </c>
      <c r="I1059" s="81">
        <v>45040</v>
      </c>
      <c r="J1059" s="35" t="s">
        <v>501</v>
      </c>
      <c r="K1059" s="15">
        <v>6</v>
      </c>
      <c r="L1059" s="16">
        <v>2</v>
      </c>
      <c r="M1059" s="17">
        <f t="shared" si="665"/>
        <v>8</v>
      </c>
      <c r="N1059" s="18">
        <v>6</v>
      </c>
      <c r="O1059" s="16">
        <v>2</v>
      </c>
      <c r="P1059" s="17">
        <f t="shared" si="666"/>
        <v>8</v>
      </c>
      <c r="Q1059" s="17">
        <f t="shared" si="667"/>
        <v>16</v>
      </c>
      <c r="R1059" s="81">
        <v>45054</v>
      </c>
    </row>
    <row r="1060" spans="1:18" x14ac:dyDescent="0.15">
      <c r="A1060" s="35" t="s">
        <v>33</v>
      </c>
      <c r="B1060" s="15">
        <v>1</v>
      </c>
      <c r="C1060" s="16"/>
      <c r="D1060" s="36">
        <f t="shared" si="671"/>
        <v>1</v>
      </c>
      <c r="E1060" s="18">
        <v>1</v>
      </c>
      <c r="F1060" s="16"/>
      <c r="G1060" s="36">
        <f t="shared" si="672"/>
        <v>1</v>
      </c>
      <c r="H1060" s="17">
        <f t="shared" si="673"/>
        <v>2</v>
      </c>
      <c r="I1060" s="81">
        <v>45041</v>
      </c>
      <c r="J1060" s="35" t="s">
        <v>502</v>
      </c>
      <c r="K1060" s="15">
        <v>2</v>
      </c>
      <c r="L1060" s="16"/>
      <c r="M1060" s="17">
        <f t="shared" si="665"/>
        <v>2</v>
      </c>
      <c r="N1060" s="18">
        <v>2</v>
      </c>
      <c r="O1060" s="16"/>
      <c r="P1060" s="17">
        <f t="shared" si="666"/>
        <v>2</v>
      </c>
      <c r="Q1060" s="17">
        <f t="shared" si="667"/>
        <v>4</v>
      </c>
      <c r="R1060" s="81">
        <v>45055</v>
      </c>
    </row>
    <row r="1061" spans="1:18" x14ac:dyDescent="0.15">
      <c r="A1061" s="35" t="s">
        <v>33</v>
      </c>
      <c r="B1061" s="15">
        <v>2</v>
      </c>
      <c r="C1061" s="16">
        <v>2</v>
      </c>
      <c r="D1061" s="36">
        <f t="shared" si="671"/>
        <v>4</v>
      </c>
      <c r="E1061" s="18"/>
      <c r="F1061" s="16"/>
      <c r="G1061" s="36">
        <f t="shared" si="672"/>
        <v>0</v>
      </c>
      <c r="H1061" s="17">
        <f t="shared" si="673"/>
        <v>4</v>
      </c>
      <c r="I1061" s="81">
        <v>45042</v>
      </c>
      <c r="J1061" s="35" t="s">
        <v>503</v>
      </c>
      <c r="K1061" s="15">
        <v>1</v>
      </c>
      <c r="L1061" s="16">
        <v>3</v>
      </c>
      <c r="M1061" s="36">
        <f t="shared" si="665"/>
        <v>4</v>
      </c>
      <c r="N1061" s="18">
        <v>1</v>
      </c>
      <c r="O1061" s="16">
        <v>3</v>
      </c>
      <c r="P1061" s="36">
        <f t="shared" si="666"/>
        <v>4</v>
      </c>
      <c r="Q1061" s="17">
        <f t="shared" si="667"/>
        <v>8</v>
      </c>
      <c r="R1061" s="81">
        <v>45056</v>
      </c>
    </row>
    <row r="1062" spans="1:18" x14ac:dyDescent="0.15">
      <c r="A1062" s="35" t="s">
        <v>33</v>
      </c>
      <c r="B1062" s="15">
        <v>2</v>
      </c>
      <c r="C1062" s="16">
        <v>2</v>
      </c>
      <c r="D1062" s="36">
        <f t="shared" si="671"/>
        <v>4</v>
      </c>
      <c r="E1062" s="18"/>
      <c r="F1062" s="16">
        <v>2</v>
      </c>
      <c r="G1062" s="36">
        <f t="shared" si="672"/>
        <v>2</v>
      </c>
      <c r="H1062" s="17">
        <f t="shared" si="673"/>
        <v>6</v>
      </c>
      <c r="I1062" s="81">
        <v>45044</v>
      </c>
      <c r="J1062" s="52" t="s">
        <v>91</v>
      </c>
      <c r="K1062" s="15">
        <v>5</v>
      </c>
      <c r="L1062" s="16">
        <v>5</v>
      </c>
      <c r="M1062" s="36">
        <f t="shared" si="665"/>
        <v>10</v>
      </c>
      <c r="N1062" s="18">
        <v>5</v>
      </c>
      <c r="O1062" s="16">
        <v>10</v>
      </c>
      <c r="P1062" s="36">
        <f t="shared" si="666"/>
        <v>15</v>
      </c>
      <c r="Q1062" s="17">
        <f t="shared" si="667"/>
        <v>25</v>
      </c>
      <c r="R1062" s="81">
        <v>45056</v>
      </c>
    </row>
    <row r="1063" spans="1:18" x14ac:dyDescent="0.15">
      <c r="A1063" s="35" t="s">
        <v>33</v>
      </c>
      <c r="B1063" s="15">
        <v>2</v>
      </c>
      <c r="C1063" s="16"/>
      <c r="D1063" s="36">
        <f t="shared" si="671"/>
        <v>2</v>
      </c>
      <c r="E1063" s="18">
        <v>1</v>
      </c>
      <c r="F1063" s="16"/>
      <c r="G1063" s="36">
        <f t="shared" si="672"/>
        <v>1</v>
      </c>
      <c r="H1063" s="17">
        <f t="shared" si="673"/>
        <v>3</v>
      </c>
      <c r="I1063" s="81">
        <v>45047</v>
      </c>
      <c r="J1063" s="35" t="s">
        <v>504</v>
      </c>
      <c r="K1063" s="15">
        <v>3</v>
      </c>
      <c r="L1063" s="16">
        <v>2</v>
      </c>
      <c r="M1063" s="36">
        <f t="shared" si="665"/>
        <v>5</v>
      </c>
      <c r="N1063" s="18">
        <v>3</v>
      </c>
      <c r="O1063" s="16">
        <v>2</v>
      </c>
      <c r="P1063" s="36">
        <f t="shared" si="666"/>
        <v>5</v>
      </c>
      <c r="Q1063" s="17">
        <f t="shared" si="667"/>
        <v>10</v>
      </c>
      <c r="R1063" s="81">
        <v>45057</v>
      </c>
    </row>
    <row r="1064" spans="1:18" x14ac:dyDescent="0.15">
      <c r="A1064" s="35" t="s">
        <v>33</v>
      </c>
      <c r="B1064" s="15"/>
      <c r="C1064" s="16"/>
      <c r="D1064" s="36">
        <f t="shared" si="671"/>
        <v>0</v>
      </c>
      <c r="E1064" s="18">
        <v>1</v>
      </c>
      <c r="F1064" s="16"/>
      <c r="G1064" s="36">
        <f t="shared" si="672"/>
        <v>1</v>
      </c>
      <c r="H1064" s="17">
        <f t="shared" si="673"/>
        <v>1</v>
      </c>
      <c r="I1064" s="81">
        <v>45048</v>
      </c>
      <c r="J1064" s="35" t="s">
        <v>505</v>
      </c>
      <c r="K1064" s="15"/>
      <c r="L1064" s="16">
        <v>7</v>
      </c>
      <c r="M1064" s="36">
        <f t="shared" si="665"/>
        <v>7</v>
      </c>
      <c r="N1064" s="18"/>
      <c r="O1064" s="16">
        <v>7</v>
      </c>
      <c r="P1064" s="36">
        <f t="shared" si="666"/>
        <v>7</v>
      </c>
      <c r="Q1064" s="17">
        <f t="shared" si="667"/>
        <v>14</v>
      </c>
      <c r="R1064" s="81">
        <v>45058</v>
      </c>
    </row>
    <row r="1065" spans="1:18" x14ac:dyDescent="0.15">
      <c r="A1065" s="35" t="s">
        <v>33</v>
      </c>
      <c r="B1065" s="15">
        <v>1</v>
      </c>
      <c r="C1065" s="16"/>
      <c r="D1065" s="36">
        <f t="shared" si="671"/>
        <v>1</v>
      </c>
      <c r="E1065" s="18">
        <v>1</v>
      </c>
      <c r="F1065" s="16">
        <f>1+6+2</f>
        <v>9</v>
      </c>
      <c r="G1065" s="36">
        <f t="shared" si="672"/>
        <v>10</v>
      </c>
      <c r="H1065" s="17">
        <f t="shared" si="673"/>
        <v>11</v>
      </c>
      <c r="I1065" s="81">
        <v>45054</v>
      </c>
      <c r="J1065" s="35" t="s">
        <v>506</v>
      </c>
      <c r="K1065" s="15">
        <v>1</v>
      </c>
      <c r="L1065" s="16">
        <v>10</v>
      </c>
      <c r="M1065" s="36">
        <f t="shared" si="665"/>
        <v>11</v>
      </c>
      <c r="N1065" s="18">
        <v>1</v>
      </c>
      <c r="O1065" s="16">
        <v>10</v>
      </c>
      <c r="P1065" s="36">
        <f t="shared" si="666"/>
        <v>11</v>
      </c>
      <c r="Q1065" s="17">
        <f t="shared" si="667"/>
        <v>22</v>
      </c>
      <c r="R1065" s="81">
        <v>45061</v>
      </c>
    </row>
    <row r="1066" spans="1:18" x14ac:dyDescent="0.15">
      <c r="A1066" s="35" t="s">
        <v>33</v>
      </c>
      <c r="B1066" s="15"/>
      <c r="C1066" s="16"/>
      <c r="D1066" s="36">
        <f t="shared" si="671"/>
        <v>0</v>
      </c>
      <c r="E1066" s="18">
        <v>2</v>
      </c>
      <c r="F1066" s="16">
        <v>4</v>
      </c>
      <c r="G1066" s="36">
        <f t="shared" si="672"/>
        <v>6</v>
      </c>
      <c r="H1066" s="17">
        <f t="shared" si="673"/>
        <v>6</v>
      </c>
      <c r="I1066" s="81">
        <v>45056</v>
      </c>
      <c r="J1066" s="35" t="s">
        <v>509</v>
      </c>
      <c r="K1066" s="15">
        <v>6</v>
      </c>
      <c r="L1066" s="16">
        <v>8</v>
      </c>
      <c r="M1066" s="36">
        <f t="shared" si="665"/>
        <v>14</v>
      </c>
      <c r="N1066" s="18">
        <v>6</v>
      </c>
      <c r="O1066" s="16">
        <v>8</v>
      </c>
      <c r="P1066" s="36">
        <f t="shared" si="666"/>
        <v>14</v>
      </c>
      <c r="Q1066" s="17">
        <f t="shared" si="667"/>
        <v>28</v>
      </c>
      <c r="R1066" s="81">
        <v>45062</v>
      </c>
    </row>
    <row r="1067" spans="1:18" x14ac:dyDescent="0.15">
      <c r="A1067" s="35" t="s">
        <v>33</v>
      </c>
      <c r="B1067" s="15">
        <v>2</v>
      </c>
      <c r="C1067" s="16"/>
      <c r="D1067" s="36">
        <f t="shared" si="671"/>
        <v>2</v>
      </c>
      <c r="E1067" s="18"/>
      <c r="F1067" s="16"/>
      <c r="G1067" s="36">
        <f t="shared" si="672"/>
        <v>0</v>
      </c>
      <c r="H1067" s="17">
        <f t="shared" si="673"/>
        <v>2</v>
      </c>
      <c r="I1067" s="81">
        <v>45058</v>
      </c>
      <c r="J1067" s="52" t="s">
        <v>91</v>
      </c>
      <c r="K1067" s="15">
        <v>5</v>
      </c>
      <c r="L1067" s="16"/>
      <c r="M1067" s="36">
        <f t="shared" si="665"/>
        <v>5</v>
      </c>
      <c r="N1067" s="18">
        <v>5</v>
      </c>
      <c r="O1067" s="16">
        <v>10</v>
      </c>
      <c r="P1067" s="36">
        <f t="shared" si="666"/>
        <v>15</v>
      </c>
      <c r="Q1067" s="17">
        <f t="shared" si="667"/>
        <v>20</v>
      </c>
      <c r="R1067" s="81">
        <v>45062</v>
      </c>
    </row>
    <row r="1068" spans="1:18" x14ac:dyDescent="0.15">
      <c r="A1068" s="35" t="s">
        <v>33</v>
      </c>
      <c r="B1068" s="15"/>
      <c r="C1068" s="16"/>
      <c r="D1068" s="36">
        <f t="shared" si="671"/>
        <v>0</v>
      </c>
      <c r="E1068" s="18"/>
      <c r="F1068" s="16">
        <v>2</v>
      </c>
      <c r="G1068" s="36">
        <f t="shared" si="672"/>
        <v>2</v>
      </c>
      <c r="H1068" s="17">
        <f t="shared" si="673"/>
        <v>2</v>
      </c>
      <c r="I1068" s="81">
        <v>45059</v>
      </c>
      <c r="J1068" s="35" t="s">
        <v>510</v>
      </c>
      <c r="K1068" s="15"/>
      <c r="L1068" s="16">
        <v>3</v>
      </c>
      <c r="M1068" s="36">
        <f t="shared" si="665"/>
        <v>3</v>
      </c>
      <c r="N1068" s="18"/>
      <c r="O1068" s="16">
        <v>3</v>
      </c>
      <c r="P1068" s="36">
        <f t="shared" si="666"/>
        <v>3</v>
      </c>
      <c r="Q1068" s="17">
        <f t="shared" si="667"/>
        <v>6</v>
      </c>
      <c r="R1068" s="81">
        <v>45063</v>
      </c>
    </row>
    <row r="1069" spans="1:18" x14ac:dyDescent="0.15">
      <c r="A1069" s="35" t="s">
        <v>33</v>
      </c>
      <c r="B1069" s="15"/>
      <c r="C1069" s="16"/>
      <c r="D1069" s="36">
        <f t="shared" si="671"/>
        <v>0</v>
      </c>
      <c r="E1069" s="18">
        <v>2</v>
      </c>
      <c r="F1069" s="16">
        <v>2</v>
      </c>
      <c r="G1069" s="36">
        <f t="shared" si="672"/>
        <v>4</v>
      </c>
      <c r="H1069" s="17">
        <f t="shared" si="673"/>
        <v>4</v>
      </c>
      <c r="I1069" s="81">
        <v>45061</v>
      </c>
      <c r="J1069" s="35"/>
      <c r="K1069" s="15"/>
      <c r="L1069" s="16"/>
      <c r="M1069" s="36">
        <f t="shared" ref="M1069" si="677">SUM(K1069:L1069)</f>
        <v>0</v>
      </c>
      <c r="N1069" s="18"/>
      <c r="O1069" s="16"/>
      <c r="P1069" s="36">
        <f t="shared" ref="P1069" si="678">SUM(N1069:O1069)</f>
        <v>0</v>
      </c>
      <c r="Q1069" s="17">
        <f t="shared" ref="Q1069" si="679">M1069+P1069</f>
        <v>0</v>
      </c>
      <c r="R1069" s="81"/>
    </row>
    <row r="1070" spans="1:18" x14ac:dyDescent="0.15">
      <c r="A1070" s="35" t="s">
        <v>33</v>
      </c>
      <c r="B1070" s="15">
        <f>1+1</f>
        <v>2</v>
      </c>
      <c r="C1070" s="16">
        <v>1</v>
      </c>
      <c r="D1070" s="36">
        <f t="shared" si="671"/>
        <v>3</v>
      </c>
      <c r="E1070" s="18">
        <v>1</v>
      </c>
      <c r="F1070" s="16"/>
      <c r="G1070" s="36">
        <f t="shared" si="672"/>
        <v>1</v>
      </c>
      <c r="H1070" s="17">
        <f t="shared" si="673"/>
        <v>4</v>
      </c>
      <c r="I1070" s="81">
        <v>45062</v>
      </c>
      <c r="J1070" s="35" t="s">
        <v>470</v>
      </c>
      <c r="K1070" s="15"/>
      <c r="L1070" s="16"/>
      <c r="M1070" s="36">
        <f t="shared" si="665"/>
        <v>0</v>
      </c>
      <c r="N1070" s="18"/>
      <c r="O1070" s="16"/>
      <c r="P1070" s="36">
        <f t="shared" si="666"/>
        <v>0</v>
      </c>
      <c r="Q1070" s="17">
        <f t="shared" si="667"/>
        <v>0</v>
      </c>
      <c r="R1070" s="81" t="s">
        <v>471</v>
      </c>
    </row>
    <row r="1071" spans="1:18" ht="14.25" thickBot="1" x14ac:dyDescent="0.2">
      <c r="A1071" s="35" t="s">
        <v>33</v>
      </c>
      <c r="B1071" s="15">
        <v>2</v>
      </c>
      <c r="C1071" s="16"/>
      <c r="D1071" s="36">
        <f t="shared" si="662"/>
        <v>2</v>
      </c>
      <c r="E1071" s="18"/>
      <c r="F1071" s="16"/>
      <c r="G1071" s="36">
        <f t="shared" si="663"/>
        <v>0</v>
      </c>
      <c r="H1071" s="17">
        <f t="shared" si="664"/>
        <v>2</v>
      </c>
      <c r="I1071" s="84">
        <v>45063</v>
      </c>
      <c r="J1071" s="35" t="s">
        <v>460</v>
      </c>
      <c r="K1071" s="15"/>
      <c r="L1071" s="16"/>
      <c r="M1071" s="36">
        <f t="shared" si="665"/>
        <v>0</v>
      </c>
      <c r="N1071" s="18"/>
      <c r="O1071" s="16"/>
      <c r="P1071" s="36">
        <f t="shared" si="666"/>
        <v>0</v>
      </c>
      <c r="Q1071" s="17">
        <f t="shared" si="667"/>
        <v>0</v>
      </c>
      <c r="R1071" s="81" t="s">
        <v>461</v>
      </c>
    </row>
    <row r="1072" spans="1:18" ht="14.25" thickBot="1" x14ac:dyDescent="0.2">
      <c r="A1072" s="40" t="s">
        <v>14</v>
      </c>
      <c r="B1072" s="41">
        <f>SUM(B1046:B1071)</f>
        <v>35</v>
      </c>
      <c r="C1072" s="42">
        <f t="shared" ref="C1072" si="680">SUM(C1046:C1071)</f>
        <v>18</v>
      </c>
      <c r="D1072" s="43">
        <f t="shared" si="662"/>
        <v>53</v>
      </c>
      <c r="E1072" s="41">
        <f>SUM(E1046:E1071)</f>
        <v>17</v>
      </c>
      <c r="F1072" s="42">
        <f t="shared" ref="F1072" si="681">SUM(F1046:F1071)</f>
        <v>31</v>
      </c>
      <c r="G1072" s="43">
        <f t="shared" si="663"/>
        <v>48</v>
      </c>
      <c r="H1072" s="43">
        <f t="shared" si="664"/>
        <v>101</v>
      </c>
      <c r="J1072" s="40" t="s">
        <v>14</v>
      </c>
      <c r="K1072" s="41">
        <f>SUM(K1046:K1071)</f>
        <v>99</v>
      </c>
      <c r="L1072" s="42">
        <f t="shared" ref="L1072" si="682">SUM(L1046:L1071)</f>
        <v>79</v>
      </c>
      <c r="M1072" s="43">
        <f t="shared" si="665"/>
        <v>178</v>
      </c>
      <c r="N1072" s="41">
        <f>SUM(N1046:N1071)</f>
        <v>94</v>
      </c>
      <c r="O1072" s="42">
        <f t="shared" ref="O1072" si="683">SUM(O1046:O1071)</f>
        <v>99</v>
      </c>
      <c r="P1072" s="43">
        <f t="shared" si="666"/>
        <v>193</v>
      </c>
      <c r="Q1072" s="43">
        <f t="shared" si="667"/>
        <v>371</v>
      </c>
    </row>
    <row r="1073" spans="1:18" ht="14.25" thickBot="1" x14ac:dyDescent="0.2">
      <c r="A1073" s="44" t="s">
        <v>15</v>
      </c>
      <c r="B1073" s="45">
        <f>B1045-B1072</f>
        <v>9</v>
      </c>
      <c r="C1073" s="46">
        <f t="shared" ref="C1073" si="684">C1045-C1072</f>
        <v>11</v>
      </c>
      <c r="D1073" s="47">
        <f t="shared" si="662"/>
        <v>20</v>
      </c>
      <c r="E1073" s="45">
        <f>E1045-E1072</f>
        <v>14</v>
      </c>
      <c r="F1073" s="46">
        <f t="shared" ref="F1073" si="685">F1045-F1072</f>
        <v>14</v>
      </c>
      <c r="G1073" s="47">
        <f t="shared" si="663"/>
        <v>28</v>
      </c>
      <c r="H1073" s="34">
        <f t="shared" si="664"/>
        <v>48</v>
      </c>
      <c r="J1073" s="44" t="s">
        <v>15</v>
      </c>
      <c r="K1073" s="45">
        <f>K1045-K1072</f>
        <v>1281</v>
      </c>
      <c r="L1073" s="46">
        <f t="shared" ref="L1073" si="686">L1045-L1072</f>
        <v>745</v>
      </c>
      <c r="M1073" s="47">
        <f t="shared" si="665"/>
        <v>2026</v>
      </c>
      <c r="N1073" s="45">
        <f>N1045-N1072</f>
        <v>1306</v>
      </c>
      <c r="O1073" s="46">
        <f t="shared" ref="O1073" si="687">O1045-O1072</f>
        <v>353</v>
      </c>
      <c r="P1073" s="47">
        <f t="shared" si="666"/>
        <v>1659</v>
      </c>
      <c r="Q1073" s="34">
        <f t="shared" si="667"/>
        <v>3685</v>
      </c>
    </row>
    <row r="1076" spans="1:18" ht="19.5" thickBot="1" x14ac:dyDescent="0.25">
      <c r="A1076" s="1" t="s">
        <v>23</v>
      </c>
      <c r="J1076" s="1" t="s">
        <v>24</v>
      </c>
      <c r="K1076" s="2"/>
      <c r="L1076" s="2"/>
      <c r="M1076" s="2"/>
      <c r="N1076" s="2"/>
      <c r="O1076" s="1" t="s">
        <v>34</v>
      </c>
      <c r="P1076" s="2"/>
      <c r="Q1076" s="2"/>
    </row>
    <row r="1077" spans="1:18" ht="14.25" thickBot="1" x14ac:dyDescent="0.2">
      <c r="A1077" s="3" t="s">
        <v>0</v>
      </c>
      <c r="B1077" s="125" t="s">
        <v>18</v>
      </c>
      <c r="C1077" s="126"/>
      <c r="D1077" s="127"/>
      <c r="E1077" s="125" t="s">
        <v>19</v>
      </c>
      <c r="F1077" s="126"/>
      <c r="G1077" s="128"/>
      <c r="H1077" s="129" t="s">
        <v>1</v>
      </c>
      <c r="J1077" s="3" t="s">
        <v>0</v>
      </c>
      <c r="K1077" s="125" t="s">
        <v>18</v>
      </c>
      <c r="L1077" s="126"/>
      <c r="M1077" s="127"/>
      <c r="N1077" s="125" t="s">
        <v>19</v>
      </c>
      <c r="O1077" s="126"/>
      <c r="P1077" s="128"/>
      <c r="Q1077" s="129" t="s">
        <v>1</v>
      </c>
    </row>
    <row r="1078" spans="1:18" ht="14.25" thickBot="1" x14ac:dyDescent="0.2">
      <c r="A1078" s="3" t="s">
        <v>2</v>
      </c>
      <c r="B1078" s="4" t="s">
        <v>16</v>
      </c>
      <c r="C1078" s="5" t="s">
        <v>17</v>
      </c>
      <c r="D1078" s="3" t="s">
        <v>3</v>
      </c>
      <c r="E1078" s="4" t="s">
        <v>16</v>
      </c>
      <c r="F1078" s="5" t="s">
        <v>17</v>
      </c>
      <c r="G1078" s="3" t="s">
        <v>3</v>
      </c>
      <c r="H1078" s="130"/>
      <c r="J1078" s="3" t="s">
        <v>2</v>
      </c>
      <c r="K1078" s="4" t="s">
        <v>16</v>
      </c>
      <c r="L1078" s="5" t="s">
        <v>17</v>
      </c>
      <c r="M1078" s="3" t="s">
        <v>3</v>
      </c>
      <c r="N1078" s="4" t="s">
        <v>16</v>
      </c>
      <c r="O1078" s="5" t="s">
        <v>17</v>
      </c>
      <c r="P1078" s="3" t="s">
        <v>3</v>
      </c>
      <c r="Q1078" s="130"/>
    </row>
    <row r="1079" spans="1:18" ht="14.25" thickBot="1" x14ac:dyDescent="0.2">
      <c r="A1079" s="6" t="s">
        <v>55</v>
      </c>
      <c r="B1079" s="32">
        <f>B1073</f>
        <v>9</v>
      </c>
      <c r="C1079" s="33">
        <f>C1073</f>
        <v>11</v>
      </c>
      <c r="D1079" s="34">
        <f t="shared" ref="D1079:D1116" si="688">SUM(B1079:C1079)</f>
        <v>20</v>
      </c>
      <c r="E1079" s="32">
        <f>E1073</f>
        <v>14</v>
      </c>
      <c r="F1079" s="33">
        <f>F1073</f>
        <v>14</v>
      </c>
      <c r="G1079" s="34">
        <f t="shared" ref="G1079:G1116" si="689">SUM(E1079:F1079)</f>
        <v>28</v>
      </c>
      <c r="H1079" s="34">
        <f t="shared" ref="H1079:H1116" si="690">D1079+G1079</f>
        <v>48</v>
      </c>
      <c r="J1079" s="6" t="s">
        <v>55</v>
      </c>
      <c r="K1079" s="7">
        <f>K1073</f>
        <v>1281</v>
      </c>
      <c r="L1079" s="8">
        <f>L1073</f>
        <v>745</v>
      </c>
      <c r="M1079" s="9">
        <f t="shared" ref="M1079:M1116" si="691">SUM(K1079:L1079)</f>
        <v>2026</v>
      </c>
      <c r="N1079" s="7">
        <f>N1073</f>
        <v>1306</v>
      </c>
      <c r="O1079" s="8">
        <f>O1073</f>
        <v>353</v>
      </c>
      <c r="P1079" s="9">
        <f t="shared" ref="P1079:P1116" si="692">SUM(N1079:O1079)</f>
        <v>1659</v>
      </c>
      <c r="Q1079" s="9">
        <f t="shared" ref="Q1079:Q1116" si="693">M1079+P1079</f>
        <v>3685</v>
      </c>
    </row>
    <row r="1080" spans="1:18" x14ac:dyDescent="0.15">
      <c r="A1080" s="10" t="s">
        <v>5</v>
      </c>
      <c r="B1080" s="23">
        <v>5</v>
      </c>
      <c r="C1080" s="24"/>
      <c r="D1080" s="17">
        <f t="shared" si="688"/>
        <v>5</v>
      </c>
      <c r="E1080" s="25"/>
      <c r="F1080" s="24"/>
      <c r="G1080" s="17">
        <f t="shared" si="689"/>
        <v>0</v>
      </c>
      <c r="H1080" s="17">
        <f t="shared" si="690"/>
        <v>5</v>
      </c>
      <c r="I1080" s="81">
        <v>45070</v>
      </c>
      <c r="J1080" s="94" t="s">
        <v>5</v>
      </c>
      <c r="K1080" s="48"/>
      <c r="L1080" s="49"/>
      <c r="M1080" s="50">
        <f t="shared" si="691"/>
        <v>0</v>
      </c>
      <c r="N1080" s="51"/>
      <c r="O1080" s="49"/>
      <c r="P1080" s="50">
        <f t="shared" si="692"/>
        <v>0</v>
      </c>
      <c r="Q1080" s="13">
        <f t="shared" si="693"/>
        <v>0</v>
      </c>
    </row>
    <row r="1081" spans="1:18" x14ac:dyDescent="0.15">
      <c r="A1081" s="10" t="s">
        <v>6</v>
      </c>
      <c r="B1081" s="23">
        <v>9</v>
      </c>
      <c r="C1081" s="24"/>
      <c r="D1081" s="17">
        <f t="shared" si="688"/>
        <v>9</v>
      </c>
      <c r="E1081" s="25">
        <v>5</v>
      </c>
      <c r="F1081" s="24"/>
      <c r="G1081" s="17">
        <f t="shared" si="689"/>
        <v>5</v>
      </c>
      <c r="H1081" s="17">
        <f t="shared" si="690"/>
        <v>14</v>
      </c>
      <c r="I1081" s="81">
        <v>45076</v>
      </c>
      <c r="J1081" s="10" t="s">
        <v>6</v>
      </c>
      <c r="K1081" s="19"/>
      <c r="L1081" s="20"/>
      <c r="M1081" s="17">
        <f t="shared" si="691"/>
        <v>0</v>
      </c>
      <c r="N1081" s="21"/>
      <c r="O1081" s="20"/>
      <c r="P1081" s="17">
        <f t="shared" si="692"/>
        <v>0</v>
      </c>
      <c r="Q1081" s="17">
        <f t="shared" si="693"/>
        <v>0</v>
      </c>
      <c r="R1081" s="81"/>
    </row>
    <row r="1082" spans="1:18" x14ac:dyDescent="0.15">
      <c r="A1082" s="10" t="s">
        <v>61</v>
      </c>
      <c r="B1082" s="23">
        <v>1</v>
      </c>
      <c r="C1082" s="24">
        <v>1</v>
      </c>
      <c r="D1082" s="17">
        <f t="shared" si="688"/>
        <v>2</v>
      </c>
      <c r="E1082" s="25">
        <v>2</v>
      </c>
      <c r="F1082" s="24"/>
      <c r="G1082" s="17">
        <f t="shared" si="689"/>
        <v>2</v>
      </c>
      <c r="H1082" s="17">
        <f t="shared" si="690"/>
        <v>4</v>
      </c>
      <c r="I1082" s="81">
        <v>45072</v>
      </c>
      <c r="J1082" s="10" t="s">
        <v>7</v>
      </c>
      <c r="K1082" s="19"/>
      <c r="L1082" s="20"/>
      <c r="M1082" s="17">
        <f t="shared" si="691"/>
        <v>0</v>
      </c>
      <c r="N1082" s="21"/>
      <c r="O1082" s="20"/>
      <c r="P1082" s="17">
        <f t="shared" si="692"/>
        <v>0</v>
      </c>
      <c r="Q1082" s="17">
        <f t="shared" si="693"/>
        <v>0</v>
      </c>
      <c r="R1082" s="81"/>
    </row>
    <row r="1083" spans="1:18" x14ac:dyDescent="0.15">
      <c r="A1083" s="10" t="s">
        <v>8</v>
      </c>
      <c r="B1083" s="23">
        <v>5</v>
      </c>
      <c r="C1083" s="24">
        <v>5</v>
      </c>
      <c r="D1083" s="17">
        <f t="shared" si="688"/>
        <v>10</v>
      </c>
      <c r="E1083" s="25">
        <v>5</v>
      </c>
      <c r="F1083" s="24">
        <v>5</v>
      </c>
      <c r="G1083" s="17">
        <f t="shared" si="689"/>
        <v>10</v>
      </c>
      <c r="H1083" s="17">
        <f t="shared" si="690"/>
        <v>20</v>
      </c>
      <c r="I1083" s="81">
        <v>45085</v>
      </c>
      <c r="J1083" s="10" t="s">
        <v>8</v>
      </c>
      <c r="K1083" s="15"/>
      <c r="L1083" s="16"/>
      <c r="M1083" s="17">
        <f t="shared" si="691"/>
        <v>0</v>
      </c>
      <c r="N1083" s="18"/>
      <c r="O1083" s="16"/>
      <c r="P1083" s="17">
        <f t="shared" si="692"/>
        <v>0</v>
      </c>
      <c r="Q1083" s="17">
        <f t="shared" si="693"/>
        <v>0</v>
      </c>
      <c r="R1083" s="83"/>
    </row>
    <row r="1084" spans="1:18" x14ac:dyDescent="0.15">
      <c r="A1084" s="10" t="s">
        <v>9</v>
      </c>
      <c r="B1084" s="23">
        <v>10</v>
      </c>
      <c r="C1084" s="24">
        <v>10</v>
      </c>
      <c r="D1084" s="17">
        <f t="shared" si="688"/>
        <v>20</v>
      </c>
      <c r="E1084" s="25">
        <v>10</v>
      </c>
      <c r="F1084" s="24">
        <v>10</v>
      </c>
      <c r="G1084" s="17">
        <f t="shared" si="689"/>
        <v>20</v>
      </c>
      <c r="H1084" s="17">
        <f t="shared" si="690"/>
        <v>40</v>
      </c>
      <c r="I1084" s="81">
        <v>45089</v>
      </c>
      <c r="J1084" s="10" t="s">
        <v>9</v>
      </c>
      <c r="K1084" s="15"/>
      <c r="L1084" s="16"/>
      <c r="M1084" s="17">
        <f t="shared" si="691"/>
        <v>0</v>
      </c>
      <c r="N1084" s="18"/>
      <c r="O1084" s="16"/>
      <c r="P1084" s="17">
        <f t="shared" si="692"/>
        <v>0</v>
      </c>
      <c r="Q1084" s="17">
        <f t="shared" si="693"/>
        <v>0</v>
      </c>
      <c r="R1084" s="83"/>
    </row>
    <row r="1085" spans="1:18" x14ac:dyDescent="0.15">
      <c r="A1085" s="10" t="s">
        <v>61</v>
      </c>
      <c r="B1085" s="23">
        <v>2</v>
      </c>
      <c r="C1085" s="24">
        <v>1</v>
      </c>
      <c r="D1085" s="17">
        <f t="shared" si="688"/>
        <v>3</v>
      </c>
      <c r="E1085" s="25">
        <v>2</v>
      </c>
      <c r="F1085" s="24">
        <v>1</v>
      </c>
      <c r="G1085" s="17">
        <f t="shared" si="689"/>
        <v>3</v>
      </c>
      <c r="H1085" s="17">
        <f t="shared" si="690"/>
        <v>6</v>
      </c>
      <c r="I1085" s="81">
        <v>45086</v>
      </c>
      <c r="J1085" s="10" t="s">
        <v>10</v>
      </c>
      <c r="K1085" s="15"/>
      <c r="L1085" s="16"/>
      <c r="M1085" s="17">
        <f t="shared" si="691"/>
        <v>0</v>
      </c>
      <c r="N1085" s="18"/>
      <c r="O1085" s="16"/>
      <c r="P1085" s="17">
        <f t="shared" si="692"/>
        <v>0</v>
      </c>
      <c r="Q1085" s="17">
        <f t="shared" si="693"/>
        <v>0</v>
      </c>
    </row>
    <row r="1086" spans="1:18" x14ac:dyDescent="0.15">
      <c r="A1086" s="10" t="s">
        <v>61</v>
      </c>
      <c r="B1086" s="23"/>
      <c r="C1086" s="24">
        <v>1</v>
      </c>
      <c r="D1086" s="17">
        <f t="shared" si="688"/>
        <v>1</v>
      </c>
      <c r="E1086" s="25"/>
      <c r="F1086" s="24">
        <v>1</v>
      </c>
      <c r="G1086" s="17">
        <f t="shared" si="689"/>
        <v>1</v>
      </c>
      <c r="H1086" s="17">
        <f t="shared" si="690"/>
        <v>2</v>
      </c>
      <c r="I1086" s="81">
        <v>45100</v>
      </c>
      <c r="J1086" s="10" t="s">
        <v>11</v>
      </c>
      <c r="K1086" s="23"/>
      <c r="L1086" s="24"/>
      <c r="M1086" s="17">
        <f t="shared" si="691"/>
        <v>0</v>
      </c>
      <c r="N1086" s="25"/>
      <c r="O1086" s="24"/>
      <c r="P1086" s="17">
        <f t="shared" si="692"/>
        <v>0</v>
      </c>
      <c r="Q1086" s="17">
        <f t="shared" si="693"/>
        <v>0</v>
      </c>
    </row>
    <row r="1087" spans="1:18" ht="14.25" thickBot="1" x14ac:dyDescent="0.2">
      <c r="A1087" s="10" t="s">
        <v>219</v>
      </c>
      <c r="B1087" s="26">
        <v>1</v>
      </c>
      <c r="C1087" s="27"/>
      <c r="D1087" s="28">
        <f t="shared" si="688"/>
        <v>1</v>
      </c>
      <c r="E1087" s="29"/>
      <c r="F1087" s="29">
        <v>1</v>
      </c>
      <c r="G1087" s="28">
        <f t="shared" si="689"/>
        <v>1</v>
      </c>
      <c r="H1087" s="30">
        <f t="shared" si="690"/>
        <v>2</v>
      </c>
      <c r="I1087" s="84">
        <v>45098</v>
      </c>
      <c r="J1087" s="10" t="s">
        <v>12</v>
      </c>
      <c r="K1087" s="26"/>
      <c r="L1087" s="27"/>
      <c r="M1087" s="28">
        <f t="shared" si="691"/>
        <v>0</v>
      </c>
      <c r="N1087" s="29"/>
      <c r="O1087" s="29"/>
      <c r="P1087" s="28">
        <f t="shared" si="692"/>
        <v>0</v>
      </c>
      <c r="Q1087" s="30">
        <f t="shared" si="693"/>
        <v>0</v>
      </c>
    </row>
    <row r="1088" spans="1:18" ht="14.25" thickBot="1" x14ac:dyDescent="0.2">
      <c r="A1088" s="31" t="s">
        <v>13</v>
      </c>
      <c r="B1088" s="32">
        <f>SUM(B1079:B1087)</f>
        <v>42</v>
      </c>
      <c r="C1088" s="33">
        <f>SUM(C1079:C1087)</f>
        <v>29</v>
      </c>
      <c r="D1088" s="34">
        <f t="shared" si="688"/>
        <v>71</v>
      </c>
      <c r="E1088" s="32">
        <f>SUM(E1079:E1087)</f>
        <v>38</v>
      </c>
      <c r="F1088" s="33">
        <f>SUM(F1079:F1087)</f>
        <v>32</v>
      </c>
      <c r="G1088" s="34">
        <f t="shared" si="689"/>
        <v>70</v>
      </c>
      <c r="H1088" s="34">
        <f t="shared" si="690"/>
        <v>141</v>
      </c>
      <c r="J1088" s="31" t="s">
        <v>13</v>
      </c>
      <c r="K1088" s="32">
        <f>SUM(K1079:K1087)</f>
        <v>1281</v>
      </c>
      <c r="L1088" s="33">
        <f>SUM(L1079:L1087)</f>
        <v>745</v>
      </c>
      <c r="M1088" s="34">
        <f t="shared" si="691"/>
        <v>2026</v>
      </c>
      <c r="N1088" s="32">
        <f>SUM(N1079:N1087)</f>
        <v>1306</v>
      </c>
      <c r="O1088" s="33">
        <f>SUM(O1079:O1087)</f>
        <v>353</v>
      </c>
      <c r="P1088" s="34">
        <f t="shared" si="692"/>
        <v>1659</v>
      </c>
      <c r="Q1088" s="34">
        <f t="shared" si="693"/>
        <v>3685</v>
      </c>
    </row>
    <row r="1089" spans="1:18" x14ac:dyDescent="0.15">
      <c r="A1089" s="35" t="s">
        <v>33</v>
      </c>
      <c r="B1089" s="15"/>
      <c r="C1089" s="16"/>
      <c r="D1089" s="36">
        <f t="shared" si="688"/>
        <v>0</v>
      </c>
      <c r="E1089" s="18">
        <v>2</v>
      </c>
      <c r="F1089" s="16"/>
      <c r="G1089" s="36">
        <f t="shared" si="689"/>
        <v>2</v>
      </c>
      <c r="H1089" s="17">
        <f t="shared" si="690"/>
        <v>2</v>
      </c>
      <c r="I1089" s="81">
        <v>45064</v>
      </c>
      <c r="J1089" s="35" t="s">
        <v>511</v>
      </c>
      <c r="K1089" s="19">
        <v>1</v>
      </c>
      <c r="L1089" s="20">
        <v>7</v>
      </c>
      <c r="M1089" s="17">
        <f t="shared" si="691"/>
        <v>8</v>
      </c>
      <c r="N1089" s="21">
        <v>1</v>
      </c>
      <c r="O1089" s="20">
        <v>7</v>
      </c>
      <c r="P1089" s="17">
        <f t="shared" si="692"/>
        <v>8</v>
      </c>
      <c r="Q1089" s="17">
        <f t="shared" si="693"/>
        <v>16</v>
      </c>
      <c r="R1089" s="81">
        <v>45064</v>
      </c>
    </row>
    <row r="1090" spans="1:18" x14ac:dyDescent="0.15">
      <c r="A1090" s="35" t="s">
        <v>33</v>
      </c>
      <c r="B1090" s="15">
        <v>2</v>
      </c>
      <c r="C1090" s="16"/>
      <c r="D1090" s="36">
        <f t="shared" si="688"/>
        <v>2</v>
      </c>
      <c r="E1090" s="18"/>
      <c r="F1090" s="16"/>
      <c r="G1090" s="36">
        <f t="shared" si="689"/>
        <v>0</v>
      </c>
      <c r="H1090" s="17">
        <f t="shared" si="690"/>
        <v>2</v>
      </c>
      <c r="I1090" s="81">
        <v>45065</v>
      </c>
      <c r="J1090" s="35" t="s">
        <v>512</v>
      </c>
      <c r="K1090" s="19">
        <v>12</v>
      </c>
      <c r="L1090" s="20">
        <v>8</v>
      </c>
      <c r="M1090" s="17">
        <f t="shared" si="691"/>
        <v>20</v>
      </c>
      <c r="N1090" s="21">
        <v>12</v>
      </c>
      <c r="O1090" s="20">
        <v>8</v>
      </c>
      <c r="P1090" s="17">
        <f t="shared" si="692"/>
        <v>20</v>
      </c>
      <c r="Q1090" s="17">
        <f t="shared" si="693"/>
        <v>40</v>
      </c>
      <c r="R1090" s="81">
        <v>45065</v>
      </c>
    </row>
    <row r="1091" spans="1:18" x14ac:dyDescent="0.15">
      <c r="A1091" s="35" t="s">
        <v>33</v>
      </c>
      <c r="B1091" s="15">
        <v>3</v>
      </c>
      <c r="C1091" s="16"/>
      <c r="D1091" s="36">
        <f t="shared" si="688"/>
        <v>3</v>
      </c>
      <c r="E1091" s="18"/>
      <c r="F1091" s="16"/>
      <c r="G1091" s="36">
        <f t="shared" si="689"/>
        <v>0</v>
      </c>
      <c r="H1091" s="17">
        <f t="shared" si="690"/>
        <v>3</v>
      </c>
      <c r="I1091" s="81">
        <v>45068</v>
      </c>
      <c r="J1091" s="52" t="s">
        <v>91</v>
      </c>
      <c r="K1091" s="19">
        <v>5</v>
      </c>
      <c r="L1091" s="20"/>
      <c r="M1091" s="17">
        <f t="shared" si="691"/>
        <v>5</v>
      </c>
      <c r="N1091" s="21"/>
      <c r="O1091" s="20"/>
      <c r="P1091" s="17">
        <f t="shared" si="692"/>
        <v>0</v>
      </c>
      <c r="Q1091" s="17">
        <f t="shared" si="693"/>
        <v>5</v>
      </c>
      <c r="R1091" s="81">
        <v>45070</v>
      </c>
    </row>
    <row r="1092" spans="1:18" x14ac:dyDescent="0.15">
      <c r="A1092" s="35" t="s">
        <v>33</v>
      </c>
      <c r="B1092" s="15">
        <v>2</v>
      </c>
      <c r="C1092" s="16"/>
      <c r="D1092" s="36">
        <f t="shared" si="688"/>
        <v>2</v>
      </c>
      <c r="E1092" s="18"/>
      <c r="F1092" s="16"/>
      <c r="G1092" s="36">
        <f t="shared" si="689"/>
        <v>0</v>
      </c>
      <c r="H1092" s="17">
        <f t="shared" si="690"/>
        <v>2</v>
      </c>
      <c r="I1092" s="81">
        <v>45070</v>
      </c>
      <c r="J1092" s="52" t="s">
        <v>91</v>
      </c>
      <c r="K1092" s="19">
        <v>9</v>
      </c>
      <c r="L1092" s="20"/>
      <c r="M1092" s="17">
        <f t="shared" si="691"/>
        <v>9</v>
      </c>
      <c r="N1092" s="21">
        <v>5</v>
      </c>
      <c r="O1092" s="20"/>
      <c r="P1092" s="17">
        <f t="shared" si="692"/>
        <v>5</v>
      </c>
      <c r="Q1092" s="17">
        <f t="shared" si="693"/>
        <v>14</v>
      </c>
      <c r="R1092" s="81">
        <v>45076</v>
      </c>
    </row>
    <row r="1093" spans="1:18" x14ac:dyDescent="0.15">
      <c r="A1093" s="35" t="s">
        <v>33</v>
      </c>
      <c r="B1093" s="15">
        <v>1</v>
      </c>
      <c r="C1093" s="16"/>
      <c r="D1093" s="36">
        <f t="shared" si="688"/>
        <v>1</v>
      </c>
      <c r="E1093" s="18">
        <v>1</v>
      </c>
      <c r="F1093" s="16"/>
      <c r="G1093" s="36">
        <f t="shared" si="689"/>
        <v>1</v>
      </c>
      <c r="H1093" s="17">
        <f t="shared" si="690"/>
        <v>2</v>
      </c>
      <c r="I1093" s="81">
        <v>45071</v>
      </c>
      <c r="J1093" s="52" t="s">
        <v>91</v>
      </c>
      <c r="K1093" s="19">
        <v>5</v>
      </c>
      <c r="L1093" s="20">
        <v>5</v>
      </c>
      <c r="M1093" s="17">
        <f t="shared" si="691"/>
        <v>10</v>
      </c>
      <c r="N1093" s="21">
        <v>5</v>
      </c>
      <c r="O1093" s="20">
        <v>5</v>
      </c>
      <c r="P1093" s="17">
        <f t="shared" si="692"/>
        <v>10</v>
      </c>
      <c r="Q1093" s="17">
        <f t="shared" si="693"/>
        <v>20</v>
      </c>
      <c r="R1093" s="81">
        <v>45085</v>
      </c>
    </row>
    <row r="1094" spans="1:18" x14ac:dyDescent="0.15">
      <c r="A1094" s="35" t="s">
        <v>283</v>
      </c>
      <c r="B1094" s="15"/>
      <c r="C1094" s="16"/>
      <c r="D1094" s="36">
        <f t="shared" si="688"/>
        <v>0</v>
      </c>
      <c r="E1094" s="18"/>
      <c r="F1094" s="16">
        <v>1</v>
      </c>
      <c r="G1094" s="36">
        <f t="shared" si="689"/>
        <v>1</v>
      </c>
      <c r="H1094" s="17">
        <f t="shared" si="690"/>
        <v>1</v>
      </c>
      <c r="I1094" s="81">
        <v>45073</v>
      </c>
      <c r="J1094" s="52" t="s">
        <v>91</v>
      </c>
      <c r="K1094" s="19">
        <v>10</v>
      </c>
      <c r="L1094" s="20">
        <v>10</v>
      </c>
      <c r="M1094" s="17">
        <f t="shared" si="691"/>
        <v>20</v>
      </c>
      <c r="N1094" s="21">
        <v>10</v>
      </c>
      <c r="O1094" s="20">
        <v>10</v>
      </c>
      <c r="P1094" s="17">
        <f t="shared" si="692"/>
        <v>20</v>
      </c>
      <c r="Q1094" s="17">
        <f t="shared" si="693"/>
        <v>40</v>
      </c>
      <c r="R1094" s="81">
        <v>45089</v>
      </c>
    </row>
    <row r="1095" spans="1:18" x14ac:dyDescent="0.15">
      <c r="A1095" s="35" t="s">
        <v>513</v>
      </c>
      <c r="B1095" s="15">
        <v>2</v>
      </c>
      <c r="C1095" s="16"/>
      <c r="D1095" s="36">
        <f t="shared" si="688"/>
        <v>2</v>
      </c>
      <c r="E1095" s="18">
        <v>2</v>
      </c>
      <c r="F1095" s="16"/>
      <c r="G1095" s="36">
        <f t="shared" si="689"/>
        <v>2</v>
      </c>
      <c r="H1095" s="17">
        <f t="shared" si="690"/>
        <v>4</v>
      </c>
      <c r="I1095" s="81">
        <v>45076</v>
      </c>
      <c r="J1095" s="35" t="s">
        <v>524</v>
      </c>
      <c r="K1095" s="19">
        <v>6</v>
      </c>
      <c r="L1095" s="20">
        <v>6</v>
      </c>
      <c r="M1095" s="17">
        <f t="shared" ref="M1095" si="694">SUM(K1095:L1095)</f>
        <v>12</v>
      </c>
      <c r="N1095" s="21">
        <v>6</v>
      </c>
      <c r="O1095" s="20">
        <v>6</v>
      </c>
      <c r="P1095" s="17">
        <f t="shared" ref="P1095" si="695">SUM(N1095:O1095)</f>
        <v>12</v>
      </c>
      <c r="Q1095" s="17">
        <f t="shared" ref="Q1095" si="696">M1095+P1095</f>
        <v>24</v>
      </c>
      <c r="R1095" s="81">
        <v>45098</v>
      </c>
    </row>
    <row r="1096" spans="1:18" x14ac:dyDescent="0.15">
      <c r="A1096" s="35" t="s">
        <v>33</v>
      </c>
      <c r="B1096" s="15">
        <v>2</v>
      </c>
      <c r="C1096" s="16">
        <v>1</v>
      </c>
      <c r="D1096" s="36">
        <f t="shared" si="688"/>
        <v>3</v>
      </c>
      <c r="E1096" s="18">
        <f>1+1</f>
        <v>2</v>
      </c>
      <c r="F1096" s="16">
        <v>1</v>
      </c>
      <c r="G1096" s="36">
        <f t="shared" si="689"/>
        <v>3</v>
      </c>
      <c r="H1096" s="17">
        <f t="shared" si="690"/>
        <v>6</v>
      </c>
      <c r="I1096" s="81">
        <v>45075</v>
      </c>
      <c r="J1096" s="35" t="s">
        <v>525</v>
      </c>
      <c r="K1096" s="19">
        <v>3</v>
      </c>
      <c r="L1096" s="20">
        <v>3</v>
      </c>
      <c r="M1096" s="17">
        <f t="shared" si="691"/>
        <v>6</v>
      </c>
      <c r="N1096" s="21">
        <v>3</v>
      </c>
      <c r="O1096" s="20">
        <v>3</v>
      </c>
      <c r="P1096" s="17">
        <f t="shared" si="692"/>
        <v>6</v>
      </c>
      <c r="Q1096" s="17">
        <f t="shared" si="693"/>
        <v>12</v>
      </c>
      <c r="R1096" s="81">
        <v>45100</v>
      </c>
    </row>
    <row r="1097" spans="1:18" x14ac:dyDescent="0.15">
      <c r="A1097" s="35" t="s">
        <v>514</v>
      </c>
      <c r="B1097" s="15"/>
      <c r="C1097" s="16">
        <v>1</v>
      </c>
      <c r="D1097" s="36">
        <f t="shared" si="688"/>
        <v>1</v>
      </c>
      <c r="E1097" s="18"/>
      <c r="F1097" s="16">
        <v>1</v>
      </c>
      <c r="G1097" s="36">
        <f t="shared" si="689"/>
        <v>1</v>
      </c>
      <c r="H1097" s="17">
        <f t="shared" si="690"/>
        <v>2</v>
      </c>
      <c r="I1097" s="81">
        <v>45077</v>
      </c>
      <c r="J1097" s="35"/>
      <c r="K1097" s="19"/>
      <c r="L1097" s="20"/>
      <c r="M1097" s="17">
        <f t="shared" si="691"/>
        <v>0</v>
      </c>
      <c r="N1097" s="21"/>
      <c r="O1097" s="20"/>
      <c r="P1097" s="17">
        <f t="shared" si="692"/>
        <v>0</v>
      </c>
      <c r="Q1097" s="17">
        <f t="shared" si="693"/>
        <v>0</v>
      </c>
      <c r="R1097" s="81"/>
    </row>
    <row r="1098" spans="1:18" x14ac:dyDescent="0.15">
      <c r="A1098" s="35" t="s">
        <v>33</v>
      </c>
      <c r="B1098" s="15">
        <v>2</v>
      </c>
      <c r="C1098" s="16"/>
      <c r="D1098" s="36">
        <f t="shared" si="688"/>
        <v>2</v>
      </c>
      <c r="E1098" s="18"/>
      <c r="F1098" s="16"/>
      <c r="G1098" s="36">
        <f t="shared" si="689"/>
        <v>0</v>
      </c>
      <c r="H1098" s="17">
        <f t="shared" si="690"/>
        <v>2</v>
      </c>
      <c r="I1098" s="81">
        <v>45076</v>
      </c>
      <c r="J1098" s="52"/>
      <c r="K1098" s="23"/>
      <c r="L1098" s="24"/>
      <c r="M1098" s="36">
        <f t="shared" si="691"/>
        <v>0</v>
      </c>
      <c r="N1098" s="25"/>
      <c r="O1098" s="24"/>
      <c r="P1098" s="36">
        <f t="shared" si="692"/>
        <v>0</v>
      </c>
      <c r="Q1098" s="17">
        <f t="shared" si="693"/>
        <v>0</v>
      </c>
      <c r="R1098" s="81"/>
    </row>
    <row r="1099" spans="1:18" x14ac:dyDescent="0.15">
      <c r="A1099" s="35" t="s">
        <v>33</v>
      </c>
      <c r="B1099" s="15">
        <v>1</v>
      </c>
      <c r="C1099" s="16"/>
      <c r="D1099" s="36">
        <f t="shared" si="688"/>
        <v>1</v>
      </c>
      <c r="E1099" s="18">
        <v>1</v>
      </c>
      <c r="F1099" s="16">
        <v>1</v>
      </c>
      <c r="G1099" s="36">
        <f t="shared" si="689"/>
        <v>2</v>
      </c>
      <c r="H1099" s="17">
        <f t="shared" si="690"/>
        <v>3</v>
      </c>
      <c r="I1099" s="81">
        <v>45077</v>
      </c>
      <c r="J1099" s="52"/>
      <c r="K1099" s="15"/>
      <c r="L1099" s="16"/>
      <c r="M1099" s="36">
        <f t="shared" si="691"/>
        <v>0</v>
      </c>
      <c r="N1099" s="18"/>
      <c r="O1099" s="16"/>
      <c r="P1099" s="36">
        <f t="shared" si="692"/>
        <v>0</v>
      </c>
      <c r="Q1099" s="17">
        <f t="shared" si="693"/>
        <v>0</v>
      </c>
      <c r="R1099" s="81"/>
    </row>
    <row r="1100" spans="1:18" x14ac:dyDescent="0.15">
      <c r="A1100" s="35" t="s">
        <v>283</v>
      </c>
      <c r="B1100" s="15">
        <v>1</v>
      </c>
      <c r="C1100" s="16"/>
      <c r="D1100" s="36">
        <f t="shared" si="688"/>
        <v>1</v>
      </c>
      <c r="E1100" s="18"/>
      <c r="F1100" s="16"/>
      <c r="G1100" s="36">
        <f t="shared" si="689"/>
        <v>0</v>
      </c>
      <c r="H1100" s="17">
        <f t="shared" si="690"/>
        <v>1</v>
      </c>
      <c r="I1100" s="81">
        <v>45079</v>
      </c>
      <c r="J1100" s="52"/>
      <c r="K1100" s="15"/>
      <c r="L1100" s="16"/>
      <c r="M1100" s="36">
        <f t="shared" si="691"/>
        <v>0</v>
      </c>
      <c r="N1100" s="18"/>
      <c r="O1100" s="16"/>
      <c r="P1100" s="36">
        <f t="shared" si="692"/>
        <v>0</v>
      </c>
      <c r="Q1100" s="17">
        <f t="shared" si="693"/>
        <v>0</v>
      </c>
      <c r="R1100" s="81"/>
    </row>
    <row r="1101" spans="1:18" x14ac:dyDescent="0.15">
      <c r="A1101" s="35" t="s">
        <v>33</v>
      </c>
      <c r="B1101" s="15"/>
      <c r="C1101" s="16"/>
      <c r="D1101" s="36">
        <f t="shared" si="688"/>
        <v>0</v>
      </c>
      <c r="E1101" s="18">
        <v>2</v>
      </c>
      <c r="F1101" s="16"/>
      <c r="G1101" s="36">
        <f t="shared" si="689"/>
        <v>2</v>
      </c>
      <c r="H1101" s="17">
        <f t="shared" si="690"/>
        <v>2</v>
      </c>
      <c r="I1101" s="81">
        <v>45078</v>
      </c>
      <c r="J1101" s="35"/>
      <c r="K1101" s="15"/>
      <c r="L1101" s="16"/>
      <c r="M1101" s="36">
        <f t="shared" si="691"/>
        <v>0</v>
      </c>
      <c r="N1101" s="18"/>
      <c r="O1101" s="16"/>
      <c r="P1101" s="36">
        <f t="shared" si="692"/>
        <v>0</v>
      </c>
      <c r="Q1101" s="17">
        <f t="shared" si="693"/>
        <v>0</v>
      </c>
      <c r="R1101" s="81"/>
    </row>
    <row r="1102" spans="1:18" x14ac:dyDescent="0.15">
      <c r="A1102" s="35" t="s">
        <v>33</v>
      </c>
      <c r="B1102" s="15">
        <v>2</v>
      </c>
      <c r="C1102" s="16">
        <v>1</v>
      </c>
      <c r="D1102" s="36">
        <f t="shared" si="688"/>
        <v>3</v>
      </c>
      <c r="E1102" s="18">
        <v>2</v>
      </c>
      <c r="F1102" s="16">
        <v>2</v>
      </c>
      <c r="G1102" s="36">
        <f t="shared" si="689"/>
        <v>4</v>
      </c>
      <c r="H1102" s="17">
        <f t="shared" si="690"/>
        <v>7</v>
      </c>
      <c r="I1102" s="81">
        <v>45082</v>
      </c>
      <c r="J1102" s="35"/>
      <c r="K1102" s="15"/>
      <c r="L1102" s="16"/>
      <c r="M1102" s="17">
        <f t="shared" si="691"/>
        <v>0</v>
      </c>
      <c r="N1102" s="18"/>
      <c r="O1102" s="16"/>
      <c r="P1102" s="17">
        <f t="shared" si="692"/>
        <v>0</v>
      </c>
      <c r="Q1102" s="17">
        <f t="shared" si="693"/>
        <v>0</v>
      </c>
      <c r="R1102" s="81"/>
    </row>
    <row r="1103" spans="1:18" x14ac:dyDescent="0.15">
      <c r="A1103" s="35" t="s">
        <v>33</v>
      </c>
      <c r="B1103" s="15">
        <v>2</v>
      </c>
      <c r="C1103" s="16">
        <v>1</v>
      </c>
      <c r="D1103" s="36">
        <f t="shared" si="688"/>
        <v>3</v>
      </c>
      <c r="E1103" s="18">
        <v>1</v>
      </c>
      <c r="F1103" s="16"/>
      <c r="G1103" s="36">
        <f t="shared" si="689"/>
        <v>1</v>
      </c>
      <c r="H1103" s="17">
        <f t="shared" si="690"/>
        <v>4</v>
      </c>
      <c r="I1103" s="81">
        <v>45083</v>
      </c>
      <c r="J1103" s="52"/>
      <c r="K1103" s="15"/>
      <c r="L1103" s="16"/>
      <c r="M1103" s="17">
        <f t="shared" si="691"/>
        <v>0</v>
      </c>
      <c r="N1103" s="18"/>
      <c r="O1103" s="16"/>
      <c r="P1103" s="17">
        <f t="shared" si="692"/>
        <v>0</v>
      </c>
      <c r="Q1103" s="17">
        <f t="shared" si="693"/>
        <v>0</v>
      </c>
      <c r="R1103" s="81"/>
    </row>
    <row r="1104" spans="1:18" x14ac:dyDescent="0.15">
      <c r="A1104" s="35" t="s">
        <v>517</v>
      </c>
      <c r="B1104" s="15"/>
      <c r="C1104" s="16">
        <v>1</v>
      </c>
      <c r="D1104" s="36">
        <f t="shared" si="688"/>
        <v>1</v>
      </c>
      <c r="E1104" s="18"/>
      <c r="F1104" s="16">
        <v>1</v>
      </c>
      <c r="G1104" s="36">
        <f t="shared" si="689"/>
        <v>1</v>
      </c>
      <c r="H1104" s="17">
        <f t="shared" si="690"/>
        <v>2</v>
      </c>
      <c r="I1104" s="81">
        <v>45085</v>
      </c>
      <c r="J1104" s="35"/>
      <c r="K1104" s="15"/>
      <c r="L1104" s="16"/>
      <c r="M1104" s="36">
        <f t="shared" si="691"/>
        <v>0</v>
      </c>
      <c r="N1104" s="18"/>
      <c r="O1104" s="16"/>
      <c r="P1104" s="36">
        <f t="shared" si="692"/>
        <v>0</v>
      </c>
      <c r="Q1104" s="17">
        <f t="shared" si="693"/>
        <v>0</v>
      </c>
      <c r="R1104" s="81"/>
    </row>
    <row r="1105" spans="1:18" x14ac:dyDescent="0.15">
      <c r="A1105" s="35" t="s">
        <v>33</v>
      </c>
      <c r="B1105" s="15"/>
      <c r="C1105" s="16"/>
      <c r="D1105" s="36">
        <f t="shared" si="688"/>
        <v>0</v>
      </c>
      <c r="E1105" s="18">
        <v>2</v>
      </c>
      <c r="F1105" s="16"/>
      <c r="G1105" s="36">
        <f t="shared" si="689"/>
        <v>2</v>
      </c>
      <c r="H1105" s="17">
        <f t="shared" si="690"/>
        <v>2</v>
      </c>
      <c r="I1105" s="81">
        <v>45084</v>
      </c>
      <c r="J1105" s="35"/>
      <c r="K1105" s="15"/>
      <c r="L1105" s="16"/>
      <c r="M1105" s="36">
        <f t="shared" si="691"/>
        <v>0</v>
      </c>
      <c r="N1105" s="18"/>
      <c r="O1105" s="16"/>
      <c r="P1105" s="36">
        <f t="shared" si="692"/>
        <v>0</v>
      </c>
      <c r="Q1105" s="17">
        <f t="shared" si="693"/>
        <v>0</v>
      </c>
      <c r="R1105" s="81"/>
    </row>
    <row r="1106" spans="1:18" x14ac:dyDescent="0.15">
      <c r="A1106" s="35" t="s">
        <v>33</v>
      </c>
      <c r="B1106" s="15"/>
      <c r="C1106" s="16">
        <v>2</v>
      </c>
      <c r="D1106" s="36">
        <f t="shared" si="688"/>
        <v>2</v>
      </c>
      <c r="E1106" s="18"/>
      <c r="F1106" s="16"/>
      <c r="G1106" s="36">
        <f t="shared" si="689"/>
        <v>0</v>
      </c>
      <c r="H1106" s="17">
        <f t="shared" si="690"/>
        <v>2</v>
      </c>
      <c r="I1106" s="81">
        <v>45085</v>
      </c>
      <c r="J1106" s="52"/>
      <c r="K1106" s="15"/>
      <c r="L1106" s="16"/>
      <c r="M1106" s="36">
        <f t="shared" si="691"/>
        <v>0</v>
      </c>
      <c r="N1106" s="18"/>
      <c r="O1106" s="16"/>
      <c r="P1106" s="36">
        <f t="shared" si="692"/>
        <v>0</v>
      </c>
      <c r="Q1106" s="17">
        <f t="shared" si="693"/>
        <v>0</v>
      </c>
      <c r="R1106" s="81"/>
    </row>
    <row r="1107" spans="1:18" x14ac:dyDescent="0.15">
      <c r="A1107" s="35" t="s">
        <v>33</v>
      </c>
      <c r="B1107" s="15">
        <f>2+2</f>
        <v>4</v>
      </c>
      <c r="C1107" s="16"/>
      <c r="D1107" s="36">
        <f t="shared" si="688"/>
        <v>4</v>
      </c>
      <c r="E1107" s="18"/>
      <c r="F1107" s="16">
        <v>1</v>
      </c>
      <c r="G1107" s="36">
        <f t="shared" si="689"/>
        <v>1</v>
      </c>
      <c r="H1107" s="17">
        <f t="shared" si="690"/>
        <v>5</v>
      </c>
      <c r="I1107" s="81">
        <v>45086</v>
      </c>
      <c r="J1107" s="35"/>
      <c r="K1107" s="15"/>
      <c r="L1107" s="16"/>
      <c r="M1107" s="36">
        <f t="shared" si="691"/>
        <v>0</v>
      </c>
      <c r="N1107" s="18"/>
      <c r="O1107" s="16"/>
      <c r="P1107" s="36">
        <f t="shared" si="692"/>
        <v>0</v>
      </c>
      <c r="Q1107" s="17">
        <f t="shared" si="693"/>
        <v>0</v>
      </c>
      <c r="R1107" s="81"/>
    </row>
    <row r="1108" spans="1:18" x14ac:dyDescent="0.15">
      <c r="A1108" s="35" t="s">
        <v>518</v>
      </c>
      <c r="B1108" s="15"/>
      <c r="C1108" s="16">
        <v>1</v>
      </c>
      <c r="D1108" s="36">
        <f t="shared" si="688"/>
        <v>1</v>
      </c>
      <c r="E1108" s="18"/>
      <c r="F1108" s="16">
        <v>1</v>
      </c>
      <c r="G1108" s="36">
        <f t="shared" si="689"/>
        <v>1</v>
      </c>
      <c r="H1108" s="17">
        <f t="shared" si="690"/>
        <v>2</v>
      </c>
      <c r="I1108" s="81">
        <v>45090</v>
      </c>
      <c r="J1108" s="35"/>
      <c r="K1108" s="15"/>
      <c r="L1108" s="16"/>
      <c r="M1108" s="36">
        <f t="shared" si="691"/>
        <v>0</v>
      </c>
      <c r="N1108" s="18"/>
      <c r="O1108" s="16"/>
      <c r="P1108" s="36">
        <f t="shared" si="692"/>
        <v>0</v>
      </c>
      <c r="Q1108" s="17">
        <f t="shared" si="693"/>
        <v>0</v>
      </c>
    </row>
    <row r="1109" spans="1:18" x14ac:dyDescent="0.15">
      <c r="A1109" s="35" t="s">
        <v>33</v>
      </c>
      <c r="B1109" s="15"/>
      <c r="C1109" s="16">
        <v>2</v>
      </c>
      <c r="D1109" s="36">
        <f t="shared" si="688"/>
        <v>2</v>
      </c>
      <c r="E1109" s="18">
        <v>1</v>
      </c>
      <c r="F1109" s="16">
        <v>2</v>
      </c>
      <c r="G1109" s="36">
        <f t="shared" si="689"/>
        <v>3</v>
      </c>
      <c r="H1109" s="17">
        <f t="shared" si="690"/>
        <v>5</v>
      </c>
      <c r="I1109" s="81">
        <v>45089</v>
      </c>
      <c r="J1109" s="35" t="s">
        <v>481</v>
      </c>
      <c r="K1109" s="15"/>
      <c r="L1109" s="16"/>
      <c r="M1109" s="36">
        <f t="shared" si="691"/>
        <v>0</v>
      </c>
      <c r="N1109" s="18"/>
      <c r="O1109" s="16"/>
      <c r="P1109" s="36">
        <f t="shared" si="692"/>
        <v>0</v>
      </c>
      <c r="Q1109" s="17">
        <f t="shared" si="693"/>
        <v>0</v>
      </c>
      <c r="R1109" s="81" t="s">
        <v>482</v>
      </c>
    </row>
    <row r="1110" spans="1:18" x14ac:dyDescent="0.15">
      <c r="A1110" s="35" t="s">
        <v>519</v>
      </c>
      <c r="B1110" s="15"/>
      <c r="C1110" s="16">
        <v>3</v>
      </c>
      <c r="D1110" s="36">
        <f t="shared" si="688"/>
        <v>3</v>
      </c>
      <c r="E1110" s="18"/>
      <c r="F1110" s="16">
        <v>3</v>
      </c>
      <c r="G1110" s="36">
        <f t="shared" si="689"/>
        <v>3</v>
      </c>
      <c r="H1110" s="17">
        <f t="shared" si="690"/>
        <v>6</v>
      </c>
      <c r="I1110" s="81">
        <v>45092</v>
      </c>
      <c r="J1110" s="35" t="s">
        <v>477</v>
      </c>
      <c r="K1110" s="15"/>
      <c r="L1110" s="16"/>
      <c r="M1110" s="36">
        <f t="shared" si="691"/>
        <v>0</v>
      </c>
      <c r="N1110" s="18"/>
      <c r="O1110" s="16"/>
      <c r="P1110" s="36">
        <f t="shared" si="692"/>
        <v>0</v>
      </c>
      <c r="Q1110" s="17">
        <f t="shared" si="693"/>
        <v>0</v>
      </c>
      <c r="R1110" s="81" t="s">
        <v>478</v>
      </c>
    </row>
    <row r="1111" spans="1:18" x14ac:dyDescent="0.15">
      <c r="A1111" s="35" t="s">
        <v>520</v>
      </c>
      <c r="B1111" s="15">
        <v>2</v>
      </c>
      <c r="C1111" s="16">
        <v>1</v>
      </c>
      <c r="D1111" s="36">
        <f t="shared" si="688"/>
        <v>3</v>
      </c>
      <c r="E1111" s="18">
        <v>2</v>
      </c>
      <c r="F1111" s="16">
        <v>1</v>
      </c>
      <c r="G1111" s="36">
        <f t="shared" si="689"/>
        <v>3</v>
      </c>
      <c r="H1111" s="17">
        <f t="shared" si="690"/>
        <v>6</v>
      </c>
      <c r="I1111" s="81">
        <v>45093</v>
      </c>
      <c r="J1111" s="35" t="s">
        <v>481</v>
      </c>
      <c r="K1111" s="15"/>
      <c r="L1111" s="16"/>
      <c r="M1111" s="36">
        <f t="shared" ref="M1111:M1113" si="697">SUM(K1111:L1111)</f>
        <v>0</v>
      </c>
      <c r="N1111" s="18"/>
      <c r="O1111" s="16"/>
      <c r="P1111" s="36">
        <f t="shared" ref="P1111:P1113" si="698">SUM(N1111:O1111)</f>
        <v>0</v>
      </c>
      <c r="Q1111" s="17">
        <f t="shared" ref="Q1111:Q1113" si="699">M1111+P1111</f>
        <v>0</v>
      </c>
      <c r="R1111" s="81" t="s">
        <v>482</v>
      </c>
    </row>
    <row r="1112" spans="1:18" x14ac:dyDescent="0.15">
      <c r="A1112" s="35" t="s">
        <v>33</v>
      </c>
      <c r="B1112" s="15">
        <v>2</v>
      </c>
      <c r="C1112" s="16"/>
      <c r="D1112" s="36">
        <f t="shared" si="688"/>
        <v>2</v>
      </c>
      <c r="E1112" s="18">
        <v>2</v>
      </c>
      <c r="F1112" s="16"/>
      <c r="G1112" s="36">
        <f t="shared" si="689"/>
        <v>2</v>
      </c>
      <c r="H1112" s="17">
        <f t="shared" si="690"/>
        <v>4</v>
      </c>
      <c r="I1112" s="81">
        <v>45092</v>
      </c>
      <c r="J1112" s="35" t="s">
        <v>515</v>
      </c>
      <c r="K1112" s="15"/>
      <c r="L1112" s="16"/>
      <c r="M1112" s="36">
        <f t="shared" ref="M1112" si="700">SUM(K1112:L1112)</f>
        <v>0</v>
      </c>
      <c r="N1112" s="18"/>
      <c r="O1112" s="16"/>
      <c r="P1112" s="36">
        <f t="shared" ref="P1112" si="701">SUM(N1112:O1112)</f>
        <v>0</v>
      </c>
      <c r="Q1112" s="17">
        <f t="shared" ref="Q1112" si="702">M1112+P1112</f>
        <v>0</v>
      </c>
      <c r="R1112" s="81" t="s">
        <v>516</v>
      </c>
    </row>
    <row r="1113" spans="1:18" x14ac:dyDescent="0.15">
      <c r="A1113" s="35" t="s">
        <v>33</v>
      </c>
      <c r="B1113" s="15">
        <v>1</v>
      </c>
      <c r="C1113" s="16"/>
      <c r="D1113" s="36">
        <f t="shared" si="688"/>
        <v>1</v>
      </c>
      <c r="E1113" s="18"/>
      <c r="F1113" s="16"/>
      <c r="G1113" s="36">
        <f t="shared" si="689"/>
        <v>0</v>
      </c>
      <c r="H1113" s="17">
        <f t="shared" si="690"/>
        <v>1</v>
      </c>
      <c r="I1113" s="81">
        <v>45097</v>
      </c>
      <c r="J1113" s="35" t="s">
        <v>483</v>
      </c>
      <c r="K1113" s="15"/>
      <c r="L1113" s="16"/>
      <c r="M1113" s="36">
        <f t="shared" si="697"/>
        <v>0</v>
      </c>
      <c r="N1113" s="18"/>
      <c r="O1113" s="16"/>
      <c r="P1113" s="36">
        <f t="shared" si="698"/>
        <v>0</v>
      </c>
      <c r="Q1113" s="17">
        <f t="shared" si="699"/>
        <v>0</v>
      </c>
      <c r="R1113" s="81" t="s">
        <v>484</v>
      </c>
    </row>
    <row r="1114" spans="1:18" ht="14.25" thickBot="1" x14ac:dyDescent="0.2">
      <c r="A1114" s="35" t="s">
        <v>33</v>
      </c>
      <c r="B1114" s="15"/>
      <c r="C1114" s="16"/>
      <c r="D1114" s="36">
        <f t="shared" si="688"/>
        <v>0</v>
      </c>
      <c r="E1114" s="18"/>
      <c r="F1114" s="16">
        <v>1</v>
      </c>
      <c r="G1114" s="36">
        <f t="shared" si="689"/>
        <v>1</v>
      </c>
      <c r="H1114" s="17">
        <f t="shared" si="690"/>
        <v>1</v>
      </c>
      <c r="I1114" s="81">
        <v>45098</v>
      </c>
      <c r="J1114" s="35" t="s">
        <v>507</v>
      </c>
      <c r="K1114" s="15"/>
      <c r="L1114" s="16"/>
      <c r="M1114" s="36">
        <f t="shared" si="691"/>
        <v>0</v>
      </c>
      <c r="N1114" s="18"/>
      <c r="O1114" s="16"/>
      <c r="P1114" s="36">
        <f t="shared" si="692"/>
        <v>0</v>
      </c>
      <c r="Q1114" s="17">
        <f t="shared" si="693"/>
        <v>0</v>
      </c>
      <c r="R1114" s="81" t="s">
        <v>508</v>
      </c>
    </row>
    <row r="1115" spans="1:18" ht="14.25" thickBot="1" x14ac:dyDescent="0.2">
      <c r="A1115" s="40" t="s">
        <v>14</v>
      </c>
      <c r="B1115" s="41">
        <f>SUM(B1089:B1114)</f>
        <v>29</v>
      </c>
      <c r="C1115" s="42">
        <f t="shared" ref="C1115" si="703">SUM(C1089:C1114)</f>
        <v>14</v>
      </c>
      <c r="D1115" s="43">
        <f t="shared" si="688"/>
        <v>43</v>
      </c>
      <c r="E1115" s="41">
        <f>SUM(E1089:E1114)</f>
        <v>20</v>
      </c>
      <c r="F1115" s="42">
        <f t="shared" ref="F1115" si="704">SUM(F1089:F1114)</f>
        <v>16</v>
      </c>
      <c r="G1115" s="43">
        <f t="shared" si="689"/>
        <v>36</v>
      </c>
      <c r="H1115" s="43">
        <f t="shared" si="690"/>
        <v>79</v>
      </c>
      <c r="J1115" s="40" t="s">
        <v>14</v>
      </c>
      <c r="K1115" s="41">
        <f>SUM(K1089:K1114)</f>
        <v>51</v>
      </c>
      <c r="L1115" s="42">
        <f t="shared" ref="L1115" si="705">SUM(L1089:L1114)</f>
        <v>39</v>
      </c>
      <c r="M1115" s="43">
        <f t="shared" si="691"/>
        <v>90</v>
      </c>
      <c r="N1115" s="41">
        <f>SUM(N1089:N1114)</f>
        <v>42</v>
      </c>
      <c r="O1115" s="42">
        <f t="shared" ref="O1115" si="706">SUM(O1089:O1114)</f>
        <v>39</v>
      </c>
      <c r="P1115" s="43">
        <f t="shared" si="692"/>
        <v>81</v>
      </c>
      <c r="Q1115" s="43">
        <f t="shared" si="693"/>
        <v>171</v>
      </c>
    </row>
    <row r="1116" spans="1:18" ht="14.25" thickBot="1" x14ac:dyDescent="0.2">
      <c r="A1116" s="44" t="s">
        <v>15</v>
      </c>
      <c r="B1116" s="45">
        <f>B1088-B1115</f>
        <v>13</v>
      </c>
      <c r="C1116" s="46">
        <f t="shared" ref="C1116" si="707">C1088-C1115</f>
        <v>15</v>
      </c>
      <c r="D1116" s="47">
        <f t="shared" si="688"/>
        <v>28</v>
      </c>
      <c r="E1116" s="45">
        <f>E1088-E1115</f>
        <v>18</v>
      </c>
      <c r="F1116" s="46">
        <f t="shared" ref="F1116" si="708">F1088-F1115</f>
        <v>16</v>
      </c>
      <c r="G1116" s="47">
        <f t="shared" si="689"/>
        <v>34</v>
      </c>
      <c r="H1116" s="34">
        <f t="shared" si="690"/>
        <v>62</v>
      </c>
      <c r="J1116" s="44" t="s">
        <v>15</v>
      </c>
      <c r="K1116" s="45">
        <f>K1088-K1115</f>
        <v>1230</v>
      </c>
      <c r="L1116" s="46">
        <f t="shared" ref="L1116" si="709">L1088-L1115</f>
        <v>706</v>
      </c>
      <c r="M1116" s="47">
        <f t="shared" si="691"/>
        <v>1936</v>
      </c>
      <c r="N1116" s="45">
        <f>N1088-N1115</f>
        <v>1264</v>
      </c>
      <c r="O1116" s="46">
        <f t="shared" ref="O1116" si="710">O1088-O1115</f>
        <v>314</v>
      </c>
      <c r="P1116" s="47">
        <f t="shared" si="692"/>
        <v>1578</v>
      </c>
      <c r="Q1116" s="34">
        <f t="shared" si="693"/>
        <v>3514</v>
      </c>
    </row>
    <row r="1119" spans="1:18" ht="19.5" thickBot="1" x14ac:dyDescent="0.25">
      <c r="A1119" s="1" t="s">
        <v>23</v>
      </c>
      <c r="J1119" s="1" t="s">
        <v>24</v>
      </c>
      <c r="K1119" s="2"/>
      <c r="L1119" s="2"/>
      <c r="M1119" s="2"/>
      <c r="N1119" s="2"/>
      <c r="O1119" s="1" t="s">
        <v>34</v>
      </c>
      <c r="P1119" s="2"/>
      <c r="Q1119" s="2"/>
    </row>
    <row r="1120" spans="1:18" ht="14.25" thickBot="1" x14ac:dyDescent="0.2">
      <c r="A1120" s="3" t="s">
        <v>0</v>
      </c>
      <c r="B1120" s="125" t="s">
        <v>18</v>
      </c>
      <c r="C1120" s="126"/>
      <c r="D1120" s="127"/>
      <c r="E1120" s="125" t="s">
        <v>19</v>
      </c>
      <c r="F1120" s="126"/>
      <c r="G1120" s="128"/>
      <c r="H1120" s="129" t="s">
        <v>1</v>
      </c>
      <c r="J1120" s="3" t="s">
        <v>0</v>
      </c>
      <c r="K1120" s="125" t="s">
        <v>18</v>
      </c>
      <c r="L1120" s="126"/>
      <c r="M1120" s="127"/>
      <c r="N1120" s="125" t="s">
        <v>19</v>
      </c>
      <c r="O1120" s="126"/>
      <c r="P1120" s="128"/>
      <c r="Q1120" s="129" t="s">
        <v>1</v>
      </c>
    </row>
    <row r="1121" spans="1:19" ht="14.25" thickBot="1" x14ac:dyDescent="0.2">
      <c r="A1121" s="3" t="s">
        <v>2</v>
      </c>
      <c r="B1121" s="4" t="s">
        <v>16</v>
      </c>
      <c r="C1121" s="5" t="s">
        <v>17</v>
      </c>
      <c r="D1121" s="3" t="s">
        <v>3</v>
      </c>
      <c r="E1121" s="4" t="s">
        <v>16</v>
      </c>
      <c r="F1121" s="5" t="s">
        <v>17</v>
      </c>
      <c r="G1121" s="3" t="s">
        <v>3</v>
      </c>
      <c r="H1121" s="130"/>
      <c r="J1121" s="3" t="s">
        <v>2</v>
      </c>
      <c r="K1121" s="4" t="s">
        <v>16</v>
      </c>
      <c r="L1121" s="5" t="s">
        <v>17</v>
      </c>
      <c r="M1121" s="3" t="s">
        <v>3</v>
      </c>
      <c r="N1121" s="4" t="s">
        <v>16</v>
      </c>
      <c r="O1121" s="5" t="s">
        <v>17</v>
      </c>
      <c r="P1121" s="3" t="s">
        <v>3</v>
      </c>
      <c r="Q1121" s="130"/>
    </row>
    <row r="1122" spans="1:19" ht="14.25" thickBot="1" x14ac:dyDescent="0.2">
      <c r="A1122" s="6" t="s">
        <v>55</v>
      </c>
      <c r="B1122" s="32">
        <f>B1116</f>
        <v>13</v>
      </c>
      <c r="C1122" s="33">
        <f>C1116</f>
        <v>15</v>
      </c>
      <c r="D1122" s="34">
        <f t="shared" ref="D1122:D1159" si="711">SUM(B1122:C1122)</f>
        <v>28</v>
      </c>
      <c r="E1122" s="32">
        <f>E1116</f>
        <v>18</v>
      </c>
      <c r="F1122" s="33">
        <f>F1116</f>
        <v>16</v>
      </c>
      <c r="G1122" s="34">
        <f t="shared" ref="G1122:G1159" si="712">SUM(E1122:F1122)</f>
        <v>34</v>
      </c>
      <c r="H1122" s="34">
        <f t="shared" ref="H1122:H1159" si="713">D1122+G1122</f>
        <v>62</v>
      </c>
      <c r="J1122" s="6" t="s">
        <v>55</v>
      </c>
      <c r="K1122" s="7">
        <f>K1116</f>
        <v>1230</v>
      </c>
      <c r="L1122" s="8">
        <f>L1116</f>
        <v>706</v>
      </c>
      <c r="M1122" s="9">
        <f t="shared" ref="M1122:M1159" si="714">SUM(K1122:L1122)</f>
        <v>1936</v>
      </c>
      <c r="N1122" s="7">
        <f>N1116</f>
        <v>1264</v>
      </c>
      <c r="O1122" s="8">
        <f>O1116</f>
        <v>314</v>
      </c>
      <c r="P1122" s="9">
        <f t="shared" ref="P1122:P1159" si="715">SUM(N1122:O1122)</f>
        <v>1578</v>
      </c>
      <c r="Q1122" s="9">
        <f t="shared" ref="Q1122:Q1159" si="716">M1122+P1122</f>
        <v>3514</v>
      </c>
    </row>
    <row r="1123" spans="1:19" x14ac:dyDescent="0.15">
      <c r="A1123" s="10" t="s">
        <v>5</v>
      </c>
      <c r="B1123" s="23">
        <v>15</v>
      </c>
      <c r="C1123" s="24">
        <v>15</v>
      </c>
      <c r="D1123" s="17">
        <f t="shared" ref="D1123:D1128" si="717">SUM(B1123:C1123)</f>
        <v>30</v>
      </c>
      <c r="E1123" s="25">
        <v>15</v>
      </c>
      <c r="F1123" s="24">
        <v>13</v>
      </c>
      <c r="G1123" s="17">
        <f t="shared" ref="G1123:G1128" si="718">SUM(E1123:F1123)</f>
        <v>28</v>
      </c>
      <c r="H1123" s="17">
        <f t="shared" ref="H1123:H1128" si="719">D1123+G1123</f>
        <v>58</v>
      </c>
      <c r="I1123" s="81">
        <v>45108</v>
      </c>
      <c r="J1123" s="94" t="s">
        <v>5</v>
      </c>
      <c r="K1123" s="48"/>
      <c r="L1123" s="49"/>
      <c r="M1123" s="50">
        <f t="shared" si="714"/>
        <v>0</v>
      </c>
      <c r="N1123" s="51"/>
      <c r="O1123" s="49"/>
      <c r="P1123" s="50">
        <f t="shared" si="715"/>
        <v>0</v>
      </c>
      <c r="Q1123" s="13">
        <f t="shared" si="716"/>
        <v>0</v>
      </c>
    </row>
    <row r="1124" spans="1:19" x14ac:dyDescent="0.15">
      <c r="A1124" s="10" t="s">
        <v>61</v>
      </c>
      <c r="B1124" s="23">
        <v>1</v>
      </c>
      <c r="C1124" s="24"/>
      <c r="D1124" s="17">
        <f t="shared" si="717"/>
        <v>1</v>
      </c>
      <c r="E1124" s="25">
        <v>1</v>
      </c>
      <c r="F1124" s="24"/>
      <c r="G1124" s="17">
        <f t="shared" si="718"/>
        <v>1</v>
      </c>
      <c r="H1124" s="17">
        <f t="shared" si="719"/>
        <v>2</v>
      </c>
      <c r="I1124" s="81">
        <v>45112</v>
      </c>
      <c r="J1124" s="10" t="s">
        <v>6</v>
      </c>
      <c r="K1124" s="19"/>
      <c r="L1124" s="20"/>
      <c r="M1124" s="17">
        <f t="shared" si="714"/>
        <v>0</v>
      </c>
      <c r="N1124" s="21"/>
      <c r="O1124" s="20"/>
      <c r="P1124" s="17">
        <f t="shared" si="715"/>
        <v>0</v>
      </c>
      <c r="Q1124" s="17">
        <f t="shared" si="716"/>
        <v>0</v>
      </c>
      <c r="R1124" s="81"/>
    </row>
    <row r="1125" spans="1:19" x14ac:dyDescent="0.15">
      <c r="A1125" s="10" t="s">
        <v>7</v>
      </c>
      <c r="B1125" s="23"/>
      <c r="C1125" s="24"/>
      <c r="D1125" s="17">
        <f t="shared" si="717"/>
        <v>0</v>
      </c>
      <c r="E1125" s="25"/>
      <c r="F1125" s="24">
        <v>10</v>
      </c>
      <c r="G1125" s="17">
        <f t="shared" si="718"/>
        <v>10</v>
      </c>
      <c r="H1125" s="17">
        <f t="shared" si="719"/>
        <v>10</v>
      </c>
      <c r="I1125" s="81">
        <v>45114</v>
      </c>
      <c r="J1125" s="10" t="s">
        <v>7</v>
      </c>
      <c r="K1125" s="19"/>
      <c r="L1125" s="20"/>
      <c r="M1125" s="17">
        <f t="shared" si="714"/>
        <v>0</v>
      </c>
      <c r="N1125" s="21"/>
      <c r="O1125" s="20"/>
      <c r="P1125" s="17">
        <f t="shared" si="715"/>
        <v>0</v>
      </c>
      <c r="Q1125" s="17">
        <f t="shared" si="716"/>
        <v>0</v>
      </c>
      <c r="R1125" s="81"/>
    </row>
    <row r="1126" spans="1:19" x14ac:dyDescent="0.15">
      <c r="A1126" s="10" t="s">
        <v>8</v>
      </c>
      <c r="B1126" s="23">
        <v>10</v>
      </c>
      <c r="C1126" s="24">
        <v>10</v>
      </c>
      <c r="D1126" s="17">
        <f t="shared" si="717"/>
        <v>20</v>
      </c>
      <c r="E1126" s="25">
        <v>5</v>
      </c>
      <c r="F1126" s="24">
        <v>5</v>
      </c>
      <c r="G1126" s="17">
        <f t="shared" si="718"/>
        <v>10</v>
      </c>
      <c r="H1126" s="17">
        <f t="shared" si="719"/>
        <v>30</v>
      </c>
      <c r="I1126" s="81">
        <v>45119</v>
      </c>
      <c r="J1126" s="10" t="s">
        <v>8</v>
      </c>
      <c r="K1126" s="15"/>
      <c r="L1126" s="16"/>
      <c r="M1126" s="17">
        <f t="shared" si="714"/>
        <v>0</v>
      </c>
      <c r="N1126" s="18"/>
      <c r="O1126" s="16"/>
      <c r="P1126" s="17">
        <f t="shared" si="715"/>
        <v>0</v>
      </c>
      <c r="Q1126" s="17">
        <f t="shared" si="716"/>
        <v>0</v>
      </c>
      <c r="R1126" s="83"/>
    </row>
    <row r="1127" spans="1:19" x14ac:dyDescent="0.15">
      <c r="A1127" s="10" t="s">
        <v>9</v>
      </c>
      <c r="B1127" s="23"/>
      <c r="C1127" s="24"/>
      <c r="D1127" s="17">
        <f t="shared" si="717"/>
        <v>0</v>
      </c>
      <c r="E1127" s="25"/>
      <c r="F1127" s="24"/>
      <c r="G1127" s="17">
        <f t="shared" si="718"/>
        <v>0</v>
      </c>
      <c r="H1127" s="17">
        <f t="shared" si="719"/>
        <v>0</v>
      </c>
      <c r="I1127" s="81"/>
      <c r="J1127" s="10" t="s">
        <v>9</v>
      </c>
      <c r="K1127" s="15"/>
      <c r="L1127" s="16"/>
      <c r="M1127" s="17">
        <f t="shared" si="714"/>
        <v>0</v>
      </c>
      <c r="N1127" s="18"/>
      <c r="O1127" s="16"/>
      <c r="P1127" s="17">
        <f t="shared" si="715"/>
        <v>0</v>
      </c>
      <c r="Q1127" s="17">
        <f t="shared" si="716"/>
        <v>0</v>
      </c>
      <c r="R1127" s="83"/>
    </row>
    <row r="1128" spans="1:19" x14ac:dyDescent="0.15">
      <c r="A1128" s="10" t="s">
        <v>10</v>
      </c>
      <c r="B1128" s="23"/>
      <c r="C1128" s="24"/>
      <c r="D1128" s="17">
        <f t="shared" si="717"/>
        <v>0</v>
      </c>
      <c r="E1128" s="25"/>
      <c r="F1128" s="24"/>
      <c r="G1128" s="17">
        <f t="shared" si="718"/>
        <v>0</v>
      </c>
      <c r="H1128" s="17">
        <f t="shared" si="719"/>
        <v>0</v>
      </c>
      <c r="I1128" s="81"/>
      <c r="J1128" s="10" t="s">
        <v>10</v>
      </c>
      <c r="K1128" s="15"/>
      <c r="L1128" s="16"/>
      <c r="M1128" s="17">
        <f t="shared" si="714"/>
        <v>0</v>
      </c>
      <c r="N1128" s="18"/>
      <c r="O1128" s="16"/>
      <c r="P1128" s="17">
        <f t="shared" si="715"/>
        <v>0</v>
      </c>
      <c r="Q1128" s="17">
        <f t="shared" si="716"/>
        <v>0</v>
      </c>
    </row>
    <row r="1129" spans="1:19" x14ac:dyDescent="0.15">
      <c r="A1129" s="10" t="s">
        <v>11</v>
      </c>
      <c r="B1129" s="23"/>
      <c r="C1129" s="24"/>
      <c r="D1129" s="17">
        <f t="shared" si="711"/>
        <v>0</v>
      </c>
      <c r="E1129" s="25"/>
      <c r="F1129" s="24"/>
      <c r="G1129" s="17">
        <f t="shared" si="712"/>
        <v>0</v>
      </c>
      <c r="H1129" s="17">
        <f t="shared" si="713"/>
        <v>0</v>
      </c>
      <c r="I1129" s="81"/>
      <c r="J1129" s="10" t="s">
        <v>11</v>
      </c>
      <c r="K1129" s="23"/>
      <c r="L1129" s="24"/>
      <c r="M1129" s="17">
        <f t="shared" si="714"/>
        <v>0</v>
      </c>
      <c r="N1129" s="25"/>
      <c r="O1129" s="24"/>
      <c r="P1129" s="17">
        <f t="shared" si="715"/>
        <v>0</v>
      </c>
      <c r="Q1129" s="17">
        <f t="shared" si="716"/>
        <v>0</v>
      </c>
    </row>
    <row r="1130" spans="1:19" ht="14.25" thickBot="1" x14ac:dyDescent="0.2">
      <c r="A1130" s="10" t="s">
        <v>12</v>
      </c>
      <c r="B1130" s="26"/>
      <c r="C1130" s="27"/>
      <c r="D1130" s="28">
        <f t="shared" si="711"/>
        <v>0</v>
      </c>
      <c r="E1130" s="29"/>
      <c r="F1130" s="29"/>
      <c r="G1130" s="28">
        <f t="shared" si="712"/>
        <v>0</v>
      </c>
      <c r="H1130" s="30">
        <f t="shared" si="713"/>
        <v>0</v>
      </c>
      <c r="J1130" s="10" t="s">
        <v>12</v>
      </c>
      <c r="K1130" s="26"/>
      <c r="L1130" s="27"/>
      <c r="M1130" s="28">
        <f t="shared" si="714"/>
        <v>0</v>
      </c>
      <c r="N1130" s="29"/>
      <c r="O1130" s="29"/>
      <c r="P1130" s="28">
        <f t="shared" si="715"/>
        <v>0</v>
      </c>
      <c r="Q1130" s="30">
        <f t="shared" si="716"/>
        <v>0</v>
      </c>
    </row>
    <row r="1131" spans="1:19" ht="14.25" thickBot="1" x14ac:dyDescent="0.2">
      <c r="A1131" s="31" t="s">
        <v>13</v>
      </c>
      <c r="B1131" s="32">
        <f>SUM(B1122:B1130)</f>
        <v>39</v>
      </c>
      <c r="C1131" s="33">
        <f>SUM(C1122:C1130)</f>
        <v>40</v>
      </c>
      <c r="D1131" s="34">
        <f t="shared" si="711"/>
        <v>79</v>
      </c>
      <c r="E1131" s="32">
        <f>SUM(E1122:E1130)</f>
        <v>39</v>
      </c>
      <c r="F1131" s="33">
        <f>SUM(F1122:F1130)</f>
        <v>44</v>
      </c>
      <c r="G1131" s="34">
        <f t="shared" si="712"/>
        <v>83</v>
      </c>
      <c r="H1131" s="34">
        <f t="shared" si="713"/>
        <v>162</v>
      </c>
      <c r="J1131" s="31" t="s">
        <v>13</v>
      </c>
      <c r="K1131" s="32">
        <f>SUM(K1122:K1130)</f>
        <v>1230</v>
      </c>
      <c r="L1131" s="33">
        <f>SUM(L1122:L1130)</f>
        <v>706</v>
      </c>
      <c r="M1131" s="34">
        <f t="shared" si="714"/>
        <v>1936</v>
      </c>
      <c r="N1131" s="32">
        <f>SUM(N1122:N1130)</f>
        <v>1264</v>
      </c>
      <c r="O1131" s="33">
        <f>SUM(O1122:O1130)</f>
        <v>314</v>
      </c>
      <c r="P1131" s="34">
        <f t="shared" si="715"/>
        <v>1578</v>
      </c>
      <c r="Q1131" s="34">
        <f t="shared" si="716"/>
        <v>3514</v>
      </c>
    </row>
    <row r="1132" spans="1:19" x14ac:dyDescent="0.15">
      <c r="A1132" s="35" t="s">
        <v>33</v>
      </c>
      <c r="B1132" s="15"/>
      <c r="C1132" s="16"/>
      <c r="D1132" s="36">
        <f t="shared" si="711"/>
        <v>0</v>
      </c>
      <c r="E1132" s="18">
        <v>2</v>
      </c>
      <c r="F1132" s="16"/>
      <c r="G1132" s="36">
        <f t="shared" si="712"/>
        <v>2</v>
      </c>
      <c r="H1132" s="17">
        <f t="shared" si="713"/>
        <v>2</v>
      </c>
      <c r="I1132" s="81">
        <v>45100</v>
      </c>
      <c r="J1132" s="35" t="s">
        <v>530</v>
      </c>
      <c r="K1132" s="19">
        <v>5</v>
      </c>
      <c r="L1132" s="20">
        <v>1</v>
      </c>
      <c r="M1132" s="17">
        <f t="shared" ref="M1132:M1139" si="720">SUM(K1132:L1132)</f>
        <v>6</v>
      </c>
      <c r="N1132" s="21">
        <v>5</v>
      </c>
      <c r="O1132" s="20">
        <v>1</v>
      </c>
      <c r="P1132" s="17">
        <f t="shared" ref="P1132:P1139" si="721">SUM(N1132:O1132)</f>
        <v>6</v>
      </c>
      <c r="Q1132" s="17">
        <f t="shared" ref="Q1132:Q1139" si="722">M1132+P1132</f>
        <v>12</v>
      </c>
      <c r="R1132" s="81">
        <v>45106</v>
      </c>
    </row>
    <row r="1133" spans="1:19" x14ac:dyDescent="0.15">
      <c r="A1133" s="35" t="s">
        <v>526</v>
      </c>
      <c r="B1133" s="15"/>
      <c r="C1133" s="16">
        <v>1</v>
      </c>
      <c r="D1133" s="36">
        <f t="shared" ref="D1133:D1155" si="723">SUM(B1133:C1133)</f>
        <v>1</v>
      </c>
      <c r="E1133" s="18"/>
      <c r="F1133" s="16">
        <v>1</v>
      </c>
      <c r="G1133" s="36">
        <f t="shared" ref="G1133:G1155" si="724">SUM(E1133:F1133)</f>
        <v>1</v>
      </c>
      <c r="H1133" s="17">
        <f t="shared" ref="H1133:H1155" si="725">D1133+G1133</f>
        <v>2</v>
      </c>
      <c r="I1133" s="81">
        <v>45104</v>
      </c>
      <c r="J1133" s="52" t="s">
        <v>91</v>
      </c>
      <c r="K1133" s="19">
        <v>15</v>
      </c>
      <c r="L1133" s="20">
        <v>15</v>
      </c>
      <c r="M1133" s="17">
        <f t="shared" si="720"/>
        <v>30</v>
      </c>
      <c r="N1133" s="21">
        <v>15</v>
      </c>
      <c r="O1133" s="20">
        <v>13</v>
      </c>
      <c r="P1133" s="17">
        <f t="shared" si="721"/>
        <v>28</v>
      </c>
      <c r="Q1133" s="17">
        <f t="shared" si="722"/>
        <v>58</v>
      </c>
      <c r="R1133" s="81">
        <v>45108</v>
      </c>
    </row>
    <row r="1134" spans="1:19" x14ac:dyDescent="0.15">
      <c r="A1134" s="35" t="s">
        <v>283</v>
      </c>
      <c r="B1134" s="15">
        <v>2</v>
      </c>
      <c r="C1134" s="16"/>
      <c r="D1134" s="36">
        <f t="shared" si="723"/>
        <v>2</v>
      </c>
      <c r="E1134" s="18"/>
      <c r="F1134" s="16"/>
      <c r="G1134" s="36">
        <f t="shared" si="724"/>
        <v>0</v>
      </c>
      <c r="H1134" s="17">
        <f t="shared" si="725"/>
        <v>2</v>
      </c>
      <c r="I1134" s="81">
        <v>45104</v>
      </c>
      <c r="J1134" s="35" t="s">
        <v>534</v>
      </c>
      <c r="K1134" s="19"/>
      <c r="L1134" s="20">
        <v>7</v>
      </c>
      <c r="M1134" s="17">
        <f t="shared" si="720"/>
        <v>7</v>
      </c>
      <c r="N1134" s="21"/>
      <c r="O1134" s="20">
        <v>7</v>
      </c>
      <c r="P1134" s="17">
        <f t="shared" si="721"/>
        <v>7</v>
      </c>
      <c r="Q1134" s="17">
        <f t="shared" si="722"/>
        <v>14</v>
      </c>
      <c r="R1134" s="81">
        <v>45112</v>
      </c>
      <c r="S1134" s="22"/>
    </row>
    <row r="1135" spans="1:19" x14ac:dyDescent="0.15">
      <c r="A1135" s="35" t="s">
        <v>33</v>
      </c>
      <c r="B1135" s="15"/>
      <c r="C1135" s="16"/>
      <c r="D1135" s="36">
        <f t="shared" si="723"/>
        <v>0</v>
      </c>
      <c r="E1135" s="18">
        <v>2</v>
      </c>
      <c r="F1135" s="16">
        <v>1</v>
      </c>
      <c r="G1135" s="36">
        <f t="shared" si="724"/>
        <v>3</v>
      </c>
      <c r="H1135" s="17">
        <f t="shared" si="725"/>
        <v>3</v>
      </c>
      <c r="I1135" s="81">
        <v>45103</v>
      </c>
      <c r="J1135" s="52" t="s">
        <v>91</v>
      </c>
      <c r="K1135" s="19"/>
      <c r="L1135" s="20"/>
      <c r="M1135" s="17">
        <f t="shared" si="720"/>
        <v>0</v>
      </c>
      <c r="N1135" s="21"/>
      <c r="O1135" s="20">
        <v>10</v>
      </c>
      <c r="P1135" s="17">
        <f t="shared" si="721"/>
        <v>10</v>
      </c>
      <c r="Q1135" s="17">
        <f t="shared" si="722"/>
        <v>10</v>
      </c>
      <c r="R1135" s="81">
        <v>45114</v>
      </c>
    </row>
    <row r="1136" spans="1:19" x14ac:dyDescent="0.15">
      <c r="A1136" s="35" t="s">
        <v>529</v>
      </c>
      <c r="B1136" s="15">
        <v>1</v>
      </c>
      <c r="C1136" s="16">
        <v>1</v>
      </c>
      <c r="D1136" s="36">
        <f t="shared" si="723"/>
        <v>2</v>
      </c>
      <c r="E1136" s="18">
        <v>1</v>
      </c>
      <c r="F1136" s="16">
        <v>1</v>
      </c>
      <c r="G1136" s="36">
        <f t="shared" si="724"/>
        <v>2</v>
      </c>
      <c r="H1136" s="17">
        <f t="shared" si="725"/>
        <v>4</v>
      </c>
      <c r="I1136" s="81">
        <v>45105</v>
      </c>
      <c r="J1136" s="52" t="s">
        <v>91</v>
      </c>
      <c r="K1136" s="19">
        <v>10</v>
      </c>
      <c r="L1136" s="20">
        <v>10</v>
      </c>
      <c r="M1136" s="17">
        <f t="shared" si="720"/>
        <v>20</v>
      </c>
      <c r="N1136" s="21">
        <v>5</v>
      </c>
      <c r="O1136" s="20">
        <v>5</v>
      </c>
      <c r="P1136" s="17">
        <f t="shared" si="721"/>
        <v>10</v>
      </c>
      <c r="Q1136" s="17">
        <f t="shared" si="722"/>
        <v>30</v>
      </c>
      <c r="R1136" s="81">
        <v>45119</v>
      </c>
    </row>
    <row r="1137" spans="1:18" x14ac:dyDescent="0.15">
      <c r="A1137" s="35" t="s">
        <v>33</v>
      </c>
      <c r="B1137" s="15"/>
      <c r="C1137" s="16"/>
      <c r="D1137" s="36">
        <f t="shared" si="723"/>
        <v>0</v>
      </c>
      <c r="E1137" s="18">
        <v>1</v>
      </c>
      <c r="F1137" s="16"/>
      <c r="G1137" s="36">
        <f t="shared" si="724"/>
        <v>1</v>
      </c>
      <c r="H1137" s="17">
        <f t="shared" si="725"/>
        <v>1</v>
      </c>
      <c r="I1137" s="81">
        <v>45104</v>
      </c>
      <c r="J1137" s="35"/>
      <c r="K1137" s="19"/>
      <c r="L1137" s="20"/>
      <c r="M1137" s="17">
        <f t="shared" si="720"/>
        <v>0</v>
      </c>
      <c r="N1137" s="21"/>
      <c r="O1137" s="20"/>
      <c r="P1137" s="17">
        <f t="shared" si="721"/>
        <v>0</v>
      </c>
      <c r="Q1137" s="17">
        <f t="shared" si="722"/>
        <v>0</v>
      </c>
      <c r="R1137" s="81"/>
    </row>
    <row r="1138" spans="1:18" x14ac:dyDescent="0.15">
      <c r="A1138" s="35" t="s">
        <v>531</v>
      </c>
      <c r="B1138" s="15">
        <v>3</v>
      </c>
      <c r="C1138" s="16">
        <v>3</v>
      </c>
      <c r="D1138" s="36">
        <f t="shared" si="723"/>
        <v>6</v>
      </c>
      <c r="E1138" s="18">
        <v>3</v>
      </c>
      <c r="F1138" s="16">
        <v>3</v>
      </c>
      <c r="G1138" s="36">
        <f t="shared" si="724"/>
        <v>6</v>
      </c>
      <c r="H1138" s="17">
        <f t="shared" si="725"/>
        <v>12</v>
      </c>
      <c r="I1138" s="81">
        <v>45107</v>
      </c>
      <c r="J1138" s="35"/>
      <c r="K1138" s="19"/>
      <c r="L1138" s="20"/>
      <c r="M1138" s="17">
        <f t="shared" si="720"/>
        <v>0</v>
      </c>
      <c r="N1138" s="21"/>
      <c r="O1138" s="20"/>
      <c r="P1138" s="17">
        <f t="shared" si="721"/>
        <v>0</v>
      </c>
      <c r="Q1138" s="17">
        <f t="shared" si="722"/>
        <v>0</v>
      </c>
      <c r="R1138" s="81"/>
    </row>
    <row r="1139" spans="1:18" x14ac:dyDescent="0.15">
      <c r="A1139" s="35" t="s">
        <v>33</v>
      </c>
      <c r="B1139" s="15"/>
      <c r="C1139" s="16">
        <v>2</v>
      </c>
      <c r="D1139" s="36">
        <f t="shared" si="723"/>
        <v>2</v>
      </c>
      <c r="E1139" s="18">
        <v>2</v>
      </c>
      <c r="F1139" s="16"/>
      <c r="G1139" s="36">
        <f t="shared" si="724"/>
        <v>2</v>
      </c>
      <c r="H1139" s="17">
        <f t="shared" si="725"/>
        <v>4</v>
      </c>
      <c r="I1139" s="81">
        <v>45106</v>
      </c>
      <c r="J1139" s="35"/>
      <c r="K1139" s="19"/>
      <c r="L1139" s="20"/>
      <c r="M1139" s="17">
        <f t="shared" si="720"/>
        <v>0</v>
      </c>
      <c r="N1139" s="21"/>
      <c r="O1139" s="20"/>
      <c r="P1139" s="17">
        <f t="shared" si="721"/>
        <v>0</v>
      </c>
      <c r="Q1139" s="17">
        <f t="shared" si="722"/>
        <v>0</v>
      </c>
      <c r="R1139" s="81"/>
    </row>
    <row r="1140" spans="1:18" x14ac:dyDescent="0.15">
      <c r="A1140" s="35" t="s">
        <v>532</v>
      </c>
      <c r="B1140" s="15">
        <v>3</v>
      </c>
      <c r="C1140" s="16">
        <v>1</v>
      </c>
      <c r="D1140" s="36">
        <f t="shared" si="723"/>
        <v>4</v>
      </c>
      <c r="E1140" s="18">
        <v>3</v>
      </c>
      <c r="F1140" s="16">
        <v>1</v>
      </c>
      <c r="G1140" s="36">
        <f t="shared" si="724"/>
        <v>4</v>
      </c>
      <c r="H1140" s="17">
        <f t="shared" si="725"/>
        <v>8</v>
      </c>
      <c r="I1140" s="81">
        <v>45110</v>
      </c>
      <c r="J1140" s="35"/>
      <c r="K1140" s="19"/>
      <c r="L1140" s="20"/>
      <c r="M1140" s="17">
        <f t="shared" si="714"/>
        <v>0</v>
      </c>
      <c r="N1140" s="21"/>
      <c r="O1140" s="20"/>
      <c r="P1140" s="17">
        <f t="shared" si="715"/>
        <v>0</v>
      </c>
      <c r="Q1140" s="17">
        <f t="shared" si="716"/>
        <v>0</v>
      </c>
      <c r="R1140" s="81"/>
    </row>
    <row r="1141" spans="1:18" x14ac:dyDescent="0.15">
      <c r="A1141" s="35" t="s">
        <v>33</v>
      </c>
      <c r="B1141" s="15"/>
      <c r="C1141" s="16"/>
      <c r="D1141" s="36">
        <f t="shared" si="723"/>
        <v>0</v>
      </c>
      <c r="E1141" s="18"/>
      <c r="F1141" s="16">
        <v>3</v>
      </c>
      <c r="G1141" s="36">
        <f t="shared" si="724"/>
        <v>3</v>
      </c>
      <c r="H1141" s="17">
        <f t="shared" si="725"/>
        <v>3</v>
      </c>
      <c r="I1141" s="81">
        <v>45107</v>
      </c>
      <c r="J1141" s="52"/>
      <c r="K1141" s="23"/>
      <c r="L1141" s="24"/>
      <c r="M1141" s="36">
        <f t="shared" si="714"/>
        <v>0</v>
      </c>
      <c r="N1141" s="25"/>
      <c r="O1141" s="24"/>
      <c r="P1141" s="36">
        <f t="shared" si="715"/>
        <v>0</v>
      </c>
      <c r="Q1141" s="17">
        <f t="shared" si="716"/>
        <v>0</v>
      </c>
      <c r="R1141" s="81"/>
    </row>
    <row r="1142" spans="1:18" x14ac:dyDescent="0.15">
      <c r="A1142" s="35" t="s">
        <v>33</v>
      </c>
      <c r="B1142" s="15"/>
      <c r="C1142" s="16"/>
      <c r="D1142" s="36">
        <f t="shared" si="723"/>
        <v>0</v>
      </c>
      <c r="E1142" s="18"/>
      <c r="F1142" s="16">
        <v>2</v>
      </c>
      <c r="G1142" s="36">
        <f t="shared" si="724"/>
        <v>2</v>
      </c>
      <c r="H1142" s="17">
        <f t="shared" si="725"/>
        <v>2</v>
      </c>
      <c r="I1142" s="81">
        <v>45108</v>
      </c>
      <c r="J1142" s="52"/>
      <c r="K1142" s="15"/>
      <c r="L1142" s="16"/>
      <c r="M1142" s="36">
        <f t="shared" si="714"/>
        <v>0</v>
      </c>
      <c r="N1142" s="18"/>
      <c r="O1142" s="16"/>
      <c r="P1142" s="36">
        <f t="shared" si="715"/>
        <v>0</v>
      </c>
      <c r="Q1142" s="17">
        <f t="shared" si="716"/>
        <v>0</v>
      </c>
      <c r="R1142" s="81"/>
    </row>
    <row r="1143" spans="1:18" x14ac:dyDescent="0.15">
      <c r="A1143" s="35" t="s">
        <v>533</v>
      </c>
      <c r="B1143" s="15"/>
      <c r="C1143" s="16">
        <v>3</v>
      </c>
      <c r="D1143" s="36">
        <f t="shared" si="723"/>
        <v>3</v>
      </c>
      <c r="E1143" s="18"/>
      <c r="F1143" s="16">
        <v>3</v>
      </c>
      <c r="G1143" s="36">
        <f t="shared" si="724"/>
        <v>3</v>
      </c>
      <c r="H1143" s="17">
        <f t="shared" si="725"/>
        <v>6</v>
      </c>
      <c r="I1143" s="81">
        <v>45111</v>
      </c>
      <c r="J1143" s="52"/>
      <c r="K1143" s="15"/>
      <c r="L1143" s="16"/>
      <c r="M1143" s="36">
        <f t="shared" ref="M1143:M1157" si="726">SUM(K1143:L1143)</f>
        <v>0</v>
      </c>
      <c r="N1143" s="18"/>
      <c r="O1143" s="16"/>
      <c r="P1143" s="36">
        <f t="shared" ref="P1143:P1157" si="727">SUM(N1143:O1143)</f>
        <v>0</v>
      </c>
      <c r="Q1143" s="17">
        <f t="shared" ref="Q1143:Q1157" si="728">M1143+P1143</f>
        <v>0</v>
      </c>
      <c r="R1143" s="81"/>
    </row>
    <row r="1144" spans="1:18" x14ac:dyDescent="0.15">
      <c r="A1144" s="35" t="s">
        <v>283</v>
      </c>
      <c r="B1144" s="15">
        <v>1</v>
      </c>
      <c r="C1144" s="16">
        <v>1</v>
      </c>
      <c r="D1144" s="36">
        <f t="shared" si="723"/>
        <v>2</v>
      </c>
      <c r="E1144" s="18"/>
      <c r="F1144" s="16"/>
      <c r="G1144" s="36">
        <f t="shared" si="724"/>
        <v>0</v>
      </c>
      <c r="H1144" s="17">
        <f t="shared" si="725"/>
        <v>2</v>
      </c>
      <c r="I1144" s="81">
        <v>45111</v>
      </c>
      <c r="J1144" s="52"/>
      <c r="K1144" s="15"/>
      <c r="L1144" s="16"/>
      <c r="M1144" s="36">
        <f t="shared" si="726"/>
        <v>0</v>
      </c>
      <c r="N1144" s="18"/>
      <c r="O1144" s="16"/>
      <c r="P1144" s="36">
        <f t="shared" si="727"/>
        <v>0</v>
      </c>
      <c r="Q1144" s="17">
        <f t="shared" si="728"/>
        <v>0</v>
      </c>
      <c r="R1144" s="81"/>
    </row>
    <row r="1145" spans="1:18" x14ac:dyDescent="0.15">
      <c r="A1145" s="35" t="s">
        <v>33</v>
      </c>
      <c r="B1145" s="15">
        <v>2</v>
      </c>
      <c r="C1145" s="16"/>
      <c r="D1145" s="36">
        <f t="shared" si="723"/>
        <v>2</v>
      </c>
      <c r="E1145" s="18"/>
      <c r="F1145" s="16">
        <v>2</v>
      </c>
      <c r="G1145" s="36">
        <f t="shared" si="724"/>
        <v>2</v>
      </c>
      <c r="H1145" s="17">
        <f t="shared" si="725"/>
        <v>4</v>
      </c>
      <c r="I1145" s="81">
        <v>45110</v>
      </c>
      <c r="J1145" s="52"/>
      <c r="K1145" s="15"/>
      <c r="L1145" s="16"/>
      <c r="M1145" s="36">
        <f t="shared" si="726"/>
        <v>0</v>
      </c>
      <c r="N1145" s="18"/>
      <c r="O1145" s="16"/>
      <c r="P1145" s="36">
        <f t="shared" si="727"/>
        <v>0</v>
      </c>
      <c r="Q1145" s="17">
        <f t="shared" si="728"/>
        <v>0</v>
      </c>
      <c r="R1145" s="81"/>
    </row>
    <row r="1146" spans="1:18" x14ac:dyDescent="0.15">
      <c r="A1146" s="35" t="s">
        <v>33</v>
      </c>
      <c r="B1146" s="15"/>
      <c r="C1146" s="16"/>
      <c r="D1146" s="36">
        <f t="shared" si="723"/>
        <v>0</v>
      </c>
      <c r="E1146" s="18"/>
      <c r="F1146" s="16">
        <v>1</v>
      </c>
      <c r="G1146" s="36">
        <f t="shared" si="724"/>
        <v>1</v>
      </c>
      <c r="H1146" s="17">
        <f t="shared" si="725"/>
        <v>1</v>
      </c>
      <c r="I1146" s="81">
        <v>45111</v>
      </c>
      <c r="J1146" s="52"/>
      <c r="K1146" s="15"/>
      <c r="L1146" s="16"/>
      <c r="M1146" s="36">
        <f t="shared" si="726"/>
        <v>0</v>
      </c>
      <c r="N1146" s="18"/>
      <c r="O1146" s="16"/>
      <c r="P1146" s="36">
        <f t="shared" si="727"/>
        <v>0</v>
      </c>
      <c r="Q1146" s="17">
        <f t="shared" si="728"/>
        <v>0</v>
      </c>
      <c r="R1146" s="81"/>
    </row>
    <row r="1147" spans="1:18" x14ac:dyDescent="0.15">
      <c r="A1147" s="35" t="s">
        <v>535</v>
      </c>
      <c r="B1147" s="15">
        <v>3</v>
      </c>
      <c r="C1147" s="16">
        <v>4</v>
      </c>
      <c r="D1147" s="36">
        <f t="shared" si="723"/>
        <v>7</v>
      </c>
      <c r="E1147" s="18">
        <v>3</v>
      </c>
      <c r="F1147" s="16">
        <v>4</v>
      </c>
      <c r="G1147" s="36">
        <f t="shared" si="724"/>
        <v>7</v>
      </c>
      <c r="H1147" s="17">
        <f t="shared" si="725"/>
        <v>14</v>
      </c>
      <c r="I1147" s="81">
        <v>45113</v>
      </c>
      <c r="J1147" s="52"/>
      <c r="K1147" s="15"/>
      <c r="L1147" s="16"/>
      <c r="M1147" s="36">
        <f t="shared" si="726"/>
        <v>0</v>
      </c>
      <c r="N1147" s="18"/>
      <c r="O1147" s="16"/>
      <c r="P1147" s="36">
        <f t="shared" si="727"/>
        <v>0</v>
      </c>
      <c r="Q1147" s="17">
        <f t="shared" si="728"/>
        <v>0</v>
      </c>
      <c r="R1147" s="81"/>
    </row>
    <row r="1148" spans="1:18" x14ac:dyDescent="0.15">
      <c r="A1148" s="35" t="s">
        <v>536</v>
      </c>
      <c r="B1148" s="15">
        <v>2</v>
      </c>
      <c r="C1148" s="16">
        <v>2</v>
      </c>
      <c r="D1148" s="36">
        <f t="shared" si="723"/>
        <v>4</v>
      </c>
      <c r="E1148" s="18">
        <v>2</v>
      </c>
      <c r="F1148" s="16">
        <v>2</v>
      </c>
      <c r="G1148" s="36">
        <f t="shared" si="724"/>
        <v>4</v>
      </c>
      <c r="H1148" s="17">
        <f t="shared" si="725"/>
        <v>8</v>
      </c>
      <c r="I1148" s="81">
        <v>45114</v>
      </c>
      <c r="J1148" s="52"/>
      <c r="K1148" s="15"/>
      <c r="L1148" s="16"/>
      <c r="M1148" s="36">
        <f t="shared" si="726"/>
        <v>0</v>
      </c>
      <c r="N1148" s="18"/>
      <c r="O1148" s="16"/>
      <c r="P1148" s="36">
        <f t="shared" si="727"/>
        <v>0</v>
      </c>
      <c r="Q1148" s="17">
        <f t="shared" si="728"/>
        <v>0</v>
      </c>
      <c r="R1148" s="81"/>
    </row>
    <row r="1149" spans="1:18" x14ac:dyDescent="0.15">
      <c r="A1149" s="35" t="s">
        <v>33</v>
      </c>
      <c r="B1149" s="15">
        <v>2</v>
      </c>
      <c r="C1149" s="16"/>
      <c r="D1149" s="36">
        <f t="shared" si="723"/>
        <v>2</v>
      </c>
      <c r="E1149" s="18"/>
      <c r="F1149" s="16"/>
      <c r="G1149" s="36">
        <f t="shared" si="724"/>
        <v>0</v>
      </c>
      <c r="H1149" s="17">
        <f t="shared" si="725"/>
        <v>2</v>
      </c>
      <c r="I1149" s="81">
        <v>45113</v>
      </c>
      <c r="J1149" s="52"/>
      <c r="K1149" s="15"/>
      <c r="L1149" s="16"/>
      <c r="M1149" s="36">
        <f t="shared" si="726"/>
        <v>0</v>
      </c>
      <c r="N1149" s="18"/>
      <c r="O1149" s="16"/>
      <c r="P1149" s="36">
        <f t="shared" si="727"/>
        <v>0</v>
      </c>
      <c r="Q1149" s="17">
        <f t="shared" si="728"/>
        <v>0</v>
      </c>
      <c r="R1149" s="81"/>
    </row>
    <row r="1150" spans="1:18" x14ac:dyDescent="0.15">
      <c r="A1150" s="35" t="s">
        <v>539</v>
      </c>
      <c r="B1150" s="15">
        <v>1</v>
      </c>
      <c r="C1150" s="16"/>
      <c r="D1150" s="36">
        <f t="shared" si="723"/>
        <v>1</v>
      </c>
      <c r="E1150" s="18">
        <v>1</v>
      </c>
      <c r="F1150" s="16"/>
      <c r="G1150" s="36">
        <f t="shared" si="724"/>
        <v>1</v>
      </c>
      <c r="H1150" s="17">
        <f t="shared" si="725"/>
        <v>2</v>
      </c>
      <c r="I1150" s="81">
        <v>45117</v>
      </c>
      <c r="J1150" s="52"/>
      <c r="K1150" s="15"/>
      <c r="L1150" s="16"/>
      <c r="M1150" s="36">
        <f t="shared" si="726"/>
        <v>0</v>
      </c>
      <c r="N1150" s="18"/>
      <c r="O1150" s="16"/>
      <c r="P1150" s="36">
        <f t="shared" si="727"/>
        <v>0</v>
      </c>
      <c r="Q1150" s="17">
        <f t="shared" si="728"/>
        <v>0</v>
      </c>
      <c r="R1150" s="81"/>
    </row>
    <row r="1151" spans="1:18" x14ac:dyDescent="0.15">
      <c r="A1151" s="35" t="s">
        <v>540</v>
      </c>
      <c r="B1151" s="15">
        <v>1</v>
      </c>
      <c r="C1151" s="16">
        <v>1</v>
      </c>
      <c r="D1151" s="36">
        <f t="shared" si="723"/>
        <v>2</v>
      </c>
      <c r="E1151" s="18">
        <v>1</v>
      </c>
      <c r="F1151" s="16">
        <v>1</v>
      </c>
      <c r="G1151" s="36">
        <f t="shared" si="724"/>
        <v>2</v>
      </c>
      <c r="H1151" s="17">
        <f t="shared" si="725"/>
        <v>4</v>
      </c>
      <c r="I1151" s="81">
        <v>45118</v>
      </c>
      <c r="J1151" s="52"/>
      <c r="K1151" s="15"/>
      <c r="L1151" s="16"/>
      <c r="M1151" s="36">
        <f t="shared" si="726"/>
        <v>0</v>
      </c>
      <c r="N1151" s="18"/>
      <c r="O1151" s="16"/>
      <c r="P1151" s="36">
        <f t="shared" si="727"/>
        <v>0</v>
      </c>
      <c r="Q1151" s="17">
        <f t="shared" si="728"/>
        <v>0</v>
      </c>
      <c r="R1151" s="81"/>
    </row>
    <row r="1152" spans="1:18" x14ac:dyDescent="0.15">
      <c r="A1152" s="35" t="s">
        <v>33</v>
      </c>
      <c r="B1152" s="15"/>
      <c r="C1152" s="16"/>
      <c r="D1152" s="36">
        <f t="shared" si="723"/>
        <v>0</v>
      </c>
      <c r="E1152" s="18">
        <v>2</v>
      </c>
      <c r="F1152" s="16"/>
      <c r="G1152" s="36">
        <f t="shared" si="724"/>
        <v>2</v>
      </c>
      <c r="H1152" s="17">
        <f t="shared" si="725"/>
        <v>2</v>
      </c>
      <c r="I1152" s="81">
        <v>45117</v>
      </c>
      <c r="J1152" s="52"/>
      <c r="K1152" s="15"/>
      <c r="L1152" s="16"/>
      <c r="M1152" s="36">
        <f t="shared" si="726"/>
        <v>0</v>
      </c>
      <c r="N1152" s="18"/>
      <c r="O1152" s="16"/>
      <c r="P1152" s="36">
        <f t="shared" si="727"/>
        <v>0</v>
      </c>
      <c r="Q1152" s="17">
        <f t="shared" si="728"/>
        <v>0</v>
      </c>
      <c r="R1152" s="81"/>
    </row>
    <row r="1153" spans="1:18" x14ac:dyDescent="0.15">
      <c r="A1153" s="35" t="s">
        <v>541</v>
      </c>
      <c r="B1153" s="15"/>
      <c r="C1153" s="16">
        <v>3</v>
      </c>
      <c r="D1153" s="36">
        <f t="shared" si="723"/>
        <v>3</v>
      </c>
      <c r="E1153" s="18"/>
      <c r="F1153" s="16">
        <v>3</v>
      </c>
      <c r="G1153" s="36">
        <f t="shared" si="724"/>
        <v>3</v>
      </c>
      <c r="H1153" s="17">
        <f t="shared" si="725"/>
        <v>6</v>
      </c>
      <c r="I1153" s="81">
        <v>45119</v>
      </c>
      <c r="J1153" s="52"/>
      <c r="K1153" s="15"/>
      <c r="L1153" s="16"/>
      <c r="M1153" s="36">
        <f t="shared" si="726"/>
        <v>0</v>
      </c>
      <c r="N1153" s="18"/>
      <c r="O1153" s="16"/>
      <c r="P1153" s="36">
        <f t="shared" si="727"/>
        <v>0</v>
      </c>
      <c r="Q1153" s="17">
        <f t="shared" si="728"/>
        <v>0</v>
      </c>
      <c r="R1153" s="81"/>
    </row>
    <row r="1154" spans="1:18" x14ac:dyDescent="0.15">
      <c r="A1154" s="35" t="s">
        <v>33</v>
      </c>
      <c r="B1154" s="15"/>
      <c r="C1154" s="16">
        <v>1</v>
      </c>
      <c r="D1154" s="36">
        <f t="shared" si="723"/>
        <v>1</v>
      </c>
      <c r="E1154" s="18"/>
      <c r="F1154" s="16"/>
      <c r="G1154" s="36">
        <f t="shared" si="724"/>
        <v>0</v>
      </c>
      <c r="H1154" s="17">
        <f t="shared" si="725"/>
        <v>1</v>
      </c>
      <c r="I1154" s="81">
        <v>45118</v>
      </c>
      <c r="J1154" s="52"/>
      <c r="K1154" s="15"/>
      <c r="L1154" s="16"/>
      <c r="M1154" s="36">
        <f t="shared" si="726"/>
        <v>0</v>
      </c>
      <c r="N1154" s="18"/>
      <c r="O1154" s="16"/>
      <c r="P1154" s="36">
        <f t="shared" si="727"/>
        <v>0</v>
      </c>
      <c r="Q1154" s="17">
        <f t="shared" si="728"/>
        <v>0</v>
      </c>
      <c r="R1154" s="81"/>
    </row>
    <row r="1155" spans="1:18" x14ac:dyDescent="0.15">
      <c r="A1155" s="35" t="s">
        <v>542</v>
      </c>
      <c r="B1155" s="15">
        <v>1</v>
      </c>
      <c r="C1155" s="16"/>
      <c r="D1155" s="36">
        <f t="shared" si="723"/>
        <v>1</v>
      </c>
      <c r="E1155" s="18">
        <v>1</v>
      </c>
      <c r="F1155" s="16"/>
      <c r="G1155" s="36">
        <f t="shared" si="724"/>
        <v>1</v>
      </c>
      <c r="H1155" s="17">
        <f t="shared" si="725"/>
        <v>2</v>
      </c>
      <c r="I1155" s="81">
        <v>45120</v>
      </c>
      <c r="J1155" s="52"/>
      <c r="K1155" s="15"/>
      <c r="L1155" s="16"/>
      <c r="M1155" s="36">
        <f t="shared" ref="M1155:M1156" si="729">SUM(K1155:L1155)</f>
        <v>0</v>
      </c>
      <c r="N1155" s="18"/>
      <c r="O1155" s="16"/>
      <c r="P1155" s="36">
        <f t="shared" ref="P1155:P1156" si="730">SUM(N1155:O1155)</f>
        <v>0</v>
      </c>
      <c r="Q1155" s="17">
        <f t="shared" ref="Q1155:Q1156" si="731">M1155+P1155</f>
        <v>0</v>
      </c>
      <c r="R1155" s="81"/>
    </row>
    <row r="1156" spans="1:18" x14ac:dyDescent="0.15">
      <c r="A1156" s="35" t="s">
        <v>33</v>
      </c>
      <c r="B1156" s="15"/>
      <c r="C1156" s="16"/>
      <c r="D1156" s="36">
        <f t="shared" si="711"/>
        <v>0</v>
      </c>
      <c r="E1156" s="18"/>
      <c r="F1156" s="16">
        <v>2</v>
      </c>
      <c r="G1156" s="36">
        <f t="shared" si="712"/>
        <v>2</v>
      </c>
      <c r="H1156" s="17">
        <f t="shared" si="713"/>
        <v>2</v>
      </c>
      <c r="I1156" s="81">
        <v>45119</v>
      </c>
      <c r="J1156" s="52"/>
      <c r="K1156" s="15"/>
      <c r="L1156" s="16"/>
      <c r="M1156" s="36">
        <f t="shared" si="729"/>
        <v>0</v>
      </c>
      <c r="N1156" s="18"/>
      <c r="O1156" s="16"/>
      <c r="P1156" s="36">
        <f t="shared" si="730"/>
        <v>0</v>
      </c>
      <c r="Q1156" s="17">
        <f t="shared" si="731"/>
        <v>0</v>
      </c>
      <c r="R1156" s="81"/>
    </row>
    <row r="1157" spans="1:18" ht="14.25" thickBot="1" x14ac:dyDescent="0.2">
      <c r="A1157" s="35" t="s">
        <v>543</v>
      </c>
      <c r="B1157" s="15">
        <v>1</v>
      </c>
      <c r="C1157" s="16">
        <v>2</v>
      </c>
      <c r="D1157" s="36">
        <f t="shared" si="711"/>
        <v>3</v>
      </c>
      <c r="E1157" s="18">
        <v>1</v>
      </c>
      <c r="F1157" s="16">
        <v>2</v>
      </c>
      <c r="G1157" s="36">
        <f t="shared" si="712"/>
        <v>3</v>
      </c>
      <c r="H1157" s="17">
        <f t="shared" si="713"/>
        <v>6</v>
      </c>
      <c r="I1157" s="81">
        <v>45121</v>
      </c>
      <c r="J1157" s="35" t="s">
        <v>521</v>
      </c>
      <c r="K1157" s="15"/>
      <c r="L1157" s="16"/>
      <c r="M1157" s="36">
        <f t="shared" si="726"/>
        <v>0</v>
      </c>
      <c r="N1157" s="18"/>
      <c r="O1157" s="16"/>
      <c r="P1157" s="36">
        <f t="shared" si="727"/>
        <v>0</v>
      </c>
      <c r="Q1157" s="17">
        <f t="shared" si="728"/>
        <v>0</v>
      </c>
      <c r="R1157" s="81" t="s">
        <v>522</v>
      </c>
    </row>
    <row r="1158" spans="1:18" ht="14.25" thickBot="1" x14ac:dyDescent="0.2">
      <c r="A1158" s="40" t="s">
        <v>14</v>
      </c>
      <c r="B1158" s="41">
        <f>SUM(B1132:B1157)</f>
        <v>23</v>
      </c>
      <c r="C1158" s="42">
        <f t="shared" ref="C1158" si="732">SUM(C1132:C1157)</f>
        <v>25</v>
      </c>
      <c r="D1158" s="43">
        <f t="shared" si="711"/>
        <v>48</v>
      </c>
      <c r="E1158" s="41">
        <f>SUM(E1132:E1157)</f>
        <v>25</v>
      </c>
      <c r="F1158" s="42">
        <f t="shared" ref="F1158" si="733">SUM(F1132:F1157)</f>
        <v>32</v>
      </c>
      <c r="G1158" s="43">
        <f t="shared" si="712"/>
        <v>57</v>
      </c>
      <c r="H1158" s="43">
        <f t="shared" si="713"/>
        <v>105</v>
      </c>
      <c r="J1158" s="40" t="s">
        <v>14</v>
      </c>
      <c r="K1158" s="41">
        <f>SUM(K1132:K1157)</f>
        <v>30</v>
      </c>
      <c r="L1158" s="42">
        <f t="shared" ref="L1158" si="734">SUM(L1132:L1157)</f>
        <v>33</v>
      </c>
      <c r="M1158" s="43">
        <f t="shared" si="714"/>
        <v>63</v>
      </c>
      <c r="N1158" s="41">
        <f>SUM(N1132:N1157)</f>
        <v>25</v>
      </c>
      <c r="O1158" s="42">
        <f t="shared" ref="O1158" si="735">SUM(O1132:O1157)</f>
        <v>36</v>
      </c>
      <c r="P1158" s="43">
        <f t="shared" si="715"/>
        <v>61</v>
      </c>
      <c r="Q1158" s="43">
        <f t="shared" si="716"/>
        <v>124</v>
      </c>
    </row>
    <row r="1159" spans="1:18" ht="14.25" thickBot="1" x14ac:dyDescent="0.2">
      <c r="A1159" s="44" t="s">
        <v>15</v>
      </c>
      <c r="B1159" s="45">
        <f>B1131-B1158</f>
        <v>16</v>
      </c>
      <c r="C1159" s="46">
        <f t="shared" ref="C1159" si="736">C1131-C1158</f>
        <v>15</v>
      </c>
      <c r="D1159" s="47">
        <f t="shared" si="711"/>
        <v>31</v>
      </c>
      <c r="E1159" s="45">
        <f>E1131-E1158</f>
        <v>14</v>
      </c>
      <c r="F1159" s="46">
        <f t="shared" ref="F1159" si="737">F1131-F1158</f>
        <v>12</v>
      </c>
      <c r="G1159" s="47">
        <f t="shared" si="712"/>
        <v>26</v>
      </c>
      <c r="H1159" s="34">
        <f t="shared" si="713"/>
        <v>57</v>
      </c>
      <c r="J1159" s="44" t="s">
        <v>15</v>
      </c>
      <c r="K1159" s="45">
        <f>K1131-K1158</f>
        <v>1200</v>
      </c>
      <c r="L1159" s="46">
        <f t="shared" ref="L1159" si="738">L1131-L1158</f>
        <v>673</v>
      </c>
      <c r="M1159" s="47">
        <f t="shared" si="714"/>
        <v>1873</v>
      </c>
      <c r="N1159" s="45">
        <f>N1131-N1158</f>
        <v>1239</v>
      </c>
      <c r="O1159" s="46">
        <f t="shared" ref="O1159" si="739">O1131-O1158</f>
        <v>278</v>
      </c>
      <c r="P1159" s="47">
        <f t="shared" si="715"/>
        <v>1517</v>
      </c>
      <c r="Q1159" s="34">
        <f t="shared" si="716"/>
        <v>3390</v>
      </c>
    </row>
    <row r="1162" spans="1:18" ht="19.5" thickBot="1" x14ac:dyDescent="0.25">
      <c r="A1162" s="1" t="s">
        <v>23</v>
      </c>
      <c r="J1162" s="1" t="s">
        <v>24</v>
      </c>
      <c r="K1162" s="2"/>
      <c r="L1162" s="2"/>
      <c r="M1162" s="2"/>
      <c r="N1162" s="2"/>
      <c r="O1162" s="1" t="s">
        <v>34</v>
      </c>
      <c r="P1162" s="2"/>
      <c r="Q1162" s="2"/>
    </row>
    <row r="1163" spans="1:18" ht="14.25" thickBot="1" x14ac:dyDescent="0.2">
      <c r="A1163" s="3" t="s">
        <v>0</v>
      </c>
      <c r="B1163" s="125" t="s">
        <v>18</v>
      </c>
      <c r="C1163" s="126"/>
      <c r="D1163" s="127"/>
      <c r="E1163" s="125" t="s">
        <v>19</v>
      </c>
      <c r="F1163" s="126"/>
      <c r="G1163" s="128"/>
      <c r="H1163" s="129" t="s">
        <v>1</v>
      </c>
      <c r="J1163" s="3" t="s">
        <v>0</v>
      </c>
      <c r="K1163" s="125" t="s">
        <v>18</v>
      </c>
      <c r="L1163" s="126"/>
      <c r="M1163" s="127"/>
      <c r="N1163" s="125" t="s">
        <v>19</v>
      </c>
      <c r="O1163" s="126"/>
      <c r="P1163" s="128"/>
      <c r="Q1163" s="129" t="s">
        <v>1</v>
      </c>
    </row>
    <row r="1164" spans="1:18" ht="14.25" thickBot="1" x14ac:dyDescent="0.2">
      <c r="A1164" s="3" t="s">
        <v>2</v>
      </c>
      <c r="B1164" s="4" t="s">
        <v>16</v>
      </c>
      <c r="C1164" s="5" t="s">
        <v>17</v>
      </c>
      <c r="D1164" s="3" t="s">
        <v>3</v>
      </c>
      <c r="E1164" s="4" t="s">
        <v>16</v>
      </c>
      <c r="F1164" s="5" t="s">
        <v>17</v>
      </c>
      <c r="G1164" s="3" t="s">
        <v>3</v>
      </c>
      <c r="H1164" s="130"/>
      <c r="J1164" s="3" t="s">
        <v>2</v>
      </c>
      <c r="K1164" s="4" t="s">
        <v>16</v>
      </c>
      <c r="L1164" s="5" t="s">
        <v>17</v>
      </c>
      <c r="M1164" s="3" t="s">
        <v>3</v>
      </c>
      <c r="N1164" s="4" t="s">
        <v>16</v>
      </c>
      <c r="O1164" s="5" t="s">
        <v>17</v>
      </c>
      <c r="P1164" s="3" t="s">
        <v>3</v>
      </c>
      <c r="Q1164" s="130"/>
    </row>
    <row r="1165" spans="1:18" ht="14.25" thickBot="1" x14ac:dyDescent="0.2">
      <c r="A1165" s="6" t="s">
        <v>55</v>
      </c>
      <c r="B1165" s="32">
        <f>B1159</f>
        <v>16</v>
      </c>
      <c r="C1165" s="33">
        <f>C1159</f>
        <v>15</v>
      </c>
      <c r="D1165" s="34">
        <f t="shared" ref="D1165:D1202" si="740">SUM(B1165:C1165)</f>
        <v>31</v>
      </c>
      <c r="E1165" s="32">
        <f>E1159</f>
        <v>14</v>
      </c>
      <c r="F1165" s="33">
        <f>F1159</f>
        <v>12</v>
      </c>
      <c r="G1165" s="34">
        <f t="shared" ref="G1165:G1202" si="741">SUM(E1165:F1165)</f>
        <v>26</v>
      </c>
      <c r="H1165" s="34">
        <f t="shared" ref="H1165:H1202" si="742">D1165+G1165</f>
        <v>57</v>
      </c>
      <c r="J1165" s="6" t="s">
        <v>55</v>
      </c>
      <c r="K1165" s="7">
        <f>K1159</f>
        <v>1200</v>
      </c>
      <c r="L1165" s="8">
        <f>L1159</f>
        <v>673</v>
      </c>
      <c r="M1165" s="9">
        <f t="shared" ref="M1165:M1202" si="743">SUM(K1165:L1165)</f>
        <v>1873</v>
      </c>
      <c r="N1165" s="7">
        <f>N1159</f>
        <v>1239</v>
      </c>
      <c r="O1165" s="8">
        <f>O1159</f>
        <v>278</v>
      </c>
      <c r="P1165" s="9">
        <f t="shared" ref="P1165:P1202" si="744">SUM(N1165:O1165)</f>
        <v>1517</v>
      </c>
      <c r="Q1165" s="9">
        <f t="shared" ref="Q1165:Q1202" si="745">M1165+P1165</f>
        <v>3390</v>
      </c>
    </row>
    <row r="1166" spans="1:18" x14ac:dyDescent="0.15">
      <c r="A1166" s="10" t="s">
        <v>5</v>
      </c>
      <c r="B1166" s="23">
        <v>5</v>
      </c>
      <c r="C1166" s="24">
        <v>5</v>
      </c>
      <c r="D1166" s="17">
        <f t="shared" ref="D1166:D1168" si="746">SUM(B1166:C1166)</f>
        <v>10</v>
      </c>
      <c r="E1166" s="25">
        <v>10</v>
      </c>
      <c r="F1166" s="24">
        <v>10</v>
      </c>
      <c r="G1166" s="17">
        <f t="shared" ref="G1166:G1168" si="747">SUM(E1166:F1166)</f>
        <v>20</v>
      </c>
      <c r="H1166" s="17">
        <f t="shared" ref="H1166:H1168" si="748">D1166+G1166</f>
        <v>30</v>
      </c>
      <c r="I1166" s="81">
        <v>45126</v>
      </c>
      <c r="J1166" s="94" t="s">
        <v>5</v>
      </c>
      <c r="K1166" s="48"/>
      <c r="L1166" s="49"/>
      <c r="M1166" s="50">
        <f t="shared" si="743"/>
        <v>0</v>
      </c>
      <c r="N1166" s="51"/>
      <c r="O1166" s="49"/>
      <c r="P1166" s="50">
        <f t="shared" si="744"/>
        <v>0</v>
      </c>
      <c r="Q1166" s="13">
        <f t="shared" si="745"/>
        <v>0</v>
      </c>
    </row>
    <row r="1167" spans="1:18" x14ac:dyDescent="0.15">
      <c r="A1167" s="10" t="s">
        <v>6</v>
      </c>
      <c r="B1167" s="23">
        <v>10</v>
      </c>
      <c r="C1167" s="24">
        <v>5</v>
      </c>
      <c r="D1167" s="17">
        <f t="shared" si="746"/>
        <v>15</v>
      </c>
      <c r="E1167" s="25">
        <v>10</v>
      </c>
      <c r="F1167" s="24">
        <v>5</v>
      </c>
      <c r="G1167" s="17">
        <f t="shared" si="747"/>
        <v>15</v>
      </c>
      <c r="H1167" s="17">
        <f t="shared" si="748"/>
        <v>30</v>
      </c>
      <c r="I1167" s="81">
        <v>45133</v>
      </c>
      <c r="J1167" s="10" t="s">
        <v>6</v>
      </c>
      <c r="K1167" s="19"/>
      <c r="L1167" s="20"/>
      <c r="M1167" s="17">
        <f t="shared" si="743"/>
        <v>0</v>
      </c>
      <c r="N1167" s="21"/>
      <c r="O1167" s="20"/>
      <c r="P1167" s="17">
        <f t="shared" si="744"/>
        <v>0</v>
      </c>
      <c r="Q1167" s="17">
        <f t="shared" si="745"/>
        <v>0</v>
      </c>
      <c r="R1167" s="81"/>
    </row>
    <row r="1168" spans="1:18" x14ac:dyDescent="0.15">
      <c r="A1168" s="10" t="s">
        <v>61</v>
      </c>
      <c r="B1168" s="23"/>
      <c r="C1168" s="24">
        <v>4</v>
      </c>
      <c r="D1168" s="17">
        <f t="shared" si="746"/>
        <v>4</v>
      </c>
      <c r="E1168" s="25"/>
      <c r="F1168" s="24">
        <v>4</v>
      </c>
      <c r="G1168" s="17">
        <f t="shared" si="747"/>
        <v>4</v>
      </c>
      <c r="H1168" s="17">
        <f t="shared" si="748"/>
        <v>8</v>
      </c>
      <c r="I1168" s="81">
        <v>45133</v>
      </c>
      <c r="J1168" s="10" t="s">
        <v>7</v>
      </c>
      <c r="K1168" s="19"/>
      <c r="L1168" s="20"/>
      <c r="M1168" s="17">
        <f t="shared" si="743"/>
        <v>0</v>
      </c>
      <c r="N1168" s="21"/>
      <c r="O1168" s="20"/>
      <c r="P1168" s="17">
        <f t="shared" si="744"/>
        <v>0</v>
      </c>
      <c r="Q1168" s="17">
        <f t="shared" si="745"/>
        <v>0</v>
      </c>
      <c r="R1168" s="81"/>
    </row>
    <row r="1169" spans="1:18" x14ac:dyDescent="0.15">
      <c r="A1169" s="10" t="s">
        <v>8</v>
      </c>
      <c r="B1169" s="23">
        <v>10</v>
      </c>
      <c r="C1169" s="24">
        <v>5</v>
      </c>
      <c r="D1169" s="17">
        <f t="shared" si="740"/>
        <v>15</v>
      </c>
      <c r="E1169" s="25">
        <v>10</v>
      </c>
      <c r="F1169" s="24">
        <v>5</v>
      </c>
      <c r="G1169" s="17">
        <f t="shared" si="741"/>
        <v>15</v>
      </c>
      <c r="H1169" s="17">
        <f t="shared" si="742"/>
        <v>30</v>
      </c>
      <c r="I1169" s="81">
        <v>45139</v>
      </c>
      <c r="J1169" s="10" t="s">
        <v>8</v>
      </c>
      <c r="K1169" s="15"/>
      <c r="L1169" s="16"/>
      <c r="M1169" s="17">
        <f t="shared" si="743"/>
        <v>0</v>
      </c>
      <c r="N1169" s="18"/>
      <c r="O1169" s="16"/>
      <c r="P1169" s="17">
        <f t="shared" si="744"/>
        <v>0</v>
      </c>
      <c r="Q1169" s="17">
        <f t="shared" si="745"/>
        <v>0</v>
      </c>
      <c r="R1169" s="83"/>
    </row>
    <row r="1170" spans="1:18" x14ac:dyDescent="0.15">
      <c r="A1170" s="10" t="s">
        <v>110</v>
      </c>
      <c r="B1170" s="23">
        <v>4</v>
      </c>
      <c r="C1170" s="24">
        <v>-1</v>
      </c>
      <c r="D1170" s="17">
        <f t="shared" si="740"/>
        <v>3</v>
      </c>
      <c r="E1170" s="25">
        <v>0</v>
      </c>
      <c r="F1170" s="24">
        <v>0</v>
      </c>
      <c r="G1170" s="17">
        <f t="shared" si="741"/>
        <v>0</v>
      </c>
      <c r="H1170" s="17">
        <f t="shared" si="742"/>
        <v>3</v>
      </c>
      <c r="I1170" s="81">
        <v>45140</v>
      </c>
      <c r="J1170" s="10" t="s">
        <v>9</v>
      </c>
      <c r="K1170" s="15"/>
      <c r="L1170" s="16"/>
      <c r="M1170" s="17">
        <f t="shared" si="743"/>
        <v>0</v>
      </c>
      <c r="N1170" s="18"/>
      <c r="O1170" s="16"/>
      <c r="P1170" s="17">
        <f t="shared" si="744"/>
        <v>0</v>
      </c>
      <c r="Q1170" s="17">
        <f t="shared" si="745"/>
        <v>0</v>
      </c>
      <c r="R1170" s="83"/>
    </row>
    <row r="1171" spans="1:18" x14ac:dyDescent="0.15">
      <c r="A1171" s="10" t="s">
        <v>10</v>
      </c>
      <c r="B1171" s="23"/>
      <c r="C1171" s="24"/>
      <c r="D1171" s="17">
        <f t="shared" si="740"/>
        <v>0</v>
      </c>
      <c r="E1171" s="25"/>
      <c r="F1171" s="24"/>
      <c r="G1171" s="17">
        <f t="shared" si="741"/>
        <v>0</v>
      </c>
      <c r="H1171" s="17">
        <f t="shared" si="742"/>
        <v>0</v>
      </c>
      <c r="I1171" s="81"/>
      <c r="J1171" s="10" t="s">
        <v>10</v>
      </c>
      <c r="K1171" s="15"/>
      <c r="L1171" s="16"/>
      <c r="M1171" s="17">
        <f t="shared" si="743"/>
        <v>0</v>
      </c>
      <c r="N1171" s="18"/>
      <c r="O1171" s="16"/>
      <c r="P1171" s="17">
        <f t="shared" si="744"/>
        <v>0</v>
      </c>
      <c r="Q1171" s="17">
        <f t="shared" si="745"/>
        <v>0</v>
      </c>
    </row>
    <row r="1172" spans="1:18" x14ac:dyDescent="0.15">
      <c r="A1172" s="10" t="s">
        <v>11</v>
      </c>
      <c r="B1172" s="23"/>
      <c r="C1172" s="24"/>
      <c r="D1172" s="17">
        <f t="shared" si="740"/>
        <v>0</v>
      </c>
      <c r="E1172" s="25"/>
      <c r="F1172" s="24"/>
      <c r="G1172" s="17">
        <f t="shared" si="741"/>
        <v>0</v>
      </c>
      <c r="H1172" s="17">
        <f t="shared" si="742"/>
        <v>0</v>
      </c>
      <c r="I1172" s="81"/>
      <c r="J1172" s="10" t="s">
        <v>11</v>
      </c>
      <c r="K1172" s="23"/>
      <c r="L1172" s="24"/>
      <c r="M1172" s="17">
        <f t="shared" si="743"/>
        <v>0</v>
      </c>
      <c r="N1172" s="25"/>
      <c r="O1172" s="24"/>
      <c r="P1172" s="17">
        <f t="shared" si="744"/>
        <v>0</v>
      </c>
      <c r="Q1172" s="17">
        <f t="shared" si="745"/>
        <v>0</v>
      </c>
    </row>
    <row r="1173" spans="1:18" ht="14.25" thickBot="1" x14ac:dyDescent="0.2">
      <c r="A1173" s="10" t="s">
        <v>12</v>
      </c>
      <c r="B1173" s="26"/>
      <c r="C1173" s="27"/>
      <c r="D1173" s="28">
        <f t="shared" si="740"/>
        <v>0</v>
      </c>
      <c r="E1173" s="29"/>
      <c r="F1173" s="29"/>
      <c r="G1173" s="28">
        <f t="shared" si="741"/>
        <v>0</v>
      </c>
      <c r="H1173" s="30">
        <f t="shared" si="742"/>
        <v>0</v>
      </c>
      <c r="J1173" s="10" t="s">
        <v>12</v>
      </c>
      <c r="K1173" s="26"/>
      <c r="L1173" s="27"/>
      <c r="M1173" s="28">
        <f t="shared" si="743"/>
        <v>0</v>
      </c>
      <c r="N1173" s="29"/>
      <c r="O1173" s="29"/>
      <c r="P1173" s="28">
        <f t="shared" si="744"/>
        <v>0</v>
      </c>
      <c r="Q1173" s="30">
        <f t="shared" si="745"/>
        <v>0</v>
      </c>
    </row>
    <row r="1174" spans="1:18" ht="14.25" thickBot="1" x14ac:dyDescent="0.2">
      <c r="A1174" s="31" t="s">
        <v>13</v>
      </c>
      <c r="B1174" s="32">
        <f>SUM(B1165:B1173)</f>
        <v>45</v>
      </c>
      <c r="C1174" s="33">
        <f>SUM(C1165:C1173)</f>
        <v>33</v>
      </c>
      <c r="D1174" s="34">
        <f t="shared" si="740"/>
        <v>78</v>
      </c>
      <c r="E1174" s="32">
        <f>SUM(E1165:E1173)</f>
        <v>44</v>
      </c>
      <c r="F1174" s="33">
        <f>SUM(F1165:F1173)</f>
        <v>36</v>
      </c>
      <c r="G1174" s="34">
        <f t="shared" si="741"/>
        <v>80</v>
      </c>
      <c r="H1174" s="34">
        <f t="shared" si="742"/>
        <v>158</v>
      </c>
      <c r="J1174" s="31" t="s">
        <v>13</v>
      </c>
      <c r="K1174" s="32">
        <f>SUM(K1165:K1173)</f>
        <v>1200</v>
      </c>
      <c r="L1174" s="33">
        <f>SUM(L1165:L1173)</f>
        <v>673</v>
      </c>
      <c r="M1174" s="34">
        <f t="shared" si="743"/>
        <v>1873</v>
      </c>
      <c r="N1174" s="32">
        <f>SUM(N1165:N1173)</f>
        <v>1239</v>
      </c>
      <c r="O1174" s="33">
        <f>SUM(O1165:O1173)</f>
        <v>278</v>
      </c>
      <c r="P1174" s="34">
        <f t="shared" si="744"/>
        <v>1517</v>
      </c>
      <c r="Q1174" s="34">
        <f t="shared" si="745"/>
        <v>3390</v>
      </c>
    </row>
    <row r="1175" spans="1:18" x14ac:dyDescent="0.15">
      <c r="A1175" s="35" t="s">
        <v>544</v>
      </c>
      <c r="B1175" s="15">
        <v>1</v>
      </c>
      <c r="C1175" s="16"/>
      <c r="D1175" s="36">
        <f t="shared" ref="D1175:D1196" si="749">SUM(B1175:C1175)</f>
        <v>1</v>
      </c>
      <c r="E1175" s="18">
        <v>1</v>
      </c>
      <c r="F1175" s="16"/>
      <c r="G1175" s="36">
        <f t="shared" ref="G1175:G1196" si="750">SUM(E1175:F1175)</f>
        <v>1</v>
      </c>
      <c r="H1175" s="17">
        <f t="shared" ref="H1175:H1196" si="751">D1175+G1175</f>
        <v>2</v>
      </c>
      <c r="I1175" s="81">
        <v>45122</v>
      </c>
      <c r="J1175" s="52" t="s">
        <v>91</v>
      </c>
      <c r="K1175" s="19">
        <v>5</v>
      </c>
      <c r="L1175" s="20">
        <v>5</v>
      </c>
      <c r="M1175" s="17">
        <f t="shared" si="743"/>
        <v>10</v>
      </c>
      <c r="N1175" s="21">
        <v>10</v>
      </c>
      <c r="O1175" s="20">
        <v>10</v>
      </c>
      <c r="P1175" s="17">
        <f t="shared" si="744"/>
        <v>20</v>
      </c>
      <c r="Q1175" s="17">
        <f t="shared" si="745"/>
        <v>30</v>
      </c>
      <c r="R1175" s="81">
        <v>45126</v>
      </c>
    </row>
    <row r="1176" spans="1:18" x14ac:dyDescent="0.15">
      <c r="A1176" s="35" t="s">
        <v>33</v>
      </c>
      <c r="B1176" s="15"/>
      <c r="C1176" s="16"/>
      <c r="D1176" s="36">
        <f t="shared" si="749"/>
        <v>0</v>
      </c>
      <c r="E1176" s="18">
        <v>2</v>
      </c>
      <c r="F1176" s="16">
        <v>2</v>
      </c>
      <c r="G1176" s="36">
        <f t="shared" si="750"/>
        <v>4</v>
      </c>
      <c r="H1176" s="17">
        <f t="shared" si="751"/>
        <v>4</v>
      </c>
      <c r="I1176" s="81">
        <v>45121</v>
      </c>
      <c r="J1176" s="52" t="s">
        <v>91</v>
      </c>
      <c r="K1176" s="19">
        <v>10</v>
      </c>
      <c r="L1176" s="20">
        <v>5</v>
      </c>
      <c r="M1176" s="17">
        <f t="shared" si="743"/>
        <v>15</v>
      </c>
      <c r="N1176" s="21">
        <v>10</v>
      </c>
      <c r="O1176" s="20">
        <v>5</v>
      </c>
      <c r="P1176" s="17">
        <f t="shared" si="744"/>
        <v>15</v>
      </c>
      <c r="Q1176" s="17">
        <f t="shared" si="745"/>
        <v>30</v>
      </c>
      <c r="R1176" s="81">
        <v>45133</v>
      </c>
    </row>
    <row r="1177" spans="1:18" x14ac:dyDescent="0.15">
      <c r="A1177" s="35" t="s">
        <v>33</v>
      </c>
      <c r="B1177" s="15"/>
      <c r="C1177" s="16"/>
      <c r="D1177" s="36">
        <f t="shared" si="749"/>
        <v>0</v>
      </c>
      <c r="E1177" s="18">
        <v>2</v>
      </c>
      <c r="F1177" s="16"/>
      <c r="G1177" s="36">
        <f t="shared" si="750"/>
        <v>2</v>
      </c>
      <c r="H1177" s="17">
        <f t="shared" si="751"/>
        <v>2</v>
      </c>
      <c r="I1177" s="81">
        <v>45122</v>
      </c>
      <c r="J1177" s="35" t="s">
        <v>549</v>
      </c>
      <c r="K1177" s="19"/>
      <c r="L1177" s="20">
        <v>6</v>
      </c>
      <c r="M1177" s="17">
        <f t="shared" ref="M1177:M1178" si="752">SUM(K1177:L1177)</f>
        <v>6</v>
      </c>
      <c r="N1177" s="21"/>
      <c r="O1177" s="20">
        <v>6</v>
      </c>
      <c r="P1177" s="17">
        <f t="shared" ref="P1177:P1178" si="753">SUM(N1177:O1177)</f>
        <v>6</v>
      </c>
      <c r="Q1177" s="17">
        <f t="shared" ref="Q1177:Q1178" si="754">M1177+P1177</f>
        <v>12</v>
      </c>
      <c r="R1177" s="81">
        <v>45134</v>
      </c>
    </row>
    <row r="1178" spans="1:18" x14ac:dyDescent="0.15">
      <c r="A1178" s="35" t="s">
        <v>545</v>
      </c>
      <c r="B1178" s="15"/>
      <c r="C1178" s="16">
        <v>2</v>
      </c>
      <c r="D1178" s="36">
        <f t="shared" si="749"/>
        <v>2</v>
      </c>
      <c r="E1178" s="18"/>
      <c r="F1178" s="16">
        <v>2</v>
      </c>
      <c r="G1178" s="36">
        <f t="shared" si="750"/>
        <v>2</v>
      </c>
      <c r="H1178" s="17">
        <f t="shared" si="751"/>
        <v>4</v>
      </c>
      <c r="I1178" s="81">
        <v>45126</v>
      </c>
      <c r="J1178" s="52" t="s">
        <v>91</v>
      </c>
      <c r="K1178" s="19">
        <v>10</v>
      </c>
      <c r="L1178" s="20">
        <v>5</v>
      </c>
      <c r="M1178" s="17">
        <f t="shared" si="752"/>
        <v>15</v>
      </c>
      <c r="N1178" s="21">
        <v>10</v>
      </c>
      <c r="O1178" s="20">
        <v>5</v>
      </c>
      <c r="P1178" s="17">
        <f t="shared" si="753"/>
        <v>15</v>
      </c>
      <c r="Q1178" s="17">
        <f t="shared" si="754"/>
        <v>30</v>
      </c>
      <c r="R1178" s="81">
        <v>45139</v>
      </c>
    </row>
    <row r="1179" spans="1:18" x14ac:dyDescent="0.15">
      <c r="A1179" s="35" t="s">
        <v>33</v>
      </c>
      <c r="B1179" s="15">
        <v>2</v>
      </c>
      <c r="C1179" s="16">
        <v>1</v>
      </c>
      <c r="D1179" s="36">
        <f t="shared" si="749"/>
        <v>3</v>
      </c>
      <c r="E1179" s="18">
        <v>1</v>
      </c>
      <c r="F1179" s="16">
        <f>1+1</f>
        <v>2</v>
      </c>
      <c r="G1179" s="36">
        <f t="shared" si="750"/>
        <v>3</v>
      </c>
      <c r="H1179" s="17">
        <f t="shared" si="751"/>
        <v>6</v>
      </c>
      <c r="I1179" s="81">
        <v>45125</v>
      </c>
      <c r="J1179" s="35" t="s">
        <v>557</v>
      </c>
      <c r="K1179" s="19">
        <v>6</v>
      </c>
      <c r="L1179" s="20">
        <v>2</v>
      </c>
      <c r="M1179" s="17">
        <f t="shared" si="743"/>
        <v>8</v>
      </c>
      <c r="N1179" s="21">
        <v>6</v>
      </c>
      <c r="O1179" s="20">
        <v>2</v>
      </c>
      <c r="P1179" s="17">
        <f t="shared" si="744"/>
        <v>8</v>
      </c>
      <c r="Q1179" s="17">
        <f t="shared" si="745"/>
        <v>16</v>
      </c>
      <c r="R1179" s="81">
        <v>45146</v>
      </c>
    </row>
    <row r="1180" spans="1:18" x14ac:dyDescent="0.15">
      <c r="A1180" s="35" t="s">
        <v>546</v>
      </c>
      <c r="B1180" s="15">
        <v>1</v>
      </c>
      <c r="C1180" s="16"/>
      <c r="D1180" s="36">
        <f t="shared" si="749"/>
        <v>1</v>
      </c>
      <c r="E1180" s="18">
        <v>1</v>
      </c>
      <c r="F1180" s="16"/>
      <c r="G1180" s="36">
        <f t="shared" si="750"/>
        <v>1</v>
      </c>
      <c r="H1180" s="17">
        <f t="shared" si="751"/>
        <v>2</v>
      </c>
      <c r="I1180" s="81">
        <v>45126</v>
      </c>
      <c r="J1180" s="35"/>
      <c r="K1180" s="19"/>
      <c r="L1180" s="20"/>
      <c r="M1180" s="17">
        <f t="shared" si="743"/>
        <v>0</v>
      </c>
      <c r="N1180" s="21"/>
      <c r="O1180" s="20"/>
      <c r="P1180" s="17">
        <f t="shared" si="744"/>
        <v>0</v>
      </c>
      <c r="Q1180" s="17">
        <f t="shared" si="745"/>
        <v>0</v>
      </c>
      <c r="R1180" s="81"/>
    </row>
    <row r="1181" spans="1:18" x14ac:dyDescent="0.15">
      <c r="A1181" s="35" t="s">
        <v>33</v>
      </c>
      <c r="B1181" s="15">
        <v>2</v>
      </c>
      <c r="C1181" s="16"/>
      <c r="D1181" s="36">
        <f t="shared" si="749"/>
        <v>2</v>
      </c>
      <c r="E1181" s="18"/>
      <c r="F1181" s="16"/>
      <c r="G1181" s="36">
        <f t="shared" si="750"/>
        <v>0</v>
      </c>
      <c r="H1181" s="17">
        <f t="shared" si="751"/>
        <v>2</v>
      </c>
      <c r="I1181" s="81">
        <v>45127</v>
      </c>
      <c r="J1181" s="35"/>
      <c r="K1181" s="19"/>
      <c r="L1181" s="20"/>
      <c r="M1181" s="17">
        <f t="shared" si="743"/>
        <v>0</v>
      </c>
      <c r="N1181" s="21"/>
      <c r="O1181" s="20"/>
      <c r="P1181" s="17">
        <f t="shared" si="744"/>
        <v>0</v>
      </c>
      <c r="Q1181" s="17">
        <f t="shared" si="745"/>
        <v>0</v>
      </c>
      <c r="R1181" s="81"/>
    </row>
    <row r="1182" spans="1:18" x14ac:dyDescent="0.15">
      <c r="A1182" s="35" t="s">
        <v>547</v>
      </c>
      <c r="B1182" s="15">
        <v>1</v>
      </c>
      <c r="C1182" s="16">
        <v>2</v>
      </c>
      <c r="D1182" s="36">
        <f t="shared" si="749"/>
        <v>3</v>
      </c>
      <c r="E1182" s="18">
        <v>1</v>
      </c>
      <c r="F1182" s="16">
        <v>2</v>
      </c>
      <c r="G1182" s="36">
        <f t="shared" si="750"/>
        <v>3</v>
      </c>
      <c r="H1182" s="17">
        <f t="shared" si="751"/>
        <v>6</v>
      </c>
      <c r="I1182" s="81">
        <v>45132</v>
      </c>
      <c r="J1182" s="35"/>
      <c r="K1182" s="19"/>
      <c r="L1182" s="20"/>
      <c r="M1182" s="17">
        <f t="shared" si="743"/>
        <v>0</v>
      </c>
      <c r="N1182" s="21"/>
      <c r="O1182" s="20"/>
      <c r="P1182" s="17">
        <f t="shared" si="744"/>
        <v>0</v>
      </c>
      <c r="Q1182" s="17">
        <f t="shared" si="745"/>
        <v>0</v>
      </c>
      <c r="R1182" s="81"/>
    </row>
    <row r="1183" spans="1:18" x14ac:dyDescent="0.15">
      <c r="A1183" s="35" t="s">
        <v>33</v>
      </c>
      <c r="B1183" s="15"/>
      <c r="C1183" s="16"/>
      <c r="D1183" s="36">
        <f t="shared" si="749"/>
        <v>0</v>
      </c>
      <c r="E1183" s="18">
        <v>1</v>
      </c>
      <c r="F1183" s="16"/>
      <c r="G1183" s="36">
        <f t="shared" si="750"/>
        <v>1</v>
      </c>
      <c r="H1183" s="17">
        <f t="shared" si="751"/>
        <v>1</v>
      </c>
      <c r="I1183" s="81">
        <v>45131</v>
      </c>
      <c r="J1183" s="35"/>
      <c r="K1183" s="19"/>
      <c r="L1183" s="20"/>
      <c r="M1183" s="17">
        <f t="shared" si="743"/>
        <v>0</v>
      </c>
      <c r="N1183" s="21"/>
      <c r="O1183" s="20"/>
      <c r="P1183" s="17">
        <f t="shared" si="744"/>
        <v>0</v>
      </c>
      <c r="Q1183" s="17">
        <f t="shared" si="745"/>
        <v>0</v>
      </c>
      <c r="R1183" s="81"/>
    </row>
    <row r="1184" spans="1:18" x14ac:dyDescent="0.15">
      <c r="A1184" s="35" t="s">
        <v>548</v>
      </c>
      <c r="B1184" s="15">
        <v>5</v>
      </c>
      <c r="C1184" s="16">
        <v>1</v>
      </c>
      <c r="D1184" s="36">
        <f t="shared" si="749"/>
        <v>6</v>
      </c>
      <c r="E1184" s="18">
        <v>5</v>
      </c>
      <c r="F1184" s="16">
        <v>1</v>
      </c>
      <c r="G1184" s="36">
        <f t="shared" si="750"/>
        <v>6</v>
      </c>
      <c r="H1184" s="17">
        <f t="shared" si="751"/>
        <v>12</v>
      </c>
      <c r="I1184" s="81">
        <v>45133</v>
      </c>
      <c r="J1184" s="52"/>
      <c r="K1184" s="23"/>
      <c r="L1184" s="24"/>
      <c r="M1184" s="36">
        <f t="shared" si="743"/>
        <v>0</v>
      </c>
      <c r="N1184" s="25"/>
      <c r="O1184" s="24"/>
      <c r="P1184" s="36">
        <f t="shared" si="744"/>
        <v>0</v>
      </c>
      <c r="Q1184" s="17">
        <f t="shared" si="745"/>
        <v>0</v>
      </c>
      <c r="R1184" s="81"/>
    </row>
    <row r="1185" spans="1:18" x14ac:dyDescent="0.15">
      <c r="A1185" s="35" t="s">
        <v>33</v>
      </c>
      <c r="B1185" s="15">
        <v>1</v>
      </c>
      <c r="C1185" s="16"/>
      <c r="D1185" s="36">
        <f t="shared" si="749"/>
        <v>1</v>
      </c>
      <c r="E1185" s="18"/>
      <c r="F1185" s="16"/>
      <c r="G1185" s="36">
        <f t="shared" si="750"/>
        <v>0</v>
      </c>
      <c r="H1185" s="17">
        <f t="shared" si="751"/>
        <v>1</v>
      </c>
      <c r="I1185" s="81">
        <v>45132</v>
      </c>
      <c r="J1185" s="52"/>
      <c r="K1185" s="15"/>
      <c r="L1185" s="16"/>
      <c r="M1185" s="36">
        <f t="shared" si="743"/>
        <v>0</v>
      </c>
      <c r="N1185" s="18"/>
      <c r="O1185" s="16"/>
      <c r="P1185" s="36">
        <f t="shared" si="744"/>
        <v>0</v>
      </c>
      <c r="Q1185" s="17">
        <f t="shared" si="745"/>
        <v>0</v>
      </c>
      <c r="R1185" s="81"/>
    </row>
    <row r="1186" spans="1:18" x14ac:dyDescent="0.15">
      <c r="A1186" s="35" t="s">
        <v>33</v>
      </c>
      <c r="B1186" s="15">
        <v>2</v>
      </c>
      <c r="C1186" s="16">
        <v>1</v>
      </c>
      <c r="D1186" s="36">
        <f t="shared" si="749"/>
        <v>3</v>
      </c>
      <c r="E1186" s="18">
        <v>1</v>
      </c>
      <c r="F1186" s="16">
        <v>1</v>
      </c>
      <c r="G1186" s="36">
        <f t="shared" si="750"/>
        <v>2</v>
      </c>
      <c r="H1186" s="17">
        <f t="shared" si="751"/>
        <v>5</v>
      </c>
      <c r="I1186" s="81">
        <v>45133</v>
      </c>
      <c r="J1186" s="52"/>
      <c r="K1186" s="15"/>
      <c r="L1186" s="16"/>
      <c r="M1186" s="36">
        <f t="shared" si="743"/>
        <v>0</v>
      </c>
      <c r="N1186" s="18"/>
      <c r="O1186" s="16"/>
      <c r="P1186" s="36">
        <f t="shared" si="744"/>
        <v>0</v>
      </c>
      <c r="Q1186" s="17">
        <f t="shared" si="745"/>
        <v>0</v>
      </c>
      <c r="R1186" s="81"/>
    </row>
    <row r="1187" spans="1:18" x14ac:dyDescent="0.15">
      <c r="A1187" s="35" t="s">
        <v>550</v>
      </c>
      <c r="B1187" s="15"/>
      <c r="C1187" s="16">
        <v>1</v>
      </c>
      <c r="D1187" s="36">
        <f t="shared" si="749"/>
        <v>1</v>
      </c>
      <c r="E1187" s="18"/>
      <c r="F1187" s="16">
        <v>1</v>
      </c>
      <c r="G1187" s="36">
        <f t="shared" si="750"/>
        <v>1</v>
      </c>
      <c r="H1187" s="17">
        <f t="shared" si="751"/>
        <v>2</v>
      </c>
      <c r="I1187" s="81">
        <v>45135</v>
      </c>
      <c r="J1187" s="52"/>
      <c r="K1187" s="15"/>
      <c r="L1187" s="16"/>
      <c r="M1187" s="36">
        <f t="shared" si="743"/>
        <v>0</v>
      </c>
      <c r="N1187" s="18"/>
      <c r="O1187" s="16"/>
      <c r="P1187" s="36">
        <f t="shared" si="744"/>
        <v>0</v>
      </c>
      <c r="Q1187" s="17">
        <f t="shared" si="745"/>
        <v>0</v>
      </c>
      <c r="R1187" s="81"/>
    </row>
    <row r="1188" spans="1:18" x14ac:dyDescent="0.15">
      <c r="A1188" s="35" t="s">
        <v>551</v>
      </c>
      <c r="B1188" s="15">
        <v>5</v>
      </c>
      <c r="C1188" s="16"/>
      <c r="D1188" s="36">
        <f t="shared" si="749"/>
        <v>5</v>
      </c>
      <c r="E1188" s="18">
        <v>5</v>
      </c>
      <c r="F1188" s="16"/>
      <c r="G1188" s="36">
        <f t="shared" si="750"/>
        <v>5</v>
      </c>
      <c r="H1188" s="17">
        <f t="shared" si="751"/>
        <v>10</v>
      </c>
      <c r="I1188" s="81">
        <v>45138</v>
      </c>
      <c r="J1188" s="52"/>
      <c r="K1188" s="15"/>
      <c r="L1188" s="16"/>
      <c r="M1188" s="36">
        <f t="shared" si="743"/>
        <v>0</v>
      </c>
      <c r="N1188" s="18"/>
      <c r="O1188" s="16"/>
      <c r="P1188" s="36">
        <f t="shared" si="744"/>
        <v>0</v>
      </c>
      <c r="Q1188" s="17">
        <f t="shared" si="745"/>
        <v>0</v>
      </c>
      <c r="R1188" s="81"/>
    </row>
    <row r="1189" spans="1:18" x14ac:dyDescent="0.15">
      <c r="A1189" s="35" t="s">
        <v>33</v>
      </c>
      <c r="B1189" s="15">
        <v>1</v>
      </c>
      <c r="C1189" s="16">
        <v>1</v>
      </c>
      <c r="D1189" s="36">
        <f t="shared" si="749"/>
        <v>2</v>
      </c>
      <c r="E1189" s="18">
        <v>5</v>
      </c>
      <c r="F1189" s="16"/>
      <c r="G1189" s="36">
        <f t="shared" si="750"/>
        <v>5</v>
      </c>
      <c r="H1189" s="17">
        <f t="shared" si="751"/>
        <v>7</v>
      </c>
      <c r="I1189" s="81">
        <v>45136</v>
      </c>
      <c r="J1189" s="52"/>
      <c r="K1189" s="15"/>
      <c r="L1189" s="16"/>
      <c r="M1189" s="36">
        <f t="shared" si="743"/>
        <v>0</v>
      </c>
      <c r="N1189" s="18"/>
      <c r="O1189" s="16"/>
      <c r="P1189" s="36">
        <f t="shared" si="744"/>
        <v>0</v>
      </c>
      <c r="Q1189" s="17">
        <f t="shared" si="745"/>
        <v>0</v>
      </c>
      <c r="R1189" s="81"/>
    </row>
    <row r="1190" spans="1:18" x14ac:dyDescent="0.15">
      <c r="A1190" s="35" t="s">
        <v>552</v>
      </c>
      <c r="B1190" s="15"/>
      <c r="C1190" s="16">
        <v>7</v>
      </c>
      <c r="D1190" s="36">
        <f t="shared" si="749"/>
        <v>7</v>
      </c>
      <c r="E1190" s="18"/>
      <c r="F1190" s="16">
        <v>7</v>
      </c>
      <c r="G1190" s="36">
        <f t="shared" si="750"/>
        <v>7</v>
      </c>
      <c r="H1190" s="17">
        <f t="shared" si="751"/>
        <v>14</v>
      </c>
      <c r="I1190" s="81">
        <v>45139</v>
      </c>
      <c r="J1190" s="52"/>
      <c r="K1190" s="15"/>
      <c r="L1190" s="16"/>
      <c r="M1190" s="36">
        <f t="shared" si="743"/>
        <v>0</v>
      </c>
      <c r="N1190" s="18"/>
      <c r="O1190" s="16"/>
      <c r="P1190" s="36">
        <f t="shared" si="744"/>
        <v>0</v>
      </c>
      <c r="Q1190" s="17">
        <f t="shared" si="745"/>
        <v>0</v>
      </c>
      <c r="R1190" s="81"/>
    </row>
    <row r="1191" spans="1:18" x14ac:dyDescent="0.15">
      <c r="A1191" s="35" t="s">
        <v>553</v>
      </c>
      <c r="B1191" s="15">
        <v>1</v>
      </c>
      <c r="C1191" s="16"/>
      <c r="D1191" s="36">
        <f t="shared" si="749"/>
        <v>1</v>
      </c>
      <c r="E1191" s="18">
        <v>1</v>
      </c>
      <c r="F1191" s="16"/>
      <c r="G1191" s="36">
        <f t="shared" si="750"/>
        <v>1</v>
      </c>
      <c r="H1191" s="17">
        <f t="shared" si="751"/>
        <v>2</v>
      </c>
      <c r="I1191" s="81">
        <v>45139</v>
      </c>
      <c r="J1191" s="52"/>
      <c r="K1191" s="15"/>
      <c r="L1191" s="16"/>
      <c r="M1191" s="36">
        <f t="shared" si="743"/>
        <v>0</v>
      </c>
      <c r="N1191" s="18"/>
      <c r="O1191" s="16"/>
      <c r="P1191" s="36">
        <f t="shared" si="744"/>
        <v>0</v>
      </c>
      <c r="Q1191" s="17">
        <f t="shared" si="745"/>
        <v>0</v>
      </c>
      <c r="R1191" s="81"/>
    </row>
    <row r="1192" spans="1:18" x14ac:dyDescent="0.15">
      <c r="A1192" s="35" t="s">
        <v>33</v>
      </c>
      <c r="B1192" s="15"/>
      <c r="C1192" s="16"/>
      <c r="D1192" s="36">
        <f t="shared" si="749"/>
        <v>0</v>
      </c>
      <c r="E1192" s="18"/>
      <c r="F1192" s="16">
        <v>1</v>
      </c>
      <c r="G1192" s="36">
        <f t="shared" si="750"/>
        <v>1</v>
      </c>
      <c r="H1192" s="17">
        <f t="shared" si="751"/>
        <v>1</v>
      </c>
      <c r="I1192" s="81">
        <v>45138</v>
      </c>
      <c r="J1192" s="52"/>
      <c r="K1192" s="15"/>
      <c r="L1192" s="16"/>
      <c r="M1192" s="36">
        <f t="shared" si="743"/>
        <v>0</v>
      </c>
      <c r="N1192" s="18"/>
      <c r="O1192" s="16"/>
      <c r="P1192" s="36">
        <f t="shared" si="744"/>
        <v>0</v>
      </c>
      <c r="Q1192" s="17">
        <f t="shared" si="745"/>
        <v>0</v>
      </c>
      <c r="R1192" s="81"/>
    </row>
    <row r="1193" spans="1:18" x14ac:dyDescent="0.15">
      <c r="A1193" s="35" t="s">
        <v>554</v>
      </c>
      <c r="B1193" s="15">
        <v>1</v>
      </c>
      <c r="C1193" s="16"/>
      <c r="D1193" s="36">
        <f t="shared" si="749"/>
        <v>1</v>
      </c>
      <c r="E1193" s="18">
        <v>1</v>
      </c>
      <c r="F1193" s="16"/>
      <c r="G1193" s="36">
        <f t="shared" si="750"/>
        <v>1</v>
      </c>
      <c r="H1193" s="17">
        <f t="shared" si="751"/>
        <v>2</v>
      </c>
      <c r="I1193" s="81">
        <v>45140</v>
      </c>
      <c r="J1193" s="52"/>
      <c r="K1193" s="15"/>
      <c r="L1193" s="16"/>
      <c r="M1193" s="36">
        <f t="shared" si="743"/>
        <v>0</v>
      </c>
      <c r="N1193" s="18"/>
      <c r="O1193" s="16"/>
      <c r="P1193" s="36">
        <f t="shared" si="744"/>
        <v>0</v>
      </c>
      <c r="Q1193" s="17">
        <f t="shared" si="745"/>
        <v>0</v>
      </c>
      <c r="R1193" s="81"/>
    </row>
    <row r="1194" spans="1:18" x14ac:dyDescent="0.15">
      <c r="A1194" s="35" t="s">
        <v>283</v>
      </c>
      <c r="B1194" s="15">
        <v>2</v>
      </c>
      <c r="C1194" s="16"/>
      <c r="D1194" s="36">
        <f t="shared" si="749"/>
        <v>2</v>
      </c>
      <c r="E1194" s="18"/>
      <c r="F1194" s="16"/>
      <c r="G1194" s="36">
        <f t="shared" si="750"/>
        <v>0</v>
      </c>
      <c r="H1194" s="17">
        <f t="shared" si="751"/>
        <v>2</v>
      </c>
      <c r="I1194" s="81">
        <v>45139</v>
      </c>
      <c r="J1194" s="52"/>
      <c r="K1194" s="15"/>
      <c r="L1194" s="16"/>
      <c r="M1194" s="36">
        <f t="shared" si="743"/>
        <v>0</v>
      </c>
      <c r="N1194" s="18"/>
      <c r="O1194" s="16"/>
      <c r="P1194" s="36">
        <f t="shared" si="744"/>
        <v>0</v>
      </c>
      <c r="Q1194" s="17">
        <f t="shared" si="745"/>
        <v>0</v>
      </c>
      <c r="R1194" s="81"/>
    </row>
    <row r="1195" spans="1:18" x14ac:dyDescent="0.15">
      <c r="A1195" s="35" t="s">
        <v>555</v>
      </c>
      <c r="B1195" s="15">
        <v>1</v>
      </c>
      <c r="C1195" s="16">
        <v>4</v>
      </c>
      <c r="D1195" s="36">
        <f t="shared" si="749"/>
        <v>5</v>
      </c>
      <c r="E1195" s="18">
        <v>1</v>
      </c>
      <c r="F1195" s="16">
        <v>4</v>
      </c>
      <c r="G1195" s="36">
        <f t="shared" si="750"/>
        <v>5</v>
      </c>
      <c r="H1195" s="17">
        <f t="shared" si="751"/>
        <v>10</v>
      </c>
      <c r="I1195" s="81">
        <v>45141</v>
      </c>
      <c r="J1195" s="52"/>
      <c r="K1195" s="15"/>
      <c r="L1195" s="16"/>
      <c r="M1195" s="36">
        <f t="shared" si="743"/>
        <v>0</v>
      </c>
      <c r="N1195" s="18"/>
      <c r="O1195" s="16"/>
      <c r="P1195" s="36">
        <f t="shared" si="744"/>
        <v>0</v>
      </c>
      <c r="Q1195" s="17">
        <f t="shared" si="745"/>
        <v>0</v>
      </c>
      <c r="R1195" s="81"/>
    </row>
    <row r="1196" spans="1:18" x14ac:dyDescent="0.15">
      <c r="A1196" s="35" t="s">
        <v>283</v>
      </c>
      <c r="B1196" s="15"/>
      <c r="C1196" s="16"/>
      <c r="D1196" s="36">
        <f t="shared" si="749"/>
        <v>0</v>
      </c>
      <c r="E1196" s="18"/>
      <c r="F1196" s="16">
        <v>1</v>
      </c>
      <c r="G1196" s="36">
        <f t="shared" si="750"/>
        <v>1</v>
      </c>
      <c r="H1196" s="17">
        <f t="shared" si="751"/>
        <v>1</v>
      </c>
      <c r="I1196" s="81">
        <v>45140</v>
      </c>
      <c r="J1196" s="52"/>
      <c r="K1196" s="15"/>
      <c r="L1196" s="16"/>
      <c r="M1196" s="36">
        <f t="shared" si="743"/>
        <v>0</v>
      </c>
      <c r="N1196" s="18"/>
      <c r="O1196" s="16"/>
      <c r="P1196" s="36">
        <f t="shared" si="744"/>
        <v>0</v>
      </c>
      <c r="Q1196" s="17">
        <f t="shared" si="745"/>
        <v>0</v>
      </c>
      <c r="R1196" s="81"/>
    </row>
    <row r="1197" spans="1:18" x14ac:dyDescent="0.15">
      <c r="A1197" s="35" t="s">
        <v>33</v>
      </c>
      <c r="B1197" s="15"/>
      <c r="C1197" s="16"/>
      <c r="D1197" s="36">
        <f t="shared" si="740"/>
        <v>0</v>
      </c>
      <c r="E1197" s="18"/>
      <c r="F1197" s="16">
        <v>1</v>
      </c>
      <c r="G1197" s="36">
        <f t="shared" si="741"/>
        <v>1</v>
      </c>
      <c r="H1197" s="17">
        <f t="shared" si="742"/>
        <v>1</v>
      </c>
      <c r="I1197" s="81">
        <v>45140</v>
      </c>
      <c r="J1197" s="52"/>
      <c r="K1197" s="15"/>
      <c r="L1197" s="16"/>
      <c r="M1197" s="36">
        <f t="shared" si="743"/>
        <v>0</v>
      </c>
      <c r="N1197" s="18"/>
      <c r="O1197" s="16"/>
      <c r="P1197" s="36">
        <f t="shared" si="744"/>
        <v>0</v>
      </c>
      <c r="Q1197" s="17">
        <f t="shared" si="745"/>
        <v>0</v>
      </c>
      <c r="R1197" s="81"/>
    </row>
    <row r="1198" spans="1:18" x14ac:dyDescent="0.15">
      <c r="A1198" s="35" t="s">
        <v>556</v>
      </c>
      <c r="B1198" s="15">
        <v>2</v>
      </c>
      <c r="C1198" s="16"/>
      <c r="D1198" s="36">
        <f t="shared" si="740"/>
        <v>2</v>
      </c>
      <c r="E1198" s="18">
        <v>2</v>
      </c>
      <c r="F1198" s="16"/>
      <c r="G1198" s="36">
        <f t="shared" si="741"/>
        <v>2</v>
      </c>
      <c r="H1198" s="17">
        <f t="shared" si="742"/>
        <v>4</v>
      </c>
      <c r="I1198" s="81">
        <v>45145</v>
      </c>
      <c r="J1198" s="52"/>
      <c r="K1198" s="15"/>
      <c r="L1198" s="16"/>
      <c r="M1198" s="36">
        <f t="shared" ref="M1198:M1199" si="755">SUM(K1198:L1198)</f>
        <v>0</v>
      </c>
      <c r="N1198" s="18"/>
      <c r="O1198" s="16"/>
      <c r="P1198" s="36">
        <f t="shared" ref="P1198:P1199" si="756">SUM(N1198:O1198)</f>
        <v>0</v>
      </c>
      <c r="Q1198" s="17">
        <f t="shared" ref="Q1198:Q1199" si="757">M1198+P1198</f>
        <v>0</v>
      </c>
      <c r="R1198" s="81"/>
    </row>
    <row r="1199" spans="1:18" x14ac:dyDescent="0.15">
      <c r="A1199" s="35" t="s">
        <v>33</v>
      </c>
      <c r="B1199" s="15"/>
      <c r="C1199" s="16"/>
      <c r="D1199" s="36">
        <f t="shared" si="740"/>
        <v>0</v>
      </c>
      <c r="E1199" s="18">
        <v>1</v>
      </c>
      <c r="F1199" s="16"/>
      <c r="G1199" s="36">
        <f t="shared" si="741"/>
        <v>1</v>
      </c>
      <c r="H1199" s="17">
        <f t="shared" si="742"/>
        <v>1</v>
      </c>
      <c r="I1199" s="81">
        <v>45142</v>
      </c>
      <c r="J1199" s="52"/>
      <c r="K1199" s="15"/>
      <c r="L1199" s="16"/>
      <c r="M1199" s="36">
        <f t="shared" si="755"/>
        <v>0</v>
      </c>
      <c r="N1199" s="18"/>
      <c r="O1199" s="16"/>
      <c r="P1199" s="36">
        <f t="shared" si="756"/>
        <v>0</v>
      </c>
      <c r="Q1199" s="17">
        <f t="shared" si="757"/>
        <v>0</v>
      </c>
      <c r="R1199" s="81"/>
    </row>
    <row r="1200" spans="1:18" ht="14.25" thickBot="1" x14ac:dyDescent="0.2">
      <c r="A1200" s="35" t="s">
        <v>33</v>
      </c>
      <c r="B1200" s="15"/>
      <c r="C1200" s="16"/>
      <c r="D1200" s="36">
        <f t="shared" si="740"/>
        <v>0</v>
      </c>
      <c r="E1200" s="18">
        <v>2</v>
      </c>
      <c r="F1200" s="16"/>
      <c r="G1200" s="36">
        <f t="shared" si="741"/>
        <v>2</v>
      </c>
      <c r="H1200" s="17">
        <f t="shared" si="742"/>
        <v>2</v>
      </c>
      <c r="I1200" s="84">
        <v>45143</v>
      </c>
      <c r="J1200" s="52"/>
      <c r="K1200" s="15"/>
      <c r="L1200" s="16"/>
      <c r="M1200" s="36">
        <f t="shared" ref="M1200" si="758">SUM(K1200:L1200)</f>
        <v>0</v>
      </c>
      <c r="N1200" s="18"/>
      <c r="O1200" s="16"/>
      <c r="P1200" s="36">
        <f t="shared" ref="P1200" si="759">SUM(N1200:O1200)</f>
        <v>0</v>
      </c>
      <c r="Q1200" s="17">
        <f t="shared" ref="Q1200" si="760">M1200+P1200</f>
        <v>0</v>
      </c>
      <c r="R1200" s="81"/>
    </row>
    <row r="1201" spans="1:18" ht="14.25" thickBot="1" x14ac:dyDescent="0.2">
      <c r="A1201" s="40" t="s">
        <v>14</v>
      </c>
      <c r="B1201" s="41">
        <f>SUM(B1175:B1200)</f>
        <v>28</v>
      </c>
      <c r="C1201" s="42">
        <f t="shared" ref="C1201" si="761">SUM(C1175:C1200)</f>
        <v>20</v>
      </c>
      <c r="D1201" s="43">
        <f t="shared" si="740"/>
        <v>48</v>
      </c>
      <c r="E1201" s="41">
        <f>SUM(E1175:E1200)</f>
        <v>33</v>
      </c>
      <c r="F1201" s="42">
        <f t="shared" ref="F1201" si="762">SUM(F1175:F1200)</f>
        <v>25</v>
      </c>
      <c r="G1201" s="43">
        <f t="shared" si="741"/>
        <v>58</v>
      </c>
      <c r="H1201" s="43">
        <f t="shared" si="742"/>
        <v>106</v>
      </c>
      <c r="J1201" s="40" t="s">
        <v>14</v>
      </c>
      <c r="K1201" s="41">
        <f>SUM(K1175:K1200)</f>
        <v>31</v>
      </c>
      <c r="L1201" s="42">
        <f t="shared" ref="L1201" si="763">SUM(L1175:L1200)</f>
        <v>23</v>
      </c>
      <c r="M1201" s="43">
        <f t="shared" si="743"/>
        <v>54</v>
      </c>
      <c r="N1201" s="41">
        <f>SUM(N1175:N1200)</f>
        <v>36</v>
      </c>
      <c r="O1201" s="42">
        <f t="shared" ref="O1201" si="764">SUM(O1175:O1200)</f>
        <v>28</v>
      </c>
      <c r="P1201" s="43">
        <f t="shared" si="744"/>
        <v>64</v>
      </c>
      <c r="Q1201" s="43">
        <f t="shared" si="745"/>
        <v>118</v>
      </c>
    </row>
    <row r="1202" spans="1:18" ht="14.25" thickBot="1" x14ac:dyDescent="0.2">
      <c r="A1202" s="44" t="s">
        <v>15</v>
      </c>
      <c r="B1202" s="45">
        <f>B1174-B1201</f>
        <v>17</v>
      </c>
      <c r="C1202" s="46">
        <f t="shared" ref="C1202" si="765">C1174-C1201</f>
        <v>13</v>
      </c>
      <c r="D1202" s="47">
        <f t="shared" si="740"/>
        <v>30</v>
      </c>
      <c r="E1202" s="45">
        <f>E1174-E1201</f>
        <v>11</v>
      </c>
      <c r="F1202" s="46">
        <f t="shared" ref="F1202" si="766">F1174-F1201</f>
        <v>11</v>
      </c>
      <c r="G1202" s="47">
        <f t="shared" si="741"/>
        <v>22</v>
      </c>
      <c r="H1202" s="34">
        <f t="shared" si="742"/>
        <v>52</v>
      </c>
      <c r="J1202" s="44" t="s">
        <v>15</v>
      </c>
      <c r="K1202" s="45">
        <f>K1174-K1201</f>
        <v>1169</v>
      </c>
      <c r="L1202" s="46">
        <f t="shared" ref="L1202" si="767">L1174-L1201</f>
        <v>650</v>
      </c>
      <c r="M1202" s="47">
        <f t="shared" si="743"/>
        <v>1819</v>
      </c>
      <c r="N1202" s="45">
        <f>N1174-N1201</f>
        <v>1203</v>
      </c>
      <c r="O1202" s="46">
        <f t="shared" ref="O1202" si="768">O1174-O1201</f>
        <v>250</v>
      </c>
      <c r="P1202" s="47">
        <f t="shared" si="744"/>
        <v>1453</v>
      </c>
      <c r="Q1202" s="34">
        <f t="shared" si="745"/>
        <v>3272</v>
      </c>
    </row>
    <row r="1205" spans="1:18" ht="19.5" thickBot="1" x14ac:dyDescent="0.25">
      <c r="A1205" s="1" t="s">
        <v>23</v>
      </c>
      <c r="J1205" s="1" t="s">
        <v>24</v>
      </c>
      <c r="K1205" s="2"/>
      <c r="L1205" s="2"/>
      <c r="M1205" s="2"/>
      <c r="N1205" s="2"/>
      <c r="O1205" s="1" t="s">
        <v>34</v>
      </c>
      <c r="P1205" s="2"/>
      <c r="Q1205" s="2"/>
    </row>
    <row r="1206" spans="1:18" ht="14.25" thickBot="1" x14ac:dyDescent="0.2">
      <c r="A1206" s="3" t="s">
        <v>0</v>
      </c>
      <c r="B1206" s="125" t="s">
        <v>18</v>
      </c>
      <c r="C1206" s="126"/>
      <c r="D1206" s="127"/>
      <c r="E1206" s="125" t="s">
        <v>19</v>
      </c>
      <c r="F1206" s="126"/>
      <c r="G1206" s="128"/>
      <c r="H1206" s="129" t="s">
        <v>1</v>
      </c>
      <c r="J1206" s="3" t="s">
        <v>0</v>
      </c>
      <c r="K1206" s="125" t="s">
        <v>18</v>
      </c>
      <c r="L1206" s="126"/>
      <c r="M1206" s="127"/>
      <c r="N1206" s="125" t="s">
        <v>19</v>
      </c>
      <c r="O1206" s="126"/>
      <c r="P1206" s="128"/>
      <c r="Q1206" s="129" t="s">
        <v>1</v>
      </c>
    </row>
    <row r="1207" spans="1:18" ht="14.25" thickBot="1" x14ac:dyDescent="0.2">
      <c r="A1207" s="3" t="s">
        <v>2</v>
      </c>
      <c r="B1207" s="4" t="s">
        <v>16</v>
      </c>
      <c r="C1207" s="5" t="s">
        <v>17</v>
      </c>
      <c r="D1207" s="3" t="s">
        <v>3</v>
      </c>
      <c r="E1207" s="4" t="s">
        <v>16</v>
      </c>
      <c r="F1207" s="5" t="s">
        <v>17</v>
      </c>
      <c r="G1207" s="3" t="s">
        <v>3</v>
      </c>
      <c r="H1207" s="130"/>
      <c r="J1207" s="3" t="s">
        <v>2</v>
      </c>
      <c r="K1207" s="4" t="s">
        <v>16</v>
      </c>
      <c r="L1207" s="5" t="s">
        <v>17</v>
      </c>
      <c r="M1207" s="3" t="s">
        <v>3</v>
      </c>
      <c r="N1207" s="4" t="s">
        <v>16</v>
      </c>
      <c r="O1207" s="5" t="s">
        <v>17</v>
      </c>
      <c r="P1207" s="3" t="s">
        <v>3</v>
      </c>
      <c r="Q1207" s="130"/>
    </row>
    <row r="1208" spans="1:18" ht="14.25" thickBot="1" x14ac:dyDescent="0.2">
      <c r="A1208" s="6" t="s">
        <v>55</v>
      </c>
      <c r="B1208" s="32">
        <f>B1202</f>
        <v>17</v>
      </c>
      <c r="C1208" s="33">
        <f>C1202</f>
        <v>13</v>
      </c>
      <c r="D1208" s="34">
        <f t="shared" ref="D1208:D1245" si="769">SUM(B1208:C1208)</f>
        <v>30</v>
      </c>
      <c r="E1208" s="32">
        <f>E1202</f>
        <v>11</v>
      </c>
      <c r="F1208" s="33">
        <f>F1202</f>
        <v>11</v>
      </c>
      <c r="G1208" s="34">
        <f t="shared" ref="G1208:G1245" si="770">SUM(E1208:F1208)</f>
        <v>22</v>
      </c>
      <c r="H1208" s="34">
        <f t="shared" ref="H1208:H1245" si="771">D1208+G1208</f>
        <v>52</v>
      </c>
      <c r="J1208" s="6" t="s">
        <v>55</v>
      </c>
      <c r="K1208" s="7">
        <f>K1202</f>
        <v>1169</v>
      </c>
      <c r="L1208" s="8">
        <f>L1202</f>
        <v>650</v>
      </c>
      <c r="M1208" s="9">
        <f t="shared" ref="M1208:M1245" si="772">SUM(K1208:L1208)</f>
        <v>1819</v>
      </c>
      <c r="N1208" s="7">
        <f>N1202</f>
        <v>1203</v>
      </c>
      <c r="O1208" s="8">
        <f>O1202</f>
        <v>250</v>
      </c>
      <c r="P1208" s="9">
        <f t="shared" ref="P1208:P1245" si="773">SUM(N1208:O1208)</f>
        <v>1453</v>
      </c>
      <c r="Q1208" s="9">
        <f t="shared" ref="Q1208:Q1245" si="774">M1208+P1208</f>
        <v>3272</v>
      </c>
    </row>
    <row r="1209" spans="1:18" x14ac:dyDescent="0.15">
      <c r="A1209" s="10" t="s">
        <v>5</v>
      </c>
      <c r="B1209" s="23"/>
      <c r="C1209" s="24">
        <v>10</v>
      </c>
      <c r="D1209" s="17">
        <f t="shared" si="769"/>
        <v>10</v>
      </c>
      <c r="E1209" s="25"/>
      <c r="F1209" s="24">
        <v>10</v>
      </c>
      <c r="G1209" s="17">
        <f t="shared" si="770"/>
        <v>10</v>
      </c>
      <c r="H1209" s="17">
        <f t="shared" si="771"/>
        <v>20</v>
      </c>
      <c r="I1209" s="81">
        <v>45147</v>
      </c>
      <c r="J1209" s="94" t="s">
        <v>5</v>
      </c>
      <c r="K1209" s="48"/>
      <c r="L1209" s="49"/>
      <c r="M1209" s="50">
        <f t="shared" si="772"/>
        <v>0</v>
      </c>
      <c r="N1209" s="51"/>
      <c r="O1209" s="49"/>
      <c r="P1209" s="50">
        <f t="shared" si="773"/>
        <v>0</v>
      </c>
      <c r="Q1209" s="13">
        <f t="shared" si="774"/>
        <v>0</v>
      </c>
    </row>
    <row r="1210" spans="1:18" x14ac:dyDescent="0.15">
      <c r="A1210" s="10" t="s">
        <v>6</v>
      </c>
      <c r="B1210" s="23"/>
      <c r="C1210" s="24"/>
      <c r="D1210" s="17">
        <f t="shared" si="769"/>
        <v>0</v>
      </c>
      <c r="E1210" s="25">
        <v>10</v>
      </c>
      <c r="F1210" s="24"/>
      <c r="G1210" s="17">
        <f t="shared" si="770"/>
        <v>10</v>
      </c>
      <c r="H1210" s="17">
        <f t="shared" si="771"/>
        <v>10</v>
      </c>
      <c r="I1210" s="81">
        <v>45155</v>
      </c>
      <c r="J1210" s="10" t="s">
        <v>6</v>
      </c>
      <c r="K1210" s="19"/>
      <c r="L1210" s="20"/>
      <c r="M1210" s="17">
        <f t="shared" si="772"/>
        <v>0</v>
      </c>
      <c r="N1210" s="21"/>
      <c r="O1210" s="20"/>
      <c r="P1210" s="17">
        <f t="shared" si="773"/>
        <v>0</v>
      </c>
      <c r="Q1210" s="17">
        <f t="shared" si="774"/>
        <v>0</v>
      </c>
      <c r="R1210" s="81"/>
    </row>
    <row r="1211" spans="1:18" x14ac:dyDescent="0.15">
      <c r="A1211" s="10" t="s">
        <v>7</v>
      </c>
      <c r="B1211" s="23">
        <v>5</v>
      </c>
      <c r="C1211" s="24"/>
      <c r="D1211" s="17">
        <f t="shared" si="769"/>
        <v>5</v>
      </c>
      <c r="E1211" s="25">
        <v>5</v>
      </c>
      <c r="F1211" s="24">
        <v>5</v>
      </c>
      <c r="G1211" s="17">
        <f t="shared" si="770"/>
        <v>10</v>
      </c>
      <c r="H1211" s="17">
        <f t="shared" si="771"/>
        <v>15</v>
      </c>
      <c r="I1211" s="84">
        <v>45157</v>
      </c>
      <c r="J1211" s="10" t="s">
        <v>7</v>
      </c>
      <c r="K1211" s="19"/>
      <c r="L1211" s="20"/>
      <c r="M1211" s="17">
        <f t="shared" si="772"/>
        <v>0</v>
      </c>
      <c r="N1211" s="21"/>
      <c r="O1211" s="20"/>
      <c r="P1211" s="17">
        <f t="shared" si="773"/>
        <v>0</v>
      </c>
      <c r="Q1211" s="17">
        <f t="shared" si="774"/>
        <v>0</v>
      </c>
      <c r="R1211" s="81"/>
    </row>
    <row r="1212" spans="1:18" x14ac:dyDescent="0.15">
      <c r="A1212" s="10" t="s">
        <v>8</v>
      </c>
      <c r="B1212" s="23">
        <v>5</v>
      </c>
      <c r="C1212" s="24"/>
      <c r="D1212" s="17">
        <f t="shared" si="769"/>
        <v>5</v>
      </c>
      <c r="E1212" s="25">
        <v>5</v>
      </c>
      <c r="F1212" s="24">
        <v>15</v>
      </c>
      <c r="G1212" s="17">
        <f t="shared" si="770"/>
        <v>20</v>
      </c>
      <c r="H1212" s="17">
        <f t="shared" si="771"/>
        <v>25</v>
      </c>
      <c r="I1212" s="81">
        <v>45160</v>
      </c>
      <c r="J1212" s="10" t="s">
        <v>8</v>
      </c>
      <c r="K1212" s="15"/>
      <c r="L1212" s="16"/>
      <c r="M1212" s="17">
        <f t="shared" si="772"/>
        <v>0</v>
      </c>
      <c r="N1212" s="18"/>
      <c r="O1212" s="16"/>
      <c r="P1212" s="17">
        <f t="shared" si="773"/>
        <v>0</v>
      </c>
      <c r="Q1212" s="17">
        <f t="shared" si="774"/>
        <v>0</v>
      </c>
      <c r="R1212" s="83"/>
    </row>
    <row r="1213" spans="1:18" x14ac:dyDescent="0.15">
      <c r="A1213" s="10" t="s">
        <v>61</v>
      </c>
      <c r="B1213" s="23">
        <v>1</v>
      </c>
      <c r="C1213" s="24"/>
      <c r="D1213" s="17">
        <f t="shared" si="769"/>
        <v>1</v>
      </c>
      <c r="E1213" s="25">
        <v>1</v>
      </c>
      <c r="F1213" s="24"/>
      <c r="G1213" s="17">
        <f t="shared" si="770"/>
        <v>1</v>
      </c>
      <c r="H1213" s="17">
        <f t="shared" si="771"/>
        <v>2</v>
      </c>
      <c r="I1213" s="84">
        <v>45168</v>
      </c>
      <c r="J1213" s="10" t="s">
        <v>9</v>
      </c>
      <c r="K1213" s="15"/>
      <c r="L1213" s="16"/>
      <c r="M1213" s="17">
        <f t="shared" si="772"/>
        <v>0</v>
      </c>
      <c r="N1213" s="18"/>
      <c r="O1213" s="16"/>
      <c r="P1213" s="17">
        <f t="shared" si="773"/>
        <v>0</v>
      </c>
      <c r="Q1213" s="17">
        <f t="shared" si="774"/>
        <v>0</v>
      </c>
      <c r="R1213" s="83"/>
    </row>
    <row r="1214" spans="1:18" x14ac:dyDescent="0.15">
      <c r="A1214" s="10" t="s">
        <v>10</v>
      </c>
      <c r="B1214" s="23">
        <v>10</v>
      </c>
      <c r="C1214" s="24">
        <v>20</v>
      </c>
      <c r="D1214" s="17">
        <f t="shared" ref="D1214" si="775">SUM(B1214:C1214)</f>
        <v>30</v>
      </c>
      <c r="E1214" s="25">
        <v>5</v>
      </c>
      <c r="F1214" s="24">
        <v>20</v>
      </c>
      <c r="G1214" s="17">
        <f t="shared" ref="G1214" si="776">SUM(E1214:F1214)</f>
        <v>25</v>
      </c>
      <c r="H1214" s="17">
        <f t="shared" ref="H1214" si="777">D1214+G1214</f>
        <v>55</v>
      </c>
      <c r="I1214" s="81">
        <v>45171</v>
      </c>
      <c r="J1214" s="10" t="s">
        <v>10</v>
      </c>
      <c r="K1214" s="15"/>
      <c r="L1214" s="16"/>
      <c r="M1214" s="17">
        <f t="shared" si="772"/>
        <v>0</v>
      </c>
      <c r="N1214" s="18"/>
      <c r="O1214" s="16"/>
      <c r="P1214" s="17">
        <f t="shared" si="773"/>
        <v>0</v>
      </c>
      <c r="Q1214" s="17">
        <f t="shared" si="774"/>
        <v>0</v>
      </c>
    </row>
    <row r="1215" spans="1:18" x14ac:dyDescent="0.15">
      <c r="A1215" s="10" t="s">
        <v>11</v>
      </c>
      <c r="B1215" s="23">
        <v>2</v>
      </c>
      <c r="C1215" s="24"/>
      <c r="D1215" s="17">
        <f t="shared" si="769"/>
        <v>2</v>
      </c>
      <c r="E1215" s="25">
        <v>2</v>
      </c>
      <c r="F1215" s="24">
        <v>7</v>
      </c>
      <c r="G1215" s="17">
        <f t="shared" si="770"/>
        <v>9</v>
      </c>
      <c r="H1215" s="17">
        <f t="shared" si="771"/>
        <v>11</v>
      </c>
      <c r="I1215" s="84">
        <v>45171</v>
      </c>
      <c r="J1215" s="10" t="s">
        <v>11</v>
      </c>
      <c r="K1215" s="23"/>
      <c r="L1215" s="24"/>
      <c r="M1215" s="17">
        <f t="shared" si="772"/>
        <v>0</v>
      </c>
      <c r="N1215" s="25"/>
      <c r="O1215" s="24"/>
      <c r="P1215" s="17">
        <f t="shared" si="773"/>
        <v>0</v>
      </c>
      <c r="Q1215" s="17">
        <f t="shared" si="774"/>
        <v>0</v>
      </c>
    </row>
    <row r="1216" spans="1:18" ht="14.25" thickBot="1" x14ac:dyDescent="0.2">
      <c r="A1216" s="10" t="s">
        <v>12</v>
      </c>
      <c r="B1216" s="26"/>
      <c r="C1216" s="27"/>
      <c r="D1216" s="28">
        <f t="shared" si="769"/>
        <v>0</v>
      </c>
      <c r="E1216" s="29"/>
      <c r="F1216" s="29"/>
      <c r="G1216" s="28">
        <f t="shared" si="770"/>
        <v>0</v>
      </c>
      <c r="H1216" s="30">
        <f t="shared" si="771"/>
        <v>0</v>
      </c>
      <c r="J1216" s="10" t="s">
        <v>12</v>
      </c>
      <c r="K1216" s="26"/>
      <c r="L1216" s="27"/>
      <c r="M1216" s="28">
        <f t="shared" si="772"/>
        <v>0</v>
      </c>
      <c r="N1216" s="29"/>
      <c r="O1216" s="29"/>
      <c r="P1216" s="28">
        <f t="shared" si="773"/>
        <v>0</v>
      </c>
      <c r="Q1216" s="30">
        <f t="shared" si="774"/>
        <v>0</v>
      </c>
    </row>
    <row r="1217" spans="1:18" ht="14.25" thickBot="1" x14ac:dyDescent="0.2">
      <c r="A1217" s="31" t="s">
        <v>13</v>
      </c>
      <c r="B1217" s="32">
        <f>SUM(B1208:B1216)</f>
        <v>40</v>
      </c>
      <c r="C1217" s="33">
        <f>SUM(C1208:C1216)</f>
        <v>43</v>
      </c>
      <c r="D1217" s="34">
        <f t="shared" si="769"/>
        <v>83</v>
      </c>
      <c r="E1217" s="32">
        <f>SUM(E1208:E1216)</f>
        <v>39</v>
      </c>
      <c r="F1217" s="33">
        <f>SUM(F1208:F1216)</f>
        <v>68</v>
      </c>
      <c r="G1217" s="34">
        <f t="shared" si="770"/>
        <v>107</v>
      </c>
      <c r="H1217" s="34">
        <f t="shared" si="771"/>
        <v>190</v>
      </c>
      <c r="J1217" s="31" t="s">
        <v>13</v>
      </c>
      <c r="K1217" s="32">
        <f>SUM(K1208:K1216)</f>
        <v>1169</v>
      </c>
      <c r="L1217" s="33">
        <f>SUM(L1208:L1216)</f>
        <v>650</v>
      </c>
      <c r="M1217" s="34">
        <f t="shared" si="772"/>
        <v>1819</v>
      </c>
      <c r="N1217" s="32">
        <f>SUM(N1208:N1216)</f>
        <v>1203</v>
      </c>
      <c r="O1217" s="33">
        <f>SUM(O1208:O1216)</f>
        <v>250</v>
      </c>
      <c r="P1217" s="34">
        <f t="shared" si="773"/>
        <v>1453</v>
      </c>
      <c r="Q1217" s="34">
        <f t="shared" si="774"/>
        <v>3272</v>
      </c>
    </row>
    <row r="1218" spans="1:18" x14ac:dyDescent="0.15">
      <c r="A1218" s="35" t="s">
        <v>33</v>
      </c>
      <c r="B1218" s="15"/>
      <c r="C1218" s="16">
        <v>4</v>
      </c>
      <c r="D1218" s="36">
        <f t="shared" ref="D1218:D1223" si="778">SUM(B1218:C1218)</f>
        <v>4</v>
      </c>
      <c r="E1218" s="18"/>
      <c r="F1218" s="16">
        <f>2+2</f>
        <v>4</v>
      </c>
      <c r="G1218" s="36">
        <f t="shared" ref="G1218:G1223" si="779">SUM(E1218:F1218)</f>
        <v>4</v>
      </c>
      <c r="H1218" s="17">
        <f t="shared" ref="H1218:H1223" si="780">D1218+G1218</f>
        <v>8</v>
      </c>
      <c r="I1218" s="84">
        <v>45145</v>
      </c>
      <c r="J1218" s="52" t="s">
        <v>91</v>
      </c>
      <c r="K1218" s="19"/>
      <c r="L1218" s="20">
        <v>10</v>
      </c>
      <c r="M1218" s="17">
        <f t="shared" si="772"/>
        <v>10</v>
      </c>
      <c r="N1218" s="21"/>
      <c r="O1218" s="20">
        <v>10</v>
      </c>
      <c r="P1218" s="17">
        <f t="shared" si="773"/>
        <v>10</v>
      </c>
      <c r="Q1218" s="17">
        <f t="shared" si="774"/>
        <v>20</v>
      </c>
      <c r="R1218" s="81">
        <v>45147</v>
      </c>
    </row>
    <row r="1219" spans="1:18" x14ac:dyDescent="0.15">
      <c r="A1219" s="35" t="s">
        <v>33</v>
      </c>
      <c r="B1219" s="15"/>
      <c r="C1219" s="16"/>
      <c r="D1219" s="36">
        <f t="shared" si="778"/>
        <v>0</v>
      </c>
      <c r="E1219" s="18"/>
      <c r="F1219" s="16">
        <v>2</v>
      </c>
      <c r="G1219" s="36">
        <f t="shared" si="779"/>
        <v>2</v>
      </c>
      <c r="H1219" s="17">
        <f t="shared" si="780"/>
        <v>2</v>
      </c>
      <c r="I1219" s="84">
        <v>45146</v>
      </c>
      <c r="J1219" s="52" t="s">
        <v>91</v>
      </c>
      <c r="K1219" s="19"/>
      <c r="L1219" s="20"/>
      <c r="M1219" s="17">
        <f t="shared" si="772"/>
        <v>0</v>
      </c>
      <c r="N1219" s="21">
        <v>10</v>
      </c>
      <c r="O1219" s="20"/>
      <c r="P1219" s="17">
        <f t="shared" si="773"/>
        <v>10</v>
      </c>
      <c r="Q1219" s="17">
        <f t="shared" si="774"/>
        <v>10</v>
      </c>
      <c r="R1219" s="81">
        <v>45155</v>
      </c>
    </row>
    <row r="1220" spans="1:18" x14ac:dyDescent="0.15">
      <c r="A1220" s="35" t="s">
        <v>33</v>
      </c>
      <c r="B1220" s="15"/>
      <c r="C1220" s="16"/>
      <c r="D1220" s="36">
        <f t="shared" si="778"/>
        <v>0</v>
      </c>
      <c r="E1220" s="18">
        <v>2</v>
      </c>
      <c r="F1220" s="16"/>
      <c r="G1220" s="36">
        <f t="shared" si="779"/>
        <v>2</v>
      </c>
      <c r="H1220" s="17">
        <f t="shared" si="780"/>
        <v>2</v>
      </c>
      <c r="I1220" s="84">
        <v>45147</v>
      </c>
      <c r="J1220" s="35" t="s">
        <v>558</v>
      </c>
      <c r="K1220" s="19">
        <v>6</v>
      </c>
      <c r="L1220" s="20">
        <v>4</v>
      </c>
      <c r="M1220" s="17">
        <f t="shared" si="772"/>
        <v>10</v>
      </c>
      <c r="N1220" s="21">
        <v>6</v>
      </c>
      <c r="O1220" s="20">
        <v>4</v>
      </c>
      <c r="P1220" s="17">
        <f t="shared" si="773"/>
        <v>10</v>
      </c>
      <c r="Q1220" s="17">
        <f t="shared" si="774"/>
        <v>20</v>
      </c>
      <c r="R1220" s="81">
        <v>45156</v>
      </c>
    </row>
    <row r="1221" spans="1:18" x14ac:dyDescent="0.15">
      <c r="A1221" s="35" t="s">
        <v>33</v>
      </c>
      <c r="B1221" s="15">
        <v>1</v>
      </c>
      <c r="C1221" s="16"/>
      <c r="D1221" s="36">
        <f t="shared" si="778"/>
        <v>1</v>
      </c>
      <c r="E1221" s="18">
        <f>2+2</f>
        <v>4</v>
      </c>
      <c r="F1221" s="16"/>
      <c r="G1221" s="36">
        <f t="shared" si="779"/>
        <v>4</v>
      </c>
      <c r="H1221" s="17">
        <f t="shared" si="780"/>
        <v>5</v>
      </c>
      <c r="I1221" s="84">
        <v>45148</v>
      </c>
      <c r="J1221" s="52" t="s">
        <v>91</v>
      </c>
      <c r="K1221" s="19">
        <v>5</v>
      </c>
      <c r="L1221" s="20"/>
      <c r="M1221" s="17">
        <f t="shared" si="772"/>
        <v>5</v>
      </c>
      <c r="N1221" s="21">
        <v>5</v>
      </c>
      <c r="O1221" s="20">
        <v>5</v>
      </c>
      <c r="P1221" s="17">
        <f t="shared" si="773"/>
        <v>10</v>
      </c>
      <c r="Q1221" s="17">
        <f t="shared" si="774"/>
        <v>15</v>
      </c>
      <c r="R1221" s="81">
        <v>45157</v>
      </c>
    </row>
    <row r="1222" spans="1:18" x14ac:dyDescent="0.15">
      <c r="A1222" s="35" t="s">
        <v>33</v>
      </c>
      <c r="B1222" s="15"/>
      <c r="C1222" s="16"/>
      <c r="D1222" s="36">
        <f t="shared" si="778"/>
        <v>0</v>
      </c>
      <c r="E1222" s="18"/>
      <c r="F1222" s="16">
        <v>2</v>
      </c>
      <c r="G1222" s="36">
        <f t="shared" si="779"/>
        <v>2</v>
      </c>
      <c r="H1222" s="17">
        <f t="shared" si="780"/>
        <v>2</v>
      </c>
      <c r="I1222" s="84">
        <v>45149</v>
      </c>
      <c r="J1222" s="52" t="s">
        <v>91</v>
      </c>
      <c r="K1222" s="19">
        <v>5</v>
      </c>
      <c r="L1222" s="20"/>
      <c r="M1222" s="17">
        <f t="shared" si="772"/>
        <v>5</v>
      </c>
      <c r="N1222" s="21">
        <v>5</v>
      </c>
      <c r="O1222" s="20">
        <v>15</v>
      </c>
      <c r="P1222" s="17">
        <f t="shared" si="773"/>
        <v>20</v>
      </c>
      <c r="Q1222" s="17">
        <f t="shared" si="774"/>
        <v>25</v>
      </c>
      <c r="R1222" s="81">
        <v>45160</v>
      </c>
    </row>
    <row r="1223" spans="1:18" x14ac:dyDescent="0.15">
      <c r="A1223" s="35" t="s">
        <v>33</v>
      </c>
      <c r="B1223" s="15">
        <v>5</v>
      </c>
      <c r="C1223" s="16"/>
      <c r="D1223" s="36">
        <f t="shared" si="778"/>
        <v>5</v>
      </c>
      <c r="E1223" s="18">
        <v>4</v>
      </c>
      <c r="F1223" s="16">
        <v>5</v>
      </c>
      <c r="G1223" s="36">
        <f t="shared" si="779"/>
        <v>9</v>
      </c>
      <c r="H1223" s="17">
        <f t="shared" si="780"/>
        <v>14</v>
      </c>
      <c r="I1223" s="84">
        <v>45154</v>
      </c>
      <c r="J1223" s="35" t="s">
        <v>563</v>
      </c>
      <c r="K1223" s="19">
        <v>6</v>
      </c>
      <c r="L1223" s="20">
        <v>4</v>
      </c>
      <c r="M1223" s="17">
        <f t="shared" si="772"/>
        <v>10</v>
      </c>
      <c r="N1223" s="21">
        <v>6</v>
      </c>
      <c r="O1223" s="20">
        <v>4</v>
      </c>
      <c r="P1223" s="17">
        <f t="shared" si="773"/>
        <v>10</v>
      </c>
      <c r="Q1223" s="17">
        <f t="shared" si="774"/>
        <v>20</v>
      </c>
      <c r="R1223" s="81">
        <v>45166</v>
      </c>
    </row>
    <row r="1224" spans="1:18" x14ac:dyDescent="0.15">
      <c r="A1224" s="35" t="s">
        <v>33</v>
      </c>
      <c r="B1224" s="15"/>
      <c r="C1224" s="16"/>
      <c r="D1224" s="36">
        <f t="shared" si="769"/>
        <v>0</v>
      </c>
      <c r="E1224" s="18"/>
      <c r="F1224" s="16">
        <v>2</v>
      </c>
      <c r="G1224" s="36">
        <f t="shared" si="770"/>
        <v>2</v>
      </c>
      <c r="H1224" s="17">
        <f t="shared" si="771"/>
        <v>2</v>
      </c>
      <c r="I1224" s="84">
        <v>45156</v>
      </c>
      <c r="J1224" s="52" t="s">
        <v>91</v>
      </c>
      <c r="K1224" s="19">
        <v>10</v>
      </c>
      <c r="L1224" s="20">
        <v>20</v>
      </c>
      <c r="M1224" s="17">
        <f t="shared" si="772"/>
        <v>30</v>
      </c>
      <c r="N1224" s="21">
        <v>5</v>
      </c>
      <c r="O1224" s="20">
        <v>20</v>
      </c>
      <c r="P1224" s="17">
        <f t="shared" si="773"/>
        <v>25</v>
      </c>
      <c r="Q1224" s="17">
        <f t="shared" si="774"/>
        <v>55</v>
      </c>
      <c r="R1224" s="81">
        <v>45171</v>
      </c>
    </row>
    <row r="1225" spans="1:18" x14ac:dyDescent="0.15">
      <c r="A1225" s="35" t="s">
        <v>33</v>
      </c>
      <c r="B1225" s="15"/>
      <c r="C1225" s="16"/>
      <c r="D1225" s="36">
        <f t="shared" si="769"/>
        <v>0</v>
      </c>
      <c r="E1225" s="18"/>
      <c r="F1225" s="16">
        <v>3</v>
      </c>
      <c r="G1225" s="36">
        <f t="shared" si="770"/>
        <v>3</v>
      </c>
      <c r="H1225" s="17">
        <f t="shared" si="771"/>
        <v>3</v>
      </c>
      <c r="I1225" s="84">
        <v>45157</v>
      </c>
      <c r="J1225" s="52" t="s">
        <v>91</v>
      </c>
      <c r="K1225" s="19">
        <v>2</v>
      </c>
      <c r="L1225" s="20"/>
      <c r="M1225" s="17">
        <f t="shared" si="772"/>
        <v>2</v>
      </c>
      <c r="N1225" s="21">
        <v>2</v>
      </c>
      <c r="O1225" s="20">
        <v>7</v>
      </c>
      <c r="P1225" s="17">
        <f t="shared" si="773"/>
        <v>9</v>
      </c>
      <c r="Q1225" s="17">
        <f t="shared" si="774"/>
        <v>11</v>
      </c>
      <c r="R1225" s="81">
        <v>45171</v>
      </c>
    </row>
    <row r="1226" spans="1:18" x14ac:dyDescent="0.15">
      <c r="A1226" s="35" t="s">
        <v>559</v>
      </c>
      <c r="B1226" s="15"/>
      <c r="C1226" s="16">
        <v>1</v>
      </c>
      <c r="D1226" s="36">
        <f t="shared" si="769"/>
        <v>1</v>
      </c>
      <c r="E1226" s="18"/>
      <c r="F1226" s="16">
        <v>1</v>
      </c>
      <c r="G1226" s="36">
        <f t="shared" si="770"/>
        <v>1</v>
      </c>
      <c r="H1226" s="17">
        <f t="shared" si="771"/>
        <v>2</v>
      </c>
      <c r="I1226" s="81">
        <v>45160</v>
      </c>
      <c r="J1226" s="35"/>
      <c r="K1226" s="19"/>
      <c r="L1226" s="20"/>
      <c r="M1226" s="17">
        <f t="shared" si="772"/>
        <v>0</v>
      </c>
      <c r="N1226" s="21"/>
      <c r="O1226" s="20"/>
      <c r="P1226" s="17">
        <f t="shared" si="773"/>
        <v>0</v>
      </c>
      <c r="Q1226" s="17">
        <f t="shared" si="774"/>
        <v>0</v>
      </c>
      <c r="R1226" s="81"/>
    </row>
    <row r="1227" spans="1:18" x14ac:dyDescent="0.15">
      <c r="A1227" s="35" t="s">
        <v>33</v>
      </c>
      <c r="B1227" s="15">
        <v>4</v>
      </c>
      <c r="C1227" s="16"/>
      <c r="D1227" s="36">
        <f t="shared" si="769"/>
        <v>4</v>
      </c>
      <c r="E1227" s="18">
        <v>2</v>
      </c>
      <c r="F1227" s="16">
        <f>2+2</f>
        <v>4</v>
      </c>
      <c r="G1227" s="36">
        <f t="shared" si="770"/>
        <v>6</v>
      </c>
      <c r="H1227" s="17">
        <f t="shared" si="771"/>
        <v>10</v>
      </c>
      <c r="I1227" s="84">
        <v>45159</v>
      </c>
      <c r="J1227" s="52"/>
      <c r="K1227" s="23"/>
      <c r="L1227" s="24"/>
      <c r="M1227" s="36">
        <f t="shared" si="772"/>
        <v>0</v>
      </c>
      <c r="N1227" s="25"/>
      <c r="O1227" s="24"/>
      <c r="P1227" s="36">
        <f t="shared" si="773"/>
        <v>0</v>
      </c>
      <c r="Q1227" s="17">
        <f t="shared" si="774"/>
        <v>0</v>
      </c>
      <c r="R1227" s="81"/>
    </row>
    <row r="1228" spans="1:18" x14ac:dyDescent="0.15">
      <c r="A1228" s="35" t="s">
        <v>560</v>
      </c>
      <c r="B1228" s="15">
        <v>1</v>
      </c>
      <c r="C1228" s="16"/>
      <c r="D1228" s="36">
        <f t="shared" si="769"/>
        <v>1</v>
      </c>
      <c r="E1228" s="18">
        <v>1</v>
      </c>
      <c r="F1228" s="16"/>
      <c r="G1228" s="36">
        <f t="shared" si="770"/>
        <v>1</v>
      </c>
      <c r="H1228" s="17">
        <f t="shared" si="771"/>
        <v>2</v>
      </c>
      <c r="I1228" s="81">
        <v>45161</v>
      </c>
      <c r="J1228" s="52"/>
      <c r="K1228" s="15"/>
      <c r="L1228" s="16"/>
      <c r="M1228" s="36">
        <f t="shared" si="772"/>
        <v>0</v>
      </c>
      <c r="N1228" s="18"/>
      <c r="O1228" s="16"/>
      <c r="P1228" s="36">
        <f t="shared" si="773"/>
        <v>0</v>
      </c>
      <c r="Q1228" s="17">
        <f t="shared" si="774"/>
        <v>0</v>
      </c>
      <c r="R1228" s="81"/>
    </row>
    <row r="1229" spans="1:18" x14ac:dyDescent="0.15">
      <c r="A1229" s="35" t="s">
        <v>33</v>
      </c>
      <c r="B1229" s="15">
        <v>2</v>
      </c>
      <c r="C1229" s="16"/>
      <c r="D1229" s="36">
        <f t="shared" si="769"/>
        <v>2</v>
      </c>
      <c r="E1229" s="18"/>
      <c r="F1229" s="16"/>
      <c r="G1229" s="36">
        <f t="shared" si="770"/>
        <v>0</v>
      </c>
      <c r="H1229" s="17">
        <f t="shared" si="771"/>
        <v>2</v>
      </c>
      <c r="I1229" s="81">
        <v>45160</v>
      </c>
      <c r="J1229" s="52"/>
      <c r="K1229" s="15"/>
      <c r="L1229" s="16"/>
      <c r="M1229" s="36">
        <f t="shared" si="772"/>
        <v>0</v>
      </c>
      <c r="N1229" s="18"/>
      <c r="O1229" s="16"/>
      <c r="P1229" s="36">
        <f t="shared" si="773"/>
        <v>0</v>
      </c>
      <c r="Q1229" s="17">
        <f t="shared" si="774"/>
        <v>0</v>
      </c>
      <c r="R1229" s="81"/>
    </row>
    <row r="1230" spans="1:18" x14ac:dyDescent="0.15">
      <c r="A1230" s="35" t="s">
        <v>561</v>
      </c>
      <c r="B1230" s="15"/>
      <c r="C1230" s="16">
        <v>1</v>
      </c>
      <c r="D1230" s="36">
        <f t="shared" si="769"/>
        <v>1</v>
      </c>
      <c r="E1230" s="18"/>
      <c r="F1230" s="16">
        <v>1</v>
      </c>
      <c r="G1230" s="36">
        <f t="shared" si="770"/>
        <v>1</v>
      </c>
      <c r="H1230" s="17">
        <f t="shared" si="771"/>
        <v>2</v>
      </c>
      <c r="I1230" s="81">
        <v>45162</v>
      </c>
      <c r="J1230" s="52"/>
      <c r="K1230" s="15"/>
      <c r="L1230" s="16"/>
      <c r="M1230" s="36">
        <f t="shared" si="772"/>
        <v>0</v>
      </c>
      <c r="N1230" s="18"/>
      <c r="O1230" s="16"/>
      <c r="P1230" s="36">
        <f t="shared" si="773"/>
        <v>0</v>
      </c>
      <c r="Q1230" s="17">
        <f t="shared" si="774"/>
        <v>0</v>
      </c>
      <c r="R1230" s="81"/>
    </row>
    <row r="1231" spans="1:18" x14ac:dyDescent="0.15">
      <c r="A1231" s="35" t="s">
        <v>562</v>
      </c>
      <c r="B1231" s="15">
        <v>4</v>
      </c>
      <c r="C1231" s="16">
        <v>1</v>
      </c>
      <c r="D1231" s="36">
        <f t="shared" si="769"/>
        <v>5</v>
      </c>
      <c r="E1231" s="18">
        <v>4</v>
      </c>
      <c r="F1231" s="16">
        <v>1</v>
      </c>
      <c r="G1231" s="36">
        <f t="shared" si="770"/>
        <v>5</v>
      </c>
      <c r="H1231" s="17">
        <f t="shared" si="771"/>
        <v>10</v>
      </c>
      <c r="I1231" s="81">
        <v>45163</v>
      </c>
      <c r="J1231" s="52"/>
      <c r="K1231" s="15"/>
      <c r="L1231" s="16"/>
      <c r="M1231" s="36">
        <f t="shared" si="772"/>
        <v>0</v>
      </c>
      <c r="N1231" s="18"/>
      <c r="O1231" s="16"/>
      <c r="P1231" s="36">
        <f t="shared" si="773"/>
        <v>0</v>
      </c>
      <c r="Q1231" s="17">
        <f t="shared" si="774"/>
        <v>0</v>
      </c>
      <c r="R1231" s="81"/>
    </row>
    <row r="1232" spans="1:18" x14ac:dyDescent="0.15">
      <c r="A1232" s="35" t="s">
        <v>33</v>
      </c>
      <c r="B1232" s="15"/>
      <c r="C1232" s="16">
        <v>2</v>
      </c>
      <c r="D1232" s="36">
        <f t="shared" si="769"/>
        <v>2</v>
      </c>
      <c r="E1232" s="18"/>
      <c r="F1232" s="16"/>
      <c r="G1232" s="36">
        <f t="shared" si="770"/>
        <v>0</v>
      </c>
      <c r="H1232" s="17">
        <f t="shared" si="771"/>
        <v>2</v>
      </c>
      <c r="I1232" s="84">
        <v>45166</v>
      </c>
      <c r="J1232" s="52"/>
      <c r="K1232" s="15"/>
      <c r="L1232" s="16"/>
      <c r="M1232" s="36">
        <f t="shared" si="772"/>
        <v>0</v>
      </c>
      <c r="N1232" s="18"/>
      <c r="O1232" s="16"/>
      <c r="P1232" s="36">
        <f t="shared" si="773"/>
        <v>0</v>
      </c>
      <c r="Q1232" s="17">
        <f t="shared" si="774"/>
        <v>0</v>
      </c>
      <c r="R1232" s="81"/>
    </row>
    <row r="1233" spans="1:18" x14ac:dyDescent="0.15">
      <c r="A1233" s="35" t="s">
        <v>564</v>
      </c>
      <c r="B1233" s="15"/>
      <c r="C1233" s="16">
        <v>4</v>
      </c>
      <c r="D1233" s="36">
        <f t="shared" si="769"/>
        <v>4</v>
      </c>
      <c r="E1233" s="18"/>
      <c r="F1233" s="16">
        <v>4</v>
      </c>
      <c r="G1233" s="36">
        <f t="shared" si="770"/>
        <v>4</v>
      </c>
      <c r="H1233" s="17">
        <f t="shared" si="771"/>
        <v>8</v>
      </c>
      <c r="I1233" s="81">
        <v>45168</v>
      </c>
      <c r="J1233" s="52"/>
      <c r="K1233" s="15"/>
      <c r="L1233" s="16"/>
      <c r="M1233" s="36">
        <f t="shared" si="772"/>
        <v>0</v>
      </c>
      <c r="N1233" s="18"/>
      <c r="O1233" s="16"/>
      <c r="P1233" s="36">
        <f t="shared" si="773"/>
        <v>0</v>
      </c>
      <c r="Q1233" s="17">
        <f t="shared" si="774"/>
        <v>0</v>
      </c>
      <c r="R1233" s="81"/>
    </row>
    <row r="1234" spans="1:18" x14ac:dyDescent="0.15">
      <c r="A1234" s="35" t="s">
        <v>565</v>
      </c>
      <c r="B1234" s="15"/>
      <c r="C1234" s="16">
        <v>2</v>
      </c>
      <c r="D1234" s="36">
        <f t="shared" si="769"/>
        <v>2</v>
      </c>
      <c r="E1234" s="18"/>
      <c r="F1234" s="16">
        <v>2</v>
      </c>
      <c r="G1234" s="36">
        <f t="shared" si="770"/>
        <v>2</v>
      </c>
      <c r="H1234" s="17">
        <f t="shared" si="771"/>
        <v>4</v>
      </c>
      <c r="I1234" s="81">
        <v>45169</v>
      </c>
      <c r="J1234" s="52"/>
      <c r="K1234" s="15"/>
      <c r="L1234" s="16"/>
      <c r="M1234" s="36">
        <f t="shared" si="772"/>
        <v>0</v>
      </c>
      <c r="N1234" s="18"/>
      <c r="O1234" s="16"/>
      <c r="P1234" s="36">
        <f t="shared" si="773"/>
        <v>0</v>
      </c>
      <c r="Q1234" s="17">
        <f t="shared" si="774"/>
        <v>0</v>
      </c>
      <c r="R1234" s="81"/>
    </row>
    <row r="1235" spans="1:18" x14ac:dyDescent="0.15">
      <c r="A1235" s="35" t="s">
        <v>566</v>
      </c>
      <c r="B1235" s="15"/>
      <c r="C1235" s="16">
        <v>1</v>
      </c>
      <c r="D1235" s="36">
        <f t="shared" si="769"/>
        <v>1</v>
      </c>
      <c r="E1235" s="18"/>
      <c r="F1235" s="16">
        <v>1</v>
      </c>
      <c r="G1235" s="36">
        <f t="shared" si="770"/>
        <v>1</v>
      </c>
      <c r="H1235" s="17">
        <f t="shared" si="771"/>
        <v>2</v>
      </c>
      <c r="I1235" s="81">
        <v>45170</v>
      </c>
      <c r="J1235" s="52"/>
      <c r="K1235" s="15"/>
      <c r="L1235" s="16"/>
      <c r="M1235" s="36">
        <f t="shared" si="772"/>
        <v>0</v>
      </c>
      <c r="N1235" s="18"/>
      <c r="O1235" s="16"/>
      <c r="P1235" s="36">
        <f t="shared" si="773"/>
        <v>0</v>
      </c>
      <c r="Q1235" s="17">
        <f t="shared" si="774"/>
        <v>0</v>
      </c>
      <c r="R1235" s="81"/>
    </row>
    <row r="1236" spans="1:18" x14ac:dyDescent="0.15">
      <c r="A1236" s="35" t="s">
        <v>567</v>
      </c>
      <c r="B1236" s="15"/>
      <c r="C1236" s="16">
        <v>4</v>
      </c>
      <c r="D1236" s="36">
        <f t="shared" si="769"/>
        <v>4</v>
      </c>
      <c r="E1236" s="18"/>
      <c r="F1236" s="16">
        <v>4</v>
      </c>
      <c r="G1236" s="36">
        <f t="shared" si="770"/>
        <v>4</v>
      </c>
      <c r="H1236" s="17">
        <f t="shared" si="771"/>
        <v>8</v>
      </c>
      <c r="I1236" s="81">
        <v>45173</v>
      </c>
      <c r="J1236" s="52"/>
      <c r="K1236" s="15"/>
      <c r="L1236" s="16"/>
      <c r="M1236" s="36">
        <f t="shared" si="772"/>
        <v>0</v>
      </c>
      <c r="N1236" s="18"/>
      <c r="O1236" s="16"/>
      <c r="P1236" s="36">
        <f t="shared" si="773"/>
        <v>0</v>
      </c>
      <c r="Q1236" s="17">
        <f t="shared" si="774"/>
        <v>0</v>
      </c>
      <c r="R1236" s="81"/>
    </row>
    <row r="1237" spans="1:18" x14ac:dyDescent="0.15">
      <c r="A1237" s="35" t="s">
        <v>33</v>
      </c>
      <c r="B1237" s="15">
        <v>1</v>
      </c>
      <c r="C1237" s="16"/>
      <c r="D1237" s="36">
        <f t="shared" si="769"/>
        <v>1</v>
      </c>
      <c r="E1237" s="18"/>
      <c r="F1237" s="16"/>
      <c r="G1237" s="36">
        <f t="shared" si="770"/>
        <v>0</v>
      </c>
      <c r="H1237" s="17">
        <f t="shared" si="771"/>
        <v>1</v>
      </c>
      <c r="I1237" s="84">
        <v>45171</v>
      </c>
      <c r="J1237" s="52"/>
      <c r="K1237" s="15"/>
      <c r="L1237" s="16"/>
      <c r="M1237" s="36">
        <f t="shared" si="772"/>
        <v>0</v>
      </c>
      <c r="N1237" s="18"/>
      <c r="O1237" s="16"/>
      <c r="P1237" s="36">
        <f t="shared" si="773"/>
        <v>0</v>
      </c>
      <c r="Q1237" s="17">
        <f t="shared" si="774"/>
        <v>0</v>
      </c>
      <c r="R1237" s="81"/>
    </row>
    <row r="1238" spans="1:18" x14ac:dyDescent="0.15">
      <c r="A1238" s="35" t="s">
        <v>568</v>
      </c>
      <c r="B1238" s="15">
        <v>2</v>
      </c>
      <c r="C1238" s="16"/>
      <c r="D1238" s="36">
        <f t="shared" si="769"/>
        <v>2</v>
      </c>
      <c r="E1238" s="18">
        <v>2</v>
      </c>
      <c r="F1238" s="16"/>
      <c r="G1238" s="36">
        <f t="shared" si="770"/>
        <v>2</v>
      </c>
      <c r="H1238" s="17">
        <f t="shared" si="771"/>
        <v>4</v>
      </c>
      <c r="I1238" s="81">
        <v>45174</v>
      </c>
      <c r="J1238" s="52"/>
      <c r="K1238" s="15"/>
      <c r="L1238" s="16"/>
      <c r="M1238" s="36">
        <f t="shared" si="772"/>
        <v>0</v>
      </c>
      <c r="N1238" s="18"/>
      <c r="O1238" s="16"/>
      <c r="P1238" s="36">
        <f t="shared" si="773"/>
        <v>0</v>
      </c>
      <c r="Q1238" s="17">
        <f t="shared" si="774"/>
        <v>0</v>
      </c>
      <c r="R1238" s="81"/>
    </row>
    <row r="1239" spans="1:18" x14ac:dyDescent="0.15">
      <c r="A1239" s="35" t="s">
        <v>33</v>
      </c>
      <c r="B1239" s="15"/>
      <c r="C1239" s="16">
        <v>1</v>
      </c>
      <c r="D1239" s="36">
        <f t="shared" si="769"/>
        <v>1</v>
      </c>
      <c r="E1239" s="18"/>
      <c r="F1239" s="16"/>
      <c r="G1239" s="36">
        <f t="shared" si="770"/>
        <v>0</v>
      </c>
      <c r="H1239" s="17">
        <f t="shared" si="771"/>
        <v>1</v>
      </c>
      <c r="I1239" s="81">
        <v>45173</v>
      </c>
      <c r="J1239" s="52"/>
      <c r="K1239" s="15"/>
      <c r="L1239" s="16"/>
      <c r="M1239" s="36">
        <f t="shared" si="772"/>
        <v>0</v>
      </c>
      <c r="N1239" s="18"/>
      <c r="O1239" s="16"/>
      <c r="P1239" s="36">
        <f t="shared" si="773"/>
        <v>0</v>
      </c>
      <c r="Q1239" s="17">
        <f t="shared" si="774"/>
        <v>0</v>
      </c>
      <c r="R1239" s="81"/>
    </row>
    <row r="1240" spans="1:18" x14ac:dyDescent="0.15">
      <c r="A1240" s="35" t="s">
        <v>569</v>
      </c>
      <c r="B1240" s="15"/>
      <c r="C1240" s="16">
        <v>3</v>
      </c>
      <c r="D1240" s="36">
        <f t="shared" si="769"/>
        <v>3</v>
      </c>
      <c r="E1240" s="18"/>
      <c r="F1240" s="16">
        <v>3</v>
      </c>
      <c r="G1240" s="36">
        <f t="shared" si="770"/>
        <v>3</v>
      </c>
      <c r="H1240" s="17">
        <f t="shared" si="771"/>
        <v>6</v>
      </c>
      <c r="I1240" s="81">
        <v>45175</v>
      </c>
      <c r="J1240" s="52"/>
      <c r="K1240" s="15"/>
      <c r="L1240" s="16"/>
      <c r="M1240" s="36">
        <f t="shared" si="772"/>
        <v>0</v>
      </c>
      <c r="N1240" s="18"/>
      <c r="O1240" s="16"/>
      <c r="P1240" s="36">
        <f t="shared" si="773"/>
        <v>0</v>
      </c>
      <c r="Q1240" s="17">
        <f t="shared" si="774"/>
        <v>0</v>
      </c>
      <c r="R1240" s="81"/>
    </row>
    <row r="1241" spans="1:18" x14ac:dyDescent="0.15">
      <c r="A1241" s="35" t="s">
        <v>570</v>
      </c>
      <c r="B1241" s="15"/>
      <c r="C1241" s="16">
        <v>5</v>
      </c>
      <c r="D1241" s="36">
        <f t="shared" si="769"/>
        <v>5</v>
      </c>
      <c r="E1241" s="18"/>
      <c r="F1241" s="16">
        <v>5</v>
      </c>
      <c r="G1241" s="36">
        <f t="shared" si="770"/>
        <v>5</v>
      </c>
      <c r="H1241" s="17">
        <f t="shared" si="771"/>
        <v>10</v>
      </c>
      <c r="I1241" s="81">
        <v>45176</v>
      </c>
      <c r="J1241" s="52"/>
      <c r="K1241" s="15"/>
      <c r="L1241" s="16"/>
      <c r="M1241" s="36">
        <f t="shared" si="772"/>
        <v>0</v>
      </c>
      <c r="N1241" s="18"/>
      <c r="O1241" s="16"/>
      <c r="P1241" s="36">
        <f t="shared" si="773"/>
        <v>0</v>
      </c>
      <c r="Q1241" s="17">
        <f t="shared" si="774"/>
        <v>0</v>
      </c>
      <c r="R1241" s="81"/>
    </row>
    <row r="1242" spans="1:18" x14ac:dyDescent="0.15">
      <c r="A1242" s="35" t="s">
        <v>33</v>
      </c>
      <c r="B1242" s="15">
        <v>2</v>
      </c>
      <c r="C1242" s="16"/>
      <c r="D1242" s="36">
        <f t="shared" si="769"/>
        <v>2</v>
      </c>
      <c r="E1242" s="18"/>
      <c r="F1242" s="16"/>
      <c r="G1242" s="36">
        <f t="shared" si="770"/>
        <v>0</v>
      </c>
      <c r="H1242" s="17">
        <f t="shared" si="771"/>
        <v>2</v>
      </c>
      <c r="I1242" s="84">
        <v>45175</v>
      </c>
      <c r="J1242" s="35" t="s">
        <v>537</v>
      </c>
      <c r="K1242" s="15"/>
      <c r="L1242" s="16"/>
      <c r="M1242" s="36">
        <f t="shared" si="772"/>
        <v>0</v>
      </c>
      <c r="N1242" s="18"/>
      <c r="O1242" s="16"/>
      <c r="P1242" s="36">
        <f t="shared" si="773"/>
        <v>0</v>
      </c>
      <c r="Q1242" s="17">
        <f t="shared" si="774"/>
        <v>0</v>
      </c>
      <c r="R1242" s="81" t="s">
        <v>538</v>
      </c>
    </row>
    <row r="1243" spans="1:18" ht="14.25" thickBot="1" x14ac:dyDescent="0.2">
      <c r="A1243" s="35" t="s">
        <v>571</v>
      </c>
      <c r="B1243" s="15"/>
      <c r="C1243" s="16">
        <v>2</v>
      </c>
      <c r="D1243" s="36">
        <f t="shared" si="769"/>
        <v>2</v>
      </c>
      <c r="E1243" s="18"/>
      <c r="F1243" s="16">
        <v>2</v>
      </c>
      <c r="G1243" s="36">
        <f t="shared" si="770"/>
        <v>2</v>
      </c>
      <c r="H1243" s="17">
        <f t="shared" si="771"/>
        <v>4</v>
      </c>
      <c r="I1243" s="81">
        <v>45177</v>
      </c>
      <c r="J1243" s="35" t="s">
        <v>527</v>
      </c>
      <c r="K1243" s="15"/>
      <c r="L1243" s="16"/>
      <c r="M1243" s="36">
        <f t="shared" si="772"/>
        <v>0</v>
      </c>
      <c r="N1243" s="18"/>
      <c r="O1243" s="16"/>
      <c r="P1243" s="36">
        <f t="shared" si="773"/>
        <v>0</v>
      </c>
      <c r="Q1243" s="17">
        <f t="shared" si="774"/>
        <v>0</v>
      </c>
      <c r="R1243" s="81" t="s">
        <v>528</v>
      </c>
    </row>
    <row r="1244" spans="1:18" ht="14.25" thickBot="1" x14ac:dyDescent="0.2">
      <c r="A1244" s="40" t="s">
        <v>14</v>
      </c>
      <c r="B1244" s="41">
        <f>SUM(B1218:B1243)</f>
        <v>22</v>
      </c>
      <c r="C1244" s="42">
        <f t="shared" ref="C1244" si="781">SUM(C1218:C1243)</f>
        <v>31</v>
      </c>
      <c r="D1244" s="43">
        <f t="shared" si="769"/>
        <v>53</v>
      </c>
      <c r="E1244" s="41">
        <f>SUM(E1218:E1243)</f>
        <v>19</v>
      </c>
      <c r="F1244" s="42">
        <f t="shared" ref="F1244" si="782">SUM(F1218:F1243)</f>
        <v>46</v>
      </c>
      <c r="G1244" s="43">
        <f t="shared" si="770"/>
        <v>65</v>
      </c>
      <c r="H1244" s="43">
        <f t="shared" si="771"/>
        <v>118</v>
      </c>
      <c r="J1244" s="40" t="s">
        <v>14</v>
      </c>
      <c r="K1244" s="41">
        <f>SUM(K1218:K1243)</f>
        <v>34</v>
      </c>
      <c r="L1244" s="42">
        <f t="shared" ref="L1244" si="783">SUM(L1218:L1243)</f>
        <v>38</v>
      </c>
      <c r="M1244" s="43">
        <f t="shared" si="772"/>
        <v>72</v>
      </c>
      <c r="N1244" s="41">
        <f>SUM(N1218:N1243)</f>
        <v>39</v>
      </c>
      <c r="O1244" s="42">
        <f t="shared" ref="O1244" si="784">SUM(O1218:O1243)</f>
        <v>65</v>
      </c>
      <c r="P1244" s="43">
        <f t="shared" si="773"/>
        <v>104</v>
      </c>
      <c r="Q1244" s="43">
        <f t="shared" si="774"/>
        <v>176</v>
      </c>
    </row>
    <row r="1245" spans="1:18" ht="14.25" thickBot="1" x14ac:dyDescent="0.2">
      <c r="A1245" s="44" t="s">
        <v>15</v>
      </c>
      <c r="B1245" s="45">
        <f>B1217-B1244</f>
        <v>18</v>
      </c>
      <c r="C1245" s="46">
        <f t="shared" ref="C1245" si="785">C1217-C1244</f>
        <v>12</v>
      </c>
      <c r="D1245" s="47">
        <f t="shared" si="769"/>
        <v>30</v>
      </c>
      <c r="E1245" s="45">
        <f>E1217-E1244</f>
        <v>20</v>
      </c>
      <c r="F1245" s="46">
        <f t="shared" ref="F1245" si="786">F1217-F1244</f>
        <v>22</v>
      </c>
      <c r="G1245" s="47">
        <f t="shared" si="770"/>
        <v>42</v>
      </c>
      <c r="H1245" s="34">
        <f t="shared" si="771"/>
        <v>72</v>
      </c>
      <c r="J1245" s="44" t="s">
        <v>15</v>
      </c>
      <c r="K1245" s="45">
        <f>K1217-K1244</f>
        <v>1135</v>
      </c>
      <c r="L1245" s="46">
        <f t="shared" ref="L1245" si="787">L1217-L1244</f>
        <v>612</v>
      </c>
      <c r="M1245" s="47">
        <f t="shared" si="772"/>
        <v>1747</v>
      </c>
      <c r="N1245" s="45">
        <f>N1217-N1244</f>
        <v>1164</v>
      </c>
      <c r="O1245" s="46">
        <f t="shared" ref="O1245" si="788">O1217-O1244</f>
        <v>185</v>
      </c>
      <c r="P1245" s="47">
        <f t="shared" si="773"/>
        <v>1349</v>
      </c>
      <c r="Q1245" s="34">
        <f t="shared" si="774"/>
        <v>3096</v>
      </c>
    </row>
    <row r="1248" spans="1:18" ht="19.5" thickBot="1" x14ac:dyDescent="0.25">
      <c r="A1248" s="1" t="s">
        <v>23</v>
      </c>
      <c r="J1248" s="1" t="s">
        <v>24</v>
      </c>
      <c r="K1248" s="2"/>
      <c r="L1248" s="2"/>
      <c r="M1248" s="2"/>
      <c r="N1248" s="2"/>
      <c r="O1248" s="1" t="s">
        <v>34</v>
      </c>
      <c r="P1248" s="2"/>
      <c r="Q1248" s="2"/>
    </row>
    <row r="1249" spans="1:18" ht="14.25" thickBot="1" x14ac:dyDescent="0.2">
      <c r="A1249" s="3" t="s">
        <v>0</v>
      </c>
      <c r="B1249" s="125" t="s">
        <v>18</v>
      </c>
      <c r="C1249" s="126"/>
      <c r="D1249" s="127"/>
      <c r="E1249" s="125" t="s">
        <v>19</v>
      </c>
      <c r="F1249" s="126"/>
      <c r="G1249" s="128"/>
      <c r="H1249" s="129" t="s">
        <v>1</v>
      </c>
      <c r="J1249" s="3" t="s">
        <v>0</v>
      </c>
      <c r="K1249" s="125" t="s">
        <v>18</v>
      </c>
      <c r="L1249" s="126"/>
      <c r="M1249" s="127"/>
      <c r="N1249" s="125" t="s">
        <v>19</v>
      </c>
      <c r="O1249" s="126"/>
      <c r="P1249" s="128"/>
      <c r="Q1249" s="129" t="s">
        <v>1</v>
      </c>
    </row>
    <row r="1250" spans="1:18" ht="14.25" thickBot="1" x14ac:dyDescent="0.2">
      <c r="A1250" s="3" t="s">
        <v>2</v>
      </c>
      <c r="B1250" s="4" t="s">
        <v>16</v>
      </c>
      <c r="C1250" s="5" t="s">
        <v>17</v>
      </c>
      <c r="D1250" s="3" t="s">
        <v>3</v>
      </c>
      <c r="E1250" s="4" t="s">
        <v>16</v>
      </c>
      <c r="F1250" s="5" t="s">
        <v>17</v>
      </c>
      <c r="G1250" s="3" t="s">
        <v>3</v>
      </c>
      <c r="H1250" s="130"/>
      <c r="J1250" s="3" t="s">
        <v>2</v>
      </c>
      <c r="K1250" s="4" t="s">
        <v>16</v>
      </c>
      <c r="L1250" s="5" t="s">
        <v>17</v>
      </c>
      <c r="M1250" s="3" t="s">
        <v>3</v>
      </c>
      <c r="N1250" s="4" t="s">
        <v>16</v>
      </c>
      <c r="O1250" s="5" t="s">
        <v>17</v>
      </c>
      <c r="P1250" s="3" t="s">
        <v>3</v>
      </c>
      <c r="Q1250" s="130"/>
    </row>
    <row r="1251" spans="1:18" ht="14.25" thickBot="1" x14ac:dyDescent="0.2">
      <c r="A1251" s="6" t="s">
        <v>55</v>
      </c>
      <c r="B1251" s="32">
        <f>B1245</f>
        <v>18</v>
      </c>
      <c r="C1251" s="33">
        <f>C1245</f>
        <v>12</v>
      </c>
      <c r="D1251" s="34">
        <f t="shared" ref="D1251:D1288" si="789">SUM(B1251:C1251)</f>
        <v>30</v>
      </c>
      <c r="E1251" s="32">
        <f>E1245</f>
        <v>20</v>
      </c>
      <c r="F1251" s="33">
        <f>F1245</f>
        <v>22</v>
      </c>
      <c r="G1251" s="34">
        <f t="shared" ref="G1251:G1288" si="790">SUM(E1251:F1251)</f>
        <v>42</v>
      </c>
      <c r="H1251" s="34">
        <f t="shared" ref="H1251:H1288" si="791">D1251+G1251</f>
        <v>72</v>
      </c>
      <c r="J1251" s="6" t="s">
        <v>55</v>
      </c>
      <c r="K1251" s="7">
        <f>K1245</f>
        <v>1135</v>
      </c>
      <c r="L1251" s="8">
        <f>L1245</f>
        <v>612</v>
      </c>
      <c r="M1251" s="9">
        <f t="shared" ref="M1251:M1288" si="792">SUM(K1251:L1251)</f>
        <v>1747</v>
      </c>
      <c r="N1251" s="7">
        <f>N1245</f>
        <v>1164</v>
      </c>
      <c r="O1251" s="8">
        <f>O1245</f>
        <v>185</v>
      </c>
      <c r="P1251" s="9">
        <f t="shared" ref="P1251:P1288" si="793">SUM(N1251:O1251)</f>
        <v>1349</v>
      </c>
      <c r="Q1251" s="9">
        <f t="shared" ref="Q1251:Q1288" si="794">M1251+P1251</f>
        <v>3096</v>
      </c>
    </row>
    <row r="1252" spans="1:18" x14ac:dyDescent="0.15">
      <c r="A1252" s="10" t="s">
        <v>5</v>
      </c>
      <c r="B1252" s="23">
        <v>10</v>
      </c>
      <c r="C1252" s="24"/>
      <c r="D1252" s="17">
        <f t="shared" si="789"/>
        <v>10</v>
      </c>
      <c r="E1252" s="25"/>
      <c r="F1252" s="24"/>
      <c r="G1252" s="17">
        <f t="shared" si="790"/>
        <v>0</v>
      </c>
      <c r="H1252" s="17">
        <f t="shared" si="791"/>
        <v>10</v>
      </c>
      <c r="I1252" s="81">
        <v>45181</v>
      </c>
      <c r="J1252" s="94" t="s">
        <v>5</v>
      </c>
      <c r="K1252" s="48"/>
      <c r="L1252" s="49"/>
      <c r="M1252" s="50">
        <f t="shared" si="792"/>
        <v>0</v>
      </c>
      <c r="N1252" s="51"/>
      <c r="O1252" s="49"/>
      <c r="P1252" s="50">
        <f t="shared" si="793"/>
        <v>0</v>
      </c>
      <c r="Q1252" s="13">
        <f t="shared" si="794"/>
        <v>0</v>
      </c>
    </row>
    <row r="1253" spans="1:18" x14ac:dyDescent="0.15">
      <c r="A1253" s="10" t="s">
        <v>6</v>
      </c>
      <c r="B1253" s="23"/>
      <c r="C1253" s="24">
        <v>10</v>
      </c>
      <c r="D1253" s="17">
        <f t="shared" ref="D1253" si="795">SUM(B1253:C1253)</f>
        <v>10</v>
      </c>
      <c r="E1253" s="25">
        <v>10</v>
      </c>
      <c r="F1253" s="24"/>
      <c r="G1253" s="17">
        <f t="shared" ref="G1253" si="796">SUM(E1253:F1253)</f>
        <v>10</v>
      </c>
      <c r="H1253" s="17">
        <f t="shared" ref="H1253" si="797">D1253+G1253</f>
        <v>20</v>
      </c>
      <c r="I1253" s="81">
        <v>45182</v>
      </c>
      <c r="J1253" s="10" t="s">
        <v>6</v>
      </c>
      <c r="K1253" s="19"/>
      <c r="L1253" s="20"/>
      <c r="M1253" s="17">
        <f t="shared" si="792"/>
        <v>0</v>
      </c>
      <c r="N1253" s="21"/>
      <c r="O1253" s="20"/>
      <c r="P1253" s="17">
        <f t="shared" si="793"/>
        <v>0</v>
      </c>
      <c r="Q1253" s="17">
        <f t="shared" si="794"/>
        <v>0</v>
      </c>
    </row>
    <row r="1254" spans="1:18" x14ac:dyDescent="0.15">
      <c r="A1254" s="10" t="s">
        <v>61</v>
      </c>
      <c r="B1254" s="23"/>
      <c r="C1254" s="24">
        <v>1</v>
      </c>
      <c r="D1254" s="17">
        <f t="shared" si="789"/>
        <v>1</v>
      </c>
      <c r="E1254" s="25"/>
      <c r="F1254" s="24">
        <v>1</v>
      </c>
      <c r="G1254" s="17">
        <f t="shared" si="790"/>
        <v>1</v>
      </c>
      <c r="H1254" s="17">
        <f t="shared" si="791"/>
        <v>2</v>
      </c>
      <c r="I1254" s="84">
        <v>45196</v>
      </c>
      <c r="J1254" s="10" t="s">
        <v>7</v>
      </c>
      <c r="K1254" s="19"/>
      <c r="L1254" s="20"/>
      <c r="M1254" s="17">
        <f t="shared" si="792"/>
        <v>0</v>
      </c>
      <c r="N1254" s="21"/>
      <c r="O1254" s="20"/>
      <c r="P1254" s="17">
        <f t="shared" si="793"/>
        <v>0</v>
      </c>
      <c r="Q1254" s="17">
        <f t="shared" si="794"/>
        <v>0</v>
      </c>
    </row>
    <row r="1255" spans="1:18" x14ac:dyDescent="0.15">
      <c r="A1255" s="10" t="s">
        <v>8</v>
      </c>
      <c r="B1255" s="23"/>
      <c r="C1255" s="24">
        <v>10</v>
      </c>
      <c r="D1255" s="17">
        <f t="shared" si="789"/>
        <v>10</v>
      </c>
      <c r="E1255" s="25"/>
      <c r="F1255" s="24">
        <v>15</v>
      </c>
      <c r="G1255" s="17">
        <f t="shared" si="790"/>
        <v>15</v>
      </c>
      <c r="H1255" s="17">
        <f t="shared" si="791"/>
        <v>25</v>
      </c>
      <c r="I1255" s="81">
        <v>45202</v>
      </c>
      <c r="J1255" s="10" t="s">
        <v>8</v>
      </c>
      <c r="K1255" s="15"/>
      <c r="L1255" s="16"/>
      <c r="M1255" s="17">
        <f t="shared" si="792"/>
        <v>0</v>
      </c>
      <c r="N1255" s="18"/>
      <c r="O1255" s="16"/>
      <c r="P1255" s="17">
        <f t="shared" si="793"/>
        <v>0</v>
      </c>
      <c r="Q1255" s="17">
        <f t="shared" si="794"/>
        <v>0</v>
      </c>
    </row>
    <row r="1256" spans="1:18" x14ac:dyDescent="0.15">
      <c r="A1256" s="10" t="s">
        <v>9</v>
      </c>
      <c r="B1256" s="23"/>
      <c r="C1256" s="24">
        <v>5</v>
      </c>
      <c r="D1256" s="17">
        <f t="shared" si="789"/>
        <v>5</v>
      </c>
      <c r="E1256" s="25">
        <v>10</v>
      </c>
      <c r="F1256" s="24"/>
      <c r="G1256" s="17">
        <f t="shared" si="790"/>
        <v>10</v>
      </c>
      <c r="H1256" s="17">
        <f t="shared" si="791"/>
        <v>15</v>
      </c>
      <c r="I1256" s="81">
        <v>45215</v>
      </c>
      <c r="J1256" s="10" t="s">
        <v>9</v>
      </c>
      <c r="K1256" s="15"/>
      <c r="L1256" s="16"/>
      <c r="M1256" s="17">
        <f t="shared" si="792"/>
        <v>0</v>
      </c>
      <c r="N1256" s="18"/>
      <c r="O1256" s="16"/>
      <c r="P1256" s="17">
        <f t="shared" si="793"/>
        <v>0</v>
      </c>
      <c r="Q1256" s="17">
        <f t="shared" si="794"/>
        <v>0</v>
      </c>
    </row>
    <row r="1257" spans="1:18" x14ac:dyDescent="0.15">
      <c r="A1257" s="10" t="s">
        <v>10</v>
      </c>
      <c r="B1257" s="23"/>
      <c r="C1257" s="24"/>
      <c r="D1257" s="17">
        <f t="shared" si="789"/>
        <v>0</v>
      </c>
      <c r="E1257" s="25"/>
      <c r="F1257" s="24"/>
      <c r="G1257" s="17">
        <f t="shared" si="790"/>
        <v>0</v>
      </c>
      <c r="H1257" s="17">
        <f t="shared" si="791"/>
        <v>0</v>
      </c>
      <c r="I1257" s="81"/>
      <c r="J1257" s="10" t="s">
        <v>10</v>
      </c>
      <c r="K1257" s="15"/>
      <c r="L1257" s="16"/>
      <c r="M1257" s="17">
        <f t="shared" si="792"/>
        <v>0</v>
      </c>
      <c r="N1257" s="18"/>
      <c r="O1257" s="16"/>
      <c r="P1257" s="17">
        <f t="shared" si="793"/>
        <v>0</v>
      </c>
      <c r="Q1257" s="17">
        <f t="shared" si="794"/>
        <v>0</v>
      </c>
    </row>
    <row r="1258" spans="1:18" x14ac:dyDescent="0.15">
      <c r="A1258" s="10" t="s">
        <v>11</v>
      </c>
      <c r="B1258" s="23"/>
      <c r="C1258" s="24"/>
      <c r="D1258" s="17">
        <f t="shared" si="789"/>
        <v>0</v>
      </c>
      <c r="E1258" s="25"/>
      <c r="F1258" s="24"/>
      <c r="G1258" s="17">
        <f t="shared" si="790"/>
        <v>0</v>
      </c>
      <c r="H1258" s="17">
        <f t="shared" si="791"/>
        <v>0</v>
      </c>
      <c r="I1258" s="84"/>
      <c r="J1258" s="10" t="s">
        <v>11</v>
      </c>
      <c r="K1258" s="23"/>
      <c r="L1258" s="24"/>
      <c r="M1258" s="17">
        <f t="shared" si="792"/>
        <v>0</v>
      </c>
      <c r="N1258" s="25"/>
      <c r="O1258" s="24"/>
      <c r="P1258" s="17">
        <f t="shared" si="793"/>
        <v>0</v>
      </c>
      <c r="Q1258" s="17">
        <f t="shared" si="794"/>
        <v>0</v>
      </c>
    </row>
    <row r="1259" spans="1:18" ht="14.25" thickBot="1" x14ac:dyDescent="0.2">
      <c r="A1259" s="10" t="s">
        <v>12</v>
      </c>
      <c r="B1259" s="26"/>
      <c r="C1259" s="27"/>
      <c r="D1259" s="28">
        <f t="shared" si="789"/>
        <v>0</v>
      </c>
      <c r="E1259" s="29"/>
      <c r="F1259" s="29"/>
      <c r="G1259" s="28">
        <f t="shared" si="790"/>
        <v>0</v>
      </c>
      <c r="H1259" s="30">
        <f t="shared" si="791"/>
        <v>0</v>
      </c>
      <c r="J1259" s="10" t="s">
        <v>12</v>
      </c>
      <c r="K1259" s="26"/>
      <c r="L1259" s="27"/>
      <c r="M1259" s="28">
        <f t="shared" si="792"/>
        <v>0</v>
      </c>
      <c r="N1259" s="29"/>
      <c r="O1259" s="29"/>
      <c r="P1259" s="28">
        <f t="shared" si="793"/>
        <v>0</v>
      </c>
      <c r="Q1259" s="30">
        <f t="shared" si="794"/>
        <v>0</v>
      </c>
    </row>
    <row r="1260" spans="1:18" ht="14.25" thickBot="1" x14ac:dyDescent="0.2">
      <c r="A1260" s="31" t="s">
        <v>13</v>
      </c>
      <c r="B1260" s="32">
        <f>SUM(B1251:B1259)</f>
        <v>28</v>
      </c>
      <c r="C1260" s="33">
        <f>SUM(C1251:C1259)</f>
        <v>38</v>
      </c>
      <c r="D1260" s="34">
        <f t="shared" si="789"/>
        <v>66</v>
      </c>
      <c r="E1260" s="32">
        <f>SUM(E1251:E1259)</f>
        <v>40</v>
      </c>
      <c r="F1260" s="33">
        <f>SUM(F1251:F1259)</f>
        <v>38</v>
      </c>
      <c r="G1260" s="34">
        <f t="shared" si="790"/>
        <v>78</v>
      </c>
      <c r="H1260" s="34">
        <f t="shared" si="791"/>
        <v>144</v>
      </c>
      <c r="J1260" s="31" t="s">
        <v>13</v>
      </c>
      <c r="K1260" s="32">
        <f>SUM(K1251:K1259)</f>
        <v>1135</v>
      </c>
      <c r="L1260" s="33">
        <f>SUM(L1251:L1259)</f>
        <v>612</v>
      </c>
      <c r="M1260" s="34">
        <f t="shared" si="792"/>
        <v>1747</v>
      </c>
      <c r="N1260" s="32">
        <f>SUM(N1251:N1259)</f>
        <v>1164</v>
      </c>
      <c r="O1260" s="33">
        <f>SUM(O1251:O1259)</f>
        <v>185</v>
      </c>
      <c r="P1260" s="34">
        <f t="shared" si="793"/>
        <v>1349</v>
      </c>
      <c r="Q1260" s="34">
        <f t="shared" si="794"/>
        <v>3096</v>
      </c>
    </row>
    <row r="1261" spans="1:18" x14ac:dyDescent="0.15">
      <c r="A1261" s="35" t="s">
        <v>33</v>
      </c>
      <c r="B1261" s="15"/>
      <c r="C1261" s="16">
        <v>2</v>
      </c>
      <c r="D1261" s="36">
        <f t="shared" ref="D1261:D1284" si="798">SUM(B1261:C1261)</f>
        <v>2</v>
      </c>
      <c r="E1261" s="18"/>
      <c r="F1261" s="16"/>
      <c r="G1261" s="36">
        <f t="shared" ref="G1261:G1284" si="799">SUM(E1261:F1261)</f>
        <v>0</v>
      </c>
      <c r="H1261" s="17">
        <f t="shared" ref="H1261:H1284" si="800">D1261+G1261</f>
        <v>2</v>
      </c>
      <c r="I1261" s="84">
        <v>45176</v>
      </c>
      <c r="J1261" s="52" t="s">
        <v>91</v>
      </c>
      <c r="K1261" s="19">
        <v>10</v>
      </c>
      <c r="L1261" s="20"/>
      <c r="M1261" s="17">
        <f t="shared" si="792"/>
        <v>10</v>
      </c>
      <c r="N1261" s="21"/>
      <c r="O1261" s="20"/>
      <c r="P1261" s="17">
        <f t="shared" si="793"/>
        <v>0</v>
      </c>
      <c r="Q1261" s="17">
        <f t="shared" si="794"/>
        <v>10</v>
      </c>
      <c r="R1261" s="81">
        <v>45181</v>
      </c>
    </row>
    <row r="1262" spans="1:18" x14ac:dyDescent="0.15">
      <c r="A1262" s="35" t="s">
        <v>572</v>
      </c>
      <c r="B1262" s="15">
        <v>1</v>
      </c>
      <c r="C1262" s="16"/>
      <c r="D1262" s="36">
        <f t="shared" si="798"/>
        <v>1</v>
      </c>
      <c r="E1262" s="18">
        <v>1</v>
      </c>
      <c r="F1262" s="16"/>
      <c r="G1262" s="36">
        <f t="shared" si="799"/>
        <v>1</v>
      </c>
      <c r="H1262" s="17">
        <f t="shared" si="800"/>
        <v>2</v>
      </c>
      <c r="I1262" s="81">
        <v>45180</v>
      </c>
      <c r="J1262" s="52" t="s">
        <v>91</v>
      </c>
      <c r="K1262" s="19"/>
      <c r="L1262" s="20">
        <v>10</v>
      </c>
      <c r="M1262" s="17">
        <f t="shared" si="792"/>
        <v>10</v>
      </c>
      <c r="N1262" s="21">
        <v>10</v>
      </c>
      <c r="O1262" s="20"/>
      <c r="P1262" s="17">
        <f t="shared" si="793"/>
        <v>10</v>
      </c>
      <c r="Q1262" s="17">
        <f t="shared" si="794"/>
        <v>20</v>
      </c>
      <c r="R1262" s="81">
        <v>45182</v>
      </c>
    </row>
    <row r="1263" spans="1:18" x14ac:dyDescent="0.15">
      <c r="A1263" s="35" t="s">
        <v>574</v>
      </c>
      <c r="B1263" s="15"/>
      <c r="C1263" s="16"/>
      <c r="D1263" s="36">
        <f t="shared" si="798"/>
        <v>0</v>
      </c>
      <c r="E1263" s="18">
        <v>1</v>
      </c>
      <c r="F1263" s="16"/>
      <c r="G1263" s="36">
        <f t="shared" si="799"/>
        <v>1</v>
      </c>
      <c r="H1263" s="17">
        <f t="shared" si="800"/>
        <v>1</v>
      </c>
      <c r="I1263" s="81">
        <v>45181</v>
      </c>
      <c r="J1263" s="52" t="s">
        <v>91</v>
      </c>
      <c r="K1263" s="19"/>
      <c r="L1263" s="20">
        <v>10</v>
      </c>
      <c r="M1263" s="17">
        <f t="shared" si="792"/>
        <v>10</v>
      </c>
      <c r="N1263" s="21"/>
      <c r="O1263" s="20">
        <v>15</v>
      </c>
      <c r="P1263" s="17">
        <f t="shared" si="793"/>
        <v>15</v>
      </c>
      <c r="Q1263" s="17">
        <f t="shared" si="794"/>
        <v>25</v>
      </c>
      <c r="R1263" s="81">
        <v>45202</v>
      </c>
    </row>
    <row r="1264" spans="1:18" x14ac:dyDescent="0.15">
      <c r="A1264" s="35" t="s">
        <v>573</v>
      </c>
      <c r="B1264" s="15"/>
      <c r="C1264" s="16">
        <v>1</v>
      </c>
      <c r="D1264" s="36">
        <f t="shared" si="798"/>
        <v>1</v>
      </c>
      <c r="E1264" s="18"/>
      <c r="F1264" s="16">
        <v>1</v>
      </c>
      <c r="G1264" s="36">
        <f t="shared" si="799"/>
        <v>1</v>
      </c>
      <c r="H1264" s="17">
        <f t="shared" si="800"/>
        <v>2</v>
      </c>
      <c r="I1264" s="81">
        <v>45181</v>
      </c>
      <c r="J1264" s="52" t="s">
        <v>91</v>
      </c>
      <c r="K1264" s="19"/>
      <c r="L1264" s="20">
        <v>5</v>
      </c>
      <c r="M1264" s="17">
        <f t="shared" si="792"/>
        <v>5</v>
      </c>
      <c r="N1264" s="21">
        <v>10</v>
      </c>
      <c r="O1264" s="20"/>
      <c r="P1264" s="17">
        <f t="shared" si="793"/>
        <v>10</v>
      </c>
      <c r="Q1264" s="17">
        <f t="shared" si="794"/>
        <v>15</v>
      </c>
      <c r="R1264" s="81">
        <v>45215</v>
      </c>
    </row>
    <row r="1265" spans="1:17" x14ac:dyDescent="0.15">
      <c r="A1265" s="35" t="s">
        <v>33</v>
      </c>
      <c r="B1265" s="15"/>
      <c r="C1265" s="16">
        <v>1</v>
      </c>
      <c r="D1265" s="36">
        <f t="shared" si="798"/>
        <v>1</v>
      </c>
      <c r="E1265" s="18"/>
      <c r="F1265" s="16">
        <v>1</v>
      </c>
      <c r="G1265" s="36">
        <f t="shared" si="799"/>
        <v>1</v>
      </c>
      <c r="H1265" s="17">
        <f t="shared" si="800"/>
        <v>2</v>
      </c>
      <c r="I1265" s="84">
        <v>45180</v>
      </c>
      <c r="J1265" s="35"/>
      <c r="K1265" s="19"/>
      <c r="L1265" s="20"/>
      <c r="M1265" s="17">
        <f t="shared" ref="M1265:M1268" si="801">SUM(K1265:L1265)</f>
        <v>0</v>
      </c>
      <c r="N1265" s="21"/>
      <c r="O1265" s="20"/>
      <c r="P1265" s="17">
        <f t="shared" ref="P1265:P1268" si="802">SUM(N1265:O1265)</f>
        <v>0</v>
      </c>
      <c r="Q1265" s="17">
        <f t="shared" ref="Q1265:Q1268" si="803">M1265+P1265</f>
        <v>0</v>
      </c>
    </row>
    <row r="1266" spans="1:17" x14ac:dyDescent="0.15">
      <c r="A1266" s="35" t="s">
        <v>575</v>
      </c>
      <c r="B1266" s="15"/>
      <c r="C1266" s="16">
        <v>3</v>
      </c>
      <c r="D1266" s="36">
        <f t="shared" si="798"/>
        <v>3</v>
      </c>
      <c r="E1266" s="18"/>
      <c r="F1266" s="16">
        <v>3</v>
      </c>
      <c r="G1266" s="36">
        <f t="shared" si="799"/>
        <v>3</v>
      </c>
      <c r="H1266" s="17">
        <f t="shared" si="800"/>
        <v>6</v>
      </c>
      <c r="I1266" s="81">
        <v>45182</v>
      </c>
      <c r="J1266" s="35"/>
      <c r="K1266" s="19"/>
      <c r="L1266" s="20"/>
      <c r="M1266" s="17">
        <f t="shared" si="801"/>
        <v>0</v>
      </c>
      <c r="N1266" s="21"/>
      <c r="O1266" s="20"/>
      <c r="P1266" s="17">
        <f t="shared" si="802"/>
        <v>0</v>
      </c>
      <c r="Q1266" s="17">
        <f t="shared" si="803"/>
        <v>0</v>
      </c>
    </row>
    <row r="1267" spans="1:17" x14ac:dyDescent="0.15">
      <c r="A1267" s="35" t="s">
        <v>576</v>
      </c>
      <c r="B1267" s="15"/>
      <c r="C1267" s="16">
        <v>2</v>
      </c>
      <c r="D1267" s="36">
        <f t="shared" si="798"/>
        <v>2</v>
      </c>
      <c r="E1267" s="18"/>
      <c r="F1267" s="16">
        <v>2</v>
      </c>
      <c r="G1267" s="36">
        <f t="shared" si="799"/>
        <v>2</v>
      </c>
      <c r="H1267" s="17">
        <f t="shared" si="800"/>
        <v>4</v>
      </c>
      <c r="I1267" s="81">
        <v>45183</v>
      </c>
      <c r="J1267" s="35"/>
      <c r="K1267" s="19"/>
      <c r="L1267" s="20"/>
      <c r="M1267" s="17">
        <f t="shared" si="801"/>
        <v>0</v>
      </c>
      <c r="N1267" s="21"/>
      <c r="O1267" s="20"/>
      <c r="P1267" s="17">
        <f t="shared" si="802"/>
        <v>0</v>
      </c>
      <c r="Q1267" s="17">
        <f t="shared" si="803"/>
        <v>0</v>
      </c>
    </row>
    <row r="1268" spans="1:17" x14ac:dyDescent="0.15">
      <c r="A1268" s="35" t="s">
        <v>33</v>
      </c>
      <c r="B1268" s="15"/>
      <c r="C1268" s="16"/>
      <c r="D1268" s="36">
        <f t="shared" si="798"/>
        <v>0</v>
      </c>
      <c r="E1268" s="18">
        <v>2</v>
      </c>
      <c r="F1268" s="16"/>
      <c r="G1268" s="36">
        <f t="shared" si="799"/>
        <v>2</v>
      </c>
      <c r="H1268" s="17">
        <f t="shared" si="800"/>
        <v>2</v>
      </c>
      <c r="I1268" s="84">
        <v>45183</v>
      </c>
      <c r="J1268" s="35"/>
      <c r="K1268" s="19"/>
      <c r="L1268" s="20"/>
      <c r="M1268" s="17">
        <f t="shared" si="801"/>
        <v>0</v>
      </c>
      <c r="N1268" s="21"/>
      <c r="O1268" s="20"/>
      <c r="P1268" s="17">
        <f t="shared" si="802"/>
        <v>0</v>
      </c>
      <c r="Q1268" s="17">
        <f t="shared" si="803"/>
        <v>0</v>
      </c>
    </row>
    <row r="1269" spans="1:17" x14ac:dyDescent="0.15">
      <c r="A1269" s="35" t="s">
        <v>33</v>
      </c>
      <c r="B1269" s="15"/>
      <c r="C1269" s="16"/>
      <c r="D1269" s="36">
        <f t="shared" si="798"/>
        <v>0</v>
      </c>
      <c r="E1269" s="18"/>
      <c r="F1269" s="16">
        <v>1</v>
      </c>
      <c r="G1269" s="36">
        <f t="shared" si="799"/>
        <v>1</v>
      </c>
      <c r="H1269" s="17">
        <f t="shared" si="800"/>
        <v>1</v>
      </c>
      <c r="I1269" s="84">
        <v>45184</v>
      </c>
      <c r="J1269" s="35"/>
      <c r="K1269" s="19"/>
      <c r="L1269" s="20"/>
      <c r="M1269" s="17">
        <f t="shared" si="792"/>
        <v>0</v>
      </c>
      <c r="N1269" s="21"/>
      <c r="O1269" s="20"/>
      <c r="P1269" s="17">
        <f t="shared" si="793"/>
        <v>0</v>
      </c>
      <c r="Q1269" s="17">
        <f t="shared" si="794"/>
        <v>0</v>
      </c>
    </row>
    <row r="1270" spans="1:17" x14ac:dyDescent="0.15">
      <c r="A1270" s="35" t="s">
        <v>33</v>
      </c>
      <c r="B1270" s="15"/>
      <c r="C1270" s="16"/>
      <c r="D1270" s="36">
        <f t="shared" si="798"/>
        <v>0</v>
      </c>
      <c r="E1270" s="18"/>
      <c r="F1270" s="16">
        <v>1</v>
      </c>
      <c r="G1270" s="36">
        <f t="shared" si="799"/>
        <v>1</v>
      </c>
      <c r="H1270" s="17">
        <f t="shared" si="800"/>
        <v>1</v>
      </c>
      <c r="I1270" s="84">
        <v>45188</v>
      </c>
      <c r="J1270" s="52"/>
      <c r="K1270" s="23"/>
      <c r="L1270" s="24"/>
      <c r="M1270" s="36">
        <f t="shared" si="792"/>
        <v>0</v>
      </c>
      <c r="N1270" s="25"/>
      <c r="O1270" s="24"/>
      <c r="P1270" s="36">
        <f t="shared" si="793"/>
        <v>0</v>
      </c>
      <c r="Q1270" s="17">
        <f t="shared" si="794"/>
        <v>0</v>
      </c>
    </row>
    <row r="1271" spans="1:17" x14ac:dyDescent="0.15">
      <c r="A1271" s="35" t="s">
        <v>577</v>
      </c>
      <c r="B1271" s="15">
        <v>2</v>
      </c>
      <c r="C1271" s="16"/>
      <c r="D1271" s="36">
        <f t="shared" si="798"/>
        <v>2</v>
      </c>
      <c r="E1271" s="18">
        <v>2</v>
      </c>
      <c r="F1271" s="16"/>
      <c r="G1271" s="36">
        <f t="shared" si="799"/>
        <v>2</v>
      </c>
      <c r="H1271" s="17">
        <f t="shared" si="800"/>
        <v>4</v>
      </c>
      <c r="I1271" s="81">
        <v>45190</v>
      </c>
      <c r="J1271" s="52"/>
      <c r="K1271" s="15"/>
      <c r="L1271" s="16"/>
      <c r="M1271" s="36">
        <f t="shared" si="792"/>
        <v>0</v>
      </c>
      <c r="N1271" s="18"/>
      <c r="O1271" s="16"/>
      <c r="P1271" s="36">
        <f t="shared" si="793"/>
        <v>0</v>
      </c>
      <c r="Q1271" s="17">
        <f t="shared" si="794"/>
        <v>0</v>
      </c>
    </row>
    <row r="1272" spans="1:17" x14ac:dyDescent="0.15">
      <c r="A1272" s="35" t="s">
        <v>574</v>
      </c>
      <c r="B1272" s="15"/>
      <c r="C1272" s="16"/>
      <c r="D1272" s="36">
        <f t="shared" si="798"/>
        <v>0</v>
      </c>
      <c r="E1272" s="18">
        <v>1</v>
      </c>
      <c r="F1272" s="16"/>
      <c r="G1272" s="36">
        <f t="shared" si="799"/>
        <v>1</v>
      </c>
      <c r="H1272" s="17">
        <f t="shared" si="800"/>
        <v>1</v>
      </c>
      <c r="I1272" s="81">
        <v>45190</v>
      </c>
      <c r="J1272" s="52"/>
      <c r="K1272" s="15"/>
      <c r="L1272" s="16"/>
      <c r="M1272" s="36">
        <f t="shared" si="792"/>
        <v>0</v>
      </c>
      <c r="N1272" s="18"/>
      <c r="O1272" s="16"/>
      <c r="P1272" s="36">
        <f t="shared" si="793"/>
        <v>0</v>
      </c>
      <c r="Q1272" s="17">
        <f t="shared" si="794"/>
        <v>0</v>
      </c>
    </row>
    <row r="1273" spans="1:17" x14ac:dyDescent="0.15">
      <c r="A1273" s="35" t="s">
        <v>578</v>
      </c>
      <c r="B1273" s="15">
        <v>3</v>
      </c>
      <c r="C1273" s="16"/>
      <c r="D1273" s="36">
        <f t="shared" si="798"/>
        <v>3</v>
      </c>
      <c r="E1273" s="18">
        <v>3</v>
      </c>
      <c r="F1273" s="16"/>
      <c r="G1273" s="36">
        <f t="shared" si="799"/>
        <v>3</v>
      </c>
      <c r="H1273" s="17">
        <f t="shared" si="800"/>
        <v>6</v>
      </c>
      <c r="I1273" s="81">
        <v>45194</v>
      </c>
      <c r="J1273" s="52"/>
      <c r="K1273" s="15"/>
      <c r="L1273" s="16"/>
      <c r="M1273" s="36">
        <f t="shared" si="792"/>
        <v>0</v>
      </c>
      <c r="N1273" s="18"/>
      <c r="O1273" s="16"/>
      <c r="P1273" s="36">
        <f t="shared" si="793"/>
        <v>0</v>
      </c>
      <c r="Q1273" s="17">
        <f t="shared" si="794"/>
        <v>0</v>
      </c>
    </row>
    <row r="1274" spans="1:17" x14ac:dyDescent="0.15">
      <c r="A1274" s="35" t="s">
        <v>33</v>
      </c>
      <c r="B1274" s="15"/>
      <c r="C1274" s="16"/>
      <c r="D1274" s="36">
        <f t="shared" si="798"/>
        <v>0</v>
      </c>
      <c r="E1274" s="18"/>
      <c r="F1274" s="16">
        <v>2</v>
      </c>
      <c r="G1274" s="36">
        <f t="shared" si="799"/>
        <v>2</v>
      </c>
      <c r="H1274" s="17">
        <f t="shared" si="800"/>
        <v>2</v>
      </c>
      <c r="I1274" s="84">
        <v>45194</v>
      </c>
      <c r="J1274" s="52"/>
      <c r="K1274" s="15"/>
      <c r="L1274" s="16"/>
      <c r="M1274" s="36">
        <f t="shared" si="792"/>
        <v>0</v>
      </c>
      <c r="N1274" s="18"/>
      <c r="O1274" s="16"/>
      <c r="P1274" s="36">
        <f t="shared" si="793"/>
        <v>0</v>
      </c>
      <c r="Q1274" s="17">
        <f t="shared" si="794"/>
        <v>0</v>
      </c>
    </row>
    <row r="1275" spans="1:17" x14ac:dyDescent="0.15">
      <c r="A1275" s="35" t="s">
        <v>33</v>
      </c>
      <c r="B1275" s="15"/>
      <c r="C1275" s="16">
        <v>1</v>
      </c>
      <c r="D1275" s="36">
        <f t="shared" si="798"/>
        <v>1</v>
      </c>
      <c r="E1275" s="18"/>
      <c r="F1275" s="16">
        <v>1</v>
      </c>
      <c r="G1275" s="36">
        <f t="shared" si="799"/>
        <v>1</v>
      </c>
      <c r="H1275" s="17">
        <f t="shared" si="800"/>
        <v>2</v>
      </c>
      <c r="I1275" s="84">
        <v>45195</v>
      </c>
      <c r="J1275" s="52"/>
      <c r="K1275" s="15"/>
      <c r="L1275" s="16"/>
      <c r="M1275" s="36">
        <f t="shared" si="792"/>
        <v>0</v>
      </c>
      <c r="N1275" s="18"/>
      <c r="O1275" s="16"/>
      <c r="P1275" s="36">
        <f t="shared" si="793"/>
        <v>0</v>
      </c>
      <c r="Q1275" s="17">
        <f t="shared" si="794"/>
        <v>0</v>
      </c>
    </row>
    <row r="1276" spans="1:17" x14ac:dyDescent="0.15">
      <c r="A1276" s="35" t="s">
        <v>579</v>
      </c>
      <c r="B1276" s="15"/>
      <c r="C1276" s="16">
        <v>2</v>
      </c>
      <c r="D1276" s="36">
        <f t="shared" si="798"/>
        <v>2</v>
      </c>
      <c r="E1276" s="18"/>
      <c r="F1276" s="16">
        <v>2</v>
      </c>
      <c r="G1276" s="36">
        <f t="shared" si="799"/>
        <v>2</v>
      </c>
      <c r="H1276" s="17">
        <f t="shared" si="800"/>
        <v>4</v>
      </c>
      <c r="I1276" s="81">
        <v>45197</v>
      </c>
      <c r="J1276" s="52"/>
      <c r="K1276" s="15"/>
      <c r="L1276" s="16"/>
      <c r="M1276" s="36">
        <f t="shared" si="792"/>
        <v>0</v>
      </c>
      <c r="N1276" s="18"/>
      <c r="O1276" s="16"/>
      <c r="P1276" s="36">
        <f t="shared" si="793"/>
        <v>0</v>
      </c>
      <c r="Q1276" s="17">
        <f t="shared" si="794"/>
        <v>0</v>
      </c>
    </row>
    <row r="1277" spans="1:17" x14ac:dyDescent="0.15">
      <c r="A1277" s="35" t="s">
        <v>33</v>
      </c>
      <c r="B1277" s="15">
        <v>1</v>
      </c>
      <c r="C1277" s="16"/>
      <c r="D1277" s="36">
        <f t="shared" si="798"/>
        <v>1</v>
      </c>
      <c r="E1277" s="18">
        <v>1</v>
      </c>
      <c r="F1277" s="16"/>
      <c r="G1277" s="36">
        <f t="shared" si="799"/>
        <v>1</v>
      </c>
      <c r="H1277" s="17">
        <f t="shared" si="800"/>
        <v>2</v>
      </c>
      <c r="I1277" s="84">
        <v>45196</v>
      </c>
      <c r="J1277" s="52"/>
      <c r="K1277" s="15"/>
      <c r="L1277" s="16"/>
      <c r="M1277" s="36">
        <f t="shared" si="792"/>
        <v>0</v>
      </c>
      <c r="N1277" s="18"/>
      <c r="O1277" s="16"/>
      <c r="P1277" s="36">
        <f t="shared" si="793"/>
        <v>0</v>
      </c>
      <c r="Q1277" s="17">
        <f t="shared" si="794"/>
        <v>0</v>
      </c>
    </row>
    <row r="1278" spans="1:17" x14ac:dyDescent="0.15">
      <c r="A1278" s="35" t="s">
        <v>580</v>
      </c>
      <c r="B1278" s="15"/>
      <c r="C1278" s="16">
        <v>1</v>
      </c>
      <c r="D1278" s="36">
        <f t="shared" si="798"/>
        <v>1</v>
      </c>
      <c r="E1278" s="18"/>
      <c r="F1278" s="16">
        <v>1</v>
      </c>
      <c r="G1278" s="36">
        <f t="shared" si="799"/>
        <v>1</v>
      </c>
      <c r="H1278" s="17">
        <f t="shared" si="800"/>
        <v>2</v>
      </c>
      <c r="I1278" s="81">
        <v>45202</v>
      </c>
      <c r="J1278" s="52"/>
      <c r="K1278" s="15"/>
      <c r="L1278" s="16"/>
      <c r="M1278" s="36">
        <f t="shared" si="792"/>
        <v>0</v>
      </c>
      <c r="N1278" s="18"/>
      <c r="O1278" s="16"/>
      <c r="P1278" s="36">
        <f t="shared" si="793"/>
        <v>0</v>
      </c>
      <c r="Q1278" s="17">
        <f t="shared" si="794"/>
        <v>0</v>
      </c>
    </row>
    <row r="1279" spans="1:17" x14ac:dyDescent="0.15">
      <c r="A1279" s="35" t="s">
        <v>33</v>
      </c>
      <c r="B1279" s="15"/>
      <c r="C1279" s="16"/>
      <c r="D1279" s="36">
        <f t="shared" si="798"/>
        <v>0</v>
      </c>
      <c r="E1279" s="18">
        <v>2</v>
      </c>
      <c r="F1279" s="16">
        <v>2</v>
      </c>
      <c r="G1279" s="36">
        <f t="shared" si="799"/>
        <v>4</v>
      </c>
      <c r="H1279" s="17">
        <f t="shared" si="800"/>
        <v>4</v>
      </c>
      <c r="I1279" s="81">
        <v>45201</v>
      </c>
      <c r="J1279" s="52"/>
      <c r="K1279" s="15"/>
      <c r="L1279" s="16"/>
      <c r="M1279" s="36">
        <f t="shared" si="792"/>
        <v>0</v>
      </c>
      <c r="N1279" s="18"/>
      <c r="O1279" s="16"/>
      <c r="P1279" s="36">
        <f t="shared" si="793"/>
        <v>0</v>
      </c>
      <c r="Q1279" s="17">
        <f t="shared" si="794"/>
        <v>0</v>
      </c>
    </row>
    <row r="1280" spans="1:17" x14ac:dyDescent="0.15">
      <c r="A1280" s="35" t="s">
        <v>581</v>
      </c>
      <c r="B1280" s="15"/>
      <c r="C1280" s="16">
        <v>1</v>
      </c>
      <c r="D1280" s="36">
        <f t="shared" si="798"/>
        <v>1</v>
      </c>
      <c r="E1280" s="18"/>
      <c r="F1280" s="16">
        <v>1</v>
      </c>
      <c r="G1280" s="36">
        <f t="shared" si="799"/>
        <v>1</v>
      </c>
      <c r="H1280" s="17">
        <f t="shared" si="800"/>
        <v>2</v>
      </c>
      <c r="I1280" s="81">
        <v>45204</v>
      </c>
      <c r="J1280" s="52"/>
      <c r="K1280" s="15"/>
      <c r="L1280" s="16"/>
      <c r="M1280" s="36">
        <f t="shared" si="792"/>
        <v>0</v>
      </c>
      <c r="N1280" s="18"/>
      <c r="O1280" s="16"/>
      <c r="P1280" s="36">
        <f t="shared" si="793"/>
        <v>0</v>
      </c>
      <c r="Q1280" s="17">
        <f t="shared" si="794"/>
        <v>0</v>
      </c>
    </row>
    <row r="1281" spans="1:18" x14ac:dyDescent="0.15">
      <c r="A1281" s="35" t="s">
        <v>33</v>
      </c>
      <c r="B1281" s="15"/>
      <c r="C1281" s="16"/>
      <c r="D1281" s="36">
        <f t="shared" si="798"/>
        <v>0</v>
      </c>
      <c r="E1281" s="18">
        <v>2</v>
      </c>
      <c r="F1281" s="16"/>
      <c r="G1281" s="36">
        <f t="shared" si="799"/>
        <v>2</v>
      </c>
      <c r="H1281" s="17">
        <f t="shared" si="800"/>
        <v>2</v>
      </c>
      <c r="I1281" s="84">
        <v>45204</v>
      </c>
      <c r="J1281" s="52"/>
      <c r="K1281" s="15"/>
      <c r="L1281" s="16"/>
      <c r="M1281" s="36">
        <f t="shared" si="792"/>
        <v>0</v>
      </c>
      <c r="N1281" s="18"/>
      <c r="O1281" s="16"/>
      <c r="P1281" s="36">
        <f t="shared" si="793"/>
        <v>0</v>
      </c>
      <c r="Q1281" s="17">
        <f t="shared" si="794"/>
        <v>0</v>
      </c>
    </row>
    <row r="1282" spans="1:18" x14ac:dyDescent="0.15">
      <c r="A1282" s="35" t="s">
        <v>582</v>
      </c>
      <c r="B1282" s="15"/>
      <c r="C1282" s="16">
        <v>2</v>
      </c>
      <c r="D1282" s="36">
        <f t="shared" si="798"/>
        <v>2</v>
      </c>
      <c r="E1282" s="18"/>
      <c r="F1282" s="16">
        <v>2</v>
      </c>
      <c r="G1282" s="36">
        <f t="shared" si="799"/>
        <v>2</v>
      </c>
      <c r="H1282" s="17">
        <f t="shared" si="800"/>
        <v>4</v>
      </c>
      <c r="I1282" s="81">
        <v>45210</v>
      </c>
      <c r="J1282" s="52"/>
      <c r="K1282" s="15"/>
      <c r="L1282" s="16"/>
      <c r="M1282" s="36">
        <f t="shared" si="792"/>
        <v>0</v>
      </c>
      <c r="N1282" s="18"/>
      <c r="O1282" s="16"/>
      <c r="P1282" s="36">
        <f t="shared" si="793"/>
        <v>0</v>
      </c>
      <c r="Q1282" s="17">
        <f t="shared" si="794"/>
        <v>0</v>
      </c>
    </row>
    <row r="1283" spans="1:18" x14ac:dyDescent="0.15">
      <c r="A1283" s="35" t="s">
        <v>33</v>
      </c>
      <c r="B1283" s="15">
        <v>1</v>
      </c>
      <c r="C1283" s="16"/>
      <c r="D1283" s="36">
        <f t="shared" si="798"/>
        <v>1</v>
      </c>
      <c r="E1283" s="18">
        <v>1</v>
      </c>
      <c r="F1283" s="16"/>
      <c r="G1283" s="36">
        <f t="shared" si="799"/>
        <v>1</v>
      </c>
      <c r="H1283" s="17">
        <f t="shared" si="800"/>
        <v>2</v>
      </c>
      <c r="I1283" s="84">
        <v>45210</v>
      </c>
      <c r="J1283" s="52"/>
      <c r="K1283" s="15"/>
      <c r="L1283" s="16"/>
      <c r="M1283" s="36">
        <f t="shared" si="792"/>
        <v>0</v>
      </c>
      <c r="N1283" s="18"/>
      <c r="O1283" s="16"/>
      <c r="P1283" s="36">
        <f t="shared" si="793"/>
        <v>0</v>
      </c>
      <c r="Q1283" s="17">
        <f t="shared" si="794"/>
        <v>0</v>
      </c>
    </row>
    <row r="1284" spans="1:18" x14ac:dyDescent="0.15">
      <c r="A1284" s="35" t="s">
        <v>574</v>
      </c>
      <c r="B1284" s="15"/>
      <c r="C1284" s="16"/>
      <c r="D1284" s="36">
        <f t="shared" si="798"/>
        <v>0</v>
      </c>
      <c r="E1284" s="18">
        <v>1</v>
      </c>
      <c r="F1284" s="16"/>
      <c r="G1284" s="36">
        <f t="shared" si="799"/>
        <v>1</v>
      </c>
      <c r="H1284" s="17">
        <f t="shared" si="800"/>
        <v>1</v>
      </c>
      <c r="I1284" s="81">
        <v>45211</v>
      </c>
      <c r="J1284" s="52"/>
      <c r="K1284" s="15"/>
      <c r="L1284" s="16"/>
      <c r="M1284" s="36">
        <f t="shared" si="792"/>
        <v>0</v>
      </c>
      <c r="N1284" s="18"/>
      <c r="O1284" s="16"/>
      <c r="P1284" s="36">
        <f t="shared" si="793"/>
        <v>0</v>
      </c>
      <c r="Q1284" s="17">
        <f t="shared" si="794"/>
        <v>0</v>
      </c>
    </row>
    <row r="1285" spans="1:18" x14ac:dyDescent="0.15">
      <c r="A1285" s="35" t="s">
        <v>583</v>
      </c>
      <c r="B1285" s="15">
        <v>1</v>
      </c>
      <c r="C1285" s="16"/>
      <c r="D1285" s="36">
        <f t="shared" si="789"/>
        <v>1</v>
      </c>
      <c r="E1285" s="18">
        <v>1</v>
      </c>
      <c r="F1285" s="16"/>
      <c r="G1285" s="36">
        <f t="shared" si="790"/>
        <v>1</v>
      </c>
      <c r="H1285" s="17">
        <f t="shared" si="791"/>
        <v>2</v>
      </c>
      <c r="I1285" s="81">
        <v>45212</v>
      </c>
      <c r="J1285" s="52"/>
      <c r="K1285" s="15"/>
      <c r="L1285" s="16"/>
      <c r="M1285" s="36">
        <f t="shared" ref="M1285:M1286" si="804">SUM(K1285:L1285)</f>
        <v>0</v>
      </c>
      <c r="N1285" s="18"/>
      <c r="O1285" s="16"/>
      <c r="P1285" s="36">
        <f t="shared" ref="P1285:P1286" si="805">SUM(N1285:O1285)</f>
        <v>0</v>
      </c>
      <c r="Q1285" s="17">
        <f t="shared" ref="Q1285:Q1286" si="806">M1285+P1285</f>
        <v>0</v>
      </c>
    </row>
    <row r="1286" spans="1:18" ht="14.25" thickBot="1" x14ac:dyDescent="0.2">
      <c r="A1286" s="35" t="s">
        <v>584</v>
      </c>
      <c r="B1286" s="15">
        <v>1</v>
      </c>
      <c r="C1286" s="16"/>
      <c r="D1286" s="36">
        <f t="shared" si="789"/>
        <v>1</v>
      </c>
      <c r="E1286" s="18">
        <v>1</v>
      </c>
      <c r="F1286" s="16"/>
      <c r="G1286" s="36">
        <f t="shared" si="790"/>
        <v>1</v>
      </c>
      <c r="H1286" s="17">
        <f t="shared" si="791"/>
        <v>2</v>
      </c>
      <c r="I1286" s="81">
        <v>45215</v>
      </c>
      <c r="J1286" s="52"/>
      <c r="K1286" s="15"/>
      <c r="L1286" s="16"/>
      <c r="M1286" s="36">
        <f t="shared" si="804"/>
        <v>0</v>
      </c>
      <c r="N1286" s="18"/>
      <c r="O1286" s="16"/>
      <c r="P1286" s="36">
        <f t="shared" si="805"/>
        <v>0</v>
      </c>
      <c r="Q1286" s="17">
        <f t="shared" si="806"/>
        <v>0</v>
      </c>
    </row>
    <row r="1287" spans="1:18" ht="14.25" thickBot="1" x14ac:dyDescent="0.2">
      <c r="A1287" s="40" t="s">
        <v>14</v>
      </c>
      <c r="B1287" s="41">
        <f>SUM(B1261:B1286)</f>
        <v>10</v>
      </c>
      <c r="C1287" s="42">
        <f t="shared" ref="C1287" si="807">SUM(C1261:C1286)</f>
        <v>16</v>
      </c>
      <c r="D1287" s="43">
        <f t="shared" si="789"/>
        <v>26</v>
      </c>
      <c r="E1287" s="41">
        <f>SUM(E1261:E1286)</f>
        <v>19</v>
      </c>
      <c r="F1287" s="42">
        <f t="shared" ref="F1287" si="808">SUM(F1261:F1286)</f>
        <v>20</v>
      </c>
      <c r="G1287" s="43">
        <f t="shared" si="790"/>
        <v>39</v>
      </c>
      <c r="H1287" s="43">
        <f t="shared" si="791"/>
        <v>65</v>
      </c>
      <c r="J1287" s="40" t="s">
        <v>14</v>
      </c>
      <c r="K1287" s="41">
        <f>SUM(K1261:K1286)</f>
        <v>10</v>
      </c>
      <c r="L1287" s="42">
        <f t="shared" ref="L1287" si="809">SUM(L1261:L1286)</f>
        <v>25</v>
      </c>
      <c r="M1287" s="43">
        <f t="shared" si="792"/>
        <v>35</v>
      </c>
      <c r="N1287" s="41">
        <f>SUM(N1261:N1286)</f>
        <v>20</v>
      </c>
      <c r="O1287" s="42">
        <f t="shared" ref="O1287" si="810">SUM(O1261:O1286)</f>
        <v>15</v>
      </c>
      <c r="P1287" s="43">
        <f t="shared" si="793"/>
        <v>35</v>
      </c>
      <c r="Q1287" s="43">
        <f t="shared" si="794"/>
        <v>70</v>
      </c>
    </row>
    <row r="1288" spans="1:18" ht="14.25" thickBot="1" x14ac:dyDescent="0.2">
      <c r="A1288" s="44" t="s">
        <v>15</v>
      </c>
      <c r="B1288" s="45">
        <f>B1260-B1287</f>
        <v>18</v>
      </c>
      <c r="C1288" s="46">
        <f t="shared" ref="C1288" si="811">C1260-C1287</f>
        <v>22</v>
      </c>
      <c r="D1288" s="47">
        <f t="shared" si="789"/>
        <v>40</v>
      </c>
      <c r="E1288" s="45">
        <f>E1260-E1287</f>
        <v>21</v>
      </c>
      <c r="F1288" s="46">
        <f t="shared" ref="F1288" si="812">F1260-F1287</f>
        <v>18</v>
      </c>
      <c r="G1288" s="47">
        <f t="shared" si="790"/>
        <v>39</v>
      </c>
      <c r="H1288" s="34">
        <f t="shared" si="791"/>
        <v>79</v>
      </c>
      <c r="J1288" s="44" t="s">
        <v>15</v>
      </c>
      <c r="K1288" s="45">
        <f>K1260-K1287</f>
        <v>1125</v>
      </c>
      <c r="L1288" s="46">
        <f t="shared" ref="L1288" si="813">L1260-L1287</f>
        <v>587</v>
      </c>
      <c r="M1288" s="47">
        <f t="shared" si="792"/>
        <v>1712</v>
      </c>
      <c r="N1288" s="45">
        <f>N1260-N1287</f>
        <v>1144</v>
      </c>
      <c r="O1288" s="46">
        <f t="shared" ref="O1288" si="814">O1260-O1287</f>
        <v>170</v>
      </c>
      <c r="P1288" s="47">
        <f t="shared" si="793"/>
        <v>1314</v>
      </c>
      <c r="Q1288" s="34">
        <f t="shared" si="794"/>
        <v>3026</v>
      </c>
    </row>
    <row r="1291" spans="1:18" ht="19.5" thickBot="1" x14ac:dyDescent="0.25">
      <c r="A1291" s="1" t="s">
        <v>23</v>
      </c>
      <c r="J1291" s="1" t="s">
        <v>24</v>
      </c>
      <c r="K1291" s="2"/>
      <c r="L1291" s="2"/>
      <c r="M1291" s="2"/>
      <c r="N1291" s="2"/>
      <c r="O1291" s="1" t="s">
        <v>34</v>
      </c>
      <c r="P1291" s="2"/>
      <c r="Q1291" s="2"/>
    </row>
    <row r="1292" spans="1:18" ht="14.25" thickBot="1" x14ac:dyDescent="0.2">
      <c r="A1292" s="3" t="s">
        <v>0</v>
      </c>
      <c r="B1292" s="125" t="s">
        <v>18</v>
      </c>
      <c r="C1292" s="126"/>
      <c r="D1292" s="127"/>
      <c r="E1292" s="125" t="s">
        <v>19</v>
      </c>
      <c r="F1292" s="126"/>
      <c r="G1292" s="128"/>
      <c r="H1292" s="129" t="s">
        <v>1</v>
      </c>
      <c r="J1292" s="3" t="s">
        <v>0</v>
      </c>
      <c r="K1292" s="125" t="s">
        <v>18</v>
      </c>
      <c r="L1292" s="126"/>
      <c r="M1292" s="127"/>
      <c r="N1292" s="125" t="s">
        <v>19</v>
      </c>
      <c r="O1292" s="126"/>
      <c r="P1292" s="128"/>
      <c r="Q1292" s="129" t="s">
        <v>1</v>
      </c>
    </row>
    <row r="1293" spans="1:18" ht="14.25" thickBot="1" x14ac:dyDescent="0.2">
      <c r="A1293" s="3" t="s">
        <v>2</v>
      </c>
      <c r="B1293" s="4" t="s">
        <v>16</v>
      </c>
      <c r="C1293" s="5" t="s">
        <v>17</v>
      </c>
      <c r="D1293" s="3" t="s">
        <v>3</v>
      </c>
      <c r="E1293" s="4" t="s">
        <v>16</v>
      </c>
      <c r="F1293" s="5" t="s">
        <v>17</v>
      </c>
      <c r="G1293" s="3" t="s">
        <v>3</v>
      </c>
      <c r="H1293" s="130"/>
      <c r="J1293" s="3" t="s">
        <v>2</v>
      </c>
      <c r="K1293" s="4" t="s">
        <v>16</v>
      </c>
      <c r="L1293" s="5" t="s">
        <v>17</v>
      </c>
      <c r="M1293" s="3" t="s">
        <v>3</v>
      </c>
      <c r="N1293" s="4" t="s">
        <v>16</v>
      </c>
      <c r="O1293" s="5" t="s">
        <v>17</v>
      </c>
      <c r="P1293" s="3" t="s">
        <v>3</v>
      </c>
      <c r="Q1293" s="130"/>
    </row>
    <row r="1294" spans="1:18" ht="14.25" thickBot="1" x14ac:dyDescent="0.2">
      <c r="A1294" s="6" t="s">
        <v>55</v>
      </c>
      <c r="B1294" s="32">
        <f>B1288</f>
        <v>18</v>
      </c>
      <c r="C1294" s="33">
        <f>C1288</f>
        <v>22</v>
      </c>
      <c r="D1294" s="34">
        <f t="shared" ref="D1294:D1331" si="815">SUM(B1294:C1294)</f>
        <v>40</v>
      </c>
      <c r="E1294" s="32">
        <f>E1288</f>
        <v>21</v>
      </c>
      <c r="F1294" s="33">
        <f>F1288</f>
        <v>18</v>
      </c>
      <c r="G1294" s="34">
        <f t="shared" ref="G1294:G1331" si="816">SUM(E1294:F1294)</f>
        <v>39</v>
      </c>
      <c r="H1294" s="34">
        <f t="shared" ref="H1294:H1331" si="817">D1294+G1294</f>
        <v>79</v>
      </c>
      <c r="J1294" s="6" t="s">
        <v>55</v>
      </c>
      <c r="K1294" s="7">
        <f>K1288</f>
        <v>1125</v>
      </c>
      <c r="L1294" s="8">
        <f>L1288</f>
        <v>587</v>
      </c>
      <c r="M1294" s="9">
        <f t="shared" ref="M1294:M1331" si="818">SUM(K1294:L1294)</f>
        <v>1712</v>
      </c>
      <c r="N1294" s="7">
        <f>N1288</f>
        <v>1144</v>
      </c>
      <c r="O1294" s="8">
        <f>O1288</f>
        <v>170</v>
      </c>
      <c r="P1294" s="9">
        <f t="shared" ref="P1294:P1331" si="819">SUM(N1294:O1294)</f>
        <v>1314</v>
      </c>
      <c r="Q1294" s="9">
        <f t="shared" ref="Q1294:Q1331" si="820">M1294+P1294</f>
        <v>3026</v>
      </c>
    </row>
    <row r="1295" spans="1:18" x14ac:dyDescent="0.15">
      <c r="A1295" s="10" t="s">
        <v>5</v>
      </c>
      <c r="B1295" s="23">
        <v>10</v>
      </c>
      <c r="C1295" s="24"/>
      <c r="D1295" s="17">
        <f t="shared" ref="D1295:D1299" si="821">SUM(B1295:C1295)</f>
        <v>10</v>
      </c>
      <c r="E1295" s="25">
        <v>10</v>
      </c>
      <c r="F1295" s="24">
        <v>10</v>
      </c>
      <c r="G1295" s="17">
        <f t="shared" ref="G1295:G1299" si="822">SUM(E1295:F1295)</f>
        <v>20</v>
      </c>
      <c r="H1295" s="17">
        <f t="shared" ref="H1295:H1299" si="823">D1295+G1295</f>
        <v>30</v>
      </c>
      <c r="I1295" s="81">
        <v>45224</v>
      </c>
      <c r="J1295" s="10" t="s">
        <v>110</v>
      </c>
      <c r="K1295" s="15"/>
      <c r="L1295" s="16"/>
      <c r="M1295" s="17">
        <f t="shared" ref="M1295:M1299" si="824">SUM(K1295:L1295)</f>
        <v>0</v>
      </c>
      <c r="N1295" s="18"/>
      <c r="O1295" s="16">
        <v>7</v>
      </c>
      <c r="P1295" s="17">
        <f t="shared" ref="P1295:P1299" si="825">SUM(N1295:O1295)</f>
        <v>7</v>
      </c>
      <c r="Q1295" s="17">
        <f t="shared" ref="Q1295:Q1299" si="826">M1295+P1295</f>
        <v>7</v>
      </c>
      <c r="R1295" s="84">
        <v>45234</v>
      </c>
    </row>
    <row r="1296" spans="1:18" x14ac:dyDescent="0.15">
      <c r="A1296" s="10" t="s">
        <v>61</v>
      </c>
      <c r="B1296" s="23"/>
      <c r="C1296" s="24">
        <v>1</v>
      </c>
      <c r="D1296" s="17">
        <f t="shared" si="821"/>
        <v>1</v>
      </c>
      <c r="E1296" s="25"/>
      <c r="F1296" s="24">
        <v>1</v>
      </c>
      <c r="G1296" s="17">
        <f t="shared" si="822"/>
        <v>1</v>
      </c>
      <c r="H1296" s="17">
        <f t="shared" si="823"/>
        <v>2</v>
      </c>
      <c r="I1296" s="81">
        <v>45229</v>
      </c>
      <c r="J1296" s="10" t="s">
        <v>6</v>
      </c>
      <c r="K1296" s="15"/>
      <c r="L1296" s="16"/>
      <c r="M1296" s="17">
        <f t="shared" si="824"/>
        <v>0</v>
      </c>
      <c r="N1296" s="18"/>
      <c r="O1296" s="16"/>
      <c r="P1296" s="17">
        <f t="shared" si="825"/>
        <v>0</v>
      </c>
      <c r="Q1296" s="17">
        <f t="shared" si="826"/>
        <v>0</v>
      </c>
    </row>
    <row r="1297" spans="1:18" x14ac:dyDescent="0.15">
      <c r="A1297" s="10" t="s">
        <v>7</v>
      </c>
      <c r="B1297" s="23">
        <v>10</v>
      </c>
      <c r="C1297" s="24">
        <v>5</v>
      </c>
      <c r="D1297" s="17">
        <f t="shared" si="821"/>
        <v>15</v>
      </c>
      <c r="E1297" s="25">
        <v>10</v>
      </c>
      <c r="F1297" s="24">
        <v>10</v>
      </c>
      <c r="G1297" s="17">
        <f t="shared" si="822"/>
        <v>20</v>
      </c>
      <c r="H1297" s="17">
        <f t="shared" si="823"/>
        <v>35</v>
      </c>
      <c r="I1297" s="81">
        <v>45234</v>
      </c>
      <c r="J1297" s="10" t="s">
        <v>7</v>
      </c>
      <c r="K1297" s="15"/>
      <c r="L1297" s="16"/>
      <c r="M1297" s="17">
        <f t="shared" si="824"/>
        <v>0</v>
      </c>
      <c r="N1297" s="18"/>
      <c r="O1297" s="16"/>
      <c r="P1297" s="17">
        <f t="shared" si="825"/>
        <v>0</v>
      </c>
      <c r="Q1297" s="17">
        <f t="shared" si="826"/>
        <v>0</v>
      </c>
    </row>
    <row r="1298" spans="1:18" x14ac:dyDescent="0.15">
      <c r="A1298" s="10" t="s">
        <v>61</v>
      </c>
      <c r="B1298" s="23">
        <v>1</v>
      </c>
      <c r="C1298" s="24"/>
      <c r="D1298" s="17">
        <f t="shared" si="821"/>
        <v>1</v>
      </c>
      <c r="E1298" s="25">
        <v>1</v>
      </c>
      <c r="F1298" s="24"/>
      <c r="G1298" s="17">
        <f t="shared" si="822"/>
        <v>1</v>
      </c>
      <c r="H1298" s="17">
        <f t="shared" si="823"/>
        <v>2</v>
      </c>
      <c r="I1298" s="81">
        <v>45240</v>
      </c>
      <c r="J1298" s="10" t="s">
        <v>8</v>
      </c>
      <c r="K1298" s="15"/>
      <c r="L1298" s="16"/>
      <c r="M1298" s="17">
        <f t="shared" si="824"/>
        <v>0</v>
      </c>
      <c r="N1298" s="18"/>
      <c r="O1298" s="16"/>
      <c r="P1298" s="17">
        <f t="shared" si="825"/>
        <v>0</v>
      </c>
      <c r="Q1298" s="17">
        <f t="shared" si="826"/>
        <v>0</v>
      </c>
    </row>
    <row r="1299" spans="1:18" x14ac:dyDescent="0.15">
      <c r="A1299" s="10" t="s">
        <v>9</v>
      </c>
      <c r="B1299" s="23"/>
      <c r="C1299" s="24"/>
      <c r="D1299" s="17">
        <f t="shared" si="821"/>
        <v>0</v>
      </c>
      <c r="E1299" s="25"/>
      <c r="F1299" s="24"/>
      <c r="G1299" s="17">
        <f t="shared" si="822"/>
        <v>0</v>
      </c>
      <c r="H1299" s="17">
        <f t="shared" si="823"/>
        <v>0</v>
      </c>
      <c r="I1299" s="81"/>
      <c r="J1299" s="10" t="s">
        <v>9</v>
      </c>
      <c r="K1299" s="15"/>
      <c r="L1299" s="16"/>
      <c r="M1299" s="17">
        <f t="shared" si="824"/>
        <v>0</v>
      </c>
      <c r="N1299" s="18"/>
      <c r="O1299" s="16"/>
      <c r="P1299" s="17">
        <f t="shared" si="825"/>
        <v>0</v>
      </c>
      <c r="Q1299" s="17">
        <f t="shared" si="826"/>
        <v>0</v>
      </c>
    </row>
    <row r="1300" spans="1:18" x14ac:dyDescent="0.15">
      <c r="A1300" s="10" t="s">
        <v>10</v>
      </c>
      <c r="B1300" s="23"/>
      <c r="C1300" s="24"/>
      <c r="D1300" s="17">
        <f t="shared" si="815"/>
        <v>0</v>
      </c>
      <c r="E1300" s="25"/>
      <c r="F1300" s="24"/>
      <c r="G1300" s="17">
        <f t="shared" si="816"/>
        <v>0</v>
      </c>
      <c r="H1300" s="17">
        <f t="shared" si="817"/>
        <v>0</v>
      </c>
      <c r="I1300" s="81"/>
      <c r="J1300" s="10" t="s">
        <v>10</v>
      </c>
      <c r="K1300" s="15"/>
      <c r="L1300" s="16"/>
      <c r="M1300" s="17">
        <f t="shared" si="818"/>
        <v>0</v>
      </c>
      <c r="N1300" s="18"/>
      <c r="O1300" s="16"/>
      <c r="P1300" s="17">
        <f t="shared" si="819"/>
        <v>0</v>
      </c>
      <c r="Q1300" s="17">
        <f t="shared" si="820"/>
        <v>0</v>
      </c>
    </row>
    <row r="1301" spans="1:18" x14ac:dyDescent="0.15">
      <c r="A1301" s="10" t="s">
        <v>11</v>
      </c>
      <c r="B1301" s="23"/>
      <c r="C1301" s="24"/>
      <c r="D1301" s="17">
        <f t="shared" si="815"/>
        <v>0</v>
      </c>
      <c r="E1301" s="25"/>
      <c r="F1301" s="24"/>
      <c r="G1301" s="17">
        <f t="shared" si="816"/>
        <v>0</v>
      </c>
      <c r="H1301" s="17">
        <f t="shared" si="817"/>
        <v>0</v>
      </c>
      <c r="I1301" s="84"/>
      <c r="J1301" s="10" t="s">
        <v>11</v>
      </c>
      <c r="K1301" s="23"/>
      <c r="L1301" s="24"/>
      <c r="M1301" s="17">
        <f t="shared" si="818"/>
        <v>0</v>
      </c>
      <c r="N1301" s="25"/>
      <c r="O1301" s="24"/>
      <c r="P1301" s="17">
        <f t="shared" si="819"/>
        <v>0</v>
      </c>
      <c r="Q1301" s="17">
        <f t="shared" si="820"/>
        <v>0</v>
      </c>
    </row>
    <row r="1302" spans="1:18" ht="14.25" thickBot="1" x14ac:dyDescent="0.2">
      <c r="A1302" s="10" t="s">
        <v>12</v>
      </c>
      <c r="B1302" s="26"/>
      <c r="C1302" s="27"/>
      <c r="D1302" s="28">
        <f t="shared" si="815"/>
        <v>0</v>
      </c>
      <c r="E1302" s="29"/>
      <c r="F1302" s="29"/>
      <c r="G1302" s="28">
        <f t="shared" si="816"/>
        <v>0</v>
      </c>
      <c r="H1302" s="30">
        <f t="shared" si="817"/>
        <v>0</v>
      </c>
      <c r="J1302" s="10" t="s">
        <v>12</v>
      </c>
      <c r="K1302" s="26"/>
      <c r="L1302" s="27"/>
      <c r="M1302" s="28">
        <f t="shared" si="818"/>
        <v>0</v>
      </c>
      <c r="N1302" s="29"/>
      <c r="O1302" s="29"/>
      <c r="P1302" s="28">
        <f t="shared" si="819"/>
        <v>0</v>
      </c>
      <c r="Q1302" s="30">
        <f t="shared" si="820"/>
        <v>0</v>
      </c>
    </row>
    <row r="1303" spans="1:18" ht="14.25" thickBot="1" x14ac:dyDescent="0.2">
      <c r="A1303" s="31" t="s">
        <v>13</v>
      </c>
      <c r="B1303" s="32">
        <f>SUM(B1294:B1302)</f>
        <v>39</v>
      </c>
      <c r="C1303" s="33">
        <f>SUM(C1294:C1302)</f>
        <v>28</v>
      </c>
      <c r="D1303" s="34">
        <f t="shared" si="815"/>
        <v>67</v>
      </c>
      <c r="E1303" s="32">
        <f>SUM(E1294:E1302)</f>
        <v>42</v>
      </c>
      <c r="F1303" s="33">
        <f>SUM(F1294:F1302)</f>
        <v>39</v>
      </c>
      <c r="G1303" s="34">
        <f t="shared" si="816"/>
        <v>81</v>
      </c>
      <c r="H1303" s="34">
        <f t="shared" si="817"/>
        <v>148</v>
      </c>
      <c r="J1303" s="31" t="s">
        <v>13</v>
      </c>
      <c r="K1303" s="32">
        <f>SUM(K1294:K1302)</f>
        <v>1125</v>
      </c>
      <c r="L1303" s="33">
        <f>SUM(L1294:L1302)</f>
        <v>587</v>
      </c>
      <c r="M1303" s="34">
        <f t="shared" si="818"/>
        <v>1712</v>
      </c>
      <c r="N1303" s="32">
        <f>SUM(N1294:N1302)</f>
        <v>1144</v>
      </c>
      <c r="O1303" s="33">
        <f>SUM(O1294:O1302)</f>
        <v>177</v>
      </c>
      <c r="P1303" s="34">
        <f t="shared" si="819"/>
        <v>1321</v>
      </c>
      <c r="Q1303" s="34">
        <f t="shared" si="820"/>
        <v>3033</v>
      </c>
    </row>
    <row r="1304" spans="1:18" x14ac:dyDescent="0.15">
      <c r="A1304" s="35" t="s">
        <v>33</v>
      </c>
      <c r="B1304" s="15">
        <v>4</v>
      </c>
      <c r="C1304" s="16"/>
      <c r="D1304" s="36">
        <f t="shared" ref="D1304:D1326" si="827">SUM(B1304:C1304)</f>
        <v>4</v>
      </c>
      <c r="E1304" s="18">
        <v>2</v>
      </c>
      <c r="F1304" s="16">
        <v>3</v>
      </c>
      <c r="G1304" s="36">
        <f t="shared" ref="G1304:G1326" si="828">SUM(E1304:F1304)</f>
        <v>5</v>
      </c>
      <c r="H1304" s="17">
        <f t="shared" ref="H1304:H1326" si="829">D1304+G1304</f>
        <v>9</v>
      </c>
      <c r="I1304" s="84">
        <v>45215</v>
      </c>
      <c r="J1304" s="52" t="s">
        <v>91</v>
      </c>
      <c r="K1304" s="15">
        <v>10</v>
      </c>
      <c r="L1304" s="16"/>
      <c r="M1304" s="36">
        <f t="shared" si="818"/>
        <v>10</v>
      </c>
      <c r="N1304" s="18">
        <v>10</v>
      </c>
      <c r="O1304" s="16">
        <v>10</v>
      </c>
      <c r="P1304" s="36">
        <f t="shared" si="819"/>
        <v>20</v>
      </c>
      <c r="Q1304" s="17">
        <f t="shared" si="820"/>
        <v>30</v>
      </c>
      <c r="R1304" s="81">
        <v>45224</v>
      </c>
    </row>
    <row r="1305" spans="1:18" x14ac:dyDescent="0.15">
      <c r="A1305" s="35" t="s">
        <v>33</v>
      </c>
      <c r="B1305" s="15"/>
      <c r="C1305" s="16">
        <v>1</v>
      </c>
      <c r="D1305" s="36">
        <f t="shared" si="827"/>
        <v>1</v>
      </c>
      <c r="E1305" s="18"/>
      <c r="F1305" s="16"/>
      <c r="G1305" s="36">
        <f t="shared" si="828"/>
        <v>0</v>
      </c>
      <c r="H1305" s="17">
        <f t="shared" si="829"/>
        <v>1</v>
      </c>
      <c r="I1305" s="84">
        <v>45216</v>
      </c>
      <c r="J1305" s="52" t="s">
        <v>91</v>
      </c>
      <c r="K1305" s="15">
        <v>10</v>
      </c>
      <c r="L1305" s="16">
        <v>5</v>
      </c>
      <c r="M1305" s="36">
        <f t="shared" si="818"/>
        <v>15</v>
      </c>
      <c r="N1305" s="18">
        <v>10</v>
      </c>
      <c r="O1305" s="16">
        <v>10</v>
      </c>
      <c r="P1305" s="36">
        <f t="shared" si="819"/>
        <v>20</v>
      </c>
      <c r="Q1305" s="17">
        <f t="shared" si="820"/>
        <v>35</v>
      </c>
      <c r="R1305" s="81">
        <v>45234</v>
      </c>
    </row>
    <row r="1306" spans="1:18" x14ac:dyDescent="0.15">
      <c r="A1306" s="35" t="s">
        <v>585</v>
      </c>
      <c r="B1306" s="15">
        <v>2</v>
      </c>
      <c r="C1306" s="16"/>
      <c r="D1306" s="36">
        <f t="shared" si="827"/>
        <v>2</v>
      </c>
      <c r="E1306" s="18">
        <v>2</v>
      </c>
      <c r="F1306" s="16"/>
      <c r="G1306" s="36">
        <f t="shared" si="828"/>
        <v>2</v>
      </c>
      <c r="H1306" s="17">
        <f t="shared" si="829"/>
        <v>4</v>
      </c>
      <c r="I1306" s="81">
        <v>45219</v>
      </c>
      <c r="J1306" s="52"/>
      <c r="K1306" s="15"/>
      <c r="L1306" s="16"/>
      <c r="M1306" s="36">
        <f t="shared" ref="M1306:M1326" si="830">SUM(K1306:L1306)</f>
        <v>0</v>
      </c>
      <c r="N1306" s="18"/>
      <c r="O1306" s="16"/>
      <c r="P1306" s="36">
        <f t="shared" ref="P1306:P1326" si="831">SUM(N1306:O1306)</f>
        <v>0</v>
      </c>
      <c r="Q1306" s="17">
        <f t="shared" ref="Q1306:Q1326" si="832">M1306+P1306</f>
        <v>0</v>
      </c>
    </row>
    <row r="1307" spans="1:18" x14ac:dyDescent="0.15">
      <c r="A1307" s="35" t="s">
        <v>33</v>
      </c>
      <c r="B1307" s="15"/>
      <c r="C1307" s="16"/>
      <c r="D1307" s="36">
        <f t="shared" si="827"/>
        <v>0</v>
      </c>
      <c r="E1307" s="18">
        <v>2</v>
      </c>
      <c r="F1307" s="16"/>
      <c r="G1307" s="36">
        <f t="shared" si="828"/>
        <v>2</v>
      </c>
      <c r="H1307" s="17">
        <f t="shared" si="829"/>
        <v>2</v>
      </c>
      <c r="I1307" s="84">
        <v>45218</v>
      </c>
      <c r="J1307" s="52"/>
      <c r="K1307" s="15"/>
      <c r="L1307" s="16"/>
      <c r="M1307" s="36">
        <f t="shared" si="830"/>
        <v>0</v>
      </c>
      <c r="N1307" s="18"/>
      <c r="O1307" s="16"/>
      <c r="P1307" s="36">
        <f t="shared" si="831"/>
        <v>0</v>
      </c>
      <c r="Q1307" s="17">
        <f t="shared" si="832"/>
        <v>0</v>
      </c>
    </row>
    <row r="1308" spans="1:18" x14ac:dyDescent="0.15">
      <c r="A1308" s="35" t="s">
        <v>33</v>
      </c>
      <c r="B1308" s="15"/>
      <c r="C1308" s="16"/>
      <c r="D1308" s="36">
        <f t="shared" si="827"/>
        <v>0</v>
      </c>
      <c r="E1308" s="18">
        <v>1</v>
      </c>
      <c r="F1308" s="16">
        <v>1</v>
      </c>
      <c r="G1308" s="36">
        <f t="shared" si="828"/>
        <v>2</v>
      </c>
      <c r="H1308" s="17">
        <f t="shared" si="829"/>
        <v>2</v>
      </c>
      <c r="I1308" s="84">
        <v>45219</v>
      </c>
      <c r="J1308" s="52"/>
      <c r="K1308" s="15"/>
      <c r="L1308" s="16"/>
      <c r="M1308" s="36">
        <f t="shared" si="830"/>
        <v>0</v>
      </c>
      <c r="N1308" s="18"/>
      <c r="O1308" s="16"/>
      <c r="P1308" s="36">
        <f t="shared" si="831"/>
        <v>0</v>
      </c>
      <c r="Q1308" s="17">
        <f t="shared" si="832"/>
        <v>0</v>
      </c>
    </row>
    <row r="1309" spans="1:18" x14ac:dyDescent="0.15">
      <c r="A1309" s="35" t="s">
        <v>33</v>
      </c>
      <c r="B1309" s="15"/>
      <c r="C1309" s="16"/>
      <c r="D1309" s="36">
        <f t="shared" si="827"/>
        <v>0</v>
      </c>
      <c r="E1309" s="18"/>
      <c r="F1309" s="16">
        <v>2</v>
      </c>
      <c r="G1309" s="36">
        <f t="shared" si="828"/>
        <v>2</v>
      </c>
      <c r="H1309" s="17">
        <f t="shared" si="829"/>
        <v>2</v>
      </c>
      <c r="I1309" s="84">
        <v>45220</v>
      </c>
      <c r="J1309" s="52"/>
      <c r="K1309" s="15"/>
      <c r="L1309" s="16"/>
      <c r="M1309" s="36">
        <f t="shared" si="830"/>
        <v>0</v>
      </c>
      <c r="N1309" s="18"/>
      <c r="O1309" s="16"/>
      <c r="P1309" s="36">
        <f t="shared" si="831"/>
        <v>0</v>
      </c>
      <c r="Q1309" s="17">
        <f t="shared" si="832"/>
        <v>0</v>
      </c>
    </row>
    <row r="1310" spans="1:18" x14ac:dyDescent="0.15">
      <c r="A1310" s="35" t="s">
        <v>587</v>
      </c>
      <c r="B1310" s="15">
        <v>1</v>
      </c>
      <c r="C1310" s="16"/>
      <c r="D1310" s="36">
        <f t="shared" si="827"/>
        <v>1</v>
      </c>
      <c r="E1310" s="18">
        <v>1</v>
      </c>
      <c r="F1310" s="16"/>
      <c r="G1310" s="36">
        <f t="shared" si="828"/>
        <v>1</v>
      </c>
      <c r="H1310" s="17">
        <f t="shared" si="829"/>
        <v>2</v>
      </c>
      <c r="I1310" s="81">
        <v>45223</v>
      </c>
      <c r="J1310" s="52"/>
      <c r="K1310" s="15"/>
      <c r="L1310" s="16"/>
      <c r="M1310" s="36">
        <f t="shared" si="830"/>
        <v>0</v>
      </c>
      <c r="N1310" s="18"/>
      <c r="O1310" s="16"/>
      <c r="P1310" s="36">
        <f t="shared" si="831"/>
        <v>0</v>
      </c>
      <c r="Q1310" s="17">
        <f t="shared" si="832"/>
        <v>0</v>
      </c>
    </row>
    <row r="1311" spans="1:18" x14ac:dyDescent="0.15">
      <c r="A1311" s="35" t="s">
        <v>33</v>
      </c>
      <c r="B1311" s="15">
        <v>1</v>
      </c>
      <c r="C1311" s="16"/>
      <c r="D1311" s="36">
        <f t="shared" si="827"/>
        <v>1</v>
      </c>
      <c r="E1311" s="18">
        <f>1+3</f>
        <v>4</v>
      </c>
      <c r="F1311" s="16"/>
      <c r="G1311" s="36">
        <f t="shared" si="828"/>
        <v>4</v>
      </c>
      <c r="H1311" s="17">
        <f t="shared" si="829"/>
        <v>5</v>
      </c>
      <c r="I1311" s="84">
        <v>45222</v>
      </c>
      <c r="J1311" s="52"/>
      <c r="K1311" s="15"/>
      <c r="L1311" s="16"/>
      <c r="M1311" s="36">
        <f t="shared" si="830"/>
        <v>0</v>
      </c>
      <c r="N1311" s="18"/>
      <c r="O1311" s="16"/>
      <c r="P1311" s="36">
        <f t="shared" si="831"/>
        <v>0</v>
      </c>
      <c r="Q1311" s="17">
        <f t="shared" si="832"/>
        <v>0</v>
      </c>
    </row>
    <row r="1312" spans="1:18" x14ac:dyDescent="0.15">
      <c r="A1312" s="35" t="s">
        <v>588</v>
      </c>
      <c r="B1312" s="15"/>
      <c r="C1312" s="16">
        <v>1</v>
      </c>
      <c r="D1312" s="36">
        <f t="shared" si="827"/>
        <v>1</v>
      </c>
      <c r="E1312" s="18"/>
      <c r="F1312" s="16">
        <v>1</v>
      </c>
      <c r="G1312" s="36">
        <f t="shared" si="828"/>
        <v>1</v>
      </c>
      <c r="H1312" s="17">
        <f t="shared" si="829"/>
        <v>2</v>
      </c>
      <c r="I1312" s="81">
        <v>45224</v>
      </c>
      <c r="J1312" s="52"/>
      <c r="K1312" s="15"/>
      <c r="L1312" s="16"/>
      <c r="M1312" s="36">
        <f t="shared" si="830"/>
        <v>0</v>
      </c>
      <c r="N1312" s="18"/>
      <c r="O1312" s="16"/>
      <c r="P1312" s="36">
        <f t="shared" si="831"/>
        <v>0</v>
      </c>
      <c r="Q1312" s="17">
        <f t="shared" si="832"/>
        <v>0</v>
      </c>
    </row>
    <row r="1313" spans="1:17" x14ac:dyDescent="0.15">
      <c r="A1313" s="35" t="s">
        <v>33</v>
      </c>
      <c r="B1313" s="15"/>
      <c r="C1313" s="16">
        <v>1</v>
      </c>
      <c r="D1313" s="36">
        <f t="shared" si="827"/>
        <v>1</v>
      </c>
      <c r="E1313" s="18"/>
      <c r="F1313" s="16">
        <v>1</v>
      </c>
      <c r="G1313" s="36">
        <f t="shared" si="828"/>
        <v>1</v>
      </c>
      <c r="H1313" s="17">
        <f t="shared" si="829"/>
        <v>2</v>
      </c>
      <c r="I1313" s="84">
        <v>45223</v>
      </c>
      <c r="J1313" s="52"/>
      <c r="K1313" s="15"/>
      <c r="L1313" s="16"/>
      <c r="M1313" s="36">
        <f t="shared" si="830"/>
        <v>0</v>
      </c>
      <c r="N1313" s="18"/>
      <c r="O1313" s="16"/>
      <c r="P1313" s="36">
        <f t="shared" si="831"/>
        <v>0</v>
      </c>
      <c r="Q1313" s="17">
        <f t="shared" si="832"/>
        <v>0</v>
      </c>
    </row>
    <row r="1314" spans="1:17" x14ac:dyDescent="0.15">
      <c r="A1314" s="35" t="s">
        <v>589</v>
      </c>
      <c r="B1314" s="15">
        <v>1</v>
      </c>
      <c r="C1314" s="16">
        <v>1</v>
      </c>
      <c r="D1314" s="36">
        <f t="shared" si="827"/>
        <v>2</v>
      </c>
      <c r="E1314" s="18">
        <v>1</v>
      </c>
      <c r="F1314" s="16">
        <v>1</v>
      </c>
      <c r="G1314" s="36">
        <f t="shared" si="828"/>
        <v>2</v>
      </c>
      <c r="H1314" s="17">
        <f t="shared" si="829"/>
        <v>4</v>
      </c>
      <c r="I1314" s="81">
        <v>45225</v>
      </c>
      <c r="J1314" s="52"/>
      <c r="K1314" s="15"/>
      <c r="L1314" s="16"/>
      <c r="M1314" s="36">
        <f t="shared" si="830"/>
        <v>0</v>
      </c>
      <c r="N1314" s="18"/>
      <c r="O1314" s="16"/>
      <c r="P1314" s="36">
        <f t="shared" si="831"/>
        <v>0</v>
      </c>
      <c r="Q1314" s="17">
        <f t="shared" si="832"/>
        <v>0</v>
      </c>
    </row>
    <row r="1315" spans="1:17" x14ac:dyDescent="0.15">
      <c r="A1315" s="35" t="s">
        <v>33</v>
      </c>
      <c r="B1315" s="15"/>
      <c r="C1315" s="16"/>
      <c r="D1315" s="36">
        <f t="shared" si="827"/>
        <v>0</v>
      </c>
      <c r="E1315" s="18"/>
      <c r="F1315" s="16">
        <v>2</v>
      </c>
      <c r="G1315" s="36">
        <f t="shared" si="828"/>
        <v>2</v>
      </c>
      <c r="H1315" s="17">
        <f t="shared" si="829"/>
        <v>2</v>
      </c>
      <c r="I1315" s="84">
        <v>45224</v>
      </c>
      <c r="J1315" s="52"/>
      <c r="K1315" s="15"/>
      <c r="L1315" s="16"/>
      <c r="M1315" s="36">
        <f t="shared" si="830"/>
        <v>0</v>
      </c>
      <c r="N1315" s="18"/>
      <c r="O1315" s="16"/>
      <c r="P1315" s="36">
        <f t="shared" si="831"/>
        <v>0</v>
      </c>
      <c r="Q1315" s="17">
        <f t="shared" si="832"/>
        <v>0</v>
      </c>
    </row>
    <row r="1316" spans="1:17" x14ac:dyDescent="0.15">
      <c r="A1316" s="35" t="s">
        <v>33</v>
      </c>
      <c r="B1316" s="15">
        <v>2</v>
      </c>
      <c r="C1316" s="16"/>
      <c r="D1316" s="36">
        <f t="shared" si="827"/>
        <v>2</v>
      </c>
      <c r="E1316" s="18">
        <v>3</v>
      </c>
      <c r="F1316" s="16"/>
      <c r="G1316" s="36">
        <f t="shared" si="828"/>
        <v>3</v>
      </c>
      <c r="H1316" s="17">
        <f t="shared" si="829"/>
        <v>5</v>
      </c>
      <c r="I1316" s="84">
        <v>45225</v>
      </c>
      <c r="J1316" s="52"/>
      <c r="K1316" s="15"/>
      <c r="L1316" s="16"/>
      <c r="M1316" s="36">
        <f t="shared" si="830"/>
        <v>0</v>
      </c>
      <c r="N1316" s="18"/>
      <c r="O1316" s="16"/>
      <c r="P1316" s="36">
        <f t="shared" si="831"/>
        <v>0</v>
      </c>
      <c r="Q1316" s="17">
        <f t="shared" si="832"/>
        <v>0</v>
      </c>
    </row>
    <row r="1317" spans="1:17" x14ac:dyDescent="0.15">
      <c r="A1317" s="35" t="s">
        <v>33</v>
      </c>
      <c r="B1317" s="15"/>
      <c r="C1317" s="16"/>
      <c r="D1317" s="36">
        <f t="shared" si="827"/>
        <v>0</v>
      </c>
      <c r="E1317" s="18">
        <v>2</v>
      </c>
      <c r="F1317" s="16">
        <v>2</v>
      </c>
      <c r="G1317" s="36">
        <f t="shared" si="828"/>
        <v>4</v>
      </c>
      <c r="H1317" s="17">
        <f t="shared" si="829"/>
        <v>4</v>
      </c>
      <c r="I1317" s="84">
        <v>45226</v>
      </c>
      <c r="J1317" s="52"/>
      <c r="K1317" s="15"/>
      <c r="L1317" s="16"/>
      <c r="M1317" s="36">
        <f t="shared" si="830"/>
        <v>0</v>
      </c>
      <c r="N1317" s="18"/>
      <c r="O1317" s="16"/>
      <c r="P1317" s="36">
        <f t="shared" si="831"/>
        <v>0</v>
      </c>
      <c r="Q1317" s="17">
        <f t="shared" si="832"/>
        <v>0</v>
      </c>
    </row>
    <row r="1318" spans="1:17" x14ac:dyDescent="0.15">
      <c r="A1318" s="35" t="s">
        <v>590</v>
      </c>
      <c r="B1318" s="15">
        <v>2</v>
      </c>
      <c r="C1318" s="16"/>
      <c r="D1318" s="36">
        <f t="shared" si="827"/>
        <v>2</v>
      </c>
      <c r="E1318" s="18">
        <v>2</v>
      </c>
      <c r="F1318" s="16"/>
      <c r="G1318" s="36">
        <f t="shared" si="828"/>
        <v>2</v>
      </c>
      <c r="H1318" s="17">
        <f t="shared" si="829"/>
        <v>4</v>
      </c>
      <c r="I1318" s="81">
        <v>45230</v>
      </c>
      <c r="J1318" s="52"/>
      <c r="K1318" s="15"/>
      <c r="L1318" s="16"/>
      <c r="M1318" s="36">
        <f t="shared" si="830"/>
        <v>0</v>
      </c>
      <c r="N1318" s="18"/>
      <c r="O1318" s="16"/>
      <c r="P1318" s="36">
        <f t="shared" si="831"/>
        <v>0</v>
      </c>
      <c r="Q1318" s="17">
        <f t="shared" si="832"/>
        <v>0</v>
      </c>
    </row>
    <row r="1319" spans="1:17" x14ac:dyDescent="0.15">
      <c r="A1319" s="35" t="s">
        <v>33</v>
      </c>
      <c r="B1319" s="15"/>
      <c r="C1319" s="16"/>
      <c r="D1319" s="36">
        <f t="shared" si="827"/>
        <v>0</v>
      </c>
      <c r="E1319" s="18">
        <v>1</v>
      </c>
      <c r="F1319" s="16"/>
      <c r="G1319" s="36">
        <f t="shared" si="828"/>
        <v>1</v>
      </c>
      <c r="H1319" s="17">
        <f t="shared" si="829"/>
        <v>1</v>
      </c>
      <c r="I1319" s="84">
        <v>45229</v>
      </c>
      <c r="J1319" s="52"/>
      <c r="K1319" s="15"/>
      <c r="L1319" s="16"/>
      <c r="M1319" s="36">
        <f t="shared" si="830"/>
        <v>0</v>
      </c>
      <c r="N1319" s="18"/>
      <c r="O1319" s="16"/>
      <c r="P1319" s="36">
        <f t="shared" si="831"/>
        <v>0</v>
      </c>
      <c r="Q1319" s="17">
        <f t="shared" si="832"/>
        <v>0</v>
      </c>
    </row>
    <row r="1320" spans="1:17" x14ac:dyDescent="0.15">
      <c r="A1320" s="35" t="s">
        <v>591</v>
      </c>
      <c r="B1320" s="15"/>
      <c r="C1320" s="16">
        <v>2</v>
      </c>
      <c r="D1320" s="36">
        <f t="shared" si="827"/>
        <v>2</v>
      </c>
      <c r="E1320" s="18"/>
      <c r="F1320" s="16">
        <v>2</v>
      </c>
      <c r="G1320" s="36">
        <f t="shared" si="828"/>
        <v>2</v>
      </c>
      <c r="H1320" s="17">
        <f t="shared" si="829"/>
        <v>4</v>
      </c>
      <c r="I1320" s="81">
        <v>45231</v>
      </c>
      <c r="J1320" s="52"/>
      <c r="K1320" s="15"/>
      <c r="L1320" s="16"/>
      <c r="M1320" s="36">
        <f t="shared" si="830"/>
        <v>0</v>
      </c>
      <c r="N1320" s="18"/>
      <c r="O1320" s="16"/>
      <c r="P1320" s="36">
        <f t="shared" si="831"/>
        <v>0</v>
      </c>
      <c r="Q1320" s="17">
        <f t="shared" si="832"/>
        <v>0</v>
      </c>
    </row>
    <row r="1321" spans="1:17" x14ac:dyDescent="0.15">
      <c r="A1321" s="35" t="s">
        <v>33</v>
      </c>
      <c r="B1321" s="15"/>
      <c r="C1321" s="16"/>
      <c r="D1321" s="36">
        <f t="shared" si="827"/>
        <v>0</v>
      </c>
      <c r="E1321" s="18">
        <v>1</v>
      </c>
      <c r="F1321" s="16"/>
      <c r="G1321" s="36">
        <f t="shared" si="828"/>
        <v>1</v>
      </c>
      <c r="H1321" s="17">
        <f t="shared" si="829"/>
        <v>1</v>
      </c>
      <c r="I1321" s="84">
        <v>45230</v>
      </c>
      <c r="J1321" s="52"/>
      <c r="K1321" s="15"/>
      <c r="L1321" s="16"/>
      <c r="M1321" s="36">
        <f t="shared" si="830"/>
        <v>0</v>
      </c>
      <c r="N1321" s="18"/>
      <c r="O1321" s="16"/>
      <c r="P1321" s="36">
        <f t="shared" si="831"/>
        <v>0</v>
      </c>
      <c r="Q1321" s="17">
        <f t="shared" si="832"/>
        <v>0</v>
      </c>
    </row>
    <row r="1322" spans="1:17" x14ac:dyDescent="0.15">
      <c r="A1322" s="35" t="s">
        <v>592</v>
      </c>
      <c r="B1322" s="15"/>
      <c r="C1322" s="16">
        <v>1</v>
      </c>
      <c r="D1322" s="36">
        <f t="shared" si="827"/>
        <v>1</v>
      </c>
      <c r="E1322" s="18"/>
      <c r="F1322" s="16">
        <v>1</v>
      </c>
      <c r="G1322" s="36">
        <f t="shared" si="828"/>
        <v>1</v>
      </c>
      <c r="H1322" s="17">
        <f t="shared" si="829"/>
        <v>2</v>
      </c>
      <c r="I1322" s="81">
        <v>45231</v>
      </c>
      <c r="J1322" s="52"/>
      <c r="K1322" s="15"/>
      <c r="L1322" s="16"/>
      <c r="M1322" s="36">
        <f t="shared" si="830"/>
        <v>0</v>
      </c>
      <c r="N1322" s="18"/>
      <c r="O1322" s="16"/>
      <c r="P1322" s="36">
        <f t="shared" si="831"/>
        <v>0</v>
      </c>
      <c r="Q1322" s="17">
        <f t="shared" si="832"/>
        <v>0</v>
      </c>
    </row>
    <row r="1323" spans="1:17" x14ac:dyDescent="0.15">
      <c r="A1323" s="35" t="s">
        <v>33</v>
      </c>
      <c r="B1323" s="15">
        <v>2</v>
      </c>
      <c r="C1323" s="16"/>
      <c r="D1323" s="36">
        <f t="shared" si="827"/>
        <v>2</v>
      </c>
      <c r="E1323" s="18"/>
      <c r="F1323" s="16"/>
      <c r="G1323" s="36">
        <f t="shared" si="828"/>
        <v>0</v>
      </c>
      <c r="H1323" s="17">
        <f t="shared" si="829"/>
        <v>2</v>
      </c>
      <c r="I1323" s="81">
        <v>45231</v>
      </c>
      <c r="J1323" s="52"/>
      <c r="K1323" s="15"/>
      <c r="L1323" s="16"/>
      <c r="M1323" s="36">
        <f t="shared" si="830"/>
        <v>0</v>
      </c>
      <c r="N1323" s="18"/>
      <c r="O1323" s="16"/>
      <c r="P1323" s="36">
        <f t="shared" si="831"/>
        <v>0</v>
      </c>
      <c r="Q1323" s="17">
        <f t="shared" si="832"/>
        <v>0</v>
      </c>
    </row>
    <row r="1324" spans="1:17" x14ac:dyDescent="0.15">
      <c r="A1324" s="35" t="s">
        <v>33</v>
      </c>
      <c r="B1324" s="15">
        <v>2</v>
      </c>
      <c r="C1324" s="16"/>
      <c r="D1324" s="36">
        <f t="shared" si="827"/>
        <v>2</v>
      </c>
      <c r="E1324" s="18"/>
      <c r="F1324" s="16"/>
      <c r="G1324" s="36">
        <f t="shared" si="828"/>
        <v>0</v>
      </c>
      <c r="H1324" s="17">
        <f t="shared" si="829"/>
        <v>2</v>
      </c>
      <c r="I1324" s="84">
        <v>45232</v>
      </c>
      <c r="J1324" s="52"/>
      <c r="K1324" s="15"/>
      <c r="L1324" s="16"/>
      <c r="M1324" s="36">
        <f t="shared" si="830"/>
        <v>0</v>
      </c>
      <c r="N1324" s="18"/>
      <c r="O1324" s="16"/>
      <c r="P1324" s="36">
        <f t="shared" si="831"/>
        <v>0</v>
      </c>
      <c r="Q1324" s="17">
        <f t="shared" si="832"/>
        <v>0</v>
      </c>
    </row>
    <row r="1325" spans="1:17" x14ac:dyDescent="0.15">
      <c r="A1325" s="35" t="s">
        <v>33</v>
      </c>
      <c r="B1325" s="15"/>
      <c r="C1325" s="16"/>
      <c r="D1325" s="36">
        <f t="shared" si="827"/>
        <v>0</v>
      </c>
      <c r="E1325" s="18"/>
      <c r="F1325" s="16">
        <v>2</v>
      </c>
      <c r="G1325" s="36">
        <f t="shared" si="828"/>
        <v>2</v>
      </c>
      <c r="H1325" s="17">
        <f t="shared" si="829"/>
        <v>2</v>
      </c>
      <c r="I1325" s="81">
        <v>45234</v>
      </c>
      <c r="J1325" s="52"/>
      <c r="K1325" s="15"/>
      <c r="L1325" s="16"/>
      <c r="M1325" s="36">
        <f t="shared" si="830"/>
        <v>0</v>
      </c>
      <c r="N1325" s="18"/>
      <c r="O1325" s="16"/>
      <c r="P1325" s="36">
        <f t="shared" si="831"/>
        <v>0</v>
      </c>
      <c r="Q1325" s="17">
        <f t="shared" si="832"/>
        <v>0</v>
      </c>
    </row>
    <row r="1326" spans="1:17" x14ac:dyDescent="0.15">
      <c r="A1326" s="35" t="s">
        <v>593</v>
      </c>
      <c r="B1326" s="15"/>
      <c r="C1326" s="16">
        <v>1</v>
      </c>
      <c r="D1326" s="36">
        <f t="shared" si="827"/>
        <v>1</v>
      </c>
      <c r="E1326" s="18"/>
      <c r="F1326" s="16">
        <v>1</v>
      </c>
      <c r="G1326" s="36">
        <f t="shared" si="828"/>
        <v>1</v>
      </c>
      <c r="H1326" s="17">
        <f t="shared" si="829"/>
        <v>2</v>
      </c>
      <c r="I1326" s="81">
        <v>45237</v>
      </c>
      <c r="J1326" s="52"/>
      <c r="K1326" s="15"/>
      <c r="L1326" s="16"/>
      <c r="M1326" s="36">
        <f t="shared" si="830"/>
        <v>0</v>
      </c>
      <c r="N1326" s="18"/>
      <c r="O1326" s="16"/>
      <c r="P1326" s="36">
        <f t="shared" si="831"/>
        <v>0</v>
      </c>
      <c r="Q1326" s="17">
        <f t="shared" si="832"/>
        <v>0</v>
      </c>
    </row>
    <row r="1327" spans="1:17" x14ac:dyDescent="0.15">
      <c r="A1327" s="35" t="s">
        <v>33</v>
      </c>
      <c r="B1327" s="15">
        <v>6</v>
      </c>
      <c r="C1327" s="16"/>
      <c r="D1327" s="36">
        <f t="shared" si="815"/>
        <v>6</v>
      </c>
      <c r="E1327" s="18"/>
      <c r="F1327" s="16">
        <v>5</v>
      </c>
      <c r="G1327" s="36">
        <f t="shared" si="816"/>
        <v>5</v>
      </c>
      <c r="H1327" s="17">
        <f t="shared" si="817"/>
        <v>11</v>
      </c>
      <c r="I1327" s="84">
        <v>45236</v>
      </c>
      <c r="J1327" s="52"/>
      <c r="K1327" s="15"/>
      <c r="L1327" s="16"/>
      <c r="M1327" s="36">
        <f t="shared" si="818"/>
        <v>0</v>
      </c>
      <c r="N1327" s="18"/>
      <c r="O1327" s="16"/>
      <c r="P1327" s="36">
        <f t="shared" si="819"/>
        <v>0</v>
      </c>
      <c r="Q1327" s="17">
        <f t="shared" si="820"/>
        <v>0</v>
      </c>
    </row>
    <row r="1328" spans="1:17" x14ac:dyDescent="0.15">
      <c r="A1328" s="35" t="s">
        <v>594</v>
      </c>
      <c r="B1328" s="15">
        <v>1</v>
      </c>
      <c r="C1328" s="16"/>
      <c r="D1328" s="36">
        <f t="shared" si="815"/>
        <v>1</v>
      </c>
      <c r="E1328" s="18">
        <v>1</v>
      </c>
      <c r="F1328" s="16"/>
      <c r="G1328" s="36">
        <f t="shared" si="816"/>
        <v>1</v>
      </c>
      <c r="H1328" s="17">
        <f t="shared" si="817"/>
        <v>2</v>
      </c>
      <c r="I1328" s="81">
        <v>45239</v>
      </c>
      <c r="J1328" s="52"/>
      <c r="K1328" s="15"/>
      <c r="L1328" s="16"/>
      <c r="M1328" s="36">
        <f t="shared" si="818"/>
        <v>0</v>
      </c>
      <c r="N1328" s="18"/>
      <c r="O1328" s="16"/>
      <c r="P1328" s="36">
        <f t="shared" si="819"/>
        <v>0</v>
      </c>
      <c r="Q1328" s="17">
        <f t="shared" si="820"/>
        <v>0</v>
      </c>
    </row>
    <row r="1329" spans="1:17" ht="14.25" thickBot="1" x14ac:dyDescent="0.2">
      <c r="A1329" s="35" t="s">
        <v>33</v>
      </c>
      <c r="B1329" s="15"/>
      <c r="C1329" s="16">
        <v>1</v>
      </c>
      <c r="D1329" s="36">
        <f t="shared" si="815"/>
        <v>1</v>
      </c>
      <c r="E1329" s="18"/>
      <c r="F1329" s="16"/>
      <c r="G1329" s="36">
        <f t="shared" si="816"/>
        <v>0</v>
      </c>
      <c r="H1329" s="17">
        <f t="shared" si="817"/>
        <v>1</v>
      </c>
      <c r="I1329" s="84">
        <v>45238</v>
      </c>
      <c r="J1329" s="52"/>
      <c r="K1329" s="15"/>
      <c r="L1329" s="16"/>
      <c r="M1329" s="36">
        <f t="shared" ref="M1329" si="833">SUM(K1329:L1329)</f>
        <v>0</v>
      </c>
      <c r="N1329" s="18"/>
      <c r="O1329" s="16"/>
      <c r="P1329" s="36">
        <f t="shared" ref="P1329" si="834">SUM(N1329:O1329)</f>
        <v>0</v>
      </c>
      <c r="Q1329" s="17">
        <f t="shared" ref="Q1329" si="835">M1329+P1329</f>
        <v>0</v>
      </c>
    </row>
    <row r="1330" spans="1:17" ht="14.25" thickBot="1" x14ac:dyDescent="0.2">
      <c r="A1330" s="40" t="s">
        <v>14</v>
      </c>
      <c r="B1330" s="41">
        <f>SUM(B1304:B1329)</f>
        <v>24</v>
      </c>
      <c r="C1330" s="42">
        <f t="shared" ref="C1330" si="836">SUM(C1304:C1329)</f>
        <v>9</v>
      </c>
      <c r="D1330" s="43">
        <f t="shared" si="815"/>
        <v>33</v>
      </c>
      <c r="E1330" s="41">
        <f>SUM(E1304:E1329)</f>
        <v>23</v>
      </c>
      <c r="F1330" s="42">
        <f t="shared" ref="F1330" si="837">SUM(F1304:F1329)</f>
        <v>24</v>
      </c>
      <c r="G1330" s="43">
        <f t="shared" si="816"/>
        <v>47</v>
      </c>
      <c r="H1330" s="43">
        <f t="shared" si="817"/>
        <v>80</v>
      </c>
      <c r="J1330" s="40" t="s">
        <v>14</v>
      </c>
      <c r="K1330" s="41">
        <f>SUM(K1304:K1329)</f>
        <v>20</v>
      </c>
      <c r="L1330" s="42">
        <f t="shared" ref="L1330" si="838">SUM(L1304:L1329)</f>
        <v>5</v>
      </c>
      <c r="M1330" s="43">
        <f t="shared" si="818"/>
        <v>25</v>
      </c>
      <c r="N1330" s="41">
        <f>SUM(N1304:N1329)</f>
        <v>20</v>
      </c>
      <c r="O1330" s="42">
        <f t="shared" ref="O1330" si="839">SUM(O1304:O1329)</f>
        <v>20</v>
      </c>
      <c r="P1330" s="43">
        <f t="shared" si="819"/>
        <v>40</v>
      </c>
      <c r="Q1330" s="43">
        <f t="shared" si="820"/>
        <v>65</v>
      </c>
    </row>
    <row r="1331" spans="1:17" ht="14.25" thickBot="1" x14ac:dyDescent="0.2">
      <c r="A1331" s="44" t="s">
        <v>15</v>
      </c>
      <c r="B1331" s="45">
        <f>B1303-B1330</f>
        <v>15</v>
      </c>
      <c r="C1331" s="46">
        <f t="shared" ref="C1331" si="840">C1303-C1330</f>
        <v>19</v>
      </c>
      <c r="D1331" s="47">
        <f t="shared" si="815"/>
        <v>34</v>
      </c>
      <c r="E1331" s="45">
        <f>E1303-E1330</f>
        <v>19</v>
      </c>
      <c r="F1331" s="46">
        <f t="shared" ref="F1331" si="841">F1303-F1330</f>
        <v>15</v>
      </c>
      <c r="G1331" s="47">
        <f t="shared" si="816"/>
        <v>34</v>
      </c>
      <c r="H1331" s="34">
        <f t="shared" si="817"/>
        <v>68</v>
      </c>
      <c r="J1331" s="44" t="s">
        <v>15</v>
      </c>
      <c r="K1331" s="45">
        <f>K1303-K1330</f>
        <v>1105</v>
      </c>
      <c r="L1331" s="46">
        <f t="shared" ref="L1331" si="842">L1303-L1330</f>
        <v>582</v>
      </c>
      <c r="M1331" s="47">
        <f t="shared" si="818"/>
        <v>1687</v>
      </c>
      <c r="N1331" s="45">
        <f>N1303-N1330</f>
        <v>1124</v>
      </c>
      <c r="O1331" s="46">
        <f t="shared" ref="O1331" si="843">O1303-O1330</f>
        <v>157</v>
      </c>
      <c r="P1331" s="47">
        <f t="shared" si="819"/>
        <v>1281</v>
      </c>
      <c r="Q1331" s="34">
        <f t="shared" si="820"/>
        <v>2968</v>
      </c>
    </row>
    <row r="1334" spans="1:17" ht="19.5" thickBot="1" x14ac:dyDescent="0.25">
      <c r="A1334" s="1" t="s">
        <v>23</v>
      </c>
      <c r="J1334" s="1" t="s">
        <v>24</v>
      </c>
      <c r="K1334" s="2"/>
      <c r="L1334" s="2"/>
      <c r="M1334" s="2"/>
      <c r="N1334" s="2"/>
      <c r="O1334" s="1" t="s">
        <v>34</v>
      </c>
      <c r="P1334" s="2"/>
      <c r="Q1334" s="2"/>
    </row>
    <row r="1335" spans="1:17" ht="14.25" thickBot="1" x14ac:dyDescent="0.2">
      <c r="A1335" s="3" t="s">
        <v>0</v>
      </c>
      <c r="B1335" s="125" t="s">
        <v>18</v>
      </c>
      <c r="C1335" s="126"/>
      <c r="D1335" s="127"/>
      <c r="E1335" s="125" t="s">
        <v>19</v>
      </c>
      <c r="F1335" s="126"/>
      <c r="G1335" s="128"/>
      <c r="H1335" s="129" t="s">
        <v>1</v>
      </c>
      <c r="J1335" s="3" t="s">
        <v>0</v>
      </c>
      <c r="K1335" s="125" t="s">
        <v>18</v>
      </c>
      <c r="L1335" s="126"/>
      <c r="M1335" s="127"/>
      <c r="N1335" s="125" t="s">
        <v>19</v>
      </c>
      <c r="O1335" s="126"/>
      <c r="P1335" s="128"/>
      <c r="Q1335" s="129" t="s">
        <v>1</v>
      </c>
    </row>
    <row r="1336" spans="1:17" ht="14.25" thickBot="1" x14ac:dyDescent="0.2">
      <c r="A1336" s="3" t="s">
        <v>2</v>
      </c>
      <c r="B1336" s="4" t="s">
        <v>16</v>
      </c>
      <c r="C1336" s="5" t="s">
        <v>17</v>
      </c>
      <c r="D1336" s="3" t="s">
        <v>3</v>
      </c>
      <c r="E1336" s="4" t="s">
        <v>16</v>
      </c>
      <c r="F1336" s="5" t="s">
        <v>17</v>
      </c>
      <c r="G1336" s="3" t="s">
        <v>3</v>
      </c>
      <c r="H1336" s="130"/>
      <c r="J1336" s="3" t="s">
        <v>2</v>
      </c>
      <c r="K1336" s="4" t="s">
        <v>16</v>
      </c>
      <c r="L1336" s="5" t="s">
        <v>17</v>
      </c>
      <c r="M1336" s="3" t="s">
        <v>3</v>
      </c>
      <c r="N1336" s="4" t="s">
        <v>16</v>
      </c>
      <c r="O1336" s="5" t="s">
        <v>17</v>
      </c>
      <c r="P1336" s="3" t="s">
        <v>3</v>
      </c>
      <c r="Q1336" s="130"/>
    </row>
    <row r="1337" spans="1:17" ht="14.25" thickBot="1" x14ac:dyDescent="0.2">
      <c r="A1337" s="6" t="s">
        <v>55</v>
      </c>
      <c r="B1337" s="32">
        <f>B1331</f>
        <v>15</v>
      </c>
      <c r="C1337" s="33">
        <f>C1331</f>
        <v>19</v>
      </c>
      <c r="D1337" s="34">
        <f t="shared" ref="D1337:D1374" si="844">SUM(B1337:C1337)</f>
        <v>34</v>
      </c>
      <c r="E1337" s="32">
        <f>E1331</f>
        <v>19</v>
      </c>
      <c r="F1337" s="33">
        <f>F1331</f>
        <v>15</v>
      </c>
      <c r="G1337" s="34">
        <f t="shared" ref="G1337:G1374" si="845">SUM(E1337:F1337)</f>
        <v>34</v>
      </c>
      <c r="H1337" s="34">
        <f t="shared" ref="H1337:H1374" si="846">D1337+G1337</f>
        <v>68</v>
      </c>
      <c r="J1337" s="6" t="s">
        <v>55</v>
      </c>
      <c r="K1337" s="7">
        <f>K1331</f>
        <v>1105</v>
      </c>
      <c r="L1337" s="8">
        <f>L1331</f>
        <v>582</v>
      </c>
      <c r="M1337" s="9">
        <f t="shared" ref="M1337:M1374" si="847">SUM(K1337:L1337)</f>
        <v>1687</v>
      </c>
      <c r="N1337" s="7">
        <f>N1331</f>
        <v>1124</v>
      </c>
      <c r="O1337" s="8">
        <f>O1331</f>
        <v>157</v>
      </c>
      <c r="P1337" s="9">
        <f t="shared" ref="P1337:P1374" si="848">SUM(N1337:O1337)</f>
        <v>1281</v>
      </c>
      <c r="Q1337" s="9">
        <f t="shared" ref="Q1337:Q1374" si="849">M1337+P1337</f>
        <v>2968</v>
      </c>
    </row>
    <row r="1338" spans="1:17" x14ac:dyDescent="0.15">
      <c r="A1338" s="10" t="s">
        <v>5</v>
      </c>
      <c r="B1338" s="23">
        <v>5</v>
      </c>
      <c r="C1338" s="24"/>
      <c r="D1338" s="17">
        <f t="shared" ref="D1338:D1340" si="850">SUM(B1338:C1338)</f>
        <v>5</v>
      </c>
      <c r="E1338" s="25">
        <v>10</v>
      </c>
      <c r="F1338" s="24">
        <v>5</v>
      </c>
      <c r="G1338" s="17">
        <f t="shared" ref="G1338:G1340" si="851">SUM(E1338:F1338)</f>
        <v>15</v>
      </c>
      <c r="H1338" s="17">
        <f t="shared" ref="H1338:H1340" si="852">D1338+G1338</f>
        <v>20</v>
      </c>
      <c r="I1338" s="81">
        <v>45245</v>
      </c>
      <c r="J1338" s="10" t="s">
        <v>5</v>
      </c>
      <c r="K1338" s="15"/>
      <c r="L1338" s="16"/>
      <c r="M1338" s="17">
        <f t="shared" si="847"/>
        <v>0</v>
      </c>
      <c r="N1338" s="18"/>
      <c r="O1338" s="16"/>
      <c r="P1338" s="17">
        <f t="shared" si="848"/>
        <v>0</v>
      </c>
      <c r="Q1338" s="17">
        <f t="shared" si="849"/>
        <v>0</v>
      </c>
    </row>
    <row r="1339" spans="1:17" x14ac:dyDescent="0.15">
      <c r="A1339" s="10" t="s">
        <v>6</v>
      </c>
      <c r="B1339" s="23">
        <v>10</v>
      </c>
      <c r="C1339" s="24">
        <v>5</v>
      </c>
      <c r="D1339" s="17">
        <f t="shared" si="850"/>
        <v>15</v>
      </c>
      <c r="E1339" s="25">
        <v>10</v>
      </c>
      <c r="F1339" s="24">
        <v>5</v>
      </c>
      <c r="G1339" s="17">
        <f t="shared" si="851"/>
        <v>15</v>
      </c>
      <c r="H1339" s="17">
        <f t="shared" si="852"/>
        <v>30</v>
      </c>
      <c r="I1339" s="81">
        <v>45254</v>
      </c>
      <c r="J1339" s="10" t="s">
        <v>6</v>
      </c>
      <c r="K1339" s="15"/>
      <c r="L1339" s="16"/>
      <c r="M1339" s="17">
        <f t="shared" si="847"/>
        <v>0</v>
      </c>
      <c r="N1339" s="18"/>
      <c r="O1339" s="16"/>
      <c r="P1339" s="17">
        <f t="shared" si="848"/>
        <v>0</v>
      </c>
      <c r="Q1339" s="17">
        <f t="shared" si="849"/>
        <v>0</v>
      </c>
    </row>
    <row r="1340" spans="1:17" x14ac:dyDescent="0.15">
      <c r="A1340" s="10" t="s">
        <v>7</v>
      </c>
      <c r="B1340" s="23"/>
      <c r="C1340" s="24">
        <v>5</v>
      </c>
      <c r="D1340" s="17">
        <f t="shared" si="850"/>
        <v>5</v>
      </c>
      <c r="E1340" s="25">
        <v>5</v>
      </c>
      <c r="F1340" s="24">
        <v>15</v>
      </c>
      <c r="G1340" s="17">
        <f t="shared" si="851"/>
        <v>20</v>
      </c>
      <c r="H1340" s="17">
        <f t="shared" si="852"/>
        <v>25</v>
      </c>
      <c r="I1340" s="81">
        <v>45262</v>
      </c>
      <c r="J1340" s="10" t="s">
        <v>7</v>
      </c>
      <c r="K1340" s="15"/>
      <c r="L1340" s="16"/>
      <c r="M1340" s="17">
        <f t="shared" si="847"/>
        <v>0</v>
      </c>
      <c r="N1340" s="18"/>
      <c r="O1340" s="16"/>
      <c r="P1340" s="17">
        <f t="shared" si="848"/>
        <v>0</v>
      </c>
      <c r="Q1340" s="17">
        <f t="shared" si="849"/>
        <v>0</v>
      </c>
    </row>
    <row r="1341" spans="1:17" x14ac:dyDescent="0.15">
      <c r="A1341" s="10" t="s">
        <v>8</v>
      </c>
      <c r="B1341" s="23"/>
      <c r="C1341" s="24">
        <v>10</v>
      </c>
      <c r="D1341" s="17">
        <f t="shared" si="844"/>
        <v>10</v>
      </c>
      <c r="E1341" s="25">
        <v>10</v>
      </c>
      <c r="F1341" s="24">
        <v>10</v>
      </c>
      <c r="G1341" s="17">
        <f t="shared" si="845"/>
        <v>20</v>
      </c>
      <c r="H1341" s="17">
        <f t="shared" si="846"/>
        <v>30</v>
      </c>
      <c r="I1341" s="81">
        <v>45266</v>
      </c>
      <c r="J1341" s="10" t="s">
        <v>8</v>
      </c>
      <c r="K1341" s="15"/>
      <c r="L1341" s="16"/>
      <c r="M1341" s="17">
        <f t="shared" si="847"/>
        <v>0</v>
      </c>
      <c r="N1341" s="18"/>
      <c r="O1341" s="16"/>
      <c r="P1341" s="17">
        <f t="shared" si="848"/>
        <v>0</v>
      </c>
      <c r="Q1341" s="17">
        <f t="shared" si="849"/>
        <v>0</v>
      </c>
    </row>
    <row r="1342" spans="1:17" x14ac:dyDescent="0.15">
      <c r="A1342" s="10" t="s">
        <v>9</v>
      </c>
      <c r="B1342" s="23"/>
      <c r="C1342" s="24"/>
      <c r="D1342" s="17">
        <f t="shared" si="844"/>
        <v>0</v>
      </c>
      <c r="E1342" s="25"/>
      <c r="F1342" s="24"/>
      <c r="G1342" s="17">
        <f t="shared" si="845"/>
        <v>0</v>
      </c>
      <c r="H1342" s="17">
        <f t="shared" si="846"/>
        <v>0</v>
      </c>
      <c r="I1342" s="81"/>
      <c r="J1342" s="10" t="s">
        <v>9</v>
      </c>
      <c r="K1342" s="15"/>
      <c r="L1342" s="16"/>
      <c r="M1342" s="17">
        <f t="shared" si="847"/>
        <v>0</v>
      </c>
      <c r="N1342" s="18"/>
      <c r="O1342" s="16"/>
      <c r="P1342" s="17">
        <f t="shared" si="848"/>
        <v>0</v>
      </c>
      <c r="Q1342" s="17">
        <f t="shared" si="849"/>
        <v>0</v>
      </c>
    </row>
    <row r="1343" spans="1:17" x14ac:dyDescent="0.15">
      <c r="A1343" s="10" t="s">
        <v>10</v>
      </c>
      <c r="B1343" s="23"/>
      <c r="C1343" s="24"/>
      <c r="D1343" s="17">
        <f t="shared" si="844"/>
        <v>0</v>
      </c>
      <c r="E1343" s="25"/>
      <c r="F1343" s="24"/>
      <c r="G1343" s="17">
        <f t="shared" si="845"/>
        <v>0</v>
      </c>
      <c r="H1343" s="17">
        <f t="shared" si="846"/>
        <v>0</v>
      </c>
      <c r="I1343" s="81"/>
      <c r="J1343" s="10" t="s">
        <v>10</v>
      </c>
      <c r="K1343" s="15"/>
      <c r="L1343" s="16"/>
      <c r="M1343" s="17">
        <f t="shared" si="847"/>
        <v>0</v>
      </c>
      <c r="N1343" s="18"/>
      <c r="O1343" s="16"/>
      <c r="P1343" s="17">
        <f t="shared" si="848"/>
        <v>0</v>
      </c>
      <c r="Q1343" s="17">
        <f t="shared" si="849"/>
        <v>0</v>
      </c>
    </row>
    <row r="1344" spans="1:17" x14ac:dyDescent="0.15">
      <c r="A1344" s="10" t="s">
        <v>11</v>
      </c>
      <c r="B1344" s="23"/>
      <c r="C1344" s="24"/>
      <c r="D1344" s="17">
        <f t="shared" si="844"/>
        <v>0</v>
      </c>
      <c r="E1344" s="25"/>
      <c r="F1344" s="24"/>
      <c r="G1344" s="17">
        <f t="shared" si="845"/>
        <v>0</v>
      </c>
      <c r="H1344" s="17">
        <f t="shared" si="846"/>
        <v>0</v>
      </c>
      <c r="I1344" s="84"/>
      <c r="J1344" s="10" t="s">
        <v>11</v>
      </c>
      <c r="K1344" s="23"/>
      <c r="L1344" s="24"/>
      <c r="M1344" s="17">
        <f t="shared" si="847"/>
        <v>0</v>
      </c>
      <c r="N1344" s="25"/>
      <c r="O1344" s="24"/>
      <c r="P1344" s="17">
        <f t="shared" si="848"/>
        <v>0</v>
      </c>
      <c r="Q1344" s="17">
        <f t="shared" si="849"/>
        <v>0</v>
      </c>
    </row>
    <row r="1345" spans="1:18" ht="14.25" thickBot="1" x14ac:dyDescent="0.2">
      <c r="A1345" s="10" t="s">
        <v>12</v>
      </c>
      <c r="B1345" s="26"/>
      <c r="C1345" s="27"/>
      <c r="D1345" s="28">
        <f t="shared" si="844"/>
        <v>0</v>
      </c>
      <c r="E1345" s="29"/>
      <c r="F1345" s="29"/>
      <c r="G1345" s="28">
        <f t="shared" si="845"/>
        <v>0</v>
      </c>
      <c r="H1345" s="30">
        <f t="shared" si="846"/>
        <v>0</v>
      </c>
      <c r="J1345" s="10" t="s">
        <v>12</v>
      </c>
      <c r="K1345" s="26"/>
      <c r="L1345" s="27"/>
      <c r="M1345" s="28">
        <f t="shared" si="847"/>
        <v>0</v>
      </c>
      <c r="N1345" s="29"/>
      <c r="O1345" s="29"/>
      <c r="P1345" s="28">
        <f t="shared" si="848"/>
        <v>0</v>
      </c>
      <c r="Q1345" s="30">
        <f t="shared" si="849"/>
        <v>0</v>
      </c>
    </row>
    <row r="1346" spans="1:18" ht="14.25" thickBot="1" x14ac:dyDescent="0.2">
      <c r="A1346" s="31" t="s">
        <v>13</v>
      </c>
      <c r="B1346" s="32">
        <f>SUM(B1337:B1345)</f>
        <v>30</v>
      </c>
      <c r="C1346" s="33">
        <f>SUM(C1337:C1345)</f>
        <v>39</v>
      </c>
      <c r="D1346" s="34">
        <f t="shared" si="844"/>
        <v>69</v>
      </c>
      <c r="E1346" s="32">
        <f>SUM(E1337:E1345)</f>
        <v>54</v>
      </c>
      <c r="F1346" s="33">
        <f>SUM(F1337:F1345)</f>
        <v>50</v>
      </c>
      <c r="G1346" s="34">
        <f t="shared" si="845"/>
        <v>104</v>
      </c>
      <c r="H1346" s="34">
        <f t="shared" si="846"/>
        <v>173</v>
      </c>
      <c r="J1346" s="31" t="s">
        <v>13</v>
      </c>
      <c r="K1346" s="32">
        <f>SUM(K1337:K1345)</f>
        <v>1105</v>
      </c>
      <c r="L1346" s="33">
        <f>SUM(L1337:L1345)</f>
        <v>582</v>
      </c>
      <c r="M1346" s="34">
        <f t="shared" si="847"/>
        <v>1687</v>
      </c>
      <c r="N1346" s="32">
        <f>SUM(N1337:N1345)</f>
        <v>1124</v>
      </c>
      <c r="O1346" s="33">
        <f>SUM(O1337:O1345)</f>
        <v>157</v>
      </c>
      <c r="P1346" s="34">
        <f t="shared" si="848"/>
        <v>1281</v>
      </c>
      <c r="Q1346" s="34">
        <f t="shared" si="849"/>
        <v>2968</v>
      </c>
    </row>
    <row r="1347" spans="1:18" x14ac:dyDescent="0.15">
      <c r="A1347" s="35" t="s">
        <v>33</v>
      </c>
      <c r="B1347" s="15"/>
      <c r="C1347" s="16"/>
      <c r="D1347" s="36">
        <f t="shared" ref="D1347:D1370" si="853">SUM(B1347:C1347)</f>
        <v>0</v>
      </c>
      <c r="E1347" s="18"/>
      <c r="F1347" s="16">
        <v>2</v>
      </c>
      <c r="G1347" s="36">
        <f t="shared" ref="G1347:G1370" si="854">SUM(E1347:F1347)</f>
        <v>2</v>
      </c>
      <c r="H1347" s="17">
        <f t="shared" ref="H1347:H1370" si="855">D1347+G1347</f>
        <v>2</v>
      </c>
      <c r="I1347" s="84">
        <v>45240</v>
      </c>
      <c r="J1347" s="52" t="s">
        <v>91</v>
      </c>
      <c r="K1347" s="15">
        <v>5</v>
      </c>
      <c r="L1347" s="16"/>
      <c r="M1347" s="36">
        <f t="shared" si="847"/>
        <v>5</v>
      </c>
      <c r="N1347" s="18">
        <v>10</v>
      </c>
      <c r="O1347" s="16">
        <v>5</v>
      </c>
      <c r="P1347" s="36">
        <f t="shared" si="848"/>
        <v>15</v>
      </c>
      <c r="Q1347" s="17">
        <f t="shared" si="849"/>
        <v>20</v>
      </c>
      <c r="R1347" s="81">
        <v>45245</v>
      </c>
    </row>
    <row r="1348" spans="1:18" x14ac:dyDescent="0.15">
      <c r="A1348" s="35" t="s">
        <v>595</v>
      </c>
      <c r="B1348" s="15">
        <v>1</v>
      </c>
      <c r="C1348" s="16"/>
      <c r="D1348" s="36">
        <f t="shared" si="853"/>
        <v>1</v>
      </c>
      <c r="E1348" s="18">
        <v>1</v>
      </c>
      <c r="F1348" s="16"/>
      <c r="G1348" s="36">
        <f t="shared" si="854"/>
        <v>1</v>
      </c>
      <c r="H1348" s="17">
        <f t="shared" si="855"/>
        <v>2</v>
      </c>
      <c r="I1348" s="81">
        <v>45244</v>
      </c>
      <c r="J1348" s="52" t="s">
        <v>91</v>
      </c>
      <c r="K1348" s="15">
        <v>10</v>
      </c>
      <c r="L1348" s="16">
        <v>5</v>
      </c>
      <c r="M1348" s="36">
        <f t="shared" si="847"/>
        <v>15</v>
      </c>
      <c r="N1348" s="18">
        <v>10</v>
      </c>
      <c r="O1348" s="16">
        <v>5</v>
      </c>
      <c r="P1348" s="36">
        <f t="shared" si="848"/>
        <v>15</v>
      </c>
      <c r="Q1348" s="17">
        <f t="shared" si="849"/>
        <v>30</v>
      </c>
      <c r="R1348" s="81">
        <v>45254</v>
      </c>
    </row>
    <row r="1349" spans="1:18" x14ac:dyDescent="0.15">
      <c r="A1349" s="35" t="s">
        <v>33</v>
      </c>
      <c r="B1349" s="15"/>
      <c r="C1349" s="16"/>
      <c r="D1349" s="36">
        <f t="shared" si="853"/>
        <v>0</v>
      </c>
      <c r="E1349" s="18">
        <v>12</v>
      </c>
      <c r="F1349" s="16"/>
      <c r="G1349" s="36">
        <f t="shared" si="854"/>
        <v>12</v>
      </c>
      <c r="H1349" s="17">
        <f t="shared" si="855"/>
        <v>12</v>
      </c>
      <c r="I1349" s="81">
        <v>45244</v>
      </c>
      <c r="J1349" s="52" t="s">
        <v>91</v>
      </c>
      <c r="K1349" s="15"/>
      <c r="L1349" s="16">
        <v>5</v>
      </c>
      <c r="M1349" s="36">
        <f t="shared" si="847"/>
        <v>5</v>
      </c>
      <c r="N1349" s="18">
        <v>5</v>
      </c>
      <c r="O1349" s="16">
        <v>15</v>
      </c>
      <c r="P1349" s="36">
        <f t="shared" si="848"/>
        <v>20</v>
      </c>
      <c r="Q1349" s="17">
        <f t="shared" si="849"/>
        <v>25</v>
      </c>
      <c r="R1349" s="81">
        <v>45262</v>
      </c>
    </row>
    <row r="1350" spans="1:18" x14ac:dyDescent="0.15">
      <c r="A1350" s="35" t="s">
        <v>596</v>
      </c>
      <c r="B1350" s="15">
        <v>1</v>
      </c>
      <c r="C1350" s="16"/>
      <c r="D1350" s="36">
        <f t="shared" si="853"/>
        <v>1</v>
      </c>
      <c r="E1350" s="18">
        <v>1</v>
      </c>
      <c r="F1350" s="16"/>
      <c r="G1350" s="36">
        <f t="shared" si="854"/>
        <v>1</v>
      </c>
      <c r="H1350" s="17">
        <f t="shared" si="855"/>
        <v>2</v>
      </c>
      <c r="I1350" s="81">
        <v>45250</v>
      </c>
      <c r="J1350" s="52" t="s">
        <v>91</v>
      </c>
      <c r="K1350" s="15"/>
      <c r="L1350" s="16">
        <v>10</v>
      </c>
      <c r="M1350" s="36">
        <f t="shared" si="847"/>
        <v>10</v>
      </c>
      <c r="N1350" s="18">
        <v>10</v>
      </c>
      <c r="O1350" s="16">
        <v>10</v>
      </c>
      <c r="P1350" s="36">
        <f t="shared" si="848"/>
        <v>20</v>
      </c>
      <c r="Q1350" s="17">
        <f t="shared" si="849"/>
        <v>30</v>
      </c>
      <c r="R1350" s="81">
        <v>45266</v>
      </c>
    </row>
    <row r="1351" spans="1:18" x14ac:dyDescent="0.15">
      <c r="A1351" s="35" t="s">
        <v>33</v>
      </c>
      <c r="B1351" s="15">
        <v>2</v>
      </c>
      <c r="C1351" s="16"/>
      <c r="D1351" s="36">
        <f t="shared" si="853"/>
        <v>2</v>
      </c>
      <c r="E1351" s="18">
        <v>2</v>
      </c>
      <c r="F1351" s="16">
        <v>2</v>
      </c>
      <c r="G1351" s="36">
        <f t="shared" si="854"/>
        <v>4</v>
      </c>
      <c r="H1351" s="17">
        <f t="shared" si="855"/>
        <v>6</v>
      </c>
      <c r="I1351" s="81">
        <v>45246</v>
      </c>
      <c r="J1351" s="35" t="s">
        <v>606</v>
      </c>
      <c r="K1351" s="15">
        <v>7</v>
      </c>
      <c r="L1351" s="16">
        <v>12</v>
      </c>
      <c r="M1351" s="36">
        <f t="shared" si="847"/>
        <v>19</v>
      </c>
      <c r="N1351" s="18">
        <v>7</v>
      </c>
      <c r="O1351" s="16">
        <v>12</v>
      </c>
      <c r="P1351" s="36">
        <f t="shared" si="848"/>
        <v>19</v>
      </c>
      <c r="Q1351" s="17">
        <f t="shared" si="849"/>
        <v>38</v>
      </c>
      <c r="R1351" s="81">
        <v>45271</v>
      </c>
    </row>
    <row r="1352" spans="1:18" x14ac:dyDescent="0.15">
      <c r="A1352" s="35" t="s">
        <v>33</v>
      </c>
      <c r="B1352" s="15">
        <v>2</v>
      </c>
      <c r="C1352" s="16"/>
      <c r="D1352" s="36">
        <f t="shared" si="853"/>
        <v>2</v>
      </c>
      <c r="E1352" s="18"/>
      <c r="F1352" s="16"/>
      <c r="G1352" s="36">
        <f t="shared" si="854"/>
        <v>0</v>
      </c>
      <c r="H1352" s="17">
        <f t="shared" si="855"/>
        <v>2</v>
      </c>
      <c r="I1352" s="81">
        <v>45248</v>
      </c>
      <c r="J1352" s="52"/>
      <c r="K1352" s="15"/>
      <c r="L1352" s="16"/>
      <c r="M1352" s="36">
        <f t="shared" si="847"/>
        <v>0</v>
      </c>
      <c r="N1352" s="18"/>
      <c r="O1352" s="16"/>
      <c r="P1352" s="36">
        <f t="shared" si="848"/>
        <v>0</v>
      </c>
      <c r="Q1352" s="17">
        <f t="shared" si="849"/>
        <v>0</v>
      </c>
    </row>
    <row r="1353" spans="1:18" x14ac:dyDescent="0.15">
      <c r="A1353" s="35" t="s">
        <v>597</v>
      </c>
      <c r="B1353" s="15">
        <v>1</v>
      </c>
      <c r="C1353" s="16">
        <v>1</v>
      </c>
      <c r="D1353" s="36">
        <f t="shared" si="853"/>
        <v>2</v>
      </c>
      <c r="E1353" s="18">
        <v>1</v>
      </c>
      <c r="F1353" s="16">
        <v>1</v>
      </c>
      <c r="G1353" s="36">
        <f t="shared" si="854"/>
        <v>2</v>
      </c>
      <c r="H1353" s="17">
        <f t="shared" si="855"/>
        <v>4</v>
      </c>
      <c r="I1353" s="81">
        <v>45252</v>
      </c>
      <c r="J1353" s="52"/>
      <c r="K1353" s="15"/>
      <c r="L1353" s="16"/>
      <c r="M1353" s="36">
        <f t="shared" si="847"/>
        <v>0</v>
      </c>
      <c r="N1353" s="18"/>
      <c r="O1353" s="16"/>
      <c r="P1353" s="36">
        <f t="shared" si="848"/>
        <v>0</v>
      </c>
      <c r="Q1353" s="17">
        <f t="shared" si="849"/>
        <v>0</v>
      </c>
    </row>
    <row r="1354" spans="1:18" x14ac:dyDescent="0.15">
      <c r="A1354" s="35" t="s">
        <v>33</v>
      </c>
      <c r="B1354" s="15"/>
      <c r="C1354" s="16"/>
      <c r="D1354" s="36">
        <f t="shared" si="853"/>
        <v>0</v>
      </c>
      <c r="E1354" s="18">
        <v>1</v>
      </c>
      <c r="F1354" s="16"/>
      <c r="G1354" s="36">
        <f t="shared" si="854"/>
        <v>1</v>
      </c>
      <c r="H1354" s="17">
        <f t="shared" si="855"/>
        <v>1</v>
      </c>
      <c r="I1354" s="84">
        <v>45250</v>
      </c>
      <c r="J1354" s="52"/>
      <c r="K1354" s="15"/>
      <c r="L1354" s="16"/>
      <c r="M1354" s="36">
        <f t="shared" si="847"/>
        <v>0</v>
      </c>
      <c r="N1354" s="18"/>
      <c r="O1354" s="16"/>
      <c r="P1354" s="36">
        <f t="shared" si="848"/>
        <v>0</v>
      </c>
      <c r="Q1354" s="17">
        <f t="shared" si="849"/>
        <v>0</v>
      </c>
    </row>
    <row r="1355" spans="1:18" x14ac:dyDescent="0.15">
      <c r="A1355" s="35" t="s">
        <v>33</v>
      </c>
      <c r="B1355" s="15"/>
      <c r="C1355" s="16"/>
      <c r="D1355" s="36">
        <f t="shared" si="853"/>
        <v>0</v>
      </c>
      <c r="E1355" s="18">
        <v>1</v>
      </c>
      <c r="F1355" s="16"/>
      <c r="G1355" s="36">
        <f t="shared" si="854"/>
        <v>1</v>
      </c>
      <c r="H1355" s="17">
        <f t="shared" si="855"/>
        <v>1</v>
      </c>
      <c r="I1355" s="84">
        <v>45251</v>
      </c>
      <c r="J1355" s="52"/>
      <c r="K1355" s="15"/>
      <c r="L1355" s="16"/>
      <c r="M1355" s="36">
        <f t="shared" si="847"/>
        <v>0</v>
      </c>
      <c r="N1355" s="18"/>
      <c r="O1355" s="16"/>
      <c r="P1355" s="36">
        <f t="shared" si="848"/>
        <v>0</v>
      </c>
      <c r="Q1355" s="17">
        <f t="shared" si="849"/>
        <v>0</v>
      </c>
    </row>
    <row r="1356" spans="1:18" x14ac:dyDescent="0.15">
      <c r="A1356" s="35" t="s">
        <v>598</v>
      </c>
      <c r="B1356" s="15"/>
      <c r="C1356" s="16">
        <v>1</v>
      </c>
      <c r="D1356" s="36">
        <f t="shared" si="853"/>
        <v>1</v>
      </c>
      <c r="E1356" s="18"/>
      <c r="F1356" s="16">
        <v>1</v>
      </c>
      <c r="G1356" s="36">
        <f t="shared" si="854"/>
        <v>1</v>
      </c>
      <c r="H1356" s="17">
        <f t="shared" si="855"/>
        <v>2</v>
      </c>
      <c r="I1356" s="81">
        <v>45257</v>
      </c>
      <c r="J1356" s="52"/>
      <c r="K1356" s="15"/>
      <c r="L1356" s="16"/>
      <c r="M1356" s="36">
        <f t="shared" si="847"/>
        <v>0</v>
      </c>
      <c r="N1356" s="18"/>
      <c r="O1356" s="16"/>
      <c r="P1356" s="36">
        <f t="shared" si="848"/>
        <v>0</v>
      </c>
      <c r="Q1356" s="17">
        <f t="shared" si="849"/>
        <v>0</v>
      </c>
    </row>
    <row r="1357" spans="1:18" x14ac:dyDescent="0.15">
      <c r="A1357" s="35" t="s">
        <v>33</v>
      </c>
      <c r="B1357" s="15"/>
      <c r="C1357" s="16"/>
      <c r="D1357" s="36">
        <f t="shared" si="853"/>
        <v>0</v>
      </c>
      <c r="E1357" s="18"/>
      <c r="F1357" s="16">
        <v>1</v>
      </c>
      <c r="G1357" s="36">
        <f t="shared" si="854"/>
        <v>1</v>
      </c>
      <c r="H1357" s="17">
        <f t="shared" si="855"/>
        <v>1</v>
      </c>
      <c r="I1357" s="84">
        <v>45254</v>
      </c>
      <c r="J1357" s="52"/>
      <c r="K1357" s="15"/>
      <c r="L1357" s="16"/>
      <c r="M1357" s="36">
        <f t="shared" si="847"/>
        <v>0</v>
      </c>
      <c r="N1357" s="18"/>
      <c r="O1357" s="16"/>
      <c r="P1357" s="36">
        <f t="shared" si="848"/>
        <v>0</v>
      </c>
      <c r="Q1357" s="17">
        <f t="shared" si="849"/>
        <v>0</v>
      </c>
    </row>
    <row r="1358" spans="1:18" x14ac:dyDescent="0.15">
      <c r="A1358" s="35" t="s">
        <v>599</v>
      </c>
      <c r="B1358" s="15">
        <v>1</v>
      </c>
      <c r="C1358" s="16"/>
      <c r="D1358" s="36">
        <f t="shared" si="853"/>
        <v>1</v>
      </c>
      <c r="E1358" s="18">
        <v>1</v>
      </c>
      <c r="F1358" s="16"/>
      <c r="G1358" s="36">
        <f t="shared" si="854"/>
        <v>1</v>
      </c>
      <c r="H1358" s="17">
        <f t="shared" si="855"/>
        <v>2</v>
      </c>
      <c r="I1358" s="81">
        <v>45258</v>
      </c>
      <c r="J1358" s="52"/>
      <c r="K1358" s="15"/>
      <c r="L1358" s="16"/>
      <c r="M1358" s="36">
        <f t="shared" si="847"/>
        <v>0</v>
      </c>
      <c r="N1358" s="18"/>
      <c r="O1358" s="16"/>
      <c r="P1358" s="36">
        <f t="shared" si="848"/>
        <v>0</v>
      </c>
      <c r="Q1358" s="17">
        <f t="shared" si="849"/>
        <v>0</v>
      </c>
    </row>
    <row r="1359" spans="1:18" x14ac:dyDescent="0.15">
      <c r="A1359" s="35" t="s">
        <v>33</v>
      </c>
      <c r="B1359" s="15"/>
      <c r="C1359" s="16">
        <v>1</v>
      </c>
      <c r="D1359" s="36">
        <f t="shared" si="853"/>
        <v>1</v>
      </c>
      <c r="E1359" s="18">
        <f>1+3</f>
        <v>4</v>
      </c>
      <c r="F1359" s="16">
        <v>3</v>
      </c>
      <c r="G1359" s="36">
        <f t="shared" si="854"/>
        <v>7</v>
      </c>
      <c r="H1359" s="17">
        <f t="shared" si="855"/>
        <v>8</v>
      </c>
      <c r="I1359" s="81">
        <v>45257</v>
      </c>
      <c r="J1359" s="52"/>
      <c r="K1359" s="15"/>
      <c r="L1359" s="16"/>
      <c r="M1359" s="36">
        <f t="shared" si="847"/>
        <v>0</v>
      </c>
      <c r="N1359" s="18"/>
      <c r="O1359" s="16"/>
      <c r="P1359" s="36">
        <f t="shared" si="848"/>
        <v>0</v>
      </c>
      <c r="Q1359" s="17">
        <f t="shared" si="849"/>
        <v>0</v>
      </c>
    </row>
    <row r="1360" spans="1:18" x14ac:dyDescent="0.15">
      <c r="A1360" s="35" t="s">
        <v>33</v>
      </c>
      <c r="B1360" s="15"/>
      <c r="C1360" s="16"/>
      <c r="D1360" s="36">
        <f t="shared" si="853"/>
        <v>0</v>
      </c>
      <c r="E1360" s="18">
        <v>1</v>
      </c>
      <c r="F1360" s="16"/>
      <c r="G1360" s="36">
        <f t="shared" si="854"/>
        <v>1</v>
      </c>
      <c r="H1360" s="17">
        <f t="shared" si="855"/>
        <v>1</v>
      </c>
      <c r="I1360" s="81">
        <v>45259</v>
      </c>
      <c r="J1360" s="52"/>
      <c r="K1360" s="15"/>
      <c r="L1360" s="16"/>
      <c r="M1360" s="36">
        <f t="shared" si="847"/>
        <v>0</v>
      </c>
      <c r="N1360" s="18"/>
      <c r="O1360" s="16"/>
      <c r="P1360" s="36">
        <f t="shared" si="848"/>
        <v>0</v>
      </c>
      <c r="Q1360" s="17">
        <f t="shared" si="849"/>
        <v>0</v>
      </c>
    </row>
    <row r="1361" spans="1:17" x14ac:dyDescent="0.15">
      <c r="A1361" s="35" t="s">
        <v>600</v>
      </c>
      <c r="B1361" s="15"/>
      <c r="C1361" s="16">
        <v>8</v>
      </c>
      <c r="D1361" s="36">
        <f t="shared" si="853"/>
        <v>8</v>
      </c>
      <c r="E1361" s="18"/>
      <c r="F1361" s="16">
        <v>8</v>
      </c>
      <c r="G1361" s="36">
        <f t="shared" si="854"/>
        <v>8</v>
      </c>
      <c r="H1361" s="17">
        <f t="shared" si="855"/>
        <v>16</v>
      </c>
      <c r="I1361" s="81">
        <v>45264</v>
      </c>
      <c r="J1361" s="52"/>
      <c r="K1361" s="15"/>
      <c r="L1361" s="16"/>
      <c r="M1361" s="36">
        <f t="shared" si="847"/>
        <v>0</v>
      </c>
      <c r="N1361" s="18"/>
      <c r="O1361" s="16"/>
      <c r="P1361" s="36">
        <f t="shared" si="848"/>
        <v>0</v>
      </c>
      <c r="Q1361" s="17">
        <f t="shared" si="849"/>
        <v>0</v>
      </c>
    </row>
    <row r="1362" spans="1:17" x14ac:dyDescent="0.15">
      <c r="A1362" s="35" t="s">
        <v>33</v>
      </c>
      <c r="B1362" s="15"/>
      <c r="C1362" s="16"/>
      <c r="D1362" s="36">
        <f t="shared" si="853"/>
        <v>0</v>
      </c>
      <c r="E1362" s="18"/>
      <c r="F1362" s="16">
        <v>1</v>
      </c>
      <c r="G1362" s="36">
        <f t="shared" si="854"/>
        <v>1</v>
      </c>
      <c r="H1362" s="17">
        <f t="shared" si="855"/>
        <v>1</v>
      </c>
      <c r="I1362" s="84">
        <v>45260</v>
      </c>
      <c r="J1362" s="52"/>
      <c r="K1362" s="15"/>
      <c r="L1362" s="16"/>
      <c r="M1362" s="36">
        <f t="shared" si="847"/>
        <v>0</v>
      </c>
      <c r="N1362" s="18"/>
      <c r="O1362" s="16"/>
      <c r="P1362" s="36">
        <f t="shared" si="848"/>
        <v>0</v>
      </c>
      <c r="Q1362" s="17">
        <f t="shared" si="849"/>
        <v>0</v>
      </c>
    </row>
    <row r="1363" spans="1:17" x14ac:dyDescent="0.15">
      <c r="A1363" s="35" t="s">
        <v>601</v>
      </c>
      <c r="B1363" s="15">
        <v>2</v>
      </c>
      <c r="C1363" s="16"/>
      <c r="D1363" s="36">
        <f t="shared" si="853"/>
        <v>2</v>
      </c>
      <c r="E1363" s="18">
        <v>2</v>
      </c>
      <c r="F1363" s="16"/>
      <c r="G1363" s="36">
        <f t="shared" si="854"/>
        <v>2</v>
      </c>
      <c r="H1363" s="17">
        <f t="shared" si="855"/>
        <v>4</v>
      </c>
      <c r="I1363" s="81">
        <v>45264</v>
      </c>
      <c r="J1363" s="52"/>
      <c r="K1363" s="15"/>
      <c r="L1363" s="16"/>
      <c r="M1363" s="36">
        <f t="shared" si="847"/>
        <v>0</v>
      </c>
      <c r="N1363" s="18"/>
      <c r="O1363" s="16"/>
      <c r="P1363" s="36">
        <f t="shared" si="848"/>
        <v>0</v>
      </c>
      <c r="Q1363" s="17">
        <f t="shared" si="849"/>
        <v>0</v>
      </c>
    </row>
    <row r="1364" spans="1:17" x14ac:dyDescent="0.15">
      <c r="A1364" s="35" t="s">
        <v>33</v>
      </c>
      <c r="B1364" s="15"/>
      <c r="C1364" s="16"/>
      <c r="D1364" s="36">
        <f t="shared" si="853"/>
        <v>0</v>
      </c>
      <c r="E1364" s="18"/>
      <c r="F1364" s="16">
        <v>2</v>
      </c>
      <c r="G1364" s="36">
        <f t="shared" si="854"/>
        <v>2</v>
      </c>
      <c r="H1364" s="17">
        <f t="shared" si="855"/>
        <v>2</v>
      </c>
      <c r="I1364" s="84">
        <v>45261</v>
      </c>
      <c r="J1364" s="52"/>
      <c r="K1364" s="15"/>
      <c r="L1364" s="16"/>
      <c r="M1364" s="36">
        <f t="shared" si="847"/>
        <v>0</v>
      </c>
      <c r="N1364" s="18"/>
      <c r="O1364" s="16"/>
      <c r="P1364" s="36">
        <f t="shared" si="848"/>
        <v>0</v>
      </c>
      <c r="Q1364" s="17">
        <f t="shared" si="849"/>
        <v>0</v>
      </c>
    </row>
    <row r="1365" spans="1:17" x14ac:dyDescent="0.15">
      <c r="A1365" s="35" t="s">
        <v>602</v>
      </c>
      <c r="B1365" s="15">
        <v>5</v>
      </c>
      <c r="C1365" s="16">
        <v>6</v>
      </c>
      <c r="D1365" s="36">
        <f t="shared" si="853"/>
        <v>11</v>
      </c>
      <c r="E1365" s="18">
        <v>5</v>
      </c>
      <c r="F1365" s="16">
        <v>6</v>
      </c>
      <c r="G1365" s="36">
        <f t="shared" si="854"/>
        <v>11</v>
      </c>
      <c r="H1365" s="17">
        <f t="shared" si="855"/>
        <v>22</v>
      </c>
      <c r="I1365" s="81">
        <v>45266</v>
      </c>
      <c r="J1365" s="52"/>
      <c r="K1365" s="15"/>
      <c r="L1365" s="16"/>
      <c r="M1365" s="36">
        <f t="shared" si="847"/>
        <v>0</v>
      </c>
      <c r="N1365" s="18"/>
      <c r="O1365" s="16"/>
      <c r="P1365" s="36">
        <f t="shared" si="848"/>
        <v>0</v>
      </c>
      <c r="Q1365" s="17">
        <f t="shared" si="849"/>
        <v>0</v>
      </c>
    </row>
    <row r="1366" spans="1:17" x14ac:dyDescent="0.15">
      <c r="A1366" s="35" t="s">
        <v>33</v>
      </c>
      <c r="B1366" s="15"/>
      <c r="C1366" s="16"/>
      <c r="D1366" s="36">
        <f t="shared" si="853"/>
        <v>0</v>
      </c>
      <c r="E1366" s="18">
        <v>3</v>
      </c>
      <c r="F1366" s="16">
        <v>2</v>
      </c>
      <c r="G1366" s="36">
        <f t="shared" si="854"/>
        <v>5</v>
      </c>
      <c r="H1366" s="17">
        <f t="shared" si="855"/>
        <v>5</v>
      </c>
      <c r="I1366" s="84">
        <v>45264</v>
      </c>
      <c r="J1366" s="52"/>
      <c r="K1366" s="15"/>
      <c r="L1366" s="16"/>
      <c r="M1366" s="36">
        <f t="shared" si="847"/>
        <v>0</v>
      </c>
      <c r="N1366" s="18"/>
      <c r="O1366" s="16"/>
      <c r="P1366" s="36">
        <f t="shared" si="848"/>
        <v>0</v>
      </c>
      <c r="Q1366" s="17">
        <f t="shared" si="849"/>
        <v>0</v>
      </c>
    </row>
    <row r="1367" spans="1:17" x14ac:dyDescent="0.15">
      <c r="A1367" s="35" t="s">
        <v>603</v>
      </c>
      <c r="B1367" s="15"/>
      <c r="C1367" s="16">
        <v>3</v>
      </c>
      <c r="D1367" s="36">
        <f t="shared" si="853"/>
        <v>3</v>
      </c>
      <c r="E1367" s="18"/>
      <c r="F1367" s="16">
        <v>3</v>
      </c>
      <c r="G1367" s="36">
        <f t="shared" si="854"/>
        <v>3</v>
      </c>
      <c r="H1367" s="17">
        <f t="shared" si="855"/>
        <v>6</v>
      </c>
      <c r="I1367" s="81">
        <v>45267</v>
      </c>
      <c r="J1367" s="52"/>
      <c r="K1367" s="15"/>
      <c r="L1367" s="16"/>
      <c r="M1367" s="36">
        <f t="shared" ref="M1367:M1372" si="856">SUM(K1367:L1367)</f>
        <v>0</v>
      </c>
      <c r="N1367" s="18"/>
      <c r="O1367" s="16"/>
      <c r="P1367" s="36">
        <f t="shared" ref="P1367:P1372" si="857">SUM(N1367:O1367)</f>
        <v>0</v>
      </c>
      <c r="Q1367" s="17">
        <f t="shared" ref="Q1367:Q1372" si="858">M1367+P1367</f>
        <v>0</v>
      </c>
    </row>
    <row r="1368" spans="1:17" x14ac:dyDescent="0.15">
      <c r="A1368" s="35" t="s">
        <v>33</v>
      </c>
      <c r="B1368" s="15"/>
      <c r="C1368" s="16">
        <v>1</v>
      </c>
      <c r="D1368" s="36">
        <f t="shared" si="853"/>
        <v>1</v>
      </c>
      <c r="E1368" s="18">
        <v>1</v>
      </c>
      <c r="F1368" s="16"/>
      <c r="G1368" s="36">
        <f t="shared" si="854"/>
        <v>1</v>
      </c>
      <c r="H1368" s="17">
        <f t="shared" si="855"/>
        <v>2</v>
      </c>
      <c r="I1368" s="81">
        <v>45265</v>
      </c>
      <c r="J1368" s="52"/>
      <c r="K1368" s="15"/>
      <c r="L1368" s="16"/>
      <c r="M1368" s="36">
        <f t="shared" si="856"/>
        <v>0</v>
      </c>
      <c r="N1368" s="18"/>
      <c r="O1368" s="16"/>
      <c r="P1368" s="36">
        <f t="shared" si="857"/>
        <v>0</v>
      </c>
      <c r="Q1368" s="17">
        <f t="shared" si="858"/>
        <v>0</v>
      </c>
    </row>
    <row r="1369" spans="1:17" x14ac:dyDescent="0.15">
      <c r="A1369" s="35" t="s">
        <v>604</v>
      </c>
      <c r="B1369" s="15">
        <v>6</v>
      </c>
      <c r="C1369" s="16">
        <v>3</v>
      </c>
      <c r="D1369" s="36">
        <f t="shared" si="853"/>
        <v>9</v>
      </c>
      <c r="E1369" s="18">
        <v>6</v>
      </c>
      <c r="F1369" s="16">
        <v>3</v>
      </c>
      <c r="G1369" s="36">
        <f t="shared" si="854"/>
        <v>9</v>
      </c>
      <c r="H1369" s="17">
        <f t="shared" si="855"/>
        <v>18</v>
      </c>
      <c r="I1369" s="81">
        <v>45268</v>
      </c>
      <c r="J1369" s="52"/>
      <c r="K1369" s="15"/>
      <c r="L1369" s="16"/>
      <c r="M1369" s="36">
        <f t="shared" si="856"/>
        <v>0</v>
      </c>
      <c r="N1369" s="18"/>
      <c r="O1369" s="16"/>
      <c r="P1369" s="36">
        <f t="shared" si="857"/>
        <v>0</v>
      </c>
      <c r="Q1369" s="17">
        <f t="shared" si="858"/>
        <v>0</v>
      </c>
    </row>
    <row r="1370" spans="1:17" x14ac:dyDescent="0.15">
      <c r="A1370" s="35" t="s">
        <v>33</v>
      </c>
      <c r="B1370" s="15"/>
      <c r="C1370" s="16"/>
      <c r="D1370" s="36">
        <f t="shared" si="853"/>
        <v>0</v>
      </c>
      <c r="E1370" s="18"/>
      <c r="F1370" s="16">
        <v>3</v>
      </c>
      <c r="G1370" s="36">
        <f t="shared" si="854"/>
        <v>3</v>
      </c>
      <c r="H1370" s="17">
        <f t="shared" si="855"/>
        <v>3</v>
      </c>
      <c r="I1370" s="81">
        <v>45267</v>
      </c>
      <c r="J1370" s="52"/>
      <c r="K1370" s="15"/>
      <c r="L1370" s="16"/>
      <c r="M1370" s="36">
        <f t="shared" si="856"/>
        <v>0</v>
      </c>
      <c r="N1370" s="18"/>
      <c r="O1370" s="16"/>
      <c r="P1370" s="36">
        <f t="shared" si="857"/>
        <v>0</v>
      </c>
      <c r="Q1370" s="17">
        <f t="shared" si="858"/>
        <v>0</v>
      </c>
    </row>
    <row r="1371" spans="1:17" x14ac:dyDescent="0.15">
      <c r="A1371" s="35" t="s">
        <v>605</v>
      </c>
      <c r="B1371" s="15"/>
      <c r="C1371" s="16">
        <v>1</v>
      </c>
      <c r="D1371" s="36">
        <f t="shared" si="844"/>
        <v>1</v>
      </c>
      <c r="E1371" s="18"/>
      <c r="F1371" s="16">
        <v>1</v>
      </c>
      <c r="G1371" s="36">
        <f t="shared" si="845"/>
        <v>1</v>
      </c>
      <c r="H1371" s="17">
        <f t="shared" si="846"/>
        <v>2</v>
      </c>
      <c r="I1371" s="81">
        <v>45268</v>
      </c>
      <c r="J1371" s="52"/>
      <c r="K1371" s="15"/>
      <c r="L1371" s="16"/>
      <c r="M1371" s="36">
        <f t="shared" si="856"/>
        <v>0</v>
      </c>
      <c r="N1371" s="18"/>
      <c r="O1371" s="16"/>
      <c r="P1371" s="36">
        <f t="shared" si="857"/>
        <v>0</v>
      </c>
      <c r="Q1371" s="17">
        <f t="shared" si="858"/>
        <v>0</v>
      </c>
    </row>
    <row r="1372" spans="1:17" ht="14.25" thickBot="1" x14ac:dyDescent="0.2">
      <c r="A1372" s="35" t="s">
        <v>607</v>
      </c>
      <c r="B1372" s="15">
        <v>1</v>
      </c>
      <c r="C1372" s="16">
        <v>1</v>
      </c>
      <c r="D1372" s="36">
        <f t="shared" si="844"/>
        <v>2</v>
      </c>
      <c r="E1372" s="18">
        <v>1</v>
      </c>
      <c r="F1372" s="16">
        <v>1</v>
      </c>
      <c r="G1372" s="36">
        <f t="shared" si="845"/>
        <v>2</v>
      </c>
      <c r="H1372" s="17">
        <f t="shared" si="846"/>
        <v>4</v>
      </c>
      <c r="I1372" s="81">
        <v>45273</v>
      </c>
      <c r="J1372" s="52"/>
      <c r="K1372" s="15"/>
      <c r="L1372" s="16"/>
      <c r="M1372" s="36">
        <f t="shared" si="856"/>
        <v>0</v>
      </c>
      <c r="N1372" s="18"/>
      <c r="O1372" s="16"/>
      <c r="P1372" s="36">
        <f t="shared" si="857"/>
        <v>0</v>
      </c>
      <c r="Q1372" s="17">
        <f t="shared" si="858"/>
        <v>0</v>
      </c>
    </row>
    <row r="1373" spans="1:17" ht="14.25" thickBot="1" x14ac:dyDescent="0.2">
      <c r="A1373" s="40" t="s">
        <v>14</v>
      </c>
      <c r="B1373" s="41">
        <f>SUM(B1347:B1372)</f>
        <v>22</v>
      </c>
      <c r="C1373" s="42">
        <f t="shared" ref="C1373" si="859">SUM(C1347:C1372)</f>
        <v>26</v>
      </c>
      <c r="D1373" s="43">
        <f t="shared" si="844"/>
        <v>48</v>
      </c>
      <c r="E1373" s="41">
        <f>SUM(E1347:E1372)</f>
        <v>43</v>
      </c>
      <c r="F1373" s="42">
        <f t="shared" ref="F1373" si="860">SUM(F1347:F1372)</f>
        <v>40</v>
      </c>
      <c r="G1373" s="43">
        <f t="shared" si="845"/>
        <v>83</v>
      </c>
      <c r="H1373" s="43">
        <f t="shared" si="846"/>
        <v>131</v>
      </c>
      <c r="J1373" s="40" t="s">
        <v>14</v>
      </c>
      <c r="K1373" s="41">
        <f>SUM(K1347:K1372)</f>
        <v>22</v>
      </c>
      <c r="L1373" s="42">
        <f t="shared" ref="L1373" si="861">SUM(L1347:L1372)</f>
        <v>32</v>
      </c>
      <c r="M1373" s="43">
        <f t="shared" si="847"/>
        <v>54</v>
      </c>
      <c r="N1373" s="41">
        <f>SUM(N1347:N1372)</f>
        <v>42</v>
      </c>
      <c r="O1373" s="42">
        <f t="shared" ref="O1373" si="862">SUM(O1347:O1372)</f>
        <v>47</v>
      </c>
      <c r="P1373" s="43">
        <f t="shared" si="848"/>
        <v>89</v>
      </c>
      <c r="Q1373" s="43">
        <f t="shared" si="849"/>
        <v>143</v>
      </c>
    </row>
    <row r="1374" spans="1:17" ht="14.25" thickBot="1" x14ac:dyDescent="0.2">
      <c r="A1374" s="44" t="s">
        <v>15</v>
      </c>
      <c r="B1374" s="45">
        <f>B1346-B1373</f>
        <v>8</v>
      </c>
      <c r="C1374" s="46">
        <f t="shared" ref="C1374" si="863">C1346-C1373</f>
        <v>13</v>
      </c>
      <c r="D1374" s="47">
        <f t="shared" si="844"/>
        <v>21</v>
      </c>
      <c r="E1374" s="45">
        <f>E1346-E1373</f>
        <v>11</v>
      </c>
      <c r="F1374" s="46">
        <f t="shared" ref="F1374" si="864">F1346-F1373</f>
        <v>10</v>
      </c>
      <c r="G1374" s="47">
        <f t="shared" si="845"/>
        <v>21</v>
      </c>
      <c r="H1374" s="34">
        <f t="shared" si="846"/>
        <v>42</v>
      </c>
      <c r="J1374" s="44" t="s">
        <v>15</v>
      </c>
      <c r="K1374" s="45">
        <f>K1346-K1373</f>
        <v>1083</v>
      </c>
      <c r="L1374" s="46">
        <f t="shared" ref="L1374" si="865">L1346-L1373</f>
        <v>550</v>
      </c>
      <c r="M1374" s="47">
        <f t="shared" si="847"/>
        <v>1633</v>
      </c>
      <c r="N1374" s="45">
        <f>N1346-N1373</f>
        <v>1082</v>
      </c>
      <c r="O1374" s="46">
        <f t="shared" ref="O1374" si="866">O1346-O1373</f>
        <v>110</v>
      </c>
      <c r="P1374" s="47">
        <f t="shared" si="848"/>
        <v>1192</v>
      </c>
      <c r="Q1374" s="34">
        <f t="shared" si="849"/>
        <v>2825</v>
      </c>
    </row>
    <row r="1377" spans="1:18" ht="19.5" thickBot="1" x14ac:dyDescent="0.25">
      <c r="A1377" s="1" t="s">
        <v>23</v>
      </c>
      <c r="J1377" s="1" t="s">
        <v>24</v>
      </c>
      <c r="K1377" s="2"/>
      <c r="L1377" s="2"/>
      <c r="M1377" s="2"/>
      <c r="N1377" s="2"/>
      <c r="O1377" s="1" t="s">
        <v>34</v>
      </c>
      <c r="P1377" s="2"/>
      <c r="Q1377" s="2"/>
    </row>
    <row r="1378" spans="1:18" ht="14.25" thickBot="1" x14ac:dyDescent="0.2">
      <c r="A1378" s="3" t="s">
        <v>0</v>
      </c>
      <c r="B1378" s="120" t="s">
        <v>18</v>
      </c>
      <c r="C1378" s="121"/>
      <c r="D1378" s="122"/>
      <c r="E1378" s="120" t="s">
        <v>19</v>
      </c>
      <c r="F1378" s="121"/>
      <c r="G1378" s="122"/>
      <c r="H1378" s="123" t="s">
        <v>1</v>
      </c>
      <c r="J1378" s="3" t="s">
        <v>0</v>
      </c>
      <c r="K1378" s="120" t="s">
        <v>18</v>
      </c>
      <c r="L1378" s="121"/>
      <c r="M1378" s="122"/>
      <c r="N1378" s="120" t="s">
        <v>19</v>
      </c>
      <c r="O1378" s="121"/>
      <c r="P1378" s="122"/>
      <c r="Q1378" s="123" t="s">
        <v>1</v>
      </c>
    </row>
    <row r="1379" spans="1:18" ht="14.25" thickBot="1" x14ac:dyDescent="0.2">
      <c r="A1379" s="3" t="s">
        <v>2</v>
      </c>
      <c r="B1379" s="4" t="s">
        <v>16</v>
      </c>
      <c r="C1379" s="5" t="s">
        <v>17</v>
      </c>
      <c r="D1379" s="3" t="s">
        <v>3</v>
      </c>
      <c r="E1379" s="4" t="s">
        <v>16</v>
      </c>
      <c r="F1379" s="5" t="s">
        <v>17</v>
      </c>
      <c r="G1379" s="3" t="s">
        <v>3</v>
      </c>
      <c r="H1379" s="124"/>
      <c r="J1379" s="3" t="s">
        <v>2</v>
      </c>
      <c r="K1379" s="4" t="s">
        <v>16</v>
      </c>
      <c r="L1379" s="5" t="s">
        <v>17</v>
      </c>
      <c r="M1379" s="3" t="s">
        <v>3</v>
      </c>
      <c r="N1379" s="4" t="s">
        <v>16</v>
      </c>
      <c r="O1379" s="5" t="s">
        <v>17</v>
      </c>
      <c r="P1379" s="3" t="s">
        <v>3</v>
      </c>
      <c r="Q1379" s="124"/>
    </row>
    <row r="1380" spans="1:18" ht="14.25" thickBot="1" x14ac:dyDescent="0.2">
      <c r="A1380" s="6" t="s">
        <v>55</v>
      </c>
      <c r="B1380" s="32">
        <f>B1374</f>
        <v>8</v>
      </c>
      <c r="C1380" s="33">
        <f>C1374</f>
        <v>13</v>
      </c>
      <c r="D1380" s="34">
        <f t="shared" ref="D1380:D1417" si="867">SUM(B1380:C1380)</f>
        <v>21</v>
      </c>
      <c r="E1380" s="32">
        <f>E1374</f>
        <v>11</v>
      </c>
      <c r="F1380" s="33">
        <f>F1374</f>
        <v>10</v>
      </c>
      <c r="G1380" s="34">
        <f t="shared" ref="G1380:G1417" si="868">SUM(E1380:F1380)</f>
        <v>21</v>
      </c>
      <c r="H1380" s="34">
        <f t="shared" ref="H1380:H1417" si="869">D1380+G1380</f>
        <v>42</v>
      </c>
      <c r="J1380" s="6" t="s">
        <v>55</v>
      </c>
      <c r="K1380" s="32">
        <f>K1374</f>
        <v>1083</v>
      </c>
      <c r="L1380" s="33">
        <f>L1374</f>
        <v>550</v>
      </c>
      <c r="M1380" s="34">
        <f t="shared" ref="M1380:M1417" si="870">SUM(K1380:L1380)</f>
        <v>1633</v>
      </c>
      <c r="N1380" s="32">
        <f>N1374</f>
        <v>1082</v>
      </c>
      <c r="O1380" s="33">
        <f>O1374</f>
        <v>110</v>
      </c>
      <c r="P1380" s="34">
        <f t="shared" ref="P1380:P1417" si="871">SUM(N1380:O1380)</f>
        <v>1192</v>
      </c>
      <c r="Q1380" s="34">
        <f t="shared" ref="Q1380:Q1417" si="872">M1380+P1380</f>
        <v>2825</v>
      </c>
    </row>
    <row r="1381" spans="1:18" x14ac:dyDescent="0.15">
      <c r="A1381" s="10" t="s">
        <v>5</v>
      </c>
      <c r="B1381" s="23">
        <v>20</v>
      </c>
      <c r="C1381" s="24">
        <v>5</v>
      </c>
      <c r="D1381" s="17">
        <f t="shared" ref="D1381:D1384" si="873">SUM(B1381:C1381)</f>
        <v>25</v>
      </c>
      <c r="E1381" s="25">
        <v>10</v>
      </c>
      <c r="F1381" s="24">
        <v>5</v>
      </c>
      <c r="G1381" s="17">
        <f t="shared" ref="G1381:G1384" si="874">SUM(E1381:F1381)</f>
        <v>15</v>
      </c>
      <c r="H1381" s="17">
        <f t="shared" ref="H1381:H1384" si="875">D1381+G1381</f>
        <v>40</v>
      </c>
      <c r="I1381" s="81">
        <v>45272</v>
      </c>
      <c r="J1381" s="10" t="s">
        <v>5</v>
      </c>
      <c r="K1381" s="19"/>
      <c r="L1381" s="20"/>
      <c r="M1381" s="36">
        <f t="shared" si="870"/>
        <v>0</v>
      </c>
      <c r="N1381" s="21"/>
      <c r="O1381" s="20"/>
      <c r="P1381" s="36">
        <f t="shared" si="871"/>
        <v>0</v>
      </c>
      <c r="Q1381" s="36">
        <f t="shared" si="872"/>
        <v>0</v>
      </c>
    </row>
    <row r="1382" spans="1:18" x14ac:dyDescent="0.15">
      <c r="A1382" s="10" t="s">
        <v>6</v>
      </c>
      <c r="B1382" s="23">
        <v>10</v>
      </c>
      <c r="C1382" s="24">
        <v>10</v>
      </c>
      <c r="D1382" s="17">
        <f t="shared" si="873"/>
        <v>20</v>
      </c>
      <c r="E1382" s="25">
        <v>15</v>
      </c>
      <c r="F1382" s="24">
        <v>15</v>
      </c>
      <c r="G1382" s="17">
        <f t="shared" si="874"/>
        <v>30</v>
      </c>
      <c r="H1382" s="17">
        <f t="shared" si="875"/>
        <v>50</v>
      </c>
      <c r="I1382" s="81">
        <v>45276</v>
      </c>
      <c r="J1382" s="10" t="s">
        <v>6</v>
      </c>
      <c r="K1382" s="15"/>
      <c r="L1382" s="16"/>
      <c r="M1382" s="17">
        <f t="shared" si="870"/>
        <v>0</v>
      </c>
      <c r="N1382" s="18"/>
      <c r="O1382" s="16"/>
      <c r="P1382" s="17">
        <f t="shared" si="871"/>
        <v>0</v>
      </c>
      <c r="Q1382" s="17">
        <f t="shared" si="872"/>
        <v>0</v>
      </c>
    </row>
    <row r="1383" spans="1:18" x14ac:dyDescent="0.15">
      <c r="A1383" s="10" t="s">
        <v>7</v>
      </c>
      <c r="B1383" s="23">
        <v>5</v>
      </c>
      <c r="C1383" s="24">
        <v>5</v>
      </c>
      <c r="D1383" s="17">
        <f t="shared" si="873"/>
        <v>10</v>
      </c>
      <c r="E1383" s="25">
        <v>5</v>
      </c>
      <c r="F1383" s="24">
        <v>10</v>
      </c>
      <c r="G1383" s="17">
        <f t="shared" si="874"/>
        <v>15</v>
      </c>
      <c r="H1383" s="17">
        <f t="shared" si="875"/>
        <v>25</v>
      </c>
      <c r="I1383" s="81">
        <v>45279</v>
      </c>
      <c r="J1383" s="10" t="s">
        <v>7</v>
      </c>
      <c r="K1383" s="15"/>
      <c r="L1383" s="16"/>
      <c r="M1383" s="17">
        <f t="shared" si="870"/>
        <v>0</v>
      </c>
      <c r="N1383" s="18"/>
      <c r="O1383" s="16"/>
      <c r="P1383" s="17">
        <f t="shared" si="871"/>
        <v>0</v>
      </c>
      <c r="Q1383" s="17">
        <f t="shared" si="872"/>
        <v>0</v>
      </c>
    </row>
    <row r="1384" spans="1:18" x14ac:dyDescent="0.15">
      <c r="A1384" s="10" t="s">
        <v>8</v>
      </c>
      <c r="B1384" s="23"/>
      <c r="C1384" s="24"/>
      <c r="D1384" s="17">
        <f t="shared" si="873"/>
        <v>0</v>
      </c>
      <c r="E1384" s="25"/>
      <c r="F1384" s="24">
        <v>10</v>
      </c>
      <c r="G1384" s="17">
        <f t="shared" si="874"/>
        <v>10</v>
      </c>
      <c r="H1384" s="17">
        <f t="shared" si="875"/>
        <v>10</v>
      </c>
      <c r="I1384" s="81">
        <v>45285</v>
      </c>
      <c r="J1384" s="10" t="s">
        <v>8</v>
      </c>
      <c r="K1384" s="15"/>
      <c r="L1384" s="16"/>
      <c r="M1384" s="17">
        <f t="shared" si="870"/>
        <v>0</v>
      </c>
      <c r="N1384" s="18"/>
      <c r="O1384" s="16"/>
      <c r="P1384" s="17">
        <f t="shared" si="871"/>
        <v>0</v>
      </c>
      <c r="Q1384" s="17">
        <f t="shared" si="872"/>
        <v>0</v>
      </c>
    </row>
    <row r="1385" spans="1:18" x14ac:dyDescent="0.15">
      <c r="A1385" s="10" t="s">
        <v>9</v>
      </c>
      <c r="B1385" s="23"/>
      <c r="C1385" s="24">
        <v>5</v>
      </c>
      <c r="D1385" s="17">
        <f t="shared" si="867"/>
        <v>5</v>
      </c>
      <c r="E1385" s="25"/>
      <c r="F1385" s="24"/>
      <c r="G1385" s="17">
        <f t="shared" si="868"/>
        <v>0</v>
      </c>
      <c r="H1385" s="17">
        <f t="shared" si="869"/>
        <v>5</v>
      </c>
      <c r="I1385" s="81">
        <v>45287</v>
      </c>
      <c r="J1385" s="10" t="s">
        <v>9</v>
      </c>
      <c r="K1385" s="15"/>
      <c r="L1385" s="16"/>
      <c r="M1385" s="17">
        <f t="shared" si="870"/>
        <v>0</v>
      </c>
      <c r="N1385" s="18"/>
      <c r="O1385" s="16"/>
      <c r="P1385" s="17">
        <f t="shared" si="871"/>
        <v>0</v>
      </c>
      <c r="Q1385" s="17">
        <f t="shared" si="872"/>
        <v>0</v>
      </c>
    </row>
    <row r="1386" spans="1:18" x14ac:dyDescent="0.15">
      <c r="A1386" s="10" t="s">
        <v>61</v>
      </c>
      <c r="B1386" s="23">
        <v>2</v>
      </c>
      <c r="C1386" s="24"/>
      <c r="D1386" s="17">
        <f t="shared" si="867"/>
        <v>2</v>
      </c>
      <c r="E1386" s="25">
        <v>2</v>
      </c>
      <c r="F1386" s="24"/>
      <c r="G1386" s="17">
        <f t="shared" si="868"/>
        <v>2</v>
      </c>
      <c r="H1386" s="17">
        <f t="shared" si="869"/>
        <v>4</v>
      </c>
      <c r="I1386" s="81">
        <v>45286</v>
      </c>
      <c r="J1386" s="10" t="s">
        <v>10</v>
      </c>
      <c r="K1386" s="15"/>
      <c r="L1386" s="16"/>
      <c r="M1386" s="17">
        <f t="shared" si="870"/>
        <v>0</v>
      </c>
      <c r="N1386" s="18"/>
      <c r="O1386" s="16"/>
      <c r="P1386" s="17">
        <f t="shared" si="871"/>
        <v>0</v>
      </c>
      <c r="Q1386" s="17">
        <f t="shared" si="872"/>
        <v>0</v>
      </c>
    </row>
    <row r="1387" spans="1:18" x14ac:dyDescent="0.15">
      <c r="A1387" s="10" t="s">
        <v>11</v>
      </c>
      <c r="B1387" s="23">
        <v>5</v>
      </c>
      <c r="C1387" s="24">
        <v>5</v>
      </c>
      <c r="D1387" s="17">
        <f t="shared" si="867"/>
        <v>10</v>
      </c>
      <c r="E1387" s="25">
        <v>10</v>
      </c>
      <c r="F1387" s="24">
        <v>5</v>
      </c>
      <c r="G1387" s="17">
        <f t="shared" si="868"/>
        <v>15</v>
      </c>
      <c r="H1387" s="17">
        <f t="shared" si="869"/>
        <v>25</v>
      </c>
      <c r="I1387" s="81">
        <v>45297</v>
      </c>
      <c r="J1387" s="10" t="s">
        <v>11</v>
      </c>
      <c r="K1387" s="23"/>
      <c r="L1387" s="24"/>
      <c r="M1387" s="17">
        <f t="shared" si="870"/>
        <v>0</v>
      </c>
      <c r="N1387" s="25"/>
      <c r="O1387" s="24"/>
      <c r="P1387" s="17">
        <f t="shared" si="871"/>
        <v>0</v>
      </c>
      <c r="Q1387" s="17">
        <f t="shared" si="872"/>
        <v>0</v>
      </c>
    </row>
    <row r="1388" spans="1:18" ht="14.25" thickBot="1" x14ac:dyDescent="0.2">
      <c r="A1388" s="10" t="s">
        <v>12</v>
      </c>
      <c r="B1388" s="26"/>
      <c r="C1388" s="27"/>
      <c r="D1388" s="28">
        <f t="shared" si="867"/>
        <v>0</v>
      </c>
      <c r="E1388" s="29"/>
      <c r="F1388" s="29"/>
      <c r="G1388" s="28">
        <f t="shared" si="868"/>
        <v>0</v>
      </c>
      <c r="H1388" s="30">
        <f t="shared" si="869"/>
        <v>0</v>
      </c>
      <c r="J1388" s="10" t="s">
        <v>12</v>
      </c>
      <c r="K1388" s="26"/>
      <c r="L1388" s="27"/>
      <c r="M1388" s="28">
        <f t="shared" si="870"/>
        <v>0</v>
      </c>
      <c r="N1388" s="29"/>
      <c r="O1388" s="29"/>
      <c r="P1388" s="28">
        <f t="shared" si="871"/>
        <v>0</v>
      </c>
      <c r="Q1388" s="30">
        <f t="shared" si="872"/>
        <v>0</v>
      </c>
    </row>
    <row r="1389" spans="1:18" ht="14.25" thickBot="1" x14ac:dyDescent="0.2">
      <c r="A1389" s="31" t="s">
        <v>13</v>
      </c>
      <c r="B1389" s="32">
        <f>SUM(B1380:B1388)</f>
        <v>50</v>
      </c>
      <c r="C1389" s="33">
        <f>SUM(C1380:C1388)</f>
        <v>43</v>
      </c>
      <c r="D1389" s="34">
        <f t="shared" si="867"/>
        <v>93</v>
      </c>
      <c r="E1389" s="32">
        <f>SUM(E1380:E1388)</f>
        <v>53</v>
      </c>
      <c r="F1389" s="33">
        <f>SUM(F1380:F1388)</f>
        <v>55</v>
      </c>
      <c r="G1389" s="34">
        <f t="shared" si="868"/>
        <v>108</v>
      </c>
      <c r="H1389" s="34">
        <f t="shared" si="869"/>
        <v>201</v>
      </c>
      <c r="J1389" s="31" t="s">
        <v>13</v>
      </c>
      <c r="K1389" s="32">
        <f>SUM(K1380:K1388)</f>
        <v>1083</v>
      </c>
      <c r="L1389" s="33">
        <f>SUM(L1380:L1388)</f>
        <v>550</v>
      </c>
      <c r="M1389" s="34">
        <f t="shared" si="870"/>
        <v>1633</v>
      </c>
      <c r="N1389" s="32">
        <f>SUM(N1380:N1388)</f>
        <v>1082</v>
      </c>
      <c r="O1389" s="33">
        <f>SUM(O1380:O1388)</f>
        <v>110</v>
      </c>
      <c r="P1389" s="34">
        <f t="shared" si="871"/>
        <v>1192</v>
      </c>
      <c r="Q1389" s="34">
        <f t="shared" si="872"/>
        <v>2825</v>
      </c>
    </row>
    <row r="1390" spans="1:18" x14ac:dyDescent="0.15">
      <c r="A1390" s="35" t="s">
        <v>33</v>
      </c>
      <c r="B1390" s="15"/>
      <c r="C1390" s="16"/>
      <c r="D1390" s="36">
        <f t="shared" ref="D1390:D1413" si="876">SUM(B1390:C1390)</f>
        <v>0</v>
      </c>
      <c r="E1390" s="18">
        <v>3</v>
      </c>
      <c r="F1390" s="16"/>
      <c r="G1390" s="36">
        <f t="shared" ref="G1390:G1413" si="877">SUM(E1390:F1390)</f>
        <v>3</v>
      </c>
      <c r="H1390" s="17">
        <f t="shared" ref="H1390:H1413" si="878">D1390+G1390</f>
        <v>3</v>
      </c>
      <c r="I1390" s="84">
        <v>45271</v>
      </c>
      <c r="J1390" s="52" t="s">
        <v>91</v>
      </c>
      <c r="K1390" s="15">
        <v>20</v>
      </c>
      <c r="L1390" s="16">
        <v>5</v>
      </c>
      <c r="M1390" s="36">
        <f t="shared" si="870"/>
        <v>25</v>
      </c>
      <c r="N1390" s="18">
        <v>10</v>
      </c>
      <c r="O1390" s="16">
        <v>5</v>
      </c>
      <c r="P1390" s="36">
        <f t="shared" si="871"/>
        <v>15</v>
      </c>
      <c r="Q1390" s="17">
        <f t="shared" si="872"/>
        <v>40</v>
      </c>
      <c r="R1390" s="81">
        <v>45272</v>
      </c>
    </row>
    <row r="1391" spans="1:18" x14ac:dyDescent="0.15">
      <c r="A1391" s="35" t="s">
        <v>608</v>
      </c>
      <c r="B1391" s="15">
        <v>10</v>
      </c>
      <c r="C1391" s="16"/>
      <c r="D1391" s="36">
        <f t="shared" si="876"/>
        <v>10</v>
      </c>
      <c r="E1391" s="18"/>
      <c r="F1391" s="16"/>
      <c r="G1391" s="36">
        <f t="shared" si="877"/>
        <v>0</v>
      </c>
      <c r="H1391" s="17">
        <f t="shared" si="878"/>
        <v>10</v>
      </c>
      <c r="I1391" s="84">
        <v>45272</v>
      </c>
      <c r="J1391" s="52" t="s">
        <v>91</v>
      </c>
      <c r="K1391" s="15">
        <v>10</v>
      </c>
      <c r="L1391" s="16">
        <v>10</v>
      </c>
      <c r="M1391" s="36">
        <f t="shared" si="870"/>
        <v>20</v>
      </c>
      <c r="N1391" s="18">
        <v>15</v>
      </c>
      <c r="O1391" s="16">
        <v>15</v>
      </c>
      <c r="P1391" s="36">
        <f t="shared" si="871"/>
        <v>30</v>
      </c>
      <c r="Q1391" s="17">
        <f t="shared" si="872"/>
        <v>50</v>
      </c>
      <c r="R1391" s="81">
        <v>45275</v>
      </c>
    </row>
    <row r="1392" spans="1:18" x14ac:dyDescent="0.15">
      <c r="A1392" s="35" t="s">
        <v>609</v>
      </c>
      <c r="B1392" s="15">
        <v>5</v>
      </c>
      <c r="C1392" s="16">
        <v>5</v>
      </c>
      <c r="D1392" s="36">
        <f t="shared" si="876"/>
        <v>10</v>
      </c>
      <c r="E1392" s="18">
        <v>5</v>
      </c>
      <c r="F1392" s="16">
        <v>5</v>
      </c>
      <c r="G1392" s="36">
        <f t="shared" si="877"/>
        <v>10</v>
      </c>
      <c r="H1392" s="17">
        <f t="shared" si="878"/>
        <v>20</v>
      </c>
      <c r="I1392" s="81">
        <v>45274</v>
      </c>
      <c r="J1392" s="52" t="s">
        <v>91</v>
      </c>
      <c r="K1392" s="15">
        <v>5</v>
      </c>
      <c r="L1392" s="16">
        <v>5</v>
      </c>
      <c r="M1392" s="36">
        <f t="shared" si="870"/>
        <v>10</v>
      </c>
      <c r="N1392" s="18">
        <v>5</v>
      </c>
      <c r="O1392" s="16">
        <v>10</v>
      </c>
      <c r="P1392" s="36">
        <f t="shared" si="871"/>
        <v>15</v>
      </c>
      <c r="Q1392" s="17">
        <f t="shared" si="872"/>
        <v>25</v>
      </c>
      <c r="R1392" s="81">
        <v>45279</v>
      </c>
    </row>
    <row r="1393" spans="1:18" x14ac:dyDescent="0.15">
      <c r="A1393" s="35" t="s">
        <v>33</v>
      </c>
      <c r="B1393" s="15"/>
      <c r="C1393" s="16"/>
      <c r="D1393" s="36">
        <f t="shared" si="876"/>
        <v>0</v>
      </c>
      <c r="E1393" s="18">
        <v>2</v>
      </c>
      <c r="F1393" s="16"/>
      <c r="G1393" s="36">
        <f t="shared" si="877"/>
        <v>2</v>
      </c>
      <c r="H1393" s="17">
        <f t="shared" si="878"/>
        <v>2</v>
      </c>
      <c r="I1393" s="84">
        <v>45273</v>
      </c>
      <c r="J1393" s="52" t="s">
        <v>91</v>
      </c>
      <c r="K1393" s="15"/>
      <c r="L1393" s="16"/>
      <c r="M1393" s="36">
        <f t="shared" si="870"/>
        <v>0</v>
      </c>
      <c r="N1393" s="18"/>
      <c r="O1393" s="16">
        <v>10</v>
      </c>
      <c r="P1393" s="36">
        <f t="shared" si="871"/>
        <v>10</v>
      </c>
      <c r="Q1393" s="17">
        <f t="shared" si="872"/>
        <v>10</v>
      </c>
      <c r="R1393" s="81">
        <v>45285</v>
      </c>
    </row>
    <row r="1394" spans="1:18" x14ac:dyDescent="0.15">
      <c r="A1394" s="35" t="s">
        <v>610</v>
      </c>
      <c r="B1394" s="15"/>
      <c r="C1394" s="16">
        <v>3</v>
      </c>
      <c r="D1394" s="36">
        <f t="shared" si="876"/>
        <v>3</v>
      </c>
      <c r="E1394" s="18"/>
      <c r="F1394" s="16">
        <v>3</v>
      </c>
      <c r="G1394" s="36">
        <f t="shared" si="877"/>
        <v>3</v>
      </c>
      <c r="H1394" s="17">
        <f t="shared" si="878"/>
        <v>6</v>
      </c>
      <c r="I1394" s="81">
        <v>45275</v>
      </c>
      <c r="J1394" s="52" t="s">
        <v>91</v>
      </c>
      <c r="K1394" s="15"/>
      <c r="L1394" s="16">
        <v>5</v>
      </c>
      <c r="M1394" s="36">
        <f t="shared" ref="M1394:M1413" si="879">SUM(K1394:L1394)</f>
        <v>5</v>
      </c>
      <c r="N1394" s="18"/>
      <c r="O1394" s="16"/>
      <c r="P1394" s="36">
        <f t="shared" ref="P1394:P1413" si="880">SUM(N1394:O1394)</f>
        <v>0</v>
      </c>
      <c r="Q1394" s="17">
        <f t="shared" ref="Q1394:Q1413" si="881">M1394+P1394</f>
        <v>5</v>
      </c>
      <c r="R1394" s="81">
        <v>45287</v>
      </c>
    </row>
    <row r="1395" spans="1:18" x14ac:dyDescent="0.15">
      <c r="A1395" s="35" t="s">
        <v>611</v>
      </c>
      <c r="B1395" s="15">
        <v>4</v>
      </c>
      <c r="C1395" s="16"/>
      <c r="D1395" s="36">
        <f t="shared" si="876"/>
        <v>4</v>
      </c>
      <c r="E1395" s="18">
        <v>4</v>
      </c>
      <c r="F1395" s="16"/>
      <c r="G1395" s="36">
        <f t="shared" si="877"/>
        <v>4</v>
      </c>
      <c r="H1395" s="17">
        <f t="shared" si="878"/>
        <v>8</v>
      </c>
      <c r="I1395" s="81">
        <v>45278</v>
      </c>
      <c r="J1395" s="52" t="s">
        <v>91</v>
      </c>
      <c r="K1395" s="15">
        <v>5</v>
      </c>
      <c r="L1395" s="16">
        <v>5</v>
      </c>
      <c r="M1395" s="36">
        <f t="shared" si="879"/>
        <v>10</v>
      </c>
      <c r="N1395" s="18">
        <v>10</v>
      </c>
      <c r="O1395" s="16">
        <v>5</v>
      </c>
      <c r="P1395" s="36">
        <f t="shared" si="880"/>
        <v>15</v>
      </c>
      <c r="Q1395" s="17">
        <f t="shared" si="881"/>
        <v>25</v>
      </c>
      <c r="R1395" s="81">
        <v>45297</v>
      </c>
    </row>
    <row r="1396" spans="1:18" x14ac:dyDescent="0.15">
      <c r="A1396" s="35" t="s">
        <v>33</v>
      </c>
      <c r="B1396" s="15"/>
      <c r="C1396" s="16"/>
      <c r="D1396" s="36">
        <f t="shared" si="876"/>
        <v>0</v>
      </c>
      <c r="E1396" s="18">
        <v>4</v>
      </c>
      <c r="F1396" s="16">
        <v>1</v>
      </c>
      <c r="G1396" s="36">
        <f t="shared" si="877"/>
        <v>5</v>
      </c>
      <c r="H1396" s="17">
        <f t="shared" si="878"/>
        <v>5</v>
      </c>
      <c r="I1396" s="84">
        <v>45275</v>
      </c>
      <c r="J1396" s="52" t="s">
        <v>91</v>
      </c>
      <c r="K1396" s="15">
        <v>10</v>
      </c>
      <c r="L1396" s="16"/>
      <c r="M1396" s="36">
        <f t="shared" si="879"/>
        <v>10</v>
      </c>
      <c r="N1396" s="18">
        <v>5</v>
      </c>
      <c r="O1396" s="16">
        <v>5</v>
      </c>
      <c r="P1396" s="36">
        <f t="shared" si="880"/>
        <v>10</v>
      </c>
      <c r="Q1396" s="17">
        <f t="shared" si="881"/>
        <v>20</v>
      </c>
      <c r="R1396" s="81">
        <v>45310</v>
      </c>
    </row>
    <row r="1397" spans="1:18" x14ac:dyDescent="0.15">
      <c r="A1397" s="35" t="s">
        <v>612</v>
      </c>
      <c r="B1397" s="15">
        <v>4</v>
      </c>
      <c r="C1397" s="16">
        <v>7</v>
      </c>
      <c r="D1397" s="36">
        <f t="shared" si="876"/>
        <v>11</v>
      </c>
      <c r="E1397" s="18">
        <v>4</v>
      </c>
      <c r="F1397" s="16">
        <v>7</v>
      </c>
      <c r="G1397" s="36">
        <f t="shared" si="877"/>
        <v>11</v>
      </c>
      <c r="H1397" s="17">
        <f t="shared" si="878"/>
        <v>22</v>
      </c>
      <c r="I1397" s="81">
        <v>45280</v>
      </c>
      <c r="J1397" s="52"/>
      <c r="K1397" s="15"/>
      <c r="L1397" s="16"/>
      <c r="M1397" s="36">
        <f t="shared" si="879"/>
        <v>0</v>
      </c>
      <c r="N1397" s="18"/>
      <c r="O1397" s="16"/>
      <c r="P1397" s="36">
        <f t="shared" si="880"/>
        <v>0</v>
      </c>
      <c r="Q1397" s="17">
        <f t="shared" si="881"/>
        <v>0</v>
      </c>
      <c r="R1397" s="83"/>
    </row>
    <row r="1398" spans="1:18" x14ac:dyDescent="0.15">
      <c r="A1398" s="35" t="s">
        <v>613</v>
      </c>
      <c r="B1398" s="15"/>
      <c r="C1398" s="16"/>
      <c r="D1398" s="36">
        <f t="shared" si="876"/>
        <v>0</v>
      </c>
      <c r="E1398" s="18"/>
      <c r="F1398" s="16">
        <v>1</v>
      </c>
      <c r="G1398" s="36">
        <f t="shared" si="877"/>
        <v>1</v>
      </c>
      <c r="H1398" s="17">
        <f t="shared" si="878"/>
        <v>1</v>
      </c>
      <c r="I1398" s="81">
        <v>45279</v>
      </c>
      <c r="J1398" s="52"/>
      <c r="K1398" s="15"/>
      <c r="L1398" s="16"/>
      <c r="M1398" s="36">
        <f t="shared" si="879"/>
        <v>0</v>
      </c>
      <c r="N1398" s="18"/>
      <c r="O1398" s="16"/>
      <c r="P1398" s="36">
        <f t="shared" si="880"/>
        <v>0</v>
      </c>
      <c r="Q1398" s="17">
        <f t="shared" si="881"/>
        <v>0</v>
      </c>
      <c r="R1398" s="83"/>
    </row>
    <row r="1399" spans="1:18" x14ac:dyDescent="0.15">
      <c r="A1399" s="35" t="s">
        <v>33</v>
      </c>
      <c r="B1399" s="15"/>
      <c r="C1399" s="16">
        <v>1</v>
      </c>
      <c r="D1399" s="36">
        <f t="shared" si="876"/>
        <v>1</v>
      </c>
      <c r="E1399" s="18"/>
      <c r="F1399" s="16">
        <v>4</v>
      </c>
      <c r="G1399" s="36">
        <f t="shared" si="877"/>
        <v>4</v>
      </c>
      <c r="H1399" s="17">
        <f t="shared" si="878"/>
        <v>5</v>
      </c>
      <c r="I1399" s="84">
        <v>45278</v>
      </c>
      <c r="J1399" s="52"/>
      <c r="K1399" s="15"/>
      <c r="L1399" s="16"/>
      <c r="M1399" s="36">
        <f t="shared" si="879"/>
        <v>0</v>
      </c>
      <c r="N1399" s="18"/>
      <c r="O1399" s="16"/>
      <c r="P1399" s="36">
        <f t="shared" si="880"/>
        <v>0</v>
      </c>
      <c r="Q1399" s="17">
        <f t="shared" si="881"/>
        <v>0</v>
      </c>
    </row>
    <row r="1400" spans="1:18" x14ac:dyDescent="0.15">
      <c r="A1400" s="35" t="s">
        <v>614</v>
      </c>
      <c r="B1400" s="15"/>
      <c r="C1400" s="16">
        <v>1</v>
      </c>
      <c r="D1400" s="36">
        <f t="shared" si="876"/>
        <v>1</v>
      </c>
      <c r="E1400" s="18"/>
      <c r="F1400" s="16">
        <v>1</v>
      </c>
      <c r="G1400" s="36">
        <f t="shared" si="877"/>
        <v>1</v>
      </c>
      <c r="H1400" s="17">
        <f t="shared" si="878"/>
        <v>2</v>
      </c>
      <c r="I1400" s="81">
        <v>45281</v>
      </c>
      <c r="J1400" s="52"/>
      <c r="K1400" s="15"/>
      <c r="L1400" s="16"/>
      <c r="M1400" s="36">
        <f t="shared" si="879"/>
        <v>0</v>
      </c>
      <c r="N1400" s="18"/>
      <c r="O1400" s="16"/>
      <c r="P1400" s="36">
        <f t="shared" si="880"/>
        <v>0</v>
      </c>
      <c r="Q1400" s="17">
        <f t="shared" si="881"/>
        <v>0</v>
      </c>
    </row>
    <row r="1401" spans="1:18" x14ac:dyDescent="0.15">
      <c r="A1401" s="35" t="s">
        <v>33</v>
      </c>
      <c r="B1401" s="15"/>
      <c r="C1401" s="16"/>
      <c r="D1401" s="36">
        <f t="shared" si="876"/>
        <v>0</v>
      </c>
      <c r="E1401" s="18"/>
      <c r="F1401" s="16">
        <v>2</v>
      </c>
      <c r="G1401" s="36">
        <f t="shared" si="877"/>
        <v>2</v>
      </c>
      <c r="H1401" s="17">
        <f t="shared" si="878"/>
        <v>2</v>
      </c>
      <c r="I1401" s="84">
        <v>45279</v>
      </c>
      <c r="J1401" s="52"/>
      <c r="K1401" s="15"/>
      <c r="L1401" s="16"/>
      <c r="M1401" s="36">
        <f t="shared" si="879"/>
        <v>0</v>
      </c>
      <c r="N1401" s="18"/>
      <c r="O1401" s="16"/>
      <c r="P1401" s="36">
        <f t="shared" si="880"/>
        <v>0</v>
      </c>
      <c r="Q1401" s="17">
        <f t="shared" si="881"/>
        <v>0</v>
      </c>
    </row>
    <row r="1402" spans="1:18" x14ac:dyDescent="0.15">
      <c r="A1402" s="35" t="s">
        <v>615</v>
      </c>
      <c r="B1402" s="15"/>
      <c r="C1402" s="16">
        <v>3</v>
      </c>
      <c r="D1402" s="36">
        <f t="shared" si="876"/>
        <v>3</v>
      </c>
      <c r="E1402" s="18"/>
      <c r="F1402" s="16">
        <v>3</v>
      </c>
      <c r="G1402" s="36">
        <f t="shared" si="877"/>
        <v>3</v>
      </c>
      <c r="H1402" s="17">
        <f t="shared" si="878"/>
        <v>6</v>
      </c>
      <c r="I1402" s="81">
        <v>45282</v>
      </c>
      <c r="J1402" s="52"/>
      <c r="K1402" s="15"/>
      <c r="L1402" s="16"/>
      <c r="M1402" s="36">
        <f t="shared" si="879"/>
        <v>0</v>
      </c>
      <c r="N1402" s="18"/>
      <c r="O1402" s="16"/>
      <c r="P1402" s="36">
        <f t="shared" si="880"/>
        <v>0</v>
      </c>
      <c r="Q1402" s="17">
        <f t="shared" si="881"/>
        <v>0</v>
      </c>
    </row>
    <row r="1403" spans="1:18" x14ac:dyDescent="0.15">
      <c r="A1403" s="35" t="s">
        <v>616</v>
      </c>
      <c r="B1403" s="15">
        <v>4</v>
      </c>
      <c r="C1403" s="16"/>
      <c r="D1403" s="36">
        <f t="shared" si="876"/>
        <v>4</v>
      </c>
      <c r="E1403" s="18">
        <v>4</v>
      </c>
      <c r="F1403" s="16"/>
      <c r="G1403" s="36">
        <f t="shared" si="877"/>
        <v>4</v>
      </c>
      <c r="H1403" s="17">
        <f t="shared" si="878"/>
        <v>8</v>
      </c>
      <c r="I1403" s="81">
        <v>45282</v>
      </c>
      <c r="J1403" s="52"/>
      <c r="K1403" s="15"/>
      <c r="L1403" s="16"/>
      <c r="M1403" s="36">
        <f t="shared" si="879"/>
        <v>0</v>
      </c>
      <c r="N1403" s="18"/>
      <c r="O1403" s="16"/>
      <c r="P1403" s="36">
        <f t="shared" si="880"/>
        <v>0</v>
      </c>
      <c r="Q1403" s="17">
        <f t="shared" si="881"/>
        <v>0</v>
      </c>
    </row>
    <row r="1404" spans="1:18" x14ac:dyDescent="0.15">
      <c r="A1404" s="35" t="s">
        <v>33</v>
      </c>
      <c r="B1404" s="15"/>
      <c r="C1404" s="16"/>
      <c r="D1404" s="36">
        <f t="shared" si="876"/>
        <v>0</v>
      </c>
      <c r="E1404" s="18"/>
      <c r="F1404" s="16">
        <v>1</v>
      </c>
      <c r="G1404" s="36">
        <f t="shared" si="877"/>
        <v>1</v>
      </c>
      <c r="H1404" s="17">
        <f t="shared" si="878"/>
        <v>1</v>
      </c>
      <c r="I1404" s="84">
        <v>45281</v>
      </c>
      <c r="J1404" s="52"/>
      <c r="K1404" s="15"/>
      <c r="L1404" s="16"/>
      <c r="M1404" s="36">
        <f t="shared" si="879"/>
        <v>0</v>
      </c>
      <c r="N1404" s="18"/>
      <c r="O1404" s="16"/>
      <c r="P1404" s="36">
        <f t="shared" si="880"/>
        <v>0</v>
      </c>
      <c r="Q1404" s="17">
        <f t="shared" si="881"/>
        <v>0</v>
      </c>
    </row>
    <row r="1405" spans="1:18" x14ac:dyDescent="0.15">
      <c r="A1405" s="35" t="s">
        <v>33</v>
      </c>
      <c r="B1405" s="15"/>
      <c r="C1405" s="16"/>
      <c r="D1405" s="36">
        <f t="shared" si="876"/>
        <v>0</v>
      </c>
      <c r="E1405" s="18"/>
      <c r="F1405" s="16">
        <v>4</v>
      </c>
      <c r="G1405" s="36">
        <f t="shared" si="877"/>
        <v>4</v>
      </c>
      <c r="H1405" s="17">
        <f t="shared" si="878"/>
        <v>4</v>
      </c>
      <c r="I1405" s="81">
        <v>45282</v>
      </c>
      <c r="J1405" s="52"/>
      <c r="K1405" s="15"/>
      <c r="L1405" s="16"/>
      <c r="M1405" s="36">
        <f t="shared" si="879"/>
        <v>0</v>
      </c>
      <c r="N1405" s="18"/>
      <c r="O1405" s="16"/>
      <c r="P1405" s="36">
        <f t="shared" si="880"/>
        <v>0</v>
      </c>
      <c r="Q1405" s="17">
        <f t="shared" si="881"/>
        <v>0</v>
      </c>
    </row>
    <row r="1406" spans="1:18" x14ac:dyDescent="0.15">
      <c r="A1406" s="35" t="s">
        <v>617</v>
      </c>
      <c r="B1406" s="15"/>
      <c r="C1406" s="16">
        <v>2</v>
      </c>
      <c r="D1406" s="36">
        <f t="shared" si="876"/>
        <v>2</v>
      </c>
      <c r="E1406" s="18"/>
      <c r="F1406" s="16">
        <v>2</v>
      </c>
      <c r="G1406" s="36">
        <f t="shared" si="877"/>
        <v>2</v>
      </c>
      <c r="H1406" s="17">
        <f t="shared" si="878"/>
        <v>4</v>
      </c>
      <c r="I1406" s="81">
        <v>45287</v>
      </c>
      <c r="J1406" s="52"/>
      <c r="K1406" s="15"/>
      <c r="L1406" s="16"/>
      <c r="M1406" s="36">
        <f t="shared" si="879"/>
        <v>0</v>
      </c>
      <c r="N1406" s="18"/>
      <c r="O1406" s="16"/>
      <c r="P1406" s="36">
        <f t="shared" si="880"/>
        <v>0</v>
      </c>
      <c r="Q1406" s="17">
        <f t="shared" si="881"/>
        <v>0</v>
      </c>
    </row>
    <row r="1407" spans="1:18" x14ac:dyDescent="0.15">
      <c r="A1407" s="35" t="s">
        <v>618</v>
      </c>
      <c r="B1407" s="15"/>
      <c r="C1407" s="16">
        <v>1</v>
      </c>
      <c r="D1407" s="36">
        <f t="shared" si="876"/>
        <v>1</v>
      </c>
      <c r="E1407" s="18"/>
      <c r="F1407" s="16">
        <v>1</v>
      </c>
      <c r="G1407" s="36">
        <f t="shared" si="877"/>
        <v>1</v>
      </c>
      <c r="H1407" s="17">
        <f t="shared" si="878"/>
        <v>2</v>
      </c>
      <c r="I1407" s="81">
        <v>45288</v>
      </c>
      <c r="J1407" s="52"/>
      <c r="K1407" s="15"/>
      <c r="L1407" s="16"/>
      <c r="M1407" s="36">
        <f t="shared" si="879"/>
        <v>0</v>
      </c>
      <c r="N1407" s="18"/>
      <c r="O1407" s="16"/>
      <c r="P1407" s="36">
        <f t="shared" si="880"/>
        <v>0</v>
      </c>
      <c r="Q1407" s="17">
        <f t="shared" si="881"/>
        <v>0</v>
      </c>
    </row>
    <row r="1408" spans="1:18" x14ac:dyDescent="0.15">
      <c r="A1408" s="35" t="s">
        <v>33</v>
      </c>
      <c r="B1408" s="15">
        <v>1</v>
      </c>
      <c r="C1408" s="16"/>
      <c r="D1408" s="36">
        <f t="shared" si="876"/>
        <v>1</v>
      </c>
      <c r="E1408" s="18"/>
      <c r="F1408" s="16"/>
      <c r="G1408" s="36">
        <f t="shared" si="877"/>
        <v>0</v>
      </c>
      <c r="H1408" s="17">
        <f t="shared" si="878"/>
        <v>1</v>
      </c>
      <c r="I1408" s="81">
        <v>45286</v>
      </c>
      <c r="J1408" s="52"/>
      <c r="K1408" s="15"/>
      <c r="L1408" s="16"/>
      <c r="M1408" s="36">
        <f t="shared" si="879"/>
        <v>0</v>
      </c>
      <c r="N1408" s="18"/>
      <c r="O1408" s="16"/>
      <c r="P1408" s="36">
        <f t="shared" si="880"/>
        <v>0</v>
      </c>
      <c r="Q1408" s="17">
        <f t="shared" si="881"/>
        <v>0</v>
      </c>
    </row>
    <row r="1409" spans="1:18" x14ac:dyDescent="0.15">
      <c r="A1409" s="35" t="s">
        <v>619</v>
      </c>
      <c r="B1409" s="15">
        <v>1</v>
      </c>
      <c r="C1409" s="16"/>
      <c r="D1409" s="36">
        <f t="shared" si="876"/>
        <v>1</v>
      </c>
      <c r="E1409" s="18">
        <v>1</v>
      </c>
      <c r="F1409" s="16"/>
      <c r="G1409" s="36">
        <f t="shared" si="877"/>
        <v>1</v>
      </c>
      <c r="H1409" s="17">
        <f t="shared" si="878"/>
        <v>2</v>
      </c>
      <c r="I1409" s="81">
        <v>45288</v>
      </c>
      <c r="J1409" s="52"/>
      <c r="K1409" s="15"/>
      <c r="L1409" s="16"/>
      <c r="M1409" s="36">
        <f t="shared" si="879"/>
        <v>0</v>
      </c>
      <c r="N1409" s="18"/>
      <c r="O1409" s="16"/>
      <c r="P1409" s="36">
        <f t="shared" si="880"/>
        <v>0</v>
      </c>
      <c r="Q1409" s="17">
        <f t="shared" si="881"/>
        <v>0</v>
      </c>
    </row>
    <row r="1410" spans="1:18" x14ac:dyDescent="0.15">
      <c r="A1410" s="35" t="s">
        <v>33</v>
      </c>
      <c r="B1410" s="15"/>
      <c r="C1410" s="16"/>
      <c r="D1410" s="36">
        <f t="shared" si="876"/>
        <v>0</v>
      </c>
      <c r="E1410" s="18">
        <v>2</v>
      </c>
      <c r="F1410" s="16"/>
      <c r="G1410" s="36">
        <f t="shared" si="877"/>
        <v>2</v>
      </c>
      <c r="H1410" s="17">
        <f t="shared" si="878"/>
        <v>2</v>
      </c>
      <c r="I1410" s="81">
        <v>45287</v>
      </c>
      <c r="J1410" s="52"/>
      <c r="K1410" s="15"/>
      <c r="L1410" s="16"/>
      <c r="M1410" s="36">
        <f t="shared" si="879"/>
        <v>0</v>
      </c>
      <c r="N1410" s="18"/>
      <c r="O1410" s="16"/>
      <c r="P1410" s="36">
        <f t="shared" si="880"/>
        <v>0</v>
      </c>
      <c r="Q1410" s="17">
        <f t="shared" si="881"/>
        <v>0</v>
      </c>
    </row>
    <row r="1411" spans="1:18" x14ac:dyDescent="0.15">
      <c r="A1411" s="35" t="s">
        <v>620</v>
      </c>
      <c r="B1411" s="15">
        <v>2</v>
      </c>
      <c r="C1411" s="16"/>
      <c r="D1411" s="36">
        <f t="shared" si="876"/>
        <v>2</v>
      </c>
      <c r="E1411" s="18">
        <v>2</v>
      </c>
      <c r="F1411" s="16"/>
      <c r="G1411" s="36">
        <f t="shared" si="877"/>
        <v>2</v>
      </c>
      <c r="H1411" s="17">
        <f t="shared" si="878"/>
        <v>4</v>
      </c>
      <c r="I1411" s="81">
        <v>44931</v>
      </c>
      <c r="J1411" s="52"/>
      <c r="K1411" s="15"/>
      <c r="L1411" s="16"/>
      <c r="M1411" s="36">
        <f t="shared" si="879"/>
        <v>0</v>
      </c>
      <c r="N1411" s="18"/>
      <c r="O1411" s="16"/>
      <c r="P1411" s="36">
        <f t="shared" si="880"/>
        <v>0</v>
      </c>
      <c r="Q1411" s="17">
        <f t="shared" si="881"/>
        <v>0</v>
      </c>
    </row>
    <row r="1412" spans="1:18" x14ac:dyDescent="0.15">
      <c r="A1412" s="35" t="s">
        <v>33</v>
      </c>
      <c r="B1412" s="15"/>
      <c r="C1412" s="16"/>
      <c r="D1412" s="36">
        <f t="shared" si="876"/>
        <v>0</v>
      </c>
      <c r="E1412" s="18"/>
      <c r="F1412" s="16">
        <v>1</v>
      </c>
      <c r="G1412" s="36">
        <f t="shared" si="877"/>
        <v>1</v>
      </c>
      <c r="H1412" s="17">
        <f t="shared" si="878"/>
        <v>1</v>
      </c>
      <c r="I1412" s="81">
        <v>45288</v>
      </c>
      <c r="J1412" s="52"/>
      <c r="K1412" s="15"/>
      <c r="L1412" s="16"/>
      <c r="M1412" s="36">
        <f t="shared" si="879"/>
        <v>0</v>
      </c>
      <c r="N1412" s="18"/>
      <c r="O1412" s="16"/>
      <c r="P1412" s="36">
        <f t="shared" si="880"/>
        <v>0</v>
      </c>
      <c r="Q1412" s="17">
        <f t="shared" si="881"/>
        <v>0</v>
      </c>
    </row>
    <row r="1413" spans="1:18" x14ac:dyDescent="0.15">
      <c r="A1413" s="35" t="s">
        <v>621</v>
      </c>
      <c r="B1413" s="15">
        <v>1</v>
      </c>
      <c r="C1413" s="16"/>
      <c r="D1413" s="36">
        <f t="shared" si="876"/>
        <v>1</v>
      </c>
      <c r="E1413" s="18">
        <v>1</v>
      </c>
      <c r="F1413" s="16"/>
      <c r="G1413" s="36">
        <f t="shared" si="877"/>
        <v>1</v>
      </c>
      <c r="H1413" s="17">
        <f t="shared" si="878"/>
        <v>2</v>
      </c>
      <c r="I1413" s="81">
        <v>45300</v>
      </c>
      <c r="J1413" s="52"/>
      <c r="K1413" s="15"/>
      <c r="L1413" s="16"/>
      <c r="M1413" s="36">
        <f t="shared" si="879"/>
        <v>0</v>
      </c>
      <c r="N1413" s="18"/>
      <c r="O1413" s="16"/>
      <c r="P1413" s="36">
        <f t="shared" si="880"/>
        <v>0</v>
      </c>
      <c r="Q1413" s="17">
        <f t="shared" si="881"/>
        <v>0</v>
      </c>
    </row>
    <row r="1414" spans="1:18" x14ac:dyDescent="0.15">
      <c r="A1414" s="35" t="s">
        <v>624</v>
      </c>
      <c r="B1414" s="15">
        <v>1</v>
      </c>
      <c r="C1414" s="16"/>
      <c r="D1414" s="36">
        <f t="shared" si="867"/>
        <v>1</v>
      </c>
      <c r="E1414" s="18">
        <v>1</v>
      </c>
      <c r="F1414" s="16"/>
      <c r="G1414" s="36">
        <f t="shared" si="868"/>
        <v>1</v>
      </c>
      <c r="H1414" s="17">
        <f t="shared" si="869"/>
        <v>2</v>
      </c>
      <c r="I1414" s="81">
        <v>45302</v>
      </c>
      <c r="J1414" s="52"/>
      <c r="K1414" s="15"/>
      <c r="L1414" s="16"/>
      <c r="M1414" s="36">
        <f t="shared" si="870"/>
        <v>0</v>
      </c>
      <c r="N1414" s="18"/>
      <c r="O1414" s="16"/>
      <c r="P1414" s="36">
        <f t="shared" si="871"/>
        <v>0</v>
      </c>
      <c r="Q1414" s="17">
        <f t="shared" si="872"/>
        <v>0</v>
      </c>
    </row>
    <row r="1415" spans="1:18" ht="14.25" thickBot="1" x14ac:dyDescent="0.2">
      <c r="A1415" s="35" t="s">
        <v>33</v>
      </c>
      <c r="B1415" s="15"/>
      <c r="C1415" s="16"/>
      <c r="D1415" s="36">
        <f t="shared" si="867"/>
        <v>0</v>
      </c>
      <c r="E1415" s="18">
        <v>1</v>
      </c>
      <c r="F1415" s="16">
        <v>3</v>
      </c>
      <c r="G1415" s="36">
        <f t="shared" si="868"/>
        <v>4</v>
      </c>
      <c r="H1415" s="17">
        <f t="shared" si="869"/>
        <v>4</v>
      </c>
      <c r="I1415" s="84">
        <v>45300</v>
      </c>
      <c r="J1415" s="35" t="s">
        <v>586</v>
      </c>
      <c r="K1415" s="15"/>
      <c r="L1415" s="16"/>
      <c r="M1415" s="36">
        <f t="shared" si="870"/>
        <v>0</v>
      </c>
      <c r="N1415" s="18"/>
      <c r="O1415" s="16"/>
      <c r="P1415" s="36">
        <f t="shared" si="871"/>
        <v>0</v>
      </c>
      <c r="Q1415" s="17">
        <f t="shared" si="872"/>
        <v>0</v>
      </c>
      <c r="R1415" s="81" t="s">
        <v>371</v>
      </c>
    </row>
    <row r="1416" spans="1:18" ht="14.25" thickBot="1" x14ac:dyDescent="0.2">
      <c r="A1416" s="40" t="s">
        <v>14</v>
      </c>
      <c r="B1416" s="41">
        <f>SUM(B1390:B1415)</f>
        <v>33</v>
      </c>
      <c r="C1416" s="42">
        <f t="shared" ref="C1416" si="882">SUM(C1390:C1415)</f>
        <v>23</v>
      </c>
      <c r="D1416" s="43">
        <f t="shared" si="867"/>
        <v>56</v>
      </c>
      <c r="E1416" s="41">
        <f>SUM(E1390:E1415)</f>
        <v>34</v>
      </c>
      <c r="F1416" s="42">
        <f t="shared" ref="F1416" si="883">SUM(F1390:F1415)</f>
        <v>39</v>
      </c>
      <c r="G1416" s="43">
        <f t="shared" si="868"/>
        <v>73</v>
      </c>
      <c r="H1416" s="43">
        <f t="shared" si="869"/>
        <v>129</v>
      </c>
      <c r="J1416" s="40" t="s">
        <v>14</v>
      </c>
      <c r="K1416" s="41">
        <f>SUM(K1390:K1415)</f>
        <v>50</v>
      </c>
      <c r="L1416" s="42">
        <f t="shared" ref="L1416" si="884">SUM(L1390:L1415)</f>
        <v>30</v>
      </c>
      <c r="M1416" s="43">
        <f t="shared" si="870"/>
        <v>80</v>
      </c>
      <c r="N1416" s="41">
        <f>SUM(N1390:N1415)</f>
        <v>45</v>
      </c>
      <c r="O1416" s="42">
        <f t="shared" ref="O1416" si="885">SUM(O1390:O1415)</f>
        <v>50</v>
      </c>
      <c r="P1416" s="43">
        <f t="shared" si="871"/>
        <v>95</v>
      </c>
      <c r="Q1416" s="43">
        <f t="shared" si="872"/>
        <v>175</v>
      </c>
    </row>
    <row r="1417" spans="1:18" ht="14.25" thickBot="1" x14ac:dyDescent="0.2">
      <c r="A1417" s="44" t="s">
        <v>15</v>
      </c>
      <c r="B1417" s="45">
        <f>B1389-B1416</f>
        <v>17</v>
      </c>
      <c r="C1417" s="46">
        <f t="shared" ref="C1417" si="886">C1389-C1416</f>
        <v>20</v>
      </c>
      <c r="D1417" s="47">
        <f t="shared" si="867"/>
        <v>37</v>
      </c>
      <c r="E1417" s="45">
        <f>E1389-E1416</f>
        <v>19</v>
      </c>
      <c r="F1417" s="46">
        <f t="shared" ref="F1417" si="887">F1389-F1416</f>
        <v>16</v>
      </c>
      <c r="G1417" s="47">
        <f t="shared" si="868"/>
        <v>35</v>
      </c>
      <c r="H1417" s="34">
        <f t="shared" si="869"/>
        <v>72</v>
      </c>
      <c r="J1417" s="44" t="s">
        <v>15</v>
      </c>
      <c r="K1417" s="45">
        <f>K1389-K1416</f>
        <v>1033</v>
      </c>
      <c r="L1417" s="46">
        <f t="shared" ref="L1417" si="888">L1389-L1416</f>
        <v>520</v>
      </c>
      <c r="M1417" s="47">
        <f t="shared" si="870"/>
        <v>1553</v>
      </c>
      <c r="N1417" s="45">
        <f>N1389-N1416</f>
        <v>1037</v>
      </c>
      <c r="O1417" s="46">
        <f t="shared" ref="O1417" si="889">O1389-O1416</f>
        <v>60</v>
      </c>
      <c r="P1417" s="47">
        <f t="shared" si="871"/>
        <v>1097</v>
      </c>
      <c r="Q1417" s="34">
        <f t="shared" si="872"/>
        <v>2650</v>
      </c>
    </row>
    <row r="1420" spans="1:18" ht="19.5" thickBot="1" x14ac:dyDescent="0.25">
      <c r="A1420" s="1" t="s">
        <v>23</v>
      </c>
      <c r="J1420" s="1" t="s">
        <v>24</v>
      </c>
      <c r="K1420" s="2"/>
      <c r="L1420" s="2"/>
      <c r="M1420" s="2"/>
      <c r="N1420" s="2"/>
      <c r="O1420" s="1" t="s">
        <v>34</v>
      </c>
      <c r="P1420" s="2"/>
      <c r="Q1420" s="2"/>
    </row>
    <row r="1421" spans="1:18" ht="14.25" thickBot="1" x14ac:dyDescent="0.2">
      <c r="A1421" s="3" t="s">
        <v>0</v>
      </c>
      <c r="B1421" s="120" t="s">
        <v>18</v>
      </c>
      <c r="C1421" s="121"/>
      <c r="D1421" s="122"/>
      <c r="E1421" s="120" t="s">
        <v>19</v>
      </c>
      <c r="F1421" s="121"/>
      <c r="G1421" s="122"/>
      <c r="H1421" s="123" t="s">
        <v>1</v>
      </c>
      <c r="J1421" s="3" t="s">
        <v>0</v>
      </c>
      <c r="K1421" s="120" t="s">
        <v>18</v>
      </c>
      <c r="L1421" s="121"/>
      <c r="M1421" s="122"/>
      <c r="N1421" s="120" t="s">
        <v>19</v>
      </c>
      <c r="O1421" s="121"/>
      <c r="P1421" s="122"/>
      <c r="Q1421" s="123" t="s">
        <v>1</v>
      </c>
    </row>
    <row r="1422" spans="1:18" ht="14.25" thickBot="1" x14ac:dyDescent="0.2">
      <c r="A1422" s="3" t="s">
        <v>2</v>
      </c>
      <c r="B1422" s="4" t="s">
        <v>16</v>
      </c>
      <c r="C1422" s="5" t="s">
        <v>17</v>
      </c>
      <c r="D1422" s="3" t="s">
        <v>3</v>
      </c>
      <c r="E1422" s="4" t="s">
        <v>16</v>
      </c>
      <c r="F1422" s="5" t="s">
        <v>17</v>
      </c>
      <c r="G1422" s="3" t="s">
        <v>3</v>
      </c>
      <c r="H1422" s="124"/>
      <c r="J1422" s="3" t="s">
        <v>2</v>
      </c>
      <c r="K1422" s="4" t="s">
        <v>16</v>
      </c>
      <c r="L1422" s="5" t="s">
        <v>17</v>
      </c>
      <c r="M1422" s="3" t="s">
        <v>3</v>
      </c>
      <c r="N1422" s="4" t="s">
        <v>16</v>
      </c>
      <c r="O1422" s="5" t="s">
        <v>17</v>
      </c>
      <c r="P1422" s="3" t="s">
        <v>3</v>
      </c>
      <c r="Q1422" s="124"/>
    </row>
    <row r="1423" spans="1:18" ht="14.25" thickBot="1" x14ac:dyDescent="0.2">
      <c r="A1423" s="6" t="s">
        <v>55</v>
      </c>
      <c r="B1423" s="32">
        <f>B1417</f>
        <v>17</v>
      </c>
      <c r="C1423" s="33">
        <f>C1417</f>
        <v>20</v>
      </c>
      <c r="D1423" s="34">
        <f t="shared" ref="D1423:D1460" si="890">SUM(B1423:C1423)</f>
        <v>37</v>
      </c>
      <c r="E1423" s="32">
        <f>E1417</f>
        <v>19</v>
      </c>
      <c r="F1423" s="33">
        <f>F1417</f>
        <v>16</v>
      </c>
      <c r="G1423" s="34">
        <f t="shared" ref="G1423:G1460" si="891">SUM(E1423:F1423)</f>
        <v>35</v>
      </c>
      <c r="H1423" s="34">
        <f t="shared" ref="H1423:H1460" si="892">D1423+G1423</f>
        <v>72</v>
      </c>
      <c r="J1423" s="6" t="s">
        <v>55</v>
      </c>
      <c r="K1423" s="32">
        <f>K1417</f>
        <v>1033</v>
      </c>
      <c r="L1423" s="33">
        <f>L1417</f>
        <v>520</v>
      </c>
      <c r="M1423" s="34">
        <f t="shared" ref="M1423:M1460" si="893">SUM(K1423:L1423)</f>
        <v>1553</v>
      </c>
      <c r="N1423" s="32">
        <f>N1417</f>
        <v>1037</v>
      </c>
      <c r="O1423" s="33">
        <f>O1417</f>
        <v>60</v>
      </c>
      <c r="P1423" s="34">
        <f t="shared" ref="P1423:P1460" si="894">SUM(N1423:O1423)</f>
        <v>1097</v>
      </c>
      <c r="Q1423" s="34">
        <f t="shared" ref="Q1423:Q1460" si="895">M1423+P1423</f>
        <v>2650</v>
      </c>
    </row>
    <row r="1424" spans="1:18" x14ac:dyDescent="0.15">
      <c r="A1424" s="10" t="s">
        <v>61</v>
      </c>
      <c r="B1424" s="23"/>
      <c r="C1424" s="24">
        <v>2</v>
      </c>
      <c r="D1424" s="17">
        <f t="shared" si="890"/>
        <v>2</v>
      </c>
      <c r="E1424" s="25"/>
      <c r="F1424" s="24">
        <v>3</v>
      </c>
      <c r="G1424" s="36">
        <f t="shared" si="891"/>
        <v>3</v>
      </c>
      <c r="H1424" s="36">
        <f t="shared" si="892"/>
        <v>5</v>
      </c>
      <c r="I1424" s="81">
        <v>45306</v>
      </c>
      <c r="J1424" s="10" t="s">
        <v>5</v>
      </c>
      <c r="K1424" s="19"/>
      <c r="L1424" s="20"/>
      <c r="M1424" s="36">
        <f t="shared" si="893"/>
        <v>0</v>
      </c>
      <c r="N1424" s="21"/>
      <c r="O1424" s="20"/>
      <c r="P1424" s="36">
        <f t="shared" si="894"/>
        <v>0</v>
      </c>
      <c r="Q1424" s="36">
        <f t="shared" si="895"/>
        <v>0</v>
      </c>
    </row>
    <row r="1425" spans="1:19" x14ac:dyDescent="0.15">
      <c r="A1425" s="10" t="s">
        <v>6</v>
      </c>
      <c r="B1425" s="23">
        <v>10</v>
      </c>
      <c r="C1425" s="24"/>
      <c r="D1425" s="17">
        <f t="shared" si="890"/>
        <v>10</v>
      </c>
      <c r="E1425" s="25">
        <v>5</v>
      </c>
      <c r="F1425" s="24">
        <v>5</v>
      </c>
      <c r="G1425" s="17">
        <f t="shared" si="891"/>
        <v>10</v>
      </c>
      <c r="H1425" s="17">
        <f t="shared" si="892"/>
        <v>20</v>
      </c>
      <c r="I1425" s="81">
        <v>45310</v>
      </c>
      <c r="J1425" s="10" t="s">
        <v>6</v>
      </c>
      <c r="K1425" s="15"/>
      <c r="L1425" s="16"/>
      <c r="M1425" s="17">
        <f t="shared" si="893"/>
        <v>0</v>
      </c>
      <c r="N1425" s="18"/>
      <c r="O1425" s="16"/>
      <c r="P1425" s="17">
        <f t="shared" si="894"/>
        <v>0</v>
      </c>
      <c r="Q1425" s="17">
        <f t="shared" si="895"/>
        <v>0</v>
      </c>
    </row>
    <row r="1426" spans="1:19" x14ac:dyDescent="0.15">
      <c r="A1426" s="10" t="s">
        <v>7</v>
      </c>
      <c r="B1426" s="23"/>
      <c r="C1426" s="24">
        <v>5</v>
      </c>
      <c r="D1426" s="17">
        <f t="shared" si="890"/>
        <v>5</v>
      </c>
      <c r="E1426" s="25"/>
      <c r="F1426" s="24">
        <v>15</v>
      </c>
      <c r="G1426" s="17">
        <f t="shared" si="891"/>
        <v>15</v>
      </c>
      <c r="H1426" s="17">
        <f t="shared" si="892"/>
        <v>20</v>
      </c>
      <c r="I1426" s="81">
        <v>45343</v>
      </c>
      <c r="J1426" s="10" t="s">
        <v>7</v>
      </c>
      <c r="K1426" s="15"/>
      <c r="L1426" s="16"/>
      <c r="M1426" s="17">
        <f t="shared" si="893"/>
        <v>0</v>
      </c>
      <c r="N1426" s="18"/>
      <c r="O1426" s="16"/>
      <c r="P1426" s="17">
        <f t="shared" si="894"/>
        <v>0</v>
      </c>
      <c r="Q1426" s="17">
        <f t="shared" si="895"/>
        <v>0</v>
      </c>
    </row>
    <row r="1427" spans="1:19" x14ac:dyDescent="0.15">
      <c r="A1427" s="10" t="s">
        <v>8</v>
      </c>
      <c r="B1427" s="23">
        <v>5</v>
      </c>
      <c r="C1427" s="24">
        <v>5</v>
      </c>
      <c r="D1427" s="17">
        <f t="shared" si="890"/>
        <v>10</v>
      </c>
      <c r="E1427" s="25">
        <v>10</v>
      </c>
      <c r="F1427" s="24"/>
      <c r="G1427" s="17">
        <f t="shared" si="891"/>
        <v>10</v>
      </c>
      <c r="H1427" s="17">
        <f t="shared" si="892"/>
        <v>20</v>
      </c>
      <c r="I1427" s="81">
        <v>45344</v>
      </c>
      <c r="J1427" s="10" t="s">
        <v>8</v>
      </c>
      <c r="K1427" s="15"/>
      <c r="L1427" s="16"/>
      <c r="M1427" s="17">
        <f t="shared" si="893"/>
        <v>0</v>
      </c>
      <c r="N1427" s="18"/>
      <c r="O1427" s="16"/>
      <c r="P1427" s="17">
        <f t="shared" si="894"/>
        <v>0</v>
      </c>
      <c r="Q1427" s="17">
        <f t="shared" si="895"/>
        <v>0</v>
      </c>
    </row>
    <row r="1428" spans="1:19" x14ac:dyDescent="0.15">
      <c r="A1428" s="10" t="s">
        <v>9</v>
      </c>
      <c r="B1428" s="23"/>
      <c r="C1428" s="24"/>
      <c r="D1428" s="17">
        <f t="shared" si="890"/>
        <v>0</v>
      </c>
      <c r="E1428" s="25"/>
      <c r="F1428" s="24"/>
      <c r="G1428" s="17">
        <f t="shared" si="891"/>
        <v>0</v>
      </c>
      <c r="H1428" s="17">
        <f t="shared" si="892"/>
        <v>0</v>
      </c>
      <c r="I1428" s="81"/>
      <c r="J1428" s="10" t="s">
        <v>9</v>
      </c>
      <c r="K1428" s="15"/>
      <c r="L1428" s="16"/>
      <c r="M1428" s="17">
        <f t="shared" si="893"/>
        <v>0</v>
      </c>
      <c r="N1428" s="18"/>
      <c r="O1428" s="16"/>
      <c r="P1428" s="17">
        <f t="shared" si="894"/>
        <v>0</v>
      </c>
      <c r="Q1428" s="17">
        <f t="shared" si="895"/>
        <v>0</v>
      </c>
    </row>
    <row r="1429" spans="1:19" x14ac:dyDescent="0.15">
      <c r="A1429" s="10" t="s">
        <v>10</v>
      </c>
      <c r="B1429" s="23"/>
      <c r="C1429" s="24"/>
      <c r="D1429" s="17">
        <f t="shared" si="890"/>
        <v>0</v>
      </c>
      <c r="E1429" s="25"/>
      <c r="F1429" s="24"/>
      <c r="G1429" s="17">
        <f t="shared" si="891"/>
        <v>0</v>
      </c>
      <c r="H1429" s="17">
        <f t="shared" si="892"/>
        <v>0</v>
      </c>
      <c r="I1429" s="81"/>
      <c r="J1429" s="10" t="s">
        <v>10</v>
      </c>
      <c r="K1429" s="15"/>
      <c r="L1429" s="16"/>
      <c r="M1429" s="17">
        <f t="shared" si="893"/>
        <v>0</v>
      </c>
      <c r="N1429" s="18"/>
      <c r="O1429" s="16"/>
      <c r="P1429" s="17">
        <f t="shared" si="894"/>
        <v>0</v>
      </c>
      <c r="Q1429" s="17">
        <f t="shared" si="895"/>
        <v>0</v>
      </c>
    </row>
    <row r="1430" spans="1:19" x14ac:dyDescent="0.15">
      <c r="A1430" s="10" t="s">
        <v>11</v>
      </c>
      <c r="B1430" s="23"/>
      <c r="C1430" s="24"/>
      <c r="D1430" s="17">
        <f t="shared" si="890"/>
        <v>0</v>
      </c>
      <c r="E1430" s="25"/>
      <c r="F1430" s="95"/>
      <c r="G1430" s="17">
        <f t="shared" si="891"/>
        <v>0</v>
      </c>
      <c r="H1430" s="17">
        <f t="shared" si="892"/>
        <v>0</v>
      </c>
      <c r="I1430" s="80"/>
      <c r="J1430" s="10" t="s">
        <v>11</v>
      </c>
      <c r="K1430" s="15"/>
      <c r="L1430" s="16"/>
      <c r="M1430" s="17">
        <f t="shared" ref="M1430:M1431" si="896">SUM(K1430:L1430)</f>
        <v>0</v>
      </c>
      <c r="N1430" s="18"/>
      <c r="O1430" s="16"/>
      <c r="P1430" s="17">
        <f t="shared" ref="P1430:P1431" si="897">SUM(N1430:O1430)</f>
        <v>0</v>
      </c>
      <c r="Q1430" s="17">
        <f t="shared" ref="Q1430:Q1431" si="898">M1430+P1430</f>
        <v>0</v>
      </c>
    </row>
    <row r="1431" spans="1:19" ht="14.25" thickBot="1" x14ac:dyDescent="0.2">
      <c r="A1431" s="10" t="s">
        <v>12</v>
      </c>
      <c r="B1431" s="26"/>
      <c r="C1431" s="27"/>
      <c r="D1431" s="28">
        <f t="shared" si="890"/>
        <v>0</v>
      </c>
      <c r="E1431" s="29"/>
      <c r="F1431" s="29"/>
      <c r="G1431" s="28">
        <f t="shared" si="891"/>
        <v>0</v>
      </c>
      <c r="H1431" s="30">
        <f t="shared" si="892"/>
        <v>0</v>
      </c>
      <c r="J1431" s="10" t="s">
        <v>12</v>
      </c>
      <c r="K1431" s="15"/>
      <c r="L1431" s="16"/>
      <c r="M1431" s="17">
        <f t="shared" si="896"/>
        <v>0</v>
      </c>
      <c r="N1431" s="18"/>
      <c r="O1431" s="16"/>
      <c r="P1431" s="17">
        <f t="shared" si="897"/>
        <v>0</v>
      </c>
      <c r="Q1431" s="17">
        <f t="shared" si="898"/>
        <v>0</v>
      </c>
    </row>
    <row r="1432" spans="1:19" ht="14.25" thickBot="1" x14ac:dyDescent="0.2">
      <c r="A1432" s="31" t="s">
        <v>13</v>
      </c>
      <c r="B1432" s="32">
        <f>SUM(B1423:B1431)</f>
        <v>32</v>
      </c>
      <c r="C1432" s="33">
        <f>SUM(C1423:C1431)</f>
        <v>32</v>
      </c>
      <c r="D1432" s="34">
        <f t="shared" si="890"/>
        <v>64</v>
      </c>
      <c r="E1432" s="32">
        <f>SUM(E1423:E1431)</f>
        <v>34</v>
      </c>
      <c r="F1432" s="33">
        <f>SUM(F1423:F1431)</f>
        <v>39</v>
      </c>
      <c r="G1432" s="34">
        <f t="shared" si="891"/>
        <v>73</v>
      </c>
      <c r="H1432" s="34">
        <f t="shared" si="892"/>
        <v>137</v>
      </c>
      <c r="J1432" s="31" t="s">
        <v>13</v>
      </c>
      <c r="K1432" s="32">
        <f>SUM(K1423:K1431)</f>
        <v>1033</v>
      </c>
      <c r="L1432" s="33">
        <f>SUM(L1423:L1431)</f>
        <v>520</v>
      </c>
      <c r="M1432" s="34">
        <f t="shared" si="893"/>
        <v>1553</v>
      </c>
      <c r="N1432" s="32">
        <f>SUM(N1423:N1431)</f>
        <v>1037</v>
      </c>
      <c r="O1432" s="33">
        <f>SUM(O1423:O1431)</f>
        <v>60</v>
      </c>
      <c r="P1432" s="34">
        <f t="shared" si="894"/>
        <v>1097</v>
      </c>
      <c r="Q1432" s="34">
        <f t="shared" si="895"/>
        <v>2650</v>
      </c>
    </row>
    <row r="1433" spans="1:19" x14ac:dyDescent="0.15">
      <c r="A1433" s="35" t="s">
        <v>625</v>
      </c>
      <c r="B1433" s="15">
        <v>1</v>
      </c>
      <c r="C1433" s="16">
        <v>1</v>
      </c>
      <c r="D1433" s="36">
        <f t="shared" si="890"/>
        <v>2</v>
      </c>
      <c r="E1433" s="18">
        <v>1</v>
      </c>
      <c r="F1433" s="16">
        <v>1</v>
      </c>
      <c r="G1433" s="36">
        <f t="shared" si="891"/>
        <v>2</v>
      </c>
      <c r="H1433" s="17">
        <f t="shared" si="892"/>
        <v>4</v>
      </c>
      <c r="I1433" s="81">
        <v>45303</v>
      </c>
      <c r="J1433" s="77" t="s">
        <v>635</v>
      </c>
      <c r="K1433" s="15"/>
      <c r="L1433" s="16">
        <v>5</v>
      </c>
      <c r="M1433" s="36">
        <f t="shared" si="893"/>
        <v>5</v>
      </c>
      <c r="N1433" s="18"/>
      <c r="O1433" s="16">
        <v>15</v>
      </c>
      <c r="P1433" s="36">
        <f t="shared" si="894"/>
        <v>15</v>
      </c>
      <c r="Q1433" s="17">
        <f t="shared" si="895"/>
        <v>20</v>
      </c>
      <c r="R1433" s="81">
        <v>45343</v>
      </c>
    </row>
    <row r="1434" spans="1:19" x14ac:dyDescent="0.15">
      <c r="A1434" s="35" t="s">
        <v>626</v>
      </c>
      <c r="B1434" s="15"/>
      <c r="C1434" s="16">
        <v>1</v>
      </c>
      <c r="D1434" s="36">
        <f t="shared" si="890"/>
        <v>1</v>
      </c>
      <c r="E1434" s="18"/>
      <c r="F1434" s="16"/>
      <c r="G1434" s="36">
        <f t="shared" si="891"/>
        <v>0</v>
      </c>
      <c r="H1434" s="17">
        <f t="shared" si="892"/>
        <v>1</v>
      </c>
      <c r="I1434" s="81">
        <v>45301</v>
      </c>
      <c r="J1434" s="77" t="s">
        <v>91</v>
      </c>
      <c r="K1434" s="15">
        <v>5</v>
      </c>
      <c r="L1434" s="16">
        <v>5</v>
      </c>
      <c r="M1434" s="36">
        <f t="shared" si="893"/>
        <v>10</v>
      </c>
      <c r="N1434" s="18">
        <v>10</v>
      </c>
      <c r="O1434" s="16"/>
      <c r="P1434" s="36">
        <f t="shared" si="894"/>
        <v>10</v>
      </c>
      <c r="Q1434" s="17">
        <f t="shared" si="895"/>
        <v>20</v>
      </c>
      <c r="R1434" s="81">
        <v>45344</v>
      </c>
      <c r="S1434" s="22"/>
    </row>
    <row r="1435" spans="1:19" x14ac:dyDescent="0.15">
      <c r="A1435" s="35" t="s">
        <v>33</v>
      </c>
      <c r="B1435" s="15">
        <v>2</v>
      </c>
      <c r="C1435" s="16"/>
      <c r="D1435" s="36">
        <f t="shared" si="890"/>
        <v>2</v>
      </c>
      <c r="E1435" s="18"/>
      <c r="F1435" s="16"/>
      <c r="G1435" s="36">
        <f t="shared" si="891"/>
        <v>0</v>
      </c>
      <c r="H1435" s="17">
        <f t="shared" si="892"/>
        <v>2</v>
      </c>
      <c r="I1435" s="81">
        <v>45301</v>
      </c>
      <c r="J1435" s="52"/>
      <c r="K1435" s="15"/>
      <c r="L1435" s="16"/>
      <c r="M1435" s="36">
        <f t="shared" si="893"/>
        <v>0</v>
      </c>
      <c r="N1435" s="18"/>
      <c r="O1435" s="16"/>
      <c r="P1435" s="36">
        <f t="shared" si="894"/>
        <v>0</v>
      </c>
      <c r="Q1435" s="17">
        <f t="shared" si="895"/>
        <v>0</v>
      </c>
      <c r="R1435" s="83"/>
      <c r="S1435" s="22"/>
    </row>
    <row r="1436" spans="1:19" x14ac:dyDescent="0.15">
      <c r="A1436" s="35" t="s">
        <v>627</v>
      </c>
      <c r="B1436" s="15"/>
      <c r="C1436" s="16"/>
      <c r="D1436" s="36">
        <f t="shared" si="890"/>
        <v>0</v>
      </c>
      <c r="E1436" s="18">
        <v>1</v>
      </c>
      <c r="F1436" s="16"/>
      <c r="G1436" s="36">
        <f t="shared" si="891"/>
        <v>1</v>
      </c>
      <c r="H1436" s="17">
        <f t="shared" si="892"/>
        <v>1</v>
      </c>
      <c r="I1436" s="84">
        <v>45302</v>
      </c>
      <c r="J1436" s="52"/>
      <c r="K1436" s="15"/>
      <c r="L1436" s="16"/>
      <c r="M1436" s="36">
        <f t="shared" si="893"/>
        <v>0</v>
      </c>
      <c r="N1436" s="18"/>
      <c r="O1436" s="16"/>
      <c r="P1436" s="36">
        <f t="shared" si="894"/>
        <v>0</v>
      </c>
      <c r="Q1436" s="17">
        <f t="shared" si="895"/>
        <v>0</v>
      </c>
    </row>
    <row r="1437" spans="1:19" x14ac:dyDescent="0.15">
      <c r="A1437" s="35" t="s">
        <v>33</v>
      </c>
      <c r="B1437" s="15">
        <f>1+1</f>
        <v>2</v>
      </c>
      <c r="C1437" s="16"/>
      <c r="D1437" s="36">
        <f t="shared" si="890"/>
        <v>2</v>
      </c>
      <c r="E1437" s="18">
        <v>2</v>
      </c>
      <c r="F1437" s="16"/>
      <c r="G1437" s="36">
        <f t="shared" si="891"/>
        <v>2</v>
      </c>
      <c r="H1437" s="17">
        <f t="shared" si="892"/>
        <v>4</v>
      </c>
      <c r="I1437" s="81">
        <v>45306</v>
      </c>
      <c r="J1437" s="52"/>
      <c r="K1437" s="15"/>
      <c r="L1437" s="16"/>
      <c r="M1437" s="36">
        <f t="shared" si="893"/>
        <v>0</v>
      </c>
      <c r="N1437" s="18"/>
      <c r="O1437" s="16"/>
      <c r="P1437" s="36">
        <f t="shared" si="894"/>
        <v>0</v>
      </c>
      <c r="Q1437" s="17">
        <f t="shared" si="895"/>
        <v>0</v>
      </c>
    </row>
    <row r="1438" spans="1:19" x14ac:dyDescent="0.15">
      <c r="A1438" s="35" t="s">
        <v>33</v>
      </c>
      <c r="B1438" s="15"/>
      <c r="C1438" s="16"/>
      <c r="D1438" s="36">
        <f t="shared" si="890"/>
        <v>0</v>
      </c>
      <c r="E1438" s="18"/>
      <c r="F1438" s="16">
        <v>1</v>
      </c>
      <c r="G1438" s="36">
        <f t="shared" si="891"/>
        <v>1</v>
      </c>
      <c r="H1438" s="17">
        <f t="shared" si="892"/>
        <v>1</v>
      </c>
      <c r="I1438" s="81">
        <v>45307</v>
      </c>
      <c r="J1438" s="52"/>
      <c r="K1438" s="15"/>
      <c r="L1438" s="16"/>
      <c r="M1438" s="36">
        <f t="shared" si="893"/>
        <v>0</v>
      </c>
      <c r="N1438" s="18"/>
      <c r="O1438" s="16"/>
      <c r="P1438" s="36">
        <f t="shared" si="894"/>
        <v>0</v>
      </c>
      <c r="Q1438" s="17">
        <f t="shared" si="895"/>
        <v>0</v>
      </c>
    </row>
    <row r="1439" spans="1:19" x14ac:dyDescent="0.15">
      <c r="A1439" s="35" t="s">
        <v>33</v>
      </c>
      <c r="B1439" s="15">
        <f>1+1</f>
        <v>2</v>
      </c>
      <c r="C1439" s="16"/>
      <c r="D1439" s="36">
        <f t="shared" si="890"/>
        <v>2</v>
      </c>
      <c r="E1439" s="18">
        <v>1</v>
      </c>
      <c r="F1439" s="16"/>
      <c r="G1439" s="36">
        <f t="shared" si="891"/>
        <v>1</v>
      </c>
      <c r="H1439" s="17">
        <f t="shared" si="892"/>
        <v>3</v>
      </c>
      <c r="I1439" s="81">
        <v>45308</v>
      </c>
      <c r="J1439" s="52"/>
      <c r="K1439" s="15"/>
      <c r="L1439" s="16"/>
      <c r="M1439" s="36">
        <f t="shared" si="893"/>
        <v>0</v>
      </c>
      <c r="N1439" s="18"/>
      <c r="O1439" s="16"/>
      <c r="P1439" s="36">
        <f t="shared" si="894"/>
        <v>0</v>
      </c>
      <c r="Q1439" s="17">
        <f t="shared" si="895"/>
        <v>0</v>
      </c>
    </row>
    <row r="1440" spans="1:19" x14ac:dyDescent="0.15">
      <c r="A1440" s="35" t="s">
        <v>628</v>
      </c>
      <c r="B1440" s="15"/>
      <c r="C1440" s="16">
        <v>1</v>
      </c>
      <c r="D1440" s="36">
        <f t="shared" si="890"/>
        <v>1</v>
      </c>
      <c r="E1440" s="18"/>
      <c r="F1440" s="16">
        <v>1</v>
      </c>
      <c r="G1440" s="36">
        <f t="shared" si="891"/>
        <v>1</v>
      </c>
      <c r="H1440" s="17">
        <f t="shared" si="892"/>
        <v>2</v>
      </c>
      <c r="I1440" s="81">
        <v>45310</v>
      </c>
      <c r="J1440" s="52"/>
      <c r="K1440" s="15"/>
      <c r="L1440" s="16"/>
      <c r="M1440" s="36">
        <f t="shared" si="893"/>
        <v>0</v>
      </c>
      <c r="N1440" s="18"/>
      <c r="O1440" s="16"/>
      <c r="P1440" s="36">
        <f t="shared" si="894"/>
        <v>0</v>
      </c>
      <c r="Q1440" s="17">
        <f t="shared" si="895"/>
        <v>0</v>
      </c>
    </row>
    <row r="1441" spans="1:17" x14ac:dyDescent="0.15">
      <c r="A1441" s="35" t="s">
        <v>33</v>
      </c>
      <c r="B1441" s="15"/>
      <c r="C1441" s="16"/>
      <c r="D1441" s="36">
        <f t="shared" si="890"/>
        <v>0</v>
      </c>
      <c r="E1441" s="18"/>
      <c r="F1441" s="16">
        <v>3</v>
      </c>
      <c r="G1441" s="36">
        <f t="shared" si="891"/>
        <v>3</v>
      </c>
      <c r="H1441" s="17">
        <f t="shared" si="892"/>
        <v>3</v>
      </c>
      <c r="I1441" s="81">
        <v>45309</v>
      </c>
      <c r="J1441" s="52"/>
      <c r="K1441" s="15"/>
      <c r="L1441" s="16"/>
      <c r="M1441" s="36">
        <f t="shared" si="893"/>
        <v>0</v>
      </c>
      <c r="N1441" s="18"/>
      <c r="O1441" s="16"/>
      <c r="P1441" s="36">
        <f t="shared" si="894"/>
        <v>0</v>
      </c>
      <c r="Q1441" s="17">
        <f t="shared" si="895"/>
        <v>0</v>
      </c>
    </row>
    <row r="1442" spans="1:17" x14ac:dyDescent="0.15">
      <c r="A1442" s="35" t="s">
        <v>33</v>
      </c>
      <c r="B1442" s="15"/>
      <c r="C1442" s="16"/>
      <c r="D1442" s="36">
        <f t="shared" si="890"/>
        <v>0</v>
      </c>
      <c r="E1442" s="18"/>
      <c r="F1442" s="16">
        <v>2</v>
      </c>
      <c r="G1442" s="36">
        <f t="shared" si="891"/>
        <v>2</v>
      </c>
      <c r="H1442" s="17">
        <f t="shared" si="892"/>
        <v>2</v>
      </c>
      <c r="I1442" s="81">
        <v>45310</v>
      </c>
      <c r="J1442" s="52"/>
      <c r="K1442" s="15"/>
      <c r="L1442" s="16"/>
      <c r="M1442" s="36">
        <f t="shared" si="893"/>
        <v>0</v>
      </c>
      <c r="N1442" s="18"/>
      <c r="O1442" s="16"/>
      <c r="P1442" s="36">
        <f t="shared" si="894"/>
        <v>0</v>
      </c>
      <c r="Q1442" s="17">
        <f t="shared" si="895"/>
        <v>0</v>
      </c>
    </row>
    <row r="1443" spans="1:17" x14ac:dyDescent="0.15">
      <c r="A1443" s="35" t="s">
        <v>629</v>
      </c>
      <c r="B1443" s="15"/>
      <c r="C1443" s="16">
        <v>1</v>
      </c>
      <c r="D1443" s="36">
        <f t="shared" si="890"/>
        <v>1</v>
      </c>
      <c r="E1443" s="18"/>
      <c r="F1443" s="16">
        <v>1</v>
      </c>
      <c r="G1443" s="36">
        <f t="shared" si="891"/>
        <v>1</v>
      </c>
      <c r="H1443" s="17">
        <f t="shared" si="892"/>
        <v>2</v>
      </c>
      <c r="I1443" s="81">
        <v>45315</v>
      </c>
      <c r="J1443" s="52"/>
      <c r="K1443" s="15"/>
      <c r="L1443" s="16"/>
      <c r="M1443" s="36">
        <f t="shared" si="893"/>
        <v>0</v>
      </c>
      <c r="N1443" s="18"/>
      <c r="O1443" s="16"/>
      <c r="P1443" s="36">
        <f t="shared" si="894"/>
        <v>0</v>
      </c>
      <c r="Q1443" s="17">
        <f t="shared" si="895"/>
        <v>0</v>
      </c>
    </row>
    <row r="1444" spans="1:17" x14ac:dyDescent="0.15">
      <c r="A1444" s="35" t="s">
        <v>33</v>
      </c>
      <c r="B1444" s="15"/>
      <c r="C1444" s="16"/>
      <c r="D1444" s="36">
        <f t="shared" si="890"/>
        <v>0</v>
      </c>
      <c r="E1444" s="18">
        <v>2</v>
      </c>
      <c r="F1444" s="16"/>
      <c r="G1444" s="36">
        <f t="shared" si="891"/>
        <v>2</v>
      </c>
      <c r="H1444" s="17">
        <f t="shared" si="892"/>
        <v>2</v>
      </c>
      <c r="I1444" s="84">
        <v>45315</v>
      </c>
      <c r="J1444" s="52"/>
      <c r="K1444" s="15"/>
      <c r="L1444" s="16"/>
      <c r="M1444" s="36">
        <f t="shared" si="893"/>
        <v>0</v>
      </c>
      <c r="N1444" s="18"/>
      <c r="O1444" s="16"/>
      <c r="P1444" s="36">
        <f t="shared" si="894"/>
        <v>0</v>
      </c>
      <c r="Q1444" s="17">
        <f t="shared" si="895"/>
        <v>0</v>
      </c>
    </row>
    <row r="1445" spans="1:17" x14ac:dyDescent="0.15">
      <c r="A1445" s="35" t="s">
        <v>33</v>
      </c>
      <c r="B1445" s="15"/>
      <c r="C1445" s="16">
        <v>1</v>
      </c>
      <c r="D1445" s="36">
        <f t="shared" si="890"/>
        <v>1</v>
      </c>
      <c r="E1445" s="18"/>
      <c r="F1445" s="16"/>
      <c r="G1445" s="36">
        <f t="shared" si="891"/>
        <v>0</v>
      </c>
      <c r="H1445" s="17">
        <f t="shared" si="892"/>
        <v>1</v>
      </c>
      <c r="I1445" s="81">
        <v>45316</v>
      </c>
      <c r="J1445" s="52"/>
      <c r="K1445" s="15"/>
      <c r="L1445" s="16"/>
      <c r="M1445" s="36">
        <f t="shared" si="893"/>
        <v>0</v>
      </c>
      <c r="N1445" s="18"/>
      <c r="O1445" s="16"/>
      <c r="P1445" s="36">
        <f t="shared" si="894"/>
        <v>0</v>
      </c>
      <c r="Q1445" s="17">
        <f t="shared" si="895"/>
        <v>0</v>
      </c>
    </row>
    <row r="1446" spans="1:17" x14ac:dyDescent="0.15">
      <c r="A1446" s="35" t="s">
        <v>33</v>
      </c>
      <c r="B1446" s="15"/>
      <c r="C1446" s="16">
        <v>2</v>
      </c>
      <c r="D1446" s="36">
        <f t="shared" si="890"/>
        <v>2</v>
      </c>
      <c r="E1446" s="18"/>
      <c r="F1446" s="16"/>
      <c r="G1446" s="36">
        <f t="shared" si="891"/>
        <v>0</v>
      </c>
      <c r="H1446" s="17">
        <f t="shared" si="892"/>
        <v>2</v>
      </c>
      <c r="I1446" s="81">
        <v>45322</v>
      </c>
      <c r="J1446" s="52"/>
      <c r="K1446" s="15"/>
      <c r="L1446" s="16"/>
      <c r="M1446" s="36">
        <f t="shared" si="893"/>
        <v>0</v>
      </c>
      <c r="N1446" s="18"/>
      <c r="O1446" s="16"/>
      <c r="P1446" s="36">
        <f t="shared" si="894"/>
        <v>0</v>
      </c>
      <c r="Q1446" s="17">
        <f t="shared" si="895"/>
        <v>0</v>
      </c>
    </row>
    <row r="1447" spans="1:17" x14ac:dyDescent="0.15">
      <c r="A1447" s="35" t="s">
        <v>33</v>
      </c>
      <c r="B1447" s="15">
        <v>2</v>
      </c>
      <c r="C1447" s="16"/>
      <c r="D1447" s="36">
        <f t="shared" si="890"/>
        <v>2</v>
      </c>
      <c r="E1447" s="18"/>
      <c r="F1447" s="16"/>
      <c r="G1447" s="36">
        <f t="shared" si="891"/>
        <v>0</v>
      </c>
      <c r="H1447" s="17">
        <f t="shared" si="892"/>
        <v>2</v>
      </c>
      <c r="I1447" s="84">
        <v>45323</v>
      </c>
      <c r="J1447" s="52"/>
      <c r="K1447" s="15"/>
      <c r="L1447" s="16"/>
      <c r="M1447" s="36">
        <f t="shared" si="893"/>
        <v>0</v>
      </c>
      <c r="N1447" s="18"/>
      <c r="O1447" s="16"/>
      <c r="P1447" s="36">
        <f t="shared" si="894"/>
        <v>0</v>
      </c>
      <c r="Q1447" s="17">
        <f t="shared" si="895"/>
        <v>0</v>
      </c>
    </row>
    <row r="1448" spans="1:17" x14ac:dyDescent="0.15">
      <c r="A1448" s="35" t="s">
        <v>33</v>
      </c>
      <c r="B1448" s="15">
        <v>1</v>
      </c>
      <c r="C1448" s="16"/>
      <c r="D1448" s="36">
        <f t="shared" si="890"/>
        <v>1</v>
      </c>
      <c r="E1448" s="18">
        <v>1</v>
      </c>
      <c r="F1448" s="16"/>
      <c r="G1448" s="36">
        <f t="shared" si="891"/>
        <v>1</v>
      </c>
      <c r="H1448" s="17">
        <f t="shared" si="892"/>
        <v>2</v>
      </c>
      <c r="I1448" s="81">
        <v>45324</v>
      </c>
      <c r="J1448" s="52"/>
      <c r="K1448" s="15"/>
      <c r="L1448" s="16"/>
      <c r="M1448" s="36">
        <f t="shared" si="893"/>
        <v>0</v>
      </c>
      <c r="N1448" s="18"/>
      <c r="O1448" s="16"/>
      <c r="P1448" s="36">
        <f t="shared" si="894"/>
        <v>0</v>
      </c>
      <c r="Q1448" s="17">
        <f t="shared" si="895"/>
        <v>0</v>
      </c>
    </row>
    <row r="1449" spans="1:17" x14ac:dyDescent="0.15">
      <c r="A1449" s="35" t="s">
        <v>33</v>
      </c>
      <c r="B1449" s="15"/>
      <c r="C1449" s="16"/>
      <c r="D1449" s="36">
        <f t="shared" si="890"/>
        <v>0</v>
      </c>
      <c r="E1449" s="18">
        <v>2</v>
      </c>
      <c r="F1449" s="16">
        <f>5+2</f>
        <v>7</v>
      </c>
      <c r="G1449" s="36">
        <f t="shared" si="891"/>
        <v>9</v>
      </c>
      <c r="H1449" s="17">
        <f t="shared" si="892"/>
        <v>9</v>
      </c>
      <c r="I1449" s="81">
        <v>45327</v>
      </c>
      <c r="J1449" s="52"/>
      <c r="K1449" s="15"/>
      <c r="L1449" s="16"/>
      <c r="M1449" s="36">
        <f t="shared" si="893"/>
        <v>0</v>
      </c>
      <c r="N1449" s="18"/>
      <c r="O1449" s="16"/>
      <c r="P1449" s="36">
        <f t="shared" si="894"/>
        <v>0</v>
      </c>
      <c r="Q1449" s="17">
        <f t="shared" si="895"/>
        <v>0</v>
      </c>
    </row>
    <row r="1450" spans="1:17" x14ac:dyDescent="0.15">
      <c r="A1450" s="35" t="s">
        <v>630</v>
      </c>
      <c r="B1450" s="15">
        <v>1</v>
      </c>
      <c r="C1450" s="16"/>
      <c r="D1450" s="36">
        <f t="shared" si="890"/>
        <v>1</v>
      </c>
      <c r="E1450" s="18">
        <v>1</v>
      </c>
      <c r="F1450" s="16"/>
      <c r="G1450" s="36">
        <f t="shared" si="891"/>
        <v>1</v>
      </c>
      <c r="H1450" s="17">
        <f t="shared" si="892"/>
        <v>2</v>
      </c>
      <c r="I1450" s="81">
        <v>45331</v>
      </c>
      <c r="J1450" s="52"/>
      <c r="K1450" s="15"/>
      <c r="L1450" s="16"/>
      <c r="M1450" s="36">
        <f t="shared" ref="M1450:M1458" si="899">SUM(K1450:L1450)</f>
        <v>0</v>
      </c>
      <c r="N1450" s="18"/>
      <c r="O1450" s="16"/>
      <c r="P1450" s="36">
        <f t="shared" ref="P1450:P1458" si="900">SUM(N1450:O1450)</f>
        <v>0</v>
      </c>
      <c r="Q1450" s="17">
        <f t="shared" ref="Q1450:Q1458" si="901">M1450+P1450</f>
        <v>0</v>
      </c>
    </row>
    <row r="1451" spans="1:17" x14ac:dyDescent="0.15">
      <c r="A1451" s="35" t="s">
        <v>33</v>
      </c>
      <c r="B1451" s="15"/>
      <c r="C1451" s="16"/>
      <c r="D1451" s="36">
        <f t="shared" si="890"/>
        <v>0</v>
      </c>
      <c r="E1451" s="18">
        <v>1</v>
      </c>
      <c r="F1451" s="16"/>
      <c r="G1451" s="36">
        <f t="shared" si="891"/>
        <v>1</v>
      </c>
      <c r="H1451" s="17">
        <f t="shared" si="892"/>
        <v>1</v>
      </c>
      <c r="I1451" s="81">
        <v>45331</v>
      </c>
      <c r="J1451" s="52"/>
      <c r="K1451" s="15"/>
      <c r="L1451" s="16"/>
      <c r="M1451" s="36">
        <f t="shared" si="899"/>
        <v>0</v>
      </c>
      <c r="N1451" s="18"/>
      <c r="O1451" s="16"/>
      <c r="P1451" s="36">
        <f t="shared" si="900"/>
        <v>0</v>
      </c>
      <c r="Q1451" s="17">
        <f t="shared" si="901"/>
        <v>0</v>
      </c>
    </row>
    <row r="1452" spans="1:17" x14ac:dyDescent="0.15">
      <c r="A1452" s="35" t="s">
        <v>33</v>
      </c>
      <c r="B1452" s="15">
        <v>2</v>
      </c>
      <c r="C1452" s="16"/>
      <c r="D1452" s="36">
        <f t="shared" si="890"/>
        <v>2</v>
      </c>
      <c r="E1452" s="18">
        <v>1</v>
      </c>
      <c r="F1452" s="16"/>
      <c r="G1452" s="36">
        <f t="shared" si="891"/>
        <v>1</v>
      </c>
      <c r="H1452" s="17">
        <f t="shared" si="892"/>
        <v>3</v>
      </c>
      <c r="I1452" s="81">
        <v>45335</v>
      </c>
      <c r="J1452" s="52"/>
      <c r="K1452" s="15"/>
      <c r="L1452" s="16"/>
      <c r="M1452" s="36">
        <f t="shared" si="899"/>
        <v>0</v>
      </c>
      <c r="N1452" s="18"/>
      <c r="O1452" s="16"/>
      <c r="P1452" s="36">
        <f t="shared" si="900"/>
        <v>0</v>
      </c>
      <c r="Q1452" s="17">
        <f t="shared" si="901"/>
        <v>0</v>
      </c>
    </row>
    <row r="1453" spans="1:17" x14ac:dyDescent="0.15">
      <c r="A1453" s="35" t="s">
        <v>633</v>
      </c>
      <c r="B1453" s="15"/>
      <c r="C1453" s="16">
        <v>2</v>
      </c>
      <c r="D1453" s="36">
        <f t="shared" si="890"/>
        <v>2</v>
      </c>
      <c r="E1453" s="18"/>
      <c r="F1453" s="16">
        <v>2</v>
      </c>
      <c r="G1453" s="36">
        <f t="shared" si="891"/>
        <v>2</v>
      </c>
      <c r="H1453" s="17">
        <f t="shared" si="892"/>
        <v>4</v>
      </c>
      <c r="I1453" s="81">
        <v>45343</v>
      </c>
      <c r="J1453" s="52"/>
      <c r="K1453" s="15"/>
      <c r="L1453" s="16"/>
      <c r="M1453" s="36">
        <f t="shared" si="899"/>
        <v>0</v>
      </c>
      <c r="N1453" s="18"/>
      <c r="O1453" s="16"/>
      <c r="P1453" s="36">
        <f t="shared" si="900"/>
        <v>0</v>
      </c>
      <c r="Q1453" s="17">
        <f t="shared" si="901"/>
        <v>0</v>
      </c>
    </row>
    <row r="1454" spans="1:17" x14ac:dyDescent="0.15">
      <c r="A1454" s="35" t="s">
        <v>634</v>
      </c>
      <c r="B1454" s="15"/>
      <c r="C1454" s="16">
        <v>5</v>
      </c>
      <c r="D1454" s="36">
        <f t="shared" si="890"/>
        <v>5</v>
      </c>
      <c r="E1454" s="18"/>
      <c r="F1454" s="16">
        <v>5</v>
      </c>
      <c r="G1454" s="36">
        <f t="shared" si="891"/>
        <v>5</v>
      </c>
      <c r="H1454" s="17">
        <f t="shared" si="892"/>
        <v>10</v>
      </c>
      <c r="I1454" s="81">
        <v>45344</v>
      </c>
      <c r="J1454" s="52"/>
      <c r="K1454" s="15"/>
      <c r="L1454" s="16"/>
      <c r="M1454" s="36">
        <f t="shared" si="899"/>
        <v>0</v>
      </c>
      <c r="N1454" s="18"/>
      <c r="O1454" s="16"/>
      <c r="P1454" s="36">
        <f t="shared" si="900"/>
        <v>0</v>
      </c>
      <c r="Q1454" s="17">
        <f t="shared" si="901"/>
        <v>0</v>
      </c>
    </row>
    <row r="1455" spans="1:17" x14ac:dyDescent="0.15">
      <c r="A1455" s="35" t="s">
        <v>636</v>
      </c>
      <c r="B1455" s="15">
        <v>7</v>
      </c>
      <c r="C1455" s="16">
        <v>3</v>
      </c>
      <c r="D1455" s="36">
        <f t="shared" si="890"/>
        <v>10</v>
      </c>
      <c r="E1455" s="18">
        <v>7</v>
      </c>
      <c r="F1455" s="16">
        <v>3</v>
      </c>
      <c r="G1455" s="36">
        <f t="shared" si="891"/>
        <v>10</v>
      </c>
      <c r="H1455" s="17">
        <f t="shared" si="892"/>
        <v>20</v>
      </c>
      <c r="I1455" s="81">
        <v>45344</v>
      </c>
      <c r="J1455" s="52"/>
      <c r="K1455" s="15"/>
      <c r="L1455" s="16"/>
      <c r="M1455" s="36">
        <f t="shared" si="899"/>
        <v>0</v>
      </c>
      <c r="N1455" s="18"/>
      <c r="O1455" s="16"/>
      <c r="P1455" s="36">
        <f t="shared" si="900"/>
        <v>0</v>
      </c>
      <c r="Q1455" s="17">
        <f t="shared" si="901"/>
        <v>0</v>
      </c>
    </row>
    <row r="1456" spans="1:17" x14ac:dyDescent="0.15">
      <c r="A1456" s="35" t="s">
        <v>637</v>
      </c>
      <c r="B1456" s="15">
        <v>1</v>
      </c>
      <c r="C1456" s="16"/>
      <c r="D1456" s="36">
        <f t="shared" si="890"/>
        <v>1</v>
      </c>
      <c r="E1456" s="18">
        <v>1</v>
      </c>
      <c r="F1456" s="16"/>
      <c r="G1456" s="36">
        <f t="shared" si="891"/>
        <v>1</v>
      </c>
      <c r="H1456" s="17">
        <f t="shared" si="892"/>
        <v>2</v>
      </c>
      <c r="I1456" s="81">
        <v>45348</v>
      </c>
      <c r="J1456" s="52"/>
      <c r="K1456" s="15"/>
      <c r="L1456" s="16"/>
      <c r="M1456" s="36">
        <f t="shared" si="899"/>
        <v>0</v>
      </c>
      <c r="N1456" s="18"/>
      <c r="O1456" s="16"/>
      <c r="P1456" s="36">
        <f t="shared" si="900"/>
        <v>0</v>
      </c>
      <c r="Q1456" s="17">
        <f t="shared" si="901"/>
        <v>0</v>
      </c>
    </row>
    <row r="1457" spans="1:18" x14ac:dyDescent="0.15">
      <c r="A1457" s="35" t="s">
        <v>33</v>
      </c>
      <c r="B1457" s="15">
        <v>2</v>
      </c>
      <c r="C1457" s="16"/>
      <c r="D1457" s="36">
        <f t="shared" si="890"/>
        <v>2</v>
      </c>
      <c r="E1457" s="18"/>
      <c r="F1457" s="16"/>
      <c r="G1457" s="36">
        <f t="shared" si="891"/>
        <v>0</v>
      </c>
      <c r="H1457" s="17">
        <f t="shared" si="892"/>
        <v>2</v>
      </c>
      <c r="I1457" s="84">
        <v>45344</v>
      </c>
      <c r="J1457" s="52"/>
      <c r="K1457" s="15"/>
      <c r="L1457" s="16"/>
      <c r="M1457" s="36">
        <f t="shared" si="899"/>
        <v>0</v>
      </c>
      <c r="N1457" s="18"/>
      <c r="O1457" s="16"/>
      <c r="P1457" s="36">
        <f t="shared" si="900"/>
        <v>0</v>
      </c>
      <c r="Q1457" s="17">
        <f t="shared" si="901"/>
        <v>0</v>
      </c>
    </row>
    <row r="1458" spans="1:18" ht="14.25" thickBot="1" x14ac:dyDescent="0.2">
      <c r="A1458" s="35" t="s">
        <v>638</v>
      </c>
      <c r="B1458" s="15">
        <v>6</v>
      </c>
      <c r="C1458" s="16"/>
      <c r="D1458" s="36">
        <f t="shared" ref="D1458" si="902">SUM(B1458:C1458)</f>
        <v>6</v>
      </c>
      <c r="E1458" s="18">
        <v>6</v>
      </c>
      <c r="F1458" s="16"/>
      <c r="G1458" s="36">
        <f t="shared" ref="G1458" si="903">SUM(E1458:F1458)</f>
        <v>6</v>
      </c>
      <c r="H1458" s="17">
        <f t="shared" ref="H1458" si="904">D1458+G1458</f>
        <v>12</v>
      </c>
      <c r="I1458" s="81">
        <v>45350</v>
      </c>
      <c r="J1458" s="35" t="s">
        <v>622</v>
      </c>
      <c r="K1458" s="15"/>
      <c r="L1458" s="16"/>
      <c r="M1458" s="36">
        <f t="shared" si="899"/>
        <v>0</v>
      </c>
      <c r="N1458" s="18"/>
      <c r="O1458" s="16"/>
      <c r="P1458" s="36">
        <f t="shared" si="900"/>
        <v>0</v>
      </c>
      <c r="Q1458" s="17">
        <f t="shared" si="901"/>
        <v>0</v>
      </c>
      <c r="R1458" s="83" t="s">
        <v>623</v>
      </c>
    </row>
    <row r="1459" spans="1:18" ht="14.25" thickBot="1" x14ac:dyDescent="0.2">
      <c r="A1459" s="40" t="s">
        <v>14</v>
      </c>
      <c r="B1459" s="41">
        <f>SUM(B1433:B1458)</f>
        <v>29</v>
      </c>
      <c r="C1459" s="42">
        <f t="shared" ref="C1459" si="905">SUM(C1433:C1458)</f>
        <v>17</v>
      </c>
      <c r="D1459" s="43">
        <f t="shared" si="890"/>
        <v>46</v>
      </c>
      <c r="E1459" s="41">
        <f>SUM(E1433:E1458)</f>
        <v>27</v>
      </c>
      <c r="F1459" s="42">
        <f t="shared" ref="F1459" si="906">SUM(F1433:F1458)</f>
        <v>26</v>
      </c>
      <c r="G1459" s="43">
        <f t="shared" si="891"/>
        <v>53</v>
      </c>
      <c r="H1459" s="43">
        <f t="shared" si="892"/>
        <v>99</v>
      </c>
      <c r="J1459" s="40" t="s">
        <v>14</v>
      </c>
      <c r="K1459" s="41">
        <f>SUM(K1433:K1458)</f>
        <v>5</v>
      </c>
      <c r="L1459" s="42">
        <f t="shared" ref="L1459" si="907">SUM(L1433:L1458)</f>
        <v>10</v>
      </c>
      <c r="M1459" s="43">
        <f t="shared" si="893"/>
        <v>15</v>
      </c>
      <c r="N1459" s="41">
        <f>SUM(N1433:N1458)</f>
        <v>10</v>
      </c>
      <c r="O1459" s="42">
        <f t="shared" ref="O1459" si="908">SUM(O1433:O1458)</f>
        <v>15</v>
      </c>
      <c r="P1459" s="43">
        <f t="shared" si="894"/>
        <v>25</v>
      </c>
      <c r="Q1459" s="43">
        <f t="shared" si="895"/>
        <v>40</v>
      </c>
    </row>
    <row r="1460" spans="1:18" ht="14.25" thickBot="1" x14ac:dyDescent="0.2">
      <c r="A1460" s="44" t="s">
        <v>15</v>
      </c>
      <c r="B1460" s="45">
        <f>B1432-B1459</f>
        <v>3</v>
      </c>
      <c r="C1460" s="46">
        <f t="shared" ref="C1460" si="909">C1432-C1459</f>
        <v>15</v>
      </c>
      <c r="D1460" s="47">
        <f t="shared" si="890"/>
        <v>18</v>
      </c>
      <c r="E1460" s="45">
        <f>E1432-E1459</f>
        <v>7</v>
      </c>
      <c r="F1460" s="46">
        <f t="shared" ref="F1460" si="910">F1432-F1459</f>
        <v>13</v>
      </c>
      <c r="G1460" s="47">
        <f t="shared" si="891"/>
        <v>20</v>
      </c>
      <c r="H1460" s="34">
        <f t="shared" si="892"/>
        <v>38</v>
      </c>
      <c r="J1460" s="44" t="s">
        <v>15</v>
      </c>
      <c r="K1460" s="45">
        <f>K1432-K1459</f>
        <v>1028</v>
      </c>
      <c r="L1460" s="46">
        <f t="shared" ref="L1460" si="911">L1432-L1459</f>
        <v>510</v>
      </c>
      <c r="M1460" s="47">
        <f t="shared" si="893"/>
        <v>1538</v>
      </c>
      <c r="N1460" s="45">
        <f>N1432-N1459</f>
        <v>1027</v>
      </c>
      <c r="O1460" s="46">
        <f t="shared" ref="O1460" si="912">O1432-O1459</f>
        <v>45</v>
      </c>
      <c r="P1460" s="47">
        <f t="shared" si="894"/>
        <v>1072</v>
      </c>
      <c r="Q1460" s="34">
        <f t="shared" si="895"/>
        <v>2610</v>
      </c>
    </row>
    <row r="1463" spans="1:18" ht="19.5" thickBot="1" x14ac:dyDescent="0.25">
      <c r="A1463" s="1" t="s">
        <v>23</v>
      </c>
      <c r="J1463" s="1" t="s">
        <v>24</v>
      </c>
      <c r="K1463" s="2"/>
      <c r="L1463" s="2"/>
      <c r="M1463" s="2"/>
      <c r="N1463" s="2"/>
      <c r="O1463" s="1" t="s">
        <v>34</v>
      </c>
      <c r="P1463" s="2"/>
      <c r="Q1463" s="2"/>
    </row>
    <row r="1464" spans="1:18" ht="14.25" thickBot="1" x14ac:dyDescent="0.2">
      <c r="A1464" s="3" t="s">
        <v>0</v>
      </c>
      <c r="B1464" s="120" t="s">
        <v>18</v>
      </c>
      <c r="C1464" s="121"/>
      <c r="D1464" s="122"/>
      <c r="E1464" s="120" t="s">
        <v>19</v>
      </c>
      <c r="F1464" s="121"/>
      <c r="G1464" s="122"/>
      <c r="H1464" s="123" t="s">
        <v>1</v>
      </c>
      <c r="J1464" s="3" t="s">
        <v>0</v>
      </c>
      <c r="K1464" s="120" t="s">
        <v>18</v>
      </c>
      <c r="L1464" s="121"/>
      <c r="M1464" s="122"/>
      <c r="N1464" s="120" t="s">
        <v>19</v>
      </c>
      <c r="O1464" s="121"/>
      <c r="P1464" s="122"/>
      <c r="Q1464" s="123" t="s">
        <v>1</v>
      </c>
    </row>
    <row r="1465" spans="1:18" ht="14.25" thickBot="1" x14ac:dyDescent="0.2">
      <c r="A1465" s="3" t="s">
        <v>2</v>
      </c>
      <c r="B1465" s="4" t="s">
        <v>16</v>
      </c>
      <c r="C1465" s="5" t="s">
        <v>17</v>
      </c>
      <c r="D1465" s="3" t="s">
        <v>3</v>
      </c>
      <c r="E1465" s="4" t="s">
        <v>16</v>
      </c>
      <c r="F1465" s="5" t="s">
        <v>17</v>
      </c>
      <c r="G1465" s="3" t="s">
        <v>3</v>
      </c>
      <c r="H1465" s="124"/>
      <c r="J1465" s="3" t="s">
        <v>2</v>
      </c>
      <c r="K1465" s="4" t="s">
        <v>16</v>
      </c>
      <c r="L1465" s="5" t="s">
        <v>17</v>
      </c>
      <c r="M1465" s="3" t="s">
        <v>3</v>
      </c>
      <c r="N1465" s="4" t="s">
        <v>16</v>
      </c>
      <c r="O1465" s="5" t="s">
        <v>17</v>
      </c>
      <c r="P1465" s="3" t="s">
        <v>3</v>
      </c>
      <c r="Q1465" s="124"/>
    </row>
    <row r="1466" spans="1:18" ht="14.25" thickBot="1" x14ac:dyDescent="0.2">
      <c r="A1466" s="6" t="s">
        <v>55</v>
      </c>
      <c r="B1466" s="32">
        <f>B1460</f>
        <v>3</v>
      </c>
      <c r="C1466" s="33">
        <f>C1460</f>
        <v>15</v>
      </c>
      <c r="D1466" s="34">
        <f t="shared" ref="D1466:D1503" si="913">SUM(B1466:C1466)</f>
        <v>18</v>
      </c>
      <c r="E1466" s="32">
        <f>E1460</f>
        <v>7</v>
      </c>
      <c r="F1466" s="33">
        <f>F1460</f>
        <v>13</v>
      </c>
      <c r="G1466" s="34">
        <f t="shared" ref="G1466:G1503" si="914">SUM(E1466:F1466)</f>
        <v>20</v>
      </c>
      <c r="H1466" s="34">
        <f t="shared" ref="H1466:H1503" si="915">D1466+G1466</f>
        <v>38</v>
      </c>
      <c r="J1466" s="6" t="s">
        <v>55</v>
      </c>
      <c r="K1466" s="32">
        <f>K1460</f>
        <v>1028</v>
      </c>
      <c r="L1466" s="33">
        <f>L1460</f>
        <v>510</v>
      </c>
      <c r="M1466" s="34">
        <f t="shared" ref="M1466:M1503" si="916">SUM(K1466:L1466)</f>
        <v>1538</v>
      </c>
      <c r="N1466" s="32">
        <f>N1460</f>
        <v>1027</v>
      </c>
      <c r="O1466" s="33">
        <f>O1460</f>
        <v>45</v>
      </c>
      <c r="P1466" s="34">
        <f t="shared" ref="P1466:P1503" si="917">SUM(N1466:O1466)</f>
        <v>1072</v>
      </c>
      <c r="Q1466" s="34">
        <f t="shared" ref="Q1466:Q1503" si="918">M1466+P1466</f>
        <v>2610</v>
      </c>
    </row>
    <row r="1467" spans="1:18" x14ac:dyDescent="0.15">
      <c r="A1467" s="10" t="s">
        <v>5</v>
      </c>
      <c r="B1467" s="23">
        <v>15</v>
      </c>
      <c r="C1467" s="24">
        <v>5</v>
      </c>
      <c r="D1467" s="17">
        <f t="shared" ref="D1467:D1471" si="919">SUM(B1467:C1467)</f>
        <v>20</v>
      </c>
      <c r="E1467" s="25">
        <v>15</v>
      </c>
      <c r="F1467" s="24">
        <v>5</v>
      </c>
      <c r="G1467" s="17">
        <f t="shared" ref="G1467:G1471" si="920">SUM(E1467:F1467)</f>
        <v>20</v>
      </c>
      <c r="H1467" s="17">
        <f t="shared" ref="H1467:H1471" si="921">D1467+G1467</f>
        <v>40</v>
      </c>
      <c r="I1467" s="81">
        <v>45350</v>
      </c>
      <c r="J1467" s="10" t="s">
        <v>5</v>
      </c>
      <c r="K1467" s="19"/>
      <c r="L1467" s="20"/>
      <c r="M1467" s="36">
        <f t="shared" si="916"/>
        <v>0</v>
      </c>
      <c r="N1467" s="21"/>
      <c r="O1467" s="20"/>
      <c r="P1467" s="36">
        <f t="shared" si="917"/>
        <v>0</v>
      </c>
      <c r="Q1467" s="36">
        <f t="shared" si="918"/>
        <v>0</v>
      </c>
    </row>
    <row r="1468" spans="1:18" x14ac:dyDescent="0.15">
      <c r="A1468" s="10" t="s">
        <v>6</v>
      </c>
      <c r="B1468" s="23">
        <v>5</v>
      </c>
      <c r="C1468" s="24">
        <v>5</v>
      </c>
      <c r="D1468" s="17">
        <f t="shared" si="919"/>
        <v>10</v>
      </c>
      <c r="E1468" s="25">
        <v>5</v>
      </c>
      <c r="F1468" s="24"/>
      <c r="G1468" s="17">
        <f t="shared" si="920"/>
        <v>5</v>
      </c>
      <c r="H1468" s="17">
        <f t="shared" si="921"/>
        <v>15</v>
      </c>
      <c r="I1468" s="81">
        <v>45358</v>
      </c>
      <c r="J1468" s="10" t="s">
        <v>6</v>
      </c>
      <c r="K1468" s="15"/>
      <c r="L1468" s="16"/>
      <c r="M1468" s="17">
        <f t="shared" si="916"/>
        <v>0</v>
      </c>
      <c r="N1468" s="18"/>
      <c r="O1468" s="16"/>
      <c r="P1468" s="17">
        <f t="shared" si="917"/>
        <v>0</v>
      </c>
      <c r="Q1468" s="17">
        <f t="shared" si="918"/>
        <v>0</v>
      </c>
    </row>
    <row r="1469" spans="1:18" x14ac:dyDescent="0.15">
      <c r="A1469" s="10" t="s">
        <v>7</v>
      </c>
      <c r="B1469" s="23">
        <v>10</v>
      </c>
      <c r="C1469" s="24"/>
      <c r="D1469" s="17">
        <f t="shared" si="919"/>
        <v>10</v>
      </c>
      <c r="E1469" s="25">
        <v>10</v>
      </c>
      <c r="F1469" s="24"/>
      <c r="G1469" s="17">
        <f t="shared" si="920"/>
        <v>10</v>
      </c>
      <c r="H1469" s="17">
        <f t="shared" si="921"/>
        <v>20</v>
      </c>
      <c r="I1469" s="81">
        <v>45363</v>
      </c>
      <c r="J1469" s="10" t="s">
        <v>7</v>
      </c>
      <c r="K1469" s="15"/>
      <c r="L1469" s="16"/>
      <c r="M1469" s="17">
        <f t="shared" si="916"/>
        <v>0</v>
      </c>
      <c r="N1469" s="18"/>
      <c r="O1469" s="16"/>
      <c r="P1469" s="17">
        <f t="shared" si="917"/>
        <v>0</v>
      </c>
      <c r="Q1469" s="17">
        <f t="shared" si="918"/>
        <v>0</v>
      </c>
    </row>
    <row r="1470" spans="1:18" x14ac:dyDescent="0.15">
      <c r="A1470" s="10" t="s">
        <v>8</v>
      </c>
      <c r="B1470" s="23"/>
      <c r="C1470" s="24">
        <v>10</v>
      </c>
      <c r="D1470" s="17">
        <f t="shared" si="919"/>
        <v>10</v>
      </c>
      <c r="E1470" s="25"/>
      <c r="F1470" s="24">
        <v>5</v>
      </c>
      <c r="G1470" s="17">
        <f t="shared" si="920"/>
        <v>5</v>
      </c>
      <c r="H1470" s="17">
        <f t="shared" si="921"/>
        <v>15</v>
      </c>
      <c r="I1470" s="81">
        <v>45367</v>
      </c>
      <c r="J1470" s="10" t="s">
        <v>8</v>
      </c>
      <c r="K1470" s="15"/>
      <c r="L1470" s="16"/>
      <c r="M1470" s="17">
        <f t="shared" si="916"/>
        <v>0</v>
      </c>
      <c r="N1470" s="18"/>
      <c r="O1470" s="16"/>
      <c r="P1470" s="17">
        <f t="shared" si="917"/>
        <v>0</v>
      </c>
      <c r="Q1470" s="17">
        <f t="shared" si="918"/>
        <v>0</v>
      </c>
    </row>
    <row r="1471" spans="1:18" x14ac:dyDescent="0.15">
      <c r="A1471" s="10" t="s">
        <v>9</v>
      </c>
      <c r="B1471" s="23">
        <v>5</v>
      </c>
      <c r="C1471" s="24">
        <v>5</v>
      </c>
      <c r="D1471" s="17">
        <f t="shared" si="919"/>
        <v>10</v>
      </c>
      <c r="E1471" s="25">
        <v>5</v>
      </c>
      <c r="F1471" s="24"/>
      <c r="G1471" s="17">
        <f t="shared" si="920"/>
        <v>5</v>
      </c>
      <c r="H1471" s="17">
        <f t="shared" si="921"/>
        <v>15</v>
      </c>
      <c r="I1471" s="81">
        <v>45372</v>
      </c>
      <c r="J1471" s="10" t="s">
        <v>9</v>
      </c>
      <c r="K1471" s="15"/>
      <c r="L1471" s="16"/>
      <c r="M1471" s="17">
        <f t="shared" si="916"/>
        <v>0</v>
      </c>
      <c r="N1471" s="18"/>
      <c r="O1471" s="16"/>
      <c r="P1471" s="17">
        <f t="shared" si="917"/>
        <v>0</v>
      </c>
      <c r="Q1471" s="17">
        <f t="shared" si="918"/>
        <v>0</v>
      </c>
    </row>
    <row r="1472" spans="1:18" x14ac:dyDescent="0.15">
      <c r="A1472" s="10" t="s">
        <v>649</v>
      </c>
      <c r="B1472" s="23"/>
      <c r="C1472" s="24"/>
      <c r="D1472" s="17">
        <f t="shared" si="913"/>
        <v>0</v>
      </c>
      <c r="E1472" s="25">
        <v>1</v>
      </c>
      <c r="F1472" s="24"/>
      <c r="G1472" s="17">
        <f t="shared" si="914"/>
        <v>1</v>
      </c>
      <c r="H1472" s="17">
        <f t="shared" si="915"/>
        <v>1</v>
      </c>
      <c r="I1472" s="81">
        <v>45378</v>
      </c>
      <c r="J1472" s="10" t="s">
        <v>10</v>
      </c>
      <c r="K1472" s="15"/>
      <c r="L1472" s="16"/>
      <c r="M1472" s="17">
        <f t="shared" si="916"/>
        <v>0</v>
      </c>
      <c r="N1472" s="18"/>
      <c r="O1472" s="16"/>
      <c r="P1472" s="17">
        <f t="shared" si="917"/>
        <v>0</v>
      </c>
      <c r="Q1472" s="17">
        <f t="shared" si="918"/>
        <v>0</v>
      </c>
    </row>
    <row r="1473" spans="1:18" x14ac:dyDescent="0.15">
      <c r="A1473" s="10" t="s">
        <v>11</v>
      </c>
      <c r="B1473" s="23">
        <v>5</v>
      </c>
      <c r="C1473" s="24"/>
      <c r="D1473" s="17">
        <f t="shared" si="913"/>
        <v>5</v>
      </c>
      <c r="E1473" s="25">
        <v>5</v>
      </c>
      <c r="F1473" s="24"/>
      <c r="G1473" s="17">
        <f t="shared" si="914"/>
        <v>5</v>
      </c>
      <c r="H1473" s="17">
        <f t="shared" si="915"/>
        <v>10</v>
      </c>
      <c r="I1473" s="81">
        <v>45379</v>
      </c>
      <c r="J1473" s="10" t="s">
        <v>11</v>
      </c>
      <c r="K1473" s="23"/>
      <c r="L1473" s="24"/>
      <c r="M1473" s="17">
        <f t="shared" si="916"/>
        <v>0</v>
      </c>
      <c r="N1473" s="25"/>
      <c r="O1473" s="24"/>
      <c r="P1473" s="17">
        <f t="shared" si="917"/>
        <v>0</v>
      </c>
      <c r="Q1473" s="17">
        <f t="shared" si="918"/>
        <v>0</v>
      </c>
    </row>
    <row r="1474" spans="1:18" ht="14.25" thickBot="1" x14ac:dyDescent="0.2">
      <c r="A1474" s="10" t="s">
        <v>61</v>
      </c>
      <c r="B1474" s="26">
        <v>1</v>
      </c>
      <c r="C1474" s="27"/>
      <c r="D1474" s="28">
        <f t="shared" si="913"/>
        <v>1</v>
      </c>
      <c r="E1474" s="29">
        <v>1</v>
      </c>
      <c r="F1474" s="29"/>
      <c r="G1474" s="28">
        <f t="shared" si="914"/>
        <v>1</v>
      </c>
      <c r="H1474" s="30">
        <f t="shared" si="915"/>
        <v>2</v>
      </c>
      <c r="I1474" s="81">
        <v>45379</v>
      </c>
      <c r="J1474" s="10" t="s">
        <v>12</v>
      </c>
      <c r="K1474" s="23"/>
      <c r="L1474" s="24"/>
      <c r="M1474" s="17">
        <f t="shared" ref="M1474" si="922">SUM(K1474:L1474)</f>
        <v>0</v>
      </c>
      <c r="N1474" s="25"/>
      <c r="O1474" s="24"/>
      <c r="P1474" s="17">
        <f t="shared" ref="P1474" si="923">SUM(N1474:O1474)</f>
        <v>0</v>
      </c>
      <c r="Q1474" s="17">
        <f t="shared" ref="Q1474" si="924">M1474+P1474</f>
        <v>0</v>
      </c>
    </row>
    <row r="1475" spans="1:18" ht="14.25" thickBot="1" x14ac:dyDescent="0.2">
      <c r="A1475" s="31" t="s">
        <v>13</v>
      </c>
      <c r="B1475" s="32">
        <f>SUM(B1466:B1474)</f>
        <v>44</v>
      </c>
      <c r="C1475" s="33">
        <f>SUM(C1466:C1474)</f>
        <v>40</v>
      </c>
      <c r="D1475" s="34">
        <f t="shared" si="913"/>
        <v>84</v>
      </c>
      <c r="E1475" s="32">
        <f>SUM(E1466:E1474)</f>
        <v>49</v>
      </c>
      <c r="F1475" s="33">
        <f>SUM(F1466:F1474)</f>
        <v>23</v>
      </c>
      <c r="G1475" s="34">
        <f t="shared" si="914"/>
        <v>72</v>
      </c>
      <c r="H1475" s="34">
        <f t="shared" si="915"/>
        <v>156</v>
      </c>
      <c r="J1475" s="31" t="s">
        <v>13</v>
      </c>
      <c r="K1475" s="32">
        <f>SUM(K1466:K1474)</f>
        <v>1028</v>
      </c>
      <c r="L1475" s="33">
        <f>SUM(L1466:L1474)</f>
        <v>510</v>
      </c>
      <c r="M1475" s="34">
        <f t="shared" si="916"/>
        <v>1538</v>
      </c>
      <c r="N1475" s="32">
        <f>SUM(N1466:N1474)</f>
        <v>1027</v>
      </c>
      <c r="O1475" s="33">
        <f>SUM(O1466:O1474)</f>
        <v>45</v>
      </c>
      <c r="P1475" s="34">
        <f t="shared" si="917"/>
        <v>1072</v>
      </c>
      <c r="Q1475" s="34">
        <f t="shared" si="918"/>
        <v>2610</v>
      </c>
    </row>
    <row r="1476" spans="1:18" x14ac:dyDescent="0.15">
      <c r="A1476" s="35" t="s">
        <v>33</v>
      </c>
      <c r="B1476" s="15">
        <v>2</v>
      </c>
      <c r="C1476" s="16">
        <f>2+1</f>
        <v>3</v>
      </c>
      <c r="D1476" s="36">
        <f t="shared" ref="D1476:D1499" si="925">SUM(B1476:C1476)</f>
        <v>5</v>
      </c>
      <c r="E1476" s="18">
        <f>1+1</f>
        <v>2</v>
      </c>
      <c r="F1476" s="16"/>
      <c r="G1476" s="36">
        <f t="shared" ref="G1476:G1499" si="926">SUM(E1476:F1476)</f>
        <v>2</v>
      </c>
      <c r="H1476" s="17">
        <f t="shared" ref="H1476:H1499" si="927">D1476+G1476</f>
        <v>7</v>
      </c>
      <c r="I1476" s="84">
        <v>45348</v>
      </c>
      <c r="J1476" s="52" t="s">
        <v>640</v>
      </c>
      <c r="K1476" s="15">
        <v>15</v>
      </c>
      <c r="L1476" s="16">
        <v>5</v>
      </c>
      <c r="M1476" s="36">
        <f t="shared" ref="M1476:M1485" si="928">SUM(K1476:L1476)</f>
        <v>20</v>
      </c>
      <c r="N1476" s="18">
        <v>15</v>
      </c>
      <c r="O1476" s="16">
        <v>5</v>
      </c>
      <c r="P1476" s="36">
        <f t="shared" ref="P1476:P1485" si="929">SUM(N1476:O1476)</f>
        <v>20</v>
      </c>
      <c r="Q1476" s="17">
        <f t="shared" ref="Q1476:Q1485" si="930">M1476+P1476</f>
        <v>40</v>
      </c>
      <c r="R1476" s="81">
        <v>45350</v>
      </c>
    </row>
    <row r="1477" spans="1:18" x14ac:dyDescent="0.15">
      <c r="A1477" s="35" t="s">
        <v>283</v>
      </c>
      <c r="B1477" s="15"/>
      <c r="C1477" s="16">
        <v>1</v>
      </c>
      <c r="D1477" s="36">
        <f t="shared" si="925"/>
        <v>1</v>
      </c>
      <c r="E1477" s="18"/>
      <c r="F1477" s="16"/>
      <c r="G1477" s="36">
        <f t="shared" si="926"/>
        <v>0</v>
      </c>
      <c r="H1477" s="17">
        <f t="shared" si="927"/>
        <v>1</v>
      </c>
      <c r="I1477" s="81">
        <v>45348</v>
      </c>
      <c r="J1477" s="52" t="s">
        <v>91</v>
      </c>
      <c r="K1477" s="15">
        <v>5</v>
      </c>
      <c r="L1477" s="16">
        <v>5</v>
      </c>
      <c r="M1477" s="36">
        <f t="shared" si="928"/>
        <v>10</v>
      </c>
      <c r="N1477" s="18">
        <v>5</v>
      </c>
      <c r="O1477" s="16"/>
      <c r="P1477" s="36">
        <f t="shared" si="929"/>
        <v>5</v>
      </c>
      <c r="Q1477" s="17">
        <f t="shared" si="930"/>
        <v>15</v>
      </c>
      <c r="R1477" s="81">
        <v>45358</v>
      </c>
    </row>
    <row r="1478" spans="1:18" x14ac:dyDescent="0.15">
      <c r="A1478" s="35" t="s">
        <v>639</v>
      </c>
      <c r="B1478" s="15">
        <v>1</v>
      </c>
      <c r="C1478" s="16">
        <v>2</v>
      </c>
      <c r="D1478" s="36">
        <f t="shared" si="925"/>
        <v>3</v>
      </c>
      <c r="E1478" s="18">
        <v>1</v>
      </c>
      <c r="F1478" s="16">
        <v>2</v>
      </c>
      <c r="G1478" s="36">
        <f t="shared" si="926"/>
        <v>3</v>
      </c>
      <c r="H1478" s="17">
        <f t="shared" si="927"/>
        <v>6</v>
      </c>
      <c r="I1478" s="81">
        <v>45351</v>
      </c>
      <c r="J1478" s="52" t="s">
        <v>91</v>
      </c>
      <c r="K1478" s="15">
        <v>10</v>
      </c>
      <c r="L1478" s="16"/>
      <c r="M1478" s="36">
        <f t="shared" si="928"/>
        <v>10</v>
      </c>
      <c r="N1478" s="18">
        <v>10</v>
      </c>
      <c r="O1478" s="16"/>
      <c r="P1478" s="36">
        <f t="shared" si="929"/>
        <v>10</v>
      </c>
      <c r="Q1478" s="17">
        <f t="shared" si="930"/>
        <v>20</v>
      </c>
      <c r="R1478" s="81">
        <v>45363</v>
      </c>
    </row>
    <row r="1479" spans="1:18" x14ac:dyDescent="0.15">
      <c r="A1479" s="35" t="s">
        <v>33</v>
      </c>
      <c r="B1479" s="15">
        <v>2</v>
      </c>
      <c r="C1479" s="16"/>
      <c r="D1479" s="36">
        <f t="shared" si="925"/>
        <v>2</v>
      </c>
      <c r="E1479" s="18"/>
      <c r="F1479" s="16"/>
      <c r="G1479" s="36">
        <f t="shared" si="926"/>
        <v>0</v>
      </c>
      <c r="H1479" s="17">
        <f t="shared" si="927"/>
        <v>2</v>
      </c>
      <c r="I1479" s="84">
        <v>45350</v>
      </c>
      <c r="J1479" s="52" t="s">
        <v>91</v>
      </c>
      <c r="K1479" s="15"/>
      <c r="L1479" s="16">
        <v>10</v>
      </c>
      <c r="M1479" s="36">
        <f t="shared" si="928"/>
        <v>10</v>
      </c>
      <c r="N1479" s="18"/>
      <c r="O1479" s="16">
        <v>5</v>
      </c>
      <c r="P1479" s="36">
        <f t="shared" si="929"/>
        <v>5</v>
      </c>
      <c r="Q1479" s="17">
        <f t="shared" si="930"/>
        <v>15</v>
      </c>
      <c r="R1479" s="81">
        <v>45367</v>
      </c>
    </row>
    <row r="1480" spans="1:18" x14ac:dyDescent="0.15">
      <c r="A1480" s="35" t="s">
        <v>641</v>
      </c>
      <c r="B1480" s="15">
        <v>2</v>
      </c>
      <c r="C1480" s="16">
        <v>1</v>
      </c>
      <c r="D1480" s="36">
        <f t="shared" si="925"/>
        <v>3</v>
      </c>
      <c r="E1480" s="18">
        <v>2</v>
      </c>
      <c r="F1480" s="16">
        <v>1</v>
      </c>
      <c r="G1480" s="36">
        <f t="shared" si="926"/>
        <v>3</v>
      </c>
      <c r="H1480" s="17">
        <f t="shared" si="927"/>
        <v>6</v>
      </c>
      <c r="I1480" s="81">
        <v>45352</v>
      </c>
      <c r="J1480" s="52" t="s">
        <v>91</v>
      </c>
      <c r="K1480" s="15">
        <v>5</v>
      </c>
      <c r="L1480" s="16">
        <v>5</v>
      </c>
      <c r="M1480" s="36">
        <f t="shared" si="928"/>
        <v>10</v>
      </c>
      <c r="N1480" s="18">
        <v>5</v>
      </c>
      <c r="O1480" s="16"/>
      <c r="P1480" s="36">
        <f t="shared" si="929"/>
        <v>5</v>
      </c>
      <c r="Q1480" s="17">
        <f t="shared" si="930"/>
        <v>15</v>
      </c>
      <c r="R1480" s="81">
        <v>45372</v>
      </c>
    </row>
    <row r="1481" spans="1:18" x14ac:dyDescent="0.15">
      <c r="A1481" s="35" t="s">
        <v>33</v>
      </c>
      <c r="B1481" s="15"/>
      <c r="C1481" s="16"/>
      <c r="D1481" s="36">
        <f t="shared" si="925"/>
        <v>0</v>
      </c>
      <c r="E1481" s="18">
        <v>1</v>
      </c>
      <c r="F1481" s="16"/>
      <c r="G1481" s="36">
        <f t="shared" si="926"/>
        <v>1</v>
      </c>
      <c r="H1481" s="17">
        <f t="shared" si="927"/>
        <v>1</v>
      </c>
      <c r="I1481" s="84">
        <v>45351</v>
      </c>
      <c r="J1481" s="52" t="s">
        <v>91</v>
      </c>
      <c r="K1481" s="15">
        <v>5</v>
      </c>
      <c r="L1481" s="16"/>
      <c r="M1481" s="36">
        <f t="shared" si="928"/>
        <v>5</v>
      </c>
      <c r="N1481" s="18">
        <v>5</v>
      </c>
      <c r="O1481" s="16"/>
      <c r="P1481" s="36">
        <f t="shared" si="929"/>
        <v>5</v>
      </c>
      <c r="Q1481" s="17">
        <f t="shared" si="930"/>
        <v>10</v>
      </c>
      <c r="R1481" s="81">
        <v>45379</v>
      </c>
    </row>
    <row r="1482" spans="1:18" x14ac:dyDescent="0.15">
      <c r="A1482" s="35" t="s">
        <v>33</v>
      </c>
      <c r="B1482" s="15"/>
      <c r="C1482" s="16">
        <v>3</v>
      </c>
      <c r="D1482" s="36">
        <f t="shared" si="925"/>
        <v>3</v>
      </c>
      <c r="E1482" s="18">
        <v>1</v>
      </c>
      <c r="F1482" s="16"/>
      <c r="G1482" s="36">
        <f t="shared" si="926"/>
        <v>1</v>
      </c>
      <c r="H1482" s="17">
        <f t="shared" si="927"/>
        <v>4</v>
      </c>
      <c r="I1482" s="84">
        <v>45352</v>
      </c>
      <c r="J1482" s="52"/>
      <c r="K1482" s="15"/>
      <c r="L1482" s="16"/>
      <c r="M1482" s="36">
        <f t="shared" si="928"/>
        <v>0</v>
      </c>
      <c r="N1482" s="18"/>
      <c r="O1482" s="16"/>
      <c r="P1482" s="36">
        <f t="shared" si="929"/>
        <v>0</v>
      </c>
      <c r="Q1482" s="17">
        <f t="shared" si="930"/>
        <v>0</v>
      </c>
      <c r="R1482" s="83"/>
    </row>
    <row r="1483" spans="1:18" x14ac:dyDescent="0.15">
      <c r="A1483" s="35" t="s">
        <v>33</v>
      </c>
      <c r="B1483" s="15">
        <v>2</v>
      </c>
      <c r="C1483" s="16"/>
      <c r="D1483" s="36">
        <f t="shared" si="925"/>
        <v>2</v>
      </c>
      <c r="E1483" s="18">
        <v>1</v>
      </c>
      <c r="F1483" s="16"/>
      <c r="G1483" s="36">
        <f t="shared" si="926"/>
        <v>1</v>
      </c>
      <c r="H1483" s="17">
        <f t="shared" si="927"/>
        <v>3</v>
      </c>
      <c r="I1483" s="84">
        <v>45356</v>
      </c>
      <c r="J1483" s="52"/>
      <c r="K1483" s="15"/>
      <c r="L1483" s="16"/>
      <c r="M1483" s="36">
        <f t="shared" si="928"/>
        <v>0</v>
      </c>
      <c r="N1483" s="18"/>
      <c r="O1483" s="16"/>
      <c r="P1483" s="36">
        <f t="shared" si="929"/>
        <v>0</v>
      </c>
      <c r="Q1483" s="17">
        <f t="shared" si="930"/>
        <v>0</v>
      </c>
    </row>
    <row r="1484" spans="1:18" x14ac:dyDescent="0.15">
      <c r="A1484" s="35" t="s">
        <v>33</v>
      </c>
      <c r="B1484" s="15"/>
      <c r="C1484" s="16">
        <v>2</v>
      </c>
      <c r="D1484" s="36">
        <f t="shared" si="925"/>
        <v>2</v>
      </c>
      <c r="E1484" s="18"/>
      <c r="F1484" s="16"/>
      <c r="G1484" s="36">
        <f t="shared" si="926"/>
        <v>0</v>
      </c>
      <c r="H1484" s="17">
        <f t="shared" si="927"/>
        <v>2</v>
      </c>
      <c r="I1484" s="84">
        <v>45357</v>
      </c>
      <c r="J1484" s="52"/>
      <c r="K1484" s="15"/>
      <c r="L1484" s="16"/>
      <c r="M1484" s="36">
        <f t="shared" si="928"/>
        <v>0</v>
      </c>
      <c r="N1484" s="18"/>
      <c r="O1484" s="16"/>
      <c r="P1484" s="36">
        <f t="shared" si="929"/>
        <v>0</v>
      </c>
      <c r="Q1484" s="17">
        <f t="shared" si="930"/>
        <v>0</v>
      </c>
    </row>
    <row r="1485" spans="1:18" x14ac:dyDescent="0.15">
      <c r="A1485" s="35" t="s">
        <v>642</v>
      </c>
      <c r="B1485" s="15">
        <v>2</v>
      </c>
      <c r="C1485" s="16"/>
      <c r="D1485" s="36">
        <f t="shared" si="925"/>
        <v>2</v>
      </c>
      <c r="E1485" s="18">
        <v>2</v>
      </c>
      <c r="F1485" s="16"/>
      <c r="G1485" s="36">
        <f t="shared" si="926"/>
        <v>2</v>
      </c>
      <c r="H1485" s="17">
        <f t="shared" si="927"/>
        <v>4</v>
      </c>
      <c r="I1485" s="81">
        <v>45358</v>
      </c>
      <c r="J1485" s="52"/>
      <c r="K1485" s="15"/>
      <c r="L1485" s="16"/>
      <c r="M1485" s="36">
        <f t="shared" si="928"/>
        <v>0</v>
      </c>
      <c r="N1485" s="18"/>
      <c r="O1485" s="16"/>
      <c r="P1485" s="36">
        <f t="shared" si="929"/>
        <v>0</v>
      </c>
      <c r="Q1485" s="17">
        <f t="shared" si="930"/>
        <v>0</v>
      </c>
    </row>
    <row r="1486" spans="1:18" x14ac:dyDescent="0.15">
      <c r="A1486" s="35" t="s">
        <v>643</v>
      </c>
      <c r="B1486" s="15">
        <v>2</v>
      </c>
      <c r="C1486" s="16"/>
      <c r="D1486" s="36">
        <f t="shared" si="925"/>
        <v>2</v>
      </c>
      <c r="E1486" s="18">
        <v>2</v>
      </c>
      <c r="F1486" s="16"/>
      <c r="G1486" s="36">
        <f t="shared" si="926"/>
        <v>2</v>
      </c>
      <c r="H1486" s="17">
        <f t="shared" si="927"/>
        <v>4</v>
      </c>
      <c r="I1486" s="81">
        <v>45362</v>
      </c>
      <c r="J1486" s="52"/>
      <c r="K1486" s="15"/>
      <c r="L1486" s="16"/>
      <c r="M1486" s="36">
        <f t="shared" si="916"/>
        <v>0</v>
      </c>
      <c r="N1486" s="18"/>
      <c r="O1486" s="16"/>
      <c r="P1486" s="36">
        <f t="shared" si="917"/>
        <v>0</v>
      </c>
      <c r="Q1486" s="17">
        <f t="shared" si="918"/>
        <v>0</v>
      </c>
    </row>
    <row r="1487" spans="1:18" x14ac:dyDescent="0.15">
      <c r="A1487" s="35" t="s">
        <v>33</v>
      </c>
      <c r="B1487" s="15">
        <v>2</v>
      </c>
      <c r="C1487" s="16">
        <v>2</v>
      </c>
      <c r="D1487" s="36">
        <f t="shared" si="925"/>
        <v>4</v>
      </c>
      <c r="E1487" s="18">
        <v>8</v>
      </c>
      <c r="F1487" s="16"/>
      <c r="G1487" s="36">
        <f t="shared" si="926"/>
        <v>8</v>
      </c>
      <c r="H1487" s="17">
        <f t="shared" si="927"/>
        <v>12</v>
      </c>
      <c r="I1487" s="81">
        <v>45362</v>
      </c>
      <c r="J1487" s="52"/>
      <c r="K1487" s="15"/>
      <c r="L1487" s="16"/>
      <c r="M1487" s="36">
        <f t="shared" si="916"/>
        <v>0</v>
      </c>
      <c r="N1487" s="18"/>
      <c r="O1487" s="16"/>
      <c r="P1487" s="36">
        <f t="shared" si="917"/>
        <v>0</v>
      </c>
      <c r="Q1487" s="17">
        <f t="shared" si="918"/>
        <v>0</v>
      </c>
    </row>
    <row r="1488" spans="1:18" x14ac:dyDescent="0.15">
      <c r="A1488" s="35" t="s">
        <v>644</v>
      </c>
      <c r="B1488" s="15"/>
      <c r="C1488" s="16">
        <v>1</v>
      </c>
      <c r="D1488" s="36">
        <f t="shared" si="925"/>
        <v>1</v>
      </c>
      <c r="E1488" s="18"/>
      <c r="F1488" s="16">
        <v>1</v>
      </c>
      <c r="G1488" s="36">
        <f t="shared" si="926"/>
        <v>1</v>
      </c>
      <c r="H1488" s="17">
        <f t="shared" si="927"/>
        <v>2</v>
      </c>
      <c r="I1488" s="81">
        <v>45365</v>
      </c>
      <c r="J1488" s="52"/>
      <c r="K1488" s="15"/>
      <c r="L1488" s="16"/>
      <c r="M1488" s="36">
        <f t="shared" si="916"/>
        <v>0</v>
      </c>
      <c r="N1488" s="18"/>
      <c r="O1488" s="16"/>
      <c r="P1488" s="36">
        <f t="shared" si="917"/>
        <v>0</v>
      </c>
      <c r="Q1488" s="17">
        <f t="shared" si="918"/>
        <v>0</v>
      </c>
    </row>
    <row r="1489" spans="1:17" x14ac:dyDescent="0.15">
      <c r="A1489" s="35" t="s">
        <v>645</v>
      </c>
      <c r="B1489" s="15">
        <v>2</v>
      </c>
      <c r="C1489" s="16"/>
      <c r="D1489" s="36">
        <f t="shared" si="925"/>
        <v>2</v>
      </c>
      <c r="E1489" s="18">
        <v>1</v>
      </c>
      <c r="F1489" s="16"/>
      <c r="G1489" s="36">
        <f t="shared" si="926"/>
        <v>1</v>
      </c>
      <c r="H1489" s="17">
        <f t="shared" si="927"/>
        <v>3</v>
      </c>
      <c r="I1489" s="81">
        <v>45365</v>
      </c>
      <c r="J1489" s="52"/>
      <c r="K1489" s="15"/>
      <c r="L1489" s="16"/>
      <c r="M1489" s="36">
        <f t="shared" si="916"/>
        <v>0</v>
      </c>
      <c r="N1489" s="18"/>
      <c r="O1489" s="16"/>
      <c r="P1489" s="36">
        <f t="shared" si="917"/>
        <v>0</v>
      </c>
      <c r="Q1489" s="17">
        <f t="shared" si="918"/>
        <v>0</v>
      </c>
    </row>
    <row r="1490" spans="1:17" x14ac:dyDescent="0.15">
      <c r="A1490" s="35" t="s">
        <v>646</v>
      </c>
      <c r="B1490" s="15"/>
      <c r="C1490" s="16">
        <v>2</v>
      </c>
      <c r="D1490" s="36">
        <f t="shared" si="925"/>
        <v>2</v>
      </c>
      <c r="E1490" s="18"/>
      <c r="F1490" s="16">
        <v>2</v>
      </c>
      <c r="G1490" s="36">
        <f t="shared" si="926"/>
        <v>2</v>
      </c>
      <c r="H1490" s="17">
        <f t="shared" si="927"/>
        <v>4</v>
      </c>
      <c r="I1490" s="81">
        <v>45366</v>
      </c>
      <c r="J1490" s="52"/>
      <c r="K1490" s="15"/>
      <c r="L1490" s="16"/>
      <c r="M1490" s="36">
        <f t="shared" si="916"/>
        <v>0</v>
      </c>
      <c r="N1490" s="18"/>
      <c r="O1490" s="16"/>
      <c r="P1490" s="36">
        <f t="shared" si="917"/>
        <v>0</v>
      </c>
      <c r="Q1490" s="17">
        <f t="shared" si="918"/>
        <v>0</v>
      </c>
    </row>
    <row r="1491" spans="1:17" x14ac:dyDescent="0.15">
      <c r="A1491" s="35" t="s">
        <v>33</v>
      </c>
      <c r="B1491" s="15"/>
      <c r="C1491" s="16">
        <v>1</v>
      </c>
      <c r="D1491" s="36">
        <f t="shared" si="925"/>
        <v>1</v>
      </c>
      <c r="E1491" s="18"/>
      <c r="F1491" s="16"/>
      <c r="G1491" s="36">
        <f t="shared" si="926"/>
        <v>0</v>
      </c>
      <c r="H1491" s="17">
        <f t="shared" si="927"/>
        <v>1</v>
      </c>
      <c r="I1491" s="84">
        <v>45365</v>
      </c>
      <c r="J1491" s="52"/>
      <c r="K1491" s="15"/>
      <c r="L1491" s="16"/>
      <c r="M1491" s="36">
        <f t="shared" si="916"/>
        <v>0</v>
      </c>
      <c r="N1491" s="18"/>
      <c r="O1491" s="16"/>
      <c r="P1491" s="36">
        <f t="shared" si="917"/>
        <v>0</v>
      </c>
      <c r="Q1491" s="17">
        <f t="shared" si="918"/>
        <v>0</v>
      </c>
    </row>
    <row r="1492" spans="1:17" x14ac:dyDescent="0.15">
      <c r="A1492" s="35" t="s">
        <v>647</v>
      </c>
      <c r="B1492" s="15"/>
      <c r="C1492" s="16">
        <v>1</v>
      </c>
      <c r="D1492" s="36">
        <f t="shared" si="925"/>
        <v>1</v>
      </c>
      <c r="E1492" s="18"/>
      <c r="F1492" s="16">
        <v>1</v>
      </c>
      <c r="G1492" s="36">
        <f t="shared" si="926"/>
        <v>1</v>
      </c>
      <c r="H1492" s="17">
        <f t="shared" si="927"/>
        <v>2</v>
      </c>
      <c r="I1492" s="81">
        <v>45369</v>
      </c>
      <c r="J1492" s="52"/>
      <c r="K1492" s="15"/>
      <c r="L1492" s="16"/>
      <c r="M1492" s="36">
        <f t="shared" si="916"/>
        <v>0</v>
      </c>
      <c r="N1492" s="18"/>
      <c r="O1492" s="16"/>
      <c r="P1492" s="36">
        <f t="shared" si="917"/>
        <v>0</v>
      </c>
      <c r="Q1492" s="17">
        <f t="shared" si="918"/>
        <v>0</v>
      </c>
    </row>
    <row r="1493" spans="1:17" x14ac:dyDescent="0.15">
      <c r="A1493" s="35" t="s">
        <v>33</v>
      </c>
      <c r="B1493" s="15">
        <v>1</v>
      </c>
      <c r="C1493" s="16"/>
      <c r="D1493" s="36">
        <f t="shared" si="925"/>
        <v>1</v>
      </c>
      <c r="E1493" s="18">
        <v>2</v>
      </c>
      <c r="F1493" s="16"/>
      <c r="G1493" s="36">
        <f t="shared" si="926"/>
        <v>2</v>
      </c>
      <c r="H1493" s="17">
        <f t="shared" si="927"/>
        <v>3</v>
      </c>
      <c r="I1493" s="84">
        <v>45367</v>
      </c>
      <c r="J1493" s="52"/>
      <c r="K1493" s="15"/>
      <c r="L1493" s="16"/>
      <c r="M1493" s="36">
        <f t="shared" si="916"/>
        <v>0</v>
      </c>
      <c r="N1493" s="18"/>
      <c r="O1493" s="16"/>
      <c r="P1493" s="36">
        <f t="shared" si="917"/>
        <v>0</v>
      </c>
      <c r="Q1493" s="17">
        <f t="shared" si="918"/>
        <v>0</v>
      </c>
    </row>
    <row r="1494" spans="1:17" x14ac:dyDescent="0.15">
      <c r="A1494" s="35" t="s">
        <v>648</v>
      </c>
      <c r="B1494" s="15"/>
      <c r="C1494" s="16">
        <v>1</v>
      </c>
      <c r="D1494" s="36">
        <f t="shared" si="925"/>
        <v>1</v>
      </c>
      <c r="E1494" s="18"/>
      <c r="F1494" s="16">
        <v>1</v>
      </c>
      <c r="G1494" s="36">
        <f t="shared" si="926"/>
        <v>1</v>
      </c>
      <c r="H1494" s="17">
        <f t="shared" si="927"/>
        <v>2</v>
      </c>
      <c r="I1494" s="81">
        <v>45370</v>
      </c>
      <c r="J1494" s="52"/>
      <c r="K1494" s="15"/>
      <c r="L1494" s="16"/>
      <c r="M1494" s="36">
        <f t="shared" si="916"/>
        <v>0</v>
      </c>
      <c r="N1494" s="18"/>
      <c r="O1494" s="16"/>
      <c r="P1494" s="36">
        <f t="shared" si="917"/>
        <v>0</v>
      </c>
      <c r="Q1494" s="17">
        <f t="shared" si="918"/>
        <v>0</v>
      </c>
    </row>
    <row r="1495" spans="1:17" x14ac:dyDescent="0.15">
      <c r="A1495" s="35" t="s">
        <v>33</v>
      </c>
      <c r="B1495" s="15">
        <v>4</v>
      </c>
      <c r="C1495" s="16">
        <v>4</v>
      </c>
      <c r="D1495" s="36">
        <f t="shared" si="925"/>
        <v>8</v>
      </c>
      <c r="E1495" s="18">
        <v>5</v>
      </c>
      <c r="F1495" s="16"/>
      <c r="G1495" s="36">
        <f t="shared" si="926"/>
        <v>5</v>
      </c>
      <c r="H1495" s="17">
        <f t="shared" si="927"/>
        <v>13</v>
      </c>
      <c r="I1495" s="81">
        <v>45369</v>
      </c>
      <c r="J1495" s="52"/>
      <c r="K1495" s="15"/>
      <c r="L1495" s="16"/>
      <c r="M1495" s="36">
        <f t="shared" si="916"/>
        <v>0</v>
      </c>
      <c r="N1495" s="18"/>
      <c r="O1495" s="16"/>
      <c r="P1495" s="36">
        <f t="shared" si="917"/>
        <v>0</v>
      </c>
      <c r="Q1495" s="17">
        <f t="shared" si="918"/>
        <v>0</v>
      </c>
    </row>
    <row r="1496" spans="1:17" x14ac:dyDescent="0.15">
      <c r="A1496" s="35" t="s">
        <v>33</v>
      </c>
      <c r="B1496" s="15">
        <v>2</v>
      </c>
      <c r="C1496" s="16"/>
      <c r="D1496" s="36">
        <f t="shared" si="925"/>
        <v>2</v>
      </c>
      <c r="E1496" s="18">
        <v>1</v>
      </c>
      <c r="F1496" s="16"/>
      <c r="G1496" s="36">
        <f t="shared" si="926"/>
        <v>1</v>
      </c>
      <c r="H1496" s="17">
        <f t="shared" si="927"/>
        <v>3</v>
      </c>
      <c r="I1496" s="84">
        <v>45370</v>
      </c>
      <c r="J1496" s="52"/>
      <c r="K1496" s="15"/>
      <c r="L1496" s="16"/>
      <c r="M1496" s="36">
        <f t="shared" si="916"/>
        <v>0</v>
      </c>
      <c r="N1496" s="18"/>
      <c r="O1496" s="16"/>
      <c r="P1496" s="36">
        <f t="shared" si="917"/>
        <v>0</v>
      </c>
      <c r="Q1496" s="17">
        <f t="shared" si="918"/>
        <v>0</v>
      </c>
    </row>
    <row r="1497" spans="1:17" x14ac:dyDescent="0.15">
      <c r="A1497" s="35" t="s">
        <v>33</v>
      </c>
      <c r="B1497" s="15">
        <v>3</v>
      </c>
      <c r="C1497" s="16"/>
      <c r="D1497" s="36">
        <f t="shared" si="925"/>
        <v>3</v>
      </c>
      <c r="E1497" s="18"/>
      <c r="F1497" s="16"/>
      <c r="G1497" s="36">
        <f t="shared" si="926"/>
        <v>0</v>
      </c>
      <c r="H1497" s="17">
        <f t="shared" si="927"/>
        <v>3</v>
      </c>
      <c r="I1497" s="84">
        <v>45372</v>
      </c>
      <c r="J1497" s="52"/>
      <c r="K1497" s="15"/>
      <c r="L1497" s="16"/>
      <c r="M1497" s="36">
        <f t="shared" si="916"/>
        <v>0</v>
      </c>
      <c r="N1497" s="18"/>
      <c r="O1497" s="16"/>
      <c r="P1497" s="36">
        <f t="shared" si="917"/>
        <v>0</v>
      </c>
      <c r="Q1497" s="17">
        <f t="shared" si="918"/>
        <v>0</v>
      </c>
    </row>
    <row r="1498" spans="1:17" x14ac:dyDescent="0.15">
      <c r="A1498" s="35" t="s">
        <v>33</v>
      </c>
      <c r="B1498" s="15"/>
      <c r="C1498" s="16"/>
      <c r="D1498" s="36">
        <f t="shared" si="925"/>
        <v>0</v>
      </c>
      <c r="E1498" s="18">
        <v>1</v>
      </c>
      <c r="F1498" s="16"/>
      <c r="G1498" s="36">
        <f t="shared" si="926"/>
        <v>1</v>
      </c>
      <c r="H1498" s="17">
        <f t="shared" si="927"/>
        <v>1</v>
      </c>
      <c r="I1498" s="84">
        <v>45373</v>
      </c>
      <c r="J1498" s="52"/>
      <c r="K1498" s="15"/>
      <c r="L1498" s="16"/>
      <c r="M1498" s="36">
        <f t="shared" si="916"/>
        <v>0</v>
      </c>
      <c r="N1498" s="18"/>
      <c r="O1498" s="16"/>
      <c r="P1498" s="36">
        <f t="shared" si="917"/>
        <v>0</v>
      </c>
      <c r="Q1498" s="17">
        <f t="shared" si="918"/>
        <v>0</v>
      </c>
    </row>
    <row r="1499" spans="1:17" x14ac:dyDescent="0.15">
      <c r="A1499" s="35" t="s">
        <v>33</v>
      </c>
      <c r="B1499" s="15">
        <v>1</v>
      </c>
      <c r="C1499" s="16">
        <v>3</v>
      </c>
      <c r="D1499" s="36">
        <f t="shared" si="925"/>
        <v>4</v>
      </c>
      <c r="E1499" s="18">
        <v>1</v>
      </c>
      <c r="F1499" s="16"/>
      <c r="G1499" s="36">
        <f t="shared" si="926"/>
        <v>1</v>
      </c>
      <c r="H1499" s="17">
        <f t="shared" si="927"/>
        <v>5</v>
      </c>
      <c r="I1499" s="84">
        <v>45377</v>
      </c>
      <c r="J1499" s="52"/>
      <c r="K1499" s="15"/>
      <c r="L1499" s="16"/>
      <c r="M1499" s="36">
        <f t="shared" si="916"/>
        <v>0</v>
      </c>
      <c r="N1499" s="18"/>
      <c r="O1499" s="16"/>
      <c r="P1499" s="36">
        <f t="shared" si="917"/>
        <v>0</v>
      </c>
      <c r="Q1499" s="17">
        <f t="shared" si="918"/>
        <v>0</v>
      </c>
    </row>
    <row r="1500" spans="1:17" x14ac:dyDescent="0.15">
      <c r="A1500" s="35" t="s">
        <v>33</v>
      </c>
      <c r="B1500" s="15">
        <v>1</v>
      </c>
      <c r="C1500" s="16">
        <v>1</v>
      </c>
      <c r="D1500" s="36">
        <f t="shared" si="913"/>
        <v>2</v>
      </c>
      <c r="E1500" s="18">
        <v>2</v>
      </c>
      <c r="F1500" s="16"/>
      <c r="G1500" s="36">
        <f t="shared" si="914"/>
        <v>2</v>
      </c>
      <c r="H1500" s="17">
        <f t="shared" si="915"/>
        <v>4</v>
      </c>
      <c r="I1500" s="84">
        <v>45378</v>
      </c>
      <c r="J1500" s="52"/>
      <c r="K1500" s="15"/>
      <c r="L1500" s="16"/>
      <c r="M1500" s="36">
        <f t="shared" ref="M1500" si="931">SUM(K1500:L1500)</f>
        <v>0</v>
      </c>
      <c r="N1500" s="18"/>
      <c r="O1500" s="16"/>
      <c r="P1500" s="36">
        <f t="shared" ref="P1500" si="932">SUM(N1500:O1500)</f>
        <v>0</v>
      </c>
      <c r="Q1500" s="17">
        <f t="shared" ref="Q1500" si="933">M1500+P1500</f>
        <v>0</v>
      </c>
    </row>
    <row r="1501" spans="1:17" ht="14.25" thickBot="1" x14ac:dyDescent="0.2">
      <c r="A1501" s="35" t="s">
        <v>660</v>
      </c>
      <c r="B1501" s="15"/>
      <c r="C1501" s="16"/>
      <c r="D1501" s="36">
        <f t="shared" si="913"/>
        <v>0</v>
      </c>
      <c r="E1501" s="18"/>
      <c r="F1501" s="16"/>
      <c r="G1501" s="36">
        <f t="shared" si="914"/>
        <v>0</v>
      </c>
      <c r="H1501" s="17">
        <f t="shared" si="915"/>
        <v>0</v>
      </c>
      <c r="I1501" s="81">
        <v>45391</v>
      </c>
      <c r="J1501" s="52"/>
      <c r="K1501" s="15"/>
      <c r="L1501" s="16"/>
      <c r="M1501" s="36">
        <f t="shared" ref="M1501" si="934">SUM(K1501:L1501)</f>
        <v>0</v>
      </c>
      <c r="N1501" s="18"/>
      <c r="O1501" s="16"/>
      <c r="P1501" s="36">
        <f t="shared" ref="P1501" si="935">SUM(N1501:O1501)</f>
        <v>0</v>
      </c>
      <c r="Q1501" s="17">
        <f t="shared" ref="Q1501" si="936">M1501+P1501</f>
        <v>0</v>
      </c>
    </row>
    <row r="1502" spans="1:17" ht="14.25" thickBot="1" x14ac:dyDescent="0.2">
      <c r="A1502" s="40" t="s">
        <v>14</v>
      </c>
      <c r="B1502" s="41">
        <f>SUM(B1476:B1501)</f>
        <v>29</v>
      </c>
      <c r="C1502" s="42">
        <f t="shared" ref="C1502" si="937">SUM(C1476:C1501)</f>
        <v>28</v>
      </c>
      <c r="D1502" s="43">
        <f t="shared" si="913"/>
        <v>57</v>
      </c>
      <c r="E1502" s="41">
        <f>SUM(E1476:E1501)</f>
        <v>33</v>
      </c>
      <c r="F1502" s="42">
        <f t="shared" ref="F1502" si="938">SUM(F1476:F1501)</f>
        <v>8</v>
      </c>
      <c r="G1502" s="43">
        <f t="shared" si="914"/>
        <v>41</v>
      </c>
      <c r="H1502" s="43">
        <f t="shared" si="915"/>
        <v>98</v>
      </c>
      <c r="J1502" s="40" t="s">
        <v>14</v>
      </c>
      <c r="K1502" s="41">
        <f>SUM(K1476:K1501)</f>
        <v>40</v>
      </c>
      <c r="L1502" s="42">
        <f t="shared" ref="L1502" si="939">SUM(L1476:L1501)</f>
        <v>25</v>
      </c>
      <c r="M1502" s="43">
        <f t="shared" si="916"/>
        <v>65</v>
      </c>
      <c r="N1502" s="41">
        <f>SUM(N1476:N1501)</f>
        <v>40</v>
      </c>
      <c r="O1502" s="42">
        <f t="shared" ref="O1502" si="940">SUM(O1476:O1501)</f>
        <v>10</v>
      </c>
      <c r="P1502" s="43">
        <f t="shared" si="917"/>
        <v>50</v>
      </c>
      <c r="Q1502" s="43">
        <f t="shared" si="918"/>
        <v>115</v>
      </c>
    </row>
    <row r="1503" spans="1:17" ht="14.25" thickBot="1" x14ac:dyDescent="0.2">
      <c r="A1503" s="44" t="s">
        <v>15</v>
      </c>
      <c r="B1503" s="45">
        <f>B1475-B1502</f>
        <v>15</v>
      </c>
      <c r="C1503" s="46">
        <f t="shared" ref="C1503" si="941">C1475-C1502</f>
        <v>12</v>
      </c>
      <c r="D1503" s="47">
        <f t="shared" si="913"/>
        <v>27</v>
      </c>
      <c r="E1503" s="45">
        <f>E1475-E1502</f>
        <v>16</v>
      </c>
      <c r="F1503" s="46">
        <f t="shared" ref="F1503" si="942">F1475-F1502</f>
        <v>15</v>
      </c>
      <c r="G1503" s="47">
        <f t="shared" si="914"/>
        <v>31</v>
      </c>
      <c r="H1503" s="34">
        <f t="shared" si="915"/>
        <v>58</v>
      </c>
      <c r="J1503" s="44" t="s">
        <v>15</v>
      </c>
      <c r="K1503" s="45">
        <f>K1475-K1502</f>
        <v>988</v>
      </c>
      <c r="L1503" s="46">
        <f t="shared" ref="L1503" si="943">L1475-L1502</f>
        <v>485</v>
      </c>
      <c r="M1503" s="47">
        <f t="shared" si="916"/>
        <v>1473</v>
      </c>
      <c r="N1503" s="45">
        <f>N1475-N1502</f>
        <v>987</v>
      </c>
      <c r="O1503" s="46">
        <f t="shared" ref="O1503" si="944">O1475-O1502</f>
        <v>35</v>
      </c>
      <c r="P1503" s="47">
        <f t="shared" si="917"/>
        <v>1022</v>
      </c>
      <c r="Q1503" s="34">
        <f t="shared" si="918"/>
        <v>2495</v>
      </c>
    </row>
    <row r="1506" spans="1:18" ht="19.5" thickBot="1" x14ac:dyDescent="0.25">
      <c r="A1506" s="1" t="s">
        <v>23</v>
      </c>
      <c r="J1506" s="1" t="s">
        <v>24</v>
      </c>
      <c r="K1506" s="2"/>
      <c r="L1506" s="2"/>
      <c r="M1506" s="2"/>
      <c r="N1506" s="2"/>
      <c r="O1506" s="1" t="s">
        <v>34</v>
      </c>
      <c r="P1506" s="2"/>
      <c r="Q1506" s="2"/>
    </row>
    <row r="1507" spans="1:18" ht="14.25" thickBot="1" x14ac:dyDescent="0.2">
      <c r="A1507" s="3" t="s">
        <v>0</v>
      </c>
      <c r="B1507" s="120" t="s">
        <v>18</v>
      </c>
      <c r="C1507" s="121"/>
      <c r="D1507" s="122"/>
      <c r="E1507" s="120" t="s">
        <v>19</v>
      </c>
      <c r="F1507" s="121"/>
      <c r="G1507" s="122"/>
      <c r="H1507" s="123" t="s">
        <v>1</v>
      </c>
      <c r="J1507" s="3" t="s">
        <v>0</v>
      </c>
      <c r="K1507" s="120" t="s">
        <v>18</v>
      </c>
      <c r="L1507" s="121"/>
      <c r="M1507" s="122"/>
      <c r="N1507" s="120" t="s">
        <v>19</v>
      </c>
      <c r="O1507" s="121"/>
      <c r="P1507" s="122"/>
      <c r="Q1507" s="123" t="s">
        <v>1</v>
      </c>
    </row>
    <row r="1508" spans="1:18" ht="14.25" thickBot="1" x14ac:dyDescent="0.2">
      <c r="A1508" s="3" t="s">
        <v>2</v>
      </c>
      <c r="B1508" s="4" t="s">
        <v>16</v>
      </c>
      <c r="C1508" s="5" t="s">
        <v>17</v>
      </c>
      <c r="D1508" s="3" t="s">
        <v>3</v>
      </c>
      <c r="E1508" s="4" t="s">
        <v>16</v>
      </c>
      <c r="F1508" s="5" t="s">
        <v>17</v>
      </c>
      <c r="G1508" s="3" t="s">
        <v>3</v>
      </c>
      <c r="H1508" s="124"/>
      <c r="J1508" s="3" t="s">
        <v>2</v>
      </c>
      <c r="K1508" s="4" t="s">
        <v>16</v>
      </c>
      <c r="L1508" s="5" t="s">
        <v>17</v>
      </c>
      <c r="M1508" s="3" t="s">
        <v>3</v>
      </c>
      <c r="N1508" s="4" t="s">
        <v>16</v>
      </c>
      <c r="O1508" s="5" t="s">
        <v>17</v>
      </c>
      <c r="P1508" s="3" t="s">
        <v>3</v>
      </c>
      <c r="Q1508" s="124"/>
    </row>
    <row r="1509" spans="1:18" ht="14.25" thickBot="1" x14ac:dyDescent="0.2">
      <c r="A1509" s="6" t="s">
        <v>55</v>
      </c>
      <c r="B1509" s="32">
        <f>B1503</f>
        <v>15</v>
      </c>
      <c r="C1509" s="33">
        <f>C1503</f>
        <v>12</v>
      </c>
      <c r="D1509" s="34">
        <f t="shared" ref="D1509:D1546" si="945">SUM(B1509:C1509)</f>
        <v>27</v>
      </c>
      <c r="E1509" s="32">
        <f>E1503</f>
        <v>16</v>
      </c>
      <c r="F1509" s="33">
        <f>F1503</f>
        <v>15</v>
      </c>
      <c r="G1509" s="34">
        <f t="shared" ref="G1509:G1546" si="946">SUM(E1509:F1509)</f>
        <v>31</v>
      </c>
      <c r="H1509" s="34">
        <f t="shared" ref="H1509:H1546" si="947">D1509+G1509</f>
        <v>58</v>
      </c>
      <c r="J1509" s="6" t="s">
        <v>55</v>
      </c>
      <c r="K1509" s="32">
        <f>K1503</f>
        <v>988</v>
      </c>
      <c r="L1509" s="33">
        <f>L1503</f>
        <v>485</v>
      </c>
      <c r="M1509" s="34">
        <f t="shared" ref="M1509:M1546" si="948">SUM(K1509:L1509)</f>
        <v>1473</v>
      </c>
      <c r="N1509" s="32">
        <f>N1503</f>
        <v>987</v>
      </c>
      <c r="O1509" s="33">
        <f>O1503</f>
        <v>35</v>
      </c>
      <c r="P1509" s="34">
        <f t="shared" ref="P1509:P1546" si="949">SUM(N1509:O1509)</f>
        <v>1022</v>
      </c>
      <c r="Q1509" s="34">
        <f t="shared" ref="Q1509:Q1546" si="950">M1509+P1509</f>
        <v>2495</v>
      </c>
    </row>
    <row r="1510" spans="1:18" x14ac:dyDescent="0.15">
      <c r="A1510" s="10" t="s">
        <v>5</v>
      </c>
      <c r="B1510" s="23">
        <v>5</v>
      </c>
      <c r="C1510" s="24">
        <v>15</v>
      </c>
      <c r="D1510" s="17">
        <f t="shared" ref="D1510:D1513" si="951">SUM(B1510:C1510)</f>
        <v>20</v>
      </c>
      <c r="E1510" s="25">
        <v>5</v>
      </c>
      <c r="F1510" s="24"/>
      <c r="G1510" s="17">
        <f t="shared" ref="G1510:G1513" si="952">SUM(E1510:F1510)</f>
        <v>5</v>
      </c>
      <c r="H1510" s="17">
        <f t="shared" ref="H1510:H1513" si="953">D1510+G1510</f>
        <v>25</v>
      </c>
      <c r="I1510" s="81">
        <v>45385</v>
      </c>
      <c r="J1510" s="10" t="s">
        <v>110</v>
      </c>
      <c r="K1510" s="15"/>
      <c r="L1510" s="16"/>
      <c r="M1510" s="17">
        <f t="shared" ref="M1510:M1513" si="954">SUM(K1510:L1510)</f>
        <v>0</v>
      </c>
      <c r="N1510" s="18"/>
      <c r="O1510" s="16">
        <v>-1</v>
      </c>
      <c r="P1510" s="17">
        <f t="shared" ref="P1510:P1513" si="955">SUM(N1510:O1510)</f>
        <v>-1</v>
      </c>
      <c r="Q1510" s="17">
        <f t="shared" ref="Q1510:Q1513" si="956">M1510+P1510</f>
        <v>-1</v>
      </c>
      <c r="R1510" s="84">
        <v>45390</v>
      </c>
    </row>
    <row r="1511" spans="1:18" x14ac:dyDescent="0.15">
      <c r="A1511" s="10" t="s">
        <v>6</v>
      </c>
      <c r="B1511" s="23">
        <v>10</v>
      </c>
      <c r="C1511" s="24"/>
      <c r="D1511" s="17">
        <f t="shared" si="951"/>
        <v>10</v>
      </c>
      <c r="E1511" s="25">
        <v>10</v>
      </c>
      <c r="F1511" s="24"/>
      <c r="G1511" s="17">
        <f t="shared" si="952"/>
        <v>10</v>
      </c>
      <c r="H1511" s="17">
        <f t="shared" si="953"/>
        <v>20</v>
      </c>
      <c r="I1511" s="81">
        <v>45388</v>
      </c>
      <c r="J1511" s="10" t="s">
        <v>6</v>
      </c>
      <c r="K1511" s="15"/>
      <c r="L1511" s="16"/>
      <c r="M1511" s="17">
        <f t="shared" ref="M1511" si="957">SUM(K1511:L1511)</f>
        <v>0</v>
      </c>
      <c r="N1511" s="18"/>
      <c r="O1511" s="16"/>
      <c r="P1511" s="17">
        <f t="shared" ref="P1511" si="958">SUM(N1511:O1511)</f>
        <v>0</v>
      </c>
      <c r="Q1511" s="17">
        <f t="shared" ref="Q1511" si="959">M1511+P1511</f>
        <v>0</v>
      </c>
    </row>
    <row r="1512" spans="1:18" x14ac:dyDescent="0.15">
      <c r="A1512" s="10" t="s">
        <v>7</v>
      </c>
      <c r="B1512" s="23"/>
      <c r="C1512" s="24">
        <v>15</v>
      </c>
      <c r="D1512" s="17">
        <f t="shared" si="951"/>
        <v>15</v>
      </c>
      <c r="E1512" s="25"/>
      <c r="F1512" s="24">
        <v>12</v>
      </c>
      <c r="G1512" s="17">
        <f t="shared" si="952"/>
        <v>12</v>
      </c>
      <c r="H1512" s="17">
        <f t="shared" si="953"/>
        <v>27</v>
      </c>
      <c r="I1512" s="81">
        <v>45391</v>
      </c>
      <c r="J1512" s="10" t="s">
        <v>7</v>
      </c>
      <c r="K1512" s="15"/>
      <c r="L1512" s="16"/>
      <c r="M1512" s="17">
        <f t="shared" si="954"/>
        <v>0</v>
      </c>
      <c r="N1512" s="18"/>
      <c r="O1512" s="16"/>
      <c r="P1512" s="17">
        <f t="shared" si="955"/>
        <v>0</v>
      </c>
      <c r="Q1512" s="17">
        <f t="shared" si="956"/>
        <v>0</v>
      </c>
    </row>
    <row r="1513" spans="1:18" x14ac:dyDescent="0.15">
      <c r="A1513" s="10" t="s">
        <v>8</v>
      </c>
      <c r="B1513" s="23">
        <v>10</v>
      </c>
      <c r="C1513" s="24"/>
      <c r="D1513" s="17">
        <f t="shared" si="951"/>
        <v>10</v>
      </c>
      <c r="E1513" s="25">
        <v>10</v>
      </c>
      <c r="F1513" s="24"/>
      <c r="G1513" s="17">
        <f t="shared" si="952"/>
        <v>10</v>
      </c>
      <c r="H1513" s="17">
        <f t="shared" si="953"/>
        <v>20</v>
      </c>
      <c r="I1513" s="81">
        <v>45393</v>
      </c>
      <c r="J1513" s="10" t="s">
        <v>8</v>
      </c>
      <c r="K1513" s="15"/>
      <c r="L1513" s="16"/>
      <c r="M1513" s="17">
        <f t="shared" si="954"/>
        <v>0</v>
      </c>
      <c r="N1513" s="18"/>
      <c r="O1513" s="16"/>
      <c r="P1513" s="17">
        <f t="shared" si="955"/>
        <v>0</v>
      </c>
      <c r="Q1513" s="17">
        <f t="shared" si="956"/>
        <v>0</v>
      </c>
    </row>
    <row r="1514" spans="1:18" x14ac:dyDescent="0.15">
      <c r="A1514" s="10" t="s">
        <v>9</v>
      </c>
      <c r="B1514" s="23">
        <v>10</v>
      </c>
      <c r="C1514" s="24">
        <v>5</v>
      </c>
      <c r="D1514" s="17">
        <f t="shared" si="945"/>
        <v>15</v>
      </c>
      <c r="E1514" s="25">
        <v>10</v>
      </c>
      <c r="F1514" s="24"/>
      <c r="G1514" s="17">
        <f t="shared" si="946"/>
        <v>10</v>
      </c>
      <c r="H1514" s="17">
        <f t="shared" si="947"/>
        <v>25</v>
      </c>
      <c r="I1514" s="81">
        <v>45402</v>
      </c>
      <c r="J1514" s="10" t="s">
        <v>9</v>
      </c>
      <c r="K1514" s="15"/>
      <c r="L1514" s="16"/>
      <c r="M1514" s="17">
        <f t="shared" si="948"/>
        <v>0</v>
      </c>
      <c r="N1514" s="18"/>
      <c r="O1514" s="16"/>
      <c r="P1514" s="17">
        <f t="shared" si="949"/>
        <v>0</v>
      </c>
      <c r="Q1514" s="17">
        <f t="shared" si="950"/>
        <v>0</v>
      </c>
    </row>
    <row r="1515" spans="1:18" x14ac:dyDescent="0.15">
      <c r="A1515" s="10" t="s">
        <v>10</v>
      </c>
      <c r="B1515" s="23"/>
      <c r="C1515" s="24"/>
      <c r="D1515" s="17">
        <f t="shared" ref="D1515:D1517" si="960">SUM(B1515:C1515)</f>
        <v>0</v>
      </c>
      <c r="E1515" s="25"/>
      <c r="F1515" s="24"/>
      <c r="G1515" s="17">
        <f t="shared" ref="G1515:G1517" si="961">SUM(E1515:F1515)</f>
        <v>0</v>
      </c>
      <c r="H1515" s="17">
        <f t="shared" ref="H1515:H1517" si="962">D1515+G1515</f>
        <v>0</v>
      </c>
      <c r="I1515" s="81"/>
      <c r="J1515" s="10" t="s">
        <v>10</v>
      </c>
      <c r="K1515" s="15"/>
      <c r="L1515" s="16"/>
      <c r="M1515" s="17">
        <f t="shared" ref="M1515:M1516" si="963">SUM(K1515:L1515)</f>
        <v>0</v>
      </c>
      <c r="N1515" s="18"/>
      <c r="O1515" s="16"/>
      <c r="P1515" s="17">
        <f t="shared" ref="P1515:P1516" si="964">SUM(N1515:O1515)</f>
        <v>0</v>
      </c>
      <c r="Q1515" s="17">
        <f t="shared" ref="Q1515:Q1516" si="965">M1515+P1515</f>
        <v>0</v>
      </c>
    </row>
    <row r="1516" spans="1:18" x14ac:dyDescent="0.15">
      <c r="A1516" s="10" t="s">
        <v>11</v>
      </c>
      <c r="B1516" s="23"/>
      <c r="C1516" s="24"/>
      <c r="D1516" s="17">
        <f t="shared" si="960"/>
        <v>0</v>
      </c>
      <c r="E1516" s="25"/>
      <c r="F1516" s="24"/>
      <c r="G1516" s="17">
        <f t="shared" si="961"/>
        <v>0</v>
      </c>
      <c r="H1516" s="17">
        <f t="shared" si="962"/>
        <v>0</v>
      </c>
      <c r="I1516" s="81"/>
      <c r="J1516" s="10" t="s">
        <v>11</v>
      </c>
      <c r="K1516" s="15"/>
      <c r="L1516" s="16"/>
      <c r="M1516" s="17">
        <f t="shared" si="963"/>
        <v>0</v>
      </c>
      <c r="N1516" s="18"/>
      <c r="O1516" s="16"/>
      <c r="P1516" s="17">
        <f t="shared" si="964"/>
        <v>0</v>
      </c>
      <c r="Q1516" s="17">
        <f t="shared" si="965"/>
        <v>0</v>
      </c>
    </row>
    <row r="1517" spans="1:18" ht="14.25" thickBot="1" x14ac:dyDescent="0.2">
      <c r="A1517" s="10" t="s">
        <v>12</v>
      </c>
      <c r="B1517" s="23"/>
      <c r="C1517" s="24"/>
      <c r="D1517" s="17">
        <f t="shared" si="960"/>
        <v>0</v>
      </c>
      <c r="E1517" s="25"/>
      <c r="F1517" s="24"/>
      <c r="G1517" s="17">
        <f t="shared" si="961"/>
        <v>0</v>
      </c>
      <c r="H1517" s="17">
        <f t="shared" si="962"/>
        <v>0</v>
      </c>
      <c r="I1517" s="81"/>
      <c r="J1517" s="10" t="s">
        <v>12</v>
      </c>
      <c r="K1517" s="15"/>
      <c r="L1517" s="16"/>
      <c r="M1517" s="17">
        <f t="shared" ref="M1517" si="966">SUM(K1517:L1517)</f>
        <v>0</v>
      </c>
      <c r="N1517" s="18"/>
      <c r="O1517" s="16"/>
      <c r="P1517" s="17">
        <f t="shared" ref="P1517" si="967">SUM(N1517:O1517)</f>
        <v>0</v>
      </c>
      <c r="Q1517" s="17">
        <f t="shared" ref="Q1517" si="968">M1517+P1517</f>
        <v>0</v>
      </c>
    </row>
    <row r="1518" spans="1:18" ht="14.25" thickBot="1" x14ac:dyDescent="0.2">
      <c r="A1518" s="31" t="s">
        <v>13</v>
      </c>
      <c r="B1518" s="32">
        <f>SUM(B1509:B1517)</f>
        <v>50</v>
      </c>
      <c r="C1518" s="33">
        <f>SUM(C1509:C1517)</f>
        <v>47</v>
      </c>
      <c r="D1518" s="34">
        <f t="shared" si="945"/>
        <v>97</v>
      </c>
      <c r="E1518" s="32">
        <f>SUM(E1509:E1517)</f>
        <v>51</v>
      </c>
      <c r="F1518" s="33">
        <f>SUM(F1509:F1517)</f>
        <v>27</v>
      </c>
      <c r="G1518" s="34">
        <f t="shared" si="946"/>
        <v>78</v>
      </c>
      <c r="H1518" s="34">
        <f t="shared" si="947"/>
        <v>175</v>
      </c>
      <c r="J1518" s="31" t="s">
        <v>13</v>
      </c>
      <c r="K1518" s="32">
        <f>SUM(K1509:K1517)</f>
        <v>988</v>
      </c>
      <c r="L1518" s="33">
        <f>SUM(L1509:L1517)</f>
        <v>485</v>
      </c>
      <c r="M1518" s="34">
        <f t="shared" si="948"/>
        <v>1473</v>
      </c>
      <c r="N1518" s="32">
        <f>SUM(N1509:N1517)</f>
        <v>987</v>
      </c>
      <c r="O1518" s="33">
        <f>SUM(O1509:O1517)</f>
        <v>34</v>
      </c>
      <c r="P1518" s="34">
        <f t="shared" si="949"/>
        <v>1021</v>
      </c>
      <c r="Q1518" s="34">
        <f t="shared" si="950"/>
        <v>2494</v>
      </c>
    </row>
    <row r="1519" spans="1:18" x14ac:dyDescent="0.15">
      <c r="A1519" s="35" t="s">
        <v>650</v>
      </c>
      <c r="B1519" s="15"/>
      <c r="C1519" s="16">
        <v>1</v>
      </c>
      <c r="D1519" s="36">
        <f t="shared" si="945"/>
        <v>1</v>
      </c>
      <c r="E1519" s="18"/>
      <c r="F1519" s="16">
        <v>1</v>
      </c>
      <c r="G1519" s="36">
        <f t="shared" si="946"/>
        <v>1</v>
      </c>
      <c r="H1519" s="17">
        <f t="shared" si="947"/>
        <v>2</v>
      </c>
      <c r="I1519" s="81">
        <v>45380</v>
      </c>
      <c r="J1519" s="35" t="s">
        <v>653</v>
      </c>
      <c r="K1519" s="15"/>
      <c r="L1519" s="16">
        <v>14</v>
      </c>
      <c r="M1519" s="36">
        <f t="shared" si="948"/>
        <v>14</v>
      </c>
      <c r="N1519" s="18"/>
      <c r="O1519" s="16">
        <v>14</v>
      </c>
      <c r="P1519" s="36">
        <f t="shared" si="949"/>
        <v>14</v>
      </c>
      <c r="Q1519" s="17">
        <f t="shared" si="950"/>
        <v>28</v>
      </c>
      <c r="R1519" s="81">
        <v>45385</v>
      </c>
    </row>
    <row r="1520" spans="1:18" x14ac:dyDescent="0.15">
      <c r="A1520" s="35" t="s">
        <v>651</v>
      </c>
      <c r="B1520" s="15"/>
      <c r="C1520" s="16"/>
      <c r="D1520" s="36">
        <f t="shared" si="945"/>
        <v>0</v>
      </c>
      <c r="E1520" s="18">
        <v>2</v>
      </c>
      <c r="F1520" s="16"/>
      <c r="G1520" s="36">
        <f t="shared" si="946"/>
        <v>2</v>
      </c>
      <c r="H1520" s="17">
        <f t="shared" si="947"/>
        <v>2</v>
      </c>
      <c r="I1520" s="81">
        <v>45379</v>
      </c>
      <c r="J1520" s="35" t="s">
        <v>655</v>
      </c>
      <c r="K1520" s="15">
        <v>8</v>
      </c>
      <c r="L1520" s="16">
        <v>8</v>
      </c>
      <c r="M1520" s="36">
        <f t="shared" si="948"/>
        <v>16</v>
      </c>
      <c r="N1520" s="18">
        <v>8</v>
      </c>
      <c r="O1520" s="16">
        <v>8</v>
      </c>
      <c r="P1520" s="36">
        <f t="shared" si="949"/>
        <v>16</v>
      </c>
      <c r="Q1520" s="17">
        <f t="shared" si="950"/>
        <v>32</v>
      </c>
      <c r="R1520" s="81">
        <v>45387</v>
      </c>
    </row>
    <row r="1521" spans="1:18" x14ac:dyDescent="0.15">
      <c r="A1521" s="35" t="s">
        <v>652</v>
      </c>
      <c r="B1521" s="15"/>
      <c r="C1521" s="16">
        <v>1</v>
      </c>
      <c r="D1521" s="36">
        <f t="shared" ref="D1521:D1540" si="969">SUM(B1521:C1521)</f>
        <v>1</v>
      </c>
      <c r="E1521" s="18"/>
      <c r="F1521" s="16">
        <v>1</v>
      </c>
      <c r="G1521" s="36">
        <f t="shared" ref="G1521:G1540" si="970">SUM(E1521:F1521)</f>
        <v>1</v>
      </c>
      <c r="H1521" s="17">
        <f t="shared" ref="H1521:H1540" si="971">D1521+G1521</f>
        <v>2</v>
      </c>
      <c r="I1521" s="81">
        <v>45383</v>
      </c>
      <c r="J1521" s="52" t="s">
        <v>91</v>
      </c>
      <c r="K1521" s="15">
        <v>5</v>
      </c>
      <c r="L1521" s="16">
        <v>15</v>
      </c>
      <c r="M1521" s="36">
        <f t="shared" si="948"/>
        <v>20</v>
      </c>
      <c r="N1521" s="18">
        <v>5</v>
      </c>
      <c r="O1521" s="16"/>
      <c r="P1521" s="36">
        <f t="shared" si="949"/>
        <v>5</v>
      </c>
      <c r="Q1521" s="17">
        <f t="shared" si="950"/>
        <v>25</v>
      </c>
      <c r="R1521" s="81">
        <v>45385</v>
      </c>
    </row>
    <row r="1522" spans="1:18" x14ac:dyDescent="0.15">
      <c r="A1522" s="35" t="s">
        <v>651</v>
      </c>
      <c r="B1522" s="15">
        <v>1</v>
      </c>
      <c r="C1522" s="16"/>
      <c r="D1522" s="36">
        <f t="shared" si="969"/>
        <v>1</v>
      </c>
      <c r="E1522" s="18">
        <f>1+1</f>
        <v>2</v>
      </c>
      <c r="F1522" s="16"/>
      <c r="G1522" s="36">
        <f t="shared" si="970"/>
        <v>2</v>
      </c>
      <c r="H1522" s="17">
        <f t="shared" si="971"/>
        <v>3</v>
      </c>
      <c r="I1522" s="81">
        <v>45383</v>
      </c>
      <c r="J1522" s="52" t="s">
        <v>91</v>
      </c>
      <c r="K1522" s="15">
        <v>10</v>
      </c>
      <c r="L1522" s="16"/>
      <c r="M1522" s="36">
        <f t="shared" si="948"/>
        <v>10</v>
      </c>
      <c r="N1522" s="18">
        <v>10</v>
      </c>
      <c r="O1522" s="16"/>
      <c r="P1522" s="36">
        <f t="shared" si="949"/>
        <v>10</v>
      </c>
      <c r="Q1522" s="17">
        <f t="shared" si="950"/>
        <v>20</v>
      </c>
      <c r="R1522" s="81">
        <v>45388</v>
      </c>
    </row>
    <row r="1523" spans="1:18" x14ac:dyDescent="0.15">
      <c r="A1523" s="35" t="s">
        <v>654</v>
      </c>
      <c r="B1523" s="15">
        <v>1</v>
      </c>
      <c r="C1523" s="16">
        <v>4</v>
      </c>
      <c r="D1523" s="36">
        <f t="shared" si="969"/>
        <v>5</v>
      </c>
      <c r="E1523" s="18">
        <v>1</v>
      </c>
      <c r="F1523" s="16">
        <v>4</v>
      </c>
      <c r="G1523" s="36">
        <f t="shared" si="970"/>
        <v>5</v>
      </c>
      <c r="H1523" s="17">
        <f t="shared" si="971"/>
        <v>10</v>
      </c>
      <c r="I1523" s="81">
        <v>45386</v>
      </c>
      <c r="J1523" s="52" t="s">
        <v>91</v>
      </c>
      <c r="K1523" s="15"/>
      <c r="L1523" s="16">
        <v>15</v>
      </c>
      <c r="M1523" s="36">
        <f t="shared" ref="M1523:M1540" si="972">SUM(K1523:L1523)</f>
        <v>15</v>
      </c>
      <c r="N1523" s="18"/>
      <c r="O1523" s="16">
        <v>12</v>
      </c>
      <c r="P1523" s="36">
        <f t="shared" ref="P1523:P1540" si="973">SUM(N1523:O1523)</f>
        <v>12</v>
      </c>
      <c r="Q1523" s="17">
        <f t="shared" ref="Q1523:Q1540" si="974">M1523+P1523</f>
        <v>27</v>
      </c>
      <c r="R1523" s="81">
        <v>45391</v>
      </c>
    </row>
    <row r="1524" spans="1:18" x14ac:dyDescent="0.15">
      <c r="A1524" s="35" t="s">
        <v>651</v>
      </c>
      <c r="B1524" s="15">
        <v>1</v>
      </c>
      <c r="C1524" s="16">
        <v>3</v>
      </c>
      <c r="D1524" s="36">
        <f t="shared" si="969"/>
        <v>4</v>
      </c>
      <c r="E1524" s="18"/>
      <c r="F1524" s="16"/>
      <c r="G1524" s="36">
        <f t="shared" si="970"/>
        <v>0</v>
      </c>
      <c r="H1524" s="17">
        <f t="shared" si="971"/>
        <v>4</v>
      </c>
      <c r="I1524" s="81">
        <v>45385</v>
      </c>
      <c r="J1524" s="52" t="s">
        <v>91</v>
      </c>
      <c r="K1524" s="15">
        <v>10</v>
      </c>
      <c r="L1524" s="16"/>
      <c r="M1524" s="36">
        <f t="shared" si="972"/>
        <v>10</v>
      </c>
      <c r="N1524" s="18">
        <v>10</v>
      </c>
      <c r="O1524" s="16"/>
      <c r="P1524" s="36">
        <f t="shared" si="973"/>
        <v>10</v>
      </c>
      <c r="Q1524" s="17">
        <f t="shared" si="974"/>
        <v>20</v>
      </c>
      <c r="R1524" s="81">
        <v>45393</v>
      </c>
    </row>
    <row r="1525" spans="1:18" x14ac:dyDescent="0.15">
      <c r="A1525" s="35" t="s">
        <v>656</v>
      </c>
      <c r="B1525" s="15">
        <v>5</v>
      </c>
      <c r="C1525" s="16"/>
      <c r="D1525" s="36">
        <f t="shared" si="969"/>
        <v>5</v>
      </c>
      <c r="E1525" s="18">
        <v>5</v>
      </c>
      <c r="F1525" s="16"/>
      <c r="G1525" s="36">
        <f t="shared" si="970"/>
        <v>5</v>
      </c>
      <c r="H1525" s="17">
        <f t="shared" si="971"/>
        <v>10</v>
      </c>
      <c r="I1525" s="81">
        <v>45387</v>
      </c>
      <c r="J1525" s="52" t="s">
        <v>91</v>
      </c>
      <c r="K1525" s="15">
        <v>10</v>
      </c>
      <c r="L1525" s="16">
        <v>5</v>
      </c>
      <c r="M1525" s="36">
        <f t="shared" si="972"/>
        <v>15</v>
      </c>
      <c r="N1525" s="18">
        <v>10</v>
      </c>
      <c r="O1525" s="16"/>
      <c r="P1525" s="36">
        <f t="shared" si="973"/>
        <v>10</v>
      </c>
      <c r="Q1525" s="17">
        <f t="shared" si="974"/>
        <v>25</v>
      </c>
      <c r="R1525" s="81">
        <v>45402</v>
      </c>
    </row>
    <row r="1526" spans="1:18" x14ac:dyDescent="0.15">
      <c r="A1526" s="35" t="s">
        <v>651</v>
      </c>
      <c r="B1526" s="15">
        <v>4</v>
      </c>
      <c r="C1526" s="16"/>
      <c r="D1526" s="36">
        <f t="shared" si="969"/>
        <v>4</v>
      </c>
      <c r="E1526" s="18"/>
      <c r="F1526" s="16"/>
      <c r="G1526" s="36">
        <f t="shared" si="970"/>
        <v>0</v>
      </c>
      <c r="H1526" s="17">
        <f t="shared" si="971"/>
        <v>4</v>
      </c>
      <c r="I1526" s="84">
        <v>45386</v>
      </c>
      <c r="J1526" s="52" t="s">
        <v>91</v>
      </c>
      <c r="K1526" s="15"/>
      <c r="L1526" s="16">
        <v>5</v>
      </c>
      <c r="M1526" s="36">
        <f t="shared" si="972"/>
        <v>5</v>
      </c>
      <c r="N1526" s="18"/>
      <c r="O1526" s="16"/>
      <c r="P1526" s="36">
        <f t="shared" si="973"/>
        <v>0</v>
      </c>
      <c r="Q1526" s="17">
        <f t="shared" si="974"/>
        <v>5</v>
      </c>
      <c r="R1526" s="81">
        <v>45412</v>
      </c>
    </row>
    <row r="1527" spans="1:18" x14ac:dyDescent="0.15">
      <c r="A1527" s="35" t="s">
        <v>651</v>
      </c>
      <c r="B1527" s="15"/>
      <c r="C1527" s="16"/>
      <c r="D1527" s="36">
        <f t="shared" si="969"/>
        <v>0</v>
      </c>
      <c r="E1527" s="18">
        <v>1</v>
      </c>
      <c r="F1527" s="16"/>
      <c r="G1527" s="36">
        <f t="shared" si="970"/>
        <v>1</v>
      </c>
      <c r="H1527" s="17">
        <f t="shared" si="971"/>
        <v>1</v>
      </c>
      <c r="I1527" s="84">
        <v>45387</v>
      </c>
      <c r="J1527" s="52"/>
      <c r="K1527" s="15"/>
      <c r="L1527" s="16"/>
      <c r="M1527" s="36">
        <f t="shared" ref="M1527" si="975">SUM(K1527:L1527)</f>
        <v>0</v>
      </c>
      <c r="N1527" s="18"/>
      <c r="O1527" s="16"/>
      <c r="P1527" s="36">
        <f t="shared" ref="P1527" si="976">SUM(N1527:O1527)</f>
        <v>0</v>
      </c>
      <c r="Q1527" s="17">
        <f t="shared" ref="Q1527" si="977">M1527+P1527</f>
        <v>0</v>
      </c>
      <c r="R1527" s="83"/>
    </row>
    <row r="1528" spans="1:18" x14ac:dyDescent="0.15">
      <c r="A1528" s="35" t="s">
        <v>651</v>
      </c>
      <c r="B1528" s="15"/>
      <c r="C1528" s="16">
        <v>3</v>
      </c>
      <c r="D1528" s="36">
        <f t="shared" si="969"/>
        <v>3</v>
      </c>
      <c r="E1528" s="18">
        <v>1</v>
      </c>
      <c r="F1528" s="16"/>
      <c r="G1528" s="36">
        <f t="shared" si="970"/>
        <v>1</v>
      </c>
      <c r="H1528" s="17">
        <f t="shared" si="971"/>
        <v>4</v>
      </c>
      <c r="I1528" s="84">
        <v>45388</v>
      </c>
      <c r="J1528" s="52"/>
      <c r="K1528" s="15"/>
      <c r="L1528" s="16"/>
      <c r="M1528" s="36">
        <f t="shared" si="972"/>
        <v>0</v>
      </c>
      <c r="N1528" s="18"/>
      <c r="O1528" s="16"/>
      <c r="P1528" s="36">
        <f t="shared" si="973"/>
        <v>0</v>
      </c>
      <c r="Q1528" s="17">
        <f t="shared" si="974"/>
        <v>0</v>
      </c>
      <c r="R1528" s="83"/>
    </row>
    <row r="1529" spans="1:18" x14ac:dyDescent="0.15">
      <c r="A1529" s="35" t="s">
        <v>657</v>
      </c>
      <c r="B1529" s="15">
        <v>1</v>
      </c>
      <c r="C1529" s="16">
        <v>4</v>
      </c>
      <c r="D1529" s="36">
        <f t="shared" si="969"/>
        <v>5</v>
      </c>
      <c r="E1529" s="18">
        <v>1</v>
      </c>
      <c r="F1529" s="16">
        <v>4</v>
      </c>
      <c r="G1529" s="36">
        <f t="shared" si="970"/>
        <v>5</v>
      </c>
      <c r="H1529" s="17">
        <f t="shared" si="971"/>
        <v>10</v>
      </c>
      <c r="I1529" s="81">
        <v>45392</v>
      </c>
      <c r="J1529" s="52"/>
      <c r="K1529" s="15"/>
      <c r="L1529" s="16"/>
      <c r="M1529" s="36">
        <f t="shared" si="972"/>
        <v>0</v>
      </c>
      <c r="N1529" s="18"/>
      <c r="O1529" s="16"/>
      <c r="P1529" s="36">
        <f t="shared" si="973"/>
        <v>0</v>
      </c>
      <c r="Q1529" s="17">
        <f t="shared" si="974"/>
        <v>0</v>
      </c>
    </row>
    <row r="1530" spans="1:18" x14ac:dyDescent="0.15">
      <c r="A1530" s="35" t="s">
        <v>651</v>
      </c>
      <c r="B1530" s="15"/>
      <c r="C1530" s="16">
        <v>5</v>
      </c>
      <c r="D1530" s="36">
        <f t="shared" si="969"/>
        <v>5</v>
      </c>
      <c r="E1530" s="18"/>
      <c r="F1530" s="16"/>
      <c r="G1530" s="36">
        <f t="shared" si="970"/>
        <v>0</v>
      </c>
      <c r="H1530" s="17">
        <f t="shared" si="971"/>
        <v>5</v>
      </c>
      <c r="I1530" s="84">
        <v>45390</v>
      </c>
      <c r="J1530" s="52"/>
      <c r="K1530" s="15"/>
      <c r="L1530" s="16"/>
      <c r="M1530" s="36">
        <f t="shared" si="972"/>
        <v>0</v>
      </c>
      <c r="N1530" s="18"/>
      <c r="O1530" s="16"/>
      <c r="P1530" s="36">
        <f t="shared" si="973"/>
        <v>0</v>
      </c>
      <c r="Q1530" s="17">
        <f t="shared" si="974"/>
        <v>0</v>
      </c>
    </row>
    <row r="1531" spans="1:18" x14ac:dyDescent="0.15">
      <c r="A1531" s="35" t="s">
        <v>659</v>
      </c>
      <c r="B1531" s="15">
        <v>1</v>
      </c>
      <c r="C1531" s="16"/>
      <c r="D1531" s="36">
        <f t="shared" si="969"/>
        <v>1</v>
      </c>
      <c r="E1531" s="18">
        <v>1</v>
      </c>
      <c r="F1531" s="16"/>
      <c r="G1531" s="36">
        <f t="shared" si="970"/>
        <v>1</v>
      </c>
      <c r="H1531" s="17">
        <f t="shared" si="971"/>
        <v>2</v>
      </c>
      <c r="I1531" s="81">
        <v>45393</v>
      </c>
      <c r="J1531" s="52"/>
      <c r="K1531" s="15"/>
      <c r="L1531" s="16"/>
      <c r="M1531" s="36">
        <f t="shared" si="972"/>
        <v>0</v>
      </c>
      <c r="N1531" s="18"/>
      <c r="O1531" s="16"/>
      <c r="P1531" s="36">
        <f t="shared" si="973"/>
        <v>0</v>
      </c>
      <c r="Q1531" s="17">
        <f t="shared" si="974"/>
        <v>0</v>
      </c>
    </row>
    <row r="1532" spans="1:18" x14ac:dyDescent="0.15">
      <c r="A1532" s="35" t="s">
        <v>661</v>
      </c>
      <c r="B1532" s="15">
        <v>7</v>
      </c>
      <c r="C1532" s="16">
        <v>2</v>
      </c>
      <c r="D1532" s="36">
        <f t="shared" si="969"/>
        <v>9</v>
      </c>
      <c r="E1532" s="18">
        <v>7</v>
      </c>
      <c r="F1532" s="16">
        <v>2</v>
      </c>
      <c r="G1532" s="36">
        <f t="shared" si="970"/>
        <v>9</v>
      </c>
      <c r="H1532" s="17">
        <f t="shared" si="971"/>
        <v>18</v>
      </c>
      <c r="I1532" s="81">
        <v>45394</v>
      </c>
      <c r="J1532" s="52"/>
      <c r="K1532" s="15"/>
      <c r="L1532" s="16"/>
      <c r="M1532" s="36">
        <f t="shared" si="972"/>
        <v>0</v>
      </c>
      <c r="N1532" s="18"/>
      <c r="O1532" s="16"/>
      <c r="P1532" s="36">
        <f t="shared" si="973"/>
        <v>0</v>
      </c>
      <c r="Q1532" s="17">
        <f t="shared" si="974"/>
        <v>0</v>
      </c>
    </row>
    <row r="1533" spans="1:18" x14ac:dyDescent="0.15">
      <c r="A1533" s="35" t="s">
        <v>651</v>
      </c>
      <c r="B1533" s="15">
        <v>1</v>
      </c>
      <c r="C1533" s="16"/>
      <c r="D1533" s="36">
        <f t="shared" si="969"/>
        <v>1</v>
      </c>
      <c r="E1533" s="18">
        <v>4</v>
      </c>
      <c r="F1533" s="16"/>
      <c r="G1533" s="36">
        <f t="shared" si="970"/>
        <v>4</v>
      </c>
      <c r="H1533" s="17">
        <f t="shared" si="971"/>
        <v>5</v>
      </c>
      <c r="I1533" s="84">
        <v>45392</v>
      </c>
      <c r="J1533" s="52"/>
      <c r="K1533" s="15"/>
      <c r="L1533" s="16"/>
      <c r="M1533" s="36">
        <f t="shared" si="972"/>
        <v>0</v>
      </c>
      <c r="N1533" s="18"/>
      <c r="O1533" s="16"/>
      <c r="P1533" s="36">
        <f t="shared" si="973"/>
        <v>0</v>
      </c>
      <c r="Q1533" s="17">
        <f t="shared" si="974"/>
        <v>0</v>
      </c>
    </row>
    <row r="1534" spans="1:18" x14ac:dyDescent="0.15">
      <c r="A1534" s="35" t="s">
        <v>651</v>
      </c>
      <c r="B1534" s="15"/>
      <c r="C1534" s="16">
        <v>2</v>
      </c>
      <c r="D1534" s="36">
        <f t="shared" si="969"/>
        <v>2</v>
      </c>
      <c r="E1534" s="18"/>
      <c r="F1534" s="16"/>
      <c r="G1534" s="36">
        <f t="shared" si="970"/>
        <v>0</v>
      </c>
      <c r="H1534" s="17">
        <f t="shared" si="971"/>
        <v>2</v>
      </c>
      <c r="I1534" s="84">
        <v>45393</v>
      </c>
      <c r="J1534" s="52"/>
      <c r="K1534" s="15"/>
      <c r="L1534" s="16"/>
      <c r="M1534" s="36">
        <f t="shared" si="972"/>
        <v>0</v>
      </c>
      <c r="N1534" s="18"/>
      <c r="O1534" s="16"/>
      <c r="P1534" s="36">
        <f t="shared" si="973"/>
        <v>0</v>
      </c>
      <c r="Q1534" s="17">
        <f t="shared" si="974"/>
        <v>0</v>
      </c>
    </row>
    <row r="1535" spans="1:18" x14ac:dyDescent="0.15">
      <c r="A1535" s="35" t="s">
        <v>651</v>
      </c>
      <c r="B1535" s="15">
        <v>2</v>
      </c>
      <c r="C1535" s="16"/>
      <c r="D1535" s="36">
        <f t="shared" si="969"/>
        <v>2</v>
      </c>
      <c r="E1535" s="18">
        <v>4</v>
      </c>
      <c r="F1535" s="16"/>
      <c r="G1535" s="36">
        <f t="shared" si="970"/>
        <v>4</v>
      </c>
      <c r="H1535" s="17">
        <f t="shared" si="971"/>
        <v>6</v>
      </c>
      <c r="I1535" s="84">
        <v>45397</v>
      </c>
      <c r="J1535" s="52"/>
      <c r="K1535" s="15"/>
      <c r="L1535" s="16"/>
      <c r="M1535" s="36">
        <f t="shared" si="972"/>
        <v>0</v>
      </c>
      <c r="N1535" s="18"/>
      <c r="O1535" s="16"/>
      <c r="P1535" s="36">
        <f t="shared" si="973"/>
        <v>0</v>
      </c>
      <c r="Q1535" s="17">
        <f t="shared" si="974"/>
        <v>0</v>
      </c>
    </row>
    <row r="1536" spans="1:18" x14ac:dyDescent="0.15">
      <c r="A1536" s="35" t="s">
        <v>662</v>
      </c>
      <c r="B1536" s="15"/>
      <c r="C1536" s="16">
        <v>2</v>
      </c>
      <c r="D1536" s="36">
        <f t="shared" si="969"/>
        <v>2</v>
      </c>
      <c r="E1536" s="18"/>
      <c r="F1536" s="16">
        <v>2</v>
      </c>
      <c r="G1536" s="36">
        <f t="shared" si="970"/>
        <v>2</v>
      </c>
      <c r="H1536" s="17">
        <f t="shared" si="971"/>
        <v>4</v>
      </c>
      <c r="I1536" s="81">
        <v>45400</v>
      </c>
      <c r="J1536" s="52"/>
      <c r="K1536" s="15"/>
      <c r="L1536" s="16"/>
      <c r="M1536" s="36">
        <f t="shared" si="972"/>
        <v>0</v>
      </c>
      <c r="N1536" s="18"/>
      <c r="O1536" s="16"/>
      <c r="P1536" s="36">
        <f t="shared" si="973"/>
        <v>0</v>
      </c>
      <c r="Q1536" s="17">
        <f t="shared" si="974"/>
        <v>0</v>
      </c>
    </row>
    <row r="1537" spans="1:19" x14ac:dyDescent="0.15">
      <c r="A1537" s="35" t="s">
        <v>651</v>
      </c>
      <c r="B1537" s="15">
        <v>2</v>
      </c>
      <c r="C1537" s="16">
        <v>1</v>
      </c>
      <c r="D1537" s="36">
        <f t="shared" si="969"/>
        <v>3</v>
      </c>
      <c r="E1537" s="18">
        <v>1</v>
      </c>
      <c r="F1537" s="16"/>
      <c r="G1537" s="36">
        <f t="shared" si="970"/>
        <v>1</v>
      </c>
      <c r="H1537" s="17">
        <f t="shared" si="971"/>
        <v>4</v>
      </c>
      <c r="I1537" s="84">
        <v>45399</v>
      </c>
      <c r="J1537" s="52"/>
      <c r="K1537" s="15"/>
      <c r="L1537" s="16"/>
      <c r="M1537" s="36">
        <f t="shared" si="972"/>
        <v>0</v>
      </c>
      <c r="N1537" s="18"/>
      <c r="O1537" s="16"/>
      <c r="P1537" s="36">
        <f t="shared" si="973"/>
        <v>0</v>
      </c>
      <c r="Q1537" s="17">
        <f t="shared" si="974"/>
        <v>0</v>
      </c>
    </row>
    <row r="1538" spans="1:19" x14ac:dyDescent="0.15">
      <c r="A1538" s="35" t="s">
        <v>663</v>
      </c>
      <c r="B1538" s="15">
        <v>1</v>
      </c>
      <c r="C1538" s="16"/>
      <c r="D1538" s="36">
        <f t="shared" si="969"/>
        <v>1</v>
      </c>
      <c r="E1538" s="18">
        <v>1</v>
      </c>
      <c r="F1538" s="16"/>
      <c r="G1538" s="36">
        <f t="shared" si="970"/>
        <v>1</v>
      </c>
      <c r="H1538" s="17">
        <f t="shared" si="971"/>
        <v>2</v>
      </c>
      <c r="I1538" s="81">
        <v>45401</v>
      </c>
      <c r="J1538" s="52"/>
      <c r="K1538" s="15"/>
      <c r="L1538" s="16"/>
      <c r="M1538" s="36">
        <f t="shared" si="972"/>
        <v>0</v>
      </c>
      <c r="N1538" s="18"/>
      <c r="O1538" s="16"/>
      <c r="P1538" s="36">
        <f t="shared" si="973"/>
        <v>0</v>
      </c>
      <c r="Q1538" s="17">
        <f t="shared" si="974"/>
        <v>0</v>
      </c>
    </row>
    <row r="1539" spans="1:19" x14ac:dyDescent="0.15">
      <c r="A1539" s="35" t="s">
        <v>651</v>
      </c>
      <c r="B1539" s="15">
        <v>2</v>
      </c>
      <c r="C1539" s="16">
        <v>2</v>
      </c>
      <c r="D1539" s="36">
        <f t="shared" si="969"/>
        <v>4</v>
      </c>
      <c r="E1539" s="18">
        <v>1</v>
      </c>
      <c r="F1539" s="16"/>
      <c r="G1539" s="36">
        <f t="shared" si="970"/>
        <v>1</v>
      </c>
      <c r="H1539" s="17">
        <f t="shared" si="971"/>
        <v>5</v>
      </c>
      <c r="I1539" s="84">
        <v>45400</v>
      </c>
      <c r="J1539" s="52"/>
      <c r="K1539" s="15"/>
      <c r="L1539" s="16"/>
      <c r="M1539" s="36">
        <f t="shared" si="972"/>
        <v>0</v>
      </c>
      <c r="N1539" s="18"/>
      <c r="O1539" s="16"/>
      <c r="P1539" s="36">
        <f t="shared" si="973"/>
        <v>0</v>
      </c>
      <c r="Q1539" s="17">
        <f t="shared" si="974"/>
        <v>0</v>
      </c>
    </row>
    <row r="1540" spans="1:19" x14ac:dyDescent="0.15">
      <c r="A1540" s="35" t="s">
        <v>651</v>
      </c>
      <c r="B1540" s="15">
        <v>2</v>
      </c>
      <c r="C1540" s="16"/>
      <c r="D1540" s="36">
        <f t="shared" si="969"/>
        <v>2</v>
      </c>
      <c r="E1540" s="18"/>
      <c r="F1540" s="16"/>
      <c r="G1540" s="36">
        <f t="shared" si="970"/>
        <v>0</v>
      </c>
      <c r="H1540" s="17">
        <f t="shared" si="971"/>
        <v>2</v>
      </c>
      <c r="I1540" s="84">
        <v>45401</v>
      </c>
      <c r="J1540" s="52"/>
      <c r="K1540" s="15"/>
      <c r="L1540" s="16"/>
      <c r="M1540" s="36">
        <f t="shared" si="972"/>
        <v>0</v>
      </c>
      <c r="N1540" s="18"/>
      <c r="O1540" s="16"/>
      <c r="P1540" s="36">
        <f t="shared" si="973"/>
        <v>0</v>
      </c>
      <c r="Q1540" s="17">
        <f t="shared" si="974"/>
        <v>0</v>
      </c>
    </row>
    <row r="1541" spans="1:19" x14ac:dyDescent="0.15">
      <c r="A1541" s="35" t="s">
        <v>651</v>
      </c>
      <c r="B1541" s="15">
        <v>1</v>
      </c>
      <c r="C1541" s="16"/>
      <c r="D1541" s="36">
        <f t="shared" si="945"/>
        <v>1</v>
      </c>
      <c r="E1541" s="18"/>
      <c r="F1541" s="16"/>
      <c r="G1541" s="36">
        <f t="shared" si="946"/>
        <v>0</v>
      </c>
      <c r="H1541" s="17">
        <f t="shared" si="947"/>
        <v>1</v>
      </c>
      <c r="I1541" s="84">
        <v>45404</v>
      </c>
      <c r="J1541" s="52"/>
      <c r="K1541" s="15"/>
      <c r="L1541" s="16"/>
      <c r="M1541" s="36">
        <f t="shared" si="948"/>
        <v>0</v>
      </c>
      <c r="N1541" s="18"/>
      <c r="O1541" s="16"/>
      <c r="P1541" s="36">
        <f t="shared" si="949"/>
        <v>0</v>
      </c>
      <c r="Q1541" s="17">
        <f t="shared" si="950"/>
        <v>0</v>
      </c>
    </row>
    <row r="1542" spans="1:19" x14ac:dyDescent="0.15">
      <c r="A1542" s="35" t="s">
        <v>651</v>
      </c>
      <c r="B1542" s="15"/>
      <c r="C1542" s="16">
        <v>6</v>
      </c>
      <c r="D1542" s="36">
        <f t="shared" ref="D1542:D1543" si="978">SUM(B1542:C1542)</f>
        <v>6</v>
      </c>
      <c r="E1542" s="18"/>
      <c r="F1542" s="16"/>
      <c r="G1542" s="36">
        <f t="shared" ref="G1542:G1543" si="979">SUM(E1542:F1542)</f>
        <v>0</v>
      </c>
      <c r="H1542" s="17">
        <f t="shared" ref="H1542:H1543" si="980">D1542+G1542</f>
        <v>6</v>
      </c>
      <c r="I1542" s="84">
        <v>45405</v>
      </c>
      <c r="J1542" s="52"/>
      <c r="K1542" s="15"/>
      <c r="L1542" s="16"/>
      <c r="M1542" s="36">
        <f t="shared" ref="M1542:M1544" si="981">SUM(K1542:L1542)</f>
        <v>0</v>
      </c>
      <c r="N1542" s="18"/>
      <c r="O1542" s="16"/>
      <c r="P1542" s="36">
        <f t="shared" ref="P1542:P1544" si="982">SUM(N1542:O1542)</f>
        <v>0</v>
      </c>
      <c r="Q1542" s="17">
        <f t="shared" ref="Q1542:Q1544" si="983">M1542+P1542</f>
        <v>0</v>
      </c>
    </row>
    <row r="1543" spans="1:19" x14ac:dyDescent="0.15">
      <c r="A1543" s="35" t="s">
        <v>664</v>
      </c>
      <c r="B1543" s="15"/>
      <c r="C1543" s="16">
        <v>1</v>
      </c>
      <c r="D1543" s="36">
        <f t="shared" si="978"/>
        <v>1</v>
      </c>
      <c r="E1543" s="18"/>
      <c r="F1543" s="16">
        <v>1</v>
      </c>
      <c r="G1543" s="36">
        <f t="shared" si="979"/>
        <v>1</v>
      </c>
      <c r="H1543" s="17">
        <f t="shared" si="980"/>
        <v>2</v>
      </c>
      <c r="I1543" s="81">
        <v>45407</v>
      </c>
      <c r="J1543" s="52"/>
      <c r="K1543" s="15"/>
      <c r="L1543" s="16"/>
      <c r="M1543" s="36">
        <f t="shared" si="981"/>
        <v>0</v>
      </c>
      <c r="N1543" s="18"/>
      <c r="O1543" s="16"/>
      <c r="P1543" s="36">
        <f t="shared" si="982"/>
        <v>0</v>
      </c>
      <c r="Q1543" s="17">
        <f t="shared" si="983"/>
        <v>0</v>
      </c>
    </row>
    <row r="1544" spans="1:19" ht="14.25" thickBot="1" x14ac:dyDescent="0.2">
      <c r="A1544" s="35" t="s">
        <v>651</v>
      </c>
      <c r="B1544" s="15">
        <v>1</v>
      </c>
      <c r="C1544" s="16"/>
      <c r="D1544" s="36">
        <f t="shared" ref="D1544" si="984">SUM(B1544:C1544)</f>
        <v>1</v>
      </c>
      <c r="E1544" s="18"/>
      <c r="F1544" s="16"/>
      <c r="G1544" s="36">
        <f t="shared" ref="G1544" si="985">SUM(E1544:F1544)</f>
        <v>0</v>
      </c>
      <c r="H1544" s="17">
        <f t="shared" ref="H1544" si="986">D1544+G1544</f>
        <v>1</v>
      </c>
      <c r="I1544" s="81">
        <v>45406</v>
      </c>
      <c r="J1544" s="35" t="s">
        <v>631</v>
      </c>
      <c r="K1544" s="15"/>
      <c r="L1544" s="16"/>
      <c r="M1544" s="36">
        <f t="shared" si="981"/>
        <v>0</v>
      </c>
      <c r="N1544" s="18"/>
      <c r="O1544" s="16"/>
      <c r="P1544" s="36">
        <f t="shared" si="982"/>
        <v>0</v>
      </c>
      <c r="Q1544" s="17">
        <f t="shared" si="983"/>
        <v>0</v>
      </c>
      <c r="R1544" s="83" t="s">
        <v>632</v>
      </c>
      <c r="S1544" t="s">
        <v>658</v>
      </c>
    </row>
    <row r="1545" spans="1:19" ht="14.25" thickBot="1" x14ac:dyDescent="0.2">
      <c r="A1545" s="40" t="s">
        <v>14</v>
      </c>
      <c r="B1545" s="41">
        <f>SUM(B1519:B1544)</f>
        <v>33</v>
      </c>
      <c r="C1545" s="42">
        <f t="shared" ref="C1545" si="987">SUM(C1519:C1544)</f>
        <v>37</v>
      </c>
      <c r="D1545" s="43">
        <f t="shared" si="945"/>
        <v>70</v>
      </c>
      <c r="E1545" s="41">
        <f>SUM(E1519:E1544)</f>
        <v>32</v>
      </c>
      <c r="F1545" s="42">
        <f t="shared" ref="F1545" si="988">SUM(F1519:F1544)</f>
        <v>15</v>
      </c>
      <c r="G1545" s="43">
        <f t="shared" si="946"/>
        <v>47</v>
      </c>
      <c r="H1545" s="43">
        <f t="shared" si="947"/>
        <v>117</v>
      </c>
      <c r="J1545" s="40" t="s">
        <v>14</v>
      </c>
      <c r="K1545" s="41">
        <f>SUM(K1519:K1544)</f>
        <v>43</v>
      </c>
      <c r="L1545" s="42">
        <f t="shared" ref="L1545" si="989">SUM(L1519:L1544)</f>
        <v>62</v>
      </c>
      <c r="M1545" s="43">
        <f t="shared" si="948"/>
        <v>105</v>
      </c>
      <c r="N1545" s="41">
        <f>SUM(N1519:N1544)</f>
        <v>43</v>
      </c>
      <c r="O1545" s="42">
        <f t="shared" ref="O1545" si="990">SUM(O1519:O1544)</f>
        <v>34</v>
      </c>
      <c r="P1545" s="43">
        <f t="shared" si="949"/>
        <v>77</v>
      </c>
      <c r="Q1545" s="43">
        <f t="shared" si="950"/>
        <v>182</v>
      </c>
    </row>
    <row r="1546" spans="1:19" ht="14.25" thickBot="1" x14ac:dyDescent="0.2">
      <c r="A1546" s="44" t="s">
        <v>15</v>
      </c>
      <c r="B1546" s="45">
        <f>B1518-B1545</f>
        <v>17</v>
      </c>
      <c r="C1546" s="46">
        <f t="shared" ref="C1546" si="991">C1518-C1545</f>
        <v>10</v>
      </c>
      <c r="D1546" s="47">
        <f t="shared" si="945"/>
        <v>27</v>
      </c>
      <c r="E1546" s="45">
        <f>E1518-E1545</f>
        <v>19</v>
      </c>
      <c r="F1546" s="46">
        <f t="shared" ref="F1546" si="992">F1518-F1545</f>
        <v>12</v>
      </c>
      <c r="G1546" s="47">
        <f t="shared" si="946"/>
        <v>31</v>
      </c>
      <c r="H1546" s="34">
        <f t="shared" si="947"/>
        <v>58</v>
      </c>
      <c r="J1546" s="44" t="s">
        <v>15</v>
      </c>
      <c r="K1546" s="45">
        <f>K1518-K1545</f>
        <v>945</v>
      </c>
      <c r="L1546" s="46">
        <f t="shared" ref="L1546" si="993">L1518-L1545</f>
        <v>423</v>
      </c>
      <c r="M1546" s="47">
        <f t="shared" si="948"/>
        <v>1368</v>
      </c>
      <c r="N1546" s="45">
        <f>N1518-N1545</f>
        <v>944</v>
      </c>
      <c r="O1546" s="46">
        <f t="shared" ref="O1546" si="994">O1518-O1545</f>
        <v>0</v>
      </c>
      <c r="P1546" s="47">
        <f t="shared" si="949"/>
        <v>944</v>
      </c>
      <c r="Q1546" s="34">
        <f t="shared" si="950"/>
        <v>2312</v>
      </c>
    </row>
    <row r="1549" spans="1:19" ht="19.5" thickBot="1" x14ac:dyDescent="0.25">
      <c r="A1549" s="1" t="s">
        <v>23</v>
      </c>
      <c r="J1549" s="1" t="s">
        <v>24</v>
      </c>
      <c r="K1549" s="2"/>
      <c r="L1549" s="2"/>
      <c r="M1549" s="2"/>
      <c r="N1549" s="2"/>
      <c r="O1549" s="1" t="s">
        <v>34</v>
      </c>
      <c r="P1549" s="2"/>
      <c r="Q1549" s="2"/>
    </row>
    <row r="1550" spans="1:19" ht="14.25" thickBot="1" x14ac:dyDescent="0.2">
      <c r="A1550" s="3" t="s">
        <v>0</v>
      </c>
      <c r="B1550" s="120" t="s">
        <v>18</v>
      </c>
      <c r="C1550" s="121"/>
      <c r="D1550" s="122"/>
      <c r="E1550" s="120" t="s">
        <v>19</v>
      </c>
      <c r="F1550" s="121"/>
      <c r="G1550" s="122"/>
      <c r="H1550" s="123" t="s">
        <v>1</v>
      </c>
      <c r="J1550" s="3" t="s">
        <v>0</v>
      </c>
      <c r="K1550" s="120" t="s">
        <v>18</v>
      </c>
      <c r="L1550" s="121"/>
      <c r="M1550" s="122"/>
      <c r="N1550" s="120" t="s">
        <v>19</v>
      </c>
      <c r="O1550" s="121"/>
      <c r="P1550" s="122"/>
      <c r="Q1550" s="123" t="s">
        <v>1</v>
      </c>
    </row>
    <row r="1551" spans="1:19" ht="14.25" thickBot="1" x14ac:dyDescent="0.2">
      <c r="A1551" s="3" t="s">
        <v>2</v>
      </c>
      <c r="B1551" s="4" t="s">
        <v>16</v>
      </c>
      <c r="C1551" s="5" t="s">
        <v>17</v>
      </c>
      <c r="D1551" s="3" t="s">
        <v>3</v>
      </c>
      <c r="E1551" s="4" t="s">
        <v>16</v>
      </c>
      <c r="F1551" s="5" t="s">
        <v>17</v>
      </c>
      <c r="G1551" s="3" t="s">
        <v>3</v>
      </c>
      <c r="H1551" s="124"/>
      <c r="J1551" s="3" t="s">
        <v>2</v>
      </c>
      <c r="K1551" s="4" t="s">
        <v>16</v>
      </c>
      <c r="L1551" s="5" t="s">
        <v>17</v>
      </c>
      <c r="M1551" s="3" t="s">
        <v>3</v>
      </c>
      <c r="N1551" s="4" t="s">
        <v>16</v>
      </c>
      <c r="O1551" s="5" t="s">
        <v>17</v>
      </c>
      <c r="P1551" s="3" t="s">
        <v>3</v>
      </c>
      <c r="Q1551" s="124"/>
    </row>
    <row r="1552" spans="1:19" ht="14.25" thickBot="1" x14ac:dyDescent="0.2">
      <c r="A1552" s="6" t="s">
        <v>55</v>
      </c>
      <c r="B1552" s="32">
        <f>B1546</f>
        <v>17</v>
      </c>
      <c r="C1552" s="33">
        <f>C1546</f>
        <v>10</v>
      </c>
      <c r="D1552" s="34">
        <f t="shared" ref="D1552:D1589" si="995">SUM(B1552:C1552)</f>
        <v>27</v>
      </c>
      <c r="E1552" s="32">
        <f>E1546</f>
        <v>19</v>
      </c>
      <c r="F1552" s="33">
        <f>F1546</f>
        <v>12</v>
      </c>
      <c r="G1552" s="34">
        <f t="shared" ref="G1552:G1589" si="996">SUM(E1552:F1552)</f>
        <v>31</v>
      </c>
      <c r="H1552" s="34">
        <f t="shared" ref="H1552:H1589" si="997">D1552+G1552</f>
        <v>58</v>
      </c>
      <c r="J1552" s="6" t="s">
        <v>55</v>
      </c>
      <c r="K1552" s="32">
        <f>K1546</f>
        <v>945</v>
      </c>
      <c r="L1552" s="33">
        <f>L1546</f>
        <v>423</v>
      </c>
      <c r="M1552" s="34">
        <f t="shared" ref="M1552:M1589" si="998">SUM(K1552:L1552)</f>
        <v>1368</v>
      </c>
      <c r="N1552" s="32">
        <f>N1546</f>
        <v>944</v>
      </c>
      <c r="O1552" s="33">
        <f>O1546</f>
        <v>0</v>
      </c>
      <c r="P1552" s="34">
        <f t="shared" ref="P1552:P1589" si="999">SUM(N1552:O1552)</f>
        <v>944</v>
      </c>
      <c r="Q1552" s="34">
        <f t="shared" ref="Q1552:Q1589" si="1000">M1552+P1552</f>
        <v>2312</v>
      </c>
    </row>
    <row r="1553" spans="1:18" x14ac:dyDescent="0.15">
      <c r="A1553" s="10" t="s">
        <v>5</v>
      </c>
      <c r="B1553" s="23"/>
      <c r="C1553" s="24">
        <v>5</v>
      </c>
      <c r="D1553" s="17">
        <f t="shared" ref="D1553:D1557" si="1001">SUM(B1553:C1553)</f>
        <v>5</v>
      </c>
      <c r="E1553" s="25"/>
      <c r="F1553" s="24"/>
      <c r="G1553" s="17">
        <f t="shared" ref="G1553:G1557" si="1002">SUM(E1553:F1553)</f>
        <v>0</v>
      </c>
      <c r="H1553" s="17">
        <f t="shared" ref="H1553:H1557" si="1003">D1553+G1553</f>
        <v>5</v>
      </c>
      <c r="I1553" s="81">
        <v>45412</v>
      </c>
      <c r="J1553" s="10" t="s">
        <v>5</v>
      </c>
      <c r="K1553" s="15"/>
      <c r="L1553" s="16"/>
      <c r="M1553" s="17">
        <f t="shared" ref="M1553" si="1004">SUM(K1553:L1553)</f>
        <v>0</v>
      </c>
      <c r="N1553" s="18"/>
      <c r="O1553" s="16"/>
      <c r="P1553" s="17">
        <f t="shared" ref="P1553" si="1005">SUM(N1553:O1553)</f>
        <v>0</v>
      </c>
      <c r="Q1553" s="17">
        <f t="shared" ref="Q1553" si="1006">M1553+P1553</f>
        <v>0</v>
      </c>
    </row>
    <row r="1554" spans="1:18" x14ac:dyDescent="0.15">
      <c r="A1554" s="10" t="s">
        <v>6</v>
      </c>
      <c r="B1554" s="23">
        <v>10</v>
      </c>
      <c r="C1554" s="24">
        <v>10</v>
      </c>
      <c r="D1554" s="17">
        <f t="shared" si="1001"/>
        <v>20</v>
      </c>
      <c r="E1554" s="25"/>
      <c r="F1554" s="24"/>
      <c r="G1554" s="17">
        <f t="shared" si="1002"/>
        <v>0</v>
      </c>
      <c r="H1554" s="17">
        <f t="shared" si="1003"/>
        <v>20</v>
      </c>
      <c r="I1554" s="81">
        <v>45413</v>
      </c>
      <c r="J1554" s="10" t="s">
        <v>6</v>
      </c>
      <c r="K1554" s="15"/>
      <c r="L1554" s="16"/>
      <c r="M1554" s="17">
        <f t="shared" si="998"/>
        <v>0</v>
      </c>
      <c r="N1554" s="18"/>
      <c r="O1554" s="16"/>
      <c r="P1554" s="17">
        <f t="shared" si="999"/>
        <v>0</v>
      </c>
      <c r="Q1554" s="17">
        <f t="shared" si="1000"/>
        <v>0</v>
      </c>
    </row>
    <row r="1555" spans="1:18" x14ac:dyDescent="0.15">
      <c r="A1555" s="10" t="s">
        <v>7</v>
      </c>
      <c r="B1555" s="23"/>
      <c r="C1555" s="24"/>
      <c r="D1555" s="17">
        <f t="shared" si="1001"/>
        <v>0</v>
      </c>
      <c r="E1555" s="25">
        <v>10</v>
      </c>
      <c r="F1555" s="24"/>
      <c r="G1555" s="17">
        <f t="shared" si="1002"/>
        <v>10</v>
      </c>
      <c r="H1555" s="17">
        <f t="shared" si="1003"/>
        <v>10</v>
      </c>
      <c r="I1555" s="81">
        <v>45420</v>
      </c>
      <c r="J1555" s="10" t="s">
        <v>7</v>
      </c>
      <c r="K1555" s="15"/>
      <c r="L1555" s="16"/>
      <c r="M1555" s="17">
        <f t="shared" si="998"/>
        <v>0</v>
      </c>
      <c r="N1555" s="18"/>
      <c r="O1555" s="16"/>
      <c r="P1555" s="17">
        <f t="shared" si="999"/>
        <v>0</v>
      </c>
      <c r="Q1555" s="17">
        <f t="shared" si="1000"/>
        <v>0</v>
      </c>
    </row>
    <row r="1556" spans="1:18" x14ac:dyDescent="0.15">
      <c r="A1556" s="10" t="s">
        <v>8</v>
      </c>
      <c r="B1556" s="23">
        <v>10</v>
      </c>
      <c r="C1556" s="24">
        <v>10</v>
      </c>
      <c r="D1556" s="17">
        <f t="shared" si="1001"/>
        <v>20</v>
      </c>
      <c r="E1556" s="25">
        <v>10</v>
      </c>
      <c r="F1556" s="24"/>
      <c r="G1556" s="17">
        <f t="shared" si="1002"/>
        <v>10</v>
      </c>
      <c r="H1556" s="17">
        <f t="shared" si="1003"/>
        <v>30</v>
      </c>
      <c r="I1556" s="81">
        <v>45423</v>
      </c>
      <c r="J1556" s="10" t="s">
        <v>8</v>
      </c>
      <c r="K1556" s="15"/>
      <c r="L1556" s="16"/>
      <c r="M1556" s="17">
        <f t="shared" si="998"/>
        <v>0</v>
      </c>
      <c r="N1556" s="18"/>
      <c r="O1556" s="16"/>
      <c r="P1556" s="17">
        <f t="shared" si="999"/>
        <v>0</v>
      </c>
      <c r="Q1556" s="17">
        <f t="shared" si="1000"/>
        <v>0</v>
      </c>
    </row>
    <row r="1557" spans="1:18" x14ac:dyDescent="0.15">
      <c r="A1557" s="10" t="s">
        <v>9</v>
      </c>
      <c r="B1557" s="23">
        <v>5</v>
      </c>
      <c r="C1557" s="24">
        <v>10</v>
      </c>
      <c r="D1557" s="17">
        <f t="shared" si="1001"/>
        <v>15</v>
      </c>
      <c r="E1557" s="25">
        <v>10</v>
      </c>
      <c r="F1557" s="24"/>
      <c r="G1557" s="17">
        <f t="shared" si="1002"/>
        <v>10</v>
      </c>
      <c r="H1557" s="17">
        <f t="shared" si="1003"/>
        <v>25</v>
      </c>
      <c r="I1557" s="81">
        <v>45434</v>
      </c>
      <c r="J1557" s="10" t="s">
        <v>9</v>
      </c>
      <c r="K1557" s="15"/>
      <c r="L1557" s="16"/>
      <c r="M1557" s="17">
        <f t="shared" si="998"/>
        <v>0</v>
      </c>
      <c r="N1557" s="18"/>
      <c r="O1557" s="16"/>
      <c r="P1557" s="17">
        <f t="shared" si="999"/>
        <v>0</v>
      </c>
      <c r="Q1557" s="17">
        <f t="shared" si="1000"/>
        <v>0</v>
      </c>
    </row>
    <row r="1558" spans="1:18" x14ac:dyDescent="0.15">
      <c r="A1558" s="10" t="s">
        <v>61</v>
      </c>
      <c r="B1558" s="23">
        <v>1</v>
      </c>
      <c r="C1558" s="24"/>
      <c r="D1558" s="17">
        <f t="shared" si="995"/>
        <v>1</v>
      </c>
      <c r="E1558" s="25">
        <v>1</v>
      </c>
      <c r="F1558" s="24"/>
      <c r="G1558" s="17">
        <f t="shared" si="996"/>
        <v>1</v>
      </c>
      <c r="H1558" s="17">
        <f t="shared" si="997"/>
        <v>2</v>
      </c>
      <c r="I1558" s="81">
        <v>45436</v>
      </c>
      <c r="J1558" s="10" t="s">
        <v>10</v>
      </c>
      <c r="K1558" s="15"/>
      <c r="L1558" s="16"/>
      <c r="M1558" s="17">
        <f t="shared" si="998"/>
        <v>0</v>
      </c>
      <c r="N1558" s="18"/>
      <c r="O1558" s="16"/>
      <c r="P1558" s="17">
        <f t="shared" si="999"/>
        <v>0</v>
      </c>
      <c r="Q1558" s="17">
        <f t="shared" si="1000"/>
        <v>0</v>
      </c>
    </row>
    <row r="1559" spans="1:18" x14ac:dyDescent="0.15">
      <c r="A1559" s="10" t="s">
        <v>11</v>
      </c>
      <c r="B1559" s="23"/>
      <c r="C1559" s="24"/>
      <c r="D1559" s="17">
        <f t="shared" si="995"/>
        <v>0</v>
      </c>
      <c r="E1559" s="25"/>
      <c r="F1559" s="24"/>
      <c r="G1559" s="17">
        <f t="shared" si="996"/>
        <v>0</v>
      </c>
      <c r="H1559" s="17">
        <f t="shared" si="997"/>
        <v>0</v>
      </c>
      <c r="I1559" s="81"/>
      <c r="J1559" s="10" t="s">
        <v>11</v>
      </c>
      <c r="K1559" s="15"/>
      <c r="L1559" s="16"/>
      <c r="M1559" s="17">
        <f t="shared" si="998"/>
        <v>0</v>
      </c>
      <c r="N1559" s="18"/>
      <c r="O1559" s="16"/>
      <c r="P1559" s="17">
        <f t="shared" si="999"/>
        <v>0</v>
      </c>
      <c r="Q1559" s="17">
        <f t="shared" si="1000"/>
        <v>0</v>
      </c>
    </row>
    <row r="1560" spans="1:18" ht="14.25" thickBot="1" x14ac:dyDescent="0.2">
      <c r="A1560" s="10" t="s">
        <v>110</v>
      </c>
      <c r="B1560" s="23"/>
      <c r="C1560" s="24">
        <v>-1</v>
      </c>
      <c r="D1560" s="17">
        <f t="shared" si="995"/>
        <v>-1</v>
      </c>
      <c r="E1560" s="25">
        <v>-4</v>
      </c>
      <c r="F1560" s="24"/>
      <c r="G1560" s="17">
        <f t="shared" si="996"/>
        <v>-4</v>
      </c>
      <c r="H1560" s="17">
        <f t="shared" si="997"/>
        <v>-5</v>
      </c>
      <c r="I1560" s="81"/>
      <c r="J1560" s="10" t="s">
        <v>12</v>
      </c>
      <c r="K1560" s="15"/>
      <c r="L1560" s="16"/>
      <c r="M1560" s="17">
        <f t="shared" si="998"/>
        <v>0</v>
      </c>
      <c r="N1560" s="18"/>
      <c r="O1560" s="16"/>
      <c r="P1560" s="17">
        <f t="shared" si="999"/>
        <v>0</v>
      </c>
      <c r="Q1560" s="17">
        <f t="shared" si="1000"/>
        <v>0</v>
      </c>
    </row>
    <row r="1561" spans="1:18" ht="14.25" thickBot="1" x14ac:dyDescent="0.2">
      <c r="A1561" s="31" t="s">
        <v>13</v>
      </c>
      <c r="B1561" s="32">
        <f>SUM(B1552:B1560)</f>
        <v>43</v>
      </c>
      <c r="C1561" s="33">
        <f>SUM(C1552:C1560)</f>
        <v>44</v>
      </c>
      <c r="D1561" s="34">
        <f t="shared" si="995"/>
        <v>87</v>
      </c>
      <c r="E1561" s="32">
        <f>SUM(E1552:E1560)</f>
        <v>46</v>
      </c>
      <c r="F1561" s="33">
        <f>SUM(F1552:F1560)</f>
        <v>12</v>
      </c>
      <c r="G1561" s="34">
        <f t="shared" si="996"/>
        <v>58</v>
      </c>
      <c r="H1561" s="34">
        <f t="shared" si="997"/>
        <v>145</v>
      </c>
      <c r="J1561" s="31" t="s">
        <v>13</v>
      </c>
      <c r="K1561" s="32">
        <f>SUM(K1552:K1560)</f>
        <v>945</v>
      </c>
      <c r="L1561" s="33">
        <f>SUM(L1552:L1560)</f>
        <v>423</v>
      </c>
      <c r="M1561" s="34">
        <f t="shared" si="998"/>
        <v>1368</v>
      </c>
      <c r="N1561" s="32">
        <f>SUM(N1552:N1560)</f>
        <v>944</v>
      </c>
      <c r="O1561" s="33">
        <f>SUM(O1552:O1560)</f>
        <v>0</v>
      </c>
      <c r="P1561" s="34">
        <f t="shared" si="999"/>
        <v>944</v>
      </c>
      <c r="Q1561" s="34">
        <f t="shared" si="1000"/>
        <v>2312</v>
      </c>
    </row>
    <row r="1562" spans="1:18" x14ac:dyDescent="0.15">
      <c r="A1562" s="35" t="s">
        <v>665</v>
      </c>
      <c r="B1562" s="15">
        <v>1</v>
      </c>
      <c r="C1562" s="16"/>
      <c r="D1562" s="36">
        <f t="shared" ref="D1562:D1584" si="1007">SUM(B1562:C1562)</f>
        <v>1</v>
      </c>
      <c r="E1562" s="18">
        <v>1</v>
      </c>
      <c r="F1562" s="16"/>
      <c r="G1562" s="36">
        <f t="shared" ref="G1562:G1584" si="1008">SUM(E1562:F1562)</f>
        <v>1</v>
      </c>
      <c r="H1562" s="17">
        <f t="shared" ref="H1562:H1584" si="1009">D1562+G1562</f>
        <v>2</v>
      </c>
      <c r="I1562" s="81">
        <v>45408</v>
      </c>
      <c r="J1562" s="52" t="s">
        <v>91</v>
      </c>
      <c r="K1562" s="15">
        <v>10</v>
      </c>
      <c r="L1562" s="16">
        <v>10</v>
      </c>
      <c r="M1562" s="36">
        <f t="shared" si="998"/>
        <v>20</v>
      </c>
      <c r="N1562" s="18"/>
      <c r="O1562" s="16"/>
      <c r="P1562" s="36">
        <f t="shared" si="999"/>
        <v>0</v>
      </c>
      <c r="Q1562" s="17">
        <f t="shared" si="1000"/>
        <v>20</v>
      </c>
      <c r="R1562" s="81">
        <v>45413</v>
      </c>
    </row>
    <row r="1563" spans="1:18" x14ac:dyDescent="0.15">
      <c r="A1563" s="35" t="s">
        <v>666</v>
      </c>
      <c r="B1563" s="15">
        <v>2</v>
      </c>
      <c r="C1563" s="16"/>
      <c r="D1563" s="36">
        <f t="shared" si="1007"/>
        <v>2</v>
      </c>
      <c r="E1563" s="18">
        <v>1</v>
      </c>
      <c r="F1563" s="16"/>
      <c r="G1563" s="36">
        <f t="shared" si="1008"/>
        <v>1</v>
      </c>
      <c r="H1563" s="17">
        <f t="shared" si="1009"/>
        <v>3</v>
      </c>
      <c r="I1563" s="84">
        <v>45407</v>
      </c>
      <c r="J1563" s="52" t="s">
        <v>91</v>
      </c>
      <c r="K1563" s="15"/>
      <c r="L1563" s="16"/>
      <c r="M1563" s="36">
        <f t="shared" si="998"/>
        <v>0</v>
      </c>
      <c r="N1563" s="18">
        <v>10</v>
      </c>
      <c r="O1563" s="16"/>
      <c r="P1563" s="36">
        <f t="shared" si="999"/>
        <v>10</v>
      </c>
      <c r="Q1563" s="17">
        <f t="shared" si="1000"/>
        <v>10</v>
      </c>
      <c r="R1563" s="81">
        <v>45420</v>
      </c>
    </row>
    <row r="1564" spans="1:18" x14ac:dyDescent="0.15">
      <c r="A1564" s="35" t="s">
        <v>667</v>
      </c>
      <c r="B1564" s="15">
        <v>1</v>
      </c>
      <c r="C1564" s="16"/>
      <c r="D1564" s="36">
        <f t="shared" si="1007"/>
        <v>1</v>
      </c>
      <c r="E1564" s="18">
        <v>1</v>
      </c>
      <c r="F1564" s="16"/>
      <c r="G1564" s="36">
        <f t="shared" si="1008"/>
        <v>1</v>
      </c>
      <c r="H1564" s="17">
        <f t="shared" si="1009"/>
        <v>2</v>
      </c>
      <c r="I1564" s="81">
        <v>45412</v>
      </c>
      <c r="J1564" s="52" t="s">
        <v>91</v>
      </c>
      <c r="K1564" s="15">
        <v>10</v>
      </c>
      <c r="L1564" s="16">
        <v>10</v>
      </c>
      <c r="M1564" s="36">
        <f t="shared" si="998"/>
        <v>20</v>
      </c>
      <c r="N1564" s="18">
        <v>10</v>
      </c>
      <c r="O1564" s="16"/>
      <c r="P1564" s="36">
        <f t="shared" si="999"/>
        <v>10</v>
      </c>
      <c r="Q1564" s="17">
        <f t="shared" si="1000"/>
        <v>30</v>
      </c>
      <c r="R1564" s="81">
        <v>45423</v>
      </c>
    </row>
    <row r="1565" spans="1:18" x14ac:dyDescent="0.15">
      <c r="A1565" s="35" t="s">
        <v>651</v>
      </c>
      <c r="B1565" s="15">
        <v>1</v>
      </c>
      <c r="C1565" s="16">
        <v>2</v>
      </c>
      <c r="D1565" s="36">
        <f t="shared" si="1007"/>
        <v>3</v>
      </c>
      <c r="E1565" s="18"/>
      <c r="F1565" s="16"/>
      <c r="G1565" s="36">
        <f t="shared" si="1008"/>
        <v>0</v>
      </c>
      <c r="H1565" s="17">
        <f t="shared" si="1009"/>
        <v>3</v>
      </c>
      <c r="I1565" s="81">
        <v>45408</v>
      </c>
      <c r="J1565" s="52" t="s">
        <v>91</v>
      </c>
      <c r="K1565" s="15">
        <v>5</v>
      </c>
      <c r="L1565" s="16">
        <v>10</v>
      </c>
      <c r="M1565" s="36">
        <f t="shared" si="998"/>
        <v>15</v>
      </c>
      <c r="N1565" s="18">
        <v>10</v>
      </c>
      <c r="O1565" s="16"/>
      <c r="P1565" s="36">
        <f t="shared" si="999"/>
        <v>10</v>
      </c>
      <c r="Q1565" s="17">
        <f t="shared" si="1000"/>
        <v>25</v>
      </c>
      <c r="R1565" s="81">
        <v>45434</v>
      </c>
    </row>
    <row r="1566" spans="1:18" x14ac:dyDescent="0.15">
      <c r="A1566" s="35" t="s">
        <v>651</v>
      </c>
      <c r="B1566" s="15">
        <v>2</v>
      </c>
      <c r="C1566" s="16">
        <f>2+3</f>
        <v>5</v>
      </c>
      <c r="D1566" s="36">
        <f t="shared" si="1007"/>
        <v>7</v>
      </c>
      <c r="E1566" s="18"/>
      <c r="F1566" s="16"/>
      <c r="G1566" s="36">
        <f t="shared" si="1008"/>
        <v>0</v>
      </c>
      <c r="H1566" s="17">
        <f t="shared" si="1009"/>
        <v>7</v>
      </c>
      <c r="I1566" s="81">
        <v>45412</v>
      </c>
      <c r="J1566" s="52" t="s">
        <v>91</v>
      </c>
      <c r="K1566" s="15"/>
      <c r="L1566" s="16"/>
      <c r="M1566" s="36">
        <f t="shared" si="998"/>
        <v>0</v>
      </c>
      <c r="N1566" s="18">
        <v>20</v>
      </c>
      <c r="O1566" s="16"/>
      <c r="P1566" s="36">
        <f t="shared" si="999"/>
        <v>20</v>
      </c>
      <c r="Q1566" s="17">
        <f t="shared" si="1000"/>
        <v>20</v>
      </c>
      <c r="R1566" s="81">
        <v>45444</v>
      </c>
    </row>
    <row r="1567" spans="1:18" x14ac:dyDescent="0.15">
      <c r="A1567" s="35" t="s">
        <v>668</v>
      </c>
      <c r="B1567" s="15">
        <v>3</v>
      </c>
      <c r="C1567" s="16"/>
      <c r="D1567" s="36">
        <f t="shared" si="1007"/>
        <v>3</v>
      </c>
      <c r="E1567" s="18">
        <v>3</v>
      </c>
      <c r="F1567" s="16"/>
      <c r="G1567" s="36">
        <f t="shared" si="1008"/>
        <v>3</v>
      </c>
      <c r="H1567" s="17">
        <f t="shared" si="1009"/>
        <v>6</v>
      </c>
      <c r="I1567" s="81">
        <v>45414</v>
      </c>
      <c r="J1567" s="52"/>
      <c r="K1567" s="15"/>
      <c r="L1567" s="16"/>
      <c r="M1567" s="36">
        <f t="shared" ref="M1567:M1568" si="1010">SUM(K1567:L1567)</f>
        <v>0</v>
      </c>
      <c r="N1567" s="18"/>
      <c r="O1567" s="16"/>
      <c r="P1567" s="36">
        <f t="shared" ref="P1567:P1568" si="1011">SUM(N1567:O1567)</f>
        <v>0</v>
      </c>
      <c r="Q1567" s="17">
        <f t="shared" ref="Q1567:Q1568" si="1012">M1567+P1567</f>
        <v>0</v>
      </c>
      <c r="R1567" s="83"/>
    </row>
    <row r="1568" spans="1:18" x14ac:dyDescent="0.15">
      <c r="A1568" s="35" t="s">
        <v>651</v>
      </c>
      <c r="B1568" s="15">
        <v>2</v>
      </c>
      <c r="C1568" s="16">
        <v>1</v>
      </c>
      <c r="D1568" s="36">
        <f t="shared" si="1007"/>
        <v>3</v>
      </c>
      <c r="E1568" s="18">
        <v>2</v>
      </c>
      <c r="F1568" s="16"/>
      <c r="G1568" s="36">
        <f t="shared" si="1008"/>
        <v>2</v>
      </c>
      <c r="H1568" s="17">
        <f t="shared" si="1009"/>
        <v>5</v>
      </c>
      <c r="I1568" s="84">
        <v>45413</v>
      </c>
      <c r="J1568" s="52"/>
      <c r="K1568" s="15"/>
      <c r="L1568" s="16"/>
      <c r="M1568" s="36">
        <f t="shared" si="1010"/>
        <v>0</v>
      </c>
      <c r="N1568" s="18"/>
      <c r="O1568" s="16"/>
      <c r="P1568" s="36">
        <f t="shared" si="1011"/>
        <v>0</v>
      </c>
      <c r="Q1568" s="17">
        <f t="shared" si="1012"/>
        <v>0</v>
      </c>
    </row>
    <row r="1569" spans="1:17" x14ac:dyDescent="0.15">
      <c r="A1569" s="35" t="s">
        <v>669</v>
      </c>
      <c r="B1569" s="15">
        <v>1</v>
      </c>
      <c r="C1569" s="16"/>
      <c r="D1569" s="36">
        <f t="shared" si="1007"/>
        <v>1</v>
      </c>
      <c r="E1569" s="18">
        <v>1</v>
      </c>
      <c r="F1569" s="16"/>
      <c r="G1569" s="36">
        <f t="shared" si="1008"/>
        <v>1</v>
      </c>
      <c r="H1569" s="17">
        <f t="shared" si="1009"/>
        <v>2</v>
      </c>
      <c r="I1569" s="81">
        <v>45419</v>
      </c>
      <c r="J1569" s="52"/>
      <c r="K1569" s="15"/>
      <c r="L1569" s="16"/>
      <c r="M1569" s="36">
        <f t="shared" si="998"/>
        <v>0</v>
      </c>
      <c r="N1569" s="18"/>
      <c r="O1569" s="16"/>
      <c r="P1569" s="36">
        <f t="shared" si="999"/>
        <v>0</v>
      </c>
      <c r="Q1569" s="17">
        <f t="shared" si="1000"/>
        <v>0</v>
      </c>
    </row>
    <row r="1570" spans="1:17" x14ac:dyDescent="0.15">
      <c r="A1570" s="35" t="s">
        <v>651</v>
      </c>
      <c r="B1570" s="15"/>
      <c r="C1570" s="16">
        <v>1</v>
      </c>
      <c r="D1570" s="36">
        <f t="shared" si="1007"/>
        <v>1</v>
      </c>
      <c r="E1570" s="18"/>
      <c r="F1570" s="16"/>
      <c r="G1570" s="36">
        <f t="shared" si="1008"/>
        <v>0</v>
      </c>
      <c r="H1570" s="17">
        <f t="shared" si="1009"/>
        <v>1</v>
      </c>
      <c r="I1570" s="81">
        <v>45414</v>
      </c>
      <c r="J1570" s="52"/>
      <c r="K1570" s="15"/>
      <c r="L1570" s="16"/>
      <c r="M1570" s="36">
        <f t="shared" si="998"/>
        <v>0</v>
      </c>
      <c r="N1570" s="18"/>
      <c r="O1570" s="16"/>
      <c r="P1570" s="36">
        <f t="shared" si="999"/>
        <v>0</v>
      </c>
      <c r="Q1570" s="17">
        <f t="shared" si="1000"/>
        <v>0</v>
      </c>
    </row>
    <row r="1571" spans="1:17" x14ac:dyDescent="0.15">
      <c r="A1571" s="35" t="s">
        <v>651</v>
      </c>
      <c r="B1571" s="15">
        <v>1</v>
      </c>
      <c r="C1571" s="16">
        <v>3</v>
      </c>
      <c r="D1571" s="36">
        <f t="shared" si="1007"/>
        <v>4</v>
      </c>
      <c r="E1571" s="18">
        <v>5</v>
      </c>
      <c r="F1571" s="16"/>
      <c r="G1571" s="36">
        <f t="shared" si="1008"/>
        <v>5</v>
      </c>
      <c r="H1571" s="17">
        <f t="shared" si="1009"/>
        <v>9</v>
      </c>
      <c r="I1571" s="84">
        <v>45419</v>
      </c>
      <c r="J1571" s="52"/>
      <c r="K1571" s="15"/>
      <c r="L1571" s="16"/>
      <c r="M1571" s="36">
        <f t="shared" si="998"/>
        <v>0</v>
      </c>
      <c r="N1571" s="18"/>
      <c r="O1571" s="16"/>
      <c r="P1571" s="36">
        <f t="shared" si="999"/>
        <v>0</v>
      </c>
      <c r="Q1571" s="17">
        <f t="shared" si="1000"/>
        <v>0</v>
      </c>
    </row>
    <row r="1572" spans="1:17" x14ac:dyDescent="0.15">
      <c r="A1572" s="35" t="s">
        <v>651</v>
      </c>
      <c r="B1572" s="15">
        <v>1</v>
      </c>
      <c r="C1572" s="16">
        <v>2</v>
      </c>
      <c r="D1572" s="36">
        <f t="shared" si="1007"/>
        <v>3</v>
      </c>
      <c r="E1572" s="18"/>
      <c r="F1572" s="16"/>
      <c r="G1572" s="36">
        <f t="shared" si="1008"/>
        <v>0</v>
      </c>
      <c r="H1572" s="17">
        <f t="shared" si="1009"/>
        <v>3</v>
      </c>
      <c r="I1572" s="84">
        <v>45420</v>
      </c>
      <c r="J1572" s="52"/>
      <c r="K1572" s="15"/>
      <c r="L1572" s="16"/>
      <c r="M1572" s="36">
        <f t="shared" si="998"/>
        <v>0</v>
      </c>
      <c r="N1572" s="18"/>
      <c r="O1572" s="16"/>
      <c r="P1572" s="36">
        <f t="shared" si="999"/>
        <v>0</v>
      </c>
      <c r="Q1572" s="17">
        <f t="shared" si="1000"/>
        <v>0</v>
      </c>
    </row>
    <row r="1573" spans="1:17" x14ac:dyDescent="0.15">
      <c r="A1573" s="35" t="s">
        <v>651</v>
      </c>
      <c r="B1573" s="15">
        <v>2</v>
      </c>
      <c r="C1573" s="16"/>
      <c r="D1573" s="36">
        <f t="shared" si="1007"/>
        <v>2</v>
      </c>
      <c r="E1573" s="18">
        <v>2</v>
      </c>
      <c r="F1573" s="16"/>
      <c r="G1573" s="36">
        <f t="shared" si="1008"/>
        <v>2</v>
      </c>
      <c r="H1573" s="17">
        <f t="shared" si="1009"/>
        <v>4</v>
      </c>
      <c r="I1573" s="84">
        <v>45421</v>
      </c>
      <c r="J1573" s="52"/>
      <c r="K1573" s="15"/>
      <c r="L1573" s="16"/>
      <c r="M1573" s="36">
        <f t="shared" si="998"/>
        <v>0</v>
      </c>
      <c r="N1573" s="18"/>
      <c r="O1573" s="16"/>
      <c r="P1573" s="36">
        <f t="shared" si="999"/>
        <v>0</v>
      </c>
      <c r="Q1573" s="17">
        <f t="shared" si="1000"/>
        <v>0</v>
      </c>
    </row>
    <row r="1574" spans="1:17" x14ac:dyDescent="0.15">
      <c r="A1574" s="35" t="s">
        <v>671</v>
      </c>
      <c r="B1574" s="15">
        <v>1</v>
      </c>
      <c r="C1574" s="16">
        <v>1</v>
      </c>
      <c r="D1574" s="36">
        <f t="shared" si="1007"/>
        <v>2</v>
      </c>
      <c r="E1574" s="18">
        <v>1</v>
      </c>
      <c r="F1574" s="16">
        <v>1</v>
      </c>
      <c r="G1574" s="36">
        <f t="shared" si="1008"/>
        <v>2</v>
      </c>
      <c r="H1574" s="17">
        <f t="shared" si="1009"/>
        <v>4</v>
      </c>
      <c r="I1574" s="81">
        <v>45425</v>
      </c>
      <c r="J1574" s="52"/>
      <c r="K1574" s="15"/>
      <c r="L1574" s="16"/>
      <c r="M1574" s="36">
        <f t="shared" si="998"/>
        <v>0</v>
      </c>
      <c r="N1574" s="18"/>
      <c r="O1574" s="16"/>
      <c r="P1574" s="36">
        <f t="shared" si="999"/>
        <v>0</v>
      </c>
      <c r="Q1574" s="17">
        <f t="shared" si="1000"/>
        <v>0</v>
      </c>
    </row>
    <row r="1575" spans="1:17" x14ac:dyDescent="0.15">
      <c r="A1575" s="35" t="s">
        <v>651</v>
      </c>
      <c r="B1575" s="15"/>
      <c r="C1575" s="16">
        <v>1</v>
      </c>
      <c r="D1575" s="36">
        <f t="shared" si="1007"/>
        <v>1</v>
      </c>
      <c r="E1575" s="18"/>
      <c r="F1575" s="16"/>
      <c r="G1575" s="36">
        <f t="shared" si="1008"/>
        <v>0</v>
      </c>
      <c r="H1575" s="17">
        <f t="shared" si="1009"/>
        <v>1</v>
      </c>
      <c r="I1575" s="84">
        <v>45422</v>
      </c>
      <c r="J1575" s="52"/>
      <c r="K1575" s="15"/>
      <c r="L1575" s="16"/>
      <c r="M1575" s="36">
        <f t="shared" si="998"/>
        <v>0</v>
      </c>
      <c r="N1575" s="18"/>
      <c r="O1575" s="16"/>
      <c r="P1575" s="36">
        <f t="shared" si="999"/>
        <v>0</v>
      </c>
      <c r="Q1575" s="17">
        <f t="shared" si="1000"/>
        <v>0</v>
      </c>
    </row>
    <row r="1576" spans="1:17" x14ac:dyDescent="0.15">
      <c r="A1576" s="35" t="s">
        <v>651</v>
      </c>
      <c r="B1576" s="15"/>
      <c r="C1576" s="16"/>
      <c r="D1576" s="36">
        <f t="shared" si="1007"/>
        <v>0</v>
      </c>
      <c r="E1576" s="18">
        <v>1</v>
      </c>
      <c r="F1576" s="16"/>
      <c r="G1576" s="36">
        <f t="shared" si="1008"/>
        <v>1</v>
      </c>
      <c r="H1576" s="17">
        <f t="shared" si="1009"/>
        <v>1</v>
      </c>
      <c r="I1576" s="84">
        <v>45423</v>
      </c>
      <c r="J1576" s="52"/>
      <c r="K1576" s="15"/>
      <c r="L1576" s="16"/>
      <c r="M1576" s="36">
        <f t="shared" si="998"/>
        <v>0</v>
      </c>
      <c r="N1576" s="18"/>
      <c r="O1576" s="16"/>
      <c r="P1576" s="36">
        <f t="shared" si="999"/>
        <v>0</v>
      </c>
      <c r="Q1576" s="17">
        <f t="shared" si="1000"/>
        <v>0</v>
      </c>
    </row>
    <row r="1577" spans="1:17" x14ac:dyDescent="0.15">
      <c r="A1577" s="35" t="s">
        <v>672</v>
      </c>
      <c r="B1577" s="15"/>
      <c r="C1577" s="16">
        <v>1</v>
      </c>
      <c r="D1577" s="36">
        <f t="shared" si="1007"/>
        <v>1</v>
      </c>
      <c r="E1577" s="18"/>
      <c r="F1577" s="16">
        <v>1</v>
      </c>
      <c r="G1577" s="36">
        <f t="shared" si="1008"/>
        <v>1</v>
      </c>
      <c r="H1577" s="17">
        <f t="shared" si="1009"/>
        <v>2</v>
      </c>
      <c r="I1577" s="81">
        <v>45427</v>
      </c>
      <c r="J1577" s="52"/>
      <c r="K1577" s="15"/>
      <c r="L1577" s="16"/>
      <c r="M1577" s="36">
        <f t="shared" si="998"/>
        <v>0</v>
      </c>
      <c r="N1577" s="18"/>
      <c r="O1577" s="16"/>
      <c r="P1577" s="36">
        <f t="shared" si="999"/>
        <v>0</v>
      </c>
      <c r="Q1577" s="17">
        <f t="shared" si="1000"/>
        <v>0</v>
      </c>
    </row>
    <row r="1578" spans="1:17" x14ac:dyDescent="0.15">
      <c r="A1578" s="35" t="s">
        <v>651</v>
      </c>
      <c r="B1578" s="15"/>
      <c r="C1578" s="16">
        <v>3</v>
      </c>
      <c r="D1578" s="36">
        <f t="shared" si="1007"/>
        <v>3</v>
      </c>
      <c r="E1578" s="18">
        <v>2</v>
      </c>
      <c r="F1578" s="16"/>
      <c r="G1578" s="36">
        <f t="shared" si="1008"/>
        <v>2</v>
      </c>
      <c r="H1578" s="17">
        <f t="shared" si="1009"/>
        <v>5</v>
      </c>
      <c r="I1578" s="84">
        <v>45425</v>
      </c>
      <c r="J1578" s="52"/>
      <c r="K1578" s="15"/>
      <c r="L1578" s="16"/>
      <c r="M1578" s="36">
        <f t="shared" si="998"/>
        <v>0</v>
      </c>
      <c r="N1578" s="18"/>
      <c r="O1578" s="16"/>
      <c r="P1578" s="36">
        <f t="shared" si="999"/>
        <v>0</v>
      </c>
      <c r="Q1578" s="17">
        <f t="shared" si="1000"/>
        <v>0</v>
      </c>
    </row>
    <row r="1579" spans="1:17" x14ac:dyDescent="0.15">
      <c r="A1579" s="35" t="s">
        <v>651</v>
      </c>
      <c r="B1579" s="15"/>
      <c r="C1579" s="16">
        <v>2</v>
      </c>
      <c r="D1579" s="36">
        <f t="shared" si="1007"/>
        <v>2</v>
      </c>
      <c r="E1579" s="18"/>
      <c r="F1579" s="16"/>
      <c r="G1579" s="36">
        <f t="shared" si="1008"/>
        <v>0</v>
      </c>
      <c r="H1579" s="17">
        <f t="shared" si="1009"/>
        <v>2</v>
      </c>
      <c r="I1579" s="84">
        <v>45426</v>
      </c>
      <c r="J1579" s="52"/>
      <c r="K1579" s="15"/>
      <c r="L1579" s="16"/>
      <c r="M1579" s="36">
        <f t="shared" si="998"/>
        <v>0</v>
      </c>
      <c r="N1579" s="18"/>
      <c r="O1579" s="16"/>
      <c r="P1579" s="36">
        <f t="shared" si="999"/>
        <v>0</v>
      </c>
      <c r="Q1579" s="17">
        <f t="shared" si="1000"/>
        <v>0</v>
      </c>
    </row>
    <row r="1580" spans="1:17" x14ac:dyDescent="0.15">
      <c r="A1580" s="35" t="s">
        <v>651</v>
      </c>
      <c r="B1580" s="15">
        <v>2</v>
      </c>
      <c r="C1580" s="16">
        <v>2</v>
      </c>
      <c r="D1580" s="36">
        <f t="shared" si="1007"/>
        <v>4</v>
      </c>
      <c r="E1580" s="18"/>
      <c r="F1580" s="16"/>
      <c r="G1580" s="36">
        <f t="shared" si="1008"/>
        <v>0</v>
      </c>
      <c r="H1580" s="17">
        <f t="shared" si="1009"/>
        <v>4</v>
      </c>
      <c r="I1580" s="84">
        <v>45428</v>
      </c>
      <c r="J1580" s="52"/>
      <c r="K1580" s="15"/>
      <c r="L1580" s="16"/>
      <c r="M1580" s="36">
        <f t="shared" si="998"/>
        <v>0</v>
      </c>
      <c r="N1580" s="18"/>
      <c r="O1580" s="16"/>
      <c r="P1580" s="36">
        <f t="shared" si="999"/>
        <v>0</v>
      </c>
      <c r="Q1580" s="17">
        <f t="shared" si="1000"/>
        <v>0</v>
      </c>
    </row>
    <row r="1581" spans="1:17" x14ac:dyDescent="0.15">
      <c r="A1581" s="35" t="s">
        <v>651</v>
      </c>
      <c r="B1581" s="15">
        <v>3</v>
      </c>
      <c r="C1581" s="16">
        <v>1</v>
      </c>
      <c r="D1581" s="36">
        <f t="shared" si="1007"/>
        <v>4</v>
      </c>
      <c r="E1581" s="18">
        <v>8</v>
      </c>
      <c r="F1581" s="16"/>
      <c r="G1581" s="36">
        <f t="shared" si="1008"/>
        <v>8</v>
      </c>
      <c r="H1581" s="17">
        <f t="shared" si="1009"/>
        <v>12</v>
      </c>
      <c r="I1581" s="84">
        <v>45432</v>
      </c>
      <c r="J1581" s="52"/>
      <c r="K1581" s="15"/>
      <c r="L1581" s="16"/>
      <c r="M1581" s="36">
        <f t="shared" si="998"/>
        <v>0</v>
      </c>
      <c r="N1581" s="18"/>
      <c r="O1581" s="16"/>
      <c r="P1581" s="36">
        <f t="shared" si="999"/>
        <v>0</v>
      </c>
      <c r="Q1581" s="17">
        <f t="shared" si="1000"/>
        <v>0</v>
      </c>
    </row>
    <row r="1582" spans="1:17" x14ac:dyDescent="0.15">
      <c r="A1582" s="35" t="s">
        <v>651</v>
      </c>
      <c r="B1582" s="15"/>
      <c r="C1582" s="16">
        <v>1</v>
      </c>
      <c r="D1582" s="36">
        <f t="shared" si="1007"/>
        <v>1</v>
      </c>
      <c r="E1582" s="18">
        <v>2</v>
      </c>
      <c r="F1582" s="16"/>
      <c r="G1582" s="36">
        <f t="shared" si="1008"/>
        <v>2</v>
      </c>
      <c r="H1582" s="17">
        <f t="shared" si="1009"/>
        <v>3</v>
      </c>
      <c r="I1582" s="84">
        <v>45433</v>
      </c>
      <c r="J1582" s="52"/>
      <c r="K1582" s="15"/>
      <c r="L1582" s="16"/>
      <c r="M1582" s="36">
        <f t="shared" si="998"/>
        <v>0</v>
      </c>
      <c r="N1582" s="18"/>
      <c r="O1582" s="16"/>
      <c r="P1582" s="36">
        <f t="shared" si="999"/>
        <v>0</v>
      </c>
      <c r="Q1582" s="17">
        <f t="shared" si="1000"/>
        <v>0</v>
      </c>
    </row>
    <row r="1583" spans="1:17" x14ac:dyDescent="0.15">
      <c r="A1583" s="35" t="s">
        <v>651</v>
      </c>
      <c r="B1583" s="15"/>
      <c r="C1583" s="16">
        <v>2</v>
      </c>
      <c r="D1583" s="36">
        <f t="shared" si="1007"/>
        <v>2</v>
      </c>
      <c r="E1583" s="18"/>
      <c r="F1583" s="16"/>
      <c r="G1583" s="36">
        <f t="shared" si="1008"/>
        <v>0</v>
      </c>
      <c r="H1583" s="17">
        <f t="shared" si="1009"/>
        <v>2</v>
      </c>
      <c r="I1583" s="84">
        <v>45434</v>
      </c>
      <c r="J1583" s="52"/>
      <c r="K1583" s="15"/>
      <c r="L1583" s="16"/>
      <c r="M1583" s="36">
        <f t="shared" si="998"/>
        <v>0</v>
      </c>
      <c r="N1583" s="18"/>
      <c r="O1583" s="16"/>
      <c r="P1583" s="36">
        <f t="shared" si="999"/>
        <v>0</v>
      </c>
      <c r="Q1583" s="17">
        <f t="shared" si="1000"/>
        <v>0</v>
      </c>
    </row>
    <row r="1584" spans="1:17" x14ac:dyDescent="0.15">
      <c r="A1584" s="35" t="s">
        <v>651</v>
      </c>
      <c r="B1584" s="15"/>
      <c r="C1584" s="16"/>
      <c r="D1584" s="36">
        <f t="shared" si="1007"/>
        <v>0</v>
      </c>
      <c r="E1584" s="18">
        <f>1+2</f>
        <v>3</v>
      </c>
      <c r="F1584" s="16"/>
      <c r="G1584" s="36">
        <f t="shared" si="1008"/>
        <v>3</v>
      </c>
      <c r="H1584" s="17">
        <f t="shared" si="1009"/>
        <v>3</v>
      </c>
      <c r="I1584" s="84">
        <v>45436</v>
      </c>
      <c r="J1584" s="52"/>
      <c r="K1584" s="15"/>
      <c r="L1584" s="16"/>
      <c r="M1584" s="36">
        <f t="shared" si="998"/>
        <v>0</v>
      </c>
      <c r="N1584" s="18"/>
      <c r="O1584" s="16"/>
      <c r="P1584" s="36">
        <f t="shared" si="999"/>
        <v>0</v>
      </c>
      <c r="Q1584" s="17">
        <f t="shared" si="1000"/>
        <v>0</v>
      </c>
    </row>
    <row r="1585" spans="1:17" x14ac:dyDescent="0.15">
      <c r="A1585" s="35" t="s">
        <v>651</v>
      </c>
      <c r="B1585" s="15">
        <v>1</v>
      </c>
      <c r="C1585" s="16">
        <f>1+1</f>
        <v>2</v>
      </c>
      <c r="D1585" s="36">
        <f t="shared" si="995"/>
        <v>3</v>
      </c>
      <c r="E1585" s="18">
        <v>5</v>
      </c>
      <c r="F1585" s="16"/>
      <c r="G1585" s="36">
        <f t="shared" si="996"/>
        <v>5</v>
      </c>
      <c r="H1585" s="17">
        <f t="shared" si="997"/>
        <v>8</v>
      </c>
      <c r="I1585" s="84">
        <v>45439</v>
      </c>
      <c r="J1585" s="52"/>
      <c r="K1585" s="15"/>
      <c r="L1585" s="16"/>
      <c r="M1585" s="36">
        <f t="shared" si="998"/>
        <v>0</v>
      </c>
      <c r="N1585" s="18"/>
      <c r="O1585" s="16"/>
      <c r="P1585" s="36">
        <f t="shared" si="999"/>
        <v>0</v>
      </c>
      <c r="Q1585" s="17">
        <f t="shared" si="1000"/>
        <v>0</v>
      </c>
    </row>
    <row r="1586" spans="1:17" x14ac:dyDescent="0.15">
      <c r="A1586" s="35" t="s">
        <v>651</v>
      </c>
      <c r="B1586" s="15">
        <v>2</v>
      </c>
      <c r="C1586" s="16"/>
      <c r="D1586" s="36">
        <f t="shared" si="995"/>
        <v>2</v>
      </c>
      <c r="E1586" s="18">
        <v>1</v>
      </c>
      <c r="F1586" s="16"/>
      <c r="G1586" s="36">
        <f t="shared" si="996"/>
        <v>1</v>
      </c>
      <c r="H1586" s="17">
        <f t="shared" si="997"/>
        <v>3</v>
      </c>
      <c r="I1586" s="84">
        <v>45440</v>
      </c>
      <c r="J1586" s="52"/>
      <c r="K1586" s="15"/>
      <c r="L1586" s="16"/>
      <c r="M1586" s="36">
        <f t="shared" ref="M1586:M1587" si="1013">SUM(K1586:L1586)</f>
        <v>0</v>
      </c>
      <c r="N1586" s="18"/>
      <c r="O1586" s="16"/>
      <c r="P1586" s="36">
        <f t="shared" ref="P1586:P1587" si="1014">SUM(N1586:O1586)</f>
        <v>0</v>
      </c>
      <c r="Q1586" s="17">
        <f t="shared" ref="Q1586:Q1587" si="1015">M1586+P1586</f>
        <v>0</v>
      </c>
    </row>
    <row r="1587" spans="1:17" ht="14.25" thickBot="1" x14ac:dyDescent="0.2">
      <c r="A1587" s="35" t="s">
        <v>651</v>
      </c>
      <c r="B1587" s="15">
        <v>1</v>
      </c>
      <c r="C1587" s="16"/>
      <c r="D1587" s="36">
        <f t="shared" si="995"/>
        <v>1</v>
      </c>
      <c r="E1587" s="18">
        <v>1</v>
      </c>
      <c r="F1587" s="16"/>
      <c r="G1587" s="36">
        <f t="shared" si="996"/>
        <v>1</v>
      </c>
      <c r="H1587" s="17">
        <f t="shared" si="997"/>
        <v>2</v>
      </c>
      <c r="I1587" s="84">
        <v>45441</v>
      </c>
      <c r="J1587" s="52"/>
      <c r="K1587" s="15"/>
      <c r="L1587" s="16"/>
      <c r="M1587" s="36">
        <f t="shared" si="1013"/>
        <v>0</v>
      </c>
      <c r="N1587" s="18"/>
      <c r="O1587" s="16"/>
      <c r="P1587" s="36">
        <f t="shared" si="1014"/>
        <v>0</v>
      </c>
      <c r="Q1587" s="17">
        <f t="shared" si="1015"/>
        <v>0</v>
      </c>
    </row>
    <row r="1588" spans="1:17" ht="14.25" thickBot="1" x14ac:dyDescent="0.2">
      <c r="A1588" s="40" t="s">
        <v>14</v>
      </c>
      <c r="B1588" s="41">
        <f>SUM(B1562:B1587)</f>
        <v>27</v>
      </c>
      <c r="C1588" s="42">
        <f t="shared" ref="C1588" si="1016">SUM(C1562:C1587)</f>
        <v>30</v>
      </c>
      <c r="D1588" s="43">
        <f t="shared" si="995"/>
        <v>57</v>
      </c>
      <c r="E1588" s="41">
        <f>SUM(E1562:E1587)</f>
        <v>40</v>
      </c>
      <c r="F1588" s="42">
        <f t="shared" ref="F1588" si="1017">SUM(F1562:F1587)</f>
        <v>2</v>
      </c>
      <c r="G1588" s="43">
        <f t="shared" si="996"/>
        <v>42</v>
      </c>
      <c r="H1588" s="43">
        <f t="shared" si="997"/>
        <v>99</v>
      </c>
      <c r="J1588" s="40" t="s">
        <v>14</v>
      </c>
      <c r="K1588" s="41">
        <f>SUM(K1562:K1587)</f>
        <v>25</v>
      </c>
      <c r="L1588" s="42">
        <f t="shared" ref="L1588" si="1018">SUM(L1562:L1587)</f>
        <v>30</v>
      </c>
      <c r="M1588" s="43">
        <f t="shared" si="998"/>
        <v>55</v>
      </c>
      <c r="N1588" s="41">
        <f>SUM(N1562:N1587)</f>
        <v>50</v>
      </c>
      <c r="O1588" s="42">
        <f t="shared" ref="O1588" si="1019">SUM(O1562:O1587)</f>
        <v>0</v>
      </c>
      <c r="P1588" s="43">
        <f t="shared" si="999"/>
        <v>50</v>
      </c>
      <c r="Q1588" s="43">
        <f t="shared" si="1000"/>
        <v>105</v>
      </c>
    </row>
    <row r="1589" spans="1:17" ht="14.25" thickBot="1" x14ac:dyDescent="0.2">
      <c r="A1589" s="44" t="s">
        <v>15</v>
      </c>
      <c r="B1589" s="45">
        <f>B1561-B1588</f>
        <v>16</v>
      </c>
      <c r="C1589" s="46">
        <f t="shared" ref="C1589" si="1020">C1561-C1588</f>
        <v>14</v>
      </c>
      <c r="D1589" s="47">
        <f t="shared" si="995"/>
        <v>30</v>
      </c>
      <c r="E1589" s="45">
        <f>E1561-E1588</f>
        <v>6</v>
      </c>
      <c r="F1589" s="46">
        <f t="shared" ref="F1589" si="1021">F1561-F1588</f>
        <v>10</v>
      </c>
      <c r="G1589" s="47">
        <f t="shared" si="996"/>
        <v>16</v>
      </c>
      <c r="H1589" s="34">
        <f t="shared" si="997"/>
        <v>46</v>
      </c>
      <c r="J1589" s="44" t="s">
        <v>15</v>
      </c>
      <c r="K1589" s="45">
        <f>K1561-K1588</f>
        <v>920</v>
      </c>
      <c r="L1589" s="46">
        <f t="shared" ref="L1589" si="1022">L1561-L1588</f>
        <v>393</v>
      </c>
      <c r="M1589" s="47">
        <f t="shared" si="998"/>
        <v>1313</v>
      </c>
      <c r="N1589" s="45">
        <f>N1561-N1588</f>
        <v>894</v>
      </c>
      <c r="O1589" s="46">
        <f t="shared" ref="O1589" si="1023">O1561-O1588</f>
        <v>0</v>
      </c>
      <c r="P1589" s="47">
        <f t="shared" si="999"/>
        <v>894</v>
      </c>
      <c r="Q1589" s="34">
        <f t="shared" si="1000"/>
        <v>2207</v>
      </c>
    </row>
    <row r="1590" spans="1:17" x14ac:dyDescent="0.15">
      <c r="F1590" t="s">
        <v>670</v>
      </c>
    </row>
    <row r="1592" spans="1:17" ht="19.5" thickBot="1" x14ac:dyDescent="0.25">
      <c r="A1592" s="1" t="s">
        <v>23</v>
      </c>
      <c r="J1592" s="1" t="s">
        <v>24</v>
      </c>
      <c r="K1592" s="2"/>
      <c r="L1592" s="2"/>
      <c r="M1592" s="2"/>
      <c r="N1592" s="2"/>
      <c r="O1592" s="1" t="s">
        <v>34</v>
      </c>
      <c r="P1592" s="2"/>
      <c r="Q1592" s="2"/>
    </row>
    <row r="1593" spans="1:17" ht="14.25" thickBot="1" x14ac:dyDescent="0.2">
      <c r="A1593" s="3" t="s">
        <v>0</v>
      </c>
      <c r="B1593" s="120" t="s">
        <v>18</v>
      </c>
      <c r="C1593" s="121"/>
      <c r="D1593" s="122"/>
      <c r="E1593" s="120" t="s">
        <v>19</v>
      </c>
      <c r="F1593" s="121"/>
      <c r="G1593" s="122"/>
      <c r="H1593" s="123" t="s">
        <v>1</v>
      </c>
      <c r="J1593" s="3" t="s">
        <v>0</v>
      </c>
      <c r="K1593" s="120" t="s">
        <v>18</v>
      </c>
      <c r="L1593" s="121"/>
      <c r="M1593" s="122"/>
      <c r="N1593" s="120" t="s">
        <v>19</v>
      </c>
      <c r="O1593" s="121"/>
      <c r="P1593" s="122"/>
      <c r="Q1593" s="123" t="s">
        <v>1</v>
      </c>
    </row>
    <row r="1594" spans="1:17" ht="14.25" thickBot="1" x14ac:dyDescent="0.2">
      <c r="A1594" s="3" t="s">
        <v>2</v>
      </c>
      <c r="B1594" s="4" t="s">
        <v>16</v>
      </c>
      <c r="C1594" s="5" t="s">
        <v>17</v>
      </c>
      <c r="D1594" s="3" t="s">
        <v>3</v>
      </c>
      <c r="E1594" s="4" t="s">
        <v>16</v>
      </c>
      <c r="F1594" s="5" t="s">
        <v>17</v>
      </c>
      <c r="G1594" s="3" t="s">
        <v>3</v>
      </c>
      <c r="H1594" s="124"/>
      <c r="J1594" s="3" t="s">
        <v>2</v>
      </c>
      <c r="K1594" s="4" t="s">
        <v>16</v>
      </c>
      <c r="L1594" s="5" t="s">
        <v>17</v>
      </c>
      <c r="M1594" s="3" t="s">
        <v>3</v>
      </c>
      <c r="N1594" s="4" t="s">
        <v>16</v>
      </c>
      <c r="O1594" s="5" t="s">
        <v>17</v>
      </c>
      <c r="P1594" s="3" t="s">
        <v>3</v>
      </c>
      <c r="Q1594" s="124"/>
    </row>
    <row r="1595" spans="1:17" ht="14.25" thickBot="1" x14ac:dyDescent="0.2">
      <c r="A1595" s="6" t="s">
        <v>55</v>
      </c>
      <c r="B1595" s="32">
        <f>B1589</f>
        <v>16</v>
      </c>
      <c r="C1595" s="33">
        <f>C1589</f>
        <v>14</v>
      </c>
      <c r="D1595" s="34">
        <f t="shared" ref="D1595:D1632" si="1024">SUM(B1595:C1595)</f>
        <v>30</v>
      </c>
      <c r="E1595" s="32">
        <f>E1589</f>
        <v>6</v>
      </c>
      <c r="F1595" s="33">
        <f>F1589</f>
        <v>10</v>
      </c>
      <c r="G1595" s="34">
        <f t="shared" ref="G1595:G1632" si="1025">SUM(E1595:F1595)</f>
        <v>16</v>
      </c>
      <c r="H1595" s="34">
        <f t="shared" ref="H1595:H1632" si="1026">D1595+G1595</f>
        <v>46</v>
      </c>
      <c r="J1595" s="6" t="s">
        <v>55</v>
      </c>
      <c r="K1595" s="32">
        <f>K1589</f>
        <v>920</v>
      </c>
      <c r="L1595" s="33">
        <f>L1589</f>
        <v>393</v>
      </c>
      <c r="M1595" s="34">
        <f t="shared" ref="M1595:M1632" si="1027">SUM(K1595:L1595)</f>
        <v>1313</v>
      </c>
      <c r="N1595" s="32">
        <f>N1589</f>
        <v>894</v>
      </c>
      <c r="O1595" s="33">
        <f>O1589</f>
        <v>0</v>
      </c>
      <c r="P1595" s="34">
        <f t="shared" ref="P1595:P1632" si="1028">SUM(N1595:O1595)</f>
        <v>894</v>
      </c>
      <c r="Q1595" s="34">
        <f t="shared" ref="Q1595:Q1632" si="1029">M1595+P1595</f>
        <v>2207</v>
      </c>
    </row>
    <row r="1596" spans="1:17" x14ac:dyDescent="0.15">
      <c r="A1596" s="10" t="s">
        <v>5</v>
      </c>
      <c r="B1596" s="23"/>
      <c r="C1596" s="24"/>
      <c r="D1596" s="17">
        <f t="shared" ref="D1596:D1600" si="1030">SUM(B1596:C1596)</f>
        <v>0</v>
      </c>
      <c r="E1596" s="25">
        <v>20</v>
      </c>
      <c r="F1596" s="24"/>
      <c r="G1596" s="17">
        <f t="shared" ref="G1596:G1600" si="1031">SUM(E1596:F1596)</f>
        <v>20</v>
      </c>
      <c r="H1596" s="17">
        <f t="shared" ref="H1596:H1600" si="1032">D1596+G1596</f>
        <v>20</v>
      </c>
      <c r="I1596" s="81">
        <v>45444</v>
      </c>
      <c r="J1596" s="10" t="s">
        <v>5</v>
      </c>
      <c r="K1596" s="15"/>
      <c r="L1596" s="16"/>
      <c r="M1596" s="17">
        <f t="shared" si="1027"/>
        <v>0</v>
      </c>
      <c r="N1596" s="18"/>
      <c r="O1596" s="16"/>
      <c r="P1596" s="17">
        <f t="shared" si="1028"/>
        <v>0</v>
      </c>
      <c r="Q1596" s="17">
        <f t="shared" si="1029"/>
        <v>0</v>
      </c>
    </row>
    <row r="1597" spans="1:17" x14ac:dyDescent="0.15">
      <c r="A1597" s="10" t="s">
        <v>61</v>
      </c>
      <c r="B1597" s="23">
        <v>1</v>
      </c>
      <c r="C1597" s="24"/>
      <c r="D1597" s="17">
        <f t="shared" si="1030"/>
        <v>1</v>
      </c>
      <c r="E1597" s="25">
        <v>1</v>
      </c>
      <c r="F1597" s="24"/>
      <c r="G1597" s="17">
        <f t="shared" si="1031"/>
        <v>1</v>
      </c>
      <c r="H1597" s="17">
        <f t="shared" si="1032"/>
        <v>2</v>
      </c>
      <c r="I1597" s="81">
        <v>45449</v>
      </c>
      <c r="J1597" s="10" t="s">
        <v>6</v>
      </c>
      <c r="K1597" s="15"/>
      <c r="L1597" s="16"/>
      <c r="M1597" s="17">
        <f t="shared" si="1027"/>
        <v>0</v>
      </c>
      <c r="N1597" s="18"/>
      <c r="O1597" s="16"/>
      <c r="P1597" s="17">
        <f t="shared" si="1028"/>
        <v>0</v>
      </c>
      <c r="Q1597" s="17">
        <f t="shared" si="1029"/>
        <v>0</v>
      </c>
    </row>
    <row r="1598" spans="1:17" x14ac:dyDescent="0.15">
      <c r="A1598" s="10" t="s">
        <v>7</v>
      </c>
      <c r="B1598" s="23">
        <v>5</v>
      </c>
      <c r="C1598" s="24">
        <v>5</v>
      </c>
      <c r="D1598" s="17">
        <f t="shared" si="1030"/>
        <v>10</v>
      </c>
      <c r="E1598" s="25">
        <v>10</v>
      </c>
      <c r="F1598" s="24"/>
      <c r="G1598" s="17">
        <f t="shared" si="1031"/>
        <v>10</v>
      </c>
      <c r="H1598" s="17">
        <f t="shared" si="1032"/>
        <v>20</v>
      </c>
      <c r="I1598" s="81">
        <v>45453</v>
      </c>
      <c r="J1598" s="10" t="s">
        <v>7</v>
      </c>
      <c r="K1598" s="15"/>
      <c r="L1598" s="16"/>
      <c r="M1598" s="17">
        <f t="shared" si="1027"/>
        <v>0</v>
      </c>
      <c r="N1598" s="18"/>
      <c r="O1598" s="16"/>
      <c r="P1598" s="17">
        <f t="shared" si="1028"/>
        <v>0</v>
      </c>
      <c r="Q1598" s="17">
        <f t="shared" si="1029"/>
        <v>0</v>
      </c>
    </row>
    <row r="1599" spans="1:17" x14ac:dyDescent="0.15">
      <c r="A1599" s="10" t="s">
        <v>8</v>
      </c>
      <c r="B1599" s="23">
        <v>5</v>
      </c>
      <c r="C1599" s="24">
        <v>10</v>
      </c>
      <c r="D1599" s="17">
        <f t="shared" si="1030"/>
        <v>15</v>
      </c>
      <c r="E1599" s="25">
        <v>5</v>
      </c>
      <c r="F1599" s="24"/>
      <c r="G1599" s="17">
        <f t="shared" si="1031"/>
        <v>5</v>
      </c>
      <c r="H1599" s="17">
        <f t="shared" si="1032"/>
        <v>20</v>
      </c>
      <c r="I1599" s="81">
        <v>45463</v>
      </c>
      <c r="J1599" s="10" t="s">
        <v>8</v>
      </c>
      <c r="K1599" s="15"/>
      <c r="L1599" s="16"/>
      <c r="M1599" s="17">
        <f t="shared" si="1027"/>
        <v>0</v>
      </c>
      <c r="N1599" s="18"/>
      <c r="O1599" s="16"/>
      <c r="P1599" s="17">
        <f t="shared" si="1028"/>
        <v>0</v>
      </c>
      <c r="Q1599" s="17">
        <f t="shared" si="1029"/>
        <v>0</v>
      </c>
    </row>
    <row r="1600" spans="1:17" x14ac:dyDescent="0.15">
      <c r="A1600" s="10" t="s">
        <v>61</v>
      </c>
      <c r="B1600" s="23"/>
      <c r="C1600" s="24">
        <v>1</v>
      </c>
      <c r="D1600" s="17">
        <f t="shared" si="1030"/>
        <v>1</v>
      </c>
      <c r="E1600" s="25"/>
      <c r="F1600" s="24">
        <v>1</v>
      </c>
      <c r="G1600" s="17">
        <f t="shared" si="1031"/>
        <v>1</v>
      </c>
      <c r="H1600" s="17">
        <f t="shared" si="1032"/>
        <v>2</v>
      </c>
      <c r="I1600" s="81">
        <v>45469</v>
      </c>
      <c r="J1600" s="10" t="s">
        <v>9</v>
      </c>
      <c r="K1600" s="15"/>
      <c r="L1600" s="16"/>
      <c r="M1600" s="17">
        <f t="shared" si="1027"/>
        <v>0</v>
      </c>
      <c r="N1600" s="18"/>
      <c r="O1600" s="16"/>
      <c r="P1600" s="17">
        <f t="shared" si="1028"/>
        <v>0</v>
      </c>
      <c r="Q1600" s="17">
        <f t="shared" si="1029"/>
        <v>0</v>
      </c>
    </row>
    <row r="1601" spans="1:19" x14ac:dyDescent="0.15">
      <c r="A1601" s="10" t="s">
        <v>10</v>
      </c>
      <c r="B1601" s="23">
        <v>5</v>
      </c>
      <c r="C1601" s="24">
        <v>5</v>
      </c>
      <c r="D1601" s="17">
        <f t="shared" si="1024"/>
        <v>10</v>
      </c>
      <c r="E1601" s="25">
        <v>10</v>
      </c>
      <c r="F1601" s="24"/>
      <c r="G1601" s="17">
        <f t="shared" si="1025"/>
        <v>10</v>
      </c>
      <c r="H1601" s="17">
        <f t="shared" si="1026"/>
        <v>20</v>
      </c>
      <c r="I1601" s="81">
        <v>45475</v>
      </c>
      <c r="J1601" s="10" t="s">
        <v>10</v>
      </c>
      <c r="K1601" s="15"/>
      <c r="L1601" s="16"/>
      <c r="M1601" s="17">
        <f t="shared" si="1027"/>
        <v>0</v>
      </c>
      <c r="N1601" s="18"/>
      <c r="O1601" s="16"/>
      <c r="P1601" s="17">
        <f t="shared" si="1028"/>
        <v>0</v>
      </c>
      <c r="Q1601" s="17">
        <f t="shared" si="1029"/>
        <v>0</v>
      </c>
    </row>
    <row r="1602" spans="1:19" x14ac:dyDescent="0.15">
      <c r="A1602" s="10" t="s">
        <v>11</v>
      </c>
      <c r="B1602" s="23"/>
      <c r="C1602" s="24"/>
      <c r="D1602" s="17">
        <f t="shared" si="1024"/>
        <v>0</v>
      </c>
      <c r="E1602" s="25"/>
      <c r="F1602" s="24"/>
      <c r="G1602" s="17">
        <f t="shared" si="1025"/>
        <v>0</v>
      </c>
      <c r="H1602" s="17">
        <f t="shared" si="1026"/>
        <v>0</v>
      </c>
      <c r="I1602" s="81"/>
      <c r="J1602" s="10" t="s">
        <v>11</v>
      </c>
      <c r="K1602" s="15"/>
      <c r="L1602" s="16"/>
      <c r="M1602" s="17">
        <f t="shared" si="1027"/>
        <v>0</v>
      </c>
      <c r="N1602" s="18"/>
      <c r="O1602" s="16"/>
      <c r="P1602" s="17">
        <f t="shared" si="1028"/>
        <v>0</v>
      </c>
      <c r="Q1602" s="17">
        <f t="shared" si="1029"/>
        <v>0</v>
      </c>
    </row>
    <row r="1603" spans="1:19" ht="14.25" thickBot="1" x14ac:dyDescent="0.2">
      <c r="A1603" s="10" t="s">
        <v>12</v>
      </c>
      <c r="B1603" s="23"/>
      <c r="C1603" s="24"/>
      <c r="D1603" s="17">
        <f t="shared" si="1024"/>
        <v>0</v>
      </c>
      <c r="E1603" s="25"/>
      <c r="F1603" s="24"/>
      <c r="G1603" s="17">
        <f t="shared" si="1025"/>
        <v>0</v>
      </c>
      <c r="H1603" s="17">
        <f t="shared" si="1026"/>
        <v>0</v>
      </c>
      <c r="I1603" s="81"/>
      <c r="J1603" s="10" t="s">
        <v>12</v>
      </c>
      <c r="K1603" s="15"/>
      <c r="L1603" s="16"/>
      <c r="M1603" s="17">
        <f t="shared" si="1027"/>
        <v>0</v>
      </c>
      <c r="N1603" s="18"/>
      <c r="O1603" s="16"/>
      <c r="P1603" s="17">
        <f t="shared" si="1028"/>
        <v>0</v>
      </c>
      <c r="Q1603" s="17">
        <f t="shared" si="1029"/>
        <v>0</v>
      </c>
    </row>
    <row r="1604" spans="1:19" ht="14.25" thickBot="1" x14ac:dyDescent="0.2">
      <c r="A1604" s="31" t="s">
        <v>13</v>
      </c>
      <c r="B1604" s="32">
        <f>SUM(B1595:B1603)</f>
        <v>32</v>
      </c>
      <c r="C1604" s="33">
        <f>SUM(C1595:C1603)</f>
        <v>35</v>
      </c>
      <c r="D1604" s="34">
        <f t="shared" si="1024"/>
        <v>67</v>
      </c>
      <c r="E1604" s="32">
        <f>SUM(E1595:E1603)</f>
        <v>52</v>
      </c>
      <c r="F1604" s="33">
        <f>SUM(F1595:F1603)</f>
        <v>11</v>
      </c>
      <c r="G1604" s="34">
        <f t="shared" si="1025"/>
        <v>63</v>
      </c>
      <c r="H1604" s="34">
        <f t="shared" si="1026"/>
        <v>130</v>
      </c>
      <c r="J1604" s="31" t="s">
        <v>13</v>
      </c>
      <c r="K1604" s="32">
        <f>SUM(K1595:K1603)</f>
        <v>920</v>
      </c>
      <c r="L1604" s="33">
        <f>SUM(L1595:L1603)</f>
        <v>393</v>
      </c>
      <c r="M1604" s="34">
        <f t="shared" si="1027"/>
        <v>1313</v>
      </c>
      <c r="N1604" s="32">
        <f>SUM(N1595:N1603)</f>
        <v>894</v>
      </c>
      <c r="O1604" s="33">
        <f>SUM(O1595:O1603)</f>
        <v>0</v>
      </c>
      <c r="P1604" s="34">
        <f t="shared" si="1028"/>
        <v>894</v>
      </c>
      <c r="Q1604" s="34">
        <f t="shared" si="1029"/>
        <v>2207</v>
      </c>
    </row>
    <row r="1605" spans="1:19" x14ac:dyDescent="0.15">
      <c r="A1605" s="35" t="s">
        <v>651</v>
      </c>
      <c r="B1605" s="15"/>
      <c r="C1605" s="16">
        <v>1</v>
      </c>
      <c r="D1605" s="36">
        <f t="shared" ref="D1605:D1626" si="1033">SUM(B1605:C1605)</f>
        <v>1</v>
      </c>
      <c r="E1605" s="18">
        <f>1+1</f>
        <v>2</v>
      </c>
      <c r="F1605" s="16"/>
      <c r="G1605" s="36">
        <f t="shared" ref="G1605:G1626" si="1034">SUM(E1605:F1605)</f>
        <v>2</v>
      </c>
      <c r="H1605" s="17">
        <f t="shared" ref="H1605:H1626" si="1035">D1605+G1605</f>
        <v>3</v>
      </c>
      <c r="I1605" s="84">
        <v>45442</v>
      </c>
      <c r="J1605" s="52" t="s">
        <v>91</v>
      </c>
      <c r="K1605" s="15">
        <v>5</v>
      </c>
      <c r="L1605" s="16">
        <v>5</v>
      </c>
      <c r="M1605" s="36">
        <f t="shared" si="1027"/>
        <v>10</v>
      </c>
      <c r="N1605" s="18">
        <v>10</v>
      </c>
      <c r="O1605" s="16"/>
      <c r="P1605" s="36">
        <f t="shared" si="1028"/>
        <v>10</v>
      </c>
      <c r="Q1605" s="17">
        <f t="shared" si="1029"/>
        <v>20</v>
      </c>
      <c r="R1605" s="84">
        <v>45453</v>
      </c>
    </row>
    <row r="1606" spans="1:19" x14ac:dyDescent="0.15">
      <c r="A1606" s="35" t="s">
        <v>651</v>
      </c>
      <c r="B1606" s="15">
        <v>1</v>
      </c>
      <c r="C1606" s="16"/>
      <c r="D1606" s="36">
        <f t="shared" si="1033"/>
        <v>1</v>
      </c>
      <c r="E1606" s="18">
        <v>4</v>
      </c>
      <c r="F1606" s="16"/>
      <c r="G1606" s="36">
        <f t="shared" si="1034"/>
        <v>4</v>
      </c>
      <c r="H1606" s="17">
        <f t="shared" si="1035"/>
        <v>5</v>
      </c>
      <c r="I1606" s="84">
        <v>45443</v>
      </c>
      <c r="J1606" s="52" t="s">
        <v>91</v>
      </c>
      <c r="K1606" s="15">
        <v>5</v>
      </c>
      <c r="L1606" s="16">
        <v>10</v>
      </c>
      <c r="M1606" s="36">
        <f t="shared" si="1027"/>
        <v>15</v>
      </c>
      <c r="N1606" s="18">
        <v>5</v>
      </c>
      <c r="O1606" s="16"/>
      <c r="P1606" s="36">
        <f t="shared" si="1028"/>
        <v>5</v>
      </c>
      <c r="Q1606" s="17">
        <f t="shared" si="1029"/>
        <v>20</v>
      </c>
      <c r="R1606" s="81">
        <v>45463</v>
      </c>
      <c r="S1606" s="22"/>
    </row>
    <row r="1607" spans="1:19" x14ac:dyDescent="0.15">
      <c r="A1607" s="35" t="s">
        <v>651</v>
      </c>
      <c r="B1607" s="15">
        <f>1+1</f>
        <v>2</v>
      </c>
      <c r="C1607" s="16"/>
      <c r="D1607" s="36">
        <f t="shared" si="1033"/>
        <v>2</v>
      </c>
      <c r="E1607" s="18">
        <f>2+4</f>
        <v>6</v>
      </c>
      <c r="F1607" s="16"/>
      <c r="G1607" s="36">
        <f t="shared" si="1034"/>
        <v>6</v>
      </c>
      <c r="H1607" s="17">
        <f t="shared" si="1035"/>
        <v>8</v>
      </c>
      <c r="I1607" s="84">
        <v>45446</v>
      </c>
      <c r="J1607" s="52" t="s">
        <v>91</v>
      </c>
      <c r="K1607" s="15">
        <v>5</v>
      </c>
      <c r="L1607" s="16">
        <v>5</v>
      </c>
      <c r="M1607" s="36">
        <f t="shared" si="1027"/>
        <v>10</v>
      </c>
      <c r="N1607" s="18">
        <v>10</v>
      </c>
      <c r="O1607" s="16"/>
      <c r="P1607" s="36">
        <f t="shared" si="1028"/>
        <v>10</v>
      </c>
      <c r="Q1607" s="17">
        <f t="shared" si="1029"/>
        <v>20</v>
      </c>
      <c r="R1607" s="81">
        <v>45475</v>
      </c>
      <c r="S1607" s="22"/>
    </row>
    <row r="1608" spans="1:19" x14ac:dyDescent="0.15">
      <c r="A1608" s="35" t="s">
        <v>651</v>
      </c>
      <c r="B1608" s="15"/>
      <c r="C1608" s="16"/>
      <c r="D1608" s="36">
        <f t="shared" si="1033"/>
        <v>0</v>
      </c>
      <c r="E1608" s="18">
        <v>2</v>
      </c>
      <c r="F1608" s="16"/>
      <c r="G1608" s="36">
        <f t="shared" si="1034"/>
        <v>2</v>
      </c>
      <c r="H1608" s="17">
        <f t="shared" si="1035"/>
        <v>2</v>
      </c>
      <c r="I1608" s="84">
        <v>45447</v>
      </c>
      <c r="J1608" s="52"/>
      <c r="K1608" s="15"/>
      <c r="L1608" s="16"/>
      <c r="M1608" s="36">
        <f t="shared" ref="M1608:M1613" si="1036">SUM(K1608:L1608)</f>
        <v>0</v>
      </c>
      <c r="N1608" s="18"/>
      <c r="O1608" s="16"/>
      <c r="P1608" s="36">
        <f t="shared" ref="P1608:P1613" si="1037">SUM(N1608:O1608)</f>
        <v>0</v>
      </c>
      <c r="Q1608" s="17">
        <f t="shared" ref="Q1608:Q1613" si="1038">M1608+P1608</f>
        <v>0</v>
      </c>
      <c r="R1608" s="83"/>
      <c r="S1608" s="22"/>
    </row>
    <row r="1609" spans="1:19" x14ac:dyDescent="0.15">
      <c r="A1609" s="35" t="s">
        <v>651</v>
      </c>
      <c r="B1609" s="15">
        <v>1</v>
      </c>
      <c r="C1609" s="16"/>
      <c r="D1609" s="36">
        <f t="shared" si="1033"/>
        <v>1</v>
      </c>
      <c r="E1609" s="18"/>
      <c r="F1609" s="16"/>
      <c r="G1609" s="36">
        <f t="shared" si="1034"/>
        <v>0</v>
      </c>
      <c r="H1609" s="17">
        <f t="shared" si="1035"/>
        <v>1</v>
      </c>
      <c r="I1609" s="84">
        <v>45448</v>
      </c>
      <c r="J1609" s="52"/>
      <c r="K1609" s="15"/>
      <c r="L1609" s="16"/>
      <c r="M1609" s="36">
        <f t="shared" si="1036"/>
        <v>0</v>
      </c>
      <c r="N1609" s="18"/>
      <c r="O1609" s="16"/>
      <c r="P1609" s="36">
        <f t="shared" si="1037"/>
        <v>0</v>
      </c>
      <c r="Q1609" s="17">
        <f t="shared" si="1038"/>
        <v>0</v>
      </c>
      <c r="R1609" s="83"/>
    </row>
    <row r="1610" spans="1:19" x14ac:dyDescent="0.15">
      <c r="A1610" s="35" t="s">
        <v>651</v>
      </c>
      <c r="B1610" s="15">
        <v>1</v>
      </c>
      <c r="C1610" s="16"/>
      <c r="D1610" s="36">
        <f t="shared" si="1033"/>
        <v>1</v>
      </c>
      <c r="E1610" s="18">
        <v>1</v>
      </c>
      <c r="F1610" s="16"/>
      <c r="G1610" s="36">
        <f t="shared" si="1034"/>
        <v>1</v>
      </c>
      <c r="H1610" s="17">
        <f t="shared" si="1035"/>
        <v>2</v>
      </c>
      <c r="I1610" s="84">
        <v>45449</v>
      </c>
      <c r="J1610" s="52"/>
      <c r="K1610" s="15"/>
      <c r="L1610" s="16"/>
      <c r="M1610" s="36">
        <f t="shared" si="1036"/>
        <v>0</v>
      </c>
      <c r="N1610" s="18"/>
      <c r="O1610" s="16"/>
      <c r="P1610" s="36">
        <f t="shared" si="1037"/>
        <v>0</v>
      </c>
      <c r="Q1610" s="17">
        <f t="shared" si="1038"/>
        <v>0</v>
      </c>
    </row>
    <row r="1611" spans="1:19" x14ac:dyDescent="0.15">
      <c r="A1611" s="35" t="s">
        <v>651</v>
      </c>
      <c r="B1611" s="15"/>
      <c r="C1611" s="16"/>
      <c r="D1611" s="36">
        <f t="shared" si="1033"/>
        <v>0</v>
      </c>
      <c r="E1611" s="18">
        <v>1</v>
      </c>
      <c r="F1611" s="16"/>
      <c r="G1611" s="36">
        <f t="shared" si="1034"/>
        <v>1</v>
      </c>
      <c r="H1611" s="17">
        <f t="shared" si="1035"/>
        <v>1</v>
      </c>
      <c r="I1611" s="84">
        <v>45450</v>
      </c>
      <c r="J1611" s="52"/>
      <c r="K1611" s="15"/>
      <c r="L1611" s="16"/>
      <c r="M1611" s="36">
        <f t="shared" si="1036"/>
        <v>0</v>
      </c>
      <c r="N1611" s="18"/>
      <c r="O1611" s="16"/>
      <c r="P1611" s="36">
        <f t="shared" si="1037"/>
        <v>0</v>
      </c>
      <c r="Q1611" s="17">
        <f t="shared" si="1038"/>
        <v>0</v>
      </c>
    </row>
    <row r="1612" spans="1:19" x14ac:dyDescent="0.15">
      <c r="A1612" s="35" t="s">
        <v>651</v>
      </c>
      <c r="B1612" s="15"/>
      <c r="C1612" s="16"/>
      <c r="D1612" s="36">
        <f t="shared" si="1033"/>
        <v>0</v>
      </c>
      <c r="E1612" s="18">
        <v>4</v>
      </c>
      <c r="F1612" s="16"/>
      <c r="G1612" s="36">
        <f t="shared" si="1034"/>
        <v>4</v>
      </c>
      <c r="H1612" s="17">
        <f t="shared" si="1035"/>
        <v>4</v>
      </c>
      <c r="I1612" s="84">
        <v>45453</v>
      </c>
      <c r="J1612" s="52"/>
      <c r="K1612" s="15"/>
      <c r="L1612" s="16"/>
      <c r="M1612" s="36">
        <f t="shared" si="1036"/>
        <v>0</v>
      </c>
      <c r="N1612" s="18"/>
      <c r="O1612" s="16"/>
      <c r="P1612" s="36">
        <f t="shared" si="1037"/>
        <v>0</v>
      </c>
      <c r="Q1612" s="17">
        <f t="shared" si="1038"/>
        <v>0</v>
      </c>
    </row>
    <row r="1613" spans="1:19" x14ac:dyDescent="0.15">
      <c r="A1613" s="35" t="s">
        <v>651</v>
      </c>
      <c r="B1613" s="15"/>
      <c r="C1613" s="16">
        <v>2</v>
      </c>
      <c r="D1613" s="36">
        <f t="shared" si="1033"/>
        <v>2</v>
      </c>
      <c r="E1613" s="18"/>
      <c r="F1613" s="16"/>
      <c r="G1613" s="36">
        <f t="shared" si="1034"/>
        <v>0</v>
      </c>
      <c r="H1613" s="17">
        <f t="shared" si="1035"/>
        <v>2</v>
      </c>
      <c r="I1613" s="84">
        <v>45454</v>
      </c>
      <c r="J1613" s="52"/>
      <c r="K1613" s="15"/>
      <c r="L1613" s="16"/>
      <c r="M1613" s="36">
        <f t="shared" si="1036"/>
        <v>0</v>
      </c>
      <c r="N1613" s="18"/>
      <c r="O1613" s="16"/>
      <c r="P1613" s="36">
        <f t="shared" si="1037"/>
        <v>0</v>
      </c>
      <c r="Q1613" s="17">
        <f t="shared" si="1038"/>
        <v>0</v>
      </c>
    </row>
    <row r="1614" spans="1:19" x14ac:dyDescent="0.15">
      <c r="A1614" s="35" t="s">
        <v>651</v>
      </c>
      <c r="B1614" s="15">
        <v>1</v>
      </c>
      <c r="C1614" s="16">
        <v>1</v>
      </c>
      <c r="D1614" s="36">
        <f t="shared" si="1033"/>
        <v>2</v>
      </c>
      <c r="E1614" s="18">
        <v>1</v>
      </c>
      <c r="F1614" s="16"/>
      <c r="G1614" s="36">
        <f t="shared" si="1034"/>
        <v>1</v>
      </c>
      <c r="H1614" s="17">
        <f t="shared" si="1035"/>
        <v>3</v>
      </c>
      <c r="I1614" s="84">
        <v>45455</v>
      </c>
      <c r="J1614" s="52"/>
      <c r="K1614" s="15"/>
      <c r="L1614" s="16"/>
      <c r="M1614" s="36">
        <f t="shared" si="1027"/>
        <v>0</v>
      </c>
      <c r="N1614" s="18"/>
      <c r="O1614" s="16"/>
      <c r="P1614" s="36">
        <f t="shared" si="1028"/>
        <v>0</v>
      </c>
      <c r="Q1614" s="17">
        <f t="shared" si="1029"/>
        <v>0</v>
      </c>
    </row>
    <row r="1615" spans="1:19" x14ac:dyDescent="0.15">
      <c r="A1615" s="35" t="s">
        <v>651</v>
      </c>
      <c r="B1615" s="15">
        <v>1</v>
      </c>
      <c r="C1615" s="16">
        <v>2</v>
      </c>
      <c r="D1615" s="36">
        <f t="shared" si="1033"/>
        <v>3</v>
      </c>
      <c r="E1615" s="18"/>
      <c r="F1615" s="16"/>
      <c r="G1615" s="36">
        <f t="shared" si="1034"/>
        <v>0</v>
      </c>
      <c r="H1615" s="17">
        <f t="shared" si="1035"/>
        <v>3</v>
      </c>
      <c r="I1615" s="81">
        <v>45457</v>
      </c>
      <c r="J1615" s="52"/>
      <c r="K1615" s="15"/>
      <c r="L1615" s="16"/>
      <c r="M1615" s="36">
        <f t="shared" si="1027"/>
        <v>0</v>
      </c>
      <c r="N1615" s="18"/>
      <c r="O1615" s="16"/>
      <c r="P1615" s="36">
        <f t="shared" si="1028"/>
        <v>0</v>
      </c>
      <c r="Q1615" s="17">
        <f t="shared" si="1029"/>
        <v>0</v>
      </c>
    </row>
    <row r="1616" spans="1:19" x14ac:dyDescent="0.15">
      <c r="A1616" s="35" t="s">
        <v>651</v>
      </c>
      <c r="B1616" s="15">
        <v>1</v>
      </c>
      <c r="C1616" s="16"/>
      <c r="D1616" s="36">
        <f t="shared" si="1033"/>
        <v>1</v>
      </c>
      <c r="E1616" s="18">
        <v>1</v>
      </c>
      <c r="F1616" s="16"/>
      <c r="G1616" s="36">
        <f t="shared" si="1034"/>
        <v>1</v>
      </c>
      <c r="H1616" s="17">
        <f t="shared" si="1035"/>
        <v>2</v>
      </c>
      <c r="I1616" s="81">
        <v>45458</v>
      </c>
      <c r="J1616" s="52"/>
      <c r="K1616" s="15"/>
      <c r="L1616" s="16"/>
      <c r="M1616" s="36">
        <f t="shared" si="1027"/>
        <v>0</v>
      </c>
      <c r="N1616" s="18"/>
      <c r="O1616" s="16"/>
      <c r="P1616" s="36">
        <f t="shared" si="1028"/>
        <v>0</v>
      </c>
      <c r="Q1616" s="17">
        <f t="shared" si="1029"/>
        <v>0</v>
      </c>
    </row>
    <row r="1617" spans="1:18" x14ac:dyDescent="0.15">
      <c r="A1617" s="35" t="s">
        <v>674</v>
      </c>
      <c r="B1617" s="15"/>
      <c r="C1617" s="16">
        <v>1</v>
      </c>
      <c r="D1617" s="36">
        <f t="shared" si="1033"/>
        <v>1</v>
      </c>
      <c r="E1617" s="18"/>
      <c r="F1617" s="16">
        <v>1</v>
      </c>
      <c r="G1617" s="36"/>
      <c r="H1617" s="17">
        <f t="shared" si="1035"/>
        <v>1</v>
      </c>
      <c r="I1617" s="81">
        <v>45462</v>
      </c>
      <c r="J1617" s="52"/>
      <c r="K1617" s="15"/>
      <c r="L1617" s="16"/>
      <c r="M1617" s="36">
        <f t="shared" si="1027"/>
        <v>0</v>
      </c>
      <c r="N1617" s="18"/>
      <c r="O1617" s="16"/>
      <c r="P1617" s="36">
        <f t="shared" si="1028"/>
        <v>0</v>
      </c>
      <c r="Q1617" s="17">
        <f t="shared" si="1029"/>
        <v>0</v>
      </c>
    </row>
    <row r="1618" spans="1:18" x14ac:dyDescent="0.15">
      <c r="A1618" s="35" t="s">
        <v>651</v>
      </c>
      <c r="B1618" s="15">
        <f>1+1</f>
        <v>2</v>
      </c>
      <c r="C1618" s="16">
        <v>1</v>
      </c>
      <c r="D1618" s="36">
        <f t="shared" si="1033"/>
        <v>3</v>
      </c>
      <c r="E1618" s="18"/>
      <c r="F1618" s="16"/>
      <c r="G1618" s="36">
        <f t="shared" si="1034"/>
        <v>0</v>
      </c>
      <c r="H1618" s="17">
        <f t="shared" si="1035"/>
        <v>3</v>
      </c>
      <c r="I1618" s="81">
        <v>45460</v>
      </c>
      <c r="J1618" s="52"/>
      <c r="K1618" s="15"/>
      <c r="L1618" s="16"/>
      <c r="M1618" s="36">
        <f t="shared" si="1027"/>
        <v>0</v>
      </c>
      <c r="N1618" s="18"/>
      <c r="O1618" s="16"/>
      <c r="P1618" s="36">
        <f t="shared" si="1028"/>
        <v>0</v>
      </c>
      <c r="Q1618" s="17">
        <f t="shared" si="1029"/>
        <v>0</v>
      </c>
    </row>
    <row r="1619" spans="1:18" x14ac:dyDescent="0.15">
      <c r="A1619" s="35" t="s">
        <v>675</v>
      </c>
      <c r="B1619" s="15"/>
      <c r="C1619" s="16">
        <v>1</v>
      </c>
      <c r="D1619" s="36">
        <f t="shared" si="1033"/>
        <v>1</v>
      </c>
      <c r="E1619" s="18"/>
      <c r="F1619" s="16">
        <v>1</v>
      </c>
      <c r="G1619" s="36">
        <f t="shared" si="1034"/>
        <v>1</v>
      </c>
      <c r="H1619" s="17">
        <f t="shared" si="1035"/>
        <v>2</v>
      </c>
      <c r="I1619" s="81">
        <v>45467</v>
      </c>
      <c r="J1619" s="52"/>
      <c r="K1619" s="15"/>
      <c r="L1619" s="16"/>
      <c r="M1619" s="36">
        <f t="shared" si="1027"/>
        <v>0</v>
      </c>
      <c r="N1619" s="18"/>
      <c r="O1619" s="16"/>
      <c r="P1619" s="36">
        <f t="shared" si="1028"/>
        <v>0</v>
      </c>
      <c r="Q1619" s="17">
        <f t="shared" si="1029"/>
        <v>0</v>
      </c>
    </row>
    <row r="1620" spans="1:18" x14ac:dyDescent="0.15">
      <c r="A1620" s="35" t="s">
        <v>651</v>
      </c>
      <c r="B1620" s="15"/>
      <c r="C1620" s="16">
        <v>1</v>
      </c>
      <c r="D1620" s="36">
        <f t="shared" si="1033"/>
        <v>1</v>
      </c>
      <c r="E1620" s="18">
        <v>1</v>
      </c>
      <c r="F1620" s="16"/>
      <c r="G1620" s="36">
        <f t="shared" si="1034"/>
        <v>1</v>
      </c>
      <c r="H1620" s="17">
        <f t="shared" si="1035"/>
        <v>2</v>
      </c>
      <c r="I1620" s="84">
        <v>45467</v>
      </c>
      <c r="J1620" s="52"/>
      <c r="K1620" s="15"/>
      <c r="L1620" s="16"/>
      <c r="M1620" s="36">
        <f t="shared" si="1027"/>
        <v>0</v>
      </c>
      <c r="N1620" s="18"/>
      <c r="O1620" s="16"/>
      <c r="P1620" s="36">
        <f t="shared" si="1028"/>
        <v>0</v>
      </c>
      <c r="Q1620" s="17">
        <f t="shared" si="1029"/>
        <v>0</v>
      </c>
    </row>
    <row r="1621" spans="1:18" x14ac:dyDescent="0.15">
      <c r="A1621" s="35" t="s">
        <v>651</v>
      </c>
      <c r="B1621" s="15">
        <v>2</v>
      </c>
      <c r="C1621" s="16">
        <v>3</v>
      </c>
      <c r="D1621" s="36">
        <f t="shared" si="1033"/>
        <v>5</v>
      </c>
      <c r="E1621" s="18">
        <v>1</v>
      </c>
      <c r="F1621" s="16"/>
      <c r="G1621" s="36">
        <f t="shared" si="1034"/>
        <v>1</v>
      </c>
      <c r="H1621" s="17">
        <f t="shared" si="1035"/>
        <v>6</v>
      </c>
      <c r="I1621" s="84">
        <v>45468</v>
      </c>
      <c r="J1621" s="52"/>
      <c r="K1621" s="15"/>
      <c r="L1621" s="16"/>
      <c r="M1621" s="36">
        <f t="shared" si="1027"/>
        <v>0</v>
      </c>
      <c r="N1621" s="18"/>
      <c r="O1621" s="16"/>
      <c r="P1621" s="36">
        <f t="shared" si="1028"/>
        <v>0</v>
      </c>
      <c r="Q1621" s="17">
        <f t="shared" si="1029"/>
        <v>0</v>
      </c>
    </row>
    <row r="1622" spans="1:18" x14ac:dyDescent="0.15">
      <c r="A1622" s="35" t="s">
        <v>651</v>
      </c>
      <c r="B1622" s="15"/>
      <c r="C1622" s="16"/>
      <c r="D1622" s="36">
        <f t="shared" si="1033"/>
        <v>0</v>
      </c>
      <c r="E1622" s="18">
        <v>1</v>
      </c>
      <c r="F1622" s="16"/>
      <c r="G1622" s="36">
        <f t="shared" si="1034"/>
        <v>1</v>
      </c>
      <c r="H1622" s="17">
        <f t="shared" si="1035"/>
        <v>1</v>
      </c>
      <c r="I1622" s="84">
        <v>45469</v>
      </c>
      <c r="J1622" s="52"/>
      <c r="K1622" s="15"/>
      <c r="L1622" s="16"/>
      <c r="M1622" s="36">
        <f t="shared" si="1027"/>
        <v>0</v>
      </c>
      <c r="N1622" s="18"/>
      <c r="O1622" s="16"/>
      <c r="P1622" s="36">
        <f t="shared" si="1028"/>
        <v>0</v>
      </c>
      <c r="Q1622" s="17">
        <f t="shared" si="1029"/>
        <v>0</v>
      </c>
    </row>
    <row r="1623" spans="1:18" x14ac:dyDescent="0.15">
      <c r="A1623" s="35" t="s">
        <v>676</v>
      </c>
      <c r="B1623" s="15">
        <v>2</v>
      </c>
      <c r="C1623" s="16"/>
      <c r="D1623" s="36">
        <f t="shared" si="1033"/>
        <v>2</v>
      </c>
      <c r="E1623" s="18"/>
      <c r="F1623" s="16"/>
      <c r="G1623" s="36">
        <f t="shared" si="1034"/>
        <v>0</v>
      </c>
      <c r="H1623" s="17">
        <f t="shared" si="1035"/>
        <v>2</v>
      </c>
      <c r="I1623" s="81">
        <v>45474</v>
      </c>
      <c r="J1623" s="52"/>
      <c r="K1623" s="15"/>
      <c r="L1623" s="16"/>
      <c r="M1623" s="36">
        <f t="shared" si="1027"/>
        <v>0</v>
      </c>
      <c r="N1623" s="18"/>
      <c r="O1623" s="16"/>
      <c r="P1623" s="36">
        <f t="shared" si="1028"/>
        <v>0</v>
      </c>
      <c r="Q1623" s="17">
        <f t="shared" si="1029"/>
        <v>0</v>
      </c>
    </row>
    <row r="1624" spans="1:18" x14ac:dyDescent="0.15">
      <c r="A1624" s="35" t="s">
        <v>651</v>
      </c>
      <c r="B1624" s="15"/>
      <c r="C1624" s="16"/>
      <c r="D1624" s="36">
        <f t="shared" si="1033"/>
        <v>0</v>
      </c>
      <c r="E1624" s="18">
        <v>2</v>
      </c>
      <c r="F1624" s="16"/>
      <c r="G1624" s="36">
        <f t="shared" si="1034"/>
        <v>2</v>
      </c>
      <c r="H1624" s="17">
        <f t="shared" si="1035"/>
        <v>2</v>
      </c>
      <c r="I1624" s="81">
        <v>45471</v>
      </c>
      <c r="J1624" s="52"/>
      <c r="K1624" s="15"/>
      <c r="L1624" s="16"/>
      <c r="M1624" s="36">
        <f t="shared" si="1027"/>
        <v>0</v>
      </c>
      <c r="N1624" s="18"/>
      <c r="O1624" s="16"/>
      <c r="P1624" s="36">
        <f t="shared" si="1028"/>
        <v>0</v>
      </c>
      <c r="Q1624" s="17">
        <f t="shared" si="1029"/>
        <v>0</v>
      </c>
    </row>
    <row r="1625" spans="1:18" x14ac:dyDescent="0.15">
      <c r="A1625" s="35" t="s">
        <v>677</v>
      </c>
      <c r="B1625" s="15">
        <v>2</v>
      </c>
      <c r="C1625" s="16">
        <v>2</v>
      </c>
      <c r="D1625" s="36">
        <f t="shared" si="1033"/>
        <v>4</v>
      </c>
      <c r="E1625" s="18"/>
      <c r="F1625" s="16"/>
      <c r="G1625" s="36">
        <f t="shared" si="1034"/>
        <v>0</v>
      </c>
      <c r="H1625" s="17">
        <f t="shared" si="1035"/>
        <v>4</v>
      </c>
      <c r="I1625" s="81">
        <v>45476</v>
      </c>
      <c r="J1625" s="52"/>
      <c r="K1625" s="15"/>
      <c r="L1625" s="16"/>
      <c r="M1625" s="36">
        <f t="shared" si="1027"/>
        <v>0</v>
      </c>
      <c r="N1625" s="18"/>
      <c r="O1625" s="16"/>
      <c r="P1625" s="36">
        <f t="shared" si="1028"/>
        <v>0</v>
      </c>
      <c r="Q1625" s="17">
        <f t="shared" si="1029"/>
        <v>0</v>
      </c>
    </row>
    <row r="1626" spans="1:18" x14ac:dyDescent="0.15">
      <c r="A1626" s="35" t="s">
        <v>651</v>
      </c>
      <c r="B1626" s="15"/>
      <c r="C1626" s="16"/>
      <c r="D1626" s="36">
        <f t="shared" si="1033"/>
        <v>0</v>
      </c>
      <c r="E1626" s="18">
        <v>3</v>
      </c>
      <c r="F1626" s="16"/>
      <c r="G1626" s="36">
        <f t="shared" si="1034"/>
        <v>3</v>
      </c>
      <c r="H1626" s="17">
        <f t="shared" si="1035"/>
        <v>3</v>
      </c>
      <c r="I1626" s="84">
        <v>45474</v>
      </c>
      <c r="J1626" s="52"/>
      <c r="K1626" s="15"/>
      <c r="L1626" s="16"/>
      <c r="M1626" s="36">
        <f t="shared" si="1027"/>
        <v>0</v>
      </c>
      <c r="N1626" s="18"/>
      <c r="O1626" s="16"/>
      <c r="P1626" s="36">
        <f t="shared" si="1028"/>
        <v>0</v>
      </c>
      <c r="Q1626" s="17">
        <f t="shared" si="1029"/>
        <v>0</v>
      </c>
    </row>
    <row r="1627" spans="1:18" x14ac:dyDescent="0.15">
      <c r="A1627" s="35" t="s">
        <v>678</v>
      </c>
      <c r="B1627" s="15">
        <v>8</v>
      </c>
      <c r="C1627" s="16"/>
      <c r="D1627" s="36">
        <f t="shared" si="1024"/>
        <v>8</v>
      </c>
      <c r="E1627" s="18"/>
      <c r="F1627" s="16"/>
      <c r="G1627" s="36">
        <f t="shared" si="1025"/>
        <v>0</v>
      </c>
      <c r="H1627" s="17">
        <f t="shared" si="1026"/>
        <v>8</v>
      </c>
      <c r="I1627" s="81">
        <v>45477</v>
      </c>
      <c r="J1627" s="52"/>
      <c r="K1627" s="15"/>
      <c r="L1627" s="16"/>
      <c r="M1627" s="36">
        <f t="shared" si="1027"/>
        <v>0</v>
      </c>
      <c r="N1627" s="18"/>
      <c r="O1627" s="16"/>
      <c r="P1627" s="36">
        <f t="shared" si="1028"/>
        <v>0</v>
      </c>
      <c r="Q1627" s="17">
        <f t="shared" si="1029"/>
        <v>0</v>
      </c>
    </row>
    <row r="1628" spans="1:18" x14ac:dyDescent="0.15">
      <c r="A1628" s="35" t="s">
        <v>651</v>
      </c>
      <c r="B1628" s="15">
        <v>1</v>
      </c>
      <c r="C1628" s="16"/>
      <c r="D1628" s="36">
        <f t="shared" si="1024"/>
        <v>1</v>
      </c>
      <c r="E1628" s="18">
        <v>1</v>
      </c>
      <c r="F1628" s="16"/>
      <c r="G1628" s="36">
        <f t="shared" si="1025"/>
        <v>1</v>
      </c>
      <c r="H1628" s="17">
        <f t="shared" si="1026"/>
        <v>2</v>
      </c>
      <c r="I1628" s="84">
        <v>45475</v>
      </c>
      <c r="J1628" s="52"/>
      <c r="K1628" s="15"/>
      <c r="L1628" s="16"/>
      <c r="M1628" s="36">
        <f t="shared" si="1027"/>
        <v>0</v>
      </c>
      <c r="N1628" s="18"/>
      <c r="O1628" s="16"/>
      <c r="P1628" s="36">
        <f t="shared" si="1028"/>
        <v>0</v>
      </c>
      <c r="Q1628" s="17">
        <f t="shared" si="1029"/>
        <v>0</v>
      </c>
    </row>
    <row r="1629" spans="1:18" x14ac:dyDescent="0.15">
      <c r="A1629" s="35" t="s">
        <v>679</v>
      </c>
      <c r="B1629" s="15"/>
      <c r="C1629" s="16">
        <v>2</v>
      </c>
      <c r="D1629" s="36">
        <f t="shared" si="1024"/>
        <v>2</v>
      </c>
      <c r="E1629" s="18"/>
      <c r="F1629" s="16"/>
      <c r="G1629" s="36">
        <f t="shared" si="1025"/>
        <v>0</v>
      </c>
      <c r="H1629" s="17">
        <f t="shared" si="1026"/>
        <v>2</v>
      </c>
      <c r="I1629" s="81">
        <v>45478</v>
      </c>
      <c r="J1629" s="52"/>
      <c r="K1629" s="15"/>
      <c r="L1629" s="16"/>
      <c r="M1629" s="36">
        <f t="shared" ref="M1629" si="1039">SUM(K1629:L1629)</f>
        <v>0</v>
      </c>
      <c r="N1629" s="18"/>
      <c r="O1629" s="16"/>
      <c r="P1629" s="36">
        <f t="shared" ref="P1629" si="1040">SUM(N1629:O1629)</f>
        <v>0</v>
      </c>
      <c r="Q1629" s="17">
        <f t="shared" ref="Q1629" si="1041">M1629+P1629</f>
        <v>0</v>
      </c>
    </row>
    <row r="1630" spans="1:18" ht="14.25" thickBot="1" x14ac:dyDescent="0.2">
      <c r="A1630" s="35"/>
      <c r="B1630" s="15"/>
      <c r="C1630" s="16"/>
      <c r="D1630" s="36">
        <f t="shared" si="1024"/>
        <v>0</v>
      </c>
      <c r="E1630" s="18"/>
      <c r="F1630" s="16"/>
      <c r="G1630" s="36">
        <f t="shared" si="1025"/>
        <v>0</v>
      </c>
      <c r="H1630" s="17">
        <f t="shared" si="1026"/>
        <v>0</v>
      </c>
      <c r="J1630" s="52" t="s">
        <v>673</v>
      </c>
      <c r="K1630" s="15"/>
      <c r="L1630" s="16"/>
      <c r="M1630" s="36">
        <f t="shared" si="1027"/>
        <v>0</v>
      </c>
      <c r="N1630" s="98"/>
      <c r="O1630" s="99"/>
      <c r="P1630" s="36">
        <f t="shared" si="1028"/>
        <v>0</v>
      </c>
      <c r="Q1630" s="17">
        <f t="shared" si="1029"/>
        <v>0</v>
      </c>
      <c r="R1630" s="83" t="s">
        <v>516</v>
      </c>
    </row>
    <row r="1631" spans="1:18" ht="14.25" thickBot="1" x14ac:dyDescent="0.2">
      <c r="A1631" s="40" t="s">
        <v>14</v>
      </c>
      <c r="B1631" s="41">
        <f>SUM(B1605:B1630)</f>
        <v>25</v>
      </c>
      <c r="C1631" s="42">
        <f t="shared" ref="C1631" si="1042">SUM(C1605:C1630)</f>
        <v>17</v>
      </c>
      <c r="D1631" s="43">
        <f t="shared" si="1024"/>
        <v>42</v>
      </c>
      <c r="E1631" s="41">
        <f>SUM(E1605:E1630)</f>
        <v>31</v>
      </c>
      <c r="F1631" s="42">
        <f t="shared" ref="F1631" si="1043">SUM(F1605:F1630)</f>
        <v>2</v>
      </c>
      <c r="G1631" s="43">
        <f t="shared" si="1025"/>
        <v>33</v>
      </c>
      <c r="H1631" s="43">
        <f t="shared" si="1026"/>
        <v>75</v>
      </c>
      <c r="J1631" s="40" t="s">
        <v>14</v>
      </c>
      <c r="K1631" s="41">
        <f>SUM(K1605:K1630)</f>
        <v>15</v>
      </c>
      <c r="L1631" s="42">
        <f t="shared" ref="L1631" si="1044">SUM(L1605:L1630)</f>
        <v>20</v>
      </c>
      <c r="M1631" s="43">
        <f t="shared" si="1027"/>
        <v>35</v>
      </c>
      <c r="N1631" s="41">
        <f>SUM(N1605:N1630)</f>
        <v>25</v>
      </c>
      <c r="O1631" s="42">
        <f t="shared" ref="O1631" si="1045">SUM(O1605:O1630)</f>
        <v>0</v>
      </c>
      <c r="P1631" s="43">
        <f t="shared" si="1028"/>
        <v>25</v>
      </c>
      <c r="Q1631" s="43">
        <f t="shared" si="1029"/>
        <v>60</v>
      </c>
    </row>
    <row r="1632" spans="1:18" ht="14.25" thickBot="1" x14ac:dyDescent="0.2">
      <c r="A1632" s="44" t="s">
        <v>15</v>
      </c>
      <c r="B1632" s="45">
        <f>B1604-B1631</f>
        <v>7</v>
      </c>
      <c r="C1632" s="46">
        <f t="shared" ref="C1632" si="1046">C1604-C1631</f>
        <v>18</v>
      </c>
      <c r="D1632" s="47">
        <f t="shared" si="1024"/>
        <v>25</v>
      </c>
      <c r="E1632" s="45">
        <f>E1604-E1631</f>
        <v>21</v>
      </c>
      <c r="F1632" s="46">
        <f t="shared" ref="F1632" si="1047">F1604-F1631</f>
        <v>9</v>
      </c>
      <c r="G1632" s="47">
        <f t="shared" si="1025"/>
        <v>30</v>
      </c>
      <c r="H1632" s="34">
        <f t="shared" si="1026"/>
        <v>55</v>
      </c>
      <c r="J1632" s="44" t="s">
        <v>15</v>
      </c>
      <c r="K1632" s="45">
        <f>K1604-K1631</f>
        <v>905</v>
      </c>
      <c r="L1632" s="46">
        <f t="shared" ref="L1632" si="1048">L1604-L1631</f>
        <v>373</v>
      </c>
      <c r="M1632" s="47">
        <f t="shared" si="1027"/>
        <v>1278</v>
      </c>
      <c r="N1632" s="45">
        <f>N1604-N1631</f>
        <v>869</v>
      </c>
      <c r="O1632" s="46">
        <f t="shared" ref="O1632" si="1049">O1604-O1631</f>
        <v>0</v>
      </c>
      <c r="P1632" s="47">
        <f t="shared" si="1028"/>
        <v>869</v>
      </c>
      <c r="Q1632" s="34">
        <f t="shared" si="1029"/>
        <v>2147</v>
      </c>
    </row>
    <row r="1633" spans="1:18" x14ac:dyDescent="0.15">
      <c r="F1633" t="s">
        <v>670</v>
      </c>
    </row>
    <row r="1635" spans="1:18" ht="19.5" thickBot="1" x14ac:dyDescent="0.25">
      <c r="A1635" s="1" t="s">
        <v>23</v>
      </c>
      <c r="J1635" s="1" t="s">
        <v>24</v>
      </c>
      <c r="K1635" s="2"/>
      <c r="L1635" s="2"/>
      <c r="M1635" s="2"/>
      <c r="N1635" s="2"/>
      <c r="O1635" s="1" t="s">
        <v>34</v>
      </c>
      <c r="P1635" s="2"/>
      <c r="Q1635" s="2"/>
    </row>
    <row r="1636" spans="1:18" ht="14.25" thickBot="1" x14ac:dyDescent="0.2">
      <c r="A1636" s="3" t="s">
        <v>0</v>
      </c>
      <c r="B1636" s="120" t="s">
        <v>18</v>
      </c>
      <c r="C1636" s="121"/>
      <c r="D1636" s="122"/>
      <c r="E1636" s="120" t="s">
        <v>19</v>
      </c>
      <c r="F1636" s="121"/>
      <c r="G1636" s="122"/>
      <c r="H1636" s="123" t="s">
        <v>1</v>
      </c>
      <c r="J1636" s="3" t="s">
        <v>0</v>
      </c>
      <c r="K1636" s="120" t="s">
        <v>18</v>
      </c>
      <c r="L1636" s="121"/>
      <c r="M1636" s="122"/>
      <c r="N1636" s="120" t="s">
        <v>19</v>
      </c>
      <c r="O1636" s="121"/>
      <c r="P1636" s="122"/>
      <c r="Q1636" s="123" t="s">
        <v>1</v>
      </c>
    </row>
    <row r="1637" spans="1:18" ht="14.25" thickBot="1" x14ac:dyDescent="0.2">
      <c r="A1637" s="3" t="s">
        <v>2</v>
      </c>
      <c r="B1637" s="4" t="s">
        <v>16</v>
      </c>
      <c r="C1637" s="5" t="s">
        <v>17</v>
      </c>
      <c r="D1637" s="3" t="s">
        <v>3</v>
      </c>
      <c r="E1637" s="4" t="s">
        <v>16</v>
      </c>
      <c r="F1637" s="5" t="s">
        <v>17</v>
      </c>
      <c r="G1637" s="3" t="s">
        <v>3</v>
      </c>
      <c r="H1637" s="124"/>
      <c r="J1637" s="3" t="s">
        <v>2</v>
      </c>
      <c r="K1637" s="4" t="s">
        <v>16</v>
      </c>
      <c r="L1637" s="5" t="s">
        <v>17</v>
      </c>
      <c r="M1637" s="3" t="s">
        <v>3</v>
      </c>
      <c r="N1637" s="4" t="s">
        <v>16</v>
      </c>
      <c r="O1637" s="5" t="s">
        <v>17</v>
      </c>
      <c r="P1637" s="3" t="s">
        <v>3</v>
      </c>
      <c r="Q1637" s="124"/>
    </row>
    <row r="1638" spans="1:18" ht="14.25" thickBot="1" x14ac:dyDescent="0.2">
      <c r="A1638" s="6" t="s">
        <v>55</v>
      </c>
      <c r="B1638" s="32">
        <f>B1632</f>
        <v>7</v>
      </c>
      <c r="C1638" s="33">
        <f>C1632</f>
        <v>18</v>
      </c>
      <c r="D1638" s="34">
        <f t="shared" ref="D1638:D1675" si="1050">SUM(B1638:C1638)</f>
        <v>25</v>
      </c>
      <c r="E1638" s="32">
        <f>E1632</f>
        <v>21</v>
      </c>
      <c r="F1638" s="33">
        <f>F1632</f>
        <v>9</v>
      </c>
      <c r="G1638" s="34">
        <f t="shared" ref="G1638:G1671" si="1051">SUM(E1638:F1638)</f>
        <v>30</v>
      </c>
      <c r="H1638" s="34">
        <f t="shared" ref="H1638:H1675" si="1052">D1638+G1638</f>
        <v>55</v>
      </c>
      <c r="J1638" s="6" t="s">
        <v>55</v>
      </c>
      <c r="K1638" s="32">
        <f>K1632</f>
        <v>905</v>
      </c>
      <c r="L1638" s="33">
        <f>L1632</f>
        <v>373</v>
      </c>
      <c r="M1638" s="34">
        <f t="shared" ref="M1638:M1675" si="1053">SUM(K1638:L1638)</f>
        <v>1278</v>
      </c>
      <c r="N1638" s="32">
        <f>N1632</f>
        <v>869</v>
      </c>
      <c r="O1638" s="33">
        <f>O1632</f>
        <v>0</v>
      </c>
      <c r="P1638" s="34">
        <f t="shared" ref="P1638:P1675" si="1054">SUM(N1638:O1638)</f>
        <v>869</v>
      </c>
      <c r="Q1638" s="34">
        <f t="shared" ref="Q1638:Q1675" si="1055">M1638+P1638</f>
        <v>2147</v>
      </c>
    </row>
    <row r="1639" spans="1:18" x14ac:dyDescent="0.15">
      <c r="A1639" s="10" t="s">
        <v>5</v>
      </c>
      <c r="B1639" s="23">
        <v>20</v>
      </c>
      <c r="C1639" s="24">
        <v>20</v>
      </c>
      <c r="D1639" s="17">
        <f t="shared" ref="D1639:D1644" si="1056">SUM(B1639:C1639)</f>
        <v>40</v>
      </c>
      <c r="E1639" s="25">
        <v>5</v>
      </c>
      <c r="F1639" s="24"/>
      <c r="G1639" s="17">
        <f t="shared" ref="G1639:G1644" si="1057">SUM(E1639:F1639)</f>
        <v>5</v>
      </c>
      <c r="H1639" s="17">
        <f t="shared" ref="H1639:H1644" si="1058">D1639+G1639</f>
        <v>45</v>
      </c>
      <c r="I1639" s="81">
        <v>45483</v>
      </c>
      <c r="J1639" s="10" t="s">
        <v>5</v>
      </c>
      <c r="K1639" s="15"/>
      <c r="L1639" s="16"/>
      <c r="M1639" s="17">
        <f t="shared" si="1053"/>
        <v>0</v>
      </c>
      <c r="N1639" s="18"/>
      <c r="O1639" s="16"/>
      <c r="P1639" s="17">
        <f t="shared" si="1054"/>
        <v>0</v>
      </c>
      <c r="Q1639" s="17">
        <f t="shared" si="1055"/>
        <v>0</v>
      </c>
    </row>
    <row r="1640" spans="1:18" x14ac:dyDescent="0.15">
      <c r="A1640" s="10" t="s">
        <v>6</v>
      </c>
      <c r="B1640" s="23">
        <v>5</v>
      </c>
      <c r="C1640" s="24">
        <v>10</v>
      </c>
      <c r="D1640" s="17">
        <f t="shared" si="1056"/>
        <v>15</v>
      </c>
      <c r="E1640" s="25">
        <v>5</v>
      </c>
      <c r="F1640" s="24"/>
      <c r="G1640" s="17">
        <f t="shared" si="1057"/>
        <v>5</v>
      </c>
      <c r="H1640" s="17">
        <f t="shared" si="1058"/>
        <v>20</v>
      </c>
      <c r="I1640" s="81">
        <v>45497</v>
      </c>
      <c r="J1640" s="10" t="s">
        <v>6</v>
      </c>
      <c r="K1640" s="15"/>
      <c r="L1640" s="16"/>
      <c r="M1640" s="17">
        <f t="shared" si="1053"/>
        <v>0</v>
      </c>
      <c r="N1640" s="18"/>
      <c r="O1640" s="16"/>
      <c r="P1640" s="17">
        <f t="shared" si="1054"/>
        <v>0</v>
      </c>
      <c r="Q1640" s="17">
        <f t="shared" si="1055"/>
        <v>0</v>
      </c>
    </row>
    <row r="1641" spans="1:18" x14ac:dyDescent="0.15">
      <c r="A1641" s="10" t="s">
        <v>61</v>
      </c>
      <c r="B1641" s="23"/>
      <c r="C1641" s="24">
        <v>4</v>
      </c>
      <c r="D1641" s="17">
        <f t="shared" si="1056"/>
        <v>4</v>
      </c>
      <c r="E1641" s="25"/>
      <c r="F1641" s="24"/>
      <c r="G1641" s="17">
        <f t="shared" si="1057"/>
        <v>0</v>
      </c>
      <c r="H1641" s="17">
        <f t="shared" si="1058"/>
        <v>4</v>
      </c>
      <c r="I1641" s="81">
        <v>45510</v>
      </c>
      <c r="J1641" s="10" t="s">
        <v>7</v>
      </c>
      <c r="K1641" s="15"/>
      <c r="L1641" s="16"/>
      <c r="M1641" s="17">
        <f t="shared" si="1053"/>
        <v>0</v>
      </c>
      <c r="N1641" s="18"/>
      <c r="O1641" s="16"/>
      <c r="P1641" s="17">
        <f t="shared" si="1054"/>
        <v>0</v>
      </c>
      <c r="Q1641" s="17">
        <f t="shared" si="1055"/>
        <v>0</v>
      </c>
    </row>
    <row r="1642" spans="1:18" x14ac:dyDescent="0.15">
      <c r="A1642" s="10" t="s">
        <v>8</v>
      </c>
      <c r="B1642" s="23">
        <v>10</v>
      </c>
      <c r="C1642" s="24"/>
      <c r="D1642" s="17">
        <f t="shared" si="1056"/>
        <v>10</v>
      </c>
      <c r="E1642" s="25">
        <v>10</v>
      </c>
      <c r="F1642" s="24"/>
      <c r="G1642" s="17">
        <f t="shared" si="1057"/>
        <v>10</v>
      </c>
      <c r="H1642" s="17">
        <f t="shared" si="1058"/>
        <v>20</v>
      </c>
      <c r="I1642" s="81">
        <v>45514</v>
      </c>
      <c r="J1642" s="10" t="s">
        <v>8</v>
      </c>
      <c r="K1642" s="15"/>
      <c r="L1642" s="16"/>
      <c r="M1642" s="17">
        <f t="shared" si="1053"/>
        <v>0</v>
      </c>
      <c r="N1642" s="18"/>
      <c r="O1642" s="16"/>
      <c r="P1642" s="17">
        <f t="shared" si="1054"/>
        <v>0</v>
      </c>
      <c r="Q1642" s="17">
        <f t="shared" si="1055"/>
        <v>0</v>
      </c>
    </row>
    <row r="1643" spans="1:18" x14ac:dyDescent="0.15">
      <c r="A1643" s="10" t="s">
        <v>9</v>
      </c>
      <c r="B1643" s="23"/>
      <c r="C1643" s="24"/>
      <c r="D1643" s="17">
        <f t="shared" si="1056"/>
        <v>0</v>
      </c>
      <c r="E1643" s="25"/>
      <c r="F1643" s="24"/>
      <c r="G1643" s="17">
        <f t="shared" si="1057"/>
        <v>0</v>
      </c>
      <c r="H1643" s="17">
        <f t="shared" si="1058"/>
        <v>0</v>
      </c>
      <c r="I1643" s="81"/>
      <c r="J1643" s="10" t="s">
        <v>9</v>
      </c>
      <c r="K1643" s="15"/>
      <c r="L1643" s="16"/>
      <c r="M1643" s="17">
        <f t="shared" si="1053"/>
        <v>0</v>
      </c>
      <c r="N1643" s="18"/>
      <c r="O1643" s="16"/>
      <c r="P1643" s="17">
        <f t="shared" si="1054"/>
        <v>0</v>
      </c>
      <c r="Q1643" s="17">
        <f t="shared" si="1055"/>
        <v>0</v>
      </c>
    </row>
    <row r="1644" spans="1:18" x14ac:dyDescent="0.15">
      <c r="A1644" s="10" t="s">
        <v>10</v>
      </c>
      <c r="B1644" s="23"/>
      <c r="C1644" s="24"/>
      <c r="D1644" s="17">
        <f t="shared" si="1056"/>
        <v>0</v>
      </c>
      <c r="E1644" s="25"/>
      <c r="F1644" s="24"/>
      <c r="G1644" s="17">
        <f t="shared" si="1057"/>
        <v>0</v>
      </c>
      <c r="H1644" s="17">
        <f t="shared" si="1058"/>
        <v>0</v>
      </c>
      <c r="I1644" s="81"/>
      <c r="J1644" s="10" t="s">
        <v>10</v>
      </c>
      <c r="K1644" s="15"/>
      <c r="L1644" s="16"/>
      <c r="M1644" s="17">
        <f t="shared" si="1053"/>
        <v>0</v>
      </c>
      <c r="N1644" s="18"/>
      <c r="O1644" s="16"/>
      <c r="P1644" s="17">
        <f t="shared" si="1054"/>
        <v>0</v>
      </c>
      <c r="Q1644" s="17">
        <f t="shared" si="1055"/>
        <v>0</v>
      </c>
    </row>
    <row r="1645" spans="1:18" x14ac:dyDescent="0.15">
      <c r="A1645" s="10" t="s">
        <v>11</v>
      </c>
      <c r="B1645" s="23"/>
      <c r="C1645" s="24"/>
      <c r="D1645" s="17">
        <f t="shared" si="1050"/>
        <v>0</v>
      </c>
      <c r="E1645" s="25"/>
      <c r="F1645" s="24"/>
      <c r="G1645" s="17">
        <f t="shared" si="1051"/>
        <v>0</v>
      </c>
      <c r="H1645" s="17">
        <f t="shared" si="1052"/>
        <v>0</v>
      </c>
      <c r="I1645" s="81"/>
      <c r="J1645" s="10" t="s">
        <v>11</v>
      </c>
      <c r="K1645" s="15"/>
      <c r="L1645" s="16"/>
      <c r="M1645" s="17">
        <f t="shared" si="1053"/>
        <v>0</v>
      </c>
      <c r="N1645" s="18"/>
      <c r="O1645" s="16"/>
      <c r="P1645" s="17">
        <f t="shared" si="1054"/>
        <v>0</v>
      </c>
      <c r="Q1645" s="17">
        <f t="shared" si="1055"/>
        <v>0</v>
      </c>
    </row>
    <row r="1646" spans="1:18" ht="14.25" thickBot="1" x14ac:dyDescent="0.2">
      <c r="A1646" s="10" t="s">
        <v>12</v>
      </c>
      <c r="B1646" s="23"/>
      <c r="C1646" s="24"/>
      <c r="D1646" s="17">
        <f t="shared" si="1050"/>
        <v>0</v>
      </c>
      <c r="E1646" s="25"/>
      <c r="F1646" s="24"/>
      <c r="G1646" s="17">
        <f t="shared" si="1051"/>
        <v>0</v>
      </c>
      <c r="H1646" s="17">
        <f t="shared" si="1052"/>
        <v>0</v>
      </c>
      <c r="I1646" s="81"/>
      <c r="J1646" s="10" t="s">
        <v>12</v>
      </c>
      <c r="K1646" s="15"/>
      <c r="L1646" s="16"/>
      <c r="M1646" s="17">
        <f t="shared" si="1053"/>
        <v>0</v>
      </c>
      <c r="N1646" s="18"/>
      <c r="O1646" s="16"/>
      <c r="P1646" s="17">
        <f t="shared" si="1054"/>
        <v>0</v>
      </c>
      <c r="Q1646" s="17">
        <f t="shared" si="1055"/>
        <v>0</v>
      </c>
    </row>
    <row r="1647" spans="1:18" ht="14.25" thickBot="1" x14ac:dyDescent="0.2">
      <c r="A1647" s="31" t="s">
        <v>13</v>
      </c>
      <c r="B1647" s="32">
        <f>SUM(B1638:B1646)</f>
        <v>42</v>
      </c>
      <c r="C1647" s="33">
        <f>SUM(C1638:C1646)</f>
        <v>52</v>
      </c>
      <c r="D1647" s="34">
        <f t="shared" si="1050"/>
        <v>94</v>
      </c>
      <c r="E1647" s="32">
        <f>SUM(E1638:E1646)</f>
        <v>41</v>
      </c>
      <c r="F1647" s="33">
        <f>SUM(F1638:F1646)</f>
        <v>9</v>
      </c>
      <c r="G1647" s="34">
        <f t="shared" si="1051"/>
        <v>50</v>
      </c>
      <c r="H1647" s="34">
        <f t="shared" si="1052"/>
        <v>144</v>
      </c>
      <c r="J1647" s="31" t="s">
        <v>13</v>
      </c>
      <c r="K1647" s="32">
        <f>SUM(K1638:K1646)</f>
        <v>905</v>
      </c>
      <c r="L1647" s="33">
        <f>SUM(L1638:L1646)</f>
        <v>373</v>
      </c>
      <c r="M1647" s="34">
        <f t="shared" si="1053"/>
        <v>1278</v>
      </c>
      <c r="N1647" s="32">
        <f>SUM(N1638:N1646)</f>
        <v>869</v>
      </c>
      <c r="O1647" s="33">
        <f>SUM(O1638:O1646)</f>
        <v>0</v>
      </c>
      <c r="P1647" s="34">
        <f t="shared" si="1054"/>
        <v>869</v>
      </c>
      <c r="Q1647" s="34">
        <f t="shared" si="1055"/>
        <v>2147</v>
      </c>
    </row>
    <row r="1648" spans="1:18" x14ac:dyDescent="0.15">
      <c r="A1648" s="35" t="s">
        <v>680</v>
      </c>
      <c r="B1648" s="15"/>
      <c r="C1648" s="16">
        <v>4</v>
      </c>
      <c r="D1648" s="36">
        <f t="shared" ref="D1648:D1671" si="1059">SUM(B1648:C1648)</f>
        <v>4</v>
      </c>
      <c r="E1648" s="18"/>
      <c r="F1648" s="16"/>
      <c r="G1648" s="36">
        <f t="shared" si="1051"/>
        <v>0</v>
      </c>
      <c r="H1648" s="17">
        <f t="shared" ref="H1648:H1671" si="1060">D1648+G1648</f>
        <v>4</v>
      </c>
      <c r="I1648" s="81">
        <v>45481</v>
      </c>
      <c r="J1648" s="52" t="s">
        <v>91</v>
      </c>
      <c r="K1648" s="15">
        <v>20</v>
      </c>
      <c r="L1648" s="16">
        <v>20</v>
      </c>
      <c r="M1648" s="36">
        <f t="shared" si="1053"/>
        <v>40</v>
      </c>
      <c r="N1648" s="18">
        <v>5</v>
      </c>
      <c r="O1648" s="16"/>
      <c r="P1648" s="36">
        <f t="shared" si="1054"/>
        <v>5</v>
      </c>
      <c r="Q1648" s="17">
        <f t="shared" si="1055"/>
        <v>45</v>
      </c>
      <c r="R1648" s="81">
        <v>45483</v>
      </c>
    </row>
    <row r="1649" spans="1:18" x14ac:dyDescent="0.15">
      <c r="A1649" s="35" t="s">
        <v>681</v>
      </c>
      <c r="B1649" s="15"/>
      <c r="C1649" s="16">
        <v>2</v>
      </c>
      <c r="D1649" s="36">
        <f t="shared" si="1059"/>
        <v>2</v>
      </c>
      <c r="E1649" s="18"/>
      <c r="F1649" s="16"/>
      <c r="G1649" s="36">
        <f t="shared" si="1051"/>
        <v>0</v>
      </c>
      <c r="H1649" s="17">
        <f t="shared" si="1060"/>
        <v>2</v>
      </c>
      <c r="I1649" s="81">
        <v>45481</v>
      </c>
      <c r="J1649" s="52" t="s">
        <v>91</v>
      </c>
      <c r="K1649" s="15">
        <v>5</v>
      </c>
      <c r="L1649" s="16">
        <v>10</v>
      </c>
      <c r="M1649" s="36">
        <f t="shared" si="1053"/>
        <v>15</v>
      </c>
      <c r="N1649" s="18">
        <v>5</v>
      </c>
      <c r="O1649" s="16"/>
      <c r="P1649" s="36">
        <f t="shared" si="1054"/>
        <v>5</v>
      </c>
      <c r="Q1649" s="17">
        <f t="shared" si="1055"/>
        <v>20</v>
      </c>
      <c r="R1649" s="81">
        <v>45497</v>
      </c>
    </row>
    <row r="1650" spans="1:18" x14ac:dyDescent="0.15">
      <c r="A1650" s="35" t="s">
        <v>651</v>
      </c>
      <c r="B1650" s="15">
        <v>1</v>
      </c>
      <c r="C1650" s="16">
        <v>3</v>
      </c>
      <c r="D1650" s="36">
        <f t="shared" si="1059"/>
        <v>4</v>
      </c>
      <c r="E1650" s="18"/>
      <c r="F1650" s="16">
        <v>3</v>
      </c>
      <c r="G1650" s="36">
        <f t="shared" si="1051"/>
        <v>3</v>
      </c>
      <c r="H1650" s="17">
        <f t="shared" si="1060"/>
        <v>7</v>
      </c>
      <c r="I1650" s="81">
        <v>45478</v>
      </c>
      <c r="J1650" s="52" t="s">
        <v>91</v>
      </c>
      <c r="K1650" s="15">
        <v>10</v>
      </c>
      <c r="L1650" s="16"/>
      <c r="M1650" s="36">
        <f t="shared" si="1053"/>
        <v>10</v>
      </c>
      <c r="N1650" s="18">
        <v>10</v>
      </c>
      <c r="O1650" s="16"/>
      <c r="P1650" s="36">
        <f t="shared" si="1054"/>
        <v>10</v>
      </c>
      <c r="Q1650" s="17">
        <f t="shared" si="1055"/>
        <v>20</v>
      </c>
      <c r="R1650" s="81">
        <v>45514</v>
      </c>
    </row>
    <row r="1651" spans="1:18" x14ac:dyDescent="0.15">
      <c r="A1651" s="35" t="s">
        <v>651</v>
      </c>
      <c r="B1651" s="15"/>
      <c r="C1651" s="16"/>
      <c r="D1651" s="36">
        <f t="shared" si="1059"/>
        <v>0</v>
      </c>
      <c r="E1651" s="18">
        <v>1</v>
      </c>
      <c r="F1651" s="16"/>
      <c r="G1651" s="36">
        <f t="shared" si="1051"/>
        <v>1</v>
      </c>
      <c r="H1651" s="17">
        <f t="shared" si="1060"/>
        <v>1</v>
      </c>
      <c r="I1651" s="81">
        <v>45479</v>
      </c>
      <c r="J1651" s="52"/>
      <c r="K1651" s="15"/>
      <c r="L1651" s="16"/>
      <c r="M1651" s="36">
        <f t="shared" si="1053"/>
        <v>0</v>
      </c>
      <c r="N1651" s="18"/>
      <c r="O1651" s="16"/>
      <c r="P1651" s="36">
        <f t="shared" si="1054"/>
        <v>0</v>
      </c>
      <c r="Q1651" s="17">
        <f t="shared" si="1055"/>
        <v>0</v>
      </c>
      <c r="R1651" s="83"/>
    </row>
    <row r="1652" spans="1:18" x14ac:dyDescent="0.15">
      <c r="A1652" s="35" t="s">
        <v>651</v>
      </c>
      <c r="B1652" s="15"/>
      <c r="C1652" s="16"/>
      <c r="D1652" s="36">
        <f t="shared" si="1059"/>
        <v>0</v>
      </c>
      <c r="E1652" s="18">
        <v>3</v>
      </c>
      <c r="F1652" s="16">
        <v>5</v>
      </c>
      <c r="G1652" s="36">
        <f t="shared" si="1051"/>
        <v>8</v>
      </c>
      <c r="H1652" s="17">
        <f t="shared" si="1060"/>
        <v>8</v>
      </c>
      <c r="I1652" s="81">
        <v>45481</v>
      </c>
      <c r="J1652" s="52"/>
      <c r="K1652" s="15"/>
      <c r="L1652" s="16"/>
      <c r="M1652" s="36">
        <f t="shared" si="1053"/>
        <v>0</v>
      </c>
      <c r="N1652" s="18"/>
      <c r="O1652" s="16"/>
      <c r="P1652" s="36">
        <f t="shared" si="1054"/>
        <v>0</v>
      </c>
      <c r="Q1652" s="17">
        <f t="shared" si="1055"/>
        <v>0</v>
      </c>
      <c r="R1652" s="83"/>
    </row>
    <row r="1653" spans="1:18" x14ac:dyDescent="0.15">
      <c r="A1653" s="35" t="s">
        <v>682</v>
      </c>
      <c r="B1653" s="15">
        <v>2</v>
      </c>
      <c r="C1653" s="16">
        <v>4</v>
      </c>
      <c r="D1653" s="36">
        <f t="shared" si="1059"/>
        <v>6</v>
      </c>
      <c r="E1653" s="18"/>
      <c r="F1653" s="16"/>
      <c r="G1653" s="36">
        <f t="shared" si="1051"/>
        <v>0</v>
      </c>
      <c r="H1653" s="17">
        <f t="shared" si="1060"/>
        <v>6</v>
      </c>
      <c r="I1653" s="81">
        <v>45484</v>
      </c>
      <c r="J1653" s="52"/>
      <c r="K1653" s="15"/>
      <c r="L1653" s="16"/>
      <c r="M1653" s="36">
        <f t="shared" si="1053"/>
        <v>0</v>
      </c>
      <c r="N1653" s="18"/>
      <c r="O1653" s="16"/>
      <c r="P1653" s="36">
        <f t="shared" si="1054"/>
        <v>0</v>
      </c>
      <c r="Q1653" s="17">
        <f t="shared" si="1055"/>
        <v>0</v>
      </c>
      <c r="R1653" s="83"/>
    </row>
    <row r="1654" spans="1:18" x14ac:dyDescent="0.15">
      <c r="A1654" s="35" t="s">
        <v>651</v>
      </c>
      <c r="B1654" s="15"/>
      <c r="C1654" s="16">
        <v>1</v>
      </c>
      <c r="D1654" s="36">
        <f t="shared" si="1059"/>
        <v>1</v>
      </c>
      <c r="E1654" s="18"/>
      <c r="F1654" s="16">
        <v>1</v>
      </c>
      <c r="G1654" s="36">
        <f t="shared" si="1051"/>
        <v>1</v>
      </c>
      <c r="H1654" s="17">
        <f t="shared" si="1060"/>
        <v>2</v>
      </c>
      <c r="I1654" s="81">
        <v>45482</v>
      </c>
      <c r="J1654" s="52"/>
      <c r="K1654" s="15"/>
      <c r="L1654" s="16"/>
      <c r="M1654" s="36">
        <f t="shared" si="1053"/>
        <v>0</v>
      </c>
      <c r="N1654" s="18"/>
      <c r="O1654" s="16"/>
      <c r="P1654" s="36">
        <f t="shared" si="1054"/>
        <v>0</v>
      </c>
      <c r="Q1654" s="17">
        <f t="shared" si="1055"/>
        <v>0</v>
      </c>
    </row>
    <row r="1655" spans="1:18" x14ac:dyDescent="0.15">
      <c r="A1655" s="35" t="s">
        <v>683</v>
      </c>
      <c r="B1655" s="15">
        <v>6</v>
      </c>
      <c r="C1655" s="16">
        <v>2</v>
      </c>
      <c r="D1655" s="36">
        <f t="shared" si="1059"/>
        <v>8</v>
      </c>
      <c r="E1655" s="18"/>
      <c r="F1655" s="16"/>
      <c r="G1655" s="36">
        <f t="shared" si="1051"/>
        <v>0</v>
      </c>
      <c r="H1655" s="17">
        <f t="shared" si="1060"/>
        <v>8</v>
      </c>
      <c r="I1655" s="81">
        <v>45485</v>
      </c>
      <c r="J1655" s="52"/>
      <c r="K1655" s="15"/>
      <c r="L1655" s="16"/>
      <c r="M1655" s="36">
        <f t="shared" si="1053"/>
        <v>0</v>
      </c>
      <c r="N1655" s="18"/>
      <c r="O1655" s="16"/>
      <c r="P1655" s="36">
        <f t="shared" si="1054"/>
        <v>0</v>
      </c>
      <c r="Q1655" s="17">
        <f t="shared" si="1055"/>
        <v>0</v>
      </c>
    </row>
    <row r="1656" spans="1:18" x14ac:dyDescent="0.15">
      <c r="A1656" s="35" t="s">
        <v>651</v>
      </c>
      <c r="B1656" s="15">
        <v>1</v>
      </c>
      <c r="C1656" s="16"/>
      <c r="D1656" s="36">
        <f t="shared" si="1059"/>
        <v>1</v>
      </c>
      <c r="E1656" s="18"/>
      <c r="F1656" s="16"/>
      <c r="G1656" s="36">
        <f t="shared" si="1051"/>
        <v>0</v>
      </c>
      <c r="H1656" s="17">
        <f t="shared" si="1060"/>
        <v>1</v>
      </c>
      <c r="I1656" s="81">
        <v>45484</v>
      </c>
      <c r="J1656" s="52"/>
      <c r="K1656" s="15"/>
      <c r="L1656" s="16"/>
      <c r="M1656" s="36">
        <f t="shared" si="1053"/>
        <v>0</v>
      </c>
      <c r="N1656" s="18"/>
      <c r="O1656" s="16"/>
      <c r="P1656" s="36">
        <f t="shared" si="1054"/>
        <v>0</v>
      </c>
      <c r="Q1656" s="17">
        <f t="shared" si="1055"/>
        <v>0</v>
      </c>
    </row>
    <row r="1657" spans="1:18" x14ac:dyDescent="0.15">
      <c r="A1657" s="35" t="s">
        <v>651</v>
      </c>
      <c r="B1657" s="15"/>
      <c r="C1657" s="16">
        <v>2</v>
      </c>
      <c r="D1657" s="36">
        <f t="shared" si="1059"/>
        <v>2</v>
      </c>
      <c r="E1657" s="18"/>
      <c r="F1657" s="16"/>
      <c r="G1657" s="36">
        <f t="shared" si="1051"/>
        <v>0</v>
      </c>
      <c r="H1657" s="17">
        <f t="shared" si="1060"/>
        <v>2</v>
      </c>
      <c r="I1657" s="81">
        <v>45485</v>
      </c>
      <c r="J1657" s="52"/>
      <c r="K1657" s="15"/>
      <c r="L1657" s="16"/>
      <c r="M1657" s="36">
        <f t="shared" si="1053"/>
        <v>0</v>
      </c>
      <c r="N1657" s="18"/>
      <c r="O1657" s="16"/>
      <c r="P1657" s="36">
        <f t="shared" si="1054"/>
        <v>0</v>
      </c>
      <c r="Q1657" s="17">
        <f t="shared" si="1055"/>
        <v>0</v>
      </c>
    </row>
    <row r="1658" spans="1:18" x14ac:dyDescent="0.15">
      <c r="A1658" s="35" t="s">
        <v>684</v>
      </c>
      <c r="B1658" s="15">
        <v>2</v>
      </c>
      <c r="C1658" s="16"/>
      <c r="D1658" s="36">
        <f t="shared" si="1059"/>
        <v>2</v>
      </c>
      <c r="E1658" s="18"/>
      <c r="F1658" s="16"/>
      <c r="G1658" s="36">
        <f t="shared" si="1051"/>
        <v>0</v>
      </c>
      <c r="H1658" s="17">
        <f t="shared" si="1060"/>
        <v>2</v>
      </c>
      <c r="I1658" s="81">
        <v>45491</v>
      </c>
      <c r="J1658" s="52"/>
      <c r="K1658" s="15"/>
      <c r="L1658" s="16"/>
      <c r="M1658" s="36">
        <f t="shared" si="1053"/>
        <v>0</v>
      </c>
      <c r="N1658" s="18"/>
      <c r="O1658" s="16"/>
      <c r="P1658" s="36">
        <f t="shared" si="1054"/>
        <v>0</v>
      </c>
      <c r="Q1658" s="17">
        <f t="shared" si="1055"/>
        <v>0</v>
      </c>
    </row>
    <row r="1659" spans="1:18" x14ac:dyDescent="0.15">
      <c r="A1659" s="35" t="s">
        <v>651</v>
      </c>
      <c r="B1659" s="15">
        <v>1</v>
      </c>
      <c r="C1659" s="16">
        <f>1+3</f>
        <v>4</v>
      </c>
      <c r="D1659" s="36">
        <f t="shared" si="1059"/>
        <v>5</v>
      </c>
      <c r="E1659" s="18">
        <f>1+1</f>
        <v>2</v>
      </c>
      <c r="F1659" s="16"/>
      <c r="G1659" s="36">
        <f t="shared" si="1051"/>
        <v>2</v>
      </c>
      <c r="H1659" s="17">
        <f t="shared" si="1060"/>
        <v>7</v>
      </c>
      <c r="I1659" s="84">
        <v>45489</v>
      </c>
      <c r="J1659" s="52"/>
      <c r="K1659" s="15"/>
      <c r="L1659" s="16"/>
      <c r="M1659" s="36">
        <f t="shared" si="1053"/>
        <v>0</v>
      </c>
      <c r="N1659" s="18"/>
      <c r="O1659" s="16"/>
      <c r="P1659" s="36">
        <f t="shared" si="1054"/>
        <v>0</v>
      </c>
      <c r="Q1659" s="17">
        <f t="shared" si="1055"/>
        <v>0</v>
      </c>
    </row>
    <row r="1660" spans="1:18" x14ac:dyDescent="0.15">
      <c r="A1660" s="35" t="s">
        <v>651</v>
      </c>
      <c r="B1660" s="15"/>
      <c r="C1660" s="16">
        <v>2</v>
      </c>
      <c r="D1660" s="36">
        <f t="shared" si="1059"/>
        <v>2</v>
      </c>
      <c r="E1660" s="18"/>
      <c r="F1660" s="16"/>
      <c r="G1660" s="36">
        <f t="shared" si="1051"/>
        <v>0</v>
      </c>
      <c r="H1660" s="17">
        <f t="shared" si="1060"/>
        <v>2</v>
      </c>
      <c r="I1660" s="84">
        <v>45492</v>
      </c>
      <c r="J1660" s="52"/>
      <c r="K1660" s="15"/>
      <c r="L1660" s="16"/>
      <c r="M1660" s="36">
        <f t="shared" si="1053"/>
        <v>0</v>
      </c>
      <c r="N1660" s="18"/>
      <c r="O1660" s="16"/>
      <c r="P1660" s="36">
        <f t="shared" si="1054"/>
        <v>0</v>
      </c>
      <c r="Q1660" s="17">
        <f t="shared" si="1055"/>
        <v>0</v>
      </c>
    </row>
    <row r="1661" spans="1:18" x14ac:dyDescent="0.15">
      <c r="A1661" s="35" t="s">
        <v>651</v>
      </c>
      <c r="B1661" s="15">
        <v>3</v>
      </c>
      <c r="C1661" s="16">
        <v>3</v>
      </c>
      <c r="D1661" s="36">
        <f t="shared" si="1059"/>
        <v>6</v>
      </c>
      <c r="E1661" s="18">
        <v>3</v>
      </c>
      <c r="F1661" s="16"/>
      <c r="G1661" s="36">
        <f t="shared" si="1051"/>
        <v>3</v>
      </c>
      <c r="H1661" s="17">
        <f t="shared" si="1060"/>
        <v>9</v>
      </c>
      <c r="I1661" s="84">
        <v>45495</v>
      </c>
      <c r="J1661" s="52"/>
      <c r="K1661" s="15"/>
      <c r="L1661" s="16"/>
      <c r="M1661" s="36">
        <f t="shared" si="1053"/>
        <v>0</v>
      </c>
      <c r="N1661" s="18"/>
      <c r="O1661" s="16"/>
      <c r="P1661" s="36">
        <f t="shared" si="1054"/>
        <v>0</v>
      </c>
      <c r="Q1661" s="17">
        <f t="shared" si="1055"/>
        <v>0</v>
      </c>
    </row>
    <row r="1662" spans="1:18" x14ac:dyDescent="0.15">
      <c r="A1662" s="35" t="s">
        <v>651</v>
      </c>
      <c r="B1662" s="15">
        <f>1+2</f>
        <v>3</v>
      </c>
      <c r="C1662" s="16">
        <v>2</v>
      </c>
      <c r="D1662" s="36">
        <f t="shared" si="1059"/>
        <v>5</v>
      </c>
      <c r="E1662" s="18">
        <v>1</v>
      </c>
      <c r="F1662" s="16"/>
      <c r="G1662" s="36">
        <f t="shared" si="1051"/>
        <v>1</v>
      </c>
      <c r="H1662" s="17">
        <f t="shared" si="1060"/>
        <v>6</v>
      </c>
      <c r="I1662" s="84">
        <v>45496</v>
      </c>
      <c r="J1662" s="52"/>
      <c r="K1662" s="15"/>
      <c r="L1662" s="16"/>
      <c r="M1662" s="36">
        <f t="shared" si="1053"/>
        <v>0</v>
      </c>
      <c r="N1662" s="18"/>
      <c r="O1662" s="16"/>
      <c r="P1662" s="36">
        <f t="shared" si="1054"/>
        <v>0</v>
      </c>
      <c r="Q1662" s="17">
        <f t="shared" si="1055"/>
        <v>0</v>
      </c>
    </row>
    <row r="1663" spans="1:18" x14ac:dyDescent="0.15">
      <c r="A1663" s="35" t="s">
        <v>651</v>
      </c>
      <c r="B1663" s="15">
        <v>3</v>
      </c>
      <c r="C1663" s="16"/>
      <c r="D1663" s="36">
        <f t="shared" si="1059"/>
        <v>3</v>
      </c>
      <c r="E1663" s="18">
        <v>2</v>
      </c>
      <c r="F1663" s="16"/>
      <c r="G1663" s="36">
        <f t="shared" si="1051"/>
        <v>2</v>
      </c>
      <c r="H1663" s="17">
        <f t="shared" si="1060"/>
        <v>5</v>
      </c>
      <c r="I1663" s="84">
        <v>45497</v>
      </c>
      <c r="J1663" s="52"/>
      <c r="K1663" s="15"/>
      <c r="L1663" s="16"/>
      <c r="M1663" s="36">
        <f t="shared" si="1053"/>
        <v>0</v>
      </c>
      <c r="N1663" s="18"/>
      <c r="O1663" s="16"/>
      <c r="P1663" s="36">
        <f t="shared" si="1054"/>
        <v>0</v>
      </c>
      <c r="Q1663" s="17">
        <f t="shared" si="1055"/>
        <v>0</v>
      </c>
    </row>
    <row r="1664" spans="1:18" x14ac:dyDescent="0.15">
      <c r="A1664" s="35" t="s">
        <v>651</v>
      </c>
      <c r="B1664" s="15"/>
      <c r="C1664" s="16"/>
      <c r="D1664" s="36">
        <f t="shared" si="1059"/>
        <v>0</v>
      </c>
      <c r="E1664" s="18">
        <v>2</v>
      </c>
      <c r="F1664" s="16"/>
      <c r="G1664" s="36">
        <f t="shared" si="1051"/>
        <v>2</v>
      </c>
      <c r="H1664" s="17">
        <f t="shared" si="1060"/>
        <v>2</v>
      </c>
      <c r="I1664" s="81">
        <v>45499</v>
      </c>
      <c r="J1664" s="52"/>
      <c r="K1664" s="15"/>
      <c r="L1664" s="16"/>
      <c r="M1664" s="36">
        <f t="shared" si="1053"/>
        <v>0</v>
      </c>
      <c r="N1664" s="18"/>
      <c r="O1664" s="16"/>
      <c r="P1664" s="36">
        <f t="shared" si="1054"/>
        <v>0</v>
      </c>
      <c r="Q1664" s="17">
        <f t="shared" si="1055"/>
        <v>0</v>
      </c>
    </row>
    <row r="1665" spans="1:17" x14ac:dyDescent="0.15">
      <c r="A1665" s="35" t="s">
        <v>685</v>
      </c>
      <c r="B1665" s="15"/>
      <c r="C1665" s="16">
        <v>1</v>
      </c>
      <c r="D1665" s="36">
        <f t="shared" si="1059"/>
        <v>1</v>
      </c>
      <c r="E1665" s="18"/>
      <c r="F1665" s="16"/>
      <c r="G1665" s="36">
        <f t="shared" si="1051"/>
        <v>0</v>
      </c>
      <c r="H1665" s="17">
        <f t="shared" si="1060"/>
        <v>1</v>
      </c>
      <c r="I1665" s="81">
        <v>45503</v>
      </c>
      <c r="J1665" s="52"/>
      <c r="K1665" s="15"/>
      <c r="L1665" s="16"/>
      <c r="M1665" s="36">
        <f t="shared" si="1053"/>
        <v>0</v>
      </c>
      <c r="N1665" s="18"/>
      <c r="O1665" s="16"/>
      <c r="P1665" s="36">
        <f t="shared" si="1054"/>
        <v>0</v>
      </c>
      <c r="Q1665" s="17">
        <f t="shared" si="1055"/>
        <v>0</v>
      </c>
    </row>
    <row r="1666" spans="1:17" x14ac:dyDescent="0.15">
      <c r="A1666" s="35" t="s">
        <v>651</v>
      </c>
      <c r="B1666" s="15"/>
      <c r="C1666" s="16"/>
      <c r="D1666" s="36">
        <f t="shared" si="1059"/>
        <v>0</v>
      </c>
      <c r="E1666" s="18">
        <v>3</v>
      </c>
      <c r="F1666" s="16"/>
      <c r="G1666" s="36">
        <f t="shared" si="1051"/>
        <v>3</v>
      </c>
      <c r="H1666" s="17">
        <f t="shared" si="1060"/>
        <v>3</v>
      </c>
      <c r="I1666" s="81">
        <v>45502</v>
      </c>
      <c r="J1666" s="52"/>
      <c r="K1666" s="15"/>
      <c r="L1666" s="16"/>
      <c r="M1666" s="36">
        <f t="shared" si="1053"/>
        <v>0</v>
      </c>
      <c r="N1666" s="18"/>
      <c r="O1666" s="16"/>
      <c r="P1666" s="36">
        <f t="shared" si="1054"/>
        <v>0</v>
      </c>
      <c r="Q1666" s="17">
        <f t="shared" si="1055"/>
        <v>0</v>
      </c>
    </row>
    <row r="1667" spans="1:17" x14ac:dyDescent="0.15">
      <c r="A1667" s="35" t="s">
        <v>686</v>
      </c>
      <c r="B1667" s="15">
        <v>1</v>
      </c>
      <c r="C1667" s="16"/>
      <c r="D1667" s="36">
        <f t="shared" si="1059"/>
        <v>1</v>
      </c>
      <c r="E1667" s="18">
        <v>1</v>
      </c>
      <c r="F1667" s="16"/>
      <c r="G1667" s="36">
        <f t="shared" si="1051"/>
        <v>1</v>
      </c>
      <c r="H1667" s="17">
        <f t="shared" si="1060"/>
        <v>2</v>
      </c>
      <c r="I1667" s="81">
        <v>45506</v>
      </c>
      <c r="J1667" s="52"/>
      <c r="K1667" s="15"/>
      <c r="L1667" s="16"/>
      <c r="M1667" s="36">
        <f t="shared" si="1053"/>
        <v>0</v>
      </c>
      <c r="N1667" s="18"/>
      <c r="O1667" s="16"/>
      <c r="P1667" s="36">
        <f t="shared" si="1054"/>
        <v>0</v>
      </c>
      <c r="Q1667" s="17">
        <f t="shared" si="1055"/>
        <v>0</v>
      </c>
    </row>
    <row r="1668" spans="1:17" x14ac:dyDescent="0.15">
      <c r="A1668" s="35" t="s">
        <v>651</v>
      </c>
      <c r="B1668" s="15"/>
      <c r="C1668" s="16">
        <v>1</v>
      </c>
      <c r="D1668" s="36">
        <f t="shared" si="1059"/>
        <v>1</v>
      </c>
      <c r="E1668" s="18"/>
      <c r="F1668" s="16"/>
      <c r="G1668" s="36">
        <f t="shared" si="1051"/>
        <v>0</v>
      </c>
      <c r="H1668" s="17">
        <f t="shared" si="1060"/>
        <v>1</v>
      </c>
      <c r="I1668" s="84">
        <v>45506</v>
      </c>
      <c r="J1668" s="52"/>
      <c r="K1668" s="15"/>
      <c r="L1668" s="16"/>
      <c r="M1668" s="36">
        <f t="shared" ref="M1668:M1673" si="1061">SUM(K1668:L1668)</f>
        <v>0</v>
      </c>
      <c r="N1668" s="18"/>
      <c r="O1668" s="16"/>
      <c r="P1668" s="36">
        <f t="shared" ref="P1668:P1673" si="1062">SUM(N1668:O1668)</f>
        <v>0</v>
      </c>
      <c r="Q1668" s="17">
        <f t="shared" ref="Q1668:Q1673" si="1063">M1668+P1668</f>
        <v>0</v>
      </c>
    </row>
    <row r="1669" spans="1:17" x14ac:dyDescent="0.15">
      <c r="A1669" s="35" t="s">
        <v>651</v>
      </c>
      <c r="B1669" s="15">
        <v>1</v>
      </c>
      <c r="C1669" s="16"/>
      <c r="D1669" s="36">
        <f t="shared" si="1059"/>
        <v>1</v>
      </c>
      <c r="E1669" s="18">
        <v>1</v>
      </c>
      <c r="F1669" s="16"/>
      <c r="G1669" s="36">
        <f t="shared" si="1051"/>
        <v>1</v>
      </c>
      <c r="H1669" s="17">
        <f t="shared" si="1060"/>
        <v>2</v>
      </c>
      <c r="I1669" s="84">
        <v>45509</v>
      </c>
      <c r="J1669" s="52"/>
      <c r="K1669" s="15"/>
      <c r="L1669" s="16"/>
      <c r="M1669" s="36">
        <f t="shared" si="1061"/>
        <v>0</v>
      </c>
      <c r="N1669" s="18"/>
      <c r="O1669" s="16"/>
      <c r="P1669" s="36">
        <f t="shared" si="1062"/>
        <v>0</v>
      </c>
      <c r="Q1669" s="17">
        <f t="shared" si="1063"/>
        <v>0</v>
      </c>
    </row>
    <row r="1670" spans="1:17" x14ac:dyDescent="0.15">
      <c r="A1670" s="35" t="s">
        <v>651</v>
      </c>
      <c r="B1670" s="15"/>
      <c r="C1670" s="16">
        <v>1</v>
      </c>
      <c r="D1670" s="36">
        <f t="shared" si="1059"/>
        <v>1</v>
      </c>
      <c r="E1670" s="18">
        <v>2</v>
      </c>
      <c r="F1670" s="16"/>
      <c r="G1670" s="36">
        <f t="shared" si="1051"/>
        <v>2</v>
      </c>
      <c r="H1670" s="17">
        <f t="shared" si="1060"/>
        <v>3</v>
      </c>
      <c r="I1670" s="84">
        <v>45510</v>
      </c>
      <c r="J1670" s="52"/>
      <c r="K1670" s="15"/>
      <c r="L1670" s="16"/>
      <c r="M1670" s="36">
        <f t="shared" si="1061"/>
        <v>0</v>
      </c>
      <c r="N1670" s="18"/>
      <c r="O1670" s="16"/>
      <c r="P1670" s="36">
        <f t="shared" si="1062"/>
        <v>0</v>
      </c>
      <c r="Q1670" s="17">
        <f t="shared" si="1063"/>
        <v>0</v>
      </c>
    </row>
    <row r="1671" spans="1:17" x14ac:dyDescent="0.15">
      <c r="A1671" s="35" t="s">
        <v>651</v>
      </c>
      <c r="B1671" s="15"/>
      <c r="C1671" s="16">
        <v>5</v>
      </c>
      <c r="D1671" s="36">
        <f t="shared" si="1059"/>
        <v>5</v>
      </c>
      <c r="E1671" s="18">
        <v>6</v>
      </c>
      <c r="F1671" s="16"/>
      <c r="G1671" s="36">
        <f t="shared" si="1051"/>
        <v>6</v>
      </c>
      <c r="H1671" s="17">
        <f t="shared" si="1060"/>
        <v>11</v>
      </c>
      <c r="I1671" s="84">
        <v>45513</v>
      </c>
      <c r="J1671" s="52"/>
      <c r="K1671" s="15"/>
      <c r="L1671" s="16"/>
      <c r="M1671" s="36">
        <f t="shared" si="1061"/>
        <v>0</v>
      </c>
      <c r="N1671" s="18"/>
      <c r="O1671" s="16"/>
      <c r="P1671" s="36">
        <f t="shared" si="1062"/>
        <v>0</v>
      </c>
      <c r="Q1671" s="17">
        <f t="shared" si="1063"/>
        <v>0</v>
      </c>
    </row>
    <row r="1672" spans="1:17" x14ac:dyDescent="0.15">
      <c r="A1672" s="35" t="s">
        <v>686</v>
      </c>
      <c r="B1672" s="15">
        <v>2</v>
      </c>
      <c r="C1672" s="16"/>
      <c r="D1672" s="36">
        <f t="shared" si="1050"/>
        <v>2</v>
      </c>
      <c r="E1672" s="18"/>
      <c r="F1672" s="16"/>
      <c r="G1672" s="36">
        <f t="shared" ref="G1672:G1675" si="1064">SUM(E1672:F1672)</f>
        <v>0</v>
      </c>
      <c r="H1672" s="17">
        <f t="shared" si="1052"/>
        <v>2</v>
      </c>
      <c r="I1672" s="81">
        <v>45523</v>
      </c>
      <c r="J1672" s="52"/>
      <c r="K1672" s="15"/>
      <c r="L1672" s="16"/>
      <c r="M1672" s="36">
        <f t="shared" si="1061"/>
        <v>0</v>
      </c>
      <c r="N1672" s="18"/>
      <c r="O1672" s="16"/>
      <c r="P1672" s="36">
        <f t="shared" si="1062"/>
        <v>0</v>
      </c>
      <c r="Q1672" s="17">
        <f t="shared" si="1063"/>
        <v>0</v>
      </c>
    </row>
    <row r="1673" spans="1:17" ht="14.25" thickBot="1" x14ac:dyDescent="0.2">
      <c r="A1673" s="35" t="s">
        <v>651</v>
      </c>
      <c r="B1673" s="15">
        <v>4</v>
      </c>
      <c r="C1673" s="16"/>
      <c r="D1673" s="36">
        <f t="shared" si="1050"/>
        <v>4</v>
      </c>
      <c r="E1673" s="18">
        <v>1</v>
      </c>
      <c r="F1673" s="16"/>
      <c r="G1673" s="36">
        <f t="shared" si="1064"/>
        <v>1</v>
      </c>
      <c r="H1673" s="17">
        <f t="shared" si="1052"/>
        <v>5</v>
      </c>
      <c r="I1673" s="81">
        <v>45515</v>
      </c>
      <c r="J1673" s="52"/>
      <c r="K1673" s="15"/>
      <c r="L1673" s="16"/>
      <c r="M1673" s="36">
        <f t="shared" si="1061"/>
        <v>0</v>
      </c>
      <c r="N1673" s="18"/>
      <c r="O1673" s="16"/>
      <c r="P1673" s="36">
        <f t="shared" si="1062"/>
        <v>0</v>
      </c>
      <c r="Q1673" s="17">
        <f t="shared" si="1063"/>
        <v>0</v>
      </c>
    </row>
    <row r="1674" spans="1:17" ht="14.25" thickBot="1" x14ac:dyDescent="0.2">
      <c r="A1674" s="40" t="s">
        <v>14</v>
      </c>
      <c r="B1674" s="41">
        <f>SUM(B1648:B1673)</f>
        <v>30</v>
      </c>
      <c r="C1674" s="42">
        <f t="shared" ref="C1674" si="1065">SUM(C1648:C1673)</f>
        <v>37</v>
      </c>
      <c r="D1674" s="43">
        <f t="shared" si="1050"/>
        <v>67</v>
      </c>
      <c r="E1674" s="41">
        <f>SUM(E1648:E1673)</f>
        <v>28</v>
      </c>
      <c r="F1674" s="96">
        <f t="shared" ref="F1674" si="1066">SUM(F1648:F1673)</f>
        <v>9</v>
      </c>
      <c r="G1674" s="43">
        <f t="shared" si="1064"/>
        <v>37</v>
      </c>
      <c r="H1674" s="43">
        <f t="shared" si="1052"/>
        <v>104</v>
      </c>
      <c r="J1674" s="40" t="s">
        <v>14</v>
      </c>
      <c r="K1674" s="41">
        <f>SUM(K1648:K1673)</f>
        <v>35</v>
      </c>
      <c r="L1674" s="42">
        <f t="shared" ref="L1674" si="1067">SUM(L1648:L1673)</f>
        <v>30</v>
      </c>
      <c r="M1674" s="43">
        <f t="shared" si="1053"/>
        <v>65</v>
      </c>
      <c r="N1674" s="41">
        <f>SUM(N1648:N1673)</f>
        <v>20</v>
      </c>
      <c r="O1674" s="96">
        <f t="shared" ref="O1674" si="1068">SUM(O1648:O1673)</f>
        <v>0</v>
      </c>
      <c r="P1674" s="43">
        <f t="shared" si="1054"/>
        <v>20</v>
      </c>
      <c r="Q1674" s="43">
        <f t="shared" si="1055"/>
        <v>85</v>
      </c>
    </row>
    <row r="1675" spans="1:17" ht="14.25" thickBot="1" x14ac:dyDescent="0.2">
      <c r="A1675" s="44" t="s">
        <v>15</v>
      </c>
      <c r="B1675" s="45">
        <f>B1647-B1674</f>
        <v>12</v>
      </c>
      <c r="C1675" s="46">
        <f t="shared" ref="C1675" si="1069">C1647-C1674</f>
        <v>15</v>
      </c>
      <c r="D1675" s="47">
        <f t="shared" si="1050"/>
        <v>27</v>
      </c>
      <c r="E1675" s="45">
        <f>E1647-E1674</f>
        <v>13</v>
      </c>
      <c r="F1675" s="97">
        <f t="shared" ref="F1675" si="1070">F1647-F1674</f>
        <v>0</v>
      </c>
      <c r="G1675" s="47">
        <f t="shared" si="1064"/>
        <v>13</v>
      </c>
      <c r="H1675" s="34">
        <f t="shared" si="1052"/>
        <v>40</v>
      </c>
      <c r="J1675" s="44" t="s">
        <v>15</v>
      </c>
      <c r="K1675" s="45">
        <f>K1647-K1674</f>
        <v>870</v>
      </c>
      <c r="L1675" s="46">
        <f t="shared" ref="L1675" si="1071">L1647-L1674</f>
        <v>343</v>
      </c>
      <c r="M1675" s="47">
        <f t="shared" si="1053"/>
        <v>1213</v>
      </c>
      <c r="N1675" s="45">
        <f>N1647-N1674</f>
        <v>849</v>
      </c>
      <c r="O1675" s="97">
        <f t="shared" ref="O1675" si="1072">O1647-O1674</f>
        <v>0</v>
      </c>
      <c r="P1675" s="47">
        <f t="shared" si="1054"/>
        <v>849</v>
      </c>
      <c r="Q1675" s="34">
        <f t="shared" si="1055"/>
        <v>2062</v>
      </c>
    </row>
    <row r="1676" spans="1:17" x14ac:dyDescent="0.15">
      <c r="F1676" t="s">
        <v>670</v>
      </c>
    </row>
    <row r="1678" spans="1:17" ht="19.5" thickBot="1" x14ac:dyDescent="0.25">
      <c r="A1678" s="1" t="s">
        <v>23</v>
      </c>
      <c r="J1678" s="1" t="s">
        <v>24</v>
      </c>
      <c r="K1678" s="2"/>
      <c r="L1678" s="2"/>
      <c r="M1678" s="2"/>
      <c r="N1678" s="2"/>
      <c r="O1678" s="1" t="s">
        <v>34</v>
      </c>
      <c r="P1678" s="2"/>
      <c r="Q1678" s="2"/>
    </row>
    <row r="1679" spans="1:17" ht="14.25" thickBot="1" x14ac:dyDescent="0.2">
      <c r="A1679" s="3" t="s">
        <v>0</v>
      </c>
      <c r="B1679" s="120" t="s">
        <v>18</v>
      </c>
      <c r="C1679" s="121"/>
      <c r="D1679" s="122"/>
      <c r="E1679" s="120" t="s">
        <v>19</v>
      </c>
      <c r="F1679" s="121"/>
      <c r="G1679" s="122"/>
      <c r="H1679" s="123" t="s">
        <v>1</v>
      </c>
      <c r="J1679" s="3" t="s">
        <v>0</v>
      </c>
      <c r="K1679" s="120" t="s">
        <v>18</v>
      </c>
      <c r="L1679" s="121"/>
      <c r="M1679" s="122"/>
      <c r="N1679" s="120" t="s">
        <v>19</v>
      </c>
      <c r="O1679" s="121"/>
      <c r="P1679" s="122"/>
      <c r="Q1679" s="123" t="s">
        <v>1</v>
      </c>
    </row>
    <row r="1680" spans="1:17" ht="14.25" thickBot="1" x14ac:dyDescent="0.2">
      <c r="A1680" s="3" t="s">
        <v>2</v>
      </c>
      <c r="B1680" s="4" t="s">
        <v>16</v>
      </c>
      <c r="C1680" s="5" t="s">
        <v>17</v>
      </c>
      <c r="D1680" s="3" t="s">
        <v>3</v>
      </c>
      <c r="E1680" s="4" t="s">
        <v>16</v>
      </c>
      <c r="F1680" s="5" t="s">
        <v>17</v>
      </c>
      <c r="G1680" s="3" t="s">
        <v>3</v>
      </c>
      <c r="H1680" s="124"/>
      <c r="J1680" s="3" t="s">
        <v>2</v>
      </c>
      <c r="K1680" s="4" t="s">
        <v>16</v>
      </c>
      <c r="L1680" s="5" t="s">
        <v>17</v>
      </c>
      <c r="M1680" s="3" t="s">
        <v>3</v>
      </c>
      <c r="N1680" s="4" t="s">
        <v>16</v>
      </c>
      <c r="O1680" s="5" t="s">
        <v>17</v>
      </c>
      <c r="P1680" s="3" t="s">
        <v>3</v>
      </c>
      <c r="Q1680" s="124"/>
    </row>
    <row r="1681" spans="1:19" ht="14.25" thickBot="1" x14ac:dyDescent="0.2">
      <c r="A1681" s="6" t="s">
        <v>55</v>
      </c>
      <c r="B1681" s="32">
        <f>B1675</f>
        <v>12</v>
      </c>
      <c r="C1681" s="33">
        <f>C1675</f>
        <v>15</v>
      </c>
      <c r="D1681" s="34">
        <f t="shared" ref="D1681:D1718" si="1073">SUM(B1681:C1681)</f>
        <v>27</v>
      </c>
      <c r="E1681" s="32">
        <f>E1675</f>
        <v>13</v>
      </c>
      <c r="F1681" s="33">
        <f>F1675</f>
        <v>0</v>
      </c>
      <c r="G1681" s="34">
        <f t="shared" ref="G1681:G1718" si="1074">SUM(E1681:F1681)</f>
        <v>13</v>
      </c>
      <c r="H1681" s="34">
        <f t="shared" ref="H1681:H1718" si="1075">D1681+G1681</f>
        <v>40</v>
      </c>
      <c r="J1681" s="6" t="s">
        <v>55</v>
      </c>
      <c r="K1681" s="32">
        <f>K1675</f>
        <v>870</v>
      </c>
      <c r="L1681" s="33">
        <f>L1675</f>
        <v>343</v>
      </c>
      <c r="M1681" s="34">
        <f t="shared" ref="M1681:M1718" si="1076">SUM(K1681:L1681)</f>
        <v>1213</v>
      </c>
      <c r="N1681" s="32">
        <f>N1675</f>
        <v>849</v>
      </c>
      <c r="O1681" s="33">
        <f>O1675</f>
        <v>0</v>
      </c>
      <c r="P1681" s="34">
        <f t="shared" ref="P1681:P1718" si="1077">SUM(N1681:O1681)</f>
        <v>849</v>
      </c>
      <c r="Q1681" s="34">
        <f t="shared" ref="Q1681:Q1718" si="1078">M1681+P1681</f>
        <v>2062</v>
      </c>
    </row>
    <row r="1682" spans="1:19" x14ac:dyDescent="0.15">
      <c r="A1682" s="10" t="s">
        <v>5</v>
      </c>
      <c r="B1682" s="15">
        <v>5</v>
      </c>
      <c r="C1682" s="16">
        <v>5</v>
      </c>
      <c r="D1682" s="17">
        <f t="shared" si="1073"/>
        <v>10</v>
      </c>
      <c r="E1682" s="18">
        <v>10</v>
      </c>
      <c r="F1682" s="16"/>
      <c r="G1682" s="17">
        <f t="shared" si="1074"/>
        <v>10</v>
      </c>
      <c r="H1682" s="17">
        <f t="shared" si="1075"/>
        <v>20</v>
      </c>
      <c r="I1682" s="81">
        <v>45525</v>
      </c>
      <c r="J1682" s="10" t="s">
        <v>5</v>
      </c>
      <c r="K1682" s="15"/>
      <c r="L1682" s="16"/>
      <c r="M1682" s="17">
        <f t="shared" si="1076"/>
        <v>0</v>
      </c>
      <c r="N1682" s="18"/>
      <c r="O1682" s="16"/>
      <c r="P1682" s="17">
        <f t="shared" si="1077"/>
        <v>0</v>
      </c>
      <c r="Q1682" s="17">
        <f t="shared" si="1078"/>
        <v>0</v>
      </c>
    </row>
    <row r="1683" spans="1:19" x14ac:dyDescent="0.15">
      <c r="A1683" s="10" t="s">
        <v>110</v>
      </c>
      <c r="B1683" s="15">
        <v>2</v>
      </c>
      <c r="C1683" s="16">
        <v>0</v>
      </c>
      <c r="D1683" s="17">
        <f t="shared" si="1073"/>
        <v>2</v>
      </c>
      <c r="E1683" s="18">
        <v>-2</v>
      </c>
      <c r="F1683" s="16"/>
      <c r="G1683" s="17">
        <f t="shared" si="1074"/>
        <v>-2</v>
      </c>
      <c r="H1683" s="17">
        <f t="shared" si="1075"/>
        <v>0</v>
      </c>
      <c r="I1683" s="81">
        <v>45530</v>
      </c>
      <c r="J1683" s="10" t="s">
        <v>6</v>
      </c>
      <c r="K1683" s="15"/>
      <c r="L1683" s="16"/>
      <c r="M1683" s="17">
        <f t="shared" si="1076"/>
        <v>0</v>
      </c>
      <c r="N1683" s="18"/>
      <c r="O1683" s="16"/>
      <c r="P1683" s="17">
        <f t="shared" si="1077"/>
        <v>0</v>
      </c>
      <c r="Q1683" s="17">
        <f t="shared" si="1078"/>
        <v>0</v>
      </c>
    </row>
    <row r="1684" spans="1:19" x14ac:dyDescent="0.15">
      <c r="A1684" s="10" t="s">
        <v>7</v>
      </c>
      <c r="B1684" s="15">
        <v>10</v>
      </c>
      <c r="C1684" s="16">
        <v>10</v>
      </c>
      <c r="D1684" s="17">
        <f t="shared" si="1073"/>
        <v>20</v>
      </c>
      <c r="E1684" s="18"/>
      <c r="F1684" s="16"/>
      <c r="G1684" s="17">
        <f t="shared" si="1074"/>
        <v>0</v>
      </c>
      <c r="H1684" s="17">
        <f t="shared" si="1075"/>
        <v>20</v>
      </c>
      <c r="I1684" s="81">
        <v>45535</v>
      </c>
      <c r="J1684" s="10" t="s">
        <v>7</v>
      </c>
      <c r="K1684" s="15"/>
      <c r="L1684" s="16"/>
      <c r="M1684" s="17">
        <f t="shared" si="1076"/>
        <v>0</v>
      </c>
      <c r="N1684" s="18"/>
      <c r="O1684" s="16"/>
      <c r="P1684" s="17">
        <f t="shared" si="1077"/>
        <v>0</v>
      </c>
      <c r="Q1684" s="17">
        <f t="shared" si="1078"/>
        <v>0</v>
      </c>
    </row>
    <row r="1685" spans="1:19" x14ac:dyDescent="0.15">
      <c r="A1685" s="10" t="s">
        <v>8</v>
      </c>
      <c r="B1685" s="15">
        <v>10</v>
      </c>
      <c r="C1685" s="16">
        <v>5</v>
      </c>
      <c r="D1685" s="17">
        <f t="shared" si="1073"/>
        <v>15</v>
      </c>
      <c r="E1685" s="18"/>
      <c r="F1685" s="16"/>
      <c r="G1685" s="17">
        <f t="shared" si="1074"/>
        <v>0</v>
      </c>
      <c r="H1685" s="17">
        <f t="shared" si="1075"/>
        <v>15</v>
      </c>
      <c r="I1685" s="81">
        <v>45539</v>
      </c>
      <c r="J1685" s="10" t="s">
        <v>8</v>
      </c>
      <c r="K1685" s="15"/>
      <c r="L1685" s="16"/>
      <c r="M1685" s="17">
        <f t="shared" si="1076"/>
        <v>0</v>
      </c>
      <c r="N1685" s="18"/>
      <c r="O1685" s="16"/>
      <c r="P1685" s="17">
        <f t="shared" si="1077"/>
        <v>0</v>
      </c>
      <c r="Q1685" s="17">
        <f t="shared" si="1078"/>
        <v>0</v>
      </c>
    </row>
    <row r="1686" spans="1:19" x14ac:dyDescent="0.15">
      <c r="A1686" s="10" t="s">
        <v>9</v>
      </c>
      <c r="B1686" s="15"/>
      <c r="C1686" s="16"/>
      <c r="D1686" s="17">
        <f t="shared" si="1073"/>
        <v>0</v>
      </c>
      <c r="E1686" s="18">
        <v>15</v>
      </c>
      <c r="F1686" s="16"/>
      <c r="G1686" s="17">
        <f t="shared" si="1074"/>
        <v>15</v>
      </c>
      <c r="H1686" s="17">
        <f t="shared" si="1075"/>
        <v>15</v>
      </c>
      <c r="I1686" s="81">
        <v>45541</v>
      </c>
      <c r="J1686" s="10" t="s">
        <v>9</v>
      </c>
      <c r="K1686" s="15"/>
      <c r="L1686" s="16"/>
      <c r="M1686" s="17">
        <f t="shared" si="1076"/>
        <v>0</v>
      </c>
      <c r="N1686" s="18"/>
      <c r="O1686" s="16"/>
      <c r="P1686" s="17">
        <f t="shared" si="1077"/>
        <v>0</v>
      </c>
      <c r="Q1686" s="17">
        <f t="shared" si="1078"/>
        <v>0</v>
      </c>
    </row>
    <row r="1687" spans="1:19" x14ac:dyDescent="0.15">
      <c r="A1687" s="10" t="s">
        <v>10</v>
      </c>
      <c r="B1687" s="15">
        <v>10</v>
      </c>
      <c r="C1687" s="16">
        <v>15</v>
      </c>
      <c r="D1687" s="17">
        <f t="shared" si="1073"/>
        <v>25</v>
      </c>
      <c r="E1687" s="18">
        <v>15</v>
      </c>
      <c r="F1687" s="16"/>
      <c r="G1687" s="17">
        <f t="shared" si="1074"/>
        <v>15</v>
      </c>
      <c r="H1687" s="17">
        <f t="shared" si="1075"/>
        <v>40</v>
      </c>
      <c r="I1687" s="81">
        <v>45545</v>
      </c>
      <c r="J1687" s="10" t="s">
        <v>10</v>
      </c>
      <c r="K1687" s="15"/>
      <c r="L1687" s="16"/>
      <c r="M1687" s="17">
        <f t="shared" si="1076"/>
        <v>0</v>
      </c>
      <c r="N1687" s="18"/>
      <c r="O1687" s="16"/>
      <c r="P1687" s="17">
        <f t="shared" si="1077"/>
        <v>0</v>
      </c>
      <c r="Q1687" s="17">
        <f t="shared" si="1078"/>
        <v>0</v>
      </c>
    </row>
    <row r="1688" spans="1:19" x14ac:dyDescent="0.15">
      <c r="A1688" s="10" t="s">
        <v>11</v>
      </c>
      <c r="B1688" s="15">
        <v>15</v>
      </c>
      <c r="C1688" s="16">
        <v>20</v>
      </c>
      <c r="D1688" s="17">
        <f t="shared" si="1073"/>
        <v>35</v>
      </c>
      <c r="E1688" s="18">
        <v>20</v>
      </c>
      <c r="F1688" s="16"/>
      <c r="G1688" s="17">
        <f t="shared" si="1074"/>
        <v>20</v>
      </c>
      <c r="H1688" s="17">
        <f t="shared" si="1075"/>
        <v>55</v>
      </c>
      <c r="I1688" s="81">
        <v>45552</v>
      </c>
      <c r="J1688" s="10" t="s">
        <v>11</v>
      </c>
      <c r="K1688" s="15"/>
      <c r="L1688" s="16"/>
      <c r="M1688" s="17">
        <f t="shared" si="1076"/>
        <v>0</v>
      </c>
      <c r="N1688" s="18"/>
      <c r="O1688" s="16"/>
      <c r="P1688" s="17">
        <f t="shared" si="1077"/>
        <v>0</v>
      </c>
      <c r="Q1688" s="17">
        <f t="shared" si="1078"/>
        <v>0</v>
      </c>
    </row>
    <row r="1689" spans="1:19" ht="14.25" thickBot="1" x14ac:dyDescent="0.2">
      <c r="A1689" s="10" t="s">
        <v>12</v>
      </c>
      <c r="B1689" s="15"/>
      <c r="C1689" s="16"/>
      <c r="D1689" s="17">
        <f t="shared" si="1073"/>
        <v>0</v>
      </c>
      <c r="E1689" s="18"/>
      <c r="F1689" s="16"/>
      <c r="G1689" s="17">
        <f t="shared" si="1074"/>
        <v>0</v>
      </c>
      <c r="H1689" s="17">
        <f t="shared" si="1075"/>
        <v>0</v>
      </c>
      <c r="J1689" s="10" t="s">
        <v>12</v>
      </c>
      <c r="K1689" s="15"/>
      <c r="L1689" s="16"/>
      <c r="M1689" s="17">
        <f t="shared" si="1076"/>
        <v>0</v>
      </c>
      <c r="N1689" s="18"/>
      <c r="O1689" s="16"/>
      <c r="P1689" s="17">
        <f t="shared" si="1077"/>
        <v>0</v>
      </c>
      <c r="Q1689" s="17">
        <f t="shared" si="1078"/>
        <v>0</v>
      </c>
    </row>
    <row r="1690" spans="1:19" ht="14.25" thickBot="1" x14ac:dyDescent="0.2">
      <c r="A1690" s="31" t="s">
        <v>13</v>
      </c>
      <c r="B1690" s="32">
        <f>SUM(B1681:B1689)</f>
        <v>64</v>
      </c>
      <c r="C1690" s="33">
        <f>SUM(C1681:C1689)</f>
        <v>70</v>
      </c>
      <c r="D1690" s="34">
        <f t="shared" si="1073"/>
        <v>134</v>
      </c>
      <c r="E1690" s="32">
        <f>SUM(E1681:E1689)</f>
        <v>71</v>
      </c>
      <c r="F1690" s="33">
        <f>SUM(F1681:F1689)</f>
        <v>0</v>
      </c>
      <c r="G1690" s="34">
        <f t="shared" si="1074"/>
        <v>71</v>
      </c>
      <c r="H1690" s="34">
        <f t="shared" si="1075"/>
        <v>205</v>
      </c>
      <c r="J1690" s="31" t="s">
        <v>13</v>
      </c>
      <c r="K1690" s="32">
        <f>SUM(K1681:K1689)</f>
        <v>870</v>
      </c>
      <c r="L1690" s="33">
        <f>SUM(L1681:L1689)</f>
        <v>343</v>
      </c>
      <c r="M1690" s="34">
        <f t="shared" si="1076"/>
        <v>1213</v>
      </c>
      <c r="N1690" s="32">
        <f>SUM(N1681:N1689)</f>
        <v>849</v>
      </c>
      <c r="O1690" s="33">
        <f>SUM(O1681:O1689)</f>
        <v>0</v>
      </c>
      <c r="P1690" s="34">
        <f t="shared" si="1077"/>
        <v>849</v>
      </c>
      <c r="Q1690" s="34">
        <f t="shared" si="1078"/>
        <v>2062</v>
      </c>
    </row>
    <row r="1691" spans="1:19" x14ac:dyDescent="0.15">
      <c r="A1691" s="35" t="s">
        <v>651</v>
      </c>
      <c r="B1691" s="15"/>
      <c r="C1691" s="16"/>
      <c r="D1691" s="36">
        <f t="shared" si="1073"/>
        <v>0</v>
      </c>
      <c r="E1691" s="18">
        <v>1</v>
      </c>
      <c r="F1691" s="16"/>
      <c r="G1691" s="36">
        <f t="shared" si="1074"/>
        <v>1</v>
      </c>
      <c r="H1691" s="17">
        <f t="shared" si="1075"/>
        <v>1</v>
      </c>
      <c r="I1691" s="84">
        <v>45520</v>
      </c>
      <c r="J1691" s="52" t="s">
        <v>91</v>
      </c>
      <c r="K1691" s="15">
        <v>5</v>
      </c>
      <c r="L1691" s="16">
        <v>5</v>
      </c>
      <c r="M1691" s="36">
        <f t="shared" si="1076"/>
        <v>10</v>
      </c>
      <c r="N1691" s="18">
        <v>10</v>
      </c>
      <c r="O1691" s="16"/>
      <c r="P1691" s="36">
        <f t="shared" si="1077"/>
        <v>10</v>
      </c>
      <c r="Q1691" s="17">
        <f t="shared" si="1078"/>
        <v>20</v>
      </c>
      <c r="R1691" s="81">
        <v>45525</v>
      </c>
    </row>
    <row r="1692" spans="1:19" x14ac:dyDescent="0.15">
      <c r="A1692" s="35" t="s">
        <v>651</v>
      </c>
      <c r="B1692" s="15"/>
      <c r="C1692" s="16"/>
      <c r="D1692" s="36">
        <f t="shared" si="1073"/>
        <v>0</v>
      </c>
      <c r="E1692" s="18">
        <v>1</v>
      </c>
      <c r="F1692" s="16"/>
      <c r="G1692" s="36">
        <f t="shared" si="1074"/>
        <v>1</v>
      </c>
      <c r="H1692" s="17">
        <f t="shared" si="1075"/>
        <v>1</v>
      </c>
      <c r="I1692" s="84">
        <v>45523</v>
      </c>
      <c r="J1692" s="52" t="s">
        <v>91</v>
      </c>
      <c r="K1692" s="15">
        <v>10</v>
      </c>
      <c r="L1692" s="16">
        <v>10</v>
      </c>
      <c r="M1692" s="36">
        <f t="shared" si="1076"/>
        <v>20</v>
      </c>
      <c r="N1692" s="18"/>
      <c r="O1692" s="16"/>
      <c r="P1692" s="36">
        <f t="shared" si="1077"/>
        <v>0</v>
      </c>
      <c r="Q1692" s="17">
        <f t="shared" si="1078"/>
        <v>20</v>
      </c>
      <c r="R1692" s="81">
        <v>45535</v>
      </c>
    </row>
    <row r="1693" spans="1:19" x14ac:dyDescent="0.15">
      <c r="A1693" s="35" t="s">
        <v>689</v>
      </c>
      <c r="B1693" s="15"/>
      <c r="C1693" s="16">
        <v>4</v>
      </c>
      <c r="D1693" s="36">
        <f t="shared" si="1073"/>
        <v>4</v>
      </c>
      <c r="E1693" s="18"/>
      <c r="F1693" s="16"/>
      <c r="G1693" s="36">
        <f t="shared" si="1074"/>
        <v>0</v>
      </c>
      <c r="H1693" s="17">
        <f t="shared" si="1075"/>
        <v>4</v>
      </c>
      <c r="I1693" s="81">
        <v>45526</v>
      </c>
      <c r="J1693" s="52" t="s">
        <v>91</v>
      </c>
      <c r="K1693" s="15">
        <v>10</v>
      </c>
      <c r="L1693" s="16">
        <v>5</v>
      </c>
      <c r="M1693" s="36">
        <f t="shared" si="1076"/>
        <v>15</v>
      </c>
      <c r="N1693" s="18"/>
      <c r="O1693" s="16"/>
      <c r="P1693" s="36">
        <f t="shared" si="1077"/>
        <v>0</v>
      </c>
      <c r="Q1693" s="17">
        <f t="shared" si="1078"/>
        <v>15</v>
      </c>
      <c r="R1693" s="81">
        <v>45539</v>
      </c>
    </row>
    <row r="1694" spans="1:19" x14ac:dyDescent="0.15">
      <c r="A1694" s="35" t="s">
        <v>651</v>
      </c>
      <c r="B1694" s="15"/>
      <c r="C1694" s="16"/>
      <c r="D1694" s="36">
        <f t="shared" si="1073"/>
        <v>0</v>
      </c>
      <c r="E1694" s="18">
        <v>2</v>
      </c>
      <c r="F1694" s="16"/>
      <c r="G1694" s="36">
        <f t="shared" si="1074"/>
        <v>2</v>
      </c>
      <c r="H1694" s="17">
        <f t="shared" si="1075"/>
        <v>2</v>
      </c>
      <c r="I1694" s="81">
        <v>45527</v>
      </c>
      <c r="J1694" s="52" t="s">
        <v>91</v>
      </c>
      <c r="K1694" s="15"/>
      <c r="L1694" s="16"/>
      <c r="M1694" s="36">
        <f t="shared" si="1076"/>
        <v>0</v>
      </c>
      <c r="N1694" s="18">
        <v>15</v>
      </c>
      <c r="O1694" s="16"/>
      <c r="P1694" s="36">
        <f t="shared" si="1077"/>
        <v>15</v>
      </c>
      <c r="Q1694" s="17">
        <f t="shared" si="1078"/>
        <v>15</v>
      </c>
      <c r="R1694" s="81">
        <v>45541</v>
      </c>
      <c r="S1694" s="22"/>
    </row>
    <row r="1695" spans="1:19" x14ac:dyDescent="0.15">
      <c r="A1695" s="35" t="s">
        <v>651</v>
      </c>
      <c r="B1695" s="15">
        <v>1</v>
      </c>
      <c r="C1695" s="16">
        <v>2</v>
      </c>
      <c r="D1695" s="36">
        <f t="shared" si="1073"/>
        <v>3</v>
      </c>
      <c r="E1695" s="18"/>
      <c r="F1695" s="16"/>
      <c r="G1695" s="36">
        <f t="shared" si="1074"/>
        <v>0</v>
      </c>
      <c r="H1695" s="17">
        <f t="shared" si="1075"/>
        <v>3</v>
      </c>
      <c r="I1695" s="84">
        <v>45530</v>
      </c>
      <c r="J1695" s="52" t="s">
        <v>91</v>
      </c>
      <c r="K1695" s="15">
        <v>10</v>
      </c>
      <c r="L1695" s="16">
        <v>15</v>
      </c>
      <c r="M1695" s="36">
        <f t="shared" si="1076"/>
        <v>25</v>
      </c>
      <c r="N1695" s="18">
        <v>15</v>
      </c>
      <c r="O1695" s="16"/>
      <c r="P1695" s="36">
        <f t="shared" si="1077"/>
        <v>15</v>
      </c>
      <c r="Q1695" s="17">
        <f t="shared" si="1078"/>
        <v>40</v>
      </c>
      <c r="R1695" s="81">
        <v>45545</v>
      </c>
      <c r="S1695" s="22"/>
    </row>
    <row r="1696" spans="1:19" x14ac:dyDescent="0.15">
      <c r="A1696" s="35" t="s">
        <v>690</v>
      </c>
      <c r="B1696" s="15">
        <v>4</v>
      </c>
      <c r="C1696" s="16"/>
      <c r="D1696" s="36">
        <f t="shared" si="1073"/>
        <v>4</v>
      </c>
      <c r="E1696" s="18"/>
      <c r="F1696" s="16"/>
      <c r="G1696" s="36">
        <f t="shared" si="1074"/>
        <v>0</v>
      </c>
      <c r="H1696" s="17">
        <f t="shared" si="1075"/>
        <v>4</v>
      </c>
      <c r="I1696" s="81">
        <v>45534</v>
      </c>
      <c r="J1696" s="52" t="s">
        <v>691</v>
      </c>
      <c r="K1696" s="15">
        <v>10</v>
      </c>
      <c r="L1696" s="16">
        <v>13</v>
      </c>
      <c r="M1696" s="36">
        <f t="shared" ref="M1696:M1697" si="1079">SUM(K1696:L1696)</f>
        <v>23</v>
      </c>
      <c r="N1696" s="18"/>
      <c r="O1696" s="16"/>
      <c r="P1696" s="36">
        <f t="shared" ref="P1696:P1697" si="1080">SUM(N1696:O1696)</f>
        <v>0</v>
      </c>
      <c r="Q1696" s="17">
        <f t="shared" ref="Q1696:Q1697" si="1081">M1696+P1696</f>
        <v>23</v>
      </c>
      <c r="R1696" s="81">
        <v>45549</v>
      </c>
      <c r="S1696" s="22"/>
    </row>
    <row r="1697" spans="1:19" x14ac:dyDescent="0.15">
      <c r="A1697" s="35" t="s">
        <v>651</v>
      </c>
      <c r="B1697" s="15"/>
      <c r="C1697" s="16">
        <v>1</v>
      </c>
      <c r="D1697" s="36">
        <f t="shared" si="1073"/>
        <v>1</v>
      </c>
      <c r="E1697" s="18"/>
      <c r="F1697" s="16"/>
      <c r="G1697" s="36">
        <f t="shared" si="1074"/>
        <v>0</v>
      </c>
      <c r="H1697" s="17">
        <f t="shared" si="1075"/>
        <v>1</v>
      </c>
      <c r="I1697" s="84">
        <v>45533</v>
      </c>
      <c r="J1697" s="52" t="s">
        <v>91</v>
      </c>
      <c r="K1697" s="15">
        <v>15</v>
      </c>
      <c r="L1697" s="16">
        <v>20</v>
      </c>
      <c r="M1697" s="36">
        <f t="shared" si="1079"/>
        <v>35</v>
      </c>
      <c r="N1697" s="18">
        <v>20</v>
      </c>
      <c r="O1697" s="16"/>
      <c r="P1697" s="36">
        <f t="shared" si="1080"/>
        <v>20</v>
      </c>
      <c r="Q1697" s="17">
        <f t="shared" si="1081"/>
        <v>55</v>
      </c>
      <c r="R1697" s="81">
        <v>45552</v>
      </c>
      <c r="S1697" s="22"/>
    </row>
    <row r="1698" spans="1:19" x14ac:dyDescent="0.15">
      <c r="A1698" s="35" t="s">
        <v>651</v>
      </c>
      <c r="B1698" s="15"/>
      <c r="C1698" s="16">
        <v>2</v>
      </c>
      <c r="D1698" s="36">
        <f t="shared" si="1073"/>
        <v>2</v>
      </c>
      <c r="E1698" s="18"/>
      <c r="F1698" s="16"/>
      <c r="G1698" s="36">
        <f t="shared" si="1074"/>
        <v>0</v>
      </c>
      <c r="H1698" s="17">
        <f t="shared" si="1075"/>
        <v>2</v>
      </c>
      <c r="I1698" s="84">
        <v>45534</v>
      </c>
      <c r="J1698" s="52"/>
      <c r="K1698" s="15"/>
      <c r="L1698" s="16"/>
      <c r="M1698" s="36">
        <f t="shared" si="1076"/>
        <v>0</v>
      </c>
      <c r="N1698" s="18"/>
      <c r="O1698" s="16"/>
      <c r="P1698" s="36">
        <f t="shared" si="1077"/>
        <v>0</v>
      </c>
      <c r="Q1698" s="17">
        <f t="shared" si="1078"/>
        <v>0</v>
      </c>
      <c r="R1698" s="83"/>
    </row>
    <row r="1699" spans="1:19" x14ac:dyDescent="0.15">
      <c r="A1699" s="35" t="s">
        <v>651</v>
      </c>
      <c r="B1699" s="15">
        <f>2+2+1+2</f>
        <v>7</v>
      </c>
      <c r="C1699" s="16">
        <f>1+1</f>
        <v>2</v>
      </c>
      <c r="D1699" s="36">
        <f t="shared" ref="D1699:D1716" si="1082">SUM(B1699:C1699)</f>
        <v>9</v>
      </c>
      <c r="E1699" s="18">
        <v>3</v>
      </c>
      <c r="F1699" s="16"/>
      <c r="G1699" s="36">
        <f t="shared" ref="G1699:G1716" si="1083">SUM(E1699:F1699)</f>
        <v>3</v>
      </c>
      <c r="H1699" s="17">
        <f t="shared" ref="H1699:H1716" si="1084">D1699+G1699</f>
        <v>12</v>
      </c>
      <c r="I1699" s="84">
        <v>45537</v>
      </c>
      <c r="J1699" s="52"/>
      <c r="K1699" s="15"/>
      <c r="L1699" s="16"/>
      <c r="M1699" s="36">
        <f t="shared" si="1076"/>
        <v>0</v>
      </c>
      <c r="N1699" s="18"/>
      <c r="O1699" s="16"/>
      <c r="P1699" s="36">
        <f t="shared" si="1077"/>
        <v>0</v>
      </c>
      <c r="Q1699" s="17">
        <f t="shared" si="1078"/>
        <v>0</v>
      </c>
      <c r="R1699" s="83"/>
    </row>
    <row r="1700" spans="1:19" x14ac:dyDescent="0.15">
      <c r="A1700" s="35" t="s">
        <v>651</v>
      </c>
      <c r="B1700" s="15">
        <f>1+1</f>
        <v>2</v>
      </c>
      <c r="C1700" s="16">
        <f>2+2</f>
        <v>4</v>
      </c>
      <c r="D1700" s="36">
        <f t="shared" si="1082"/>
        <v>6</v>
      </c>
      <c r="E1700" s="18"/>
      <c r="F1700" s="16"/>
      <c r="G1700" s="36">
        <f t="shared" si="1083"/>
        <v>0</v>
      </c>
      <c r="H1700" s="17">
        <f t="shared" si="1084"/>
        <v>6</v>
      </c>
      <c r="I1700" s="84">
        <v>45538</v>
      </c>
      <c r="J1700" s="52"/>
      <c r="K1700" s="15"/>
      <c r="L1700" s="16"/>
      <c r="M1700" s="36">
        <f t="shared" si="1076"/>
        <v>0</v>
      </c>
      <c r="N1700" s="18"/>
      <c r="O1700" s="16"/>
      <c r="P1700" s="36">
        <f t="shared" si="1077"/>
        <v>0</v>
      </c>
      <c r="Q1700" s="17">
        <f t="shared" si="1078"/>
        <v>0</v>
      </c>
    </row>
    <row r="1701" spans="1:19" x14ac:dyDescent="0.15">
      <c r="A1701" s="35" t="s">
        <v>651</v>
      </c>
      <c r="B1701" s="15">
        <v>1</v>
      </c>
      <c r="C1701" s="16">
        <v>1</v>
      </c>
      <c r="D1701" s="36">
        <f t="shared" si="1082"/>
        <v>2</v>
      </c>
      <c r="E1701" s="18"/>
      <c r="F1701" s="16"/>
      <c r="G1701" s="36">
        <f t="shared" si="1083"/>
        <v>0</v>
      </c>
      <c r="H1701" s="17">
        <f t="shared" si="1084"/>
        <v>2</v>
      </c>
      <c r="I1701" s="84">
        <v>45539</v>
      </c>
      <c r="J1701" s="52"/>
      <c r="K1701" s="15"/>
      <c r="L1701" s="16"/>
      <c r="M1701" s="36">
        <f t="shared" si="1076"/>
        <v>0</v>
      </c>
      <c r="N1701" s="18"/>
      <c r="O1701" s="16"/>
      <c r="P1701" s="36">
        <f t="shared" si="1077"/>
        <v>0</v>
      </c>
      <c r="Q1701" s="17">
        <f t="shared" si="1078"/>
        <v>0</v>
      </c>
    </row>
    <row r="1702" spans="1:19" x14ac:dyDescent="0.15">
      <c r="A1702" s="35" t="s">
        <v>651</v>
      </c>
      <c r="B1702" s="15">
        <v>2</v>
      </c>
      <c r="C1702" s="16">
        <v>3</v>
      </c>
      <c r="D1702" s="36">
        <f t="shared" si="1082"/>
        <v>5</v>
      </c>
      <c r="E1702" s="18">
        <v>9</v>
      </c>
      <c r="F1702" s="16"/>
      <c r="G1702" s="36">
        <f t="shared" si="1083"/>
        <v>9</v>
      </c>
      <c r="H1702" s="17">
        <f t="shared" si="1084"/>
        <v>14</v>
      </c>
      <c r="I1702" s="84">
        <v>45540</v>
      </c>
      <c r="J1702" s="52"/>
      <c r="K1702" s="15"/>
      <c r="L1702" s="16"/>
      <c r="M1702" s="36">
        <f t="shared" si="1076"/>
        <v>0</v>
      </c>
      <c r="N1702" s="18"/>
      <c r="O1702" s="16"/>
      <c r="P1702" s="36">
        <f t="shared" si="1077"/>
        <v>0</v>
      </c>
      <c r="Q1702" s="17">
        <f t="shared" si="1078"/>
        <v>0</v>
      </c>
    </row>
    <row r="1703" spans="1:19" x14ac:dyDescent="0.15">
      <c r="A1703" s="35" t="s">
        <v>651</v>
      </c>
      <c r="B1703" s="15">
        <v>3</v>
      </c>
      <c r="C1703" s="16">
        <v>3</v>
      </c>
      <c r="D1703" s="36">
        <f t="shared" si="1082"/>
        <v>6</v>
      </c>
      <c r="E1703" s="18">
        <v>4</v>
      </c>
      <c r="F1703" s="16"/>
      <c r="G1703" s="36">
        <f t="shared" si="1083"/>
        <v>4</v>
      </c>
      <c r="H1703" s="17">
        <f t="shared" si="1084"/>
        <v>10</v>
      </c>
      <c r="I1703" s="84">
        <v>45541</v>
      </c>
      <c r="J1703" s="52"/>
      <c r="K1703" s="15"/>
      <c r="L1703" s="16"/>
      <c r="M1703" s="36">
        <f t="shared" si="1076"/>
        <v>0</v>
      </c>
      <c r="N1703" s="18"/>
      <c r="O1703" s="16"/>
      <c r="P1703" s="36">
        <f t="shared" si="1077"/>
        <v>0</v>
      </c>
      <c r="Q1703" s="17">
        <f t="shared" si="1078"/>
        <v>0</v>
      </c>
    </row>
    <row r="1704" spans="1:19" x14ac:dyDescent="0.15">
      <c r="A1704" s="35" t="s">
        <v>651</v>
      </c>
      <c r="B1704" s="15">
        <v>1</v>
      </c>
      <c r="C1704" s="16"/>
      <c r="D1704" s="36">
        <f t="shared" si="1082"/>
        <v>1</v>
      </c>
      <c r="E1704" s="18"/>
      <c r="F1704" s="16"/>
      <c r="G1704" s="36">
        <f t="shared" si="1083"/>
        <v>0</v>
      </c>
      <c r="H1704" s="17">
        <f t="shared" si="1084"/>
        <v>1</v>
      </c>
      <c r="I1704" s="84">
        <v>45542</v>
      </c>
      <c r="J1704" s="52"/>
      <c r="K1704" s="15"/>
      <c r="L1704" s="16"/>
      <c r="M1704" s="36">
        <f t="shared" si="1076"/>
        <v>0</v>
      </c>
      <c r="N1704" s="18"/>
      <c r="O1704" s="16"/>
      <c r="P1704" s="36">
        <f t="shared" si="1077"/>
        <v>0</v>
      </c>
      <c r="Q1704" s="17">
        <f t="shared" si="1078"/>
        <v>0</v>
      </c>
    </row>
    <row r="1705" spans="1:19" x14ac:dyDescent="0.15">
      <c r="A1705" s="35" t="s">
        <v>651</v>
      </c>
      <c r="B1705" s="15">
        <v>4</v>
      </c>
      <c r="C1705" s="16">
        <v>7</v>
      </c>
      <c r="D1705" s="36">
        <f t="shared" si="1082"/>
        <v>11</v>
      </c>
      <c r="E1705" s="18">
        <v>7</v>
      </c>
      <c r="F1705" s="16"/>
      <c r="G1705" s="36">
        <f t="shared" si="1083"/>
        <v>7</v>
      </c>
      <c r="H1705" s="17">
        <f t="shared" si="1084"/>
        <v>18</v>
      </c>
      <c r="I1705" s="84">
        <v>45544</v>
      </c>
      <c r="J1705" s="52"/>
      <c r="K1705" s="15"/>
      <c r="L1705" s="16"/>
      <c r="M1705" s="36">
        <f t="shared" si="1076"/>
        <v>0</v>
      </c>
      <c r="N1705" s="18"/>
      <c r="O1705" s="16"/>
      <c r="P1705" s="36">
        <f t="shared" si="1077"/>
        <v>0</v>
      </c>
      <c r="Q1705" s="17">
        <f t="shared" si="1078"/>
        <v>0</v>
      </c>
    </row>
    <row r="1706" spans="1:19" x14ac:dyDescent="0.15">
      <c r="A1706" s="35" t="s">
        <v>651</v>
      </c>
      <c r="B1706" s="15">
        <v>1</v>
      </c>
      <c r="C1706" s="16"/>
      <c r="D1706" s="36">
        <f t="shared" si="1082"/>
        <v>1</v>
      </c>
      <c r="E1706" s="18">
        <v>2</v>
      </c>
      <c r="F1706" s="16"/>
      <c r="G1706" s="36">
        <f t="shared" si="1083"/>
        <v>2</v>
      </c>
      <c r="H1706" s="17">
        <f t="shared" si="1084"/>
        <v>3</v>
      </c>
      <c r="I1706" s="84">
        <v>45545</v>
      </c>
      <c r="J1706" s="52"/>
      <c r="K1706" s="15"/>
      <c r="L1706" s="16"/>
      <c r="M1706" s="36">
        <f t="shared" si="1076"/>
        <v>0</v>
      </c>
      <c r="N1706" s="18"/>
      <c r="O1706" s="16"/>
      <c r="P1706" s="36">
        <f t="shared" si="1077"/>
        <v>0</v>
      </c>
      <c r="Q1706" s="17">
        <f t="shared" si="1078"/>
        <v>0</v>
      </c>
    </row>
    <row r="1707" spans="1:19" x14ac:dyDescent="0.15">
      <c r="A1707" s="35" t="s">
        <v>651</v>
      </c>
      <c r="B1707" s="15">
        <f>1+4+1</f>
        <v>6</v>
      </c>
      <c r="C1707" s="16">
        <f>1+1</f>
        <v>2</v>
      </c>
      <c r="D1707" s="36">
        <f t="shared" si="1082"/>
        <v>8</v>
      </c>
      <c r="E1707" s="18">
        <v>1</v>
      </c>
      <c r="F1707" s="16"/>
      <c r="G1707" s="36">
        <f t="shared" si="1083"/>
        <v>1</v>
      </c>
      <c r="H1707" s="17">
        <f t="shared" si="1084"/>
        <v>9</v>
      </c>
      <c r="I1707" s="84">
        <v>45546</v>
      </c>
      <c r="J1707" s="52"/>
      <c r="K1707" s="15"/>
      <c r="L1707" s="16"/>
      <c r="M1707" s="36">
        <f t="shared" si="1076"/>
        <v>0</v>
      </c>
      <c r="N1707" s="18"/>
      <c r="O1707" s="16"/>
      <c r="P1707" s="36">
        <f t="shared" si="1077"/>
        <v>0</v>
      </c>
      <c r="Q1707" s="17">
        <f t="shared" si="1078"/>
        <v>0</v>
      </c>
    </row>
    <row r="1708" spans="1:19" x14ac:dyDescent="0.15">
      <c r="A1708" s="35" t="s">
        <v>651</v>
      </c>
      <c r="B1708" s="15">
        <v>1</v>
      </c>
      <c r="C1708" s="16">
        <v>1</v>
      </c>
      <c r="D1708" s="36">
        <f t="shared" si="1082"/>
        <v>2</v>
      </c>
      <c r="E1708" s="18"/>
      <c r="F1708" s="16"/>
      <c r="G1708" s="36">
        <f t="shared" si="1083"/>
        <v>0</v>
      </c>
      <c r="H1708" s="17">
        <f t="shared" si="1084"/>
        <v>2</v>
      </c>
      <c r="I1708" s="84">
        <v>45547</v>
      </c>
      <c r="J1708" s="52"/>
      <c r="K1708" s="15"/>
      <c r="L1708" s="16"/>
      <c r="M1708" s="36">
        <f t="shared" si="1076"/>
        <v>0</v>
      </c>
      <c r="N1708" s="18"/>
      <c r="O1708" s="16"/>
      <c r="P1708" s="36">
        <f t="shared" si="1077"/>
        <v>0</v>
      </c>
      <c r="Q1708" s="17">
        <f t="shared" si="1078"/>
        <v>0</v>
      </c>
    </row>
    <row r="1709" spans="1:19" x14ac:dyDescent="0.15">
      <c r="A1709" s="35" t="s">
        <v>651</v>
      </c>
      <c r="B1709" s="15">
        <v>1</v>
      </c>
      <c r="C1709" s="16"/>
      <c r="D1709" s="36">
        <f t="shared" si="1082"/>
        <v>1</v>
      </c>
      <c r="E1709" s="18">
        <v>2</v>
      </c>
      <c r="F1709" s="16"/>
      <c r="G1709" s="36">
        <f t="shared" si="1083"/>
        <v>2</v>
      </c>
      <c r="H1709" s="17">
        <f t="shared" si="1084"/>
        <v>3</v>
      </c>
      <c r="I1709" s="84">
        <v>45548</v>
      </c>
      <c r="J1709" s="52"/>
      <c r="K1709" s="15"/>
      <c r="L1709" s="16"/>
      <c r="M1709" s="36">
        <f t="shared" si="1076"/>
        <v>0</v>
      </c>
      <c r="N1709" s="18"/>
      <c r="O1709" s="16"/>
      <c r="P1709" s="36">
        <f t="shared" si="1077"/>
        <v>0</v>
      </c>
      <c r="Q1709" s="17">
        <f t="shared" si="1078"/>
        <v>0</v>
      </c>
    </row>
    <row r="1710" spans="1:19" x14ac:dyDescent="0.15">
      <c r="A1710" s="35" t="s">
        <v>651</v>
      </c>
      <c r="B1710" s="15">
        <f>2+8</f>
        <v>10</v>
      </c>
      <c r="C1710" s="16">
        <f>1+16</f>
        <v>17</v>
      </c>
      <c r="D1710" s="36">
        <f t="shared" si="1082"/>
        <v>27</v>
      </c>
      <c r="E1710" s="18">
        <f>2+6</f>
        <v>8</v>
      </c>
      <c r="F1710" s="16"/>
      <c r="G1710" s="36">
        <f t="shared" si="1083"/>
        <v>8</v>
      </c>
      <c r="H1710" s="17">
        <f t="shared" si="1084"/>
        <v>35</v>
      </c>
      <c r="I1710" s="84">
        <v>45552</v>
      </c>
      <c r="J1710" s="52"/>
      <c r="K1710" s="15"/>
      <c r="L1710" s="16"/>
      <c r="M1710" s="36">
        <f t="shared" si="1076"/>
        <v>0</v>
      </c>
      <c r="N1710" s="18"/>
      <c r="O1710" s="16"/>
      <c r="P1710" s="36">
        <f t="shared" si="1077"/>
        <v>0</v>
      </c>
      <c r="Q1710" s="17">
        <f t="shared" si="1078"/>
        <v>0</v>
      </c>
    </row>
    <row r="1711" spans="1:19" x14ac:dyDescent="0.15">
      <c r="A1711" s="35" t="s">
        <v>651</v>
      </c>
      <c r="B1711" s="15">
        <v>3</v>
      </c>
      <c r="C1711" s="16">
        <v>1</v>
      </c>
      <c r="D1711" s="36">
        <f t="shared" si="1082"/>
        <v>4</v>
      </c>
      <c r="E1711" s="18">
        <v>1</v>
      </c>
      <c r="F1711" s="16"/>
      <c r="G1711" s="36">
        <f t="shared" si="1083"/>
        <v>1</v>
      </c>
      <c r="H1711" s="17">
        <f t="shared" si="1084"/>
        <v>5</v>
      </c>
      <c r="I1711" s="84">
        <v>45553</v>
      </c>
      <c r="J1711" s="52"/>
      <c r="K1711" s="15"/>
      <c r="L1711" s="16"/>
      <c r="M1711" s="36">
        <f t="shared" si="1076"/>
        <v>0</v>
      </c>
      <c r="N1711" s="18"/>
      <c r="O1711" s="16"/>
      <c r="P1711" s="36">
        <f t="shared" si="1077"/>
        <v>0</v>
      </c>
      <c r="Q1711" s="17">
        <f t="shared" si="1078"/>
        <v>0</v>
      </c>
    </row>
    <row r="1712" spans="1:19" x14ac:dyDescent="0.15">
      <c r="A1712" s="35" t="s">
        <v>651</v>
      </c>
      <c r="B1712" s="15">
        <v>1</v>
      </c>
      <c r="C1712" s="16">
        <v>1</v>
      </c>
      <c r="D1712" s="36">
        <f t="shared" si="1082"/>
        <v>2</v>
      </c>
      <c r="E1712" s="18"/>
      <c r="F1712" s="16"/>
      <c r="G1712" s="36">
        <f t="shared" si="1083"/>
        <v>0</v>
      </c>
      <c r="H1712" s="17">
        <f t="shared" si="1084"/>
        <v>2</v>
      </c>
      <c r="I1712" s="84">
        <v>45554</v>
      </c>
      <c r="J1712" s="52"/>
      <c r="K1712" s="15"/>
      <c r="L1712" s="16"/>
      <c r="M1712" s="36">
        <f t="shared" si="1076"/>
        <v>0</v>
      </c>
      <c r="N1712" s="18"/>
      <c r="O1712" s="16"/>
      <c r="P1712" s="36">
        <f t="shared" si="1077"/>
        <v>0</v>
      </c>
      <c r="Q1712" s="17">
        <f t="shared" si="1078"/>
        <v>0</v>
      </c>
    </row>
    <row r="1713" spans="1:19" x14ac:dyDescent="0.15">
      <c r="A1713" s="35" t="s">
        <v>651</v>
      </c>
      <c r="B1713" s="15">
        <v>1</v>
      </c>
      <c r="C1713" s="16">
        <v>2</v>
      </c>
      <c r="D1713" s="36">
        <f t="shared" si="1082"/>
        <v>3</v>
      </c>
      <c r="E1713" s="18">
        <v>1</v>
      </c>
      <c r="F1713" s="16"/>
      <c r="G1713" s="36">
        <f t="shared" si="1083"/>
        <v>1</v>
      </c>
      <c r="H1713" s="17">
        <f t="shared" si="1084"/>
        <v>4</v>
      </c>
      <c r="I1713" s="81">
        <v>45555</v>
      </c>
      <c r="J1713" s="52"/>
      <c r="K1713" s="15"/>
      <c r="L1713" s="16"/>
      <c r="M1713" s="36">
        <f t="shared" si="1076"/>
        <v>0</v>
      </c>
      <c r="N1713" s="18"/>
      <c r="O1713" s="16"/>
      <c r="P1713" s="36">
        <f t="shared" si="1077"/>
        <v>0</v>
      </c>
      <c r="Q1713" s="17">
        <f t="shared" si="1078"/>
        <v>0</v>
      </c>
    </row>
    <row r="1714" spans="1:19" x14ac:dyDescent="0.15">
      <c r="A1714" s="35" t="s">
        <v>651</v>
      </c>
      <c r="B1714" s="15">
        <v>2</v>
      </c>
      <c r="C1714" s="16">
        <v>1</v>
      </c>
      <c r="D1714" s="36">
        <f t="shared" si="1082"/>
        <v>3</v>
      </c>
      <c r="E1714" s="18"/>
      <c r="F1714" s="16"/>
      <c r="G1714" s="36">
        <f t="shared" si="1083"/>
        <v>0</v>
      </c>
      <c r="H1714" s="17">
        <f t="shared" si="1084"/>
        <v>3</v>
      </c>
      <c r="I1714" s="81">
        <v>45556</v>
      </c>
      <c r="J1714" s="52"/>
      <c r="K1714" s="15"/>
      <c r="L1714" s="16"/>
      <c r="M1714" s="36">
        <f t="shared" si="1076"/>
        <v>0</v>
      </c>
      <c r="N1714" s="18"/>
      <c r="O1714" s="16"/>
      <c r="P1714" s="36">
        <f t="shared" si="1077"/>
        <v>0</v>
      </c>
      <c r="Q1714" s="17">
        <f t="shared" si="1078"/>
        <v>0</v>
      </c>
    </row>
    <row r="1715" spans="1:19" x14ac:dyDescent="0.15">
      <c r="A1715" s="35" t="s">
        <v>651</v>
      </c>
      <c r="B1715" s="15">
        <v>1</v>
      </c>
      <c r="C1715" s="16">
        <v>2</v>
      </c>
      <c r="D1715" s="36">
        <f t="shared" si="1082"/>
        <v>3</v>
      </c>
      <c r="E1715" s="18">
        <f>1+5</f>
        <v>6</v>
      </c>
      <c r="F1715" s="16"/>
      <c r="G1715" s="36">
        <f t="shared" si="1083"/>
        <v>6</v>
      </c>
      <c r="H1715" s="17">
        <f t="shared" si="1084"/>
        <v>9</v>
      </c>
      <c r="I1715" s="81">
        <v>45559</v>
      </c>
      <c r="J1715" s="52"/>
      <c r="K1715" s="15"/>
      <c r="L1715" s="16"/>
      <c r="M1715" s="36">
        <f t="shared" si="1076"/>
        <v>0</v>
      </c>
      <c r="N1715" s="18"/>
      <c r="O1715" s="16"/>
      <c r="P1715" s="36">
        <f t="shared" si="1077"/>
        <v>0</v>
      </c>
      <c r="Q1715" s="17">
        <f t="shared" si="1078"/>
        <v>0</v>
      </c>
      <c r="R1715" s="83"/>
      <c r="S1715" s="22"/>
    </row>
    <row r="1716" spans="1:19" ht="14.25" thickBot="1" x14ac:dyDescent="0.2">
      <c r="A1716" s="35" t="s">
        <v>692</v>
      </c>
      <c r="B1716" s="15">
        <v>4</v>
      </c>
      <c r="C1716" s="16">
        <v>2</v>
      </c>
      <c r="D1716" s="36">
        <f t="shared" si="1082"/>
        <v>6</v>
      </c>
      <c r="E1716" s="18"/>
      <c r="F1716" s="16"/>
      <c r="G1716" s="36">
        <f t="shared" si="1083"/>
        <v>0</v>
      </c>
      <c r="H1716" s="17">
        <f t="shared" si="1084"/>
        <v>6</v>
      </c>
      <c r="I1716" s="81">
        <v>45562</v>
      </c>
      <c r="J1716" s="52" t="s">
        <v>687</v>
      </c>
      <c r="K1716" s="15"/>
      <c r="L1716" s="16"/>
      <c r="M1716" s="36">
        <f t="shared" ref="M1716" si="1085">SUM(K1716:L1716)</f>
        <v>0</v>
      </c>
      <c r="N1716" s="100"/>
      <c r="O1716" s="101"/>
      <c r="P1716" s="36">
        <f t="shared" ref="P1716" si="1086">SUM(N1716:O1716)</f>
        <v>0</v>
      </c>
      <c r="Q1716" s="17">
        <f t="shared" ref="Q1716" si="1087">M1716+P1716</f>
        <v>0</v>
      </c>
      <c r="R1716" s="83" t="s">
        <v>688</v>
      </c>
    </row>
    <row r="1717" spans="1:19" ht="14.25" thickBot="1" x14ac:dyDescent="0.2">
      <c r="A1717" s="40" t="s">
        <v>14</v>
      </c>
      <c r="B1717" s="41">
        <f>SUM(B1691:B1716)</f>
        <v>56</v>
      </c>
      <c r="C1717" s="42">
        <f t="shared" ref="C1717" si="1088">SUM(C1691:C1716)</f>
        <v>58</v>
      </c>
      <c r="D1717" s="43">
        <f t="shared" si="1073"/>
        <v>114</v>
      </c>
      <c r="E1717" s="41">
        <f>SUM(E1691:E1716)</f>
        <v>48</v>
      </c>
      <c r="F1717" s="96">
        <f t="shared" ref="F1717" si="1089">SUM(F1691:F1716)</f>
        <v>0</v>
      </c>
      <c r="G1717" s="43">
        <f t="shared" si="1074"/>
        <v>48</v>
      </c>
      <c r="H1717" s="43">
        <f t="shared" si="1075"/>
        <v>162</v>
      </c>
      <c r="J1717" s="40" t="s">
        <v>14</v>
      </c>
      <c r="K1717" s="41">
        <f>SUM(K1691:K1716)</f>
        <v>60</v>
      </c>
      <c r="L1717" s="42">
        <f t="shared" ref="L1717" si="1090">SUM(L1691:L1716)</f>
        <v>68</v>
      </c>
      <c r="M1717" s="43">
        <f t="shared" si="1076"/>
        <v>128</v>
      </c>
      <c r="N1717" s="41">
        <f>SUM(N1691:N1716)</f>
        <v>60</v>
      </c>
      <c r="O1717" s="96">
        <f t="shared" ref="O1717" si="1091">SUM(O1691:O1716)</f>
        <v>0</v>
      </c>
      <c r="P1717" s="43">
        <f t="shared" si="1077"/>
        <v>60</v>
      </c>
      <c r="Q1717" s="43">
        <f t="shared" si="1078"/>
        <v>188</v>
      </c>
    </row>
    <row r="1718" spans="1:19" ht="14.25" thickBot="1" x14ac:dyDescent="0.2">
      <c r="A1718" s="44" t="s">
        <v>15</v>
      </c>
      <c r="B1718" s="45">
        <f>B1690-B1717</f>
        <v>8</v>
      </c>
      <c r="C1718" s="46">
        <f t="shared" ref="C1718" si="1092">C1690-C1717</f>
        <v>12</v>
      </c>
      <c r="D1718" s="47">
        <f t="shared" si="1073"/>
        <v>20</v>
      </c>
      <c r="E1718" s="45">
        <f>E1690-E1717</f>
        <v>23</v>
      </c>
      <c r="F1718" s="97">
        <f t="shared" ref="F1718" si="1093">F1690-F1717</f>
        <v>0</v>
      </c>
      <c r="G1718" s="47">
        <f t="shared" si="1074"/>
        <v>23</v>
      </c>
      <c r="H1718" s="34">
        <f t="shared" si="1075"/>
        <v>43</v>
      </c>
      <c r="J1718" s="44" t="s">
        <v>15</v>
      </c>
      <c r="K1718" s="45">
        <f>K1690-K1717</f>
        <v>810</v>
      </c>
      <c r="L1718" s="46">
        <f t="shared" ref="L1718" si="1094">L1690-L1717</f>
        <v>275</v>
      </c>
      <c r="M1718" s="47">
        <f t="shared" si="1076"/>
        <v>1085</v>
      </c>
      <c r="N1718" s="45">
        <f>N1690-N1717</f>
        <v>789</v>
      </c>
      <c r="O1718" s="97">
        <f t="shared" ref="O1718" si="1095">O1690-O1717</f>
        <v>0</v>
      </c>
      <c r="P1718" s="47">
        <f t="shared" si="1077"/>
        <v>789</v>
      </c>
      <c r="Q1718" s="34">
        <f t="shared" si="1078"/>
        <v>1874</v>
      </c>
    </row>
    <row r="1721" spans="1:19" ht="19.5" thickBot="1" x14ac:dyDescent="0.25">
      <c r="A1721" s="1" t="s">
        <v>23</v>
      </c>
      <c r="J1721" s="1" t="s">
        <v>24</v>
      </c>
      <c r="K1721" s="2"/>
      <c r="L1721" s="2"/>
      <c r="M1721" s="2"/>
      <c r="N1721" s="2"/>
      <c r="O1721" s="1" t="s">
        <v>34</v>
      </c>
      <c r="P1721" s="2"/>
      <c r="Q1721" s="2"/>
    </row>
    <row r="1722" spans="1:19" ht="14.25" thickBot="1" x14ac:dyDescent="0.2">
      <c r="A1722" s="3" t="s">
        <v>0</v>
      </c>
      <c r="B1722" s="120" t="s">
        <v>18</v>
      </c>
      <c r="C1722" s="121"/>
      <c r="D1722" s="122"/>
      <c r="E1722" s="120" t="s">
        <v>19</v>
      </c>
      <c r="F1722" s="121"/>
      <c r="G1722" s="122"/>
      <c r="H1722" s="123" t="s">
        <v>1</v>
      </c>
      <c r="J1722" s="3" t="s">
        <v>0</v>
      </c>
      <c r="K1722" s="120" t="s">
        <v>18</v>
      </c>
      <c r="L1722" s="121"/>
      <c r="M1722" s="122"/>
      <c r="N1722" s="120" t="s">
        <v>19</v>
      </c>
      <c r="O1722" s="121"/>
      <c r="P1722" s="122"/>
      <c r="Q1722" s="123" t="s">
        <v>1</v>
      </c>
    </row>
    <row r="1723" spans="1:19" ht="14.25" thickBot="1" x14ac:dyDescent="0.2">
      <c r="A1723" s="3" t="s">
        <v>2</v>
      </c>
      <c r="B1723" s="4" t="s">
        <v>16</v>
      </c>
      <c r="C1723" s="5" t="s">
        <v>17</v>
      </c>
      <c r="D1723" s="3" t="s">
        <v>3</v>
      </c>
      <c r="E1723" s="4" t="s">
        <v>16</v>
      </c>
      <c r="F1723" s="5" t="s">
        <v>17</v>
      </c>
      <c r="G1723" s="3" t="s">
        <v>3</v>
      </c>
      <c r="H1723" s="124"/>
      <c r="J1723" s="3" t="s">
        <v>2</v>
      </c>
      <c r="K1723" s="4" t="s">
        <v>16</v>
      </c>
      <c r="L1723" s="5" t="s">
        <v>17</v>
      </c>
      <c r="M1723" s="3" t="s">
        <v>3</v>
      </c>
      <c r="N1723" s="4" t="s">
        <v>16</v>
      </c>
      <c r="O1723" s="5" t="s">
        <v>17</v>
      </c>
      <c r="P1723" s="3" t="s">
        <v>3</v>
      </c>
      <c r="Q1723" s="124"/>
    </row>
    <row r="1724" spans="1:19" ht="14.25" thickBot="1" x14ac:dyDescent="0.2">
      <c r="A1724" s="6" t="s">
        <v>55</v>
      </c>
      <c r="B1724" s="32">
        <f>B1718</f>
        <v>8</v>
      </c>
      <c r="C1724" s="33">
        <f>C1718</f>
        <v>12</v>
      </c>
      <c r="D1724" s="34">
        <f t="shared" ref="D1724:D1761" si="1096">SUM(B1724:C1724)</f>
        <v>20</v>
      </c>
      <c r="E1724" s="32">
        <f>E1718</f>
        <v>23</v>
      </c>
      <c r="F1724" s="33">
        <f>F1718</f>
        <v>0</v>
      </c>
      <c r="G1724" s="34">
        <f t="shared" ref="G1724:G1761" si="1097">SUM(E1724:F1724)</f>
        <v>23</v>
      </c>
      <c r="H1724" s="34">
        <f t="shared" ref="H1724:H1761" si="1098">D1724+G1724</f>
        <v>43</v>
      </c>
      <c r="J1724" s="6" t="s">
        <v>55</v>
      </c>
      <c r="K1724" s="32">
        <f>K1718</f>
        <v>810</v>
      </c>
      <c r="L1724" s="33">
        <f>L1718</f>
        <v>275</v>
      </c>
      <c r="M1724" s="34">
        <f t="shared" ref="M1724:M1761" si="1099">SUM(K1724:L1724)</f>
        <v>1085</v>
      </c>
      <c r="N1724" s="32">
        <f>N1718</f>
        <v>789</v>
      </c>
      <c r="O1724" s="33">
        <f>O1718</f>
        <v>0</v>
      </c>
      <c r="P1724" s="34">
        <f t="shared" ref="P1724:P1761" si="1100">SUM(N1724:O1724)</f>
        <v>789</v>
      </c>
      <c r="Q1724" s="34">
        <f t="shared" ref="Q1724:Q1761" si="1101">M1724+P1724</f>
        <v>1874</v>
      </c>
    </row>
    <row r="1725" spans="1:19" x14ac:dyDescent="0.15">
      <c r="A1725" s="10" t="s">
        <v>5</v>
      </c>
      <c r="B1725" s="15">
        <v>15</v>
      </c>
      <c r="C1725" s="16">
        <v>10</v>
      </c>
      <c r="D1725" s="17">
        <f t="shared" si="1096"/>
        <v>25</v>
      </c>
      <c r="E1725" s="18">
        <v>10</v>
      </c>
      <c r="F1725" s="16"/>
      <c r="G1725" s="17">
        <f t="shared" si="1097"/>
        <v>10</v>
      </c>
      <c r="H1725" s="17">
        <f t="shared" si="1098"/>
        <v>35</v>
      </c>
      <c r="I1725" s="81">
        <v>45565</v>
      </c>
      <c r="J1725" s="10" t="s">
        <v>5</v>
      </c>
      <c r="K1725" s="15"/>
      <c r="L1725" s="16"/>
      <c r="M1725" s="17">
        <f t="shared" si="1099"/>
        <v>0</v>
      </c>
      <c r="N1725" s="18"/>
      <c r="O1725" s="16"/>
      <c r="P1725" s="17">
        <f t="shared" si="1100"/>
        <v>0</v>
      </c>
      <c r="Q1725" s="17">
        <f t="shared" si="1101"/>
        <v>0</v>
      </c>
    </row>
    <row r="1726" spans="1:19" x14ac:dyDescent="0.15">
      <c r="A1726" s="10" t="s">
        <v>6</v>
      </c>
      <c r="B1726" s="15">
        <v>5</v>
      </c>
      <c r="C1726" s="16"/>
      <c r="D1726" s="17">
        <f t="shared" si="1096"/>
        <v>5</v>
      </c>
      <c r="E1726" s="18">
        <v>10</v>
      </c>
      <c r="F1726" s="16"/>
      <c r="G1726" s="17">
        <f t="shared" si="1097"/>
        <v>10</v>
      </c>
      <c r="H1726" s="17">
        <f t="shared" si="1098"/>
        <v>15</v>
      </c>
      <c r="I1726" s="81">
        <v>45566</v>
      </c>
      <c r="J1726" s="10" t="s">
        <v>6</v>
      </c>
      <c r="K1726" s="15"/>
      <c r="L1726" s="16"/>
      <c r="M1726" s="17">
        <f t="shared" si="1099"/>
        <v>0</v>
      </c>
      <c r="N1726" s="18"/>
      <c r="O1726" s="16"/>
      <c r="P1726" s="17">
        <f t="shared" si="1100"/>
        <v>0</v>
      </c>
      <c r="Q1726" s="17">
        <f t="shared" si="1101"/>
        <v>0</v>
      </c>
    </row>
    <row r="1727" spans="1:19" x14ac:dyDescent="0.15">
      <c r="A1727" s="10" t="s">
        <v>7</v>
      </c>
      <c r="B1727" s="15">
        <v>20</v>
      </c>
      <c r="C1727" s="16">
        <v>20</v>
      </c>
      <c r="D1727" s="17">
        <f t="shared" si="1096"/>
        <v>40</v>
      </c>
      <c r="E1727" s="18">
        <v>20</v>
      </c>
      <c r="F1727" s="16"/>
      <c r="G1727" s="17">
        <f t="shared" si="1097"/>
        <v>20</v>
      </c>
      <c r="H1727" s="17">
        <f t="shared" si="1098"/>
        <v>60</v>
      </c>
      <c r="I1727" s="81">
        <v>45568</v>
      </c>
      <c r="J1727" s="10" t="s">
        <v>7</v>
      </c>
      <c r="K1727" s="15"/>
      <c r="L1727" s="16"/>
      <c r="M1727" s="17">
        <f t="shared" si="1099"/>
        <v>0</v>
      </c>
      <c r="N1727" s="18"/>
      <c r="O1727" s="16"/>
      <c r="P1727" s="17">
        <f t="shared" si="1100"/>
        <v>0</v>
      </c>
      <c r="Q1727" s="17">
        <f t="shared" si="1101"/>
        <v>0</v>
      </c>
    </row>
    <row r="1728" spans="1:19" x14ac:dyDescent="0.15">
      <c r="A1728" s="10" t="s">
        <v>166</v>
      </c>
      <c r="B1728" s="15">
        <v>1</v>
      </c>
      <c r="C1728" s="16">
        <v>3</v>
      </c>
      <c r="D1728" s="17">
        <f t="shared" si="1096"/>
        <v>4</v>
      </c>
      <c r="E1728" s="18"/>
      <c r="F1728" s="16"/>
      <c r="G1728" s="17">
        <f t="shared" si="1097"/>
        <v>0</v>
      </c>
      <c r="H1728" s="17">
        <f t="shared" si="1098"/>
        <v>4</v>
      </c>
      <c r="I1728" s="81">
        <v>45584</v>
      </c>
      <c r="J1728" s="10" t="s">
        <v>8</v>
      </c>
      <c r="K1728" s="15"/>
      <c r="L1728" s="16"/>
      <c r="M1728" s="17">
        <f t="shared" si="1099"/>
        <v>0</v>
      </c>
      <c r="N1728" s="18"/>
      <c r="O1728" s="16"/>
      <c r="P1728" s="17">
        <f t="shared" si="1100"/>
        <v>0</v>
      </c>
      <c r="Q1728" s="17">
        <f t="shared" si="1101"/>
        <v>0</v>
      </c>
    </row>
    <row r="1729" spans="1:19" x14ac:dyDescent="0.15">
      <c r="A1729" s="10" t="s">
        <v>9</v>
      </c>
      <c r="B1729" s="15">
        <v>15</v>
      </c>
      <c r="C1729" s="16">
        <v>10</v>
      </c>
      <c r="D1729" s="17">
        <f t="shared" si="1096"/>
        <v>25</v>
      </c>
      <c r="E1729" s="18"/>
      <c r="F1729" s="16"/>
      <c r="G1729" s="17">
        <f t="shared" si="1097"/>
        <v>0</v>
      </c>
      <c r="H1729" s="17">
        <f t="shared" si="1098"/>
        <v>25</v>
      </c>
      <c r="I1729" s="81">
        <v>45590</v>
      </c>
      <c r="J1729" s="10" t="s">
        <v>9</v>
      </c>
      <c r="K1729" s="15"/>
      <c r="L1729" s="16"/>
      <c r="M1729" s="17">
        <f t="shared" si="1099"/>
        <v>0</v>
      </c>
      <c r="N1729" s="18"/>
      <c r="O1729" s="16"/>
      <c r="P1729" s="17">
        <f t="shared" si="1100"/>
        <v>0</v>
      </c>
      <c r="Q1729" s="17">
        <f t="shared" si="1101"/>
        <v>0</v>
      </c>
    </row>
    <row r="1730" spans="1:19" x14ac:dyDescent="0.15">
      <c r="A1730" s="10" t="s">
        <v>10</v>
      </c>
      <c r="B1730" s="15"/>
      <c r="C1730" s="16"/>
      <c r="D1730" s="17">
        <f t="shared" si="1096"/>
        <v>0</v>
      </c>
      <c r="E1730" s="18">
        <v>10</v>
      </c>
      <c r="F1730" s="16"/>
      <c r="G1730" s="17">
        <f t="shared" si="1097"/>
        <v>10</v>
      </c>
      <c r="H1730" s="17">
        <f t="shared" si="1098"/>
        <v>10</v>
      </c>
      <c r="I1730" s="81">
        <v>45593</v>
      </c>
      <c r="J1730" s="10" t="s">
        <v>10</v>
      </c>
      <c r="K1730" s="15"/>
      <c r="L1730" s="16"/>
      <c r="M1730" s="17">
        <f t="shared" si="1099"/>
        <v>0</v>
      </c>
      <c r="N1730" s="18"/>
      <c r="O1730" s="16"/>
      <c r="P1730" s="17">
        <f t="shared" si="1100"/>
        <v>0</v>
      </c>
      <c r="Q1730" s="17">
        <f t="shared" si="1101"/>
        <v>0</v>
      </c>
    </row>
    <row r="1731" spans="1:19" x14ac:dyDescent="0.15">
      <c r="A1731" s="10" t="s">
        <v>11</v>
      </c>
      <c r="B1731" s="15"/>
      <c r="C1731" s="16"/>
      <c r="D1731" s="17">
        <f t="shared" si="1096"/>
        <v>0</v>
      </c>
      <c r="E1731" s="18">
        <v>20</v>
      </c>
      <c r="F1731" s="16"/>
      <c r="G1731" s="17">
        <f t="shared" si="1097"/>
        <v>20</v>
      </c>
      <c r="H1731" s="17">
        <f t="shared" si="1098"/>
        <v>20</v>
      </c>
      <c r="I1731" s="81">
        <v>45596</v>
      </c>
      <c r="J1731" s="10" t="s">
        <v>11</v>
      </c>
      <c r="K1731" s="15"/>
      <c r="L1731" s="16"/>
      <c r="M1731" s="17">
        <f t="shared" si="1099"/>
        <v>0</v>
      </c>
      <c r="N1731" s="18"/>
      <c r="O1731" s="16"/>
      <c r="P1731" s="17">
        <f t="shared" si="1100"/>
        <v>0</v>
      </c>
      <c r="Q1731" s="17">
        <f t="shared" si="1101"/>
        <v>0</v>
      </c>
    </row>
    <row r="1732" spans="1:19" ht="14.25" thickBot="1" x14ac:dyDescent="0.2">
      <c r="A1732" s="10" t="s">
        <v>12</v>
      </c>
      <c r="B1732" s="15"/>
      <c r="C1732" s="16"/>
      <c r="D1732" s="17">
        <f t="shared" si="1096"/>
        <v>0</v>
      </c>
      <c r="E1732" s="18"/>
      <c r="F1732" s="16"/>
      <c r="G1732" s="17">
        <f t="shared" si="1097"/>
        <v>0</v>
      </c>
      <c r="H1732" s="17">
        <f t="shared" si="1098"/>
        <v>0</v>
      </c>
      <c r="J1732" s="10" t="s">
        <v>12</v>
      </c>
      <c r="K1732" s="15"/>
      <c r="L1732" s="16"/>
      <c r="M1732" s="17">
        <f t="shared" si="1099"/>
        <v>0</v>
      </c>
      <c r="N1732" s="18"/>
      <c r="O1732" s="16"/>
      <c r="P1732" s="17">
        <f t="shared" si="1100"/>
        <v>0</v>
      </c>
      <c r="Q1732" s="17">
        <f t="shared" si="1101"/>
        <v>0</v>
      </c>
    </row>
    <row r="1733" spans="1:19" ht="14.25" thickBot="1" x14ac:dyDescent="0.2">
      <c r="A1733" s="31" t="s">
        <v>13</v>
      </c>
      <c r="B1733" s="32">
        <f>SUM(B1724:B1732)</f>
        <v>64</v>
      </c>
      <c r="C1733" s="33">
        <f>SUM(C1724:C1732)</f>
        <v>55</v>
      </c>
      <c r="D1733" s="34">
        <f t="shared" si="1096"/>
        <v>119</v>
      </c>
      <c r="E1733" s="32">
        <f>SUM(E1724:E1732)</f>
        <v>93</v>
      </c>
      <c r="F1733" s="33">
        <f>SUM(F1724:F1732)</f>
        <v>0</v>
      </c>
      <c r="G1733" s="34">
        <f t="shared" si="1097"/>
        <v>93</v>
      </c>
      <c r="H1733" s="34">
        <f t="shared" si="1098"/>
        <v>212</v>
      </c>
      <c r="J1733" s="31" t="s">
        <v>13</v>
      </c>
      <c r="K1733" s="32">
        <f>SUM(K1724:K1732)</f>
        <v>810</v>
      </c>
      <c r="L1733" s="33">
        <f>SUM(L1724:L1732)</f>
        <v>275</v>
      </c>
      <c r="M1733" s="34">
        <f t="shared" si="1099"/>
        <v>1085</v>
      </c>
      <c r="N1733" s="32">
        <f>SUM(N1724:N1732)</f>
        <v>789</v>
      </c>
      <c r="O1733" s="33">
        <f>SUM(O1724:O1732)</f>
        <v>0</v>
      </c>
      <c r="P1733" s="34">
        <f t="shared" si="1100"/>
        <v>789</v>
      </c>
      <c r="Q1733" s="34">
        <f t="shared" si="1101"/>
        <v>1874</v>
      </c>
    </row>
    <row r="1734" spans="1:19" x14ac:dyDescent="0.15">
      <c r="A1734" s="35" t="s">
        <v>651</v>
      </c>
      <c r="B1734" s="15">
        <f>2+1</f>
        <v>3</v>
      </c>
      <c r="C1734" s="16">
        <v>1</v>
      </c>
      <c r="D1734" s="36">
        <f t="shared" ref="D1734:D1756" si="1102">SUM(B1734:C1734)</f>
        <v>4</v>
      </c>
      <c r="E1734" s="18">
        <v>1</v>
      </c>
      <c r="F1734" s="16"/>
      <c r="G1734" s="36">
        <f t="shared" ref="G1734:G1756" si="1103">SUM(E1734:F1734)</f>
        <v>1</v>
      </c>
      <c r="H1734" s="17">
        <f t="shared" ref="H1734:H1756" si="1104">D1734+G1734</f>
        <v>5</v>
      </c>
      <c r="I1734" s="84">
        <v>45561</v>
      </c>
      <c r="J1734" s="52" t="s">
        <v>91</v>
      </c>
      <c r="K1734" s="15">
        <v>15</v>
      </c>
      <c r="L1734" s="16">
        <v>10</v>
      </c>
      <c r="M1734" s="36">
        <f t="shared" si="1099"/>
        <v>25</v>
      </c>
      <c r="N1734" s="18">
        <v>10</v>
      </c>
      <c r="O1734" s="16"/>
      <c r="P1734" s="36">
        <f t="shared" si="1100"/>
        <v>10</v>
      </c>
      <c r="Q1734" s="17">
        <f t="shared" si="1101"/>
        <v>35</v>
      </c>
      <c r="R1734" s="81">
        <v>45565</v>
      </c>
    </row>
    <row r="1735" spans="1:19" x14ac:dyDescent="0.15">
      <c r="A1735" s="35" t="s">
        <v>651</v>
      </c>
      <c r="B1735" s="15">
        <v>1</v>
      </c>
      <c r="C1735" s="16">
        <v>2</v>
      </c>
      <c r="D1735" s="36">
        <f t="shared" si="1102"/>
        <v>3</v>
      </c>
      <c r="E1735" s="18">
        <v>1</v>
      </c>
      <c r="F1735" s="16"/>
      <c r="G1735" s="36">
        <f t="shared" si="1103"/>
        <v>1</v>
      </c>
      <c r="H1735" s="17">
        <f t="shared" si="1104"/>
        <v>4</v>
      </c>
      <c r="I1735" s="81">
        <v>45562</v>
      </c>
      <c r="J1735" s="52" t="s">
        <v>91</v>
      </c>
      <c r="K1735" s="15">
        <v>5</v>
      </c>
      <c r="L1735" s="16"/>
      <c r="M1735" s="36">
        <f t="shared" si="1099"/>
        <v>5</v>
      </c>
      <c r="N1735" s="18">
        <v>10</v>
      </c>
      <c r="O1735" s="16"/>
      <c r="P1735" s="36">
        <f t="shared" si="1100"/>
        <v>10</v>
      </c>
      <c r="Q1735" s="17">
        <f t="shared" si="1101"/>
        <v>15</v>
      </c>
      <c r="R1735" s="81">
        <v>45566</v>
      </c>
    </row>
    <row r="1736" spans="1:19" x14ac:dyDescent="0.15">
      <c r="A1736" s="35" t="s">
        <v>693</v>
      </c>
      <c r="B1736" s="15">
        <v>2</v>
      </c>
      <c r="C1736" s="16"/>
      <c r="D1736" s="36">
        <f t="shared" si="1102"/>
        <v>2</v>
      </c>
      <c r="E1736" s="18"/>
      <c r="F1736" s="16"/>
      <c r="G1736" s="36">
        <f t="shared" si="1103"/>
        <v>0</v>
      </c>
      <c r="H1736" s="17">
        <f t="shared" si="1104"/>
        <v>2</v>
      </c>
      <c r="I1736" s="81">
        <v>45567</v>
      </c>
      <c r="J1736" s="52" t="s">
        <v>91</v>
      </c>
      <c r="K1736" s="15">
        <v>20</v>
      </c>
      <c r="L1736" s="16">
        <v>20</v>
      </c>
      <c r="M1736" s="36">
        <f t="shared" si="1099"/>
        <v>40</v>
      </c>
      <c r="N1736" s="18">
        <v>20</v>
      </c>
      <c r="O1736" s="16"/>
      <c r="P1736" s="36">
        <f t="shared" si="1100"/>
        <v>20</v>
      </c>
      <c r="Q1736" s="17">
        <f t="shared" si="1101"/>
        <v>60</v>
      </c>
      <c r="R1736" s="81">
        <v>45568</v>
      </c>
    </row>
    <row r="1737" spans="1:19" x14ac:dyDescent="0.15">
      <c r="A1737" s="35" t="s">
        <v>651</v>
      </c>
      <c r="B1737" s="15">
        <v>2</v>
      </c>
      <c r="C1737" s="16"/>
      <c r="D1737" s="36">
        <f t="shared" si="1102"/>
        <v>2</v>
      </c>
      <c r="E1737" s="18">
        <v>11</v>
      </c>
      <c r="F1737" s="16"/>
      <c r="G1737" s="36">
        <f t="shared" si="1103"/>
        <v>11</v>
      </c>
      <c r="H1737" s="17">
        <f t="shared" si="1104"/>
        <v>13</v>
      </c>
      <c r="I1737" s="81">
        <v>45565</v>
      </c>
      <c r="J1737" s="52" t="s">
        <v>91</v>
      </c>
      <c r="K1737" s="15">
        <v>15</v>
      </c>
      <c r="L1737" s="16">
        <v>10</v>
      </c>
      <c r="M1737" s="36">
        <f t="shared" si="1099"/>
        <v>25</v>
      </c>
      <c r="N1737" s="18"/>
      <c r="O1737" s="16"/>
      <c r="P1737" s="36">
        <f t="shared" si="1100"/>
        <v>0</v>
      </c>
      <c r="Q1737" s="17">
        <f t="shared" si="1101"/>
        <v>25</v>
      </c>
      <c r="R1737" s="81">
        <v>45590</v>
      </c>
      <c r="S1737" s="22"/>
    </row>
    <row r="1738" spans="1:19" x14ac:dyDescent="0.15">
      <c r="A1738" s="35" t="s">
        <v>651</v>
      </c>
      <c r="B1738" s="15">
        <v>4</v>
      </c>
      <c r="C1738" s="16">
        <v>3</v>
      </c>
      <c r="D1738" s="36">
        <f t="shared" si="1102"/>
        <v>7</v>
      </c>
      <c r="E1738" s="18">
        <v>1</v>
      </c>
      <c r="F1738" s="16"/>
      <c r="G1738" s="36">
        <f t="shared" si="1103"/>
        <v>1</v>
      </c>
      <c r="H1738" s="17">
        <f t="shared" si="1104"/>
        <v>8</v>
      </c>
      <c r="I1738" s="84">
        <v>45567</v>
      </c>
      <c r="J1738" s="52" t="s">
        <v>91</v>
      </c>
      <c r="K1738" s="15"/>
      <c r="L1738" s="16"/>
      <c r="M1738" s="36">
        <f t="shared" si="1099"/>
        <v>0</v>
      </c>
      <c r="N1738" s="18">
        <v>10</v>
      </c>
      <c r="O1738" s="16"/>
      <c r="P1738" s="36">
        <f t="shared" si="1100"/>
        <v>10</v>
      </c>
      <c r="Q1738" s="17">
        <f t="shared" si="1101"/>
        <v>10</v>
      </c>
      <c r="R1738" s="81">
        <v>45593</v>
      </c>
      <c r="S1738" s="22"/>
    </row>
    <row r="1739" spans="1:19" x14ac:dyDescent="0.15">
      <c r="A1739" s="35" t="s">
        <v>651</v>
      </c>
      <c r="B1739" s="15"/>
      <c r="C1739" s="16"/>
      <c r="D1739" s="36">
        <f t="shared" si="1102"/>
        <v>0</v>
      </c>
      <c r="E1739" s="18">
        <v>2</v>
      </c>
      <c r="F1739" s="16"/>
      <c r="G1739" s="36">
        <f t="shared" si="1103"/>
        <v>2</v>
      </c>
      <c r="H1739" s="17">
        <f t="shared" si="1104"/>
        <v>2</v>
      </c>
      <c r="I1739" s="84">
        <v>45568</v>
      </c>
      <c r="J1739" s="52" t="s">
        <v>91</v>
      </c>
      <c r="K1739" s="15"/>
      <c r="L1739" s="16"/>
      <c r="M1739" s="36">
        <f t="shared" si="1099"/>
        <v>0</v>
      </c>
      <c r="N1739" s="18">
        <v>20</v>
      </c>
      <c r="O1739" s="16"/>
      <c r="P1739" s="36">
        <f t="shared" si="1100"/>
        <v>20</v>
      </c>
      <c r="Q1739" s="17">
        <f t="shared" si="1101"/>
        <v>20</v>
      </c>
      <c r="R1739" s="81">
        <v>45596</v>
      </c>
      <c r="S1739" s="22"/>
    </row>
    <row r="1740" spans="1:19" x14ac:dyDescent="0.15">
      <c r="A1740" s="35" t="s">
        <v>651</v>
      </c>
      <c r="B1740" s="15">
        <v>1</v>
      </c>
      <c r="C1740" s="16"/>
      <c r="D1740" s="36">
        <f t="shared" si="1102"/>
        <v>1</v>
      </c>
      <c r="E1740" s="18"/>
      <c r="F1740" s="16"/>
      <c r="G1740" s="36">
        <f t="shared" si="1103"/>
        <v>0</v>
      </c>
      <c r="H1740" s="17">
        <f t="shared" si="1104"/>
        <v>1</v>
      </c>
      <c r="I1740" s="84">
        <v>45569</v>
      </c>
      <c r="J1740" s="52"/>
      <c r="K1740" s="15"/>
      <c r="L1740" s="16"/>
      <c r="M1740" s="36">
        <f t="shared" ref="M1740:M1748" si="1105">SUM(K1740:L1740)</f>
        <v>0</v>
      </c>
      <c r="N1740" s="18"/>
      <c r="O1740" s="16"/>
      <c r="P1740" s="36">
        <f t="shared" ref="P1740:P1748" si="1106">SUM(N1740:O1740)</f>
        <v>0</v>
      </c>
      <c r="Q1740" s="17">
        <f t="shared" ref="Q1740:Q1748" si="1107">M1740+P1740</f>
        <v>0</v>
      </c>
      <c r="R1740" s="83"/>
      <c r="S1740" s="22"/>
    </row>
    <row r="1741" spans="1:19" x14ac:dyDescent="0.15">
      <c r="A1741" s="35" t="s">
        <v>651</v>
      </c>
      <c r="B1741" s="15"/>
      <c r="C1741" s="16"/>
      <c r="D1741" s="36">
        <f t="shared" si="1102"/>
        <v>0</v>
      </c>
      <c r="E1741" s="18">
        <v>2</v>
      </c>
      <c r="F1741" s="16"/>
      <c r="G1741" s="36">
        <f t="shared" si="1103"/>
        <v>2</v>
      </c>
      <c r="H1741" s="17">
        <f t="shared" si="1104"/>
        <v>2</v>
      </c>
      <c r="I1741" s="84">
        <v>45570</v>
      </c>
      <c r="J1741" s="52"/>
      <c r="K1741" s="15"/>
      <c r="L1741" s="16"/>
      <c r="M1741" s="36">
        <f t="shared" si="1105"/>
        <v>0</v>
      </c>
      <c r="N1741" s="18"/>
      <c r="O1741" s="16"/>
      <c r="P1741" s="36">
        <f t="shared" si="1106"/>
        <v>0</v>
      </c>
      <c r="Q1741" s="17">
        <f t="shared" si="1107"/>
        <v>0</v>
      </c>
    </row>
    <row r="1742" spans="1:19" x14ac:dyDescent="0.15">
      <c r="A1742" s="35" t="s">
        <v>651</v>
      </c>
      <c r="B1742" s="15">
        <f>1+2</f>
        <v>3</v>
      </c>
      <c r="C1742" s="16"/>
      <c r="D1742" s="36">
        <f t="shared" si="1102"/>
        <v>3</v>
      </c>
      <c r="E1742" s="18">
        <v>6</v>
      </c>
      <c r="F1742" s="16"/>
      <c r="G1742" s="36">
        <f t="shared" si="1103"/>
        <v>6</v>
      </c>
      <c r="H1742" s="17">
        <f t="shared" si="1104"/>
        <v>9</v>
      </c>
      <c r="I1742" s="84">
        <v>45572</v>
      </c>
      <c r="J1742" s="52"/>
      <c r="K1742" s="15"/>
      <c r="L1742" s="16"/>
      <c r="M1742" s="36">
        <f t="shared" si="1105"/>
        <v>0</v>
      </c>
      <c r="N1742" s="18"/>
      <c r="O1742" s="16"/>
      <c r="P1742" s="36">
        <f t="shared" si="1106"/>
        <v>0</v>
      </c>
      <c r="Q1742" s="17">
        <f t="shared" si="1107"/>
        <v>0</v>
      </c>
    </row>
    <row r="1743" spans="1:19" x14ac:dyDescent="0.15">
      <c r="A1743" s="35" t="s">
        <v>651</v>
      </c>
      <c r="B1743" s="15">
        <v>3</v>
      </c>
      <c r="C1743" s="16"/>
      <c r="D1743" s="36">
        <f t="shared" si="1102"/>
        <v>3</v>
      </c>
      <c r="E1743" s="18">
        <v>1</v>
      </c>
      <c r="F1743" s="16"/>
      <c r="G1743" s="36">
        <f t="shared" si="1103"/>
        <v>1</v>
      </c>
      <c r="H1743" s="17">
        <f t="shared" si="1104"/>
        <v>4</v>
      </c>
      <c r="I1743" s="84">
        <v>45573</v>
      </c>
      <c r="J1743" s="52"/>
      <c r="K1743" s="15"/>
      <c r="L1743" s="16"/>
      <c r="M1743" s="36">
        <f t="shared" si="1105"/>
        <v>0</v>
      </c>
      <c r="N1743" s="18"/>
      <c r="O1743" s="16"/>
      <c r="P1743" s="36">
        <f t="shared" si="1106"/>
        <v>0</v>
      </c>
      <c r="Q1743" s="17">
        <f t="shared" si="1107"/>
        <v>0</v>
      </c>
    </row>
    <row r="1744" spans="1:19" x14ac:dyDescent="0.15">
      <c r="A1744" s="35" t="s">
        <v>651</v>
      </c>
      <c r="B1744" s="15">
        <v>2</v>
      </c>
      <c r="C1744" s="16"/>
      <c r="D1744" s="36">
        <f t="shared" si="1102"/>
        <v>2</v>
      </c>
      <c r="E1744" s="18"/>
      <c r="F1744" s="16"/>
      <c r="G1744" s="36">
        <f t="shared" si="1103"/>
        <v>0</v>
      </c>
      <c r="H1744" s="17">
        <f t="shared" si="1104"/>
        <v>2</v>
      </c>
      <c r="I1744" s="84">
        <v>45574</v>
      </c>
      <c r="J1744" s="52"/>
      <c r="K1744" s="15"/>
      <c r="L1744" s="16"/>
      <c r="M1744" s="36">
        <f t="shared" si="1105"/>
        <v>0</v>
      </c>
      <c r="N1744" s="18"/>
      <c r="O1744" s="16"/>
      <c r="P1744" s="36">
        <f t="shared" si="1106"/>
        <v>0</v>
      </c>
      <c r="Q1744" s="17">
        <f t="shared" si="1107"/>
        <v>0</v>
      </c>
    </row>
    <row r="1745" spans="1:19" x14ac:dyDescent="0.15">
      <c r="A1745" s="35" t="s">
        <v>651</v>
      </c>
      <c r="B1745" s="15">
        <v>1</v>
      </c>
      <c r="C1745" s="16"/>
      <c r="D1745" s="36">
        <f t="shared" si="1102"/>
        <v>1</v>
      </c>
      <c r="E1745" s="18">
        <v>1</v>
      </c>
      <c r="F1745" s="16"/>
      <c r="G1745" s="36">
        <f t="shared" si="1103"/>
        <v>1</v>
      </c>
      <c r="H1745" s="17">
        <f t="shared" si="1104"/>
        <v>2</v>
      </c>
      <c r="I1745" s="84">
        <v>45575</v>
      </c>
      <c r="J1745" s="52"/>
      <c r="K1745" s="15"/>
      <c r="L1745" s="16"/>
      <c r="M1745" s="36">
        <f t="shared" si="1105"/>
        <v>0</v>
      </c>
      <c r="N1745" s="18"/>
      <c r="O1745" s="16"/>
      <c r="P1745" s="36">
        <f t="shared" si="1106"/>
        <v>0</v>
      </c>
      <c r="Q1745" s="17">
        <f t="shared" si="1107"/>
        <v>0</v>
      </c>
    </row>
    <row r="1746" spans="1:19" x14ac:dyDescent="0.15">
      <c r="A1746" s="35" t="s">
        <v>651</v>
      </c>
      <c r="B1746" s="15"/>
      <c r="C1746" s="16"/>
      <c r="D1746" s="36">
        <f t="shared" si="1102"/>
        <v>0</v>
      </c>
      <c r="E1746" s="18">
        <v>2</v>
      </c>
      <c r="F1746" s="16"/>
      <c r="G1746" s="36">
        <f t="shared" si="1103"/>
        <v>2</v>
      </c>
      <c r="H1746" s="17">
        <f t="shared" si="1104"/>
        <v>2</v>
      </c>
      <c r="I1746" s="84">
        <v>45576</v>
      </c>
      <c r="J1746" s="52"/>
      <c r="K1746" s="15"/>
      <c r="L1746" s="16"/>
      <c r="M1746" s="36">
        <f t="shared" si="1105"/>
        <v>0</v>
      </c>
      <c r="N1746" s="18"/>
      <c r="O1746" s="16"/>
      <c r="P1746" s="36">
        <f t="shared" si="1106"/>
        <v>0</v>
      </c>
      <c r="Q1746" s="17">
        <f t="shared" si="1107"/>
        <v>0</v>
      </c>
    </row>
    <row r="1747" spans="1:19" x14ac:dyDescent="0.15">
      <c r="A1747" s="35" t="s">
        <v>651</v>
      </c>
      <c r="B1747" s="15">
        <f>1+1</f>
        <v>2</v>
      </c>
      <c r="C1747" s="16">
        <v>4</v>
      </c>
      <c r="D1747" s="36">
        <f t="shared" si="1102"/>
        <v>6</v>
      </c>
      <c r="E1747" s="18">
        <f>2+2</f>
        <v>4</v>
      </c>
      <c r="F1747" s="16"/>
      <c r="G1747" s="36">
        <f t="shared" si="1103"/>
        <v>4</v>
      </c>
      <c r="H1747" s="17">
        <f t="shared" si="1104"/>
        <v>10</v>
      </c>
      <c r="I1747" s="84">
        <v>45580</v>
      </c>
      <c r="J1747" s="52"/>
      <c r="K1747" s="15"/>
      <c r="L1747" s="16"/>
      <c r="M1747" s="36">
        <f t="shared" si="1105"/>
        <v>0</v>
      </c>
      <c r="N1747" s="18"/>
      <c r="O1747" s="16"/>
      <c r="P1747" s="36">
        <f t="shared" si="1106"/>
        <v>0</v>
      </c>
      <c r="Q1747" s="17">
        <f t="shared" si="1107"/>
        <v>0</v>
      </c>
    </row>
    <row r="1748" spans="1:19" x14ac:dyDescent="0.15">
      <c r="A1748" s="35" t="s">
        <v>651</v>
      </c>
      <c r="B1748" s="15"/>
      <c r="C1748" s="16">
        <v>2</v>
      </c>
      <c r="D1748" s="36">
        <f t="shared" si="1102"/>
        <v>2</v>
      </c>
      <c r="E1748" s="18">
        <v>2</v>
      </c>
      <c r="F1748" s="16"/>
      <c r="G1748" s="36">
        <f t="shared" si="1103"/>
        <v>2</v>
      </c>
      <c r="H1748" s="17">
        <f t="shared" si="1104"/>
        <v>4</v>
      </c>
      <c r="I1748" s="84">
        <v>45581</v>
      </c>
      <c r="J1748" s="52"/>
      <c r="K1748" s="15"/>
      <c r="L1748" s="16"/>
      <c r="M1748" s="36">
        <f t="shared" si="1105"/>
        <v>0</v>
      </c>
      <c r="N1748" s="18"/>
      <c r="O1748" s="16"/>
      <c r="P1748" s="36">
        <f t="shared" si="1106"/>
        <v>0</v>
      </c>
      <c r="Q1748" s="17">
        <f t="shared" si="1107"/>
        <v>0</v>
      </c>
    </row>
    <row r="1749" spans="1:19" x14ac:dyDescent="0.15">
      <c r="A1749" s="35" t="s">
        <v>651</v>
      </c>
      <c r="B1749" s="15"/>
      <c r="C1749" s="16"/>
      <c r="D1749" s="36">
        <f t="shared" si="1102"/>
        <v>0</v>
      </c>
      <c r="E1749" s="18">
        <v>2</v>
      </c>
      <c r="F1749" s="16"/>
      <c r="G1749" s="36">
        <f t="shared" si="1103"/>
        <v>2</v>
      </c>
      <c r="H1749" s="17">
        <f t="shared" si="1104"/>
        <v>2</v>
      </c>
      <c r="I1749" s="84">
        <v>45583</v>
      </c>
      <c r="J1749" s="52"/>
      <c r="K1749" s="15"/>
      <c r="L1749" s="16"/>
      <c r="M1749" s="36">
        <f t="shared" si="1099"/>
        <v>0</v>
      </c>
      <c r="N1749" s="18"/>
      <c r="O1749" s="16"/>
      <c r="P1749" s="36">
        <f t="shared" si="1100"/>
        <v>0</v>
      </c>
      <c r="Q1749" s="17">
        <f t="shared" si="1101"/>
        <v>0</v>
      </c>
    </row>
    <row r="1750" spans="1:19" x14ac:dyDescent="0.15">
      <c r="A1750" s="35" t="s">
        <v>651</v>
      </c>
      <c r="B1750" s="15"/>
      <c r="C1750" s="16"/>
      <c r="D1750" s="36">
        <f t="shared" si="1102"/>
        <v>0</v>
      </c>
      <c r="E1750" s="18">
        <v>2</v>
      </c>
      <c r="F1750" s="16"/>
      <c r="G1750" s="36">
        <f t="shared" si="1103"/>
        <v>2</v>
      </c>
      <c r="H1750" s="17">
        <f t="shared" si="1104"/>
        <v>2</v>
      </c>
      <c r="I1750" s="84">
        <v>45584</v>
      </c>
      <c r="J1750" s="52"/>
      <c r="K1750" s="15"/>
      <c r="L1750" s="16"/>
      <c r="M1750" s="36">
        <f t="shared" ref="M1750:M1756" si="1108">SUM(K1750:L1750)</f>
        <v>0</v>
      </c>
      <c r="N1750" s="18"/>
      <c r="O1750" s="16"/>
      <c r="P1750" s="36">
        <f t="shared" ref="P1750:P1756" si="1109">SUM(N1750:O1750)</f>
        <v>0</v>
      </c>
      <c r="Q1750" s="17">
        <f t="shared" ref="Q1750:Q1756" si="1110">M1750+P1750</f>
        <v>0</v>
      </c>
    </row>
    <row r="1751" spans="1:19" x14ac:dyDescent="0.15">
      <c r="A1751" s="35" t="s">
        <v>651</v>
      </c>
      <c r="B1751" s="15">
        <v>3</v>
      </c>
      <c r="C1751" s="16"/>
      <c r="D1751" s="36">
        <f t="shared" si="1102"/>
        <v>3</v>
      </c>
      <c r="E1751" s="18">
        <v>3</v>
      </c>
      <c r="F1751" s="16"/>
      <c r="G1751" s="36">
        <f t="shared" si="1103"/>
        <v>3</v>
      </c>
      <c r="H1751" s="17">
        <f t="shared" si="1104"/>
        <v>6</v>
      </c>
      <c r="I1751" s="84">
        <v>45586</v>
      </c>
      <c r="J1751" s="52"/>
      <c r="K1751" s="15"/>
      <c r="L1751" s="16"/>
      <c r="M1751" s="36">
        <f t="shared" si="1108"/>
        <v>0</v>
      </c>
      <c r="N1751" s="18"/>
      <c r="O1751" s="16"/>
      <c r="P1751" s="36">
        <f t="shared" si="1109"/>
        <v>0</v>
      </c>
      <c r="Q1751" s="17">
        <f t="shared" si="1110"/>
        <v>0</v>
      </c>
    </row>
    <row r="1752" spans="1:19" x14ac:dyDescent="0.15">
      <c r="A1752" s="35" t="s">
        <v>651</v>
      </c>
      <c r="B1752" s="15">
        <v>1</v>
      </c>
      <c r="C1752" s="16"/>
      <c r="D1752" s="36">
        <f t="shared" si="1102"/>
        <v>1</v>
      </c>
      <c r="E1752" s="18">
        <v>1</v>
      </c>
      <c r="F1752" s="16"/>
      <c r="G1752" s="36">
        <f t="shared" si="1103"/>
        <v>1</v>
      </c>
      <c r="H1752" s="17">
        <f t="shared" si="1104"/>
        <v>2</v>
      </c>
      <c r="I1752" s="84">
        <v>45587</v>
      </c>
      <c r="J1752" s="52"/>
      <c r="K1752" s="15"/>
      <c r="L1752" s="16"/>
      <c r="M1752" s="36">
        <f t="shared" si="1108"/>
        <v>0</v>
      </c>
      <c r="N1752" s="18"/>
      <c r="O1752" s="16"/>
      <c r="P1752" s="36">
        <f t="shared" si="1109"/>
        <v>0</v>
      </c>
      <c r="Q1752" s="17">
        <f t="shared" si="1110"/>
        <v>0</v>
      </c>
    </row>
    <row r="1753" spans="1:19" x14ac:dyDescent="0.15">
      <c r="A1753" s="35" t="s">
        <v>651</v>
      </c>
      <c r="B1753" s="15">
        <v>6</v>
      </c>
      <c r="C1753" s="16">
        <v>1</v>
      </c>
      <c r="D1753" s="36">
        <f t="shared" si="1102"/>
        <v>7</v>
      </c>
      <c r="E1753" s="18"/>
      <c r="F1753" s="16"/>
      <c r="G1753" s="36">
        <f t="shared" si="1103"/>
        <v>0</v>
      </c>
      <c r="H1753" s="17">
        <f t="shared" si="1104"/>
        <v>7</v>
      </c>
      <c r="I1753" s="84">
        <v>45589</v>
      </c>
      <c r="J1753" s="52"/>
      <c r="K1753" s="15"/>
      <c r="L1753" s="16"/>
      <c r="M1753" s="36">
        <f t="shared" si="1108"/>
        <v>0</v>
      </c>
      <c r="N1753" s="18"/>
      <c r="O1753" s="16"/>
      <c r="P1753" s="36">
        <f t="shared" si="1109"/>
        <v>0</v>
      </c>
      <c r="Q1753" s="17">
        <f t="shared" si="1110"/>
        <v>0</v>
      </c>
    </row>
    <row r="1754" spans="1:19" x14ac:dyDescent="0.15">
      <c r="A1754" s="35" t="s">
        <v>651</v>
      </c>
      <c r="B1754" s="15"/>
      <c r="C1754" s="16">
        <v>2</v>
      </c>
      <c r="D1754" s="36">
        <f t="shared" si="1102"/>
        <v>2</v>
      </c>
      <c r="E1754" s="18">
        <v>4</v>
      </c>
      <c r="F1754" s="16"/>
      <c r="G1754" s="36">
        <f t="shared" si="1103"/>
        <v>4</v>
      </c>
      <c r="H1754" s="17">
        <f t="shared" si="1104"/>
        <v>6</v>
      </c>
      <c r="I1754" s="84">
        <v>45590</v>
      </c>
      <c r="J1754" s="52"/>
      <c r="K1754" s="15"/>
      <c r="L1754" s="16"/>
      <c r="M1754" s="36">
        <f t="shared" si="1108"/>
        <v>0</v>
      </c>
      <c r="N1754" s="18"/>
      <c r="O1754" s="16"/>
      <c r="P1754" s="36">
        <f t="shared" si="1109"/>
        <v>0</v>
      </c>
      <c r="Q1754" s="17">
        <f t="shared" si="1110"/>
        <v>0</v>
      </c>
    </row>
    <row r="1755" spans="1:19" x14ac:dyDescent="0.15">
      <c r="A1755" s="35" t="s">
        <v>651</v>
      </c>
      <c r="B1755" s="15">
        <v>4</v>
      </c>
      <c r="C1755" s="16">
        <v>1</v>
      </c>
      <c r="D1755" s="36">
        <f t="shared" si="1102"/>
        <v>5</v>
      </c>
      <c r="E1755" s="18">
        <f>2+6+1</f>
        <v>9</v>
      </c>
      <c r="F1755" s="16"/>
      <c r="G1755" s="36">
        <f t="shared" si="1103"/>
        <v>9</v>
      </c>
      <c r="H1755" s="17">
        <f t="shared" si="1104"/>
        <v>14</v>
      </c>
      <c r="I1755" s="84">
        <v>45593</v>
      </c>
      <c r="J1755" s="52"/>
      <c r="K1755" s="15"/>
      <c r="L1755" s="16"/>
      <c r="M1755" s="36">
        <f t="shared" si="1108"/>
        <v>0</v>
      </c>
      <c r="N1755" s="18"/>
      <c r="O1755" s="16"/>
      <c r="P1755" s="36">
        <f t="shared" si="1109"/>
        <v>0</v>
      </c>
      <c r="Q1755" s="17">
        <f t="shared" si="1110"/>
        <v>0</v>
      </c>
    </row>
    <row r="1756" spans="1:19" x14ac:dyDescent="0.15">
      <c r="A1756" s="35" t="s">
        <v>651</v>
      </c>
      <c r="B1756" s="15"/>
      <c r="C1756" s="16"/>
      <c r="D1756" s="36">
        <f t="shared" si="1102"/>
        <v>0</v>
      </c>
      <c r="E1756" s="18">
        <v>1</v>
      </c>
      <c r="F1756" s="16"/>
      <c r="G1756" s="36">
        <f t="shared" si="1103"/>
        <v>1</v>
      </c>
      <c r="H1756" s="17">
        <f t="shared" si="1104"/>
        <v>1</v>
      </c>
      <c r="I1756" s="84">
        <v>45594</v>
      </c>
      <c r="J1756" s="52"/>
      <c r="K1756" s="15"/>
      <c r="L1756" s="16"/>
      <c r="M1756" s="36">
        <f t="shared" si="1108"/>
        <v>0</v>
      </c>
      <c r="N1756" s="18"/>
      <c r="O1756" s="16"/>
      <c r="P1756" s="36">
        <f t="shared" si="1109"/>
        <v>0</v>
      </c>
      <c r="Q1756" s="17">
        <f t="shared" si="1110"/>
        <v>0</v>
      </c>
    </row>
    <row r="1757" spans="1:19" x14ac:dyDescent="0.15">
      <c r="A1757" s="35" t="s">
        <v>651</v>
      </c>
      <c r="B1757" s="15">
        <v>1</v>
      </c>
      <c r="C1757" s="16">
        <v>1</v>
      </c>
      <c r="D1757" s="36">
        <f t="shared" si="1096"/>
        <v>2</v>
      </c>
      <c r="E1757" s="18">
        <v>4</v>
      </c>
      <c r="F1757" s="16"/>
      <c r="G1757" s="36">
        <f t="shared" si="1097"/>
        <v>4</v>
      </c>
      <c r="H1757" s="17">
        <f t="shared" si="1098"/>
        <v>6</v>
      </c>
      <c r="I1757" s="84">
        <v>45596</v>
      </c>
      <c r="J1757" s="52"/>
      <c r="K1757" s="15"/>
      <c r="L1757" s="16"/>
      <c r="M1757" s="36">
        <f t="shared" ref="M1757:M1759" si="1111">SUM(K1757:L1757)</f>
        <v>0</v>
      </c>
      <c r="N1757" s="18"/>
      <c r="O1757" s="16"/>
      <c r="P1757" s="36">
        <f t="shared" ref="P1757:P1759" si="1112">SUM(N1757:O1757)</f>
        <v>0</v>
      </c>
      <c r="Q1757" s="17">
        <f t="shared" ref="Q1757:Q1759" si="1113">M1757+P1757</f>
        <v>0</v>
      </c>
    </row>
    <row r="1758" spans="1:19" x14ac:dyDescent="0.15">
      <c r="A1758" s="35" t="s">
        <v>651</v>
      </c>
      <c r="B1758" s="15"/>
      <c r="C1758" s="16">
        <v>2</v>
      </c>
      <c r="D1758" s="36">
        <f t="shared" si="1096"/>
        <v>2</v>
      </c>
      <c r="E1758" s="18"/>
      <c r="F1758" s="16"/>
      <c r="G1758" s="36">
        <f t="shared" si="1097"/>
        <v>0</v>
      </c>
      <c r="H1758" s="17">
        <f t="shared" si="1098"/>
        <v>2</v>
      </c>
      <c r="I1758" s="84">
        <v>45598</v>
      </c>
      <c r="J1758" s="52"/>
      <c r="K1758" s="15"/>
      <c r="L1758" s="16"/>
      <c r="M1758" s="36">
        <f t="shared" si="1111"/>
        <v>0</v>
      </c>
      <c r="N1758" s="18"/>
      <c r="O1758" s="16"/>
      <c r="P1758" s="36">
        <f t="shared" si="1112"/>
        <v>0</v>
      </c>
      <c r="Q1758" s="17">
        <f t="shared" si="1113"/>
        <v>0</v>
      </c>
      <c r="S1758" s="22"/>
    </row>
    <row r="1759" spans="1:19" ht="14.25" thickBot="1" x14ac:dyDescent="0.2">
      <c r="A1759" s="35" t="s">
        <v>651</v>
      </c>
      <c r="B1759" s="15">
        <v>1</v>
      </c>
      <c r="C1759" s="16">
        <v>2</v>
      </c>
      <c r="D1759" s="36">
        <f t="shared" si="1096"/>
        <v>3</v>
      </c>
      <c r="E1759" s="18">
        <f>3+2</f>
        <v>5</v>
      </c>
      <c r="F1759" s="16"/>
      <c r="G1759" s="36">
        <f t="shared" si="1097"/>
        <v>5</v>
      </c>
      <c r="H1759" s="17">
        <f t="shared" si="1098"/>
        <v>8</v>
      </c>
      <c r="I1759" s="84">
        <v>45601</v>
      </c>
      <c r="J1759" s="52"/>
      <c r="K1759" s="15"/>
      <c r="L1759" s="16"/>
      <c r="M1759" s="36">
        <f t="shared" si="1111"/>
        <v>0</v>
      </c>
      <c r="N1759" s="18"/>
      <c r="O1759" s="16"/>
      <c r="P1759" s="36">
        <f t="shared" si="1112"/>
        <v>0</v>
      </c>
      <c r="Q1759" s="17">
        <f t="shared" si="1113"/>
        <v>0</v>
      </c>
    </row>
    <row r="1760" spans="1:19" ht="14.25" thickBot="1" x14ac:dyDescent="0.2">
      <c r="A1760" s="40" t="s">
        <v>14</v>
      </c>
      <c r="B1760" s="41">
        <f>SUM(B1734:B1759)</f>
        <v>40</v>
      </c>
      <c r="C1760" s="42">
        <f t="shared" ref="C1760" si="1114">SUM(C1734:C1759)</f>
        <v>21</v>
      </c>
      <c r="D1760" s="43">
        <f t="shared" si="1096"/>
        <v>61</v>
      </c>
      <c r="E1760" s="41">
        <f>SUM(E1734:E1759)</f>
        <v>65</v>
      </c>
      <c r="F1760" s="96">
        <f t="shared" ref="F1760" si="1115">SUM(F1734:F1759)</f>
        <v>0</v>
      </c>
      <c r="G1760" s="43">
        <f t="shared" si="1097"/>
        <v>65</v>
      </c>
      <c r="H1760" s="43">
        <f t="shared" si="1098"/>
        <v>126</v>
      </c>
      <c r="J1760" s="40" t="s">
        <v>14</v>
      </c>
      <c r="K1760" s="41">
        <f>SUM(K1734:K1759)</f>
        <v>55</v>
      </c>
      <c r="L1760" s="42">
        <f t="shared" ref="L1760" si="1116">SUM(L1734:L1759)</f>
        <v>40</v>
      </c>
      <c r="M1760" s="43">
        <f t="shared" si="1099"/>
        <v>95</v>
      </c>
      <c r="N1760" s="41">
        <f>SUM(N1734:N1759)</f>
        <v>70</v>
      </c>
      <c r="O1760" s="96">
        <f t="shared" ref="O1760" si="1117">SUM(O1734:O1759)</f>
        <v>0</v>
      </c>
      <c r="P1760" s="43">
        <f t="shared" si="1100"/>
        <v>70</v>
      </c>
      <c r="Q1760" s="43">
        <f t="shared" si="1101"/>
        <v>165</v>
      </c>
    </row>
    <row r="1761" spans="1:17" ht="14.25" thickBot="1" x14ac:dyDescent="0.2">
      <c r="A1761" s="44" t="s">
        <v>15</v>
      </c>
      <c r="B1761" s="45">
        <f>B1733-B1760</f>
        <v>24</v>
      </c>
      <c r="C1761" s="46">
        <f t="shared" ref="C1761" si="1118">C1733-C1760</f>
        <v>34</v>
      </c>
      <c r="D1761" s="47">
        <f t="shared" si="1096"/>
        <v>58</v>
      </c>
      <c r="E1761" s="45">
        <f>E1733-E1760</f>
        <v>28</v>
      </c>
      <c r="F1761" s="97">
        <f t="shared" ref="F1761" si="1119">F1733-F1760</f>
        <v>0</v>
      </c>
      <c r="G1761" s="47">
        <f t="shared" si="1097"/>
        <v>28</v>
      </c>
      <c r="H1761" s="34">
        <f t="shared" si="1098"/>
        <v>86</v>
      </c>
      <c r="J1761" s="44" t="s">
        <v>15</v>
      </c>
      <c r="K1761" s="45">
        <f>K1733-K1760</f>
        <v>755</v>
      </c>
      <c r="L1761" s="46">
        <f t="shared" ref="L1761" si="1120">L1733-L1760</f>
        <v>235</v>
      </c>
      <c r="M1761" s="47">
        <f t="shared" si="1099"/>
        <v>990</v>
      </c>
      <c r="N1761" s="45">
        <f>N1733-N1760</f>
        <v>719</v>
      </c>
      <c r="O1761" s="97">
        <f t="shared" ref="O1761" si="1121">O1733-O1760</f>
        <v>0</v>
      </c>
      <c r="P1761" s="47">
        <f t="shared" si="1100"/>
        <v>719</v>
      </c>
      <c r="Q1761" s="34">
        <f t="shared" si="1101"/>
        <v>1709</v>
      </c>
    </row>
    <row r="1764" spans="1:17" ht="19.5" thickBot="1" x14ac:dyDescent="0.25">
      <c r="A1764" s="1" t="s">
        <v>23</v>
      </c>
      <c r="J1764" s="1" t="s">
        <v>24</v>
      </c>
      <c r="K1764" s="2"/>
      <c r="L1764" s="2"/>
      <c r="M1764" s="2"/>
      <c r="N1764" s="2"/>
      <c r="O1764" s="1" t="s">
        <v>34</v>
      </c>
      <c r="P1764" s="2"/>
      <c r="Q1764" s="2"/>
    </row>
    <row r="1765" spans="1:17" ht="14.25" thickBot="1" x14ac:dyDescent="0.2">
      <c r="A1765" s="3" t="s">
        <v>0</v>
      </c>
      <c r="B1765" s="120" t="s">
        <v>18</v>
      </c>
      <c r="C1765" s="121"/>
      <c r="D1765" s="122"/>
      <c r="E1765" s="120" t="s">
        <v>19</v>
      </c>
      <c r="F1765" s="121"/>
      <c r="G1765" s="122"/>
      <c r="H1765" s="123" t="s">
        <v>1</v>
      </c>
      <c r="J1765" s="3" t="s">
        <v>0</v>
      </c>
      <c r="K1765" s="120" t="s">
        <v>18</v>
      </c>
      <c r="L1765" s="121"/>
      <c r="M1765" s="122"/>
      <c r="N1765" s="120" t="s">
        <v>19</v>
      </c>
      <c r="O1765" s="121"/>
      <c r="P1765" s="122"/>
      <c r="Q1765" s="123" t="s">
        <v>1</v>
      </c>
    </row>
    <row r="1766" spans="1:17" ht="14.25" thickBot="1" x14ac:dyDescent="0.2">
      <c r="A1766" s="3" t="s">
        <v>2</v>
      </c>
      <c r="B1766" s="4" t="s">
        <v>16</v>
      </c>
      <c r="C1766" s="5" t="s">
        <v>17</v>
      </c>
      <c r="D1766" s="3" t="s">
        <v>3</v>
      </c>
      <c r="E1766" s="4" t="s">
        <v>16</v>
      </c>
      <c r="F1766" s="5" t="s">
        <v>17</v>
      </c>
      <c r="G1766" s="3" t="s">
        <v>3</v>
      </c>
      <c r="H1766" s="124"/>
      <c r="J1766" s="3" t="s">
        <v>2</v>
      </c>
      <c r="K1766" s="4" t="s">
        <v>16</v>
      </c>
      <c r="L1766" s="5" t="s">
        <v>17</v>
      </c>
      <c r="M1766" s="3" t="s">
        <v>3</v>
      </c>
      <c r="N1766" s="4" t="s">
        <v>16</v>
      </c>
      <c r="O1766" s="5" t="s">
        <v>17</v>
      </c>
      <c r="P1766" s="3" t="s">
        <v>3</v>
      </c>
      <c r="Q1766" s="124"/>
    </row>
    <row r="1767" spans="1:17" ht="14.25" thickBot="1" x14ac:dyDescent="0.2">
      <c r="A1767" s="6" t="s">
        <v>55</v>
      </c>
      <c r="B1767" s="32">
        <f>B1761</f>
        <v>24</v>
      </c>
      <c r="C1767" s="33">
        <f>C1761</f>
        <v>34</v>
      </c>
      <c r="D1767" s="34">
        <f t="shared" ref="D1767:D1804" si="1122">SUM(B1767:C1767)</f>
        <v>58</v>
      </c>
      <c r="E1767" s="32">
        <f>E1761</f>
        <v>28</v>
      </c>
      <c r="F1767" s="33">
        <f>F1761</f>
        <v>0</v>
      </c>
      <c r="G1767" s="34">
        <f t="shared" ref="G1767:G1804" si="1123">SUM(E1767:F1767)</f>
        <v>28</v>
      </c>
      <c r="H1767" s="34">
        <f t="shared" ref="H1767:H1804" si="1124">D1767+G1767</f>
        <v>86</v>
      </c>
      <c r="J1767" s="6" t="s">
        <v>55</v>
      </c>
      <c r="K1767" s="32">
        <f>K1761</f>
        <v>755</v>
      </c>
      <c r="L1767" s="33">
        <f>L1761</f>
        <v>235</v>
      </c>
      <c r="M1767" s="34">
        <f t="shared" ref="M1767:M1804" si="1125">SUM(K1767:L1767)</f>
        <v>990</v>
      </c>
      <c r="N1767" s="32">
        <f>N1761</f>
        <v>719</v>
      </c>
      <c r="O1767" s="33">
        <f>O1761</f>
        <v>0</v>
      </c>
      <c r="P1767" s="34">
        <f t="shared" ref="P1767:P1804" si="1126">SUM(N1767:O1767)</f>
        <v>719</v>
      </c>
      <c r="Q1767" s="34">
        <f t="shared" ref="Q1767:Q1804" si="1127">M1767+P1767</f>
        <v>1709</v>
      </c>
    </row>
    <row r="1768" spans="1:17" x14ac:dyDescent="0.15">
      <c r="A1768" s="10" t="s">
        <v>5</v>
      </c>
      <c r="B1768" s="15">
        <v>10</v>
      </c>
      <c r="C1768" s="16">
        <v>10</v>
      </c>
      <c r="D1768" s="17">
        <f t="shared" ref="D1768:D1773" si="1128">SUM(B1768:C1768)</f>
        <v>20</v>
      </c>
      <c r="E1768" s="18">
        <v>20</v>
      </c>
      <c r="F1768" s="16"/>
      <c r="G1768" s="17">
        <f t="shared" ref="G1768:G1773" si="1129">SUM(E1768:F1768)</f>
        <v>20</v>
      </c>
      <c r="H1768" s="17">
        <f t="shared" ref="H1768:H1773" si="1130">D1768+G1768</f>
        <v>40</v>
      </c>
      <c r="I1768" s="81">
        <v>45607</v>
      </c>
      <c r="J1768" s="10" t="s">
        <v>5</v>
      </c>
      <c r="K1768" s="15"/>
      <c r="L1768" s="16"/>
      <c r="M1768" s="17">
        <f t="shared" si="1125"/>
        <v>0</v>
      </c>
      <c r="N1768" s="18"/>
      <c r="O1768" s="16"/>
      <c r="P1768" s="17">
        <f t="shared" si="1126"/>
        <v>0</v>
      </c>
      <c r="Q1768" s="17">
        <f t="shared" si="1127"/>
        <v>0</v>
      </c>
    </row>
    <row r="1769" spans="1:17" x14ac:dyDescent="0.15">
      <c r="A1769" s="10" t="s">
        <v>6</v>
      </c>
      <c r="B1769" s="15">
        <v>15</v>
      </c>
      <c r="C1769" s="16">
        <v>15</v>
      </c>
      <c r="D1769" s="17">
        <f t="shared" si="1128"/>
        <v>30</v>
      </c>
      <c r="E1769" s="18">
        <v>20</v>
      </c>
      <c r="F1769" s="16"/>
      <c r="G1769" s="17">
        <f t="shared" si="1129"/>
        <v>20</v>
      </c>
      <c r="H1769" s="17">
        <f t="shared" si="1130"/>
        <v>50</v>
      </c>
      <c r="I1769" s="81">
        <v>45615</v>
      </c>
      <c r="J1769" s="10" t="s">
        <v>6</v>
      </c>
      <c r="K1769" s="15"/>
      <c r="L1769" s="16"/>
      <c r="M1769" s="17">
        <f t="shared" si="1125"/>
        <v>0</v>
      </c>
      <c r="N1769" s="18"/>
      <c r="O1769" s="16"/>
      <c r="P1769" s="17">
        <f t="shared" si="1126"/>
        <v>0</v>
      </c>
      <c r="Q1769" s="17">
        <f t="shared" si="1127"/>
        <v>0</v>
      </c>
    </row>
    <row r="1770" spans="1:17" x14ac:dyDescent="0.15">
      <c r="A1770" s="10" t="s">
        <v>166</v>
      </c>
      <c r="B1770" s="15">
        <v>1</v>
      </c>
      <c r="C1770" s="16"/>
      <c r="D1770" s="17">
        <f t="shared" si="1128"/>
        <v>1</v>
      </c>
      <c r="E1770" s="18"/>
      <c r="F1770" s="16"/>
      <c r="G1770" s="17">
        <f t="shared" si="1129"/>
        <v>0</v>
      </c>
      <c r="H1770" s="17">
        <f t="shared" si="1130"/>
        <v>1</v>
      </c>
      <c r="I1770" s="81">
        <v>45615</v>
      </c>
      <c r="J1770" s="10" t="s">
        <v>7</v>
      </c>
      <c r="K1770" s="15"/>
      <c r="L1770" s="16"/>
      <c r="M1770" s="17">
        <f t="shared" si="1125"/>
        <v>0</v>
      </c>
      <c r="N1770" s="18"/>
      <c r="O1770" s="16"/>
      <c r="P1770" s="17">
        <f t="shared" si="1126"/>
        <v>0</v>
      </c>
      <c r="Q1770" s="17">
        <f t="shared" si="1127"/>
        <v>0</v>
      </c>
    </row>
    <row r="1771" spans="1:17" x14ac:dyDescent="0.15">
      <c r="A1771" s="10" t="s">
        <v>8</v>
      </c>
      <c r="B1771" s="15"/>
      <c r="C1771" s="16"/>
      <c r="D1771" s="17">
        <f t="shared" si="1128"/>
        <v>0</v>
      </c>
      <c r="E1771" s="18">
        <v>15</v>
      </c>
      <c r="F1771" s="16"/>
      <c r="G1771" s="17">
        <f t="shared" si="1129"/>
        <v>15</v>
      </c>
      <c r="H1771" s="17">
        <f t="shared" si="1130"/>
        <v>15</v>
      </c>
      <c r="I1771" s="81">
        <v>45626</v>
      </c>
      <c r="J1771" s="10" t="s">
        <v>8</v>
      </c>
      <c r="K1771" s="15"/>
      <c r="L1771" s="16"/>
      <c r="M1771" s="17">
        <f t="shared" si="1125"/>
        <v>0</v>
      </c>
      <c r="N1771" s="18"/>
      <c r="O1771" s="16"/>
      <c r="P1771" s="17">
        <f t="shared" si="1126"/>
        <v>0</v>
      </c>
      <c r="Q1771" s="17">
        <f t="shared" si="1127"/>
        <v>0</v>
      </c>
    </row>
    <row r="1772" spans="1:17" x14ac:dyDescent="0.15">
      <c r="A1772" s="10" t="s">
        <v>9</v>
      </c>
      <c r="B1772" s="15">
        <v>10</v>
      </c>
      <c r="C1772" s="16">
        <v>10</v>
      </c>
      <c r="D1772" s="17">
        <f t="shared" si="1128"/>
        <v>20</v>
      </c>
      <c r="E1772" s="18">
        <v>35</v>
      </c>
      <c r="F1772" s="16"/>
      <c r="G1772" s="17">
        <f t="shared" si="1129"/>
        <v>35</v>
      </c>
      <c r="H1772" s="17">
        <f t="shared" si="1130"/>
        <v>55</v>
      </c>
      <c r="I1772" s="81">
        <v>45633</v>
      </c>
      <c r="J1772" s="10" t="s">
        <v>9</v>
      </c>
      <c r="K1772" s="15"/>
      <c r="L1772" s="16"/>
      <c r="M1772" s="17">
        <f t="shared" si="1125"/>
        <v>0</v>
      </c>
      <c r="N1772" s="18"/>
      <c r="O1772" s="16"/>
      <c r="P1772" s="17">
        <f t="shared" si="1126"/>
        <v>0</v>
      </c>
      <c r="Q1772" s="17">
        <f t="shared" si="1127"/>
        <v>0</v>
      </c>
    </row>
    <row r="1773" spans="1:17" x14ac:dyDescent="0.15">
      <c r="A1773" s="10" t="s">
        <v>10</v>
      </c>
      <c r="B1773" s="15"/>
      <c r="C1773" s="16">
        <v>5</v>
      </c>
      <c r="D1773" s="17">
        <f t="shared" si="1128"/>
        <v>5</v>
      </c>
      <c r="E1773" s="18">
        <v>20</v>
      </c>
      <c r="F1773" s="16"/>
      <c r="G1773" s="17">
        <f t="shared" si="1129"/>
        <v>20</v>
      </c>
      <c r="H1773" s="17">
        <f t="shared" si="1130"/>
        <v>25</v>
      </c>
      <c r="I1773" s="81">
        <v>45636</v>
      </c>
      <c r="J1773" s="10" t="s">
        <v>10</v>
      </c>
      <c r="K1773" s="15"/>
      <c r="L1773" s="16"/>
      <c r="M1773" s="17">
        <f t="shared" si="1125"/>
        <v>0</v>
      </c>
      <c r="N1773" s="18"/>
      <c r="O1773" s="16"/>
      <c r="P1773" s="17">
        <f t="shared" si="1126"/>
        <v>0</v>
      </c>
      <c r="Q1773" s="17">
        <f t="shared" si="1127"/>
        <v>0</v>
      </c>
    </row>
    <row r="1774" spans="1:17" x14ac:dyDescent="0.15">
      <c r="A1774" s="10" t="s">
        <v>11</v>
      </c>
      <c r="B1774" s="15"/>
      <c r="C1774" s="16"/>
      <c r="D1774" s="17">
        <f t="shared" si="1122"/>
        <v>0</v>
      </c>
      <c r="E1774" s="18"/>
      <c r="F1774" s="16"/>
      <c r="G1774" s="17">
        <f t="shared" si="1123"/>
        <v>0</v>
      </c>
      <c r="H1774" s="17">
        <f t="shared" si="1124"/>
        <v>0</v>
      </c>
      <c r="J1774" s="10" t="s">
        <v>11</v>
      </c>
      <c r="K1774" s="15"/>
      <c r="L1774" s="16"/>
      <c r="M1774" s="17">
        <f t="shared" si="1125"/>
        <v>0</v>
      </c>
      <c r="N1774" s="18"/>
      <c r="O1774" s="16"/>
      <c r="P1774" s="17">
        <f t="shared" si="1126"/>
        <v>0</v>
      </c>
      <c r="Q1774" s="17">
        <f t="shared" si="1127"/>
        <v>0</v>
      </c>
    </row>
    <row r="1775" spans="1:17" ht="14.25" thickBot="1" x14ac:dyDescent="0.2">
      <c r="A1775" s="10" t="s">
        <v>12</v>
      </c>
      <c r="B1775" s="15"/>
      <c r="C1775" s="16"/>
      <c r="D1775" s="17">
        <f t="shared" si="1122"/>
        <v>0</v>
      </c>
      <c r="E1775" s="18"/>
      <c r="F1775" s="16"/>
      <c r="G1775" s="17">
        <f t="shared" si="1123"/>
        <v>0</v>
      </c>
      <c r="H1775" s="17">
        <f t="shared" si="1124"/>
        <v>0</v>
      </c>
      <c r="J1775" s="10" t="s">
        <v>12</v>
      </c>
      <c r="K1775" s="15"/>
      <c r="L1775" s="16"/>
      <c r="M1775" s="17">
        <f t="shared" si="1125"/>
        <v>0</v>
      </c>
      <c r="N1775" s="18"/>
      <c r="O1775" s="16"/>
      <c r="P1775" s="17">
        <f t="shared" si="1126"/>
        <v>0</v>
      </c>
      <c r="Q1775" s="17">
        <f t="shared" si="1127"/>
        <v>0</v>
      </c>
    </row>
    <row r="1776" spans="1:17" ht="14.25" thickBot="1" x14ac:dyDescent="0.2">
      <c r="A1776" s="31" t="s">
        <v>13</v>
      </c>
      <c r="B1776" s="32">
        <f>SUM(B1767:B1775)</f>
        <v>60</v>
      </c>
      <c r="C1776" s="33">
        <f>SUM(C1767:C1775)</f>
        <v>74</v>
      </c>
      <c r="D1776" s="34">
        <f t="shared" si="1122"/>
        <v>134</v>
      </c>
      <c r="E1776" s="32">
        <f>SUM(E1767:E1775)</f>
        <v>138</v>
      </c>
      <c r="F1776" s="33">
        <f>SUM(F1767:F1775)</f>
        <v>0</v>
      </c>
      <c r="G1776" s="34">
        <f t="shared" si="1123"/>
        <v>138</v>
      </c>
      <c r="H1776" s="34">
        <f t="shared" si="1124"/>
        <v>272</v>
      </c>
      <c r="J1776" s="31" t="s">
        <v>13</v>
      </c>
      <c r="K1776" s="32">
        <f>SUM(K1767:K1775)</f>
        <v>755</v>
      </c>
      <c r="L1776" s="33">
        <f>SUM(L1767:L1775)</f>
        <v>235</v>
      </c>
      <c r="M1776" s="34">
        <f t="shared" si="1125"/>
        <v>990</v>
      </c>
      <c r="N1776" s="32">
        <f>SUM(N1767:N1775)</f>
        <v>719</v>
      </c>
      <c r="O1776" s="33">
        <f>SUM(O1767:O1775)</f>
        <v>0</v>
      </c>
      <c r="P1776" s="34">
        <f t="shared" si="1126"/>
        <v>719</v>
      </c>
      <c r="Q1776" s="34">
        <f t="shared" si="1127"/>
        <v>1709</v>
      </c>
    </row>
    <row r="1777" spans="1:20" x14ac:dyDescent="0.15">
      <c r="A1777" s="35" t="s">
        <v>651</v>
      </c>
      <c r="B1777" s="15">
        <v>1</v>
      </c>
      <c r="C1777" s="16">
        <v>2</v>
      </c>
      <c r="D1777" s="36">
        <f t="shared" ref="D1777:D1798" si="1131">SUM(B1777:C1777)</f>
        <v>3</v>
      </c>
      <c r="E1777" s="18">
        <v>3</v>
      </c>
      <c r="F1777" s="16"/>
      <c r="G1777" s="36">
        <f t="shared" ref="G1777:G1798" si="1132">SUM(E1777:F1777)</f>
        <v>3</v>
      </c>
      <c r="H1777" s="17">
        <f t="shared" ref="H1777:H1798" si="1133">D1777+G1777</f>
        <v>6</v>
      </c>
      <c r="I1777" s="84">
        <v>45603</v>
      </c>
      <c r="J1777" s="52" t="s">
        <v>91</v>
      </c>
      <c r="K1777" s="15">
        <v>10</v>
      </c>
      <c r="L1777" s="16">
        <v>10</v>
      </c>
      <c r="M1777" s="36">
        <f t="shared" si="1125"/>
        <v>20</v>
      </c>
      <c r="N1777" s="18">
        <v>20</v>
      </c>
      <c r="O1777" s="16"/>
      <c r="P1777" s="36">
        <f t="shared" si="1126"/>
        <v>20</v>
      </c>
      <c r="Q1777" s="17">
        <f t="shared" si="1127"/>
        <v>40</v>
      </c>
      <c r="R1777" s="81">
        <v>45607</v>
      </c>
      <c r="S1777" s="22"/>
      <c r="T1777" s="22"/>
    </row>
    <row r="1778" spans="1:20" x14ac:dyDescent="0.15">
      <c r="A1778" s="35" t="s">
        <v>651</v>
      </c>
      <c r="B1778" s="15">
        <v>2</v>
      </c>
      <c r="C1778" s="16">
        <v>4</v>
      </c>
      <c r="D1778" s="36">
        <f t="shared" si="1131"/>
        <v>6</v>
      </c>
      <c r="E1778" s="18">
        <v>11</v>
      </c>
      <c r="F1778" s="16"/>
      <c r="G1778" s="36">
        <f t="shared" si="1132"/>
        <v>11</v>
      </c>
      <c r="H1778" s="17">
        <f t="shared" si="1133"/>
        <v>17</v>
      </c>
      <c r="I1778" s="84">
        <v>45604</v>
      </c>
      <c r="J1778" s="52" t="s">
        <v>91</v>
      </c>
      <c r="K1778" s="15">
        <v>15</v>
      </c>
      <c r="L1778" s="16">
        <v>15</v>
      </c>
      <c r="M1778" s="36">
        <f t="shared" si="1125"/>
        <v>30</v>
      </c>
      <c r="N1778" s="18">
        <v>20</v>
      </c>
      <c r="O1778" s="16"/>
      <c r="P1778" s="36">
        <f t="shared" si="1126"/>
        <v>20</v>
      </c>
      <c r="Q1778" s="17">
        <f t="shared" si="1127"/>
        <v>50</v>
      </c>
      <c r="R1778" s="81">
        <v>45615</v>
      </c>
      <c r="S1778" s="22"/>
      <c r="T1778" s="22"/>
    </row>
    <row r="1779" spans="1:20" x14ac:dyDescent="0.15">
      <c r="A1779" s="35" t="s">
        <v>651</v>
      </c>
      <c r="B1779" s="15">
        <v>2</v>
      </c>
      <c r="C1779" s="16"/>
      <c r="D1779" s="36">
        <f t="shared" si="1131"/>
        <v>2</v>
      </c>
      <c r="E1779" s="18">
        <f>1+1+2</f>
        <v>4</v>
      </c>
      <c r="F1779" s="16"/>
      <c r="G1779" s="36">
        <f t="shared" si="1132"/>
        <v>4</v>
      </c>
      <c r="H1779" s="17">
        <f t="shared" si="1133"/>
        <v>6</v>
      </c>
      <c r="I1779" s="84">
        <v>45607</v>
      </c>
      <c r="J1779" s="52" t="s">
        <v>91</v>
      </c>
      <c r="K1779" s="15"/>
      <c r="L1779" s="16"/>
      <c r="M1779" s="36">
        <f t="shared" si="1125"/>
        <v>0</v>
      </c>
      <c r="N1779" s="18">
        <v>15</v>
      </c>
      <c r="O1779" s="16"/>
      <c r="P1779" s="36">
        <f t="shared" si="1126"/>
        <v>15</v>
      </c>
      <c r="Q1779" s="17">
        <f t="shared" si="1127"/>
        <v>15</v>
      </c>
      <c r="R1779" s="81">
        <v>45626</v>
      </c>
      <c r="S1779" s="22"/>
      <c r="T1779" s="22"/>
    </row>
    <row r="1780" spans="1:20" x14ac:dyDescent="0.15">
      <c r="A1780" s="35" t="s">
        <v>651</v>
      </c>
      <c r="B1780" s="15"/>
      <c r="C1780" s="16">
        <v>2</v>
      </c>
      <c r="D1780" s="36">
        <f t="shared" si="1131"/>
        <v>2</v>
      </c>
      <c r="E1780" s="18">
        <v>1</v>
      </c>
      <c r="F1780" s="16"/>
      <c r="G1780" s="36">
        <f t="shared" si="1132"/>
        <v>1</v>
      </c>
      <c r="H1780" s="17">
        <f t="shared" si="1133"/>
        <v>3</v>
      </c>
      <c r="I1780" s="84">
        <v>45608</v>
      </c>
      <c r="J1780" s="52" t="s">
        <v>91</v>
      </c>
      <c r="K1780" s="15">
        <v>10</v>
      </c>
      <c r="L1780" s="16">
        <v>10</v>
      </c>
      <c r="M1780" s="36">
        <f t="shared" si="1125"/>
        <v>20</v>
      </c>
      <c r="N1780" s="18">
        <v>35</v>
      </c>
      <c r="O1780" s="16"/>
      <c r="P1780" s="36">
        <f t="shared" si="1126"/>
        <v>35</v>
      </c>
      <c r="Q1780" s="17">
        <f t="shared" si="1127"/>
        <v>55</v>
      </c>
      <c r="R1780" s="81">
        <v>45633</v>
      </c>
      <c r="S1780" s="22"/>
      <c r="T1780" s="22"/>
    </row>
    <row r="1781" spans="1:20" x14ac:dyDescent="0.15">
      <c r="A1781" s="35" t="s">
        <v>651</v>
      </c>
      <c r="B1781" s="15"/>
      <c r="C1781" s="16"/>
      <c r="D1781" s="36">
        <f t="shared" si="1131"/>
        <v>0</v>
      </c>
      <c r="E1781" s="18">
        <v>1</v>
      </c>
      <c r="F1781" s="16"/>
      <c r="G1781" s="36">
        <f t="shared" si="1132"/>
        <v>1</v>
      </c>
      <c r="H1781" s="17">
        <f t="shared" si="1133"/>
        <v>1</v>
      </c>
      <c r="I1781" s="84">
        <v>45609</v>
      </c>
      <c r="J1781" s="52" t="s">
        <v>91</v>
      </c>
      <c r="K1781" s="15"/>
      <c r="L1781" s="16">
        <v>5</v>
      </c>
      <c r="M1781" s="36">
        <f t="shared" si="1125"/>
        <v>5</v>
      </c>
      <c r="N1781" s="18">
        <v>20</v>
      </c>
      <c r="O1781" s="16"/>
      <c r="P1781" s="36">
        <f t="shared" si="1126"/>
        <v>20</v>
      </c>
      <c r="Q1781" s="17">
        <f t="shared" si="1127"/>
        <v>25</v>
      </c>
      <c r="R1781" s="81">
        <v>45636</v>
      </c>
      <c r="S1781" s="22"/>
      <c r="T1781" s="22"/>
    </row>
    <row r="1782" spans="1:20" x14ac:dyDescent="0.15">
      <c r="A1782" s="35" t="s">
        <v>651</v>
      </c>
      <c r="B1782" s="15"/>
      <c r="C1782" s="16"/>
      <c r="D1782" s="36">
        <f t="shared" si="1131"/>
        <v>0</v>
      </c>
      <c r="E1782" s="18">
        <v>1</v>
      </c>
      <c r="F1782" s="16"/>
      <c r="G1782" s="36">
        <f t="shared" si="1132"/>
        <v>1</v>
      </c>
      <c r="H1782" s="17">
        <f t="shared" si="1133"/>
        <v>1</v>
      </c>
      <c r="I1782" s="84">
        <v>45612</v>
      </c>
      <c r="J1782" s="52"/>
      <c r="K1782" s="15"/>
      <c r="L1782" s="16"/>
      <c r="M1782" s="36">
        <f t="shared" ref="M1782:M1790" si="1134">SUM(K1782:L1782)</f>
        <v>0</v>
      </c>
      <c r="N1782" s="18"/>
      <c r="O1782" s="16"/>
      <c r="P1782" s="36">
        <f t="shared" ref="P1782:P1790" si="1135">SUM(N1782:O1782)</f>
        <v>0</v>
      </c>
      <c r="Q1782" s="17">
        <f t="shared" ref="Q1782:Q1790" si="1136">M1782+P1782</f>
        <v>0</v>
      </c>
      <c r="R1782" s="83"/>
      <c r="S1782" s="22"/>
      <c r="T1782" s="22"/>
    </row>
    <row r="1783" spans="1:20" x14ac:dyDescent="0.15">
      <c r="A1783" s="35" t="s">
        <v>651</v>
      </c>
      <c r="B1783" s="15">
        <v>1</v>
      </c>
      <c r="C1783" s="16">
        <v>5</v>
      </c>
      <c r="D1783" s="36">
        <f t="shared" si="1131"/>
        <v>6</v>
      </c>
      <c r="E1783" s="18">
        <f>1+1</f>
        <v>2</v>
      </c>
      <c r="F1783" s="16"/>
      <c r="G1783" s="36">
        <f t="shared" si="1132"/>
        <v>2</v>
      </c>
      <c r="H1783" s="17">
        <f t="shared" si="1133"/>
        <v>8</v>
      </c>
      <c r="I1783" s="84">
        <v>45614</v>
      </c>
      <c r="J1783" s="52"/>
      <c r="K1783" s="15"/>
      <c r="L1783" s="16"/>
      <c r="M1783" s="36">
        <f t="shared" si="1134"/>
        <v>0</v>
      </c>
      <c r="N1783" s="18"/>
      <c r="O1783" s="16"/>
      <c r="P1783" s="36">
        <f t="shared" si="1135"/>
        <v>0</v>
      </c>
      <c r="Q1783" s="17">
        <f t="shared" si="1136"/>
        <v>0</v>
      </c>
      <c r="R1783" s="83"/>
      <c r="S1783" s="22"/>
      <c r="T1783" s="22"/>
    </row>
    <row r="1784" spans="1:20" x14ac:dyDescent="0.15">
      <c r="A1784" s="35" t="s">
        <v>651</v>
      </c>
      <c r="B1784" s="15">
        <v>1</v>
      </c>
      <c r="C1784" s="16"/>
      <c r="D1784" s="36">
        <f t="shared" si="1131"/>
        <v>1</v>
      </c>
      <c r="E1784" s="18">
        <v>1</v>
      </c>
      <c r="F1784" s="16"/>
      <c r="G1784" s="36">
        <f t="shared" si="1132"/>
        <v>1</v>
      </c>
      <c r="H1784" s="17">
        <f t="shared" si="1133"/>
        <v>2</v>
      </c>
      <c r="I1784" s="84">
        <v>45615</v>
      </c>
      <c r="J1784" s="52"/>
      <c r="K1784" s="15"/>
      <c r="L1784" s="16"/>
      <c r="M1784" s="36">
        <f t="shared" si="1134"/>
        <v>0</v>
      </c>
      <c r="N1784" s="18"/>
      <c r="O1784" s="16"/>
      <c r="P1784" s="36">
        <f t="shared" si="1135"/>
        <v>0</v>
      </c>
      <c r="Q1784" s="17">
        <f t="shared" si="1136"/>
        <v>0</v>
      </c>
      <c r="R1784" s="83"/>
    </row>
    <row r="1785" spans="1:20" x14ac:dyDescent="0.15">
      <c r="A1785" s="35" t="s">
        <v>651</v>
      </c>
      <c r="B1785" s="15">
        <v>2</v>
      </c>
      <c r="C1785" s="16"/>
      <c r="D1785" s="36">
        <f t="shared" si="1131"/>
        <v>2</v>
      </c>
      <c r="E1785" s="18">
        <v>10</v>
      </c>
      <c r="F1785" s="16"/>
      <c r="G1785" s="36">
        <f t="shared" si="1132"/>
        <v>10</v>
      </c>
      <c r="H1785" s="17">
        <f t="shared" si="1133"/>
        <v>12</v>
      </c>
      <c r="I1785" s="84">
        <v>45616</v>
      </c>
      <c r="J1785" s="52"/>
      <c r="K1785" s="15"/>
      <c r="L1785" s="16"/>
      <c r="M1785" s="36">
        <f t="shared" si="1134"/>
        <v>0</v>
      </c>
      <c r="N1785" s="18"/>
      <c r="O1785" s="16"/>
      <c r="P1785" s="36">
        <f t="shared" si="1135"/>
        <v>0</v>
      </c>
      <c r="Q1785" s="17">
        <f t="shared" si="1136"/>
        <v>0</v>
      </c>
    </row>
    <row r="1786" spans="1:20" x14ac:dyDescent="0.15">
      <c r="A1786" s="35" t="s">
        <v>651</v>
      </c>
      <c r="B1786" s="15"/>
      <c r="C1786" s="16"/>
      <c r="D1786" s="36">
        <f t="shared" si="1131"/>
        <v>0</v>
      </c>
      <c r="E1786" s="18">
        <v>2</v>
      </c>
      <c r="F1786" s="16"/>
      <c r="G1786" s="36">
        <f t="shared" si="1132"/>
        <v>2</v>
      </c>
      <c r="H1786" s="17">
        <f t="shared" si="1133"/>
        <v>2</v>
      </c>
      <c r="I1786" s="84">
        <v>45617</v>
      </c>
      <c r="J1786" s="52"/>
      <c r="K1786" s="15"/>
      <c r="L1786" s="16"/>
      <c r="M1786" s="36">
        <f t="shared" si="1134"/>
        <v>0</v>
      </c>
      <c r="N1786" s="18"/>
      <c r="O1786" s="16"/>
      <c r="P1786" s="36">
        <f t="shared" si="1135"/>
        <v>0</v>
      </c>
      <c r="Q1786" s="17">
        <f t="shared" si="1136"/>
        <v>0</v>
      </c>
    </row>
    <row r="1787" spans="1:20" x14ac:dyDescent="0.15">
      <c r="A1787" s="35" t="s">
        <v>651</v>
      </c>
      <c r="B1787" s="15">
        <f>1+1</f>
        <v>2</v>
      </c>
      <c r="C1787" s="16">
        <f>1+2</f>
        <v>3</v>
      </c>
      <c r="D1787" s="36">
        <f t="shared" si="1131"/>
        <v>5</v>
      </c>
      <c r="E1787" s="18">
        <v>1</v>
      </c>
      <c r="F1787" s="16"/>
      <c r="G1787" s="36">
        <f t="shared" si="1132"/>
        <v>1</v>
      </c>
      <c r="H1787" s="17">
        <f t="shared" si="1133"/>
        <v>6</v>
      </c>
      <c r="I1787" s="84">
        <v>45621</v>
      </c>
      <c r="J1787" s="52"/>
      <c r="K1787" s="15"/>
      <c r="L1787" s="16"/>
      <c r="M1787" s="36">
        <f t="shared" si="1134"/>
        <v>0</v>
      </c>
      <c r="N1787" s="18"/>
      <c r="O1787" s="16"/>
      <c r="P1787" s="36">
        <f t="shared" si="1135"/>
        <v>0</v>
      </c>
      <c r="Q1787" s="17">
        <f t="shared" si="1136"/>
        <v>0</v>
      </c>
    </row>
    <row r="1788" spans="1:20" x14ac:dyDescent="0.15">
      <c r="A1788" s="35" t="s">
        <v>651</v>
      </c>
      <c r="B1788" s="15">
        <v>1</v>
      </c>
      <c r="C1788" s="16"/>
      <c r="D1788" s="36">
        <f t="shared" si="1131"/>
        <v>1</v>
      </c>
      <c r="E1788" s="18">
        <v>2</v>
      </c>
      <c r="F1788" s="16"/>
      <c r="G1788" s="36">
        <f t="shared" si="1132"/>
        <v>2</v>
      </c>
      <c r="H1788" s="17">
        <f t="shared" si="1133"/>
        <v>3</v>
      </c>
      <c r="I1788" s="84">
        <v>45624</v>
      </c>
      <c r="J1788" s="52"/>
      <c r="K1788" s="15"/>
      <c r="L1788" s="16"/>
      <c r="M1788" s="36">
        <f t="shared" si="1134"/>
        <v>0</v>
      </c>
      <c r="N1788" s="18"/>
      <c r="O1788" s="16"/>
      <c r="P1788" s="36">
        <f t="shared" si="1135"/>
        <v>0</v>
      </c>
      <c r="Q1788" s="17">
        <f t="shared" si="1136"/>
        <v>0</v>
      </c>
    </row>
    <row r="1789" spans="1:20" x14ac:dyDescent="0.15">
      <c r="A1789" s="35" t="s">
        <v>651</v>
      </c>
      <c r="B1789" s="15">
        <v>1</v>
      </c>
      <c r="C1789" s="16"/>
      <c r="D1789" s="36">
        <f t="shared" si="1131"/>
        <v>1</v>
      </c>
      <c r="E1789" s="18"/>
      <c r="F1789" s="16"/>
      <c r="G1789" s="36">
        <f t="shared" si="1132"/>
        <v>0</v>
      </c>
      <c r="H1789" s="17">
        <f t="shared" si="1133"/>
        <v>1</v>
      </c>
      <c r="I1789" s="84">
        <v>45625</v>
      </c>
      <c r="J1789" s="52"/>
      <c r="K1789" s="15"/>
      <c r="L1789" s="16"/>
      <c r="M1789" s="36">
        <f t="shared" si="1134"/>
        <v>0</v>
      </c>
      <c r="N1789" s="18"/>
      <c r="O1789" s="16"/>
      <c r="P1789" s="36">
        <f t="shared" si="1135"/>
        <v>0</v>
      </c>
      <c r="Q1789" s="17">
        <f t="shared" si="1136"/>
        <v>0</v>
      </c>
    </row>
    <row r="1790" spans="1:20" x14ac:dyDescent="0.15">
      <c r="A1790" s="35" t="s">
        <v>651</v>
      </c>
      <c r="B1790" s="15"/>
      <c r="C1790" s="16">
        <v>1</v>
      </c>
      <c r="D1790" s="36">
        <f t="shared" si="1131"/>
        <v>1</v>
      </c>
      <c r="E1790" s="18"/>
      <c r="F1790" s="16"/>
      <c r="G1790" s="36">
        <f t="shared" si="1132"/>
        <v>0</v>
      </c>
      <c r="H1790" s="17">
        <f t="shared" si="1133"/>
        <v>1</v>
      </c>
      <c r="I1790" s="84">
        <v>45626</v>
      </c>
      <c r="J1790" s="52"/>
      <c r="K1790" s="15"/>
      <c r="L1790" s="16"/>
      <c r="M1790" s="36">
        <f t="shared" si="1134"/>
        <v>0</v>
      </c>
      <c r="N1790" s="18"/>
      <c r="O1790" s="16"/>
      <c r="P1790" s="36">
        <f t="shared" si="1135"/>
        <v>0</v>
      </c>
      <c r="Q1790" s="17">
        <f t="shared" si="1136"/>
        <v>0</v>
      </c>
    </row>
    <row r="1791" spans="1:20" x14ac:dyDescent="0.15">
      <c r="A1791" s="35" t="s">
        <v>651</v>
      </c>
      <c r="B1791" s="15"/>
      <c r="C1791" s="16"/>
      <c r="D1791" s="36">
        <f t="shared" si="1131"/>
        <v>0</v>
      </c>
      <c r="E1791" s="18">
        <v>1</v>
      </c>
      <c r="F1791" s="16"/>
      <c r="G1791" s="36">
        <f t="shared" si="1132"/>
        <v>1</v>
      </c>
      <c r="H1791" s="17">
        <f t="shared" si="1133"/>
        <v>1</v>
      </c>
      <c r="I1791" s="84">
        <v>45628</v>
      </c>
      <c r="J1791" s="52"/>
      <c r="K1791" s="15"/>
      <c r="L1791" s="16"/>
      <c r="M1791" s="36">
        <f t="shared" si="1125"/>
        <v>0</v>
      </c>
      <c r="N1791" s="18"/>
      <c r="O1791" s="16"/>
      <c r="P1791" s="36">
        <f t="shared" si="1126"/>
        <v>0</v>
      </c>
      <c r="Q1791" s="17">
        <f t="shared" si="1127"/>
        <v>0</v>
      </c>
    </row>
    <row r="1792" spans="1:20" x14ac:dyDescent="0.15">
      <c r="A1792" s="35" t="s">
        <v>651</v>
      </c>
      <c r="B1792" s="15"/>
      <c r="C1792" s="16">
        <v>1</v>
      </c>
      <c r="D1792" s="36">
        <f t="shared" si="1131"/>
        <v>1</v>
      </c>
      <c r="E1792" s="18">
        <v>3</v>
      </c>
      <c r="F1792" s="16"/>
      <c r="G1792" s="36">
        <f t="shared" si="1132"/>
        <v>3</v>
      </c>
      <c r="H1792" s="17">
        <f t="shared" si="1133"/>
        <v>4</v>
      </c>
      <c r="I1792" s="84">
        <v>45629</v>
      </c>
      <c r="J1792" s="52"/>
      <c r="K1792" s="15"/>
      <c r="L1792" s="16"/>
      <c r="M1792" s="36">
        <f t="shared" si="1125"/>
        <v>0</v>
      </c>
      <c r="N1792" s="18"/>
      <c r="O1792" s="16"/>
      <c r="P1792" s="36">
        <f t="shared" si="1126"/>
        <v>0</v>
      </c>
      <c r="Q1792" s="17">
        <f t="shared" si="1127"/>
        <v>0</v>
      </c>
    </row>
    <row r="1793" spans="1:17" x14ac:dyDescent="0.15">
      <c r="A1793" s="35" t="s">
        <v>651</v>
      </c>
      <c r="B1793" s="15">
        <f>1+1</f>
        <v>2</v>
      </c>
      <c r="C1793" s="16">
        <v>3</v>
      </c>
      <c r="D1793" s="36">
        <f t="shared" si="1131"/>
        <v>5</v>
      </c>
      <c r="E1793" s="18"/>
      <c r="F1793" s="16"/>
      <c r="G1793" s="36">
        <f t="shared" si="1132"/>
        <v>0</v>
      </c>
      <c r="H1793" s="17">
        <f t="shared" si="1133"/>
        <v>5</v>
      </c>
      <c r="I1793" s="84">
        <v>45630</v>
      </c>
      <c r="J1793" s="52"/>
      <c r="K1793" s="15"/>
      <c r="L1793" s="16"/>
      <c r="M1793" s="36">
        <f t="shared" si="1125"/>
        <v>0</v>
      </c>
      <c r="N1793" s="18"/>
      <c r="O1793" s="16"/>
      <c r="P1793" s="36">
        <f t="shared" si="1126"/>
        <v>0</v>
      </c>
      <c r="Q1793" s="17">
        <f t="shared" si="1127"/>
        <v>0</v>
      </c>
    </row>
    <row r="1794" spans="1:17" x14ac:dyDescent="0.15">
      <c r="A1794" s="35" t="s">
        <v>651</v>
      </c>
      <c r="B1794" s="15"/>
      <c r="C1794" s="16">
        <v>3</v>
      </c>
      <c r="D1794" s="36">
        <f t="shared" si="1131"/>
        <v>3</v>
      </c>
      <c r="E1794" s="18">
        <f>6+20+8</f>
        <v>34</v>
      </c>
      <c r="F1794" s="16"/>
      <c r="G1794" s="36">
        <f t="shared" si="1132"/>
        <v>34</v>
      </c>
      <c r="H1794" s="17">
        <f t="shared" si="1133"/>
        <v>37</v>
      </c>
      <c r="I1794" s="84">
        <v>45631</v>
      </c>
      <c r="J1794" s="52"/>
      <c r="K1794" s="15"/>
      <c r="L1794" s="16"/>
      <c r="M1794" s="36">
        <f t="shared" si="1125"/>
        <v>0</v>
      </c>
      <c r="N1794" s="18"/>
      <c r="O1794" s="16"/>
      <c r="P1794" s="36">
        <f t="shared" si="1126"/>
        <v>0</v>
      </c>
      <c r="Q1794" s="17">
        <f t="shared" si="1127"/>
        <v>0</v>
      </c>
    </row>
    <row r="1795" spans="1:17" x14ac:dyDescent="0.15">
      <c r="A1795" s="35" t="s">
        <v>651</v>
      </c>
      <c r="B1795" s="15">
        <v>3</v>
      </c>
      <c r="C1795" s="16">
        <v>4</v>
      </c>
      <c r="D1795" s="36">
        <f t="shared" si="1131"/>
        <v>7</v>
      </c>
      <c r="E1795" s="18">
        <v>1</v>
      </c>
      <c r="F1795" s="16"/>
      <c r="G1795" s="36">
        <f t="shared" si="1132"/>
        <v>1</v>
      </c>
      <c r="H1795" s="17">
        <f t="shared" si="1133"/>
        <v>8</v>
      </c>
      <c r="I1795" s="84">
        <v>45632</v>
      </c>
      <c r="J1795" s="52"/>
      <c r="K1795" s="15"/>
      <c r="L1795" s="16"/>
      <c r="M1795" s="36">
        <f t="shared" si="1125"/>
        <v>0</v>
      </c>
      <c r="N1795" s="18"/>
      <c r="O1795" s="16"/>
      <c r="P1795" s="36">
        <f t="shared" si="1126"/>
        <v>0</v>
      </c>
      <c r="Q1795" s="17">
        <f t="shared" si="1127"/>
        <v>0</v>
      </c>
    </row>
    <row r="1796" spans="1:17" x14ac:dyDescent="0.15">
      <c r="A1796" s="35" t="s">
        <v>651</v>
      </c>
      <c r="B1796" s="15">
        <v>1</v>
      </c>
      <c r="C1796" s="16">
        <v>2</v>
      </c>
      <c r="D1796" s="36">
        <f t="shared" si="1131"/>
        <v>3</v>
      </c>
      <c r="E1796" s="18">
        <v>3</v>
      </c>
      <c r="F1796" s="16"/>
      <c r="G1796" s="36">
        <f t="shared" si="1132"/>
        <v>3</v>
      </c>
      <c r="H1796" s="17">
        <f t="shared" si="1133"/>
        <v>6</v>
      </c>
      <c r="I1796" s="84">
        <v>45633</v>
      </c>
      <c r="J1796" s="52"/>
      <c r="K1796" s="15"/>
      <c r="L1796" s="16"/>
      <c r="M1796" s="36">
        <f t="shared" si="1125"/>
        <v>0</v>
      </c>
      <c r="N1796" s="18"/>
      <c r="O1796" s="16"/>
      <c r="P1796" s="36">
        <f t="shared" si="1126"/>
        <v>0</v>
      </c>
      <c r="Q1796" s="17">
        <f t="shared" si="1127"/>
        <v>0</v>
      </c>
    </row>
    <row r="1797" spans="1:17" x14ac:dyDescent="0.15">
      <c r="A1797" s="35" t="s">
        <v>651</v>
      </c>
      <c r="B1797" s="15">
        <v>1</v>
      </c>
      <c r="C1797" s="16">
        <f>2+1</f>
        <v>3</v>
      </c>
      <c r="D1797" s="36">
        <f t="shared" si="1131"/>
        <v>4</v>
      </c>
      <c r="E1797" s="18">
        <f>6+6</f>
        <v>12</v>
      </c>
      <c r="F1797" s="16"/>
      <c r="G1797" s="36">
        <f t="shared" si="1132"/>
        <v>12</v>
      </c>
      <c r="H1797" s="17">
        <f t="shared" si="1133"/>
        <v>16</v>
      </c>
      <c r="I1797" s="84">
        <v>45635</v>
      </c>
      <c r="J1797" s="52"/>
      <c r="K1797" s="15"/>
      <c r="L1797" s="16"/>
      <c r="M1797" s="36">
        <f t="shared" si="1125"/>
        <v>0</v>
      </c>
      <c r="N1797" s="18"/>
      <c r="O1797" s="16"/>
      <c r="P1797" s="36">
        <f t="shared" si="1126"/>
        <v>0</v>
      </c>
      <c r="Q1797" s="17">
        <f t="shared" si="1127"/>
        <v>0</v>
      </c>
    </row>
    <row r="1798" spans="1:17" x14ac:dyDescent="0.15">
      <c r="A1798" s="35" t="s">
        <v>651</v>
      </c>
      <c r="B1798" s="15">
        <v>2</v>
      </c>
      <c r="C1798" s="16">
        <v>2</v>
      </c>
      <c r="D1798" s="36">
        <f t="shared" si="1131"/>
        <v>4</v>
      </c>
      <c r="E1798" s="18">
        <v>2</v>
      </c>
      <c r="F1798" s="16"/>
      <c r="G1798" s="36">
        <f t="shared" si="1132"/>
        <v>2</v>
      </c>
      <c r="H1798" s="17">
        <f t="shared" si="1133"/>
        <v>6</v>
      </c>
      <c r="I1798" s="84">
        <v>45636</v>
      </c>
      <c r="J1798" s="52"/>
      <c r="K1798" s="15"/>
      <c r="L1798" s="16"/>
      <c r="M1798" s="36">
        <f t="shared" si="1125"/>
        <v>0</v>
      </c>
      <c r="N1798" s="18"/>
      <c r="O1798" s="16"/>
      <c r="P1798" s="36">
        <f t="shared" si="1126"/>
        <v>0</v>
      </c>
      <c r="Q1798" s="17">
        <f t="shared" si="1127"/>
        <v>0</v>
      </c>
    </row>
    <row r="1799" spans="1:17" x14ac:dyDescent="0.15">
      <c r="A1799" s="35" t="s">
        <v>651</v>
      </c>
      <c r="B1799" s="15"/>
      <c r="C1799" s="16">
        <v>1</v>
      </c>
      <c r="D1799" s="36">
        <f t="shared" si="1122"/>
        <v>1</v>
      </c>
      <c r="E1799" s="18">
        <v>5</v>
      </c>
      <c r="F1799" s="16"/>
      <c r="G1799" s="36">
        <f t="shared" si="1123"/>
        <v>5</v>
      </c>
      <c r="H1799" s="17">
        <f t="shared" si="1124"/>
        <v>6</v>
      </c>
      <c r="I1799" s="84">
        <v>45637</v>
      </c>
      <c r="J1799" s="52"/>
      <c r="K1799" s="15"/>
      <c r="L1799" s="16"/>
      <c r="M1799" s="36">
        <f t="shared" si="1125"/>
        <v>0</v>
      </c>
      <c r="N1799" s="18"/>
      <c r="O1799" s="16"/>
      <c r="P1799" s="36">
        <f t="shared" si="1126"/>
        <v>0</v>
      </c>
      <c r="Q1799" s="17">
        <f t="shared" si="1127"/>
        <v>0</v>
      </c>
    </row>
    <row r="1800" spans="1:17" x14ac:dyDescent="0.15">
      <c r="A1800" s="35" t="s">
        <v>651</v>
      </c>
      <c r="B1800" s="15">
        <v>2</v>
      </c>
      <c r="C1800" s="16">
        <v>-2</v>
      </c>
      <c r="D1800" s="36">
        <f t="shared" si="1122"/>
        <v>0</v>
      </c>
      <c r="E1800" s="18"/>
      <c r="F1800" s="16"/>
      <c r="G1800" s="36">
        <f t="shared" si="1123"/>
        <v>0</v>
      </c>
      <c r="H1800" s="17">
        <f t="shared" si="1124"/>
        <v>0</v>
      </c>
      <c r="I1800" s="84">
        <v>45638</v>
      </c>
      <c r="J1800" s="52"/>
      <c r="K1800" s="15"/>
      <c r="L1800" s="16"/>
      <c r="M1800" s="36">
        <f t="shared" si="1125"/>
        <v>0</v>
      </c>
      <c r="N1800" s="18"/>
      <c r="O1800" s="16"/>
      <c r="P1800" s="36">
        <f t="shared" si="1126"/>
        <v>0</v>
      </c>
      <c r="Q1800" s="17">
        <f t="shared" si="1127"/>
        <v>0</v>
      </c>
    </row>
    <row r="1801" spans="1:17" x14ac:dyDescent="0.15">
      <c r="A1801" s="35" t="s">
        <v>651</v>
      </c>
      <c r="B1801" s="15"/>
      <c r="C1801" s="16">
        <v>4</v>
      </c>
      <c r="D1801" s="36">
        <f t="shared" si="1122"/>
        <v>4</v>
      </c>
      <c r="E1801" s="18"/>
      <c r="F1801" s="16"/>
      <c r="G1801" s="36">
        <f t="shared" si="1123"/>
        <v>0</v>
      </c>
      <c r="H1801" s="17">
        <f t="shared" si="1124"/>
        <v>4</v>
      </c>
      <c r="I1801" s="84">
        <v>45639</v>
      </c>
      <c r="J1801" s="52"/>
      <c r="K1801" s="15"/>
      <c r="L1801" s="16"/>
      <c r="M1801" s="36">
        <f t="shared" si="1125"/>
        <v>0</v>
      </c>
      <c r="N1801" s="18"/>
      <c r="O1801" s="16"/>
      <c r="P1801" s="36">
        <f t="shared" si="1126"/>
        <v>0</v>
      </c>
      <c r="Q1801" s="17">
        <f t="shared" si="1127"/>
        <v>0</v>
      </c>
    </row>
    <row r="1802" spans="1:17" ht="14.25" thickBot="1" x14ac:dyDescent="0.2">
      <c r="A1802" s="35" t="s">
        <v>651</v>
      </c>
      <c r="B1802" s="15">
        <f>1+1</f>
        <v>2</v>
      </c>
      <c r="C1802" s="16">
        <v>4</v>
      </c>
      <c r="D1802" s="36">
        <f t="shared" si="1122"/>
        <v>6</v>
      </c>
      <c r="E1802" s="18">
        <v>2</v>
      </c>
      <c r="F1802" s="16"/>
      <c r="G1802" s="36">
        <f t="shared" si="1123"/>
        <v>2</v>
      </c>
      <c r="H1802" s="17">
        <f t="shared" si="1124"/>
        <v>8</v>
      </c>
      <c r="I1802" s="84">
        <v>45642</v>
      </c>
      <c r="J1802" s="52"/>
      <c r="K1802" s="15"/>
      <c r="L1802" s="16"/>
      <c r="M1802" s="36">
        <f t="shared" ref="M1802" si="1137">SUM(K1802:L1802)</f>
        <v>0</v>
      </c>
      <c r="N1802" s="18"/>
      <c r="O1802" s="16"/>
      <c r="P1802" s="36">
        <f t="shared" ref="P1802" si="1138">SUM(N1802:O1802)</f>
        <v>0</v>
      </c>
      <c r="Q1802" s="17">
        <f t="shared" ref="Q1802" si="1139">M1802+P1802</f>
        <v>0</v>
      </c>
    </row>
    <row r="1803" spans="1:17" ht="14.25" thickBot="1" x14ac:dyDescent="0.2">
      <c r="A1803" s="40" t="s">
        <v>14</v>
      </c>
      <c r="B1803" s="41">
        <f>SUM(B1777:B1802)</f>
        <v>26</v>
      </c>
      <c r="C1803" s="42">
        <f t="shared" ref="C1803" si="1140">SUM(C1777:C1802)</f>
        <v>42</v>
      </c>
      <c r="D1803" s="43">
        <f t="shared" si="1122"/>
        <v>68</v>
      </c>
      <c r="E1803" s="41">
        <f>SUM(E1777:E1802)</f>
        <v>102</v>
      </c>
      <c r="F1803" s="96">
        <f t="shared" ref="F1803" si="1141">SUM(F1777:F1802)</f>
        <v>0</v>
      </c>
      <c r="G1803" s="43">
        <f t="shared" si="1123"/>
        <v>102</v>
      </c>
      <c r="H1803" s="43">
        <f t="shared" si="1124"/>
        <v>170</v>
      </c>
      <c r="J1803" s="40" t="s">
        <v>14</v>
      </c>
      <c r="K1803" s="41">
        <f>SUM(K1777:K1802)</f>
        <v>35</v>
      </c>
      <c r="L1803" s="42">
        <f t="shared" ref="L1803" si="1142">SUM(L1777:L1802)</f>
        <v>40</v>
      </c>
      <c r="M1803" s="43">
        <f t="shared" si="1125"/>
        <v>75</v>
      </c>
      <c r="N1803" s="41">
        <f>SUM(N1777:N1802)</f>
        <v>110</v>
      </c>
      <c r="O1803" s="96">
        <f t="shared" ref="O1803" si="1143">SUM(O1777:O1802)</f>
        <v>0</v>
      </c>
      <c r="P1803" s="43">
        <f t="shared" si="1126"/>
        <v>110</v>
      </c>
      <c r="Q1803" s="43">
        <f t="shared" si="1127"/>
        <v>185</v>
      </c>
    </row>
    <row r="1804" spans="1:17" ht="14.25" thickBot="1" x14ac:dyDescent="0.2">
      <c r="A1804" s="44" t="s">
        <v>15</v>
      </c>
      <c r="B1804" s="45">
        <f>B1776-B1803</f>
        <v>34</v>
      </c>
      <c r="C1804" s="46">
        <f t="shared" ref="C1804" si="1144">C1776-C1803</f>
        <v>32</v>
      </c>
      <c r="D1804" s="47">
        <f t="shared" si="1122"/>
        <v>66</v>
      </c>
      <c r="E1804" s="45">
        <f>E1776-E1803</f>
        <v>36</v>
      </c>
      <c r="F1804" s="97">
        <f t="shared" ref="F1804" si="1145">F1776-F1803</f>
        <v>0</v>
      </c>
      <c r="G1804" s="47">
        <f t="shared" si="1123"/>
        <v>36</v>
      </c>
      <c r="H1804" s="34">
        <f t="shared" si="1124"/>
        <v>102</v>
      </c>
      <c r="J1804" s="44" t="s">
        <v>15</v>
      </c>
      <c r="K1804" s="45">
        <f>K1776-K1803</f>
        <v>720</v>
      </c>
      <c r="L1804" s="46">
        <f t="shared" ref="L1804" si="1146">L1776-L1803</f>
        <v>195</v>
      </c>
      <c r="M1804" s="47">
        <f t="shared" si="1125"/>
        <v>915</v>
      </c>
      <c r="N1804" s="45">
        <f>N1776-N1803</f>
        <v>609</v>
      </c>
      <c r="O1804" s="97">
        <f t="shared" ref="O1804" si="1147">O1776-O1803</f>
        <v>0</v>
      </c>
      <c r="P1804" s="47">
        <f t="shared" si="1126"/>
        <v>609</v>
      </c>
      <c r="Q1804" s="34">
        <f t="shared" si="1127"/>
        <v>1524</v>
      </c>
    </row>
    <row r="1807" spans="1:17" ht="19.5" thickBot="1" x14ac:dyDescent="0.25">
      <c r="A1807" s="1" t="s">
        <v>23</v>
      </c>
      <c r="J1807" s="1" t="s">
        <v>24</v>
      </c>
      <c r="K1807" s="2"/>
      <c r="L1807" s="2"/>
      <c r="M1807" s="2"/>
      <c r="N1807" s="2"/>
      <c r="O1807" s="1" t="s">
        <v>34</v>
      </c>
      <c r="P1807" s="2"/>
      <c r="Q1807" s="2"/>
    </row>
    <row r="1808" spans="1:17" ht="14.25" thickBot="1" x14ac:dyDescent="0.2">
      <c r="A1808" s="3" t="s">
        <v>0</v>
      </c>
      <c r="B1808" s="120" t="s">
        <v>18</v>
      </c>
      <c r="C1808" s="121"/>
      <c r="D1808" s="122"/>
      <c r="E1808" s="120" t="s">
        <v>19</v>
      </c>
      <c r="F1808" s="121"/>
      <c r="G1808" s="122"/>
      <c r="H1808" s="123" t="s">
        <v>1</v>
      </c>
      <c r="J1808" s="3" t="s">
        <v>0</v>
      </c>
      <c r="K1808" s="120" t="s">
        <v>18</v>
      </c>
      <c r="L1808" s="121"/>
      <c r="M1808" s="122"/>
      <c r="N1808" s="120" t="s">
        <v>19</v>
      </c>
      <c r="O1808" s="121"/>
      <c r="P1808" s="122"/>
      <c r="Q1808" s="123" t="s">
        <v>1</v>
      </c>
    </row>
    <row r="1809" spans="1:18" ht="14.25" thickBot="1" x14ac:dyDescent="0.2">
      <c r="A1809" s="3" t="s">
        <v>2</v>
      </c>
      <c r="B1809" s="4" t="s">
        <v>16</v>
      </c>
      <c r="C1809" s="5" t="s">
        <v>17</v>
      </c>
      <c r="D1809" s="3" t="s">
        <v>3</v>
      </c>
      <c r="E1809" s="4" t="s">
        <v>16</v>
      </c>
      <c r="F1809" s="5" t="s">
        <v>17</v>
      </c>
      <c r="G1809" s="3" t="s">
        <v>3</v>
      </c>
      <c r="H1809" s="124"/>
      <c r="J1809" s="3" t="s">
        <v>2</v>
      </c>
      <c r="K1809" s="4" t="s">
        <v>16</v>
      </c>
      <c r="L1809" s="5" t="s">
        <v>17</v>
      </c>
      <c r="M1809" s="3" t="s">
        <v>3</v>
      </c>
      <c r="N1809" s="4" t="s">
        <v>16</v>
      </c>
      <c r="O1809" s="5" t="s">
        <v>17</v>
      </c>
      <c r="P1809" s="3" t="s">
        <v>3</v>
      </c>
      <c r="Q1809" s="124"/>
    </row>
    <row r="1810" spans="1:18" ht="14.25" thickBot="1" x14ac:dyDescent="0.2">
      <c r="A1810" s="6" t="s">
        <v>55</v>
      </c>
      <c r="B1810" s="32">
        <f>B1804</f>
        <v>34</v>
      </c>
      <c r="C1810" s="33">
        <f>C1804</f>
        <v>32</v>
      </c>
      <c r="D1810" s="34">
        <f t="shared" ref="D1810:D1847" si="1148">SUM(B1810:C1810)</f>
        <v>66</v>
      </c>
      <c r="E1810" s="32">
        <f>E1804</f>
        <v>36</v>
      </c>
      <c r="F1810" s="33">
        <f>F1804</f>
        <v>0</v>
      </c>
      <c r="G1810" s="34">
        <f t="shared" ref="G1810:G1847" si="1149">SUM(E1810:F1810)</f>
        <v>36</v>
      </c>
      <c r="H1810" s="34">
        <f t="shared" ref="H1810:H1847" si="1150">D1810+G1810</f>
        <v>102</v>
      </c>
      <c r="J1810" s="6" t="s">
        <v>55</v>
      </c>
      <c r="K1810" s="32">
        <f>K1804</f>
        <v>720</v>
      </c>
      <c r="L1810" s="33">
        <f>L1804</f>
        <v>195</v>
      </c>
      <c r="M1810" s="34">
        <f t="shared" ref="M1810:M1847" si="1151">SUM(K1810:L1810)</f>
        <v>915</v>
      </c>
      <c r="N1810" s="32">
        <f>N1804</f>
        <v>609</v>
      </c>
      <c r="O1810" s="33">
        <f>O1804</f>
        <v>0</v>
      </c>
      <c r="P1810" s="34">
        <f t="shared" ref="P1810:P1847" si="1152">SUM(N1810:O1810)</f>
        <v>609</v>
      </c>
      <c r="Q1810" s="34">
        <f t="shared" ref="Q1810:Q1847" si="1153">M1810+P1810</f>
        <v>1524</v>
      </c>
    </row>
    <row r="1811" spans="1:18" x14ac:dyDescent="0.15">
      <c r="A1811" s="10" t="s">
        <v>5</v>
      </c>
      <c r="B1811" s="15">
        <v>10</v>
      </c>
      <c r="C1811" s="16">
        <v>10</v>
      </c>
      <c r="D1811" s="17">
        <f t="shared" si="1148"/>
        <v>20</v>
      </c>
      <c r="E1811" s="18">
        <v>12</v>
      </c>
      <c r="F1811" s="16"/>
      <c r="G1811" s="17">
        <f t="shared" si="1149"/>
        <v>12</v>
      </c>
      <c r="H1811" s="17">
        <f t="shared" si="1150"/>
        <v>32</v>
      </c>
      <c r="I1811" s="81">
        <v>45647</v>
      </c>
      <c r="J1811" s="10" t="s">
        <v>5</v>
      </c>
      <c r="K1811" s="15"/>
      <c r="L1811" s="16"/>
      <c r="M1811" s="17">
        <f t="shared" si="1151"/>
        <v>0</v>
      </c>
      <c r="N1811" s="18"/>
      <c r="O1811" s="16"/>
      <c r="P1811" s="17">
        <f t="shared" si="1152"/>
        <v>0</v>
      </c>
      <c r="Q1811" s="17">
        <f t="shared" si="1153"/>
        <v>0</v>
      </c>
    </row>
    <row r="1812" spans="1:18" x14ac:dyDescent="0.15">
      <c r="A1812" s="10" t="s">
        <v>6</v>
      </c>
      <c r="B1812" s="15"/>
      <c r="C1812" s="16">
        <v>9</v>
      </c>
      <c r="D1812" s="17">
        <f t="shared" si="1148"/>
        <v>9</v>
      </c>
      <c r="E1812" s="18">
        <v>20</v>
      </c>
      <c r="F1812" s="16"/>
      <c r="G1812" s="17">
        <f t="shared" si="1149"/>
        <v>20</v>
      </c>
      <c r="H1812" s="17">
        <f t="shared" si="1150"/>
        <v>29</v>
      </c>
      <c r="I1812" s="81">
        <v>45664</v>
      </c>
      <c r="J1812" s="10" t="s">
        <v>6</v>
      </c>
      <c r="K1812" s="15"/>
      <c r="L1812" s="16"/>
      <c r="M1812" s="17">
        <f t="shared" si="1151"/>
        <v>0</v>
      </c>
      <c r="N1812" s="18"/>
      <c r="O1812" s="16"/>
      <c r="P1812" s="17">
        <f t="shared" si="1152"/>
        <v>0</v>
      </c>
      <c r="Q1812" s="17">
        <f t="shared" si="1153"/>
        <v>0</v>
      </c>
    </row>
    <row r="1813" spans="1:18" x14ac:dyDescent="0.15">
      <c r="A1813" s="10" t="s">
        <v>7</v>
      </c>
      <c r="B1813" s="15"/>
      <c r="C1813" s="16">
        <v>15</v>
      </c>
      <c r="D1813" s="17">
        <f t="shared" si="1148"/>
        <v>15</v>
      </c>
      <c r="E1813" s="18">
        <v>10</v>
      </c>
      <c r="F1813" s="16"/>
      <c r="G1813" s="17">
        <f t="shared" si="1149"/>
        <v>10</v>
      </c>
      <c r="H1813" s="17">
        <f t="shared" si="1150"/>
        <v>25</v>
      </c>
      <c r="I1813" s="81">
        <v>45675</v>
      </c>
      <c r="J1813" s="10" t="s">
        <v>7</v>
      </c>
      <c r="K1813" s="15"/>
      <c r="L1813" s="16"/>
      <c r="M1813" s="17">
        <f t="shared" si="1151"/>
        <v>0</v>
      </c>
      <c r="N1813" s="18"/>
      <c r="O1813" s="16"/>
      <c r="P1813" s="17">
        <f t="shared" si="1152"/>
        <v>0</v>
      </c>
      <c r="Q1813" s="17">
        <f t="shared" si="1153"/>
        <v>0</v>
      </c>
    </row>
    <row r="1814" spans="1:18" x14ac:dyDescent="0.15">
      <c r="A1814" s="10" t="s">
        <v>8</v>
      </c>
      <c r="B1814" s="15"/>
      <c r="C1814" s="16"/>
      <c r="D1814" s="17">
        <f t="shared" si="1148"/>
        <v>0</v>
      </c>
      <c r="E1814" s="18"/>
      <c r="F1814" s="16"/>
      <c r="G1814" s="17">
        <f t="shared" si="1149"/>
        <v>0</v>
      </c>
      <c r="H1814" s="17">
        <f t="shared" si="1150"/>
        <v>0</v>
      </c>
      <c r="I1814" s="83"/>
      <c r="J1814" s="10" t="s">
        <v>8</v>
      </c>
      <c r="K1814" s="15"/>
      <c r="L1814" s="16"/>
      <c r="M1814" s="17">
        <f t="shared" si="1151"/>
        <v>0</v>
      </c>
      <c r="N1814" s="18"/>
      <c r="O1814" s="16"/>
      <c r="P1814" s="17">
        <f t="shared" si="1152"/>
        <v>0</v>
      </c>
      <c r="Q1814" s="17">
        <f t="shared" si="1153"/>
        <v>0</v>
      </c>
    </row>
    <row r="1815" spans="1:18" x14ac:dyDescent="0.15">
      <c r="A1815" s="10" t="s">
        <v>9</v>
      </c>
      <c r="B1815" s="15"/>
      <c r="C1815" s="16"/>
      <c r="D1815" s="17">
        <f t="shared" si="1148"/>
        <v>0</v>
      </c>
      <c r="E1815" s="18"/>
      <c r="F1815" s="16"/>
      <c r="G1815" s="17">
        <f t="shared" si="1149"/>
        <v>0</v>
      </c>
      <c r="H1815" s="17">
        <f t="shared" si="1150"/>
        <v>0</v>
      </c>
      <c r="I1815" s="83"/>
      <c r="J1815" s="10" t="s">
        <v>9</v>
      </c>
      <c r="K1815" s="15"/>
      <c r="L1815" s="16"/>
      <c r="M1815" s="17">
        <f t="shared" si="1151"/>
        <v>0</v>
      </c>
      <c r="N1815" s="18"/>
      <c r="O1815" s="16"/>
      <c r="P1815" s="17">
        <f t="shared" si="1152"/>
        <v>0</v>
      </c>
      <c r="Q1815" s="17">
        <f t="shared" si="1153"/>
        <v>0</v>
      </c>
    </row>
    <row r="1816" spans="1:18" x14ac:dyDescent="0.15">
      <c r="A1816" s="10" t="s">
        <v>10</v>
      </c>
      <c r="B1816" s="15"/>
      <c r="C1816" s="16"/>
      <c r="D1816" s="17">
        <f t="shared" si="1148"/>
        <v>0</v>
      </c>
      <c r="E1816" s="18"/>
      <c r="F1816" s="16"/>
      <c r="G1816" s="17">
        <f t="shared" si="1149"/>
        <v>0</v>
      </c>
      <c r="H1816" s="17">
        <f t="shared" si="1150"/>
        <v>0</v>
      </c>
      <c r="I1816" s="83"/>
      <c r="J1816" s="10" t="s">
        <v>10</v>
      </c>
      <c r="K1816" s="15"/>
      <c r="L1816" s="16"/>
      <c r="M1816" s="17">
        <f t="shared" si="1151"/>
        <v>0</v>
      </c>
      <c r="N1816" s="18"/>
      <c r="O1816" s="16"/>
      <c r="P1816" s="17">
        <f t="shared" si="1152"/>
        <v>0</v>
      </c>
      <c r="Q1816" s="17">
        <f t="shared" si="1153"/>
        <v>0</v>
      </c>
    </row>
    <row r="1817" spans="1:18" x14ac:dyDescent="0.15">
      <c r="A1817" s="10" t="s">
        <v>11</v>
      </c>
      <c r="B1817" s="15"/>
      <c r="C1817" s="16"/>
      <c r="D1817" s="17">
        <f t="shared" si="1148"/>
        <v>0</v>
      </c>
      <c r="E1817" s="18"/>
      <c r="F1817" s="16"/>
      <c r="G1817" s="17">
        <f t="shared" si="1149"/>
        <v>0</v>
      </c>
      <c r="H1817" s="17">
        <f t="shared" si="1150"/>
        <v>0</v>
      </c>
      <c r="J1817" s="10" t="s">
        <v>11</v>
      </c>
      <c r="K1817" s="15"/>
      <c r="L1817" s="16"/>
      <c r="M1817" s="17">
        <f t="shared" si="1151"/>
        <v>0</v>
      </c>
      <c r="N1817" s="18"/>
      <c r="O1817" s="16"/>
      <c r="P1817" s="17">
        <f t="shared" si="1152"/>
        <v>0</v>
      </c>
      <c r="Q1817" s="17">
        <f t="shared" si="1153"/>
        <v>0</v>
      </c>
    </row>
    <row r="1818" spans="1:18" ht="14.25" thickBot="1" x14ac:dyDescent="0.2">
      <c r="A1818" s="10" t="s">
        <v>12</v>
      </c>
      <c r="B1818" s="15"/>
      <c r="C1818" s="16"/>
      <c r="D1818" s="17">
        <f t="shared" si="1148"/>
        <v>0</v>
      </c>
      <c r="E1818" s="18"/>
      <c r="F1818" s="16"/>
      <c r="G1818" s="17">
        <f t="shared" si="1149"/>
        <v>0</v>
      </c>
      <c r="H1818" s="17">
        <f t="shared" si="1150"/>
        <v>0</v>
      </c>
      <c r="J1818" s="10" t="s">
        <v>110</v>
      </c>
      <c r="K1818" s="15"/>
      <c r="L1818" s="16">
        <v>13</v>
      </c>
      <c r="M1818" s="17">
        <f t="shared" si="1151"/>
        <v>13</v>
      </c>
      <c r="N1818" s="18"/>
      <c r="O1818" s="16"/>
      <c r="P1818" s="17">
        <f t="shared" si="1152"/>
        <v>0</v>
      </c>
      <c r="Q1818" s="17">
        <f t="shared" si="1153"/>
        <v>13</v>
      </c>
    </row>
    <row r="1819" spans="1:18" ht="14.25" thickBot="1" x14ac:dyDescent="0.2">
      <c r="A1819" s="31" t="s">
        <v>13</v>
      </c>
      <c r="B1819" s="32">
        <f>SUM(B1810:B1818)</f>
        <v>44</v>
      </c>
      <c r="C1819" s="33">
        <f>SUM(C1810:C1818)</f>
        <v>66</v>
      </c>
      <c r="D1819" s="34">
        <f t="shared" si="1148"/>
        <v>110</v>
      </c>
      <c r="E1819" s="32">
        <f>SUM(E1810:E1818)</f>
        <v>78</v>
      </c>
      <c r="F1819" s="33">
        <f>SUM(F1810:F1818)</f>
        <v>0</v>
      </c>
      <c r="G1819" s="34">
        <f t="shared" si="1149"/>
        <v>78</v>
      </c>
      <c r="H1819" s="34">
        <f t="shared" si="1150"/>
        <v>188</v>
      </c>
      <c r="J1819" s="31" t="s">
        <v>13</v>
      </c>
      <c r="K1819" s="32">
        <f>SUM(K1810:K1818)</f>
        <v>720</v>
      </c>
      <c r="L1819" s="33">
        <f>SUM(L1810:L1818)</f>
        <v>208</v>
      </c>
      <c r="M1819" s="34">
        <f t="shared" si="1151"/>
        <v>928</v>
      </c>
      <c r="N1819" s="32">
        <f>SUM(N1810:N1818)</f>
        <v>609</v>
      </c>
      <c r="O1819" s="33">
        <f>SUM(O1810:O1818)</f>
        <v>0</v>
      </c>
      <c r="P1819" s="34">
        <f t="shared" si="1152"/>
        <v>609</v>
      </c>
      <c r="Q1819" s="34">
        <f t="shared" si="1153"/>
        <v>1537</v>
      </c>
    </row>
    <row r="1820" spans="1:18" x14ac:dyDescent="0.15">
      <c r="A1820" s="35" t="s">
        <v>651</v>
      </c>
      <c r="B1820" s="15"/>
      <c r="C1820" s="16"/>
      <c r="D1820" s="36">
        <f t="shared" ref="D1820:D1843" si="1154">SUM(B1820:C1820)</f>
        <v>0</v>
      </c>
      <c r="E1820" s="18">
        <v>1</v>
      </c>
      <c r="F1820" s="16"/>
      <c r="G1820" s="36">
        <f t="shared" ref="G1820:G1843" si="1155">SUM(E1820:F1820)</f>
        <v>1</v>
      </c>
      <c r="H1820" s="17">
        <f t="shared" ref="H1820:H1843" si="1156">D1820+G1820</f>
        <v>1</v>
      </c>
      <c r="I1820" s="84">
        <v>45643</v>
      </c>
      <c r="J1820" s="52" t="s">
        <v>91</v>
      </c>
      <c r="K1820" s="15">
        <v>10</v>
      </c>
      <c r="L1820" s="16">
        <v>10</v>
      </c>
      <c r="M1820" s="36">
        <f t="shared" si="1151"/>
        <v>20</v>
      </c>
      <c r="N1820" s="18">
        <v>12</v>
      </c>
      <c r="O1820" s="16"/>
      <c r="P1820" s="36">
        <f t="shared" si="1152"/>
        <v>12</v>
      </c>
      <c r="Q1820" s="17">
        <f t="shared" si="1153"/>
        <v>32</v>
      </c>
      <c r="R1820" s="81">
        <v>45647</v>
      </c>
    </row>
    <row r="1821" spans="1:18" x14ac:dyDescent="0.15">
      <c r="A1821" s="35" t="s">
        <v>651</v>
      </c>
      <c r="B1821" s="15">
        <v>1</v>
      </c>
      <c r="C1821" s="16"/>
      <c r="D1821" s="36">
        <f t="shared" si="1154"/>
        <v>1</v>
      </c>
      <c r="E1821" s="18">
        <v>1</v>
      </c>
      <c r="F1821" s="16"/>
      <c r="G1821" s="36">
        <f t="shared" si="1155"/>
        <v>1</v>
      </c>
      <c r="H1821" s="17">
        <f t="shared" si="1156"/>
        <v>2</v>
      </c>
      <c r="I1821" s="84">
        <v>45645</v>
      </c>
      <c r="J1821" s="52" t="s">
        <v>91</v>
      </c>
      <c r="K1821" s="15"/>
      <c r="L1821" s="16">
        <v>9</v>
      </c>
      <c r="M1821" s="36">
        <f t="shared" si="1151"/>
        <v>9</v>
      </c>
      <c r="N1821" s="18">
        <v>20</v>
      </c>
      <c r="O1821" s="16"/>
      <c r="P1821" s="36">
        <f t="shared" si="1152"/>
        <v>20</v>
      </c>
      <c r="Q1821" s="17">
        <f t="shared" si="1153"/>
        <v>29</v>
      </c>
      <c r="R1821" s="81">
        <v>45664</v>
      </c>
    </row>
    <row r="1822" spans="1:18" x14ac:dyDescent="0.15">
      <c r="A1822" s="35" t="s">
        <v>651</v>
      </c>
      <c r="B1822" s="15"/>
      <c r="C1822" s="16"/>
      <c r="D1822" s="36">
        <f t="shared" si="1154"/>
        <v>0</v>
      </c>
      <c r="E1822" s="18">
        <v>1</v>
      </c>
      <c r="F1822" s="16"/>
      <c r="G1822" s="36">
        <f t="shared" si="1155"/>
        <v>1</v>
      </c>
      <c r="H1822" s="17">
        <f t="shared" si="1156"/>
        <v>1</v>
      </c>
      <c r="I1822" s="84">
        <v>45646</v>
      </c>
      <c r="J1822" s="52" t="s">
        <v>91</v>
      </c>
      <c r="K1822" s="15"/>
      <c r="L1822" s="16">
        <v>15</v>
      </c>
      <c r="M1822" s="36">
        <f t="shared" si="1151"/>
        <v>15</v>
      </c>
      <c r="N1822" s="18">
        <v>10</v>
      </c>
      <c r="O1822" s="16"/>
      <c r="P1822" s="36">
        <f t="shared" si="1152"/>
        <v>10</v>
      </c>
      <c r="Q1822" s="17">
        <f t="shared" si="1153"/>
        <v>25</v>
      </c>
      <c r="R1822" s="81">
        <v>45675</v>
      </c>
    </row>
    <row r="1823" spans="1:18" x14ac:dyDescent="0.15">
      <c r="A1823" s="35" t="s">
        <v>651</v>
      </c>
      <c r="B1823" s="15">
        <v>1</v>
      </c>
      <c r="C1823" s="16"/>
      <c r="D1823" s="36">
        <f t="shared" si="1154"/>
        <v>1</v>
      </c>
      <c r="E1823" s="18">
        <v>2</v>
      </c>
      <c r="F1823" s="16"/>
      <c r="G1823" s="36">
        <f t="shared" si="1155"/>
        <v>2</v>
      </c>
      <c r="H1823" s="17">
        <f t="shared" si="1156"/>
        <v>3</v>
      </c>
      <c r="I1823" s="84">
        <v>45647</v>
      </c>
      <c r="J1823" s="52"/>
      <c r="K1823" s="15"/>
      <c r="L1823" s="16"/>
      <c r="M1823" s="36">
        <f t="shared" si="1151"/>
        <v>0</v>
      </c>
      <c r="N1823" s="18"/>
      <c r="O1823" s="16"/>
      <c r="P1823" s="36">
        <f t="shared" si="1152"/>
        <v>0</v>
      </c>
      <c r="Q1823" s="17">
        <f t="shared" si="1153"/>
        <v>0</v>
      </c>
      <c r="R1823" s="83"/>
    </row>
    <row r="1824" spans="1:18" x14ac:dyDescent="0.15">
      <c r="A1824" s="35" t="s">
        <v>651</v>
      </c>
      <c r="B1824" s="15"/>
      <c r="C1824" s="16">
        <v>5</v>
      </c>
      <c r="D1824" s="36">
        <f t="shared" si="1154"/>
        <v>5</v>
      </c>
      <c r="E1824" s="18">
        <f>6+1</f>
        <v>7</v>
      </c>
      <c r="F1824" s="16"/>
      <c r="G1824" s="36">
        <f t="shared" si="1155"/>
        <v>7</v>
      </c>
      <c r="H1824" s="17">
        <f t="shared" si="1156"/>
        <v>12</v>
      </c>
      <c r="I1824" s="84">
        <v>45649</v>
      </c>
      <c r="J1824" s="52"/>
      <c r="K1824" s="15"/>
      <c r="L1824" s="16"/>
      <c r="M1824" s="36">
        <f t="shared" ref="M1824:M1834" si="1157">SUM(K1824:L1824)</f>
        <v>0</v>
      </c>
      <c r="N1824" s="18"/>
      <c r="O1824" s="16"/>
      <c r="P1824" s="36">
        <f t="shared" ref="P1824:P1834" si="1158">SUM(N1824:O1824)</f>
        <v>0</v>
      </c>
      <c r="Q1824" s="17">
        <f t="shared" ref="Q1824:Q1834" si="1159">M1824+P1824</f>
        <v>0</v>
      </c>
      <c r="R1824" s="83"/>
    </row>
    <row r="1825" spans="1:17" x14ac:dyDescent="0.15">
      <c r="A1825" s="35" t="s">
        <v>651</v>
      </c>
      <c r="B1825" s="15"/>
      <c r="C1825" s="16">
        <v>1</v>
      </c>
      <c r="D1825" s="36">
        <f t="shared" si="1154"/>
        <v>1</v>
      </c>
      <c r="E1825" s="18"/>
      <c r="F1825" s="16"/>
      <c r="G1825" s="36">
        <f t="shared" si="1155"/>
        <v>0</v>
      </c>
      <c r="H1825" s="17">
        <f t="shared" si="1156"/>
        <v>1</v>
      </c>
      <c r="I1825" s="84">
        <v>45650</v>
      </c>
      <c r="J1825" s="52"/>
      <c r="K1825" s="15"/>
      <c r="L1825" s="16"/>
      <c r="M1825" s="36">
        <f t="shared" si="1157"/>
        <v>0</v>
      </c>
      <c r="N1825" s="18"/>
      <c r="O1825" s="16"/>
      <c r="P1825" s="36">
        <f t="shared" si="1158"/>
        <v>0</v>
      </c>
      <c r="Q1825" s="17">
        <f t="shared" si="1159"/>
        <v>0</v>
      </c>
    </row>
    <row r="1826" spans="1:17" x14ac:dyDescent="0.15">
      <c r="A1826" s="35" t="s">
        <v>651</v>
      </c>
      <c r="B1826" s="15"/>
      <c r="C1826" s="16">
        <v>2</v>
      </c>
      <c r="D1826" s="36">
        <f t="shared" si="1154"/>
        <v>2</v>
      </c>
      <c r="E1826" s="18">
        <v>1</v>
      </c>
      <c r="F1826" s="16"/>
      <c r="G1826" s="36">
        <f t="shared" si="1155"/>
        <v>1</v>
      </c>
      <c r="H1826" s="17">
        <f t="shared" si="1156"/>
        <v>3</v>
      </c>
      <c r="I1826" s="84">
        <v>45651</v>
      </c>
      <c r="J1826" s="52"/>
      <c r="K1826" s="15"/>
      <c r="L1826" s="16"/>
      <c r="M1826" s="36">
        <f t="shared" si="1157"/>
        <v>0</v>
      </c>
      <c r="N1826" s="18"/>
      <c r="O1826" s="16"/>
      <c r="P1826" s="36">
        <f t="shared" si="1158"/>
        <v>0</v>
      </c>
      <c r="Q1826" s="17">
        <f t="shared" si="1159"/>
        <v>0</v>
      </c>
    </row>
    <row r="1827" spans="1:17" x14ac:dyDescent="0.15">
      <c r="A1827" s="35" t="s">
        <v>651</v>
      </c>
      <c r="B1827" s="15">
        <v>1</v>
      </c>
      <c r="C1827" s="16"/>
      <c r="D1827" s="36">
        <f t="shared" si="1154"/>
        <v>1</v>
      </c>
      <c r="E1827" s="18"/>
      <c r="F1827" s="16"/>
      <c r="G1827" s="36">
        <f t="shared" si="1155"/>
        <v>0</v>
      </c>
      <c r="H1827" s="17">
        <f t="shared" si="1156"/>
        <v>1</v>
      </c>
      <c r="I1827" s="84">
        <v>45652</v>
      </c>
      <c r="J1827" s="52"/>
      <c r="K1827" s="15"/>
      <c r="L1827" s="16"/>
      <c r="M1827" s="36">
        <f t="shared" si="1157"/>
        <v>0</v>
      </c>
      <c r="N1827" s="18"/>
      <c r="O1827" s="16"/>
      <c r="P1827" s="36">
        <f t="shared" si="1158"/>
        <v>0</v>
      </c>
      <c r="Q1827" s="17">
        <f t="shared" si="1159"/>
        <v>0</v>
      </c>
    </row>
    <row r="1828" spans="1:17" x14ac:dyDescent="0.15">
      <c r="A1828" s="35" t="s">
        <v>651</v>
      </c>
      <c r="B1828" s="15"/>
      <c r="C1828" s="16"/>
      <c r="D1828" s="36">
        <f t="shared" si="1154"/>
        <v>0</v>
      </c>
      <c r="E1828" s="18">
        <v>2</v>
      </c>
      <c r="F1828" s="16"/>
      <c r="G1828" s="36">
        <f t="shared" si="1155"/>
        <v>2</v>
      </c>
      <c r="H1828" s="17">
        <f t="shared" si="1156"/>
        <v>2</v>
      </c>
      <c r="I1828" s="84">
        <v>45653</v>
      </c>
      <c r="J1828" s="52"/>
      <c r="K1828" s="15"/>
      <c r="L1828" s="16"/>
      <c r="M1828" s="36">
        <f t="shared" si="1157"/>
        <v>0</v>
      </c>
      <c r="N1828" s="18"/>
      <c r="O1828" s="16"/>
      <c r="P1828" s="36">
        <f t="shared" si="1158"/>
        <v>0</v>
      </c>
      <c r="Q1828" s="17">
        <f t="shared" si="1159"/>
        <v>0</v>
      </c>
    </row>
    <row r="1829" spans="1:17" x14ac:dyDescent="0.15">
      <c r="A1829" s="35" t="s">
        <v>651</v>
      </c>
      <c r="B1829" s="15"/>
      <c r="C1829" s="16">
        <v>5</v>
      </c>
      <c r="D1829" s="36">
        <f t="shared" si="1154"/>
        <v>5</v>
      </c>
      <c r="E1829" s="18">
        <f>8+5+1</f>
        <v>14</v>
      </c>
      <c r="F1829" s="16"/>
      <c r="G1829" s="36">
        <f t="shared" si="1155"/>
        <v>14</v>
      </c>
      <c r="H1829" s="17">
        <f t="shared" si="1156"/>
        <v>19</v>
      </c>
      <c r="I1829" s="84">
        <v>45663</v>
      </c>
      <c r="J1829" s="52"/>
      <c r="K1829" s="15"/>
      <c r="L1829" s="16"/>
      <c r="M1829" s="36">
        <f t="shared" si="1157"/>
        <v>0</v>
      </c>
      <c r="N1829" s="18"/>
      <c r="O1829" s="16"/>
      <c r="P1829" s="36">
        <f t="shared" si="1158"/>
        <v>0</v>
      </c>
      <c r="Q1829" s="17">
        <f t="shared" si="1159"/>
        <v>0</v>
      </c>
    </row>
    <row r="1830" spans="1:17" x14ac:dyDescent="0.15">
      <c r="A1830" s="35" t="s">
        <v>651</v>
      </c>
      <c r="B1830" s="15"/>
      <c r="C1830" s="16"/>
      <c r="D1830" s="36">
        <f t="shared" si="1154"/>
        <v>0</v>
      </c>
      <c r="E1830" s="18">
        <v>2</v>
      </c>
      <c r="F1830" s="16"/>
      <c r="G1830" s="36">
        <f t="shared" si="1155"/>
        <v>2</v>
      </c>
      <c r="H1830" s="17">
        <f t="shared" si="1156"/>
        <v>2</v>
      </c>
      <c r="I1830" s="84">
        <v>45665</v>
      </c>
      <c r="J1830" s="52"/>
      <c r="K1830" s="15"/>
      <c r="L1830" s="16"/>
      <c r="M1830" s="36">
        <f t="shared" si="1157"/>
        <v>0</v>
      </c>
      <c r="N1830" s="18"/>
      <c r="O1830" s="16"/>
      <c r="P1830" s="36">
        <f t="shared" si="1158"/>
        <v>0</v>
      </c>
      <c r="Q1830" s="17">
        <f t="shared" si="1159"/>
        <v>0</v>
      </c>
    </row>
    <row r="1831" spans="1:17" x14ac:dyDescent="0.15">
      <c r="A1831" s="35" t="s">
        <v>651</v>
      </c>
      <c r="B1831" s="15"/>
      <c r="C1831" s="16">
        <v>1</v>
      </c>
      <c r="D1831" s="36">
        <f t="shared" si="1154"/>
        <v>1</v>
      </c>
      <c r="E1831" s="18"/>
      <c r="F1831" s="16"/>
      <c r="G1831" s="36">
        <f t="shared" si="1155"/>
        <v>0</v>
      </c>
      <c r="H1831" s="17">
        <f t="shared" si="1156"/>
        <v>1</v>
      </c>
      <c r="I1831" s="84">
        <v>45666</v>
      </c>
      <c r="J1831" s="52"/>
      <c r="K1831" s="15"/>
      <c r="L1831" s="16"/>
      <c r="M1831" s="36">
        <f t="shared" si="1157"/>
        <v>0</v>
      </c>
      <c r="N1831" s="18"/>
      <c r="O1831" s="16"/>
      <c r="P1831" s="36">
        <f t="shared" si="1158"/>
        <v>0</v>
      </c>
      <c r="Q1831" s="17">
        <f t="shared" si="1159"/>
        <v>0</v>
      </c>
    </row>
    <row r="1832" spans="1:17" x14ac:dyDescent="0.15">
      <c r="A1832" s="35" t="s">
        <v>651</v>
      </c>
      <c r="B1832" s="15"/>
      <c r="C1832" s="16">
        <f>2+1</f>
        <v>3</v>
      </c>
      <c r="D1832" s="36">
        <f t="shared" si="1154"/>
        <v>3</v>
      </c>
      <c r="E1832" s="18">
        <v>1</v>
      </c>
      <c r="F1832" s="16"/>
      <c r="G1832" s="36">
        <f t="shared" si="1155"/>
        <v>1</v>
      </c>
      <c r="H1832" s="17">
        <f t="shared" si="1156"/>
        <v>4</v>
      </c>
      <c r="I1832" s="84">
        <v>45667</v>
      </c>
      <c r="J1832" s="52"/>
      <c r="K1832" s="15"/>
      <c r="L1832" s="16"/>
      <c r="M1832" s="36">
        <f t="shared" si="1157"/>
        <v>0</v>
      </c>
      <c r="N1832" s="18"/>
      <c r="O1832" s="16"/>
      <c r="P1832" s="36">
        <f t="shared" si="1158"/>
        <v>0</v>
      </c>
      <c r="Q1832" s="17">
        <f t="shared" si="1159"/>
        <v>0</v>
      </c>
    </row>
    <row r="1833" spans="1:17" x14ac:dyDescent="0.15">
      <c r="A1833" s="35" t="s">
        <v>651</v>
      </c>
      <c r="B1833" s="15"/>
      <c r="C1833" s="16"/>
      <c r="D1833" s="36">
        <f t="shared" si="1154"/>
        <v>0</v>
      </c>
      <c r="E1833" s="18">
        <v>2</v>
      </c>
      <c r="F1833" s="16"/>
      <c r="G1833" s="36">
        <f t="shared" si="1155"/>
        <v>2</v>
      </c>
      <c r="H1833" s="17">
        <f t="shared" si="1156"/>
        <v>2</v>
      </c>
      <c r="I1833" s="84">
        <v>45668</v>
      </c>
      <c r="J1833" s="52"/>
      <c r="K1833" s="15"/>
      <c r="L1833" s="16"/>
      <c r="M1833" s="36">
        <f t="shared" si="1157"/>
        <v>0</v>
      </c>
      <c r="N1833" s="18"/>
      <c r="O1833" s="16"/>
      <c r="P1833" s="36">
        <f t="shared" si="1158"/>
        <v>0</v>
      </c>
      <c r="Q1833" s="17">
        <f t="shared" si="1159"/>
        <v>0</v>
      </c>
    </row>
    <row r="1834" spans="1:17" x14ac:dyDescent="0.15">
      <c r="A1834" s="35" t="s">
        <v>651</v>
      </c>
      <c r="B1834" s="15"/>
      <c r="C1834" s="16">
        <f>2+2</f>
        <v>4</v>
      </c>
      <c r="D1834" s="36">
        <f t="shared" si="1154"/>
        <v>4</v>
      </c>
      <c r="E1834" s="18"/>
      <c r="F1834" s="16"/>
      <c r="G1834" s="36">
        <f t="shared" si="1155"/>
        <v>0</v>
      </c>
      <c r="H1834" s="17">
        <f t="shared" si="1156"/>
        <v>4</v>
      </c>
      <c r="I1834" s="84">
        <v>45671</v>
      </c>
      <c r="J1834" s="52"/>
      <c r="K1834" s="15"/>
      <c r="L1834" s="16"/>
      <c r="M1834" s="36">
        <f t="shared" si="1157"/>
        <v>0</v>
      </c>
      <c r="N1834" s="18"/>
      <c r="O1834" s="16"/>
      <c r="P1834" s="36">
        <f t="shared" si="1158"/>
        <v>0</v>
      </c>
      <c r="Q1834" s="17">
        <f t="shared" si="1159"/>
        <v>0</v>
      </c>
    </row>
    <row r="1835" spans="1:17" x14ac:dyDescent="0.15">
      <c r="A1835" s="35" t="s">
        <v>651</v>
      </c>
      <c r="B1835" s="15"/>
      <c r="C1835" s="16">
        <v>1</v>
      </c>
      <c r="D1835" s="36">
        <f t="shared" si="1154"/>
        <v>1</v>
      </c>
      <c r="E1835" s="18"/>
      <c r="F1835" s="16"/>
      <c r="G1835" s="36">
        <f t="shared" si="1155"/>
        <v>0</v>
      </c>
      <c r="H1835" s="17">
        <f t="shared" si="1156"/>
        <v>1</v>
      </c>
      <c r="I1835" s="84">
        <v>45672</v>
      </c>
      <c r="J1835" s="52"/>
      <c r="K1835" s="15"/>
      <c r="L1835" s="16"/>
      <c r="M1835" s="36">
        <f t="shared" si="1151"/>
        <v>0</v>
      </c>
      <c r="N1835" s="18"/>
      <c r="O1835" s="16"/>
      <c r="P1835" s="36">
        <f t="shared" si="1152"/>
        <v>0</v>
      </c>
      <c r="Q1835" s="17">
        <f t="shared" si="1153"/>
        <v>0</v>
      </c>
    </row>
    <row r="1836" spans="1:17" x14ac:dyDescent="0.15">
      <c r="A1836" s="35" t="s">
        <v>651</v>
      </c>
      <c r="B1836" s="15"/>
      <c r="C1836" s="16">
        <v>1</v>
      </c>
      <c r="D1836" s="36">
        <f t="shared" si="1154"/>
        <v>1</v>
      </c>
      <c r="E1836" s="18">
        <v>4</v>
      </c>
      <c r="F1836" s="16"/>
      <c r="G1836" s="36">
        <f t="shared" si="1155"/>
        <v>4</v>
      </c>
      <c r="H1836" s="17">
        <f t="shared" si="1156"/>
        <v>5</v>
      </c>
      <c r="I1836" s="84">
        <v>45673</v>
      </c>
      <c r="J1836" s="52"/>
      <c r="K1836" s="15"/>
      <c r="L1836" s="16"/>
      <c r="M1836" s="36">
        <f t="shared" ref="M1836:M1843" si="1160">SUM(K1836:L1836)</f>
        <v>0</v>
      </c>
      <c r="N1836" s="18"/>
      <c r="O1836" s="16"/>
      <c r="P1836" s="36">
        <f t="shared" ref="P1836:P1843" si="1161">SUM(N1836:O1836)</f>
        <v>0</v>
      </c>
      <c r="Q1836" s="17">
        <f t="shared" ref="Q1836:Q1843" si="1162">M1836+P1836</f>
        <v>0</v>
      </c>
    </row>
    <row r="1837" spans="1:17" x14ac:dyDescent="0.15">
      <c r="A1837" s="35" t="s">
        <v>651</v>
      </c>
      <c r="B1837" s="15">
        <v>2</v>
      </c>
      <c r="C1837" s="16"/>
      <c r="D1837" s="36">
        <f t="shared" si="1154"/>
        <v>2</v>
      </c>
      <c r="E1837" s="18">
        <v>2</v>
      </c>
      <c r="F1837" s="16"/>
      <c r="G1837" s="36">
        <f t="shared" si="1155"/>
        <v>2</v>
      </c>
      <c r="H1837" s="17">
        <f t="shared" si="1156"/>
        <v>4</v>
      </c>
      <c r="I1837" s="84">
        <v>45674</v>
      </c>
      <c r="J1837" s="52"/>
      <c r="K1837" s="15"/>
      <c r="L1837" s="16"/>
      <c r="M1837" s="36">
        <f t="shared" si="1160"/>
        <v>0</v>
      </c>
      <c r="N1837" s="18"/>
      <c r="O1837" s="16"/>
      <c r="P1837" s="36">
        <f t="shared" si="1161"/>
        <v>0</v>
      </c>
      <c r="Q1837" s="17">
        <f t="shared" si="1162"/>
        <v>0</v>
      </c>
    </row>
    <row r="1838" spans="1:17" x14ac:dyDescent="0.15">
      <c r="A1838" s="35" t="s">
        <v>651</v>
      </c>
      <c r="B1838" s="15"/>
      <c r="C1838" s="16"/>
      <c r="D1838" s="36">
        <f t="shared" si="1154"/>
        <v>0</v>
      </c>
      <c r="E1838" s="18">
        <v>5</v>
      </c>
      <c r="F1838" s="16"/>
      <c r="G1838" s="36">
        <f t="shared" si="1155"/>
        <v>5</v>
      </c>
      <c r="H1838" s="17">
        <f t="shared" si="1156"/>
        <v>5</v>
      </c>
      <c r="I1838" s="84">
        <v>45677</v>
      </c>
      <c r="J1838" s="52"/>
      <c r="K1838" s="15"/>
      <c r="L1838" s="16"/>
      <c r="M1838" s="36">
        <f t="shared" si="1160"/>
        <v>0</v>
      </c>
      <c r="N1838" s="18"/>
      <c r="O1838" s="16"/>
      <c r="P1838" s="36">
        <f t="shared" si="1161"/>
        <v>0</v>
      </c>
      <c r="Q1838" s="17">
        <f t="shared" si="1162"/>
        <v>0</v>
      </c>
    </row>
    <row r="1839" spans="1:17" x14ac:dyDescent="0.15">
      <c r="A1839" s="35" t="s">
        <v>651</v>
      </c>
      <c r="B1839" s="15">
        <v>1</v>
      </c>
      <c r="C1839" s="16">
        <v>2</v>
      </c>
      <c r="D1839" s="36">
        <f t="shared" si="1154"/>
        <v>3</v>
      </c>
      <c r="E1839" s="18"/>
      <c r="F1839" s="16"/>
      <c r="G1839" s="36">
        <f t="shared" si="1155"/>
        <v>0</v>
      </c>
      <c r="H1839" s="17">
        <f t="shared" si="1156"/>
        <v>3</v>
      </c>
      <c r="I1839" s="84">
        <v>45678</v>
      </c>
      <c r="J1839" s="52"/>
      <c r="K1839" s="15"/>
      <c r="L1839" s="16"/>
      <c r="M1839" s="36">
        <f t="shared" si="1160"/>
        <v>0</v>
      </c>
      <c r="N1839" s="18"/>
      <c r="O1839" s="16"/>
      <c r="P1839" s="36">
        <f t="shared" si="1161"/>
        <v>0</v>
      </c>
      <c r="Q1839" s="17">
        <f t="shared" si="1162"/>
        <v>0</v>
      </c>
    </row>
    <row r="1840" spans="1:17" x14ac:dyDescent="0.15">
      <c r="A1840" s="35" t="s">
        <v>651</v>
      </c>
      <c r="B1840" s="15"/>
      <c r="C1840" s="16">
        <v>2</v>
      </c>
      <c r="D1840" s="36">
        <f t="shared" si="1154"/>
        <v>2</v>
      </c>
      <c r="E1840" s="18"/>
      <c r="F1840" s="16"/>
      <c r="G1840" s="36">
        <f t="shared" si="1155"/>
        <v>0</v>
      </c>
      <c r="H1840" s="17">
        <f t="shared" si="1156"/>
        <v>2</v>
      </c>
      <c r="I1840" s="84">
        <v>45679</v>
      </c>
      <c r="J1840" s="52"/>
      <c r="K1840" s="15"/>
      <c r="L1840" s="16"/>
      <c r="M1840" s="36">
        <f t="shared" si="1160"/>
        <v>0</v>
      </c>
      <c r="N1840" s="18"/>
      <c r="O1840" s="16"/>
      <c r="P1840" s="36">
        <f t="shared" si="1161"/>
        <v>0</v>
      </c>
      <c r="Q1840" s="17">
        <f t="shared" si="1162"/>
        <v>0</v>
      </c>
    </row>
    <row r="1841" spans="1:17" x14ac:dyDescent="0.15">
      <c r="A1841" s="35" t="s">
        <v>651</v>
      </c>
      <c r="B1841" s="15"/>
      <c r="C1841" s="16">
        <v>1</v>
      </c>
      <c r="D1841" s="36">
        <f t="shared" si="1154"/>
        <v>1</v>
      </c>
      <c r="E1841" s="18"/>
      <c r="F1841" s="16"/>
      <c r="G1841" s="36">
        <f t="shared" si="1155"/>
        <v>0</v>
      </c>
      <c r="H1841" s="17">
        <f t="shared" si="1156"/>
        <v>1</v>
      </c>
      <c r="I1841" s="84">
        <v>45681</v>
      </c>
      <c r="J1841" s="52"/>
      <c r="K1841" s="15"/>
      <c r="L1841" s="16"/>
      <c r="M1841" s="36">
        <f t="shared" si="1160"/>
        <v>0</v>
      </c>
      <c r="N1841" s="18"/>
      <c r="O1841" s="16"/>
      <c r="P1841" s="36">
        <f t="shared" si="1161"/>
        <v>0</v>
      </c>
      <c r="Q1841" s="17">
        <f t="shared" si="1162"/>
        <v>0</v>
      </c>
    </row>
    <row r="1842" spans="1:17" x14ac:dyDescent="0.15">
      <c r="A1842" s="35" t="s">
        <v>651</v>
      </c>
      <c r="B1842" s="15">
        <f>1+1</f>
        <v>2</v>
      </c>
      <c r="C1842" s="16">
        <v>3</v>
      </c>
      <c r="D1842" s="36">
        <f t="shared" si="1154"/>
        <v>5</v>
      </c>
      <c r="E1842" s="18">
        <v>3</v>
      </c>
      <c r="F1842" s="16"/>
      <c r="G1842" s="36">
        <f t="shared" si="1155"/>
        <v>3</v>
      </c>
      <c r="H1842" s="17">
        <f t="shared" si="1156"/>
        <v>8</v>
      </c>
      <c r="I1842" s="84">
        <v>45684</v>
      </c>
      <c r="J1842" s="52"/>
      <c r="K1842" s="15"/>
      <c r="L1842" s="16"/>
      <c r="M1842" s="36">
        <f t="shared" si="1160"/>
        <v>0</v>
      </c>
      <c r="N1842" s="18"/>
      <c r="O1842" s="16"/>
      <c r="P1842" s="36">
        <f t="shared" si="1161"/>
        <v>0</v>
      </c>
      <c r="Q1842" s="17">
        <f t="shared" si="1162"/>
        <v>0</v>
      </c>
    </row>
    <row r="1843" spans="1:17" x14ac:dyDescent="0.15">
      <c r="A1843" s="35" t="s">
        <v>651</v>
      </c>
      <c r="B1843" s="15"/>
      <c r="C1843" s="16">
        <v>1</v>
      </c>
      <c r="D1843" s="36">
        <f t="shared" si="1154"/>
        <v>1</v>
      </c>
      <c r="E1843" s="18">
        <v>2</v>
      </c>
      <c r="F1843" s="16"/>
      <c r="G1843" s="36">
        <f t="shared" si="1155"/>
        <v>2</v>
      </c>
      <c r="H1843" s="17">
        <f t="shared" si="1156"/>
        <v>3</v>
      </c>
      <c r="I1843" s="84">
        <v>45685</v>
      </c>
      <c r="J1843" s="52"/>
      <c r="K1843" s="15"/>
      <c r="L1843" s="16"/>
      <c r="M1843" s="36">
        <f t="shared" si="1160"/>
        <v>0</v>
      </c>
      <c r="N1843" s="18"/>
      <c r="O1843" s="16"/>
      <c r="P1843" s="36">
        <f t="shared" si="1161"/>
        <v>0</v>
      </c>
      <c r="Q1843" s="17">
        <f t="shared" si="1162"/>
        <v>0</v>
      </c>
    </row>
    <row r="1844" spans="1:17" x14ac:dyDescent="0.15">
      <c r="A1844" s="35" t="s">
        <v>651</v>
      </c>
      <c r="B1844" s="15"/>
      <c r="C1844" s="16">
        <v>1</v>
      </c>
      <c r="D1844" s="36">
        <f t="shared" si="1148"/>
        <v>1</v>
      </c>
      <c r="E1844" s="18"/>
      <c r="F1844" s="16"/>
      <c r="G1844" s="36">
        <f t="shared" si="1149"/>
        <v>0</v>
      </c>
      <c r="H1844" s="17">
        <f t="shared" si="1150"/>
        <v>1</v>
      </c>
      <c r="I1844" s="84">
        <v>45686</v>
      </c>
      <c r="J1844" s="52"/>
      <c r="K1844" s="15"/>
      <c r="L1844" s="16"/>
      <c r="M1844" s="36">
        <f t="shared" ref="M1844:M1845" si="1163">SUM(K1844:L1844)</f>
        <v>0</v>
      </c>
      <c r="N1844" s="18"/>
      <c r="O1844" s="16"/>
      <c r="P1844" s="36">
        <f t="shared" ref="P1844:P1845" si="1164">SUM(N1844:O1844)</f>
        <v>0</v>
      </c>
      <c r="Q1844" s="17">
        <f t="shared" ref="Q1844:Q1845" si="1165">M1844+P1844</f>
        <v>0</v>
      </c>
    </row>
    <row r="1845" spans="1:17" ht="14.25" thickBot="1" x14ac:dyDescent="0.2">
      <c r="A1845" s="35" t="s">
        <v>651</v>
      </c>
      <c r="B1845" s="15"/>
      <c r="C1845" s="16"/>
      <c r="D1845" s="36">
        <f t="shared" si="1148"/>
        <v>0</v>
      </c>
      <c r="E1845" s="18">
        <v>4</v>
      </c>
      <c r="F1845" s="16"/>
      <c r="G1845" s="36">
        <f t="shared" si="1149"/>
        <v>4</v>
      </c>
      <c r="H1845" s="17">
        <f t="shared" si="1150"/>
        <v>4</v>
      </c>
      <c r="I1845" s="84">
        <v>45688</v>
      </c>
      <c r="J1845" s="52"/>
      <c r="K1845" s="15"/>
      <c r="L1845" s="16"/>
      <c r="M1845" s="36">
        <f t="shared" si="1163"/>
        <v>0</v>
      </c>
      <c r="N1845" s="18"/>
      <c r="O1845" s="16"/>
      <c r="P1845" s="36">
        <f t="shared" si="1164"/>
        <v>0</v>
      </c>
      <c r="Q1845" s="17">
        <f t="shared" si="1165"/>
        <v>0</v>
      </c>
    </row>
    <row r="1846" spans="1:17" ht="14.25" thickBot="1" x14ac:dyDescent="0.2">
      <c r="A1846" s="40" t="s">
        <v>14</v>
      </c>
      <c r="B1846" s="41">
        <f>SUM(B1820:B1845)</f>
        <v>8</v>
      </c>
      <c r="C1846" s="42">
        <f t="shared" ref="C1846" si="1166">SUM(C1820:C1845)</f>
        <v>33</v>
      </c>
      <c r="D1846" s="43">
        <f t="shared" si="1148"/>
        <v>41</v>
      </c>
      <c r="E1846" s="41">
        <f>SUM(E1820:E1845)</f>
        <v>54</v>
      </c>
      <c r="F1846" s="96">
        <f t="shared" ref="F1846" si="1167">SUM(F1820:F1845)</f>
        <v>0</v>
      </c>
      <c r="G1846" s="43">
        <f t="shared" si="1149"/>
        <v>54</v>
      </c>
      <c r="H1846" s="43">
        <f t="shared" si="1150"/>
        <v>95</v>
      </c>
      <c r="J1846" s="40" t="s">
        <v>14</v>
      </c>
      <c r="K1846" s="41">
        <f>SUM(K1820:K1845)</f>
        <v>10</v>
      </c>
      <c r="L1846" s="42">
        <f t="shared" ref="L1846" si="1168">SUM(L1820:L1845)</f>
        <v>34</v>
      </c>
      <c r="M1846" s="43">
        <f t="shared" si="1151"/>
        <v>44</v>
      </c>
      <c r="N1846" s="41">
        <f>SUM(N1820:N1845)</f>
        <v>42</v>
      </c>
      <c r="O1846" s="96">
        <f t="shared" ref="O1846" si="1169">SUM(O1820:O1845)</f>
        <v>0</v>
      </c>
      <c r="P1846" s="43">
        <f t="shared" si="1152"/>
        <v>42</v>
      </c>
      <c r="Q1846" s="43">
        <f t="shared" si="1153"/>
        <v>86</v>
      </c>
    </row>
    <row r="1847" spans="1:17" ht="14.25" thickBot="1" x14ac:dyDescent="0.2">
      <c r="A1847" s="44" t="s">
        <v>15</v>
      </c>
      <c r="B1847" s="45">
        <f>B1819-B1846</f>
        <v>36</v>
      </c>
      <c r="C1847" s="46">
        <f t="shared" ref="C1847" si="1170">C1819-C1846</f>
        <v>33</v>
      </c>
      <c r="D1847" s="47">
        <f t="shared" si="1148"/>
        <v>69</v>
      </c>
      <c r="E1847" s="45">
        <f>E1819-E1846</f>
        <v>24</v>
      </c>
      <c r="F1847" s="97">
        <f t="shared" ref="F1847" si="1171">F1819-F1846</f>
        <v>0</v>
      </c>
      <c r="G1847" s="47">
        <f t="shared" si="1149"/>
        <v>24</v>
      </c>
      <c r="H1847" s="34">
        <f t="shared" si="1150"/>
        <v>93</v>
      </c>
      <c r="J1847" s="44" t="s">
        <v>15</v>
      </c>
      <c r="K1847" s="45">
        <f>K1819-K1846</f>
        <v>710</v>
      </c>
      <c r="L1847" s="46">
        <f t="shared" ref="L1847" si="1172">L1819-L1846</f>
        <v>174</v>
      </c>
      <c r="M1847" s="47">
        <f t="shared" si="1151"/>
        <v>884</v>
      </c>
      <c r="N1847" s="45">
        <f>N1819-N1846</f>
        <v>567</v>
      </c>
      <c r="O1847" s="97">
        <f t="shared" ref="O1847" si="1173">O1819-O1846</f>
        <v>0</v>
      </c>
      <c r="P1847" s="47">
        <f t="shared" si="1152"/>
        <v>567</v>
      </c>
      <c r="Q1847" s="34">
        <f t="shared" si="1153"/>
        <v>1451</v>
      </c>
    </row>
    <row r="1850" spans="1:17" ht="19.5" thickBot="1" x14ac:dyDescent="0.25">
      <c r="A1850" s="1" t="s">
        <v>23</v>
      </c>
      <c r="J1850" s="1" t="s">
        <v>24</v>
      </c>
      <c r="K1850" s="2"/>
      <c r="L1850" s="2"/>
      <c r="M1850" s="2"/>
      <c r="N1850" s="2"/>
      <c r="O1850" s="1" t="s">
        <v>34</v>
      </c>
      <c r="P1850" s="2"/>
      <c r="Q1850" s="2"/>
    </row>
    <row r="1851" spans="1:17" ht="14.25" thickBot="1" x14ac:dyDescent="0.2">
      <c r="A1851" s="3" t="s">
        <v>0</v>
      </c>
      <c r="B1851" s="120" t="s">
        <v>18</v>
      </c>
      <c r="C1851" s="121"/>
      <c r="D1851" s="122"/>
      <c r="E1851" s="120" t="s">
        <v>19</v>
      </c>
      <c r="F1851" s="121"/>
      <c r="G1851" s="122"/>
      <c r="H1851" s="123" t="s">
        <v>1</v>
      </c>
      <c r="J1851" s="3" t="s">
        <v>0</v>
      </c>
      <c r="K1851" s="120" t="s">
        <v>18</v>
      </c>
      <c r="L1851" s="121"/>
      <c r="M1851" s="122"/>
      <c r="N1851" s="120" t="s">
        <v>19</v>
      </c>
      <c r="O1851" s="121"/>
      <c r="P1851" s="122"/>
      <c r="Q1851" s="123" t="s">
        <v>1</v>
      </c>
    </row>
    <row r="1852" spans="1:17" ht="14.25" thickBot="1" x14ac:dyDescent="0.2">
      <c r="A1852" s="3" t="s">
        <v>2</v>
      </c>
      <c r="B1852" s="4" t="s">
        <v>16</v>
      </c>
      <c r="C1852" s="5" t="s">
        <v>17</v>
      </c>
      <c r="D1852" s="3" t="s">
        <v>3</v>
      </c>
      <c r="E1852" s="4" t="s">
        <v>16</v>
      </c>
      <c r="F1852" s="5" t="s">
        <v>17</v>
      </c>
      <c r="G1852" s="3" t="s">
        <v>3</v>
      </c>
      <c r="H1852" s="124"/>
      <c r="J1852" s="3" t="s">
        <v>2</v>
      </c>
      <c r="K1852" s="4" t="s">
        <v>16</v>
      </c>
      <c r="L1852" s="5" t="s">
        <v>17</v>
      </c>
      <c r="M1852" s="3" t="s">
        <v>3</v>
      </c>
      <c r="N1852" s="4" t="s">
        <v>16</v>
      </c>
      <c r="O1852" s="5" t="s">
        <v>17</v>
      </c>
      <c r="P1852" s="3" t="s">
        <v>3</v>
      </c>
      <c r="Q1852" s="124"/>
    </row>
    <row r="1853" spans="1:17" ht="14.25" thickBot="1" x14ac:dyDescent="0.2">
      <c r="A1853" s="6" t="s">
        <v>55</v>
      </c>
      <c r="B1853" s="32">
        <f>B1847</f>
        <v>36</v>
      </c>
      <c r="C1853" s="33">
        <f>C1847</f>
        <v>33</v>
      </c>
      <c r="D1853" s="34">
        <f t="shared" ref="D1853:D1890" si="1174">SUM(B1853:C1853)</f>
        <v>69</v>
      </c>
      <c r="E1853" s="32">
        <f>E1847</f>
        <v>24</v>
      </c>
      <c r="F1853" s="33">
        <f>F1847</f>
        <v>0</v>
      </c>
      <c r="G1853" s="34">
        <f t="shared" ref="G1853:G1890" si="1175">SUM(E1853:F1853)</f>
        <v>24</v>
      </c>
      <c r="H1853" s="34">
        <f t="shared" ref="H1853:H1890" si="1176">D1853+G1853</f>
        <v>93</v>
      </c>
      <c r="J1853" s="6" t="s">
        <v>55</v>
      </c>
      <c r="K1853" s="32">
        <f>K1847</f>
        <v>710</v>
      </c>
      <c r="L1853" s="33">
        <f>L1847</f>
        <v>174</v>
      </c>
      <c r="M1853" s="34">
        <f t="shared" ref="M1853:M1890" si="1177">SUM(K1853:L1853)</f>
        <v>884</v>
      </c>
      <c r="N1853" s="32">
        <f>N1847</f>
        <v>567</v>
      </c>
      <c r="O1853" s="33">
        <f>O1847</f>
        <v>0</v>
      </c>
      <c r="P1853" s="34">
        <f t="shared" ref="P1853:P1890" si="1178">SUM(N1853:O1853)</f>
        <v>567</v>
      </c>
      <c r="Q1853" s="34">
        <f t="shared" ref="Q1853:Q1890" si="1179">M1853+P1853</f>
        <v>1451</v>
      </c>
    </row>
    <row r="1854" spans="1:17" x14ac:dyDescent="0.15">
      <c r="A1854" s="10" t="s">
        <v>5</v>
      </c>
      <c r="B1854" s="15">
        <v>15</v>
      </c>
      <c r="C1854" s="16"/>
      <c r="D1854" s="17">
        <f t="shared" si="1174"/>
        <v>15</v>
      </c>
      <c r="E1854" s="18">
        <v>25</v>
      </c>
      <c r="F1854" s="16"/>
      <c r="G1854" s="17">
        <f t="shared" si="1175"/>
        <v>25</v>
      </c>
      <c r="H1854" s="17">
        <f t="shared" si="1176"/>
        <v>40</v>
      </c>
      <c r="I1854" s="81">
        <v>45703</v>
      </c>
      <c r="J1854" s="10" t="s">
        <v>5</v>
      </c>
      <c r="K1854" s="15"/>
      <c r="L1854" s="16"/>
      <c r="M1854" s="17">
        <f t="shared" si="1177"/>
        <v>0</v>
      </c>
      <c r="N1854" s="18"/>
      <c r="O1854" s="16"/>
      <c r="P1854" s="17">
        <f t="shared" si="1178"/>
        <v>0</v>
      </c>
      <c r="Q1854" s="17">
        <f t="shared" si="1179"/>
        <v>0</v>
      </c>
    </row>
    <row r="1855" spans="1:17" x14ac:dyDescent="0.15">
      <c r="A1855" s="10" t="s">
        <v>6</v>
      </c>
      <c r="B1855" s="15"/>
      <c r="C1855" s="16">
        <v>30</v>
      </c>
      <c r="D1855" s="17">
        <f t="shared" si="1174"/>
        <v>30</v>
      </c>
      <c r="E1855" s="18">
        <v>30</v>
      </c>
      <c r="F1855" s="16"/>
      <c r="G1855" s="17">
        <f t="shared" si="1175"/>
        <v>30</v>
      </c>
      <c r="H1855" s="17">
        <f t="shared" si="1176"/>
        <v>60</v>
      </c>
      <c r="I1855" s="81">
        <v>45714</v>
      </c>
      <c r="J1855" s="10" t="s">
        <v>6</v>
      </c>
      <c r="K1855" s="15"/>
      <c r="L1855" s="16"/>
      <c r="M1855" s="17">
        <f t="shared" si="1177"/>
        <v>0</v>
      </c>
      <c r="N1855" s="18"/>
      <c r="O1855" s="16"/>
      <c r="P1855" s="17">
        <f t="shared" si="1178"/>
        <v>0</v>
      </c>
      <c r="Q1855" s="17">
        <f t="shared" si="1179"/>
        <v>0</v>
      </c>
    </row>
    <row r="1856" spans="1:17" x14ac:dyDescent="0.15">
      <c r="A1856" s="10" t="s">
        <v>7</v>
      </c>
      <c r="B1856" s="15">
        <v>15</v>
      </c>
      <c r="C1856" s="16">
        <v>10</v>
      </c>
      <c r="D1856" s="17">
        <f t="shared" si="1174"/>
        <v>25</v>
      </c>
      <c r="E1856" s="18"/>
      <c r="F1856" s="16"/>
      <c r="G1856" s="17">
        <f t="shared" si="1175"/>
        <v>0</v>
      </c>
      <c r="H1856" s="17">
        <f t="shared" si="1176"/>
        <v>25</v>
      </c>
      <c r="I1856" s="81">
        <v>45717</v>
      </c>
      <c r="J1856" s="10" t="s">
        <v>7</v>
      </c>
      <c r="K1856" s="15"/>
      <c r="L1856" s="16"/>
      <c r="M1856" s="17">
        <f t="shared" si="1177"/>
        <v>0</v>
      </c>
      <c r="N1856" s="18"/>
      <c r="O1856" s="16"/>
      <c r="P1856" s="17">
        <f t="shared" si="1178"/>
        <v>0</v>
      </c>
      <c r="Q1856" s="17">
        <f t="shared" si="1179"/>
        <v>0</v>
      </c>
    </row>
    <row r="1857" spans="1:18" x14ac:dyDescent="0.15">
      <c r="A1857" s="10" t="s">
        <v>8</v>
      </c>
      <c r="B1857" s="15">
        <v>10</v>
      </c>
      <c r="C1857" s="16">
        <v>20</v>
      </c>
      <c r="D1857" s="17">
        <f t="shared" si="1174"/>
        <v>30</v>
      </c>
      <c r="E1857" s="18">
        <v>20</v>
      </c>
      <c r="F1857" s="16"/>
      <c r="G1857" s="17">
        <f t="shared" si="1175"/>
        <v>20</v>
      </c>
      <c r="H1857" s="17">
        <f t="shared" si="1176"/>
        <v>50</v>
      </c>
      <c r="I1857" s="81">
        <v>45731</v>
      </c>
      <c r="J1857" s="10" t="s">
        <v>8</v>
      </c>
      <c r="K1857" s="15"/>
      <c r="L1857" s="16"/>
      <c r="M1857" s="17">
        <f t="shared" si="1177"/>
        <v>0</v>
      </c>
      <c r="N1857" s="18"/>
      <c r="O1857" s="16"/>
      <c r="P1857" s="17">
        <f t="shared" si="1178"/>
        <v>0</v>
      </c>
      <c r="Q1857" s="17">
        <f t="shared" si="1179"/>
        <v>0</v>
      </c>
    </row>
    <row r="1858" spans="1:18" x14ac:dyDescent="0.15">
      <c r="A1858" s="10" t="s">
        <v>9</v>
      </c>
      <c r="B1858" s="15"/>
      <c r="C1858" s="16"/>
      <c r="D1858" s="17">
        <f t="shared" si="1174"/>
        <v>0</v>
      </c>
      <c r="E1858" s="18"/>
      <c r="F1858" s="16"/>
      <c r="G1858" s="17">
        <f t="shared" si="1175"/>
        <v>0</v>
      </c>
      <c r="H1858" s="17">
        <f t="shared" si="1176"/>
        <v>0</v>
      </c>
      <c r="I1858" s="83"/>
      <c r="J1858" s="10" t="s">
        <v>9</v>
      </c>
      <c r="K1858" s="15"/>
      <c r="L1858" s="16"/>
      <c r="M1858" s="17">
        <f t="shared" si="1177"/>
        <v>0</v>
      </c>
      <c r="N1858" s="18"/>
      <c r="O1858" s="16"/>
      <c r="P1858" s="17">
        <f t="shared" si="1178"/>
        <v>0</v>
      </c>
      <c r="Q1858" s="17">
        <f t="shared" si="1179"/>
        <v>0</v>
      </c>
    </row>
    <row r="1859" spans="1:18" x14ac:dyDescent="0.15">
      <c r="A1859" s="10" t="s">
        <v>10</v>
      </c>
      <c r="B1859" s="15"/>
      <c r="C1859" s="16"/>
      <c r="D1859" s="17">
        <f t="shared" si="1174"/>
        <v>0</v>
      </c>
      <c r="E1859" s="18"/>
      <c r="F1859" s="16"/>
      <c r="G1859" s="17">
        <f t="shared" si="1175"/>
        <v>0</v>
      </c>
      <c r="H1859" s="17">
        <f t="shared" si="1176"/>
        <v>0</v>
      </c>
      <c r="J1859" s="10" t="s">
        <v>10</v>
      </c>
      <c r="K1859" s="15"/>
      <c r="L1859" s="16"/>
      <c r="M1859" s="17">
        <f t="shared" si="1177"/>
        <v>0</v>
      </c>
      <c r="N1859" s="18"/>
      <c r="O1859" s="16"/>
      <c r="P1859" s="17">
        <f t="shared" si="1178"/>
        <v>0</v>
      </c>
      <c r="Q1859" s="17">
        <f t="shared" si="1179"/>
        <v>0</v>
      </c>
    </row>
    <row r="1860" spans="1:18" x14ac:dyDescent="0.15">
      <c r="A1860" s="10" t="s">
        <v>11</v>
      </c>
      <c r="B1860" s="15"/>
      <c r="C1860" s="16"/>
      <c r="D1860" s="17">
        <f t="shared" si="1174"/>
        <v>0</v>
      </c>
      <c r="E1860" s="18"/>
      <c r="F1860" s="16"/>
      <c r="G1860" s="17">
        <f t="shared" si="1175"/>
        <v>0</v>
      </c>
      <c r="H1860" s="17">
        <f t="shared" si="1176"/>
        <v>0</v>
      </c>
      <c r="J1860" s="10" t="s">
        <v>11</v>
      </c>
      <c r="K1860" s="15"/>
      <c r="L1860" s="16"/>
      <c r="M1860" s="17">
        <f t="shared" si="1177"/>
        <v>0</v>
      </c>
      <c r="N1860" s="18"/>
      <c r="O1860" s="16"/>
      <c r="P1860" s="17">
        <f t="shared" si="1178"/>
        <v>0</v>
      </c>
      <c r="Q1860" s="17">
        <f t="shared" si="1179"/>
        <v>0</v>
      </c>
    </row>
    <row r="1861" spans="1:18" ht="14.25" thickBot="1" x14ac:dyDescent="0.2">
      <c r="A1861" s="10" t="s">
        <v>12</v>
      </c>
      <c r="B1861" s="15"/>
      <c r="C1861" s="16"/>
      <c r="D1861" s="17">
        <f t="shared" si="1174"/>
        <v>0</v>
      </c>
      <c r="E1861" s="18"/>
      <c r="F1861" s="16"/>
      <c r="G1861" s="17">
        <f t="shared" si="1175"/>
        <v>0</v>
      </c>
      <c r="H1861" s="17">
        <f t="shared" si="1176"/>
        <v>0</v>
      </c>
      <c r="J1861" s="10" t="s">
        <v>12</v>
      </c>
      <c r="K1861" s="15"/>
      <c r="L1861" s="16"/>
      <c r="M1861" s="17">
        <f t="shared" si="1177"/>
        <v>0</v>
      </c>
      <c r="N1861" s="18"/>
      <c r="O1861" s="16"/>
      <c r="P1861" s="17">
        <f t="shared" si="1178"/>
        <v>0</v>
      </c>
      <c r="Q1861" s="17">
        <f t="shared" si="1179"/>
        <v>0</v>
      </c>
    </row>
    <row r="1862" spans="1:18" ht="14.25" thickBot="1" x14ac:dyDescent="0.2">
      <c r="A1862" s="31" t="s">
        <v>13</v>
      </c>
      <c r="B1862" s="32">
        <f>SUM(B1853:B1861)</f>
        <v>76</v>
      </c>
      <c r="C1862" s="33">
        <f>SUM(C1853:C1861)</f>
        <v>93</v>
      </c>
      <c r="D1862" s="34">
        <f t="shared" si="1174"/>
        <v>169</v>
      </c>
      <c r="E1862" s="32">
        <f>SUM(E1853:E1861)</f>
        <v>99</v>
      </c>
      <c r="F1862" s="33">
        <f>SUM(F1853:F1861)</f>
        <v>0</v>
      </c>
      <c r="G1862" s="34">
        <f t="shared" si="1175"/>
        <v>99</v>
      </c>
      <c r="H1862" s="34">
        <f t="shared" si="1176"/>
        <v>268</v>
      </c>
      <c r="J1862" s="31" t="s">
        <v>13</v>
      </c>
      <c r="K1862" s="32">
        <f>SUM(K1853:K1861)</f>
        <v>710</v>
      </c>
      <c r="L1862" s="33">
        <f>SUM(L1853:L1861)</f>
        <v>174</v>
      </c>
      <c r="M1862" s="34">
        <f t="shared" si="1177"/>
        <v>884</v>
      </c>
      <c r="N1862" s="32">
        <f>SUM(N1853:N1861)</f>
        <v>567</v>
      </c>
      <c r="O1862" s="33">
        <f>SUM(O1853:O1861)</f>
        <v>0</v>
      </c>
      <c r="P1862" s="34">
        <f t="shared" si="1178"/>
        <v>567</v>
      </c>
      <c r="Q1862" s="34">
        <f t="shared" si="1179"/>
        <v>1451</v>
      </c>
    </row>
    <row r="1863" spans="1:18" x14ac:dyDescent="0.15">
      <c r="A1863" s="35" t="s">
        <v>651</v>
      </c>
      <c r="B1863" s="15">
        <f>1+3</f>
        <v>4</v>
      </c>
      <c r="C1863" s="16">
        <v>1</v>
      </c>
      <c r="D1863" s="36">
        <f t="shared" si="1174"/>
        <v>5</v>
      </c>
      <c r="E1863" s="18">
        <f>1+3</f>
        <v>4</v>
      </c>
      <c r="F1863" s="16"/>
      <c r="G1863" s="36">
        <f t="shared" si="1175"/>
        <v>4</v>
      </c>
      <c r="H1863" s="17">
        <f t="shared" si="1176"/>
        <v>9</v>
      </c>
      <c r="I1863" s="84">
        <v>45691</v>
      </c>
      <c r="J1863" s="52" t="s">
        <v>91</v>
      </c>
      <c r="K1863" s="15">
        <v>15</v>
      </c>
      <c r="L1863" s="16"/>
      <c r="M1863" s="36">
        <f t="shared" si="1177"/>
        <v>15</v>
      </c>
      <c r="N1863" s="18">
        <v>25</v>
      </c>
      <c r="O1863" s="16"/>
      <c r="P1863" s="36">
        <f t="shared" si="1178"/>
        <v>25</v>
      </c>
      <c r="Q1863" s="17">
        <f t="shared" si="1179"/>
        <v>40</v>
      </c>
      <c r="R1863" s="81">
        <v>45703</v>
      </c>
    </row>
    <row r="1864" spans="1:18" x14ac:dyDescent="0.15">
      <c r="A1864" s="35" t="s">
        <v>651</v>
      </c>
      <c r="B1864" s="15">
        <v>2</v>
      </c>
      <c r="C1864" s="16"/>
      <c r="D1864" s="36">
        <f t="shared" si="1174"/>
        <v>2</v>
      </c>
      <c r="E1864" s="18"/>
      <c r="F1864" s="16"/>
      <c r="G1864" s="36">
        <f t="shared" si="1175"/>
        <v>0</v>
      </c>
      <c r="H1864" s="17">
        <f t="shared" si="1176"/>
        <v>2</v>
      </c>
      <c r="I1864" s="84">
        <v>45693</v>
      </c>
      <c r="J1864" s="52" t="s">
        <v>696</v>
      </c>
      <c r="K1864" s="15">
        <v>60</v>
      </c>
      <c r="L1864" s="16">
        <v>70</v>
      </c>
      <c r="M1864" s="36">
        <f t="shared" si="1177"/>
        <v>130</v>
      </c>
      <c r="N1864" s="18">
        <v>48</v>
      </c>
      <c r="O1864" s="16"/>
      <c r="P1864" s="36">
        <f t="shared" si="1178"/>
        <v>48</v>
      </c>
      <c r="Q1864" s="17">
        <f t="shared" si="1179"/>
        <v>178</v>
      </c>
      <c r="R1864" s="81">
        <v>45709</v>
      </c>
    </row>
    <row r="1865" spans="1:18" x14ac:dyDescent="0.15">
      <c r="A1865" s="35" t="s">
        <v>651</v>
      </c>
      <c r="B1865" s="15"/>
      <c r="C1865" s="16"/>
      <c r="D1865" s="36">
        <f t="shared" si="1174"/>
        <v>0</v>
      </c>
      <c r="E1865" s="18">
        <f>1+1</f>
        <v>2</v>
      </c>
      <c r="F1865" s="16"/>
      <c r="G1865" s="36">
        <f t="shared" si="1175"/>
        <v>2</v>
      </c>
      <c r="H1865" s="17">
        <f t="shared" si="1176"/>
        <v>2</v>
      </c>
      <c r="I1865" s="84">
        <v>45694</v>
      </c>
      <c r="J1865" s="52" t="s">
        <v>91</v>
      </c>
      <c r="K1865" s="15"/>
      <c r="L1865" s="16">
        <v>30</v>
      </c>
      <c r="M1865" s="36">
        <f t="shared" si="1177"/>
        <v>30</v>
      </c>
      <c r="N1865" s="18">
        <v>30</v>
      </c>
      <c r="O1865" s="16"/>
      <c r="P1865" s="36">
        <f t="shared" si="1178"/>
        <v>30</v>
      </c>
      <c r="Q1865" s="17">
        <f t="shared" si="1179"/>
        <v>60</v>
      </c>
      <c r="R1865" s="81">
        <v>45714</v>
      </c>
    </row>
    <row r="1866" spans="1:18" x14ac:dyDescent="0.15">
      <c r="A1866" s="35" t="s">
        <v>651</v>
      </c>
      <c r="B1866" s="15">
        <v>1</v>
      </c>
      <c r="C1866" s="16"/>
      <c r="D1866" s="36">
        <f t="shared" si="1174"/>
        <v>1</v>
      </c>
      <c r="E1866" s="18"/>
      <c r="F1866" s="16"/>
      <c r="G1866" s="36">
        <f t="shared" si="1175"/>
        <v>0</v>
      </c>
      <c r="H1866" s="17">
        <f t="shared" si="1176"/>
        <v>1</v>
      </c>
      <c r="I1866" s="84">
        <v>45695</v>
      </c>
      <c r="J1866" s="52" t="s">
        <v>91</v>
      </c>
      <c r="K1866" s="15">
        <v>15</v>
      </c>
      <c r="L1866" s="16">
        <v>10</v>
      </c>
      <c r="M1866" s="36">
        <f t="shared" si="1177"/>
        <v>25</v>
      </c>
      <c r="N1866" s="18"/>
      <c r="O1866" s="16"/>
      <c r="P1866" s="36">
        <f t="shared" si="1178"/>
        <v>0</v>
      </c>
      <c r="Q1866" s="17">
        <f t="shared" si="1179"/>
        <v>25</v>
      </c>
      <c r="R1866" s="81">
        <v>45717</v>
      </c>
    </row>
    <row r="1867" spans="1:18" x14ac:dyDescent="0.15">
      <c r="A1867" s="35" t="s">
        <v>651</v>
      </c>
      <c r="B1867" s="15">
        <f>3+1+1</f>
        <v>5</v>
      </c>
      <c r="C1867" s="16">
        <f>3+1</f>
        <v>4</v>
      </c>
      <c r="D1867" s="36">
        <f t="shared" si="1174"/>
        <v>9</v>
      </c>
      <c r="E1867" s="18">
        <v>2</v>
      </c>
      <c r="F1867" s="16"/>
      <c r="G1867" s="36">
        <f t="shared" si="1175"/>
        <v>2</v>
      </c>
      <c r="H1867" s="17">
        <f t="shared" si="1176"/>
        <v>11</v>
      </c>
      <c r="I1867" s="84">
        <v>45698</v>
      </c>
      <c r="J1867" s="52" t="s">
        <v>91</v>
      </c>
      <c r="K1867" s="15">
        <v>10</v>
      </c>
      <c r="L1867" s="16">
        <v>20</v>
      </c>
      <c r="M1867" s="36">
        <f t="shared" si="1177"/>
        <v>30</v>
      </c>
      <c r="N1867" s="18">
        <v>20</v>
      </c>
      <c r="O1867" s="16"/>
      <c r="P1867" s="36">
        <f t="shared" si="1178"/>
        <v>20</v>
      </c>
      <c r="Q1867" s="17">
        <f t="shared" si="1179"/>
        <v>50</v>
      </c>
      <c r="R1867" s="81">
        <v>45731</v>
      </c>
    </row>
    <row r="1868" spans="1:18" x14ac:dyDescent="0.15">
      <c r="A1868" s="35" t="s">
        <v>651</v>
      </c>
      <c r="B1868" s="15"/>
      <c r="C1868" s="16">
        <v>2</v>
      </c>
      <c r="D1868" s="36">
        <f t="shared" si="1174"/>
        <v>2</v>
      </c>
      <c r="E1868" s="18">
        <v>1</v>
      </c>
      <c r="F1868" s="16"/>
      <c r="G1868" s="36">
        <f t="shared" si="1175"/>
        <v>1</v>
      </c>
      <c r="H1868" s="17">
        <f t="shared" si="1176"/>
        <v>3</v>
      </c>
      <c r="I1868" s="84">
        <v>45702</v>
      </c>
      <c r="J1868" s="52"/>
      <c r="K1868" s="15"/>
      <c r="L1868" s="16"/>
      <c r="M1868" s="36">
        <f t="shared" ref="M1868:M1885" si="1180">SUM(K1868:L1868)</f>
        <v>0</v>
      </c>
      <c r="N1868" s="18"/>
      <c r="O1868" s="16"/>
      <c r="P1868" s="36">
        <f t="shared" ref="P1868:P1885" si="1181">SUM(N1868:O1868)</f>
        <v>0</v>
      </c>
      <c r="Q1868" s="17">
        <f t="shared" ref="Q1868:Q1885" si="1182">M1868+P1868</f>
        <v>0</v>
      </c>
      <c r="R1868" s="83"/>
    </row>
    <row r="1869" spans="1:18" x14ac:dyDescent="0.15">
      <c r="A1869" s="35" t="s">
        <v>651</v>
      </c>
      <c r="B1869" s="15">
        <v>1</v>
      </c>
      <c r="C1869" s="16"/>
      <c r="D1869" s="36">
        <f t="shared" si="1174"/>
        <v>1</v>
      </c>
      <c r="E1869" s="18">
        <v>1</v>
      </c>
      <c r="F1869" s="16"/>
      <c r="G1869" s="36">
        <f t="shared" si="1175"/>
        <v>1</v>
      </c>
      <c r="H1869" s="17">
        <f t="shared" si="1176"/>
        <v>2</v>
      </c>
      <c r="I1869" s="84">
        <v>45703</v>
      </c>
      <c r="J1869" s="52"/>
      <c r="K1869" s="15"/>
      <c r="L1869" s="16"/>
      <c r="M1869" s="36">
        <f t="shared" si="1180"/>
        <v>0</v>
      </c>
      <c r="N1869" s="18"/>
      <c r="O1869" s="16"/>
      <c r="P1869" s="36">
        <f t="shared" si="1181"/>
        <v>0</v>
      </c>
      <c r="Q1869" s="17">
        <f t="shared" si="1182"/>
        <v>0</v>
      </c>
    </row>
    <row r="1870" spans="1:18" x14ac:dyDescent="0.15">
      <c r="A1870" s="35" t="s">
        <v>651</v>
      </c>
      <c r="B1870" s="15">
        <v>1</v>
      </c>
      <c r="C1870" s="16">
        <f>3+1</f>
        <v>4</v>
      </c>
      <c r="D1870" s="36">
        <f t="shared" si="1174"/>
        <v>5</v>
      </c>
      <c r="E1870" s="18"/>
      <c r="F1870" s="16"/>
      <c r="G1870" s="36">
        <f t="shared" si="1175"/>
        <v>0</v>
      </c>
      <c r="H1870" s="17">
        <f t="shared" si="1176"/>
        <v>5</v>
      </c>
      <c r="I1870" s="84">
        <v>45705</v>
      </c>
      <c r="J1870" s="52"/>
      <c r="K1870" s="15"/>
      <c r="L1870" s="16"/>
      <c r="M1870" s="36">
        <f t="shared" si="1180"/>
        <v>0</v>
      </c>
      <c r="N1870" s="18"/>
      <c r="O1870" s="16"/>
      <c r="P1870" s="36">
        <f t="shared" si="1181"/>
        <v>0</v>
      </c>
      <c r="Q1870" s="17">
        <f t="shared" si="1182"/>
        <v>0</v>
      </c>
    </row>
    <row r="1871" spans="1:18" x14ac:dyDescent="0.15">
      <c r="A1871" s="35" t="s">
        <v>651</v>
      </c>
      <c r="B1871" s="15"/>
      <c r="C1871" s="16">
        <v>2</v>
      </c>
      <c r="D1871" s="36">
        <f t="shared" si="1174"/>
        <v>2</v>
      </c>
      <c r="E1871" s="18"/>
      <c r="F1871" s="16"/>
      <c r="G1871" s="36">
        <f t="shared" si="1175"/>
        <v>0</v>
      </c>
      <c r="H1871" s="17">
        <f t="shared" si="1176"/>
        <v>2</v>
      </c>
      <c r="I1871" s="84">
        <v>45706</v>
      </c>
      <c r="J1871" s="52"/>
      <c r="K1871" s="15"/>
      <c r="L1871" s="16"/>
      <c r="M1871" s="36">
        <f t="shared" si="1180"/>
        <v>0</v>
      </c>
      <c r="N1871" s="18"/>
      <c r="O1871" s="16"/>
      <c r="P1871" s="36">
        <f t="shared" si="1181"/>
        <v>0</v>
      </c>
      <c r="Q1871" s="17">
        <f t="shared" si="1182"/>
        <v>0</v>
      </c>
    </row>
    <row r="1872" spans="1:18" x14ac:dyDescent="0.15">
      <c r="A1872" s="35" t="s">
        <v>651</v>
      </c>
      <c r="B1872" s="15">
        <v>1</v>
      </c>
      <c r="C1872" s="16"/>
      <c r="D1872" s="36">
        <f t="shared" si="1174"/>
        <v>1</v>
      </c>
      <c r="E1872" s="18">
        <v>2</v>
      </c>
      <c r="F1872" s="16"/>
      <c r="G1872" s="36">
        <f t="shared" si="1175"/>
        <v>2</v>
      </c>
      <c r="H1872" s="17">
        <f t="shared" si="1176"/>
        <v>3</v>
      </c>
      <c r="I1872" s="84">
        <v>45707</v>
      </c>
      <c r="J1872" s="52"/>
      <c r="K1872" s="15"/>
      <c r="L1872" s="16"/>
      <c r="M1872" s="36">
        <f t="shared" si="1180"/>
        <v>0</v>
      </c>
      <c r="N1872" s="18"/>
      <c r="O1872" s="16"/>
      <c r="P1872" s="36">
        <f t="shared" si="1181"/>
        <v>0</v>
      </c>
      <c r="Q1872" s="17">
        <f t="shared" si="1182"/>
        <v>0</v>
      </c>
    </row>
    <row r="1873" spans="1:19" x14ac:dyDescent="0.15">
      <c r="A1873" s="35" t="s">
        <v>651</v>
      </c>
      <c r="B1873" s="15">
        <v>2</v>
      </c>
      <c r="C1873" s="16"/>
      <c r="D1873" s="36">
        <f t="shared" si="1174"/>
        <v>2</v>
      </c>
      <c r="E1873" s="18">
        <v>2</v>
      </c>
      <c r="F1873" s="16"/>
      <c r="G1873" s="36">
        <f t="shared" si="1175"/>
        <v>2</v>
      </c>
      <c r="H1873" s="17">
        <f t="shared" si="1176"/>
        <v>4</v>
      </c>
      <c r="I1873" s="81">
        <v>45708</v>
      </c>
      <c r="J1873" s="52"/>
      <c r="K1873" s="15"/>
      <c r="L1873" s="16"/>
      <c r="M1873" s="36">
        <f t="shared" si="1180"/>
        <v>0</v>
      </c>
      <c r="N1873" s="18"/>
      <c r="O1873" s="16"/>
      <c r="P1873" s="36">
        <f t="shared" si="1181"/>
        <v>0</v>
      </c>
      <c r="Q1873" s="17">
        <f t="shared" si="1182"/>
        <v>0</v>
      </c>
    </row>
    <row r="1874" spans="1:19" x14ac:dyDescent="0.15">
      <c r="A1874" s="52" t="s">
        <v>698</v>
      </c>
      <c r="B1874" s="15">
        <v>4</v>
      </c>
      <c r="C1874" s="16">
        <v>10</v>
      </c>
      <c r="D1874" s="36">
        <f t="shared" si="1174"/>
        <v>14</v>
      </c>
      <c r="E1874" s="18">
        <v>18</v>
      </c>
      <c r="F1874" s="16"/>
      <c r="G1874" s="36">
        <f t="shared" si="1175"/>
        <v>18</v>
      </c>
      <c r="H1874" s="17">
        <f t="shared" si="1176"/>
        <v>32</v>
      </c>
      <c r="I1874" s="81">
        <v>45714</v>
      </c>
      <c r="J1874" s="52"/>
      <c r="K1874" s="15"/>
      <c r="L1874" s="16"/>
      <c r="M1874" s="36">
        <f t="shared" si="1180"/>
        <v>0</v>
      </c>
      <c r="N1874" s="18"/>
      <c r="O1874" s="16"/>
      <c r="P1874" s="36">
        <f t="shared" si="1181"/>
        <v>0</v>
      </c>
      <c r="Q1874" s="17">
        <f t="shared" si="1182"/>
        <v>0</v>
      </c>
    </row>
    <row r="1875" spans="1:19" x14ac:dyDescent="0.15">
      <c r="A1875" s="35" t="s">
        <v>651</v>
      </c>
      <c r="B1875" s="15"/>
      <c r="C1875" s="16">
        <f>1+4+1</f>
        <v>6</v>
      </c>
      <c r="D1875" s="36">
        <f t="shared" si="1174"/>
        <v>6</v>
      </c>
      <c r="E1875" s="18">
        <v>5</v>
      </c>
      <c r="F1875" s="16"/>
      <c r="G1875" s="36">
        <f t="shared" si="1175"/>
        <v>5</v>
      </c>
      <c r="H1875" s="17">
        <f t="shared" si="1176"/>
        <v>11</v>
      </c>
      <c r="I1875" s="84">
        <v>45713</v>
      </c>
      <c r="J1875" s="52"/>
      <c r="K1875" s="15"/>
      <c r="L1875" s="16"/>
      <c r="M1875" s="36">
        <f t="shared" si="1180"/>
        <v>0</v>
      </c>
      <c r="N1875" s="18"/>
      <c r="O1875" s="16"/>
      <c r="P1875" s="36">
        <f t="shared" si="1181"/>
        <v>0</v>
      </c>
      <c r="Q1875" s="17">
        <f t="shared" si="1182"/>
        <v>0</v>
      </c>
    </row>
    <row r="1876" spans="1:19" x14ac:dyDescent="0.15">
      <c r="A1876" s="35" t="s">
        <v>651</v>
      </c>
      <c r="B1876" s="15">
        <v>2</v>
      </c>
      <c r="C1876" s="16">
        <f>2+2</f>
        <v>4</v>
      </c>
      <c r="D1876" s="36">
        <f t="shared" si="1174"/>
        <v>6</v>
      </c>
      <c r="E1876" s="18">
        <v>2</v>
      </c>
      <c r="F1876" s="16"/>
      <c r="G1876" s="36">
        <f t="shared" si="1175"/>
        <v>2</v>
      </c>
      <c r="H1876" s="17">
        <f t="shared" si="1176"/>
        <v>8</v>
      </c>
      <c r="I1876" s="84">
        <v>45714</v>
      </c>
      <c r="J1876" s="52"/>
      <c r="K1876" s="15"/>
      <c r="L1876" s="16"/>
      <c r="M1876" s="36">
        <f t="shared" si="1180"/>
        <v>0</v>
      </c>
      <c r="N1876" s="18"/>
      <c r="O1876" s="16"/>
      <c r="P1876" s="36">
        <f t="shared" si="1181"/>
        <v>0</v>
      </c>
      <c r="Q1876" s="17">
        <f t="shared" si="1182"/>
        <v>0</v>
      </c>
    </row>
    <row r="1877" spans="1:19" x14ac:dyDescent="0.15">
      <c r="A1877" s="35" t="s">
        <v>651</v>
      </c>
      <c r="B1877" s="15"/>
      <c r="C1877" s="16"/>
      <c r="D1877" s="36">
        <f t="shared" si="1174"/>
        <v>0</v>
      </c>
      <c r="E1877" s="18">
        <v>2</v>
      </c>
      <c r="F1877" s="16"/>
      <c r="G1877" s="36">
        <f t="shared" si="1175"/>
        <v>2</v>
      </c>
      <c r="H1877" s="17">
        <f t="shared" si="1176"/>
        <v>2</v>
      </c>
      <c r="I1877" s="84">
        <v>45715</v>
      </c>
      <c r="J1877" s="52"/>
      <c r="K1877" s="15"/>
      <c r="L1877" s="16"/>
      <c r="M1877" s="36">
        <f t="shared" si="1180"/>
        <v>0</v>
      </c>
      <c r="N1877" s="18"/>
      <c r="O1877" s="16"/>
      <c r="P1877" s="36">
        <f t="shared" si="1181"/>
        <v>0</v>
      </c>
      <c r="Q1877" s="17">
        <f t="shared" si="1182"/>
        <v>0</v>
      </c>
    </row>
    <row r="1878" spans="1:19" x14ac:dyDescent="0.15">
      <c r="A1878" s="35" t="s">
        <v>651</v>
      </c>
      <c r="B1878" s="15"/>
      <c r="C1878" s="16"/>
      <c r="D1878" s="36">
        <f t="shared" si="1174"/>
        <v>0</v>
      </c>
      <c r="E1878" s="18">
        <v>1</v>
      </c>
      <c r="F1878" s="16"/>
      <c r="G1878" s="36">
        <f t="shared" si="1175"/>
        <v>1</v>
      </c>
      <c r="H1878" s="17">
        <f t="shared" si="1176"/>
        <v>1</v>
      </c>
      <c r="I1878" s="84">
        <v>45716</v>
      </c>
      <c r="J1878" s="52"/>
      <c r="K1878" s="15"/>
      <c r="L1878" s="16"/>
      <c r="M1878" s="36">
        <f t="shared" si="1180"/>
        <v>0</v>
      </c>
      <c r="N1878" s="18"/>
      <c r="O1878" s="16"/>
      <c r="P1878" s="36">
        <f t="shared" si="1181"/>
        <v>0</v>
      </c>
      <c r="Q1878" s="17">
        <f t="shared" si="1182"/>
        <v>0</v>
      </c>
    </row>
    <row r="1879" spans="1:19" x14ac:dyDescent="0.15">
      <c r="A1879" s="35" t="s">
        <v>651</v>
      </c>
      <c r="B1879" s="15">
        <v>2</v>
      </c>
      <c r="C1879" s="16">
        <v>1</v>
      </c>
      <c r="D1879" s="36">
        <f t="shared" si="1174"/>
        <v>3</v>
      </c>
      <c r="E1879" s="18">
        <v>-1</v>
      </c>
      <c r="F1879" s="16"/>
      <c r="G1879" s="36">
        <f t="shared" si="1175"/>
        <v>-1</v>
      </c>
      <c r="H1879" s="17">
        <f t="shared" si="1176"/>
        <v>2</v>
      </c>
      <c r="I1879" s="84">
        <v>45717</v>
      </c>
      <c r="J1879" s="52"/>
      <c r="K1879" s="15"/>
      <c r="L1879" s="16"/>
      <c r="M1879" s="36">
        <f t="shared" si="1180"/>
        <v>0</v>
      </c>
      <c r="N1879" s="18"/>
      <c r="O1879" s="16"/>
      <c r="P1879" s="36">
        <f t="shared" si="1181"/>
        <v>0</v>
      </c>
      <c r="Q1879" s="17">
        <f t="shared" si="1182"/>
        <v>0</v>
      </c>
    </row>
    <row r="1880" spans="1:19" x14ac:dyDescent="0.15">
      <c r="A1880" s="35" t="s">
        <v>651</v>
      </c>
      <c r="B1880" s="15">
        <v>2</v>
      </c>
      <c r="C1880" s="16">
        <v>2</v>
      </c>
      <c r="D1880" s="36">
        <f t="shared" si="1174"/>
        <v>4</v>
      </c>
      <c r="E1880" s="18"/>
      <c r="F1880" s="16"/>
      <c r="G1880" s="36">
        <f t="shared" si="1175"/>
        <v>0</v>
      </c>
      <c r="H1880" s="17">
        <f t="shared" si="1176"/>
        <v>4</v>
      </c>
      <c r="I1880" s="84">
        <v>45719</v>
      </c>
      <c r="J1880" s="52"/>
      <c r="K1880" s="15"/>
      <c r="L1880" s="16"/>
      <c r="M1880" s="36">
        <f t="shared" si="1180"/>
        <v>0</v>
      </c>
      <c r="N1880" s="18"/>
      <c r="O1880" s="16"/>
      <c r="P1880" s="36">
        <f t="shared" si="1181"/>
        <v>0</v>
      </c>
      <c r="Q1880" s="17">
        <f t="shared" si="1182"/>
        <v>0</v>
      </c>
    </row>
    <row r="1881" spans="1:19" x14ac:dyDescent="0.15">
      <c r="A1881" s="35" t="s">
        <v>651</v>
      </c>
      <c r="B1881" s="15"/>
      <c r="C1881" s="16">
        <v>5</v>
      </c>
      <c r="D1881" s="36">
        <f t="shared" si="1174"/>
        <v>5</v>
      </c>
      <c r="E1881" s="18"/>
      <c r="F1881" s="16"/>
      <c r="G1881" s="36">
        <f t="shared" si="1175"/>
        <v>0</v>
      </c>
      <c r="H1881" s="17">
        <f t="shared" si="1176"/>
        <v>5</v>
      </c>
      <c r="I1881" s="84">
        <v>45721</v>
      </c>
      <c r="J1881" s="52"/>
      <c r="K1881" s="15"/>
      <c r="L1881" s="16"/>
      <c r="M1881" s="36">
        <f t="shared" si="1180"/>
        <v>0</v>
      </c>
      <c r="N1881" s="18"/>
      <c r="O1881" s="16"/>
      <c r="P1881" s="36">
        <f t="shared" si="1181"/>
        <v>0</v>
      </c>
      <c r="Q1881" s="17">
        <f t="shared" si="1182"/>
        <v>0</v>
      </c>
    </row>
    <row r="1882" spans="1:19" x14ac:dyDescent="0.15">
      <c r="A1882" s="35" t="s">
        <v>651</v>
      </c>
      <c r="B1882" s="15"/>
      <c r="C1882" s="16">
        <v>2</v>
      </c>
      <c r="D1882" s="36">
        <f t="shared" si="1174"/>
        <v>2</v>
      </c>
      <c r="E1882" s="18"/>
      <c r="F1882" s="16"/>
      <c r="G1882" s="36">
        <f t="shared" si="1175"/>
        <v>0</v>
      </c>
      <c r="H1882" s="17">
        <f t="shared" si="1176"/>
        <v>2</v>
      </c>
      <c r="I1882" s="84">
        <v>45722</v>
      </c>
      <c r="J1882" s="52"/>
      <c r="K1882" s="15"/>
      <c r="L1882" s="16"/>
      <c r="M1882" s="36">
        <f t="shared" si="1180"/>
        <v>0</v>
      </c>
      <c r="N1882" s="18"/>
      <c r="O1882" s="16"/>
      <c r="P1882" s="36">
        <f t="shared" si="1181"/>
        <v>0</v>
      </c>
      <c r="Q1882" s="17">
        <f t="shared" si="1182"/>
        <v>0</v>
      </c>
    </row>
    <row r="1883" spans="1:19" x14ac:dyDescent="0.15">
      <c r="A1883" s="35" t="s">
        <v>651</v>
      </c>
      <c r="B1883" s="15"/>
      <c r="C1883" s="16">
        <f>2+1</f>
        <v>3</v>
      </c>
      <c r="D1883" s="36">
        <f t="shared" si="1174"/>
        <v>3</v>
      </c>
      <c r="E1883" s="18">
        <v>3</v>
      </c>
      <c r="F1883" s="16"/>
      <c r="G1883" s="36">
        <f t="shared" si="1175"/>
        <v>3</v>
      </c>
      <c r="H1883" s="17">
        <f t="shared" si="1176"/>
        <v>6</v>
      </c>
      <c r="I1883" s="84">
        <v>45723</v>
      </c>
      <c r="J1883" s="52"/>
      <c r="K1883" s="15"/>
      <c r="L1883" s="16"/>
      <c r="M1883" s="36">
        <f t="shared" si="1180"/>
        <v>0</v>
      </c>
      <c r="N1883" s="18"/>
      <c r="O1883" s="16"/>
      <c r="P1883" s="36">
        <f t="shared" si="1181"/>
        <v>0</v>
      </c>
      <c r="Q1883" s="17">
        <f t="shared" si="1182"/>
        <v>0</v>
      </c>
    </row>
    <row r="1884" spans="1:19" x14ac:dyDescent="0.15">
      <c r="A1884" s="35" t="s">
        <v>651</v>
      </c>
      <c r="B1884" s="15">
        <f>2+2</f>
        <v>4</v>
      </c>
      <c r="C1884" s="16">
        <f>1+3+2</f>
        <v>6</v>
      </c>
      <c r="D1884" s="36">
        <f t="shared" si="1174"/>
        <v>10</v>
      </c>
      <c r="E1884" s="18">
        <f>2+1</f>
        <v>3</v>
      </c>
      <c r="F1884" s="16"/>
      <c r="G1884" s="36">
        <f t="shared" si="1175"/>
        <v>3</v>
      </c>
      <c r="H1884" s="17">
        <f t="shared" si="1176"/>
        <v>13</v>
      </c>
      <c r="I1884" s="84">
        <v>45726</v>
      </c>
      <c r="J1884" s="52"/>
      <c r="K1884" s="15"/>
      <c r="L1884" s="16"/>
      <c r="M1884" s="36">
        <f t="shared" si="1180"/>
        <v>0</v>
      </c>
      <c r="N1884" s="18"/>
      <c r="O1884" s="16"/>
      <c r="P1884" s="36">
        <f t="shared" si="1181"/>
        <v>0</v>
      </c>
      <c r="Q1884" s="17">
        <f t="shared" si="1182"/>
        <v>0</v>
      </c>
    </row>
    <row r="1885" spans="1:19" x14ac:dyDescent="0.15">
      <c r="A1885" s="35" t="s">
        <v>651</v>
      </c>
      <c r="B1885" s="15">
        <f>1+1</f>
        <v>2</v>
      </c>
      <c r="C1885" s="16">
        <v>1</v>
      </c>
      <c r="D1885" s="36">
        <f t="shared" si="1174"/>
        <v>3</v>
      </c>
      <c r="E1885" s="18">
        <v>7</v>
      </c>
      <c r="F1885" s="16"/>
      <c r="G1885" s="36">
        <f t="shared" si="1175"/>
        <v>7</v>
      </c>
      <c r="H1885" s="17">
        <f t="shared" si="1176"/>
        <v>10</v>
      </c>
      <c r="I1885" s="84">
        <v>45727</v>
      </c>
      <c r="J1885" s="52"/>
      <c r="K1885" s="15"/>
      <c r="L1885" s="16"/>
      <c r="M1885" s="36">
        <f t="shared" si="1180"/>
        <v>0</v>
      </c>
      <c r="N1885" s="18"/>
      <c r="O1885" s="16"/>
      <c r="P1885" s="36">
        <f t="shared" si="1181"/>
        <v>0</v>
      </c>
      <c r="Q1885" s="17">
        <f t="shared" si="1182"/>
        <v>0</v>
      </c>
    </row>
    <row r="1886" spans="1:19" x14ac:dyDescent="0.15">
      <c r="A1886" s="35" t="s">
        <v>651</v>
      </c>
      <c r="B1886" s="15">
        <f>1+1</f>
        <v>2</v>
      </c>
      <c r="C1886" s="16">
        <v>1</v>
      </c>
      <c r="D1886" s="36">
        <f t="shared" si="1174"/>
        <v>3</v>
      </c>
      <c r="E1886" s="18">
        <v>2</v>
      </c>
      <c r="F1886" s="16"/>
      <c r="G1886" s="36">
        <f t="shared" si="1175"/>
        <v>2</v>
      </c>
      <c r="H1886" s="17">
        <f t="shared" si="1176"/>
        <v>5</v>
      </c>
      <c r="I1886" s="84">
        <v>45728</v>
      </c>
      <c r="J1886" s="52"/>
      <c r="K1886" s="15"/>
      <c r="L1886" s="16"/>
      <c r="M1886" s="36">
        <f t="shared" si="1177"/>
        <v>0</v>
      </c>
      <c r="N1886" s="18"/>
      <c r="O1886" s="16"/>
      <c r="P1886" s="36">
        <f t="shared" si="1178"/>
        <v>0</v>
      </c>
      <c r="Q1886" s="17">
        <f t="shared" si="1179"/>
        <v>0</v>
      </c>
    </row>
    <row r="1887" spans="1:19" x14ac:dyDescent="0.15">
      <c r="A1887" s="35" t="s">
        <v>651</v>
      </c>
      <c r="B1887" s="15"/>
      <c r="C1887" s="16"/>
      <c r="D1887" s="36">
        <f t="shared" si="1174"/>
        <v>0</v>
      </c>
      <c r="E1887" s="18">
        <v>1</v>
      </c>
      <c r="F1887" s="16"/>
      <c r="G1887" s="36">
        <f t="shared" si="1175"/>
        <v>1</v>
      </c>
      <c r="H1887" s="17">
        <f t="shared" si="1176"/>
        <v>1</v>
      </c>
      <c r="I1887" s="84">
        <v>45729</v>
      </c>
      <c r="J1887" s="102" t="s">
        <v>697</v>
      </c>
      <c r="K1887" s="103"/>
      <c r="L1887" s="104"/>
      <c r="M1887" s="105">
        <f t="shared" ref="M1887:M1888" si="1183">SUM(K1887:L1887)</f>
        <v>0</v>
      </c>
      <c r="N1887" s="106"/>
      <c r="O1887" s="104"/>
      <c r="P1887" s="105">
        <f t="shared" ref="P1887:P1888" si="1184">SUM(N1887:O1887)</f>
        <v>0</v>
      </c>
      <c r="Q1887" s="107">
        <f t="shared" ref="Q1887:Q1888" si="1185">M1887+P1887</f>
        <v>0</v>
      </c>
      <c r="R1887" s="108"/>
      <c r="S1887" s="22"/>
    </row>
    <row r="1888" spans="1:19" ht="14.25" thickBot="1" x14ac:dyDescent="0.2">
      <c r="A1888" s="35" t="s">
        <v>651</v>
      </c>
      <c r="B1888" s="15"/>
      <c r="C1888" s="16"/>
      <c r="D1888" s="36">
        <f t="shared" si="1174"/>
        <v>0</v>
      </c>
      <c r="E1888" s="18">
        <v>1</v>
      </c>
      <c r="F1888" s="16"/>
      <c r="G1888" s="36">
        <f t="shared" si="1175"/>
        <v>1</v>
      </c>
      <c r="H1888" s="17">
        <f t="shared" si="1176"/>
        <v>1</v>
      </c>
      <c r="I1888" s="84">
        <v>45730</v>
      </c>
      <c r="J1888" s="52" t="s">
        <v>695</v>
      </c>
      <c r="K1888" s="15"/>
      <c r="L1888" s="16"/>
      <c r="M1888" s="36">
        <f t="shared" si="1183"/>
        <v>0</v>
      </c>
      <c r="N1888" s="18"/>
      <c r="O1888" s="16"/>
      <c r="P1888" s="36">
        <f t="shared" si="1184"/>
        <v>0</v>
      </c>
      <c r="Q1888" s="17">
        <f t="shared" si="1185"/>
        <v>0</v>
      </c>
      <c r="R1888" s="83" t="s">
        <v>694</v>
      </c>
      <c r="S1888" s="22"/>
    </row>
    <row r="1889" spans="1:17" ht="14.25" thickBot="1" x14ac:dyDescent="0.2">
      <c r="A1889" s="40" t="s">
        <v>14</v>
      </c>
      <c r="B1889" s="41">
        <f>SUM(B1863:B1888)</f>
        <v>35</v>
      </c>
      <c r="C1889" s="42">
        <f t="shared" ref="C1889" si="1186">SUM(C1863:C1888)</f>
        <v>54</v>
      </c>
      <c r="D1889" s="43">
        <f t="shared" si="1174"/>
        <v>89</v>
      </c>
      <c r="E1889" s="41">
        <f>SUM(E1863:E1888)</f>
        <v>58</v>
      </c>
      <c r="F1889" s="96">
        <f t="shared" ref="F1889" si="1187">SUM(F1863:F1888)</f>
        <v>0</v>
      </c>
      <c r="G1889" s="43">
        <f t="shared" si="1175"/>
        <v>58</v>
      </c>
      <c r="H1889" s="43">
        <f t="shared" si="1176"/>
        <v>147</v>
      </c>
      <c r="J1889" s="40" t="s">
        <v>14</v>
      </c>
      <c r="K1889" s="41">
        <f>SUM(K1863:K1888)</f>
        <v>100</v>
      </c>
      <c r="L1889" s="42">
        <f t="shared" ref="L1889" si="1188">SUM(L1863:L1888)</f>
        <v>130</v>
      </c>
      <c r="M1889" s="43">
        <f t="shared" si="1177"/>
        <v>230</v>
      </c>
      <c r="N1889" s="41">
        <f>SUM(N1863:N1888)</f>
        <v>123</v>
      </c>
      <c r="O1889" s="96">
        <f t="shared" ref="O1889" si="1189">SUM(O1863:O1888)</f>
        <v>0</v>
      </c>
      <c r="P1889" s="43">
        <f t="shared" si="1178"/>
        <v>123</v>
      </c>
      <c r="Q1889" s="43">
        <f t="shared" si="1179"/>
        <v>353</v>
      </c>
    </row>
    <row r="1890" spans="1:17" ht="14.25" thickBot="1" x14ac:dyDescent="0.2">
      <c r="A1890" s="44" t="s">
        <v>15</v>
      </c>
      <c r="B1890" s="45">
        <f>B1862-B1889</f>
        <v>41</v>
      </c>
      <c r="C1890" s="46">
        <f t="shared" ref="C1890" si="1190">C1862-C1889</f>
        <v>39</v>
      </c>
      <c r="D1890" s="47">
        <f t="shared" si="1174"/>
        <v>80</v>
      </c>
      <c r="E1890" s="45">
        <f>E1862-E1889</f>
        <v>41</v>
      </c>
      <c r="F1890" s="97">
        <f t="shared" ref="F1890" si="1191">F1862-F1889</f>
        <v>0</v>
      </c>
      <c r="G1890" s="47">
        <f t="shared" si="1175"/>
        <v>41</v>
      </c>
      <c r="H1890" s="34">
        <f t="shared" si="1176"/>
        <v>121</v>
      </c>
      <c r="J1890" s="44" t="s">
        <v>15</v>
      </c>
      <c r="K1890" s="45">
        <f>K1862-K1889</f>
        <v>610</v>
      </c>
      <c r="L1890" s="46">
        <f t="shared" ref="L1890" si="1192">L1862-L1889</f>
        <v>44</v>
      </c>
      <c r="M1890" s="47">
        <f t="shared" si="1177"/>
        <v>654</v>
      </c>
      <c r="N1890" s="45">
        <f>N1862-N1889</f>
        <v>444</v>
      </c>
      <c r="O1890" s="97">
        <f t="shared" ref="O1890" si="1193">O1862-O1889</f>
        <v>0</v>
      </c>
      <c r="P1890" s="47">
        <f t="shared" si="1178"/>
        <v>444</v>
      </c>
      <c r="Q1890" s="34">
        <f t="shared" si="1179"/>
        <v>1098</v>
      </c>
    </row>
    <row r="1893" spans="1:17" ht="19.5" thickBot="1" x14ac:dyDescent="0.25">
      <c r="A1893" s="1" t="s">
        <v>23</v>
      </c>
      <c r="J1893" s="1" t="s">
        <v>24</v>
      </c>
      <c r="K1893" s="2"/>
      <c r="L1893" s="2"/>
      <c r="M1893" s="2"/>
      <c r="N1893" s="2"/>
      <c r="O1893" s="1" t="s">
        <v>34</v>
      </c>
      <c r="P1893" s="2"/>
      <c r="Q1893" s="2"/>
    </row>
    <row r="1894" spans="1:17" ht="14.25" thickBot="1" x14ac:dyDescent="0.2">
      <c r="A1894" s="3" t="s">
        <v>0</v>
      </c>
      <c r="B1894" s="120" t="s">
        <v>18</v>
      </c>
      <c r="C1894" s="121"/>
      <c r="D1894" s="122"/>
      <c r="E1894" s="120" t="s">
        <v>19</v>
      </c>
      <c r="F1894" s="121"/>
      <c r="G1894" s="122"/>
      <c r="H1894" s="123" t="s">
        <v>1</v>
      </c>
      <c r="J1894" s="3" t="s">
        <v>0</v>
      </c>
      <c r="K1894" s="120" t="s">
        <v>18</v>
      </c>
      <c r="L1894" s="121"/>
      <c r="M1894" s="122"/>
      <c r="N1894" s="120" t="s">
        <v>19</v>
      </c>
      <c r="O1894" s="121"/>
      <c r="P1894" s="122"/>
      <c r="Q1894" s="123" t="s">
        <v>1</v>
      </c>
    </row>
    <row r="1895" spans="1:17" ht="14.25" thickBot="1" x14ac:dyDescent="0.2">
      <c r="A1895" s="3" t="s">
        <v>2</v>
      </c>
      <c r="B1895" s="4" t="s">
        <v>16</v>
      </c>
      <c r="C1895" s="5" t="s">
        <v>17</v>
      </c>
      <c r="D1895" s="3" t="s">
        <v>3</v>
      </c>
      <c r="E1895" s="4" t="s">
        <v>16</v>
      </c>
      <c r="F1895" s="5" t="s">
        <v>17</v>
      </c>
      <c r="G1895" s="3" t="s">
        <v>3</v>
      </c>
      <c r="H1895" s="124"/>
      <c r="J1895" s="3" t="s">
        <v>2</v>
      </c>
      <c r="K1895" s="4" t="s">
        <v>16</v>
      </c>
      <c r="L1895" s="5" t="s">
        <v>17</v>
      </c>
      <c r="M1895" s="3" t="s">
        <v>3</v>
      </c>
      <c r="N1895" s="4" t="s">
        <v>16</v>
      </c>
      <c r="O1895" s="5" t="s">
        <v>17</v>
      </c>
      <c r="P1895" s="3" t="s">
        <v>3</v>
      </c>
      <c r="Q1895" s="124"/>
    </row>
    <row r="1896" spans="1:17" ht="14.25" thickBot="1" x14ac:dyDescent="0.2">
      <c r="A1896" s="6" t="s">
        <v>55</v>
      </c>
      <c r="B1896" s="32">
        <f>B1890</f>
        <v>41</v>
      </c>
      <c r="C1896" s="33">
        <f>C1890</f>
        <v>39</v>
      </c>
      <c r="D1896" s="34">
        <f t="shared" ref="D1896:D1933" si="1194">SUM(B1896:C1896)</f>
        <v>80</v>
      </c>
      <c r="E1896" s="32">
        <f>E1890</f>
        <v>41</v>
      </c>
      <c r="F1896" s="33">
        <f>F1890</f>
        <v>0</v>
      </c>
      <c r="G1896" s="34">
        <f t="shared" ref="G1896:G1933" si="1195">SUM(E1896:F1896)</f>
        <v>41</v>
      </c>
      <c r="H1896" s="34">
        <f t="shared" ref="H1896:H1933" si="1196">D1896+G1896</f>
        <v>121</v>
      </c>
      <c r="J1896" s="6" t="s">
        <v>55</v>
      </c>
      <c r="K1896" s="32">
        <f>K1890</f>
        <v>610</v>
      </c>
      <c r="L1896" s="33">
        <f>L1890</f>
        <v>44</v>
      </c>
      <c r="M1896" s="34">
        <f t="shared" ref="M1896:M1933" si="1197">SUM(K1896:L1896)</f>
        <v>654</v>
      </c>
      <c r="N1896" s="32">
        <f>N1890</f>
        <v>444</v>
      </c>
      <c r="O1896" s="33">
        <f>O1890</f>
        <v>0</v>
      </c>
      <c r="P1896" s="34">
        <f t="shared" ref="P1896:P1933" si="1198">SUM(N1896:O1896)</f>
        <v>444</v>
      </c>
      <c r="Q1896" s="34">
        <f t="shared" ref="Q1896:Q1933" si="1199">M1896+P1896</f>
        <v>1098</v>
      </c>
    </row>
    <row r="1897" spans="1:17" x14ac:dyDescent="0.15">
      <c r="A1897" s="10" t="s">
        <v>5</v>
      </c>
      <c r="B1897" s="15"/>
      <c r="C1897" s="16">
        <v>5</v>
      </c>
      <c r="D1897" s="17">
        <f t="shared" si="1194"/>
        <v>5</v>
      </c>
      <c r="E1897" s="18">
        <v>10</v>
      </c>
      <c r="F1897" s="16"/>
      <c r="G1897" s="17">
        <f t="shared" si="1195"/>
        <v>10</v>
      </c>
      <c r="H1897" s="17">
        <f t="shared" si="1196"/>
        <v>15</v>
      </c>
      <c r="I1897" s="81">
        <v>45750</v>
      </c>
      <c r="J1897" s="10" t="s">
        <v>5</v>
      </c>
      <c r="K1897" s="15"/>
      <c r="L1897" s="16"/>
      <c r="M1897" s="17">
        <f t="shared" si="1197"/>
        <v>0</v>
      </c>
      <c r="N1897" s="18"/>
      <c r="O1897" s="16"/>
      <c r="P1897" s="17">
        <f t="shared" si="1198"/>
        <v>0</v>
      </c>
      <c r="Q1897" s="17">
        <f t="shared" si="1199"/>
        <v>0</v>
      </c>
    </row>
    <row r="1898" spans="1:17" x14ac:dyDescent="0.15">
      <c r="A1898" s="10" t="s">
        <v>6</v>
      </c>
      <c r="B1898" s="15"/>
      <c r="C1898" s="16"/>
      <c r="D1898" s="17">
        <f t="shared" si="1194"/>
        <v>0</v>
      </c>
      <c r="E1898" s="18">
        <v>5</v>
      </c>
      <c r="F1898" s="16"/>
      <c r="G1898" s="17">
        <f t="shared" si="1195"/>
        <v>5</v>
      </c>
      <c r="H1898" s="17">
        <f t="shared" si="1196"/>
        <v>5</v>
      </c>
      <c r="I1898" s="81">
        <v>45755</v>
      </c>
      <c r="J1898" s="10" t="s">
        <v>6</v>
      </c>
      <c r="K1898" s="15"/>
      <c r="L1898" s="16"/>
      <c r="M1898" s="17">
        <f t="shared" si="1197"/>
        <v>0</v>
      </c>
      <c r="N1898" s="18"/>
      <c r="O1898" s="16"/>
      <c r="P1898" s="17">
        <f t="shared" si="1198"/>
        <v>0</v>
      </c>
      <c r="Q1898" s="17">
        <f t="shared" si="1199"/>
        <v>0</v>
      </c>
    </row>
    <row r="1899" spans="1:17" x14ac:dyDescent="0.15">
      <c r="A1899" s="10" t="s">
        <v>7</v>
      </c>
      <c r="B1899" s="15">
        <v>5</v>
      </c>
      <c r="C1899" s="16">
        <v>5</v>
      </c>
      <c r="D1899" s="17">
        <f t="shared" si="1194"/>
        <v>10</v>
      </c>
      <c r="E1899" s="18">
        <v>5</v>
      </c>
      <c r="F1899" s="16"/>
      <c r="G1899" s="17">
        <f t="shared" si="1195"/>
        <v>5</v>
      </c>
      <c r="H1899" s="17">
        <f t="shared" si="1196"/>
        <v>15</v>
      </c>
      <c r="I1899" s="81">
        <v>45761</v>
      </c>
      <c r="J1899" s="10" t="s">
        <v>7</v>
      </c>
      <c r="K1899" s="15"/>
      <c r="L1899" s="16"/>
      <c r="M1899" s="17">
        <f t="shared" si="1197"/>
        <v>0</v>
      </c>
      <c r="N1899" s="18"/>
      <c r="O1899" s="16"/>
      <c r="P1899" s="17">
        <f t="shared" si="1198"/>
        <v>0</v>
      </c>
      <c r="Q1899" s="17">
        <f t="shared" si="1199"/>
        <v>0</v>
      </c>
    </row>
    <row r="1900" spans="1:17" x14ac:dyDescent="0.15">
      <c r="A1900" s="10" t="s">
        <v>8</v>
      </c>
      <c r="B1900" s="15">
        <v>10</v>
      </c>
      <c r="C1900" s="16">
        <v>10</v>
      </c>
      <c r="D1900" s="17">
        <f t="shared" si="1194"/>
        <v>20</v>
      </c>
      <c r="E1900" s="18">
        <v>10</v>
      </c>
      <c r="F1900" s="16"/>
      <c r="G1900" s="17">
        <f t="shared" si="1195"/>
        <v>10</v>
      </c>
      <c r="H1900" s="17">
        <f t="shared" si="1196"/>
        <v>30</v>
      </c>
      <c r="I1900" s="81">
        <v>45764</v>
      </c>
      <c r="J1900" s="10" t="s">
        <v>8</v>
      </c>
      <c r="K1900" s="15"/>
      <c r="L1900" s="16"/>
      <c r="M1900" s="17">
        <f t="shared" si="1197"/>
        <v>0</v>
      </c>
      <c r="N1900" s="18"/>
      <c r="O1900" s="16"/>
      <c r="P1900" s="17">
        <f t="shared" si="1198"/>
        <v>0</v>
      </c>
      <c r="Q1900" s="17">
        <f t="shared" si="1199"/>
        <v>0</v>
      </c>
    </row>
    <row r="1901" spans="1:17" x14ac:dyDescent="0.15">
      <c r="A1901" s="10" t="s">
        <v>9</v>
      </c>
      <c r="B1901" s="15">
        <v>10</v>
      </c>
      <c r="C1901" s="16">
        <v>24</v>
      </c>
      <c r="D1901" s="17">
        <f t="shared" si="1194"/>
        <v>34</v>
      </c>
      <c r="E1901" s="18">
        <v>10</v>
      </c>
      <c r="F1901" s="16"/>
      <c r="G1901" s="17">
        <f t="shared" si="1195"/>
        <v>10</v>
      </c>
      <c r="H1901" s="17">
        <f t="shared" si="1196"/>
        <v>44</v>
      </c>
      <c r="I1901" s="81">
        <v>45766</v>
      </c>
      <c r="J1901" s="10" t="s">
        <v>9</v>
      </c>
      <c r="K1901" s="15"/>
      <c r="L1901" s="16"/>
      <c r="M1901" s="17">
        <f t="shared" si="1197"/>
        <v>0</v>
      </c>
      <c r="N1901" s="18"/>
      <c r="O1901" s="16"/>
      <c r="P1901" s="17">
        <f t="shared" si="1198"/>
        <v>0</v>
      </c>
      <c r="Q1901" s="17">
        <f t="shared" si="1199"/>
        <v>0</v>
      </c>
    </row>
    <row r="1902" spans="1:17" x14ac:dyDescent="0.15">
      <c r="A1902" s="10" t="s">
        <v>700</v>
      </c>
      <c r="B1902" s="15">
        <v>2</v>
      </c>
      <c r="C1902" s="16">
        <v>2</v>
      </c>
      <c r="D1902" s="17">
        <f t="shared" si="1194"/>
        <v>4</v>
      </c>
      <c r="E1902" s="18"/>
      <c r="F1902" s="16"/>
      <c r="G1902" s="17">
        <f t="shared" si="1195"/>
        <v>0</v>
      </c>
      <c r="H1902" s="17">
        <f t="shared" si="1196"/>
        <v>4</v>
      </c>
      <c r="I1902" s="84">
        <v>45771</v>
      </c>
      <c r="J1902" s="10" t="s">
        <v>10</v>
      </c>
      <c r="K1902" s="15"/>
      <c r="L1902" s="16"/>
      <c r="M1902" s="17">
        <f t="shared" si="1197"/>
        <v>0</v>
      </c>
      <c r="N1902" s="18"/>
      <c r="O1902" s="16"/>
      <c r="P1902" s="17">
        <f t="shared" si="1198"/>
        <v>0</v>
      </c>
      <c r="Q1902" s="17">
        <f t="shared" si="1199"/>
        <v>0</v>
      </c>
    </row>
    <row r="1903" spans="1:17" x14ac:dyDescent="0.15">
      <c r="A1903" s="10" t="s">
        <v>11</v>
      </c>
      <c r="B1903" s="15"/>
      <c r="C1903" s="16"/>
      <c r="D1903" s="17">
        <f t="shared" si="1194"/>
        <v>0</v>
      </c>
      <c r="E1903" s="18"/>
      <c r="F1903" s="16"/>
      <c r="G1903" s="17">
        <f t="shared" si="1195"/>
        <v>0</v>
      </c>
      <c r="H1903" s="17">
        <f t="shared" si="1196"/>
        <v>0</v>
      </c>
      <c r="J1903" s="10" t="s">
        <v>11</v>
      </c>
      <c r="K1903" s="15"/>
      <c r="L1903" s="16"/>
      <c r="M1903" s="17">
        <f t="shared" si="1197"/>
        <v>0</v>
      </c>
      <c r="N1903" s="18"/>
      <c r="O1903" s="16"/>
      <c r="P1903" s="17">
        <f t="shared" si="1198"/>
        <v>0</v>
      </c>
      <c r="Q1903" s="17">
        <f t="shared" si="1199"/>
        <v>0</v>
      </c>
    </row>
    <row r="1904" spans="1:17" ht="14.25" thickBot="1" x14ac:dyDescent="0.2">
      <c r="A1904" s="10" t="s">
        <v>12</v>
      </c>
      <c r="B1904" s="15"/>
      <c r="C1904" s="16"/>
      <c r="D1904" s="17">
        <f t="shared" si="1194"/>
        <v>0</v>
      </c>
      <c r="E1904" s="18"/>
      <c r="F1904" s="16"/>
      <c r="G1904" s="17">
        <f t="shared" si="1195"/>
        <v>0</v>
      </c>
      <c r="H1904" s="17">
        <f t="shared" si="1196"/>
        <v>0</v>
      </c>
      <c r="J1904" s="10" t="s">
        <v>12</v>
      </c>
      <c r="K1904" s="15"/>
      <c r="L1904" s="16"/>
      <c r="M1904" s="17">
        <f t="shared" si="1197"/>
        <v>0</v>
      </c>
      <c r="N1904" s="18"/>
      <c r="O1904" s="16"/>
      <c r="P1904" s="17">
        <f t="shared" si="1198"/>
        <v>0</v>
      </c>
      <c r="Q1904" s="17">
        <f t="shared" si="1199"/>
        <v>0</v>
      </c>
    </row>
    <row r="1905" spans="1:18" ht="14.25" thickBot="1" x14ac:dyDescent="0.2">
      <c r="A1905" s="31" t="s">
        <v>13</v>
      </c>
      <c r="B1905" s="32">
        <f>SUM(B1896:B1904)</f>
        <v>68</v>
      </c>
      <c r="C1905" s="33">
        <f>SUM(C1896:C1904)</f>
        <v>85</v>
      </c>
      <c r="D1905" s="34">
        <f t="shared" si="1194"/>
        <v>153</v>
      </c>
      <c r="E1905" s="32">
        <f>SUM(E1896:E1904)</f>
        <v>81</v>
      </c>
      <c r="F1905" s="33">
        <f>SUM(F1896:F1904)</f>
        <v>0</v>
      </c>
      <c r="G1905" s="34">
        <f t="shared" si="1195"/>
        <v>81</v>
      </c>
      <c r="H1905" s="34">
        <f t="shared" si="1196"/>
        <v>234</v>
      </c>
      <c r="J1905" s="31" t="s">
        <v>13</v>
      </c>
      <c r="K1905" s="32">
        <f>SUM(K1896:K1904)</f>
        <v>610</v>
      </c>
      <c r="L1905" s="33">
        <f>SUM(L1896:L1904)</f>
        <v>44</v>
      </c>
      <c r="M1905" s="34">
        <f t="shared" si="1197"/>
        <v>654</v>
      </c>
      <c r="N1905" s="32">
        <f>SUM(N1896:N1904)</f>
        <v>444</v>
      </c>
      <c r="O1905" s="33">
        <f>SUM(O1896:O1904)</f>
        <v>0</v>
      </c>
      <c r="P1905" s="34">
        <f t="shared" si="1198"/>
        <v>444</v>
      </c>
      <c r="Q1905" s="34">
        <f t="shared" si="1199"/>
        <v>1098</v>
      </c>
    </row>
    <row r="1906" spans="1:18" x14ac:dyDescent="0.15">
      <c r="A1906" s="35" t="s">
        <v>651</v>
      </c>
      <c r="B1906" s="15">
        <v>3</v>
      </c>
      <c r="C1906" s="16"/>
      <c r="D1906" s="36">
        <f t="shared" ref="D1906:D1924" si="1200">SUM(B1906:C1906)</f>
        <v>3</v>
      </c>
      <c r="E1906" s="18">
        <v>5</v>
      </c>
      <c r="F1906" s="16"/>
      <c r="G1906" s="36">
        <f t="shared" ref="G1906:G1924" si="1201">SUM(E1906:F1906)</f>
        <v>5</v>
      </c>
      <c r="H1906" s="17">
        <f t="shared" ref="H1906:H1924" si="1202">D1906+G1906</f>
        <v>8</v>
      </c>
      <c r="I1906" s="84">
        <v>45731</v>
      </c>
      <c r="J1906" s="52" t="s">
        <v>91</v>
      </c>
      <c r="K1906" s="15"/>
      <c r="L1906" s="16">
        <v>5</v>
      </c>
      <c r="M1906" s="36">
        <f t="shared" si="1197"/>
        <v>5</v>
      </c>
      <c r="N1906" s="18">
        <v>10</v>
      </c>
      <c r="O1906" s="16"/>
      <c r="P1906" s="36">
        <f t="shared" si="1198"/>
        <v>10</v>
      </c>
      <c r="Q1906" s="17">
        <f t="shared" si="1199"/>
        <v>15</v>
      </c>
      <c r="R1906" s="81">
        <v>45750</v>
      </c>
    </row>
    <row r="1907" spans="1:18" x14ac:dyDescent="0.15">
      <c r="A1907" s="35" t="s">
        <v>651</v>
      </c>
      <c r="B1907" s="15">
        <v>1</v>
      </c>
      <c r="C1907" s="16">
        <f>3+2+1</f>
        <v>6</v>
      </c>
      <c r="D1907" s="36">
        <f t="shared" si="1200"/>
        <v>7</v>
      </c>
      <c r="E1907" s="18">
        <v>1</v>
      </c>
      <c r="F1907" s="16"/>
      <c r="G1907" s="36">
        <f t="shared" si="1201"/>
        <v>1</v>
      </c>
      <c r="H1907" s="17">
        <f t="shared" si="1202"/>
        <v>8</v>
      </c>
      <c r="I1907" s="84">
        <v>45733</v>
      </c>
      <c r="J1907" s="52" t="s">
        <v>91</v>
      </c>
      <c r="K1907" s="15"/>
      <c r="L1907" s="16"/>
      <c r="M1907" s="36">
        <f t="shared" si="1197"/>
        <v>0</v>
      </c>
      <c r="N1907" s="18">
        <v>5</v>
      </c>
      <c r="O1907" s="16"/>
      <c r="P1907" s="36">
        <f t="shared" si="1198"/>
        <v>5</v>
      </c>
      <c r="Q1907" s="17">
        <f t="shared" si="1199"/>
        <v>5</v>
      </c>
      <c r="R1907" s="81">
        <v>45755</v>
      </c>
    </row>
    <row r="1908" spans="1:18" x14ac:dyDescent="0.15">
      <c r="A1908" s="35" t="s">
        <v>651</v>
      </c>
      <c r="B1908" s="15">
        <v>1</v>
      </c>
      <c r="C1908" s="16"/>
      <c r="D1908" s="36">
        <f t="shared" si="1200"/>
        <v>1</v>
      </c>
      <c r="E1908" s="18">
        <v>2</v>
      </c>
      <c r="F1908" s="16"/>
      <c r="G1908" s="36">
        <f t="shared" si="1201"/>
        <v>2</v>
      </c>
      <c r="H1908" s="17">
        <f t="shared" si="1202"/>
        <v>3</v>
      </c>
      <c r="I1908" s="84">
        <v>45734</v>
      </c>
      <c r="J1908" s="52" t="s">
        <v>91</v>
      </c>
      <c r="K1908" s="15">
        <v>5</v>
      </c>
      <c r="L1908" s="16">
        <v>5</v>
      </c>
      <c r="M1908" s="36">
        <f t="shared" si="1197"/>
        <v>10</v>
      </c>
      <c r="N1908" s="18">
        <v>5</v>
      </c>
      <c r="O1908" s="16"/>
      <c r="P1908" s="36">
        <f t="shared" si="1198"/>
        <v>5</v>
      </c>
      <c r="Q1908" s="17">
        <f t="shared" si="1199"/>
        <v>15</v>
      </c>
      <c r="R1908" s="81">
        <v>45761</v>
      </c>
    </row>
    <row r="1909" spans="1:18" x14ac:dyDescent="0.15">
      <c r="A1909" s="35" t="s">
        <v>651</v>
      </c>
      <c r="B1909" s="15">
        <v>2</v>
      </c>
      <c r="C1909" s="16"/>
      <c r="D1909" s="36">
        <f t="shared" si="1200"/>
        <v>2</v>
      </c>
      <c r="E1909" s="18"/>
      <c r="F1909" s="16"/>
      <c r="G1909" s="36">
        <f t="shared" si="1201"/>
        <v>0</v>
      </c>
      <c r="H1909" s="17">
        <f t="shared" si="1202"/>
        <v>2</v>
      </c>
      <c r="I1909" s="84">
        <v>45735</v>
      </c>
      <c r="J1909" s="52" t="s">
        <v>91</v>
      </c>
      <c r="K1909" s="15">
        <v>10</v>
      </c>
      <c r="L1909" s="16">
        <v>10</v>
      </c>
      <c r="M1909" s="36">
        <f t="shared" si="1197"/>
        <v>20</v>
      </c>
      <c r="N1909" s="18">
        <v>10</v>
      </c>
      <c r="O1909" s="16"/>
      <c r="P1909" s="36">
        <f t="shared" si="1198"/>
        <v>10</v>
      </c>
      <c r="Q1909" s="17">
        <f t="shared" si="1199"/>
        <v>30</v>
      </c>
      <c r="R1909" s="81">
        <v>45764</v>
      </c>
    </row>
    <row r="1910" spans="1:18" x14ac:dyDescent="0.15">
      <c r="A1910" s="35" t="s">
        <v>651</v>
      </c>
      <c r="B1910" s="15">
        <v>2</v>
      </c>
      <c r="C1910" s="16"/>
      <c r="D1910" s="36">
        <f t="shared" si="1200"/>
        <v>2</v>
      </c>
      <c r="E1910" s="18"/>
      <c r="F1910" s="16"/>
      <c r="G1910" s="36">
        <f t="shared" si="1201"/>
        <v>0</v>
      </c>
      <c r="H1910" s="17">
        <f t="shared" si="1202"/>
        <v>2</v>
      </c>
      <c r="I1910" s="84">
        <v>45737</v>
      </c>
      <c r="J1910" s="52" t="s">
        <v>91</v>
      </c>
      <c r="K1910" s="15">
        <v>10</v>
      </c>
      <c r="L1910" s="16">
        <v>24</v>
      </c>
      <c r="M1910" s="36">
        <f t="shared" si="1197"/>
        <v>34</v>
      </c>
      <c r="N1910" s="18">
        <v>10</v>
      </c>
      <c r="O1910" s="16"/>
      <c r="P1910" s="36">
        <f t="shared" si="1198"/>
        <v>10</v>
      </c>
      <c r="Q1910" s="17">
        <f t="shared" si="1199"/>
        <v>44</v>
      </c>
      <c r="R1910" s="81">
        <v>45766</v>
      </c>
    </row>
    <row r="1911" spans="1:18" x14ac:dyDescent="0.15">
      <c r="A1911" s="35" t="s">
        <v>651</v>
      </c>
      <c r="B1911" s="15">
        <v>4</v>
      </c>
      <c r="C1911" s="16">
        <f>2+1</f>
        <v>3</v>
      </c>
      <c r="D1911" s="36">
        <f t="shared" si="1200"/>
        <v>7</v>
      </c>
      <c r="E1911" s="18">
        <v>7</v>
      </c>
      <c r="F1911" s="16"/>
      <c r="G1911" s="36">
        <f t="shared" si="1201"/>
        <v>7</v>
      </c>
      <c r="H1911" s="17">
        <f t="shared" si="1202"/>
        <v>14</v>
      </c>
      <c r="I1911" s="84">
        <v>45740</v>
      </c>
      <c r="J1911" s="52"/>
      <c r="K1911" s="15"/>
      <c r="L1911" s="16"/>
      <c r="M1911" s="36">
        <f t="shared" si="1197"/>
        <v>0</v>
      </c>
      <c r="N1911" s="18"/>
      <c r="O1911" s="16"/>
      <c r="P1911" s="36">
        <f t="shared" si="1198"/>
        <v>0</v>
      </c>
      <c r="Q1911" s="17">
        <f t="shared" si="1199"/>
        <v>0</v>
      </c>
      <c r="R1911" s="83"/>
    </row>
    <row r="1912" spans="1:18" x14ac:dyDescent="0.15">
      <c r="A1912" s="35" t="s">
        <v>651</v>
      </c>
      <c r="B1912" s="15">
        <v>2</v>
      </c>
      <c r="C1912" s="16"/>
      <c r="D1912" s="36">
        <f t="shared" si="1200"/>
        <v>2</v>
      </c>
      <c r="E1912" s="18">
        <f>2+1</f>
        <v>3</v>
      </c>
      <c r="F1912" s="16"/>
      <c r="G1912" s="36">
        <f t="shared" si="1201"/>
        <v>3</v>
      </c>
      <c r="H1912" s="17">
        <f t="shared" si="1202"/>
        <v>5</v>
      </c>
      <c r="I1912" s="84">
        <v>45741</v>
      </c>
      <c r="J1912" s="52"/>
      <c r="K1912" s="15"/>
      <c r="L1912" s="16"/>
      <c r="M1912" s="36">
        <f t="shared" si="1197"/>
        <v>0</v>
      </c>
      <c r="N1912" s="18"/>
      <c r="O1912" s="16"/>
      <c r="P1912" s="36">
        <f t="shared" si="1198"/>
        <v>0</v>
      </c>
      <c r="Q1912" s="17">
        <f t="shared" si="1199"/>
        <v>0</v>
      </c>
    </row>
    <row r="1913" spans="1:18" x14ac:dyDescent="0.15">
      <c r="A1913" s="35" t="s">
        <v>651</v>
      </c>
      <c r="B1913" s="15"/>
      <c r="C1913" s="16">
        <f>8+3</f>
        <v>11</v>
      </c>
      <c r="D1913" s="36">
        <f t="shared" si="1200"/>
        <v>11</v>
      </c>
      <c r="E1913" s="18">
        <f>3+1</f>
        <v>4</v>
      </c>
      <c r="F1913" s="16"/>
      <c r="G1913" s="36">
        <f t="shared" si="1201"/>
        <v>4</v>
      </c>
      <c r="H1913" s="17">
        <f t="shared" si="1202"/>
        <v>15</v>
      </c>
      <c r="I1913" s="84">
        <v>45742</v>
      </c>
      <c r="J1913" s="52"/>
      <c r="K1913" s="15"/>
      <c r="L1913" s="16"/>
      <c r="M1913" s="36">
        <f t="shared" si="1197"/>
        <v>0</v>
      </c>
      <c r="N1913" s="18"/>
      <c r="O1913" s="16"/>
      <c r="P1913" s="36">
        <f t="shared" si="1198"/>
        <v>0</v>
      </c>
      <c r="Q1913" s="17">
        <f t="shared" si="1199"/>
        <v>0</v>
      </c>
    </row>
    <row r="1914" spans="1:18" x14ac:dyDescent="0.15">
      <c r="A1914" s="35" t="s">
        <v>651</v>
      </c>
      <c r="B1914" s="15">
        <v>1</v>
      </c>
      <c r="C1914" s="16"/>
      <c r="D1914" s="36">
        <f t="shared" si="1200"/>
        <v>1</v>
      </c>
      <c r="E1914" s="18">
        <v>4</v>
      </c>
      <c r="F1914" s="16"/>
      <c r="G1914" s="36">
        <f t="shared" si="1201"/>
        <v>4</v>
      </c>
      <c r="H1914" s="17">
        <f t="shared" si="1202"/>
        <v>5</v>
      </c>
      <c r="I1914" s="84">
        <v>45743</v>
      </c>
      <c r="J1914" s="52"/>
      <c r="K1914" s="15"/>
      <c r="L1914" s="16"/>
      <c r="M1914" s="36">
        <f t="shared" si="1197"/>
        <v>0</v>
      </c>
      <c r="N1914" s="18"/>
      <c r="O1914" s="16"/>
      <c r="P1914" s="36">
        <f t="shared" si="1198"/>
        <v>0</v>
      </c>
      <c r="Q1914" s="17">
        <f t="shared" si="1199"/>
        <v>0</v>
      </c>
    </row>
    <row r="1915" spans="1:18" x14ac:dyDescent="0.15">
      <c r="A1915" s="35" t="s">
        <v>651</v>
      </c>
      <c r="B1915" s="15"/>
      <c r="C1915" s="16"/>
      <c r="D1915" s="36">
        <f t="shared" si="1200"/>
        <v>0</v>
      </c>
      <c r="E1915" s="18">
        <f>2+1</f>
        <v>3</v>
      </c>
      <c r="F1915" s="16"/>
      <c r="G1915" s="36">
        <f t="shared" si="1201"/>
        <v>3</v>
      </c>
      <c r="H1915" s="17">
        <f t="shared" si="1202"/>
        <v>3</v>
      </c>
      <c r="I1915" s="84">
        <v>45744</v>
      </c>
      <c r="J1915" s="52"/>
      <c r="K1915" s="15"/>
      <c r="L1915" s="16"/>
      <c r="M1915" s="36">
        <f t="shared" si="1197"/>
        <v>0</v>
      </c>
      <c r="N1915" s="18"/>
      <c r="O1915" s="16"/>
      <c r="P1915" s="36">
        <f t="shared" si="1198"/>
        <v>0</v>
      </c>
      <c r="Q1915" s="17">
        <f t="shared" si="1199"/>
        <v>0</v>
      </c>
    </row>
    <row r="1916" spans="1:18" x14ac:dyDescent="0.15">
      <c r="A1916" s="35" t="s">
        <v>651</v>
      </c>
      <c r="B1916" s="15"/>
      <c r="C1916" s="16">
        <f>2+2</f>
        <v>4</v>
      </c>
      <c r="D1916" s="36">
        <f t="shared" si="1200"/>
        <v>4</v>
      </c>
      <c r="E1916" s="18"/>
      <c r="F1916" s="16"/>
      <c r="G1916" s="36">
        <f t="shared" si="1201"/>
        <v>0</v>
      </c>
      <c r="H1916" s="17">
        <f t="shared" si="1202"/>
        <v>4</v>
      </c>
      <c r="I1916" s="84">
        <v>45745</v>
      </c>
      <c r="J1916" s="52"/>
      <c r="K1916" s="15"/>
      <c r="L1916" s="16"/>
      <c r="M1916" s="36">
        <f t="shared" si="1197"/>
        <v>0</v>
      </c>
      <c r="N1916" s="18"/>
      <c r="O1916" s="16"/>
      <c r="P1916" s="36">
        <f t="shared" si="1198"/>
        <v>0</v>
      </c>
      <c r="Q1916" s="17">
        <f t="shared" si="1199"/>
        <v>0</v>
      </c>
    </row>
    <row r="1917" spans="1:18" x14ac:dyDescent="0.15">
      <c r="A1917" s="35" t="s">
        <v>651</v>
      </c>
      <c r="B1917" s="15"/>
      <c r="C1917" s="16"/>
      <c r="D1917" s="36">
        <f t="shared" si="1200"/>
        <v>0</v>
      </c>
      <c r="E1917" s="18">
        <v>2</v>
      </c>
      <c r="F1917" s="16"/>
      <c r="G1917" s="36">
        <f t="shared" si="1201"/>
        <v>2</v>
      </c>
      <c r="H1917" s="17">
        <f t="shared" si="1202"/>
        <v>2</v>
      </c>
      <c r="I1917" s="84">
        <v>45749</v>
      </c>
      <c r="J1917" s="52"/>
      <c r="K1917" s="15"/>
      <c r="L1917" s="16"/>
      <c r="M1917" s="36">
        <f t="shared" si="1197"/>
        <v>0</v>
      </c>
      <c r="N1917" s="18"/>
      <c r="O1917" s="16"/>
      <c r="P1917" s="36">
        <f t="shared" si="1198"/>
        <v>0</v>
      </c>
      <c r="Q1917" s="17">
        <f t="shared" si="1199"/>
        <v>0</v>
      </c>
    </row>
    <row r="1918" spans="1:18" x14ac:dyDescent="0.15">
      <c r="A1918" s="35" t="s">
        <v>651</v>
      </c>
      <c r="B1918" s="15"/>
      <c r="C1918" s="16">
        <v>2</v>
      </c>
      <c r="D1918" s="36">
        <f t="shared" si="1200"/>
        <v>2</v>
      </c>
      <c r="E1918" s="18">
        <v>1</v>
      </c>
      <c r="F1918" s="16"/>
      <c r="G1918" s="36">
        <f t="shared" si="1201"/>
        <v>1</v>
      </c>
      <c r="H1918" s="17">
        <f t="shared" si="1202"/>
        <v>3</v>
      </c>
      <c r="I1918" s="84">
        <v>45750</v>
      </c>
      <c r="J1918" s="52"/>
      <c r="K1918" s="15"/>
      <c r="L1918" s="16"/>
      <c r="M1918" s="36">
        <f t="shared" si="1197"/>
        <v>0</v>
      </c>
      <c r="N1918" s="18"/>
      <c r="O1918" s="16"/>
      <c r="P1918" s="36">
        <f t="shared" si="1198"/>
        <v>0</v>
      </c>
      <c r="Q1918" s="17">
        <f t="shared" si="1199"/>
        <v>0</v>
      </c>
    </row>
    <row r="1919" spans="1:18" x14ac:dyDescent="0.15">
      <c r="A1919" s="35" t="s">
        <v>651</v>
      </c>
      <c r="B1919" s="15">
        <v>2</v>
      </c>
      <c r="C1919" s="16"/>
      <c r="D1919" s="36">
        <f t="shared" si="1200"/>
        <v>2</v>
      </c>
      <c r="E1919" s="18">
        <v>2</v>
      </c>
      <c r="F1919" s="16"/>
      <c r="G1919" s="36">
        <f t="shared" si="1201"/>
        <v>2</v>
      </c>
      <c r="H1919" s="17">
        <f t="shared" si="1202"/>
        <v>4</v>
      </c>
      <c r="I1919" s="84">
        <v>45752</v>
      </c>
      <c r="J1919" s="52"/>
      <c r="K1919" s="15"/>
      <c r="L1919" s="16"/>
      <c r="M1919" s="36">
        <f t="shared" si="1197"/>
        <v>0</v>
      </c>
      <c r="N1919" s="18"/>
      <c r="O1919" s="16"/>
      <c r="P1919" s="36">
        <f t="shared" si="1198"/>
        <v>0</v>
      </c>
      <c r="Q1919" s="17">
        <f t="shared" si="1199"/>
        <v>0</v>
      </c>
    </row>
    <row r="1920" spans="1:18" x14ac:dyDescent="0.15">
      <c r="A1920" s="35" t="s">
        <v>651</v>
      </c>
      <c r="B1920" s="15">
        <f>5+1</f>
        <v>6</v>
      </c>
      <c r="C1920" s="16">
        <f>1+1</f>
        <v>2</v>
      </c>
      <c r="D1920" s="36">
        <f t="shared" si="1200"/>
        <v>8</v>
      </c>
      <c r="E1920" s="18">
        <v>7</v>
      </c>
      <c r="F1920" s="16"/>
      <c r="G1920" s="36">
        <f t="shared" si="1201"/>
        <v>7</v>
      </c>
      <c r="H1920" s="17">
        <f t="shared" si="1202"/>
        <v>15</v>
      </c>
      <c r="I1920" s="84">
        <v>45754</v>
      </c>
      <c r="J1920" s="52"/>
      <c r="K1920" s="15"/>
      <c r="L1920" s="16"/>
      <c r="M1920" s="36">
        <f t="shared" si="1197"/>
        <v>0</v>
      </c>
      <c r="N1920" s="18"/>
      <c r="O1920" s="16"/>
      <c r="P1920" s="36">
        <f t="shared" si="1198"/>
        <v>0</v>
      </c>
      <c r="Q1920" s="17">
        <f t="shared" si="1199"/>
        <v>0</v>
      </c>
    </row>
    <row r="1921" spans="1:17" x14ac:dyDescent="0.15">
      <c r="A1921" s="35" t="s">
        <v>651</v>
      </c>
      <c r="B1921" s="15">
        <f>2+2</f>
        <v>4</v>
      </c>
      <c r="C1921" s="16">
        <v>2</v>
      </c>
      <c r="D1921" s="36">
        <f t="shared" si="1200"/>
        <v>6</v>
      </c>
      <c r="E1921" s="18"/>
      <c r="F1921" s="16"/>
      <c r="G1921" s="36">
        <f t="shared" si="1201"/>
        <v>0</v>
      </c>
      <c r="H1921" s="17">
        <f t="shared" si="1202"/>
        <v>6</v>
      </c>
      <c r="I1921" s="84">
        <v>45755</v>
      </c>
      <c r="J1921" s="52"/>
      <c r="K1921" s="15"/>
      <c r="L1921" s="16"/>
      <c r="M1921" s="36">
        <f t="shared" si="1197"/>
        <v>0</v>
      </c>
      <c r="N1921" s="18"/>
      <c r="O1921" s="16"/>
      <c r="P1921" s="36">
        <f t="shared" si="1198"/>
        <v>0</v>
      </c>
      <c r="Q1921" s="17">
        <f t="shared" si="1199"/>
        <v>0</v>
      </c>
    </row>
    <row r="1922" spans="1:17" x14ac:dyDescent="0.15">
      <c r="A1922" s="35" t="s">
        <v>651</v>
      </c>
      <c r="B1922" s="15">
        <v>2</v>
      </c>
      <c r="C1922" s="16">
        <v>1</v>
      </c>
      <c r="D1922" s="36">
        <f t="shared" si="1200"/>
        <v>3</v>
      </c>
      <c r="E1922" s="18">
        <v>2</v>
      </c>
      <c r="F1922" s="16"/>
      <c r="G1922" s="36">
        <f t="shared" si="1201"/>
        <v>2</v>
      </c>
      <c r="H1922" s="17">
        <f t="shared" si="1202"/>
        <v>5</v>
      </c>
      <c r="I1922" s="84">
        <v>45756</v>
      </c>
      <c r="J1922" s="52"/>
      <c r="K1922" s="15"/>
      <c r="L1922" s="16"/>
      <c r="M1922" s="36">
        <f t="shared" si="1197"/>
        <v>0</v>
      </c>
      <c r="N1922" s="18"/>
      <c r="O1922" s="16"/>
      <c r="P1922" s="36">
        <f t="shared" si="1198"/>
        <v>0</v>
      </c>
      <c r="Q1922" s="17">
        <f t="shared" si="1199"/>
        <v>0</v>
      </c>
    </row>
    <row r="1923" spans="1:17" x14ac:dyDescent="0.15">
      <c r="A1923" s="35" t="s">
        <v>651</v>
      </c>
      <c r="B1923" s="15"/>
      <c r="C1923" s="16">
        <v>1</v>
      </c>
      <c r="D1923" s="36">
        <f t="shared" si="1200"/>
        <v>1</v>
      </c>
      <c r="E1923" s="18"/>
      <c r="F1923" s="16"/>
      <c r="G1923" s="36">
        <f t="shared" si="1201"/>
        <v>0</v>
      </c>
      <c r="H1923" s="17">
        <f t="shared" si="1202"/>
        <v>1</v>
      </c>
      <c r="I1923" s="84">
        <v>45758</v>
      </c>
      <c r="J1923" s="52"/>
      <c r="K1923" s="15"/>
      <c r="L1923" s="16"/>
      <c r="M1923" s="36">
        <f t="shared" si="1197"/>
        <v>0</v>
      </c>
      <c r="N1923" s="18"/>
      <c r="O1923" s="16"/>
      <c r="P1923" s="36">
        <f t="shared" si="1198"/>
        <v>0</v>
      </c>
      <c r="Q1923" s="17">
        <f t="shared" si="1199"/>
        <v>0</v>
      </c>
    </row>
    <row r="1924" spans="1:17" x14ac:dyDescent="0.15">
      <c r="A1924" s="35" t="s">
        <v>651</v>
      </c>
      <c r="B1924" s="15">
        <f>1+2</f>
        <v>3</v>
      </c>
      <c r="C1924" s="16">
        <v>2</v>
      </c>
      <c r="D1924" s="36">
        <f t="shared" si="1200"/>
        <v>5</v>
      </c>
      <c r="E1924" s="18">
        <f>3+1</f>
        <v>4</v>
      </c>
      <c r="F1924" s="16"/>
      <c r="G1924" s="36">
        <f t="shared" si="1201"/>
        <v>4</v>
      </c>
      <c r="H1924" s="17">
        <f t="shared" si="1202"/>
        <v>9</v>
      </c>
      <c r="I1924" s="84">
        <v>45761</v>
      </c>
      <c r="J1924" s="52"/>
      <c r="K1924" s="15"/>
      <c r="L1924" s="16"/>
      <c r="M1924" s="36">
        <f t="shared" si="1197"/>
        <v>0</v>
      </c>
      <c r="N1924" s="18"/>
      <c r="O1924" s="16"/>
      <c r="P1924" s="36">
        <f t="shared" si="1198"/>
        <v>0</v>
      </c>
      <c r="Q1924" s="17">
        <f t="shared" si="1199"/>
        <v>0</v>
      </c>
    </row>
    <row r="1925" spans="1:17" x14ac:dyDescent="0.15">
      <c r="A1925" s="35" t="s">
        <v>651</v>
      </c>
      <c r="B1925" s="15">
        <f>1+2</f>
        <v>3</v>
      </c>
      <c r="C1925" s="16">
        <v>1</v>
      </c>
      <c r="D1925" s="36">
        <f t="shared" si="1194"/>
        <v>4</v>
      </c>
      <c r="E1925" s="18">
        <f>2+2</f>
        <v>4</v>
      </c>
      <c r="F1925" s="16"/>
      <c r="G1925" s="36">
        <f t="shared" si="1195"/>
        <v>4</v>
      </c>
      <c r="H1925" s="17">
        <f t="shared" si="1196"/>
        <v>8</v>
      </c>
      <c r="I1925" s="84">
        <v>45762</v>
      </c>
      <c r="J1925" s="52"/>
      <c r="K1925" s="15"/>
      <c r="L1925" s="16"/>
      <c r="M1925" s="36">
        <f t="shared" si="1197"/>
        <v>0</v>
      </c>
      <c r="N1925" s="18"/>
      <c r="O1925" s="16"/>
      <c r="P1925" s="36">
        <f t="shared" si="1198"/>
        <v>0</v>
      </c>
      <c r="Q1925" s="17">
        <f t="shared" si="1199"/>
        <v>0</v>
      </c>
    </row>
    <row r="1926" spans="1:17" x14ac:dyDescent="0.15">
      <c r="A1926" s="35" t="s">
        <v>651</v>
      </c>
      <c r="B1926" s="15">
        <v>2</v>
      </c>
      <c r="C1926" s="16">
        <v>2</v>
      </c>
      <c r="D1926" s="36">
        <f t="shared" si="1194"/>
        <v>4</v>
      </c>
      <c r="E1926" s="18"/>
      <c r="F1926" s="16"/>
      <c r="G1926" s="36">
        <f t="shared" si="1195"/>
        <v>0</v>
      </c>
      <c r="H1926" s="17">
        <f t="shared" si="1196"/>
        <v>4</v>
      </c>
      <c r="I1926" s="84">
        <v>45763</v>
      </c>
      <c r="J1926" s="52"/>
      <c r="K1926" s="15"/>
      <c r="L1926" s="16"/>
      <c r="M1926" s="36">
        <f t="shared" si="1197"/>
        <v>0</v>
      </c>
      <c r="N1926" s="18"/>
      <c r="O1926" s="16"/>
      <c r="P1926" s="36">
        <f t="shared" si="1198"/>
        <v>0</v>
      </c>
      <c r="Q1926" s="17">
        <f t="shared" si="1199"/>
        <v>0</v>
      </c>
    </row>
    <row r="1927" spans="1:17" x14ac:dyDescent="0.15">
      <c r="A1927" s="35" t="s">
        <v>651</v>
      </c>
      <c r="B1927" s="15"/>
      <c r="C1927" s="16">
        <v>4</v>
      </c>
      <c r="D1927" s="36">
        <f t="shared" si="1194"/>
        <v>4</v>
      </c>
      <c r="E1927" s="18"/>
      <c r="F1927" s="16"/>
      <c r="G1927" s="36">
        <f t="shared" si="1195"/>
        <v>0</v>
      </c>
      <c r="H1927" s="17">
        <f t="shared" si="1196"/>
        <v>4</v>
      </c>
      <c r="I1927" s="84">
        <v>45764</v>
      </c>
      <c r="J1927" s="52"/>
      <c r="K1927" s="15"/>
      <c r="L1927" s="16"/>
      <c r="M1927" s="36">
        <f t="shared" si="1197"/>
        <v>0</v>
      </c>
      <c r="N1927" s="18"/>
      <c r="O1927" s="16"/>
      <c r="P1927" s="36">
        <f t="shared" si="1198"/>
        <v>0</v>
      </c>
      <c r="Q1927" s="17">
        <f t="shared" si="1199"/>
        <v>0</v>
      </c>
    </row>
    <row r="1928" spans="1:17" x14ac:dyDescent="0.15">
      <c r="A1928" s="35" t="s">
        <v>651</v>
      </c>
      <c r="B1928" s="15"/>
      <c r="C1928" s="16"/>
      <c r="D1928" s="36">
        <f t="shared" si="1194"/>
        <v>0</v>
      </c>
      <c r="E1928" s="18">
        <f>1+2</f>
        <v>3</v>
      </c>
      <c r="F1928" s="16"/>
      <c r="G1928" s="36">
        <f t="shared" si="1195"/>
        <v>3</v>
      </c>
      <c r="H1928" s="17">
        <f t="shared" si="1196"/>
        <v>3</v>
      </c>
      <c r="I1928" s="84">
        <v>45765</v>
      </c>
      <c r="J1928" s="52"/>
      <c r="K1928" s="15"/>
      <c r="L1928" s="16"/>
      <c r="M1928" s="36">
        <f t="shared" si="1197"/>
        <v>0</v>
      </c>
      <c r="N1928" s="18"/>
      <c r="O1928" s="16"/>
      <c r="P1928" s="36">
        <f t="shared" si="1198"/>
        <v>0</v>
      </c>
      <c r="Q1928" s="17">
        <f t="shared" si="1199"/>
        <v>0</v>
      </c>
    </row>
    <row r="1929" spans="1:17" x14ac:dyDescent="0.15">
      <c r="A1929" s="35" t="s">
        <v>651</v>
      </c>
      <c r="B1929" s="15">
        <f>1+4+1+1</f>
        <v>7</v>
      </c>
      <c r="C1929" s="16">
        <v>2</v>
      </c>
      <c r="D1929" s="36">
        <f t="shared" si="1194"/>
        <v>9</v>
      </c>
      <c r="E1929" s="18"/>
      <c r="F1929" s="16"/>
      <c r="G1929" s="36">
        <f t="shared" si="1195"/>
        <v>0</v>
      </c>
      <c r="H1929" s="17">
        <f t="shared" si="1196"/>
        <v>9</v>
      </c>
      <c r="I1929" s="84">
        <v>45768</v>
      </c>
      <c r="J1929" s="52"/>
      <c r="K1929" s="15"/>
      <c r="L1929" s="16"/>
      <c r="M1929" s="36">
        <f t="shared" si="1197"/>
        <v>0</v>
      </c>
      <c r="N1929" s="18"/>
      <c r="O1929" s="16"/>
      <c r="P1929" s="36">
        <f t="shared" si="1198"/>
        <v>0</v>
      </c>
      <c r="Q1929" s="17">
        <f t="shared" si="1199"/>
        <v>0</v>
      </c>
    </row>
    <row r="1930" spans="1:17" x14ac:dyDescent="0.15">
      <c r="A1930" s="35" t="s">
        <v>651</v>
      </c>
      <c r="B1930" s="15"/>
      <c r="C1930" s="16"/>
      <c r="D1930" s="36">
        <f t="shared" si="1194"/>
        <v>0</v>
      </c>
      <c r="E1930" s="18">
        <v>1</v>
      </c>
      <c r="F1930" s="16"/>
      <c r="G1930" s="36">
        <f t="shared" si="1195"/>
        <v>1</v>
      </c>
      <c r="H1930" s="17">
        <f t="shared" si="1196"/>
        <v>1</v>
      </c>
      <c r="I1930" s="84">
        <v>45769</v>
      </c>
      <c r="J1930" s="52"/>
      <c r="K1930" s="15"/>
      <c r="L1930" s="16"/>
      <c r="M1930" s="36">
        <f t="shared" si="1197"/>
        <v>0</v>
      </c>
      <c r="N1930" s="18"/>
      <c r="O1930" s="16"/>
      <c r="P1930" s="36">
        <f t="shared" si="1198"/>
        <v>0</v>
      </c>
      <c r="Q1930" s="17">
        <f t="shared" si="1199"/>
        <v>0</v>
      </c>
    </row>
    <row r="1931" spans="1:17" ht="14.25" thickBot="1" x14ac:dyDescent="0.2">
      <c r="A1931" s="35" t="s">
        <v>651</v>
      </c>
      <c r="B1931" s="15">
        <v>1</v>
      </c>
      <c r="C1931" s="16"/>
      <c r="D1931" s="36">
        <f t="shared" si="1194"/>
        <v>1</v>
      </c>
      <c r="E1931" s="18">
        <v>1</v>
      </c>
      <c r="F1931" s="16"/>
      <c r="G1931" s="36">
        <f t="shared" si="1195"/>
        <v>1</v>
      </c>
      <c r="H1931" s="17">
        <f t="shared" si="1196"/>
        <v>2</v>
      </c>
      <c r="I1931" s="84">
        <v>45770</v>
      </c>
      <c r="J1931" s="52"/>
      <c r="K1931" s="15"/>
      <c r="L1931" s="16"/>
      <c r="M1931" s="36">
        <f t="shared" si="1197"/>
        <v>0</v>
      </c>
      <c r="N1931" s="18"/>
      <c r="O1931" s="16"/>
      <c r="P1931" s="36">
        <f t="shared" si="1198"/>
        <v>0</v>
      </c>
      <c r="Q1931" s="17">
        <f t="shared" si="1199"/>
        <v>0</v>
      </c>
    </row>
    <row r="1932" spans="1:17" ht="14.25" thickBot="1" x14ac:dyDescent="0.2">
      <c r="A1932" s="40" t="s">
        <v>14</v>
      </c>
      <c r="B1932" s="41">
        <f>SUM(B1906:B1931)</f>
        <v>46</v>
      </c>
      <c r="C1932" s="42">
        <f t="shared" ref="C1932" si="1203">SUM(C1906:C1931)</f>
        <v>43</v>
      </c>
      <c r="D1932" s="43">
        <f t="shared" si="1194"/>
        <v>89</v>
      </c>
      <c r="E1932" s="41">
        <f>SUM(E1906:E1931)</f>
        <v>56</v>
      </c>
      <c r="F1932" s="96">
        <f t="shared" ref="F1932" si="1204">SUM(F1906:F1931)</f>
        <v>0</v>
      </c>
      <c r="G1932" s="43">
        <f t="shared" si="1195"/>
        <v>56</v>
      </c>
      <c r="H1932" s="43">
        <f t="shared" si="1196"/>
        <v>145</v>
      </c>
      <c r="J1932" s="40" t="s">
        <v>14</v>
      </c>
      <c r="K1932" s="41">
        <f>SUM(K1906:K1931)</f>
        <v>25</v>
      </c>
      <c r="L1932" s="96">
        <f t="shared" ref="L1932" si="1205">SUM(L1906:L1931)</f>
        <v>44</v>
      </c>
      <c r="M1932" s="43">
        <f t="shared" si="1197"/>
        <v>69</v>
      </c>
      <c r="N1932" s="41">
        <f>SUM(N1906:N1931)</f>
        <v>40</v>
      </c>
      <c r="O1932" s="96">
        <f t="shared" ref="O1932" si="1206">SUM(O1906:O1931)</f>
        <v>0</v>
      </c>
      <c r="P1932" s="43">
        <f t="shared" si="1198"/>
        <v>40</v>
      </c>
      <c r="Q1932" s="43">
        <f t="shared" si="1199"/>
        <v>109</v>
      </c>
    </row>
    <row r="1933" spans="1:17" ht="14.25" thickBot="1" x14ac:dyDescent="0.2">
      <c r="A1933" s="44" t="s">
        <v>15</v>
      </c>
      <c r="B1933" s="45">
        <f>B1905-B1932</f>
        <v>22</v>
      </c>
      <c r="C1933" s="46">
        <f t="shared" ref="C1933" si="1207">C1905-C1932</f>
        <v>42</v>
      </c>
      <c r="D1933" s="47">
        <f t="shared" si="1194"/>
        <v>64</v>
      </c>
      <c r="E1933" s="45">
        <f>E1905-E1932</f>
        <v>25</v>
      </c>
      <c r="F1933" s="97">
        <f t="shared" ref="F1933" si="1208">F1905-F1932</f>
        <v>0</v>
      </c>
      <c r="G1933" s="47">
        <f t="shared" si="1195"/>
        <v>25</v>
      </c>
      <c r="H1933" s="34">
        <f t="shared" si="1196"/>
        <v>89</v>
      </c>
      <c r="J1933" s="44" t="s">
        <v>15</v>
      </c>
      <c r="K1933" s="45">
        <f>K1905-K1932</f>
        <v>585</v>
      </c>
      <c r="L1933" s="97">
        <f t="shared" ref="L1933" si="1209">L1905-L1932</f>
        <v>0</v>
      </c>
      <c r="M1933" s="47">
        <f t="shared" si="1197"/>
        <v>585</v>
      </c>
      <c r="N1933" s="45">
        <f>N1905-N1932</f>
        <v>404</v>
      </c>
      <c r="O1933" s="97">
        <f t="shared" ref="O1933" si="1210">O1905-O1932</f>
        <v>0</v>
      </c>
      <c r="P1933" s="47">
        <f t="shared" si="1198"/>
        <v>404</v>
      </c>
      <c r="Q1933" s="34">
        <f t="shared" si="1199"/>
        <v>989</v>
      </c>
    </row>
    <row r="1934" spans="1:17" x14ac:dyDescent="0.15">
      <c r="B1934" s="109"/>
      <c r="C1934" s="109" t="s">
        <v>699</v>
      </c>
      <c r="E1934" s="109"/>
      <c r="F1934" s="109" t="s">
        <v>699</v>
      </c>
    </row>
    <row r="1936" spans="1:17" ht="19.5" thickBot="1" x14ac:dyDescent="0.25">
      <c r="A1936" s="1" t="s">
        <v>23</v>
      </c>
      <c r="J1936" s="1" t="s">
        <v>24</v>
      </c>
      <c r="K1936" s="2"/>
      <c r="L1936" s="2"/>
      <c r="M1936" s="2"/>
      <c r="N1936" s="2"/>
      <c r="O1936" s="1" t="s">
        <v>34</v>
      </c>
      <c r="P1936" s="2"/>
      <c r="Q1936" s="2"/>
    </row>
    <row r="1937" spans="1:18" ht="14.25" thickBot="1" x14ac:dyDescent="0.2">
      <c r="A1937" s="3" t="s">
        <v>0</v>
      </c>
      <c r="B1937" s="120" t="s">
        <v>18</v>
      </c>
      <c r="C1937" s="121"/>
      <c r="D1937" s="122"/>
      <c r="E1937" s="120" t="s">
        <v>19</v>
      </c>
      <c r="F1937" s="121"/>
      <c r="G1937" s="122"/>
      <c r="H1937" s="123" t="s">
        <v>1</v>
      </c>
      <c r="J1937" s="3" t="s">
        <v>0</v>
      </c>
      <c r="K1937" s="120" t="s">
        <v>18</v>
      </c>
      <c r="L1937" s="121"/>
      <c r="M1937" s="122"/>
      <c r="N1937" s="120" t="s">
        <v>19</v>
      </c>
      <c r="O1937" s="121"/>
      <c r="P1937" s="122"/>
      <c r="Q1937" s="123" t="s">
        <v>1</v>
      </c>
    </row>
    <row r="1938" spans="1:18" ht="14.25" thickBot="1" x14ac:dyDescent="0.2">
      <c r="A1938" s="3" t="s">
        <v>2</v>
      </c>
      <c r="B1938" s="4" t="s">
        <v>16</v>
      </c>
      <c r="C1938" s="5" t="s">
        <v>17</v>
      </c>
      <c r="D1938" s="3" t="s">
        <v>3</v>
      </c>
      <c r="E1938" s="4" t="s">
        <v>16</v>
      </c>
      <c r="F1938" s="5" t="s">
        <v>17</v>
      </c>
      <c r="G1938" s="3" t="s">
        <v>3</v>
      </c>
      <c r="H1938" s="124"/>
      <c r="J1938" s="3" t="s">
        <v>2</v>
      </c>
      <c r="K1938" s="4" t="s">
        <v>16</v>
      </c>
      <c r="L1938" s="5" t="s">
        <v>17</v>
      </c>
      <c r="M1938" s="3" t="s">
        <v>3</v>
      </c>
      <c r="N1938" s="4" t="s">
        <v>16</v>
      </c>
      <c r="O1938" s="5" t="s">
        <v>17</v>
      </c>
      <c r="P1938" s="3" t="s">
        <v>3</v>
      </c>
      <c r="Q1938" s="124"/>
    </row>
    <row r="1939" spans="1:18" ht="14.25" thickBot="1" x14ac:dyDescent="0.2">
      <c r="A1939" s="6" t="s">
        <v>55</v>
      </c>
      <c r="B1939" s="32">
        <f>B1933</f>
        <v>22</v>
      </c>
      <c r="C1939" s="33">
        <f>C1933</f>
        <v>42</v>
      </c>
      <c r="D1939" s="34">
        <f t="shared" ref="D1939:D1976" si="1211">SUM(B1939:C1939)</f>
        <v>64</v>
      </c>
      <c r="E1939" s="32">
        <f>E1933</f>
        <v>25</v>
      </c>
      <c r="F1939" s="33">
        <f>F1933</f>
        <v>0</v>
      </c>
      <c r="G1939" s="34">
        <f t="shared" ref="G1939:G1976" si="1212">SUM(E1939:F1939)</f>
        <v>25</v>
      </c>
      <c r="H1939" s="34">
        <f t="shared" ref="H1939:H1976" si="1213">D1939+G1939</f>
        <v>89</v>
      </c>
      <c r="J1939" s="6" t="s">
        <v>55</v>
      </c>
      <c r="K1939" s="32">
        <f>K1933</f>
        <v>585</v>
      </c>
      <c r="L1939" s="33">
        <f>L1933</f>
        <v>0</v>
      </c>
      <c r="M1939" s="34">
        <f t="shared" ref="M1939:M1976" si="1214">SUM(K1939:L1939)</f>
        <v>585</v>
      </c>
      <c r="N1939" s="32">
        <f>N1933</f>
        <v>404</v>
      </c>
      <c r="O1939" s="33">
        <f>O1933</f>
        <v>0</v>
      </c>
      <c r="P1939" s="34">
        <f t="shared" ref="P1939:P1976" si="1215">SUM(N1939:O1939)</f>
        <v>404</v>
      </c>
      <c r="Q1939" s="34">
        <f t="shared" ref="Q1939:Q1976" si="1216">M1939+P1939</f>
        <v>989</v>
      </c>
    </row>
    <row r="1940" spans="1:18" x14ac:dyDescent="0.15">
      <c r="A1940" s="10" t="s">
        <v>5</v>
      </c>
      <c r="B1940" s="15">
        <v>20</v>
      </c>
      <c r="C1940" s="16"/>
      <c r="D1940" s="17">
        <f t="shared" si="1211"/>
        <v>20</v>
      </c>
      <c r="E1940" s="18">
        <v>20</v>
      </c>
      <c r="F1940" s="16"/>
      <c r="G1940" s="17">
        <f t="shared" si="1212"/>
        <v>20</v>
      </c>
      <c r="H1940" s="17">
        <f t="shared" si="1213"/>
        <v>40</v>
      </c>
      <c r="I1940" s="81">
        <v>45784</v>
      </c>
      <c r="J1940" s="10" t="s">
        <v>5</v>
      </c>
      <c r="K1940" s="15"/>
      <c r="L1940" s="16"/>
      <c r="M1940" s="17">
        <f t="shared" si="1214"/>
        <v>0</v>
      </c>
      <c r="N1940" s="18"/>
      <c r="O1940" s="16"/>
      <c r="P1940" s="17">
        <f t="shared" si="1215"/>
        <v>0</v>
      </c>
      <c r="Q1940" s="17">
        <f t="shared" si="1216"/>
        <v>0</v>
      </c>
    </row>
    <row r="1941" spans="1:18" x14ac:dyDescent="0.15">
      <c r="A1941" s="10" t="s">
        <v>6</v>
      </c>
      <c r="B1941" s="15"/>
      <c r="C1941" s="16"/>
      <c r="D1941" s="17">
        <f t="shared" si="1211"/>
        <v>0</v>
      </c>
      <c r="E1941" s="18">
        <v>20</v>
      </c>
      <c r="F1941" s="16"/>
      <c r="G1941" s="17">
        <f t="shared" si="1212"/>
        <v>20</v>
      </c>
      <c r="H1941" s="17">
        <f t="shared" si="1213"/>
        <v>20</v>
      </c>
      <c r="I1941" s="81">
        <v>45797</v>
      </c>
      <c r="J1941" s="10" t="s">
        <v>6</v>
      </c>
      <c r="K1941" s="15"/>
      <c r="L1941" s="16"/>
      <c r="M1941" s="17">
        <f t="shared" si="1214"/>
        <v>0</v>
      </c>
      <c r="N1941" s="18"/>
      <c r="O1941" s="16"/>
      <c r="P1941" s="17">
        <f t="shared" si="1215"/>
        <v>0</v>
      </c>
      <c r="Q1941" s="17">
        <f t="shared" si="1216"/>
        <v>0</v>
      </c>
    </row>
    <row r="1942" spans="1:18" x14ac:dyDescent="0.15">
      <c r="A1942" s="10" t="s">
        <v>7</v>
      </c>
      <c r="B1942" s="15">
        <v>10</v>
      </c>
      <c r="C1942" s="16"/>
      <c r="D1942" s="17">
        <f t="shared" si="1211"/>
        <v>10</v>
      </c>
      <c r="E1942" s="18"/>
      <c r="F1942" s="16"/>
      <c r="G1942" s="17">
        <f t="shared" si="1212"/>
        <v>0</v>
      </c>
      <c r="H1942" s="17">
        <f t="shared" si="1213"/>
        <v>10</v>
      </c>
      <c r="I1942" s="81">
        <v>45804</v>
      </c>
      <c r="J1942" s="10" t="s">
        <v>7</v>
      </c>
      <c r="K1942" s="15"/>
      <c r="L1942" s="16"/>
      <c r="M1942" s="17">
        <f t="shared" si="1214"/>
        <v>0</v>
      </c>
      <c r="N1942" s="18"/>
      <c r="O1942" s="16"/>
      <c r="P1942" s="17">
        <f t="shared" si="1215"/>
        <v>0</v>
      </c>
      <c r="Q1942" s="17">
        <f t="shared" si="1216"/>
        <v>0</v>
      </c>
    </row>
    <row r="1943" spans="1:18" x14ac:dyDescent="0.15">
      <c r="A1943" s="10" t="s">
        <v>8</v>
      </c>
      <c r="B1943" s="15">
        <v>10</v>
      </c>
      <c r="C1943" s="16"/>
      <c r="D1943" s="17">
        <f t="shared" si="1211"/>
        <v>10</v>
      </c>
      <c r="E1943" s="18">
        <v>10</v>
      </c>
      <c r="F1943" s="16"/>
      <c r="G1943" s="17">
        <f t="shared" si="1212"/>
        <v>10</v>
      </c>
      <c r="H1943" s="17">
        <f t="shared" si="1213"/>
        <v>20</v>
      </c>
      <c r="I1943" s="81">
        <v>45815</v>
      </c>
      <c r="J1943" s="10" t="s">
        <v>8</v>
      </c>
      <c r="K1943" s="15"/>
      <c r="L1943" s="16"/>
      <c r="M1943" s="17">
        <f t="shared" si="1214"/>
        <v>0</v>
      </c>
      <c r="N1943" s="18"/>
      <c r="O1943" s="16"/>
      <c r="P1943" s="17">
        <f t="shared" si="1215"/>
        <v>0</v>
      </c>
      <c r="Q1943" s="17">
        <f t="shared" si="1216"/>
        <v>0</v>
      </c>
    </row>
    <row r="1944" spans="1:18" x14ac:dyDescent="0.15">
      <c r="A1944" s="10" t="s">
        <v>9</v>
      </c>
      <c r="B1944" s="15"/>
      <c r="C1944" s="16"/>
      <c r="D1944" s="17">
        <f t="shared" si="1211"/>
        <v>0</v>
      </c>
      <c r="E1944" s="18"/>
      <c r="F1944" s="16"/>
      <c r="G1944" s="17">
        <f t="shared" si="1212"/>
        <v>0</v>
      </c>
      <c r="H1944" s="17">
        <f t="shared" si="1213"/>
        <v>0</v>
      </c>
      <c r="I1944" s="83"/>
      <c r="J1944" s="10" t="s">
        <v>9</v>
      </c>
      <c r="K1944" s="15"/>
      <c r="L1944" s="16"/>
      <c r="M1944" s="17">
        <f t="shared" si="1214"/>
        <v>0</v>
      </c>
      <c r="N1944" s="18"/>
      <c r="O1944" s="16"/>
      <c r="P1944" s="17">
        <f t="shared" si="1215"/>
        <v>0</v>
      </c>
      <c r="Q1944" s="17">
        <f t="shared" si="1216"/>
        <v>0</v>
      </c>
    </row>
    <row r="1945" spans="1:18" x14ac:dyDescent="0.15">
      <c r="A1945" s="10" t="s">
        <v>10</v>
      </c>
      <c r="B1945" s="15"/>
      <c r="C1945" s="16"/>
      <c r="D1945" s="17">
        <f t="shared" si="1211"/>
        <v>0</v>
      </c>
      <c r="E1945" s="18"/>
      <c r="F1945" s="16"/>
      <c r="G1945" s="17">
        <f t="shared" si="1212"/>
        <v>0</v>
      </c>
      <c r="H1945" s="17">
        <f t="shared" si="1213"/>
        <v>0</v>
      </c>
      <c r="J1945" s="10" t="s">
        <v>10</v>
      </c>
      <c r="K1945" s="15"/>
      <c r="L1945" s="16"/>
      <c r="M1945" s="17">
        <f t="shared" si="1214"/>
        <v>0</v>
      </c>
      <c r="N1945" s="18"/>
      <c r="O1945" s="16"/>
      <c r="P1945" s="17">
        <f t="shared" si="1215"/>
        <v>0</v>
      </c>
      <c r="Q1945" s="17">
        <f t="shared" si="1216"/>
        <v>0</v>
      </c>
    </row>
    <row r="1946" spans="1:18" x14ac:dyDescent="0.15">
      <c r="A1946" s="10" t="s">
        <v>11</v>
      </c>
      <c r="B1946" s="15"/>
      <c r="C1946" s="16"/>
      <c r="D1946" s="17">
        <f t="shared" si="1211"/>
        <v>0</v>
      </c>
      <c r="E1946" s="18"/>
      <c r="F1946" s="16"/>
      <c r="G1946" s="17">
        <f t="shared" si="1212"/>
        <v>0</v>
      </c>
      <c r="H1946" s="17">
        <f t="shared" si="1213"/>
        <v>0</v>
      </c>
      <c r="J1946" s="10" t="s">
        <v>11</v>
      </c>
      <c r="K1946" s="15"/>
      <c r="L1946" s="16"/>
      <c r="M1946" s="17">
        <f t="shared" si="1214"/>
        <v>0</v>
      </c>
      <c r="N1946" s="18"/>
      <c r="O1946" s="16"/>
      <c r="P1946" s="17">
        <f t="shared" si="1215"/>
        <v>0</v>
      </c>
      <c r="Q1946" s="17">
        <f t="shared" si="1216"/>
        <v>0</v>
      </c>
    </row>
    <row r="1947" spans="1:18" ht="14.25" thickBot="1" x14ac:dyDescent="0.2">
      <c r="A1947" s="10" t="s">
        <v>110</v>
      </c>
      <c r="B1947" s="15"/>
      <c r="C1947" s="16">
        <v>2</v>
      </c>
      <c r="D1947" s="17">
        <f t="shared" si="1211"/>
        <v>2</v>
      </c>
      <c r="E1947" s="18"/>
      <c r="F1947" s="16"/>
      <c r="G1947" s="17">
        <f t="shared" si="1212"/>
        <v>0</v>
      </c>
      <c r="H1947" s="17">
        <f t="shared" si="1213"/>
        <v>2</v>
      </c>
      <c r="J1947" s="10" t="s">
        <v>12</v>
      </c>
      <c r="K1947" s="15"/>
      <c r="L1947" s="16"/>
      <c r="M1947" s="17">
        <f t="shared" si="1214"/>
        <v>0</v>
      </c>
      <c r="N1947" s="18"/>
      <c r="O1947" s="16"/>
      <c r="P1947" s="17">
        <f t="shared" si="1215"/>
        <v>0</v>
      </c>
      <c r="Q1947" s="17">
        <f t="shared" si="1216"/>
        <v>0</v>
      </c>
    </row>
    <row r="1948" spans="1:18" ht="14.25" thickBot="1" x14ac:dyDescent="0.2">
      <c r="A1948" s="31" t="s">
        <v>13</v>
      </c>
      <c r="B1948" s="32">
        <f>SUM(B1939:B1947)</f>
        <v>62</v>
      </c>
      <c r="C1948" s="33">
        <f>SUM(C1939:C1947)</f>
        <v>44</v>
      </c>
      <c r="D1948" s="34">
        <f t="shared" si="1211"/>
        <v>106</v>
      </c>
      <c r="E1948" s="32">
        <f>SUM(E1939:E1947)</f>
        <v>75</v>
      </c>
      <c r="F1948" s="33">
        <f>SUM(F1939:F1947)</f>
        <v>0</v>
      </c>
      <c r="G1948" s="34">
        <f t="shared" si="1212"/>
        <v>75</v>
      </c>
      <c r="H1948" s="34">
        <f t="shared" si="1213"/>
        <v>181</v>
      </c>
      <c r="J1948" s="31" t="s">
        <v>13</v>
      </c>
      <c r="K1948" s="32">
        <f>SUM(K1939:K1947)</f>
        <v>585</v>
      </c>
      <c r="L1948" s="33">
        <f>SUM(L1939:L1947)</f>
        <v>0</v>
      </c>
      <c r="M1948" s="34">
        <f t="shared" si="1214"/>
        <v>585</v>
      </c>
      <c r="N1948" s="32">
        <f>SUM(N1939:N1947)</f>
        <v>404</v>
      </c>
      <c r="O1948" s="33">
        <f>SUM(O1939:O1947)</f>
        <v>0</v>
      </c>
      <c r="P1948" s="34">
        <f t="shared" si="1215"/>
        <v>404</v>
      </c>
      <c r="Q1948" s="34">
        <f t="shared" si="1216"/>
        <v>989</v>
      </c>
    </row>
    <row r="1949" spans="1:18" x14ac:dyDescent="0.15">
      <c r="A1949" s="35" t="s">
        <v>651</v>
      </c>
      <c r="B1949" s="15">
        <v>3</v>
      </c>
      <c r="C1949" s="16">
        <v>1</v>
      </c>
      <c r="D1949" s="36">
        <f t="shared" si="1211"/>
        <v>4</v>
      </c>
      <c r="E1949" s="18">
        <v>1</v>
      </c>
      <c r="F1949" s="16"/>
      <c r="G1949" s="36">
        <f t="shared" si="1212"/>
        <v>1</v>
      </c>
      <c r="H1949" s="17">
        <f t="shared" si="1213"/>
        <v>5</v>
      </c>
      <c r="I1949" s="84">
        <v>45771</v>
      </c>
      <c r="J1949" s="52" t="s">
        <v>91</v>
      </c>
      <c r="K1949" s="15">
        <v>20</v>
      </c>
      <c r="L1949" s="16"/>
      <c r="M1949" s="36">
        <f t="shared" si="1214"/>
        <v>20</v>
      </c>
      <c r="N1949" s="18">
        <v>20</v>
      </c>
      <c r="O1949" s="16"/>
      <c r="P1949" s="36">
        <f t="shared" si="1215"/>
        <v>20</v>
      </c>
      <c r="Q1949" s="17">
        <f t="shared" si="1216"/>
        <v>40</v>
      </c>
      <c r="R1949" s="81">
        <v>45784</v>
      </c>
    </row>
    <row r="1950" spans="1:18" x14ac:dyDescent="0.15">
      <c r="A1950" s="35" t="s">
        <v>651</v>
      </c>
      <c r="B1950" s="15">
        <v>2</v>
      </c>
      <c r="C1950" s="16">
        <f>1+2</f>
        <v>3</v>
      </c>
      <c r="D1950" s="36">
        <f t="shared" si="1211"/>
        <v>5</v>
      </c>
      <c r="E1950" s="18">
        <v>5</v>
      </c>
      <c r="F1950" s="16"/>
      <c r="G1950" s="36">
        <f t="shared" si="1212"/>
        <v>5</v>
      </c>
      <c r="H1950" s="17">
        <f t="shared" si="1213"/>
        <v>10</v>
      </c>
      <c r="I1950" s="84">
        <v>45772</v>
      </c>
      <c r="J1950" s="52" t="s">
        <v>91</v>
      </c>
      <c r="K1950" s="15"/>
      <c r="L1950" s="16"/>
      <c r="M1950" s="36">
        <f t="shared" si="1214"/>
        <v>0</v>
      </c>
      <c r="N1950" s="18">
        <v>20</v>
      </c>
      <c r="O1950" s="16"/>
      <c r="P1950" s="36">
        <f t="shared" si="1215"/>
        <v>20</v>
      </c>
      <c r="Q1950" s="17">
        <f t="shared" si="1216"/>
        <v>20</v>
      </c>
      <c r="R1950" s="81">
        <v>45797</v>
      </c>
    </row>
    <row r="1951" spans="1:18" x14ac:dyDescent="0.15">
      <c r="A1951" s="35" t="s">
        <v>651</v>
      </c>
      <c r="B1951" s="15">
        <v>3</v>
      </c>
      <c r="C1951" s="16">
        <f>1+3</f>
        <v>4</v>
      </c>
      <c r="D1951" s="36">
        <f t="shared" si="1211"/>
        <v>7</v>
      </c>
      <c r="E1951" s="18">
        <v>4</v>
      </c>
      <c r="F1951" s="16"/>
      <c r="G1951" s="36">
        <f t="shared" si="1212"/>
        <v>4</v>
      </c>
      <c r="H1951" s="17">
        <f t="shared" si="1213"/>
        <v>11</v>
      </c>
      <c r="I1951" s="84">
        <v>45775</v>
      </c>
      <c r="J1951" s="52" t="s">
        <v>91</v>
      </c>
      <c r="K1951" s="15">
        <v>10</v>
      </c>
      <c r="L1951" s="16"/>
      <c r="M1951" s="36">
        <f t="shared" si="1214"/>
        <v>10</v>
      </c>
      <c r="N1951" s="18"/>
      <c r="O1951" s="16"/>
      <c r="P1951" s="36">
        <f t="shared" si="1215"/>
        <v>0</v>
      </c>
      <c r="Q1951" s="17">
        <f t="shared" si="1216"/>
        <v>10</v>
      </c>
      <c r="R1951" s="81">
        <v>45804</v>
      </c>
    </row>
    <row r="1952" spans="1:18" x14ac:dyDescent="0.15">
      <c r="A1952" s="35" t="s">
        <v>651</v>
      </c>
      <c r="B1952" s="15"/>
      <c r="C1952" s="16">
        <v>1</v>
      </c>
      <c r="D1952" s="36">
        <f t="shared" si="1211"/>
        <v>1</v>
      </c>
      <c r="E1952" s="18">
        <v>1</v>
      </c>
      <c r="F1952" s="16"/>
      <c r="G1952" s="36">
        <f t="shared" si="1212"/>
        <v>1</v>
      </c>
      <c r="H1952" s="17">
        <f t="shared" si="1213"/>
        <v>2</v>
      </c>
      <c r="I1952" s="84">
        <v>45777</v>
      </c>
      <c r="J1952" s="52" t="s">
        <v>91</v>
      </c>
      <c r="K1952" s="15">
        <v>10</v>
      </c>
      <c r="L1952" s="16"/>
      <c r="M1952" s="36">
        <f t="shared" si="1214"/>
        <v>10</v>
      </c>
      <c r="N1952" s="18">
        <v>10</v>
      </c>
      <c r="O1952" s="16"/>
      <c r="P1952" s="36">
        <f t="shared" si="1215"/>
        <v>10</v>
      </c>
      <c r="Q1952" s="17">
        <f t="shared" si="1216"/>
        <v>20</v>
      </c>
      <c r="R1952" s="81">
        <v>45815</v>
      </c>
    </row>
    <row r="1953" spans="1:18" x14ac:dyDescent="0.15">
      <c r="A1953" s="35" t="s">
        <v>651</v>
      </c>
      <c r="B1953" s="15"/>
      <c r="C1953" s="16">
        <v>1</v>
      </c>
      <c r="D1953" s="36">
        <f t="shared" si="1211"/>
        <v>1</v>
      </c>
      <c r="E1953" s="18">
        <v>1</v>
      </c>
      <c r="F1953" s="16"/>
      <c r="G1953" s="36">
        <f t="shared" si="1212"/>
        <v>1</v>
      </c>
      <c r="H1953" s="17">
        <f t="shared" si="1213"/>
        <v>2</v>
      </c>
      <c r="I1953" s="84">
        <v>45778</v>
      </c>
      <c r="J1953" s="52"/>
      <c r="K1953" s="15"/>
      <c r="L1953" s="16"/>
      <c r="M1953" s="36">
        <f t="shared" ref="M1953:M1956" si="1217">SUM(K1953:L1953)</f>
        <v>0</v>
      </c>
      <c r="N1953" s="18"/>
      <c r="O1953" s="16"/>
      <c r="P1953" s="36">
        <f t="shared" ref="P1953:P1956" si="1218">SUM(N1953:O1953)</f>
        <v>0</v>
      </c>
      <c r="Q1953" s="17">
        <f t="shared" ref="Q1953:Q1956" si="1219">M1953+P1953</f>
        <v>0</v>
      </c>
      <c r="R1953" s="83"/>
    </row>
    <row r="1954" spans="1:18" x14ac:dyDescent="0.15">
      <c r="A1954" s="35" t="s">
        <v>651</v>
      </c>
      <c r="B1954" s="15"/>
      <c r="C1954" s="16">
        <v>1</v>
      </c>
      <c r="D1954" s="36">
        <f t="shared" si="1211"/>
        <v>1</v>
      </c>
      <c r="E1954" s="18">
        <v>1</v>
      </c>
      <c r="F1954" s="16"/>
      <c r="G1954" s="36">
        <f t="shared" si="1212"/>
        <v>1</v>
      </c>
      <c r="H1954" s="17">
        <f t="shared" si="1213"/>
        <v>2</v>
      </c>
      <c r="I1954" s="84">
        <v>45779</v>
      </c>
      <c r="J1954" s="52"/>
      <c r="K1954" s="15"/>
      <c r="L1954" s="16"/>
      <c r="M1954" s="36">
        <f t="shared" si="1217"/>
        <v>0</v>
      </c>
      <c r="N1954" s="18"/>
      <c r="O1954" s="16"/>
      <c r="P1954" s="36">
        <f t="shared" si="1218"/>
        <v>0</v>
      </c>
      <c r="Q1954" s="17">
        <f t="shared" si="1219"/>
        <v>0</v>
      </c>
      <c r="R1954" s="83"/>
    </row>
    <row r="1955" spans="1:18" x14ac:dyDescent="0.15">
      <c r="A1955" s="35" t="s">
        <v>651</v>
      </c>
      <c r="B1955" s="15">
        <f>1+2</f>
        <v>3</v>
      </c>
      <c r="C1955" s="16">
        <v>1</v>
      </c>
      <c r="D1955" s="36">
        <f t="shared" si="1211"/>
        <v>4</v>
      </c>
      <c r="E1955" s="18">
        <f>3+3</f>
        <v>6</v>
      </c>
      <c r="F1955" s="16"/>
      <c r="G1955" s="36">
        <f t="shared" si="1212"/>
        <v>6</v>
      </c>
      <c r="H1955" s="17">
        <f t="shared" si="1213"/>
        <v>10</v>
      </c>
      <c r="I1955" s="84">
        <v>45784</v>
      </c>
      <c r="J1955" s="52"/>
      <c r="K1955" s="15"/>
      <c r="L1955" s="16"/>
      <c r="M1955" s="36">
        <f t="shared" si="1217"/>
        <v>0</v>
      </c>
      <c r="N1955" s="18"/>
      <c r="O1955" s="16"/>
      <c r="P1955" s="36">
        <f t="shared" si="1218"/>
        <v>0</v>
      </c>
      <c r="Q1955" s="17">
        <f t="shared" si="1219"/>
        <v>0</v>
      </c>
      <c r="R1955" s="83"/>
    </row>
    <row r="1956" spans="1:18" x14ac:dyDescent="0.15">
      <c r="A1956" s="35" t="s">
        <v>651</v>
      </c>
      <c r="B1956" s="15">
        <f>2+1</f>
        <v>3</v>
      </c>
      <c r="C1956" s="16"/>
      <c r="D1956" s="36">
        <f t="shared" si="1211"/>
        <v>3</v>
      </c>
      <c r="E1956" s="18"/>
      <c r="F1956" s="16"/>
      <c r="G1956" s="36">
        <f t="shared" si="1212"/>
        <v>0</v>
      </c>
      <c r="H1956" s="17">
        <f t="shared" si="1213"/>
        <v>3</v>
      </c>
      <c r="I1956" s="84">
        <v>45785</v>
      </c>
      <c r="J1956" s="52"/>
      <c r="K1956" s="15"/>
      <c r="L1956" s="16"/>
      <c r="M1956" s="36">
        <f t="shared" si="1217"/>
        <v>0</v>
      </c>
      <c r="N1956" s="18"/>
      <c r="O1956" s="16"/>
      <c r="P1956" s="36">
        <f t="shared" si="1218"/>
        <v>0</v>
      </c>
      <c r="Q1956" s="17">
        <f t="shared" si="1219"/>
        <v>0</v>
      </c>
      <c r="R1956" s="83"/>
    </row>
    <row r="1957" spans="1:18" x14ac:dyDescent="0.15">
      <c r="A1957" s="35" t="s">
        <v>651</v>
      </c>
      <c r="B1957" s="15"/>
      <c r="C1957" s="16"/>
      <c r="D1957" s="36">
        <f t="shared" si="1211"/>
        <v>0</v>
      </c>
      <c r="E1957" s="18">
        <v>1</v>
      </c>
      <c r="F1957" s="16"/>
      <c r="G1957" s="36">
        <f t="shared" si="1212"/>
        <v>1</v>
      </c>
      <c r="H1957" s="17">
        <f t="shared" si="1213"/>
        <v>1</v>
      </c>
      <c r="I1957" s="84">
        <v>45786</v>
      </c>
      <c r="J1957" s="52"/>
      <c r="K1957" s="15"/>
      <c r="L1957" s="16"/>
      <c r="M1957" s="36">
        <f t="shared" si="1214"/>
        <v>0</v>
      </c>
      <c r="N1957" s="18"/>
      <c r="O1957" s="16"/>
      <c r="P1957" s="36">
        <f t="shared" si="1215"/>
        <v>0</v>
      </c>
      <c r="Q1957" s="17">
        <f t="shared" si="1216"/>
        <v>0</v>
      </c>
    </row>
    <row r="1958" spans="1:18" x14ac:dyDescent="0.15">
      <c r="A1958" s="35" t="s">
        <v>651</v>
      </c>
      <c r="B1958" s="15">
        <v>2</v>
      </c>
      <c r="C1958" s="16">
        <v>3</v>
      </c>
      <c r="D1958" s="36">
        <f t="shared" si="1211"/>
        <v>5</v>
      </c>
      <c r="E1958" s="18">
        <v>2</v>
      </c>
      <c r="F1958" s="16"/>
      <c r="G1958" s="36">
        <f t="shared" si="1212"/>
        <v>2</v>
      </c>
      <c r="H1958" s="17">
        <f t="shared" si="1213"/>
        <v>7</v>
      </c>
      <c r="I1958" s="84">
        <v>45789</v>
      </c>
      <c r="J1958" s="52"/>
      <c r="K1958" s="15"/>
      <c r="L1958" s="16"/>
      <c r="M1958" s="36">
        <f t="shared" si="1214"/>
        <v>0</v>
      </c>
      <c r="N1958" s="18"/>
      <c r="O1958" s="16"/>
      <c r="P1958" s="36">
        <f t="shared" si="1215"/>
        <v>0</v>
      </c>
      <c r="Q1958" s="17">
        <f t="shared" si="1216"/>
        <v>0</v>
      </c>
    </row>
    <row r="1959" spans="1:18" x14ac:dyDescent="0.15">
      <c r="A1959" s="35" t="s">
        <v>651</v>
      </c>
      <c r="B1959" s="15"/>
      <c r="C1959" s="16"/>
      <c r="D1959" s="36">
        <f t="shared" si="1211"/>
        <v>0</v>
      </c>
      <c r="E1959" s="18">
        <v>1</v>
      </c>
      <c r="F1959" s="16"/>
      <c r="G1959" s="36">
        <f t="shared" si="1212"/>
        <v>1</v>
      </c>
      <c r="H1959" s="17">
        <f t="shared" si="1213"/>
        <v>1</v>
      </c>
      <c r="I1959" s="84">
        <v>45790</v>
      </c>
      <c r="J1959" s="52"/>
      <c r="K1959" s="15"/>
      <c r="L1959" s="16"/>
      <c r="M1959" s="36">
        <f t="shared" si="1214"/>
        <v>0</v>
      </c>
      <c r="N1959" s="18"/>
      <c r="O1959" s="16"/>
      <c r="P1959" s="36">
        <f t="shared" si="1215"/>
        <v>0</v>
      </c>
      <c r="Q1959" s="17">
        <f t="shared" si="1216"/>
        <v>0</v>
      </c>
    </row>
    <row r="1960" spans="1:18" x14ac:dyDescent="0.15">
      <c r="A1960" s="35" t="s">
        <v>651</v>
      </c>
      <c r="B1960" s="15"/>
      <c r="C1960" s="16"/>
      <c r="D1960" s="36">
        <f t="shared" si="1211"/>
        <v>0</v>
      </c>
      <c r="E1960" s="18">
        <v>2</v>
      </c>
      <c r="F1960" s="16"/>
      <c r="G1960" s="36">
        <f t="shared" si="1212"/>
        <v>2</v>
      </c>
      <c r="H1960" s="17">
        <f t="shared" si="1213"/>
        <v>2</v>
      </c>
      <c r="I1960" s="84">
        <v>45791</v>
      </c>
      <c r="J1960" s="52"/>
      <c r="K1960" s="15"/>
      <c r="L1960" s="16"/>
      <c r="M1960" s="36">
        <f t="shared" si="1214"/>
        <v>0</v>
      </c>
      <c r="N1960" s="18"/>
      <c r="O1960" s="16"/>
      <c r="P1960" s="36">
        <f t="shared" si="1215"/>
        <v>0</v>
      </c>
      <c r="Q1960" s="17">
        <f t="shared" si="1216"/>
        <v>0</v>
      </c>
    </row>
    <row r="1961" spans="1:18" x14ac:dyDescent="0.15">
      <c r="A1961" s="35" t="s">
        <v>651</v>
      </c>
      <c r="B1961" s="15"/>
      <c r="C1961" s="16"/>
      <c r="D1961" s="36">
        <f t="shared" si="1211"/>
        <v>0</v>
      </c>
      <c r="E1961" s="18">
        <v>1</v>
      </c>
      <c r="F1961" s="16"/>
      <c r="G1961" s="36">
        <f t="shared" si="1212"/>
        <v>1</v>
      </c>
      <c r="H1961" s="17">
        <f t="shared" si="1213"/>
        <v>1</v>
      </c>
      <c r="I1961" s="84">
        <v>45792</v>
      </c>
      <c r="J1961" s="52"/>
      <c r="K1961" s="15"/>
      <c r="L1961" s="16"/>
      <c r="M1961" s="36">
        <f t="shared" si="1214"/>
        <v>0</v>
      </c>
      <c r="N1961" s="18"/>
      <c r="O1961" s="16"/>
      <c r="P1961" s="36">
        <f t="shared" si="1215"/>
        <v>0</v>
      </c>
      <c r="Q1961" s="17">
        <f t="shared" si="1216"/>
        <v>0</v>
      </c>
    </row>
    <row r="1962" spans="1:18" x14ac:dyDescent="0.15">
      <c r="A1962" s="35" t="s">
        <v>651</v>
      </c>
      <c r="B1962" s="15">
        <v>1</v>
      </c>
      <c r="C1962" s="16">
        <v>4</v>
      </c>
      <c r="D1962" s="36">
        <f t="shared" si="1211"/>
        <v>5</v>
      </c>
      <c r="E1962" s="18">
        <v>6</v>
      </c>
      <c r="F1962" s="16"/>
      <c r="G1962" s="36">
        <f t="shared" si="1212"/>
        <v>6</v>
      </c>
      <c r="H1962" s="17">
        <f t="shared" si="1213"/>
        <v>11</v>
      </c>
      <c r="I1962" s="84">
        <v>45793</v>
      </c>
      <c r="J1962" s="52"/>
      <c r="K1962" s="15"/>
      <c r="L1962" s="16"/>
      <c r="M1962" s="36">
        <f t="shared" si="1214"/>
        <v>0</v>
      </c>
      <c r="N1962" s="18"/>
      <c r="O1962" s="16"/>
      <c r="P1962" s="36">
        <f t="shared" si="1215"/>
        <v>0</v>
      </c>
      <c r="Q1962" s="17">
        <f t="shared" si="1216"/>
        <v>0</v>
      </c>
    </row>
    <row r="1963" spans="1:18" x14ac:dyDescent="0.15">
      <c r="A1963" s="35" t="s">
        <v>651</v>
      </c>
      <c r="B1963" s="15">
        <f>2+1</f>
        <v>3</v>
      </c>
      <c r="C1963" s="16">
        <v>2</v>
      </c>
      <c r="D1963" s="36">
        <f t="shared" si="1211"/>
        <v>5</v>
      </c>
      <c r="E1963" s="18">
        <v>3</v>
      </c>
      <c r="F1963" s="16"/>
      <c r="G1963" s="36">
        <f t="shared" si="1212"/>
        <v>3</v>
      </c>
      <c r="H1963" s="17">
        <f t="shared" si="1213"/>
        <v>8</v>
      </c>
      <c r="I1963" s="84">
        <v>45796</v>
      </c>
      <c r="J1963" s="52"/>
      <c r="K1963" s="15"/>
      <c r="L1963" s="16"/>
      <c r="M1963" s="36">
        <f t="shared" si="1214"/>
        <v>0</v>
      </c>
      <c r="N1963" s="18"/>
      <c r="O1963" s="16"/>
      <c r="P1963" s="36">
        <f t="shared" si="1215"/>
        <v>0</v>
      </c>
      <c r="Q1963" s="17">
        <f t="shared" si="1216"/>
        <v>0</v>
      </c>
    </row>
    <row r="1964" spans="1:18" x14ac:dyDescent="0.15">
      <c r="A1964" s="35" t="s">
        <v>651</v>
      </c>
      <c r="B1964" s="15">
        <v>1</v>
      </c>
      <c r="C1964" s="16">
        <f>2+1</f>
        <v>3</v>
      </c>
      <c r="D1964" s="36">
        <f t="shared" si="1211"/>
        <v>4</v>
      </c>
      <c r="E1964" s="18"/>
      <c r="F1964" s="16"/>
      <c r="G1964" s="36">
        <f t="shared" si="1212"/>
        <v>0</v>
      </c>
      <c r="H1964" s="17">
        <f t="shared" si="1213"/>
        <v>4</v>
      </c>
      <c r="I1964" s="84">
        <v>45797</v>
      </c>
      <c r="J1964" s="52"/>
      <c r="K1964" s="15"/>
      <c r="L1964" s="16"/>
      <c r="M1964" s="36">
        <f t="shared" si="1214"/>
        <v>0</v>
      </c>
      <c r="N1964" s="18"/>
      <c r="O1964" s="16"/>
      <c r="P1964" s="36">
        <f t="shared" si="1215"/>
        <v>0</v>
      </c>
      <c r="Q1964" s="17">
        <f t="shared" si="1216"/>
        <v>0</v>
      </c>
    </row>
    <row r="1965" spans="1:18" x14ac:dyDescent="0.15">
      <c r="A1965" s="35" t="s">
        <v>651</v>
      </c>
      <c r="B1965" s="15">
        <v>2</v>
      </c>
      <c r="C1965" s="16"/>
      <c r="D1965" s="36">
        <f t="shared" si="1211"/>
        <v>2</v>
      </c>
      <c r="E1965" s="18">
        <v>2</v>
      </c>
      <c r="F1965" s="16"/>
      <c r="G1965" s="36">
        <f t="shared" si="1212"/>
        <v>2</v>
      </c>
      <c r="H1965" s="17">
        <f t="shared" si="1213"/>
        <v>4</v>
      </c>
      <c r="I1965" s="84">
        <v>45799</v>
      </c>
      <c r="J1965" s="52"/>
      <c r="K1965" s="15"/>
      <c r="L1965" s="16"/>
      <c r="M1965" s="36">
        <f t="shared" si="1214"/>
        <v>0</v>
      </c>
      <c r="N1965" s="18"/>
      <c r="O1965" s="16"/>
      <c r="P1965" s="36">
        <f t="shared" si="1215"/>
        <v>0</v>
      </c>
      <c r="Q1965" s="17">
        <f t="shared" si="1216"/>
        <v>0</v>
      </c>
    </row>
    <row r="1966" spans="1:18" x14ac:dyDescent="0.15">
      <c r="A1966" s="35" t="s">
        <v>651</v>
      </c>
      <c r="B1966" s="15">
        <f>1+1</f>
        <v>2</v>
      </c>
      <c r="C1966" s="16"/>
      <c r="D1966" s="36">
        <f t="shared" si="1211"/>
        <v>2</v>
      </c>
      <c r="E1966" s="18"/>
      <c r="F1966" s="16"/>
      <c r="G1966" s="36">
        <f t="shared" si="1212"/>
        <v>0</v>
      </c>
      <c r="H1966" s="17">
        <f t="shared" si="1213"/>
        <v>2</v>
      </c>
      <c r="I1966" s="84">
        <v>45800</v>
      </c>
      <c r="J1966" s="52"/>
      <c r="K1966" s="15"/>
      <c r="L1966" s="16"/>
      <c r="M1966" s="36">
        <f t="shared" si="1214"/>
        <v>0</v>
      </c>
      <c r="N1966" s="18"/>
      <c r="O1966" s="16"/>
      <c r="P1966" s="36">
        <f t="shared" si="1215"/>
        <v>0</v>
      </c>
      <c r="Q1966" s="17">
        <f t="shared" si="1216"/>
        <v>0</v>
      </c>
    </row>
    <row r="1967" spans="1:18" x14ac:dyDescent="0.15">
      <c r="A1967" s="35" t="s">
        <v>651</v>
      </c>
      <c r="B1967" s="15">
        <v>6</v>
      </c>
      <c r="C1967" s="16"/>
      <c r="D1967" s="36">
        <f t="shared" si="1211"/>
        <v>6</v>
      </c>
      <c r="E1967" s="18">
        <f>1+3</f>
        <v>4</v>
      </c>
      <c r="F1967" s="16"/>
      <c r="G1967" s="36">
        <f t="shared" si="1212"/>
        <v>4</v>
      </c>
      <c r="H1967" s="17">
        <f t="shared" si="1213"/>
        <v>10</v>
      </c>
      <c r="I1967" s="84">
        <v>45803</v>
      </c>
      <c r="J1967" s="52"/>
      <c r="K1967" s="15"/>
      <c r="L1967" s="16"/>
      <c r="M1967" s="36">
        <f t="shared" si="1214"/>
        <v>0</v>
      </c>
      <c r="N1967" s="18"/>
      <c r="O1967" s="16"/>
      <c r="P1967" s="36">
        <f t="shared" si="1215"/>
        <v>0</v>
      </c>
      <c r="Q1967" s="17">
        <f t="shared" si="1216"/>
        <v>0</v>
      </c>
    </row>
    <row r="1968" spans="1:18" x14ac:dyDescent="0.15">
      <c r="A1968" s="35" t="s">
        <v>651</v>
      </c>
      <c r="B1968" s="15"/>
      <c r="C1968" s="16">
        <v>1</v>
      </c>
      <c r="D1968" s="36">
        <f t="shared" si="1211"/>
        <v>1</v>
      </c>
      <c r="E1968" s="18">
        <v>1</v>
      </c>
      <c r="F1968" s="16"/>
      <c r="G1968" s="36">
        <f t="shared" si="1212"/>
        <v>1</v>
      </c>
      <c r="H1968" s="17">
        <f t="shared" si="1213"/>
        <v>2</v>
      </c>
      <c r="I1968" s="84">
        <v>45804</v>
      </c>
      <c r="J1968" s="52"/>
      <c r="K1968" s="15"/>
      <c r="L1968" s="16"/>
      <c r="M1968" s="36">
        <f t="shared" si="1214"/>
        <v>0</v>
      </c>
      <c r="N1968" s="18"/>
      <c r="O1968" s="16"/>
      <c r="P1968" s="36">
        <f t="shared" si="1215"/>
        <v>0</v>
      </c>
      <c r="Q1968" s="17">
        <f t="shared" si="1216"/>
        <v>0</v>
      </c>
    </row>
    <row r="1969" spans="1:17" x14ac:dyDescent="0.15">
      <c r="A1969" s="35" t="s">
        <v>651</v>
      </c>
      <c r="B1969" s="15"/>
      <c r="C1969" s="16">
        <v>1</v>
      </c>
      <c r="D1969" s="36">
        <f t="shared" si="1211"/>
        <v>1</v>
      </c>
      <c r="E1969" s="18"/>
      <c r="F1969" s="16"/>
      <c r="G1969" s="36">
        <f t="shared" si="1212"/>
        <v>0</v>
      </c>
      <c r="H1969" s="17">
        <f t="shared" si="1213"/>
        <v>1</v>
      </c>
      <c r="I1969" s="84">
        <v>45808</v>
      </c>
      <c r="J1969" s="52"/>
      <c r="K1969" s="15"/>
      <c r="L1969" s="16"/>
      <c r="M1969" s="36">
        <f t="shared" si="1214"/>
        <v>0</v>
      </c>
      <c r="N1969" s="18"/>
      <c r="O1969" s="16"/>
      <c r="P1969" s="36">
        <f t="shared" si="1215"/>
        <v>0</v>
      </c>
      <c r="Q1969" s="17">
        <f t="shared" si="1216"/>
        <v>0</v>
      </c>
    </row>
    <row r="1970" spans="1:17" x14ac:dyDescent="0.15">
      <c r="A1970" s="35" t="s">
        <v>651</v>
      </c>
      <c r="B1970" s="15"/>
      <c r="C1970" s="16">
        <v>2</v>
      </c>
      <c r="D1970" s="36">
        <f t="shared" si="1211"/>
        <v>2</v>
      </c>
      <c r="E1970" s="18">
        <f>1+3</f>
        <v>4</v>
      </c>
      <c r="F1970" s="16"/>
      <c r="G1970" s="36">
        <f t="shared" si="1212"/>
        <v>4</v>
      </c>
      <c r="H1970" s="17">
        <f t="shared" si="1213"/>
        <v>6</v>
      </c>
      <c r="I1970" s="84">
        <v>45810</v>
      </c>
      <c r="J1970" s="52"/>
      <c r="K1970" s="15"/>
      <c r="L1970" s="16"/>
      <c r="M1970" s="36">
        <f t="shared" si="1214"/>
        <v>0</v>
      </c>
      <c r="N1970" s="18"/>
      <c r="O1970" s="16"/>
      <c r="P1970" s="36">
        <f t="shared" si="1215"/>
        <v>0</v>
      </c>
      <c r="Q1970" s="17">
        <f t="shared" si="1216"/>
        <v>0</v>
      </c>
    </row>
    <row r="1971" spans="1:17" x14ac:dyDescent="0.15">
      <c r="A1971" s="35" t="s">
        <v>651</v>
      </c>
      <c r="B1971" s="15"/>
      <c r="C1971" s="16">
        <v>1</v>
      </c>
      <c r="D1971" s="36">
        <f>SUM(B1971:C1971)</f>
        <v>1</v>
      </c>
      <c r="E1971" s="18"/>
      <c r="F1971" s="16"/>
      <c r="G1971" s="36">
        <f t="shared" si="1212"/>
        <v>0</v>
      </c>
      <c r="H1971" s="17">
        <f t="shared" si="1213"/>
        <v>1</v>
      </c>
      <c r="I1971" s="84">
        <v>45811</v>
      </c>
      <c r="J1971" s="52"/>
      <c r="K1971" s="15"/>
      <c r="L1971" s="16"/>
      <c r="M1971" s="36">
        <f t="shared" si="1214"/>
        <v>0</v>
      </c>
      <c r="N1971" s="18"/>
      <c r="O1971" s="16"/>
      <c r="P1971" s="36">
        <f t="shared" si="1215"/>
        <v>0</v>
      </c>
      <c r="Q1971" s="17">
        <f t="shared" si="1216"/>
        <v>0</v>
      </c>
    </row>
    <row r="1972" spans="1:17" x14ac:dyDescent="0.15">
      <c r="A1972" s="35" t="s">
        <v>651</v>
      </c>
      <c r="B1972" s="15">
        <v>1</v>
      </c>
      <c r="C1972" s="16">
        <v>1</v>
      </c>
      <c r="D1972" s="36">
        <f t="shared" si="1211"/>
        <v>2</v>
      </c>
      <c r="E1972" s="18">
        <v>3</v>
      </c>
      <c r="F1972" s="16"/>
      <c r="G1972" s="36">
        <f t="shared" si="1212"/>
        <v>3</v>
      </c>
      <c r="H1972" s="17">
        <f t="shared" si="1213"/>
        <v>5</v>
      </c>
      <c r="I1972" s="84">
        <v>45813</v>
      </c>
      <c r="J1972" s="52"/>
      <c r="K1972" s="15"/>
      <c r="L1972" s="16"/>
      <c r="M1972" s="36">
        <f t="shared" ref="M1972:M1974" si="1220">SUM(K1972:L1972)</f>
        <v>0</v>
      </c>
      <c r="N1972" s="18"/>
      <c r="O1972" s="16"/>
      <c r="P1972" s="36">
        <f t="shared" ref="P1972:P1974" si="1221">SUM(N1972:O1972)</f>
        <v>0</v>
      </c>
      <c r="Q1972" s="17">
        <f t="shared" ref="Q1972:Q1974" si="1222">M1972+P1972</f>
        <v>0</v>
      </c>
    </row>
    <row r="1973" spans="1:17" x14ac:dyDescent="0.15">
      <c r="A1973" s="35" t="s">
        <v>651</v>
      </c>
      <c r="B1973" s="15">
        <v>5</v>
      </c>
      <c r="C1973" s="16">
        <v>3</v>
      </c>
      <c r="D1973" s="36">
        <f t="shared" si="1211"/>
        <v>8</v>
      </c>
      <c r="E1973" s="18"/>
      <c r="F1973" s="16"/>
      <c r="G1973" s="36">
        <f t="shared" si="1212"/>
        <v>0</v>
      </c>
      <c r="H1973" s="17">
        <f t="shared" si="1213"/>
        <v>8</v>
      </c>
      <c r="I1973" s="84">
        <v>45814</v>
      </c>
      <c r="J1973" s="52"/>
      <c r="K1973" s="15"/>
      <c r="L1973" s="16"/>
      <c r="M1973" s="36">
        <f t="shared" si="1220"/>
        <v>0</v>
      </c>
      <c r="N1973" s="18"/>
      <c r="O1973" s="16"/>
      <c r="P1973" s="36">
        <f t="shared" si="1221"/>
        <v>0</v>
      </c>
      <c r="Q1973" s="17">
        <f t="shared" si="1222"/>
        <v>0</v>
      </c>
    </row>
    <row r="1974" spans="1:17" ht="14.25" thickBot="1" x14ac:dyDescent="0.2">
      <c r="A1974" s="35" t="s">
        <v>651</v>
      </c>
      <c r="B1974" s="15">
        <v>4</v>
      </c>
      <c r="C1974" s="16">
        <v>3</v>
      </c>
      <c r="D1974" s="36">
        <f t="shared" si="1211"/>
        <v>7</v>
      </c>
      <c r="E1974" s="18"/>
      <c r="F1974" s="16"/>
      <c r="G1974" s="36">
        <f t="shared" si="1212"/>
        <v>0</v>
      </c>
      <c r="H1974" s="17">
        <f t="shared" si="1213"/>
        <v>7</v>
      </c>
      <c r="I1974" s="84">
        <v>45815</v>
      </c>
      <c r="J1974" s="52"/>
      <c r="K1974" s="15"/>
      <c r="L1974" s="16"/>
      <c r="M1974" s="36">
        <f t="shared" si="1220"/>
        <v>0</v>
      </c>
      <c r="N1974" s="18"/>
      <c r="O1974" s="16"/>
      <c r="P1974" s="36">
        <f t="shared" si="1221"/>
        <v>0</v>
      </c>
      <c r="Q1974" s="17">
        <f t="shared" si="1222"/>
        <v>0</v>
      </c>
    </row>
    <row r="1975" spans="1:17" ht="14.25" thickBot="1" x14ac:dyDescent="0.2">
      <c r="A1975" s="40" t="s">
        <v>14</v>
      </c>
      <c r="B1975" s="41">
        <f>SUM(B1949:B1974)</f>
        <v>41</v>
      </c>
      <c r="C1975" s="42">
        <f>SUM(C1949:C1974)</f>
        <v>36</v>
      </c>
      <c r="D1975" s="43">
        <f t="shared" si="1211"/>
        <v>77</v>
      </c>
      <c r="E1975" s="41">
        <f>SUM(E1949:E1974)</f>
        <v>49</v>
      </c>
      <c r="F1975" s="96">
        <f t="shared" ref="F1975" si="1223">SUM(F1949:F1974)</f>
        <v>0</v>
      </c>
      <c r="G1975" s="43">
        <f t="shared" si="1212"/>
        <v>49</v>
      </c>
      <c r="H1975" s="43">
        <f t="shared" si="1213"/>
        <v>126</v>
      </c>
      <c r="J1975" s="40" t="s">
        <v>14</v>
      </c>
      <c r="K1975" s="41">
        <f>SUM(K1949:K1974)</f>
        <v>40</v>
      </c>
      <c r="L1975" s="96">
        <f t="shared" ref="L1975" si="1224">SUM(L1949:L1974)</f>
        <v>0</v>
      </c>
      <c r="M1975" s="43">
        <f t="shared" si="1214"/>
        <v>40</v>
      </c>
      <c r="N1975" s="41">
        <f>SUM(N1949:N1974)</f>
        <v>50</v>
      </c>
      <c r="O1975" s="96">
        <f t="shared" ref="O1975" si="1225">SUM(O1949:O1974)</f>
        <v>0</v>
      </c>
      <c r="P1975" s="43">
        <f t="shared" si="1215"/>
        <v>50</v>
      </c>
      <c r="Q1975" s="43">
        <f t="shared" si="1216"/>
        <v>90</v>
      </c>
    </row>
    <row r="1976" spans="1:17" ht="14.25" thickBot="1" x14ac:dyDescent="0.2">
      <c r="A1976" s="44" t="s">
        <v>15</v>
      </c>
      <c r="B1976" s="45">
        <f>B1948-B1975</f>
        <v>21</v>
      </c>
      <c r="C1976" s="46">
        <f>C1948-C1975</f>
        <v>8</v>
      </c>
      <c r="D1976" s="47">
        <f t="shared" si="1211"/>
        <v>29</v>
      </c>
      <c r="E1976" s="45">
        <f>E1948-E1975</f>
        <v>26</v>
      </c>
      <c r="F1976" s="97">
        <f t="shared" ref="F1976" si="1226">F1948-F1975</f>
        <v>0</v>
      </c>
      <c r="G1976" s="47">
        <f t="shared" si="1212"/>
        <v>26</v>
      </c>
      <c r="H1976" s="34">
        <f t="shared" si="1213"/>
        <v>55</v>
      </c>
      <c r="J1976" s="44" t="s">
        <v>15</v>
      </c>
      <c r="K1976" s="45">
        <f>K1948-K1975</f>
        <v>545</v>
      </c>
      <c r="L1976" s="97">
        <f t="shared" ref="L1976" si="1227">L1948-L1975</f>
        <v>0</v>
      </c>
      <c r="M1976" s="47">
        <f t="shared" si="1214"/>
        <v>545</v>
      </c>
      <c r="N1976" s="45">
        <f>N1948-N1975</f>
        <v>354</v>
      </c>
      <c r="O1976" s="97">
        <f t="shared" ref="O1976" si="1228">O1948-O1975</f>
        <v>0</v>
      </c>
      <c r="P1976" s="47">
        <f t="shared" si="1215"/>
        <v>354</v>
      </c>
      <c r="Q1976" s="34">
        <f t="shared" si="1216"/>
        <v>899</v>
      </c>
    </row>
    <row r="1977" spans="1:17" x14ac:dyDescent="0.15">
      <c r="B1977" s="109"/>
      <c r="C1977" s="109" t="s">
        <v>699</v>
      </c>
      <c r="E1977" s="109"/>
      <c r="F1977" s="109" t="s">
        <v>699</v>
      </c>
    </row>
    <row r="1979" spans="1:17" ht="19.5" thickBot="1" x14ac:dyDescent="0.25">
      <c r="A1979" s="1" t="s">
        <v>23</v>
      </c>
      <c r="J1979" s="1" t="s">
        <v>24</v>
      </c>
      <c r="K1979" s="2"/>
      <c r="L1979" s="2"/>
      <c r="M1979" s="2"/>
      <c r="N1979" s="2"/>
      <c r="O1979" s="1" t="s">
        <v>34</v>
      </c>
      <c r="P1979" s="2"/>
      <c r="Q1979" s="2"/>
    </row>
    <row r="1980" spans="1:17" ht="14.25" thickBot="1" x14ac:dyDescent="0.2">
      <c r="A1980" s="3" t="s">
        <v>0</v>
      </c>
      <c r="B1980" s="120" t="s">
        <v>18</v>
      </c>
      <c r="C1980" s="121"/>
      <c r="D1980" s="122"/>
      <c r="E1980" s="120" t="s">
        <v>19</v>
      </c>
      <c r="F1980" s="121"/>
      <c r="G1980" s="122"/>
      <c r="H1980" s="123" t="s">
        <v>1</v>
      </c>
      <c r="J1980" s="3" t="s">
        <v>0</v>
      </c>
      <c r="K1980" s="120" t="s">
        <v>18</v>
      </c>
      <c r="L1980" s="121"/>
      <c r="M1980" s="122"/>
      <c r="N1980" s="120" t="s">
        <v>19</v>
      </c>
      <c r="O1980" s="121"/>
      <c r="P1980" s="122"/>
      <c r="Q1980" s="123" t="s">
        <v>1</v>
      </c>
    </row>
    <row r="1981" spans="1:17" ht="14.25" thickBot="1" x14ac:dyDescent="0.2">
      <c r="A1981" s="3" t="s">
        <v>2</v>
      </c>
      <c r="B1981" s="4" t="s">
        <v>16</v>
      </c>
      <c r="C1981" s="5" t="s">
        <v>17</v>
      </c>
      <c r="D1981" s="3" t="s">
        <v>3</v>
      </c>
      <c r="E1981" s="4" t="s">
        <v>16</v>
      </c>
      <c r="F1981" s="5" t="s">
        <v>17</v>
      </c>
      <c r="G1981" s="3" t="s">
        <v>3</v>
      </c>
      <c r="H1981" s="124"/>
      <c r="J1981" s="3" t="s">
        <v>2</v>
      </c>
      <c r="K1981" s="4" t="s">
        <v>16</v>
      </c>
      <c r="L1981" s="5" t="s">
        <v>17</v>
      </c>
      <c r="M1981" s="3" t="s">
        <v>3</v>
      </c>
      <c r="N1981" s="4" t="s">
        <v>16</v>
      </c>
      <c r="O1981" s="5" t="s">
        <v>17</v>
      </c>
      <c r="P1981" s="3" t="s">
        <v>3</v>
      </c>
      <c r="Q1981" s="124"/>
    </row>
    <row r="1982" spans="1:17" ht="14.25" thickBot="1" x14ac:dyDescent="0.2">
      <c r="A1982" s="6" t="s">
        <v>55</v>
      </c>
      <c r="B1982" s="32">
        <f>B1976</f>
        <v>21</v>
      </c>
      <c r="C1982" s="33">
        <f>C1976</f>
        <v>8</v>
      </c>
      <c r="D1982" s="34">
        <f t="shared" ref="D1982:D2010" si="1229">SUM(B1982:C1982)</f>
        <v>29</v>
      </c>
      <c r="E1982" s="32">
        <f>E1976</f>
        <v>26</v>
      </c>
      <c r="F1982" s="33">
        <f>F1976</f>
        <v>0</v>
      </c>
      <c r="G1982" s="34">
        <f t="shared" ref="G1982:G2019" si="1230">SUM(E1982:F1982)</f>
        <v>26</v>
      </c>
      <c r="H1982" s="34">
        <f t="shared" ref="H1982:H2019" si="1231">D1982+G1982</f>
        <v>55</v>
      </c>
      <c r="J1982" s="6" t="s">
        <v>55</v>
      </c>
      <c r="K1982" s="32">
        <f>K1976</f>
        <v>545</v>
      </c>
      <c r="L1982" s="33">
        <f>L1976</f>
        <v>0</v>
      </c>
      <c r="M1982" s="34">
        <f t="shared" ref="M1982:M2019" si="1232">SUM(K1982:L1982)</f>
        <v>545</v>
      </c>
      <c r="N1982" s="32">
        <f>N1976</f>
        <v>354</v>
      </c>
      <c r="O1982" s="33">
        <f>O1976</f>
        <v>0</v>
      </c>
      <c r="P1982" s="34">
        <f t="shared" ref="P1982:P2019" si="1233">SUM(N1982:O1982)</f>
        <v>354</v>
      </c>
      <c r="Q1982" s="34">
        <f t="shared" ref="Q1982:Q2019" si="1234">M1982+P1982</f>
        <v>899</v>
      </c>
    </row>
    <row r="1983" spans="1:17" x14ac:dyDescent="0.15">
      <c r="A1983" s="10" t="s">
        <v>5</v>
      </c>
      <c r="B1983" s="15">
        <v>10</v>
      </c>
      <c r="C1983" s="16"/>
      <c r="D1983" s="17">
        <f t="shared" ref="D1983:D1987" si="1235">SUM(B1983:C1983)</f>
        <v>10</v>
      </c>
      <c r="E1983" s="18">
        <v>10</v>
      </c>
      <c r="F1983" s="16"/>
      <c r="G1983" s="17">
        <f t="shared" ref="G1983:G1987" si="1236">SUM(E1983:F1983)</f>
        <v>10</v>
      </c>
      <c r="H1983" s="17">
        <f t="shared" ref="H1983:H1987" si="1237">D1983+G1983</f>
        <v>20</v>
      </c>
      <c r="I1983" s="81">
        <v>45824</v>
      </c>
      <c r="J1983" s="10" t="s">
        <v>5</v>
      </c>
      <c r="K1983" s="15"/>
      <c r="L1983" s="16"/>
      <c r="M1983" s="17">
        <f t="shared" si="1232"/>
        <v>0</v>
      </c>
      <c r="N1983" s="18"/>
      <c r="O1983" s="16"/>
      <c r="P1983" s="17">
        <f t="shared" si="1233"/>
        <v>0</v>
      </c>
      <c r="Q1983" s="17">
        <f t="shared" si="1234"/>
        <v>0</v>
      </c>
    </row>
    <row r="1984" spans="1:17" x14ac:dyDescent="0.15">
      <c r="A1984" s="10" t="s">
        <v>6</v>
      </c>
      <c r="B1984" s="15">
        <v>10</v>
      </c>
      <c r="C1984" s="16"/>
      <c r="D1984" s="17">
        <f t="shared" si="1235"/>
        <v>10</v>
      </c>
      <c r="E1984" s="18">
        <v>15</v>
      </c>
      <c r="F1984" s="16"/>
      <c r="G1984" s="17">
        <f t="shared" si="1236"/>
        <v>15</v>
      </c>
      <c r="H1984" s="17">
        <f t="shared" si="1237"/>
        <v>25</v>
      </c>
      <c r="I1984" s="81">
        <v>45838</v>
      </c>
      <c r="J1984" s="10" t="s">
        <v>6</v>
      </c>
      <c r="K1984" s="15"/>
      <c r="L1984" s="16"/>
      <c r="M1984" s="17">
        <f t="shared" si="1232"/>
        <v>0</v>
      </c>
      <c r="N1984" s="18"/>
      <c r="O1984" s="16"/>
      <c r="P1984" s="17">
        <f t="shared" si="1233"/>
        <v>0</v>
      </c>
      <c r="Q1984" s="17">
        <f t="shared" si="1234"/>
        <v>0</v>
      </c>
    </row>
    <row r="1985" spans="1:18" x14ac:dyDescent="0.15">
      <c r="A1985" s="10" t="s">
        <v>7</v>
      </c>
      <c r="B1985" s="15">
        <v>10</v>
      </c>
      <c r="C1985" s="16"/>
      <c r="D1985" s="17">
        <f t="shared" si="1235"/>
        <v>10</v>
      </c>
      <c r="E1985" s="18">
        <v>10</v>
      </c>
      <c r="F1985" s="16"/>
      <c r="G1985" s="17">
        <f t="shared" si="1236"/>
        <v>10</v>
      </c>
      <c r="H1985" s="17">
        <f t="shared" si="1237"/>
        <v>20</v>
      </c>
      <c r="I1985" s="81">
        <v>45847</v>
      </c>
      <c r="J1985" s="10" t="s">
        <v>7</v>
      </c>
      <c r="K1985" s="15"/>
      <c r="L1985" s="16"/>
      <c r="M1985" s="17">
        <f t="shared" si="1232"/>
        <v>0</v>
      </c>
      <c r="N1985" s="18"/>
      <c r="O1985" s="16"/>
      <c r="P1985" s="17">
        <f t="shared" si="1233"/>
        <v>0</v>
      </c>
      <c r="Q1985" s="17">
        <f t="shared" si="1234"/>
        <v>0</v>
      </c>
    </row>
    <row r="1986" spans="1:18" x14ac:dyDescent="0.15">
      <c r="A1986" s="10" t="s">
        <v>8</v>
      </c>
      <c r="B1986" s="15">
        <v>5</v>
      </c>
      <c r="C1986" s="16"/>
      <c r="D1986" s="17">
        <f t="shared" si="1235"/>
        <v>5</v>
      </c>
      <c r="E1986" s="18">
        <v>10</v>
      </c>
      <c r="F1986" s="16"/>
      <c r="G1986" s="17">
        <f t="shared" si="1236"/>
        <v>10</v>
      </c>
      <c r="H1986" s="17">
        <f t="shared" si="1237"/>
        <v>15</v>
      </c>
      <c r="I1986" s="81">
        <v>45855</v>
      </c>
      <c r="J1986" s="10" t="s">
        <v>8</v>
      </c>
      <c r="K1986" s="15"/>
      <c r="L1986" s="16"/>
      <c r="M1986" s="17">
        <f t="shared" si="1232"/>
        <v>0</v>
      </c>
      <c r="N1986" s="18"/>
      <c r="O1986" s="16"/>
      <c r="P1986" s="17">
        <f t="shared" si="1233"/>
        <v>0</v>
      </c>
      <c r="Q1986" s="17">
        <f t="shared" si="1234"/>
        <v>0</v>
      </c>
    </row>
    <row r="1987" spans="1:18" x14ac:dyDescent="0.15">
      <c r="A1987" s="10" t="s">
        <v>9</v>
      </c>
      <c r="B1987" s="15"/>
      <c r="C1987" s="16"/>
      <c r="D1987" s="17">
        <f t="shared" si="1235"/>
        <v>0</v>
      </c>
      <c r="E1987" s="18"/>
      <c r="F1987" s="16"/>
      <c r="G1987" s="17">
        <f t="shared" si="1236"/>
        <v>0</v>
      </c>
      <c r="H1987" s="17">
        <f t="shared" si="1237"/>
        <v>0</v>
      </c>
      <c r="I1987" s="83"/>
      <c r="J1987" s="10" t="s">
        <v>9</v>
      </c>
      <c r="K1987" s="15"/>
      <c r="L1987" s="16"/>
      <c r="M1987" s="17">
        <f t="shared" si="1232"/>
        <v>0</v>
      </c>
      <c r="N1987" s="18"/>
      <c r="O1987" s="16"/>
      <c r="P1987" s="17">
        <f t="shared" si="1233"/>
        <v>0</v>
      </c>
      <c r="Q1987" s="17">
        <f t="shared" si="1234"/>
        <v>0</v>
      </c>
    </row>
    <row r="1988" spans="1:18" x14ac:dyDescent="0.15">
      <c r="A1988" s="10" t="s">
        <v>10</v>
      </c>
      <c r="B1988" s="15"/>
      <c r="C1988" s="16"/>
      <c r="D1988" s="17">
        <f t="shared" si="1229"/>
        <v>0</v>
      </c>
      <c r="E1988" s="18"/>
      <c r="F1988" s="16"/>
      <c r="G1988" s="17">
        <f t="shared" si="1230"/>
        <v>0</v>
      </c>
      <c r="H1988" s="17">
        <f t="shared" si="1231"/>
        <v>0</v>
      </c>
      <c r="J1988" s="10" t="s">
        <v>10</v>
      </c>
      <c r="K1988" s="15"/>
      <c r="L1988" s="16"/>
      <c r="M1988" s="17">
        <f t="shared" si="1232"/>
        <v>0</v>
      </c>
      <c r="N1988" s="18"/>
      <c r="O1988" s="16"/>
      <c r="P1988" s="17">
        <f t="shared" si="1233"/>
        <v>0</v>
      </c>
      <c r="Q1988" s="17">
        <f t="shared" si="1234"/>
        <v>0</v>
      </c>
    </row>
    <row r="1989" spans="1:18" x14ac:dyDescent="0.15">
      <c r="A1989" s="10" t="s">
        <v>11</v>
      </c>
      <c r="B1989" s="15"/>
      <c r="C1989" s="16"/>
      <c r="D1989" s="17">
        <f t="shared" si="1229"/>
        <v>0</v>
      </c>
      <c r="E1989" s="18"/>
      <c r="F1989" s="16"/>
      <c r="G1989" s="17">
        <f t="shared" si="1230"/>
        <v>0</v>
      </c>
      <c r="H1989" s="17">
        <f t="shared" si="1231"/>
        <v>0</v>
      </c>
      <c r="J1989" s="10" t="s">
        <v>11</v>
      </c>
      <c r="K1989" s="15"/>
      <c r="L1989" s="16"/>
      <c r="M1989" s="17">
        <f t="shared" si="1232"/>
        <v>0</v>
      </c>
      <c r="N1989" s="18"/>
      <c r="O1989" s="16"/>
      <c r="P1989" s="17">
        <f t="shared" si="1233"/>
        <v>0</v>
      </c>
      <c r="Q1989" s="17">
        <f t="shared" si="1234"/>
        <v>0</v>
      </c>
    </row>
    <row r="1990" spans="1:18" ht="14.25" thickBot="1" x14ac:dyDescent="0.2">
      <c r="A1990" s="10" t="s">
        <v>12</v>
      </c>
      <c r="B1990" s="15"/>
      <c r="C1990" s="16"/>
      <c r="D1990" s="17">
        <f t="shared" si="1229"/>
        <v>0</v>
      </c>
      <c r="E1990" s="18"/>
      <c r="F1990" s="16"/>
      <c r="G1990" s="17">
        <f t="shared" si="1230"/>
        <v>0</v>
      </c>
      <c r="H1990" s="17">
        <f t="shared" si="1231"/>
        <v>0</v>
      </c>
      <c r="J1990" s="10" t="s">
        <v>12</v>
      </c>
      <c r="K1990" s="15"/>
      <c r="L1990" s="16"/>
      <c r="M1990" s="17">
        <f t="shared" si="1232"/>
        <v>0</v>
      </c>
      <c r="N1990" s="18"/>
      <c r="O1990" s="16"/>
      <c r="P1990" s="17">
        <f t="shared" si="1233"/>
        <v>0</v>
      </c>
      <c r="Q1990" s="17">
        <f t="shared" si="1234"/>
        <v>0</v>
      </c>
    </row>
    <row r="1991" spans="1:18" ht="14.25" thickBot="1" x14ac:dyDescent="0.2">
      <c r="A1991" s="31" t="s">
        <v>13</v>
      </c>
      <c r="B1991" s="32">
        <f>SUM(B1982:B1990)</f>
        <v>56</v>
      </c>
      <c r="C1991" s="33">
        <f>SUM(C1982:C1990)</f>
        <v>8</v>
      </c>
      <c r="D1991" s="34">
        <f t="shared" si="1229"/>
        <v>64</v>
      </c>
      <c r="E1991" s="32">
        <f>SUM(E1982:E1990)</f>
        <v>71</v>
      </c>
      <c r="F1991" s="33">
        <f>SUM(F1982:F1990)</f>
        <v>0</v>
      </c>
      <c r="G1991" s="34">
        <f t="shared" si="1230"/>
        <v>71</v>
      </c>
      <c r="H1991" s="34">
        <f t="shared" si="1231"/>
        <v>135</v>
      </c>
      <c r="J1991" s="31" t="s">
        <v>13</v>
      </c>
      <c r="K1991" s="32">
        <f>SUM(K1982:K1990)</f>
        <v>545</v>
      </c>
      <c r="L1991" s="33">
        <f>SUM(L1982:L1990)</f>
        <v>0</v>
      </c>
      <c r="M1991" s="34">
        <f t="shared" si="1232"/>
        <v>545</v>
      </c>
      <c r="N1991" s="32">
        <f>SUM(N1982:N1990)</f>
        <v>354</v>
      </c>
      <c r="O1991" s="33">
        <f>SUM(O1982:O1990)</f>
        <v>0</v>
      </c>
      <c r="P1991" s="34">
        <f t="shared" si="1233"/>
        <v>354</v>
      </c>
      <c r="Q1991" s="34">
        <f t="shared" si="1234"/>
        <v>899</v>
      </c>
    </row>
    <row r="1992" spans="1:18" x14ac:dyDescent="0.15">
      <c r="A1992" s="35" t="s">
        <v>651</v>
      </c>
      <c r="B1992" s="15">
        <f>1+3</f>
        <v>4</v>
      </c>
      <c r="C1992" s="16">
        <v>1</v>
      </c>
      <c r="D1992" s="36">
        <f t="shared" si="1229"/>
        <v>5</v>
      </c>
      <c r="E1992" s="18">
        <v>6</v>
      </c>
      <c r="F1992" s="16"/>
      <c r="G1992" s="36">
        <f t="shared" si="1230"/>
        <v>6</v>
      </c>
      <c r="H1992" s="17">
        <f t="shared" si="1231"/>
        <v>11</v>
      </c>
      <c r="I1992" s="81">
        <v>45817</v>
      </c>
      <c r="J1992" s="52" t="s">
        <v>91</v>
      </c>
      <c r="K1992" s="15">
        <v>10</v>
      </c>
      <c r="L1992" s="16"/>
      <c r="M1992" s="36">
        <f t="shared" si="1232"/>
        <v>10</v>
      </c>
      <c r="N1992" s="18">
        <v>10</v>
      </c>
      <c r="O1992" s="16"/>
      <c r="P1992" s="36">
        <f t="shared" si="1233"/>
        <v>10</v>
      </c>
      <c r="Q1992" s="17">
        <f t="shared" si="1234"/>
        <v>20</v>
      </c>
      <c r="R1992" s="81">
        <v>45824</v>
      </c>
    </row>
    <row r="1993" spans="1:18" x14ac:dyDescent="0.15">
      <c r="A1993" s="35" t="s">
        <v>651</v>
      </c>
      <c r="B1993" s="15">
        <v>2</v>
      </c>
      <c r="C1993" s="16"/>
      <c r="D1993" s="36">
        <f t="shared" si="1229"/>
        <v>2</v>
      </c>
      <c r="E1993" s="18">
        <v>2</v>
      </c>
      <c r="F1993" s="16"/>
      <c r="G1993" s="36">
        <f t="shared" si="1230"/>
        <v>2</v>
      </c>
      <c r="H1993" s="17">
        <f t="shared" si="1231"/>
        <v>4</v>
      </c>
      <c r="I1993" s="81">
        <v>45818</v>
      </c>
      <c r="J1993" s="52" t="s">
        <v>91</v>
      </c>
      <c r="K1993" s="15">
        <v>10</v>
      </c>
      <c r="L1993" s="16"/>
      <c r="M1993" s="36">
        <f t="shared" si="1232"/>
        <v>10</v>
      </c>
      <c r="N1993" s="18">
        <v>15</v>
      </c>
      <c r="O1993" s="16"/>
      <c r="P1993" s="36">
        <f t="shared" si="1233"/>
        <v>15</v>
      </c>
      <c r="Q1993" s="17">
        <f t="shared" si="1234"/>
        <v>25</v>
      </c>
      <c r="R1993" s="81">
        <v>45838</v>
      </c>
    </row>
    <row r="1994" spans="1:18" x14ac:dyDescent="0.15">
      <c r="A1994" s="35" t="s">
        <v>651</v>
      </c>
      <c r="B1994" s="15">
        <v>1</v>
      </c>
      <c r="C1994" s="16"/>
      <c r="D1994" s="36">
        <f t="shared" si="1229"/>
        <v>1</v>
      </c>
      <c r="E1994" s="18">
        <v>1</v>
      </c>
      <c r="F1994" s="16"/>
      <c r="G1994" s="36">
        <f t="shared" si="1230"/>
        <v>1</v>
      </c>
      <c r="H1994" s="17">
        <f t="shared" si="1231"/>
        <v>2</v>
      </c>
      <c r="I1994" s="81">
        <v>45819</v>
      </c>
      <c r="J1994" s="52" t="s">
        <v>91</v>
      </c>
      <c r="K1994" s="15">
        <v>10</v>
      </c>
      <c r="L1994" s="16"/>
      <c r="M1994" s="36">
        <f t="shared" si="1232"/>
        <v>10</v>
      </c>
      <c r="N1994" s="18">
        <v>10</v>
      </c>
      <c r="O1994" s="16"/>
      <c r="P1994" s="36">
        <f t="shared" si="1233"/>
        <v>10</v>
      </c>
      <c r="Q1994" s="17">
        <f t="shared" si="1234"/>
        <v>20</v>
      </c>
      <c r="R1994" s="81">
        <v>45847</v>
      </c>
    </row>
    <row r="1995" spans="1:18" x14ac:dyDescent="0.15">
      <c r="A1995" s="35" t="s">
        <v>651</v>
      </c>
      <c r="B1995" s="15">
        <f>1+1</f>
        <v>2</v>
      </c>
      <c r="C1995" s="16"/>
      <c r="D1995" s="36">
        <f t="shared" si="1229"/>
        <v>2</v>
      </c>
      <c r="E1995" s="18"/>
      <c r="F1995" s="16"/>
      <c r="G1995" s="36">
        <f t="shared" si="1230"/>
        <v>0</v>
      </c>
      <c r="H1995" s="17">
        <f t="shared" si="1231"/>
        <v>2</v>
      </c>
      <c r="I1995" s="81">
        <v>45824</v>
      </c>
      <c r="J1995" s="52" t="s">
        <v>91</v>
      </c>
      <c r="K1995" s="15">
        <v>5</v>
      </c>
      <c r="L1995" s="16"/>
      <c r="M1995" s="36">
        <f t="shared" si="1232"/>
        <v>5</v>
      </c>
      <c r="N1995" s="18">
        <v>10</v>
      </c>
      <c r="O1995" s="16"/>
      <c r="P1995" s="36">
        <f t="shared" si="1233"/>
        <v>10</v>
      </c>
      <c r="Q1995" s="17">
        <f t="shared" si="1234"/>
        <v>15</v>
      </c>
      <c r="R1995" s="81">
        <v>45855</v>
      </c>
    </row>
    <row r="1996" spans="1:18" x14ac:dyDescent="0.15">
      <c r="A1996" s="35" t="s">
        <v>651</v>
      </c>
      <c r="B1996" s="15">
        <v>1</v>
      </c>
      <c r="C1996" s="16"/>
      <c r="D1996" s="36">
        <f t="shared" si="1229"/>
        <v>1</v>
      </c>
      <c r="E1996" s="18"/>
      <c r="F1996" s="16"/>
      <c r="G1996" s="36">
        <f t="shared" si="1230"/>
        <v>0</v>
      </c>
      <c r="H1996" s="17">
        <f t="shared" si="1231"/>
        <v>1</v>
      </c>
      <c r="I1996" s="81">
        <v>45825</v>
      </c>
      <c r="J1996" s="52" t="s">
        <v>91</v>
      </c>
      <c r="K1996" s="15"/>
      <c r="L1996" s="16"/>
      <c r="M1996" s="36">
        <f t="shared" si="1232"/>
        <v>0</v>
      </c>
      <c r="N1996" s="18">
        <v>10</v>
      </c>
      <c r="O1996" s="16"/>
      <c r="P1996" s="36">
        <f t="shared" si="1233"/>
        <v>10</v>
      </c>
      <c r="Q1996" s="17">
        <f t="shared" si="1234"/>
        <v>10</v>
      </c>
      <c r="R1996" s="81">
        <v>45876</v>
      </c>
    </row>
    <row r="1997" spans="1:18" x14ac:dyDescent="0.15">
      <c r="A1997" s="35" t="s">
        <v>651</v>
      </c>
      <c r="B1997" s="15">
        <f>2+1</f>
        <v>3</v>
      </c>
      <c r="C1997" s="16"/>
      <c r="D1997" s="36">
        <f t="shared" si="1229"/>
        <v>3</v>
      </c>
      <c r="E1997" s="18">
        <v>1</v>
      </c>
      <c r="F1997" s="16"/>
      <c r="G1997" s="36">
        <f t="shared" si="1230"/>
        <v>1</v>
      </c>
      <c r="H1997" s="17">
        <f t="shared" si="1231"/>
        <v>4</v>
      </c>
      <c r="I1997" s="81">
        <v>45828</v>
      </c>
      <c r="J1997" s="52"/>
      <c r="K1997" s="15"/>
      <c r="L1997" s="16"/>
      <c r="M1997" s="36">
        <f t="shared" ref="M1997:M1998" si="1238">SUM(K1997:L1997)</f>
        <v>0</v>
      </c>
      <c r="N1997" s="18"/>
      <c r="O1997" s="16"/>
      <c r="P1997" s="36">
        <f t="shared" ref="P1997:P1998" si="1239">SUM(N1997:O1997)</f>
        <v>0</v>
      </c>
      <c r="Q1997" s="17">
        <f t="shared" ref="Q1997:Q1998" si="1240">M1997+P1997</f>
        <v>0</v>
      </c>
      <c r="R1997" s="83"/>
    </row>
    <row r="1998" spans="1:18" x14ac:dyDescent="0.15">
      <c r="A1998" s="35" t="s">
        <v>651</v>
      </c>
      <c r="B1998" s="15">
        <v>1</v>
      </c>
      <c r="C1998" s="16"/>
      <c r="D1998" s="36">
        <f t="shared" si="1229"/>
        <v>1</v>
      </c>
      <c r="E1998" s="18">
        <v>7</v>
      </c>
      <c r="F1998" s="16"/>
      <c r="G1998" s="36">
        <f t="shared" si="1230"/>
        <v>7</v>
      </c>
      <c r="H1998" s="17">
        <f t="shared" si="1231"/>
        <v>8</v>
      </c>
      <c r="I1998" s="81">
        <v>45831</v>
      </c>
      <c r="J1998" s="52"/>
      <c r="K1998" s="15"/>
      <c r="L1998" s="16"/>
      <c r="M1998" s="36">
        <f t="shared" si="1238"/>
        <v>0</v>
      </c>
      <c r="N1998" s="18"/>
      <c r="O1998" s="16"/>
      <c r="P1998" s="36">
        <f t="shared" si="1239"/>
        <v>0</v>
      </c>
      <c r="Q1998" s="17">
        <f t="shared" si="1240"/>
        <v>0</v>
      </c>
      <c r="R1998" s="83"/>
    </row>
    <row r="1999" spans="1:18" x14ac:dyDescent="0.15">
      <c r="A1999" s="35" t="s">
        <v>651</v>
      </c>
      <c r="B1999" s="15"/>
      <c r="C1999" s="16"/>
      <c r="D1999" s="36">
        <f t="shared" si="1229"/>
        <v>0</v>
      </c>
      <c r="E1999" s="18">
        <v>2</v>
      </c>
      <c r="F1999" s="16"/>
      <c r="G1999" s="36">
        <f t="shared" si="1230"/>
        <v>2</v>
      </c>
      <c r="H1999" s="17">
        <f t="shared" si="1231"/>
        <v>2</v>
      </c>
      <c r="I1999" s="81">
        <v>45832</v>
      </c>
      <c r="J1999" s="52"/>
      <c r="K1999" s="15"/>
      <c r="L1999" s="16"/>
      <c r="M1999" s="36">
        <f t="shared" si="1232"/>
        <v>0</v>
      </c>
      <c r="N1999" s="18"/>
      <c r="O1999" s="16"/>
      <c r="P1999" s="36">
        <f t="shared" si="1233"/>
        <v>0</v>
      </c>
      <c r="Q1999" s="17">
        <f t="shared" si="1234"/>
        <v>0</v>
      </c>
      <c r="R1999" s="83"/>
    </row>
    <row r="2000" spans="1:18" x14ac:dyDescent="0.15">
      <c r="A2000" s="35" t="s">
        <v>651</v>
      </c>
      <c r="B2000" s="15">
        <f>1+1</f>
        <v>2</v>
      </c>
      <c r="C2000" s="16">
        <v>2</v>
      </c>
      <c r="D2000" s="36">
        <f t="shared" si="1229"/>
        <v>4</v>
      </c>
      <c r="E2000" s="18">
        <v>4</v>
      </c>
      <c r="F2000" s="16"/>
      <c r="G2000" s="36">
        <f t="shared" si="1230"/>
        <v>4</v>
      </c>
      <c r="H2000" s="17">
        <f t="shared" si="1231"/>
        <v>8</v>
      </c>
      <c r="I2000" s="84">
        <v>45833</v>
      </c>
      <c r="J2000" s="52"/>
      <c r="K2000" s="15"/>
      <c r="L2000" s="16"/>
      <c r="M2000" s="36">
        <f t="shared" si="1232"/>
        <v>0</v>
      </c>
      <c r="N2000" s="18"/>
      <c r="O2000" s="16"/>
      <c r="P2000" s="36">
        <f t="shared" si="1233"/>
        <v>0</v>
      </c>
      <c r="Q2000" s="17">
        <f t="shared" si="1234"/>
        <v>0</v>
      </c>
    </row>
    <row r="2001" spans="1:17" x14ac:dyDescent="0.15">
      <c r="A2001" s="35" t="s">
        <v>651</v>
      </c>
      <c r="B2001" s="15">
        <v>1</v>
      </c>
      <c r="C2001" s="16"/>
      <c r="D2001" s="36">
        <f t="shared" si="1229"/>
        <v>1</v>
      </c>
      <c r="E2001" s="18">
        <f>2+2+1</f>
        <v>5</v>
      </c>
      <c r="F2001" s="16"/>
      <c r="G2001" s="36">
        <f t="shared" si="1230"/>
        <v>5</v>
      </c>
      <c r="H2001" s="17">
        <f t="shared" si="1231"/>
        <v>6</v>
      </c>
      <c r="I2001" s="84">
        <v>45835</v>
      </c>
      <c r="J2001" s="52"/>
      <c r="K2001" s="15"/>
      <c r="L2001" s="16"/>
      <c r="M2001" s="36">
        <f t="shared" si="1232"/>
        <v>0</v>
      </c>
      <c r="N2001" s="18"/>
      <c r="O2001" s="16"/>
      <c r="P2001" s="36">
        <f t="shared" si="1233"/>
        <v>0</v>
      </c>
      <c r="Q2001" s="17">
        <f t="shared" si="1234"/>
        <v>0</v>
      </c>
    </row>
    <row r="2002" spans="1:17" x14ac:dyDescent="0.15">
      <c r="A2002" s="35" t="s">
        <v>651</v>
      </c>
      <c r="B2002" s="15">
        <f>3+1</f>
        <v>4</v>
      </c>
      <c r="C2002" s="16"/>
      <c r="D2002" s="36">
        <f t="shared" si="1229"/>
        <v>4</v>
      </c>
      <c r="E2002" s="18">
        <f>2+3</f>
        <v>5</v>
      </c>
      <c r="F2002" s="16"/>
      <c r="G2002" s="36">
        <f t="shared" si="1230"/>
        <v>5</v>
      </c>
      <c r="H2002" s="17">
        <f t="shared" si="1231"/>
        <v>9</v>
      </c>
      <c r="I2002" s="84">
        <v>45838</v>
      </c>
      <c r="J2002" s="52"/>
      <c r="K2002" s="15"/>
      <c r="L2002" s="16"/>
      <c r="M2002" s="36">
        <f t="shared" si="1232"/>
        <v>0</v>
      </c>
      <c r="N2002" s="18"/>
      <c r="O2002" s="16"/>
      <c r="P2002" s="36">
        <f t="shared" si="1233"/>
        <v>0</v>
      </c>
      <c r="Q2002" s="17">
        <f t="shared" si="1234"/>
        <v>0</v>
      </c>
    </row>
    <row r="2003" spans="1:17" x14ac:dyDescent="0.15">
      <c r="A2003" s="35" t="s">
        <v>651</v>
      </c>
      <c r="B2003" s="15">
        <v>1</v>
      </c>
      <c r="C2003" s="16"/>
      <c r="D2003" s="36">
        <f t="shared" si="1229"/>
        <v>1</v>
      </c>
      <c r="E2003" s="18"/>
      <c r="F2003" s="16"/>
      <c r="G2003" s="36">
        <f t="shared" si="1230"/>
        <v>0</v>
      </c>
      <c r="H2003" s="17">
        <f t="shared" si="1231"/>
        <v>1</v>
      </c>
      <c r="I2003" s="84">
        <v>45842</v>
      </c>
      <c r="J2003" s="52"/>
      <c r="K2003" s="15"/>
      <c r="L2003" s="16"/>
      <c r="M2003" s="36">
        <f t="shared" si="1232"/>
        <v>0</v>
      </c>
      <c r="N2003" s="18"/>
      <c r="O2003" s="16"/>
      <c r="P2003" s="36">
        <f t="shared" si="1233"/>
        <v>0</v>
      </c>
      <c r="Q2003" s="17">
        <f t="shared" si="1234"/>
        <v>0</v>
      </c>
    </row>
    <row r="2004" spans="1:17" x14ac:dyDescent="0.15">
      <c r="A2004" s="35" t="s">
        <v>651</v>
      </c>
      <c r="B2004" s="15">
        <f>2+2</f>
        <v>4</v>
      </c>
      <c r="C2004" s="16"/>
      <c r="D2004" s="36">
        <f t="shared" si="1229"/>
        <v>4</v>
      </c>
      <c r="E2004" s="18"/>
      <c r="F2004" s="16"/>
      <c r="G2004" s="36">
        <f t="shared" si="1230"/>
        <v>0</v>
      </c>
      <c r="H2004" s="17">
        <f t="shared" si="1231"/>
        <v>4</v>
      </c>
      <c r="I2004" s="84">
        <v>45843</v>
      </c>
      <c r="J2004" s="52"/>
      <c r="K2004" s="15"/>
      <c r="L2004" s="16"/>
      <c r="M2004" s="36">
        <f t="shared" si="1232"/>
        <v>0</v>
      </c>
      <c r="N2004" s="18"/>
      <c r="O2004" s="16"/>
      <c r="P2004" s="36">
        <f t="shared" si="1233"/>
        <v>0</v>
      </c>
      <c r="Q2004" s="17">
        <f t="shared" si="1234"/>
        <v>0</v>
      </c>
    </row>
    <row r="2005" spans="1:17" x14ac:dyDescent="0.15">
      <c r="A2005" s="35" t="s">
        <v>651</v>
      </c>
      <c r="B2005" s="15">
        <f>2+1</f>
        <v>3</v>
      </c>
      <c r="C2005" s="16"/>
      <c r="D2005" s="36">
        <f t="shared" si="1229"/>
        <v>3</v>
      </c>
      <c r="E2005" s="18">
        <v>3</v>
      </c>
      <c r="F2005" s="16"/>
      <c r="G2005" s="36">
        <f t="shared" si="1230"/>
        <v>3</v>
      </c>
      <c r="H2005" s="17">
        <f t="shared" si="1231"/>
        <v>6</v>
      </c>
      <c r="I2005" s="84">
        <v>45845</v>
      </c>
      <c r="J2005" s="52"/>
      <c r="K2005" s="15"/>
      <c r="L2005" s="16"/>
      <c r="M2005" s="36">
        <f t="shared" si="1232"/>
        <v>0</v>
      </c>
      <c r="N2005" s="18"/>
      <c r="O2005" s="16"/>
      <c r="P2005" s="36">
        <f t="shared" si="1233"/>
        <v>0</v>
      </c>
      <c r="Q2005" s="17">
        <f t="shared" si="1234"/>
        <v>0</v>
      </c>
    </row>
    <row r="2006" spans="1:17" x14ac:dyDescent="0.15">
      <c r="A2006" s="35" t="s">
        <v>651</v>
      </c>
      <c r="B2006" s="15">
        <v>1</v>
      </c>
      <c r="C2006" s="16"/>
      <c r="D2006" s="36">
        <f t="shared" si="1229"/>
        <v>1</v>
      </c>
      <c r="E2006" s="18">
        <v>1</v>
      </c>
      <c r="F2006" s="16"/>
      <c r="G2006" s="36">
        <f t="shared" si="1230"/>
        <v>1</v>
      </c>
      <c r="H2006" s="17">
        <f t="shared" si="1231"/>
        <v>2</v>
      </c>
      <c r="I2006" s="84">
        <v>45847</v>
      </c>
      <c r="J2006" s="52"/>
      <c r="K2006" s="15"/>
      <c r="L2006" s="16"/>
      <c r="M2006" s="36">
        <f t="shared" si="1232"/>
        <v>0</v>
      </c>
      <c r="N2006" s="18"/>
      <c r="O2006" s="16"/>
      <c r="P2006" s="36">
        <f t="shared" si="1233"/>
        <v>0</v>
      </c>
      <c r="Q2006" s="17">
        <f t="shared" si="1234"/>
        <v>0</v>
      </c>
    </row>
    <row r="2007" spans="1:17" x14ac:dyDescent="0.15">
      <c r="A2007" s="35" t="s">
        <v>651</v>
      </c>
      <c r="B2007" s="15"/>
      <c r="C2007" s="16"/>
      <c r="D2007" s="36">
        <f t="shared" si="1229"/>
        <v>0</v>
      </c>
      <c r="E2007" s="18">
        <f>1+2</f>
        <v>3</v>
      </c>
      <c r="F2007" s="16"/>
      <c r="G2007" s="36">
        <f t="shared" si="1230"/>
        <v>3</v>
      </c>
      <c r="H2007" s="17">
        <f t="shared" si="1231"/>
        <v>3</v>
      </c>
      <c r="I2007" s="84">
        <v>45848</v>
      </c>
      <c r="J2007" s="52"/>
      <c r="K2007" s="15"/>
      <c r="L2007" s="16"/>
      <c r="M2007" s="36">
        <f t="shared" si="1232"/>
        <v>0</v>
      </c>
      <c r="N2007" s="18"/>
      <c r="O2007" s="16"/>
      <c r="P2007" s="36">
        <f t="shared" si="1233"/>
        <v>0</v>
      </c>
      <c r="Q2007" s="17">
        <f t="shared" si="1234"/>
        <v>0</v>
      </c>
    </row>
    <row r="2008" spans="1:17" x14ac:dyDescent="0.15">
      <c r="A2008" s="35" t="s">
        <v>651</v>
      </c>
      <c r="B2008" s="15"/>
      <c r="C2008" s="16"/>
      <c r="D2008" s="36">
        <f t="shared" si="1229"/>
        <v>0</v>
      </c>
      <c r="E2008" s="18">
        <v>2</v>
      </c>
      <c r="F2008" s="16"/>
      <c r="G2008" s="36">
        <f t="shared" si="1230"/>
        <v>2</v>
      </c>
      <c r="H2008" s="17">
        <f t="shared" si="1231"/>
        <v>2</v>
      </c>
      <c r="I2008" s="84">
        <v>45852</v>
      </c>
      <c r="J2008" s="52"/>
      <c r="K2008" s="15"/>
      <c r="L2008" s="16"/>
      <c r="M2008" s="36">
        <f t="shared" si="1232"/>
        <v>0</v>
      </c>
      <c r="N2008" s="18"/>
      <c r="O2008" s="16"/>
      <c r="P2008" s="36">
        <f t="shared" si="1233"/>
        <v>0</v>
      </c>
      <c r="Q2008" s="17">
        <f t="shared" si="1234"/>
        <v>0</v>
      </c>
    </row>
    <row r="2009" spans="1:17" x14ac:dyDescent="0.15">
      <c r="A2009" s="35" t="s">
        <v>651</v>
      </c>
      <c r="B2009" s="15"/>
      <c r="C2009" s="16"/>
      <c r="D2009" s="36">
        <f t="shared" si="1229"/>
        <v>0</v>
      </c>
      <c r="E2009" s="18">
        <v>1</v>
      </c>
      <c r="F2009" s="16"/>
      <c r="G2009" s="36">
        <f t="shared" si="1230"/>
        <v>1</v>
      </c>
      <c r="H2009" s="17">
        <f t="shared" si="1231"/>
        <v>1</v>
      </c>
      <c r="I2009" s="84">
        <v>45853</v>
      </c>
      <c r="J2009" s="52"/>
      <c r="K2009" s="15"/>
      <c r="L2009" s="16"/>
      <c r="M2009" s="36">
        <f t="shared" si="1232"/>
        <v>0</v>
      </c>
      <c r="N2009" s="18"/>
      <c r="O2009" s="16"/>
      <c r="P2009" s="36">
        <f t="shared" si="1233"/>
        <v>0</v>
      </c>
      <c r="Q2009" s="17">
        <f t="shared" si="1234"/>
        <v>0</v>
      </c>
    </row>
    <row r="2010" spans="1:17" x14ac:dyDescent="0.15">
      <c r="A2010" s="35" t="s">
        <v>651</v>
      </c>
      <c r="B2010" s="15"/>
      <c r="C2010" s="16"/>
      <c r="D2010" s="36">
        <f t="shared" si="1229"/>
        <v>0</v>
      </c>
      <c r="E2010" s="18">
        <v>2</v>
      </c>
      <c r="F2010" s="16"/>
      <c r="G2010" s="36">
        <f t="shared" si="1230"/>
        <v>2</v>
      </c>
      <c r="H2010" s="17">
        <f t="shared" si="1231"/>
        <v>2</v>
      </c>
      <c r="I2010" s="84">
        <v>45856</v>
      </c>
      <c r="J2010" s="52"/>
      <c r="K2010" s="15"/>
      <c r="L2010" s="16"/>
      <c r="M2010" s="36">
        <f t="shared" si="1232"/>
        <v>0</v>
      </c>
      <c r="N2010" s="18"/>
      <c r="O2010" s="16"/>
      <c r="P2010" s="36">
        <f t="shared" si="1233"/>
        <v>0</v>
      </c>
      <c r="Q2010" s="17">
        <f t="shared" si="1234"/>
        <v>0</v>
      </c>
    </row>
    <row r="2011" spans="1:17" x14ac:dyDescent="0.15">
      <c r="A2011" s="35" t="s">
        <v>651</v>
      </c>
      <c r="B2011" s="15">
        <v>2</v>
      </c>
      <c r="C2011" s="16"/>
      <c r="D2011" s="36">
        <f t="shared" ref="D2011:D2017" si="1241">SUM(B2011:C2011)</f>
        <v>2</v>
      </c>
      <c r="E2011" s="18">
        <v>2</v>
      </c>
      <c r="F2011" s="16"/>
      <c r="G2011" s="36">
        <f t="shared" ref="G2011:G2017" si="1242">SUM(E2011:F2011)</f>
        <v>2</v>
      </c>
      <c r="H2011" s="17">
        <f t="shared" ref="H2011:H2017" si="1243">D2011+G2011</f>
        <v>4</v>
      </c>
      <c r="I2011" s="84">
        <v>45860</v>
      </c>
      <c r="J2011" s="52"/>
      <c r="K2011" s="15"/>
      <c r="L2011" s="16"/>
      <c r="M2011" s="36">
        <f t="shared" si="1232"/>
        <v>0</v>
      </c>
      <c r="N2011" s="18"/>
      <c r="O2011" s="16"/>
      <c r="P2011" s="36">
        <f t="shared" si="1233"/>
        <v>0</v>
      </c>
      <c r="Q2011" s="17">
        <f t="shared" si="1234"/>
        <v>0</v>
      </c>
    </row>
    <row r="2012" spans="1:17" x14ac:dyDescent="0.15">
      <c r="A2012" s="35" t="s">
        <v>651</v>
      </c>
      <c r="B2012" s="15">
        <v>2</v>
      </c>
      <c r="C2012" s="16"/>
      <c r="D2012" s="36">
        <f t="shared" si="1241"/>
        <v>2</v>
      </c>
      <c r="E2012" s="18"/>
      <c r="F2012" s="16"/>
      <c r="G2012" s="36">
        <f t="shared" si="1242"/>
        <v>0</v>
      </c>
      <c r="H2012" s="17">
        <f t="shared" si="1243"/>
        <v>2</v>
      </c>
      <c r="I2012" s="84">
        <v>45863</v>
      </c>
      <c r="J2012" s="52"/>
      <c r="K2012" s="15"/>
      <c r="L2012" s="16"/>
      <c r="M2012" s="36">
        <f t="shared" si="1232"/>
        <v>0</v>
      </c>
      <c r="N2012" s="18"/>
      <c r="O2012" s="16"/>
      <c r="P2012" s="36">
        <f t="shared" si="1233"/>
        <v>0</v>
      </c>
      <c r="Q2012" s="17">
        <f t="shared" si="1234"/>
        <v>0</v>
      </c>
    </row>
    <row r="2013" spans="1:17" x14ac:dyDescent="0.15">
      <c r="A2013" s="35" t="s">
        <v>651</v>
      </c>
      <c r="B2013" s="15">
        <f>1+1</f>
        <v>2</v>
      </c>
      <c r="C2013" s="16"/>
      <c r="D2013" s="36">
        <f t="shared" si="1241"/>
        <v>2</v>
      </c>
      <c r="E2013" s="18">
        <f>4+1+1</f>
        <v>6</v>
      </c>
      <c r="F2013" s="16"/>
      <c r="G2013" s="36">
        <f t="shared" si="1242"/>
        <v>6</v>
      </c>
      <c r="H2013" s="17">
        <f t="shared" si="1243"/>
        <v>8</v>
      </c>
      <c r="I2013" s="84">
        <v>45866</v>
      </c>
      <c r="J2013" s="52"/>
      <c r="K2013" s="15"/>
      <c r="L2013" s="16"/>
      <c r="M2013" s="36">
        <f t="shared" si="1232"/>
        <v>0</v>
      </c>
      <c r="N2013" s="18"/>
      <c r="O2013" s="16"/>
      <c r="P2013" s="36">
        <f t="shared" si="1233"/>
        <v>0</v>
      </c>
      <c r="Q2013" s="17">
        <f t="shared" si="1234"/>
        <v>0</v>
      </c>
    </row>
    <row r="2014" spans="1:17" x14ac:dyDescent="0.15">
      <c r="A2014" s="35" t="s">
        <v>651</v>
      </c>
      <c r="B2014" s="15"/>
      <c r="C2014" s="16"/>
      <c r="D2014" s="36">
        <f t="shared" si="1241"/>
        <v>0</v>
      </c>
      <c r="E2014" s="18">
        <v>1</v>
      </c>
      <c r="F2014" s="16"/>
      <c r="G2014" s="36">
        <f t="shared" si="1242"/>
        <v>1</v>
      </c>
      <c r="H2014" s="17">
        <f t="shared" si="1243"/>
        <v>1</v>
      </c>
      <c r="I2014" s="84">
        <v>45868</v>
      </c>
      <c r="J2014" s="52"/>
      <c r="K2014" s="15"/>
      <c r="L2014" s="16"/>
      <c r="M2014" s="36">
        <f t="shared" si="1232"/>
        <v>0</v>
      </c>
      <c r="N2014" s="18"/>
      <c r="O2014" s="16"/>
      <c r="P2014" s="36">
        <f t="shared" si="1233"/>
        <v>0</v>
      </c>
      <c r="Q2014" s="17">
        <f t="shared" si="1234"/>
        <v>0</v>
      </c>
    </row>
    <row r="2015" spans="1:17" x14ac:dyDescent="0.15">
      <c r="A2015" s="35" t="s">
        <v>651</v>
      </c>
      <c r="B2015" s="15">
        <f>1+1</f>
        <v>2</v>
      </c>
      <c r="C2015" s="16"/>
      <c r="D2015" s="36">
        <f t="shared" si="1241"/>
        <v>2</v>
      </c>
      <c r="E2015" s="18">
        <f>1+1</f>
        <v>2</v>
      </c>
      <c r="F2015" s="16"/>
      <c r="G2015" s="36">
        <f t="shared" si="1242"/>
        <v>2</v>
      </c>
      <c r="H2015" s="17">
        <f t="shared" si="1243"/>
        <v>4</v>
      </c>
      <c r="I2015" s="84">
        <v>45869</v>
      </c>
      <c r="J2015" s="52"/>
      <c r="K2015" s="15"/>
      <c r="L2015" s="16"/>
      <c r="M2015" s="36">
        <f t="shared" ref="M2015:M2017" si="1244">SUM(K2015:L2015)</f>
        <v>0</v>
      </c>
      <c r="N2015" s="18"/>
      <c r="O2015" s="16"/>
      <c r="P2015" s="36">
        <f t="shared" ref="P2015:P2017" si="1245">SUM(N2015:O2015)</f>
        <v>0</v>
      </c>
      <c r="Q2015" s="17">
        <f t="shared" ref="Q2015:Q2017" si="1246">M2015+P2015</f>
        <v>0</v>
      </c>
    </row>
    <row r="2016" spans="1:17" x14ac:dyDescent="0.15">
      <c r="A2016" s="35" t="s">
        <v>651</v>
      </c>
      <c r="B2016" s="15"/>
      <c r="C2016" s="16"/>
      <c r="D2016" s="36">
        <f t="shared" si="1241"/>
        <v>0</v>
      </c>
      <c r="E2016" s="18">
        <v>1</v>
      </c>
      <c r="F2016" s="16"/>
      <c r="G2016" s="36">
        <f t="shared" si="1242"/>
        <v>1</v>
      </c>
      <c r="H2016" s="17">
        <f t="shared" si="1243"/>
        <v>1</v>
      </c>
      <c r="I2016" s="84">
        <v>45870</v>
      </c>
      <c r="J2016" s="52"/>
      <c r="K2016" s="15"/>
      <c r="L2016" s="16"/>
      <c r="M2016" s="36">
        <f t="shared" si="1244"/>
        <v>0</v>
      </c>
      <c r="N2016" s="18"/>
      <c r="O2016" s="16"/>
      <c r="P2016" s="36">
        <f t="shared" si="1245"/>
        <v>0</v>
      </c>
      <c r="Q2016" s="17">
        <f t="shared" si="1246"/>
        <v>0</v>
      </c>
    </row>
    <row r="2017" spans="1:17" ht="14.25" thickBot="1" x14ac:dyDescent="0.2">
      <c r="A2017" s="35" t="s">
        <v>651</v>
      </c>
      <c r="B2017" s="15">
        <v>2</v>
      </c>
      <c r="C2017" s="16"/>
      <c r="D2017" s="36">
        <f t="shared" si="1241"/>
        <v>2</v>
      </c>
      <c r="E2017" s="18">
        <v>1</v>
      </c>
      <c r="F2017" s="16"/>
      <c r="G2017" s="36">
        <f t="shared" si="1242"/>
        <v>1</v>
      </c>
      <c r="H2017" s="17">
        <f t="shared" si="1243"/>
        <v>3</v>
      </c>
      <c r="I2017" s="84">
        <v>45873</v>
      </c>
      <c r="J2017" s="52"/>
      <c r="K2017" s="15"/>
      <c r="L2017" s="16"/>
      <c r="M2017" s="36">
        <f t="shared" si="1244"/>
        <v>0</v>
      </c>
      <c r="N2017" s="18"/>
      <c r="O2017" s="16"/>
      <c r="P2017" s="36">
        <f t="shared" si="1245"/>
        <v>0</v>
      </c>
      <c r="Q2017" s="17">
        <f t="shared" si="1246"/>
        <v>0</v>
      </c>
    </row>
    <row r="2018" spans="1:17" ht="14.25" thickBot="1" x14ac:dyDescent="0.2">
      <c r="A2018" s="40" t="s">
        <v>14</v>
      </c>
      <c r="B2018" s="41">
        <f>SUM(B1992:B2017)</f>
        <v>40</v>
      </c>
      <c r="C2018" s="42">
        <f>SUM(C1992:C2017)</f>
        <v>3</v>
      </c>
      <c r="D2018" s="43">
        <f t="shared" ref="D2018:D2019" si="1247">SUM(B2018:C2018)</f>
        <v>43</v>
      </c>
      <c r="E2018" s="41">
        <f>SUM(E1992:E2017)</f>
        <v>58</v>
      </c>
      <c r="F2018" s="96">
        <f t="shared" ref="F2018" si="1248">SUM(F1992:F2017)</f>
        <v>0</v>
      </c>
      <c r="G2018" s="43">
        <f t="shared" si="1230"/>
        <v>58</v>
      </c>
      <c r="H2018" s="43">
        <f t="shared" si="1231"/>
        <v>101</v>
      </c>
      <c r="J2018" s="40" t="s">
        <v>14</v>
      </c>
      <c r="K2018" s="41">
        <f>SUM(K1992:K2017)</f>
        <v>35</v>
      </c>
      <c r="L2018" s="96">
        <f t="shared" ref="L2018" si="1249">SUM(L1992:L2017)</f>
        <v>0</v>
      </c>
      <c r="M2018" s="43">
        <f t="shared" si="1232"/>
        <v>35</v>
      </c>
      <c r="N2018" s="41">
        <f>SUM(N1992:N2017)</f>
        <v>55</v>
      </c>
      <c r="O2018" s="96">
        <f t="shared" ref="O2018" si="1250">SUM(O1992:O2017)</f>
        <v>0</v>
      </c>
      <c r="P2018" s="43">
        <f t="shared" si="1233"/>
        <v>55</v>
      </c>
      <c r="Q2018" s="43">
        <f t="shared" si="1234"/>
        <v>90</v>
      </c>
    </row>
    <row r="2019" spans="1:17" ht="14.25" thickBot="1" x14ac:dyDescent="0.2">
      <c r="A2019" s="44" t="s">
        <v>15</v>
      </c>
      <c r="B2019" s="45">
        <f>B1991-B2018</f>
        <v>16</v>
      </c>
      <c r="C2019" s="46">
        <f>C1991-C2018</f>
        <v>5</v>
      </c>
      <c r="D2019" s="47">
        <f t="shared" si="1247"/>
        <v>21</v>
      </c>
      <c r="E2019" s="45">
        <f>E1991-E2018</f>
        <v>13</v>
      </c>
      <c r="F2019" s="97">
        <f t="shared" ref="F2019" si="1251">F1991-F2018</f>
        <v>0</v>
      </c>
      <c r="G2019" s="47">
        <f t="shared" si="1230"/>
        <v>13</v>
      </c>
      <c r="H2019" s="34">
        <f t="shared" si="1231"/>
        <v>34</v>
      </c>
      <c r="J2019" s="44" t="s">
        <v>15</v>
      </c>
      <c r="K2019" s="45">
        <f>K1991-K2018</f>
        <v>510</v>
      </c>
      <c r="L2019" s="97">
        <f t="shared" ref="L2019" si="1252">L1991-L2018</f>
        <v>0</v>
      </c>
      <c r="M2019" s="47">
        <f t="shared" si="1232"/>
        <v>510</v>
      </c>
      <c r="N2019" s="45">
        <f>N1991-N2018</f>
        <v>299</v>
      </c>
      <c r="O2019" s="97">
        <f t="shared" ref="O2019" si="1253">O1991-O2018</f>
        <v>0</v>
      </c>
      <c r="P2019" s="47">
        <f t="shared" si="1233"/>
        <v>299</v>
      </c>
      <c r="Q2019" s="34">
        <f t="shared" si="1234"/>
        <v>809</v>
      </c>
    </row>
    <row r="2020" spans="1:17" x14ac:dyDescent="0.15">
      <c r="B2020" s="109"/>
      <c r="C2020" s="109" t="s">
        <v>699</v>
      </c>
      <c r="E2020" s="109"/>
      <c r="F2020" s="109" t="s">
        <v>699</v>
      </c>
    </row>
    <row r="2022" spans="1:17" ht="19.5" thickBot="1" x14ac:dyDescent="0.25">
      <c r="A2022" s="1" t="s">
        <v>23</v>
      </c>
      <c r="J2022" s="1" t="s">
        <v>24</v>
      </c>
      <c r="K2022" s="2"/>
      <c r="L2022" s="2"/>
      <c r="M2022" s="2"/>
      <c r="N2022" s="2"/>
      <c r="O2022" s="1" t="s">
        <v>34</v>
      </c>
      <c r="P2022" s="2"/>
      <c r="Q2022" s="2"/>
    </row>
    <row r="2023" spans="1:17" ht="14.25" thickBot="1" x14ac:dyDescent="0.2">
      <c r="A2023" s="3" t="s">
        <v>0</v>
      </c>
      <c r="B2023" s="120" t="s">
        <v>18</v>
      </c>
      <c r="C2023" s="121"/>
      <c r="D2023" s="122"/>
      <c r="E2023" s="120" t="s">
        <v>19</v>
      </c>
      <c r="F2023" s="121"/>
      <c r="G2023" s="122"/>
      <c r="H2023" s="123" t="s">
        <v>1</v>
      </c>
      <c r="J2023" s="3" t="s">
        <v>0</v>
      </c>
      <c r="K2023" s="120" t="s">
        <v>18</v>
      </c>
      <c r="L2023" s="121"/>
      <c r="M2023" s="122"/>
      <c r="N2023" s="120" t="s">
        <v>19</v>
      </c>
      <c r="O2023" s="121"/>
      <c r="P2023" s="122"/>
      <c r="Q2023" s="123" t="s">
        <v>1</v>
      </c>
    </row>
    <row r="2024" spans="1:17" ht="14.25" thickBot="1" x14ac:dyDescent="0.2">
      <c r="A2024" s="3" t="s">
        <v>2</v>
      </c>
      <c r="B2024" s="4" t="s">
        <v>16</v>
      </c>
      <c r="C2024" s="5" t="s">
        <v>17</v>
      </c>
      <c r="D2024" s="3" t="s">
        <v>3</v>
      </c>
      <c r="E2024" s="4" t="s">
        <v>16</v>
      </c>
      <c r="F2024" s="5" t="s">
        <v>17</v>
      </c>
      <c r="G2024" s="3" t="s">
        <v>3</v>
      </c>
      <c r="H2024" s="124"/>
      <c r="J2024" s="3" t="s">
        <v>2</v>
      </c>
      <c r="K2024" s="4" t="s">
        <v>16</v>
      </c>
      <c r="L2024" s="5" t="s">
        <v>17</v>
      </c>
      <c r="M2024" s="3" t="s">
        <v>3</v>
      </c>
      <c r="N2024" s="4" t="s">
        <v>16</v>
      </c>
      <c r="O2024" s="5" t="s">
        <v>17</v>
      </c>
      <c r="P2024" s="3" t="s">
        <v>3</v>
      </c>
      <c r="Q2024" s="124"/>
    </row>
    <row r="2025" spans="1:17" ht="14.25" thickBot="1" x14ac:dyDescent="0.2">
      <c r="A2025" s="6" t="s">
        <v>55</v>
      </c>
      <c r="B2025" s="32">
        <f>B2019</f>
        <v>16</v>
      </c>
      <c r="C2025" s="33">
        <f>C2019</f>
        <v>5</v>
      </c>
      <c r="D2025" s="34">
        <f t="shared" ref="D2025:D2062" si="1254">SUM(B2025:C2025)</f>
        <v>21</v>
      </c>
      <c r="E2025" s="32">
        <f>E2019</f>
        <v>13</v>
      </c>
      <c r="F2025" s="33">
        <f>F2019</f>
        <v>0</v>
      </c>
      <c r="G2025" s="34">
        <f t="shared" ref="G2025:G2062" si="1255">SUM(E2025:F2025)</f>
        <v>13</v>
      </c>
      <c r="H2025" s="34">
        <f t="shared" ref="H2025:H2062" si="1256">D2025+G2025</f>
        <v>34</v>
      </c>
      <c r="J2025" s="6" t="s">
        <v>55</v>
      </c>
      <c r="K2025" s="32">
        <f>K2019</f>
        <v>510</v>
      </c>
      <c r="L2025" s="33">
        <f>L2019</f>
        <v>0</v>
      </c>
      <c r="M2025" s="34">
        <f t="shared" ref="M2025:M2062" si="1257">SUM(K2025:L2025)</f>
        <v>510</v>
      </c>
      <c r="N2025" s="32">
        <f>N2019</f>
        <v>299</v>
      </c>
      <c r="O2025" s="33">
        <f>O2019</f>
        <v>0</v>
      </c>
      <c r="P2025" s="34">
        <f t="shared" ref="P2025:P2062" si="1258">SUM(N2025:O2025)</f>
        <v>299</v>
      </c>
      <c r="Q2025" s="34">
        <f t="shared" ref="Q2025:Q2062" si="1259">M2025+P2025</f>
        <v>809</v>
      </c>
    </row>
    <row r="2026" spans="1:17" x14ac:dyDescent="0.15">
      <c r="A2026" s="10" t="s">
        <v>5</v>
      </c>
      <c r="B2026" s="15"/>
      <c r="C2026" s="16"/>
      <c r="D2026" s="17">
        <f t="shared" ref="D2026:D2029" si="1260">SUM(B2026:C2026)</f>
        <v>0</v>
      </c>
      <c r="E2026" s="18">
        <v>10</v>
      </c>
      <c r="F2026" s="16"/>
      <c r="G2026" s="17">
        <f t="shared" ref="G2026:G2029" si="1261">SUM(E2026:F2026)</f>
        <v>10</v>
      </c>
      <c r="H2026" s="17">
        <f t="shared" ref="H2026:H2029" si="1262">D2026+G2026</f>
        <v>10</v>
      </c>
      <c r="I2026" s="81">
        <v>45876</v>
      </c>
      <c r="J2026" s="10" t="s">
        <v>5</v>
      </c>
      <c r="K2026" s="15"/>
      <c r="L2026" s="16"/>
      <c r="M2026" s="17">
        <f t="shared" si="1257"/>
        <v>0</v>
      </c>
      <c r="N2026" s="18"/>
      <c r="O2026" s="16"/>
      <c r="P2026" s="17">
        <f t="shared" si="1258"/>
        <v>0</v>
      </c>
      <c r="Q2026" s="17">
        <f t="shared" si="1259"/>
        <v>0</v>
      </c>
    </row>
    <row r="2027" spans="1:17" x14ac:dyDescent="0.15">
      <c r="A2027" s="10" t="s">
        <v>6</v>
      </c>
      <c r="B2027" s="15">
        <v>-3</v>
      </c>
      <c r="C2027" s="16"/>
      <c r="D2027" s="17">
        <f t="shared" si="1260"/>
        <v>-3</v>
      </c>
      <c r="E2027" s="18">
        <v>3</v>
      </c>
      <c r="F2027" s="16"/>
      <c r="G2027" s="17">
        <f t="shared" si="1261"/>
        <v>3</v>
      </c>
      <c r="H2027" s="17">
        <f t="shared" si="1262"/>
        <v>0</v>
      </c>
      <c r="I2027" s="81">
        <v>45878</v>
      </c>
      <c r="J2027" s="10" t="s">
        <v>6</v>
      </c>
      <c r="K2027" s="15"/>
      <c r="L2027" s="16"/>
      <c r="M2027" s="17">
        <f t="shared" si="1257"/>
        <v>0</v>
      </c>
      <c r="N2027" s="18"/>
      <c r="O2027" s="16"/>
      <c r="P2027" s="17">
        <f t="shared" si="1258"/>
        <v>0</v>
      </c>
      <c r="Q2027" s="17">
        <f t="shared" si="1259"/>
        <v>0</v>
      </c>
    </row>
    <row r="2028" spans="1:17" x14ac:dyDescent="0.15">
      <c r="A2028" s="10" t="s">
        <v>7</v>
      </c>
      <c r="B2028" s="15">
        <v>10</v>
      </c>
      <c r="C2028" s="16"/>
      <c r="D2028" s="17">
        <f t="shared" si="1260"/>
        <v>10</v>
      </c>
      <c r="E2028" s="18"/>
      <c r="F2028" s="16"/>
      <c r="G2028" s="17">
        <f t="shared" si="1261"/>
        <v>0</v>
      </c>
      <c r="H2028" s="17">
        <f t="shared" si="1262"/>
        <v>10</v>
      </c>
      <c r="I2028" s="81">
        <v>45888</v>
      </c>
      <c r="J2028" s="10" t="s">
        <v>7</v>
      </c>
      <c r="K2028" s="15"/>
      <c r="L2028" s="16"/>
      <c r="M2028" s="17">
        <f t="shared" si="1257"/>
        <v>0</v>
      </c>
      <c r="N2028" s="18"/>
      <c r="O2028" s="16"/>
      <c r="P2028" s="17">
        <f t="shared" si="1258"/>
        <v>0</v>
      </c>
      <c r="Q2028" s="17">
        <f t="shared" si="1259"/>
        <v>0</v>
      </c>
    </row>
    <row r="2029" spans="1:17" x14ac:dyDescent="0.15">
      <c r="A2029" s="10" t="s">
        <v>8</v>
      </c>
      <c r="B2029" s="15"/>
      <c r="C2029" s="16"/>
      <c r="D2029" s="17">
        <f t="shared" si="1260"/>
        <v>0</v>
      </c>
      <c r="E2029" s="18">
        <v>10</v>
      </c>
      <c r="F2029" s="16"/>
      <c r="G2029" s="17">
        <f t="shared" si="1261"/>
        <v>10</v>
      </c>
      <c r="H2029" s="17">
        <f t="shared" si="1262"/>
        <v>10</v>
      </c>
      <c r="I2029" s="81">
        <v>45896</v>
      </c>
      <c r="J2029" s="10" t="s">
        <v>8</v>
      </c>
      <c r="K2029" s="15"/>
      <c r="L2029" s="16"/>
      <c r="M2029" s="17">
        <f t="shared" si="1257"/>
        <v>0</v>
      </c>
      <c r="N2029" s="18"/>
      <c r="O2029" s="16"/>
      <c r="P2029" s="17">
        <f t="shared" si="1258"/>
        <v>0</v>
      </c>
      <c r="Q2029" s="17">
        <f t="shared" si="1259"/>
        <v>0</v>
      </c>
    </row>
    <row r="2030" spans="1:17" x14ac:dyDescent="0.15">
      <c r="A2030" s="10" t="s">
        <v>9</v>
      </c>
      <c r="B2030" s="15">
        <v>3</v>
      </c>
      <c r="C2030" s="16"/>
      <c r="D2030" s="17">
        <f t="shared" si="1254"/>
        <v>3</v>
      </c>
      <c r="E2030" s="18">
        <v>6</v>
      </c>
      <c r="F2030" s="16"/>
      <c r="G2030" s="17">
        <f t="shared" si="1255"/>
        <v>6</v>
      </c>
      <c r="H2030" s="17">
        <f t="shared" si="1256"/>
        <v>9</v>
      </c>
      <c r="I2030" s="81">
        <v>45898</v>
      </c>
      <c r="J2030" s="10" t="s">
        <v>9</v>
      </c>
      <c r="K2030" s="15"/>
      <c r="L2030" s="16"/>
      <c r="M2030" s="17">
        <f t="shared" si="1257"/>
        <v>0</v>
      </c>
      <c r="N2030" s="18"/>
      <c r="O2030" s="16"/>
      <c r="P2030" s="17">
        <f t="shared" si="1258"/>
        <v>0</v>
      </c>
      <c r="Q2030" s="17">
        <f t="shared" si="1259"/>
        <v>0</v>
      </c>
    </row>
    <row r="2031" spans="1:17" x14ac:dyDescent="0.15">
      <c r="A2031" s="10" t="s">
        <v>10</v>
      </c>
      <c r="B2031" s="15"/>
      <c r="C2031" s="16"/>
      <c r="D2031" s="17">
        <f t="shared" si="1254"/>
        <v>0</v>
      </c>
      <c r="E2031" s="18">
        <v>10</v>
      </c>
      <c r="F2031" s="16"/>
      <c r="G2031" s="17">
        <f t="shared" si="1255"/>
        <v>10</v>
      </c>
      <c r="H2031" s="17">
        <f t="shared" si="1256"/>
        <v>10</v>
      </c>
      <c r="I2031" s="81">
        <v>45905</v>
      </c>
      <c r="J2031" s="10" t="s">
        <v>10</v>
      </c>
      <c r="K2031" s="15"/>
      <c r="L2031" s="16"/>
      <c r="M2031" s="17">
        <f t="shared" si="1257"/>
        <v>0</v>
      </c>
      <c r="N2031" s="18"/>
      <c r="O2031" s="16"/>
      <c r="P2031" s="17">
        <f t="shared" si="1258"/>
        <v>0</v>
      </c>
      <c r="Q2031" s="17">
        <f t="shared" si="1259"/>
        <v>0</v>
      </c>
    </row>
    <row r="2032" spans="1:17" x14ac:dyDescent="0.15">
      <c r="A2032" s="10" t="s">
        <v>11</v>
      </c>
      <c r="B2032" s="15">
        <v>5</v>
      </c>
      <c r="C2032" s="16"/>
      <c r="D2032" s="17">
        <f t="shared" si="1254"/>
        <v>5</v>
      </c>
      <c r="E2032" s="18">
        <v>5</v>
      </c>
      <c r="F2032" s="16"/>
      <c r="G2032" s="17">
        <f t="shared" si="1255"/>
        <v>5</v>
      </c>
      <c r="H2032" s="17">
        <f t="shared" si="1256"/>
        <v>10</v>
      </c>
      <c r="I2032" s="81">
        <v>45918</v>
      </c>
      <c r="J2032" s="10" t="s">
        <v>11</v>
      </c>
      <c r="K2032" s="15"/>
      <c r="L2032" s="16"/>
      <c r="M2032" s="17">
        <f t="shared" si="1257"/>
        <v>0</v>
      </c>
      <c r="N2032" s="18"/>
      <c r="O2032" s="16"/>
      <c r="P2032" s="17">
        <f t="shared" si="1258"/>
        <v>0</v>
      </c>
      <c r="Q2032" s="17">
        <f t="shared" si="1259"/>
        <v>0</v>
      </c>
    </row>
    <row r="2033" spans="1:18" ht="14.25" thickBot="1" x14ac:dyDescent="0.2">
      <c r="A2033" s="10" t="s">
        <v>12</v>
      </c>
      <c r="B2033" s="15">
        <v>5</v>
      </c>
      <c r="C2033" s="16"/>
      <c r="D2033" s="17">
        <f t="shared" si="1254"/>
        <v>5</v>
      </c>
      <c r="E2033" s="18">
        <v>5</v>
      </c>
      <c r="F2033" s="16"/>
      <c r="G2033" s="17">
        <f t="shared" si="1255"/>
        <v>5</v>
      </c>
      <c r="H2033" s="17">
        <f t="shared" si="1256"/>
        <v>10</v>
      </c>
      <c r="I2033" s="81">
        <v>45926</v>
      </c>
      <c r="J2033" s="10" t="s">
        <v>12</v>
      </c>
      <c r="K2033" s="15"/>
      <c r="L2033" s="16"/>
      <c r="M2033" s="17">
        <f t="shared" si="1257"/>
        <v>0</v>
      </c>
      <c r="N2033" s="18"/>
      <c r="O2033" s="16"/>
      <c r="P2033" s="17">
        <f t="shared" si="1258"/>
        <v>0</v>
      </c>
      <c r="Q2033" s="17">
        <f t="shared" si="1259"/>
        <v>0</v>
      </c>
    </row>
    <row r="2034" spans="1:18" ht="14.25" thickBot="1" x14ac:dyDescent="0.2">
      <c r="A2034" s="31" t="s">
        <v>13</v>
      </c>
      <c r="B2034" s="32">
        <f>SUM(B2025:B2033)</f>
        <v>36</v>
      </c>
      <c r="C2034" s="33">
        <f>SUM(C2025:C2033)</f>
        <v>5</v>
      </c>
      <c r="D2034" s="34">
        <f t="shared" si="1254"/>
        <v>41</v>
      </c>
      <c r="E2034" s="32">
        <f>SUM(E2025:E2033)</f>
        <v>62</v>
      </c>
      <c r="F2034" s="33">
        <f>SUM(F2025:F2033)</f>
        <v>0</v>
      </c>
      <c r="G2034" s="34">
        <f t="shared" si="1255"/>
        <v>62</v>
      </c>
      <c r="H2034" s="34">
        <f t="shared" si="1256"/>
        <v>103</v>
      </c>
      <c r="J2034" s="31" t="s">
        <v>13</v>
      </c>
      <c r="K2034" s="32">
        <f>SUM(K2025:K2033)</f>
        <v>510</v>
      </c>
      <c r="L2034" s="33">
        <f>SUM(L2025:L2033)</f>
        <v>0</v>
      </c>
      <c r="M2034" s="34">
        <f t="shared" si="1257"/>
        <v>510</v>
      </c>
      <c r="N2034" s="32">
        <f>SUM(N2025:N2033)</f>
        <v>299</v>
      </c>
      <c r="O2034" s="33">
        <f>SUM(O2025:O2033)</f>
        <v>0</v>
      </c>
      <c r="P2034" s="34">
        <f t="shared" si="1258"/>
        <v>299</v>
      </c>
      <c r="Q2034" s="34">
        <f t="shared" si="1259"/>
        <v>809</v>
      </c>
    </row>
    <row r="2035" spans="1:18" x14ac:dyDescent="0.15">
      <c r="A2035" s="35" t="s">
        <v>651</v>
      </c>
      <c r="B2035" s="15"/>
      <c r="C2035" s="16"/>
      <c r="D2035" s="36">
        <f t="shared" ref="D2035:D2055" si="1263">SUM(B2035:C2035)</f>
        <v>0</v>
      </c>
      <c r="E2035" s="18">
        <v>2</v>
      </c>
      <c r="F2035" s="16"/>
      <c r="G2035" s="36">
        <f t="shared" ref="G2035:G2055" si="1264">SUM(E2035:F2035)</f>
        <v>2</v>
      </c>
      <c r="H2035" s="17">
        <f t="shared" ref="H2035:H2055" si="1265">D2035+G2035</f>
        <v>2</v>
      </c>
      <c r="I2035" s="84">
        <v>45874</v>
      </c>
      <c r="J2035" s="52" t="s">
        <v>91</v>
      </c>
      <c r="K2035" s="15">
        <v>10</v>
      </c>
      <c r="L2035" s="16"/>
      <c r="M2035" s="36">
        <f t="shared" si="1257"/>
        <v>10</v>
      </c>
      <c r="N2035" s="18"/>
      <c r="O2035" s="16"/>
      <c r="P2035" s="36">
        <f t="shared" si="1258"/>
        <v>0</v>
      </c>
      <c r="Q2035" s="17">
        <f t="shared" si="1259"/>
        <v>10</v>
      </c>
      <c r="R2035" s="81">
        <v>45888</v>
      </c>
    </row>
    <row r="2036" spans="1:18" x14ac:dyDescent="0.15">
      <c r="A2036" s="35" t="s">
        <v>651</v>
      </c>
      <c r="B2036" s="15">
        <f>1+2</f>
        <v>3</v>
      </c>
      <c r="C2036" s="16"/>
      <c r="D2036" s="36">
        <f t="shared" si="1263"/>
        <v>3</v>
      </c>
      <c r="E2036" s="18">
        <f>3+4</f>
        <v>7</v>
      </c>
      <c r="F2036" s="16"/>
      <c r="G2036" s="36">
        <f t="shared" si="1264"/>
        <v>7</v>
      </c>
      <c r="H2036" s="17">
        <f t="shared" si="1265"/>
        <v>10</v>
      </c>
      <c r="I2036" s="84">
        <v>45875</v>
      </c>
      <c r="J2036" s="52" t="s">
        <v>91</v>
      </c>
      <c r="K2036" s="15"/>
      <c r="L2036" s="16"/>
      <c r="M2036" s="36">
        <f t="shared" si="1257"/>
        <v>0</v>
      </c>
      <c r="N2036" s="18">
        <v>10</v>
      </c>
      <c r="O2036" s="16"/>
      <c r="P2036" s="36">
        <f t="shared" si="1258"/>
        <v>10</v>
      </c>
      <c r="Q2036" s="17">
        <f t="shared" si="1259"/>
        <v>10</v>
      </c>
      <c r="R2036" s="81">
        <v>45896</v>
      </c>
    </row>
    <row r="2037" spans="1:18" x14ac:dyDescent="0.15">
      <c r="A2037" s="35" t="s">
        <v>651</v>
      </c>
      <c r="B2037" s="15">
        <v>1</v>
      </c>
      <c r="C2037" s="16"/>
      <c r="D2037" s="36">
        <f t="shared" si="1263"/>
        <v>1</v>
      </c>
      <c r="E2037" s="18"/>
      <c r="F2037" s="16"/>
      <c r="G2037" s="36">
        <f t="shared" si="1264"/>
        <v>0</v>
      </c>
      <c r="H2037" s="17">
        <f t="shared" si="1265"/>
        <v>1</v>
      </c>
      <c r="I2037" s="84">
        <v>45876</v>
      </c>
      <c r="J2037" s="52" t="s">
        <v>703</v>
      </c>
      <c r="K2037" s="15">
        <v>140</v>
      </c>
      <c r="L2037" s="16"/>
      <c r="M2037" s="36">
        <f t="shared" ref="M2037:M2041" si="1266">SUM(K2037:L2037)</f>
        <v>140</v>
      </c>
      <c r="N2037" s="18">
        <v>200</v>
      </c>
      <c r="O2037" s="16"/>
      <c r="P2037" s="36">
        <f t="shared" ref="P2037:P2041" si="1267">SUM(N2037:O2037)</f>
        <v>200</v>
      </c>
      <c r="Q2037" s="17">
        <f t="shared" ref="Q2037:Q2041" si="1268">M2037+P2037</f>
        <v>340</v>
      </c>
      <c r="R2037" s="81">
        <v>45898</v>
      </c>
    </row>
    <row r="2038" spans="1:18" x14ac:dyDescent="0.15">
      <c r="A2038" s="35" t="s">
        <v>651</v>
      </c>
      <c r="B2038" s="15">
        <v>1</v>
      </c>
      <c r="C2038" s="16"/>
      <c r="D2038" s="36">
        <f t="shared" si="1263"/>
        <v>1</v>
      </c>
      <c r="E2038" s="18"/>
      <c r="F2038" s="16"/>
      <c r="G2038" s="36">
        <f t="shared" si="1264"/>
        <v>0</v>
      </c>
      <c r="H2038" s="17">
        <f t="shared" si="1265"/>
        <v>1</v>
      </c>
      <c r="I2038" s="84">
        <v>45878</v>
      </c>
      <c r="J2038" s="52" t="s">
        <v>91</v>
      </c>
      <c r="K2038" s="15">
        <v>3</v>
      </c>
      <c r="L2038" s="16"/>
      <c r="M2038" s="17">
        <f t="shared" si="1266"/>
        <v>3</v>
      </c>
      <c r="N2038" s="18">
        <v>6</v>
      </c>
      <c r="O2038" s="16"/>
      <c r="P2038" s="17">
        <f t="shared" si="1267"/>
        <v>6</v>
      </c>
      <c r="Q2038" s="17">
        <f t="shared" si="1268"/>
        <v>9</v>
      </c>
      <c r="R2038" s="81">
        <v>45898</v>
      </c>
    </row>
    <row r="2039" spans="1:18" x14ac:dyDescent="0.15">
      <c r="A2039" s="35" t="s">
        <v>651</v>
      </c>
      <c r="B2039" s="15">
        <v>2</v>
      </c>
      <c r="C2039" s="16"/>
      <c r="D2039" s="36">
        <f t="shared" si="1263"/>
        <v>2</v>
      </c>
      <c r="E2039" s="18">
        <v>4</v>
      </c>
      <c r="F2039" s="16"/>
      <c r="G2039" s="36">
        <f t="shared" si="1264"/>
        <v>4</v>
      </c>
      <c r="H2039" s="17">
        <f t="shared" si="1265"/>
        <v>6</v>
      </c>
      <c r="I2039" s="84">
        <v>45887</v>
      </c>
      <c r="J2039" s="52" t="s">
        <v>91</v>
      </c>
      <c r="K2039" s="15"/>
      <c r="L2039" s="16"/>
      <c r="M2039" s="36">
        <f t="shared" si="1266"/>
        <v>0</v>
      </c>
      <c r="N2039" s="18">
        <v>10</v>
      </c>
      <c r="O2039" s="16"/>
      <c r="P2039" s="36">
        <f t="shared" si="1267"/>
        <v>10</v>
      </c>
      <c r="Q2039" s="17">
        <f t="shared" si="1268"/>
        <v>10</v>
      </c>
      <c r="R2039" s="81">
        <v>45905</v>
      </c>
    </row>
    <row r="2040" spans="1:18" x14ac:dyDescent="0.15">
      <c r="A2040" s="35" t="s">
        <v>651</v>
      </c>
      <c r="B2040" s="15"/>
      <c r="C2040" s="16"/>
      <c r="D2040" s="36">
        <f t="shared" si="1263"/>
        <v>0</v>
      </c>
      <c r="E2040" s="18">
        <v>2</v>
      </c>
      <c r="F2040" s="16"/>
      <c r="G2040" s="36">
        <f t="shared" si="1264"/>
        <v>2</v>
      </c>
      <c r="H2040" s="17">
        <f t="shared" si="1265"/>
        <v>2</v>
      </c>
      <c r="I2040" s="84">
        <v>45891</v>
      </c>
      <c r="J2040" s="52" t="s">
        <v>91</v>
      </c>
      <c r="K2040" s="15">
        <v>5</v>
      </c>
      <c r="L2040" s="16"/>
      <c r="M2040" s="36">
        <f t="shared" si="1266"/>
        <v>5</v>
      </c>
      <c r="N2040" s="18">
        <v>5</v>
      </c>
      <c r="O2040" s="16"/>
      <c r="P2040" s="36">
        <f t="shared" si="1267"/>
        <v>5</v>
      </c>
      <c r="Q2040" s="17">
        <f t="shared" si="1268"/>
        <v>10</v>
      </c>
      <c r="R2040" s="81">
        <v>45918</v>
      </c>
    </row>
    <row r="2041" spans="1:18" x14ac:dyDescent="0.15">
      <c r="A2041" s="35" t="s">
        <v>651</v>
      </c>
      <c r="B2041" s="15"/>
      <c r="C2041" s="16"/>
      <c r="D2041" s="36">
        <f t="shared" si="1263"/>
        <v>0</v>
      </c>
      <c r="E2041" s="18">
        <v>2</v>
      </c>
      <c r="F2041" s="16"/>
      <c r="G2041" s="36">
        <f t="shared" si="1264"/>
        <v>2</v>
      </c>
      <c r="H2041" s="17">
        <f t="shared" si="1265"/>
        <v>2</v>
      </c>
      <c r="I2041" s="84">
        <v>45894</v>
      </c>
      <c r="J2041" s="52" t="s">
        <v>91</v>
      </c>
      <c r="K2041" s="15">
        <v>5</v>
      </c>
      <c r="L2041" s="16"/>
      <c r="M2041" s="36">
        <f t="shared" si="1266"/>
        <v>5</v>
      </c>
      <c r="N2041" s="18">
        <v>5</v>
      </c>
      <c r="O2041" s="16"/>
      <c r="P2041" s="36">
        <f t="shared" si="1267"/>
        <v>5</v>
      </c>
      <c r="Q2041" s="17">
        <f t="shared" si="1268"/>
        <v>10</v>
      </c>
      <c r="R2041" s="81">
        <v>45926</v>
      </c>
    </row>
    <row r="2042" spans="1:18" x14ac:dyDescent="0.15">
      <c r="A2042" s="35" t="s">
        <v>651</v>
      </c>
      <c r="B2042" s="15"/>
      <c r="C2042" s="16"/>
      <c r="D2042" s="36">
        <f t="shared" si="1263"/>
        <v>0</v>
      </c>
      <c r="E2042" s="18">
        <v>6</v>
      </c>
      <c r="F2042" s="16"/>
      <c r="G2042" s="36">
        <f t="shared" si="1264"/>
        <v>6</v>
      </c>
      <c r="H2042" s="17">
        <f t="shared" si="1265"/>
        <v>6</v>
      </c>
      <c r="I2042" s="84">
        <v>45894</v>
      </c>
      <c r="J2042" s="52"/>
      <c r="K2042" s="15"/>
      <c r="L2042" s="16"/>
      <c r="M2042" s="36">
        <f t="shared" si="1257"/>
        <v>0</v>
      </c>
      <c r="N2042" s="18"/>
      <c r="O2042" s="16"/>
      <c r="P2042" s="36">
        <f t="shared" si="1258"/>
        <v>0</v>
      </c>
      <c r="Q2042" s="17">
        <f t="shared" si="1259"/>
        <v>0</v>
      </c>
      <c r="R2042" s="83"/>
    </row>
    <row r="2043" spans="1:18" x14ac:dyDescent="0.15">
      <c r="A2043" s="35" t="s">
        <v>651</v>
      </c>
      <c r="B2043" s="15"/>
      <c r="C2043" s="16"/>
      <c r="D2043" s="36">
        <f t="shared" si="1263"/>
        <v>0</v>
      </c>
      <c r="E2043" s="18">
        <v>1</v>
      </c>
      <c r="F2043" s="16"/>
      <c r="G2043" s="36">
        <f t="shared" si="1264"/>
        <v>1</v>
      </c>
      <c r="H2043" s="17">
        <f t="shared" si="1265"/>
        <v>1</v>
      </c>
      <c r="I2043" s="84">
        <v>45899</v>
      </c>
      <c r="J2043" s="52"/>
      <c r="K2043" s="15"/>
      <c r="L2043" s="16"/>
      <c r="M2043" s="36">
        <f t="shared" si="1257"/>
        <v>0</v>
      </c>
      <c r="N2043" s="18"/>
      <c r="O2043" s="16"/>
      <c r="P2043" s="36">
        <f t="shared" si="1258"/>
        <v>0</v>
      </c>
      <c r="Q2043" s="17">
        <f t="shared" si="1259"/>
        <v>0</v>
      </c>
      <c r="R2043" s="83"/>
    </row>
    <row r="2044" spans="1:18" x14ac:dyDescent="0.15">
      <c r="A2044" s="35" t="s">
        <v>651</v>
      </c>
      <c r="B2044" s="15"/>
      <c r="C2044" s="16"/>
      <c r="D2044" s="36">
        <f t="shared" si="1263"/>
        <v>0</v>
      </c>
      <c r="E2044" s="18">
        <v>2</v>
      </c>
      <c r="F2044" s="16"/>
      <c r="G2044" s="36">
        <f t="shared" si="1264"/>
        <v>2</v>
      </c>
      <c r="H2044" s="17">
        <f t="shared" si="1265"/>
        <v>2</v>
      </c>
      <c r="I2044" s="84">
        <v>45901</v>
      </c>
      <c r="J2044" s="52"/>
      <c r="K2044" s="15"/>
      <c r="L2044" s="16"/>
      <c r="M2044" s="36">
        <f t="shared" si="1257"/>
        <v>0</v>
      </c>
      <c r="N2044" s="18"/>
      <c r="O2044" s="16"/>
      <c r="P2044" s="36">
        <f t="shared" si="1258"/>
        <v>0</v>
      </c>
      <c r="Q2044" s="17">
        <f t="shared" si="1259"/>
        <v>0</v>
      </c>
      <c r="R2044" s="83"/>
    </row>
    <row r="2045" spans="1:18" x14ac:dyDescent="0.15">
      <c r="A2045" s="35" t="s">
        <v>651</v>
      </c>
      <c r="B2045" s="15"/>
      <c r="C2045" s="16"/>
      <c r="D2045" s="36">
        <f t="shared" si="1263"/>
        <v>0</v>
      </c>
      <c r="E2045" s="18">
        <v>2</v>
      </c>
      <c r="F2045" s="16"/>
      <c r="G2045" s="36">
        <f t="shared" si="1264"/>
        <v>2</v>
      </c>
      <c r="H2045" s="17">
        <f t="shared" si="1265"/>
        <v>2</v>
      </c>
      <c r="I2045" s="84">
        <v>45902</v>
      </c>
      <c r="J2045" s="52"/>
      <c r="K2045" s="15"/>
      <c r="L2045" s="16"/>
      <c r="M2045" s="36">
        <f t="shared" si="1257"/>
        <v>0</v>
      </c>
      <c r="N2045" s="18"/>
      <c r="O2045" s="16"/>
      <c r="P2045" s="36">
        <f t="shared" si="1258"/>
        <v>0</v>
      </c>
      <c r="Q2045" s="17">
        <f t="shared" si="1259"/>
        <v>0</v>
      </c>
      <c r="R2045" s="83"/>
    </row>
    <row r="2046" spans="1:18" x14ac:dyDescent="0.15">
      <c r="A2046" s="35" t="s">
        <v>651</v>
      </c>
      <c r="B2046" s="15">
        <v>1</v>
      </c>
      <c r="C2046" s="16"/>
      <c r="D2046" s="36">
        <f t="shared" si="1263"/>
        <v>1</v>
      </c>
      <c r="E2046" s="18">
        <v>5</v>
      </c>
      <c r="F2046" s="16"/>
      <c r="G2046" s="36">
        <f t="shared" si="1264"/>
        <v>5</v>
      </c>
      <c r="H2046" s="17">
        <f t="shared" si="1265"/>
        <v>6</v>
      </c>
      <c r="I2046" s="84">
        <v>45905</v>
      </c>
      <c r="J2046" s="52"/>
      <c r="K2046" s="15"/>
      <c r="L2046" s="16"/>
      <c r="M2046" s="36">
        <f t="shared" si="1257"/>
        <v>0</v>
      </c>
      <c r="N2046" s="18"/>
      <c r="O2046" s="16"/>
      <c r="P2046" s="36">
        <f t="shared" si="1258"/>
        <v>0</v>
      </c>
      <c r="Q2046" s="17">
        <f t="shared" si="1259"/>
        <v>0</v>
      </c>
      <c r="R2046" s="83"/>
    </row>
    <row r="2047" spans="1:18" x14ac:dyDescent="0.15">
      <c r="A2047" s="35" t="s">
        <v>651</v>
      </c>
      <c r="B2047" s="15"/>
      <c r="C2047" s="16"/>
      <c r="D2047" s="36">
        <f t="shared" si="1263"/>
        <v>0</v>
      </c>
      <c r="E2047" s="18">
        <v>2</v>
      </c>
      <c r="F2047" s="16"/>
      <c r="G2047" s="36">
        <f t="shared" si="1264"/>
        <v>2</v>
      </c>
      <c r="H2047" s="17">
        <f t="shared" si="1265"/>
        <v>2</v>
      </c>
      <c r="I2047" s="84">
        <v>45906</v>
      </c>
      <c r="J2047" s="52"/>
      <c r="K2047" s="15"/>
      <c r="L2047" s="16"/>
      <c r="M2047" s="36">
        <f t="shared" si="1257"/>
        <v>0</v>
      </c>
      <c r="N2047" s="18"/>
      <c r="O2047" s="16"/>
      <c r="P2047" s="36">
        <f t="shared" si="1258"/>
        <v>0</v>
      </c>
      <c r="Q2047" s="17">
        <f t="shared" si="1259"/>
        <v>0</v>
      </c>
      <c r="R2047" s="83"/>
    </row>
    <row r="2048" spans="1:18" x14ac:dyDescent="0.15">
      <c r="A2048" s="35" t="s">
        <v>651</v>
      </c>
      <c r="B2048" s="15">
        <v>4</v>
      </c>
      <c r="C2048" s="16"/>
      <c r="D2048" s="36">
        <f t="shared" si="1263"/>
        <v>4</v>
      </c>
      <c r="E2048" s="18"/>
      <c r="F2048" s="16"/>
      <c r="G2048" s="36">
        <f t="shared" si="1264"/>
        <v>0</v>
      </c>
      <c r="H2048" s="17">
        <f t="shared" si="1265"/>
        <v>4</v>
      </c>
      <c r="I2048" s="84">
        <v>45908</v>
      </c>
      <c r="J2048" s="52"/>
      <c r="K2048" s="15"/>
      <c r="L2048" s="16"/>
      <c r="M2048" s="36">
        <f t="shared" si="1257"/>
        <v>0</v>
      </c>
      <c r="N2048" s="18"/>
      <c r="O2048" s="16"/>
      <c r="P2048" s="36">
        <f t="shared" si="1258"/>
        <v>0</v>
      </c>
      <c r="Q2048" s="17">
        <f t="shared" si="1259"/>
        <v>0</v>
      </c>
    </row>
    <row r="2049" spans="1:18" x14ac:dyDescent="0.15">
      <c r="A2049" s="35" t="s">
        <v>651</v>
      </c>
      <c r="B2049" s="15">
        <v>2</v>
      </c>
      <c r="C2049" s="16"/>
      <c r="D2049" s="36">
        <f t="shared" si="1263"/>
        <v>2</v>
      </c>
      <c r="E2049" s="18"/>
      <c r="F2049" s="16"/>
      <c r="G2049" s="36">
        <f t="shared" si="1264"/>
        <v>0</v>
      </c>
      <c r="H2049" s="17">
        <f t="shared" si="1265"/>
        <v>2</v>
      </c>
      <c r="I2049" s="84">
        <v>45909</v>
      </c>
      <c r="J2049" s="52"/>
      <c r="K2049" s="15"/>
      <c r="L2049" s="16"/>
      <c r="M2049" s="36">
        <f t="shared" si="1257"/>
        <v>0</v>
      </c>
      <c r="N2049" s="18"/>
      <c r="O2049" s="16"/>
      <c r="P2049" s="36">
        <f t="shared" si="1258"/>
        <v>0</v>
      </c>
      <c r="Q2049" s="17">
        <f t="shared" si="1259"/>
        <v>0</v>
      </c>
    </row>
    <row r="2050" spans="1:18" x14ac:dyDescent="0.15">
      <c r="A2050" s="35" t="s">
        <v>651</v>
      </c>
      <c r="B2050" s="15"/>
      <c r="C2050" s="16"/>
      <c r="D2050" s="36">
        <f t="shared" si="1263"/>
        <v>0</v>
      </c>
      <c r="E2050" s="18">
        <v>2</v>
      </c>
      <c r="F2050" s="16"/>
      <c r="G2050" s="36">
        <f t="shared" si="1264"/>
        <v>2</v>
      </c>
      <c r="H2050" s="17">
        <f t="shared" si="1265"/>
        <v>2</v>
      </c>
      <c r="I2050" s="84">
        <v>45910</v>
      </c>
      <c r="J2050" s="52"/>
      <c r="K2050" s="15"/>
      <c r="L2050" s="16"/>
      <c r="M2050" s="36">
        <f t="shared" si="1257"/>
        <v>0</v>
      </c>
      <c r="N2050" s="18"/>
      <c r="O2050" s="16"/>
      <c r="P2050" s="36">
        <f t="shared" si="1258"/>
        <v>0</v>
      </c>
      <c r="Q2050" s="17">
        <f t="shared" si="1259"/>
        <v>0</v>
      </c>
    </row>
    <row r="2051" spans="1:18" x14ac:dyDescent="0.15">
      <c r="A2051" s="35" t="s">
        <v>651</v>
      </c>
      <c r="B2051" s="15"/>
      <c r="C2051" s="16"/>
      <c r="D2051" s="36">
        <f t="shared" si="1263"/>
        <v>0</v>
      </c>
      <c r="E2051" s="18">
        <v>4</v>
      </c>
      <c r="F2051" s="16"/>
      <c r="G2051" s="36">
        <f t="shared" si="1264"/>
        <v>4</v>
      </c>
      <c r="H2051" s="17">
        <f t="shared" si="1265"/>
        <v>4</v>
      </c>
      <c r="I2051" s="84">
        <v>45911</v>
      </c>
      <c r="J2051" s="52"/>
      <c r="K2051" s="15"/>
      <c r="L2051" s="16"/>
      <c r="M2051" s="36">
        <f t="shared" si="1257"/>
        <v>0</v>
      </c>
      <c r="N2051" s="18"/>
      <c r="O2051" s="16"/>
      <c r="P2051" s="36">
        <f t="shared" si="1258"/>
        <v>0</v>
      </c>
      <c r="Q2051" s="17">
        <f t="shared" si="1259"/>
        <v>0</v>
      </c>
    </row>
    <row r="2052" spans="1:18" x14ac:dyDescent="0.15">
      <c r="A2052" s="35" t="s">
        <v>651</v>
      </c>
      <c r="B2052" s="15">
        <v>2</v>
      </c>
      <c r="C2052" s="16"/>
      <c r="D2052" s="36">
        <f t="shared" si="1263"/>
        <v>2</v>
      </c>
      <c r="E2052" s="18"/>
      <c r="F2052" s="16"/>
      <c r="G2052" s="36">
        <f t="shared" si="1264"/>
        <v>0</v>
      </c>
      <c r="H2052" s="17">
        <f t="shared" si="1265"/>
        <v>2</v>
      </c>
      <c r="I2052" s="84">
        <v>45912</v>
      </c>
      <c r="J2052" s="52"/>
      <c r="K2052" s="15"/>
      <c r="L2052" s="16"/>
      <c r="M2052" s="36">
        <f t="shared" si="1257"/>
        <v>0</v>
      </c>
      <c r="N2052" s="18"/>
      <c r="O2052" s="16"/>
      <c r="P2052" s="36">
        <f t="shared" si="1258"/>
        <v>0</v>
      </c>
      <c r="Q2052" s="17">
        <f t="shared" si="1259"/>
        <v>0</v>
      </c>
    </row>
    <row r="2053" spans="1:18" x14ac:dyDescent="0.15">
      <c r="A2053" s="35" t="s">
        <v>651</v>
      </c>
      <c r="B2053" s="15">
        <v>2</v>
      </c>
      <c r="C2053" s="16"/>
      <c r="D2053" s="36">
        <f t="shared" si="1263"/>
        <v>2</v>
      </c>
      <c r="E2053" s="18">
        <v>2</v>
      </c>
      <c r="F2053" s="16"/>
      <c r="G2053" s="36">
        <f t="shared" si="1264"/>
        <v>2</v>
      </c>
      <c r="H2053" s="17">
        <f t="shared" si="1265"/>
        <v>4</v>
      </c>
      <c r="I2053" s="84">
        <v>45916</v>
      </c>
      <c r="J2053" s="52"/>
      <c r="K2053" s="15"/>
      <c r="L2053" s="16"/>
      <c r="M2053" s="36">
        <f t="shared" si="1257"/>
        <v>0</v>
      </c>
      <c r="N2053" s="18"/>
      <c r="O2053" s="16"/>
      <c r="P2053" s="36">
        <f t="shared" si="1258"/>
        <v>0</v>
      </c>
      <c r="Q2053" s="17">
        <f t="shared" si="1259"/>
        <v>0</v>
      </c>
    </row>
    <row r="2054" spans="1:18" x14ac:dyDescent="0.15">
      <c r="A2054" s="35" t="s">
        <v>651</v>
      </c>
      <c r="B2054" s="15">
        <v>2</v>
      </c>
      <c r="C2054" s="16"/>
      <c r="D2054" s="36">
        <f t="shared" si="1263"/>
        <v>2</v>
      </c>
      <c r="E2054" s="18">
        <v>1</v>
      </c>
      <c r="F2054" s="16"/>
      <c r="G2054" s="36">
        <f t="shared" si="1264"/>
        <v>1</v>
      </c>
      <c r="H2054" s="17">
        <f t="shared" si="1265"/>
        <v>3</v>
      </c>
      <c r="I2054" s="84">
        <v>45917</v>
      </c>
      <c r="J2054" s="52"/>
      <c r="K2054" s="15"/>
      <c r="L2054" s="16"/>
      <c r="M2054" s="36">
        <f t="shared" si="1257"/>
        <v>0</v>
      </c>
      <c r="N2054" s="18"/>
      <c r="O2054" s="16"/>
      <c r="P2054" s="36">
        <f t="shared" si="1258"/>
        <v>0</v>
      </c>
      <c r="Q2054" s="17">
        <f t="shared" si="1259"/>
        <v>0</v>
      </c>
    </row>
    <row r="2055" spans="1:18" x14ac:dyDescent="0.15">
      <c r="A2055" s="35" t="s">
        <v>651</v>
      </c>
      <c r="B2055" s="15">
        <v>2</v>
      </c>
      <c r="C2055" s="16"/>
      <c r="D2055" s="36">
        <f t="shared" si="1263"/>
        <v>2</v>
      </c>
      <c r="E2055" s="18"/>
      <c r="F2055" s="16"/>
      <c r="G2055" s="36">
        <f t="shared" si="1264"/>
        <v>0</v>
      </c>
      <c r="H2055" s="17">
        <f t="shared" si="1265"/>
        <v>2</v>
      </c>
      <c r="I2055" s="84">
        <v>45917</v>
      </c>
      <c r="J2055" s="52"/>
      <c r="K2055" s="15"/>
      <c r="L2055" s="16"/>
      <c r="M2055" s="36">
        <f t="shared" si="1257"/>
        <v>0</v>
      </c>
      <c r="N2055" s="18"/>
      <c r="O2055" s="16"/>
      <c r="P2055" s="36">
        <f t="shared" si="1258"/>
        <v>0</v>
      </c>
      <c r="Q2055" s="17">
        <f t="shared" si="1259"/>
        <v>0</v>
      </c>
    </row>
    <row r="2056" spans="1:18" x14ac:dyDescent="0.15">
      <c r="A2056" s="35" t="s">
        <v>651</v>
      </c>
      <c r="B2056" s="15">
        <f>1+2</f>
        <v>3</v>
      </c>
      <c r="C2056" s="16">
        <v>1</v>
      </c>
      <c r="D2056" s="36">
        <f t="shared" si="1254"/>
        <v>4</v>
      </c>
      <c r="E2056" s="18">
        <v>6</v>
      </c>
      <c r="F2056" s="16"/>
      <c r="G2056" s="36">
        <f t="shared" si="1255"/>
        <v>6</v>
      </c>
      <c r="H2056" s="17">
        <f t="shared" si="1256"/>
        <v>10</v>
      </c>
      <c r="I2056" s="84">
        <v>45922</v>
      </c>
      <c r="J2056" s="52"/>
      <c r="K2056" s="15"/>
      <c r="L2056" s="16"/>
      <c r="M2056" s="36">
        <f t="shared" si="1257"/>
        <v>0</v>
      </c>
      <c r="N2056" s="18"/>
      <c r="O2056" s="16"/>
      <c r="P2056" s="36">
        <f t="shared" si="1258"/>
        <v>0</v>
      </c>
      <c r="Q2056" s="17">
        <f t="shared" si="1259"/>
        <v>0</v>
      </c>
    </row>
    <row r="2057" spans="1:18" x14ac:dyDescent="0.15">
      <c r="A2057" s="35" t="s">
        <v>651</v>
      </c>
      <c r="B2057" s="15">
        <v>1</v>
      </c>
      <c r="C2057" s="16"/>
      <c r="D2057" s="36">
        <f t="shared" si="1254"/>
        <v>1</v>
      </c>
      <c r="E2057" s="18">
        <v>2</v>
      </c>
      <c r="F2057" s="16"/>
      <c r="G2057" s="36">
        <f t="shared" si="1255"/>
        <v>2</v>
      </c>
      <c r="H2057" s="17">
        <f t="shared" si="1256"/>
        <v>3</v>
      </c>
      <c r="I2057" s="84">
        <v>45924</v>
      </c>
      <c r="J2057" s="52"/>
      <c r="K2057" s="15"/>
      <c r="L2057" s="16"/>
      <c r="M2057" s="36">
        <f t="shared" si="1257"/>
        <v>0</v>
      </c>
      <c r="N2057" s="18"/>
      <c r="O2057" s="16"/>
      <c r="P2057" s="36">
        <f t="shared" si="1258"/>
        <v>0</v>
      </c>
      <c r="Q2057" s="17">
        <f t="shared" si="1259"/>
        <v>0</v>
      </c>
    </row>
    <row r="2058" spans="1:18" x14ac:dyDescent="0.15">
      <c r="A2058" s="52" t="s">
        <v>651</v>
      </c>
      <c r="B2058" s="15"/>
      <c r="C2058" s="16"/>
      <c r="D2058" s="36">
        <f t="shared" si="1254"/>
        <v>0</v>
      </c>
      <c r="E2058" s="18">
        <v>5</v>
      </c>
      <c r="F2058" s="16"/>
      <c r="G2058" s="36">
        <f t="shared" si="1255"/>
        <v>5</v>
      </c>
      <c r="H2058" s="17">
        <f t="shared" si="1256"/>
        <v>5</v>
      </c>
      <c r="I2058" s="84">
        <v>45925</v>
      </c>
      <c r="J2058" s="52"/>
      <c r="K2058" s="15"/>
      <c r="L2058" s="16"/>
      <c r="M2058" s="36">
        <f t="shared" si="1257"/>
        <v>0</v>
      </c>
      <c r="N2058" s="18"/>
      <c r="O2058" s="16"/>
      <c r="P2058" s="36">
        <f t="shared" si="1258"/>
        <v>0</v>
      </c>
      <c r="Q2058" s="17">
        <f t="shared" si="1259"/>
        <v>0</v>
      </c>
    </row>
    <row r="2059" spans="1:18" x14ac:dyDescent="0.15">
      <c r="A2059" s="52" t="s">
        <v>651</v>
      </c>
      <c r="B2059" s="15">
        <v>1</v>
      </c>
      <c r="C2059" s="16"/>
      <c r="D2059" s="36">
        <f t="shared" si="1254"/>
        <v>1</v>
      </c>
      <c r="E2059" s="18">
        <v>1</v>
      </c>
      <c r="F2059" s="16"/>
      <c r="G2059" s="36">
        <f t="shared" si="1255"/>
        <v>1</v>
      </c>
      <c r="H2059" s="17">
        <f t="shared" si="1256"/>
        <v>2</v>
      </c>
      <c r="I2059" s="84">
        <v>45926</v>
      </c>
      <c r="J2059" s="52"/>
      <c r="K2059" s="15"/>
      <c r="L2059" s="16"/>
      <c r="M2059" s="36">
        <f t="shared" si="1257"/>
        <v>0</v>
      </c>
      <c r="N2059" s="18"/>
      <c r="O2059" s="16"/>
      <c r="P2059" s="36">
        <f t="shared" si="1258"/>
        <v>0</v>
      </c>
      <c r="Q2059" s="17">
        <f t="shared" si="1259"/>
        <v>0</v>
      </c>
    </row>
    <row r="2060" spans="1:18" ht="14.25" thickBot="1" x14ac:dyDescent="0.2">
      <c r="A2060" s="52" t="s">
        <v>651</v>
      </c>
      <c r="B2060" s="15">
        <v>2</v>
      </c>
      <c r="C2060" s="16"/>
      <c r="D2060" s="36">
        <f t="shared" si="1254"/>
        <v>2</v>
      </c>
      <c r="E2060" s="18"/>
      <c r="F2060" s="16"/>
      <c r="G2060" s="36">
        <f t="shared" si="1255"/>
        <v>0</v>
      </c>
      <c r="H2060" s="17">
        <f t="shared" si="1256"/>
        <v>2</v>
      </c>
      <c r="I2060" s="84">
        <v>45930</v>
      </c>
      <c r="J2060" s="52" t="s">
        <v>702</v>
      </c>
      <c r="K2060" s="15"/>
      <c r="L2060" s="16"/>
      <c r="M2060" s="36">
        <f t="shared" si="1257"/>
        <v>0</v>
      </c>
      <c r="N2060" s="18"/>
      <c r="O2060" s="16"/>
      <c r="P2060" s="36">
        <f t="shared" si="1258"/>
        <v>0</v>
      </c>
      <c r="Q2060" s="17">
        <f t="shared" si="1259"/>
        <v>0</v>
      </c>
      <c r="R2060" s="83" t="s">
        <v>701</v>
      </c>
    </row>
    <row r="2061" spans="1:18" ht="14.25" thickBot="1" x14ac:dyDescent="0.2">
      <c r="A2061" s="40" t="s">
        <v>14</v>
      </c>
      <c r="B2061" s="41">
        <f>SUM(B2035:B2060)</f>
        <v>29</v>
      </c>
      <c r="C2061" s="42">
        <f>SUM(C2035:C2060)</f>
        <v>1</v>
      </c>
      <c r="D2061" s="43">
        <f t="shared" si="1254"/>
        <v>30</v>
      </c>
      <c r="E2061" s="41">
        <f>SUM(E2035:E2060)</f>
        <v>58</v>
      </c>
      <c r="F2061" s="96">
        <f t="shared" ref="F2061" si="1269">SUM(F2035:F2060)</f>
        <v>0</v>
      </c>
      <c r="G2061" s="43">
        <f t="shared" si="1255"/>
        <v>58</v>
      </c>
      <c r="H2061" s="43">
        <f t="shared" si="1256"/>
        <v>88</v>
      </c>
      <c r="J2061" s="40" t="s">
        <v>14</v>
      </c>
      <c r="K2061" s="41">
        <f>SUM(K2035:K2060)</f>
        <v>163</v>
      </c>
      <c r="L2061" s="96">
        <f t="shared" ref="L2061" si="1270">SUM(L2035:L2060)</f>
        <v>0</v>
      </c>
      <c r="M2061" s="43">
        <f t="shared" si="1257"/>
        <v>163</v>
      </c>
      <c r="N2061" s="41">
        <f>SUM(N2035:N2060)</f>
        <v>236</v>
      </c>
      <c r="O2061" s="96">
        <f t="shared" ref="O2061" si="1271">SUM(O2035:O2060)</f>
        <v>0</v>
      </c>
      <c r="P2061" s="43">
        <f t="shared" si="1258"/>
        <v>236</v>
      </c>
      <c r="Q2061" s="43">
        <f t="shared" si="1259"/>
        <v>399</v>
      </c>
    </row>
    <row r="2062" spans="1:18" ht="14.25" thickBot="1" x14ac:dyDescent="0.2">
      <c r="A2062" s="44" t="s">
        <v>15</v>
      </c>
      <c r="B2062" s="45">
        <f>B2034-B2061</f>
        <v>7</v>
      </c>
      <c r="C2062" s="46">
        <f>C2034-C2061</f>
        <v>4</v>
      </c>
      <c r="D2062" s="47">
        <f t="shared" si="1254"/>
        <v>11</v>
      </c>
      <c r="E2062" s="45">
        <f>E2034-E2061</f>
        <v>4</v>
      </c>
      <c r="F2062" s="97">
        <f t="shared" ref="F2062" si="1272">F2034-F2061</f>
        <v>0</v>
      </c>
      <c r="G2062" s="47">
        <f t="shared" si="1255"/>
        <v>4</v>
      </c>
      <c r="H2062" s="34">
        <f t="shared" si="1256"/>
        <v>15</v>
      </c>
      <c r="J2062" s="44" t="s">
        <v>15</v>
      </c>
      <c r="K2062" s="45">
        <f>K2034-K2061</f>
        <v>347</v>
      </c>
      <c r="L2062" s="97">
        <f t="shared" ref="L2062" si="1273">L2034-L2061</f>
        <v>0</v>
      </c>
      <c r="M2062" s="47">
        <f t="shared" si="1257"/>
        <v>347</v>
      </c>
      <c r="N2062" s="45">
        <f>N2034-N2061</f>
        <v>63</v>
      </c>
      <c r="O2062" s="97">
        <f t="shared" ref="O2062" si="1274">O2034-O2061</f>
        <v>0</v>
      </c>
      <c r="P2062" s="47">
        <f t="shared" si="1258"/>
        <v>63</v>
      </c>
      <c r="Q2062" s="34">
        <f t="shared" si="1259"/>
        <v>410</v>
      </c>
    </row>
    <row r="2063" spans="1:18" x14ac:dyDescent="0.15">
      <c r="B2063" s="109"/>
      <c r="C2063" s="109" t="s">
        <v>699</v>
      </c>
      <c r="E2063" s="109"/>
      <c r="F2063" s="109" t="s">
        <v>699</v>
      </c>
    </row>
    <row r="2065" spans="1:18" ht="19.5" thickBot="1" x14ac:dyDescent="0.25">
      <c r="A2065" s="1" t="s">
        <v>23</v>
      </c>
      <c r="J2065" s="1" t="s">
        <v>24</v>
      </c>
      <c r="K2065" s="2"/>
      <c r="L2065" s="2"/>
      <c r="M2065" s="2"/>
      <c r="N2065" s="2"/>
      <c r="O2065" s="1" t="s">
        <v>34</v>
      </c>
      <c r="P2065" s="2"/>
      <c r="Q2065" s="2"/>
    </row>
    <row r="2066" spans="1:18" ht="14.25" thickBot="1" x14ac:dyDescent="0.2">
      <c r="A2066" s="3" t="s">
        <v>0</v>
      </c>
      <c r="B2066" s="120" t="s">
        <v>18</v>
      </c>
      <c r="C2066" s="121"/>
      <c r="D2066" s="122"/>
      <c r="E2066" s="120" t="s">
        <v>19</v>
      </c>
      <c r="F2066" s="121"/>
      <c r="G2066" s="122"/>
      <c r="H2066" s="123" t="s">
        <v>1</v>
      </c>
      <c r="J2066" s="3" t="s">
        <v>0</v>
      </c>
      <c r="K2066" s="120" t="s">
        <v>18</v>
      </c>
      <c r="L2066" s="121"/>
      <c r="M2066" s="122"/>
      <c r="N2066" s="120" t="s">
        <v>19</v>
      </c>
      <c r="O2066" s="121"/>
      <c r="P2066" s="122"/>
      <c r="Q2066" s="123" t="s">
        <v>1</v>
      </c>
    </row>
    <row r="2067" spans="1:18" ht="14.25" thickBot="1" x14ac:dyDescent="0.2">
      <c r="A2067" s="3" t="s">
        <v>2</v>
      </c>
      <c r="B2067" s="4" t="s">
        <v>16</v>
      </c>
      <c r="C2067" s="5" t="s">
        <v>17</v>
      </c>
      <c r="D2067" s="3" t="s">
        <v>3</v>
      </c>
      <c r="E2067" s="4" t="s">
        <v>16</v>
      </c>
      <c r="F2067" s="5" t="s">
        <v>17</v>
      </c>
      <c r="G2067" s="3" t="s">
        <v>3</v>
      </c>
      <c r="H2067" s="124"/>
      <c r="J2067" s="3" t="s">
        <v>2</v>
      </c>
      <c r="K2067" s="4" t="s">
        <v>16</v>
      </c>
      <c r="L2067" s="5" t="s">
        <v>17</v>
      </c>
      <c r="M2067" s="3" t="s">
        <v>3</v>
      </c>
      <c r="N2067" s="4" t="s">
        <v>16</v>
      </c>
      <c r="O2067" s="5" t="s">
        <v>17</v>
      </c>
      <c r="P2067" s="3" t="s">
        <v>3</v>
      </c>
      <c r="Q2067" s="124"/>
    </row>
    <row r="2068" spans="1:18" ht="14.25" thickBot="1" x14ac:dyDescent="0.2">
      <c r="A2068" s="6" t="s">
        <v>55</v>
      </c>
      <c r="B2068" s="32">
        <f>B2062</f>
        <v>7</v>
      </c>
      <c r="C2068" s="33">
        <f>C2062</f>
        <v>4</v>
      </c>
      <c r="D2068" s="34">
        <f t="shared" ref="D2068:D2105" si="1275">SUM(B2068:C2068)</f>
        <v>11</v>
      </c>
      <c r="E2068" s="32">
        <f>E2062</f>
        <v>4</v>
      </c>
      <c r="F2068" s="33">
        <f>F2062</f>
        <v>0</v>
      </c>
      <c r="G2068" s="34">
        <f t="shared" ref="G2068:G2105" si="1276">SUM(E2068:F2068)</f>
        <v>4</v>
      </c>
      <c r="H2068" s="34">
        <f t="shared" ref="H2068:H2105" si="1277">D2068+G2068</f>
        <v>15</v>
      </c>
      <c r="J2068" s="6" t="s">
        <v>55</v>
      </c>
      <c r="K2068" s="32">
        <f>K2062</f>
        <v>347</v>
      </c>
      <c r="L2068" s="33">
        <f>L2062</f>
        <v>0</v>
      </c>
      <c r="M2068" s="34">
        <f t="shared" ref="M2068:M2105" si="1278">SUM(K2068:L2068)</f>
        <v>347</v>
      </c>
      <c r="N2068" s="32">
        <f>N2062</f>
        <v>63</v>
      </c>
      <c r="O2068" s="33">
        <f>O2062</f>
        <v>0</v>
      </c>
      <c r="P2068" s="34">
        <f t="shared" ref="P2068:P2105" si="1279">SUM(N2068:O2068)</f>
        <v>63</v>
      </c>
      <c r="Q2068" s="34">
        <f t="shared" ref="Q2068:Q2105" si="1280">M2068+P2068</f>
        <v>410</v>
      </c>
    </row>
    <row r="2069" spans="1:18" x14ac:dyDescent="0.15">
      <c r="A2069" s="10" t="s">
        <v>5</v>
      </c>
      <c r="B2069" s="15">
        <v>10</v>
      </c>
      <c r="C2069" s="16"/>
      <c r="D2069" s="17">
        <f t="shared" si="1275"/>
        <v>10</v>
      </c>
      <c r="E2069" s="18">
        <v>10</v>
      </c>
      <c r="F2069" s="16"/>
      <c r="G2069" s="17">
        <f t="shared" si="1276"/>
        <v>10</v>
      </c>
      <c r="H2069" s="17">
        <f t="shared" si="1277"/>
        <v>20</v>
      </c>
      <c r="I2069" s="81">
        <v>45929</v>
      </c>
      <c r="J2069" s="10" t="s">
        <v>5</v>
      </c>
      <c r="K2069" s="15"/>
      <c r="L2069" s="16"/>
      <c r="M2069" s="17">
        <f t="shared" si="1278"/>
        <v>0</v>
      </c>
      <c r="N2069" s="18"/>
      <c r="O2069" s="16"/>
      <c r="P2069" s="17">
        <f t="shared" si="1279"/>
        <v>0</v>
      </c>
      <c r="Q2069" s="17">
        <f t="shared" si="1280"/>
        <v>0</v>
      </c>
    </row>
    <row r="2070" spans="1:18" x14ac:dyDescent="0.15">
      <c r="A2070" s="10" t="s">
        <v>6</v>
      </c>
      <c r="B2070" s="15">
        <v>9</v>
      </c>
      <c r="C2070" s="16"/>
      <c r="D2070" s="17">
        <f t="shared" si="1275"/>
        <v>9</v>
      </c>
      <c r="E2070" s="18">
        <v>16</v>
      </c>
      <c r="F2070" s="16"/>
      <c r="G2070" s="17">
        <f t="shared" si="1276"/>
        <v>16</v>
      </c>
      <c r="H2070" s="17">
        <f t="shared" si="1277"/>
        <v>25</v>
      </c>
      <c r="I2070" s="81">
        <v>45937</v>
      </c>
      <c r="J2070" s="10" t="s">
        <v>6</v>
      </c>
      <c r="K2070" s="15"/>
      <c r="L2070" s="16"/>
      <c r="M2070" s="17">
        <f t="shared" si="1278"/>
        <v>0</v>
      </c>
      <c r="N2070" s="18"/>
      <c r="O2070" s="16"/>
      <c r="P2070" s="17">
        <f t="shared" si="1279"/>
        <v>0</v>
      </c>
      <c r="Q2070" s="17">
        <f t="shared" si="1280"/>
        <v>0</v>
      </c>
    </row>
    <row r="2071" spans="1:18" x14ac:dyDescent="0.15">
      <c r="A2071" s="110" t="s">
        <v>7</v>
      </c>
      <c r="B2071" s="111"/>
      <c r="C2071" s="112"/>
      <c r="D2071" s="113">
        <f t="shared" si="1275"/>
        <v>0</v>
      </c>
      <c r="E2071" s="114">
        <v>10</v>
      </c>
      <c r="F2071" s="112"/>
      <c r="G2071" s="113">
        <f t="shared" si="1276"/>
        <v>10</v>
      </c>
      <c r="H2071" s="113">
        <f t="shared" si="1277"/>
        <v>10</v>
      </c>
      <c r="I2071" s="115">
        <v>45944</v>
      </c>
      <c r="J2071" s="110" t="s">
        <v>7</v>
      </c>
      <c r="K2071" s="15"/>
      <c r="L2071" s="16"/>
      <c r="M2071" s="17">
        <f t="shared" si="1278"/>
        <v>0</v>
      </c>
      <c r="N2071" s="18"/>
      <c r="O2071" s="16"/>
      <c r="P2071" s="17">
        <f t="shared" si="1279"/>
        <v>0</v>
      </c>
      <c r="Q2071" s="17">
        <f t="shared" si="1280"/>
        <v>0</v>
      </c>
    </row>
    <row r="2072" spans="1:18" x14ac:dyDescent="0.15">
      <c r="A2072" s="110" t="s">
        <v>8</v>
      </c>
      <c r="B2072" s="111"/>
      <c r="C2072" s="112"/>
      <c r="D2072" s="113">
        <f t="shared" si="1275"/>
        <v>0</v>
      </c>
      <c r="E2072" s="114">
        <v>10</v>
      </c>
      <c r="F2072" s="112"/>
      <c r="G2072" s="113">
        <f t="shared" si="1276"/>
        <v>10</v>
      </c>
      <c r="H2072" s="113">
        <f t="shared" si="1277"/>
        <v>10</v>
      </c>
      <c r="I2072" s="115">
        <v>45951</v>
      </c>
      <c r="J2072" s="10" t="s">
        <v>8</v>
      </c>
      <c r="K2072" s="15"/>
      <c r="L2072" s="16"/>
      <c r="M2072" s="17">
        <f t="shared" si="1278"/>
        <v>0</v>
      </c>
      <c r="N2072" s="18"/>
      <c r="O2072" s="16"/>
      <c r="P2072" s="17">
        <f t="shared" si="1279"/>
        <v>0</v>
      </c>
      <c r="Q2072" s="17">
        <f t="shared" si="1280"/>
        <v>0</v>
      </c>
    </row>
    <row r="2073" spans="1:18" x14ac:dyDescent="0.15">
      <c r="A2073" s="10" t="s">
        <v>9</v>
      </c>
      <c r="B2073" s="15">
        <v>5</v>
      </c>
      <c r="C2073" s="16"/>
      <c r="D2073" s="17">
        <f t="shared" si="1275"/>
        <v>5</v>
      </c>
      <c r="E2073" s="18">
        <v>20</v>
      </c>
      <c r="F2073" s="16"/>
      <c r="G2073" s="17">
        <f t="shared" si="1276"/>
        <v>20</v>
      </c>
      <c r="H2073" s="17">
        <f t="shared" si="1277"/>
        <v>25</v>
      </c>
      <c r="I2073" s="81">
        <v>45959</v>
      </c>
      <c r="J2073" s="10" t="s">
        <v>9</v>
      </c>
      <c r="K2073" s="15"/>
      <c r="L2073" s="16"/>
      <c r="M2073" s="17">
        <f t="shared" si="1278"/>
        <v>0</v>
      </c>
      <c r="N2073" s="18"/>
      <c r="O2073" s="16"/>
      <c r="P2073" s="17">
        <f t="shared" si="1279"/>
        <v>0</v>
      </c>
      <c r="Q2073" s="17">
        <f t="shared" si="1280"/>
        <v>0</v>
      </c>
    </row>
    <row r="2074" spans="1:18" x14ac:dyDescent="0.15">
      <c r="A2074" s="10" t="s">
        <v>10</v>
      </c>
      <c r="B2074" s="15">
        <v>10</v>
      </c>
      <c r="C2074" s="16"/>
      <c r="D2074" s="17">
        <f t="shared" si="1275"/>
        <v>10</v>
      </c>
      <c r="E2074" s="18"/>
      <c r="F2074" s="16"/>
      <c r="G2074" s="17">
        <f t="shared" si="1276"/>
        <v>0</v>
      </c>
      <c r="H2074" s="17">
        <f t="shared" si="1277"/>
        <v>10</v>
      </c>
      <c r="I2074" s="81">
        <v>45962</v>
      </c>
      <c r="J2074" s="10" t="s">
        <v>10</v>
      </c>
      <c r="K2074" s="15"/>
      <c r="L2074" s="16"/>
      <c r="M2074" s="17">
        <f t="shared" si="1278"/>
        <v>0</v>
      </c>
      <c r="N2074" s="18"/>
      <c r="O2074" s="16"/>
      <c r="P2074" s="17">
        <f t="shared" si="1279"/>
        <v>0</v>
      </c>
      <c r="Q2074" s="17">
        <f t="shared" si="1280"/>
        <v>0</v>
      </c>
    </row>
    <row r="2075" spans="1:18" x14ac:dyDescent="0.15">
      <c r="A2075" s="10" t="s">
        <v>700</v>
      </c>
      <c r="B2075" s="15">
        <v>2</v>
      </c>
      <c r="C2075" s="16"/>
      <c r="D2075" s="17">
        <f t="shared" si="1275"/>
        <v>2</v>
      </c>
      <c r="E2075" s="18">
        <v>8</v>
      </c>
      <c r="F2075" s="16"/>
      <c r="G2075" s="17">
        <f t="shared" si="1276"/>
        <v>8</v>
      </c>
      <c r="H2075" s="17">
        <f t="shared" si="1277"/>
        <v>10</v>
      </c>
      <c r="I2075" s="81">
        <v>45978</v>
      </c>
      <c r="J2075" s="10" t="s">
        <v>11</v>
      </c>
      <c r="K2075" s="15"/>
      <c r="L2075" s="16"/>
      <c r="M2075" s="17">
        <f t="shared" si="1278"/>
        <v>0</v>
      </c>
      <c r="N2075" s="18"/>
      <c r="O2075" s="16"/>
      <c r="P2075" s="17">
        <f t="shared" si="1279"/>
        <v>0</v>
      </c>
      <c r="Q2075" s="17">
        <f t="shared" si="1280"/>
        <v>0</v>
      </c>
    </row>
    <row r="2076" spans="1:18" ht="14.25" thickBot="1" x14ac:dyDescent="0.2">
      <c r="A2076" s="10" t="s">
        <v>12</v>
      </c>
      <c r="B2076" s="15"/>
      <c r="C2076" s="16"/>
      <c r="D2076" s="17">
        <f t="shared" si="1275"/>
        <v>0</v>
      </c>
      <c r="E2076" s="18"/>
      <c r="F2076" s="16"/>
      <c r="G2076" s="17">
        <f t="shared" si="1276"/>
        <v>0</v>
      </c>
      <c r="H2076" s="17">
        <f t="shared" si="1277"/>
        <v>0</v>
      </c>
      <c r="I2076" s="81"/>
      <c r="J2076" s="10" t="s">
        <v>12</v>
      </c>
      <c r="K2076" s="15"/>
      <c r="L2076" s="16"/>
      <c r="M2076" s="17">
        <f t="shared" si="1278"/>
        <v>0</v>
      </c>
      <c r="N2076" s="18"/>
      <c r="O2076" s="16"/>
      <c r="P2076" s="17">
        <f t="shared" si="1279"/>
        <v>0</v>
      </c>
      <c r="Q2076" s="17">
        <f t="shared" si="1280"/>
        <v>0</v>
      </c>
    </row>
    <row r="2077" spans="1:18" ht="14.25" thickBot="1" x14ac:dyDescent="0.2">
      <c r="A2077" s="31" t="s">
        <v>13</v>
      </c>
      <c r="B2077" s="32">
        <f>SUM(B2068:B2076)</f>
        <v>43</v>
      </c>
      <c r="C2077" s="33">
        <f>SUM(C2068:C2076)</f>
        <v>4</v>
      </c>
      <c r="D2077" s="34">
        <f t="shared" si="1275"/>
        <v>47</v>
      </c>
      <c r="E2077" s="32">
        <f>SUM(E2068:E2076)</f>
        <v>78</v>
      </c>
      <c r="F2077" s="33">
        <f>SUM(F2068:F2076)</f>
        <v>0</v>
      </c>
      <c r="G2077" s="34">
        <f t="shared" si="1276"/>
        <v>78</v>
      </c>
      <c r="H2077" s="34">
        <f t="shared" si="1277"/>
        <v>125</v>
      </c>
      <c r="J2077" s="31" t="s">
        <v>13</v>
      </c>
      <c r="K2077" s="32">
        <f>SUM(K2068:K2076)</f>
        <v>347</v>
      </c>
      <c r="L2077" s="33">
        <f>SUM(L2068:L2076)</f>
        <v>0</v>
      </c>
      <c r="M2077" s="34">
        <f t="shared" si="1278"/>
        <v>347</v>
      </c>
      <c r="N2077" s="32">
        <f>SUM(N2068:N2076)</f>
        <v>63</v>
      </c>
      <c r="O2077" s="33">
        <f>SUM(O2068:O2076)</f>
        <v>0</v>
      </c>
      <c r="P2077" s="34">
        <f t="shared" si="1279"/>
        <v>63</v>
      </c>
      <c r="Q2077" s="34">
        <f t="shared" si="1280"/>
        <v>410</v>
      </c>
    </row>
    <row r="2078" spans="1:18" x14ac:dyDescent="0.15">
      <c r="A2078" s="35" t="s">
        <v>651</v>
      </c>
      <c r="B2078" s="15"/>
      <c r="C2078" s="16"/>
      <c r="D2078" s="36">
        <f t="shared" si="1275"/>
        <v>0</v>
      </c>
      <c r="E2078" s="18">
        <v>1</v>
      </c>
      <c r="F2078" s="16"/>
      <c r="G2078" s="36">
        <f t="shared" si="1276"/>
        <v>1</v>
      </c>
      <c r="H2078" s="17">
        <f t="shared" si="1277"/>
        <v>1</v>
      </c>
      <c r="I2078" s="84">
        <v>45931</v>
      </c>
      <c r="J2078" s="52" t="s">
        <v>91</v>
      </c>
      <c r="K2078" s="15">
        <v>10</v>
      </c>
      <c r="L2078" s="16"/>
      <c r="M2078" s="36">
        <f t="shared" si="1278"/>
        <v>10</v>
      </c>
      <c r="N2078" s="18">
        <v>10</v>
      </c>
      <c r="O2078" s="16"/>
      <c r="P2078" s="36">
        <f t="shared" si="1279"/>
        <v>10</v>
      </c>
      <c r="Q2078" s="17">
        <f t="shared" si="1280"/>
        <v>20</v>
      </c>
      <c r="R2078" s="81">
        <v>45929</v>
      </c>
    </row>
    <row r="2079" spans="1:18" x14ac:dyDescent="0.15">
      <c r="A2079" s="35" t="s">
        <v>651</v>
      </c>
      <c r="B2079" s="15">
        <v>1</v>
      </c>
      <c r="C2079" s="16"/>
      <c r="D2079" s="36">
        <f t="shared" si="1275"/>
        <v>1</v>
      </c>
      <c r="E2079" s="18"/>
      <c r="F2079" s="16"/>
      <c r="G2079" s="36">
        <f t="shared" si="1276"/>
        <v>0</v>
      </c>
      <c r="H2079" s="17">
        <f t="shared" si="1277"/>
        <v>1</v>
      </c>
      <c r="I2079" s="84">
        <v>45932</v>
      </c>
      <c r="J2079" s="52" t="s">
        <v>91</v>
      </c>
      <c r="K2079" s="15">
        <v>9</v>
      </c>
      <c r="L2079" s="16"/>
      <c r="M2079" s="36">
        <f t="shared" ref="M2079:M2084" si="1281">SUM(K2079:L2079)</f>
        <v>9</v>
      </c>
      <c r="N2079" s="18">
        <v>16</v>
      </c>
      <c r="O2079" s="16"/>
      <c r="P2079" s="36">
        <f t="shared" ref="P2079:P2084" si="1282">SUM(N2079:O2079)</f>
        <v>16</v>
      </c>
      <c r="Q2079" s="17">
        <f t="shared" ref="Q2079:Q2084" si="1283">M2079+P2079</f>
        <v>25</v>
      </c>
      <c r="R2079" s="81">
        <v>45937</v>
      </c>
    </row>
    <row r="2080" spans="1:18" x14ac:dyDescent="0.15">
      <c r="A2080" s="35" t="s">
        <v>651</v>
      </c>
      <c r="B2080" s="15"/>
      <c r="C2080" s="16"/>
      <c r="D2080" s="36">
        <f t="shared" si="1275"/>
        <v>0</v>
      </c>
      <c r="E2080" s="18">
        <v>2</v>
      </c>
      <c r="F2080" s="16"/>
      <c r="G2080" s="36">
        <f t="shared" si="1276"/>
        <v>2</v>
      </c>
      <c r="H2080" s="17">
        <f t="shared" si="1277"/>
        <v>2</v>
      </c>
      <c r="I2080" s="84">
        <v>45933</v>
      </c>
      <c r="J2080" s="116" t="s">
        <v>91</v>
      </c>
      <c r="K2080" s="111"/>
      <c r="L2080" s="112"/>
      <c r="M2080" s="117">
        <f t="shared" ref="M2080" si="1284">SUM(K2080:L2080)</f>
        <v>0</v>
      </c>
      <c r="N2080" s="114">
        <v>10</v>
      </c>
      <c r="O2080" s="112"/>
      <c r="P2080" s="117">
        <f t="shared" ref="P2080" si="1285">SUM(N2080:O2080)</f>
        <v>10</v>
      </c>
      <c r="Q2080" s="113">
        <f t="shared" ref="Q2080" si="1286">M2080+P2080</f>
        <v>10</v>
      </c>
      <c r="R2080" s="115">
        <v>45944</v>
      </c>
    </row>
    <row r="2081" spans="1:18" x14ac:dyDescent="0.15">
      <c r="A2081" s="35" t="s">
        <v>651</v>
      </c>
      <c r="B2081" s="15">
        <v>5</v>
      </c>
      <c r="C2081" s="16"/>
      <c r="D2081" s="36">
        <f t="shared" si="1275"/>
        <v>5</v>
      </c>
      <c r="E2081" s="18">
        <v>11</v>
      </c>
      <c r="F2081" s="16"/>
      <c r="G2081" s="36">
        <f t="shared" si="1276"/>
        <v>11</v>
      </c>
      <c r="H2081" s="17">
        <f t="shared" si="1277"/>
        <v>16</v>
      </c>
      <c r="I2081" s="84">
        <v>45936</v>
      </c>
      <c r="J2081" s="116" t="s">
        <v>91</v>
      </c>
      <c r="K2081" s="111"/>
      <c r="L2081" s="112"/>
      <c r="M2081" s="117">
        <f t="shared" si="1281"/>
        <v>0</v>
      </c>
      <c r="N2081" s="114">
        <v>10</v>
      </c>
      <c r="O2081" s="112"/>
      <c r="P2081" s="117">
        <f t="shared" si="1282"/>
        <v>10</v>
      </c>
      <c r="Q2081" s="113">
        <f t="shared" si="1283"/>
        <v>10</v>
      </c>
      <c r="R2081" s="115">
        <v>45951</v>
      </c>
    </row>
    <row r="2082" spans="1:18" x14ac:dyDescent="0.15">
      <c r="A2082" s="35" t="s">
        <v>651</v>
      </c>
      <c r="B2082" s="15"/>
      <c r="C2082" s="16"/>
      <c r="D2082" s="36">
        <f t="shared" si="1275"/>
        <v>0</v>
      </c>
      <c r="E2082" s="18">
        <v>2</v>
      </c>
      <c r="F2082" s="16"/>
      <c r="G2082" s="36">
        <f t="shared" si="1276"/>
        <v>2</v>
      </c>
      <c r="H2082" s="17">
        <f t="shared" si="1277"/>
        <v>2</v>
      </c>
      <c r="I2082" s="84">
        <v>45937</v>
      </c>
      <c r="J2082" s="52" t="s">
        <v>91</v>
      </c>
      <c r="K2082" s="15">
        <v>5</v>
      </c>
      <c r="L2082" s="16"/>
      <c r="M2082" s="36">
        <f t="shared" si="1281"/>
        <v>5</v>
      </c>
      <c r="N2082" s="18">
        <v>17</v>
      </c>
      <c r="O2082" s="16"/>
      <c r="P2082" s="36">
        <f t="shared" si="1282"/>
        <v>17</v>
      </c>
      <c r="Q2082" s="17">
        <f t="shared" si="1283"/>
        <v>22</v>
      </c>
      <c r="R2082" s="81">
        <v>45959</v>
      </c>
    </row>
    <row r="2083" spans="1:18" x14ac:dyDescent="0.15">
      <c r="A2083" s="35" t="s">
        <v>651</v>
      </c>
      <c r="B2083" s="15"/>
      <c r="C2083" s="16"/>
      <c r="D2083" s="36">
        <f t="shared" si="1275"/>
        <v>0</v>
      </c>
      <c r="E2083" s="18">
        <v>4</v>
      </c>
      <c r="F2083" s="16"/>
      <c r="G2083" s="36">
        <f t="shared" si="1276"/>
        <v>4</v>
      </c>
      <c r="H2083" s="17">
        <f t="shared" si="1277"/>
        <v>4</v>
      </c>
      <c r="I2083" s="84">
        <v>45939</v>
      </c>
      <c r="J2083" s="52" t="s">
        <v>91</v>
      </c>
      <c r="K2083" s="15">
        <v>10</v>
      </c>
      <c r="L2083" s="16"/>
      <c r="M2083" s="36">
        <f t="shared" si="1281"/>
        <v>10</v>
      </c>
      <c r="N2083" s="18"/>
      <c r="O2083" s="16"/>
      <c r="P2083" s="36">
        <f t="shared" si="1282"/>
        <v>0</v>
      </c>
      <c r="Q2083" s="17">
        <f t="shared" si="1283"/>
        <v>10</v>
      </c>
      <c r="R2083" s="81">
        <v>45962</v>
      </c>
    </row>
    <row r="2084" spans="1:18" x14ac:dyDescent="0.15">
      <c r="A2084" s="35" t="s">
        <v>651</v>
      </c>
      <c r="B2084" s="15">
        <v>2</v>
      </c>
      <c r="C2084" s="16"/>
      <c r="D2084" s="36">
        <f t="shared" si="1275"/>
        <v>2</v>
      </c>
      <c r="E2084" s="18">
        <v>2</v>
      </c>
      <c r="F2084" s="16"/>
      <c r="G2084" s="36">
        <f t="shared" si="1276"/>
        <v>2</v>
      </c>
      <c r="H2084" s="17">
        <f t="shared" si="1277"/>
        <v>4</v>
      </c>
      <c r="I2084" s="84">
        <v>45940</v>
      </c>
      <c r="J2084" s="52"/>
      <c r="K2084" s="15"/>
      <c r="L2084" s="16"/>
      <c r="M2084" s="36">
        <f t="shared" si="1281"/>
        <v>0</v>
      </c>
      <c r="N2084" s="18"/>
      <c r="O2084" s="16"/>
      <c r="P2084" s="36">
        <f t="shared" si="1282"/>
        <v>0</v>
      </c>
      <c r="Q2084" s="17">
        <f t="shared" si="1283"/>
        <v>0</v>
      </c>
    </row>
    <row r="2085" spans="1:18" x14ac:dyDescent="0.15">
      <c r="A2085" s="35" t="s">
        <v>651</v>
      </c>
      <c r="B2085" s="15"/>
      <c r="C2085" s="16">
        <v>1</v>
      </c>
      <c r="D2085" s="36">
        <f t="shared" si="1275"/>
        <v>1</v>
      </c>
      <c r="E2085" s="18">
        <v>2</v>
      </c>
      <c r="F2085" s="16"/>
      <c r="G2085" s="36">
        <f t="shared" si="1276"/>
        <v>2</v>
      </c>
      <c r="H2085" s="17">
        <f t="shared" si="1277"/>
        <v>3</v>
      </c>
      <c r="I2085" s="84">
        <v>45945</v>
      </c>
      <c r="J2085" s="52"/>
      <c r="K2085" s="15"/>
      <c r="L2085" s="16"/>
      <c r="M2085" s="36">
        <f t="shared" si="1278"/>
        <v>0</v>
      </c>
      <c r="N2085" s="18"/>
      <c r="O2085" s="16"/>
      <c r="P2085" s="36">
        <f t="shared" si="1279"/>
        <v>0</v>
      </c>
      <c r="Q2085" s="17">
        <f t="shared" si="1280"/>
        <v>0</v>
      </c>
    </row>
    <row r="2086" spans="1:18" x14ac:dyDescent="0.15">
      <c r="A2086" s="35" t="s">
        <v>651</v>
      </c>
      <c r="B2086" s="15"/>
      <c r="C2086" s="16"/>
      <c r="D2086" s="36">
        <f t="shared" si="1275"/>
        <v>0</v>
      </c>
      <c r="E2086" s="18">
        <v>1</v>
      </c>
      <c r="F2086" s="16"/>
      <c r="G2086" s="36">
        <f t="shared" si="1276"/>
        <v>1</v>
      </c>
      <c r="H2086" s="17">
        <f t="shared" si="1277"/>
        <v>1</v>
      </c>
      <c r="I2086" s="84">
        <v>45946</v>
      </c>
      <c r="J2086" s="52"/>
      <c r="K2086" s="15"/>
      <c r="L2086" s="16"/>
      <c r="M2086" s="36">
        <f t="shared" si="1278"/>
        <v>0</v>
      </c>
      <c r="N2086" s="18"/>
      <c r="O2086" s="16"/>
      <c r="P2086" s="36">
        <f t="shared" si="1279"/>
        <v>0</v>
      </c>
      <c r="Q2086" s="17">
        <f t="shared" si="1280"/>
        <v>0</v>
      </c>
    </row>
    <row r="2087" spans="1:18" x14ac:dyDescent="0.15">
      <c r="A2087" s="35" t="s">
        <v>651</v>
      </c>
      <c r="B2087" s="15"/>
      <c r="C2087" s="16"/>
      <c r="D2087" s="36">
        <f t="shared" si="1275"/>
        <v>0</v>
      </c>
      <c r="E2087" s="18">
        <f>2+2</f>
        <v>4</v>
      </c>
      <c r="F2087" s="16"/>
      <c r="G2087" s="36">
        <f t="shared" si="1276"/>
        <v>4</v>
      </c>
      <c r="H2087" s="17">
        <f t="shared" si="1277"/>
        <v>4</v>
      </c>
      <c r="I2087" s="84">
        <v>45947</v>
      </c>
      <c r="J2087" s="52"/>
      <c r="K2087" s="15"/>
      <c r="L2087" s="16"/>
      <c r="M2087" s="36">
        <f t="shared" si="1278"/>
        <v>0</v>
      </c>
      <c r="N2087" s="18"/>
      <c r="O2087" s="16"/>
      <c r="P2087" s="36">
        <f t="shared" si="1279"/>
        <v>0</v>
      </c>
      <c r="Q2087" s="17">
        <f t="shared" si="1280"/>
        <v>0</v>
      </c>
    </row>
    <row r="2088" spans="1:18" x14ac:dyDescent="0.15">
      <c r="A2088" s="35" t="s">
        <v>651</v>
      </c>
      <c r="B2088" s="15"/>
      <c r="C2088" s="16"/>
      <c r="D2088" s="36">
        <f t="shared" si="1275"/>
        <v>0</v>
      </c>
      <c r="E2088" s="18">
        <v>4</v>
      </c>
      <c r="F2088" s="16"/>
      <c r="G2088" s="36">
        <f t="shared" si="1276"/>
        <v>4</v>
      </c>
      <c r="H2088" s="17">
        <f t="shared" si="1277"/>
        <v>4</v>
      </c>
      <c r="I2088" s="84">
        <v>45950</v>
      </c>
      <c r="J2088" s="52"/>
      <c r="K2088" s="15"/>
      <c r="L2088" s="16"/>
      <c r="M2088" s="36">
        <f t="shared" si="1278"/>
        <v>0</v>
      </c>
      <c r="N2088" s="18"/>
      <c r="O2088" s="16"/>
      <c r="P2088" s="36">
        <f t="shared" si="1279"/>
        <v>0</v>
      </c>
      <c r="Q2088" s="17">
        <f t="shared" si="1280"/>
        <v>0</v>
      </c>
    </row>
    <row r="2089" spans="1:18" x14ac:dyDescent="0.15">
      <c r="A2089" s="35" t="s">
        <v>651</v>
      </c>
      <c r="B2089" s="15"/>
      <c r="C2089" s="16">
        <v>2</v>
      </c>
      <c r="D2089" s="36">
        <f t="shared" si="1275"/>
        <v>2</v>
      </c>
      <c r="E2089" s="18"/>
      <c r="F2089" s="16"/>
      <c r="G2089" s="36">
        <f t="shared" si="1276"/>
        <v>0</v>
      </c>
      <c r="H2089" s="17">
        <f t="shared" si="1277"/>
        <v>2</v>
      </c>
      <c r="I2089" s="84">
        <v>45952</v>
      </c>
      <c r="J2089" s="52"/>
      <c r="K2089" s="15"/>
      <c r="L2089" s="16"/>
      <c r="M2089" s="36">
        <f t="shared" si="1278"/>
        <v>0</v>
      </c>
      <c r="N2089" s="18"/>
      <c r="O2089" s="16"/>
      <c r="P2089" s="36">
        <f t="shared" si="1279"/>
        <v>0</v>
      </c>
      <c r="Q2089" s="17">
        <f t="shared" si="1280"/>
        <v>0</v>
      </c>
    </row>
    <row r="2090" spans="1:18" x14ac:dyDescent="0.15">
      <c r="A2090" s="35" t="s">
        <v>651</v>
      </c>
      <c r="B2090" s="15"/>
      <c r="C2090" s="16">
        <v>1</v>
      </c>
      <c r="D2090" s="36">
        <f t="shared" si="1275"/>
        <v>1</v>
      </c>
      <c r="E2090" s="18"/>
      <c r="F2090" s="16"/>
      <c r="G2090" s="36">
        <f t="shared" si="1276"/>
        <v>0</v>
      </c>
      <c r="H2090" s="17">
        <f t="shared" si="1277"/>
        <v>1</v>
      </c>
      <c r="I2090" s="84">
        <v>45954</v>
      </c>
      <c r="J2090" s="52"/>
      <c r="K2090" s="15"/>
      <c r="L2090" s="16"/>
      <c r="M2090" s="36">
        <f t="shared" si="1278"/>
        <v>0</v>
      </c>
      <c r="N2090" s="18"/>
      <c r="O2090" s="16"/>
      <c r="P2090" s="36">
        <f t="shared" si="1279"/>
        <v>0</v>
      </c>
      <c r="Q2090" s="17">
        <f t="shared" si="1280"/>
        <v>0</v>
      </c>
    </row>
    <row r="2091" spans="1:18" x14ac:dyDescent="0.15">
      <c r="A2091" s="35" t="s">
        <v>651</v>
      </c>
      <c r="B2091" s="15">
        <v>7</v>
      </c>
      <c r="C2091" s="16"/>
      <c r="D2091" s="36">
        <f t="shared" si="1275"/>
        <v>7</v>
      </c>
      <c r="E2091" s="18">
        <v>15</v>
      </c>
      <c r="F2091" s="16"/>
      <c r="G2091" s="36">
        <f t="shared" si="1276"/>
        <v>15</v>
      </c>
      <c r="H2091" s="17">
        <f t="shared" si="1277"/>
        <v>22</v>
      </c>
      <c r="I2091" s="84">
        <v>45957</v>
      </c>
      <c r="J2091" s="52"/>
      <c r="K2091" s="15"/>
      <c r="L2091" s="16"/>
      <c r="M2091" s="36">
        <f t="shared" si="1278"/>
        <v>0</v>
      </c>
      <c r="N2091" s="18"/>
      <c r="O2091" s="16"/>
      <c r="P2091" s="36">
        <f t="shared" si="1279"/>
        <v>0</v>
      </c>
      <c r="Q2091" s="17">
        <f t="shared" si="1280"/>
        <v>0</v>
      </c>
    </row>
    <row r="2092" spans="1:18" x14ac:dyDescent="0.15">
      <c r="A2092" s="35" t="s">
        <v>651</v>
      </c>
      <c r="B2092" s="15">
        <v>1</v>
      </c>
      <c r="C2092" s="16"/>
      <c r="D2092" s="36">
        <f t="shared" si="1275"/>
        <v>1</v>
      </c>
      <c r="E2092" s="18">
        <f>1+3</f>
        <v>4</v>
      </c>
      <c r="F2092" s="16"/>
      <c r="G2092" s="36">
        <f t="shared" si="1276"/>
        <v>4</v>
      </c>
      <c r="H2092" s="17">
        <f t="shared" si="1277"/>
        <v>5</v>
      </c>
      <c r="I2092" s="84">
        <v>45960</v>
      </c>
      <c r="J2092" s="52"/>
      <c r="K2092" s="15"/>
      <c r="L2092" s="16"/>
      <c r="M2092" s="36">
        <f t="shared" si="1278"/>
        <v>0</v>
      </c>
      <c r="N2092" s="18"/>
      <c r="O2092" s="16"/>
      <c r="P2092" s="36">
        <f t="shared" si="1279"/>
        <v>0</v>
      </c>
      <c r="Q2092" s="17">
        <f t="shared" si="1280"/>
        <v>0</v>
      </c>
    </row>
    <row r="2093" spans="1:18" x14ac:dyDescent="0.15">
      <c r="A2093" s="35" t="s">
        <v>651</v>
      </c>
      <c r="B2093" s="15"/>
      <c r="C2093" s="16"/>
      <c r="D2093" s="36">
        <f t="shared" si="1275"/>
        <v>0</v>
      </c>
      <c r="E2093" s="18">
        <v>2</v>
      </c>
      <c r="F2093" s="16"/>
      <c r="G2093" s="36">
        <f t="shared" si="1276"/>
        <v>2</v>
      </c>
      <c r="H2093" s="17">
        <f t="shared" si="1277"/>
        <v>2</v>
      </c>
      <c r="I2093" s="84">
        <v>45961</v>
      </c>
      <c r="J2093" s="52"/>
      <c r="K2093" s="15"/>
      <c r="L2093" s="16"/>
      <c r="M2093" s="36">
        <f t="shared" si="1278"/>
        <v>0</v>
      </c>
      <c r="N2093" s="18"/>
      <c r="O2093" s="16"/>
      <c r="P2093" s="36">
        <f t="shared" si="1279"/>
        <v>0</v>
      </c>
      <c r="Q2093" s="17">
        <f t="shared" si="1280"/>
        <v>0</v>
      </c>
    </row>
    <row r="2094" spans="1:18" x14ac:dyDescent="0.15">
      <c r="A2094" s="35" t="s">
        <v>704</v>
      </c>
      <c r="B2094" s="15">
        <v>2</v>
      </c>
      <c r="C2094" s="16"/>
      <c r="D2094" s="36">
        <f t="shared" si="1275"/>
        <v>2</v>
      </c>
      <c r="E2094" s="18"/>
      <c r="F2094" s="16"/>
      <c r="G2094" s="36">
        <f t="shared" si="1276"/>
        <v>0</v>
      </c>
      <c r="H2094" s="17">
        <f t="shared" si="1277"/>
        <v>2</v>
      </c>
      <c r="I2094" s="84">
        <v>45961</v>
      </c>
      <c r="J2094" s="52"/>
      <c r="K2094" s="15"/>
      <c r="L2094" s="16"/>
      <c r="M2094" s="36">
        <f t="shared" si="1278"/>
        <v>0</v>
      </c>
      <c r="N2094" s="18"/>
      <c r="O2094" s="16"/>
      <c r="P2094" s="36">
        <f t="shared" si="1279"/>
        <v>0</v>
      </c>
      <c r="Q2094" s="17">
        <f t="shared" si="1280"/>
        <v>0</v>
      </c>
    </row>
    <row r="2095" spans="1:18" x14ac:dyDescent="0.15">
      <c r="A2095" s="35" t="s">
        <v>651</v>
      </c>
      <c r="B2095" s="15">
        <v>2</v>
      </c>
      <c r="C2095" s="16"/>
      <c r="D2095" s="36">
        <f t="shared" si="1275"/>
        <v>2</v>
      </c>
      <c r="E2095" s="18">
        <v>1</v>
      </c>
      <c r="F2095" s="16"/>
      <c r="G2095" s="36">
        <f t="shared" si="1276"/>
        <v>1</v>
      </c>
      <c r="H2095" s="17">
        <f t="shared" si="1277"/>
        <v>3</v>
      </c>
      <c r="I2095" s="84">
        <v>45965</v>
      </c>
      <c r="J2095" s="52"/>
      <c r="K2095" s="15"/>
      <c r="L2095" s="16"/>
      <c r="M2095" s="36">
        <f t="shared" si="1278"/>
        <v>0</v>
      </c>
      <c r="N2095" s="18"/>
      <c r="O2095" s="16"/>
      <c r="P2095" s="36">
        <f t="shared" si="1279"/>
        <v>0</v>
      </c>
      <c r="Q2095" s="17">
        <f t="shared" si="1280"/>
        <v>0</v>
      </c>
    </row>
    <row r="2096" spans="1:18" x14ac:dyDescent="0.15">
      <c r="A2096" s="35" t="s">
        <v>651</v>
      </c>
      <c r="B2096" s="15">
        <v>1</v>
      </c>
      <c r="C2096" s="16"/>
      <c r="D2096" s="36">
        <f t="shared" si="1275"/>
        <v>1</v>
      </c>
      <c r="E2096" s="18">
        <v>9</v>
      </c>
      <c r="F2096" s="16"/>
      <c r="G2096" s="36">
        <f t="shared" si="1276"/>
        <v>9</v>
      </c>
      <c r="H2096" s="17">
        <f t="shared" si="1277"/>
        <v>10</v>
      </c>
      <c r="I2096" s="84">
        <v>45966</v>
      </c>
      <c r="J2096" s="52"/>
      <c r="K2096" s="15"/>
      <c r="L2096" s="16"/>
      <c r="M2096" s="36">
        <f t="shared" si="1278"/>
        <v>0</v>
      </c>
      <c r="N2096" s="18"/>
      <c r="O2096" s="16"/>
      <c r="P2096" s="36">
        <f t="shared" si="1279"/>
        <v>0</v>
      </c>
      <c r="Q2096" s="17">
        <f t="shared" si="1280"/>
        <v>0</v>
      </c>
    </row>
    <row r="2097" spans="1:17" x14ac:dyDescent="0.15">
      <c r="A2097" s="35" t="s">
        <v>76</v>
      </c>
      <c r="B2097" s="15">
        <v>-1</v>
      </c>
      <c r="C2097" s="16"/>
      <c r="D2097" s="36">
        <f t="shared" si="1275"/>
        <v>-1</v>
      </c>
      <c r="E2097" s="18"/>
      <c r="F2097" s="16"/>
      <c r="G2097" s="36">
        <f t="shared" si="1276"/>
        <v>0</v>
      </c>
      <c r="H2097" s="17">
        <f t="shared" si="1277"/>
        <v>-1</v>
      </c>
      <c r="I2097" s="84">
        <v>45966</v>
      </c>
      <c r="J2097" s="52"/>
      <c r="K2097" s="15"/>
      <c r="L2097" s="16"/>
      <c r="M2097" s="36">
        <f t="shared" si="1278"/>
        <v>0</v>
      </c>
      <c r="N2097" s="18"/>
      <c r="O2097" s="16"/>
      <c r="P2097" s="36">
        <f t="shared" si="1279"/>
        <v>0</v>
      </c>
      <c r="Q2097" s="17">
        <f t="shared" si="1280"/>
        <v>0</v>
      </c>
    </row>
    <row r="2098" spans="1:17" x14ac:dyDescent="0.15">
      <c r="A2098" s="35" t="s">
        <v>651</v>
      </c>
      <c r="B2098" s="15"/>
      <c r="C2098" s="16"/>
      <c r="D2098" s="36">
        <f t="shared" si="1275"/>
        <v>0</v>
      </c>
      <c r="E2098" s="18">
        <v>1</v>
      </c>
      <c r="F2098" s="16"/>
      <c r="G2098" s="36">
        <f t="shared" si="1276"/>
        <v>1</v>
      </c>
      <c r="H2098" s="17">
        <f t="shared" si="1277"/>
        <v>1</v>
      </c>
      <c r="I2098" s="84">
        <v>45967</v>
      </c>
      <c r="J2098" s="52"/>
      <c r="K2098" s="15"/>
      <c r="L2098" s="16"/>
      <c r="M2098" s="36">
        <f t="shared" si="1278"/>
        <v>0</v>
      </c>
      <c r="N2098" s="18"/>
      <c r="O2098" s="16"/>
      <c r="P2098" s="36">
        <f t="shared" si="1279"/>
        <v>0</v>
      </c>
      <c r="Q2098" s="17">
        <f t="shared" si="1280"/>
        <v>0</v>
      </c>
    </row>
    <row r="2099" spans="1:17" x14ac:dyDescent="0.15">
      <c r="A2099" s="35" t="s">
        <v>651</v>
      </c>
      <c r="B2099" s="15">
        <v>2</v>
      </c>
      <c r="C2099" s="16"/>
      <c r="D2099" s="36">
        <f t="shared" si="1275"/>
        <v>2</v>
      </c>
      <c r="E2099" s="18"/>
      <c r="F2099" s="16"/>
      <c r="G2099" s="36">
        <f t="shared" si="1276"/>
        <v>0</v>
      </c>
      <c r="H2099" s="17">
        <f t="shared" si="1277"/>
        <v>2</v>
      </c>
      <c r="I2099" s="84">
        <v>45971</v>
      </c>
      <c r="J2099" s="52"/>
      <c r="K2099" s="15"/>
      <c r="L2099" s="16"/>
      <c r="M2099" s="36">
        <f t="shared" si="1278"/>
        <v>0</v>
      </c>
      <c r="N2099" s="18"/>
      <c r="O2099" s="16"/>
      <c r="P2099" s="36">
        <f t="shared" si="1279"/>
        <v>0</v>
      </c>
      <c r="Q2099" s="17">
        <f t="shared" si="1280"/>
        <v>0</v>
      </c>
    </row>
    <row r="2100" spans="1:17" x14ac:dyDescent="0.15">
      <c r="A2100" s="35" t="s">
        <v>651</v>
      </c>
      <c r="B2100" s="15">
        <v>1</v>
      </c>
      <c r="C2100" s="16"/>
      <c r="D2100" s="36">
        <f t="shared" si="1275"/>
        <v>1</v>
      </c>
      <c r="E2100" s="18"/>
      <c r="F2100" s="16"/>
      <c r="G2100" s="36">
        <f t="shared" si="1276"/>
        <v>0</v>
      </c>
      <c r="H2100" s="17">
        <f t="shared" si="1277"/>
        <v>1</v>
      </c>
      <c r="I2100" s="84">
        <v>45973</v>
      </c>
      <c r="J2100" s="52"/>
      <c r="K2100" s="15"/>
      <c r="L2100" s="16"/>
      <c r="M2100" s="36">
        <f t="shared" si="1278"/>
        <v>0</v>
      </c>
      <c r="N2100" s="18"/>
      <c r="O2100" s="16"/>
      <c r="P2100" s="36">
        <f t="shared" si="1279"/>
        <v>0</v>
      </c>
      <c r="Q2100" s="17">
        <f t="shared" si="1280"/>
        <v>0</v>
      </c>
    </row>
    <row r="2101" spans="1:17" x14ac:dyDescent="0.15">
      <c r="A2101" s="35" t="s">
        <v>651</v>
      </c>
      <c r="B2101" s="15"/>
      <c r="C2101" s="16"/>
      <c r="D2101" s="36">
        <f t="shared" si="1275"/>
        <v>0</v>
      </c>
      <c r="E2101" s="18">
        <v>4</v>
      </c>
      <c r="F2101" s="16"/>
      <c r="G2101" s="36">
        <f t="shared" si="1276"/>
        <v>4</v>
      </c>
      <c r="H2101" s="17">
        <f t="shared" si="1277"/>
        <v>4</v>
      </c>
      <c r="I2101" s="84">
        <v>45974</v>
      </c>
      <c r="J2101" s="52"/>
      <c r="K2101" s="15"/>
      <c r="L2101" s="16"/>
      <c r="M2101" s="36">
        <f t="shared" si="1278"/>
        <v>0</v>
      </c>
      <c r="N2101" s="18"/>
      <c r="O2101" s="16"/>
      <c r="P2101" s="36">
        <f t="shared" si="1279"/>
        <v>0</v>
      </c>
      <c r="Q2101" s="17">
        <f t="shared" si="1280"/>
        <v>0</v>
      </c>
    </row>
    <row r="2102" spans="1:17" x14ac:dyDescent="0.15">
      <c r="A2102" s="35" t="s">
        <v>651</v>
      </c>
      <c r="B2102" s="15">
        <v>6</v>
      </c>
      <c r="C2102" s="16"/>
      <c r="D2102" s="36">
        <f t="shared" si="1275"/>
        <v>6</v>
      </c>
      <c r="E2102" s="18"/>
      <c r="F2102" s="16"/>
      <c r="G2102" s="36">
        <f t="shared" si="1276"/>
        <v>0</v>
      </c>
      <c r="H2102" s="17">
        <f t="shared" si="1277"/>
        <v>6</v>
      </c>
      <c r="I2102" s="84">
        <v>45979</v>
      </c>
      <c r="J2102" s="52"/>
      <c r="K2102" s="15"/>
      <c r="L2102" s="16"/>
      <c r="M2102" s="36">
        <f t="shared" si="1278"/>
        <v>0</v>
      </c>
      <c r="N2102" s="18"/>
      <c r="O2102" s="16"/>
      <c r="P2102" s="36">
        <f t="shared" si="1279"/>
        <v>0</v>
      </c>
      <c r="Q2102" s="17">
        <f t="shared" si="1280"/>
        <v>0</v>
      </c>
    </row>
    <row r="2103" spans="1:17" ht="14.25" thickBot="1" x14ac:dyDescent="0.2">
      <c r="A2103" s="35" t="s">
        <v>651</v>
      </c>
      <c r="B2103" s="15">
        <v>2</v>
      </c>
      <c r="C2103" s="16"/>
      <c r="D2103" s="36">
        <f t="shared" si="1275"/>
        <v>2</v>
      </c>
      <c r="E2103" s="18"/>
      <c r="F2103" s="16"/>
      <c r="G2103" s="36">
        <f t="shared" si="1276"/>
        <v>0</v>
      </c>
      <c r="H2103" s="17">
        <f t="shared" si="1277"/>
        <v>2</v>
      </c>
      <c r="I2103" s="84">
        <v>45980</v>
      </c>
      <c r="J2103" s="52"/>
      <c r="K2103" s="15"/>
      <c r="L2103" s="16"/>
      <c r="M2103" s="36">
        <f t="shared" ref="M2103" si="1287">SUM(K2103:L2103)</f>
        <v>0</v>
      </c>
      <c r="N2103" s="18"/>
      <c r="O2103" s="16"/>
      <c r="P2103" s="36">
        <f t="shared" ref="P2103" si="1288">SUM(N2103:O2103)</f>
        <v>0</v>
      </c>
      <c r="Q2103" s="17">
        <f t="shared" ref="Q2103" si="1289">M2103+P2103</f>
        <v>0</v>
      </c>
    </row>
    <row r="2104" spans="1:17" ht="14.25" thickBot="1" x14ac:dyDescent="0.2">
      <c r="A2104" s="40" t="s">
        <v>14</v>
      </c>
      <c r="B2104" s="41">
        <f>SUM(B2078:B2103)</f>
        <v>31</v>
      </c>
      <c r="C2104" s="96">
        <f>SUM(C2078:C2103)</f>
        <v>4</v>
      </c>
      <c r="D2104" s="43">
        <f t="shared" si="1275"/>
        <v>35</v>
      </c>
      <c r="E2104" s="41">
        <f>SUM(E2078:E2103)</f>
        <v>69</v>
      </c>
      <c r="F2104" s="96">
        <f t="shared" ref="F2104" si="1290">SUM(F2078:F2103)</f>
        <v>0</v>
      </c>
      <c r="G2104" s="43">
        <f t="shared" si="1276"/>
        <v>69</v>
      </c>
      <c r="H2104" s="43">
        <f t="shared" si="1277"/>
        <v>104</v>
      </c>
      <c r="J2104" s="40" t="s">
        <v>14</v>
      </c>
      <c r="K2104" s="41">
        <f>SUM(K2078:K2103)</f>
        <v>34</v>
      </c>
      <c r="L2104" s="96">
        <f t="shared" ref="L2104" si="1291">SUM(L2078:L2103)</f>
        <v>0</v>
      </c>
      <c r="M2104" s="43">
        <f t="shared" si="1278"/>
        <v>34</v>
      </c>
      <c r="N2104" s="118">
        <f>SUM(N2078:N2103)</f>
        <v>63</v>
      </c>
      <c r="O2104" s="96">
        <f t="shared" ref="O2104" si="1292">SUM(O2078:O2103)</f>
        <v>0</v>
      </c>
      <c r="P2104" s="43">
        <f t="shared" si="1279"/>
        <v>63</v>
      </c>
      <c r="Q2104" s="43">
        <f t="shared" si="1280"/>
        <v>97</v>
      </c>
    </row>
    <row r="2105" spans="1:17" ht="14.25" thickBot="1" x14ac:dyDescent="0.2">
      <c r="A2105" s="44" t="s">
        <v>15</v>
      </c>
      <c r="B2105" s="45">
        <f>B2077-B2104</f>
        <v>12</v>
      </c>
      <c r="C2105" s="97">
        <f>C2077-C2104</f>
        <v>0</v>
      </c>
      <c r="D2105" s="47">
        <f t="shared" si="1275"/>
        <v>12</v>
      </c>
      <c r="E2105" s="45">
        <f>E2077-E2104</f>
        <v>9</v>
      </c>
      <c r="F2105" s="97">
        <f t="shared" ref="F2105" si="1293">F2077-F2104</f>
        <v>0</v>
      </c>
      <c r="G2105" s="47">
        <f t="shared" si="1276"/>
        <v>9</v>
      </c>
      <c r="H2105" s="34">
        <f t="shared" si="1277"/>
        <v>21</v>
      </c>
      <c r="J2105" s="44" t="s">
        <v>15</v>
      </c>
      <c r="K2105" s="45">
        <f>K2077-K2104</f>
        <v>313</v>
      </c>
      <c r="L2105" s="97">
        <f t="shared" ref="L2105" si="1294">L2077-L2104</f>
        <v>0</v>
      </c>
      <c r="M2105" s="47">
        <f t="shared" si="1278"/>
        <v>313</v>
      </c>
      <c r="N2105" s="119">
        <f>N2077-N2104</f>
        <v>0</v>
      </c>
      <c r="O2105" s="97">
        <f t="shared" ref="O2105" si="1295">O2077-O2104</f>
        <v>0</v>
      </c>
      <c r="P2105" s="47">
        <f t="shared" si="1279"/>
        <v>0</v>
      </c>
      <c r="Q2105" s="34">
        <f t="shared" si="1280"/>
        <v>313</v>
      </c>
    </row>
    <row r="2106" spans="1:17" x14ac:dyDescent="0.15">
      <c r="E2106" s="109" t="s">
        <v>705</v>
      </c>
    </row>
    <row r="2108" spans="1:17" ht="19.5" thickBot="1" x14ac:dyDescent="0.25">
      <c r="A2108" s="1" t="s">
        <v>23</v>
      </c>
      <c r="J2108" s="1" t="s">
        <v>24</v>
      </c>
      <c r="K2108" s="2"/>
      <c r="L2108" s="2"/>
      <c r="M2108" s="2"/>
      <c r="N2108" s="2"/>
      <c r="O2108" s="1" t="s">
        <v>34</v>
      </c>
      <c r="P2108" s="2"/>
      <c r="Q2108" s="2"/>
    </row>
    <row r="2109" spans="1:17" ht="14.25" thickBot="1" x14ac:dyDescent="0.2">
      <c r="A2109" s="3" t="s">
        <v>0</v>
      </c>
      <c r="B2109" s="120" t="s">
        <v>18</v>
      </c>
      <c r="C2109" s="121"/>
      <c r="D2109" s="122"/>
      <c r="E2109" s="120" t="s">
        <v>19</v>
      </c>
      <c r="F2109" s="121"/>
      <c r="G2109" s="122"/>
      <c r="H2109" s="123" t="s">
        <v>1</v>
      </c>
      <c r="J2109" s="3" t="s">
        <v>0</v>
      </c>
      <c r="K2109" s="120" t="s">
        <v>18</v>
      </c>
      <c r="L2109" s="121"/>
      <c r="M2109" s="122"/>
      <c r="N2109" s="120" t="s">
        <v>19</v>
      </c>
      <c r="O2109" s="121"/>
      <c r="P2109" s="122"/>
      <c r="Q2109" s="123" t="s">
        <v>1</v>
      </c>
    </row>
    <row r="2110" spans="1:17" ht="14.25" thickBot="1" x14ac:dyDescent="0.2">
      <c r="A2110" s="3" t="s">
        <v>2</v>
      </c>
      <c r="B2110" s="4" t="s">
        <v>16</v>
      </c>
      <c r="C2110" s="5" t="s">
        <v>17</v>
      </c>
      <c r="D2110" s="3" t="s">
        <v>3</v>
      </c>
      <c r="E2110" s="4" t="s">
        <v>16</v>
      </c>
      <c r="F2110" s="5" t="s">
        <v>17</v>
      </c>
      <c r="G2110" s="3" t="s">
        <v>3</v>
      </c>
      <c r="H2110" s="124"/>
      <c r="J2110" s="3" t="s">
        <v>2</v>
      </c>
      <c r="K2110" s="4" t="s">
        <v>16</v>
      </c>
      <c r="L2110" s="5" t="s">
        <v>17</v>
      </c>
      <c r="M2110" s="3" t="s">
        <v>3</v>
      </c>
      <c r="N2110" s="4" t="s">
        <v>16</v>
      </c>
      <c r="O2110" s="5" t="s">
        <v>17</v>
      </c>
      <c r="P2110" s="3" t="s">
        <v>3</v>
      </c>
      <c r="Q2110" s="124"/>
    </row>
    <row r="2111" spans="1:17" ht="14.25" thickBot="1" x14ac:dyDescent="0.2">
      <c r="A2111" s="6" t="s">
        <v>55</v>
      </c>
      <c r="B2111" s="32">
        <f>B2105</f>
        <v>12</v>
      </c>
      <c r="C2111" s="33">
        <f>C2105</f>
        <v>0</v>
      </c>
      <c r="D2111" s="34">
        <f t="shared" ref="D2111:D2148" si="1296">SUM(B2111:C2111)</f>
        <v>12</v>
      </c>
      <c r="E2111" s="32">
        <f>E2105</f>
        <v>9</v>
      </c>
      <c r="F2111" s="33">
        <f>F2105</f>
        <v>0</v>
      </c>
      <c r="G2111" s="34">
        <f t="shared" ref="G2111:G2148" si="1297">SUM(E2111:F2111)</f>
        <v>9</v>
      </c>
      <c r="H2111" s="34">
        <f t="shared" ref="H2111:H2148" si="1298">D2111+G2111</f>
        <v>21</v>
      </c>
      <c r="J2111" s="6" t="s">
        <v>55</v>
      </c>
      <c r="K2111" s="32">
        <f>K2105</f>
        <v>313</v>
      </c>
      <c r="L2111" s="33">
        <f>L2105</f>
        <v>0</v>
      </c>
      <c r="M2111" s="34">
        <f t="shared" ref="M2111:M2148" si="1299">SUM(K2111:L2111)</f>
        <v>313</v>
      </c>
      <c r="N2111" s="32">
        <f>N2105</f>
        <v>0</v>
      </c>
      <c r="O2111" s="33">
        <f>O2105</f>
        <v>0</v>
      </c>
      <c r="P2111" s="34">
        <f t="shared" ref="P2111:P2148" si="1300">SUM(N2111:O2111)</f>
        <v>0</v>
      </c>
      <c r="Q2111" s="34">
        <f t="shared" ref="Q2111:Q2148" si="1301">M2111+P2111</f>
        <v>313</v>
      </c>
    </row>
    <row r="2112" spans="1:17" x14ac:dyDescent="0.15">
      <c r="A2112" s="10" t="s">
        <v>700</v>
      </c>
      <c r="B2112" s="15">
        <v>6</v>
      </c>
      <c r="C2112" s="16"/>
      <c r="D2112" s="17">
        <f t="shared" ref="D2112:D2117" si="1302">SUM(B2112:C2112)</f>
        <v>6</v>
      </c>
      <c r="E2112" s="18">
        <v>44</v>
      </c>
      <c r="F2112" s="16"/>
      <c r="G2112" s="17">
        <f t="shared" ref="G2112:G2117" si="1303">SUM(E2112:F2112)</f>
        <v>44</v>
      </c>
      <c r="H2112" s="17">
        <f t="shared" ref="H2112:H2117" si="1304">D2112+G2112</f>
        <v>50</v>
      </c>
      <c r="I2112" s="81">
        <v>45987</v>
      </c>
      <c r="J2112" s="10" t="s">
        <v>5</v>
      </c>
      <c r="K2112" s="15"/>
      <c r="L2112" s="16"/>
      <c r="M2112" s="17">
        <f t="shared" si="1299"/>
        <v>0</v>
      </c>
      <c r="N2112" s="18"/>
      <c r="O2112" s="16"/>
      <c r="P2112" s="17">
        <f t="shared" si="1300"/>
        <v>0</v>
      </c>
      <c r="Q2112" s="17">
        <f t="shared" si="1301"/>
        <v>0</v>
      </c>
    </row>
    <row r="2113" spans="1:18" x14ac:dyDescent="0.15">
      <c r="A2113" s="110" t="s">
        <v>6</v>
      </c>
      <c r="B2113" s="111">
        <v>15</v>
      </c>
      <c r="C2113" s="112"/>
      <c r="D2113" s="113">
        <f t="shared" si="1302"/>
        <v>15</v>
      </c>
      <c r="E2113" s="114"/>
      <c r="F2113" s="112"/>
      <c r="G2113" s="113">
        <f t="shared" si="1303"/>
        <v>0</v>
      </c>
      <c r="H2113" s="113">
        <f t="shared" si="1304"/>
        <v>15</v>
      </c>
      <c r="I2113" s="115">
        <v>46000</v>
      </c>
      <c r="J2113" s="10" t="s">
        <v>6</v>
      </c>
      <c r="K2113" s="15"/>
      <c r="L2113" s="16"/>
      <c r="M2113" s="17">
        <f t="shared" si="1299"/>
        <v>0</v>
      </c>
      <c r="N2113" s="18"/>
      <c r="O2113" s="16"/>
      <c r="P2113" s="17">
        <f t="shared" si="1300"/>
        <v>0</v>
      </c>
      <c r="Q2113" s="17">
        <f t="shared" si="1301"/>
        <v>0</v>
      </c>
    </row>
    <row r="2114" spans="1:18" x14ac:dyDescent="0.15">
      <c r="A2114" s="110" t="s">
        <v>7</v>
      </c>
      <c r="B2114" s="111">
        <v>10</v>
      </c>
      <c r="C2114" s="112"/>
      <c r="D2114" s="113">
        <f t="shared" si="1302"/>
        <v>10</v>
      </c>
      <c r="E2114" s="114"/>
      <c r="F2114" s="112"/>
      <c r="G2114" s="113">
        <f t="shared" si="1303"/>
        <v>0</v>
      </c>
      <c r="H2114" s="113">
        <f t="shared" si="1304"/>
        <v>10</v>
      </c>
      <c r="I2114" s="115">
        <v>46007</v>
      </c>
      <c r="J2114" s="110" t="s">
        <v>7</v>
      </c>
      <c r="K2114" s="15"/>
      <c r="L2114" s="16"/>
      <c r="M2114" s="17">
        <f t="shared" si="1299"/>
        <v>0</v>
      </c>
      <c r="N2114" s="18"/>
      <c r="O2114" s="16"/>
      <c r="P2114" s="17">
        <f t="shared" si="1300"/>
        <v>0</v>
      </c>
      <c r="Q2114" s="17">
        <f t="shared" si="1301"/>
        <v>0</v>
      </c>
    </row>
    <row r="2115" spans="1:18" x14ac:dyDescent="0.15">
      <c r="A2115" s="110" t="s">
        <v>8</v>
      </c>
      <c r="B2115" s="111">
        <v>15</v>
      </c>
      <c r="C2115" s="112"/>
      <c r="D2115" s="113">
        <f t="shared" si="1302"/>
        <v>15</v>
      </c>
      <c r="E2115" s="114"/>
      <c r="F2115" s="112"/>
      <c r="G2115" s="113">
        <f t="shared" si="1303"/>
        <v>0</v>
      </c>
      <c r="H2115" s="113">
        <f t="shared" si="1304"/>
        <v>15</v>
      </c>
      <c r="I2115" s="115">
        <v>46039</v>
      </c>
      <c r="J2115" s="10" t="s">
        <v>8</v>
      </c>
      <c r="K2115" s="15"/>
      <c r="L2115" s="16"/>
      <c r="M2115" s="17">
        <f t="shared" si="1299"/>
        <v>0</v>
      </c>
      <c r="N2115" s="18"/>
      <c r="O2115" s="16"/>
      <c r="P2115" s="17">
        <f t="shared" si="1300"/>
        <v>0</v>
      </c>
      <c r="Q2115" s="17">
        <f t="shared" si="1301"/>
        <v>0</v>
      </c>
    </row>
    <row r="2116" spans="1:18" x14ac:dyDescent="0.15">
      <c r="A2116" s="10" t="s">
        <v>9</v>
      </c>
      <c r="B2116" s="15"/>
      <c r="C2116" s="16"/>
      <c r="D2116" s="17">
        <f t="shared" si="1302"/>
        <v>0</v>
      </c>
      <c r="E2116" s="18"/>
      <c r="F2116" s="16"/>
      <c r="G2116" s="17">
        <f t="shared" si="1303"/>
        <v>0</v>
      </c>
      <c r="H2116" s="17">
        <f t="shared" si="1304"/>
        <v>0</v>
      </c>
      <c r="J2116" s="10" t="s">
        <v>9</v>
      </c>
      <c r="K2116" s="15"/>
      <c r="L2116" s="16"/>
      <c r="M2116" s="17">
        <f t="shared" si="1299"/>
        <v>0</v>
      </c>
      <c r="N2116" s="18"/>
      <c r="O2116" s="16"/>
      <c r="P2116" s="17">
        <f t="shared" si="1300"/>
        <v>0</v>
      </c>
      <c r="Q2116" s="17">
        <f t="shared" si="1301"/>
        <v>0</v>
      </c>
    </row>
    <row r="2117" spans="1:18" x14ac:dyDescent="0.15">
      <c r="A2117" s="10" t="s">
        <v>10</v>
      </c>
      <c r="B2117" s="15"/>
      <c r="C2117" s="16"/>
      <c r="D2117" s="17">
        <f t="shared" si="1302"/>
        <v>0</v>
      </c>
      <c r="E2117" s="18"/>
      <c r="F2117" s="16"/>
      <c r="G2117" s="17">
        <f t="shared" si="1303"/>
        <v>0</v>
      </c>
      <c r="H2117" s="17">
        <f t="shared" si="1304"/>
        <v>0</v>
      </c>
      <c r="J2117" s="10" t="s">
        <v>10</v>
      </c>
      <c r="K2117" s="15"/>
      <c r="L2117" s="16"/>
      <c r="M2117" s="17">
        <f t="shared" si="1299"/>
        <v>0</v>
      </c>
      <c r="N2117" s="18"/>
      <c r="O2117" s="16"/>
      <c r="P2117" s="17">
        <f t="shared" si="1300"/>
        <v>0</v>
      </c>
      <c r="Q2117" s="17">
        <f t="shared" si="1301"/>
        <v>0</v>
      </c>
    </row>
    <row r="2118" spans="1:18" x14ac:dyDescent="0.15">
      <c r="A2118" s="10" t="s">
        <v>11</v>
      </c>
      <c r="B2118" s="15"/>
      <c r="C2118" s="16"/>
      <c r="D2118" s="17">
        <f t="shared" si="1296"/>
        <v>0</v>
      </c>
      <c r="E2118" s="18"/>
      <c r="F2118" s="16"/>
      <c r="G2118" s="17">
        <f t="shared" si="1297"/>
        <v>0</v>
      </c>
      <c r="H2118" s="17">
        <f t="shared" si="1298"/>
        <v>0</v>
      </c>
      <c r="J2118" s="10" t="s">
        <v>11</v>
      </c>
      <c r="K2118" s="15"/>
      <c r="L2118" s="16"/>
      <c r="M2118" s="17">
        <f t="shared" si="1299"/>
        <v>0</v>
      </c>
      <c r="N2118" s="18"/>
      <c r="O2118" s="16"/>
      <c r="P2118" s="17">
        <f t="shared" si="1300"/>
        <v>0</v>
      </c>
      <c r="Q2118" s="17">
        <f t="shared" si="1301"/>
        <v>0</v>
      </c>
    </row>
    <row r="2119" spans="1:18" ht="14.25" thickBot="1" x14ac:dyDescent="0.2">
      <c r="A2119" s="10" t="s">
        <v>12</v>
      </c>
      <c r="B2119" s="15"/>
      <c r="C2119" s="16"/>
      <c r="D2119" s="17">
        <f t="shared" si="1296"/>
        <v>0</v>
      </c>
      <c r="E2119" s="18"/>
      <c r="F2119" s="16"/>
      <c r="G2119" s="17">
        <f t="shared" si="1297"/>
        <v>0</v>
      </c>
      <c r="H2119" s="17">
        <f t="shared" si="1298"/>
        <v>0</v>
      </c>
      <c r="J2119" s="10" t="s">
        <v>12</v>
      </c>
      <c r="K2119" s="15"/>
      <c r="L2119" s="16"/>
      <c r="M2119" s="17">
        <f t="shared" si="1299"/>
        <v>0</v>
      </c>
      <c r="N2119" s="18"/>
      <c r="O2119" s="16"/>
      <c r="P2119" s="17">
        <f t="shared" si="1300"/>
        <v>0</v>
      </c>
      <c r="Q2119" s="17">
        <f t="shared" si="1301"/>
        <v>0</v>
      </c>
    </row>
    <row r="2120" spans="1:18" ht="14.25" thickBot="1" x14ac:dyDescent="0.2">
      <c r="A2120" s="31" t="s">
        <v>13</v>
      </c>
      <c r="B2120" s="32">
        <f>SUM(B2111:B2119)</f>
        <v>58</v>
      </c>
      <c r="C2120" s="33">
        <f>SUM(C2111:C2119)</f>
        <v>0</v>
      </c>
      <c r="D2120" s="34">
        <f t="shared" si="1296"/>
        <v>58</v>
      </c>
      <c r="E2120" s="32">
        <f>SUM(E2111:E2119)</f>
        <v>53</v>
      </c>
      <c r="F2120" s="33">
        <f>SUM(F2111:F2119)</f>
        <v>0</v>
      </c>
      <c r="G2120" s="34">
        <f t="shared" si="1297"/>
        <v>53</v>
      </c>
      <c r="H2120" s="34">
        <f t="shared" si="1298"/>
        <v>111</v>
      </c>
      <c r="J2120" s="31" t="s">
        <v>13</v>
      </c>
      <c r="K2120" s="32">
        <f>SUM(K2111:K2119)</f>
        <v>313</v>
      </c>
      <c r="L2120" s="33">
        <f>SUM(L2111:L2119)</f>
        <v>0</v>
      </c>
      <c r="M2120" s="34">
        <f t="shared" si="1299"/>
        <v>313</v>
      </c>
      <c r="N2120" s="32">
        <f>SUM(N2111:N2119)</f>
        <v>0</v>
      </c>
      <c r="O2120" s="33">
        <f>SUM(O2111:O2119)</f>
        <v>0</v>
      </c>
      <c r="P2120" s="34">
        <f t="shared" si="1300"/>
        <v>0</v>
      </c>
      <c r="Q2120" s="34">
        <f t="shared" si="1301"/>
        <v>313</v>
      </c>
    </row>
    <row r="2121" spans="1:18" x14ac:dyDescent="0.15">
      <c r="A2121" s="35" t="s">
        <v>651</v>
      </c>
      <c r="B2121" s="15">
        <v>1</v>
      </c>
      <c r="C2121" s="16"/>
      <c r="D2121" s="36">
        <f t="shared" ref="D2121:D2143" si="1305">SUM(B2121:C2121)</f>
        <v>1</v>
      </c>
      <c r="E2121" s="18"/>
      <c r="F2121" s="16"/>
      <c r="G2121" s="36">
        <f t="shared" ref="G2121:G2143" si="1306">SUM(E2121:F2121)</f>
        <v>0</v>
      </c>
      <c r="H2121" s="17">
        <f t="shared" ref="H2121:H2143" si="1307">D2121+G2121</f>
        <v>1</v>
      </c>
      <c r="I2121" s="84">
        <v>45981</v>
      </c>
      <c r="J2121" s="116" t="s">
        <v>706</v>
      </c>
      <c r="K2121" s="111">
        <v>15</v>
      </c>
      <c r="L2121" s="112"/>
      <c r="M2121" s="117">
        <f t="shared" ref="M2121:M2126" si="1308">SUM(K2121:L2121)</f>
        <v>15</v>
      </c>
      <c r="N2121" s="114"/>
      <c r="O2121" s="112"/>
      <c r="P2121" s="117">
        <f t="shared" ref="P2121:P2126" si="1309">SUM(N2121:O2121)</f>
        <v>0</v>
      </c>
      <c r="Q2121" s="113">
        <f t="shared" ref="Q2121:Q2126" si="1310">M2121+P2121</f>
        <v>15</v>
      </c>
      <c r="R2121" s="115">
        <v>46000</v>
      </c>
    </row>
    <row r="2122" spans="1:18" x14ac:dyDescent="0.15">
      <c r="A2122" s="35" t="s">
        <v>651</v>
      </c>
      <c r="B2122" s="15"/>
      <c r="C2122" s="16"/>
      <c r="D2122" s="36">
        <f t="shared" si="1305"/>
        <v>0</v>
      </c>
      <c r="E2122" s="18">
        <v>1</v>
      </c>
      <c r="F2122" s="16"/>
      <c r="G2122" s="36">
        <f t="shared" si="1306"/>
        <v>1</v>
      </c>
      <c r="H2122" s="17">
        <f t="shared" si="1307"/>
        <v>1</v>
      </c>
      <c r="I2122" s="84">
        <v>45986</v>
      </c>
      <c r="J2122" s="116" t="s">
        <v>91</v>
      </c>
      <c r="K2122" s="111">
        <v>10</v>
      </c>
      <c r="L2122" s="112"/>
      <c r="M2122" s="117">
        <f t="shared" si="1308"/>
        <v>10</v>
      </c>
      <c r="N2122" s="114"/>
      <c r="O2122" s="112"/>
      <c r="P2122" s="117">
        <f t="shared" si="1309"/>
        <v>0</v>
      </c>
      <c r="Q2122" s="113">
        <f t="shared" si="1310"/>
        <v>10</v>
      </c>
      <c r="R2122" s="115">
        <v>46007</v>
      </c>
    </row>
    <row r="2123" spans="1:18" x14ac:dyDescent="0.15">
      <c r="A2123" s="35" t="s">
        <v>651</v>
      </c>
      <c r="B2123" s="15">
        <v>2</v>
      </c>
      <c r="C2123" s="16"/>
      <c r="D2123" s="36">
        <f t="shared" si="1305"/>
        <v>2</v>
      </c>
      <c r="E2123" s="18"/>
      <c r="F2123" s="16"/>
      <c r="G2123" s="36">
        <f t="shared" si="1306"/>
        <v>0</v>
      </c>
      <c r="H2123" s="17">
        <f t="shared" si="1307"/>
        <v>2</v>
      </c>
      <c r="I2123" s="84">
        <v>45987</v>
      </c>
      <c r="J2123" s="116" t="s">
        <v>91</v>
      </c>
      <c r="K2123" s="111">
        <v>15</v>
      </c>
      <c r="L2123" s="112"/>
      <c r="M2123" s="117">
        <f t="shared" si="1308"/>
        <v>15</v>
      </c>
      <c r="N2123" s="114"/>
      <c r="O2123" s="112"/>
      <c r="P2123" s="117">
        <f t="shared" si="1309"/>
        <v>0</v>
      </c>
      <c r="Q2123" s="113">
        <f t="shared" si="1310"/>
        <v>15</v>
      </c>
      <c r="R2123" s="115">
        <v>46039</v>
      </c>
    </row>
    <row r="2124" spans="1:18" x14ac:dyDescent="0.15">
      <c r="A2124" s="35" t="s">
        <v>651</v>
      </c>
      <c r="B2124" s="15">
        <v>2</v>
      </c>
      <c r="C2124" s="16"/>
      <c r="D2124" s="36">
        <f t="shared" si="1305"/>
        <v>2</v>
      </c>
      <c r="E2124" s="18"/>
      <c r="F2124" s="16"/>
      <c r="G2124" s="36">
        <f t="shared" si="1306"/>
        <v>0</v>
      </c>
      <c r="H2124" s="17">
        <f t="shared" si="1307"/>
        <v>2</v>
      </c>
      <c r="I2124" s="84">
        <v>45988</v>
      </c>
      <c r="J2124" s="52"/>
      <c r="K2124" s="15"/>
      <c r="L2124" s="16"/>
      <c r="M2124" s="36">
        <f t="shared" si="1308"/>
        <v>0</v>
      </c>
      <c r="N2124" s="18"/>
      <c r="O2124" s="16"/>
      <c r="P2124" s="36">
        <f t="shared" si="1309"/>
        <v>0</v>
      </c>
      <c r="Q2124" s="17">
        <f t="shared" si="1310"/>
        <v>0</v>
      </c>
    </row>
    <row r="2125" spans="1:18" x14ac:dyDescent="0.15">
      <c r="A2125" s="35" t="s">
        <v>651</v>
      </c>
      <c r="B2125" s="15">
        <v>7</v>
      </c>
      <c r="C2125" s="16"/>
      <c r="D2125" s="36">
        <f t="shared" si="1305"/>
        <v>7</v>
      </c>
      <c r="E2125" s="18">
        <v>1</v>
      </c>
      <c r="F2125" s="16"/>
      <c r="G2125" s="36">
        <f t="shared" si="1306"/>
        <v>1</v>
      </c>
      <c r="H2125" s="17">
        <f t="shared" si="1307"/>
        <v>8</v>
      </c>
      <c r="I2125" s="84">
        <v>45992</v>
      </c>
      <c r="J2125" s="52"/>
      <c r="K2125" s="15"/>
      <c r="L2125" s="16"/>
      <c r="M2125" s="36">
        <f t="shared" si="1308"/>
        <v>0</v>
      </c>
      <c r="N2125" s="18"/>
      <c r="O2125" s="16"/>
      <c r="P2125" s="36">
        <f t="shared" si="1309"/>
        <v>0</v>
      </c>
      <c r="Q2125" s="17">
        <f t="shared" si="1310"/>
        <v>0</v>
      </c>
    </row>
    <row r="2126" spans="1:18" x14ac:dyDescent="0.15">
      <c r="A2126" s="35" t="s">
        <v>651</v>
      </c>
      <c r="B2126" s="15">
        <v>1</v>
      </c>
      <c r="C2126" s="16"/>
      <c r="D2126" s="36">
        <f t="shared" si="1305"/>
        <v>1</v>
      </c>
      <c r="E2126" s="18"/>
      <c r="F2126" s="16"/>
      <c r="G2126" s="36">
        <f t="shared" si="1306"/>
        <v>0</v>
      </c>
      <c r="H2126" s="17">
        <f t="shared" si="1307"/>
        <v>1</v>
      </c>
      <c r="I2126" s="84">
        <v>45993</v>
      </c>
      <c r="J2126" s="52"/>
      <c r="K2126" s="15"/>
      <c r="L2126" s="16"/>
      <c r="M2126" s="36">
        <f t="shared" si="1308"/>
        <v>0</v>
      </c>
      <c r="N2126" s="18"/>
      <c r="O2126" s="16"/>
      <c r="P2126" s="36">
        <f t="shared" si="1309"/>
        <v>0</v>
      </c>
      <c r="Q2126" s="17">
        <f t="shared" si="1310"/>
        <v>0</v>
      </c>
    </row>
    <row r="2127" spans="1:18" x14ac:dyDescent="0.15">
      <c r="A2127" s="35" t="s">
        <v>651</v>
      </c>
      <c r="B2127" s="15">
        <v>1</v>
      </c>
      <c r="C2127" s="16"/>
      <c r="D2127" s="36">
        <f t="shared" si="1305"/>
        <v>1</v>
      </c>
      <c r="E2127" s="18"/>
      <c r="F2127" s="16"/>
      <c r="G2127" s="36">
        <f t="shared" si="1306"/>
        <v>0</v>
      </c>
      <c r="H2127" s="17">
        <f t="shared" si="1307"/>
        <v>1</v>
      </c>
      <c r="I2127" s="84">
        <v>45995</v>
      </c>
      <c r="J2127" s="52"/>
      <c r="K2127" s="15"/>
      <c r="L2127" s="16"/>
      <c r="M2127" s="36">
        <f t="shared" si="1299"/>
        <v>0</v>
      </c>
      <c r="N2127" s="18"/>
      <c r="O2127" s="16"/>
      <c r="P2127" s="36">
        <f t="shared" si="1300"/>
        <v>0</v>
      </c>
      <c r="Q2127" s="17">
        <f t="shared" si="1301"/>
        <v>0</v>
      </c>
    </row>
    <row r="2128" spans="1:18" x14ac:dyDescent="0.15">
      <c r="A2128" s="35" t="s">
        <v>651</v>
      </c>
      <c r="B2128" s="15">
        <f>1+2+2</f>
        <v>5</v>
      </c>
      <c r="C2128" s="16"/>
      <c r="D2128" s="36">
        <f t="shared" si="1305"/>
        <v>5</v>
      </c>
      <c r="E2128" s="18">
        <v>1</v>
      </c>
      <c r="F2128" s="16"/>
      <c r="G2128" s="36">
        <f t="shared" si="1306"/>
        <v>1</v>
      </c>
      <c r="H2128" s="17">
        <f t="shared" si="1307"/>
        <v>6</v>
      </c>
      <c r="I2128" s="84">
        <v>45996</v>
      </c>
      <c r="J2128" s="52"/>
      <c r="K2128" s="15"/>
      <c r="L2128" s="16"/>
      <c r="M2128" s="36">
        <f t="shared" si="1299"/>
        <v>0</v>
      </c>
      <c r="N2128" s="18"/>
      <c r="O2128" s="16"/>
      <c r="P2128" s="36">
        <f t="shared" si="1300"/>
        <v>0</v>
      </c>
      <c r="Q2128" s="17">
        <f t="shared" si="1301"/>
        <v>0</v>
      </c>
    </row>
    <row r="2129" spans="1:17" x14ac:dyDescent="0.15">
      <c r="A2129" s="35" t="s">
        <v>651</v>
      </c>
      <c r="B2129" s="15">
        <v>2</v>
      </c>
      <c r="C2129" s="16"/>
      <c r="D2129" s="36">
        <f t="shared" si="1305"/>
        <v>2</v>
      </c>
      <c r="E2129" s="18"/>
      <c r="F2129" s="16"/>
      <c r="G2129" s="36">
        <f t="shared" si="1306"/>
        <v>0</v>
      </c>
      <c r="H2129" s="17">
        <f t="shared" si="1307"/>
        <v>2</v>
      </c>
      <c r="I2129" s="84">
        <v>45997</v>
      </c>
      <c r="J2129" s="52"/>
      <c r="K2129" s="15"/>
      <c r="L2129" s="16"/>
      <c r="M2129" s="36">
        <f t="shared" si="1299"/>
        <v>0</v>
      </c>
      <c r="N2129" s="18"/>
      <c r="O2129" s="16"/>
      <c r="P2129" s="36">
        <f t="shared" si="1300"/>
        <v>0</v>
      </c>
      <c r="Q2129" s="17">
        <f t="shared" si="1301"/>
        <v>0</v>
      </c>
    </row>
    <row r="2130" spans="1:17" x14ac:dyDescent="0.15">
      <c r="A2130" s="35" t="s">
        <v>651</v>
      </c>
      <c r="B2130" s="15">
        <v>2</v>
      </c>
      <c r="C2130" s="16"/>
      <c r="D2130" s="36">
        <f t="shared" si="1305"/>
        <v>2</v>
      </c>
      <c r="E2130" s="18"/>
      <c r="F2130" s="16"/>
      <c r="G2130" s="36">
        <f t="shared" si="1306"/>
        <v>0</v>
      </c>
      <c r="H2130" s="17">
        <f t="shared" si="1307"/>
        <v>2</v>
      </c>
      <c r="I2130" s="84">
        <v>45999</v>
      </c>
      <c r="J2130" s="52"/>
      <c r="K2130" s="15"/>
      <c r="L2130" s="16"/>
      <c r="M2130" s="36">
        <f t="shared" si="1299"/>
        <v>0</v>
      </c>
      <c r="N2130" s="18"/>
      <c r="O2130" s="16"/>
      <c r="P2130" s="36">
        <f t="shared" si="1300"/>
        <v>0</v>
      </c>
      <c r="Q2130" s="17">
        <f t="shared" si="1301"/>
        <v>0</v>
      </c>
    </row>
    <row r="2131" spans="1:17" x14ac:dyDescent="0.15">
      <c r="A2131" s="35" t="s">
        <v>651</v>
      </c>
      <c r="B2131" s="15">
        <v>1</v>
      </c>
      <c r="C2131" s="16"/>
      <c r="D2131" s="36">
        <f t="shared" si="1305"/>
        <v>1</v>
      </c>
      <c r="E2131" s="18"/>
      <c r="F2131" s="16"/>
      <c r="G2131" s="36">
        <f t="shared" si="1306"/>
        <v>0</v>
      </c>
      <c r="H2131" s="17">
        <f t="shared" si="1307"/>
        <v>1</v>
      </c>
      <c r="I2131" s="84">
        <v>46000</v>
      </c>
      <c r="J2131" s="52"/>
      <c r="K2131" s="15"/>
      <c r="L2131" s="16"/>
      <c r="M2131" s="36">
        <f t="shared" si="1299"/>
        <v>0</v>
      </c>
      <c r="N2131" s="18"/>
      <c r="O2131" s="16"/>
      <c r="P2131" s="36">
        <f t="shared" si="1300"/>
        <v>0</v>
      </c>
      <c r="Q2131" s="17">
        <f t="shared" si="1301"/>
        <v>0</v>
      </c>
    </row>
    <row r="2132" spans="1:17" x14ac:dyDescent="0.15">
      <c r="A2132" s="35" t="s">
        <v>651</v>
      </c>
      <c r="B2132" s="15">
        <v>5</v>
      </c>
      <c r="C2132" s="16"/>
      <c r="D2132" s="36">
        <f t="shared" si="1305"/>
        <v>5</v>
      </c>
      <c r="E2132" s="18"/>
      <c r="F2132" s="16"/>
      <c r="G2132" s="36">
        <f t="shared" si="1306"/>
        <v>0</v>
      </c>
      <c r="H2132" s="17">
        <f t="shared" si="1307"/>
        <v>5</v>
      </c>
      <c r="I2132" s="84">
        <v>46002</v>
      </c>
      <c r="J2132" s="52"/>
      <c r="K2132" s="15"/>
      <c r="L2132" s="16"/>
      <c r="M2132" s="36">
        <f t="shared" si="1299"/>
        <v>0</v>
      </c>
      <c r="N2132" s="18"/>
      <c r="O2132" s="16"/>
      <c r="P2132" s="36">
        <f t="shared" si="1300"/>
        <v>0</v>
      </c>
      <c r="Q2132" s="17">
        <f t="shared" si="1301"/>
        <v>0</v>
      </c>
    </row>
    <row r="2133" spans="1:17" x14ac:dyDescent="0.15">
      <c r="A2133" s="35" t="s">
        <v>651</v>
      </c>
      <c r="B2133" s="15">
        <v>4</v>
      </c>
      <c r="C2133" s="16"/>
      <c r="D2133" s="36">
        <f t="shared" si="1305"/>
        <v>4</v>
      </c>
      <c r="E2133" s="18">
        <v>1</v>
      </c>
      <c r="F2133" s="16"/>
      <c r="G2133" s="36">
        <f t="shared" si="1306"/>
        <v>1</v>
      </c>
      <c r="H2133" s="17">
        <f t="shared" si="1307"/>
        <v>5</v>
      </c>
      <c r="I2133" s="84">
        <v>46006</v>
      </c>
      <c r="J2133" s="52"/>
      <c r="K2133" s="15"/>
      <c r="L2133" s="16"/>
      <c r="M2133" s="36">
        <f t="shared" si="1299"/>
        <v>0</v>
      </c>
      <c r="N2133" s="18"/>
      <c r="O2133" s="16"/>
      <c r="P2133" s="36">
        <f t="shared" si="1300"/>
        <v>0</v>
      </c>
      <c r="Q2133" s="17">
        <f t="shared" si="1301"/>
        <v>0</v>
      </c>
    </row>
    <row r="2134" spans="1:17" x14ac:dyDescent="0.15">
      <c r="A2134" s="35" t="s">
        <v>651</v>
      </c>
      <c r="B2134" s="15"/>
      <c r="C2134" s="16"/>
      <c r="D2134" s="36">
        <f t="shared" si="1305"/>
        <v>0</v>
      </c>
      <c r="E2134" s="18">
        <v>3</v>
      </c>
      <c r="F2134" s="16"/>
      <c r="G2134" s="36">
        <f t="shared" si="1306"/>
        <v>3</v>
      </c>
      <c r="H2134" s="17">
        <f t="shared" si="1307"/>
        <v>3</v>
      </c>
      <c r="I2134" s="84">
        <v>46007</v>
      </c>
      <c r="J2134" s="52"/>
      <c r="K2134" s="15"/>
      <c r="L2134" s="16"/>
      <c r="M2134" s="36">
        <f t="shared" si="1299"/>
        <v>0</v>
      </c>
      <c r="N2134" s="18"/>
      <c r="O2134" s="16"/>
      <c r="P2134" s="36">
        <f t="shared" si="1300"/>
        <v>0</v>
      </c>
      <c r="Q2134" s="17">
        <f t="shared" si="1301"/>
        <v>0</v>
      </c>
    </row>
    <row r="2135" spans="1:17" x14ac:dyDescent="0.15">
      <c r="A2135" s="35" t="s">
        <v>651</v>
      </c>
      <c r="B2135" s="15">
        <v>3</v>
      </c>
      <c r="C2135" s="16"/>
      <c r="D2135" s="36">
        <f t="shared" si="1305"/>
        <v>3</v>
      </c>
      <c r="E2135" s="18">
        <v>1</v>
      </c>
      <c r="F2135" s="16"/>
      <c r="G2135" s="36">
        <f t="shared" si="1306"/>
        <v>1</v>
      </c>
      <c r="H2135" s="17">
        <f t="shared" si="1307"/>
        <v>4</v>
      </c>
      <c r="I2135" s="84">
        <v>46013</v>
      </c>
      <c r="J2135" s="52"/>
      <c r="K2135" s="15"/>
      <c r="L2135" s="16"/>
      <c r="M2135" s="36">
        <f t="shared" si="1299"/>
        <v>0</v>
      </c>
      <c r="N2135" s="18"/>
      <c r="O2135" s="16"/>
      <c r="P2135" s="36">
        <f t="shared" si="1300"/>
        <v>0</v>
      </c>
      <c r="Q2135" s="17">
        <f t="shared" si="1301"/>
        <v>0</v>
      </c>
    </row>
    <row r="2136" spans="1:17" x14ac:dyDescent="0.15">
      <c r="A2136" s="35" t="s">
        <v>651</v>
      </c>
      <c r="B2136" s="15"/>
      <c r="C2136" s="16"/>
      <c r="D2136" s="36">
        <f t="shared" si="1305"/>
        <v>0</v>
      </c>
      <c r="E2136" s="18">
        <v>4</v>
      </c>
      <c r="F2136" s="16"/>
      <c r="G2136" s="36">
        <f t="shared" si="1306"/>
        <v>4</v>
      </c>
      <c r="H2136" s="17">
        <f t="shared" si="1307"/>
        <v>4</v>
      </c>
      <c r="I2136" s="84">
        <v>46014</v>
      </c>
      <c r="J2136" s="52"/>
      <c r="K2136" s="15"/>
      <c r="L2136" s="16"/>
      <c r="M2136" s="36">
        <f t="shared" si="1299"/>
        <v>0</v>
      </c>
      <c r="N2136" s="18"/>
      <c r="O2136" s="16"/>
      <c r="P2136" s="36">
        <f t="shared" si="1300"/>
        <v>0</v>
      </c>
      <c r="Q2136" s="17">
        <f t="shared" si="1301"/>
        <v>0</v>
      </c>
    </row>
    <row r="2137" spans="1:17" x14ac:dyDescent="0.15">
      <c r="A2137" s="35" t="s">
        <v>651</v>
      </c>
      <c r="B2137" s="15"/>
      <c r="C2137" s="16"/>
      <c r="D2137" s="36">
        <f t="shared" si="1305"/>
        <v>0</v>
      </c>
      <c r="E2137" s="18">
        <v>2</v>
      </c>
      <c r="F2137" s="16"/>
      <c r="G2137" s="36">
        <f t="shared" si="1306"/>
        <v>2</v>
      </c>
      <c r="H2137" s="17">
        <f t="shared" si="1307"/>
        <v>2</v>
      </c>
      <c r="I2137" s="84">
        <v>46015</v>
      </c>
      <c r="J2137" s="52"/>
      <c r="K2137" s="15"/>
      <c r="L2137" s="16"/>
      <c r="M2137" s="36">
        <f t="shared" si="1299"/>
        <v>0</v>
      </c>
      <c r="N2137" s="18"/>
      <c r="O2137" s="16"/>
      <c r="P2137" s="36">
        <f t="shared" si="1300"/>
        <v>0</v>
      </c>
      <c r="Q2137" s="17">
        <f t="shared" si="1301"/>
        <v>0</v>
      </c>
    </row>
    <row r="2138" spans="1:17" x14ac:dyDescent="0.15">
      <c r="A2138" s="35" t="s">
        <v>651</v>
      </c>
      <c r="B2138" s="15"/>
      <c r="C2138" s="16"/>
      <c r="D2138" s="36">
        <f t="shared" si="1305"/>
        <v>0</v>
      </c>
      <c r="E2138" s="18">
        <v>2</v>
      </c>
      <c r="F2138" s="16"/>
      <c r="G2138" s="36">
        <f t="shared" si="1306"/>
        <v>2</v>
      </c>
      <c r="H2138" s="17">
        <f t="shared" si="1307"/>
        <v>2</v>
      </c>
      <c r="I2138" s="84">
        <v>46016</v>
      </c>
      <c r="J2138" s="52"/>
      <c r="K2138" s="15"/>
      <c r="L2138" s="16"/>
      <c r="M2138" s="36">
        <f t="shared" si="1299"/>
        <v>0</v>
      </c>
      <c r="N2138" s="18"/>
      <c r="O2138" s="16"/>
      <c r="P2138" s="36">
        <f t="shared" si="1300"/>
        <v>0</v>
      </c>
      <c r="Q2138" s="17">
        <f t="shared" si="1301"/>
        <v>0</v>
      </c>
    </row>
    <row r="2139" spans="1:17" x14ac:dyDescent="0.15">
      <c r="A2139" s="35" t="s">
        <v>651</v>
      </c>
      <c r="B2139" s="15"/>
      <c r="C2139" s="16"/>
      <c r="D2139" s="36">
        <f t="shared" si="1305"/>
        <v>0</v>
      </c>
      <c r="E2139" s="18">
        <f>2+1</f>
        <v>3</v>
      </c>
      <c r="F2139" s="16"/>
      <c r="G2139" s="36">
        <f t="shared" si="1306"/>
        <v>3</v>
      </c>
      <c r="H2139" s="17">
        <f t="shared" si="1307"/>
        <v>3</v>
      </c>
      <c r="I2139" s="84">
        <v>46017</v>
      </c>
      <c r="J2139" s="52"/>
      <c r="K2139" s="15"/>
      <c r="L2139" s="16"/>
      <c r="M2139" s="36">
        <f t="shared" si="1299"/>
        <v>0</v>
      </c>
      <c r="N2139" s="18"/>
      <c r="O2139" s="16"/>
      <c r="P2139" s="36">
        <f t="shared" si="1300"/>
        <v>0</v>
      </c>
      <c r="Q2139" s="17">
        <f t="shared" si="1301"/>
        <v>0</v>
      </c>
    </row>
    <row r="2140" spans="1:17" x14ac:dyDescent="0.15">
      <c r="A2140" s="35" t="s">
        <v>651</v>
      </c>
      <c r="B2140" s="15">
        <v>3</v>
      </c>
      <c r="C2140" s="16"/>
      <c r="D2140" s="36">
        <f t="shared" si="1305"/>
        <v>3</v>
      </c>
      <c r="E2140" s="18">
        <v>9</v>
      </c>
      <c r="F2140" s="16"/>
      <c r="G2140" s="36">
        <f t="shared" si="1306"/>
        <v>9</v>
      </c>
      <c r="H2140" s="17">
        <f t="shared" si="1307"/>
        <v>12</v>
      </c>
      <c r="I2140" s="84">
        <v>46027</v>
      </c>
      <c r="J2140" s="52"/>
      <c r="K2140" s="15"/>
      <c r="L2140" s="16"/>
      <c r="M2140" s="36">
        <f t="shared" si="1299"/>
        <v>0</v>
      </c>
      <c r="N2140" s="18"/>
      <c r="O2140" s="16"/>
      <c r="P2140" s="36">
        <f t="shared" si="1300"/>
        <v>0</v>
      </c>
      <c r="Q2140" s="17">
        <f t="shared" si="1301"/>
        <v>0</v>
      </c>
    </row>
    <row r="2141" spans="1:17" x14ac:dyDescent="0.15">
      <c r="A2141" s="35" t="s">
        <v>651</v>
      </c>
      <c r="B2141" s="15">
        <v>2</v>
      </c>
      <c r="C2141" s="16"/>
      <c r="D2141" s="36">
        <f t="shared" si="1305"/>
        <v>2</v>
      </c>
      <c r="E2141" s="18"/>
      <c r="F2141" s="16"/>
      <c r="G2141" s="36">
        <f t="shared" si="1306"/>
        <v>0</v>
      </c>
      <c r="H2141" s="17">
        <f t="shared" si="1307"/>
        <v>2</v>
      </c>
      <c r="I2141" s="84">
        <v>46030</v>
      </c>
      <c r="J2141" s="52"/>
      <c r="K2141" s="15"/>
      <c r="L2141" s="16"/>
      <c r="M2141" s="36">
        <f t="shared" si="1299"/>
        <v>0</v>
      </c>
      <c r="N2141" s="18"/>
      <c r="O2141" s="16"/>
      <c r="P2141" s="36">
        <f t="shared" si="1300"/>
        <v>0</v>
      </c>
      <c r="Q2141" s="17">
        <f t="shared" si="1301"/>
        <v>0</v>
      </c>
    </row>
    <row r="2142" spans="1:17" x14ac:dyDescent="0.15">
      <c r="A2142" s="35" t="s">
        <v>651</v>
      </c>
      <c r="B2142" s="15">
        <v>2</v>
      </c>
      <c r="C2142" s="16"/>
      <c r="D2142" s="36">
        <f t="shared" si="1305"/>
        <v>2</v>
      </c>
      <c r="E2142" s="18"/>
      <c r="F2142" s="16"/>
      <c r="G2142" s="36">
        <f t="shared" si="1306"/>
        <v>0</v>
      </c>
      <c r="H2142" s="17">
        <f t="shared" si="1307"/>
        <v>2</v>
      </c>
      <c r="I2142" s="84">
        <v>46032</v>
      </c>
      <c r="J2142" s="52"/>
      <c r="K2142" s="15"/>
      <c r="L2142" s="16"/>
      <c r="M2142" s="36">
        <f t="shared" si="1299"/>
        <v>0</v>
      </c>
      <c r="N2142" s="18"/>
      <c r="O2142" s="16"/>
      <c r="P2142" s="36">
        <f t="shared" si="1300"/>
        <v>0</v>
      </c>
      <c r="Q2142" s="17">
        <f t="shared" si="1301"/>
        <v>0</v>
      </c>
    </row>
    <row r="2143" spans="1:17" x14ac:dyDescent="0.15">
      <c r="A2143" s="35" t="s">
        <v>651</v>
      </c>
      <c r="B2143" s="15">
        <v>2</v>
      </c>
      <c r="C2143" s="16"/>
      <c r="D2143" s="36">
        <f t="shared" si="1305"/>
        <v>2</v>
      </c>
      <c r="E2143" s="18">
        <v>6</v>
      </c>
      <c r="F2143" s="16"/>
      <c r="G2143" s="36">
        <f t="shared" si="1306"/>
        <v>6</v>
      </c>
      <c r="H2143" s="17">
        <f t="shared" si="1307"/>
        <v>8</v>
      </c>
      <c r="I2143" s="84">
        <v>46035</v>
      </c>
      <c r="J2143" s="52"/>
      <c r="K2143" s="15"/>
      <c r="L2143" s="16"/>
      <c r="M2143" s="36">
        <f t="shared" si="1299"/>
        <v>0</v>
      </c>
      <c r="N2143" s="18"/>
      <c r="O2143" s="16"/>
      <c r="P2143" s="36">
        <f t="shared" si="1300"/>
        <v>0</v>
      </c>
      <c r="Q2143" s="17">
        <f t="shared" si="1301"/>
        <v>0</v>
      </c>
    </row>
    <row r="2144" spans="1:17" x14ac:dyDescent="0.15">
      <c r="A2144" s="35" t="s">
        <v>651</v>
      </c>
      <c r="B2144" s="15"/>
      <c r="C2144" s="16"/>
      <c r="D2144" s="36">
        <f t="shared" si="1296"/>
        <v>0</v>
      </c>
      <c r="E2144" s="18">
        <v>2</v>
      </c>
      <c r="F2144" s="16"/>
      <c r="G2144" s="36">
        <f t="shared" si="1297"/>
        <v>2</v>
      </c>
      <c r="H2144" s="17">
        <f t="shared" si="1298"/>
        <v>2</v>
      </c>
      <c r="I2144" s="84">
        <v>46037</v>
      </c>
      <c r="J2144" s="52"/>
      <c r="K2144" s="15"/>
      <c r="L2144" s="16"/>
      <c r="M2144" s="36">
        <f t="shared" si="1299"/>
        <v>0</v>
      </c>
      <c r="N2144" s="18"/>
      <c r="O2144" s="16"/>
      <c r="P2144" s="36">
        <f t="shared" si="1300"/>
        <v>0</v>
      </c>
      <c r="Q2144" s="17">
        <f t="shared" si="1301"/>
        <v>0</v>
      </c>
    </row>
    <row r="2145" spans="1:17" x14ac:dyDescent="0.15">
      <c r="A2145" s="35" t="s">
        <v>651</v>
      </c>
      <c r="B2145" s="15">
        <v>2</v>
      </c>
      <c r="C2145" s="16"/>
      <c r="D2145" s="36">
        <f t="shared" si="1296"/>
        <v>2</v>
      </c>
      <c r="E2145" s="18"/>
      <c r="F2145" s="16"/>
      <c r="G2145" s="36">
        <f t="shared" si="1297"/>
        <v>0</v>
      </c>
      <c r="H2145" s="17">
        <f t="shared" si="1298"/>
        <v>2</v>
      </c>
      <c r="I2145" s="84">
        <v>46038</v>
      </c>
      <c r="J2145" s="52"/>
      <c r="K2145" s="15"/>
      <c r="L2145" s="16"/>
      <c r="M2145" s="36">
        <f t="shared" si="1299"/>
        <v>0</v>
      </c>
      <c r="N2145" s="18"/>
      <c r="O2145" s="16"/>
      <c r="P2145" s="36">
        <f t="shared" si="1300"/>
        <v>0</v>
      </c>
      <c r="Q2145" s="17">
        <f t="shared" si="1301"/>
        <v>0</v>
      </c>
    </row>
    <row r="2146" spans="1:17" ht="14.25" thickBot="1" x14ac:dyDescent="0.2">
      <c r="A2146" s="35" t="s">
        <v>651</v>
      </c>
      <c r="B2146" s="15"/>
      <c r="C2146" s="16"/>
      <c r="D2146" s="36">
        <f t="shared" si="1296"/>
        <v>0</v>
      </c>
      <c r="E2146" s="18">
        <v>2</v>
      </c>
      <c r="F2146" s="16"/>
      <c r="G2146" s="36">
        <f t="shared" si="1297"/>
        <v>2</v>
      </c>
      <c r="H2146" s="17">
        <f t="shared" si="1298"/>
        <v>2</v>
      </c>
      <c r="I2146" s="84">
        <v>46041</v>
      </c>
      <c r="J2146" s="52"/>
      <c r="K2146" s="15"/>
      <c r="L2146" s="16"/>
      <c r="M2146" s="36">
        <f t="shared" si="1299"/>
        <v>0</v>
      </c>
      <c r="N2146" s="18"/>
      <c r="O2146" s="16"/>
      <c r="P2146" s="36">
        <f t="shared" si="1300"/>
        <v>0</v>
      </c>
      <c r="Q2146" s="17">
        <f t="shared" si="1301"/>
        <v>0</v>
      </c>
    </row>
    <row r="2147" spans="1:17" ht="14.25" thickBot="1" x14ac:dyDescent="0.2">
      <c r="A2147" s="40" t="s">
        <v>14</v>
      </c>
      <c r="B2147" s="41">
        <f>SUM(B2121:B2146)</f>
        <v>47</v>
      </c>
      <c r="C2147" s="96">
        <f>SUM(C2121:C2146)</f>
        <v>0</v>
      </c>
      <c r="D2147" s="43">
        <f t="shared" si="1296"/>
        <v>47</v>
      </c>
      <c r="E2147" s="41">
        <f>SUM(E2121:E2146)</f>
        <v>38</v>
      </c>
      <c r="F2147" s="96">
        <f t="shared" ref="F2147" si="1311">SUM(F2121:F2146)</f>
        <v>0</v>
      </c>
      <c r="G2147" s="43">
        <f t="shared" si="1297"/>
        <v>38</v>
      </c>
      <c r="H2147" s="43">
        <f t="shared" si="1298"/>
        <v>85</v>
      </c>
      <c r="J2147" s="40" t="s">
        <v>14</v>
      </c>
      <c r="K2147" s="41">
        <f>SUM(K2121:K2146)</f>
        <v>40</v>
      </c>
      <c r="L2147" s="96">
        <f t="shared" ref="L2147" si="1312">SUM(L2121:L2146)</f>
        <v>0</v>
      </c>
      <c r="M2147" s="43">
        <f t="shared" si="1299"/>
        <v>40</v>
      </c>
      <c r="N2147" s="118">
        <f>SUM(N2121:N2146)</f>
        <v>0</v>
      </c>
      <c r="O2147" s="96">
        <f t="shared" ref="O2147" si="1313">SUM(O2121:O2146)</f>
        <v>0</v>
      </c>
      <c r="P2147" s="43">
        <f t="shared" si="1300"/>
        <v>0</v>
      </c>
      <c r="Q2147" s="43">
        <f t="shared" si="1301"/>
        <v>40</v>
      </c>
    </row>
    <row r="2148" spans="1:17" ht="14.25" thickBot="1" x14ac:dyDescent="0.2">
      <c r="A2148" s="44" t="s">
        <v>15</v>
      </c>
      <c r="B2148" s="45">
        <f>B2120-B2147</f>
        <v>11</v>
      </c>
      <c r="C2148" s="97">
        <f>C2120-C2147</f>
        <v>0</v>
      </c>
      <c r="D2148" s="47">
        <f t="shared" si="1296"/>
        <v>11</v>
      </c>
      <c r="E2148" s="45">
        <f>E2120-E2147</f>
        <v>15</v>
      </c>
      <c r="F2148" s="97">
        <f t="shared" ref="F2148" si="1314">F2120-F2147</f>
        <v>0</v>
      </c>
      <c r="G2148" s="47">
        <f t="shared" si="1297"/>
        <v>15</v>
      </c>
      <c r="H2148" s="34">
        <f t="shared" si="1298"/>
        <v>26</v>
      </c>
      <c r="J2148" s="44" t="s">
        <v>15</v>
      </c>
      <c r="K2148" s="45">
        <f>K2120-K2147</f>
        <v>273</v>
      </c>
      <c r="L2148" s="97">
        <f t="shared" ref="L2148" si="1315">L2120-L2147</f>
        <v>0</v>
      </c>
      <c r="M2148" s="47">
        <f t="shared" si="1299"/>
        <v>273</v>
      </c>
      <c r="N2148" s="119">
        <f>N2120-N2147</f>
        <v>0</v>
      </c>
      <c r="O2148" s="97">
        <f t="shared" ref="O2148" si="1316">O2120-O2147</f>
        <v>0</v>
      </c>
      <c r="P2148" s="47">
        <f t="shared" si="1300"/>
        <v>0</v>
      </c>
      <c r="Q2148" s="34">
        <f t="shared" si="1301"/>
        <v>273</v>
      </c>
    </row>
    <row r="2149" spans="1:17" x14ac:dyDescent="0.15">
      <c r="E2149" s="109" t="s">
        <v>699</v>
      </c>
    </row>
    <row r="2151" spans="1:17" ht="19.5" thickBot="1" x14ac:dyDescent="0.25">
      <c r="A2151" s="1" t="s">
        <v>23</v>
      </c>
      <c r="J2151" s="1" t="s">
        <v>24</v>
      </c>
      <c r="K2151" s="2"/>
      <c r="L2151" s="2"/>
      <c r="M2151" s="2"/>
      <c r="N2151" s="2"/>
      <c r="O2151" s="1" t="s">
        <v>34</v>
      </c>
      <c r="P2151" s="2"/>
      <c r="Q2151" s="2"/>
    </row>
    <row r="2152" spans="1:17" ht="14.25" thickBot="1" x14ac:dyDescent="0.2">
      <c r="A2152" s="3" t="s">
        <v>0</v>
      </c>
      <c r="B2152" s="120" t="s">
        <v>18</v>
      </c>
      <c r="C2152" s="121"/>
      <c r="D2152" s="122"/>
      <c r="E2152" s="120" t="s">
        <v>19</v>
      </c>
      <c r="F2152" s="121"/>
      <c r="G2152" s="122"/>
      <c r="H2152" s="123" t="s">
        <v>1</v>
      </c>
      <c r="J2152" s="3" t="s">
        <v>0</v>
      </c>
      <c r="K2152" s="120" t="s">
        <v>18</v>
      </c>
      <c r="L2152" s="121"/>
      <c r="M2152" s="122"/>
      <c r="N2152" s="120" t="s">
        <v>19</v>
      </c>
      <c r="O2152" s="121"/>
      <c r="P2152" s="122"/>
      <c r="Q2152" s="123" t="s">
        <v>1</v>
      </c>
    </row>
    <row r="2153" spans="1:17" ht="14.25" thickBot="1" x14ac:dyDescent="0.2">
      <c r="A2153" s="3" t="s">
        <v>2</v>
      </c>
      <c r="B2153" s="4" t="s">
        <v>16</v>
      </c>
      <c r="C2153" s="5" t="s">
        <v>17</v>
      </c>
      <c r="D2153" s="3" t="s">
        <v>3</v>
      </c>
      <c r="E2153" s="4" t="s">
        <v>16</v>
      </c>
      <c r="F2153" s="5" t="s">
        <v>17</v>
      </c>
      <c r="G2153" s="3" t="s">
        <v>3</v>
      </c>
      <c r="H2153" s="124"/>
      <c r="J2153" s="3" t="s">
        <v>2</v>
      </c>
      <c r="K2153" s="4" t="s">
        <v>16</v>
      </c>
      <c r="L2153" s="5" t="s">
        <v>17</v>
      </c>
      <c r="M2153" s="3" t="s">
        <v>3</v>
      </c>
      <c r="N2153" s="4" t="s">
        <v>16</v>
      </c>
      <c r="O2153" s="5" t="s">
        <v>17</v>
      </c>
      <c r="P2153" s="3" t="s">
        <v>3</v>
      </c>
      <c r="Q2153" s="124"/>
    </row>
    <row r="2154" spans="1:17" ht="14.25" thickBot="1" x14ac:dyDescent="0.2">
      <c r="A2154" s="6" t="s">
        <v>55</v>
      </c>
      <c r="B2154" s="32">
        <f>B2148</f>
        <v>11</v>
      </c>
      <c r="C2154" s="33">
        <f>C2148</f>
        <v>0</v>
      </c>
      <c r="D2154" s="34">
        <f t="shared" ref="D2154:D2191" si="1317">SUM(B2154:C2154)</f>
        <v>11</v>
      </c>
      <c r="E2154" s="32">
        <f>E2148</f>
        <v>15</v>
      </c>
      <c r="F2154" s="33">
        <f>F2148</f>
        <v>0</v>
      </c>
      <c r="G2154" s="34">
        <f t="shared" ref="G2154:G2191" si="1318">SUM(E2154:F2154)</f>
        <v>15</v>
      </c>
      <c r="H2154" s="34">
        <f t="shared" ref="H2154:H2191" si="1319">D2154+G2154</f>
        <v>26</v>
      </c>
      <c r="J2154" s="6" t="s">
        <v>55</v>
      </c>
      <c r="K2154" s="32">
        <f>K2148</f>
        <v>273</v>
      </c>
      <c r="L2154" s="33">
        <f>L2148</f>
        <v>0</v>
      </c>
      <c r="M2154" s="34">
        <f t="shared" ref="M2154:M2191" si="1320">SUM(K2154:L2154)</f>
        <v>273</v>
      </c>
      <c r="N2154" s="32">
        <f>N2148</f>
        <v>0</v>
      </c>
      <c r="O2154" s="33">
        <f>O2148</f>
        <v>0</v>
      </c>
      <c r="P2154" s="34">
        <f t="shared" ref="P2154:P2191" si="1321">SUM(N2154:O2154)</f>
        <v>0</v>
      </c>
      <c r="Q2154" s="34">
        <f t="shared" ref="Q2154:Q2191" si="1322">M2154+P2154</f>
        <v>273</v>
      </c>
    </row>
    <row r="2155" spans="1:17" x14ac:dyDescent="0.15">
      <c r="A2155" s="10" t="s">
        <v>5</v>
      </c>
      <c r="B2155" s="15">
        <v>10</v>
      </c>
      <c r="C2155" s="16"/>
      <c r="D2155" s="17">
        <f t="shared" ref="D2155:D2158" si="1323">SUM(B2155:C2155)</f>
        <v>10</v>
      </c>
      <c r="E2155" s="18"/>
      <c r="F2155" s="16"/>
      <c r="G2155" s="17">
        <f t="shared" ref="G2155:G2158" si="1324">SUM(E2155:F2155)</f>
        <v>0</v>
      </c>
      <c r="H2155" s="17">
        <f t="shared" ref="H2155:H2158" si="1325">D2155+G2155</f>
        <v>10</v>
      </c>
      <c r="I2155" s="81">
        <v>46048</v>
      </c>
      <c r="J2155" s="10" t="s">
        <v>5</v>
      </c>
      <c r="K2155" s="15"/>
      <c r="L2155" s="16"/>
      <c r="M2155" s="17">
        <f t="shared" si="1320"/>
        <v>0</v>
      </c>
      <c r="N2155" s="18"/>
      <c r="O2155" s="16"/>
      <c r="P2155" s="17">
        <f t="shared" si="1321"/>
        <v>0</v>
      </c>
      <c r="Q2155" s="17">
        <f t="shared" si="1322"/>
        <v>0</v>
      </c>
    </row>
    <row r="2156" spans="1:17" x14ac:dyDescent="0.15">
      <c r="A2156" s="10" t="s">
        <v>6</v>
      </c>
      <c r="B2156" s="15">
        <v>10</v>
      </c>
      <c r="C2156" s="16"/>
      <c r="D2156" s="17">
        <f t="shared" si="1323"/>
        <v>10</v>
      </c>
      <c r="E2156" s="18"/>
      <c r="F2156" s="16"/>
      <c r="G2156" s="17">
        <f t="shared" si="1324"/>
        <v>0</v>
      </c>
      <c r="H2156" s="17">
        <f t="shared" si="1325"/>
        <v>10</v>
      </c>
      <c r="I2156" s="81">
        <v>46053</v>
      </c>
      <c r="J2156" s="10" t="s">
        <v>6</v>
      </c>
      <c r="K2156" s="15"/>
      <c r="L2156" s="16"/>
      <c r="M2156" s="17">
        <f t="shared" si="1320"/>
        <v>0</v>
      </c>
      <c r="N2156" s="18"/>
      <c r="O2156" s="16"/>
      <c r="P2156" s="17">
        <f t="shared" si="1321"/>
        <v>0</v>
      </c>
      <c r="Q2156" s="17">
        <f t="shared" si="1322"/>
        <v>0</v>
      </c>
    </row>
    <row r="2157" spans="1:17" x14ac:dyDescent="0.15">
      <c r="A2157" s="110" t="s">
        <v>7</v>
      </c>
      <c r="B2157" s="111">
        <v>15</v>
      </c>
      <c r="C2157" s="112"/>
      <c r="D2157" s="113">
        <f t="shared" si="1323"/>
        <v>15</v>
      </c>
      <c r="E2157" s="114"/>
      <c r="F2157" s="112"/>
      <c r="G2157" s="113">
        <f t="shared" si="1324"/>
        <v>0</v>
      </c>
      <c r="H2157" s="113">
        <f t="shared" si="1325"/>
        <v>15</v>
      </c>
      <c r="I2157" s="115">
        <v>46065</v>
      </c>
      <c r="J2157" s="110" t="s">
        <v>7</v>
      </c>
      <c r="K2157" s="15"/>
      <c r="L2157" s="16"/>
      <c r="M2157" s="17">
        <f t="shared" si="1320"/>
        <v>0</v>
      </c>
      <c r="N2157" s="18"/>
      <c r="O2157" s="16"/>
      <c r="P2157" s="17">
        <f t="shared" si="1321"/>
        <v>0</v>
      </c>
      <c r="Q2157" s="17">
        <f t="shared" si="1322"/>
        <v>0</v>
      </c>
    </row>
    <row r="2158" spans="1:17" x14ac:dyDescent="0.15">
      <c r="A2158" s="10" t="s">
        <v>8</v>
      </c>
      <c r="B2158" s="15">
        <v>10</v>
      </c>
      <c r="C2158" s="16"/>
      <c r="D2158" s="17">
        <f t="shared" si="1323"/>
        <v>10</v>
      </c>
      <c r="E2158" s="18"/>
      <c r="F2158" s="16"/>
      <c r="G2158" s="17">
        <f t="shared" si="1324"/>
        <v>0</v>
      </c>
      <c r="H2158" s="17">
        <f t="shared" si="1325"/>
        <v>10</v>
      </c>
      <c r="I2158" s="81">
        <v>46084</v>
      </c>
      <c r="J2158" s="10" t="s">
        <v>8</v>
      </c>
      <c r="K2158" s="15"/>
      <c r="L2158" s="16"/>
      <c r="M2158" s="17">
        <f t="shared" si="1320"/>
        <v>0</v>
      </c>
      <c r="N2158" s="18"/>
      <c r="O2158" s="16"/>
      <c r="P2158" s="17">
        <f t="shared" si="1321"/>
        <v>0</v>
      </c>
      <c r="Q2158" s="17">
        <f t="shared" si="1322"/>
        <v>0</v>
      </c>
    </row>
    <row r="2159" spans="1:17" x14ac:dyDescent="0.15">
      <c r="A2159" s="10" t="s">
        <v>110</v>
      </c>
      <c r="B2159" s="15">
        <v>0</v>
      </c>
      <c r="C2159" s="16"/>
      <c r="D2159" s="17">
        <f t="shared" si="1317"/>
        <v>0</v>
      </c>
      <c r="E2159" s="18"/>
      <c r="F2159" s="16"/>
      <c r="G2159" s="17">
        <f t="shared" si="1318"/>
        <v>0</v>
      </c>
      <c r="H2159" s="17">
        <f t="shared" si="1319"/>
        <v>0</v>
      </c>
      <c r="I2159" s="84">
        <v>46085</v>
      </c>
      <c r="J2159" s="10" t="s">
        <v>9</v>
      </c>
      <c r="K2159" s="15"/>
      <c r="L2159" s="16"/>
      <c r="M2159" s="17">
        <f t="shared" si="1320"/>
        <v>0</v>
      </c>
      <c r="N2159" s="18"/>
      <c r="O2159" s="16"/>
      <c r="P2159" s="17">
        <f t="shared" si="1321"/>
        <v>0</v>
      </c>
      <c r="Q2159" s="17">
        <f t="shared" si="1322"/>
        <v>0</v>
      </c>
    </row>
    <row r="2160" spans="1:17" x14ac:dyDescent="0.15">
      <c r="A2160" s="10" t="s">
        <v>10</v>
      </c>
      <c r="B2160" s="15">
        <v>15</v>
      </c>
      <c r="C2160" s="16"/>
      <c r="D2160" s="17">
        <f t="shared" si="1317"/>
        <v>15</v>
      </c>
      <c r="E2160" s="18"/>
      <c r="F2160" s="16"/>
      <c r="G2160" s="17">
        <f t="shared" si="1318"/>
        <v>0</v>
      </c>
      <c r="H2160" s="17">
        <f t="shared" si="1319"/>
        <v>15</v>
      </c>
      <c r="I2160" s="84">
        <v>46088</v>
      </c>
      <c r="J2160" s="10" t="s">
        <v>10</v>
      </c>
      <c r="K2160" s="15"/>
      <c r="L2160" s="16"/>
      <c r="M2160" s="17">
        <f t="shared" si="1320"/>
        <v>0</v>
      </c>
      <c r="N2160" s="18"/>
      <c r="O2160" s="16"/>
      <c r="P2160" s="17">
        <f t="shared" si="1321"/>
        <v>0</v>
      </c>
      <c r="Q2160" s="17">
        <f t="shared" si="1322"/>
        <v>0</v>
      </c>
    </row>
    <row r="2161" spans="1:18" x14ac:dyDescent="0.15">
      <c r="A2161" s="110" t="s">
        <v>11</v>
      </c>
      <c r="B2161" s="111">
        <v>15</v>
      </c>
      <c r="C2161" s="112"/>
      <c r="D2161" s="113">
        <f t="shared" si="1317"/>
        <v>15</v>
      </c>
      <c r="E2161" s="114"/>
      <c r="F2161" s="112"/>
      <c r="G2161" s="113">
        <f t="shared" si="1318"/>
        <v>0</v>
      </c>
      <c r="H2161" s="113">
        <f t="shared" si="1319"/>
        <v>15</v>
      </c>
      <c r="I2161" s="115">
        <v>46098</v>
      </c>
      <c r="J2161" s="10" t="s">
        <v>11</v>
      </c>
      <c r="K2161" s="15"/>
      <c r="L2161" s="16"/>
      <c r="M2161" s="17">
        <f t="shared" si="1320"/>
        <v>0</v>
      </c>
      <c r="N2161" s="18"/>
      <c r="O2161" s="16"/>
      <c r="P2161" s="17">
        <f t="shared" si="1321"/>
        <v>0</v>
      </c>
      <c r="Q2161" s="17">
        <f t="shared" si="1322"/>
        <v>0</v>
      </c>
    </row>
    <row r="2162" spans="1:18" ht="14.25" thickBot="1" x14ac:dyDescent="0.2">
      <c r="A2162" s="10" t="s">
        <v>12</v>
      </c>
      <c r="B2162" s="15"/>
      <c r="C2162" s="16"/>
      <c r="D2162" s="17">
        <f t="shared" si="1317"/>
        <v>0</v>
      </c>
      <c r="E2162" s="18"/>
      <c r="F2162" s="16"/>
      <c r="G2162" s="17">
        <f t="shared" si="1318"/>
        <v>0</v>
      </c>
      <c r="H2162" s="17">
        <f t="shared" si="1319"/>
        <v>0</v>
      </c>
      <c r="J2162" s="10" t="s">
        <v>12</v>
      </c>
      <c r="K2162" s="15"/>
      <c r="L2162" s="16"/>
      <c r="M2162" s="17">
        <f t="shared" si="1320"/>
        <v>0</v>
      </c>
      <c r="N2162" s="18"/>
      <c r="O2162" s="16"/>
      <c r="P2162" s="17">
        <f t="shared" si="1321"/>
        <v>0</v>
      </c>
      <c r="Q2162" s="17">
        <f t="shared" si="1322"/>
        <v>0</v>
      </c>
    </row>
    <row r="2163" spans="1:18" ht="14.25" thickBot="1" x14ac:dyDescent="0.2">
      <c r="A2163" s="31" t="s">
        <v>13</v>
      </c>
      <c r="B2163" s="32">
        <f>SUM(B2154:B2162)</f>
        <v>86</v>
      </c>
      <c r="C2163" s="33">
        <f>SUM(C2154:C2162)</f>
        <v>0</v>
      </c>
      <c r="D2163" s="34">
        <f t="shared" si="1317"/>
        <v>86</v>
      </c>
      <c r="E2163" s="32">
        <f>SUM(E2154:E2162)</f>
        <v>15</v>
      </c>
      <c r="F2163" s="33">
        <f>SUM(F2154:F2162)</f>
        <v>0</v>
      </c>
      <c r="G2163" s="34">
        <f t="shared" si="1318"/>
        <v>15</v>
      </c>
      <c r="H2163" s="34">
        <f t="shared" si="1319"/>
        <v>101</v>
      </c>
      <c r="J2163" s="31" t="s">
        <v>13</v>
      </c>
      <c r="K2163" s="32">
        <f>SUM(K2154:K2162)</f>
        <v>273</v>
      </c>
      <c r="L2163" s="33">
        <f>SUM(L2154:L2162)</f>
        <v>0</v>
      </c>
      <c r="M2163" s="34">
        <f t="shared" si="1320"/>
        <v>273</v>
      </c>
      <c r="N2163" s="32">
        <f>SUM(N2154:N2162)</f>
        <v>0</v>
      </c>
      <c r="O2163" s="33">
        <f>SUM(O2154:O2162)</f>
        <v>0</v>
      </c>
      <c r="P2163" s="34">
        <f t="shared" si="1321"/>
        <v>0</v>
      </c>
      <c r="Q2163" s="34">
        <f t="shared" si="1322"/>
        <v>273</v>
      </c>
    </row>
    <row r="2164" spans="1:18" x14ac:dyDescent="0.15">
      <c r="A2164" s="35" t="s">
        <v>651</v>
      </c>
      <c r="B2164" s="15">
        <v>2</v>
      </c>
      <c r="C2164" s="16"/>
      <c r="D2164" s="36">
        <f t="shared" ref="D2164:D2184" si="1326">SUM(B2164:C2164)</f>
        <v>2</v>
      </c>
      <c r="E2164" s="18">
        <v>2</v>
      </c>
      <c r="F2164" s="16"/>
      <c r="G2164" s="36">
        <f t="shared" ref="G2164:G2184" si="1327">SUM(E2164:F2164)</f>
        <v>2</v>
      </c>
      <c r="H2164" s="17">
        <f t="shared" ref="H2164:H2184" si="1328">D2164+G2164</f>
        <v>4</v>
      </c>
      <c r="I2164" s="84">
        <v>46042</v>
      </c>
      <c r="J2164" s="52" t="s">
        <v>707</v>
      </c>
      <c r="K2164" s="15">
        <v>10</v>
      </c>
      <c r="L2164" s="16"/>
      <c r="M2164" s="36">
        <f t="shared" ref="M2164:M2166" si="1329">SUM(K2164:L2164)</f>
        <v>10</v>
      </c>
      <c r="N2164" s="18"/>
      <c r="O2164" s="16"/>
      <c r="P2164" s="36">
        <f t="shared" ref="P2164:P2166" si="1330">SUM(N2164:O2164)</f>
        <v>0</v>
      </c>
      <c r="Q2164" s="17">
        <f t="shared" ref="Q2164:Q2166" si="1331">M2164+P2164</f>
        <v>10</v>
      </c>
      <c r="R2164" s="81">
        <v>46048</v>
      </c>
    </row>
    <row r="2165" spans="1:18" x14ac:dyDescent="0.15">
      <c r="A2165" s="35" t="s">
        <v>651</v>
      </c>
      <c r="B2165" s="15">
        <v>2</v>
      </c>
      <c r="C2165" s="16"/>
      <c r="D2165" s="36">
        <f t="shared" si="1326"/>
        <v>2</v>
      </c>
      <c r="E2165" s="18">
        <v>1</v>
      </c>
      <c r="F2165" s="16"/>
      <c r="G2165" s="36">
        <f t="shared" si="1327"/>
        <v>1</v>
      </c>
      <c r="H2165" s="17">
        <f t="shared" si="1328"/>
        <v>3</v>
      </c>
      <c r="I2165" s="84">
        <v>46043</v>
      </c>
      <c r="J2165" s="52" t="s">
        <v>707</v>
      </c>
      <c r="K2165" s="15">
        <v>10</v>
      </c>
      <c r="L2165" s="16"/>
      <c r="M2165" s="36">
        <f t="shared" si="1329"/>
        <v>10</v>
      </c>
      <c r="N2165" s="18"/>
      <c r="O2165" s="16"/>
      <c r="P2165" s="36">
        <f t="shared" si="1330"/>
        <v>0</v>
      </c>
      <c r="Q2165" s="17">
        <f t="shared" si="1331"/>
        <v>10</v>
      </c>
      <c r="R2165" s="81">
        <v>46053</v>
      </c>
    </row>
    <row r="2166" spans="1:18" x14ac:dyDescent="0.15">
      <c r="A2166" s="35" t="s">
        <v>651</v>
      </c>
      <c r="B2166" s="15">
        <v>1</v>
      </c>
      <c r="C2166" s="16"/>
      <c r="D2166" s="36">
        <f t="shared" si="1326"/>
        <v>1</v>
      </c>
      <c r="E2166" s="18">
        <v>2</v>
      </c>
      <c r="F2166" s="16"/>
      <c r="G2166" s="36">
        <f t="shared" si="1327"/>
        <v>2</v>
      </c>
      <c r="H2166" s="17">
        <f t="shared" si="1328"/>
        <v>3</v>
      </c>
      <c r="I2166" s="84">
        <v>46045</v>
      </c>
      <c r="J2166" s="116" t="s">
        <v>707</v>
      </c>
      <c r="K2166" s="111">
        <v>15</v>
      </c>
      <c r="L2166" s="112"/>
      <c r="M2166" s="117">
        <f t="shared" si="1329"/>
        <v>15</v>
      </c>
      <c r="N2166" s="114"/>
      <c r="O2166" s="112"/>
      <c r="P2166" s="117">
        <f t="shared" si="1330"/>
        <v>0</v>
      </c>
      <c r="Q2166" s="113">
        <f t="shared" si="1331"/>
        <v>15</v>
      </c>
      <c r="R2166" s="115">
        <v>46065</v>
      </c>
    </row>
    <row r="2167" spans="1:18" x14ac:dyDescent="0.15">
      <c r="A2167" s="35" t="s">
        <v>651</v>
      </c>
      <c r="B2167" s="15">
        <v>2</v>
      </c>
      <c r="C2167" s="16"/>
      <c r="D2167" s="36">
        <f t="shared" si="1326"/>
        <v>2</v>
      </c>
      <c r="E2167" s="18">
        <v>2</v>
      </c>
      <c r="F2167" s="16"/>
      <c r="G2167" s="36">
        <f t="shared" si="1327"/>
        <v>2</v>
      </c>
      <c r="H2167" s="17">
        <f t="shared" si="1328"/>
        <v>4</v>
      </c>
      <c r="I2167" s="84">
        <v>46048</v>
      </c>
      <c r="J2167" s="52" t="s">
        <v>708</v>
      </c>
      <c r="K2167" s="15">
        <v>10</v>
      </c>
      <c r="L2167" s="16"/>
      <c r="M2167" s="36">
        <f t="shared" si="1320"/>
        <v>10</v>
      </c>
      <c r="N2167" s="18"/>
      <c r="O2167" s="16"/>
      <c r="P2167" s="36">
        <f t="shared" si="1321"/>
        <v>0</v>
      </c>
      <c r="Q2167" s="17">
        <f t="shared" si="1322"/>
        <v>10</v>
      </c>
      <c r="R2167" s="81">
        <v>46084</v>
      </c>
    </row>
    <row r="2168" spans="1:18" x14ac:dyDescent="0.15">
      <c r="A2168" s="35" t="s">
        <v>651</v>
      </c>
      <c r="B2168" s="15"/>
      <c r="C2168" s="16"/>
      <c r="D2168" s="36">
        <f t="shared" si="1326"/>
        <v>0</v>
      </c>
      <c r="E2168" s="18">
        <v>1</v>
      </c>
      <c r="F2168" s="16"/>
      <c r="G2168" s="36">
        <f t="shared" si="1327"/>
        <v>1</v>
      </c>
      <c r="H2168" s="17">
        <f t="shared" si="1328"/>
        <v>1</v>
      </c>
      <c r="I2168" s="84">
        <v>46049</v>
      </c>
      <c r="J2168" s="52" t="s">
        <v>708</v>
      </c>
      <c r="K2168" s="15">
        <v>15</v>
      </c>
      <c r="L2168" s="16"/>
      <c r="M2168" s="36">
        <f t="shared" si="1320"/>
        <v>15</v>
      </c>
      <c r="N2168" s="18"/>
      <c r="O2168" s="16"/>
      <c r="P2168" s="36">
        <f t="shared" si="1321"/>
        <v>0</v>
      </c>
      <c r="Q2168" s="17">
        <f t="shared" si="1322"/>
        <v>15</v>
      </c>
      <c r="R2168" s="84">
        <v>46088</v>
      </c>
    </row>
    <row r="2169" spans="1:18" x14ac:dyDescent="0.15">
      <c r="A2169" s="35" t="s">
        <v>651</v>
      </c>
      <c r="B2169" s="15">
        <v>1</v>
      </c>
      <c r="C2169" s="16"/>
      <c r="D2169" s="36">
        <f t="shared" si="1326"/>
        <v>1</v>
      </c>
      <c r="E2169" s="18">
        <v>1</v>
      </c>
      <c r="F2169" s="16"/>
      <c r="G2169" s="36">
        <f t="shared" si="1327"/>
        <v>1</v>
      </c>
      <c r="H2169" s="17">
        <f t="shared" si="1328"/>
        <v>2</v>
      </c>
      <c r="I2169" s="84">
        <v>46050</v>
      </c>
      <c r="J2169" s="116" t="s">
        <v>708</v>
      </c>
      <c r="K2169" s="111">
        <v>15</v>
      </c>
      <c r="L2169" s="112"/>
      <c r="M2169" s="117">
        <f t="shared" si="1320"/>
        <v>15</v>
      </c>
      <c r="N2169" s="114"/>
      <c r="O2169" s="112"/>
      <c r="P2169" s="117">
        <f t="shared" si="1321"/>
        <v>0</v>
      </c>
      <c r="Q2169" s="113">
        <f t="shared" si="1322"/>
        <v>15</v>
      </c>
      <c r="R2169" s="115">
        <v>46098</v>
      </c>
    </row>
    <row r="2170" spans="1:18" x14ac:dyDescent="0.15">
      <c r="A2170" s="35" t="s">
        <v>651</v>
      </c>
      <c r="B2170" s="15">
        <v>1</v>
      </c>
      <c r="C2170" s="16"/>
      <c r="D2170" s="36">
        <f t="shared" si="1326"/>
        <v>1</v>
      </c>
      <c r="E2170" s="18"/>
      <c r="F2170" s="16"/>
      <c r="G2170" s="36">
        <f t="shared" si="1327"/>
        <v>0</v>
      </c>
      <c r="H2170" s="17">
        <f t="shared" si="1328"/>
        <v>1</v>
      </c>
      <c r="I2170" s="84">
        <v>46051</v>
      </c>
      <c r="J2170" s="52"/>
      <c r="K2170" s="15"/>
      <c r="L2170" s="16"/>
      <c r="M2170" s="36">
        <f t="shared" si="1320"/>
        <v>0</v>
      </c>
      <c r="N2170" s="18"/>
      <c r="O2170" s="16"/>
      <c r="P2170" s="36">
        <f t="shared" si="1321"/>
        <v>0</v>
      </c>
      <c r="Q2170" s="17">
        <f t="shared" si="1322"/>
        <v>0</v>
      </c>
    </row>
    <row r="2171" spans="1:18" x14ac:dyDescent="0.15">
      <c r="A2171" s="35" t="s">
        <v>651</v>
      </c>
      <c r="B2171" s="15"/>
      <c r="C2171" s="16"/>
      <c r="D2171" s="36">
        <f t="shared" si="1326"/>
        <v>0</v>
      </c>
      <c r="E2171" s="18">
        <v>1</v>
      </c>
      <c r="F2171" s="16"/>
      <c r="G2171" s="36">
        <f t="shared" si="1327"/>
        <v>1</v>
      </c>
      <c r="H2171" s="17">
        <f t="shared" si="1328"/>
        <v>1</v>
      </c>
      <c r="I2171" s="84">
        <v>46052</v>
      </c>
      <c r="J2171" s="52"/>
      <c r="K2171" s="15"/>
      <c r="L2171" s="16"/>
      <c r="M2171" s="36">
        <f t="shared" si="1320"/>
        <v>0</v>
      </c>
      <c r="N2171" s="18"/>
      <c r="O2171" s="16"/>
      <c r="P2171" s="36">
        <f t="shared" si="1321"/>
        <v>0</v>
      </c>
      <c r="Q2171" s="17">
        <f t="shared" si="1322"/>
        <v>0</v>
      </c>
    </row>
    <row r="2172" spans="1:18" x14ac:dyDescent="0.15">
      <c r="A2172" s="35" t="s">
        <v>651</v>
      </c>
      <c r="B2172" s="15">
        <v>2</v>
      </c>
      <c r="C2172" s="16"/>
      <c r="D2172" s="36">
        <f t="shared" si="1326"/>
        <v>2</v>
      </c>
      <c r="E2172" s="18"/>
      <c r="F2172" s="16"/>
      <c r="G2172" s="36">
        <f t="shared" si="1327"/>
        <v>0</v>
      </c>
      <c r="H2172" s="17">
        <f t="shared" si="1328"/>
        <v>2</v>
      </c>
      <c r="I2172" s="84">
        <v>46053</v>
      </c>
      <c r="J2172" s="52"/>
      <c r="K2172" s="15"/>
      <c r="L2172" s="16"/>
      <c r="M2172" s="36">
        <f t="shared" si="1320"/>
        <v>0</v>
      </c>
      <c r="N2172" s="18"/>
      <c r="O2172" s="16"/>
      <c r="P2172" s="36">
        <f t="shared" si="1321"/>
        <v>0</v>
      </c>
      <c r="Q2172" s="17">
        <f t="shared" si="1322"/>
        <v>0</v>
      </c>
    </row>
    <row r="2173" spans="1:18" x14ac:dyDescent="0.15">
      <c r="A2173" s="35" t="s">
        <v>651</v>
      </c>
      <c r="B2173" s="15">
        <v>2</v>
      </c>
      <c r="C2173" s="16"/>
      <c r="D2173" s="36">
        <f t="shared" si="1326"/>
        <v>2</v>
      </c>
      <c r="E2173" s="18">
        <v>4</v>
      </c>
      <c r="F2173" s="16"/>
      <c r="G2173" s="36">
        <f t="shared" si="1327"/>
        <v>4</v>
      </c>
      <c r="H2173" s="17">
        <f t="shared" si="1328"/>
        <v>6</v>
      </c>
      <c r="I2173" s="84">
        <v>46055</v>
      </c>
      <c r="J2173" s="52"/>
      <c r="K2173" s="15"/>
      <c r="L2173" s="16"/>
      <c r="M2173" s="36">
        <f t="shared" si="1320"/>
        <v>0</v>
      </c>
      <c r="N2173" s="18"/>
      <c r="O2173" s="16"/>
      <c r="P2173" s="36">
        <f t="shared" si="1321"/>
        <v>0</v>
      </c>
      <c r="Q2173" s="17">
        <f t="shared" si="1322"/>
        <v>0</v>
      </c>
    </row>
    <row r="2174" spans="1:18" x14ac:dyDescent="0.15">
      <c r="A2174" s="35" t="s">
        <v>651</v>
      </c>
      <c r="B2174" s="15">
        <v>2</v>
      </c>
      <c r="C2174" s="16"/>
      <c r="D2174" s="36">
        <f t="shared" si="1326"/>
        <v>2</v>
      </c>
      <c r="E2174" s="18"/>
      <c r="F2174" s="16"/>
      <c r="G2174" s="36">
        <f t="shared" si="1327"/>
        <v>0</v>
      </c>
      <c r="H2174" s="17">
        <f t="shared" si="1328"/>
        <v>2</v>
      </c>
      <c r="I2174" s="84">
        <v>46055</v>
      </c>
      <c r="J2174" s="52"/>
      <c r="K2174" s="15"/>
      <c r="L2174" s="16"/>
      <c r="M2174" s="36">
        <f t="shared" si="1320"/>
        <v>0</v>
      </c>
      <c r="N2174" s="18"/>
      <c r="O2174" s="16"/>
      <c r="P2174" s="36">
        <f t="shared" si="1321"/>
        <v>0</v>
      </c>
      <c r="Q2174" s="17">
        <f t="shared" si="1322"/>
        <v>0</v>
      </c>
    </row>
    <row r="2175" spans="1:18" x14ac:dyDescent="0.15">
      <c r="A2175" s="35" t="s">
        <v>651</v>
      </c>
      <c r="B2175" s="15"/>
      <c r="C2175" s="16"/>
      <c r="D2175" s="36">
        <f t="shared" si="1326"/>
        <v>0</v>
      </c>
      <c r="E2175" s="18">
        <v>1</v>
      </c>
      <c r="F2175" s="16"/>
      <c r="G2175" s="36">
        <f t="shared" si="1327"/>
        <v>1</v>
      </c>
      <c r="H2175" s="17">
        <f t="shared" si="1328"/>
        <v>1</v>
      </c>
      <c r="I2175" s="84">
        <v>46056</v>
      </c>
      <c r="J2175" s="52"/>
      <c r="K2175" s="15"/>
      <c r="L2175" s="16"/>
      <c r="M2175" s="36">
        <f t="shared" si="1320"/>
        <v>0</v>
      </c>
      <c r="N2175" s="18"/>
      <c r="O2175" s="16"/>
      <c r="P2175" s="36">
        <f t="shared" si="1321"/>
        <v>0</v>
      </c>
      <c r="Q2175" s="17">
        <f t="shared" si="1322"/>
        <v>0</v>
      </c>
    </row>
    <row r="2176" spans="1:18" x14ac:dyDescent="0.15">
      <c r="A2176" s="35" t="s">
        <v>651</v>
      </c>
      <c r="B2176" s="15">
        <v>1</v>
      </c>
      <c r="C2176" s="16"/>
      <c r="D2176" s="36">
        <f t="shared" si="1326"/>
        <v>1</v>
      </c>
      <c r="E2176" s="18"/>
      <c r="F2176" s="16"/>
      <c r="G2176" s="36">
        <f t="shared" si="1327"/>
        <v>0</v>
      </c>
      <c r="H2176" s="17">
        <f t="shared" si="1328"/>
        <v>1</v>
      </c>
      <c r="I2176" s="84">
        <v>46058</v>
      </c>
      <c r="J2176" s="52"/>
      <c r="K2176" s="15"/>
      <c r="L2176" s="16"/>
      <c r="M2176" s="36">
        <f t="shared" si="1320"/>
        <v>0</v>
      </c>
      <c r="N2176" s="18"/>
      <c r="O2176" s="16"/>
      <c r="P2176" s="36">
        <f t="shared" si="1321"/>
        <v>0</v>
      </c>
      <c r="Q2176" s="17">
        <f t="shared" si="1322"/>
        <v>0</v>
      </c>
    </row>
    <row r="2177" spans="1:17" x14ac:dyDescent="0.15">
      <c r="A2177" s="35" t="s">
        <v>651</v>
      </c>
      <c r="B2177" s="15">
        <v>8</v>
      </c>
      <c r="C2177" s="16"/>
      <c r="D2177" s="36">
        <f t="shared" si="1326"/>
        <v>8</v>
      </c>
      <c r="E2177" s="18"/>
      <c r="F2177" s="16"/>
      <c r="G2177" s="36">
        <f t="shared" si="1327"/>
        <v>0</v>
      </c>
      <c r="H2177" s="17">
        <f t="shared" si="1328"/>
        <v>8</v>
      </c>
      <c r="I2177" s="84">
        <v>46062</v>
      </c>
      <c r="J2177" s="52"/>
      <c r="K2177" s="15"/>
      <c r="L2177" s="16"/>
      <c r="M2177" s="36">
        <f t="shared" si="1320"/>
        <v>0</v>
      </c>
      <c r="N2177" s="18"/>
      <c r="O2177" s="16"/>
      <c r="P2177" s="36">
        <f t="shared" si="1321"/>
        <v>0</v>
      </c>
      <c r="Q2177" s="17">
        <f t="shared" si="1322"/>
        <v>0</v>
      </c>
    </row>
    <row r="2178" spans="1:17" x14ac:dyDescent="0.15">
      <c r="A2178" s="35" t="s">
        <v>651</v>
      </c>
      <c r="B2178" s="15">
        <v>1</v>
      </c>
      <c r="C2178" s="16"/>
      <c r="D2178" s="36">
        <f t="shared" si="1326"/>
        <v>1</v>
      </c>
      <c r="E2178" s="18"/>
      <c r="F2178" s="16"/>
      <c r="G2178" s="36">
        <f t="shared" si="1327"/>
        <v>0</v>
      </c>
      <c r="H2178" s="17">
        <f t="shared" si="1328"/>
        <v>1</v>
      </c>
      <c r="I2178" s="84">
        <v>46065</v>
      </c>
      <c r="J2178" s="52"/>
      <c r="K2178" s="15"/>
      <c r="L2178" s="16"/>
      <c r="M2178" s="36">
        <f t="shared" si="1320"/>
        <v>0</v>
      </c>
      <c r="N2178" s="18"/>
      <c r="O2178" s="16"/>
      <c r="P2178" s="36">
        <f t="shared" si="1321"/>
        <v>0</v>
      </c>
      <c r="Q2178" s="17">
        <f t="shared" si="1322"/>
        <v>0</v>
      </c>
    </row>
    <row r="2179" spans="1:17" x14ac:dyDescent="0.15">
      <c r="A2179" s="35" t="s">
        <v>651</v>
      </c>
      <c r="B2179" s="15">
        <v>6</v>
      </c>
      <c r="C2179" s="16"/>
      <c r="D2179" s="36">
        <f t="shared" si="1326"/>
        <v>6</v>
      </c>
      <c r="E2179" s="18"/>
      <c r="F2179" s="16"/>
      <c r="G2179" s="36">
        <f t="shared" si="1327"/>
        <v>0</v>
      </c>
      <c r="H2179" s="17">
        <f t="shared" si="1328"/>
        <v>6</v>
      </c>
      <c r="I2179" s="84">
        <v>46071</v>
      </c>
      <c r="J2179" s="52"/>
      <c r="K2179" s="15"/>
      <c r="L2179" s="16"/>
      <c r="M2179" s="36">
        <f t="shared" si="1320"/>
        <v>0</v>
      </c>
      <c r="N2179" s="18"/>
      <c r="O2179" s="16"/>
      <c r="P2179" s="36">
        <f t="shared" si="1321"/>
        <v>0</v>
      </c>
      <c r="Q2179" s="17">
        <f t="shared" si="1322"/>
        <v>0</v>
      </c>
    </row>
    <row r="2180" spans="1:17" x14ac:dyDescent="0.15">
      <c r="A2180" s="35" t="s">
        <v>651</v>
      </c>
      <c r="B2180" s="15">
        <v>2</v>
      </c>
      <c r="C2180" s="16"/>
      <c r="D2180" s="36">
        <f t="shared" si="1326"/>
        <v>2</v>
      </c>
      <c r="E2180" s="18"/>
      <c r="F2180" s="16"/>
      <c r="G2180" s="36">
        <f t="shared" si="1327"/>
        <v>0</v>
      </c>
      <c r="H2180" s="17">
        <f t="shared" si="1328"/>
        <v>2</v>
      </c>
      <c r="I2180" s="84">
        <v>46073</v>
      </c>
      <c r="J2180" s="52"/>
      <c r="K2180" s="15"/>
      <c r="L2180" s="16"/>
      <c r="M2180" s="36">
        <f t="shared" si="1320"/>
        <v>0</v>
      </c>
      <c r="N2180" s="18"/>
      <c r="O2180" s="16"/>
      <c r="P2180" s="36">
        <f t="shared" si="1321"/>
        <v>0</v>
      </c>
      <c r="Q2180" s="17">
        <f t="shared" si="1322"/>
        <v>0</v>
      </c>
    </row>
    <row r="2181" spans="1:17" x14ac:dyDescent="0.15">
      <c r="A2181" s="35" t="s">
        <v>651</v>
      </c>
      <c r="B2181" s="15">
        <v>2</v>
      </c>
      <c r="C2181" s="16"/>
      <c r="D2181" s="36">
        <f t="shared" si="1326"/>
        <v>2</v>
      </c>
      <c r="E2181" s="18"/>
      <c r="F2181" s="16"/>
      <c r="G2181" s="36">
        <f t="shared" si="1327"/>
        <v>0</v>
      </c>
      <c r="H2181" s="17">
        <f t="shared" si="1328"/>
        <v>2</v>
      </c>
      <c r="I2181" s="84">
        <v>46077</v>
      </c>
      <c r="J2181" s="52"/>
      <c r="K2181" s="15"/>
      <c r="L2181" s="16"/>
      <c r="M2181" s="36">
        <f t="shared" si="1320"/>
        <v>0</v>
      </c>
      <c r="N2181" s="18"/>
      <c r="O2181" s="16"/>
      <c r="P2181" s="36">
        <f t="shared" si="1321"/>
        <v>0</v>
      </c>
      <c r="Q2181" s="17">
        <f t="shared" si="1322"/>
        <v>0</v>
      </c>
    </row>
    <row r="2182" spans="1:17" x14ac:dyDescent="0.15">
      <c r="A2182" s="35" t="s">
        <v>651</v>
      </c>
      <c r="B2182" s="15">
        <v>2</v>
      </c>
      <c r="C2182" s="16"/>
      <c r="D2182" s="36">
        <f t="shared" si="1326"/>
        <v>2</v>
      </c>
      <c r="E2182" s="18"/>
      <c r="F2182" s="16"/>
      <c r="G2182" s="36">
        <f t="shared" si="1327"/>
        <v>0</v>
      </c>
      <c r="H2182" s="17">
        <f t="shared" si="1328"/>
        <v>2</v>
      </c>
      <c r="I2182" s="84">
        <v>46078</v>
      </c>
      <c r="J2182" s="52"/>
      <c r="K2182" s="15"/>
      <c r="L2182" s="16"/>
      <c r="M2182" s="36">
        <f t="shared" si="1320"/>
        <v>0</v>
      </c>
      <c r="N2182" s="18"/>
      <c r="O2182" s="16"/>
      <c r="P2182" s="36">
        <f t="shared" si="1321"/>
        <v>0</v>
      </c>
      <c r="Q2182" s="17">
        <f t="shared" si="1322"/>
        <v>0</v>
      </c>
    </row>
    <row r="2183" spans="1:17" x14ac:dyDescent="0.15">
      <c r="A2183" s="35" t="s">
        <v>651</v>
      </c>
      <c r="B2183" s="15">
        <v>6</v>
      </c>
      <c r="C2183" s="16"/>
      <c r="D2183" s="36">
        <f t="shared" si="1326"/>
        <v>6</v>
      </c>
      <c r="E2183" s="18"/>
      <c r="F2183" s="16"/>
      <c r="G2183" s="36">
        <f t="shared" si="1327"/>
        <v>0</v>
      </c>
      <c r="H2183" s="17">
        <f t="shared" si="1328"/>
        <v>6</v>
      </c>
      <c r="I2183" s="84">
        <v>46083</v>
      </c>
      <c r="J2183" s="52"/>
      <c r="K2183" s="15"/>
      <c r="L2183" s="16"/>
      <c r="M2183" s="36">
        <f t="shared" si="1320"/>
        <v>0</v>
      </c>
      <c r="N2183" s="18"/>
      <c r="O2183" s="16"/>
      <c r="P2183" s="36">
        <f t="shared" si="1321"/>
        <v>0</v>
      </c>
      <c r="Q2183" s="17">
        <f t="shared" si="1322"/>
        <v>0</v>
      </c>
    </row>
    <row r="2184" spans="1:17" x14ac:dyDescent="0.15">
      <c r="A2184" s="35" t="s">
        <v>651</v>
      </c>
      <c r="B2184" s="15">
        <v>2</v>
      </c>
      <c r="C2184" s="16"/>
      <c r="D2184" s="36">
        <f t="shared" si="1326"/>
        <v>2</v>
      </c>
      <c r="E2184" s="18"/>
      <c r="F2184" s="16"/>
      <c r="G2184" s="36">
        <f t="shared" si="1327"/>
        <v>0</v>
      </c>
      <c r="H2184" s="17">
        <f t="shared" si="1328"/>
        <v>2</v>
      </c>
      <c r="I2184" s="84">
        <v>46086</v>
      </c>
      <c r="J2184" s="52"/>
      <c r="K2184" s="15"/>
      <c r="L2184" s="16"/>
      <c r="M2184" s="36">
        <f t="shared" si="1320"/>
        <v>0</v>
      </c>
      <c r="N2184" s="18"/>
      <c r="O2184" s="16"/>
      <c r="P2184" s="36">
        <f t="shared" si="1321"/>
        <v>0</v>
      </c>
      <c r="Q2184" s="17">
        <f t="shared" si="1322"/>
        <v>0</v>
      </c>
    </row>
    <row r="2185" spans="1:17" x14ac:dyDescent="0.15">
      <c r="A2185" s="35" t="s">
        <v>651</v>
      </c>
      <c r="B2185" s="15">
        <v>3</v>
      </c>
      <c r="C2185" s="16"/>
      <c r="D2185" s="36">
        <f t="shared" si="1317"/>
        <v>3</v>
      </c>
      <c r="E2185" s="18"/>
      <c r="F2185" s="16"/>
      <c r="G2185" s="36">
        <f t="shared" si="1318"/>
        <v>0</v>
      </c>
      <c r="H2185" s="17">
        <f t="shared" si="1319"/>
        <v>3</v>
      </c>
      <c r="I2185" s="84">
        <v>46087</v>
      </c>
      <c r="J2185" s="52"/>
      <c r="K2185" s="15"/>
      <c r="L2185" s="16"/>
      <c r="M2185" s="36">
        <f t="shared" si="1320"/>
        <v>0</v>
      </c>
      <c r="N2185" s="18"/>
      <c r="O2185" s="16"/>
      <c r="P2185" s="36">
        <f t="shared" si="1321"/>
        <v>0</v>
      </c>
      <c r="Q2185" s="17">
        <f t="shared" si="1322"/>
        <v>0</v>
      </c>
    </row>
    <row r="2186" spans="1:17" x14ac:dyDescent="0.15">
      <c r="A2186" s="35" t="s">
        <v>651</v>
      </c>
      <c r="B2186" s="15">
        <v>6</v>
      </c>
      <c r="C2186" s="16"/>
      <c r="D2186" s="36">
        <f t="shared" si="1317"/>
        <v>6</v>
      </c>
      <c r="E2186" s="18"/>
      <c r="F2186" s="16"/>
      <c r="G2186" s="36">
        <f t="shared" si="1318"/>
        <v>0</v>
      </c>
      <c r="H2186" s="17">
        <f t="shared" si="1319"/>
        <v>6</v>
      </c>
      <c r="I2186" s="84">
        <v>46090</v>
      </c>
      <c r="J2186" s="52"/>
      <c r="K2186" s="15"/>
      <c r="L2186" s="16"/>
      <c r="M2186" s="36">
        <f t="shared" si="1320"/>
        <v>0</v>
      </c>
      <c r="N2186" s="18"/>
      <c r="O2186" s="16"/>
      <c r="P2186" s="36">
        <f t="shared" si="1321"/>
        <v>0</v>
      </c>
      <c r="Q2186" s="17">
        <f t="shared" si="1322"/>
        <v>0</v>
      </c>
    </row>
    <row r="2187" spans="1:17" x14ac:dyDescent="0.15">
      <c r="A2187" s="35" t="s">
        <v>651</v>
      </c>
      <c r="B2187" s="15">
        <v>1</v>
      </c>
      <c r="C2187" s="16"/>
      <c r="D2187" s="36">
        <f t="shared" si="1317"/>
        <v>1</v>
      </c>
      <c r="E2187" s="18"/>
      <c r="F2187" s="16"/>
      <c r="G2187" s="36">
        <f t="shared" si="1318"/>
        <v>0</v>
      </c>
      <c r="H2187" s="17">
        <f t="shared" si="1319"/>
        <v>1</v>
      </c>
      <c r="I2187" s="84">
        <v>46091</v>
      </c>
      <c r="J2187" s="52"/>
      <c r="K2187" s="15"/>
      <c r="L2187" s="16"/>
      <c r="M2187" s="36">
        <f t="shared" si="1320"/>
        <v>0</v>
      </c>
      <c r="N2187" s="18"/>
      <c r="O2187" s="16"/>
      <c r="P2187" s="36">
        <f t="shared" si="1321"/>
        <v>0</v>
      </c>
      <c r="Q2187" s="17">
        <f t="shared" si="1322"/>
        <v>0</v>
      </c>
    </row>
    <row r="2188" spans="1:17" x14ac:dyDescent="0.15">
      <c r="A2188" s="35" t="s">
        <v>651</v>
      </c>
      <c r="B2188" s="15">
        <v>1</v>
      </c>
      <c r="C2188" s="16"/>
      <c r="D2188" s="36">
        <f t="shared" si="1317"/>
        <v>1</v>
      </c>
      <c r="E2188" s="18"/>
      <c r="F2188" s="16"/>
      <c r="G2188" s="36">
        <f t="shared" si="1318"/>
        <v>0</v>
      </c>
      <c r="H2188" s="17">
        <f t="shared" si="1319"/>
        <v>1</v>
      </c>
      <c r="I2188" s="84">
        <v>46094</v>
      </c>
      <c r="J2188" s="52"/>
      <c r="K2188" s="15"/>
      <c r="L2188" s="16"/>
      <c r="M2188" s="36">
        <f t="shared" si="1320"/>
        <v>0</v>
      </c>
      <c r="N2188" s="18"/>
      <c r="O2188" s="16"/>
      <c r="P2188" s="36">
        <f t="shared" si="1321"/>
        <v>0</v>
      </c>
      <c r="Q2188" s="17">
        <f t="shared" si="1322"/>
        <v>0</v>
      </c>
    </row>
    <row r="2189" spans="1:17" ht="14.25" thickBot="1" x14ac:dyDescent="0.2">
      <c r="A2189" s="35" t="s">
        <v>651</v>
      </c>
      <c r="B2189" s="15">
        <v>8</v>
      </c>
      <c r="C2189" s="16"/>
      <c r="D2189" s="36">
        <f t="shared" si="1317"/>
        <v>8</v>
      </c>
      <c r="E2189" s="18"/>
      <c r="F2189" s="16"/>
      <c r="G2189" s="36">
        <f t="shared" si="1318"/>
        <v>0</v>
      </c>
      <c r="H2189" s="17">
        <f t="shared" si="1319"/>
        <v>8</v>
      </c>
      <c r="I2189" s="84">
        <v>46097</v>
      </c>
      <c r="J2189" s="52"/>
      <c r="K2189" s="15"/>
      <c r="L2189" s="16"/>
      <c r="M2189" s="36">
        <f t="shared" si="1320"/>
        <v>0</v>
      </c>
      <c r="N2189" s="18"/>
      <c r="O2189" s="16"/>
      <c r="P2189" s="36">
        <f t="shared" si="1321"/>
        <v>0</v>
      </c>
      <c r="Q2189" s="17">
        <f t="shared" si="1322"/>
        <v>0</v>
      </c>
    </row>
    <row r="2190" spans="1:17" ht="14.25" thickBot="1" x14ac:dyDescent="0.2">
      <c r="A2190" s="40" t="s">
        <v>14</v>
      </c>
      <c r="B2190" s="41">
        <f>SUM(B2164:B2189)</f>
        <v>64</v>
      </c>
      <c r="C2190" s="96">
        <f>SUM(C2164:C2189)</f>
        <v>0</v>
      </c>
      <c r="D2190" s="43">
        <f t="shared" si="1317"/>
        <v>64</v>
      </c>
      <c r="E2190" s="41">
        <f>SUM(E2164:E2189)</f>
        <v>15</v>
      </c>
      <c r="F2190" s="96">
        <f t="shared" ref="F2190" si="1332">SUM(F2164:F2189)</f>
        <v>0</v>
      </c>
      <c r="G2190" s="43">
        <f t="shared" si="1318"/>
        <v>15</v>
      </c>
      <c r="H2190" s="43">
        <f t="shared" si="1319"/>
        <v>79</v>
      </c>
      <c r="J2190" s="40" t="s">
        <v>14</v>
      </c>
      <c r="K2190" s="41">
        <f>SUM(K2164:K2189)</f>
        <v>75</v>
      </c>
      <c r="L2190" s="96">
        <f t="shared" ref="L2190" si="1333">SUM(L2164:L2189)</f>
        <v>0</v>
      </c>
      <c r="M2190" s="43">
        <f t="shared" si="1320"/>
        <v>75</v>
      </c>
      <c r="N2190" s="118">
        <f>SUM(N2164:N2189)</f>
        <v>0</v>
      </c>
      <c r="O2190" s="96">
        <f t="shared" ref="O2190" si="1334">SUM(O2164:O2189)</f>
        <v>0</v>
      </c>
      <c r="P2190" s="43">
        <f t="shared" si="1321"/>
        <v>0</v>
      </c>
      <c r="Q2190" s="43">
        <f t="shared" si="1322"/>
        <v>75</v>
      </c>
    </row>
    <row r="2191" spans="1:17" ht="14.25" thickBot="1" x14ac:dyDescent="0.2">
      <c r="A2191" s="44" t="s">
        <v>15</v>
      </c>
      <c r="B2191" s="45">
        <f>B2163-B2190</f>
        <v>22</v>
      </c>
      <c r="C2191" s="97">
        <f>C2163-C2190</f>
        <v>0</v>
      </c>
      <c r="D2191" s="47">
        <f t="shared" si="1317"/>
        <v>22</v>
      </c>
      <c r="E2191" s="45">
        <f>E2163-E2190</f>
        <v>0</v>
      </c>
      <c r="F2191" s="97">
        <f t="shared" ref="F2191" si="1335">F2163-F2190</f>
        <v>0</v>
      </c>
      <c r="G2191" s="47">
        <f t="shared" si="1318"/>
        <v>0</v>
      </c>
      <c r="H2191" s="34">
        <f t="shared" si="1319"/>
        <v>22</v>
      </c>
      <c r="J2191" s="44" t="s">
        <v>15</v>
      </c>
      <c r="K2191" s="45">
        <f>K2163-K2190</f>
        <v>198</v>
      </c>
      <c r="L2191" s="97">
        <f t="shared" ref="L2191" si="1336">L2163-L2190</f>
        <v>0</v>
      </c>
      <c r="M2191" s="47">
        <f t="shared" si="1320"/>
        <v>198</v>
      </c>
      <c r="N2191" s="119">
        <f>N2163-N2190</f>
        <v>0</v>
      </c>
      <c r="O2191" s="97">
        <f t="shared" ref="O2191" si="1337">O2163-O2190</f>
        <v>0</v>
      </c>
      <c r="P2191" s="47">
        <f t="shared" si="1321"/>
        <v>0</v>
      </c>
      <c r="Q2191" s="34">
        <f t="shared" si="1322"/>
        <v>198</v>
      </c>
    </row>
    <row r="2192" spans="1:17" x14ac:dyDescent="0.15">
      <c r="E2192" s="109" t="s">
        <v>699</v>
      </c>
    </row>
    <row r="2194" spans="1:18" ht="19.5" thickBot="1" x14ac:dyDescent="0.25">
      <c r="A2194" s="1" t="s">
        <v>23</v>
      </c>
      <c r="J2194" s="1" t="s">
        <v>24</v>
      </c>
      <c r="K2194" s="2"/>
      <c r="L2194" s="2"/>
      <c r="M2194" s="2"/>
      <c r="N2194" s="2"/>
      <c r="O2194" s="1" t="s">
        <v>34</v>
      </c>
      <c r="P2194" s="2"/>
      <c r="Q2194" s="2"/>
    </row>
    <row r="2195" spans="1:18" ht="14.25" thickBot="1" x14ac:dyDescent="0.2">
      <c r="A2195" s="3" t="s">
        <v>0</v>
      </c>
      <c r="B2195" s="120" t="s">
        <v>18</v>
      </c>
      <c r="C2195" s="121"/>
      <c r="D2195" s="122"/>
      <c r="E2195" s="120" t="s">
        <v>19</v>
      </c>
      <c r="F2195" s="121"/>
      <c r="G2195" s="122"/>
      <c r="H2195" s="123" t="s">
        <v>1</v>
      </c>
      <c r="J2195" s="3" t="s">
        <v>0</v>
      </c>
      <c r="K2195" s="120" t="s">
        <v>18</v>
      </c>
      <c r="L2195" s="121"/>
      <c r="M2195" s="122"/>
      <c r="N2195" s="120" t="s">
        <v>19</v>
      </c>
      <c r="O2195" s="121"/>
      <c r="P2195" s="122"/>
      <c r="Q2195" s="123" t="s">
        <v>1</v>
      </c>
    </row>
    <row r="2196" spans="1:18" ht="14.25" thickBot="1" x14ac:dyDescent="0.2">
      <c r="A2196" s="3" t="s">
        <v>2</v>
      </c>
      <c r="B2196" s="4" t="s">
        <v>16</v>
      </c>
      <c r="C2196" s="5" t="s">
        <v>17</v>
      </c>
      <c r="D2196" s="3" t="s">
        <v>3</v>
      </c>
      <c r="E2196" s="4" t="s">
        <v>16</v>
      </c>
      <c r="F2196" s="5" t="s">
        <v>17</v>
      </c>
      <c r="G2196" s="3" t="s">
        <v>3</v>
      </c>
      <c r="H2196" s="124"/>
      <c r="J2196" s="3" t="s">
        <v>2</v>
      </c>
      <c r="K2196" s="4" t="s">
        <v>16</v>
      </c>
      <c r="L2196" s="5" t="s">
        <v>17</v>
      </c>
      <c r="M2196" s="3" t="s">
        <v>3</v>
      </c>
      <c r="N2196" s="4" t="s">
        <v>16</v>
      </c>
      <c r="O2196" s="5" t="s">
        <v>17</v>
      </c>
      <c r="P2196" s="3" t="s">
        <v>3</v>
      </c>
      <c r="Q2196" s="124"/>
    </row>
    <row r="2197" spans="1:18" ht="14.25" thickBot="1" x14ac:dyDescent="0.2">
      <c r="A2197" s="6" t="s">
        <v>55</v>
      </c>
      <c r="B2197" s="32">
        <f>B2191</f>
        <v>22</v>
      </c>
      <c r="C2197" s="33">
        <f>C2191</f>
        <v>0</v>
      </c>
      <c r="D2197" s="34">
        <f t="shared" ref="D2197:D2234" si="1338">SUM(B2197:C2197)</f>
        <v>22</v>
      </c>
      <c r="E2197" s="32">
        <f>E2191</f>
        <v>0</v>
      </c>
      <c r="F2197" s="33">
        <f>F2191</f>
        <v>0</v>
      </c>
      <c r="G2197" s="34">
        <f t="shared" ref="G2197:G2234" si="1339">SUM(E2197:F2197)</f>
        <v>0</v>
      </c>
      <c r="H2197" s="34">
        <f t="shared" ref="H2197:H2234" si="1340">D2197+G2197</f>
        <v>22</v>
      </c>
      <c r="J2197" s="6" t="s">
        <v>55</v>
      </c>
      <c r="K2197" s="32">
        <f>K2191</f>
        <v>198</v>
      </c>
      <c r="L2197" s="33">
        <f>L2191</f>
        <v>0</v>
      </c>
      <c r="M2197" s="34">
        <f t="shared" ref="M2197:M2234" si="1341">SUM(K2197:L2197)</f>
        <v>198</v>
      </c>
      <c r="N2197" s="32">
        <f>N2191</f>
        <v>0</v>
      </c>
      <c r="O2197" s="33">
        <f>O2191</f>
        <v>0</v>
      </c>
      <c r="P2197" s="34">
        <f t="shared" ref="P2197:P2234" si="1342">SUM(N2197:O2197)</f>
        <v>0</v>
      </c>
      <c r="Q2197" s="34">
        <f t="shared" ref="Q2197:Q2234" si="1343">M2197+P2197</f>
        <v>198</v>
      </c>
    </row>
    <row r="2198" spans="1:18" x14ac:dyDescent="0.15">
      <c r="A2198" s="10" t="s">
        <v>5</v>
      </c>
      <c r="B2198" s="15">
        <v>15</v>
      </c>
      <c r="C2198" s="16"/>
      <c r="D2198" s="17">
        <f t="shared" ref="D2198:D2203" si="1344">SUM(B2198:C2198)</f>
        <v>15</v>
      </c>
      <c r="E2198" s="18"/>
      <c r="F2198" s="16"/>
      <c r="G2198" s="17">
        <f t="shared" ref="G2198:G2203" si="1345">SUM(E2198:F2198)</f>
        <v>0</v>
      </c>
      <c r="H2198" s="17">
        <f t="shared" ref="H2198:H2203" si="1346">D2198+G2198</f>
        <v>15</v>
      </c>
      <c r="I2198" s="81">
        <v>46102</v>
      </c>
      <c r="J2198" s="10" t="s">
        <v>5</v>
      </c>
      <c r="K2198" s="15"/>
      <c r="L2198" s="16"/>
      <c r="M2198" s="17">
        <f t="shared" si="1341"/>
        <v>0</v>
      </c>
      <c r="N2198" s="18"/>
      <c r="O2198" s="16"/>
      <c r="P2198" s="17">
        <f t="shared" si="1342"/>
        <v>0</v>
      </c>
      <c r="Q2198" s="17">
        <f t="shared" si="1343"/>
        <v>0</v>
      </c>
    </row>
    <row r="2199" spans="1:18" x14ac:dyDescent="0.15">
      <c r="A2199" s="10" t="s">
        <v>6</v>
      </c>
      <c r="B2199" s="15">
        <v>10</v>
      </c>
      <c r="C2199" s="16"/>
      <c r="D2199" s="17">
        <f t="shared" si="1344"/>
        <v>10</v>
      </c>
      <c r="E2199" s="18"/>
      <c r="F2199" s="16"/>
      <c r="G2199" s="17">
        <f t="shared" si="1345"/>
        <v>0</v>
      </c>
      <c r="H2199" s="17">
        <f t="shared" si="1346"/>
        <v>10</v>
      </c>
      <c r="I2199" s="81">
        <v>46107</v>
      </c>
      <c r="J2199" s="10" t="s">
        <v>6</v>
      </c>
      <c r="K2199" s="15"/>
      <c r="L2199" s="16"/>
      <c r="M2199" s="17">
        <f t="shared" si="1341"/>
        <v>0</v>
      </c>
      <c r="N2199" s="18"/>
      <c r="O2199" s="16"/>
      <c r="P2199" s="17">
        <f t="shared" si="1342"/>
        <v>0</v>
      </c>
      <c r="Q2199" s="17">
        <f t="shared" si="1343"/>
        <v>0</v>
      </c>
    </row>
    <row r="2200" spans="1:18" x14ac:dyDescent="0.15">
      <c r="A2200" s="110" t="s">
        <v>7</v>
      </c>
      <c r="B2200" s="111">
        <v>25</v>
      </c>
      <c r="C2200" s="112"/>
      <c r="D2200" s="113">
        <f t="shared" si="1344"/>
        <v>25</v>
      </c>
      <c r="E2200" s="114"/>
      <c r="F2200" s="112"/>
      <c r="G2200" s="113">
        <f t="shared" si="1345"/>
        <v>0</v>
      </c>
      <c r="H2200" s="113">
        <f t="shared" si="1346"/>
        <v>25</v>
      </c>
      <c r="I2200" s="115">
        <v>46112</v>
      </c>
      <c r="J2200" s="110" t="s">
        <v>7</v>
      </c>
      <c r="K2200" s="15"/>
      <c r="L2200" s="16"/>
      <c r="M2200" s="17">
        <f t="shared" si="1341"/>
        <v>0</v>
      </c>
      <c r="N2200" s="18"/>
      <c r="O2200" s="16"/>
      <c r="P2200" s="17">
        <f t="shared" si="1342"/>
        <v>0</v>
      </c>
      <c r="Q2200" s="17">
        <f t="shared" si="1343"/>
        <v>0</v>
      </c>
    </row>
    <row r="2201" spans="1:18" x14ac:dyDescent="0.15">
      <c r="A2201" s="10" t="s">
        <v>8</v>
      </c>
      <c r="B2201" s="15">
        <v>20</v>
      </c>
      <c r="C2201" s="16"/>
      <c r="D2201" s="17">
        <f t="shared" si="1344"/>
        <v>20</v>
      </c>
      <c r="E2201" s="18"/>
      <c r="F2201" s="16"/>
      <c r="G2201" s="17">
        <f t="shared" si="1345"/>
        <v>0</v>
      </c>
      <c r="H2201" s="17">
        <f t="shared" si="1346"/>
        <v>20</v>
      </c>
      <c r="I2201" s="81">
        <v>46121</v>
      </c>
      <c r="J2201" s="10" t="s">
        <v>8</v>
      </c>
      <c r="K2201" s="15"/>
      <c r="L2201" s="16"/>
      <c r="M2201" s="17">
        <f t="shared" si="1341"/>
        <v>0</v>
      </c>
      <c r="N2201" s="18"/>
      <c r="O2201" s="16"/>
      <c r="P2201" s="17">
        <f t="shared" si="1342"/>
        <v>0</v>
      </c>
      <c r="Q2201" s="17">
        <f t="shared" si="1343"/>
        <v>0</v>
      </c>
    </row>
    <row r="2202" spans="1:18" x14ac:dyDescent="0.15">
      <c r="A2202" s="110" t="s">
        <v>9</v>
      </c>
      <c r="B2202" s="111">
        <v>15</v>
      </c>
      <c r="C2202" s="112"/>
      <c r="D2202" s="113">
        <f t="shared" si="1344"/>
        <v>15</v>
      </c>
      <c r="E2202" s="114"/>
      <c r="F2202" s="112"/>
      <c r="G2202" s="113">
        <f t="shared" si="1345"/>
        <v>0</v>
      </c>
      <c r="H2202" s="113">
        <f t="shared" si="1346"/>
        <v>15</v>
      </c>
      <c r="I2202" s="115">
        <v>46139</v>
      </c>
      <c r="J2202" s="10" t="s">
        <v>9</v>
      </c>
      <c r="K2202" s="15"/>
      <c r="L2202" s="16"/>
      <c r="M2202" s="17">
        <f t="shared" si="1341"/>
        <v>0</v>
      </c>
      <c r="N2202" s="18"/>
      <c r="O2202" s="16"/>
      <c r="P2202" s="17">
        <f t="shared" si="1342"/>
        <v>0</v>
      </c>
      <c r="Q2202" s="17">
        <f t="shared" si="1343"/>
        <v>0</v>
      </c>
    </row>
    <row r="2203" spans="1:18" x14ac:dyDescent="0.15">
      <c r="A2203" s="110" t="s">
        <v>10</v>
      </c>
      <c r="B2203" s="111">
        <v>10</v>
      </c>
      <c r="C2203" s="112"/>
      <c r="D2203" s="113">
        <f t="shared" si="1344"/>
        <v>10</v>
      </c>
      <c r="E2203" s="114"/>
      <c r="F2203" s="112"/>
      <c r="G2203" s="113">
        <f t="shared" si="1345"/>
        <v>0</v>
      </c>
      <c r="H2203" s="113">
        <f t="shared" si="1346"/>
        <v>10</v>
      </c>
      <c r="I2203" s="115">
        <v>46153</v>
      </c>
      <c r="J2203" s="10" t="s">
        <v>10</v>
      </c>
      <c r="K2203" s="15"/>
      <c r="L2203" s="16"/>
      <c r="M2203" s="17">
        <f t="shared" si="1341"/>
        <v>0</v>
      </c>
      <c r="N2203" s="18"/>
      <c r="O2203" s="16"/>
      <c r="P2203" s="17">
        <f t="shared" si="1342"/>
        <v>0</v>
      </c>
      <c r="Q2203" s="17">
        <f t="shared" si="1343"/>
        <v>0</v>
      </c>
    </row>
    <row r="2204" spans="1:18" x14ac:dyDescent="0.15">
      <c r="A2204" s="10" t="s">
        <v>11</v>
      </c>
      <c r="B2204" s="15">
        <v>15</v>
      </c>
      <c r="C2204" s="16"/>
      <c r="D2204" s="17">
        <f t="shared" si="1338"/>
        <v>15</v>
      </c>
      <c r="E2204" s="18"/>
      <c r="F2204" s="16"/>
      <c r="G2204" s="17">
        <f t="shared" si="1339"/>
        <v>0</v>
      </c>
      <c r="H2204" s="17">
        <f t="shared" si="1340"/>
        <v>15</v>
      </c>
      <c r="I2204" s="81">
        <v>46158</v>
      </c>
      <c r="J2204" s="10" t="s">
        <v>11</v>
      </c>
      <c r="K2204" s="15"/>
      <c r="L2204" s="16"/>
      <c r="M2204" s="17">
        <f t="shared" si="1341"/>
        <v>0</v>
      </c>
      <c r="N2204" s="18"/>
      <c r="O2204" s="16"/>
      <c r="P2204" s="17">
        <f t="shared" si="1342"/>
        <v>0</v>
      </c>
      <c r="Q2204" s="17">
        <f t="shared" si="1343"/>
        <v>0</v>
      </c>
    </row>
    <row r="2205" spans="1:18" ht="14.25" thickBot="1" x14ac:dyDescent="0.2">
      <c r="A2205" s="10" t="s">
        <v>12</v>
      </c>
      <c r="B2205" s="15"/>
      <c r="C2205" s="16"/>
      <c r="D2205" s="17">
        <f t="shared" si="1338"/>
        <v>0</v>
      </c>
      <c r="E2205" s="18"/>
      <c r="F2205" s="16"/>
      <c r="G2205" s="17">
        <f t="shared" si="1339"/>
        <v>0</v>
      </c>
      <c r="H2205" s="17">
        <f t="shared" si="1340"/>
        <v>0</v>
      </c>
      <c r="J2205" s="10" t="s">
        <v>12</v>
      </c>
      <c r="K2205" s="15"/>
      <c r="L2205" s="16"/>
      <c r="M2205" s="17">
        <f t="shared" si="1341"/>
        <v>0</v>
      </c>
      <c r="N2205" s="18"/>
      <c r="O2205" s="16"/>
      <c r="P2205" s="17">
        <f t="shared" si="1342"/>
        <v>0</v>
      </c>
      <c r="Q2205" s="17">
        <f t="shared" si="1343"/>
        <v>0</v>
      </c>
    </row>
    <row r="2206" spans="1:18" ht="14.25" thickBot="1" x14ac:dyDescent="0.2">
      <c r="A2206" s="31" t="s">
        <v>13</v>
      </c>
      <c r="B2206" s="32">
        <f>SUM(B2197:B2205)</f>
        <v>132</v>
      </c>
      <c r="C2206" s="33">
        <f>SUM(C2197:C2205)</f>
        <v>0</v>
      </c>
      <c r="D2206" s="34">
        <f t="shared" si="1338"/>
        <v>132</v>
      </c>
      <c r="E2206" s="32">
        <f>SUM(E2197:E2205)</f>
        <v>0</v>
      </c>
      <c r="F2206" s="33">
        <f>SUM(F2197:F2205)</f>
        <v>0</v>
      </c>
      <c r="G2206" s="34">
        <f t="shared" si="1339"/>
        <v>0</v>
      </c>
      <c r="H2206" s="34">
        <f t="shared" si="1340"/>
        <v>132</v>
      </c>
      <c r="J2206" s="31" t="s">
        <v>13</v>
      </c>
      <c r="K2206" s="32">
        <f>SUM(K2197:K2205)</f>
        <v>198</v>
      </c>
      <c r="L2206" s="33">
        <f>SUM(L2197:L2205)</f>
        <v>0</v>
      </c>
      <c r="M2206" s="34">
        <f t="shared" si="1341"/>
        <v>198</v>
      </c>
      <c r="N2206" s="32">
        <f>SUM(N2197:N2205)</f>
        <v>0</v>
      </c>
      <c r="O2206" s="33">
        <f>SUM(O2197:O2205)</f>
        <v>0</v>
      </c>
      <c r="P2206" s="34">
        <f t="shared" si="1342"/>
        <v>0</v>
      </c>
      <c r="Q2206" s="34">
        <f t="shared" si="1343"/>
        <v>198</v>
      </c>
    </row>
    <row r="2207" spans="1:18" x14ac:dyDescent="0.15">
      <c r="A2207" s="35" t="s">
        <v>651</v>
      </c>
      <c r="B2207" s="15">
        <v>1</v>
      </c>
      <c r="C2207" s="16"/>
      <c r="D2207" s="36">
        <f t="shared" ref="D2207:D2228" si="1347">SUM(B2207:C2207)</f>
        <v>1</v>
      </c>
      <c r="E2207" s="18"/>
      <c r="F2207" s="16"/>
      <c r="G2207" s="36">
        <f t="shared" ref="G2207:G2228" si="1348">SUM(E2207:F2207)</f>
        <v>0</v>
      </c>
      <c r="H2207" s="17">
        <f t="shared" ref="H2207:H2228" si="1349">D2207+G2207</f>
        <v>1</v>
      </c>
      <c r="I2207" s="84">
        <v>46098</v>
      </c>
      <c r="J2207" s="52" t="s">
        <v>709</v>
      </c>
      <c r="K2207" s="15">
        <v>15</v>
      </c>
      <c r="L2207" s="16"/>
      <c r="M2207" s="36">
        <f t="shared" ref="M2207:M2211" si="1350">SUM(K2207:L2207)</f>
        <v>15</v>
      </c>
      <c r="N2207" s="18"/>
      <c r="O2207" s="16"/>
      <c r="P2207" s="36">
        <f t="shared" ref="P2207:P2211" si="1351">SUM(N2207:O2207)</f>
        <v>0</v>
      </c>
      <c r="Q2207" s="17">
        <f t="shared" ref="Q2207:Q2211" si="1352">M2207+P2207</f>
        <v>15</v>
      </c>
      <c r="R2207" s="84">
        <v>46102</v>
      </c>
    </row>
    <row r="2208" spans="1:18" x14ac:dyDescent="0.15">
      <c r="A2208" s="35" t="s">
        <v>651</v>
      </c>
      <c r="B2208" s="15">
        <v>2</v>
      </c>
      <c r="C2208" s="16"/>
      <c r="D2208" s="36">
        <f t="shared" si="1347"/>
        <v>2</v>
      </c>
      <c r="E2208" s="18"/>
      <c r="F2208" s="16"/>
      <c r="G2208" s="36">
        <f t="shared" si="1348"/>
        <v>0</v>
      </c>
      <c r="H2208" s="17">
        <f t="shared" si="1349"/>
        <v>2</v>
      </c>
      <c r="I2208" s="84">
        <v>46099</v>
      </c>
      <c r="J2208" s="52" t="s">
        <v>707</v>
      </c>
      <c r="K2208" s="15">
        <v>10</v>
      </c>
      <c r="L2208" s="16"/>
      <c r="M2208" s="36">
        <f t="shared" si="1350"/>
        <v>10</v>
      </c>
      <c r="N2208" s="18"/>
      <c r="O2208" s="16"/>
      <c r="P2208" s="36">
        <f t="shared" si="1351"/>
        <v>0</v>
      </c>
      <c r="Q2208" s="17">
        <f t="shared" si="1352"/>
        <v>10</v>
      </c>
      <c r="R2208" s="81">
        <v>46107</v>
      </c>
    </row>
    <row r="2209" spans="1:18" x14ac:dyDescent="0.15">
      <c r="A2209" s="35" t="s">
        <v>651</v>
      </c>
      <c r="B2209" s="15">
        <v>19</v>
      </c>
      <c r="C2209" s="16"/>
      <c r="D2209" s="36">
        <f t="shared" si="1347"/>
        <v>19</v>
      </c>
      <c r="E2209" s="18"/>
      <c r="F2209" s="16"/>
      <c r="G2209" s="36">
        <f t="shared" si="1348"/>
        <v>0</v>
      </c>
      <c r="H2209" s="17">
        <f t="shared" si="1349"/>
        <v>19</v>
      </c>
      <c r="I2209" s="84">
        <v>46104</v>
      </c>
      <c r="J2209" s="116" t="s">
        <v>707</v>
      </c>
      <c r="K2209" s="111">
        <v>25</v>
      </c>
      <c r="L2209" s="112"/>
      <c r="M2209" s="117">
        <f t="shared" si="1350"/>
        <v>25</v>
      </c>
      <c r="N2209" s="114"/>
      <c r="O2209" s="112"/>
      <c r="P2209" s="117">
        <f t="shared" si="1351"/>
        <v>0</v>
      </c>
      <c r="Q2209" s="113">
        <f t="shared" si="1352"/>
        <v>25</v>
      </c>
      <c r="R2209" s="115">
        <v>46112</v>
      </c>
    </row>
    <row r="2210" spans="1:18" x14ac:dyDescent="0.15">
      <c r="A2210" s="35" t="s">
        <v>651</v>
      </c>
      <c r="B2210" s="15">
        <v>2</v>
      </c>
      <c r="C2210" s="16"/>
      <c r="D2210" s="36">
        <f t="shared" si="1347"/>
        <v>2</v>
      </c>
      <c r="E2210" s="18"/>
      <c r="F2210" s="16"/>
      <c r="G2210" s="36">
        <f t="shared" si="1348"/>
        <v>0</v>
      </c>
      <c r="H2210" s="17">
        <f t="shared" si="1349"/>
        <v>2</v>
      </c>
      <c r="I2210" s="84">
        <v>46105</v>
      </c>
      <c r="J2210" s="52" t="s">
        <v>708</v>
      </c>
      <c r="K2210" s="15">
        <v>20</v>
      </c>
      <c r="L2210" s="16"/>
      <c r="M2210" s="36">
        <f t="shared" si="1350"/>
        <v>20</v>
      </c>
      <c r="N2210" s="18"/>
      <c r="O2210" s="16"/>
      <c r="P2210" s="36">
        <f t="shared" si="1351"/>
        <v>0</v>
      </c>
      <c r="Q2210" s="17">
        <f t="shared" si="1352"/>
        <v>20</v>
      </c>
      <c r="R2210" s="81">
        <v>46121</v>
      </c>
    </row>
    <row r="2211" spans="1:18" x14ac:dyDescent="0.15">
      <c r="A2211" s="35" t="s">
        <v>651</v>
      </c>
      <c r="B2211" s="15">
        <v>3</v>
      </c>
      <c r="C2211" s="16"/>
      <c r="D2211" s="36">
        <f t="shared" si="1347"/>
        <v>3</v>
      </c>
      <c r="E2211" s="18"/>
      <c r="F2211" s="16"/>
      <c r="G2211" s="36">
        <f t="shared" si="1348"/>
        <v>0</v>
      </c>
      <c r="H2211" s="17">
        <f t="shared" si="1349"/>
        <v>3</v>
      </c>
      <c r="I2211" s="84">
        <v>46106</v>
      </c>
      <c r="J2211" s="116" t="s">
        <v>708</v>
      </c>
      <c r="K2211" s="111">
        <v>15</v>
      </c>
      <c r="L2211" s="112"/>
      <c r="M2211" s="117">
        <f t="shared" si="1350"/>
        <v>15</v>
      </c>
      <c r="N2211" s="114"/>
      <c r="O2211" s="112"/>
      <c r="P2211" s="117">
        <f t="shared" si="1351"/>
        <v>0</v>
      </c>
      <c r="Q2211" s="113">
        <f t="shared" si="1352"/>
        <v>15</v>
      </c>
      <c r="R2211" s="115">
        <v>46139</v>
      </c>
    </row>
    <row r="2212" spans="1:18" x14ac:dyDescent="0.15">
      <c r="A2212" s="35" t="s">
        <v>651</v>
      </c>
      <c r="B2212" s="15">
        <v>7</v>
      </c>
      <c r="C2212" s="16"/>
      <c r="D2212" s="36">
        <f t="shared" si="1347"/>
        <v>7</v>
      </c>
      <c r="E2212" s="18"/>
      <c r="F2212" s="16"/>
      <c r="G2212" s="36">
        <f t="shared" si="1348"/>
        <v>0</v>
      </c>
      <c r="H2212" s="17">
        <f t="shared" si="1349"/>
        <v>7</v>
      </c>
      <c r="I2212" s="84">
        <v>46111</v>
      </c>
      <c r="J2212" s="116" t="s">
        <v>708</v>
      </c>
      <c r="K2212" s="111">
        <v>10</v>
      </c>
      <c r="L2212" s="112"/>
      <c r="M2212" s="117">
        <f t="shared" si="1341"/>
        <v>10</v>
      </c>
      <c r="N2212" s="114"/>
      <c r="O2212" s="112"/>
      <c r="P2212" s="117">
        <f t="shared" si="1342"/>
        <v>0</v>
      </c>
      <c r="Q2212" s="113">
        <f t="shared" si="1343"/>
        <v>10</v>
      </c>
      <c r="R2212" s="115">
        <v>46153</v>
      </c>
    </row>
    <row r="2213" spans="1:18" x14ac:dyDescent="0.15">
      <c r="A2213" s="35" t="s">
        <v>651</v>
      </c>
      <c r="B2213" s="15">
        <v>11</v>
      </c>
      <c r="C2213" s="16"/>
      <c r="D2213" s="36">
        <f t="shared" si="1347"/>
        <v>11</v>
      </c>
      <c r="E2213" s="18"/>
      <c r="F2213" s="16"/>
      <c r="G2213" s="36">
        <f t="shared" si="1348"/>
        <v>0</v>
      </c>
      <c r="H2213" s="17">
        <f t="shared" si="1349"/>
        <v>11</v>
      </c>
      <c r="I2213" s="84">
        <v>46112</v>
      </c>
      <c r="J2213" s="52" t="s">
        <v>708</v>
      </c>
      <c r="K2213" s="15">
        <v>15</v>
      </c>
      <c r="L2213" s="16"/>
      <c r="M2213" s="36">
        <f t="shared" si="1341"/>
        <v>15</v>
      </c>
      <c r="N2213" s="18"/>
      <c r="O2213" s="16"/>
      <c r="P2213" s="36">
        <f t="shared" si="1342"/>
        <v>0</v>
      </c>
      <c r="Q2213" s="17">
        <f t="shared" si="1343"/>
        <v>15</v>
      </c>
      <c r="R2213" s="81">
        <v>46158</v>
      </c>
    </row>
    <row r="2214" spans="1:18" x14ac:dyDescent="0.15">
      <c r="A2214" s="35" t="s">
        <v>651</v>
      </c>
      <c r="B2214" s="15">
        <v>6</v>
      </c>
      <c r="C2214" s="16"/>
      <c r="D2214" s="36">
        <f t="shared" si="1347"/>
        <v>6</v>
      </c>
      <c r="E2214" s="18"/>
      <c r="F2214" s="16"/>
      <c r="G2214" s="36">
        <f t="shared" si="1348"/>
        <v>0</v>
      </c>
      <c r="H2214" s="17">
        <f t="shared" si="1349"/>
        <v>6</v>
      </c>
      <c r="I2214" s="84">
        <v>46114</v>
      </c>
      <c r="J2214" s="52"/>
      <c r="K2214" s="15"/>
      <c r="L2214" s="16"/>
      <c r="M2214" s="36">
        <f t="shared" si="1341"/>
        <v>0</v>
      </c>
      <c r="N2214" s="18"/>
      <c r="O2214" s="16"/>
      <c r="P2214" s="36">
        <f t="shared" si="1342"/>
        <v>0</v>
      </c>
      <c r="Q2214" s="17">
        <f t="shared" si="1343"/>
        <v>0</v>
      </c>
    </row>
    <row r="2215" spans="1:18" x14ac:dyDescent="0.15">
      <c r="A2215" s="35" t="s">
        <v>651</v>
      </c>
      <c r="B2215" s="15">
        <v>10</v>
      </c>
      <c r="C2215" s="16"/>
      <c r="D2215" s="36">
        <f t="shared" si="1347"/>
        <v>10</v>
      </c>
      <c r="E2215" s="18"/>
      <c r="F2215" s="16"/>
      <c r="G2215" s="36">
        <f t="shared" si="1348"/>
        <v>0</v>
      </c>
      <c r="H2215" s="17">
        <f t="shared" si="1349"/>
        <v>10</v>
      </c>
      <c r="I2215" s="84">
        <v>46118</v>
      </c>
      <c r="J2215" s="52"/>
      <c r="K2215" s="15"/>
      <c r="L2215" s="16"/>
      <c r="M2215" s="36">
        <f t="shared" si="1341"/>
        <v>0</v>
      </c>
      <c r="N2215" s="18"/>
      <c r="O2215" s="16"/>
      <c r="P2215" s="36">
        <f t="shared" si="1342"/>
        <v>0</v>
      </c>
      <c r="Q2215" s="17">
        <f t="shared" si="1343"/>
        <v>0</v>
      </c>
    </row>
    <row r="2216" spans="1:18" x14ac:dyDescent="0.15">
      <c r="A2216" s="35" t="s">
        <v>651</v>
      </c>
      <c r="B2216" s="15">
        <v>2</v>
      </c>
      <c r="C2216" s="16"/>
      <c r="D2216" s="36">
        <f t="shared" si="1347"/>
        <v>2</v>
      </c>
      <c r="E2216" s="18"/>
      <c r="F2216" s="16"/>
      <c r="G2216" s="36">
        <f t="shared" si="1348"/>
        <v>0</v>
      </c>
      <c r="H2216" s="17">
        <f t="shared" si="1349"/>
        <v>2</v>
      </c>
      <c r="I2216" s="84">
        <v>46119</v>
      </c>
      <c r="J2216" s="52"/>
      <c r="K2216" s="15"/>
      <c r="L2216" s="16"/>
      <c r="M2216" s="36">
        <f t="shared" si="1341"/>
        <v>0</v>
      </c>
      <c r="N2216" s="18"/>
      <c r="O2216" s="16"/>
      <c r="P2216" s="36">
        <f t="shared" si="1342"/>
        <v>0</v>
      </c>
      <c r="Q2216" s="17">
        <f t="shared" si="1343"/>
        <v>0</v>
      </c>
    </row>
    <row r="2217" spans="1:18" x14ac:dyDescent="0.15">
      <c r="A2217" s="35" t="s">
        <v>651</v>
      </c>
      <c r="B2217" s="15">
        <v>2</v>
      </c>
      <c r="C2217" s="16"/>
      <c r="D2217" s="36">
        <f t="shared" si="1347"/>
        <v>2</v>
      </c>
      <c r="E2217" s="18"/>
      <c r="F2217" s="16"/>
      <c r="G2217" s="36">
        <f t="shared" si="1348"/>
        <v>0</v>
      </c>
      <c r="H2217" s="17">
        <f t="shared" si="1349"/>
        <v>2</v>
      </c>
      <c r="I2217" s="84">
        <v>46120</v>
      </c>
      <c r="J2217" s="52"/>
      <c r="K2217" s="15"/>
      <c r="L2217" s="16"/>
      <c r="M2217" s="36">
        <f t="shared" si="1341"/>
        <v>0</v>
      </c>
      <c r="N2217" s="18"/>
      <c r="O2217" s="16"/>
      <c r="P2217" s="36">
        <f t="shared" si="1342"/>
        <v>0</v>
      </c>
      <c r="Q2217" s="17">
        <f t="shared" si="1343"/>
        <v>0</v>
      </c>
    </row>
    <row r="2218" spans="1:18" x14ac:dyDescent="0.15">
      <c r="A2218" s="35" t="s">
        <v>651</v>
      </c>
      <c r="B2218" s="15">
        <v>1</v>
      </c>
      <c r="C2218" s="16"/>
      <c r="D2218" s="36">
        <f t="shared" si="1347"/>
        <v>1</v>
      </c>
      <c r="E2218" s="18"/>
      <c r="F2218" s="16"/>
      <c r="G2218" s="36">
        <f t="shared" si="1348"/>
        <v>0</v>
      </c>
      <c r="H2218" s="17">
        <f t="shared" si="1349"/>
        <v>1</v>
      </c>
      <c r="I2218" s="84">
        <v>46122</v>
      </c>
      <c r="J2218" s="52"/>
      <c r="K2218" s="15"/>
      <c r="L2218" s="16"/>
      <c r="M2218" s="36">
        <f t="shared" si="1341"/>
        <v>0</v>
      </c>
      <c r="N2218" s="18"/>
      <c r="O2218" s="16"/>
      <c r="P2218" s="36">
        <f t="shared" si="1342"/>
        <v>0</v>
      </c>
      <c r="Q2218" s="17">
        <f t="shared" si="1343"/>
        <v>0</v>
      </c>
    </row>
    <row r="2219" spans="1:18" x14ac:dyDescent="0.15">
      <c r="A2219" s="35" t="s">
        <v>651</v>
      </c>
      <c r="B2219" s="15">
        <v>1</v>
      </c>
      <c r="C2219" s="16"/>
      <c r="D2219" s="36">
        <f t="shared" si="1347"/>
        <v>1</v>
      </c>
      <c r="E2219" s="18"/>
      <c r="F2219" s="16"/>
      <c r="G2219" s="36">
        <f t="shared" si="1348"/>
        <v>0</v>
      </c>
      <c r="H2219" s="17">
        <f t="shared" si="1349"/>
        <v>1</v>
      </c>
      <c r="I2219" s="84">
        <v>46127</v>
      </c>
      <c r="J2219" s="52"/>
      <c r="K2219" s="15"/>
      <c r="L2219" s="16"/>
      <c r="M2219" s="36">
        <f t="shared" si="1341"/>
        <v>0</v>
      </c>
      <c r="N2219" s="18"/>
      <c r="O2219" s="16"/>
      <c r="P2219" s="36">
        <f t="shared" si="1342"/>
        <v>0</v>
      </c>
      <c r="Q2219" s="17">
        <f t="shared" si="1343"/>
        <v>0</v>
      </c>
    </row>
    <row r="2220" spans="1:18" x14ac:dyDescent="0.15">
      <c r="A2220" s="35" t="s">
        <v>651</v>
      </c>
      <c r="B2220" s="15">
        <v>4</v>
      </c>
      <c r="C2220" s="16"/>
      <c r="D2220" s="36">
        <f t="shared" si="1347"/>
        <v>4</v>
      </c>
      <c r="E2220" s="18"/>
      <c r="F2220" s="16"/>
      <c r="G2220" s="36">
        <f t="shared" si="1348"/>
        <v>0</v>
      </c>
      <c r="H2220" s="17">
        <f t="shared" si="1349"/>
        <v>4</v>
      </c>
      <c r="I2220" s="84">
        <v>46132</v>
      </c>
      <c r="J2220" s="52"/>
      <c r="K2220" s="15"/>
      <c r="L2220" s="16"/>
      <c r="M2220" s="36">
        <f t="shared" si="1341"/>
        <v>0</v>
      </c>
      <c r="N2220" s="18"/>
      <c r="O2220" s="16"/>
      <c r="P2220" s="36">
        <f t="shared" si="1342"/>
        <v>0</v>
      </c>
      <c r="Q2220" s="17">
        <f t="shared" si="1343"/>
        <v>0</v>
      </c>
    </row>
    <row r="2221" spans="1:18" x14ac:dyDescent="0.15">
      <c r="A2221" s="35" t="s">
        <v>651</v>
      </c>
      <c r="B2221" s="15">
        <v>1</v>
      </c>
      <c r="C2221" s="16"/>
      <c r="D2221" s="36">
        <f t="shared" si="1347"/>
        <v>1</v>
      </c>
      <c r="E2221" s="18"/>
      <c r="F2221" s="16"/>
      <c r="G2221" s="36">
        <f t="shared" si="1348"/>
        <v>0</v>
      </c>
      <c r="H2221" s="17">
        <f t="shared" si="1349"/>
        <v>1</v>
      </c>
      <c r="I2221" s="84">
        <v>46133</v>
      </c>
      <c r="J2221" s="52"/>
      <c r="K2221" s="15"/>
      <c r="L2221" s="16"/>
      <c r="M2221" s="36">
        <f t="shared" si="1341"/>
        <v>0</v>
      </c>
      <c r="N2221" s="18"/>
      <c r="O2221" s="16"/>
      <c r="P2221" s="36">
        <f t="shared" si="1342"/>
        <v>0</v>
      </c>
      <c r="Q2221" s="17">
        <f t="shared" si="1343"/>
        <v>0</v>
      </c>
    </row>
    <row r="2222" spans="1:18" x14ac:dyDescent="0.15">
      <c r="A2222" s="35" t="s">
        <v>651</v>
      </c>
      <c r="B2222" s="15">
        <v>1</v>
      </c>
      <c r="C2222" s="16"/>
      <c r="D2222" s="36">
        <f t="shared" si="1347"/>
        <v>1</v>
      </c>
      <c r="E2222" s="18"/>
      <c r="F2222" s="16"/>
      <c r="G2222" s="36">
        <f t="shared" si="1348"/>
        <v>0</v>
      </c>
      <c r="H2222" s="17">
        <f t="shared" si="1349"/>
        <v>1</v>
      </c>
      <c r="I2222" s="84">
        <v>46135</v>
      </c>
      <c r="J2222" s="52"/>
      <c r="K2222" s="15"/>
      <c r="L2222" s="16"/>
      <c r="M2222" s="36">
        <f t="shared" si="1341"/>
        <v>0</v>
      </c>
      <c r="N2222" s="18"/>
      <c r="O2222" s="16"/>
      <c r="P2222" s="36">
        <f t="shared" si="1342"/>
        <v>0</v>
      </c>
      <c r="Q2222" s="17">
        <f t="shared" si="1343"/>
        <v>0</v>
      </c>
    </row>
    <row r="2223" spans="1:18" x14ac:dyDescent="0.15">
      <c r="A2223" s="35" t="s">
        <v>651</v>
      </c>
      <c r="B2223" s="15">
        <v>1</v>
      </c>
      <c r="C2223" s="16"/>
      <c r="D2223" s="36">
        <f t="shared" si="1347"/>
        <v>1</v>
      </c>
      <c r="E2223" s="18"/>
      <c r="F2223" s="16"/>
      <c r="G2223" s="36">
        <f t="shared" si="1348"/>
        <v>0</v>
      </c>
      <c r="H2223" s="17">
        <f t="shared" si="1349"/>
        <v>1</v>
      </c>
      <c r="I2223" s="84">
        <v>46136</v>
      </c>
      <c r="J2223" s="52"/>
      <c r="K2223" s="15"/>
      <c r="L2223" s="16"/>
      <c r="M2223" s="36">
        <f t="shared" si="1341"/>
        <v>0</v>
      </c>
      <c r="N2223" s="18"/>
      <c r="O2223" s="16"/>
      <c r="P2223" s="36">
        <f t="shared" si="1342"/>
        <v>0</v>
      </c>
      <c r="Q2223" s="17">
        <f t="shared" si="1343"/>
        <v>0</v>
      </c>
    </row>
    <row r="2224" spans="1:18" x14ac:dyDescent="0.15">
      <c r="A2224" s="35" t="s">
        <v>651</v>
      </c>
      <c r="B2224" s="15">
        <v>6</v>
      </c>
      <c r="C2224" s="16"/>
      <c r="D2224" s="36">
        <f t="shared" si="1347"/>
        <v>6</v>
      </c>
      <c r="E2224" s="18"/>
      <c r="F2224" s="16"/>
      <c r="G2224" s="36">
        <f t="shared" si="1348"/>
        <v>0</v>
      </c>
      <c r="H2224" s="17">
        <f t="shared" si="1349"/>
        <v>6</v>
      </c>
      <c r="I2224" s="84">
        <v>46139</v>
      </c>
      <c r="J2224" s="52"/>
      <c r="K2224" s="15"/>
      <c r="L2224" s="16"/>
      <c r="M2224" s="36">
        <f t="shared" si="1341"/>
        <v>0</v>
      </c>
      <c r="N2224" s="18"/>
      <c r="O2224" s="16"/>
      <c r="P2224" s="36">
        <f t="shared" si="1342"/>
        <v>0</v>
      </c>
      <c r="Q2224" s="17">
        <f t="shared" si="1343"/>
        <v>0</v>
      </c>
    </row>
    <row r="2225" spans="1:17" x14ac:dyDescent="0.15">
      <c r="A2225" s="35" t="s">
        <v>651</v>
      </c>
      <c r="B2225" s="15">
        <v>1</v>
      </c>
      <c r="C2225" s="16"/>
      <c r="D2225" s="36">
        <f t="shared" si="1347"/>
        <v>1</v>
      </c>
      <c r="E2225" s="18"/>
      <c r="F2225" s="16"/>
      <c r="G2225" s="36">
        <f t="shared" si="1348"/>
        <v>0</v>
      </c>
      <c r="H2225" s="17">
        <f t="shared" si="1349"/>
        <v>1</v>
      </c>
      <c r="I2225" s="84">
        <v>46140</v>
      </c>
      <c r="J2225" s="52"/>
      <c r="K2225" s="15"/>
      <c r="L2225" s="16"/>
      <c r="M2225" s="36">
        <f t="shared" si="1341"/>
        <v>0</v>
      </c>
      <c r="N2225" s="18"/>
      <c r="O2225" s="16"/>
      <c r="P2225" s="36">
        <f t="shared" si="1342"/>
        <v>0</v>
      </c>
      <c r="Q2225" s="17">
        <f t="shared" si="1343"/>
        <v>0</v>
      </c>
    </row>
    <row r="2226" spans="1:17" x14ac:dyDescent="0.15">
      <c r="A2226" s="35" t="s">
        <v>651</v>
      </c>
      <c r="B2226" s="15">
        <v>2</v>
      </c>
      <c r="C2226" s="16"/>
      <c r="D2226" s="36">
        <f t="shared" si="1347"/>
        <v>2</v>
      </c>
      <c r="E2226" s="18"/>
      <c r="F2226" s="16"/>
      <c r="G2226" s="36">
        <f t="shared" si="1348"/>
        <v>0</v>
      </c>
      <c r="H2226" s="17">
        <f t="shared" si="1349"/>
        <v>2</v>
      </c>
      <c r="I2226" s="84">
        <v>46143</v>
      </c>
      <c r="J2226" s="52"/>
      <c r="K2226" s="15"/>
      <c r="L2226" s="16"/>
      <c r="M2226" s="36">
        <f t="shared" si="1341"/>
        <v>0</v>
      </c>
      <c r="N2226" s="18"/>
      <c r="O2226" s="16"/>
      <c r="P2226" s="36">
        <f t="shared" si="1342"/>
        <v>0</v>
      </c>
      <c r="Q2226" s="17">
        <f t="shared" si="1343"/>
        <v>0</v>
      </c>
    </row>
    <row r="2227" spans="1:17" x14ac:dyDescent="0.15">
      <c r="A2227" s="35" t="s">
        <v>651</v>
      </c>
      <c r="B2227" s="15">
        <v>5</v>
      </c>
      <c r="C2227" s="16"/>
      <c r="D2227" s="36">
        <f t="shared" si="1347"/>
        <v>5</v>
      </c>
      <c r="E2227" s="18"/>
      <c r="F2227" s="16"/>
      <c r="G2227" s="36">
        <f t="shared" si="1348"/>
        <v>0</v>
      </c>
      <c r="H2227" s="17">
        <f t="shared" si="1349"/>
        <v>5</v>
      </c>
      <c r="I2227" s="84">
        <v>46149</v>
      </c>
      <c r="J2227" s="52"/>
      <c r="K2227" s="15"/>
      <c r="L2227" s="16"/>
      <c r="M2227" s="36">
        <f t="shared" si="1341"/>
        <v>0</v>
      </c>
      <c r="N2227" s="18"/>
      <c r="O2227" s="16"/>
      <c r="P2227" s="36">
        <f t="shared" si="1342"/>
        <v>0</v>
      </c>
      <c r="Q2227" s="17">
        <f t="shared" si="1343"/>
        <v>0</v>
      </c>
    </row>
    <row r="2228" spans="1:17" x14ac:dyDescent="0.15">
      <c r="A2228" s="35" t="s">
        <v>651</v>
      </c>
      <c r="B2228" s="15">
        <v>11</v>
      </c>
      <c r="C2228" s="16"/>
      <c r="D2228" s="36">
        <f t="shared" si="1347"/>
        <v>11</v>
      </c>
      <c r="E2228" s="18"/>
      <c r="F2228" s="16"/>
      <c r="G2228" s="36">
        <f t="shared" si="1348"/>
        <v>0</v>
      </c>
      <c r="H2228" s="17">
        <f t="shared" si="1349"/>
        <v>11</v>
      </c>
      <c r="I2228" s="84">
        <v>46153</v>
      </c>
      <c r="J2228" s="52"/>
      <c r="K2228" s="15"/>
      <c r="L2228" s="16"/>
      <c r="M2228" s="36">
        <f t="shared" si="1341"/>
        <v>0</v>
      </c>
      <c r="N2228" s="18"/>
      <c r="O2228" s="16"/>
      <c r="P2228" s="36">
        <f t="shared" si="1342"/>
        <v>0</v>
      </c>
      <c r="Q2228" s="17">
        <f t="shared" si="1343"/>
        <v>0</v>
      </c>
    </row>
    <row r="2229" spans="1:17" x14ac:dyDescent="0.15">
      <c r="A2229" s="35" t="s">
        <v>651</v>
      </c>
      <c r="B2229" s="15">
        <v>4</v>
      </c>
      <c r="C2229" s="16"/>
      <c r="D2229" s="36">
        <f t="shared" si="1338"/>
        <v>4</v>
      </c>
      <c r="E2229" s="18"/>
      <c r="F2229" s="16"/>
      <c r="G2229" s="36">
        <f t="shared" si="1339"/>
        <v>0</v>
      </c>
      <c r="H2229" s="17">
        <f t="shared" si="1340"/>
        <v>4</v>
      </c>
      <c r="I2229" s="84">
        <v>46155</v>
      </c>
      <c r="J2229" s="52"/>
      <c r="K2229" s="15"/>
      <c r="L2229" s="16"/>
      <c r="M2229" s="36">
        <f t="shared" si="1341"/>
        <v>0</v>
      </c>
      <c r="N2229" s="18"/>
      <c r="O2229" s="16"/>
      <c r="P2229" s="36">
        <f t="shared" si="1342"/>
        <v>0</v>
      </c>
      <c r="Q2229" s="17">
        <f t="shared" si="1343"/>
        <v>0</v>
      </c>
    </row>
    <row r="2230" spans="1:17" x14ac:dyDescent="0.15">
      <c r="A2230" s="35" t="s">
        <v>651</v>
      </c>
      <c r="B2230" s="15">
        <v>4</v>
      </c>
      <c r="C2230" s="16"/>
      <c r="D2230" s="36">
        <f t="shared" si="1338"/>
        <v>4</v>
      </c>
      <c r="E2230" s="18"/>
      <c r="F2230" s="16"/>
      <c r="G2230" s="36">
        <f t="shared" si="1339"/>
        <v>0</v>
      </c>
      <c r="H2230" s="17">
        <f t="shared" si="1340"/>
        <v>4</v>
      </c>
      <c r="I2230" s="84">
        <v>46156</v>
      </c>
      <c r="J2230" s="52"/>
      <c r="K2230" s="15"/>
      <c r="L2230" s="16"/>
      <c r="M2230" s="36">
        <f t="shared" si="1341"/>
        <v>0</v>
      </c>
      <c r="N2230" s="18"/>
      <c r="O2230" s="16"/>
      <c r="P2230" s="36">
        <f t="shared" si="1342"/>
        <v>0</v>
      </c>
      <c r="Q2230" s="17">
        <f t="shared" si="1343"/>
        <v>0</v>
      </c>
    </row>
    <row r="2231" spans="1:17" x14ac:dyDescent="0.15">
      <c r="A2231" s="35" t="s">
        <v>651</v>
      </c>
      <c r="B2231" s="15">
        <v>2</v>
      </c>
      <c r="C2231" s="16"/>
      <c r="D2231" s="36">
        <f t="shared" si="1338"/>
        <v>2</v>
      </c>
      <c r="E2231" s="18"/>
      <c r="F2231" s="16"/>
      <c r="G2231" s="36">
        <f t="shared" si="1339"/>
        <v>0</v>
      </c>
      <c r="H2231" s="17">
        <f t="shared" si="1340"/>
        <v>2</v>
      </c>
      <c r="I2231" s="84">
        <v>46157</v>
      </c>
      <c r="J2231" s="52"/>
      <c r="K2231" s="15"/>
      <c r="L2231" s="16"/>
      <c r="M2231" s="36">
        <f t="shared" si="1341"/>
        <v>0</v>
      </c>
      <c r="N2231" s="18"/>
      <c r="O2231" s="16"/>
      <c r="P2231" s="36">
        <f t="shared" si="1342"/>
        <v>0</v>
      </c>
      <c r="Q2231" s="17">
        <f t="shared" si="1343"/>
        <v>0</v>
      </c>
    </row>
    <row r="2232" spans="1:17" ht="14.25" thickBot="1" x14ac:dyDescent="0.2">
      <c r="A2232" s="35" t="s">
        <v>651</v>
      </c>
      <c r="B2232" s="15">
        <v>3</v>
      </c>
      <c r="C2232" s="16"/>
      <c r="D2232" s="36">
        <f t="shared" si="1338"/>
        <v>3</v>
      </c>
      <c r="E2232" s="18"/>
      <c r="F2232" s="16"/>
      <c r="G2232" s="36">
        <f t="shared" si="1339"/>
        <v>0</v>
      </c>
      <c r="H2232" s="17">
        <f t="shared" si="1340"/>
        <v>3</v>
      </c>
      <c r="I2232" s="84">
        <v>46160</v>
      </c>
      <c r="J2232" s="52"/>
      <c r="K2232" s="15"/>
      <c r="L2232" s="16"/>
      <c r="M2232" s="36">
        <f t="shared" si="1341"/>
        <v>0</v>
      </c>
      <c r="N2232" s="18"/>
      <c r="O2232" s="16"/>
      <c r="P2232" s="36">
        <f t="shared" si="1342"/>
        <v>0</v>
      </c>
      <c r="Q2232" s="17">
        <f t="shared" si="1343"/>
        <v>0</v>
      </c>
    </row>
    <row r="2233" spans="1:17" ht="14.25" thickBot="1" x14ac:dyDescent="0.2">
      <c r="A2233" s="40" t="s">
        <v>14</v>
      </c>
      <c r="B2233" s="41">
        <f>SUM(B2207:B2232)</f>
        <v>112</v>
      </c>
      <c r="C2233" s="96">
        <f>SUM(C2207:C2232)</f>
        <v>0</v>
      </c>
      <c r="D2233" s="43">
        <f t="shared" si="1338"/>
        <v>112</v>
      </c>
      <c r="E2233" s="118">
        <f>SUM(E2207:E2232)</f>
        <v>0</v>
      </c>
      <c r="F2233" s="96">
        <f t="shared" ref="F2233" si="1353">SUM(F2207:F2232)</f>
        <v>0</v>
      </c>
      <c r="G2233" s="43">
        <f t="shared" si="1339"/>
        <v>0</v>
      </c>
      <c r="H2233" s="43">
        <f t="shared" si="1340"/>
        <v>112</v>
      </c>
      <c r="J2233" s="40" t="s">
        <v>14</v>
      </c>
      <c r="K2233" s="41">
        <f>SUM(K2207:K2232)</f>
        <v>110</v>
      </c>
      <c r="L2233" s="96">
        <f t="shared" ref="L2233" si="1354">SUM(L2207:L2232)</f>
        <v>0</v>
      </c>
      <c r="M2233" s="43">
        <f t="shared" si="1341"/>
        <v>110</v>
      </c>
      <c r="N2233" s="118">
        <f>SUM(N2207:N2232)</f>
        <v>0</v>
      </c>
      <c r="O2233" s="96">
        <f t="shared" ref="O2233" si="1355">SUM(O2207:O2232)</f>
        <v>0</v>
      </c>
      <c r="P2233" s="43">
        <f t="shared" si="1342"/>
        <v>0</v>
      </c>
      <c r="Q2233" s="43">
        <f t="shared" si="1343"/>
        <v>110</v>
      </c>
    </row>
    <row r="2234" spans="1:17" ht="14.25" thickBot="1" x14ac:dyDescent="0.2">
      <c r="A2234" s="44" t="s">
        <v>15</v>
      </c>
      <c r="B2234" s="45">
        <f>B2206-B2233</f>
        <v>20</v>
      </c>
      <c r="C2234" s="97">
        <f>C2206-C2233</f>
        <v>0</v>
      </c>
      <c r="D2234" s="47">
        <f t="shared" si="1338"/>
        <v>20</v>
      </c>
      <c r="E2234" s="119">
        <f>E2206-E2233</f>
        <v>0</v>
      </c>
      <c r="F2234" s="97">
        <f t="shared" ref="F2234" si="1356">F2206-F2233</f>
        <v>0</v>
      </c>
      <c r="G2234" s="47">
        <f t="shared" si="1339"/>
        <v>0</v>
      </c>
      <c r="H2234" s="34">
        <f t="shared" si="1340"/>
        <v>20</v>
      </c>
      <c r="J2234" s="44" t="s">
        <v>15</v>
      </c>
      <c r="K2234" s="45">
        <f>K2206-K2233</f>
        <v>88</v>
      </c>
      <c r="L2234" s="97">
        <f t="shared" ref="L2234" si="1357">L2206-L2233</f>
        <v>0</v>
      </c>
      <c r="M2234" s="47">
        <f t="shared" si="1341"/>
        <v>88</v>
      </c>
      <c r="N2234" s="119">
        <f>N2206-N2233</f>
        <v>0</v>
      </c>
      <c r="O2234" s="97">
        <f t="shared" ref="O2234" si="1358">O2206-O2233</f>
        <v>0</v>
      </c>
      <c r="P2234" s="47">
        <f t="shared" si="1342"/>
        <v>0</v>
      </c>
      <c r="Q2234" s="34">
        <f t="shared" si="1343"/>
        <v>88</v>
      </c>
    </row>
    <row r="2237" spans="1:17" ht="19.5" thickBot="1" x14ac:dyDescent="0.25">
      <c r="A2237" s="1" t="s">
        <v>23</v>
      </c>
      <c r="J2237" s="1" t="s">
        <v>24</v>
      </c>
      <c r="K2237" s="2"/>
      <c r="L2237" s="2"/>
      <c r="M2237" s="2"/>
      <c r="N2237" s="2"/>
      <c r="O2237" s="1" t="s">
        <v>34</v>
      </c>
      <c r="P2237" s="2"/>
      <c r="Q2237" s="2"/>
    </row>
    <row r="2238" spans="1:17" ht="14.25" thickBot="1" x14ac:dyDescent="0.2">
      <c r="A2238" s="3" t="s">
        <v>0</v>
      </c>
      <c r="B2238" s="120" t="s">
        <v>18</v>
      </c>
      <c r="C2238" s="121"/>
      <c r="D2238" s="122"/>
      <c r="E2238" s="120" t="s">
        <v>19</v>
      </c>
      <c r="F2238" s="121"/>
      <c r="G2238" s="122"/>
      <c r="H2238" s="123" t="s">
        <v>1</v>
      </c>
      <c r="J2238" s="3" t="s">
        <v>0</v>
      </c>
      <c r="K2238" s="120" t="s">
        <v>18</v>
      </c>
      <c r="L2238" s="121"/>
      <c r="M2238" s="122"/>
      <c r="N2238" s="120" t="s">
        <v>19</v>
      </c>
      <c r="O2238" s="121"/>
      <c r="P2238" s="122"/>
      <c r="Q2238" s="123" t="s">
        <v>1</v>
      </c>
    </row>
    <row r="2239" spans="1:17" ht="14.25" thickBot="1" x14ac:dyDescent="0.2">
      <c r="A2239" s="3" t="s">
        <v>2</v>
      </c>
      <c r="B2239" s="4" t="s">
        <v>16</v>
      </c>
      <c r="C2239" s="5" t="s">
        <v>17</v>
      </c>
      <c r="D2239" s="3" t="s">
        <v>3</v>
      </c>
      <c r="E2239" s="4" t="s">
        <v>16</v>
      </c>
      <c r="F2239" s="5" t="s">
        <v>17</v>
      </c>
      <c r="G2239" s="3" t="s">
        <v>3</v>
      </c>
      <c r="H2239" s="124"/>
      <c r="J2239" s="3" t="s">
        <v>2</v>
      </c>
      <c r="K2239" s="4" t="s">
        <v>16</v>
      </c>
      <c r="L2239" s="5" t="s">
        <v>17</v>
      </c>
      <c r="M2239" s="3" t="s">
        <v>3</v>
      </c>
      <c r="N2239" s="4" t="s">
        <v>16</v>
      </c>
      <c r="O2239" s="5" t="s">
        <v>17</v>
      </c>
      <c r="P2239" s="3" t="s">
        <v>3</v>
      </c>
      <c r="Q2239" s="124"/>
    </row>
    <row r="2240" spans="1:17" ht="14.25" thickBot="1" x14ac:dyDescent="0.2">
      <c r="A2240" s="6" t="s">
        <v>55</v>
      </c>
      <c r="B2240" s="32">
        <f>B2234</f>
        <v>20</v>
      </c>
      <c r="C2240" s="33">
        <f>C2234</f>
        <v>0</v>
      </c>
      <c r="D2240" s="34">
        <f t="shared" ref="D2240:D2277" si="1359">SUM(B2240:C2240)</f>
        <v>20</v>
      </c>
      <c r="E2240" s="32">
        <f>E2234</f>
        <v>0</v>
      </c>
      <c r="F2240" s="33">
        <f>F2234</f>
        <v>0</v>
      </c>
      <c r="G2240" s="34">
        <f t="shared" ref="G2240:G2277" si="1360">SUM(E2240:F2240)</f>
        <v>0</v>
      </c>
      <c r="H2240" s="34">
        <f t="shared" ref="H2240:H2277" si="1361">D2240+G2240</f>
        <v>20</v>
      </c>
      <c r="J2240" s="6" t="s">
        <v>55</v>
      </c>
      <c r="K2240" s="32">
        <f>K2234</f>
        <v>88</v>
      </c>
      <c r="L2240" s="33">
        <f>L2234</f>
        <v>0</v>
      </c>
      <c r="M2240" s="34">
        <f t="shared" ref="M2240:M2277" si="1362">SUM(K2240:L2240)</f>
        <v>88</v>
      </c>
      <c r="N2240" s="32">
        <f>N2234</f>
        <v>0</v>
      </c>
      <c r="O2240" s="33">
        <f>O2234</f>
        <v>0</v>
      </c>
      <c r="P2240" s="34">
        <f t="shared" ref="P2240:P2277" si="1363">SUM(N2240:O2240)</f>
        <v>0</v>
      </c>
      <c r="Q2240" s="34">
        <f t="shared" ref="Q2240:Q2277" si="1364">M2240+P2240</f>
        <v>88</v>
      </c>
    </row>
    <row r="2241" spans="1:18" x14ac:dyDescent="0.15">
      <c r="A2241" s="10" t="s">
        <v>5</v>
      </c>
      <c r="B2241" s="15">
        <v>20</v>
      </c>
      <c r="C2241" s="16"/>
      <c r="D2241" s="17">
        <f t="shared" ref="D2241:D2247" si="1365">SUM(B2241:C2241)</f>
        <v>20</v>
      </c>
      <c r="E2241" s="18"/>
      <c r="F2241" s="16"/>
      <c r="G2241" s="17">
        <f t="shared" ref="G2241:G2247" si="1366">SUM(E2241:F2241)</f>
        <v>0</v>
      </c>
      <c r="H2241" s="17">
        <f t="shared" ref="H2241:H2247" si="1367">D2241+G2241</f>
        <v>20</v>
      </c>
      <c r="I2241" s="81">
        <v>46170</v>
      </c>
      <c r="J2241" s="10" t="s">
        <v>5</v>
      </c>
      <c r="K2241" s="15"/>
      <c r="L2241" s="16"/>
      <c r="M2241" s="17">
        <f t="shared" si="1362"/>
        <v>0</v>
      </c>
      <c r="N2241" s="18"/>
      <c r="O2241" s="16"/>
      <c r="P2241" s="17">
        <f t="shared" si="1363"/>
        <v>0</v>
      </c>
      <c r="Q2241" s="17">
        <f t="shared" si="1364"/>
        <v>0</v>
      </c>
    </row>
    <row r="2242" spans="1:18" x14ac:dyDescent="0.15">
      <c r="A2242" s="110" t="s">
        <v>6</v>
      </c>
      <c r="B2242" s="111">
        <v>10</v>
      </c>
      <c r="C2242" s="112"/>
      <c r="D2242" s="113">
        <f t="shared" si="1365"/>
        <v>10</v>
      </c>
      <c r="E2242" s="114"/>
      <c r="F2242" s="112"/>
      <c r="G2242" s="113">
        <f t="shared" si="1366"/>
        <v>0</v>
      </c>
      <c r="H2242" s="113">
        <f t="shared" si="1367"/>
        <v>10</v>
      </c>
      <c r="I2242" s="115">
        <v>46182</v>
      </c>
      <c r="J2242" s="10" t="s">
        <v>6</v>
      </c>
      <c r="K2242" s="15"/>
      <c r="L2242" s="16"/>
      <c r="M2242" s="17">
        <f t="shared" si="1362"/>
        <v>0</v>
      </c>
      <c r="N2242" s="18"/>
      <c r="O2242" s="16"/>
      <c r="P2242" s="17">
        <f t="shared" si="1363"/>
        <v>0</v>
      </c>
      <c r="Q2242" s="17">
        <f t="shared" si="1364"/>
        <v>0</v>
      </c>
    </row>
    <row r="2243" spans="1:18" x14ac:dyDescent="0.15">
      <c r="A2243" s="110" t="s">
        <v>7</v>
      </c>
      <c r="B2243" s="111">
        <v>20</v>
      </c>
      <c r="C2243" s="112"/>
      <c r="D2243" s="113">
        <f t="shared" si="1365"/>
        <v>20</v>
      </c>
      <c r="E2243" s="114"/>
      <c r="F2243" s="112"/>
      <c r="G2243" s="113">
        <f t="shared" si="1366"/>
        <v>0</v>
      </c>
      <c r="H2243" s="113">
        <f t="shared" si="1367"/>
        <v>20</v>
      </c>
      <c r="I2243" s="115">
        <v>46183</v>
      </c>
      <c r="J2243" s="110" t="s">
        <v>7</v>
      </c>
      <c r="K2243" s="15"/>
      <c r="L2243" s="16"/>
      <c r="M2243" s="17">
        <f t="shared" si="1362"/>
        <v>0</v>
      </c>
      <c r="N2243" s="18"/>
      <c r="O2243" s="16"/>
      <c r="P2243" s="17">
        <f t="shared" si="1363"/>
        <v>0</v>
      </c>
      <c r="Q2243" s="17">
        <f t="shared" si="1364"/>
        <v>0</v>
      </c>
    </row>
    <row r="2244" spans="1:18" x14ac:dyDescent="0.15">
      <c r="A2244" s="137" t="s">
        <v>8</v>
      </c>
      <c r="B2244" s="132">
        <v>10</v>
      </c>
      <c r="C2244" s="133"/>
      <c r="D2244" s="136">
        <f t="shared" si="1365"/>
        <v>10</v>
      </c>
      <c r="E2244" s="135"/>
      <c r="F2244" s="133"/>
      <c r="G2244" s="136">
        <f t="shared" si="1366"/>
        <v>0</v>
      </c>
      <c r="H2244" s="136">
        <f t="shared" si="1367"/>
        <v>10</v>
      </c>
      <c r="I2244" s="81">
        <v>46188</v>
      </c>
      <c r="J2244" s="10" t="s">
        <v>8</v>
      </c>
      <c r="K2244" s="15"/>
      <c r="L2244" s="16"/>
      <c r="M2244" s="17">
        <f t="shared" si="1362"/>
        <v>0</v>
      </c>
      <c r="N2244" s="18"/>
      <c r="O2244" s="16"/>
      <c r="P2244" s="17">
        <f t="shared" si="1363"/>
        <v>0</v>
      </c>
      <c r="Q2244" s="17">
        <f t="shared" si="1364"/>
        <v>0</v>
      </c>
    </row>
    <row r="2245" spans="1:18" x14ac:dyDescent="0.15">
      <c r="A2245" s="137" t="s">
        <v>9</v>
      </c>
      <c r="B2245" s="132"/>
      <c r="C2245" s="133"/>
      <c r="D2245" s="136">
        <f t="shared" si="1365"/>
        <v>0</v>
      </c>
      <c r="E2245" s="135"/>
      <c r="F2245" s="133"/>
      <c r="G2245" s="136">
        <f t="shared" si="1366"/>
        <v>0</v>
      </c>
      <c r="H2245" s="136">
        <f t="shared" si="1367"/>
        <v>0</v>
      </c>
      <c r="I2245" s="83"/>
      <c r="J2245" s="10" t="s">
        <v>9</v>
      </c>
      <c r="K2245" s="15"/>
      <c r="L2245" s="16"/>
      <c r="M2245" s="17">
        <f t="shared" si="1362"/>
        <v>0</v>
      </c>
      <c r="N2245" s="18"/>
      <c r="O2245" s="16"/>
      <c r="P2245" s="17">
        <f t="shared" si="1363"/>
        <v>0</v>
      </c>
      <c r="Q2245" s="17">
        <f t="shared" si="1364"/>
        <v>0</v>
      </c>
    </row>
    <row r="2246" spans="1:18" x14ac:dyDescent="0.15">
      <c r="A2246" s="110" t="s">
        <v>10</v>
      </c>
      <c r="B2246" s="15"/>
      <c r="C2246" s="16"/>
      <c r="D2246" s="17">
        <f t="shared" si="1365"/>
        <v>0</v>
      </c>
      <c r="E2246" s="18"/>
      <c r="F2246" s="16"/>
      <c r="G2246" s="17">
        <f t="shared" si="1366"/>
        <v>0</v>
      </c>
      <c r="H2246" s="17">
        <f t="shared" si="1367"/>
        <v>0</v>
      </c>
      <c r="J2246" s="10" t="s">
        <v>10</v>
      </c>
      <c r="K2246" s="15"/>
      <c r="L2246" s="16"/>
      <c r="M2246" s="17">
        <f t="shared" si="1362"/>
        <v>0</v>
      </c>
      <c r="N2246" s="18"/>
      <c r="O2246" s="16"/>
      <c r="P2246" s="17">
        <f t="shared" si="1363"/>
        <v>0</v>
      </c>
      <c r="Q2246" s="17">
        <f t="shared" si="1364"/>
        <v>0</v>
      </c>
    </row>
    <row r="2247" spans="1:18" x14ac:dyDescent="0.15">
      <c r="A2247" s="10" t="s">
        <v>11</v>
      </c>
      <c r="B2247" s="15"/>
      <c r="C2247" s="16"/>
      <c r="D2247" s="17">
        <f t="shared" si="1365"/>
        <v>0</v>
      </c>
      <c r="E2247" s="18"/>
      <c r="F2247" s="16"/>
      <c r="G2247" s="17">
        <f t="shared" si="1366"/>
        <v>0</v>
      </c>
      <c r="H2247" s="17">
        <f t="shared" si="1367"/>
        <v>0</v>
      </c>
      <c r="J2247" s="10" t="s">
        <v>11</v>
      </c>
      <c r="K2247" s="15"/>
      <c r="L2247" s="16"/>
      <c r="M2247" s="17">
        <f t="shared" si="1362"/>
        <v>0</v>
      </c>
      <c r="N2247" s="18"/>
      <c r="O2247" s="16"/>
      <c r="P2247" s="17">
        <f t="shared" si="1363"/>
        <v>0</v>
      </c>
      <c r="Q2247" s="17">
        <f t="shared" si="1364"/>
        <v>0</v>
      </c>
    </row>
    <row r="2248" spans="1:18" ht="14.25" thickBot="1" x14ac:dyDescent="0.2">
      <c r="A2248" s="10" t="s">
        <v>12</v>
      </c>
      <c r="B2248" s="15"/>
      <c r="C2248" s="16"/>
      <c r="D2248" s="17">
        <f t="shared" si="1359"/>
        <v>0</v>
      </c>
      <c r="E2248" s="18"/>
      <c r="F2248" s="16"/>
      <c r="G2248" s="17">
        <f t="shared" si="1360"/>
        <v>0</v>
      </c>
      <c r="H2248" s="17">
        <f t="shared" si="1361"/>
        <v>0</v>
      </c>
      <c r="J2248" s="10" t="s">
        <v>12</v>
      </c>
      <c r="K2248" s="15"/>
      <c r="L2248" s="16"/>
      <c r="M2248" s="17">
        <f t="shared" si="1362"/>
        <v>0</v>
      </c>
      <c r="N2248" s="18"/>
      <c r="O2248" s="16"/>
      <c r="P2248" s="17">
        <f t="shared" si="1363"/>
        <v>0</v>
      </c>
      <c r="Q2248" s="17">
        <f t="shared" si="1364"/>
        <v>0</v>
      </c>
    </row>
    <row r="2249" spans="1:18" ht="14.25" thickBot="1" x14ac:dyDescent="0.2">
      <c r="A2249" s="31" t="s">
        <v>13</v>
      </c>
      <c r="B2249" s="32">
        <f>SUM(B2240:B2248)</f>
        <v>80</v>
      </c>
      <c r="C2249" s="33">
        <f>SUM(C2240:C2248)</f>
        <v>0</v>
      </c>
      <c r="D2249" s="34">
        <f t="shared" si="1359"/>
        <v>80</v>
      </c>
      <c r="E2249" s="32">
        <f>SUM(E2240:E2248)</f>
        <v>0</v>
      </c>
      <c r="F2249" s="33">
        <f>SUM(F2240:F2248)</f>
        <v>0</v>
      </c>
      <c r="G2249" s="34">
        <f t="shared" si="1360"/>
        <v>0</v>
      </c>
      <c r="H2249" s="34">
        <f t="shared" si="1361"/>
        <v>80</v>
      </c>
      <c r="J2249" s="31" t="s">
        <v>13</v>
      </c>
      <c r="K2249" s="32">
        <f>SUM(K2240:K2248)</f>
        <v>88</v>
      </c>
      <c r="L2249" s="33">
        <f>SUM(L2240:L2248)</f>
        <v>0</v>
      </c>
      <c r="M2249" s="34">
        <f t="shared" si="1362"/>
        <v>88</v>
      </c>
      <c r="N2249" s="32">
        <f>SUM(N2240:N2248)</f>
        <v>0</v>
      </c>
      <c r="O2249" s="33">
        <f>SUM(O2240:O2248)</f>
        <v>0</v>
      </c>
      <c r="P2249" s="34">
        <f t="shared" si="1363"/>
        <v>0</v>
      </c>
      <c r="Q2249" s="34">
        <f t="shared" si="1364"/>
        <v>88</v>
      </c>
    </row>
    <row r="2250" spans="1:18" x14ac:dyDescent="0.15">
      <c r="A2250" s="35" t="s">
        <v>651</v>
      </c>
      <c r="B2250" s="15">
        <v>1</v>
      </c>
      <c r="C2250" s="16"/>
      <c r="D2250" s="36">
        <f t="shared" si="1359"/>
        <v>1</v>
      </c>
      <c r="E2250" s="18"/>
      <c r="F2250" s="16"/>
      <c r="G2250" s="36">
        <f t="shared" si="1360"/>
        <v>0</v>
      </c>
      <c r="H2250" s="17">
        <f t="shared" si="1361"/>
        <v>1</v>
      </c>
      <c r="I2250" s="84">
        <v>46161</v>
      </c>
      <c r="J2250" s="52" t="s">
        <v>710</v>
      </c>
      <c r="K2250" s="15">
        <v>20</v>
      </c>
      <c r="L2250" s="16"/>
      <c r="M2250" s="36">
        <f t="shared" ref="M2250:M2256" si="1368">SUM(K2250:L2250)</f>
        <v>20</v>
      </c>
      <c r="N2250" s="18"/>
      <c r="O2250" s="16"/>
      <c r="P2250" s="36">
        <f t="shared" ref="P2250:P2256" si="1369">SUM(N2250:O2250)</f>
        <v>0</v>
      </c>
      <c r="Q2250" s="17">
        <f t="shared" ref="Q2250:Q2256" si="1370">M2250+P2250</f>
        <v>20</v>
      </c>
      <c r="R2250" s="81">
        <v>46170</v>
      </c>
    </row>
    <row r="2251" spans="1:18" x14ac:dyDescent="0.15">
      <c r="A2251" s="35" t="s">
        <v>651</v>
      </c>
      <c r="B2251" s="15">
        <v>1</v>
      </c>
      <c r="C2251" s="16"/>
      <c r="D2251" s="36">
        <f t="shared" si="1359"/>
        <v>1</v>
      </c>
      <c r="E2251" s="18"/>
      <c r="F2251" s="16"/>
      <c r="G2251" s="36">
        <f t="shared" si="1360"/>
        <v>0</v>
      </c>
      <c r="H2251" s="17">
        <f t="shared" si="1361"/>
        <v>1</v>
      </c>
      <c r="I2251" s="84">
        <v>46164</v>
      </c>
      <c r="J2251" s="116" t="s">
        <v>708</v>
      </c>
      <c r="K2251" s="111">
        <v>10</v>
      </c>
      <c r="L2251" s="112"/>
      <c r="M2251" s="117">
        <f t="shared" si="1368"/>
        <v>10</v>
      </c>
      <c r="N2251" s="114"/>
      <c r="O2251" s="112"/>
      <c r="P2251" s="117">
        <f t="shared" si="1369"/>
        <v>0</v>
      </c>
      <c r="Q2251" s="113">
        <f t="shared" si="1370"/>
        <v>10</v>
      </c>
      <c r="R2251" s="115">
        <v>46182</v>
      </c>
    </row>
    <row r="2252" spans="1:18" x14ac:dyDescent="0.15">
      <c r="A2252" s="35" t="s">
        <v>651</v>
      </c>
      <c r="B2252" s="15">
        <v>2</v>
      </c>
      <c r="C2252" s="16"/>
      <c r="D2252" s="36">
        <f t="shared" si="1359"/>
        <v>2</v>
      </c>
      <c r="E2252" s="18"/>
      <c r="F2252" s="16"/>
      <c r="G2252" s="36">
        <f t="shared" si="1360"/>
        <v>0</v>
      </c>
      <c r="H2252" s="17">
        <f t="shared" si="1361"/>
        <v>2</v>
      </c>
      <c r="I2252" s="84">
        <v>46167</v>
      </c>
      <c r="J2252" s="116" t="s">
        <v>708</v>
      </c>
      <c r="K2252" s="111">
        <v>20</v>
      </c>
      <c r="L2252" s="112"/>
      <c r="M2252" s="117">
        <f t="shared" si="1368"/>
        <v>20</v>
      </c>
      <c r="N2252" s="114"/>
      <c r="O2252" s="112"/>
      <c r="P2252" s="117">
        <f t="shared" si="1369"/>
        <v>0</v>
      </c>
      <c r="Q2252" s="113">
        <f t="shared" si="1370"/>
        <v>20</v>
      </c>
      <c r="R2252" s="115">
        <v>46183</v>
      </c>
    </row>
    <row r="2253" spans="1:18" x14ac:dyDescent="0.15">
      <c r="A2253" s="35" t="s">
        <v>651</v>
      </c>
      <c r="B2253" s="15">
        <v>2</v>
      </c>
      <c r="C2253" s="16"/>
      <c r="D2253" s="36">
        <f t="shared" si="1359"/>
        <v>2</v>
      </c>
      <c r="E2253" s="18"/>
      <c r="F2253" s="16"/>
      <c r="G2253" s="36">
        <f t="shared" si="1360"/>
        <v>0</v>
      </c>
      <c r="H2253" s="17">
        <f t="shared" si="1361"/>
        <v>2</v>
      </c>
      <c r="I2253" s="84">
        <v>46168</v>
      </c>
      <c r="J2253" s="131" t="s">
        <v>708</v>
      </c>
      <c r="K2253" s="132">
        <v>10</v>
      </c>
      <c r="L2253" s="133"/>
      <c r="M2253" s="134">
        <f t="shared" si="1368"/>
        <v>10</v>
      </c>
      <c r="N2253" s="135"/>
      <c r="O2253" s="133"/>
      <c r="P2253" s="134">
        <f t="shared" si="1369"/>
        <v>0</v>
      </c>
      <c r="Q2253" s="136">
        <f t="shared" si="1370"/>
        <v>10</v>
      </c>
      <c r="R2253" s="81">
        <v>46188</v>
      </c>
    </row>
    <row r="2254" spans="1:18" x14ac:dyDescent="0.15">
      <c r="A2254" s="35" t="s">
        <v>651</v>
      </c>
      <c r="B2254" s="15">
        <v>3</v>
      </c>
      <c r="C2254" s="16"/>
      <c r="D2254" s="36">
        <f t="shared" si="1359"/>
        <v>3</v>
      </c>
      <c r="E2254" s="18"/>
      <c r="F2254" s="16"/>
      <c r="G2254" s="36">
        <f t="shared" si="1360"/>
        <v>0</v>
      </c>
      <c r="H2254" s="17">
        <f t="shared" si="1361"/>
        <v>3</v>
      </c>
      <c r="I2254" s="84">
        <v>46169</v>
      </c>
      <c r="J2254" s="52"/>
      <c r="K2254" s="15"/>
      <c r="L2254" s="16"/>
      <c r="M2254" s="36">
        <f t="shared" si="1368"/>
        <v>0</v>
      </c>
      <c r="N2254" s="18"/>
      <c r="O2254" s="16"/>
      <c r="P2254" s="36">
        <f t="shared" si="1369"/>
        <v>0</v>
      </c>
      <c r="Q2254" s="17">
        <f t="shared" si="1370"/>
        <v>0</v>
      </c>
    </row>
    <row r="2255" spans="1:18" x14ac:dyDescent="0.15">
      <c r="A2255" s="35" t="s">
        <v>651</v>
      </c>
      <c r="B2255" s="15">
        <v>1</v>
      </c>
      <c r="C2255" s="16"/>
      <c r="D2255" s="36">
        <f t="shared" si="1359"/>
        <v>1</v>
      </c>
      <c r="E2255" s="18"/>
      <c r="F2255" s="16"/>
      <c r="G2255" s="36">
        <f t="shared" si="1360"/>
        <v>0</v>
      </c>
      <c r="H2255" s="17">
        <f t="shared" si="1361"/>
        <v>1</v>
      </c>
      <c r="I2255" s="84">
        <v>46170</v>
      </c>
      <c r="J2255" s="52"/>
      <c r="K2255" s="15"/>
      <c r="L2255" s="16"/>
      <c r="M2255" s="36">
        <f t="shared" si="1368"/>
        <v>0</v>
      </c>
      <c r="N2255" s="18"/>
      <c r="O2255" s="16"/>
      <c r="P2255" s="36">
        <f t="shared" si="1369"/>
        <v>0</v>
      </c>
      <c r="Q2255" s="17">
        <f t="shared" si="1370"/>
        <v>0</v>
      </c>
    </row>
    <row r="2256" spans="1:18" x14ac:dyDescent="0.15">
      <c r="A2256" s="35" t="s">
        <v>651</v>
      </c>
      <c r="B2256" s="15">
        <v>1</v>
      </c>
      <c r="C2256" s="16"/>
      <c r="D2256" s="36">
        <f t="shared" si="1359"/>
        <v>1</v>
      </c>
      <c r="E2256" s="18"/>
      <c r="F2256" s="16"/>
      <c r="G2256" s="36">
        <f t="shared" si="1360"/>
        <v>0</v>
      </c>
      <c r="H2256" s="17">
        <f t="shared" si="1361"/>
        <v>1</v>
      </c>
      <c r="I2256" s="84">
        <v>46171</v>
      </c>
      <c r="J2256" s="52"/>
      <c r="K2256" s="15"/>
      <c r="L2256" s="16"/>
      <c r="M2256" s="36">
        <f t="shared" si="1368"/>
        <v>0</v>
      </c>
      <c r="N2256" s="18"/>
      <c r="O2256" s="16"/>
      <c r="P2256" s="36">
        <f t="shared" si="1369"/>
        <v>0</v>
      </c>
      <c r="Q2256" s="17">
        <f t="shared" si="1370"/>
        <v>0</v>
      </c>
    </row>
    <row r="2257" spans="1:17" x14ac:dyDescent="0.15">
      <c r="A2257" s="35" t="s">
        <v>651</v>
      </c>
      <c r="B2257" s="15">
        <v>12</v>
      </c>
      <c r="C2257" s="16"/>
      <c r="D2257" s="36">
        <f t="shared" si="1359"/>
        <v>12</v>
      </c>
      <c r="E2257" s="18"/>
      <c r="F2257" s="16"/>
      <c r="G2257" s="36">
        <f t="shared" si="1360"/>
        <v>0</v>
      </c>
      <c r="H2257" s="17">
        <f t="shared" si="1361"/>
        <v>12</v>
      </c>
      <c r="I2257" s="84">
        <v>46174</v>
      </c>
      <c r="J2257" s="52"/>
      <c r="K2257" s="15"/>
      <c r="L2257" s="16"/>
      <c r="M2257" s="36">
        <f t="shared" si="1362"/>
        <v>0</v>
      </c>
      <c r="N2257" s="18"/>
      <c r="O2257" s="16"/>
      <c r="P2257" s="36">
        <f t="shared" si="1363"/>
        <v>0</v>
      </c>
      <c r="Q2257" s="17">
        <f t="shared" si="1364"/>
        <v>0</v>
      </c>
    </row>
    <row r="2258" spans="1:17" x14ac:dyDescent="0.15">
      <c r="A2258" s="35" t="s">
        <v>651</v>
      </c>
      <c r="B2258" s="15">
        <v>3</v>
      </c>
      <c r="C2258" s="16"/>
      <c r="D2258" s="36">
        <f t="shared" si="1359"/>
        <v>3</v>
      </c>
      <c r="E2258" s="18"/>
      <c r="F2258" s="16"/>
      <c r="G2258" s="36">
        <f t="shared" si="1360"/>
        <v>0</v>
      </c>
      <c r="H2258" s="17">
        <f t="shared" si="1361"/>
        <v>3</v>
      </c>
      <c r="I2258" s="84">
        <v>46177</v>
      </c>
      <c r="J2258" s="52"/>
      <c r="K2258" s="15"/>
      <c r="L2258" s="16"/>
      <c r="M2258" s="36">
        <f t="shared" si="1362"/>
        <v>0</v>
      </c>
      <c r="N2258" s="18"/>
      <c r="O2258" s="16"/>
      <c r="P2258" s="36">
        <f t="shared" si="1363"/>
        <v>0</v>
      </c>
      <c r="Q2258" s="17">
        <f t="shared" si="1364"/>
        <v>0</v>
      </c>
    </row>
    <row r="2259" spans="1:17" x14ac:dyDescent="0.15">
      <c r="A2259" s="35" t="s">
        <v>651</v>
      </c>
      <c r="B2259" s="15">
        <v>4</v>
      </c>
      <c r="C2259" s="16"/>
      <c r="D2259" s="36">
        <f t="shared" si="1359"/>
        <v>4</v>
      </c>
      <c r="E2259" s="18"/>
      <c r="F2259" s="16"/>
      <c r="G2259" s="36">
        <f t="shared" si="1360"/>
        <v>0</v>
      </c>
      <c r="H2259" s="17">
        <f t="shared" si="1361"/>
        <v>4</v>
      </c>
      <c r="I2259" s="84">
        <v>46178</v>
      </c>
      <c r="J2259" s="52"/>
      <c r="K2259" s="15"/>
      <c r="L2259" s="16"/>
      <c r="M2259" s="36">
        <f t="shared" si="1362"/>
        <v>0</v>
      </c>
      <c r="N2259" s="18"/>
      <c r="O2259" s="16"/>
      <c r="P2259" s="36">
        <f t="shared" si="1363"/>
        <v>0</v>
      </c>
      <c r="Q2259" s="17">
        <f t="shared" si="1364"/>
        <v>0</v>
      </c>
    </row>
    <row r="2260" spans="1:17" x14ac:dyDescent="0.15">
      <c r="A2260" s="35" t="s">
        <v>651</v>
      </c>
      <c r="B2260" s="15">
        <v>5</v>
      </c>
      <c r="C2260" s="16"/>
      <c r="D2260" s="36">
        <f t="shared" si="1359"/>
        <v>5</v>
      </c>
      <c r="E2260" s="18"/>
      <c r="F2260" s="16"/>
      <c r="G2260" s="36">
        <f t="shared" si="1360"/>
        <v>0</v>
      </c>
      <c r="H2260" s="17">
        <f t="shared" si="1361"/>
        <v>5</v>
      </c>
      <c r="I2260" s="84">
        <v>46181</v>
      </c>
      <c r="J2260" s="52"/>
      <c r="K2260" s="15"/>
      <c r="L2260" s="16"/>
      <c r="M2260" s="36">
        <f t="shared" si="1362"/>
        <v>0</v>
      </c>
      <c r="N2260" s="18"/>
      <c r="O2260" s="16"/>
      <c r="P2260" s="36">
        <f t="shared" si="1363"/>
        <v>0</v>
      </c>
      <c r="Q2260" s="17">
        <f t="shared" si="1364"/>
        <v>0</v>
      </c>
    </row>
    <row r="2261" spans="1:17" x14ac:dyDescent="0.15">
      <c r="A2261" s="35" t="s">
        <v>651</v>
      </c>
      <c r="B2261" s="15">
        <v>4</v>
      </c>
      <c r="C2261" s="16"/>
      <c r="D2261" s="36">
        <f t="shared" si="1359"/>
        <v>4</v>
      </c>
      <c r="E2261" s="18"/>
      <c r="F2261" s="16"/>
      <c r="G2261" s="36">
        <f t="shared" si="1360"/>
        <v>0</v>
      </c>
      <c r="H2261" s="17">
        <f t="shared" si="1361"/>
        <v>4</v>
      </c>
      <c r="I2261" s="84">
        <v>46182</v>
      </c>
      <c r="J2261" s="52"/>
      <c r="K2261" s="15"/>
      <c r="L2261" s="16"/>
      <c r="M2261" s="36">
        <f t="shared" si="1362"/>
        <v>0</v>
      </c>
      <c r="N2261" s="18"/>
      <c r="O2261" s="16"/>
      <c r="P2261" s="36">
        <f t="shared" si="1363"/>
        <v>0</v>
      </c>
      <c r="Q2261" s="17">
        <f t="shared" si="1364"/>
        <v>0</v>
      </c>
    </row>
    <row r="2262" spans="1:17" x14ac:dyDescent="0.15">
      <c r="A2262" s="35" t="s">
        <v>651</v>
      </c>
      <c r="B2262" s="15">
        <v>8</v>
      </c>
      <c r="C2262" s="16"/>
      <c r="D2262" s="36">
        <f t="shared" si="1359"/>
        <v>8</v>
      </c>
      <c r="E2262" s="18"/>
      <c r="F2262" s="16"/>
      <c r="G2262" s="36">
        <f t="shared" si="1360"/>
        <v>0</v>
      </c>
      <c r="H2262" s="17">
        <f t="shared" si="1361"/>
        <v>8</v>
      </c>
      <c r="I2262" s="84">
        <v>46183</v>
      </c>
      <c r="J2262" s="52"/>
      <c r="K2262" s="15"/>
      <c r="L2262" s="16"/>
      <c r="M2262" s="36">
        <f t="shared" si="1362"/>
        <v>0</v>
      </c>
      <c r="N2262" s="18"/>
      <c r="O2262" s="16"/>
      <c r="P2262" s="36">
        <f t="shared" si="1363"/>
        <v>0</v>
      </c>
      <c r="Q2262" s="17">
        <f t="shared" si="1364"/>
        <v>0</v>
      </c>
    </row>
    <row r="2263" spans="1:17" x14ac:dyDescent="0.15">
      <c r="A2263" s="35" t="s">
        <v>651</v>
      </c>
      <c r="B2263" s="15">
        <v>3</v>
      </c>
      <c r="C2263" s="16"/>
      <c r="D2263" s="36">
        <f t="shared" si="1359"/>
        <v>3</v>
      </c>
      <c r="E2263" s="18"/>
      <c r="F2263" s="16"/>
      <c r="G2263" s="36">
        <f t="shared" si="1360"/>
        <v>0</v>
      </c>
      <c r="H2263" s="17">
        <f t="shared" si="1361"/>
        <v>3</v>
      </c>
      <c r="I2263" s="84">
        <v>46184</v>
      </c>
      <c r="J2263" s="52"/>
      <c r="K2263" s="15"/>
      <c r="L2263" s="16"/>
      <c r="M2263" s="36">
        <f t="shared" si="1362"/>
        <v>0</v>
      </c>
      <c r="N2263" s="18"/>
      <c r="O2263" s="16"/>
      <c r="P2263" s="36">
        <f t="shared" si="1363"/>
        <v>0</v>
      </c>
      <c r="Q2263" s="17">
        <f t="shared" si="1364"/>
        <v>0</v>
      </c>
    </row>
    <row r="2264" spans="1:17" x14ac:dyDescent="0.15">
      <c r="A2264" s="35" t="s">
        <v>651</v>
      </c>
      <c r="B2264" s="15">
        <v>1</v>
      </c>
      <c r="C2264" s="16"/>
      <c r="D2264" s="36">
        <f t="shared" si="1359"/>
        <v>1</v>
      </c>
      <c r="E2264" s="18"/>
      <c r="F2264" s="16"/>
      <c r="G2264" s="36">
        <f t="shared" si="1360"/>
        <v>0</v>
      </c>
      <c r="H2264" s="17">
        <f t="shared" si="1361"/>
        <v>1</v>
      </c>
      <c r="I2264" s="84">
        <v>46188</v>
      </c>
      <c r="J2264" s="52"/>
      <c r="K2264" s="15"/>
      <c r="L2264" s="16"/>
      <c r="M2264" s="36">
        <f t="shared" si="1362"/>
        <v>0</v>
      </c>
      <c r="N2264" s="18"/>
      <c r="O2264" s="16"/>
      <c r="P2264" s="36">
        <f t="shared" si="1363"/>
        <v>0</v>
      </c>
      <c r="Q2264" s="17">
        <f t="shared" si="1364"/>
        <v>0</v>
      </c>
    </row>
    <row r="2265" spans="1:17" x14ac:dyDescent="0.15">
      <c r="A2265" s="35"/>
      <c r="B2265" s="15"/>
      <c r="C2265" s="16"/>
      <c r="D2265" s="36">
        <f t="shared" si="1359"/>
        <v>0</v>
      </c>
      <c r="E2265" s="18"/>
      <c r="F2265" s="16"/>
      <c r="G2265" s="36">
        <f t="shared" si="1360"/>
        <v>0</v>
      </c>
      <c r="H2265" s="17">
        <f t="shared" si="1361"/>
        <v>0</v>
      </c>
      <c r="I2265" s="84"/>
      <c r="J2265" s="52"/>
      <c r="K2265" s="15"/>
      <c r="L2265" s="16"/>
      <c r="M2265" s="36">
        <f t="shared" si="1362"/>
        <v>0</v>
      </c>
      <c r="N2265" s="18"/>
      <c r="O2265" s="16"/>
      <c r="P2265" s="36">
        <f t="shared" si="1363"/>
        <v>0</v>
      </c>
      <c r="Q2265" s="17">
        <f t="shared" si="1364"/>
        <v>0</v>
      </c>
    </row>
    <row r="2266" spans="1:17" x14ac:dyDescent="0.15">
      <c r="A2266" s="35"/>
      <c r="B2266" s="15"/>
      <c r="C2266" s="16"/>
      <c r="D2266" s="36">
        <f t="shared" si="1359"/>
        <v>0</v>
      </c>
      <c r="E2266" s="18"/>
      <c r="F2266" s="16"/>
      <c r="G2266" s="36">
        <f t="shared" si="1360"/>
        <v>0</v>
      </c>
      <c r="H2266" s="17">
        <f t="shared" si="1361"/>
        <v>0</v>
      </c>
      <c r="I2266" s="84"/>
      <c r="J2266" s="52"/>
      <c r="K2266" s="15"/>
      <c r="L2266" s="16"/>
      <c r="M2266" s="36">
        <f t="shared" si="1362"/>
        <v>0</v>
      </c>
      <c r="N2266" s="18"/>
      <c r="O2266" s="16"/>
      <c r="P2266" s="36">
        <f t="shared" si="1363"/>
        <v>0</v>
      </c>
      <c r="Q2266" s="17">
        <f t="shared" si="1364"/>
        <v>0</v>
      </c>
    </row>
    <row r="2267" spans="1:17" x14ac:dyDescent="0.15">
      <c r="A2267" s="35"/>
      <c r="B2267" s="15"/>
      <c r="C2267" s="16"/>
      <c r="D2267" s="36">
        <f t="shared" si="1359"/>
        <v>0</v>
      </c>
      <c r="E2267" s="18"/>
      <c r="F2267" s="16"/>
      <c r="G2267" s="36">
        <f t="shared" si="1360"/>
        <v>0</v>
      </c>
      <c r="H2267" s="17">
        <f t="shared" si="1361"/>
        <v>0</v>
      </c>
      <c r="I2267" s="84"/>
      <c r="J2267" s="52"/>
      <c r="K2267" s="15"/>
      <c r="L2267" s="16"/>
      <c r="M2267" s="36">
        <f t="shared" si="1362"/>
        <v>0</v>
      </c>
      <c r="N2267" s="18"/>
      <c r="O2267" s="16"/>
      <c r="P2267" s="36">
        <f t="shared" si="1363"/>
        <v>0</v>
      </c>
      <c r="Q2267" s="17">
        <f t="shared" si="1364"/>
        <v>0</v>
      </c>
    </row>
    <row r="2268" spans="1:17" x14ac:dyDescent="0.15">
      <c r="A2268" s="35"/>
      <c r="B2268" s="15"/>
      <c r="C2268" s="16"/>
      <c r="D2268" s="36">
        <f t="shared" si="1359"/>
        <v>0</v>
      </c>
      <c r="E2268" s="18"/>
      <c r="F2268" s="16"/>
      <c r="G2268" s="36">
        <f t="shared" si="1360"/>
        <v>0</v>
      </c>
      <c r="H2268" s="17">
        <f t="shared" si="1361"/>
        <v>0</v>
      </c>
      <c r="I2268" s="84"/>
      <c r="J2268" s="52"/>
      <c r="K2268" s="15"/>
      <c r="L2268" s="16"/>
      <c r="M2268" s="36">
        <f t="shared" si="1362"/>
        <v>0</v>
      </c>
      <c r="N2268" s="18"/>
      <c r="O2268" s="16"/>
      <c r="P2268" s="36">
        <f t="shared" si="1363"/>
        <v>0</v>
      </c>
      <c r="Q2268" s="17">
        <f t="shared" si="1364"/>
        <v>0</v>
      </c>
    </row>
    <row r="2269" spans="1:17" x14ac:dyDescent="0.15">
      <c r="A2269" s="35"/>
      <c r="B2269" s="15"/>
      <c r="C2269" s="16"/>
      <c r="D2269" s="36">
        <f t="shared" si="1359"/>
        <v>0</v>
      </c>
      <c r="E2269" s="18"/>
      <c r="F2269" s="16"/>
      <c r="G2269" s="36">
        <f t="shared" si="1360"/>
        <v>0</v>
      </c>
      <c r="H2269" s="17">
        <f t="shared" si="1361"/>
        <v>0</v>
      </c>
      <c r="I2269" s="84"/>
      <c r="J2269" s="52"/>
      <c r="K2269" s="15"/>
      <c r="L2269" s="16"/>
      <c r="M2269" s="36">
        <f t="shared" si="1362"/>
        <v>0</v>
      </c>
      <c r="N2269" s="18"/>
      <c r="O2269" s="16"/>
      <c r="P2269" s="36">
        <f t="shared" si="1363"/>
        <v>0</v>
      </c>
      <c r="Q2269" s="17">
        <f t="shared" si="1364"/>
        <v>0</v>
      </c>
    </row>
    <row r="2270" spans="1:17" x14ac:dyDescent="0.15">
      <c r="A2270" s="35"/>
      <c r="B2270" s="15"/>
      <c r="C2270" s="16"/>
      <c r="D2270" s="36">
        <f t="shared" si="1359"/>
        <v>0</v>
      </c>
      <c r="E2270" s="18"/>
      <c r="F2270" s="16"/>
      <c r="G2270" s="36">
        <f t="shared" si="1360"/>
        <v>0</v>
      </c>
      <c r="H2270" s="17">
        <f t="shared" si="1361"/>
        <v>0</v>
      </c>
      <c r="I2270" s="84"/>
      <c r="J2270" s="52"/>
      <c r="K2270" s="15"/>
      <c r="L2270" s="16"/>
      <c r="M2270" s="36">
        <f t="shared" si="1362"/>
        <v>0</v>
      </c>
      <c r="N2270" s="18"/>
      <c r="O2270" s="16"/>
      <c r="P2270" s="36">
        <f t="shared" si="1363"/>
        <v>0</v>
      </c>
      <c r="Q2270" s="17">
        <f t="shared" si="1364"/>
        <v>0</v>
      </c>
    </row>
    <row r="2271" spans="1:17" x14ac:dyDescent="0.15">
      <c r="A2271" s="35"/>
      <c r="B2271" s="15"/>
      <c r="C2271" s="16"/>
      <c r="D2271" s="36">
        <f t="shared" si="1359"/>
        <v>0</v>
      </c>
      <c r="E2271" s="18"/>
      <c r="F2271" s="16"/>
      <c r="G2271" s="36">
        <f t="shared" si="1360"/>
        <v>0</v>
      </c>
      <c r="H2271" s="17">
        <f t="shared" si="1361"/>
        <v>0</v>
      </c>
      <c r="I2271" s="84"/>
      <c r="J2271" s="52"/>
      <c r="K2271" s="15"/>
      <c r="L2271" s="16"/>
      <c r="M2271" s="36">
        <f t="shared" si="1362"/>
        <v>0</v>
      </c>
      <c r="N2271" s="18"/>
      <c r="O2271" s="16"/>
      <c r="P2271" s="36">
        <f t="shared" si="1363"/>
        <v>0</v>
      </c>
      <c r="Q2271" s="17">
        <f t="shared" si="1364"/>
        <v>0</v>
      </c>
    </row>
    <row r="2272" spans="1:17" x14ac:dyDescent="0.15">
      <c r="A2272" s="35"/>
      <c r="B2272" s="15"/>
      <c r="C2272" s="16"/>
      <c r="D2272" s="36">
        <f t="shared" si="1359"/>
        <v>0</v>
      </c>
      <c r="E2272" s="18"/>
      <c r="F2272" s="16"/>
      <c r="G2272" s="36">
        <f t="shared" si="1360"/>
        <v>0</v>
      </c>
      <c r="H2272" s="17">
        <f t="shared" si="1361"/>
        <v>0</v>
      </c>
      <c r="I2272" s="84"/>
      <c r="J2272" s="52"/>
      <c r="K2272" s="15"/>
      <c r="L2272" s="16"/>
      <c r="M2272" s="36">
        <f t="shared" si="1362"/>
        <v>0</v>
      </c>
      <c r="N2272" s="18"/>
      <c r="O2272" s="16"/>
      <c r="P2272" s="36">
        <f t="shared" si="1363"/>
        <v>0</v>
      </c>
      <c r="Q2272" s="17">
        <f t="shared" si="1364"/>
        <v>0</v>
      </c>
    </row>
    <row r="2273" spans="1:17" x14ac:dyDescent="0.15">
      <c r="A2273" s="35"/>
      <c r="B2273" s="15"/>
      <c r="C2273" s="16"/>
      <c r="D2273" s="36">
        <f t="shared" si="1359"/>
        <v>0</v>
      </c>
      <c r="E2273" s="18"/>
      <c r="F2273" s="16"/>
      <c r="G2273" s="36">
        <f t="shared" si="1360"/>
        <v>0</v>
      </c>
      <c r="H2273" s="17">
        <f t="shared" si="1361"/>
        <v>0</v>
      </c>
      <c r="I2273" s="84"/>
      <c r="J2273" s="52"/>
      <c r="K2273" s="15"/>
      <c r="L2273" s="16"/>
      <c r="M2273" s="36">
        <f t="shared" si="1362"/>
        <v>0</v>
      </c>
      <c r="N2273" s="18"/>
      <c r="O2273" s="16"/>
      <c r="P2273" s="36">
        <f t="shared" si="1363"/>
        <v>0</v>
      </c>
      <c r="Q2273" s="17">
        <f t="shared" si="1364"/>
        <v>0</v>
      </c>
    </row>
    <row r="2274" spans="1:17" x14ac:dyDescent="0.15">
      <c r="A2274" s="35"/>
      <c r="B2274" s="15"/>
      <c r="C2274" s="16"/>
      <c r="D2274" s="36">
        <f t="shared" si="1359"/>
        <v>0</v>
      </c>
      <c r="E2274" s="18"/>
      <c r="F2274" s="16"/>
      <c r="G2274" s="36">
        <f t="shared" si="1360"/>
        <v>0</v>
      </c>
      <c r="H2274" s="17">
        <f t="shared" si="1361"/>
        <v>0</v>
      </c>
      <c r="I2274" s="84"/>
      <c r="J2274" s="52"/>
      <c r="K2274" s="15"/>
      <c r="L2274" s="16"/>
      <c r="M2274" s="36">
        <f t="shared" si="1362"/>
        <v>0</v>
      </c>
      <c r="N2274" s="18"/>
      <c r="O2274" s="16"/>
      <c r="P2274" s="36">
        <f t="shared" si="1363"/>
        <v>0</v>
      </c>
      <c r="Q2274" s="17">
        <f t="shared" si="1364"/>
        <v>0</v>
      </c>
    </row>
    <row r="2275" spans="1:17" ht="14.25" thickBot="1" x14ac:dyDescent="0.2">
      <c r="A2275" s="35"/>
      <c r="B2275" s="15"/>
      <c r="C2275" s="16"/>
      <c r="D2275" s="36">
        <f t="shared" si="1359"/>
        <v>0</v>
      </c>
      <c r="E2275" s="18"/>
      <c r="F2275" s="16"/>
      <c r="G2275" s="36">
        <f t="shared" si="1360"/>
        <v>0</v>
      </c>
      <c r="H2275" s="17">
        <f t="shared" si="1361"/>
        <v>0</v>
      </c>
      <c r="I2275" s="84"/>
      <c r="J2275" s="52"/>
      <c r="K2275" s="15"/>
      <c r="L2275" s="16"/>
      <c r="M2275" s="36">
        <f t="shared" si="1362"/>
        <v>0</v>
      </c>
      <c r="N2275" s="18"/>
      <c r="O2275" s="16"/>
      <c r="P2275" s="36">
        <f t="shared" si="1363"/>
        <v>0</v>
      </c>
      <c r="Q2275" s="17">
        <f t="shared" si="1364"/>
        <v>0</v>
      </c>
    </row>
    <row r="2276" spans="1:17" ht="14.25" thickBot="1" x14ac:dyDescent="0.2">
      <c r="A2276" s="40" t="s">
        <v>14</v>
      </c>
      <c r="B2276" s="41">
        <f>SUM(B2250:B2275)</f>
        <v>51</v>
      </c>
      <c r="C2276" s="96">
        <f>SUM(C2250:C2275)</f>
        <v>0</v>
      </c>
      <c r="D2276" s="43">
        <f t="shared" si="1359"/>
        <v>51</v>
      </c>
      <c r="E2276" s="118">
        <f>SUM(E2250:E2275)</f>
        <v>0</v>
      </c>
      <c r="F2276" s="96">
        <f t="shared" ref="F2276" si="1371">SUM(F2250:F2275)</f>
        <v>0</v>
      </c>
      <c r="G2276" s="43">
        <f t="shared" si="1360"/>
        <v>0</v>
      </c>
      <c r="H2276" s="43">
        <f t="shared" si="1361"/>
        <v>51</v>
      </c>
      <c r="J2276" s="40" t="s">
        <v>14</v>
      </c>
      <c r="K2276" s="41">
        <f>SUM(K2250:K2275)</f>
        <v>60</v>
      </c>
      <c r="L2276" s="96">
        <f t="shared" ref="L2276" si="1372">SUM(L2250:L2275)</f>
        <v>0</v>
      </c>
      <c r="M2276" s="43">
        <f t="shared" si="1362"/>
        <v>60</v>
      </c>
      <c r="N2276" s="118">
        <f>SUM(N2250:N2275)</f>
        <v>0</v>
      </c>
      <c r="O2276" s="96">
        <f t="shared" ref="O2276" si="1373">SUM(O2250:O2275)</f>
        <v>0</v>
      </c>
      <c r="P2276" s="43">
        <f t="shared" si="1363"/>
        <v>0</v>
      </c>
      <c r="Q2276" s="43">
        <f t="shared" si="1364"/>
        <v>60</v>
      </c>
    </row>
    <row r="2277" spans="1:17" ht="14.25" thickBot="1" x14ac:dyDescent="0.2">
      <c r="A2277" s="44" t="s">
        <v>15</v>
      </c>
      <c r="B2277" s="45">
        <f>B2249-B2276</f>
        <v>29</v>
      </c>
      <c r="C2277" s="97">
        <f>C2249-C2276</f>
        <v>0</v>
      </c>
      <c r="D2277" s="47">
        <f t="shared" si="1359"/>
        <v>29</v>
      </c>
      <c r="E2277" s="119">
        <f>E2249-E2276</f>
        <v>0</v>
      </c>
      <c r="F2277" s="97">
        <f t="shared" ref="F2277" si="1374">F2249-F2276</f>
        <v>0</v>
      </c>
      <c r="G2277" s="47">
        <f t="shared" si="1360"/>
        <v>0</v>
      </c>
      <c r="H2277" s="34">
        <f t="shared" si="1361"/>
        <v>29</v>
      </c>
      <c r="J2277" s="44" t="s">
        <v>15</v>
      </c>
      <c r="K2277" s="45">
        <f>K2249-K2276</f>
        <v>28</v>
      </c>
      <c r="L2277" s="97">
        <f t="shared" ref="L2277" si="1375">L2249-L2276</f>
        <v>0</v>
      </c>
      <c r="M2277" s="47">
        <f t="shared" si="1362"/>
        <v>28</v>
      </c>
      <c r="N2277" s="119">
        <f>N2249-N2276</f>
        <v>0</v>
      </c>
      <c r="O2277" s="97">
        <f t="shared" ref="O2277" si="1376">O2249-O2276</f>
        <v>0</v>
      </c>
      <c r="P2277" s="47">
        <f t="shared" si="1363"/>
        <v>0</v>
      </c>
      <c r="Q2277" s="34">
        <f t="shared" si="1364"/>
        <v>28</v>
      </c>
    </row>
  </sheetData>
  <mergeCells count="360">
    <mergeCell ref="B2238:D2238"/>
    <mergeCell ref="E2238:G2238"/>
    <mergeCell ref="H2238:H2239"/>
    <mergeCell ref="K2238:M2238"/>
    <mergeCell ref="N2238:P2238"/>
    <mergeCell ref="Q2238:Q2239"/>
    <mergeCell ref="T862:V862"/>
    <mergeCell ref="W862:Y862"/>
    <mergeCell ref="Z862:Z863"/>
    <mergeCell ref="K862:M862"/>
    <mergeCell ref="N862:P862"/>
    <mergeCell ref="Q862:Q863"/>
    <mergeCell ref="B862:D862"/>
    <mergeCell ref="E862:G862"/>
    <mergeCell ref="H862:H863"/>
    <mergeCell ref="T948:V948"/>
    <mergeCell ref="W948:Y948"/>
    <mergeCell ref="Z948:Z949"/>
    <mergeCell ref="B905:D905"/>
    <mergeCell ref="E905:G905"/>
    <mergeCell ref="H905:H906"/>
    <mergeCell ref="K905:M905"/>
    <mergeCell ref="N905:P905"/>
    <mergeCell ref="Q905:Q906"/>
    <mergeCell ref="T905:V905"/>
    <mergeCell ref="W905:Y905"/>
    <mergeCell ref="Z905:Z906"/>
    <mergeCell ref="B948:D948"/>
    <mergeCell ref="E948:G948"/>
    <mergeCell ref="H948:H949"/>
    <mergeCell ref="K948:M948"/>
    <mergeCell ref="N948:P948"/>
    <mergeCell ref="Q948:Q949"/>
    <mergeCell ref="B819:D819"/>
    <mergeCell ref="E819:G819"/>
    <mergeCell ref="H819:H820"/>
    <mergeCell ref="K819:M819"/>
    <mergeCell ref="N819:P819"/>
    <mergeCell ref="Q819:Q820"/>
    <mergeCell ref="T819:V819"/>
    <mergeCell ref="W819:Y819"/>
    <mergeCell ref="Z819:Z820"/>
    <mergeCell ref="B733:D733"/>
    <mergeCell ref="E733:G733"/>
    <mergeCell ref="H733:H734"/>
    <mergeCell ref="K733:M733"/>
    <mergeCell ref="N733:P733"/>
    <mergeCell ref="Q733:Q734"/>
    <mergeCell ref="T733:V733"/>
    <mergeCell ref="W733:Y733"/>
    <mergeCell ref="Z733:Z734"/>
    <mergeCell ref="B647:D647"/>
    <mergeCell ref="E647:G647"/>
    <mergeCell ref="H647:H648"/>
    <mergeCell ref="K647:M647"/>
    <mergeCell ref="N647:P647"/>
    <mergeCell ref="Q647:Q648"/>
    <mergeCell ref="T647:V647"/>
    <mergeCell ref="W647:Y647"/>
    <mergeCell ref="Z647:Z648"/>
    <mergeCell ref="Q604:Q605"/>
    <mergeCell ref="T604:V604"/>
    <mergeCell ref="W604:Y604"/>
    <mergeCell ref="Z604:Z605"/>
    <mergeCell ref="B604:D604"/>
    <mergeCell ref="E604:G604"/>
    <mergeCell ref="H604:H605"/>
    <mergeCell ref="K604:M604"/>
    <mergeCell ref="N604:P604"/>
    <mergeCell ref="Q561:Q562"/>
    <mergeCell ref="T561:V561"/>
    <mergeCell ref="W561:Y561"/>
    <mergeCell ref="Z561:Z562"/>
    <mergeCell ref="B561:D561"/>
    <mergeCell ref="E561:G561"/>
    <mergeCell ref="H561:H562"/>
    <mergeCell ref="K561:M561"/>
    <mergeCell ref="N561:P561"/>
    <mergeCell ref="Q518:Q519"/>
    <mergeCell ref="T518:V518"/>
    <mergeCell ref="W518:Y518"/>
    <mergeCell ref="Z518:Z519"/>
    <mergeCell ref="B518:D518"/>
    <mergeCell ref="E518:G518"/>
    <mergeCell ref="H518:H519"/>
    <mergeCell ref="K518:M518"/>
    <mergeCell ref="N518:P518"/>
    <mergeCell ref="Q346:Q347"/>
    <mergeCell ref="B346:D346"/>
    <mergeCell ref="E346:G346"/>
    <mergeCell ref="H346:H347"/>
    <mergeCell ref="K346:M346"/>
    <mergeCell ref="N346:P346"/>
    <mergeCell ref="Q303:Q304"/>
    <mergeCell ref="B303:D303"/>
    <mergeCell ref="E303:G303"/>
    <mergeCell ref="H303:H304"/>
    <mergeCell ref="K303:M303"/>
    <mergeCell ref="N303:P303"/>
    <mergeCell ref="H260:H261"/>
    <mergeCell ref="K260:M260"/>
    <mergeCell ref="N260:P260"/>
    <mergeCell ref="Q217:Q218"/>
    <mergeCell ref="B217:D217"/>
    <mergeCell ref="E217:G217"/>
    <mergeCell ref="H217:H218"/>
    <mergeCell ref="K217:M217"/>
    <mergeCell ref="N217:P217"/>
    <mergeCell ref="Q131:Q132"/>
    <mergeCell ref="B131:D131"/>
    <mergeCell ref="E131:G131"/>
    <mergeCell ref="H131:H132"/>
    <mergeCell ref="K131:M131"/>
    <mergeCell ref="N131:P131"/>
    <mergeCell ref="Q88:Q89"/>
    <mergeCell ref="B88:D88"/>
    <mergeCell ref="E88:G88"/>
    <mergeCell ref="H88:H89"/>
    <mergeCell ref="K88:M88"/>
    <mergeCell ref="N88:P88"/>
    <mergeCell ref="Q2:Q3"/>
    <mergeCell ref="B2:D2"/>
    <mergeCell ref="E2:G2"/>
    <mergeCell ref="H2:H3"/>
    <mergeCell ref="K2:M2"/>
    <mergeCell ref="N2:P2"/>
    <mergeCell ref="K45:M45"/>
    <mergeCell ref="N45:P45"/>
    <mergeCell ref="Q45:Q46"/>
    <mergeCell ref="B45:D45"/>
    <mergeCell ref="E45:G45"/>
    <mergeCell ref="H45:H46"/>
    <mergeCell ref="Q174:Q175"/>
    <mergeCell ref="B174:D174"/>
    <mergeCell ref="E174:G174"/>
    <mergeCell ref="H174:H175"/>
    <mergeCell ref="K174:M174"/>
    <mergeCell ref="N174:P174"/>
    <mergeCell ref="T432:V432"/>
    <mergeCell ref="W432:Y432"/>
    <mergeCell ref="Z432:Z433"/>
    <mergeCell ref="Q389:Q390"/>
    <mergeCell ref="B389:D389"/>
    <mergeCell ref="E389:G389"/>
    <mergeCell ref="H389:H390"/>
    <mergeCell ref="K389:M389"/>
    <mergeCell ref="N389:P389"/>
    <mergeCell ref="Q432:Q433"/>
    <mergeCell ref="B432:D432"/>
    <mergeCell ref="E432:G432"/>
    <mergeCell ref="H432:H433"/>
    <mergeCell ref="K432:M432"/>
    <mergeCell ref="N432:P432"/>
    <mergeCell ref="Q260:Q261"/>
    <mergeCell ref="B260:D260"/>
    <mergeCell ref="E260:G260"/>
    <mergeCell ref="Q475:Q476"/>
    <mergeCell ref="T475:V475"/>
    <mergeCell ref="W475:Y475"/>
    <mergeCell ref="Z475:Z476"/>
    <mergeCell ref="B475:D475"/>
    <mergeCell ref="E475:G475"/>
    <mergeCell ref="H475:H476"/>
    <mergeCell ref="K475:M475"/>
    <mergeCell ref="N475:P475"/>
    <mergeCell ref="B690:D690"/>
    <mergeCell ref="E690:G690"/>
    <mergeCell ref="H690:H691"/>
    <mergeCell ref="K690:M690"/>
    <mergeCell ref="N690:P690"/>
    <mergeCell ref="Q690:Q691"/>
    <mergeCell ref="T690:V690"/>
    <mergeCell ref="W690:Y690"/>
    <mergeCell ref="Z690:Z691"/>
    <mergeCell ref="B776:D776"/>
    <mergeCell ref="E776:G776"/>
    <mergeCell ref="H776:H777"/>
    <mergeCell ref="K776:M776"/>
    <mergeCell ref="N776:P776"/>
    <mergeCell ref="Q776:Q777"/>
    <mergeCell ref="T776:V776"/>
    <mergeCell ref="W776:Y776"/>
    <mergeCell ref="Z776:Z777"/>
    <mergeCell ref="B1120:D1120"/>
    <mergeCell ref="E1120:G1120"/>
    <mergeCell ref="H1120:H1121"/>
    <mergeCell ref="K1120:M1120"/>
    <mergeCell ref="N1120:P1120"/>
    <mergeCell ref="Q1120:Q1121"/>
    <mergeCell ref="B1077:D1077"/>
    <mergeCell ref="E1077:G1077"/>
    <mergeCell ref="H1077:H1078"/>
    <mergeCell ref="K1077:M1077"/>
    <mergeCell ref="N1077:P1077"/>
    <mergeCell ref="Q1077:Q1078"/>
    <mergeCell ref="T991:V991"/>
    <mergeCell ref="W991:Y991"/>
    <mergeCell ref="Z991:Z992"/>
    <mergeCell ref="B991:D991"/>
    <mergeCell ref="E991:G991"/>
    <mergeCell ref="H991:H992"/>
    <mergeCell ref="B1034:D1034"/>
    <mergeCell ref="E1034:G1034"/>
    <mergeCell ref="H1034:H1035"/>
    <mergeCell ref="K1034:M1034"/>
    <mergeCell ref="N1034:P1034"/>
    <mergeCell ref="Q1034:Q1035"/>
    <mergeCell ref="K991:M991"/>
    <mergeCell ref="N991:P991"/>
    <mergeCell ref="Q991:Q992"/>
    <mergeCell ref="K1206:M1206"/>
    <mergeCell ref="N1206:P1206"/>
    <mergeCell ref="Q1206:Q1207"/>
    <mergeCell ref="B1206:D1206"/>
    <mergeCell ref="E1206:G1206"/>
    <mergeCell ref="H1206:H1207"/>
    <mergeCell ref="B1163:D1163"/>
    <mergeCell ref="E1163:G1163"/>
    <mergeCell ref="H1163:H1164"/>
    <mergeCell ref="K1163:M1163"/>
    <mergeCell ref="N1163:P1163"/>
    <mergeCell ref="Q1163:Q1164"/>
    <mergeCell ref="B1292:D1292"/>
    <mergeCell ref="E1292:G1292"/>
    <mergeCell ref="H1292:H1293"/>
    <mergeCell ref="K1292:M1292"/>
    <mergeCell ref="N1292:P1292"/>
    <mergeCell ref="Q1292:Q1293"/>
    <mergeCell ref="B1249:D1249"/>
    <mergeCell ref="E1249:G1249"/>
    <mergeCell ref="H1249:H1250"/>
    <mergeCell ref="K1249:M1249"/>
    <mergeCell ref="N1249:P1249"/>
    <mergeCell ref="Q1249:Q1250"/>
    <mergeCell ref="B1378:D1378"/>
    <mergeCell ref="E1378:G1378"/>
    <mergeCell ref="H1378:H1379"/>
    <mergeCell ref="K1378:M1378"/>
    <mergeCell ref="N1378:P1378"/>
    <mergeCell ref="Q1378:Q1379"/>
    <mergeCell ref="B1335:D1335"/>
    <mergeCell ref="E1335:G1335"/>
    <mergeCell ref="H1335:H1336"/>
    <mergeCell ref="K1335:M1335"/>
    <mergeCell ref="N1335:P1335"/>
    <mergeCell ref="Q1335:Q1336"/>
    <mergeCell ref="B1550:D1550"/>
    <mergeCell ref="E1550:G1550"/>
    <mergeCell ref="H1550:H1551"/>
    <mergeCell ref="K1550:M1550"/>
    <mergeCell ref="N1550:P1550"/>
    <mergeCell ref="Q1550:Q1551"/>
    <mergeCell ref="B1421:D1421"/>
    <mergeCell ref="E1421:G1421"/>
    <mergeCell ref="H1421:H1422"/>
    <mergeCell ref="K1421:M1421"/>
    <mergeCell ref="N1421:P1421"/>
    <mergeCell ref="Q1421:Q1422"/>
    <mergeCell ref="B1507:D1507"/>
    <mergeCell ref="E1507:G1507"/>
    <mergeCell ref="H1507:H1508"/>
    <mergeCell ref="K1507:M1507"/>
    <mergeCell ref="N1507:P1507"/>
    <mergeCell ref="Q1507:Q1508"/>
    <mergeCell ref="B1464:D1464"/>
    <mergeCell ref="E1464:G1464"/>
    <mergeCell ref="H1464:H1465"/>
    <mergeCell ref="K1464:M1464"/>
    <mergeCell ref="N1464:P1464"/>
    <mergeCell ref="Q1464:Q1465"/>
    <mergeCell ref="B1593:D1593"/>
    <mergeCell ref="E1593:G1593"/>
    <mergeCell ref="H1593:H1594"/>
    <mergeCell ref="K1593:M1593"/>
    <mergeCell ref="N1593:P1593"/>
    <mergeCell ref="Q1593:Q1594"/>
    <mergeCell ref="B1636:D1636"/>
    <mergeCell ref="E1636:G1636"/>
    <mergeCell ref="H1636:H1637"/>
    <mergeCell ref="K1636:M1636"/>
    <mergeCell ref="N1636:P1636"/>
    <mergeCell ref="Q1636:Q1637"/>
    <mergeCell ref="B1722:D1722"/>
    <mergeCell ref="E1722:G1722"/>
    <mergeCell ref="H1722:H1723"/>
    <mergeCell ref="K1722:M1722"/>
    <mergeCell ref="N1722:P1722"/>
    <mergeCell ref="Q1722:Q1723"/>
    <mergeCell ref="B1679:D1679"/>
    <mergeCell ref="E1679:G1679"/>
    <mergeCell ref="H1679:H1680"/>
    <mergeCell ref="K1679:M1679"/>
    <mergeCell ref="N1679:P1679"/>
    <mergeCell ref="Q1679:Q1680"/>
    <mergeCell ref="B1765:D1765"/>
    <mergeCell ref="E1765:G1765"/>
    <mergeCell ref="H1765:H1766"/>
    <mergeCell ref="K1765:M1765"/>
    <mergeCell ref="N1765:P1765"/>
    <mergeCell ref="Q1765:Q1766"/>
    <mergeCell ref="B1808:D1808"/>
    <mergeCell ref="E1808:G1808"/>
    <mergeCell ref="H1808:H1809"/>
    <mergeCell ref="K1808:M1808"/>
    <mergeCell ref="N1808:P1808"/>
    <mergeCell ref="Q1808:Q1809"/>
    <mergeCell ref="B1894:D1894"/>
    <mergeCell ref="E1894:G1894"/>
    <mergeCell ref="H1894:H1895"/>
    <mergeCell ref="K1894:M1894"/>
    <mergeCell ref="N1894:P1894"/>
    <mergeCell ref="Q1894:Q1895"/>
    <mergeCell ref="B1851:D1851"/>
    <mergeCell ref="E1851:G1851"/>
    <mergeCell ref="H1851:H1852"/>
    <mergeCell ref="K1851:M1851"/>
    <mergeCell ref="N1851:P1851"/>
    <mergeCell ref="Q1851:Q1852"/>
    <mergeCell ref="B2023:D2023"/>
    <mergeCell ref="E2023:G2023"/>
    <mergeCell ref="H2023:H2024"/>
    <mergeCell ref="K2023:M2023"/>
    <mergeCell ref="N2023:P2023"/>
    <mergeCell ref="Q2023:Q2024"/>
    <mergeCell ref="B1937:D1937"/>
    <mergeCell ref="E1937:G1937"/>
    <mergeCell ref="H1937:H1938"/>
    <mergeCell ref="K1937:M1937"/>
    <mergeCell ref="N1937:P1937"/>
    <mergeCell ref="Q1937:Q1938"/>
    <mergeCell ref="B1980:D1980"/>
    <mergeCell ref="E1980:G1980"/>
    <mergeCell ref="H1980:H1981"/>
    <mergeCell ref="K1980:M1980"/>
    <mergeCell ref="N1980:P1980"/>
    <mergeCell ref="Q1980:Q1981"/>
    <mergeCell ref="B2109:D2109"/>
    <mergeCell ref="E2109:G2109"/>
    <mergeCell ref="H2109:H2110"/>
    <mergeCell ref="K2109:M2109"/>
    <mergeCell ref="N2109:P2109"/>
    <mergeCell ref="Q2109:Q2110"/>
    <mergeCell ref="B2066:D2066"/>
    <mergeCell ref="E2066:G2066"/>
    <mergeCell ref="H2066:H2067"/>
    <mergeCell ref="K2066:M2066"/>
    <mergeCell ref="N2066:P2066"/>
    <mergeCell ref="Q2066:Q2067"/>
    <mergeCell ref="B2195:D2195"/>
    <mergeCell ref="E2195:G2195"/>
    <mergeCell ref="H2195:H2196"/>
    <mergeCell ref="K2195:M2195"/>
    <mergeCell ref="N2195:P2195"/>
    <mergeCell ref="Q2195:Q2196"/>
    <mergeCell ref="B2152:D2152"/>
    <mergeCell ref="E2152:G2152"/>
    <mergeCell ref="H2152:H2153"/>
    <mergeCell ref="K2152:M2152"/>
    <mergeCell ref="N2152:P2152"/>
    <mergeCell ref="Q2152:Q2153"/>
  </mergeCells>
  <phoneticPr fontId="5"/>
  <pageMargins left="0.7" right="0.7" top="0.75" bottom="0.75" header="0.3" footer="0.3"/>
  <pageSetup paperSize="9" orientation="portrait" r:id="rId1"/>
  <ignoredErrors>
    <ignoredError sqref="D13 D40:D41 M40:M41 M13 M427:M428 C427:D428 M596:M597 P596 D599:D600 V599:V600 M599:M600 M1502:M1503 D1502:D150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AT MR</cp:lastModifiedBy>
  <cp:lastPrinted>2019-04-26T07:32:00Z</cp:lastPrinted>
  <dcterms:created xsi:type="dcterms:W3CDTF">2017-11-18T03:04:15Z</dcterms:created>
  <dcterms:modified xsi:type="dcterms:W3CDTF">2026-06-15T09:15:51Z</dcterms:modified>
</cp:coreProperties>
</file>