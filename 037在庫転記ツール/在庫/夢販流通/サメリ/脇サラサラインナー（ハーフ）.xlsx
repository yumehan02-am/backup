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サメリ\"/>
    </mc:Choice>
  </mc:AlternateContent>
  <xr:revisionPtr revIDLastSave="0" documentId="13_ncr:1_{FC57C4B1-9575-4339-A4A4-A5391875EBFE}" xr6:coauthVersionLast="47" xr6:coauthVersionMax="47" xr10:uidLastSave="{00000000-0000-0000-0000-000000000000}"/>
  <bookViews>
    <workbookView xWindow="12465" yWindow="1410" windowWidth="16065" windowHeight="12450" xr2:uid="{00000000-000D-0000-FFFF-FFFF00000000}"/>
  </bookViews>
  <sheets>
    <sheet name="夢販オリジナル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65" i="1" l="1"/>
  <c r="J1766" i="1"/>
  <c r="J1768" i="1"/>
  <c r="J1767" i="1"/>
  <c r="J1802" i="1"/>
  <c r="J1803" i="1"/>
  <c r="J1782" i="1"/>
  <c r="J1783" i="1"/>
  <c r="J1784" i="1"/>
  <c r="J1806" i="1" s="1"/>
  <c r="J1785" i="1"/>
  <c r="J1786" i="1"/>
  <c r="J1787" i="1"/>
  <c r="J1788" i="1"/>
  <c r="J1789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I1806" i="1"/>
  <c r="H1806" i="1"/>
  <c r="C1806" i="1"/>
  <c r="B1806" i="1"/>
  <c r="J1805" i="1"/>
  <c r="D1805" i="1"/>
  <c r="J1804" i="1"/>
  <c r="D1804" i="1"/>
  <c r="D1803" i="1"/>
  <c r="D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0" i="1"/>
  <c r="D1780" i="1"/>
  <c r="J1779" i="1"/>
  <c r="D1779" i="1"/>
  <c r="J1778" i="1"/>
  <c r="D1778" i="1"/>
  <c r="J1777" i="1"/>
  <c r="D1777" i="1"/>
  <c r="J1776" i="1"/>
  <c r="D1776" i="1"/>
  <c r="J1728" i="1"/>
  <c r="J1729" i="1"/>
  <c r="J1730" i="1"/>
  <c r="J1731" i="1"/>
  <c r="J1745" i="1"/>
  <c r="J1746" i="1"/>
  <c r="J1747" i="1"/>
  <c r="J1748" i="1"/>
  <c r="J1749" i="1"/>
  <c r="J1750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I1769" i="1"/>
  <c r="H1769" i="1"/>
  <c r="C1769" i="1"/>
  <c r="B1769" i="1"/>
  <c r="D1768" i="1"/>
  <c r="D1767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43" i="1"/>
  <c r="D1743" i="1"/>
  <c r="J1742" i="1"/>
  <c r="D1742" i="1"/>
  <c r="J1741" i="1"/>
  <c r="D1741" i="1"/>
  <c r="J1740" i="1"/>
  <c r="D1740" i="1"/>
  <c r="J1739" i="1"/>
  <c r="D1739" i="1"/>
  <c r="J1709" i="1"/>
  <c r="J1710" i="1"/>
  <c r="J1708" i="1"/>
  <c r="J1685" i="1"/>
  <c r="J1684" i="1"/>
  <c r="J1679" i="1"/>
  <c r="C1677" i="1"/>
  <c r="J1692" i="1"/>
  <c r="J1691" i="1"/>
  <c r="D1708" i="1"/>
  <c r="D1709" i="1"/>
  <c r="D1710" i="1"/>
  <c r="D1711" i="1"/>
  <c r="D1712" i="1"/>
  <c r="D1713" i="1"/>
  <c r="D1714" i="1"/>
  <c r="D1702" i="1"/>
  <c r="D1703" i="1"/>
  <c r="D1704" i="1"/>
  <c r="D1705" i="1"/>
  <c r="I1732" i="1"/>
  <c r="H1732" i="1"/>
  <c r="C1732" i="1"/>
  <c r="B1732" i="1"/>
  <c r="D1731" i="1"/>
  <c r="D1730" i="1"/>
  <c r="D1729" i="1"/>
  <c r="D1728" i="1"/>
  <c r="J1727" i="1"/>
  <c r="D1727" i="1"/>
  <c r="J1726" i="1"/>
  <c r="D1726" i="1"/>
  <c r="J1725" i="1"/>
  <c r="D1725" i="1"/>
  <c r="J1724" i="1"/>
  <c r="D1724" i="1"/>
  <c r="J1723" i="1"/>
  <c r="D1723" i="1"/>
  <c r="J1722" i="1"/>
  <c r="D1722" i="1"/>
  <c r="J1721" i="1"/>
  <c r="D1721" i="1"/>
  <c r="J1720" i="1"/>
  <c r="D1720" i="1"/>
  <c r="J1719" i="1"/>
  <c r="D1719" i="1"/>
  <c r="J1718" i="1"/>
  <c r="D1718" i="1"/>
  <c r="J1717" i="1"/>
  <c r="D1717" i="1"/>
  <c r="J1716" i="1"/>
  <c r="D1716" i="1"/>
  <c r="J1715" i="1"/>
  <c r="D1715" i="1"/>
  <c r="J1714" i="1"/>
  <c r="J1713" i="1"/>
  <c r="J1712" i="1"/>
  <c r="J1711" i="1"/>
  <c r="J1706" i="1"/>
  <c r="D1706" i="1"/>
  <c r="J1705" i="1"/>
  <c r="J1704" i="1"/>
  <c r="J1703" i="1"/>
  <c r="J1702" i="1"/>
  <c r="J1655" i="1"/>
  <c r="J1656" i="1"/>
  <c r="J1657" i="1"/>
  <c r="I1695" i="1"/>
  <c r="H1695" i="1"/>
  <c r="B1695" i="1"/>
  <c r="J1694" i="1"/>
  <c r="D1694" i="1"/>
  <c r="J1693" i="1"/>
  <c r="D1693" i="1"/>
  <c r="D1692" i="1"/>
  <c r="D1691" i="1"/>
  <c r="C1695" i="1"/>
  <c r="J1690" i="1"/>
  <c r="D1690" i="1"/>
  <c r="J1689" i="1"/>
  <c r="D1689" i="1"/>
  <c r="J1688" i="1"/>
  <c r="D1688" i="1"/>
  <c r="J1687" i="1"/>
  <c r="D1687" i="1"/>
  <c r="J1686" i="1"/>
  <c r="D1686" i="1"/>
  <c r="D1685" i="1"/>
  <c r="D1684" i="1"/>
  <c r="J1683" i="1"/>
  <c r="D1683" i="1"/>
  <c r="J1682" i="1"/>
  <c r="D1682" i="1"/>
  <c r="J1681" i="1"/>
  <c r="D1681" i="1"/>
  <c r="J1680" i="1"/>
  <c r="D1680" i="1"/>
  <c r="D1679" i="1"/>
  <c r="J1678" i="1"/>
  <c r="D1678" i="1"/>
  <c r="J1677" i="1"/>
  <c r="D1677" i="1"/>
  <c r="J1676" i="1"/>
  <c r="D1676" i="1"/>
  <c r="J1675" i="1"/>
  <c r="D1675" i="1"/>
  <c r="J1674" i="1"/>
  <c r="D1674" i="1"/>
  <c r="J1673" i="1"/>
  <c r="D1673" i="1"/>
  <c r="J1672" i="1"/>
  <c r="D1672" i="1"/>
  <c r="J1671" i="1"/>
  <c r="D1671" i="1"/>
  <c r="J1669" i="1"/>
  <c r="D1669" i="1"/>
  <c r="J1668" i="1"/>
  <c r="D1668" i="1"/>
  <c r="J1667" i="1"/>
  <c r="D1667" i="1"/>
  <c r="J1666" i="1"/>
  <c r="D1666" i="1"/>
  <c r="J1665" i="1"/>
  <c r="D1665" i="1"/>
  <c r="B1654" i="1"/>
  <c r="D1655" i="1"/>
  <c r="C1654" i="1"/>
  <c r="J1620" i="1"/>
  <c r="J1634" i="1"/>
  <c r="J1635" i="1"/>
  <c r="J1636" i="1"/>
  <c r="J1637" i="1"/>
  <c r="J1638" i="1"/>
  <c r="I1658" i="1"/>
  <c r="H1658" i="1"/>
  <c r="C1658" i="1"/>
  <c r="B1658" i="1"/>
  <c r="D1657" i="1"/>
  <c r="D1656" i="1"/>
  <c r="J1654" i="1"/>
  <c r="D1654" i="1"/>
  <c r="J1653" i="1"/>
  <c r="D1653" i="1"/>
  <c r="J1652" i="1"/>
  <c r="D1652" i="1"/>
  <c r="J1651" i="1"/>
  <c r="D1651" i="1"/>
  <c r="J1650" i="1"/>
  <c r="D1650" i="1"/>
  <c r="J1649" i="1"/>
  <c r="D1649" i="1"/>
  <c r="J1648" i="1"/>
  <c r="D1648" i="1"/>
  <c r="J1647" i="1"/>
  <c r="D1647" i="1"/>
  <c r="J1646" i="1"/>
  <c r="D1646" i="1"/>
  <c r="J1645" i="1"/>
  <c r="D1645" i="1"/>
  <c r="J1644" i="1"/>
  <c r="D1644" i="1"/>
  <c r="J1643" i="1"/>
  <c r="D1643" i="1"/>
  <c r="J1642" i="1"/>
  <c r="D1642" i="1"/>
  <c r="J1641" i="1"/>
  <c r="D1641" i="1"/>
  <c r="J1640" i="1"/>
  <c r="D1640" i="1"/>
  <c r="J1639" i="1"/>
  <c r="D1639" i="1"/>
  <c r="D1638" i="1"/>
  <c r="D1637" i="1"/>
  <c r="D1636" i="1"/>
  <c r="D1635" i="1"/>
  <c r="D1634" i="1"/>
  <c r="J1632" i="1"/>
  <c r="D1632" i="1"/>
  <c r="J1631" i="1"/>
  <c r="D1631" i="1"/>
  <c r="J1630" i="1"/>
  <c r="D1630" i="1"/>
  <c r="J1629" i="1"/>
  <c r="D1629" i="1"/>
  <c r="J1628" i="1"/>
  <c r="D1628" i="1"/>
  <c r="D1614" i="1"/>
  <c r="J1618" i="1"/>
  <c r="J1619" i="1"/>
  <c r="J1591" i="1"/>
  <c r="J1592" i="1"/>
  <c r="J1593" i="1"/>
  <c r="J1597" i="1"/>
  <c r="J1598" i="1"/>
  <c r="J1599" i="1"/>
  <c r="J1600" i="1"/>
  <c r="J1601" i="1"/>
  <c r="J1602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5" i="1"/>
  <c r="D1616" i="1"/>
  <c r="D1617" i="1"/>
  <c r="D1618" i="1"/>
  <c r="D1619" i="1"/>
  <c r="D1591" i="1"/>
  <c r="D1592" i="1"/>
  <c r="D1593" i="1"/>
  <c r="D1594" i="1"/>
  <c r="I1621" i="1"/>
  <c r="H1621" i="1"/>
  <c r="D1620" i="1"/>
  <c r="C1621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595" i="1"/>
  <c r="D1595" i="1"/>
  <c r="J1594" i="1"/>
  <c r="I1590" i="1"/>
  <c r="I1596" i="1" s="1"/>
  <c r="H1590" i="1"/>
  <c r="H1596" i="1" s="1"/>
  <c r="C1581" i="1"/>
  <c r="B1578" i="1"/>
  <c r="J1583" i="1"/>
  <c r="J1526" i="1"/>
  <c r="C1539" i="1"/>
  <c r="B1539" i="1"/>
  <c r="D1539" i="1" s="1"/>
  <c r="J1525" i="1"/>
  <c r="B1536" i="1"/>
  <c r="B1534" i="1"/>
  <c r="D1534" i="1" s="1"/>
  <c r="B1531" i="1"/>
  <c r="B1530" i="1"/>
  <c r="D1530" i="1" s="1"/>
  <c r="J1524" i="1"/>
  <c r="B1527" i="1"/>
  <c r="D1527" i="1"/>
  <c r="B1526" i="1"/>
  <c r="C1526" i="1"/>
  <c r="D1526" i="1"/>
  <c r="B1524" i="1"/>
  <c r="B1523" i="1"/>
  <c r="D1523" i="1" s="1"/>
  <c r="B1510" i="1"/>
  <c r="B1509" i="1"/>
  <c r="C1507" i="1"/>
  <c r="B1507" i="1"/>
  <c r="J1488" i="1"/>
  <c r="B1504" i="1"/>
  <c r="D1504" i="1" s="1"/>
  <c r="B1502" i="1"/>
  <c r="D1502" i="1" s="1"/>
  <c r="B1499" i="1"/>
  <c r="B1498" i="1"/>
  <c r="D1498" i="1" s="1"/>
  <c r="B1496" i="1"/>
  <c r="J1487" i="1"/>
  <c r="B1494" i="1"/>
  <c r="D1494" i="1"/>
  <c r="C1493" i="1"/>
  <c r="D1493" i="1" s="1"/>
  <c r="B1493" i="1"/>
  <c r="J1486" i="1"/>
  <c r="B1492" i="1"/>
  <c r="J1542" i="1"/>
  <c r="J1543" i="1"/>
  <c r="J1544" i="1"/>
  <c r="J1545" i="1"/>
  <c r="J1546" i="1"/>
  <c r="J1579" i="1"/>
  <c r="J1580" i="1"/>
  <c r="J1581" i="1"/>
  <c r="I1584" i="1"/>
  <c r="H1584" i="1"/>
  <c r="C1584" i="1"/>
  <c r="B1584" i="1"/>
  <c r="D1583" i="1"/>
  <c r="J1582" i="1"/>
  <c r="D1582" i="1"/>
  <c r="D1581" i="1"/>
  <c r="D1580" i="1"/>
  <c r="D1579" i="1"/>
  <c r="J1578" i="1"/>
  <c r="D1578" i="1"/>
  <c r="J1577" i="1"/>
  <c r="D1577" i="1"/>
  <c r="J1576" i="1"/>
  <c r="D1576" i="1"/>
  <c r="J1575" i="1"/>
  <c r="D1575" i="1"/>
  <c r="J1574" i="1"/>
  <c r="D1574" i="1"/>
  <c r="J1573" i="1"/>
  <c r="D1573" i="1"/>
  <c r="J1572" i="1"/>
  <c r="D1572" i="1"/>
  <c r="J1571" i="1"/>
  <c r="D1571" i="1"/>
  <c r="J1570" i="1"/>
  <c r="D1570" i="1"/>
  <c r="J1569" i="1"/>
  <c r="D1569" i="1"/>
  <c r="J1568" i="1"/>
  <c r="D1568" i="1"/>
  <c r="J1567" i="1"/>
  <c r="D1567" i="1"/>
  <c r="J1566" i="1"/>
  <c r="D1566" i="1"/>
  <c r="J1565" i="1"/>
  <c r="D1565" i="1"/>
  <c r="J1564" i="1"/>
  <c r="D1564" i="1"/>
  <c r="J1563" i="1"/>
  <c r="D1563" i="1"/>
  <c r="J1562" i="1"/>
  <c r="D1562" i="1"/>
  <c r="J1561" i="1"/>
  <c r="D1561" i="1"/>
  <c r="J1560" i="1"/>
  <c r="D1560" i="1"/>
  <c r="J1558" i="1"/>
  <c r="D1558" i="1"/>
  <c r="J1557" i="1"/>
  <c r="D1557" i="1"/>
  <c r="J1556" i="1"/>
  <c r="D1556" i="1"/>
  <c r="J1555" i="1"/>
  <c r="D1555" i="1"/>
  <c r="J1554" i="1"/>
  <c r="D1554" i="1"/>
  <c r="J1503" i="1"/>
  <c r="J1504" i="1"/>
  <c r="J1505" i="1"/>
  <c r="J1506" i="1"/>
  <c r="J1507" i="1"/>
  <c r="J1509" i="1"/>
  <c r="J1508" i="1"/>
  <c r="J1540" i="1"/>
  <c r="J1541" i="1"/>
  <c r="D1524" i="1"/>
  <c r="D1525" i="1"/>
  <c r="D1528" i="1"/>
  <c r="D1529" i="1"/>
  <c r="I1547" i="1"/>
  <c r="H1547" i="1"/>
  <c r="D1546" i="1"/>
  <c r="D1545" i="1"/>
  <c r="D1544" i="1"/>
  <c r="D1543" i="1"/>
  <c r="D1542" i="1"/>
  <c r="D1541" i="1"/>
  <c r="D1540" i="1"/>
  <c r="J1539" i="1"/>
  <c r="J1538" i="1"/>
  <c r="D1538" i="1"/>
  <c r="J1537" i="1"/>
  <c r="D1537" i="1"/>
  <c r="J1536" i="1"/>
  <c r="D1536" i="1"/>
  <c r="J1535" i="1"/>
  <c r="D1535" i="1"/>
  <c r="J1534" i="1"/>
  <c r="J1533" i="1"/>
  <c r="D1533" i="1"/>
  <c r="J1532" i="1"/>
  <c r="D1532" i="1"/>
  <c r="J1531" i="1"/>
  <c r="D1531" i="1"/>
  <c r="J1530" i="1"/>
  <c r="J1529" i="1"/>
  <c r="J1528" i="1"/>
  <c r="J1527" i="1"/>
  <c r="C1547" i="1"/>
  <c r="J1523" i="1"/>
  <c r="J1521" i="1"/>
  <c r="D1521" i="1"/>
  <c r="J1520" i="1"/>
  <c r="D1520" i="1"/>
  <c r="J1519" i="1"/>
  <c r="D1519" i="1"/>
  <c r="J1518" i="1"/>
  <c r="D1518" i="1"/>
  <c r="J1517" i="1"/>
  <c r="D1517" i="1"/>
  <c r="B1491" i="1"/>
  <c r="C1491" i="1"/>
  <c r="B1490" i="1"/>
  <c r="C1488" i="1"/>
  <c r="B1488" i="1"/>
  <c r="B1487" i="1"/>
  <c r="D1487" i="1" s="1"/>
  <c r="J1465" i="1"/>
  <c r="J1466" i="1"/>
  <c r="J1467" i="1"/>
  <c r="J1468" i="1"/>
  <c r="J1469" i="1"/>
  <c r="J1470" i="1"/>
  <c r="J1471" i="1"/>
  <c r="J1472" i="1"/>
  <c r="D1484" i="1"/>
  <c r="D1483" i="1"/>
  <c r="D1482" i="1"/>
  <c r="D1481" i="1"/>
  <c r="D1480" i="1"/>
  <c r="I1510" i="1"/>
  <c r="H1510" i="1"/>
  <c r="D1509" i="1"/>
  <c r="D1508" i="1"/>
  <c r="D1507" i="1"/>
  <c r="D1506" i="1"/>
  <c r="D1505" i="1"/>
  <c r="D1503" i="1"/>
  <c r="J1502" i="1"/>
  <c r="J1501" i="1"/>
  <c r="D1501" i="1"/>
  <c r="J1500" i="1"/>
  <c r="D1500" i="1"/>
  <c r="J1499" i="1"/>
  <c r="D1499" i="1"/>
  <c r="J1498" i="1"/>
  <c r="J1497" i="1"/>
  <c r="D1497" i="1"/>
  <c r="J1496" i="1"/>
  <c r="D1496" i="1"/>
  <c r="J1495" i="1"/>
  <c r="D1495" i="1"/>
  <c r="C1510" i="1"/>
  <c r="J1494" i="1"/>
  <c r="J1493" i="1"/>
  <c r="J1492" i="1"/>
  <c r="D1492" i="1"/>
  <c r="J1491" i="1"/>
  <c r="J1490" i="1"/>
  <c r="D1490" i="1"/>
  <c r="J1489" i="1"/>
  <c r="D1489" i="1"/>
  <c r="D1488" i="1"/>
  <c r="D1486" i="1"/>
  <c r="J1484" i="1"/>
  <c r="J1483" i="1"/>
  <c r="J1482" i="1"/>
  <c r="J1481" i="1"/>
  <c r="J1480" i="1"/>
  <c r="B1479" i="1"/>
  <c r="J1418" i="1"/>
  <c r="C1469" i="1"/>
  <c r="B1469" i="1"/>
  <c r="D1469" i="1" s="1"/>
  <c r="C1466" i="1"/>
  <c r="B1466" i="1"/>
  <c r="D1466" i="1" s="1"/>
  <c r="J1416" i="1"/>
  <c r="C1465" i="1"/>
  <c r="D1465" i="1" s="1"/>
  <c r="B1465" i="1"/>
  <c r="C1464" i="1"/>
  <c r="D1464" i="1" s="1"/>
  <c r="B1460" i="1"/>
  <c r="J1414" i="1"/>
  <c r="C1458" i="1"/>
  <c r="B1458" i="1"/>
  <c r="D1458" i="1" s="1"/>
  <c r="J1435" i="1"/>
  <c r="J1433" i="1"/>
  <c r="B1456" i="1"/>
  <c r="D1456" i="1" s="1"/>
  <c r="D1444" i="1"/>
  <c r="D1410" i="1"/>
  <c r="J1413" i="1"/>
  <c r="B1454" i="1"/>
  <c r="D1454" i="1" s="1"/>
  <c r="B1453" i="1"/>
  <c r="B1452" i="1"/>
  <c r="D1452" i="1" s="1"/>
  <c r="B1451" i="1"/>
  <c r="D1451" i="1" s="1"/>
  <c r="B1450" i="1"/>
  <c r="B1449" i="1"/>
  <c r="D1449" i="1" s="1"/>
  <c r="B1435" i="1"/>
  <c r="B1431" i="1"/>
  <c r="J1392" i="1"/>
  <c r="C1430" i="1"/>
  <c r="B1430" i="1"/>
  <c r="D1430" i="1" s="1"/>
  <c r="C1428" i="1"/>
  <c r="B1427" i="1"/>
  <c r="J1391" i="1"/>
  <c r="B1426" i="1"/>
  <c r="C1426" i="1"/>
  <c r="D1426" i="1" s="1"/>
  <c r="J1390" i="1"/>
  <c r="H1399" i="1"/>
  <c r="C1424" i="1"/>
  <c r="D1424" i="1" s="1"/>
  <c r="B1422" i="1"/>
  <c r="D1422" i="1" s="1"/>
  <c r="J1397" i="1"/>
  <c r="C1420" i="1"/>
  <c r="B1420" i="1"/>
  <c r="J1386" i="1"/>
  <c r="C1416" i="1"/>
  <c r="D1416" i="1" s="1"/>
  <c r="B1416" i="1"/>
  <c r="B1415" i="1"/>
  <c r="C1415" i="1"/>
  <c r="B1398" i="1"/>
  <c r="C1398" i="1"/>
  <c r="C1412" i="1"/>
  <c r="D1412" i="1" s="1"/>
  <c r="B1412" i="1"/>
  <c r="J1394" i="1"/>
  <c r="J1395" i="1"/>
  <c r="J1396" i="1"/>
  <c r="J1398" i="1"/>
  <c r="J1434" i="1"/>
  <c r="I1473" i="1"/>
  <c r="H1473" i="1"/>
  <c r="D1472" i="1"/>
  <c r="D1471" i="1"/>
  <c r="D1470" i="1"/>
  <c r="D1468" i="1"/>
  <c r="D1467" i="1"/>
  <c r="J1464" i="1"/>
  <c r="J1463" i="1"/>
  <c r="D1463" i="1"/>
  <c r="J1462" i="1"/>
  <c r="D1462" i="1"/>
  <c r="J1461" i="1"/>
  <c r="D1461" i="1"/>
  <c r="J1460" i="1"/>
  <c r="D1460" i="1"/>
  <c r="J1459" i="1"/>
  <c r="D1459" i="1"/>
  <c r="J1458" i="1"/>
  <c r="J1457" i="1"/>
  <c r="D1457" i="1"/>
  <c r="J1456" i="1"/>
  <c r="J1455" i="1"/>
  <c r="D1455" i="1"/>
  <c r="J1454" i="1"/>
  <c r="J1453" i="1"/>
  <c r="D1453" i="1"/>
  <c r="J1452" i="1"/>
  <c r="J1451" i="1"/>
  <c r="J1450" i="1"/>
  <c r="D1450" i="1"/>
  <c r="J1449" i="1"/>
  <c r="J1447" i="1"/>
  <c r="D1447" i="1"/>
  <c r="J1446" i="1"/>
  <c r="D1446" i="1"/>
  <c r="J1445" i="1"/>
  <c r="D1445" i="1"/>
  <c r="J1444" i="1"/>
  <c r="J1443" i="1"/>
  <c r="D1443" i="1"/>
  <c r="B1396" i="1"/>
  <c r="D1409" i="1"/>
  <c r="D1408" i="1"/>
  <c r="D1407" i="1"/>
  <c r="D1406" i="1"/>
  <c r="J1412" i="1"/>
  <c r="J1415" i="1"/>
  <c r="J1417" i="1"/>
  <c r="J1419" i="1"/>
  <c r="J1420" i="1"/>
  <c r="J1421" i="1"/>
  <c r="J1422" i="1"/>
  <c r="J1424" i="1"/>
  <c r="J1425" i="1"/>
  <c r="J1426" i="1"/>
  <c r="J1427" i="1"/>
  <c r="J1428" i="1"/>
  <c r="J1429" i="1"/>
  <c r="J1430" i="1"/>
  <c r="J1431" i="1"/>
  <c r="J1432" i="1"/>
  <c r="D1413" i="1"/>
  <c r="D1414" i="1"/>
  <c r="D1415" i="1"/>
  <c r="D1417" i="1"/>
  <c r="D1418" i="1"/>
  <c r="D1419" i="1"/>
  <c r="D1420" i="1"/>
  <c r="D1421" i="1"/>
  <c r="D1423" i="1"/>
  <c r="D1425" i="1"/>
  <c r="D1427" i="1"/>
  <c r="D1428" i="1"/>
  <c r="D1429" i="1"/>
  <c r="D1431" i="1"/>
  <c r="D1432" i="1"/>
  <c r="H1436" i="1"/>
  <c r="D1435" i="1"/>
  <c r="D1434" i="1"/>
  <c r="D1433" i="1"/>
  <c r="I1436" i="1"/>
  <c r="J1423" i="1"/>
  <c r="J1410" i="1"/>
  <c r="J1409" i="1"/>
  <c r="J1408" i="1"/>
  <c r="J1407" i="1"/>
  <c r="J1406" i="1"/>
  <c r="C1394" i="1"/>
  <c r="B1394" i="1"/>
  <c r="D1394" i="1" s="1"/>
  <c r="J1380" i="1"/>
  <c r="B1393" i="1"/>
  <c r="D1393" i="1" s="1"/>
  <c r="B1389" i="1"/>
  <c r="D1389" i="1" s="1"/>
  <c r="B1388" i="1"/>
  <c r="D1388" i="1" s="1"/>
  <c r="B1384" i="1"/>
  <c r="J1378" i="1"/>
  <c r="J1377" i="1"/>
  <c r="B1375" i="1"/>
  <c r="J1376" i="1"/>
  <c r="B1361" i="1"/>
  <c r="B1360" i="1"/>
  <c r="C1360" i="1"/>
  <c r="D1360" i="1" s="1"/>
  <c r="J1343" i="1"/>
  <c r="B1356" i="1"/>
  <c r="D1356" i="1" s="1"/>
  <c r="C1352" i="1"/>
  <c r="B1352" i="1"/>
  <c r="J1342" i="1"/>
  <c r="J1341" i="1"/>
  <c r="J1340" i="1"/>
  <c r="B1323" i="1"/>
  <c r="J1375" i="1"/>
  <c r="D1369" i="1"/>
  <c r="D1370" i="1"/>
  <c r="I1399" i="1"/>
  <c r="D1398" i="1"/>
  <c r="D1397" i="1"/>
  <c r="D1396" i="1"/>
  <c r="D1395" i="1"/>
  <c r="J1393" i="1"/>
  <c r="D1392" i="1"/>
  <c r="D1391" i="1"/>
  <c r="D1390" i="1"/>
  <c r="J1389" i="1"/>
  <c r="J1388" i="1"/>
  <c r="J1387" i="1"/>
  <c r="D1387" i="1"/>
  <c r="D1386" i="1"/>
  <c r="J1385" i="1"/>
  <c r="D1385" i="1"/>
  <c r="J1384" i="1"/>
  <c r="D1384" i="1"/>
  <c r="J1383" i="1"/>
  <c r="D1383" i="1"/>
  <c r="J1382" i="1"/>
  <c r="D1382" i="1"/>
  <c r="J1381" i="1"/>
  <c r="D1381" i="1"/>
  <c r="D1380" i="1"/>
  <c r="J1379" i="1"/>
  <c r="D1379" i="1"/>
  <c r="D1378" i="1"/>
  <c r="D1377" i="1"/>
  <c r="D1376" i="1"/>
  <c r="D1375" i="1"/>
  <c r="J1373" i="1"/>
  <c r="D1373" i="1"/>
  <c r="J1372" i="1"/>
  <c r="D1372" i="1"/>
  <c r="J1371" i="1"/>
  <c r="D1371" i="1"/>
  <c r="J1370" i="1"/>
  <c r="J1369" i="1"/>
  <c r="J1339" i="1"/>
  <c r="B1321" i="1"/>
  <c r="D1321" i="1" s="1"/>
  <c r="J1338" i="1"/>
  <c r="J1304" i="1"/>
  <c r="D1336" i="1"/>
  <c r="D1335" i="1"/>
  <c r="D1334" i="1"/>
  <c r="D1333" i="1"/>
  <c r="D1332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3" i="1"/>
  <c r="I1362" i="1"/>
  <c r="H1362" i="1"/>
  <c r="J1361" i="1"/>
  <c r="D1361" i="1"/>
  <c r="J1360" i="1"/>
  <c r="J1359" i="1"/>
  <c r="D1359" i="1"/>
  <c r="J1358" i="1"/>
  <c r="D1358" i="1"/>
  <c r="J1357" i="1"/>
  <c r="D1357" i="1"/>
  <c r="J1356" i="1"/>
  <c r="J1355" i="1"/>
  <c r="D1355" i="1"/>
  <c r="J1354" i="1"/>
  <c r="D1354" i="1"/>
  <c r="J1353" i="1"/>
  <c r="J1352" i="1"/>
  <c r="J1351" i="1"/>
  <c r="J1350" i="1"/>
  <c r="J1349" i="1"/>
  <c r="J1348" i="1"/>
  <c r="J1347" i="1"/>
  <c r="J1346" i="1"/>
  <c r="J1345" i="1"/>
  <c r="J1344" i="1"/>
  <c r="J1336" i="1"/>
  <c r="J1335" i="1"/>
  <c r="J1334" i="1"/>
  <c r="J1333" i="1"/>
  <c r="J1332" i="1"/>
  <c r="B1312" i="1"/>
  <c r="D1312" i="1" s="1"/>
  <c r="J1302" i="1"/>
  <c r="B1306" i="1"/>
  <c r="D1306" i="1" s="1"/>
  <c r="J1301" i="1"/>
  <c r="D1295" i="1"/>
  <c r="J1295" i="1"/>
  <c r="D1296" i="1"/>
  <c r="J1296" i="1"/>
  <c r="D1297" i="1"/>
  <c r="J1297" i="1"/>
  <c r="D1301" i="1"/>
  <c r="D1302" i="1"/>
  <c r="D1303" i="1"/>
  <c r="J1303" i="1"/>
  <c r="D1304" i="1"/>
  <c r="D1305" i="1"/>
  <c r="J1305" i="1"/>
  <c r="J1306" i="1"/>
  <c r="D1307" i="1"/>
  <c r="J1307" i="1"/>
  <c r="D1308" i="1"/>
  <c r="J1308" i="1"/>
  <c r="D1309" i="1"/>
  <c r="J1309" i="1"/>
  <c r="D1310" i="1"/>
  <c r="J1310" i="1"/>
  <c r="D1311" i="1"/>
  <c r="J1311" i="1"/>
  <c r="J1312" i="1"/>
  <c r="D1313" i="1"/>
  <c r="J1313" i="1"/>
  <c r="D1314" i="1"/>
  <c r="J1314" i="1"/>
  <c r="D1315" i="1"/>
  <c r="J1315" i="1"/>
  <c r="D1316" i="1"/>
  <c r="J1316" i="1"/>
  <c r="D1317" i="1"/>
  <c r="J1317" i="1"/>
  <c r="D1318" i="1"/>
  <c r="J1318" i="1"/>
  <c r="D1319" i="1"/>
  <c r="J1319" i="1"/>
  <c r="D1320" i="1"/>
  <c r="J1320" i="1"/>
  <c r="I1325" i="1"/>
  <c r="H1325" i="1"/>
  <c r="C1325" i="1"/>
  <c r="J1324" i="1"/>
  <c r="D1324" i="1"/>
  <c r="J1323" i="1"/>
  <c r="D1323" i="1"/>
  <c r="J1322" i="1"/>
  <c r="D1322" i="1"/>
  <c r="J1321" i="1"/>
  <c r="J1299" i="1"/>
  <c r="D1299" i="1"/>
  <c r="J1298" i="1"/>
  <c r="D1298" i="1"/>
  <c r="J1266" i="1"/>
  <c r="J1265" i="1"/>
  <c r="B1275" i="1"/>
  <c r="B1288" i="1" s="1"/>
  <c r="J1264" i="1"/>
  <c r="C1245" i="1"/>
  <c r="C1251" i="1" s="1"/>
  <c r="B1245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4" i="1"/>
  <c r="D1273" i="1"/>
  <c r="D1272" i="1"/>
  <c r="D1271" i="1"/>
  <c r="D1270" i="1"/>
  <c r="D1269" i="1"/>
  <c r="D1268" i="1"/>
  <c r="D1267" i="1"/>
  <c r="D1266" i="1"/>
  <c r="D1265" i="1"/>
  <c r="D1264" i="1"/>
  <c r="D1262" i="1"/>
  <c r="D1261" i="1"/>
  <c r="D1260" i="1"/>
  <c r="D1259" i="1"/>
  <c r="D1258" i="1"/>
  <c r="I1288" i="1"/>
  <c r="H1288" i="1"/>
  <c r="C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2" i="1"/>
  <c r="J1261" i="1"/>
  <c r="J1260" i="1"/>
  <c r="J1259" i="1"/>
  <c r="J1258" i="1"/>
  <c r="J1221" i="1"/>
  <c r="D1242" i="1"/>
  <c r="B1241" i="1"/>
  <c r="D1241" i="1" s="1"/>
  <c r="J1190" i="1"/>
  <c r="J1248" i="1"/>
  <c r="J1249" i="1"/>
  <c r="J1250" i="1"/>
  <c r="J1227" i="1"/>
  <c r="J1228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3" i="1"/>
  <c r="D1244" i="1"/>
  <c r="D1246" i="1"/>
  <c r="D1221" i="1"/>
  <c r="D1222" i="1"/>
  <c r="D1223" i="1"/>
  <c r="I1251" i="1"/>
  <c r="H1251" i="1"/>
  <c r="D1250" i="1"/>
  <c r="D1249" i="1"/>
  <c r="D1248" i="1"/>
  <c r="J1247" i="1"/>
  <c r="D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5" i="1"/>
  <c r="D1225" i="1"/>
  <c r="J1224" i="1"/>
  <c r="D1224" i="1"/>
  <c r="J1223" i="1"/>
  <c r="J1222" i="1"/>
  <c r="B1207" i="1"/>
  <c r="D1207" i="1" s="1"/>
  <c r="B1205" i="1"/>
  <c r="B1204" i="1"/>
  <c r="C1199" i="1"/>
  <c r="B1199" i="1"/>
  <c r="C1198" i="1"/>
  <c r="D1198" i="1" s="1"/>
  <c r="B1197" i="1"/>
  <c r="D1197" i="1" s="1"/>
  <c r="B1196" i="1"/>
  <c r="D1196" i="1" s="1"/>
  <c r="B1193" i="1"/>
  <c r="J1154" i="1"/>
  <c r="J1209" i="1"/>
  <c r="J1210" i="1"/>
  <c r="J1174" i="1"/>
  <c r="J1173" i="1"/>
  <c r="C1167" i="1"/>
  <c r="B1167" i="1"/>
  <c r="H1137" i="1"/>
  <c r="I1137" i="1"/>
  <c r="J1152" i="1"/>
  <c r="B1163" i="1"/>
  <c r="D1163" i="1" s="1"/>
  <c r="C1159" i="1"/>
  <c r="C1157" i="1"/>
  <c r="B1157" i="1"/>
  <c r="B1156" i="1"/>
  <c r="C1156" i="1"/>
  <c r="J1116" i="1"/>
  <c r="J1151" i="1"/>
  <c r="D1183" i="1"/>
  <c r="D1189" i="1"/>
  <c r="D1190" i="1"/>
  <c r="D1191" i="1"/>
  <c r="D1192" i="1"/>
  <c r="D1193" i="1"/>
  <c r="J1171" i="1"/>
  <c r="J1172" i="1"/>
  <c r="I1213" i="1"/>
  <c r="H1213" i="1"/>
  <c r="J1212" i="1"/>
  <c r="D1212" i="1"/>
  <c r="J1211" i="1"/>
  <c r="D1211" i="1"/>
  <c r="D1210" i="1"/>
  <c r="D1209" i="1"/>
  <c r="J1208" i="1"/>
  <c r="D1208" i="1"/>
  <c r="J1207" i="1"/>
  <c r="J1206" i="1"/>
  <c r="D1206" i="1"/>
  <c r="J1205" i="1"/>
  <c r="J1204" i="1"/>
  <c r="D1204" i="1"/>
  <c r="J1203" i="1"/>
  <c r="D1203" i="1"/>
  <c r="J1202" i="1"/>
  <c r="D1202" i="1"/>
  <c r="J1201" i="1"/>
  <c r="D1201" i="1"/>
  <c r="J1200" i="1"/>
  <c r="D1200" i="1"/>
  <c r="J1199" i="1"/>
  <c r="J1198" i="1"/>
  <c r="J1197" i="1"/>
  <c r="J1196" i="1"/>
  <c r="J1195" i="1"/>
  <c r="D1195" i="1"/>
  <c r="J1194" i="1"/>
  <c r="D1194" i="1"/>
  <c r="J1193" i="1"/>
  <c r="J1192" i="1"/>
  <c r="J1191" i="1"/>
  <c r="J1189" i="1"/>
  <c r="J1187" i="1"/>
  <c r="D1187" i="1"/>
  <c r="J1186" i="1"/>
  <c r="D1186" i="1"/>
  <c r="J1185" i="1"/>
  <c r="D1185" i="1"/>
  <c r="J1184" i="1"/>
  <c r="D1184" i="1"/>
  <c r="J1183" i="1"/>
  <c r="B1153" i="1"/>
  <c r="D1153" i="1" s="1"/>
  <c r="C1152" i="1"/>
  <c r="D1152" i="1" s="1"/>
  <c r="D1110" i="1"/>
  <c r="C1134" i="1"/>
  <c r="B1134" i="1"/>
  <c r="J1085" i="1"/>
  <c r="B1130" i="1"/>
  <c r="D1130" i="1" s="1"/>
  <c r="B1128" i="1"/>
  <c r="C1126" i="1"/>
  <c r="D1126" i="1" s="1"/>
  <c r="J1133" i="1"/>
  <c r="J1131" i="1"/>
  <c r="J1132" i="1"/>
  <c r="J1169" i="1"/>
  <c r="J1170" i="1"/>
  <c r="D1151" i="1"/>
  <c r="D1154" i="1"/>
  <c r="D1155" i="1"/>
  <c r="D1158" i="1"/>
  <c r="D1159" i="1"/>
  <c r="D1160" i="1"/>
  <c r="D1161" i="1"/>
  <c r="D1162" i="1"/>
  <c r="D1145" i="1"/>
  <c r="D1146" i="1"/>
  <c r="I1175" i="1"/>
  <c r="D1174" i="1"/>
  <c r="D1173" i="1"/>
  <c r="D1172" i="1"/>
  <c r="D1171" i="1"/>
  <c r="D1170" i="1"/>
  <c r="D1169" i="1"/>
  <c r="J1168" i="1"/>
  <c r="D1168" i="1"/>
  <c r="J1167" i="1"/>
  <c r="J1166" i="1"/>
  <c r="D1166" i="1"/>
  <c r="J1165" i="1"/>
  <c r="D1165" i="1"/>
  <c r="J1164" i="1"/>
  <c r="D1164" i="1"/>
  <c r="J1163" i="1"/>
  <c r="J1162" i="1"/>
  <c r="J1161" i="1"/>
  <c r="J1160" i="1"/>
  <c r="J1159" i="1"/>
  <c r="J1158" i="1"/>
  <c r="J1157" i="1"/>
  <c r="J1156" i="1"/>
  <c r="J1155" i="1"/>
  <c r="J1153" i="1"/>
  <c r="J1149" i="1"/>
  <c r="D1149" i="1"/>
  <c r="J1148" i="1"/>
  <c r="D1148" i="1"/>
  <c r="J1147" i="1"/>
  <c r="D1147" i="1"/>
  <c r="J1146" i="1"/>
  <c r="J1145" i="1"/>
  <c r="B1124" i="1"/>
  <c r="D1124" i="1" s="1"/>
  <c r="C1120" i="1"/>
  <c r="D1120" i="1" s="1"/>
  <c r="B1119" i="1"/>
  <c r="D1119" i="1" s="1"/>
  <c r="J1083" i="1"/>
  <c r="H1098" i="1"/>
  <c r="H1099" i="1" s="1"/>
  <c r="B1117" i="1"/>
  <c r="D1117" i="1" s="1"/>
  <c r="B1116" i="1"/>
  <c r="I1098" i="1"/>
  <c r="C1116" i="1"/>
  <c r="B1114" i="1"/>
  <c r="D1114" i="1" s="1"/>
  <c r="J1079" i="1"/>
  <c r="C1088" i="1"/>
  <c r="C1099" i="1" s="1"/>
  <c r="J1042" i="1"/>
  <c r="J1043" i="1"/>
  <c r="J1044" i="1"/>
  <c r="J1077" i="1"/>
  <c r="J1076" i="1"/>
  <c r="J1075" i="1"/>
  <c r="J1135" i="1"/>
  <c r="J1134" i="1"/>
  <c r="B1084" i="1"/>
  <c r="D1084" i="1" s="1"/>
  <c r="B1082" i="1"/>
  <c r="D1082" i="1" s="1"/>
  <c r="J1041" i="1"/>
  <c r="D1113" i="1"/>
  <c r="D1107" i="1"/>
  <c r="D1136" i="1"/>
  <c r="D1135" i="1"/>
  <c r="D1133" i="1"/>
  <c r="D1132" i="1"/>
  <c r="D1131" i="1"/>
  <c r="D1129" i="1"/>
  <c r="D1127" i="1"/>
  <c r="D1125" i="1"/>
  <c r="D1123" i="1"/>
  <c r="D1122" i="1"/>
  <c r="D1121" i="1"/>
  <c r="D1118" i="1"/>
  <c r="D1115" i="1"/>
  <c r="D1111" i="1"/>
  <c r="D1109" i="1"/>
  <c r="D1108" i="1"/>
  <c r="J1097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5" i="1"/>
  <c r="J1114" i="1"/>
  <c r="J1113" i="1"/>
  <c r="J1111" i="1"/>
  <c r="J1110" i="1"/>
  <c r="J1109" i="1"/>
  <c r="J1108" i="1"/>
  <c r="J1107" i="1"/>
  <c r="J1060" i="1"/>
  <c r="J1040" i="1"/>
  <c r="C1057" i="1"/>
  <c r="D1057" i="1" s="1"/>
  <c r="J1038" i="1"/>
  <c r="B1051" i="1"/>
  <c r="D1051" i="1" s="1"/>
  <c r="J1037" i="1"/>
  <c r="C1047" i="1"/>
  <c r="B1042" i="1"/>
  <c r="D1042" i="1" s="1"/>
  <c r="J972" i="1"/>
  <c r="J971" i="1"/>
  <c r="D1098" i="1"/>
  <c r="D1097" i="1"/>
  <c r="J1096" i="1"/>
  <c r="D1096" i="1"/>
  <c r="J1095" i="1"/>
  <c r="D1095" i="1"/>
  <c r="J1094" i="1"/>
  <c r="D1094" i="1"/>
  <c r="J1093" i="1"/>
  <c r="D1093" i="1"/>
  <c r="J1092" i="1"/>
  <c r="D1092" i="1"/>
  <c r="J1091" i="1"/>
  <c r="D1091" i="1"/>
  <c r="J1090" i="1"/>
  <c r="D1090" i="1"/>
  <c r="J1089" i="1"/>
  <c r="D1089" i="1"/>
  <c r="J1088" i="1"/>
  <c r="J1087" i="1"/>
  <c r="D1087" i="1"/>
  <c r="J1086" i="1"/>
  <c r="D1086" i="1"/>
  <c r="D1085" i="1"/>
  <c r="J1084" i="1"/>
  <c r="D1083" i="1"/>
  <c r="J1082" i="1"/>
  <c r="J1081" i="1"/>
  <c r="D1081" i="1"/>
  <c r="J1080" i="1"/>
  <c r="D1080" i="1"/>
  <c r="D1079" i="1"/>
  <c r="J1078" i="1"/>
  <c r="D1078" i="1"/>
  <c r="D1077" i="1"/>
  <c r="D1076" i="1"/>
  <c r="D1075" i="1"/>
  <c r="J1073" i="1"/>
  <c r="D1073" i="1"/>
  <c r="J1072" i="1"/>
  <c r="D1072" i="1"/>
  <c r="J1071" i="1"/>
  <c r="D1071" i="1"/>
  <c r="J1070" i="1"/>
  <c r="D1070" i="1"/>
  <c r="J1069" i="1"/>
  <c r="D1069" i="1"/>
  <c r="J1021" i="1"/>
  <c r="J1022" i="1"/>
  <c r="J1033" i="1"/>
  <c r="J1034" i="1"/>
  <c r="I1061" i="1"/>
  <c r="H1061" i="1"/>
  <c r="D1060" i="1"/>
  <c r="J1059" i="1"/>
  <c r="D1059" i="1"/>
  <c r="J1058" i="1"/>
  <c r="D1058" i="1"/>
  <c r="J1057" i="1"/>
  <c r="J1056" i="1"/>
  <c r="D1056" i="1"/>
  <c r="J1055" i="1"/>
  <c r="D1055" i="1"/>
  <c r="J1054" i="1"/>
  <c r="D1054" i="1"/>
  <c r="J1053" i="1"/>
  <c r="D1053" i="1"/>
  <c r="J1052" i="1"/>
  <c r="D1052" i="1"/>
  <c r="J1051" i="1"/>
  <c r="J1050" i="1"/>
  <c r="D1050" i="1"/>
  <c r="J1049" i="1"/>
  <c r="D1049" i="1"/>
  <c r="J1048" i="1"/>
  <c r="D1048" i="1"/>
  <c r="J1047" i="1"/>
  <c r="D1047" i="1"/>
  <c r="J1046" i="1"/>
  <c r="D1046" i="1"/>
  <c r="J1045" i="1"/>
  <c r="D1045" i="1"/>
  <c r="D1044" i="1"/>
  <c r="D1043" i="1"/>
  <c r="D1041" i="1"/>
  <c r="D1040" i="1"/>
  <c r="J1039" i="1"/>
  <c r="D1039" i="1"/>
  <c r="D1038" i="1"/>
  <c r="D1037" i="1"/>
  <c r="J1035" i="1"/>
  <c r="D1035" i="1"/>
  <c r="D1034" i="1"/>
  <c r="D1033" i="1"/>
  <c r="J1032" i="1"/>
  <c r="D1032" i="1"/>
  <c r="J1031" i="1"/>
  <c r="D1031" i="1"/>
  <c r="J970" i="1"/>
  <c r="J969" i="1"/>
  <c r="J968" i="1"/>
  <c r="J967" i="1"/>
  <c r="J995" i="1"/>
  <c r="D1806" i="1" l="1"/>
  <c r="J1769" i="1"/>
  <c r="D1769" i="1"/>
  <c r="D1732" i="1"/>
  <c r="J1695" i="1"/>
  <c r="J1732" i="1"/>
  <c r="D1695" i="1"/>
  <c r="D1658" i="1"/>
  <c r="J1658" i="1"/>
  <c r="H1659" i="1"/>
  <c r="H1664" i="1" s="1"/>
  <c r="H1670" i="1" s="1"/>
  <c r="H1696" i="1" s="1"/>
  <c r="H1701" i="1" s="1"/>
  <c r="D1621" i="1"/>
  <c r="I1622" i="1"/>
  <c r="I1627" i="1" s="1"/>
  <c r="I1633" i="1" s="1"/>
  <c r="I1659" i="1" s="1"/>
  <c r="I1664" i="1" s="1"/>
  <c r="I1670" i="1" s="1"/>
  <c r="I1696" i="1" s="1"/>
  <c r="I1701" i="1" s="1"/>
  <c r="I1707" i="1" s="1"/>
  <c r="I1733" i="1" s="1"/>
  <c r="I1738" i="1" s="1"/>
  <c r="I1744" i="1" s="1"/>
  <c r="I1770" i="1" s="1"/>
  <c r="I1775" i="1" s="1"/>
  <c r="I1781" i="1" s="1"/>
  <c r="I1807" i="1" s="1"/>
  <c r="J1621" i="1"/>
  <c r="H1622" i="1"/>
  <c r="H1627" i="1" s="1"/>
  <c r="H1633" i="1" s="1"/>
  <c r="J1633" i="1" s="1"/>
  <c r="J1596" i="1"/>
  <c r="B1621" i="1"/>
  <c r="J1590" i="1"/>
  <c r="D1584" i="1"/>
  <c r="J1547" i="1"/>
  <c r="B1547" i="1"/>
  <c r="J1584" i="1"/>
  <c r="J1510" i="1"/>
  <c r="D1547" i="1"/>
  <c r="D1491" i="1"/>
  <c r="D1510" i="1"/>
  <c r="B1485" i="1"/>
  <c r="C1473" i="1"/>
  <c r="B1473" i="1"/>
  <c r="B1436" i="1"/>
  <c r="C1399" i="1"/>
  <c r="C1362" i="1"/>
  <c r="D1473" i="1"/>
  <c r="D1134" i="1"/>
  <c r="D1156" i="1"/>
  <c r="D1245" i="1"/>
  <c r="D1251" i="1" s="1"/>
  <c r="J1473" i="1"/>
  <c r="D1436" i="1"/>
  <c r="J1436" i="1"/>
  <c r="C1436" i="1"/>
  <c r="B1399" i="1"/>
  <c r="B1325" i="1"/>
  <c r="D1399" i="1"/>
  <c r="D1352" i="1"/>
  <c r="D1362" i="1" s="1"/>
  <c r="B1362" i="1"/>
  <c r="J1399" i="1"/>
  <c r="D1088" i="1"/>
  <c r="C1137" i="1"/>
  <c r="C1213" i="1"/>
  <c r="D1157" i="1"/>
  <c r="D1175" i="1" s="1"/>
  <c r="D1199" i="1"/>
  <c r="C1061" i="1"/>
  <c r="J1098" i="1"/>
  <c r="D1167" i="1"/>
  <c r="B1099" i="1"/>
  <c r="J1362" i="1"/>
  <c r="B1213" i="1"/>
  <c r="D1275" i="1"/>
  <c r="D1288" i="1" s="1"/>
  <c r="B1137" i="1"/>
  <c r="I1099" i="1"/>
  <c r="J1325" i="1"/>
  <c r="C1175" i="1"/>
  <c r="D1325" i="1"/>
  <c r="B1061" i="1"/>
  <c r="J1136" i="1"/>
  <c r="J1137" i="1" s="1"/>
  <c r="D1205" i="1"/>
  <c r="J1288" i="1"/>
  <c r="J1251" i="1"/>
  <c r="B1251" i="1"/>
  <c r="H1175" i="1"/>
  <c r="J1213" i="1"/>
  <c r="D1128" i="1"/>
  <c r="J1175" i="1"/>
  <c r="B1175" i="1"/>
  <c r="D1116" i="1"/>
  <c r="J1099" i="1"/>
  <c r="D1099" i="1"/>
  <c r="J1061" i="1"/>
  <c r="D1061" i="1"/>
  <c r="J966" i="1"/>
  <c r="J965" i="1"/>
  <c r="J964" i="1"/>
  <c r="J1701" i="1" l="1"/>
  <c r="H1707" i="1"/>
  <c r="J1707" i="1" s="1"/>
  <c r="J1733" i="1" s="1"/>
  <c r="J1670" i="1"/>
  <c r="J1696" i="1" s="1"/>
  <c r="J1664" i="1"/>
  <c r="J1659" i="1"/>
  <c r="J1627" i="1"/>
  <c r="J1622" i="1"/>
  <c r="B1511" i="1"/>
  <c r="B1516" i="1" s="1"/>
  <c r="D1213" i="1"/>
  <c r="D1137" i="1"/>
  <c r="J963" i="1"/>
  <c r="J962" i="1"/>
  <c r="D993" i="1"/>
  <c r="J928" i="1"/>
  <c r="J961" i="1"/>
  <c r="J958" i="1"/>
  <c r="I1023" i="1"/>
  <c r="H1023" i="1"/>
  <c r="C1023" i="1"/>
  <c r="B1023" i="1"/>
  <c r="D1022" i="1"/>
  <c r="D1021" i="1"/>
  <c r="J1020" i="1"/>
  <c r="D1020" i="1"/>
  <c r="J1019" i="1"/>
  <c r="D1019" i="1"/>
  <c r="J1018" i="1"/>
  <c r="D1018" i="1"/>
  <c r="J1017" i="1"/>
  <c r="D1017" i="1"/>
  <c r="J1016" i="1"/>
  <c r="D1016" i="1"/>
  <c r="J1015" i="1"/>
  <c r="D1015" i="1"/>
  <c r="J1014" i="1"/>
  <c r="D1014" i="1"/>
  <c r="J1013" i="1"/>
  <c r="D1013" i="1"/>
  <c r="J1012" i="1"/>
  <c r="D1012" i="1"/>
  <c r="J1011" i="1"/>
  <c r="D1011" i="1"/>
  <c r="J1010" i="1"/>
  <c r="D1010" i="1"/>
  <c r="J1009" i="1"/>
  <c r="D1009" i="1"/>
  <c r="J1008" i="1"/>
  <c r="D1008" i="1"/>
  <c r="J1007" i="1"/>
  <c r="D1007" i="1"/>
  <c r="J1006" i="1"/>
  <c r="D1006" i="1"/>
  <c r="J1005" i="1"/>
  <c r="D1005" i="1"/>
  <c r="J1004" i="1"/>
  <c r="D1004" i="1"/>
  <c r="J1003" i="1"/>
  <c r="D1003" i="1"/>
  <c r="J1002" i="1"/>
  <c r="D1002" i="1"/>
  <c r="J1001" i="1"/>
  <c r="D1001" i="1"/>
  <c r="J1000" i="1"/>
  <c r="D1000" i="1"/>
  <c r="J999" i="1"/>
  <c r="D999" i="1"/>
  <c r="J997" i="1"/>
  <c r="D997" i="1"/>
  <c r="J996" i="1"/>
  <c r="D996" i="1"/>
  <c r="D995" i="1"/>
  <c r="J994" i="1"/>
  <c r="D994" i="1"/>
  <c r="J993" i="1"/>
  <c r="H1733" i="1" l="1"/>
  <c r="H1738" i="1" s="1"/>
  <c r="B1522" i="1"/>
  <c r="D1023" i="1"/>
  <c r="J1023" i="1"/>
  <c r="C940" i="1"/>
  <c r="J926" i="1"/>
  <c r="J925" i="1"/>
  <c r="B932" i="1"/>
  <c r="J924" i="1"/>
  <c r="C917" i="1"/>
  <c r="J923" i="1"/>
  <c r="J920" i="1"/>
  <c r="J921" i="1"/>
  <c r="D955" i="1"/>
  <c r="D961" i="1"/>
  <c r="I985" i="1"/>
  <c r="H985" i="1"/>
  <c r="J984" i="1"/>
  <c r="D984" i="1"/>
  <c r="J983" i="1"/>
  <c r="D983" i="1"/>
  <c r="J982" i="1"/>
  <c r="D982" i="1"/>
  <c r="J981" i="1"/>
  <c r="D981" i="1"/>
  <c r="J980" i="1"/>
  <c r="D980" i="1"/>
  <c r="J979" i="1"/>
  <c r="D979" i="1"/>
  <c r="J978" i="1"/>
  <c r="D978" i="1"/>
  <c r="J977" i="1"/>
  <c r="D977" i="1"/>
  <c r="J976" i="1"/>
  <c r="D976" i="1"/>
  <c r="J975" i="1"/>
  <c r="D975" i="1"/>
  <c r="J974" i="1"/>
  <c r="D974" i="1"/>
  <c r="J973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C985" i="1"/>
  <c r="B985" i="1"/>
  <c r="J959" i="1"/>
  <c r="D959" i="1"/>
  <c r="D958" i="1"/>
  <c r="J957" i="1"/>
  <c r="D957" i="1"/>
  <c r="J956" i="1"/>
  <c r="D956" i="1"/>
  <c r="J955" i="1"/>
  <c r="H1744" i="1" l="1"/>
  <c r="J1738" i="1"/>
  <c r="B1548" i="1"/>
  <c r="B1553" i="1" s="1"/>
  <c r="J985" i="1"/>
  <c r="D985" i="1"/>
  <c r="C923" i="1"/>
  <c r="B923" i="1"/>
  <c r="J887" i="1"/>
  <c r="B901" i="1"/>
  <c r="B893" i="1"/>
  <c r="D883" i="1"/>
  <c r="J1744" i="1" l="1"/>
  <c r="J1770" i="1" s="1"/>
  <c r="H1770" i="1"/>
  <c r="H1775" i="1" s="1"/>
  <c r="B1559" i="1"/>
  <c r="C890" i="1"/>
  <c r="B890" i="1"/>
  <c r="H1781" i="1" l="1"/>
  <c r="J1775" i="1"/>
  <c r="B1585" i="1"/>
  <c r="B1590" i="1" s="1"/>
  <c r="J886" i="1"/>
  <c r="J881" i="1"/>
  <c r="J882" i="1"/>
  <c r="I947" i="1"/>
  <c r="H947" i="1"/>
  <c r="C947" i="1"/>
  <c r="B947" i="1"/>
  <c r="J946" i="1"/>
  <c r="D946" i="1"/>
  <c r="J945" i="1"/>
  <c r="D945" i="1"/>
  <c r="J944" i="1"/>
  <c r="D944" i="1"/>
  <c r="J943" i="1"/>
  <c r="D943" i="1"/>
  <c r="J942" i="1"/>
  <c r="D942" i="1"/>
  <c r="J941" i="1"/>
  <c r="D941" i="1"/>
  <c r="J940" i="1"/>
  <c r="D940" i="1"/>
  <c r="J939" i="1"/>
  <c r="D939" i="1"/>
  <c r="J938" i="1"/>
  <c r="D938" i="1"/>
  <c r="J937" i="1"/>
  <c r="D937" i="1"/>
  <c r="J936" i="1"/>
  <c r="D936" i="1"/>
  <c r="J935" i="1"/>
  <c r="D935" i="1"/>
  <c r="J934" i="1"/>
  <c r="D934" i="1"/>
  <c r="J933" i="1"/>
  <c r="D933" i="1"/>
  <c r="J932" i="1"/>
  <c r="D932" i="1"/>
  <c r="J931" i="1"/>
  <c r="D931" i="1"/>
  <c r="J930" i="1"/>
  <c r="D930" i="1"/>
  <c r="J929" i="1"/>
  <c r="D929" i="1"/>
  <c r="D928" i="1"/>
  <c r="J927" i="1"/>
  <c r="D927" i="1"/>
  <c r="D926" i="1"/>
  <c r="D925" i="1"/>
  <c r="D924" i="1"/>
  <c r="D923" i="1"/>
  <c r="D921" i="1"/>
  <c r="D920" i="1"/>
  <c r="J919" i="1"/>
  <c r="D919" i="1"/>
  <c r="J918" i="1"/>
  <c r="D918" i="1"/>
  <c r="J917" i="1"/>
  <c r="D917" i="1"/>
  <c r="B863" i="1"/>
  <c r="J1781" i="1" l="1"/>
  <c r="J1807" i="1" s="1"/>
  <c r="H1807" i="1"/>
  <c r="B1596" i="1"/>
  <c r="D947" i="1"/>
  <c r="J947" i="1"/>
  <c r="J849" i="1"/>
  <c r="B1622" i="1" l="1"/>
  <c r="B1627" i="1" s="1"/>
  <c r="B1633" i="1" s="1"/>
  <c r="B1659" i="1" s="1"/>
  <c r="B1664" i="1" s="1"/>
  <c r="B1670" i="1" s="1"/>
  <c r="B1696" i="1" s="1"/>
  <c r="B1701" i="1" s="1"/>
  <c r="B1707" i="1" s="1"/>
  <c r="B1733" i="1" s="1"/>
  <c r="B1738" i="1" s="1"/>
  <c r="J848" i="1"/>
  <c r="B857" i="1"/>
  <c r="C854" i="1"/>
  <c r="B850" i="1"/>
  <c r="B853" i="1"/>
  <c r="C853" i="1"/>
  <c r="J847" i="1"/>
  <c r="C851" i="1"/>
  <c r="B851" i="1"/>
  <c r="C850" i="1"/>
  <c r="J816" i="1"/>
  <c r="C849" i="1"/>
  <c r="J815" i="1"/>
  <c r="B832" i="1"/>
  <c r="J844" i="1"/>
  <c r="I909" i="1"/>
  <c r="H909" i="1"/>
  <c r="C909" i="1"/>
  <c r="B909" i="1"/>
  <c r="J908" i="1"/>
  <c r="D908" i="1"/>
  <c r="J907" i="1"/>
  <c r="D907" i="1"/>
  <c r="J906" i="1"/>
  <c r="D906" i="1"/>
  <c r="J905" i="1"/>
  <c r="D905" i="1"/>
  <c r="J904" i="1"/>
  <c r="D904" i="1"/>
  <c r="J903" i="1"/>
  <c r="D903" i="1"/>
  <c r="J902" i="1"/>
  <c r="D902" i="1"/>
  <c r="J901" i="1"/>
  <c r="D901" i="1"/>
  <c r="J900" i="1"/>
  <c r="D900" i="1"/>
  <c r="J899" i="1"/>
  <c r="D899" i="1"/>
  <c r="J898" i="1"/>
  <c r="D898" i="1"/>
  <c r="J897" i="1"/>
  <c r="D897" i="1"/>
  <c r="J896" i="1"/>
  <c r="D896" i="1"/>
  <c r="J895" i="1"/>
  <c r="D895" i="1"/>
  <c r="J894" i="1"/>
  <c r="D894" i="1"/>
  <c r="J893" i="1"/>
  <c r="D893" i="1"/>
  <c r="J892" i="1"/>
  <c r="D892" i="1"/>
  <c r="J891" i="1"/>
  <c r="D891" i="1"/>
  <c r="J890" i="1"/>
  <c r="D890" i="1"/>
  <c r="J889" i="1"/>
  <c r="D889" i="1"/>
  <c r="J888" i="1"/>
  <c r="D888" i="1"/>
  <c r="D887" i="1"/>
  <c r="D886" i="1"/>
  <c r="J885" i="1"/>
  <c r="D885" i="1"/>
  <c r="J883" i="1"/>
  <c r="D882" i="1"/>
  <c r="D881" i="1"/>
  <c r="J880" i="1"/>
  <c r="D880" i="1"/>
  <c r="J879" i="1"/>
  <c r="D879" i="1"/>
  <c r="B1744" i="1" l="1"/>
  <c r="D909" i="1"/>
  <c r="J909" i="1"/>
  <c r="C831" i="1"/>
  <c r="B831" i="1"/>
  <c r="C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B871" i="1"/>
  <c r="D845" i="1"/>
  <c r="D844" i="1"/>
  <c r="D843" i="1"/>
  <c r="D842" i="1"/>
  <c r="D84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I871" i="1"/>
  <c r="J851" i="1"/>
  <c r="J850" i="1"/>
  <c r="J845" i="1"/>
  <c r="J843" i="1"/>
  <c r="J842" i="1"/>
  <c r="J841" i="1"/>
  <c r="B1770" i="1" l="1"/>
  <c r="B1775" i="1" s="1"/>
  <c r="D871" i="1"/>
  <c r="J871" i="1"/>
  <c r="H871" i="1"/>
  <c r="B1781" i="1" l="1"/>
  <c r="J813" i="1"/>
  <c r="C824" i="1"/>
  <c r="B824" i="1"/>
  <c r="J812" i="1"/>
  <c r="B821" i="1"/>
  <c r="D821" i="1" s="1"/>
  <c r="J811" i="1"/>
  <c r="B813" i="1"/>
  <c r="C813" i="1"/>
  <c r="J810" i="1"/>
  <c r="B809" i="1"/>
  <c r="C809" i="1"/>
  <c r="B788" i="1"/>
  <c r="J809" i="1"/>
  <c r="J791" i="1"/>
  <c r="J792" i="1"/>
  <c r="J794" i="1"/>
  <c r="J793" i="1"/>
  <c r="J829" i="1"/>
  <c r="J830" i="1"/>
  <c r="I833" i="1"/>
  <c r="H833" i="1"/>
  <c r="J832" i="1"/>
  <c r="D832" i="1"/>
  <c r="J831" i="1"/>
  <c r="D831" i="1"/>
  <c r="D830" i="1"/>
  <c r="D829" i="1"/>
  <c r="J828" i="1"/>
  <c r="D828" i="1"/>
  <c r="J827" i="1"/>
  <c r="D827" i="1"/>
  <c r="J826" i="1"/>
  <c r="D826" i="1"/>
  <c r="J825" i="1"/>
  <c r="D825" i="1"/>
  <c r="J824" i="1"/>
  <c r="J823" i="1"/>
  <c r="D823" i="1"/>
  <c r="J822" i="1"/>
  <c r="D822" i="1"/>
  <c r="J821" i="1"/>
  <c r="J820" i="1"/>
  <c r="D820" i="1"/>
  <c r="J819" i="1"/>
  <c r="J818" i="1"/>
  <c r="D818" i="1"/>
  <c r="J817" i="1"/>
  <c r="D817" i="1"/>
  <c r="D816" i="1"/>
  <c r="D815" i="1"/>
  <c r="J814" i="1"/>
  <c r="D814" i="1"/>
  <c r="D812" i="1"/>
  <c r="D811" i="1"/>
  <c r="D810" i="1"/>
  <c r="J807" i="1"/>
  <c r="D807" i="1"/>
  <c r="J806" i="1"/>
  <c r="D806" i="1"/>
  <c r="J805" i="1"/>
  <c r="D805" i="1"/>
  <c r="J804" i="1"/>
  <c r="D804" i="1"/>
  <c r="J803" i="1"/>
  <c r="D803" i="1"/>
  <c r="B1807" i="1" l="1"/>
  <c r="D824" i="1"/>
  <c r="C833" i="1"/>
  <c r="B833" i="1"/>
  <c r="D813" i="1"/>
  <c r="D809" i="1"/>
  <c r="J833" i="1"/>
  <c r="D819" i="1"/>
  <c r="B785" i="1"/>
  <c r="J776" i="1"/>
  <c r="B783" i="1"/>
  <c r="B781" i="1"/>
  <c r="J775" i="1"/>
  <c r="D833" i="1" l="1"/>
  <c r="J772" i="1"/>
  <c r="J771" i="1"/>
  <c r="J740" i="1"/>
  <c r="D765" i="1"/>
  <c r="D766" i="1"/>
  <c r="D767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J773" i="1"/>
  <c r="J774" i="1"/>
  <c r="J777" i="1"/>
  <c r="J778" i="1"/>
  <c r="J779" i="1"/>
  <c r="J780" i="1"/>
  <c r="J781" i="1"/>
  <c r="J782" i="1"/>
  <c r="J747" i="1"/>
  <c r="J748" i="1"/>
  <c r="J749" i="1"/>
  <c r="J750" i="1"/>
  <c r="J751" i="1"/>
  <c r="J752" i="1"/>
  <c r="J753" i="1"/>
  <c r="J754" i="1"/>
  <c r="J755" i="1"/>
  <c r="J756" i="1"/>
  <c r="H795" i="1"/>
  <c r="D794" i="1"/>
  <c r="D793" i="1"/>
  <c r="I795" i="1"/>
  <c r="J790" i="1"/>
  <c r="J789" i="1"/>
  <c r="J788" i="1"/>
  <c r="J787" i="1"/>
  <c r="J786" i="1"/>
  <c r="B795" i="1"/>
  <c r="J785" i="1"/>
  <c r="J784" i="1"/>
  <c r="J783" i="1"/>
  <c r="J769" i="1"/>
  <c r="D769" i="1"/>
  <c r="J768" i="1"/>
  <c r="D768" i="1"/>
  <c r="J767" i="1"/>
  <c r="J766" i="1"/>
  <c r="J765" i="1"/>
  <c r="B755" i="1"/>
  <c r="J739" i="1"/>
  <c r="C750" i="1"/>
  <c r="B750" i="1"/>
  <c r="B748" i="1"/>
  <c r="J738" i="1"/>
  <c r="C747" i="1"/>
  <c r="B747" i="1"/>
  <c r="B744" i="1"/>
  <c r="J795" i="1" l="1"/>
  <c r="D795" i="1"/>
  <c r="C795" i="1"/>
  <c r="J736" i="1"/>
  <c r="C745" i="1"/>
  <c r="B745" i="1"/>
  <c r="C742" i="1"/>
  <c r="D742" i="1" s="1"/>
  <c r="J734" i="1"/>
  <c r="B739" i="1"/>
  <c r="C739" i="1"/>
  <c r="C736" i="1"/>
  <c r="J733" i="1"/>
  <c r="J701" i="1"/>
  <c r="C710" i="1"/>
  <c r="J700" i="1"/>
  <c r="J717" i="1"/>
  <c r="J718" i="1"/>
  <c r="I757" i="1"/>
  <c r="H757" i="1"/>
  <c r="D756" i="1"/>
  <c r="D755" i="1"/>
  <c r="D754" i="1"/>
  <c r="D753" i="1"/>
  <c r="D752" i="1"/>
  <c r="D751" i="1"/>
  <c r="D750" i="1"/>
  <c r="D749" i="1"/>
  <c r="D748" i="1"/>
  <c r="D747" i="1"/>
  <c r="J746" i="1"/>
  <c r="D746" i="1"/>
  <c r="J745" i="1"/>
  <c r="J744" i="1"/>
  <c r="D744" i="1"/>
  <c r="J743" i="1"/>
  <c r="D743" i="1"/>
  <c r="J742" i="1"/>
  <c r="J741" i="1"/>
  <c r="D741" i="1"/>
  <c r="D740" i="1"/>
  <c r="D738" i="1"/>
  <c r="J737" i="1"/>
  <c r="D737" i="1"/>
  <c r="J735" i="1"/>
  <c r="D735" i="1"/>
  <c r="D733" i="1"/>
  <c r="J731" i="1"/>
  <c r="D731" i="1"/>
  <c r="J730" i="1"/>
  <c r="D730" i="1"/>
  <c r="J729" i="1"/>
  <c r="D729" i="1"/>
  <c r="J728" i="1"/>
  <c r="D728" i="1"/>
  <c r="J727" i="1"/>
  <c r="D727" i="1"/>
  <c r="D739" i="1" l="1"/>
  <c r="D745" i="1"/>
  <c r="B757" i="1"/>
  <c r="C757" i="1"/>
  <c r="D736" i="1"/>
  <c r="J757" i="1"/>
  <c r="D734" i="1"/>
  <c r="J699" i="1"/>
  <c r="B703" i="1"/>
  <c r="D703" i="1" s="1"/>
  <c r="J698" i="1"/>
  <c r="J697" i="1"/>
  <c r="B700" i="1"/>
  <c r="C700" i="1"/>
  <c r="C719" i="1" s="1"/>
  <c r="B696" i="1"/>
  <c r="D696" i="1" s="1"/>
  <c r="J695" i="1"/>
  <c r="D695" i="1"/>
  <c r="J696" i="1"/>
  <c r="D697" i="1"/>
  <c r="D698" i="1"/>
  <c r="D699" i="1"/>
  <c r="D701" i="1"/>
  <c r="D702" i="1"/>
  <c r="J702" i="1"/>
  <c r="J703" i="1"/>
  <c r="D704" i="1"/>
  <c r="J704" i="1"/>
  <c r="D705" i="1"/>
  <c r="J705" i="1"/>
  <c r="D706" i="1"/>
  <c r="J706" i="1"/>
  <c r="D707" i="1"/>
  <c r="J707" i="1"/>
  <c r="D708" i="1"/>
  <c r="J708" i="1"/>
  <c r="D709" i="1"/>
  <c r="J709" i="1"/>
  <c r="D710" i="1"/>
  <c r="J710" i="1"/>
  <c r="D711" i="1"/>
  <c r="J711" i="1"/>
  <c r="D712" i="1"/>
  <c r="J712" i="1"/>
  <c r="D713" i="1"/>
  <c r="J713" i="1"/>
  <c r="D714" i="1"/>
  <c r="J714" i="1"/>
  <c r="D715" i="1"/>
  <c r="J715" i="1"/>
  <c r="D716" i="1"/>
  <c r="J716" i="1"/>
  <c r="I719" i="1"/>
  <c r="H719" i="1"/>
  <c r="D718" i="1"/>
  <c r="D717" i="1"/>
  <c r="J693" i="1"/>
  <c r="D693" i="1"/>
  <c r="J692" i="1"/>
  <c r="D692" i="1"/>
  <c r="J691" i="1"/>
  <c r="D691" i="1"/>
  <c r="J690" i="1"/>
  <c r="D690" i="1"/>
  <c r="J689" i="1"/>
  <c r="D689" i="1"/>
  <c r="B676" i="1"/>
  <c r="D757" i="1" l="1"/>
  <c r="D700" i="1"/>
  <c r="D719" i="1" s="1"/>
  <c r="B719" i="1"/>
  <c r="J719" i="1"/>
  <c r="J660" i="1"/>
  <c r="B657" i="1"/>
  <c r="D657" i="1" s="1"/>
  <c r="J657" i="1"/>
  <c r="I681" i="1"/>
  <c r="H681" i="1"/>
  <c r="J680" i="1"/>
  <c r="D680" i="1"/>
  <c r="J679" i="1"/>
  <c r="D679" i="1"/>
  <c r="J678" i="1"/>
  <c r="D678" i="1"/>
  <c r="J677" i="1"/>
  <c r="D677" i="1"/>
  <c r="J676" i="1"/>
  <c r="D676" i="1"/>
  <c r="J675" i="1"/>
  <c r="D675" i="1"/>
  <c r="J674" i="1"/>
  <c r="D674" i="1"/>
  <c r="J673" i="1"/>
  <c r="D673" i="1"/>
  <c r="J672" i="1"/>
  <c r="D672" i="1"/>
  <c r="J671" i="1"/>
  <c r="D671" i="1"/>
  <c r="J670" i="1"/>
  <c r="D670" i="1"/>
  <c r="J669" i="1"/>
  <c r="D669" i="1"/>
  <c r="J668" i="1"/>
  <c r="D668" i="1"/>
  <c r="J667" i="1"/>
  <c r="D667" i="1"/>
  <c r="J666" i="1"/>
  <c r="D666" i="1"/>
  <c r="J665" i="1"/>
  <c r="D665" i="1"/>
  <c r="J664" i="1"/>
  <c r="D664" i="1"/>
  <c r="J663" i="1"/>
  <c r="D663" i="1"/>
  <c r="J662" i="1"/>
  <c r="D662" i="1"/>
  <c r="J661" i="1"/>
  <c r="D661" i="1"/>
  <c r="D660" i="1"/>
  <c r="J659" i="1"/>
  <c r="D659" i="1"/>
  <c r="J658" i="1"/>
  <c r="D658" i="1"/>
  <c r="C681" i="1"/>
  <c r="J655" i="1"/>
  <c r="D655" i="1"/>
  <c r="J654" i="1"/>
  <c r="D654" i="1"/>
  <c r="J653" i="1"/>
  <c r="D653" i="1"/>
  <c r="J652" i="1"/>
  <c r="D652" i="1"/>
  <c r="J651" i="1"/>
  <c r="D651" i="1"/>
  <c r="D563" i="1"/>
  <c r="D639" i="1"/>
  <c r="J620" i="1"/>
  <c r="C625" i="1"/>
  <c r="D625" i="1" s="1"/>
  <c r="C623" i="1"/>
  <c r="B623" i="1"/>
  <c r="D613" i="1"/>
  <c r="D621" i="1"/>
  <c r="C620" i="1"/>
  <c r="D620" i="1" s="1"/>
  <c r="C619" i="1"/>
  <c r="B619" i="1"/>
  <c r="J613" i="1"/>
  <c r="D614" i="1"/>
  <c r="I643" i="1"/>
  <c r="H643" i="1"/>
  <c r="J642" i="1"/>
  <c r="D642" i="1"/>
  <c r="J641" i="1"/>
  <c r="D641" i="1"/>
  <c r="J640" i="1"/>
  <c r="D640" i="1"/>
  <c r="J639" i="1"/>
  <c r="J638" i="1"/>
  <c r="D638" i="1"/>
  <c r="J637" i="1"/>
  <c r="D637" i="1"/>
  <c r="J636" i="1"/>
  <c r="D636" i="1"/>
  <c r="J635" i="1"/>
  <c r="D635" i="1"/>
  <c r="J634" i="1"/>
  <c r="D634" i="1"/>
  <c r="J633" i="1"/>
  <c r="D633" i="1"/>
  <c r="J632" i="1"/>
  <c r="D632" i="1"/>
  <c r="J631" i="1"/>
  <c r="D631" i="1"/>
  <c r="J630" i="1"/>
  <c r="D630" i="1"/>
  <c r="J629" i="1"/>
  <c r="D629" i="1"/>
  <c r="J628" i="1"/>
  <c r="D628" i="1"/>
  <c r="J627" i="1"/>
  <c r="D627" i="1"/>
  <c r="J626" i="1"/>
  <c r="D626" i="1"/>
  <c r="J625" i="1"/>
  <c r="J624" i="1"/>
  <c r="D624" i="1"/>
  <c r="J623" i="1"/>
  <c r="J622" i="1"/>
  <c r="D622" i="1"/>
  <c r="J621" i="1"/>
  <c r="J619" i="1"/>
  <c r="J617" i="1"/>
  <c r="D617" i="1"/>
  <c r="J616" i="1"/>
  <c r="D616" i="1"/>
  <c r="J615" i="1"/>
  <c r="D615" i="1"/>
  <c r="J614" i="1"/>
  <c r="C586" i="1"/>
  <c r="D586" i="1" s="1"/>
  <c r="C585" i="1"/>
  <c r="B585" i="1"/>
  <c r="B605" i="1" s="1"/>
  <c r="D582" i="1"/>
  <c r="D581" i="1"/>
  <c r="J537" i="1"/>
  <c r="I605" i="1"/>
  <c r="H605" i="1"/>
  <c r="J604" i="1"/>
  <c r="D604" i="1"/>
  <c r="J603" i="1"/>
  <c r="D603" i="1"/>
  <c r="J602" i="1"/>
  <c r="D602" i="1"/>
  <c r="J601" i="1"/>
  <c r="D601" i="1"/>
  <c r="J600" i="1"/>
  <c r="D600" i="1"/>
  <c r="J599" i="1"/>
  <c r="D599" i="1"/>
  <c r="J598" i="1"/>
  <c r="D598" i="1"/>
  <c r="J597" i="1"/>
  <c r="D597" i="1"/>
  <c r="J596" i="1"/>
  <c r="D596" i="1"/>
  <c r="J595" i="1"/>
  <c r="D595" i="1"/>
  <c r="J594" i="1"/>
  <c r="D594" i="1"/>
  <c r="J593" i="1"/>
  <c r="D593" i="1"/>
  <c r="J592" i="1"/>
  <c r="D592" i="1"/>
  <c r="J591" i="1"/>
  <c r="D591" i="1"/>
  <c r="J590" i="1"/>
  <c r="D590" i="1"/>
  <c r="J589" i="1"/>
  <c r="D589" i="1"/>
  <c r="J588" i="1"/>
  <c r="D588" i="1"/>
  <c r="J587" i="1"/>
  <c r="D587" i="1"/>
  <c r="J586" i="1"/>
  <c r="J585" i="1"/>
  <c r="J584" i="1"/>
  <c r="D584" i="1"/>
  <c r="J583" i="1"/>
  <c r="D583" i="1"/>
  <c r="J582" i="1"/>
  <c r="J581" i="1"/>
  <c r="J579" i="1"/>
  <c r="D579" i="1"/>
  <c r="J578" i="1"/>
  <c r="D578" i="1"/>
  <c r="J577" i="1"/>
  <c r="D577" i="1"/>
  <c r="J576" i="1"/>
  <c r="D576" i="1"/>
  <c r="J575" i="1"/>
  <c r="D575" i="1"/>
  <c r="D619" i="1" l="1"/>
  <c r="D681" i="1"/>
  <c r="J681" i="1"/>
  <c r="B681" i="1"/>
  <c r="J643" i="1"/>
  <c r="C643" i="1"/>
  <c r="D623" i="1"/>
  <c r="B643" i="1"/>
  <c r="C605" i="1"/>
  <c r="D585" i="1"/>
  <c r="D605" i="1" s="1"/>
  <c r="J605" i="1"/>
  <c r="J546" i="1"/>
  <c r="B559" i="1"/>
  <c r="D559" i="1" s="1"/>
  <c r="B557" i="1"/>
  <c r="D557" i="1" s="1"/>
  <c r="J545" i="1"/>
  <c r="B555" i="1"/>
  <c r="D555" i="1" s="1"/>
  <c r="C553" i="1"/>
  <c r="D553" i="1" s="1"/>
  <c r="C551" i="1"/>
  <c r="J544" i="1"/>
  <c r="B551" i="1"/>
  <c r="C550" i="1"/>
  <c r="D550" i="1" s="1"/>
  <c r="C549" i="1"/>
  <c r="D549" i="1" s="1"/>
  <c r="D538" i="1"/>
  <c r="B546" i="1"/>
  <c r="D546" i="1" s="1"/>
  <c r="C545" i="1"/>
  <c r="D545" i="1" s="1"/>
  <c r="J543" i="1"/>
  <c r="C543" i="1"/>
  <c r="B543" i="1"/>
  <c r="I567" i="1"/>
  <c r="H567" i="1"/>
  <c r="J566" i="1"/>
  <c r="D566" i="1"/>
  <c r="J565" i="1"/>
  <c r="D565" i="1"/>
  <c r="J564" i="1"/>
  <c r="D564" i="1"/>
  <c r="J563" i="1"/>
  <c r="J562" i="1"/>
  <c r="D562" i="1"/>
  <c r="J561" i="1"/>
  <c r="D561" i="1"/>
  <c r="J560" i="1"/>
  <c r="D560" i="1"/>
  <c r="J559" i="1"/>
  <c r="J558" i="1"/>
  <c r="D558" i="1"/>
  <c r="J557" i="1"/>
  <c r="J556" i="1"/>
  <c r="D556" i="1"/>
  <c r="J555" i="1"/>
  <c r="J554" i="1"/>
  <c r="D554" i="1"/>
  <c r="J553" i="1"/>
  <c r="J552" i="1"/>
  <c r="D552" i="1"/>
  <c r="J551" i="1"/>
  <c r="J550" i="1"/>
  <c r="J549" i="1"/>
  <c r="J548" i="1"/>
  <c r="D548" i="1"/>
  <c r="J547" i="1"/>
  <c r="D547" i="1"/>
  <c r="D544" i="1"/>
  <c r="J541" i="1"/>
  <c r="D541" i="1"/>
  <c r="J540" i="1"/>
  <c r="D540" i="1"/>
  <c r="J539" i="1"/>
  <c r="D539" i="1"/>
  <c r="J538" i="1"/>
  <c r="D537" i="1"/>
  <c r="B527" i="1"/>
  <c r="J516" i="1"/>
  <c r="D643" i="1" l="1"/>
  <c r="D551" i="1"/>
  <c r="D543" i="1"/>
  <c r="J567" i="1"/>
  <c r="C567" i="1"/>
  <c r="B567" i="1"/>
  <c r="B520" i="1"/>
  <c r="B519" i="1"/>
  <c r="D567" i="1" l="1"/>
  <c r="C519" i="1"/>
  <c r="B516" i="1"/>
  <c r="C515" i="1"/>
  <c r="B515" i="1"/>
  <c r="C512" i="1" l="1"/>
  <c r="B512" i="1"/>
  <c r="J508" i="1"/>
  <c r="B506" i="1" l="1"/>
  <c r="B505" i="1" l="1"/>
  <c r="D505" i="1" s="1"/>
  <c r="J505" i="1"/>
  <c r="C489" i="1"/>
  <c r="B489" i="1"/>
  <c r="J526" i="1"/>
  <c r="J527" i="1"/>
  <c r="J488" i="1"/>
  <c r="J490" i="1"/>
  <c r="J500" i="1"/>
  <c r="J528" i="1"/>
  <c r="D528" i="1"/>
  <c r="D527" i="1"/>
  <c r="I529" i="1"/>
  <c r="H529" i="1"/>
  <c r="D526" i="1"/>
  <c r="J525" i="1"/>
  <c r="D525" i="1"/>
  <c r="J524" i="1"/>
  <c r="D524" i="1"/>
  <c r="J523" i="1"/>
  <c r="D523" i="1"/>
  <c r="J522" i="1"/>
  <c r="D522" i="1"/>
  <c r="J521" i="1"/>
  <c r="D521" i="1"/>
  <c r="J520" i="1"/>
  <c r="D520" i="1"/>
  <c r="J519" i="1"/>
  <c r="D519" i="1"/>
  <c r="J518" i="1"/>
  <c r="D518" i="1"/>
  <c r="J517" i="1"/>
  <c r="D517" i="1"/>
  <c r="D516" i="1"/>
  <c r="J515" i="1"/>
  <c r="D515" i="1"/>
  <c r="J514" i="1"/>
  <c r="D514" i="1"/>
  <c r="J513" i="1"/>
  <c r="D513" i="1"/>
  <c r="J512" i="1"/>
  <c r="D512" i="1"/>
  <c r="J511" i="1"/>
  <c r="D511" i="1"/>
  <c r="J510" i="1"/>
  <c r="D510" i="1"/>
  <c r="J509" i="1"/>
  <c r="D509" i="1"/>
  <c r="D508" i="1"/>
  <c r="J507" i="1"/>
  <c r="D507" i="1"/>
  <c r="J506" i="1"/>
  <c r="C529" i="1"/>
  <c r="D506" i="1"/>
  <c r="J503" i="1"/>
  <c r="D503" i="1"/>
  <c r="J502" i="1"/>
  <c r="D502" i="1"/>
  <c r="J501" i="1"/>
  <c r="D501" i="1"/>
  <c r="D500" i="1"/>
  <c r="J499" i="1"/>
  <c r="D499" i="1"/>
  <c r="J489" i="1" l="1"/>
  <c r="D529" i="1"/>
  <c r="B529" i="1"/>
  <c r="J529" i="1"/>
  <c r="B488" i="1"/>
  <c r="C488" i="1"/>
  <c r="B486" i="1"/>
  <c r="C485" i="1"/>
  <c r="B485" i="1"/>
  <c r="B484" i="1"/>
  <c r="C483" i="1"/>
  <c r="C482" i="1"/>
  <c r="B482" i="1"/>
  <c r="B479" i="1"/>
  <c r="B478" i="1"/>
  <c r="C478" i="1"/>
  <c r="J462" i="1" l="1"/>
  <c r="B476" i="1" l="1"/>
  <c r="C474" i="1"/>
  <c r="C472" i="1" l="1"/>
  <c r="B471" i="1"/>
  <c r="B470" i="1"/>
  <c r="B469" i="1"/>
  <c r="C469" i="1"/>
  <c r="B468" i="1"/>
  <c r="C468" i="1"/>
  <c r="D467" i="1"/>
  <c r="J467" i="1" l="1"/>
  <c r="B441" i="1"/>
  <c r="B438" i="1"/>
  <c r="C438" i="1"/>
  <c r="B435" i="1"/>
  <c r="B433" i="1"/>
  <c r="B431" i="1"/>
  <c r="B430" i="1"/>
  <c r="J425" i="1"/>
  <c r="I491" i="1"/>
  <c r="H491" i="1"/>
  <c r="C491" i="1"/>
  <c r="B491" i="1"/>
  <c r="D490" i="1"/>
  <c r="D489" i="1"/>
  <c r="D488" i="1"/>
  <c r="J487" i="1"/>
  <c r="D487" i="1"/>
  <c r="J486" i="1"/>
  <c r="D486" i="1"/>
  <c r="J485" i="1"/>
  <c r="D485" i="1"/>
  <c r="J484" i="1"/>
  <c r="D484" i="1"/>
  <c r="J483" i="1"/>
  <c r="D483" i="1"/>
  <c r="J482" i="1"/>
  <c r="D482" i="1"/>
  <c r="J481" i="1"/>
  <c r="D481" i="1"/>
  <c r="J480" i="1"/>
  <c r="D480" i="1"/>
  <c r="J479" i="1"/>
  <c r="D479" i="1"/>
  <c r="J478" i="1"/>
  <c r="D478" i="1"/>
  <c r="J477" i="1"/>
  <c r="D477" i="1"/>
  <c r="J476" i="1"/>
  <c r="D476" i="1"/>
  <c r="J475" i="1"/>
  <c r="D475" i="1"/>
  <c r="J474" i="1"/>
  <c r="D474" i="1"/>
  <c r="J473" i="1"/>
  <c r="D473" i="1"/>
  <c r="J472" i="1"/>
  <c r="D472" i="1"/>
  <c r="J471" i="1"/>
  <c r="D471" i="1"/>
  <c r="J470" i="1"/>
  <c r="D470" i="1"/>
  <c r="J469" i="1"/>
  <c r="D469" i="1"/>
  <c r="J468" i="1"/>
  <c r="D468" i="1"/>
  <c r="J465" i="1"/>
  <c r="D465" i="1"/>
  <c r="J464" i="1"/>
  <c r="D464" i="1"/>
  <c r="J463" i="1"/>
  <c r="D463" i="1"/>
  <c r="D462" i="1"/>
  <c r="J461" i="1"/>
  <c r="D461" i="1"/>
  <c r="J491" i="1" l="1"/>
  <c r="D491" i="1"/>
  <c r="B414" i="1"/>
  <c r="D414" i="1" s="1"/>
  <c r="B413" i="1"/>
  <c r="D413" i="1" s="1"/>
  <c r="B412" i="1"/>
  <c r="D412" i="1" s="1"/>
  <c r="B406" i="1"/>
  <c r="D406" i="1" s="1"/>
  <c r="J411" i="1"/>
  <c r="J412" i="1"/>
  <c r="J413" i="1"/>
  <c r="J414" i="1"/>
  <c r="J387" i="1"/>
  <c r="J388" i="1"/>
  <c r="O453" i="1"/>
  <c r="N453" i="1"/>
  <c r="I453" i="1"/>
  <c r="H453" i="1"/>
  <c r="C453" i="1"/>
  <c r="P452" i="1"/>
  <c r="J452" i="1"/>
  <c r="D452" i="1"/>
  <c r="P451" i="1"/>
  <c r="J451" i="1"/>
  <c r="D451" i="1"/>
  <c r="P450" i="1"/>
  <c r="J450" i="1"/>
  <c r="D450" i="1"/>
  <c r="P449" i="1"/>
  <c r="J449" i="1"/>
  <c r="D449" i="1"/>
  <c r="P448" i="1"/>
  <c r="J448" i="1"/>
  <c r="D448" i="1"/>
  <c r="P447" i="1"/>
  <c r="J447" i="1"/>
  <c r="D447" i="1"/>
  <c r="P446" i="1"/>
  <c r="J446" i="1"/>
  <c r="D446" i="1"/>
  <c r="P445" i="1"/>
  <c r="J445" i="1"/>
  <c r="D445" i="1"/>
  <c r="P444" i="1"/>
  <c r="J444" i="1"/>
  <c r="D444" i="1"/>
  <c r="P443" i="1"/>
  <c r="J443" i="1"/>
  <c r="D443" i="1"/>
  <c r="P442" i="1"/>
  <c r="J442" i="1"/>
  <c r="D442" i="1"/>
  <c r="P441" i="1"/>
  <c r="J441" i="1"/>
  <c r="D441" i="1"/>
  <c r="P440" i="1"/>
  <c r="J440" i="1"/>
  <c r="D440" i="1"/>
  <c r="P439" i="1"/>
  <c r="J439" i="1"/>
  <c r="D439" i="1"/>
  <c r="P438" i="1"/>
  <c r="J438" i="1"/>
  <c r="D438" i="1"/>
  <c r="P437" i="1"/>
  <c r="J437" i="1"/>
  <c r="D437" i="1"/>
  <c r="P436" i="1"/>
  <c r="J436" i="1"/>
  <c r="D436" i="1"/>
  <c r="P435" i="1"/>
  <c r="J435" i="1"/>
  <c r="D435" i="1"/>
  <c r="P434" i="1"/>
  <c r="J434" i="1"/>
  <c r="D434" i="1"/>
  <c r="P433" i="1"/>
  <c r="J433" i="1"/>
  <c r="D433" i="1"/>
  <c r="P432" i="1"/>
  <c r="J432" i="1"/>
  <c r="B453" i="1"/>
  <c r="P431" i="1"/>
  <c r="J431" i="1"/>
  <c r="D431" i="1"/>
  <c r="P430" i="1"/>
  <c r="J430" i="1"/>
  <c r="D430" i="1"/>
  <c r="P429" i="1"/>
  <c r="J429" i="1"/>
  <c r="D429" i="1"/>
  <c r="P427" i="1"/>
  <c r="J427" i="1"/>
  <c r="D427" i="1"/>
  <c r="P426" i="1"/>
  <c r="J426" i="1"/>
  <c r="D426" i="1"/>
  <c r="P425" i="1"/>
  <c r="D425" i="1"/>
  <c r="P424" i="1"/>
  <c r="J424" i="1"/>
  <c r="D424" i="1"/>
  <c r="P423" i="1"/>
  <c r="J423" i="1"/>
  <c r="D423" i="1"/>
  <c r="B404" i="1"/>
  <c r="D404" i="1" s="1"/>
  <c r="B402" i="1"/>
  <c r="D402" i="1" s="1"/>
  <c r="B401" i="1"/>
  <c r="D401" i="1" s="1"/>
  <c r="B396" i="1"/>
  <c r="B394" i="1"/>
  <c r="D394" i="1" s="1"/>
  <c r="D374" i="1"/>
  <c r="D373" i="1"/>
  <c r="D372" i="1"/>
  <c r="D371" i="1"/>
  <c r="B370" i="1"/>
  <c r="D370" i="1" s="1"/>
  <c r="D369" i="1"/>
  <c r="B358" i="1"/>
  <c r="H356" i="1"/>
  <c r="B356" i="1"/>
  <c r="O415" i="1"/>
  <c r="N415" i="1"/>
  <c r="I415" i="1"/>
  <c r="H415" i="1"/>
  <c r="C415" i="1"/>
  <c r="P414" i="1"/>
  <c r="P413" i="1"/>
  <c r="P412" i="1"/>
  <c r="P411" i="1"/>
  <c r="D411" i="1"/>
  <c r="P410" i="1"/>
  <c r="J410" i="1"/>
  <c r="D410" i="1"/>
  <c r="P409" i="1"/>
  <c r="J409" i="1"/>
  <c r="D409" i="1"/>
  <c r="P408" i="1"/>
  <c r="J408" i="1"/>
  <c r="D408" i="1"/>
  <c r="P407" i="1"/>
  <c r="J407" i="1"/>
  <c r="D407" i="1"/>
  <c r="P406" i="1"/>
  <c r="J406" i="1"/>
  <c r="P405" i="1"/>
  <c r="J405" i="1"/>
  <c r="D405" i="1"/>
  <c r="P404" i="1"/>
  <c r="J404" i="1"/>
  <c r="P403" i="1"/>
  <c r="J403" i="1"/>
  <c r="D403" i="1"/>
  <c r="P402" i="1"/>
  <c r="J402" i="1"/>
  <c r="P401" i="1"/>
  <c r="J401" i="1"/>
  <c r="P400" i="1"/>
  <c r="J400" i="1"/>
  <c r="D400" i="1"/>
  <c r="P399" i="1"/>
  <c r="J399" i="1"/>
  <c r="D399" i="1"/>
  <c r="P398" i="1"/>
  <c r="J398" i="1"/>
  <c r="D398" i="1"/>
  <c r="P397" i="1"/>
  <c r="J397" i="1"/>
  <c r="D397" i="1"/>
  <c r="P396" i="1"/>
  <c r="J396" i="1"/>
  <c r="P395" i="1"/>
  <c r="J395" i="1"/>
  <c r="D395" i="1"/>
  <c r="P394" i="1"/>
  <c r="J394" i="1"/>
  <c r="P393" i="1"/>
  <c r="J393" i="1"/>
  <c r="D393" i="1"/>
  <c r="P392" i="1"/>
  <c r="J392" i="1"/>
  <c r="D392" i="1"/>
  <c r="P391" i="1"/>
  <c r="J391" i="1"/>
  <c r="D391" i="1"/>
  <c r="P389" i="1"/>
  <c r="J389" i="1"/>
  <c r="D389" i="1"/>
  <c r="P388" i="1"/>
  <c r="D388" i="1"/>
  <c r="P387" i="1"/>
  <c r="D387" i="1"/>
  <c r="P386" i="1"/>
  <c r="J386" i="1"/>
  <c r="D386" i="1"/>
  <c r="P385" i="1"/>
  <c r="J385" i="1"/>
  <c r="D385" i="1"/>
  <c r="J453" i="1" l="1"/>
  <c r="P453" i="1"/>
  <c r="D432" i="1"/>
  <c r="D453" i="1" s="1"/>
  <c r="B415" i="1"/>
  <c r="D396" i="1"/>
  <c r="D415" i="1" s="1"/>
  <c r="P415" i="1"/>
  <c r="J415" i="1"/>
  <c r="H322" i="1"/>
  <c r="B326" i="1"/>
  <c r="B324" i="1"/>
  <c r="B320" i="1"/>
  <c r="D274" i="1" l="1"/>
  <c r="D273" i="1"/>
  <c r="D272" i="1"/>
  <c r="J286" i="1"/>
  <c r="J285" i="1"/>
  <c r="J284" i="1"/>
  <c r="J283" i="1"/>
  <c r="J282" i="1"/>
  <c r="J281" i="1"/>
  <c r="B296" i="1" l="1"/>
  <c r="B294" i="1"/>
  <c r="B293" i="1"/>
  <c r="B292" i="1"/>
  <c r="B291" i="1"/>
  <c r="O377" i="1"/>
  <c r="N377" i="1"/>
  <c r="I377" i="1"/>
  <c r="H377" i="1"/>
  <c r="C377" i="1"/>
  <c r="B377" i="1"/>
  <c r="P376" i="1"/>
  <c r="J376" i="1"/>
  <c r="D376" i="1"/>
  <c r="P375" i="1"/>
  <c r="J375" i="1"/>
  <c r="D375" i="1"/>
  <c r="P374" i="1"/>
  <c r="J374" i="1"/>
  <c r="P373" i="1"/>
  <c r="J373" i="1"/>
  <c r="P372" i="1"/>
  <c r="J372" i="1"/>
  <c r="P371" i="1"/>
  <c r="J371" i="1"/>
  <c r="P370" i="1"/>
  <c r="J370" i="1"/>
  <c r="P369" i="1"/>
  <c r="J369" i="1"/>
  <c r="P368" i="1"/>
  <c r="J368" i="1"/>
  <c r="D368" i="1"/>
  <c r="P367" i="1"/>
  <c r="J367" i="1"/>
  <c r="D367" i="1"/>
  <c r="P366" i="1"/>
  <c r="J366" i="1"/>
  <c r="D366" i="1"/>
  <c r="P365" i="1"/>
  <c r="J365" i="1"/>
  <c r="D365" i="1"/>
  <c r="P364" i="1"/>
  <c r="J364" i="1"/>
  <c r="D364" i="1"/>
  <c r="P363" i="1"/>
  <c r="J363" i="1"/>
  <c r="D363" i="1"/>
  <c r="P362" i="1"/>
  <c r="J362" i="1"/>
  <c r="D362" i="1"/>
  <c r="P361" i="1"/>
  <c r="J361" i="1"/>
  <c r="D361" i="1"/>
  <c r="P360" i="1"/>
  <c r="J360" i="1"/>
  <c r="D360" i="1"/>
  <c r="P359" i="1"/>
  <c r="J359" i="1"/>
  <c r="D359" i="1"/>
  <c r="P358" i="1"/>
  <c r="J358" i="1"/>
  <c r="D358" i="1"/>
  <c r="P357" i="1"/>
  <c r="J357" i="1"/>
  <c r="D357" i="1"/>
  <c r="P356" i="1"/>
  <c r="J356" i="1"/>
  <c r="D356" i="1"/>
  <c r="P355" i="1"/>
  <c r="J355" i="1"/>
  <c r="D355" i="1"/>
  <c r="P354" i="1"/>
  <c r="J354" i="1"/>
  <c r="D354" i="1"/>
  <c r="P353" i="1"/>
  <c r="J353" i="1"/>
  <c r="D353" i="1"/>
  <c r="P351" i="1"/>
  <c r="J351" i="1"/>
  <c r="D351" i="1"/>
  <c r="P350" i="1"/>
  <c r="J350" i="1"/>
  <c r="D350" i="1"/>
  <c r="P349" i="1"/>
  <c r="J349" i="1"/>
  <c r="D349" i="1"/>
  <c r="P348" i="1"/>
  <c r="J348" i="1"/>
  <c r="D348" i="1"/>
  <c r="P347" i="1"/>
  <c r="J347" i="1"/>
  <c r="D347" i="1"/>
  <c r="P377" i="1" l="1"/>
  <c r="D377" i="1"/>
  <c r="J377" i="1"/>
  <c r="B289" i="1"/>
  <c r="B287" i="1"/>
  <c r="B284" i="1"/>
  <c r="O339" i="1"/>
  <c r="N339" i="1"/>
  <c r="I339" i="1"/>
  <c r="H339" i="1"/>
  <c r="C339" i="1"/>
  <c r="P338" i="1"/>
  <c r="J338" i="1"/>
  <c r="D338" i="1"/>
  <c r="P337" i="1"/>
  <c r="J337" i="1"/>
  <c r="D337" i="1"/>
  <c r="P336" i="1"/>
  <c r="J336" i="1"/>
  <c r="D336" i="1"/>
  <c r="P335" i="1"/>
  <c r="J335" i="1"/>
  <c r="D335" i="1"/>
  <c r="P334" i="1"/>
  <c r="J334" i="1"/>
  <c r="D334" i="1"/>
  <c r="P333" i="1"/>
  <c r="J333" i="1"/>
  <c r="D333" i="1"/>
  <c r="P332" i="1"/>
  <c r="J332" i="1"/>
  <c r="D332" i="1"/>
  <c r="P331" i="1"/>
  <c r="J331" i="1"/>
  <c r="D331" i="1"/>
  <c r="P330" i="1"/>
  <c r="J330" i="1"/>
  <c r="D330" i="1"/>
  <c r="P329" i="1"/>
  <c r="J329" i="1"/>
  <c r="D329" i="1"/>
  <c r="P328" i="1"/>
  <c r="J328" i="1"/>
  <c r="D328" i="1"/>
  <c r="P327" i="1"/>
  <c r="J327" i="1"/>
  <c r="D327" i="1"/>
  <c r="P326" i="1"/>
  <c r="J326" i="1"/>
  <c r="D326" i="1"/>
  <c r="P325" i="1"/>
  <c r="J325" i="1"/>
  <c r="D325" i="1"/>
  <c r="P324" i="1"/>
  <c r="J324" i="1"/>
  <c r="D324" i="1"/>
  <c r="P323" i="1"/>
  <c r="J323" i="1"/>
  <c r="D323" i="1"/>
  <c r="P322" i="1"/>
  <c r="J322" i="1"/>
  <c r="D322" i="1"/>
  <c r="P321" i="1"/>
  <c r="J321" i="1"/>
  <c r="D321" i="1"/>
  <c r="P320" i="1"/>
  <c r="J320" i="1"/>
  <c r="D320" i="1"/>
  <c r="P319" i="1"/>
  <c r="J319" i="1"/>
  <c r="D319" i="1"/>
  <c r="P318" i="1"/>
  <c r="J318" i="1"/>
  <c r="D318" i="1"/>
  <c r="P317" i="1"/>
  <c r="J317" i="1"/>
  <c r="D317" i="1"/>
  <c r="P316" i="1"/>
  <c r="J316" i="1"/>
  <c r="B339" i="1"/>
  <c r="P315" i="1"/>
  <c r="J315" i="1"/>
  <c r="D315" i="1"/>
  <c r="P313" i="1"/>
  <c r="J313" i="1"/>
  <c r="D313" i="1"/>
  <c r="P312" i="1"/>
  <c r="J312" i="1"/>
  <c r="D312" i="1"/>
  <c r="P311" i="1"/>
  <c r="J311" i="1"/>
  <c r="D311" i="1"/>
  <c r="P310" i="1"/>
  <c r="J310" i="1"/>
  <c r="D310" i="1"/>
  <c r="P309" i="1"/>
  <c r="J309" i="1"/>
  <c r="D309" i="1"/>
  <c r="P339" i="1" l="1"/>
  <c r="J339" i="1"/>
  <c r="D316" i="1"/>
  <c r="D339" i="1" s="1"/>
  <c r="B283" i="1"/>
  <c r="B282" i="1" l="1"/>
  <c r="D282" i="1" s="1"/>
  <c r="B281" i="1"/>
  <c r="D281" i="1" s="1"/>
  <c r="B280" i="1"/>
  <c r="D280" i="1" s="1"/>
  <c r="B279" i="1"/>
  <c r="D279" i="1" s="1"/>
  <c r="B278" i="1"/>
  <c r="J277" i="1"/>
  <c r="D261" i="1"/>
  <c r="O301" i="1"/>
  <c r="N301" i="1"/>
  <c r="I301" i="1"/>
  <c r="H301" i="1"/>
  <c r="C301" i="1"/>
  <c r="P300" i="1"/>
  <c r="J300" i="1"/>
  <c r="D300" i="1"/>
  <c r="P299" i="1"/>
  <c r="J299" i="1"/>
  <c r="D299" i="1"/>
  <c r="P298" i="1"/>
  <c r="J298" i="1"/>
  <c r="D298" i="1"/>
  <c r="P297" i="1"/>
  <c r="J297" i="1"/>
  <c r="D297" i="1"/>
  <c r="P296" i="1"/>
  <c r="J296" i="1"/>
  <c r="D296" i="1"/>
  <c r="P295" i="1"/>
  <c r="J295" i="1"/>
  <c r="D295" i="1"/>
  <c r="P294" i="1"/>
  <c r="J294" i="1"/>
  <c r="D294" i="1"/>
  <c r="P293" i="1"/>
  <c r="J293" i="1"/>
  <c r="D293" i="1"/>
  <c r="P292" i="1"/>
  <c r="J292" i="1"/>
  <c r="D292" i="1"/>
  <c r="P291" i="1"/>
  <c r="J291" i="1"/>
  <c r="D291" i="1"/>
  <c r="P290" i="1"/>
  <c r="J290" i="1"/>
  <c r="D290" i="1"/>
  <c r="P289" i="1"/>
  <c r="J289" i="1"/>
  <c r="D289" i="1"/>
  <c r="P288" i="1"/>
  <c r="J288" i="1"/>
  <c r="D288" i="1"/>
  <c r="P287" i="1"/>
  <c r="J287" i="1"/>
  <c r="D287" i="1"/>
  <c r="P286" i="1"/>
  <c r="D286" i="1"/>
  <c r="P285" i="1"/>
  <c r="D285" i="1"/>
  <c r="P284" i="1"/>
  <c r="D284" i="1"/>
  <c r="P283" i="1"/>
  <c r="D283" i="1"/>
  <c r="P282" i="1"/>
  <c r="P281" i="1"/>
  <c r="P280" i="1"/>
  <c r="J280" i="1"/>
  <c r="P279" i="1"/>
  <c r="J279" i="1"/>
  <c r="P278" i="1"/>
  <c r="J278" i="1"/>
  <c r="P277" i="1"/>
  <c r="D277" i="1"/>
  <c r="P275" i="1"/>
  <c r="J275" i="1"/>
  <c r="D275" i="1"/>
  <c r="P274" i="1"/>
  <c r="J274" i="1"/>
  <c r="P273" i="1"/>
  <c r="J273" i="1"/>
  <c r="P272" i="1"/>
  <c r="J272" i="1"/>
  <c r="P271" i="1"/>
  <c r="J271" i="1"/>
  <c r="D271" i="1"/>
  <c r="B259" i="1"/>
  <c r="D259" i="1" s="1"/>
  <c r="B255" i="1"/>
  <c r="D255" i="1" s="1"/>
  <c r="B254" i="1"/>
  <c r="D254" i="1" s="1"/>
  <c r="B250" i="1"/>
  <c r="D250" i="1" s="1"/>
  <c r="B248" i="1"/>
  <c r="B246" i="1"/>
  <c r="D246" i="1" s="1"/>
  <c r="B245" i="1"/>
  <c r="D245" i="1" s="1"/>
  <c r="B241" i="1"/>
  <c r="D241" i="1" s="1"/>
  <c r="B240" i="1"/>
  <c r="D240" i="1" s="1"/>
  <c r="B223" i="1"/>
  <c r="D223" i="1" s="1"/>
  <c r="B222" i="1"/>
  <c r="D222" i="1" s="1"/>
  <c r="B214" i="1"/>
  <c r="D214" i="1" s="1"/>
  <c r="H205" i="1"/>
  <c r="J205" i="1" s="1"/>
  <c r="B210" i="1"/>
  <c r="D210" i="1" s="1"/>
  <c r="J203" i="1"/>
  <c r="J202" i="1"/>
  <c r="J222" i="1"/>
  <c r="J221" i="1"/>
  <c r="N10" i="1"/>
  <c r="P10" i="1" s="1"/>
  <c r="N35" i="1"/>
  <c r="N73" i="1"/>
  <c r="N111" i="1"/>
  <c r="N149" i="1"/>
  <c r="N187" i="1"/>
  <c r="N225" i="1"/>
  <c r="O194" i="1"/>
  <c r="O200" i="1" s="1"/>
  <c r="O225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O263" i="1"/>
  <c r="N263" i="1"/>
  <c r="H10" i="1"/>
  <c r="J10" i="1" s="1"/>
  <c r="H35" i="1"/>
  <c r="H73" i="1"/>
  <c r="H111" i="1"/>
  <c r="H149" i="1"/>
  <c r="H187" i="1"/>
  <c r="I194" i="1"/>
  <c r="I200" i="1" s="1"/>
  <c r="I225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I263" i="1"/>
  <c r="H263" i="1"/>
  <c r="B187" i="1"/>
  <c r="B10" i="1"/>
  <c r="B35" i="1"/>
  <c r="B73" i="1"/>
  <c r="B111" i="1"/>
  <c r="B149" i="1"/>
  <c r="C194" i="1"/>
  <c r="C200" i="1" s="1"/>
  <c r="C225" i="1"/>
  <c r="D239" i="1"/>
  <c r="D242" i="1"/>
  <c r="D243" i="1"/>
  <c r="D244" i="1"/>
  <c r="D247" i="1"/>
  <c r="D249" i="1"/>
  <c r="D251" i="1"/>
  <c r="D252" i="1"/>
  <c r="D253" i="1"/>
  <c r="D256" i="1"/>
  <c r="D257" i="1"/>
  <c r="D258" i="1"/>
  <c r="D260" i="1"/>
  <c r="D262" i="1"/>
  <c r="C263" i="1"/>
  <c r="P237" i="1"/>
  <c r="J237" i="1"/>
  <c r="D237" i="1"/>
  <c r="P236" i="1"/>
  <c r="J236" i="1"/>
  <c r="D236" i="1"/>
  <c r="P235" i="1"/>
  <c r="J235" i="1"/>
  <c r="D235" i="1"/>
  <c r="P234" i="1"/>
  <c r="J234" i="1"/>
  <c r="D234" i="1"/>
  <c r="P233" i="1"/>
  <c r="J233" i="1"/>
  <c r="D233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199" i="1"/>
  <c r="P198" i="1"/>
  <c r="P197" i="1"/>
  <c r="P196" i="1"/>
  <c r="P195" i="1"/>
  <c r="J204" i="1"/>
  <c r="J207" i="1"/>
  <c r="J201" i="1"/>
  <c r="J206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3" i="1"/>
  <c r="J224" i="1"/>
  <c r="J199" i="1"/>
  <c r="J198" i="1"/>
  <c r="J197" i="1"/>
  <c r="J196" i="1"/>
  <c r="J195" i="1"/>
  <c r="D203" i="1"/>
  <c r="D204" i="1"/>
  <c r="D205" i="1"/>
  <c r="D206" i="1"/>
  <c r="D207" i="1"/>
  <c r="D208" i="1"/>
  <c r="D209" i="1"/>
  <c r="D211" i="1"/>
  <c r="D212" i="1"/>
  <c r="D213" i="1"/>
  <c r="D215" i="1"/>
  <c r="D216" i="1"/>
  <c r="D217" i="1"/>
  <c r="D218" i="1"/>
  <c r="D219" i="1"/>
  <c r="D220" i="1"/>
  <c r="D221" i="1"/>
  <c r="D224" i="1"/>
  <c r="D202" i="1"/>
  <c r="D201" i="1"/>
  <c r="D196" i="1"/>
  <c r="D197" i="1"/>
  <c r="D198" i="1"/>
  <c r="D199" i="1"/>
  <c r="D195" i="1"/>
  <c r="J143" i="1"/>
  <c r="J145" i="1"/>
  <c r="J144" i="1"/>
  <c r="J163" i="1"/>
  <c r="J131" i="1"/>
  <c r="J129" i="1"/>
  <c r="D128" i="1"/>
  <c r="J146" i="1"/>
  <c r="J184" i="1"/>
  <c r="J183" i="1"/>
  <c r="J185" i="1"/>
  <c r="J186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P161" i="1"/>
  <c r="J161" i="1"/>
  <c r="D161" i="1"/>
  <c r="P160" i="1"/>
  <c r="J160" i="1"/>
  <c r="D160" i="1"/>
  <c r="P159" i="1"/>
  <c r="J159" i="1"/>
  <c r="D159" i="1"/>
  <c r="P158" i="1"/>
  <c r="J158" i="1"/>
  <c r="D158" i="1"/>
  <c r="P157" i="1"/>
  <c r="J157" i="1"/>
  <c r="D157" i="1"/>
  <c r="J71" i="1"/>
  <c r="J110" i="1"/>
  <c r="J109" i="1"/>
  <c r="J64" i="1"/>
  <c r="J65" i="1"/>
  <c r="J66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D125" i="1"/>
  <c r="D126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J148" i="1"/>
  <c r="J147" i="1"/>
  <c r="J142" i="1"/>
  <c r="J141" i="1"/>
  <c r="J140" i="1"/>
  <c r="J139" i="1"/>
  <c r="J138" i="1"/>
  <c r="J137" i="1"/>
  <c r="J136" i="1"/>
  <c r="J135" i="1"/>
  <c r="J134" i="1"/>
  <c r="J133" i="1"/>
  <c r="J132" i="1"/>
  <c r="J130" i="1"/>
  <c r="J128" i="1"/>
  <c r="J127" i="1"/>
  <c r="J126" i="1"/>
  <c r="J125" i="1"/>
  <c r="P123" i="1"/>
  <c r="J123" i="1"/>
  <c r="D123" i="1"/>
  <c r="P122" i="1"/>
  <c r="J122" i="1"/>
  <c r="D122" i="1"/>
  <c r="P121" i="1"/>
  <c r="J121" i="1"/>
  <c r="D121" i="1"/>
  <c r="P120" i="1"/>
  <c r="J120" i="1"/>
  <c r="D120" i="1"/>
  <c r="P119" i="1"/>
  <c r="J119" i="1"/>
  <c r="D119" i="1"/>
  <c r="J69" i="1"/>
  <c r="J70" i="1"/>
  <c r="J72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5" i="1"/>
  <c r="D84" i="1"/>
  <c r="D83" i="1"/>
  <c r="D82" i="1"/>
  <c r="D8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5" i="1"/>
  <c r="P84" i="1"/>
  <c r="P83" i="1"/>
  <c r="P82" i="1"/>
  <c r="P81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5" i="1"/>
  <c r="J84" i="1"/>
  <c r="J83" i="1"/>
  <c r="J82" i="1"/>
  <c r="J81" i="1"/>
  <c r="J27" i="1"/>
  <c r="J68" i="1"/>
  <c r="J22" i="1"/>
  <c r="J21" i="1"/>
  <c r="J20" i="1"/>
  <c r="J19" i="1"/>
  <c r="J18" i="1"/>
  <c r="J17" i="1"/>
  <c r="J49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7" i="1"/>
  <c r="P46" i="1"/>
  <c r="P45" i="1"/>
  <c r="P44" i="1"/>
  <c r="P43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9" i="1"/>
  <c r="P8" i="1"/>
  <c r="P7" i="1"/>
  <c r="P6" i="1"/>
  <c r="P5" i="1"/>
  <c r="P4" i="1"/>
  <c r="J44" i="1"/>
  <c r="J45" i="1"/>
  <c r="D44" i="1"/>
  <c r="D45" i="1"/>
  <c r="J5" i="1"/>
  <c r="J6" i="1"/>
  <c r="J7" i="1"/>
  <c r="J8" i="1"/>
  <c r="J9" i="1"/>
  <c r="D9" i="1"/>
  <c r="D8" i="1"/>
  <c r="D7" i="1"/>
  <c r="D6" i="1"/>
  <c r="D5" i="1"/>
  <c r="D4" i="1"/>
  <c r="J32" i="1"/>
  <c r="J33" i="1"/>
  <c r="J34" i="1"/>
  <c r="J43" i="1"/>
  <c r="J31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7" i="1"/>
  <c r="D46" i="1"/>
  <c r="D43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J67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7" i="1"/>
  <c r="J46" i="1"/>
  <c r="J11" i="1"/>
  <c r="J13" i="1"/>
  <c r="J14" i="1"/>
  <c r="J15" i="1"/>
  <c r="J16" i="1"/>
  <c r="J23" i="1"/>
  <c r="J24" i="1"/>
  <c r="J25" i="1"/>
  <c r="J26" i="1"/>
  <c r="J28" i="1"/>
  <c r="J29" i="1"/>
  <c r="J30" i="1"/>
  <c r="J12" i="1"/>
  <c r="J4" i="1"/>
  <c r="B301" i="1" l="1"/>
  <c r="P301" i="1"/>
  <c r="J301" i="1"/>
  <c r="D278" i="1"/>
  <c r="D301" i="1" s="1"/>
  <c r="H225" i="1"/>
  <c r="C226" i="1"/>
  <c r="C232" i="1" s="1"/>
  <c r="C238" i="1" s="1"/>
  <c r="C264" i="1" s="1"/>
  <c r="C270" i="1" s="1"/>
  <c r="C276" i="1" s="1"/>
  <c r="C302" i="1" s="1"/>
  <c r="C308" i="1" s="1"/>
  <c r="C314" i="1" s="1"/>
  <c r="C340" i="1" s="1"/>
  <c r="C346" i="1" s="1"/>
  <c r="C352" i="1" s="1"/>
  <c r="C378" i="1" s="1"/>
  <c r="C384" i="1" s="1"/>
  <c r="C390" i="1" s="1"/>
  <c r="C416" i="1" s="1"/>
  <c r="C422" i="1" s="1"/>
  <c r="C428" i="1" s="1"/>
  <c r="C454" i="1" s="1"/>
  <c r="C460" i="1" s="1"/>
  <c r="C466" i="1" s="1"/>
  <c r="C492" i="1" s="1"/>
  <c r="C498" i="1" s="1"/>
  <c r="C504" i="1" s="1"/>
  <c r="C530" i="1" s="1"/>
  <c r="C536" i="1" s="1"/>
  <c r="C542" i="1" s="1"/>
  <c r="C568" i="1" s="1"/>
  <c r="C574" i="1" s="1"/>
  <c r="B36" i="1"/>
  <c r="B42" i="1" s="1"/>
  <c r="D42" i="1" s="1"/>
  <c r="N36" i="1"/>
  <c r="N42" i="1" s="1"/>
  <c r="N48" i="1" s="1"/>
  <c r="B225" i="1"/>
  <c r="P225" i="1"/>
  <c r="D187" i="1"/>
  <c r="D111" i="1"/>
  <c r="J149" i="1"/>
  <c r="I226" i="1"/>
  <c r="I232" i="1" s="1"/>
  <c r="I238" i="1" s="1"/>
  <c r="I264" i="1" s="1"/>
  <c r="I270" i="1" s="1"/>
  <c r="I276" i="1" s="1"/>
  <c r="I302" i="1" s="1"/>
  <c r="I308" i="1" s="1"/>
  <c r="I314" i="1" s="1"/>
  <c r="I340" i="1" s="1"/>
  <c r="I346" i="1" s="1"/>
  <c r="I352" i="1" s="1"/>
  <c r="I378" i="1" s="1"/>
  <c r="I384" i="1" s="1"/>
  <c r="I390" i="1" s="1"/>
  <c r="I416" i="1" s="1"/>
  <c r="I422" i="1" s="1"/>
  <c r="D73" i="1"/>
  <c r="D10" i="1"/>
  <c r="D35" i="1"/>
  <c r="P35" i="1"/>
  <c r="P36" i="1" s="1"/>
  <c r="D149" i="1"/>
  <c r="J187" i="1"/>
  <c r="D225" i="1"/>
  <c r="J225" i="1"/>
  <c r="J111" i="1"/>
  <c r="O226" i="1"/>
  <c r="O232" i="1" s="1"/>
  <c r="O238" i="1" s="1"/>
  <c r="O264" i="1" s="1"/>
  <c r="O270" i="1" s="1"/>
  <c r="O276" i="1" s="1"/>
  <c r="O302" i="1" s="1"/>
  <c r="O308" i="1" s="1"/>
  <c r="O314" i="1" s="1"/>
  <c r="O340" i="1" s="1"/>
  <c r="O346" i="1" s="1"/>
  <c r="O352" i="1" s="1"/>
  <c r="O378" i="1" s="1"/>
  <c r="O384" i="1" s="1"/>
  <c r="O390" i="1" s="1"/>
  <c r="O416" i="1" s="1"/>
  <c r="O422" i="1" s="1"/>
  <c r="O428" i="1" s="1"/>
  <c r="O454" i="1" s="1"/>
  <c r="P149" i="1"/>
  <c r="H36" i="1"/>
  <c r="H42" i="1" s="1"/>
  <c r="J42" i="1" s="1"/>
  <c r="P73" i="1"/>
  <c r="J73" i="1"/>
  <c r="P111" i="1"/>
  <c r="J35" i="1"/>
  <c r="J36" i="1" s="1"/>
  <c r="P187" i="1"/>
  <c r="P263" i="1"/>
  <c r="B263" i="1"/>
  <c r="D248" i="1"/>
  <c r="D263" i="1" s="1"/>
  <c r="J263" i="1"/>
  <c r="C580" i="1" l="1"/>
  <c r="I428" i="1"/>
  <c r="I454" i="1" s="1"/>
  <c r="I460" i="1" s="1"/>
  <c r="I466" i="1" s="1"/>
  <c r="I492" i="1" s="1"/>
  <c r="I498" i="1" s="1"/>
  <c r="I504" i="1" s="1"/>
  <c r="I530" i="1" s="1"/>
  <c r="I536" i="1" s="1"/>
  <c r="I542" i="1" s="1"/>
  <c r="I568" i="1" s="1"/>
  <c r="I574" i="1" s="1"/>
  <c r="I580" i="1" s="1"/>
  <c r="I606" i="1" s="1"/>
  <c r="I612" i="1" s="1"/>
  <c r="D36" i="1"/>
  <c r="H48" i="1"/>
  <c r="H74" i="1" s="1"/>
  <c r="H80" i="1" s="1"/>
  <c r="B48" i="1"/>
  <c r="B74" i="1" s="1"/>
  <c r="B80" i="1" s="1"/>
  <c r="P42" i="1"/>
  <c r="P48" i="1"/>
  <c r="P74" i="1" s="1"/>
  <c r="N74" i="1"/>
  <c r="N80" i="1" s="1"/>
  <c r="I618" i="1" l="1"/>
  <c r="I644" i="1" s="1"/>
  <c r="I650" i="1" s="1"/>
  <c r="I656" i="1" s="1"/>
  <c r="I682" i="1" s="1"/>
  <c r="I688" i="1" s="1"/>
  <c r="I694" i="1" s="1"/>
  <c r="I720" i="1" s="1"/>
  <c r="I726" i="1" s="1"/>
  <c r="I732" i="1" s="1"/>
  <c r="I758" i="1" s="1"/>
  <c r="I764" i="1" s="1"/>
  <c r="C606" i="1"/>
  <c r="C612" i="1" s="1"/>
  <c r="C618" i="1" s="1"/>
  <c r="C644" i="1" s="1"/>
  <c r="C650" i="1" s="1"/>
  <c r="J48" i="1"/>
  <c r="J74" i="1" s="1"/>
  <c r="D48" i="1"/>
  <c r="D74" i="1" s="1"/>
  <c r="H86" i="1"/>
  <c r="J80" i="1"/>
  <c r="D80" i="1"/>
  <c r="B86" i="1"/>
  <c r="P80" i="1"/>
  <c r="N86" i="1"/>
  <c r="I770" i="1" l="1"/>
  <c r="I796" i="1" s="1"/>
  <c r="I802" i="1" s="1"/>
  <c r="I808" i="1" s="1"/>
  <c r="I834" i="1" s="1"/>
  <c r="I840" i="1" s="1"/>
  <c r="I846" i="1" s="1"/>
  <c r="I872" i="1" s="1"/>
  <c r="I878" i="1" s="1"/>
  <c r="I884" i="1" s="1"/>
  <c r="I910" i="1" s="1"/>
  <c r="I916" i="1" s="1"/>
  <c r="I922" i="1" s="1"/>
  <c r="I948" i="1" s="1"/>
  <c r="I954" i="1" s="1"/>
  <c r="I960" i="1" s="1"/>
  <c r="I986" i="1" s="1"/>
  <c r="I992" i="1" s="1"/>
  <c r="I998" i="1" s="1"/>
  <c r="I1024" i="1" s="1"/>
  <c r="I1030" i="1" s="1"/>
  <c r="I1036" i="1" s="1"/>
  <c r="I1062" i="1" s="1"/>
  <c r="I1068" i="1" s="1"/>
  <c r="I1074" i="1" s="1"/>
  <c r="I1100" i="1" s="1"/>
  <c r="I1106" i="1" s="1"/>
  <c r="I1112" i="1" s="1"/>
  <c r="I1138" i="1" s="1"/>
  <c r="I1144" i="1" s="1"/>
  <c r="I1150" i="1" s="1"/>
  <c r="I1176" i="1" s="1"/>
  <c r="I1182" i="1" s="1"/>
  <c r="I1188" i="1" s="1"/>
  <c r="I1214" i="1" s="1"/>
  <c r="I1220" i="1" s="1"/>
  <c r="C656" i="1"/>
  <c r="N112" i="1"/>
  <c r="N118" i="1" s="1"/>
  <c r="P86" i="1"/>
  <c r="P112" i="1" s="1"/>
  <c r="B112" i="1"/>
  <c r="B118" i="1" s="1"/>
  <c r="D86" i="1"/>
  <c r="D112" i="1" s="1"/>
  <c r="J86" i="1"/>
  <c r="J112" i="1" s="1"/>
  <c r="H112" i="1"/>
  <c r="H118" i="1" s="1"/>
  <c r="I1226" i="1" l="1"/>
  <c r="I1252" i="1" s="1"/>
  <c r="I1257" i="1" s="1"/>
  <c r="I1263" i="1" s="1"/>
  <c r="I1289" i="1" s="1"/>
  <c r="C682" i="1"/>
  <c r="C688" i="1" s="1"/>
  <c r="N124" i="1"/>
  <c r="P118" i="1"/>
  <c r="H124" i="1"/>
  <c r="J118" i="1"/>
  <c r="B124" i="1"/>
  <c r="D118" i="1"/>
  <c r="I1294" i="1" l="1"/>
  <c r="I1300" i="1" s="1"/>
  <c r="I1326" i="1" s="1"/>
  <c r="I1331" i="1" s="1"/>
  <c r="I1337" i="1" s="1"/>
  <c r="I1363" i="1" s="1"/>
  <c r="I1368" i="1" s="1"/>
  <c r="I1374" i="1" s="1"/>
  <c r="I1400" i="1" s="1"/>
  <c r="I1405" i="1" s="1"/>
  <c r="I1411" i="1" s="1"/>
  <c r="I1437" i="1" s="1"/>
  <c r="I1442" i="1" s="1"/>
  <c r="I1448" i="1" s="1"/>
  <c r="I1474" i="1" s="1"/>
  <c r="I1479" i="1" s="1"/>
  <c r="I1485" i="1" s="1"/>
  <c r="I1511" i="1" s="1"/>
  <c r="I1516" i="1" s="1"/>
  <c r="I1522" i="1" s="1"/>
  <c r="I1548" i="1" s="1"/>
  <c r="I1553" i="1" s="1"/>
  <c r="I1559" i="1" s="1"/>
  <c r="I1585" i="1" s="1"/>
  <c r="C694" i="1"/>
  <c r="D124" i="1"/>
  <c r="D150" i="1" s="1"/>
  <c r="B150" i="1"/>
  <c r="B156" i="1" s="1"/>
  <c r="H150" i="1"/>
  <c r="H156" i="1" s="1"/>
  <c r="J124" i="1"/>
  <c r="J150" i="1" s="1"/>
  <c r="P124" i="1"/>
  <c r="P150" i="1" s="1"/>
  <c r="N150" i="1"/>
  <c r="N156" i="1" s="1"/>
  <c r="C720" i="1" l="1"/>
  <c r="C726" i="1" s="1"/>
  <c r="C732" i="1" s="1"/>
  <c r="C758" i="1" s="1"/>
  <c r="C764" i="1" s="1"/>
  <c r="C770" i="1" s="1"/>
  <c r="C796" i="1" s="1"/>
  <c r="C802" i="1" s="1"/>
  <c r="C808" i="1" s="1"/>
  <c r="C834" i="1" s="1"/>
  <c r="C840" i="1" s="1"/>
  <c r="C846" i="1" s="1"/>
  <c r="C872" i="1" s="1"/>
  <c r="C878" i="1" s="1"/>
  <c r="C884" i="1" s="1"/>
  <c r="C910" i="1" s="1"/>
  <c r="C916" i="1" s="1"/>
  <c r="C922" i="1" s="1"/>
  <c r="C948" i="1" s="1"/>
  <c r="C954" i="1" s="1"/>
  <c r="C960" i="1" s="1"/>
  <c r="C986" i="1" s="1"/>
  <c r="C992" i="1" s="1"/>
  <c r="C998" i="1" s="1"/>
  <c r="C1024" i="1" s="1"/>
  <c r="C1030" i="1" s="1"/>
  <c r="C1036" i="1" s="1"/>
  <c r="C1062" i="1" s="1"/>
  <c r="C1068" i="1" s="1"/>
  <c r="C1074" i="1" s="1"/>
  <c r="C1100" i="1" s="1"/>
  <c r="C1106" i="1" s="1"/>
  <c r="H162" i="1"/>
  <c r="J156" i="1"/>
  <c r="D156" i="1"/>
  <c r="B162" i="1"/>
  <c r="N162" i="1"/>
  <c r="P156" i="1"/>
  <c r="C1112" i="1" l="1"/>
  <c r="N188" i="1"/>
  <c r="N194" i="1" s="1"/>
  <c r="P162" i="1"/>
  <c r="P188" i="1" s="1"/>
  <c r="D162" i="1"/>
  <c r="D188" i="1" s="1"/>
  <c r="B188" i="1"/>
  <c r="B194" i="1" s="1"/>
  <c r="J162" i="1"/>
  <c r="J188" i="1" s="1"/>
  <c r="H188" i="1"/>
  <c r="H194" i="1" s="1"/>
  <c r="C1138" i="1" l="1"/>
  <c r="C1144" i="1" s="1"/>
  <c r="C1150" i="1" s="1"/>
  <c r="C1176" i="1" s="1"/>
  <c r="C1182" i="1" s="1"/>
  <c r="C1188" i="1" s="1"/>
  <c r="C1214" i="1" s="1"/>
  <c r="C1220" i="1" s="1"/>
  <c r="C1226" i="1" s="1"/>
  <c r="C1252" i="1" s="1"/>
  <c r="C1257" i="1" s="1"/>
  <c r="C1263" i="1" s="1"/>
  <c r="C1289" i="1" s="1"/>
  <c r="C1294" i="1" s="1"/>
  <c r="C1300" i="1" s="1"/>
  <c r="C1326" i="1" s="1"/>
  <c r="C1331" i="1" s="1"/>
  <c r="C1337" i="1" s="1"/>
  <c r="C1363" i="1" s="1"/>
  <c r="C1368" i="1" s="1"/>
  <c r="C1374" i="1" s="1"/>
  <c r="C1400" i="1" s="1"/>
  <c r="C1405" i="1" s="1"/>
  <c r="C1411" i="1" s="1"/>
  <c r="C1437" i="1" s="1"/>
  <c r="C1442" i="1" s="1"/>
  <c r="C1448" i="1" s="1"/>
  <c r="C1474" i="1" s="1"/>
  <c r="C1479" i="1" s="1"/>
  <c r="H200" i="1"/>
  <c r="J194" i="1"/>
  <c r="B200" i="1"/>
  <c r="D194" i="1"/>
  <c r="P194" i="1"/>
  <c r="N200" i="1"/>
  <c r="C1485" i="1" l="1"/>
  <c r="D1479" i="1"/>
  <c r="N226" i="1"/>
  <c r="N232" i="1" s="1"/>
  <c r="P200" i="1"/>
  <c r="P226" i="1" s="1"/>
  <c r="B226" i="1"/>
  <c r="B232" i="1" s="1"/>
  <c r="D200" i="1"/>
  <c r="D226" i="1" s="1"/>
  <c r="J200" i="1"/>
  <c r="J226" i="1" s="1"/>
  <c r="H226" i="1"/>
  <c r="H232" i="1" s="1"/>
  <c r="C1511" i="1" l="1"/>
  <c r="C1516" i="1" s="1"/>
  <c r="D1485" i="1"/>
  <c r="D1511" i="1" s="1"/>
  <c r="H238" i="1"/>
  <c r="J232" i="1"/>
  <c r="B238" i="1"/>
  <c r="D232" i="1"/>
  <c r="N238" i="1"/>
  <c r="P232" i="1"/>
  <c r="C1522" i="1" l="1"/>
  <c r="D1516" i="1"/>
  <c r="P238" i="1"/>
  <c r="P264" i="1" s="1"/>
  <c r="N264" i="1"/>
  <c r="N270" i="1" s="1"/>
  <c r="D238" i="1"/>
  <c r="D264" i="1" s="1"/>
  <c r="B264" i="1"/>
  <c r="B270" i="1" s="1"/>
  <c r="H264" i="1"/>
  <c r="H270" i="1" s="1"/>
  <c r="J238" i="1"/>
  <c r="J264" i="1" s="1"/>
  <c r="C1548" i="1" l="1"/>
  <c r="C1553" i="1" s="1"/>
  <c r="D1522" i="1"/>
  <c r="D1548" i="1" s="1"/>
  <c r="J270" i="1"/>
  <c r="H276" i="1"/>
  <c r="D270" i="1"/>
  <c r="B276" i="1"/>
  <c r="N276" i="1"/>
  <c r="P270" i="1"/>
  <c r="C1559" i="1" l="1"/>
  <c r="D1553" i="1"/>
  <c r="N302" i="1"/>
  <c r="N308" i="1" s="1"/>
  <c r="P276" i="1"/>
  <c r="P302" i="1" s="1"/>
  <c r="B302" i="1"/>
  <c r="B308" i="1" s="1"/>
  <c r="D276" i="1"/>
  <c r="D302" i="1" s="1"/>
  <c r="J276" i="1"/>
  <c r="J302" i="1" s="1"/>
  <c r="H302" i="1"/>
  <c r="H308" i="1" s="1"/>
  <c r="C1585" i="1" l="1"/>
  <c r="C1590" i="1" s="1"/>
  <c r="D1559" i="1"/>
  <c r="D1585" i="1" s="1"/>
  <c r="N314" i="1"/>
  <c r="P308" i="1"/>
  <c r="B314" i="1"/>
  <c r="D308" i="1"/>
  <c r="H314" i="1"/>
  <c r="J308" i="1"/>
  <c r="C1596" i="1" l="1"/>
  <c r="D1590" i="1"/>
  <c r="N340" i="1"/>
  <c r="N346" i="1" s="1"/>
  <c r="P314" i="1"/>
  <c r="P340" i="1" s="1"/>
  <c r="D314" i="1"/>
  <c r="D340" i="1" s="1"/>
  <c r="B340" i="1"/>
  <c r="B346" i="1" s="1"/>
  <c r="H340" i="1"/>
  <c r="H346" i="1" s="1"/>
  <c r="J314" i="1"/>
  <c r="J340" i="1" s="1"/>
  <c r="C1622" i="1" l="1"/>
  <c r="C1627" i="1" s="1"/>
  <c r="D1596" i="1"/>
  <c r="D1622" i="1" s="1"/>
  <c r="H352" i="1"/>
  <c r="J346" i="1"/>
  <c r="B352" i="1"/>
  <c r="D346" i="1"/>
  <c r="N352" i="1"/>
  <c r="P346" i="1"/>
  <c r="C1633" i="1" l="1"/>
  <c r="D1627" i="1"/>
  <c r="H378" i="1"/>
  <c r="H384" i="1" s="1"/>
  <c r="J352" i="1"/>
  <c r="J378" i="1" s="1"/>
  <c r="N378" i="1"/>
  <c r="N384" i="1" s="1"/>
  <c r="P352" i="1"/>
  <c r="P378" i="1" s="1"/>
  <c r="B378" i="1"/>
  <c r="B384" i="1" s="1"/>
  <c r="D352" i="1"/>
  <c r="D378" i="1" s="1"/>
  <c r="C1659" i="1" l="1"/>
  <c r="C1664" i="1" s="1"/>
  <c r="D1633" i="1"/>
  <c r="D1659" i="1" s="1"/>
  <c r="N390" i="1"/>
  <c r="P384" i="1"/>
  <c r="B390" i="1"/>
  <c r="D384" i="1"/>
  <c r="H390" i="1"/>
  <c r="J384" i="1"/>
  <c r="C1670" i="1" l="1"/>
  <c r="D1664" i="1"/>
  <c r="N416" i="1"/>
  <c r="N422" i="1" s="1"/>
  <c r="P390" i="1"/>
  <c r="P416" i="1" s="1"/>
  <c r="D390" i="1"/>
  <c r="D416" i="1" s="1"/>
  <c r="B416" i="1"/>
  <c r="B422" i="1" s="1"/>
  <c r="H416" i="1"/>
  <c r="H422" i="1" s="1"/>
  <c r="J390" i="1"/>
  <c r="J416" i="1" s="1"/>
  <c r="C1696" i="1" l="1"/>
  <c r="C1701" i="1" s="1"/>
  <c r="D1670" i="1"/>
  <c r="D1696" i="1" s="1"/>
  <c r="P422" i="1"/>
  <c r="N428" i="1"/>
  <c r="D422" i="1"/>
  <c r="B428" i="1"/>
  <c r="H428" i="1"/>
  <c r="J422" i="1"/>
  <c r="C1707" i="1" l="1"/>
  <c r="D1701" i="1"/>
  <c r="N454" i="1"/>
  <c r="P428" i="1"/>
  <c r="P454" i="1" s="1"/>
  <c r="B454" i="1"/>
  <c r="B460" i="1" s="1"/>
  <c r="D428" i="1"/>
  <c r="D454" i="1" s="1"/>
  <c r="H454" i="1"/>
  <c r="H460" i="1" s="1"/>
  <c r="J428" i="1"/>
  <c r="J454" i="1" s="1"/>
  <c r="C1733" i="1" l="1"/>
  <c r="C1738" i="1" s="1"/>
  <c r="D1707" i="1"/>
  <c r="D1733" i="1" s="1"/>
  <c r="D460" i="1"/>
  <c r="B466" i="1"/>
  <c r="J460" i="1"/>
  <c r="H466" i="1"/>
  <c r="C1744" i="1" l="1"/>
  <c r="D1738" i="1"/>
  <c r="B492" i="1"/>
  <c r="B498" i="1" s="1"/>
  <c r="D466" i="1"/>
  <c r="D492" i="1" s="1"/>
  <c r="H492" i="1"/>
  <c r="H498" i="1" s="1"/>
  <c r="J466" i="1"/>
  <c r="J492" i="1" s="1"/>
  <c r="C1770" i="1" l="1"/>
  <c r="C1775" i="1" s="1"/>
  <c r="D1744" i="1"/>
  <c r="D1770" i="1" s="1"/>
  <c r="B504" i="1"/>
  <c r="D498" i="1"/>
  <c r="H504" i="1"/>
  <c r="J498" i="1"/>
  <c r="C1781" i="1" l="1"/>
  <c r="D1775" i="1"/>
  <c r="D504" i="1"/>
  <c r="D530" i="1" s="1"/>
  <c r="B530" i="1"/>
  <c r="B536" i="1" s="1"/>
  <c r="J504" i="1"/>
  <c r="J530" i="1" s="1"/>
  <c r="H530" i="1"/>
  <c r="H536" i="1" s="1"/>
  <c r="C1807" i="1" l="1"/>
  <c r="D1781" i="1"/>
  <c r="D1807" i="1" s="1"/>
  <c r="D536" i="1"/>
  <c r="B542" i="1"/>
  <c r="J536" i="1"/>
  <c r="H542" i="1"/>
  <c r="D542" i="1" l="1"/>
  <c r="D568" i="1" s="1"/>
  <c r="B568" i="1"/>
  <c r="B574" i="1" s="1"/>
  <c r="H568" i="1"/>
  <c r="H574" i="1" s="1"/>
  <c r="J542" i="1"/>
  <c r="J568" i="1" s="1"/>
  <c r="B580" i="1" l="1"/>
  <c r="D574" i="1"/>
  <c r="H580" i="1"/>
  <c r="J574" i="1"/>
  <c r="B606" i="1" l="1"/>
  <c r="B612" i="1" s="1"/>
  <c r="D580" i="1"/>
  <c r="D606" i="1" s="1"/>
  <c r="H606" i="1"/>
  <c r="H612" i="1" s="1"/>
  <c r="J580" i="1"/>
  <c r="J606" i="1" s="1"/>
  <c r="D612" i="1" l="1"/>
  <c r="B618" i="1"/>
  <c r="H618" i="1"/>
  <c r="J612" i="1"/>
  <c r="B644" i="1" l="1"/>
  <c r="B650" i="1" s="1"/>
  <c r="D618" i="1"/>
  <c r="D644" i="1" s="1"/>
  <c r="H644" i="1"/>
  <c r="H650" i="1" s="1"/>
  <c r="J618" i="1"/>
  <c r="J644" i="1" s="1"/>
  <c r="H656" i="1" l="1"/>
  <c r="J650" i="1"/>
  <c r="B656" i="1"/>
  <c r="D650" i="1"/>
  <c r="J656" i="1" l="1"/>
  <c r="J682" i="1" s="1"/>
  <c r="H682" i="1"/>
  <c r="H688" i="1" s="1"/>
  <c r="B682" i="1"/>
  <c r="B688" i="1" s="1"/>
  <c r="D656" i="1"/>
  <c r="D682" i="1" s="1"/>
  <c r="B694" i="1" l="1"/>
  <c r="D688" i="1"/>
  <c r="J688" i="1"/>
  <c r="H694" i="1"/>
  <c r="B720" i="1" l="1"/>
  <c r="B726" i="1" s="1"/>
  <c r="D694" i="1"/>
  <c r="D720" i="1" s="1"/>
  <c r="H720" i="1"/>
  <c r="H726" i="1" s="1"/>
  <c r="J694" i="1"/>
  <c r="J720" i="1" s="1"/>
  <c r="D726" i="1" l="1"/>
  <c r="B732" i="1"/>
  <c r="H732" i="1"/>
  <c r="J726" i="1"/>
  <c r="B758" i="1" l="1"/>
  <c r="B764" i="1" s="1"/>
  <c r="D732" i="1"/>
  <c r="D758" i="1" s="1"/>
  <c r="H758" i="1"/>
  <c r="H764" i="1" s="1"/>
  <c r="J732" i="1"/>
  <c r="J758" i="1" s="1"/>
  <c r="B770" i="1" l="1"/>
  <c r="D764" i="1"/>
  <c r="H770" i="1"/>
  <c r="J764" i="1"/>
  <c r="B796" i="1" l="1"/>
  <c r="B802" i="1" s="1"/>
  <c r="D770" i="1"/>
  <c r="D796" i="1" s="1"/>
  <c r="H796" i="1"/>
  <c r="H802" i="1" s="1"/>
  <c r="J770" i="1"/>
  <c r="J796" i="1" s="1"/>
  <c r="D802" i="1" l="1"/>
  <c r="B808" i="1"/>
  <c r="H808" i="1"/>
  <c r="J802" i="1"/>
  <c r="D808" i="1" l="1"/>
  <c r="D834" i="1" s="1"/>
  <c r="B834" i="1"/>
  <c r="B840" i="1" s="1"/>
  <c r="H834" i="1"/>
  <c r="H840" i="1" s="1"/>
  <c r="J808" i="1"/>
  <c r="J834" i="1" s="1"/>
  <c r="H846" i="1" l="1"/>
  <c r="J840" i="1"/>
  <c r="B846" i="1"/>
  <c r="D840" i="1"/>
  <c r="B872" i="1" l="1"/>
  <c r="B878" i="1" s="1"/>
  <c r="D846" i="1"/>
  <c r="D872" i="1" s="1"/>
  <c r="J846" i="1"/>
  <c r="J872" i="1" s="1"/>
  <c r="H872" i="1"/>
  <c r="H878" i="1" s="1"/>
  <c r="B884" i="1" l="1"/>
  <c r="D878" i="1"/>
  <c r="H884" i="1"/>
  <c r="J878" i="1"/>
  <c r="B910" i="1" l="1"/>
  <c r="B916" i="1" s="1"/>
  <c r="D884" i="1"/>
  <c r="D910" i="1" s="1"/>
  <c r="H910" i="1"/>
  <c r="H916" i="1" s="1"/>
  <c r="J884" i="1"/>
  <c r="J910" i="1" s="1"/>
  <c r="B922" i="1" l="1"/>
  <c r="D916" i="1"/>
  <c r="H922" i="1"/>
  <c r="J916" i="1"/>
  <c r="B948" i="1" l="1"/>
  <c r="B954" i="1" s="1"/>
  <c r="D922" i="1"/>
  <c r="D948" i="1" s="1"/>
  <c r="J922" i="1"/>
  <c r="J948" i="1" s="1"/>
  <c r="H948" i="1"/>
  <c r="H954" i="1" s="1"/>
  <c r="B960" i="1" l="1"/>
  <c r="D954" i="1"/>
  <c r="H960" i="1"/>
  <c r="J954" i="1"/>
  <c r="B986" i="1" l="1"/>
  <c r="B992" i="1" s="1"/>
  <c r="D960" i="1"/>
  <c r="D986" i="1" s="1"/>
  <c r="H986" i="1"/>
  <c r="H992" i="1" s="1"/>
  <c r="J960" i="1"/>
  <c r="J986" i="1" s="1"/>
  <c r="B998" i="1" l="1"/>
  <c r="D992" i="1"/>
  <c r="H998" i="1"/>
  <c r="J992" i="1"/>
  <c r="B1024" i="1" l="1"/>
  <c r="B1030" i="1" s="1"/>
  <c r="D998" i="1"/>
  <c r="D1024" i="1" s="1"/>
  <c r="J998" i="1"/>
  <c r="J1024" i="1" s="1"/>
  <c r="H1024" i="1"/>
  <c r="H1030" i="1" s="1"/>
  <c r="B1036" i="1" l="1"/>
  <c r="D1030" i="1"/>
  <c r="H1036" i="1"/>
  <c r="J1030" i="1"/>
  <c r="D1036" i="1" l="1"/>
  <c r="D1062" i="1" s="1"/>
  <c r="B1062" i="1"/>
  <c r="B1068" i="1" s="1"/>
  <c r="J1036" i="1"/>
  <c r="J1062" i="1" s="1"/>
  <c r="H1062" i="1"/>
  <c r="H1068" i="1" s="1"/>
  <c r="H1074" i="1" l="1"/>
  <c r="J1068" i="1"/>
  <c r="B1074" i="1"/>
  <c r="D1068" i="1"/>
  <c r="J1074" i="1" l="1"/>
  <c r="J1100" i="1" s="1"/>
  <c r="H1100" i="1"/>
  <c r="H1106" i="1" s="1"/>
  <c r="D1074" i="1"/>
  <c r="D1100" i="1" s="1"/>
  <c r="B1100" i="1"/>
  <c r="B1106" i="1" s="1"/>
  <c r="B1112" i="1" l="1"/>
  <c r="D1106" i="1"/>
  <c r="H1112" i="1"/>
  <c r="J1106" i="1"/>
  <c r="B1138" i="1" l="1"/>
  <c r="B1144" i="1" s="1"/>
  <c r="D1112" i="1"/>
  <c r="D1138" i="1" s="1"/>
  <c r="J1112" i="1"/>
  <c r="J1138" i="1" s="1"/>
  <c r="H1138" i="1"/>
  <c r="H1144" i="1" s="1"/>
  <c r="B1150" i="1" l="1"/>
  <c r="D1144" i="1"/>
  <c r="H1150" i="1"/>
  <c r="J1144" i="1"/>
  <c r="B1176" i="1" l="1"/>
  <c r="B1182" i="1" s="1"/>
  <c r="D1150" i="1"/>
  <c r="D1176" i="1" s="1"/>
  <c r="H1176" i="1"/>
  <c r="H1182" i="1" s="1"/>
  <c r="J1150" i="1"/>
  <c r="J1176" i="1" s="1"/>
  <c r="B1188" i="1" l="1"/>
  <c r="D1182" i="1"/>
  <c r="H1188" i="1"/>
  <c r="J1182" i="1"/>
  <c r="B1214" i="1" l="1"/>
  <c r="B1220" i="1" s="1"/>
  <c r="D1188" i="1"/>
  <c r="D1214" i="1" s="1"/>
  <c r="H1214" i="1"/>
  <c r="H1220" i="1" s="1"/>
  <c r="J1188" i="1"/>
  <c r="J1214" i="1" s="1"/>
  <c r="H1226" i="1" l="1"/>
  <c r="J1220" i="1"/>
  <c r="B1226" i="1"/>
  <c r="D1220" i="1"/>
  <c r="J1226" i="1" l="1"/>
  <c r="J1252" i="1" s="1"/>
  <c r="H1252" i="1"/>
  <c r="H1257" i="1" s="1"/>
  <c r="D1226" i="1"/>
  <c r="D1252" i="1" s="1"/>
  <c r="B1252" i="1"/>
  <c r="B1257" i="1" s="1"/>
  <c r="B1263" i="1" l="1"/>
  <c r="D1257" i="1"/>
  <c r="H1263" i="1"/>
  <c r="J1257" i="1"/>
  <c r="D1263" i="1" l="1"/>
  <c r="D1289" i="1" s="1"/>
  <c r="B1289" i="1"/>
  <c r="B1294" i="1" s="1"/>
  <c r="J1263" i="1"/>
  <c r="J1289" i="1" s="1"/>
  <c r="H1289" i="1"/>
  <c r="H1294" i="1" s="1"/>
  <c r="B1300" i="1" l="1"/>
  <c r="D1294" i="1"/>
  <c r="H1300" i="1"/>
  <c r="J1294" i="1"/>
  <c r="J1300" i="1" l="1"/>
  <c r="J1326" i="1" s="1"/>
  <c r="H1326" i="1"/>
  <c r="H1331" i="1" s="1"/>
  <c r="B1326" i="1"/>
  <c r="B1331" i="1" s="1"/>
  <c r="D1300" i="1"/>
  <c r="D1326" i="1" s="1"/>
  <c r="J1331" i="1" l="1"/>
  <c r="H1337" i="1"/>
  <c r="B1337" i="1"/>
  <c r="D1331" i="1"/>
  <c r="H1363" i="1" l="1"/>
  <c r="H1368" i="1" s="1"/>
  <c r="J1337" i="1"/>
  <c r="J1363" i="1" s="1"/>
  <c r="D1337" i="1"/>
  <c r="D1363" i="1" s="1"/>
  <c r="B1363" i="1"/>
  <c r="B1368" i="1" s="1"/>
  <c r="H1374" i="1" l="1"/>
  <c r="J1368" i="1"/>
  <c r="D1368" i="1"/>
  <c r="B1374" i="1"/>
  <c r="J1374" i="1" l="1"/>
  <c r="J1400" i="1" s="1"/>
  <c r="H1400" i="1"/>
  <c r="H1405" i="1" s="1"/>
  <c r="D1374" i="1"/>
  <c r="D1400" i="1" s="1"/>
  <c r="B1400" i="1"/>
  <c r="B1405" i="1" s="1"/>
  <c r="H1411" i="1" l="1"/>
  <c r="J1405" i="1"/>
  <c r="D1405" i="1"/>
  <c r="B1411" i="1"/>
  <c r="H1437" i="1" l="1"/>
  <c r="H1442" i="1" s="1"/>
  <c r="J1411" i="1"/>
  <c r="J1437" i="1" s="1"/>
  <c r="D1411" i="1"/>
  <c r="D1437" i="1" s="1"/>
  <c r="B1437" i="1"/>
  <c r="B1442" i="1" s="1"/>
  <c r="B1448" i="1" l="1"/>
  <c r="D1442" i="1"/>
  <c r="H1448" i="1"/>
  <c r="J1442" i="1"/>
  <c r="B1474" i="1" l="1"/>
  <c r="D1448" i="1"/>
  <c r="D1474" i="1" s="1"/>
  <c r="H1474" i="1"/>
  <c r="H1479" i="1" s="1"/>
  <c r="J1448" i="1"/>
  <c r="J1474" i="1" s="1"/>
  <c r="H1485" i="1" l="1"/>
  <c r="J1479" i="1"/>
  <c r="J1485" i="1" l="1"/>
  <c r="J1511" i="1" s="1"/>
  <c r="H1511" i="1"/>
  <c r="H1516" i="1" s="1"/>
  <c r="H1522" i="1" l="1"/>
  <c r="J1516" i="1"/>
  <c r="H1548" i="1" l="1"/>
  <c r="H1553" i="1" s="1"/>
  <c r="J1522" i="1"/>
  <c r="J1548" i="1" s="1"/>
  <c r="J1553" i="1" l="1"/>
  <c r="H1559" i="1"/>
  <c r="J1559" i="1" l="1"/>
  <c r="J1585" i="1" s="1"/>
  <c r="H1585" i="1"/>
</calcChain>
</file>

<file path=xl/sharedStrings.xml><?xml version="1.0" encoding="utf-8"?>
<sst xmlns="http://schemas.openxmlformats.org/spreadsheetml/2006/main" count="2909" uniqueCount="394">
  <si>
    <t>計</t>
  </si>
  <si>
    <t>追加</t>
    <rPh sb="0" eb="2">
      <t>ツイカ</t>
    </rPh>
    <phoneticPr fontId="2"/>
  </si>
  <si>
    <t>総数</t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</si>
  <si>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</si>
  <si>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</si>
  <si>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初回</t>
    <rPh sb="0" eb="2">
      <t>ショカイ</t>
    </rPh>
    <phoneticPr fontId="2"/>
  </si>
  <si>
    <t>残在庫</t>
    <rPh sb="0" eb="1">
      <t>ザン</t>
    </rPh>
    <rPh sb="1" eb="3">
      <t>ザイコ</t>
    </rPh>
    <phoneticPr fontId="2"/>
  </si>
  <si>
    <r>
      <t>脇サラサラインナー　</t>
    </r>
    <r>
      <rPr>
        <b/>
        <sz val="20"/>
        <rFont val="ＭＳ Ｐゴシック"/>
        <family val="3"/>
        <charset val="128"/>
      </rPr>
      <t>ハーフ</t>
    </r>
    <r>
      <rPr>
        <b/>
        <sz val="16"/>
        <rFont val="ＭＳ Ｐゴシック"/>
        <family val="3"/>
        <charset val="128"/>
      </rPr>
      <t>　夢販在庫</t>
    </r>
    <rPh sb="0" eb="1">
      <t>ワキ</t>
    </rPh>
    <rPh sb="14" eb="15">
      <t>ユメ</t>
    </rPh>
    <rPh sb="15" eb="16">
      <t>ハン</t>
    </rPh>
    <rPh sb="16" eb="18">
      <t>ザイコ</t>
    </rPh>
    <phoneticPr fontId="2"/>
  </si>
  <si>
    <r>
      <t>脇サラサラインナー　</t>
    </r>
    <r>
      <rPr>
        <b/>
        <sz val="20"/>
        <rFont val="ＭＳ Ｐゴシック"/>
        <family val="3"/>
        <charset val="128"/>
      </rPr>
      <t>ハーフ</t>
    </r>
    <r>
      <rPr>
        <b/>
        <sz val="16"/>
        <rFont val="ＭＳ Ｐゴシック"/>
        <family val="3"/>
        <charset val="128"/>
      </rPr>
      <t>　KPORT在庫</t>
    </r>
    <rPh sb="0" eb="1">
      <t>ワキ</t>
    </rPh>
    <rPh sb="19" eb="21">
      <t>ザイコ</t>
    </rPh>
    <phoneticPr fontId="2"/>
  </si>
  <si>
    <r>
      <t>脇サラサラインナー　</t>
    </r>
    <r>
      <rPr>
        <b/>
        <sz val="20"/>
        <rFont val="ＭＳ Ｐゴシック"/>
        <family val="3"/>
        <charset val="128"/>
      </rPr>
      <t>ハーフ</t>
    </r>
    <r>
      <rPr>
        <b/>
        <sz val="16"/>
        <rFont val="ＭＳ Ｐゴシック"/>
        <family val="3"/>
        <charset val="128"/>
      </rPr>
      <t>　サメリ在庫</t>
    </r>
    <rPh sb="0" eb="1">
      <t>ワキ</t>
    </rPh>
    <rPh sb="17" eb="19">
      <t>ザイコ</t>
    </rPh>
    <phoneticPr fontId="2"/>
  </si>
  <si>
    <t>S～LL</t>
  </si>
  <si>
    <t>S～LL</t>
    <phoneticPr fontId="7"/>
  </si>
  <si>
    <t>ベルーナ5　20年夏号</t>
    <rPh sb="8" eb="9">
      <t>ネン</t>
    </rPh>
    <rPh sb="9" eb="10">
      <t>ナツ</t>
    </rPh>
    <rPh sb="10" eb="11">
      <t>ゴウ</t>
    </rPh>
    <phoneticPr fontId="7"/>
  </si>
  <si>
    <t>テスト2/上旬　本番3/上旬</t>
    <rPh sb="5" eb="7">
      <t>ジョウジュン</t>
    </rPh>
    <rPh sb="8" eb="10">
      <t>ホンバン</t>
    </rPh>
    <rPh sb="12" eb="14">
      <t>ジョウジュン</t>
    </rPh>
    <phoneticPr fontId="7"/>
  </si>
  <si>
    <t>ベルーナ5　20年夏号①</t>
    <rPh sb="8" eb="9">
      <t>ネン</t>
    </rPh>
    <rPh sb="9" eb="10">
      <t>ナツ</t>
    </rPh>
    <rPh sb="10" eb="11">
      <t>ゴウ</t>
    </rPh>
    <phoneticPr fontId="7"/>
  </si>
  <si>
    <t>セシール20年夏号3Ｐ</t>
    <rPh sb="6" eb="7">
      <t>ネン</t>
    </rPh>
    <rPh sb="7" eb="8">
      <t>ナツ</t>
    </rPh>
    <rPh sb="8" eb="9">
      <t>ゴウ</t>
    </rPh>
    <phoneticPr fontId="7"/>
  </si>
  <si>
    <t>セシール20年夏号1Ｐ</t>
    <rPh sb="6" eb="7">
      <t>ネン</t>
    </rPh>
    <rPh sb="7" eb="8">
      <t>ナツ</t>
    </rPh>
    <rPh sb="8" eb="9">
      <t>ゴウ</t>
    </rPh>
    <phoneticPr fontId="7"/>
  </si>
  <si>
    <t>アンファミエ20年春号</t>
    <rPh sb="8" eb="9">
      <t>ネン</t>
    </rPh>
    <rPh sb="9" eb="10">
      <t>ハル</t>
    </rPh>
    <rPh sb="10" eb="11">
      <t>ゴウ</t>
    </rPh>
    <phoneticPr fontId="7"/>
  </si>
  <si>
    <t>3/1～9/30</t>
    <phoneticPr fontId="7"/>
  </si>
  <si>
    <t>営業用サンプル</t>
    <rPh sb="0" eb="2">
      <t>エイギョウ</t>
    </rPh>
    <rPh sb="2" eb="3">
      <t>ヨウ</t>
    </rPh>
    <phoneticPr fontId="7"/>
  </si>
  <si>
    <t>アンファミエ20年夏号継続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</si>
  <si>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夢販</t>
    <rPh sb="0" eb="2">
      <t>ユメハン</t>
    </rPh>
    <phoneticPr fontId="7"/>
  </si>
  <si>
    <t>ネット</t>
    <phoneticPr fontId="7"/>
  </si>
  <si>
    <t>アンファミエ20年春号①</t>
    <rPh sb="8" eb="9">
      <t>ネン</t>
    </rPh>
    <rPh sb="9" eb="10">
      <t>ハル</t>
    </rPh>
    <rPh sb="10" eb="11">
      <t>ゴウ</t>
    </rPh>
    <phoneticPr fontId="7"/>
  </si>
  <si>
    <t>ベルーナ5　20年夏号②</t>
    <rPh sb="8" eb="9">
      <t>ネン</t>
    </rPh>
    <rPh sb="9" eb="10">
      <t>ナツ</t>
    </rPh>
    <rPh sb="10" eb="11">
      <t>ゴウ</t>
    </rPh>
    <phoneticPr fontId="7"/>
  </si>
  <si>
    <t>ベルーナ5　20年夏号③</t>
    <rPh sb="8" eb="9">
      <t>ネン</t>
    </rPh>
    <rPh sb="9" eb="10">
      <t>ナツ</t>
    </rPh>
    <rPh sb="10" eb="11">
      <t>ゴウ</t>
    </rPh>
    <phoneticPr fontId="7"/>
  </si>
  <si>
    <t>ベルーナ5　20年夏号④</t>
    <rPh sb="8" eb="9">
      <t>ネン</t>
    </rPh>
    <rPh sb="9" eb="10">
      <t>ナツ</t>
    </rPh>
    <rPh sb="10" eb="11">
      <t>ゴウ</t>
    </rPh>
    <phoneticPr fontId="7"/>
  </si>
  <si>
    <t>ベルーナ5　20年夏号⑤</t>
    <rPh sb="8" eb="9">
      <t>ネン</t>
    </rPh>
    <rPh sb="9" eb="10">
      <t>ナツ</t>
    </rPh>
    <rPh sb="10" eb="11">
      <t>ゴウ</t>
    </rPh>
    <phoneticPr fontId="7"/>
  </si>
  <si>
    <t>2020/1/30数伝</t>
    <rPh sb="9" eb="10">
      <t>スウ</t>
    </rPh>
    <rPh sb="10" eb="11">
      <t>デン</t>
    </rPh>
    <phoneticPr fontId="7"/>
  </si>
  <si>
    <t>千趣会①</t>
    <rPh sb="0" eb="3">
      <t>センシュカイ</t>
    </rPh>
    <phoneticPr fontId="7"/>
  </si>
  <si>
    <t>アンファミエ20年春号②</t>
    <rPh sb="8" eb="9">
      <t>ネン</t>
    </rPh>
    <rPh sb="9" eb="10">
      <t>ハル</t>
    </rPh>
    <rPh sb="10" eb="11">
      <t>ゴウ</t>
    </rPh>
    <phoneticPr fontId="7"/>
  </si>
  <si>
    <t>アンファミエ20年春号③</t>
    <rPh sb="8" eb="9">
      <t>ネン</t>
    </rPh>
    <rPh sb="9" eb="10">
      <t>ハル</t>
    </rPh>
    <rPh sb="10" eb="11">
      <t>ゴウ</t>
    </rPh>
    <phoneticPr fontId="7"/>
  </si>
  <si>
    <t>千趣会net</t>
    <rPh sb="0" eb="3">
      <t>センシュカイ</t>
    </rPh>
    <phoneticPr fontId="7"/>
  </si>
  <si>
    <t>3/17～</t>
    <phoneticPr fontId="7"/>
  </si>
  <si>
    <t>千趣会②</t>
    <rPh sb="0" eb="3">
      <t>センシュカイ</t>
    </rPh>
    <phoneticPr fontId="7"/>
  </si>
  <si>
    <t>アンファミエ20年春号④</t>
    <rPh sb="8" eb="9">
      <t>ネン</t>
    </rPh>
    <rPh sb="9" eb="10">
      <t>ハル</t>
    </rPh>
    <rPh sb="10" eb="11">
      <t>ゴウ</t>
    </rPh>
    <phoneticPr fontId="7"/>
  </si>
  <si>
    <t>夢販</t>
    <rPh sb="0" eb="2">
      <t>ユメハン</t>
    </rPh>
    <phoneticPr fontId="7"/>
  </si>
  <si>
    <t>6月</t>
    <rPh sb="1" eb="2">
      <t>ガツ</t>
    </rPh>
    <phoneticPr fontId="7"/>
  </si>
  <si>
    <t>ディノス協賛2P</t>
    <rPh sb="4" eb="6">
      <t>キョウサン</t>
    </rPh>
    <phoneticPr fontId="7"/>
  </si>
  <si>
    <t>千趣会③</t>
    <rPh sb="0" eb="3">
      <t>センシュカイ</t>
    </rPh>
    <phoneticPr fontId="7"/>
  </si>
  <si>
    <t>アンファミエ20年春号⑤</t>
    <rPh sb="8" eb="9">
      <t>ネン</t>
    </rPh>
    <rPh sb="9" eb="10">
      <t>ハル</t>
    </rPh>
    <rPh sb="10" eb="11">
      <t>ゴウ</t>
    </rPh>
    <phoneticPr fontId="7"/>
  </si>
  <si>
    <t>不良</t>
    <rPh sb="0" eb="2">
      <t>フリョウ</t>
    </rPh>
    <phoneticPr fontId="7"/>
  </si>
  <si>
    <t>オバタサンプル</t>
    <phoneticPr fontId="7"/>
  </si>
  <si>
    <t>千趣会④</t>
    <rPh sb="0" eb="3">
      <t>センシュカイ</t>
    </rPh>
    <phoneticPr fontId="7"/>
  </si>
  <si>
    <t>セシール20年夏号1Ｐ①</t>
    <rPh sb="6" eb="7">
      <t>ネン</t>
    </rPh>
    <rPh sb="7" eb="8">
      <t>ナツ</t>
    </rPh>
    <rPh sb="8" eb="9">
      <t>ゴウ</t>
    </rPh>
    <phoneticPr fontId="7"/>
  </si>
  <si>
    <t>セシール20年夏号3Ｐ①</t>
    <rPh sb="6" eb="7">
      <t>ネン</t>
    </rPh>
    <rPh sb="7" eb="8">
      <t>ナツ</t>
    </rPh>
    <rPh sb="8" eb="9">
      <t>ゴウ</t>
    </rPh>
    <phoneticPr fontId="7"/>
  </si>
  <si>
    <t>セシール20年夏号3Ｐ②</t>
    <rPh sb="6" eb="7">
      <t>ネン</t>
    </rPh>
    <rPh sb="7" eb="8">
      <t>ナツ</t>
    </rPh>
    <rPh sb="8" eb="9">
      <t>ゴウ</t>
    </rPh>
    <phoneticPr fontId="7"/>
  </si>
  <si>
    <t>夢販</t>
    <rPh sb="0" eb="2">
      <t>ユメハン</t>
    </rPh>
    <phoneticPr fontId="7"/>
  </si>
  <si>
    <t>セシール20年夏号1Ｐ②</t>
    <rPh sb="6" eb="7">
      <t>ネン</t>
    </rPh>
    <rPh sb="7" eb="8">
      <t>ナツ</t>
    </rPh>
    <rPh sb="8" eb="9">
      <t>ゴウ</t>
    </rPh>
    <phoneticPr fontId="7"/>
  </si>
  <si>
    <t>セシール20年夏号3Ｐ③</t>
    <rPh sb="6" eb="7">
      <t>ネン</t>
    </rPh>
    <rPh sb="7" eb="8">
      <t>ナツ</t>
    </rPh>
    <rPh sb="8" eb="9">
      <t>ゴウ</t>
    </rPh>
    <phoneticPr fontId="7"/>
  </si>
  <si>
    <t>千趣会⑤</t>
    <rPh sb="0" eb="3">
      <t>センシュカイ</t>
    </rPh>
    <phoneticPr fontId="7"/>
  </si>
  <si>
    <t>アンファミエ20年春号⑥</t>
    <rPh sb="8" eb="9">
      <t>ネン</t>
    </rPh>
    <rPh sb="9" eb="10">
      <t>ハル</t>
    </rPh>
    <rPh sb="10" eb="11">
      <t>ゴウ</t>
    </rPh>
    <phoneticPr fontId="7"/>
  </si>
  <si>
    <t>夢販</t>
    <rPh sb="0" eb="2">
      <t>ユメハン</t>
    </rPh>
    <phoneticPr fontId="7"/>
  </si>
  <si>
    <t>千趣会⑥</t>
    <rPh sb="0" eb="3">
      <t>センシュカイ</t>
    </rPh>
    <phoneticPr fontId="7"/>
  </si>
  <si>
    <t>セシール20年夏号3Ｐ④</t>
    <rPh sb="6" eb="7">
      <t>ネン</t>
    </rPh>
    <rPh sb="7" eb="8">
      <t>ナツ</t>
    </rPh>
    <rPh sb="8" eb="9">
      <t>ゴウ</t>
    </rPh>
    <phoneticPr fontId="7"/>
  </si>
  <si>
    <t>アンファミエ20年春号⑦</t>
    <rPh sb="8" eb="9">
      <t>ネン</t>
    </rPh>
    <rPh sb="9" eb="10">
      <t>ハル</t>
    </rPh>
    <rPh sb="10" eb="11">
      <t>ゴウ</t>
    </rPh>
    <phoneticPr fontId="7"/>
  </si>
  <si>
    <t>ディノス協賛2P①</t>
    <rPh sb="4" eb="6">
      <t>キョウサン</t>
    </rPh>
    <phoneticPr fontId="7"/>
  </si>
  <si>
    <t>アンファミエ20年春号⑧　</t>
    <rPh sb="8" eb="9">
      <t>ネン</t>
    </rPh>
    <rPh sb="9" eb="10">
      <t>ハル</t>
    </rPh>
    <rPh sb="10" eb="11">
      <t>ゴウ</t>
    </rPh>
    <phoneticPr fontId="7"/>
  </si>
  <si>
    <t>コープさっぽろ7-2ｗ（オバタ）</t>
    <phoneticPr fontId="7"/>
  </si>
  <si>
    <t>①7/2（70％）②7/7（不足分）</t>
    <rPh sb="14" eb="16">
      <t>フソク</t>
    </rPh>
    <rPh sb="16" eb="17">
      <t>ブン</t>
    </rPh>
    <phoneticPr fontId="7"/>
  </si>
  <si>
    <t>セシール20年夏号1Ｐ③</t>
    <rPh sb="6" eb="7">
      <t>ネン</t>
    </rPh>
    <rPh sb="7" eb="8">
      <t>ナツ</t>
    </rPh>
    <rPh sb="8" eb="9">
      <t>ゴウ</t>
    </rPh>
    <phoneticPr fontId="7"/>
  </si>
  <si>
    <t>セシール20年夏号1Ｐ④</t>
    <rPh sb="6" eb="7">
      <t>ネン</t>
    </rPh>
    <rPh sb="7" eb="8">
      <t>ナツ</t>
    </rPh>
    <rPh sb="8" eb="9">
      <t>ゴウ</t>
    </rPh>
    <phoneticPr fontId="7"/>
  </si>
  <si>
    <t>アンファミエ20年春号⑨</t>
    <rPh sb="8" eb="9">
      <t>ネン</t>
    </rPh>
    <rPh sb="9" eb="10">
      <t>ハル</t>
    </rPh>
    <rPh sb="10" eb="11">
      <t>ゴウ</t>
    </rPh>
    <phoneticPr fontId="7"/>
  </si>
  <si>
    <t>千趣会⑦</t>
    <rPh sb="0" eb="3">
      <t>センシュカイ</t>
    </rPh>
    <phoneticPr fontId="7"/>
  </si>
  <si>
    <t>2020/4/16数伝</t>
    <rPh sb="9" eb="10">
      <t>スウ</t>
    </rPh>
    <rPh sb="10" eb="11">
      <t>デン</t>
    </rPh>
    <phoneticPr fontId="7"/>
  </si>
  <si>
    <t>2020/3/7数伝</t>
    <rPh sb="8" eb="9">
      <t>スウ</t>
    </rPh>
    <rPh sb="9" eb="10">
      <t>デン</t>
    </rPh>
    <phoneticPr fontId="7"/>
  </si>
  <si>
    <t>セシール20年夏号1Ｐ⑤</t>
    <rPh sb="6" eb="7">
      <t>ネン</t>
    </rPh>
    <rPh sb="7" eb="8">
      <t>ナツ</t>
    </rPh>
    <rPh sb="8" eb="9">
      <t>ゴウ</t>
    </rPh>
    <phoneticPr fontId="7"/>
  </si>
  <si>
    <t>セシール20年夏号3Ｐ⑤</t>
    <rPh sb="6" eb="7">
      <t>ネン</t>
    </rPh>
    <rPh sb="7" eb="8">
      <t>ナツ</t>
    </rPh>
    <rPh sb="8" eb="9">
      <t>ゴウ</t>
    </rPh>
    <phoneticPr fontId="7"/>
  </si>
  <si>
    <t>アンファミエ20年夏号継続①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</si>
  <si>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セシール20年夏号3Ｐ⑥</t>
    <rPh sb="6" eb="7">
      <t>ネン</t>
    </rPh>
    <rPh sb="7" eb="8">
      <t>ナツ</t>
    </rPh>
    <rPh sb="8" eb="9">
      <t>ゴウ</t>
    </rPh>
    <phoneticPr fontId="7"/>
  </si>
  <si>
    <t>セシール20年夏号1Ｐ⑥</t>
    <rPh sb="6" eb="7">
      <t>ネン</t>
    </rPh>
    <rPh sb="7" eb="8">
      <t>ナツ</t>
    </rPh>
    <rPh sb="8" eb="9">
      <t>ゴウ</t>
    </rPh>
    <phoneticPr fontId="7"/>
  </si>
  <si>
    <t>セシール20年夏号1Ｐ⑦</t>
    <rPh sb="6" eb="7">
      <t>ネン</t>
    </rPh>
    <rPh sb="7" eb="8">
      <t>ナツ</t>
    </rPh>
    <rPh sb="8" eb="9">
      <t>ゴウ</t>
    </rPh>
    <phoneticPr fontId="7"/>
  </si>
  <si>
    <t>セシール20年夏号3Ｐ⑦</t>
    <rPh sb="6" eb="7">
      <t>ネン</t>
    </rPh>
    <rPh sb="7" eb="8">
      <t>ナツ</t>
    </rPh>
    <rPh sb="8" eb="9">
      <t>ゴウ</t>
    </rPh>
    <phoneticPr fontId="7"/>
  </si>
  <si>
    <t>ディノス協賛2P②</t>
    <rPh sb="4" eb="6">
      <t>キョウサン</t>
    </rPh>
    <phoneticPr fontId="7"/>
  </si>
  <si>
    <t>ディノス協賛2P③</t>
    <rPh sb="4" eb="6">
      <t>キョウサン</t>
    </rPh>
    <phoneticPr fontId="7"/>
  </si>
  <si>
    <t>夢販</t>
    <rPh sb="0" eb="2">
      <t>ユメハン</t>
    </rPh>
    <phoneticPr fontId="7"/>
  </si>
  <si>
    <t>ディノス協賛2P④</t>
    <rPh sb="4" eb="6">
      <t>キョウサン</t>
    </rPh>
    <phoneticPr fontId="7"/>
  </si>
  <si>
    <t>ディノス協賛2P⑤</t>
    <rPh sb="4" eb="6">
      <t>キョウサン</t>
    </rPh>
    <phoneticPr fontId="7"/>
  </si>
  <si>
    <t>ディノス協賛2P⑥</t>
    <rPh sb="4" eb="6">
      <t>キョウサン</t>
    </rPh>
    <phoneticPr fontId="7"/>
  </si>
  <si>
    <t>アンファミエ20年夏号継続②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</si>
  <si>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ディノス協賛2P⑦</t>
    <rPh sb="4" eb="6">
      <t>キョウサン</t>
    </rPh>
    <phoneticPr fontId="7"/>
  </si>
  <si>
    <t>2020/6/18数</t>
    <rPh sb="9" eb="10">
      <t>スウ</t>
    </rPh>
    <phoneticPr fontId="7"/>
  </si>
  <si>
    <t>ベルーナ5　20年夏号⑥</t>
    <rPh sb="8" eb="9">
      <t>ネン</t>
    </rPh>
    <rPh sb="9" eb="10">
      <t>ナツ</t>
    </rPh>
    <rPh sb="10" eb="11">
      <t>ゴウ</t>
    </rPh>
    <phoneticPr fontId="7"/>
  </si>
  <si>
    <t>ディノス協賛2P⑧</t>
    <rPh sb="4" eb="6">
      <t>キョウサン</t>
    </rPh>
    <phoneticPr fontId="7"/>
  </si>
  <si>
    <t>コープさっぽろ8-4ｗ（オバタ）</t>
    <phoneticPr fontId="7"/>
  </si>
  <si>
    <t>8/21、8/25</t>
    <phoneticPr fontId="7"/>
  </si>
  <si>
    <t>セシール20年夏号1Ｐ⑧</t>
    <rPh sb="6" eb="7">
      <t>ネン</t>
    </rPh>
    <rPh sb="7" eb="8">
      <t>ナツ</t>
    </rPh>
    <rPh sb="8" eb="9">
      <t>ゴウ</t>
    </rPh>
    <phoneticPr fontId="7"/>
  </si>
  <si>
    <t>セシール20年夏号3Ｐ⑧</t>
    <rPh sb="6" eb="7">
      <t>ネン</t>
    </rPh>
    <rPh sb="7" eb="8">
      <t>ナツ</t>
    </rPh>
    <rPh sb="8" eb="9">
      <t>ゴウ</t>
    </rPh>
    <phoneticPr fontId="7"/>
  </si>
  <si>
    <t>不良</t>
    <rPh sb="0" eb="2">
      <t>フリョウ</t>
    </rPh>
    <phoneticPr fontId="7"/>
  </si>
  <si>
    <t>セシール20年夏号3Ｐ⑨</t>
    <rPh sb="6" eb="7">
      <t>ネン</t>
    </rPh>
    <rPh sb="7" eb="8">
      <t>ナツ</t>
    </rPh>
    <rPh sb="8" eb="9">
      <t>ゴウ</t>
    </rPh>
    <phoneticPr fontId="7"/>
  </si>
  <si>
    <t>アンファミエ20年夏号継続③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</si>
  <si>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アンファミエ20年夏号継続③残</t>
    <rPh sb="8" eb="9">
      <t>ネン</t>
    </rPh>
    <rPh sb="9" eb="10">
      <t>ナツ</t>
    </rPh>
    <rPh sb="10" eb="11">
      <t>ゴウ</t>
    </rPh>
    <rPh sb="11" eb="13">
      <t>ケイゾク</t>
    </rPh>
    <rPh sb="14" eb="15">
      <t>ザン</t>
    </rPh>
    <phoneticPr fontId="7"/>
  </si>
  <si>
    <t>ディノス協賛2P⑨</t>
    <rPh sb="4" eb="6">
      <t>キョウサン</t>
    </rPh>
    <phoneticPr fontId="7"/>
  </si>
  <si>
    <t>2020/6/29数</t>
    <rPh sb="9" eb="10">
      <t>スウ</t>
    </rPh>
    <phoneticPr fontId="7"/>
  </si>
  <si>
    <t>セシール20年夏号3Ｐ⑩</t>
    <rPh sb="6" eb="7">
      <t>ネン</t>
    </rPh>
    <rPh sb="7" eb="8">
      <t>ナツ</t>
    </rPh>
    <rPh sb="8" eb="9">
      <t>ゴウ</t>
    </rPh>
    <phoneticPr fontId="7"/>
  </si>
  <si>
    <t>コープさっぽろ7-2ｗ（オバタ）①</t>
    <phoneticPr fontId="7"/>
  </si>
  <si>
    <t>ベルーナ5　20年夏号⑦</t>
    <rPh sb="8" eb="9">
      <t>ネン</t>
    </rPh>
    <rPh sb="9" eb="10">
      <t>ナツ</t>
    </rPh>
    <rPh sb="10" eb="11">
      <t>ゴウ</t>
    </rPh>
    <phoneticPr fontId="7"/>
  </si>
  <si>
    <t>2020/7/2数</t>
    <rPh sb="8" eb="9">
      <t>スウ</t>
    </rPh>
    <phoneticPr fontId="7"/>
  </si>
  <si>
    <t>コープさっぽろ7-2ｗ（オバタ）②</t>
    <phoneticPr fontId="7"/>
  </si>
  <si>
    <t>アンファミエ20年夏号継続④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</si>
  <si>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ディノス協賛2P⑩</t>
    <rPh sb="4" eb="6">
      <t>キョウサン</t>
    </rPh>
    <phoneticPr fontId="7"/>
  </si>
  <si>
    <t>夢販</t>
    <rPh sb="0" eb="2">
      <t>ユメハン</t>
    </rPh>
    <phoneticPr fontId="7"/>
  </si>
  <si>
    <t>ディノス協賛2P⑪</t>
    <rPh sb="4" eb="6">
      <t>キョウサン</t>
    </rPh>
    <phoneticPr fontId="7"/>
  </si>
  <si>
    <t>アンファミエ20年夏号継続⑤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</si>
  <si>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ディノス協賛2P⑫</t>
    <rPh sb="4" eb="6">
      <t>キョウサン</t>
    </rPh>
    <phoneticPr fontId="7"/>
  </si>
  <si>
    <t>セシール20年夏号3Ｐ⑪</t>
    <rPh sb="6" eb="7">
      <t>ネン</t>
    </rPh>
    <rPh sb="7" eb="8">
      <t>ナツ</t>
    </rPh>
    <rPh sb="8" eb="9">
      <t>ゴウ</t>
    </rPh>
    <phoneticPr fontId="7"/>
  </si>
  <si>
    <t>セシール20年夏号1Ｐ⑨</t>
    <rPh sb="6" eb="7">
      <t>ネン</t>
    </rPh>
    <rPh sb="7" eb="8">
      <t>ナツ</t>
    </rPh>
    <rPh sb="8" eb="9">
      <t>ゴウ</t>
    </rPh>
    <phoneticPr fontId="7"/>
  </si>
  <si>
    <t>コープさっぽろ8-4ｗ（オバタ）①</t>
    <phoneticPr fontId="7"/>
  </si>
  <si>
    <t>コープさっぽろ8-4ｗ（オバタ）②</t>
    <phoneticPr fontId="7"/>
  </si>
  <si>
    <t>ディノス返品</t>
    <rPh sb="4" eb="6">
      <t>ヘンピン</t>
    </rPh>
    <phoneticPr fontId="2"/>
  </si>
  <si>
    <t>アンファミエ20年夏号継続⑥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</si>
  <si>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ディノス協賛2P⑬</t>
    <rPh sb="4" eb="6">
      <t>キョウサン</t>
    </rPh>
    <phoneticPr fontId="7"/>
  </si>
  <si>
    <t>ネット</t>
  </si>
  <si>
    <t>セシール返品</t>
    <rPh sb="4" eb="6">
      <t>ヘンピン</t>
    </rPh>
    <phoneticPr fontId="2"/>
  </si>
  <si>
    <t>夢販</t>
    <rPh sb="0" eb="2">
      <t>ユメハン</t>
    </rPh>
    <phoneticPr fontId="7"/>
  </si>
  <si>
    <t>ベージュ</t>
    <phoneticPr fontId="7"/>
  </si>
  <si>
    <t>ブラック</t>
    <phoneticPr fontId="7"/>
  </si>
  <si>
    <t>ベルーナ返品</t>
    <rPh sb="4" eb="6">
      <t>ヘンピン</t>
    </rPh>
    <phoneticPr fontId="2"/>
  </si>
  <si>
    <t>KPORT</t>
    <phoneticPr fontId="7"/>
  </si>
  <si>
    <t>夢販</t>
    <rPh sb="0" eb="2">
      <t>ユメハン</t>
    </rPh>
    <phoneticPr fontId="2"/>
  </si>
  <si>
    <t>オバタサンプル返却</t>
    <rPh sb="7" eb="9">
      <t>ヘンキャク</t>
    </rPh>
    <phoneticPr fontId="7"/>
  </si>
  <si>
    <t>3月上旬～</t>
    <rPh sb="1" eb="2">
      <t>ガツ</t>
    </rPh>
    <rPh sb="2" eb="4">
      <t>ジョウジュン</t>
    </rPh>
    <phoneticPr fontId="7"/>
  </si>
  <si>
    <t>セシール21年夏特別号1Ｐ①</t>
    <rPh sb="6" eb="7">
      <t>ネン</t>
    </rPh>
    <rPh sb="7" eb="8">
      <t>ナツ</t>
    </rPh>
    <rPh sb="8" eb="10">
      <t>トクベツ</t>
    </rPh>
    <rPh sb="10" eb="11">
      <t>ゴウ</t>
    </rPh>
    <phoneticPr fontId="7"/>
  </si>
  <si>
    <t>セシール21年夏特別号3Ｐ①</t>
    <rPh sb="6" eb="7">
      <t>ネン</t>
    </rPh>
    <rPh sb="7" eb="8">
      <t>ナツ</t>
    </rPh>
    <rPh sb="8" eb="10">
      <t>トクベツ</t>
    </rPh>
    <rPh sb="10" eb="11">
      <t>ゴウ</t>
    </rPh>
    <phoneticPr fontId="7"/>
  </si>
  <si>
    <t>在庫確認</t>
    <rPh sb="0" eb="4">
      <t>ザイコカクニン</t>
    </rPh>
    <phoneticPr fontId="2"/>
  </si>
  <si>
    <t>日生協松田BY</t>
    <rPh sb="0" eb="2">
      <t>ニッセイ</t>
    </rPh>
    <rPh sb="2" eb="3">
      <t>キョウ</t>
    </rPh>
    <rPh sb="3" eb="5">
      <t>マツダ</t>
    </rPh>
    <phoneticPr fontId="7"/>
  </si>
  <si>
    <t>日生協松田BY返却</t>
    <rPh sb="0" eb="2">
      <t>ニッセイ</t>
    </rPh>
    <rPh sb="2" eb="3">
      <t>キョウ</t>
    </rPh>
    <rPh sb="3" eb="5">
      <t>マツダ</t>
    </rPh>
    <rPh sb="7" eb="9">
      <t>ヘンキャク</t>
    </rPh>
    <phoneticPr fontId="7"/>
  </si>
  <si>
    <t>夢販</t>
    <rPh sb="0" eb="2">
      <t>ユメハン</t>
    </rPh>
    <phoneticPr fontId="7"/>
  </si>
  <si>
    <t>セシール21年盛夏号1Ｐ①</t>
    <rPh sb="6" eb="7">
      <t>ネン</t>
    </rPh>
    <rPh sb="7" eb="9">
      <t>セイカ</t>
    </rPh>
    <rPh sb="9" eb="10">
      <t>ゴウ</t>
    </rPh>
    <phoneticPr fontId="7"/>
  </si>
  <si>
    <t>セシール21年盛夏号3Ｐ①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</si>
  <si>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4月中旬～</t>
    <rPh sb="1" eb="2">
      <t>ガツ</t>
    </rPh>
    <rPh sb="2" eb="4">
      <t>チュウジュン</t>
    </rPh>
    <phoneticPr fontId="7"/>
  </si>
  <si>
    <t>セシールsamle返却</t>
    <rPh sb="9" eb="11">
      <t>ヘンキャク</t>
    </rPh>
    <phoneticPr fontId="7"/>
  </si>
  <si>
    <t>シンエイｻﾝﾌﾟﾙ</t>
    <phoneticPr fontId="7"/>
  </si>
  <si>
    <t>セシール21年夏特別号1Ｐ②</t>
    <rPh sb="6" eb="7">
      <t>ネン</t>
    </rPh>
    <rPh sb="7" eb="8">
      <t>ナツ</t>
    </rPh>
    <rPh sb="8" eb="10">
      <t>トクベツ</t>
    </rPh>
    <rPh sb="10" eb="11">
      <t>ゴウ</t>
    </rPh>
    <phoneticPr fontId="7"/>
  </si>
  <si>
    <t>セシール21年夏特別号3Ｐ②</t>
    <rPh sb="6" eb="7">
      <t>ネン</t>
    </rPh>
    <rPh sb="7" eb="8">
      <t>ナツ</t>
    </rPh>
    <rPh sb="8" eb="10">
      <t>トクベツ</t>
    </rPh>
    <rPh sb="10" eb="11">
      <t>ゴウ</t>
    </rPh>
    <phoneticPr fontId="7"/>
  </si>
  <si>
    <t>夢販</t>
    <rPh sb="0" eb="2">
      <t>ユメハン</t>
    </rPh>
    <phoneticPr fontId="7"/>
  </si>
  <si>
    <t>セシール21年盛夏号1Ｐ②</t>
    <rPh sb="6" eb="7">
      <t>ネン</t>
    </rPh>
    <rPh sb="7" eb="9">
      <t>セイカ</t>
    </rPh>
    <rPh sb="9" eb="10">
      <t>ゴウ</t>
    </rPh>
    <phoneticPr fontId="7"/>
  </si>
  <si>
    <t>セシール21年盛夏号3Ｐ②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</si>
  <si>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夢販</t>
    <rPh sb="0" eb="2">
      <t>ユメハン</t>
    </rPh>
    <phoneticPr fontId="7"/>
  </si>
  <si>
    <t>セシール21年盛夏号1Ｐ③</t>
    <rPh sb="6" eb="7">
      <t>ネン</t>
    </rPh>
    <rPh sb="7" eb="9">
      <t>セイカ</t>
    </rPh>
    <rPh sb="9" eb="10">
      <t>ゴウ</t>
    </rPh>
    <phoneticPr fontId="7"/>
  </si>
  <si>
    <t>セシール21年盛夏号3Ｐ③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</si>
  <si>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夢販</t>
    <rPh sb="0" eb="2">
      <t>ユメハン</t>
    </rPh>
    <phoneticPr fontId="7"/>
  </si>
  <si>
    <t>セシール21年盛夏号1Ｐ④</t>
    <rPh sb="6" eb="7">
      <t>ネン</t>
    </rPh>
    <rPh sb="7" eb="9">
      <t>セイカ</t>
    </rPh>
    <rPh sb="9" eb="10">
      <t>ゴウ</t>
    </rPh>
    <phoneticPr fontId="7"/>
  </si>
  <si>
    <t>セシール21年盛夏号3Ｐ④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</si>
  <si>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セシール21年盛夏号3Ｐ⑤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</si>
  <si>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セシール21年盛夏号1Ｐ⑤</t>
    <rPh sb="6" eb="7">
      <t>ネン</t>
    </rPh>
    <rPh sb="7" eb="9">
      <t>セイカ</t>
    </rPh>
    <rPh sb="9" eb="10">
      <t>ゴウ</t>
    </rPh>
    <phoneticPr fontId="7"/>
  </si>
  <si>
    <t>セシール21年盛夏号3Ｐ⑥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</si>
  <si>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セシール21年盛夏号1Ｐ⑥</t>
    <rPh sb="6" eb="7">
      <t>ネン</t>
    </rPh>
    <rPh sb="7" eb="9">
      <t>セイカ</t>
    </rPh>
    <rPh sb="9" eb="10">
      <t>ゴウ</t>
    </rPh>
    <phoneticPr fontId="7"/>
  </si>
  <si>
    <t>セシール21年盛夏号1Ｐ⑦</t>
    <rPh sb="6" eb="7">
      <t>ネン</t>
    </rPh>
    <rPh sb="7" eb="9">
      <t>セイカ</t>
    </rPh>
    <rPh sb="9" eb="10">
      <t>ゴウ</t>
    </rPh>
    <phoneticPr fontId="7"/>
  </si>
  <si>
    <t>セシール21年盛夏号3Ｐ⑦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</si>
  <si>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夢販</t>
    <rPh sb="0" eb="2">
      <t>ユメハン</t>
    </rPh>
    <phoneticPr fontId="7"/>
  </si>
  <si>
    <t>セシール21年盛夏号1Ｐ⑧</t>
    <rPh sb="6" eb="7">
      <t>ネン</t>
    </rPh>
    <rPh sb="7" eb="9">
      <t>セイカ</t>
    </rPh>
    <rPh sb="9" eb="10">
      <t>ゴウ</t>
    </rPh>
    <phoneticPr fontId="7"/>
  </si>
  <si>
    <t>セシール21年盛夏号3Ｐ⑧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</si>
  <si>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セシール21年盛夏号3Ｐ⑨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</si>
  <si>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セシール21年盛夏号1Ｐ⑨</t>
    <rPh sb="6" eb="7">
      <t>ネン</t>
    </rPh>
    <rPh sb="7" eb="9">
      <t>セイカ</t>
    </rPh>
    <rPh sb="9" eb="10">
      <t>ゴウ</t>
    </rPh>
    <phoneticPr fontId="7"/>
  </si>
  <si>
    <t>セシール21年盛夏号3Ｐ⑩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</si>
  <si>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r>
      <t>高知生協8-1ｗ（シンエイ）</t>
    </r>
    <r>
      <rPr>
        <b/>
        <sz val="9"/>
        <rFont val="ＭＳ Ｐゴシック"/>
        <family val="3"/>
        <charset val="128"/>
      </rPr>
      <t>不透明袋①</t>
    </r>
    <rPh sb="0" eb="4">
      <t>コウチセイキョウ</t>
    </rPh>
    <rPh sb="14" eb="18">
      <t>フトウメイフクロ</t>
    </rPh>
    <phoneticPr fontId="7"/>
  </si>
  <si>
    <t>夢販</t>
    <rPh sb="0" eb="2">
      <t>ユメハン</t>
    </rPh>
    <phoneticPr fontId="7"/>
  </si>
  <si>
    <t>セシール21年盛夏号1Ｐ⑩</t>
    <rPh sb="6" eb="7">
      <t>ネン</t>
    </rPh>
    <rPh sb="7" eb="9">
      <t>セイカ</t>
    </rPh>
    <rPh sb="9" eb="10">
      <t>ゴウ</t>
    </rPh>
    <phoneticPr fontId="7"/>
  </si>
  <si>
    <t>セシール21年盛夏号3Ｐ⑪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</si>
  <si>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電話注文</t>
    <rPh sb="0" eb="2">
      <t>デンワ</t>
    </rPh>
    <rPh sb="2" eb="4">
      <t>チュウモン</t>
    </rPh>
    <phoneticPr fontId="7"/>
  </si>
  <si>
    <t>2021/7/16数伝</t>
    <rPh sb="9" eb="10">
      <t>スウ</t>
    </rPh>
    <rPh sb="10" eb="11">
      <t>デン</t>
    </rPh>
    <phoneticPr fontId="7"/>
  </si>
  <si>
    <t>2021/7/26数伝</t>
    <rPh sb="9" eb="11">
      <t>スウデン</t>
    </rPh>
    <phoneticPr fontId="7"/>
  </si>
  <si>
    <r>
      <t>高知生協8-1ｗ（シンエイ）</t>
    </r>
    <r>
      <rPr>
        <b/>
        <sz val="9"/>
        <rFont val="ＭＳ Ｐゴシック"/>
        <family val="3"/>
        <charset val="128"/>
      </rPr>
      <t>不透明袋②</t>
    </r>
    <rPh sb="0" eb="4">
      <t>コウチセイキョウ</t>
    </rPh>
    <rPh sb="14" eb="18">
      <t>フトウメイフクロ</t>
    </rPh>
    <phoneticPr fontId="7"/>
  </si>
  <si>
    <t>夢販</t>
    <rPh sb="0" eb="2">
      <t>ユメハン</t>
    </rPh>
    <phoneticPr fontId="7"/>
  </si>
  <si>
    <r>
      <t>高知生協8-1ｗ（シンエイ）</t>
    </r>
    <r>
      <rPr>
        <b/>
        <sz val="9"/>
        <rFont val="ＭＳ Ｐゴシック"/>
        <family val="3"/>
        <charset val="128"/>
      </rPr>
      <t>不透明袋</t>
    </r>
    <rPh sb="0" eb="4">
      <t>コウチセイキョウ</t>
    </rPh>
    <rPh sb="14" eb="18">
      <t>フトウメイフクロ</t>
    </rPh>
    <phoneticPr fontId="7"/>
  </si>
  <si>
    <t>セシール21年盛夏号1Ｐ⑪</t>
    <rPh sb="6" eb="7">
      <t>ネン</t>
    </rPh>
    <rPh sb="7" eb="9">
      <t>セイカ</t>
    </rPh>
    <rPh sb="9" eb="10">
      <t>ゴウ</t>
    </rPh>
    <phoneticPr fontId="7"/>
  </si>
  <si>
    <t>セシール21年盛夏号3Ｐ⑫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</si>
  <si>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セシール21年盛夏号3Ｐ⑬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</si>
  <si>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セシール21年盛夏号1Ｐ⑫</t>
    <rPh sb="6" eb="7">
      <t>ネン</t>
    </rPh>
    <rPh sb="7" eb="9">
      <t>セイカ</t>
    </rPh>
    <rPh sb="9" eb="10">
      <t>ゴウ</t>
    </rPh>
    <phoneticPr fontId="7"/>
  </si>
  <si>
    <t>ベルーナ3企sample</t>
    <rPh sb="5" eb="6">
      <t>キ</t>
    </rPh>
    <phoneticPr fontId="7"/>
  </si>
  <si>
    <t>シンエイ返品</t>
    <rPh sb="4" eb="6">
      <t>ヘンピン</t>
    </rPh>
    <phoneticPr fontId="2"/>
  </si>
  <si>
    <t>セシール21年盛夏号1Ｐ⑬</t>
    <rPh sb="6" eb="7">
      <t>ネン</t>
    </rPh>
    <rPh sb="7" eb="9">
      <t>セイカ</t>
    </rPh>
    <rPh sb="9" eb="10">
      <t>ゴウ</t>
    </rPh>
    <phoneticPr fontId="7"/>
  </si>
  <si>
    <t>セシール21年盛夏号3Ｐ⑭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</si>
  <si>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セシール21年盛夏号1Ｐ⑭</t>
    <rPh sb="6" eb="7">
      <t>ネン</t>
    </rPh>
    <rPh sb="7" eb="9">
      <t>セイカ</t>
    </rPh>
    <rPh sb="9" eb="10">
      <t>ゴウ</t>
    </rPh>
    <phoneticPr fontId="7"/>
  </si>
  <si>
    <t>セシール21年盛夏号3Ｐ⑮</t>
    <rPh sb="6" eb="7">
      <t>ネン</t>
    </rPh>
    <rPh sb="7" eb="9">
      <t>セイカ</t>
    </rPh>
    <rPh sb="9" eb="10">
      <t>ゴウ</t>
    </rPh>
    <rPh sb="10" eb="11">
      <t>トクゴウ</t>
    </rPh>
    <phoneticPr fontId="7"/>
  </si>
  <si>
    <t>夢販</t>
    <rPh sb="0" eb="2">
      <t>ユメハン</t>
    </rPh>
    <phoneticPr fontId="7"/>
  </si>
  <si>
    <t>くらし企画(棚橋さん)</t>
    <rPh sb="3" eb="5">
      <t>キカク</t>
    </rPh>
    <rPh sb="6" eb="8">
      <t>タナハシ</t>
    </rPh>
    <phoneticPr fontId="7"/>
  </si>
  <si>
    <t>ベルーナ3企sample返却</t>
    <rPh sb="5" eb="6">
      <t>キ</t>
    </rPh>
    <rPh sb="12" eb="14">
      <t>ヘンキャク</t>
    </rPh>
    <phoneticPr fontId="7"/>
  </si>
  <si>
    <t>コープきんき岡田BY</t>
    <rPh sb="6" eb="8">
      <t>オカダ</t>
    </rPh>
    <phoneticPr fontId="7"/>
  </si>
  <si>
    <t>牧野</t>
    <rPh sb="0" eb="2">
      <t>マキノ</t>
    </rPh>
    <phoneticPr fontId="7"/>
  </si>
  <si>
    <t>コープきんき7月3回</t>
    <rPh sb="7" eb="8">
      <t>ガツ</t>
    </rPh>
    <rPh sb="9" eb="10">
      <t>カイ</t>
    </rPh>
    <phoneticPr fontId="7"/>
  </si>
  <si>
    <t>くらし企画（眞鍋さん）</t>
    <rPh sb="3" eb="5">
      <t>キカク</t>
    </rPh>
    <rPh sb="6" eb="8">
      <t>マナベ</t>
    </rPh>
    <phoneticPr fontId="7"/>
  </si>
  <si>
    <t>日生協sample</t>
    <rPh sb="0" eb="3">
      <t>ニッセイキョウ</t>
    </rPh>
    <phoneticPr fontId="7"/>
  </si>
  <si>
    <t>夢販先取り分</t>
    <rPh sb="0" eb="2">
      <t>ユメハン</t>
    </rPh>
    <rPh sb="2" eb="4">
      <t>サキド</t>
    </rPh>
    <rPh sb="5" eb="6">
      <t>ブン</t>
    </rPh>
    <phoneticPr fontId="7"/>
  </si>
  <si>
    <t>先取り分</t>
    <rPh sb="0" eb="2">
      <t>サキド</t>
    </rPh>
    <rPh sb="3" eb="4">
      <t>ブン</t>
    </rPh>
    <phoneticPr fontId="2"/>
  </si>
  <si>
    <t>くらし企画（安島さん）</t>
    <rPh sb="3" eb="5">
      <t>キカク</t>
    </rPh>
    <rPh sb="6" eb="8">
      <t>アジマ</t>
    </rPh>
    <phoneticPr fontId="7"/>
  </si>
  <si>
    <t>サクラマチ（齋藤さん）</t>
    <rPh sb="6" eb="8">
      <t>サイトウ</t>
    </rPh>
    <phoneticPr fontId="7"/>
  </si>
  <si>
    <t>はぴねすくらぶsample</t>
    <phoneticPr fontId="7"/>
  </si>
  <si>
    <t>東都生協6月3回</t>
    <rPh sb="0" eb="4">
      <t>トウトセイキョウ</t>
    </rPh>
    <rPh sb="5" eb="6">
      <t>ガツ</t>
    </rPh>
    <rPh sb="7" eb="8">
      <t>カイ</t>
    </rPh>
    <phoneticPr fontId="7"/>
  </si>
  <si>
    <t>6/13～22（1～5回）</t>
    <rPh sb="11" eb="12">
      <t>カイ</t>
    </rPh>
    <phoneticPr fontId="7"/>
  </si>
  <si>
    <t>日生協sample返却</t>
    <rPh sb="0" eb="3">
      <t>ニッセイキョウ</t>
    </rPh>
    <rPh sb="9" eb="11">
      <t>ヘンキャク</t>
    </rPh>
    <phoneticPr fontId="7"/>
  </si>
  <si>
    <t>くらし企画（安島さん）返却</t>
    <rPh sb="3" eb="5">
      <t>キカク</t>
    </rPh>
    <rPh sb="6" eb="8">
      <t>アジマ</t>
    </rPh>
    <rPh sb="11" eb="13">
      <t>ヘンキャク</t>
    </rPh>
    <phoneticPr fontId="7"/>
  </si>
  <si>
    <t xml:space="preserve">千趣会CRAS 7月号 同色2枚 </t>
    <rPh sb="0" eb="3">
      <t>センシュカイ</t>
    </rPh>
    <rPh sb="9" eb="11">
      <t>ガツゴウ</t>
    </rPh>
    <rPh sb="12" eb="14">
      <t>ドウショク</t>
    </rPh>
    <rPh sb="15" eb="16">
      <t>マイ</t>
    </rPh>
    <phoneticPr fontId="7"/>
  </si>
  <si>
    <t>6/20～</t>
    <phoneticPr fontId="7"/>
  </si>
  <si>
    <t>くらし企画（安島さん）sample</t>
    <rPh sb="3" eb="5">
      <t>キカク</t>
    </rPh>
    <rPh sb="6" eb="8">
      <t>アジマ</t>
    </rPh>
    <phoneticPr fontId="7"/>
  </si>
  <si>
    <t>点6/23、アバウト7/12、本7/13～23</t>
    <rPh sb="0" eb="1">
      <t>テン</t>
    </rPh>
    <rPh sb="15" eb="16">
      <t>ホン</t>
    </rPh>
    <phoneticPr fontId="7"/>
  </si>
  <si>
    <t>千趣会CRAS 7月号 同色2枚 ①</t>
    <rPh sb="0" eb="3">
      <t>センシュカイ</t>
    </rPh>
    <rPh sb="9" eb="11">
      <t>ガツゴウ</t>
    </rPh>
    <rPh sb="12" eb="14">
      <t>ドウショク</t>
    </rPh>
    <rPh sb="15" eb="16">
      <t>マイ</t>
    </rPh>
    <phoneticPr fontId="7"/>
  </si>
  <si>
    <t>2022/5/13数伝</t>
    <rPh sb="9" eb="10">
      <t>スウ</t>
    </rPh>
    <rPh sb="10" eb="11">
      <t>デン</t>
    </rPh>
    <phoneticPr fontId="7"/>
  </si>
  <si>
    <t>コープきんき7月3回①</t>
    <rPh sb="7" eb="8">
      <t>ガツ</t>
    </rPh>
    <rPh sb="9" eb="10">
      <t>カイ</t>
    </rPh>
    <phoneticPr fontId="7"/>
  </si>
  <si>
    <t>夢販</t>
    <rPh sb="0" eb="2">
      <t>ユメハン</t>
    </rPh>
    <phoneticPr fontId="7"/>
  </si>
  <si>
    <t>東都生協6月3回①</t>
    <rPh sb="0" eb="4">
      <t>トウトセイキョウ</t>
    </rPh>
    <rPh sb="5" eb="6">
      <t>ガツ</t>
    </rPh>
    <rPh sb="7" eb="8">
      <t>カイ</t>
    </rPh>
    <phoneticPr fontId="7"/>
  </si>
  <si>
    <t>千趣会CRAS 7月号 同色2枚 ②</t>
    <rPh sb="0" eb="3">
      <t>センシュカイ</t>
    </rPh>
    <rPh sb="9" eb="11">
      <t>ガツゴウ</t>
    </rPh>
    <rPh sb="12" eb="14">
      <t>ドウショク</t>
    </rPh>
    <rPh sb="15" eb="16">
      <t>マイ</t>
    </rPh>
    <phoneticPr fontId="7"/>
  </si>
  <si>
    <t>夢販</t>
    <rPh sb="0" eb="2">
      <t>ユメハン</t>
    </rPh>
    <phoneticPr fontId="7"/>
  </si>
  <si>
    <t>千趣会CRAS 7月号 同色2枚 ③</t>
    <rPh sb="0" eb="3">
      <t>センシュカイ</t>
    </rPh>
    <rPh sb="9" eb="11">
      <t>ガツゴウ</t>
    </rPh>
    <rPh sb="12" eb="14">
      <t>ドウショク</t>
    </rPh>
    <rPh sb="15" eb="16">
      <t>マイ</t>
    </rPh>
    <phoneticPr fontId="7"/>
  </si>
  <si>
    <t>千趣会CRAS 7月号 同色2枚 ④</t>
    <rPh sb="0" eb="3">
      <t>センシュカイ</t>
    </rPh>
    <rPh sb="9" eb="11">
      <t>ガツゴウ</t>
    </rPh>
    <rPh sb="12" eb="14">
      <t>ドウショク</t>
    </rPh>
    <rPh sb="15" eb="16">
      <t>マイ</t>
    </rPh>
    <phoneticPr fontId="7"/>
  </si>
  <si>
    <t>2022/6/23数伝</t>
    <rPh sb="9" eb="10">
      <t>スウ</t>
    </rPh>
    <rPh sb="10" eb="11">
      <t>デン</t>
    </rPh>
    <phoneticPr fontId="7"/>
  </si>
  <si>
    <t>コープきんき7月3回②</t>
    <rPh sb="7" eb="8">
      <t>ガツ</t>
    </rPh>
    <rPh sb="9" eb="10">
      <t>カイ</t>
    </rPh>
    <phoneticPr fontId="7"/>
  </si>
  <si>
    <t>コープきんき7月3回③</t>
    <rPh sb="7" eb="8">
      <t>ガツ</t>
    </rPh>
    <rPh sb="9" eb="10">
      <t>カイ</t>
    </rPh>
    <phoneticPr fontId="7"/>
  </si>
  <si>
    <t>コープきんき7月3回④</t>
    <rPh sb="7" eb="8">
      <t>ガツ</t>
    </rPh>
    <rPh sb="9" eb="10">
      <t>カイ</t>
    </rPh>
    <phoneticPr fontId="7"/>
  </si>
  <si>
    <t>千趣会返品</t>
    <rPh sb="0" eb="3">
      <t>センシュカイ</t>
    </rPh>
    <rPh sb="3" eb="5">
      <t>ヘンピン</t>
    </rPh>
    <phoneticPr fontId="7"/>
  </si>
  <si>
    <t>夢販</t>
    <rPh sb="0" eb="2">
      <t>ユメハン</t>
    </rPh>
    <phoneticPr fontId="7"/>
  </si>
  <si>
    <t>はぴねすくらぶsample返却</t>
    <rPh sb="13" eb="15">
      <t>ヘンキャク</t>
    </rPh>
    <phoneticPr fontId="7"/>
  </si>
  <si>
    <t>サクラマチ返品</t>
    <rPh sb="5" eb="7">
      <t>ヘンピン</t>
    </rPh>
    <phoneticPr fontId="7"/>
  </si>
  <si>
    <t>棚卸</t>
    <rPh sb="0" eb="2">
      <t>タナオロシ</t>
    </rPh>
    <phoneticPr fontId="2"/>
  </si>
  <si>
    <t>くらし返品</t>
    <rPh sb="3" eb="5">
      <t>ヘンピン</t>
    </rPh>
    <phoneticPr fontId="2"/>
  </si>
  <si>
    <t>千趣会返品</t>
    <rPh sb="0" eb="3">
      <t>センシュカイ</t>
    </rPh>
    <rPh sb="3" eb="5">
      <t>ヘンピン</t>
    </rPh>
    <phoneticPr fontId="2"/>
  </si>
  <si>
    <t>丸藤サンプル返品</t>
    <rPh sb="0" eb="2">
      <t>マルフジ</t>
    </rPh>
    <rPh sb="6" eb="8">
      <t>ヘンピン</t>
    </rPh>
    <phoneticPr fontId="2"/>
  </si>
  <si>
    <t>追加</t>
    <rPh sb="0" eb="2">
      <t>ツイカ</t>
    </rPh>
    <phoneticPr fontId="7"/>
  </si>
  <si>
    <t>夢販</t>
    <rPh sb="0" eb="2">
      <t>ユメハン</t>
    </rPh>
    <phoneticPr fontId="7"/>
  </si>
  <si>
    <t>コープきんき5月5回差分予測</t>
    <rPh sb="7" eb="8">
      <t>ガツ</t>
    </rPh>
    <rPh sb="9" eb="10">
      <t>カイ</t>
    </rPh>
    <rPh sb="10" eb="14">
      <t>サブンヨソク</t>
    </rPh>
    <phoneticPr fontId="7"/>
  </si>
  <si>
    <t>点5/11、アバウト5/23、5/24～6/3</t>
    <rPh sb="0" eb="1">
      <t>テン</t>
    </rPh>
    <phoneticPr fontId="7"/>
  </si>
  <si>
    <t>在庫調整</t>
    <rPh sb="0" eb="4">
      <t>ザイコチョウセイ</t>
    </rPh>
    <phoneticPr fontId="7"/>
  </si>
  <si>
    <t>サクラマチsample</t>
    <phoneticPr fontId="7"/>
  </si>
  <si>
    <t>追加</t>
    <rPh sb="0" eb="2">
      <t>ツイカ</t>
    </rPh>
    <phoneticPr fontId="7"/>
  </si>
  <si>
    <t>追加</t>
    <rPh sb="0" eb="2">
      <t>ツイカ</t>
    </rPh>
    <phoneticPr fontId="7"/>
  </si>
  <si>
    <r>
      <t>コープきんき5月5回</t>
    </r>
    <r>
      <rPr>
        <b/>
        <sz val="11"/>
        <rFont val="ＭＳ Ｐゴシック"/>
        <family val="3"/>
        <charset val="128"/>
      </rPr>
      <t>（不透明袋）①</t>
    </r>
    <rPh sb="7" eb="8">
      <t>ガツ</t>
    </rPh>
    <rPh sb="9" eb="10">
      <t>カイ</t>
    </rPh>
    <rPh sb="11" eb="15">
      <t>フトウメイフクロ</t>
    </rPh>
    <phoneticPr fontId="7"/>
  </si>
  <si>
    <t>Amazon</t>
    <phoneticPr fontId="7"/>
  </si>
  <si>
    <t>点6/29、アバウト7/18、本7/19～29</t>
    <rPh sb="0" eb="1">
      <t>テン</t>
    </rPh>
    <rPh sb="15" eb="16">
      <t>ホン</t>
    </rPh>
    <phoneticPr fontId="7"/>
  </si>
  <si>
    <t>コープきんき7月4回差分予測</t>
    <rPh sb="7" eb="8">
      <t>ガツ</t>
    </rPh>
    <rPh sb="9" eb="10">
      <t>カイ</t>
    </rPh>
    <rPh sb="10" eb="14">
      <t>サブンヨソク</t>
    </rPh>
    <phoneticPr fontId="7"/>
  </si>
  <si>
    <r>
      <t>コープきんき5月5回</t>
    </r>
    <r>
      <rPr>
        <b/>
        <sz val="11"/>
        <rFont val="ＭＳ Ｐゴシック"/>
        <family val="3"/>
        <charset val="128"/>
      </rPr>
      <t>（不透明袋）②</t>
    </r>
    <rPh sb="7" eb="8">
      <t>ガツ</t>
    </rPh>
    <rPh sb="9" eb="10">
      <t>カイ</t>
    </rPh>
    <rPh sb="11" eb="15">
      <t>フトウメイフクロ</t>
    </rPh>
    <phoneticPr fontId="7"/>
  </si>
  <si>
    <r>
      <t>コープきんき5月5回</t>
    </r>
    <r>
      <rPr>
        <b/>
        <sz val="11"/>
        <rFont val="ＭＳ Ｐゴシック"/>
        <family val="3"/>
        <charset val="128"/>
      </rPr>
      <t>（不透明袋）③</t>
    </r>
    <rPh sb="7" eb="8">
      <t>ガツ</t>
    </rPh>
    <rPh sb="9" eb="10">
      <t>カイ</t>
    </rPh>
    <rPh sb="11" eb="15">
      <t>フトウメイフクロ</t>
    </rPh>
    <phoneticPr fontId="7"/>
  </si>
  <si>
    <t>Amazon</t>
    <phoneticPr fontId="7"/>
  </si>
  <si>
    <r>
      <t>コープきんき5月5回</t>
    </r>
    <r>
      <rPr>
        <b/>
        <sz val="11"/>
        <rFont val="ＭＳ Ｐゴシック"/>
        <family val="3"/>
        <charset val="128"/>
      </rPr>
      <t>（不透明袋）</t>
    </r>
    <rPh sb="7" eb="8">
      <t>ガツ</t>
    </rPh>
    <rPh sb="9" eb="10">
      <t>カイ</t>
    </rPh>
    <rPh sb="11" eb="15">
      <t>フトウメイフクロ</t>
    </rPh>
    <phoneticPr fontId="7"/>
  </si>
  <si>
    <t>Amazon</t>
    <phoneticPr fontId="7"/>
  </si>
  <si>
    <t>Amazon</t>
    <phoneticPr fontId="7"/>
  </si>
  <si>
    <t>Amazon</t>
    <phoneticPr fontId="7"/>
  </si>
  <si>
    <t>Amazon</t>
    <phoneticPr fontId="7"/>
  </si>
  <si>
    <t>Amazon</t>
    <phoneticPr fontId="7"/>
  </si>
  <si>
    <t>Amazon</t>
    <phoneticPr fontId="7"/>
  </si>
  <si>
    <t>IEIサンプル</t>
    <phoneticPr fontId="7"/>
  </si>
  <si>
    <r>
      <t>コープきんき7月4回</t>
    </r>
    <r>
      <rPr>
        <b/>
        <sz val="11"/>
        <rFont val="ＭＳ Ｐゴシック"/>
        <family val="3"/>
        <charset val="128"/>
      </rPr>
      <t>（不透明袋）①</t>
    </r>
    <rPh sb="7" eb="8">
      <t>ガツ</t>
    </rPh>
    <rPh sb="9" eb="10">
      <t>カイ</t>
    </rPh>
    <rPh sb="11" eb="15">
      <t>フトウメイフクロ</t>
    </rPh>
    <phoneticPr fontId="7"/>
  </si>
  <si>
    <t>Amazon</t>
    <phoneticPr fontId="7"/>
  </si>
  <si>
    <t>Amazon</t>
    <phoneticPr fontId="7"/>
  </si>
  <si>
    <t>くらし企画返品</t>
    <rPh sb="3" eb="7">
      <t>キカクヘンピン</t>
    </rPh>
    <phoneticPr fontId="2"/>
  </si>
  <si>
    <r>
      <t>コープきんき7月4回</t>
    </r>
    <r>
      <rPr>
        <b/>
        <sz val="11"/>
        <rFont val="ＭＳ Ｐゴシック"/>
        <family val="3"/>
        <charset val="128"/>
      </rPr>
      <t>（不透明袋）②</t>
    </r>
    <rPh sb="7" eb="8">
      <t>ガツ</t>
    </rPh>
    <rPh sb="9" eb="10">
      <t>カイ</t>
    </rPh>
    <rPh sb="11" eb="15">
      <t>フトウメイフクロ</t>
    </rPh>
    <phoneticPr fontId="7"/>
  </si>
  <si>
    <t>Amazon</t>
    <phoneticPr fontId="7"/>
  </si>
  <si>
    <t>追加</t>
    <rPh sb="0" eb="2">
      <t>ツイカ</t>
    </rPh>
    <phoneticPr fontId="7"/>
  </si>
  <si>
    <r>
      <t>コープきんき7月4回</t>
    </r>
    <r>
      <rPr>
        <b/>
        <sz val="11"/>
        <rFont val="ＭＳ Ｐゴシック"/>
        <family val="3"/>
        <charset val="128"/>
      </rPr>
      <t>（不透明袋）③</t>
    </r>
    <rPh sb="7" eb="8">
      <t>ガツ</t>
    </rPh>
    <rPh sb="9" eb="10">
      <t>カイ</t>
    </rPh>
    <rPh sb="11" eb="15">
      <t>フトウメイフクロ</t>
    </rPh>
    <phoneticPr fontId="7"/>
  </si>
  <si>
    <r>
      <t>コープきんき7月4回</t>
    </r>
    <r>
      <rPr>
        <b/>
        <sz val="11"/>
        <rFont val="ＭＳ Ｐゴシック"/>
        <family val="3"/>
        <charset val="128"/>
      </rPr>
      <t>（不透明袋）④</t>
    </r>
    <rPh sb="7" eb="8">
      <t>ガツ</t>
    </rPh>
    <rPh sb="9" eb="10">
      <t>カイ</t>
    </rPh>
    <rPh sb="11" eb="15">
      <t>フトウメイフクロ</t>
    </rPh>
    <phoneticPr fontId="7"/>
  </si>
  <si>
    <t>Amazon</t>
    <phoneticPr fontId="7"/>
  </si>
  <si>
    <t>夢販</t>
    <rPh sb="0" eb="2">
      <t>ユメハン</t>
    </rPh>
    <phoneticPr fontId="7"/>
  </si>
  <si>
    <t>Amazon</t>
    <phoneticPr fontId="7"/>
  </si>
  <si>
    <t>楽天倉庫</t>
    <rPh sb="0" eb="2">
      <t>ラクテン</t>
    </rPh>
    <rPh sb="2" eb="4">
      <t>ソウコ</t>
    </rPh>
    <phoneticPr fontId="7"/>
  </si>
  <si>
    <r>
      <t>コープきんき7月4回</t>
    </r>
    <r>
      <rPr>
        <b/>
        <sz val="11"/>
        <rFont val="ＭＳ Ｐゴシック"/>
        <family val="3"/>
        <charset val="128"/>
      </rPr>
      <t>（不透明袋）</t>
    </r>
    <rPh sb="7" eb="8">
      <t>ガツ</t>
    </rPh>
    <rPh sb="9" eb="10">
      <t>カイ</t>
    </rPh>
    <rPh sb="11" eb="15">
      <t>フトウメイフクロ</t>
    </rPh>
    <phoneticPr fontId="7"/>
  </si>
  <si>
    <t>追加</t>
    <rPh sb="0" eb="2">
      <t>ツイカ</t>
    </rPh>
    <phoneticPr fontId="7"/>
  </si>
  <si>
    <t>Amazon</t>
    <phoneticPr fontId="7"/>
  </si>
  <si>
    <t>くらし返品予定</t>
    <rPh sb="3" eb="5">
      <t>ヘンピン</t>
    </rPh>
    <rPh sb="5" eb="7">
      <t>ヨテイ</t>
    </rPh>
    <phoneticPr fontId="2"/>
  </si>
  <si>
    <t>Amazon</t>
    <phoneticPr fontId="7"/>
  </si>
  <si>
    <t>楽天倉庫</t>
    <phoneticPr fontId="7"/>
  </si>
  <si>
    <t>Amazon</t>
    <phoneticPr fontId="7"/>
  </si>
  <si>
    <t>追加</t>
    <rPh sb="0" eb="2">
      <t>ツイカ</t>
    </rPh>
    <phoneticPr fontId="7"/>
  </si>
  <si>
    <t>Amazon</t>
    <phoneticPr fontId="7"/>
  </si>
  <si>
    <t>再生</t>
    <rPh sb="0" eb="2">
      <t>サイセイ</t>
    </rPh>
    <phoneticPr fontId="7"/>
  </si>
  <si>
    <t>Amazon</t>
    <phoneticPr fontId="7"/>
  </si>
  <si>
    <t>Amazon</t>
    <phoneticPr fontId="7"/>
  </si>
  <si>
    <t>サクラマチ(齋藤さん)sample</t>
    <rPh sb="6" eb="8">
      <t>サイトウ</t>
    </rPh>
    <phoneticPr fontId="7"/>
  </si>
  <si>
    <t>追加</t>
    <rPh sb="0" eb="2">
      <t>ツイカ</t>
    </rPh>
    <phoneticPr fontId="7"/>
  </si>
  <si>
    <t>伝票日付要相談</t>
    <rPh sb="0" eb="2">
      <t>デンピョウ</t>
    </rPh>
    <rPh sb="2" eb="4">
      <t>ヒヅケ</t>
    </rPh>
    <rPh sb="4" eb="7">
      <t>ヨウソウダン</t>
    </rPh>
    <phoneticPr fontId="7"/>
  </si>
  <si>
    <t>コープきんき5月2回（不透明袋）</t>
    <rPh sb="7" eb="8">
      <t>ガツ</t>
    </rPh>
    <rPh sb="9" eb="10">
      <t>カイ</t>
    </rPh>
    <rPh sb="11" eb="15">
      <t>フトウメイフクロ</t>
    </rPh>
    <phoneticPr fontId="7"/>
  </si>
  <si>
    <t>Amazon</t>
    <phoneticPr fontId="7"/>
  </si>
  <si>
    <t>Amazon</t>
    <phoneticPr fontId="7"/>
  </si>
  <si>
    <t>IEI提案sample</t>
    <rPh sb="3" eb="5">
      <t>テイアン</t>
    </rPh>
    <phoneticPr fontId="7"/>
  </si>
  <si>
    <t>点4/11、アバウト4/30、本5/1～11</t>
    <rPh sb="0" eb="1">
      <t>テン</t>
    </rPh>
    <rPh sb="15" eb="16">
      <t>ホン</t>
    </rPh>
    <phoneticPr fontId="7"/>
  </si>
  <si>
    <t>夢販</t>
    <rPh sb="0" eb="2">
      <t>ユメハン</t>
    </rPh>
    <phoneticPr fontId="7"/>
  </si>
  <si>
    <t>IEI使ってヨカッタ6月号2色4枚組</t>
    <rPh sb="3" eb="4">
      <t>ツカ</t>
    </rPh>
    <rPh sb="11" eb="13">
      <t>ガツゴウ</t>
    </rPh>
    <rPh sb="14" eb="15">
      <t>ショク</t>
    </rPh>
    <rPh sb="16" eb="18">
      <t>マイクミ</t>
    </rPh>
    <phoneticPr fontId="7"/>
  </si>
  <si>
    <t>6/3～</t>
    <phoneticPr fontId="7"/>
  </si>
  <si>
    <t>2024年1/12済伝　３月１日伝票</t>
    <rPh sb="4" eb="5">
      <t>ネン</t>
    </rPh>
    <rPh sb="9" eb="10">
      <t>スミ</t>
    </rPh>
    <rPh sb="10" eb="11">
      <t>デン</t>
    </rPh>
    <rPh sb="13" eb="14">
      <t>ガツ</t>
    </rPh>
    <rPh sb="15" eb="16">
      <t>ヒ</t>
    </rPh>
    <rPh sb="16" eb="18">
      <t>デンピョウ</t>
    </rPh>
    <phoneticPr fontId="7"/>
  </si>
  <si>
    <t>コープきんき5月2回差分予測</t>
    <rPh sb="7" eb="8">
      <t>ガツ</t>
    </rPh>
    <rPh sb="9" eb="10">
      <t>カイ</t>
    </rPh>
    <rPh sb="10" eb="14">
      <t>サブンヨソク</t>
    </rPh>
    <phoneticPr fontId="7"/>
  </si>
  <si>
    <t>コープきんき6月2回差分予測</t>
    <rPh sb="7" eb="8">
      <t>ガツ</t>
    </rPh>
    <rPh sb="9" eb="10">
      <t>カイ</t>
    </rPh>
    <rPh sb="10" eb="14">
      <t>サブンヨソク</t>
    </rPh>
    <phoneticPr fontId="7"/>
  </si>
  <si>
    <t>コープきんき6月2回（不透明袋）</t>
    <rPh sb="7" eb="8">
      <t>ガツ</t>
    </rPh>
    <rPh sb="9" eb="10">
      <t>カイ</t>
    </rPh>
    <rPh sb="11" eb="15">
      <t>フトウメイフクロ</t>
    </rPh>
    <phoneticPr fontId="7"/>
  </si>
  <si>
    <t>点5/16、アバウト6/4、本6/5～15</t>
    <rPh sb="0" eb="1">
      <t>テン</t>
    </rPh>
    <rPh sb="14" eb="15">
      <t>ホン</t>
    </rPh>
    <phoneticPr fontId="7"/>
  </si>
  <si>
    <t>コープきんき5月2回（不透明袋）①</t>
    <rPh sb="7" eb="8">
      <t>ガツ</t>
    </rPh>
    <rPh sb="9" eb="10">
      <t>カイ</t>
    </rPh>
    <rPh sb="11" eb="15">
      <t>フトウメイフクロ</t>
    </rPh>
    <phoneticPr fontId="7"/>
  </si>
  <si>
    <t>追加</t>
    <rPh sb="0" eb="2">
      <t>ツイカ</t>
    </rPh>
    <phoneticPr fontId="7"/>
  </si>
  <si>
    <t>コープきんき5月2回（不透明袋）②</t>
    <rPh sb="7" eb="8">
      <t>ガツ</t>
    </rPh>
    <rPh sb="9" eb="10">
      <t>カイ</t>
    </rPh>
    <rPh sb="11" eb="15">
      <t>フトウメイフクロ</t>
    </rPh>
    <phoneticPr fontId="7"/>
  </si>
  <si>
    <t>コープきんき5月2回（不透明袋）③</t>
    <rPh sb="7" eb="8">
      <t>ガツ</t>
    </rPh>
    <rPh sb="9" eb="10">
      <t>カイ</t>
    </rPh>
    <rPh sb="11" eb="15">
      <t>フトウメイフクロ</t>
    </rPh>
    <phoneticPr fontId="7"/>
  </si>
  <si>
    <t>コープきんき7月3回（不透明袋）</t>
    <rPh sb="7" eb="8">
      <t>ガツ</t>
    </rPh>
    <rPh sb="9" eb="10">
      <t>カイ</t>
    </rPh>
    <rPh sb="11" eb="15">
      <t>フトウメイフクロ</t>
    </rPh>
    <phoneticPr fontId="7"/>
  </si>
  <si>
    <t>コープきんき7月3回差分予測</t>
    <rPh sb="7" eb="8">
      <t>ガツ</t>
    </rPh>
    <rPh sb="9" eb="10">
      <t>カイ</t>
    </rPh>
    <rPh sb="10" eb="14">
      <t>サブンヨソク</t>
    </rPh>
    <phoneticPr fontId="7"/>
  </si>
  <si>
    <t>点6/20、アバウト7/9、本7/10～20</t>
    <rPh sb="0" eb="1">
      <t>テン</t>
    </rPh>
    <rPh sb="14" eb="15">
      <t>ホン</t>
    </rPh>
    <phoneticPr fontId="7"/>
  </si>
  <si>
    <t>コープきんき8月2回（不透明袋）</t>
    <rPh sb="7" eb="8">
      <t>ガツ</t>
    </rPh>
    <rPh sb="9" eb="10">
      <t>カイ</t>
    </rPh>
    <rPh sb="11" eb="15">
      <t>フトウメイフクロ</t>
    </rPh>
    <phoneticPr fontId="7"/>
  </si>
  <si>
    <t>コープきんき8月2回差分予測</t>
    <rPh sb="7" eb="8">
      <t>ガツ</t>
    </rPh>
    <rPh sb="9" eb="10">
      <t>カイ</t>
    </rPh>
    <rPh sb="10" eb="14">
      <t>サブンヨソク</t>
    </rPh>
    <phoneticPr fontId="7"/>
  </si>
  <si>
    <t>IEI使ってヨカッタ6月号2色4枚組①</t>
    <rPh sb="3" eb="4">
      <t>ツカ</t>
    </rPh>
    <rPh sb="11" eb="13">
      <t>ガツゴウ</t>
    </rPh>
    <rPh sb="14" eb="15">
      <t>ショク</t>
    </rPh>
    <rPh sb="16" eb="18">
      <t>マイクミ</t>
    </rPh>
    <phoneticPr fontId="7"/>
  </si>
  <si>
    <t>IEI提案sample返却</t>
    <rPh sb="3" eb="5">
      <t>テイアン</t>
    </rPh>
    <rPh sb="11" eb="13">
      <t>ヘンキャク</t>
    </rPh>
    <phoneticPr fontId="7"/>
  </si>
  <si>
    <t>点7/18、アバウト8/6、本8/7～17</t>
    <rPh sb="0" eb="1">
      <t>テン</t>
    </rPh>
    <rPh sb="14" eb="15">
      <t>ホン</t>
    </rPh>
    <phoneticPr fontId="7"/>
  </si>
  <si>
    <t>コープきんき6月2回（不透明袋）①</t>
    <rPh sb="7" eb="8">
      <t>ガツ</t>
    </rPh>
    <rPh sb="9" eb="10">
      <t>カイ</t>
    </rPh>
    <rPh sb="11" eb="15">
      <t>フトウメイフクロ</t>
    </rPh>
    <phoneticPr fontId="7"/>
  </si>
  <si>
    <t>コープきんき6月2回（不透明袋）②</t>
    <rPh sb="7" eb="8">
      <t>ガツ</t>
    </rPh>
    <rPh sb="9" eb="10">
      <t>カイ</t>
    </rPh>
    <rPh sb="11" eb="15">
      <t>フトウメイフクロ</t>
    </rPh>
    <phoneticPr fontId="7"/>
  </si>
  <si>
    <t>IEI使ってヨカッタ6月号2色4枚組②</t>
    <rPh sb="3" eb="4">
      <t>ツカ</t>
    </rPh>
    <rPh sb="11" eb="13">
      <t>ガツゴウ</t>
    </rPh>
    <rPh sb="14" eb="15">
      <t>ショク</t>
    </rPh>
    <rPh sb="16" eb="18">
      <t>マイクミ</t>
    </rPh>
    <phoneticPr fontId="7"/>
  </si>
  <si>
    <t>コープきんき7月3回（不透明袋）①</t>
    <rPh sb="7" eb="8">
      <t>ガツ</t>
    </rPh>
    <rPh sb="9" eb="10">
      <t>カイ</t>
    </rPh>
    <rPh sb="11" eb="15">
      <t>フトウメイフクロ</t>
    </rPh>
    <phoneticPr fontId="7"/>
  </si>
  <si>
    <t>コープきんき7月3回（不透明袋）②</t>
    <rPh sb="7" eb="8">
      <t>ガツ</t>
    </rPh>
    <rPh sb="9" eb="10">
      <t>カイ</t>
    </rPh>
    <rPh sb="11" eb="15">
      <t>フトウメイフクロ</t>
    </rPh>
    <phoneticPr fontId="7"/>
  </si>
  <si>
    <t>コープきんき7月3回（不透明袋）③</t>
    <rPh sb="7" eb="8">
      <t>ガツ</t>
    </rPh>
    <rPh sb="9" eb="10">
      <t>カイ</t>
    </rPh>
    <rPh sb="11" eb="15">
      <t>フトウメイフクロ</t>
    </rPh>
    <phoneticPr fontId="7"/>
  </si>
  <si>
    <t>コープきんき8月2回（不透明袋）①</t>
    <rPh sb="7" eb="8">
      <t>ガツ</t>
    </rPh>
    <rPh sb="9" eb="10">
      <t>カイ</t>
    </rPh>
    <rPh sb="11" eb="15">
      <t>フトウメイフクロ</t>
    </rPh>
    <phoneticPr fontId="7"/>
  </si>
  <si>
    <t>楽天倉庫より返却</t>
    <rPh sb="0" eb="2">
      <t>ラクテン</t>
    </rPh>
    <rPh sb="2" eb="4">
      <t>ソウコ</t>
    </rPh>
    <rPh sb="6" eb="8">
      <t>ヘンキャク</t>
    </rPh>
    <phoneticPr fontId="2"/>
  </si>
  <si>
    <t>IEI返品</t>
    <rPh sb="3" eb="5">
      <t>ヘンピン</t>
    </rPh>
    <phoneticPr fontId="2"/>
  </si>
  <si>
    <t>Amazon</t>
    <phoneticPr fontId="7"/>
  </si>
  <si>
    <t>追加</t>
    <rPh sb="0" eb="2">
      <t>ツイカ</t>
    </rPh>
    <phoneticPr fontId="7"/>
  </si>
  <si>
    <t>生協BY分</t>
    <rPh sb="0" eb="2">
      <t>セイキョウ</t>
    </rPh>
    <rPh sb="4" eb="5">
      <t>ブン</t>
    </rPh>
    <phoneticPr fontId="7"/>
  </si>
  <si>
    <t>サクラマチサンプル</t>
    <phoneticPr fontId="7"/>
  </si>
  <si>
    <t>パルシステムsample</t>
    <phoneticPr fontId="7"/>
  </si>
  <si>
    <t>点4/11、アバウト4/29、本4/29～5/5</t>
    <rPh sb="0" eb="1">
      <t>テン</t>
    </rPh>
    <rPh sb="15" eb="16">
      <t>ホン</t>
    </rPh>
    <phoneticPr fontId="7"/>
  </si>
  <si>
    <t>きんき5月1回(不透明袋)￥1080</t>
    <rPh sb="4" eb="5">
      <t>ガツ</t>
    </rPh>
    <rPh sb="6" eb="7">
      <t>カイ</t>
    </rPh>
    <rPh sb="8" eb="12">
      <t>フトウメイフクロ</t>
    </rPh>
    <phoneticPr fontId="7"/>
  </si>
  <si>
    <t>ユーコープ5月3回（不透明袋）</t>
    <rPh sb="6" eb="7">
      <t>ガツ</t>
    </rPh>
    <rPh sb="8" eb="9">
      <t>カイ</t>
    </rPh>
    <rPh sb="10" eb="14">
      <t>フトウメイフクロ</t>
    </rPh>
    <phoneticPr fontId="7"/>
  </si>
  <si>
    <t>5/7～21</t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</si>
  <si>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</si>
  <si>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</si>
  <si>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きんき5月1回(不透明袋)￥1080①</t>
    <rPh sb="4" eb="5">
      <t>ガツ</t>
    </rPh>
    <rPh sb="6" eb="7">
      <t>カイ</t>
    </rPh>
    <rPh sb="8" eb="12">
      <t>フトウメイフクロ</t>
    </rPh>
    <phoneticPr fontId="7"/>
  </si>
  <si>
    <t>ユーコープ7月1回（不透明袋）</t>
    <rPh sb="6" eb="7">
      <t>ガツ</t>
    </rPh>
    <rPh sb="8" eb="9">
      <t>カイ</t>
    </rPh>
    <rPh sb="10" eb="14">
      <t>フトウメイフクロ</t>
    </rPh>
    <phoneticPr fontId="7"/>
  </si>
  <si>
    <t>6/18～7/2</t>
    <phoneticPr fontId="7"/>
  </si>
  <si>
    <r>
      <t>あいコープみやぎ4月5回</t>
    </r>
    <r>
      <rPr>
        <b/>
        <sz val="11"/>
        <rFont val="ＭＳ Ｐゴシック"/>
        <family val="3"/>
        <charset val="128"/>
        <scheme val="minor"/>
      </rPr>
      <t>（不透明袋）</t>
    </r>
    <r>
      <rPr>
        <sz val="11"/>
        <rFont val="ＭＳ Ｐゴシック"/>
        <family val="3"/>
        <charset val="128"/>
        <scheme val="minor"/>
      </rPr>
      <t>①</t>
    </r>
    <rPh sb="9" eb="10">
      <t>ガツ</t>
    </rPh>
    <rPh sb="11" eb="12">
      <t>カイ</t>
    </rPh>
    <rPh sb="13" eb="17">
      <t>フトウメイフクロ</t>
    </rPh>
    <phoneticPr fontId="7"/>
  </si>
  <si>
    <t>点8/7、アバウト・初回8/19、最終発注8/25</t>
    <rPh sb="0" eb="1">
      <t>テン</t>
    </rPh>
    <rPh sb="10" eb="12">
      <t>ショカイ</t>
    </rPh>
    <rPh sb="17" eb="21">
      <t>サイシュウハッチュウ</t>
    </rPh>
    <phoneticPr fontId="7"/>
  </si>
  <si>
    <r>
      <t>（再送）あいコープみやぎ4月5回</t>
    </r>
    <r>
      <rPr>
        <b/>
        <sz val="11"/>
        <rFont val="ＭＳ Ｐゴシック"/>
        <family val="3"/>
        <charset val="128"/>
        <scheme val="minor"/>
      </rPr>
      <t>（不透明袋）</t>
    </r>
    <r>
      <rPr>
        <sz val="11"/>
        <rFont val="ＭＳ Ｐゴシック"/>
        <family val="3"/>
        <charset val="128"/>
        <scheme val="minor"/>
      </rPr>
      <t>①</t>
    </r>
    <rPh sb="1" eb="2">
      <t>サイ</t>
    </rPh>
    <rPh sb="2" eb="3">
      <t>ソウ</t>
    </rPh>
    <rPh sb="13" eb="14">
      <t>ガツ</t>
    </rPh>
    <rPh sb="15" eb="16">
      <t>カイ</t>
    </rPh>
    <rPh sb="17" eb="21">
      <t>フトウメイフクロ</t>
    </rPh>
    <phoneticPr fontId="7"/>
  </si>
  <si>
    <t>きんき5月1回(不透明袋)￥1080②</t>
    <rPh sb="4" eb="5">
      <t>ガツ</t>
    </rPh>
    <rPh sb="6" eb="7">
      <t>カイ</t>
    </rPh>
    <rPh sb="8" eb="12">
      <t>フトウメイフクロ</t>
    </rPh>
    <phoneticPr fontId="7"/>
  </si>
  <si>
    <t>きんき5月1回(不透明袋)￥1080③</t>
    <rPh sb="4" eb="5">
      <t>ガツ</t>
    </rPh>
    <rPh sb="6" eb="7">
      <t>カイ</t>
    </rPh>
    <rPh sb="8" eb="12">
      <t>フトウメイフクロ</t>
    </rPh>
    <phoneticPr fontId="7"/>
  </si>
  <si>
    <t>ユーコープ5月3回（不透明袋）①</t>
    <rPh sb="6" eb="7">
      <t>ガツ</t>
    </rPh>
    <rPh sb="8" eb="9">
      <t>カイ</t>
    </rPh>
    <rPh sb="10" eb="14">
      <t>フトウメイフクロ</t>
    </rPh>
    <phoneticPr fontId="7"/>
  </si>
  <si>
    <r>
      <t>あいコープみやぎ4月5回</t>
    </r>
    <r>
      <rPr>
        <b/>
        <sz val="11"/>
        <rFont val="ＭＳ Ｐゴシック"/>
        <family val="3"/>
        <charset val="128"/>
        <scheme val="minor"/>
      </rPr>
      <t>（不透明袋）</t>
    </r>
    <rPh sb="9" eb="10">
      <t>ガツ</t>
    </rPh>
    <rPh sb="11" eb="12">
      <t>カイ</t>
    </rPh>
    <rPh sb="13" eb="17">
      <t>フトウメイフクロ</t>
    </rPh>
    <phoneticPr fontId="7"/>
  </si>
  <si>
    <t>確定発注7/9</t>
    <rPh sb="0" eb="4">
      <t>カクテイハッチュウ</t>
    </rPh>
    <phoneticPr fontId="7"/>
  </si>
  <si>
    <t>確定発注6/4</t>
    <rPh sb="0" eb="4">
      <t>カクテイハッチュウ</t>
    </rPh>
    <phoneticPr fontId="7"/>
  </si>
  <si>
    <t>ユーコープ5月3回（不透明袋）②</t>
    <rPh sb="6" eb="7">
      <t>ガツ</t>
    </rPh>
    <rPh sb="8" eb="9">
      <t>カイ</t>
    </rPh>
    <rPh sb="10" eb="14">
      <t>フトウメイフクロ</t>
    </rPh>
    <phoneticPr fontId="7"/>
  </si>
  <si>
    <t>ユーコープ5月3回（不透明袋）③</t>
    <rPh sb="6" eb="7">
      <t>ガツ</t>
    </rPh>
    <rPh sb="8" eb="9">
      <t>カイ</t>
    </rPh>
    <rPh sb="10" eb="14">
      <t>フトウメイフクロ</t>
    </rPh>
    <phoneticPr fontId="7"/>
  </si>
  <si>
    <t>サクラマチsample(九州)佐藤さん</t>
    <rPh sb="12" eb="14">
      <t>キュウシュウ</t>
    </rPh>
    <rPh sb="15" eb="17">
      <t>サトウ</t>
    </rPh>
    <phoneticPr fontId="7"/>
  </si>
  <si>
    <t>サクラマチsample(九州)齋藤さん</t>
    <rPh sb="12" eb="14">
      <t>キュウシュウ</t>
    </rPh>
    <rPh sb="15" eb="17">
      <t>サイトウ</t>
    </rPh>
    <phoneticPr fontId="7"/>
  </si>
  <si>
    <t>ユーコープ5月3回（不透明袋）④</t>
    <rPh sb="6" eb="7">
      <t>ガツ</t>
    </rPh>
    <rPh sb="8" eb="9">
      <t>カイ</t>
    </rPh>
    <rPh sb="10" eb="14">
      <t>フトウメイフクロ</t>
    </rPh>
    <phoneticPr fontId="7"/>
  </si>
  <si>
    <t>確定発注7/23</t>
    <rPh sb="0" eb="4">
      <t>カクテイハッチュウ</t>
    </rPh>
    <phoneticPr fontId="7"/>
  </si>
  <si>
    <r>
      <t>あいコープみやぎ6月2回</t>
    </r>
    <r>
      <rPr>
        <b/>
        <sz val="11"/>
        <rFont val="ＭＳ Ｐゴシック"/>
        <family val="3"/>
        <charset val="128"/>
        <scheme val="minor"/>
      </rPr>
      <t>（不透明袋）</t>
    </r>
    <r>
      <rPr>
        <sz val="11"/>
        <rFont val="ＭＳ Ｐゴシック"/>
        <family val="3"/>
        <charset val="128"/>
        <scheme val="minor"/>
      </rPr>
      <t>①</t>
    </r>
    <rPh sb="9" eb="10">
      <t>ガツ</t>
    </rPh>
    <rPh sb="11" eb="12">
      <t>カイ</t>
    </rPh>
    <rPh sb="13" eb="17">
      <t>フトウメイフクロ</t>
    </rPh>
    <phoneticPr fontId="7"/>
  </si>
  <si>
    <t>コープ九州9月3回（不透明袋）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7"/>
  </si>
  <si>
    <t>9/3～17</t>
    <phoneticPr fontId="7"/>
  </si>
  <si>
    <t>追加</t>
  </si>
  <si>
    <t>パルくらす8月2回（ペラ外し）差分予測</t>
    <rPh sb="6" eb="7">
      <t>ガツ</t>
    </rPh>
    <rPh sb="8" eb="9">
      <t>カイ</t>
    </rPh>
    <rPh sb="12" eb="13">
      <t>ハズ</t>
    </rPh>
    <rPh sb="15" eb="19">
      <t>サブンヨソク</t>
    </rPh>
    <phoneticPr fontId="7"/>
  </si>
  <si>
    <t>コープ九州9月3回（不透明袋差分予測</t>
    <rPh sb="3" eb="5">
      <t>キュウシュウ</t>
    </rPh>
    <rPh sb="6" eb="7">
      <t>ガツ</t>
    </rPh>
    <rPh sb="8" eb="9">
      <t>カイ</t>
    </rPh>
    <rPh sb="10" eb="14">
      <t>フトウメイフクロ</t>
    </rPh>
    <rPh sb="14" eb="18">
      <t>サブンヨソク</t>
    </rPh>
    <phoneticPr fontId="7"/>
  </si>
  <si>
    <r>
      <t>あいコープみやぎ6月2回</t>
    </r>
    <r>
      <rPr>
        <b/>
        <sz val="11"/>
        <rFont val="ＭＳ Ｐゴシック"/>
        <family val="3"/>
        <charset val="128"/>
        <scheme val="minor"/>
      </rPr>
      <t>（不透明袋）</t>
    </r>
    <rPh sb="9" eb="10">
      <t>ガツ</t>
    </rPh>
    <rPh sb="11" eb="12">
      <t>カイ</t>
    </rPh>
    <rPh sb="13" eb="17">
      <t>フトウメイフクロ</t>
    </rPh>
    <phoneticPr fontId="7"/>
  </si>
  <si>
    <t>ユーコープ7月1回（不透明袋）差分予測</t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7"/>
  </si>
  <si>
    <t>確定発注8/20</t>
    <rPh sb="0" eb="4">
      <t>カクテイハッチュウ</t>
    </rPh>
    <phoneticPr fontId="7"/>
  </si>
  <si>
    <t>ユーコープ7月1回（不透明袋）①</t>
    <rPh sb="6" eb="7">
      <t>ガツ</t>
    </rPh>
    <rPh sb="8" eb="9">
      <t>カイ</t>
    </rPh>
    <rPh sb="10" eb="14">
      <t>フトウメイフクロ</t>
    </rPh>
    <phoneticPr fontId="7"/>
  </si>
  <si>
    <t>サクラマチ返品</t>
    <rPh sb="5" eb="7">
      <t>ヘンピン</t>
    </rPh>
    <phoneticPr fontId="2"/>
  </si>
  <si>
    <t>ユーコープ7月1回（不透明袋）②</t>
    <rPh sb="6" eb="7">
      <t>ガツ</t>
    </rPh>
    <rPh sb="8" eb="9">
      <t>カイ</t>
    </rPh>
    <rPh sb="10" eb="14">
      <t>フトウメイフクロ</t>
    </rPh>
    <phoneticPr fontId="7"/>
  </si>
  <si>
    <r>
      <t>あいコープみやぎ7月3回</t>
    </r>
    <r>
      <rPr>
        <b/>
        <sz val="11"/>
        <rFont val="ＭＳ Ｐゴシック"/>
        <family val="3"/>
        <charset val="128"/>
        <scheme val="minor"/>
      </rPr>
      <t>（不透明袋）</t>
    </r>
    <rPh sb="9" eb="10">
      <t>ガツ</t>
    </rPh>
    <rPh sb="11" eb="12">
      <t>カイ</t>
    </rPh>
    <rPh sb="13" eb="17">
      <t>フトウメイフクロ</t>
    </rPh>
    <phoneticPr fontId="7"/>
  </si>
  <si>
    <t>←ここまで式確認2025/7/17</t>
    <rPh sb="0" eb="8">
      <t>&lt;-ココマデシキカクニン</t>
    </rPh>
    <phoneticPr fontId="7"/>
  </si>
  <si>
    <t>確定発注9/3</t>
    <rPh sb="0" eb="4">
      <t>カクテイハッチュウ</t>
    </rPh>
    <phoneticPr fontId="7"/>
  </si>
  <si>
    <t>あいコープみやぎ9月2回（不透明袋）</t>
    <rPh sb="9" eb="10">
      <t>ガツ</t>
    </rPh>
    <rPh sb="11" eb="12">
      <t>カイ</t>
    </rPh>
    <phoneticPr fontId="7"/>
  </si>
  <si>
    <r>
      <t>あいコープみやぎ7月5回</t>
    </r>
    <r>
      <rPr>
        <b/>
        <sz val="11"/>
        <rFont val="ＭＳ Ｐゴシック"/>
        <family val="3"/>
        <charset val="128"/>
        <scheme val="minor"/>
      </rPr>
      <t>（不透明袋）</t>
    </r>
    <rPh sb="9" eb="10">
      <t>ガツ</t>
    </rPh>
    <rPh sb="11" eb="12">
      <t>カイ</t>
    </rPh>
    <rPh sb="13" eb="17">
      <t>フトウメイフクロ</t>
    </rPh>
    <phoneticPr fontId="7"/>
  </si>
  <si>
    <r>
      <t>パルくらす8月2回</t>
    </r>
    <r>
      <rPr>
        <b/>
        <sz val="11"/>
        <rFont val="ＭＳ Ｐゴシック"/>
        <family val="3"/>
        <charset val="128"/>
        <scheme val="minor"/>
      </rPr>
      <t>（ペラ外し）</t>
    </r>
    <r>
      <rPr>
        <sz val="11"/>
        <rFont val="ＭＳ Ｐゴシック"/>
        <family val="3"/>
        <charset val="128"/>
        <scheme val="minor"/>
      </rPr>
      <t>（不透明袋）①</t>
    </r>
    <rPh sb="6" eb="7">
      <t>ガツ</t>
    </rPh>
    <rPh sb="8" eb="9">
      <t>カイ</t>
    </rPh>
    <rPh sb="12" eb="13">
      <t>ハズ</t>
    </rPh>
    <phoneticPr fontId="7"/>
  </si>
  <si>
    <r>
      <t>あいコープみやぎ8月4回</t>
    </r>
    <r>
      <rPr>
        <b/>
        <sz val="11"/>
        <rFont val="ＭＳ Ｐゴシック"/>
        <family val="3"/>
        <charset val="128"/>
        <scheme val="minor"/>
      </rPr>
      <t>（不透明袋）</t>
    </r>
    <rPh sb="9" eb="10">
      <t>ガツ</t>
    </rPh>
    <rPh sb="11" eb="12">
      <t>カイ</t>
    </rPh>
    <rPh sb="13" eb="17">
      <t>フトウメイフクロ</t>
    </rPh>
    <phoneticPr fontId="7"/>
  </si>
  <si>
    <r>
      <t>パルくらす8月2回</t>
    </r>
    <r>
      <rPr>
        <b/>
        <sz val="11"/>
        <rFont val="ＭＳ Ｐゴシック"/>
        <family val="3"/>
        <charset val="128"/>
        <scheme val="minor"/>
      </rPr>
      <t>（ペラ外し）</t>
    </r>
    <r>
      <rPr>
        <sz val="11"/>
        <rFont val="ＭＳ Ｐゴシック"/>
        <family val="3"/>
        <charset val="128"/>
        <scheme val="minor"/>
      </rPr>
      <t>（不透明袋）</t>
    </r>
    <rPh sb="6" eb="7">
      <t>ガツ</t>
    </rPh>
    <rPh sb="8" eb="9">
      <t>カイ</t>
    </rPh>
    <rPh sb="12" eb="13">
      <t>ハズ</t>
    </rPh>
    <phoneticPr fontId="7"/>
  </si>
  <si>
    <t>コープ九州9月3回（不透明袋）①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7"/>
  </si>
  <si>
    <t>コープ九州9月3回（不透明袋）②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7"/>
  </si>
  <si>
    <t>コープ九州9月3回（不透明袋）③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7"/>
  </si>
  <si>
    <t>コープ九州9月3回（不透明袋）④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7"/>
  </si>
  <si>
    <t>夢販</t>
    <rPh sb="0" eb="2">
      <t>ユメハン</t>
    </rPh>
    <phoneticPr fontId="7"/>
  </si>
  <si>
    <t>ネット返品</t>
    <rPh sb="3" eb="5">
      <t>ヘンピン</t>
    </rPh>
    <phoneticPr fontId="7"/>
  </si>
  <si>
    <t>夢販</t>
    <rPh sb="0" eb="2">
      <t>ユメハン</t>
    </rPh>
    <phoneticPr fontId="7"/>
  </si>
  <si>
    <t>ゆめはん</t>
    <phoneticPr fontId="7"/>
  </si>
  <si>
    <t>夢販</t>
    <rPh sb="0" eb="2">
      <t>y</t>
    </rPh>
    <phoneticPr fontId="7"/>
  </si>
  <si>
    <t>営業sample</t>
    <rPh sb="0" eb="2">
      <t>エイギョウ</t>
    </rPh>
    <phoneticPr fontId="7"/>
  </si>
  <si>
    <t>コープきんき5月1回（不透明袋）</t>
    <rPh sb="7" eb="8">
      <t>ガツ</t>
    </rPh>
    <rPh sb="9" eb="10">
      <t>カイ</t>
    </rPh>
    <rPh sb="11" eb="15">
      <t>フトウメイフクロ</t>
    </rPh>
    <phoneticPr fontId="7"/>
  </si>
  <si>
    <t>点4/10、アバウト4/28、本4/28～5/4</t>
    <rPh sb="0" eb="1">
      <t>テン</t>
    </rPh>
    <rPh sb="15" eb="16">
      <t>ホン</t>
    </rPh>
    <phoneticPr fontId="7"/>
  </si>
  <si>
    <t>あいコープみやぎ4月5回（不透明袋）</t>
    <rPh sb="9" eb="10">
      <t>ガツ</t>
    </rPh>
    <rPh sb="11" eb="12">
      <t>カイ</t>
    </rPh>
    <phoneticPr fontId="7"/>
  </si>
  <si>
    <t>あいコープみやぎ4月3回（不透明袋）</t>
    <rPh sb="9" eb="10">
      <t>ガツ</t>
    </rPh>
    <rPh sb="11" eb="12">
      <t>カイ</t>
    </rPh>
    <phoneticPr fontId="7"/>
  </si>
  <si>
    <t>在庫確認</t>
    <rPh sb="0" eb="4">
      <t>ザイコカクニン</t>
    </rPh>
    <phoneticPr fontId="7"/>
  </si>
  <si>
    <t>ゆめはん</t>
    <phoneticPr fontId="7"/>
  </si>
  <si>
    <t>あいコープみやぎ6月2回（不透明袋）</t>
    <rPh sb="9" eb="10">
      <t>ガツ</t>
    </rPh>
    <rPh sb="11" eb="12">
      <t>カイ</t>
    </rPh>
    <phoneticPr fontId="7"/>
  </si>
  <si>
    <t>あいコープみやぎ差分予測</t>
    <rPh sb="8" eb="12">
      <t>サブンヨソク</t>
    </rPh>
    <phoneticPr fontId="7"/>
  </si>
  <si>
    <t>コープきんき5月1回差分予測</t>
    <rPh sb="7" eb="8">
      <t>ガツ</t>
    </rPh>
    <rPh sb="9" eb="10">
      <t>カイ</t>
    </rPh>
    <rPh sb="10" eb="14">
      <t>サブンヨソク</t>
    </rPh>
    <phoneticPr fontId="7"/>
  </si>
  <si>
    <t>あいコープみやぎ4月3回（不透明袋）①</t>
    <rPh sb="9" eb="10">
      <t>ガツ</t>
    </rPh>
    <rPh sb="11" eb="12">
      <t>カイ</t>
    </rPh>
    <phoneticPr fontId="7"/>
  </si>
  <si>
    <t>追加</t>
    <rPh sb="0" eb="2">
      <t>ツイカ</t>
    </rPh>
    <phoneticPr fontId="7"/>
  </si>
  <si>
    <t>コープきんき5月1回（不透明袋）①</t>
    <rPh sb="7" eb="8">
      <t>ガツ</t>
    </rPh>
    <rPh sb="9" eb="10">
      <t>カイ</t>
    </rPh>
    <rPh sb="11" eb="15">
      <t>フトウメイフクロ</t>
    </rPh>
    <phoneticPr fontId="7"/>
  </si>
  <si>
    <t>あいコープみやぎ4月5回（不透明袋）①</t>
    <rPh sb="9" eb="10">
      <t>ガツ</t>
    </rPh>
    <rPh sb="11" eb="12">
      <t>カイ</t>
    </rPh>
    <phoneticPr fontId="7"/>
  </si>
  <si>
    <t>あいコープみやぎ7月3回（不透明袋）</t>
    <rPh sb="9" eb="10">
      <t>ガツ</t>
    </rPh>
    <rPh sb="11" eb="12">
      <t>カイ</t>
    </rPh>
    <phoneticPr fontId="7"/>
  </si>
  <si>
    <t>確定発注6/3</t>
    <rPh sb="0" eb="4">
      <t>カクテイハッチュウ</t>
    </rPh>
    <phoneticPr fontId="7"/>
  </si>
  <si>
    <t>確定発注7/8</t>
    <rPh sb="0" eb="4">
      <t>カクテイハッチュウ</t>
    </rPh>
    <phoneticPr fontId="7"/>
  </si>
  <si>
    <t>コープきんき5月1回（不透明袋）②</t>
    <rPh sb="7" eb="8">
      <t>ガツ</t>
    </rPh>
    <rPh sb="9" eb="10">
      <t>カイ</t>
    </rPh>
    <rPh sb="11" eb="15">
      <t>フトウメイフクロ</t>
    </rPh>
    <phoneticPr fontId="7"/>
  </si>
  <si>
    <t>ネット交換</t>
    <rPh sb="3" eb="5">
      <t>コウカン</t>
    </rPh>
    <phoneticPr fontId="7"/>
  </si>
  <si>
    <t>コープきんき5月1回（不透明袋）③</t>
    <rPh sb="7" eb="8">
      <t>ガツ</t>
    </rPh>
    <rPh sb="9" eb="10">
      <t>カイ</t>
    </rPh>
    <rPh sb="11" eb="15">
      <t>フトウメイフクロ</t>
    </rPh>
    <phoneticPr fontId="7"/>
  </si>
  <si>
    <t>追加</t>
    <rPh sb="0" eb="2">
      <t>ツイカ</t>
    </rPh>
    <phoneticPr fontId="7"/>
  </si>
  <si>
    <t>ゆめはん</t>
    <phoneticPr fontId="7"/>
  </si>
  <si>
    <t>西夢</t>
    <rPh sb="0" eb="2">
      <t>ニシユメ</t>
    </rPh>
    <phoneticPr fontId="7"/>
  </si>
  <si>
    <t>ゆめはん</t>
    <phoneticPr fontId="7"/>
  </si>
  <si>
    <t>在庫調節</t>
    <rPh sb="0" eb="4">
      <t>ザイコチョウセツ</t>
    </rPh>
    <phoneticPr fontId="2"/>
  </si>
  <si>
    <t>追加</t>
    <rPh sb="0" eb="2">
      <t>ツイカ</t>
    </rPh>
    <phoneticPr fontId="7"/>
  </si>
  <si>
    <t>追加</t>
    <rPh sb="0" eb="2">
      <t>ツイカ</t>
    </rPh>
    <phoneticPr fontId="7"/>
  </si>
  <si>
    <t>西夢取り置き</t>
    <rPh sb="0" eb="3">
      <t>ニシユメト</t>
    </rPh>
    <rPh sb="4" eb="5">
      <t>オ</t>
    </rPh>
    <phoneticPr fontId="7"/>
  </si>
  <si>
    <t>あいコープみやぎ6月2回（不透明袋）①</t>
    <rPh sb="9" eb="10">
      <t>ガツ</t>
    </rPh>
    <rPh sb="11" eb="12">
      <t>カイ</t>
    </rPh>
    <phoneticPr fontId="7"/>
  </si>
  <si>
    <t>追加</t>
    <rPh sb="0" eb="2">
      <t>ツイカ</t>
    </rPh>
    <phoneticPr fontId="7"/>
  </si>
  <si>
    <t>西夢</t>
    <rPh sb="0" eb="2">
      <t>ニシユメ</t>
    </rPh>
    <phoneticPr fontId="7"/>
  </si>
  <si>
    <t>西夢</t>
    <rPh sb="0" eb="2">
      <t>ニシユメ</t>
    </rPh>
    <phoneticPr fontId="7"/>
  </si>
  <si>
    <t>ゆめはん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</si>
</sst>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</font>
    <font>
      <b/>
      <sz val="9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4">
    <xf numFmtId="0" fontId="0" fillId="0" borderId="0" xfId="0">
      <alignment vertic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/>
    <xf numFmtId="0" fontId="1" fillId="2" borderId="3" xfId="1" applyFill="1" applyBorder="1"/>
    <xf numFmtId="0" fontId="1" fillId="0" borderId="3" xfId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1" fillId="2" borderId="9" xfId="1" applyFill="1" applyBorder="1"/>
    <xf numFmtId="0" fontId="1" fillId="2" borderId="1" xfId="1" applyFill="1" applyBorder="1"/>
    <xf numFmtId="0" fontId="1" fillId="0" borderId="10" xfId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2" borderId="12" xfId="1" applyFont="1" applyFill="1" applyBorder="1"/>
    <xf numFmtId="0" fontId="5" fillId="2" borderId="2" xfId="1" applyFont="1" applyFill="1" applyBorder="1"/>
    <xf numFmtId="0" fontId="1" fillId="0" borderId="17" xfId="1" applyBorder="1"/>
    <xf numFmtId="0" fontId="5" fillId="2" borderId="13" xfId="1" applyFont="1" applyFill="1" applyBorder="1"/>
    <xf numFmtId="0" fontId="11" fillId="0" borderId="0" xfId="0" applyFont="1">
      <alignment vertical="center"/>
    </xf>
    <xf numFmtId="56" fontId="10" fillId="0" borderId="0" xfId="0" applyNumberFormat="1" applyFont="1">
      <alignment vertical="center"/>
    </xf>
    <xf numFmtId="0" fontId="1" fillId="2" borderId="4" xfId="1" applyFill="1" applyBorder="1"/>
    <xf numFmtId="0" fontId="1" fillId="2" borderId="7" xfId="1" applyFill="1" applyBorder="1"/>
    <xf numFmtId="0" fontId="13" fillId="0" borderId="5" xfId="1" applyFont="1" applyBorder="1" applyAlignment="1">
      <alignment horizontal="center" vertical="center"/>
    </xf>
    <xf numFmtId="0" fontId="1" fillId="0" borderId="3" xfId="1" applyBorder="1"/>
    <xf numFmtId="0" fontId="4" fillId="0" borderId="0" xfId="1" applyFont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" fillId="0" borderId="5" xfId="1" applyBorder="1" applyAlignment="1">
      <alignment horizontal="center" vertical="center" shrinkToFit="1"/>
    </xf>
    <xf numFmtId="0" fontId="12" fillId="0" borderId="5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 shrinkToFit="1"/>
    </xf>
    <xf numFmtId="0" fontId="8" fillId="0" borderId="1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1" applyFont="1"/>
    <xf numFmtId="0" fontId="1" fillId="3" borderId="3" xfId="1" applyFill="1" applyBorder="1"/>
    <xf numFmtId="0" fontId="1" fillId="3" borderId="1" xfId="1" applyFill="1" applyBorder="1"/>
    <xf numFmtId="0" fontId="5" fillId="3" borderId="2" xfId="1" applyFont="1" applyFill="1" applyBorder="1"/>
    <xf numFmtId="0" fontId="1" fillId="3" borderId="9" xfId="1" applyFill="1" applyBorder="1"/>
    <xf numFmtId="0" fontId="1" fillId="3" borderId="4" xfId="1" applyFill="1" applyBorder="1"/>
    <xf numFmtId="0" fontId="5" fillId="3" borderId="1" xfId="1" applyFont="1" applyFill="1" applyBorder="1"/>
    <xf numFmtId="0" fontId="5" fillId="3" borderId="18" xfId="1" applyFont="1" applyFill="1" applyBorder="1"/>
    <xf numFmtId="0" fontId="1" fillId="0" borderId="11" xfId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" fillId="0" borderId="19" xfId="1" applyBorder="1"/>
    <xf numFmtId="0" fontId="1" fillId="3" borderId="5" xfId="1" applyFill="1" applyBorder="1"/>
    <xf numFmtId="0" fontId="9" fillId="2" borderId="11" xfId="1" applyFont="1" applyFill="1" applyBorder="1"/>
    <xf numFmtId="0" fontId="9" fillId="0" borderId="11" xfId="1" applyFont="1" applyBorder="1"/>
    <xf numFmtId="0" fontId="9" fillId="3" borderId="11" xfId="1" applyFont="1" applyFill="1" applyBorder="1"/>
    <xf numFmtId="0" fontId="3" fillId="0" borderId="20" xfId="1" applyFont="1" applyBorder="1" applyAlignment="1">
      <alignment horizontal="center" vertical="center"/>
    </xf>
    <xf numFmtId="0" fontId="9" fillId="0" borderId="6" xfId="1" applyFont="1" applyBorder="1"/>
    <xf numFmtId="0" fontId="9" fillId="3" borderId="3" xfId="1" applyFont="1" applyFill="1" applyBorder="1"/>
    <xf numFmtId="0" fontId="9" fillId="0" borderId="3" xfId="1" applyFont="1" applyBorder="1" applyAlignment="1">
      <alignment horizontal="center" vertical="center"/>
    </xf>
    <xf numFmtId="56" fontId="1" fillId="0" borderId="0" xfId="1" applyNumberFormat="1"/>
    <xf numFmtId="0" fontId="3" fillId="0" borderId="11" xfId="1" applyFont="1" applyBorder="1" applyAlignment="1">
      <alignment horizontal="center" vertical="center"/>
    </xf>
    <xf numFmtId="0" fontId="1" fillId="3" borderId="11" xfId="1" applyFill="1" applyBorder="1"/>
    <xf numFmtId="56" fontId="11" fillId="0" borderId="0" xfId="0" applyNumberFormat="1" applyFont="1">
      <alignment vertical="center"/>
    </xf>
    <xf numFmtId="0" fontId="12" fillId="0" borderId="1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2" borderId="4" xfId="1" applyFont="1" applyFill="1" applyBorder="1"/>
    <xf numFmtId="56" fontId="0" fillId="0" borderId="0" xfId="0" applyNumberFormat="1">
      <alignment vertical="center"/>
    </xf>
    <xf numFmtId="0" fontId="15" fillId="0" borderId="3" xfId="0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" fillId="3" borderId="8" xfId="1" applyFill="1" applyBorder="1"/>
    <xf numFmtId="0" fontId="5" fillId="2" borderId="21" xfId="1" applyFont="1" applyFill="1" applyBorder="1"/>
    <xf numFmtId="0" fontId="1" fillId="2" borderId="8" xfId="1" applyFill="1" applyBorder="1"/>
    <xf numFmtId="0" fontId="5" fillId="3" borderId="22" xfId="1" applyFont="1" applyFill="1" applyBorder="1"/>
    <xf numFmtId="0" fontId="9" fillId="0" borderId="15" xfId="1" applyFont="1" applyBorder="1"/>
    <xf numFmtId="0" fontId="1" fillId="3" borderId="10" xfId="1" applyFill="1" applyBorder="1"/>
    <xf numFmtId="0" fontId="1" fillId="0" borderId="24" xfId="1" applyBorder="1"/>
    <xf numFmtId="0" fontId="1" fillId="0" borderId="25" xfId="1" applyBorder="1"/>
    <xf numFmtId="0" fontId="1" fillId="0" borderId="11" xfId="1" applyBorder="1"/>
    <xf numFmtId="0" fontId="1" fillId="0" borderId="5" xfId="1" applyBorder="1"/>
    <xf numFmtId="0" fontId="1" fillId="0" borderId="4" xfId="1" applyBorder="1"/>
    <xf numFmtId="0" fontId="1" fillId="0" borderId="7" xfId="1" applyBorder="1"/>
    <xf numFmtId="0" fontId="9" fillId="0" borderId="26" xfId="1" applyFont="1" applyBorder="1"/>
    <xf numFmtId="0" fontId="1" fillId="0" borderId="27" xfId="1" applyBorder="1"/>
    <xf numFmtId="0" fontId="1" fillId="0" borderId="23" xfId="1" applyBorder="1"/>
    <xf numFmtId="0" fontId="1" fillId="0" borderId="10" xfId="1" applyBorder="1"/>
    <xf numFmtId="0" fontId="9" fillId="0" borderId="24" xfId="1" applyFont="1" applyBorder="1"/>
    <xf numFmtId="0" fontId="9" fillId="0" borderId="23" xfId="1" applyFont="1" applyBorder="1"/>
    <xf numFmtId="0" fontId="9" fillId="0" borderId="4" xfId="1" applyFont="1" applyBorder="1"/>
    <xf numFmtId="0" fontId="5" fillId="2" borderId="22" xfId="1" applyFont="1" applyFill="1" applyBorder="1"/>
    <xf numFmtId="0" fontId="5" fillId="2" borderId="1" xfId="1" applyFont="1" applyFill="1" applyBorder="1"/>
    <xf numFmtId="0" fontId="16" fillId="0" borderId="0" xfId="0" applyFont="1">
      <alignment vertical="center"/>
    </xf>
    <xf numFmtId="0" fontId="17" fillId="0" borderId="4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 shrinkToFit="1"/>
    </xf>
    <xf numFmtId="0" fontId="1" fillId="2" borderId="10" xfId="1" applyFill="1" applyBorder="1"/>
    <xf numFmtId="0" fontId="3" fillId="0" borderId="10" xfId="1" applyFont="1" applyBorder="1" applyAlignment="1">
      <alignment horizontal="center" vertical="center"/>
    </xf>
    <xf numFmtId="0" fontId="1" fillId="0" borderId="28" xfId="1" applyBorder="1"/>
    <xf numFmtId="0" fontId="8" fillId="0" borderId="3" xfId="1" applyFont="1" applyBorder="1" applyAlignment="1">
      <alignment horizontal="center" vertical="center"/>
    </xf>
    <xf numFmtId="0" fontId="8" fillId="0" borderId="4" xfId="1" applyFont="1" applyBorder="1"/>
    <xf numFmtId="0" fontId="8" fillId="0" borderId="23" xfId="1" applyFont="1" applyBorder="1"/>
    <xf numFmtId="0" fontId="8" fillId="2" borderId="3" xfId="1" applyFont="1" applyFill="1" applyBorder="1"/>
    <xf numFmtId="56" fontId="19" fillId="0" borderId="0" xfId="0" applyNumberFormat="1" applyFont="1">
      <alignment vertical="center"/>
    </xf>
    <xf numFmtId="0" fontId="9" fillId="2" borderId="3" xfId="1" applyFont="1" applyFill="1" applyBorder="1"/>
    <xf numFmtId="0" fontId="3" fillId="0" borderId="5" xfId="1" applyFont="1" applyBorder="1" applyAlignment="1">
      <alignment horizontal="center" vertical="center"/>
    </xf>
    <xf numFmtId="0" fontId="3" fillId="0" borderId="6" xfId="1" applyFont="1" applyBorder="1"/>
    <xf numFmtId="0" fontId="3" fillId="0" borderId="15" xfId="1" applyFont="1" applyBorder="1"/>
    <xf numFmtId="0" fontId="3" fillId="3" borderId="3" xfId="1" applyFont="1" applyFill="1" applyBorder="1"/>
    <xf numFmtId="56" fontId="20" fillId="0" borderId="0" xfId="0" applyNumberFormat="1" applyFont="1">
      <alignment vertical="center"/>
    </xf>
    <xf numFmtId="0" fontId="10" fillId="0" borderId="0" xfId="0" applyFont="1">
      <alignment vertical="center"/>
    </xf>
    <xf numFmtId="0" fontId="3" fillId="0" borderId="4" xfId="1" applyFont="1" applyBorder="1"/>
    <xf numFmtId="0" fontId="3" fillId="0" borderId="23" xfId="1" applyFont="1" applyBorder="1"/>
    <xf numFmtId="0" fontId="3" fillId="2" borderId="3" xfId="1" applyFont="1" applyFill="1" applyBorder="1"/>
    <xf numFmtId="0" fontId="20" fillId="0" borderId="3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11" fillId="0" borderId="3" xfId="0" applyFont="1" applyBorder="1" applyAlignment="1">
      <alignment horizontal="center" vertical="center" shrinkToFit="1"/>
    </xf>
    <xf numFmtId="0" fontId="21" fillId="0" borderId="3" xfId="1" applyFont="1" applyBorder="1" applyAlignment="1">
      <alignment horizontal="center" vertical="center"/>
    </xf>
    <xf numFmtId="0" fontId="22" fillId="0" borderId="3" xfId="1" applyFont="1" applyBorder="1"/>
    <xf numFmtId="0" fontId="22" fillId="0" borderId="28" xfId="1" applyFont="1" applyBorder="1"/>
    <xf numFmtId="0" fontId="22" fillId="2" borderId="3" xfId="1" applyFont="1" applyFill="1" applyBorder="1"/>
    <xf numFmtId="56" fontId="23" fillId="0" borderId="0" xfId="0" applyNumberFormat="1" applyFont="1">
      <alignment vertical="center"/>
    </xf>
    <xf numFmtId="0" fontId="23" fillId="0" borderId="3" xfId="0" applyFont="1" applyBorder="1" applyAlignment="1">
      <alignment horizontal="center" vertical="center"/>
    </xf>
    <xf numFmtId="0" fontId="22" fillId="0" borderId="6" xfId="1" applyFont="1" applyBorder="1"/>
    <xf numFmtId="0" fontId="22" fillId="0" borderId="15" xfId="1" applyFont="1" applyBorder="1"/>
    <xf numFmtId="0" fontId="22" fillId="3" borderId="3" xfId="1" applyFont="1" applyFill="1" applyBorder="1"/>
    <xf numFmtId="0" fontId="21" fillId="0" borderId="4" xfId="1" applyFont="1" applyBorder="1" applyAlignment="1">
      <alignment horizontal="center" vertical="center"/>
    </xf>
    <xf numFmtId="0" fontId="22" fillId="0" borderId="13" xfId="1" applyFont="1" applyBorder="1"/>
    <xf numFmtId="0" fontId="22" fillId="0" borderId="21" xfId="1" applyFont="1" applyBorder="1"/>
    <xf numFmtId="0" fontId="22" fillId="2" borderId="13" xfId="1" applyFont="1" applyFill="1" applyBorder="1"/>
    <xf numFmtId="0" fontId="10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8" fillId="0" borderId="6" xfId="1" applyFont="1" applyBorder="1"/>
    <xf numFmtId="0" fontId="8" fillId="0" borderId="15" xfId="1" applyFont="1" applyBorder="1"/>
    <xf numFmtId="0" fontId="8" fillId="3" borderId="3" xfId="1" applyFont="1" applyFill="1" applyBorder="1"/>
    <xf numFmtId="0" fontId="6" fillId="0" borderId="13" xfId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0" fontId="22" fillId="0" borderId="7" xfId="1" applyFont="1" applyBorder="1"/>
    <xf numFmtId="0" fontId="22" fillId="0" borderId="17" xfId="1" applyFont="1" applyBorder="1"/>
    <xf numFmtId="0" fontId="22" fillId="2" borderId="7" xfId="1" applyFont="1" applyFill="1" applyBorder="1"/>
    <xf numFmtId="0" fontId="23" fillId="0" borderId="0" xfId="0" applyFont="1">
      <alignment vertical="center"/>
    </xf>
    <xf numFmtId="0" fontId="3" fillId="0" borderId="7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7"/>
  <sheetViews>
    <sheetView tabSelected="1" topLeftCell="A1786" zoomScale="90" zoomScaleNormal="90" workbookViewId="0">
      <selection activeCell="A1794" sqref="A1794"/>
    </sheetView>
  </sheetViews>
  <sheetFormatPr defaultRowHeight="13.5" x14ac:dyDescent="0.15"/>
  <cols>
    <col min="1" max="1" width="24.75" customWidth="1"/>
    <col min="2" max="5" width="10.75" customWidth="1"/>
    <col min="7" max="7" width="35.25" customWidth="1"/>
    <col min="8" max="10" width="10.25" customWidth="1"/>
    <col min="11" max="11" width="9.25" bestFit="1" customWidth="1"/>
    <col min="13" max="13" width="21.875" customWidth="1"/>
    <col min="14" max="16" width="10" customWidth="1"/>
  </cols>
  <sheetData>
    <row r="1" spans="1:16" ht="24" x14ac:dyDescent="0.25">
      <c r="A1" s="25" t="s">
        <v>7</v>
      </c>
      <c r="B1" s="1"/>
      <c r="C1" s="1"/>
      <c r="D1" s="1"/>
      <c r="E1" s="1"/>
      <c r="F1" s="1"/>
      <c r="G1" s="25" t="s">
        <v>8</v>
      </c>
      <c r="H1" s="1"/>
      <c r="I1" s="1"/>
      <c r="J1" s="1"/>
      <c r="M1" s="25" t="s">
        <v>9</v>
      </c>
      <c r="N1" s="1"/>
      <c r="O1" s="1"/>
      <c r="P1" s="1"/>
    </row>
    <row r="2" spans="1:16" ht="14.25" thickBo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M2" s="1"/>
      <c r="N2" s="1"/>
      <c r="O2" s="1"/>
      <c r="P2" s="1"/>
    </row>
    <row r="3" spans="1:16" ht="14.25" thickBot="1" x14ac:dyDescent="0.2">
      <c r="A3" s="2"/>
      <c r="B3" s="50" t="s">
        <v>11</v>
      </c>
      <c r="C3" s="50"/>
      <c r="D3" s="2" t="s">
        <v>0</v>
      </c>
      <c r="E3" s="33"/>
      <c r="F3" s="1"/>
      <c r="G3" s="2"/>
      <c r="H3" s="50" t="s">
        <v>10</v>
      </c>
      <c r="I3" s="50"/>
      <c r="J3" s="2" t="s">
        <v>0</v>
      </c>
      <c r="M3" s="2"/>
      <c r="N3" s="50" t="s">
        <v>10</v>
      </c>
      <c r="O3" s="50"/>
      <c r="P3" s="2" t="s">
        <v>0</v>
      </c>
    </row>
    <row r="4" spans="1:16" x14ac:dyDescent="0.15">
      <c r="A4" s="55" t="s">
        <v>5</v>
      </c>
      <c r="B4" s="72">
        <v>7</v>
      </c>
      <c r="C4" s="70"/>
      <c r="D4" s="56">
        <f t="shared" ref="D4:D9" si="0">SUM(B4)</f>
        <v>7</v>
      </c>
      <c r="E4" s="54">
        <v>43818</v>
      </c>
      <c r="F4" s="19"/>
      <c r="G4" s="55" t="s">
        <v>5</v>
      </c>
      <c r="H4" s="26">
        <v>1500</v>
      </c>
      <c r="I4" s="26"/>
      <c r="J4" s="56">
        <f>SUM(H4)</f>
        <v>1500</v>
      </c>
      <c r="K4" s="57" t="s">
        <v>28</v>
      </c>
      <c r="M4" s="32" t="s">
        <v>5</v>
      </c>
      <c r="N4" s="26"/>
      <c r="O4" s="26"/>
      <c r="P4" s="49">
        <f>SUM(N4)</f>
        <v>0</v>
      </c>
    </row>
    <row r="5" spans="1:16" x14ac:dyDescent="0.15">
      <c r="A5" s="3" t="s">
        <v>1</v>
      </c>
      <c r="B5" s="73">
        <v>10</v>
      </c>
      <c r="C5" s="71"/>
      <c r="D5" s="46">
        <f t="shared" si="0"/>
        <v>10</v>
      </c>
      <c r="E5" s="54">
        <v>43866</v>
      </c>
      <c r="F5" s="19"/>
      <c r="G5" s="3" t="s">
        <v>1</v>
      </c>
      <c r="H5" s="45"/>
      <c r="I5" s="45"/>
      <c r="J5" s="35">
        <f t="shared" ref="J5:J6" si="1">SUM(H5)</f>
        <v>0</v>
      </c>
      <c r="K5" s="19"/>
      <c r="M5" s="3" t="s">
        <v>1</v>
      </c>
      <c r="N5" s="45"/>
      <c r="O5" s="45"/>
      <c r="P5" s="35">
        <f t="shared" ref="P5:P6" si="2">SUM(N5)</f>
        <v>0</v>
      </c>
    </row>
    <row r="6" spans="1:16" x14ac:dyDescent="0.15">
      <c r="A6" s="3" t="s">
        <v>1</v>
      </c>
      <c r="B6" s="73">
        <v>10</v>
      </c>
      <c r="C6" s="71"/>
      <c r="D6" s="46">
        <f t="shared" si="0"/>
        <v>10</v>
      </c>
      <c r="E6" s="54">
        <v>43901</v>
      </c>
      <c r="F6" s="19"/>
      <c r="G6" s="3" t="s">
        <v>1</v>
      </c>
      <c r="H6" s="45"/>
      <c r="I6" s="45"/>
      <c r="J6" s="35">
        <f t="shared" si="1"/>
        <v>0</v>
      </c>
      <c r="K6" s="19"/>
      <c r="M6" s="3" t="s">
        <v>1</v>
      </c>
      <c r="N6" s="45"/>
      <c r="O6" s="45"/>
      <c r="P6" s="35">
        <f t="shared" si="2"/>
        <v>0</v>
      </c>
    </row>
    <row r="7" spans="1:16" x14ac:dyDescent="0.15">
      <c r="A7" s="3" t="s">
        <v>1</v>
      </c>
      <c r="B7" s="24">
        <v>20</v>
      </c>
      <c r="C7" s="71"/>
      <c r="D7" s="46">
        <f t="shared" si="0"/>
        <v>20</v>
      </c>
      <c r="E7" s="54">
        <v>43915</v>
      </c>
      <c r="F7" s="19"/>
      <c r="G7" s="3" t="s">
        <v>1</v>
      </c>
      <c r="H7" s="27">
        <v>1250</v>
      </c>
      <c r="I7" s="27"/>
      <c r="J7" s="35">
        <f>SUM(H7)</f>
        <v>1250</v>
      </c>
      <c r="K7" s="57" t="s">
        <v>65</v>
      </c>
      <c r="M7" s="3" t="s">
        <v>1</v>
      </c>
      <c r="N7" s="27"/>
      <c r="O7" s="27"/>
      <c r="P7" s="35">
        <f>SUM(N7)</f>
        <v>0</v>
      </c>
    </row>
    <row r="8" spans="1:16" x14ac:dyDescent="0.15">
      <c r="A8" s="3" t="s">
        <v>1</v>
      </c>
      <c r="B8" s="74">
        <v>3</v>
      </c>
      <c r="C8" s="24"/>
      <c r="D8" s="46">
        <f t="shared" si="0"/>
        <v>3</v>
      </c>
      <c r="E8" s="54">
        <v>43915</v>
      </c>
      <c r="F8" s="19"/>
      <c r="G8" s="3" t="s">
        <v>1</v>
      </c>
      <c r="H8" s="28"/>
      <c r="I8" s="28"/>
      <c r="J8" s="35">
        <f t="shared" ref="J8:J9" si="3">SUM(H8)</f>
        <v>0</v>
      </c>
      <c r="K8" s="19"/>
      <c r="M8" s="3" t="s">
        <v>1</v>
      </c>
      <c r="N8" s="28"/>
      <c r="O8" s="28"/>
      <c r="P8" s="35">
        <f t="shared" ref="P8:P9" si="4">SUM(N8)</f>
        <v>0</v>
      </c>
    </row>
    <row r="9" spans="1:16" ht="14.25" thickBot="1" x14ac:dyDescent="0.2">
      <c r="A9" s="3" t="s">
        <v>1</v>
      </c>
      <c r="B9" s="75">
        <v>40</v>
      </c>
      <c r="C9" s="1"/>
      <c r="D9" s="69">
        <f t="shared" si="0"/>
        <v>40</v>
      </c>
      <c r="E9" s="54">
        <v>43935</v>
      </c>
      <c r="F9" s="19"/>
      <c r="G9" s="4" t="s">
        <v>1</v>
      </c>
      <c r="H9" s="28"/>
      <c r="I9" s="28"/>
      <c r="J9" s="39">
        <f t="shared" si="3"/>
        <v>0</v>
      </c>
      <c r="K9" s="19"/>
      <c r="M9" s="4" t="s">
        <v>1</v>
      </c>
      <c r="N9" s="28"/>
      <c r="O9" s="28"/>
      <c r="P9" s="39">
        <f t="shared" si="4"/>
        <v>0</v>
      </c>
    </row>
    <row r="10" spans="1:16" ht="14.25" thickBot="1" x14ac:dyDescent="0.2">
      <c r="A10" s="14" t="s">
        <v>2</v>
      </c>
      <c r="B10" s="37">
        <f>SUM(B4:B9)</f>
        <v>90</v>
      </c>
      <c r="C10" s="67"/>
      <c r="D10" s="40">
        <f>SUM(B10)</f>
        <v>90</v>
      </c>
      <c r="E10" s="34"/>
      <c r="F10" s="1"/>
      <c r="G10" s="14" t="s">
        <v>2</v>
      </c>
      <c r="H10" s="41">
        <f>SUM(H4:H9)</f>
        <v>2750</v>
      </c>
      <c r="I10" s="67"/>
      <c r="J10" s="40">
        <f>SUM(H10)</f>
        <v>2750</v>
      </c>
      <c r="M10" s="14" t="s">
        <v>2</v>
      </c>
      <c r="N10" s="41">
        <f>SUM(N4:N9)</f>
        <v>0</v>
      </c>
      <c r="O10" s="67"/>
      <c r="P10" s="40">
        <f>SUM(N10)</f>
        <v>0</v>
      </c>
    </row>
    <row r="11" spans="1:16" x14ac:dyDescent="0.15">
      <c r="A11" s="5" t="s">
        <v>19</v>
      </c>
      <c r="B11" s="6">
        <v>7</v>
      </c>
      <c r="C11" s="27"/>
      <c r="D11" s="35">
        <f>SUM(B11)</f>
        <v>7</v>
      </c>
      <c r="E11" s="54">
        <v>43818</v>
      </c>
      <c r="F11" s="19"/>
      <c r="G11" s="58" t="s">
        <v>14</v>
      </c>
      <c r="H11" s="6">
        <v>10</v>
      </c>
      <c r="I11" s="27"/>
      <c r="J11" s="35">
        <f>SUM(H11)</f>
        <v>10</v>
      </c>
      <c r="K11" s="57">
        <v>43873</v>
      </c>
      <c r="M11" s="42"/>
      <c r="N11" s="6"/>
      <c r="O11" s="27"/>
      <c r="P11" s="35">
        <f>SUM(N11)</f>
        <v>0</v>
      </c>
    </row>
    <row r="12" spans="1:16" x14ac:dyDescent="0.15">
      <c r="A12" s="29" t="s">
        <v>22</v>
      </c>
      <c r="B12" s="6">
        <v>2</v>
      </c>
      <c r="C12" s="27"/>
      <c r="D12" s="35">
        <f>SUM(B12)</f>
        <v>2</v>
      </c>
      <c r="E12" s="54">
        <v>43866</v>
      </c>
      <c r="F12" s="19"/>
      <c r="G12" s="5" t="s">
        <v>21</v>
      </c>
      <c r="H12" s="6">
        <v>10</v>
      </c>
      <c r="I12" s="27"/>
      <c r="J12" s="35">
        <f>SUM(H12)</f>
        <v>10</v>
      </c>
      <c r="K12" s="57">
        <v>43866</v>
      </c>
      <c r="L12" s="19"/>
      <c r="M12" s="5"/>
      <c r="N12" s="6"/>
      <c r="O12" s="27"/>
      <c r="P12" s="35">
        <f>SUM(N12)</f>
        <v>0</v>
      </c>
    </row>
    <row r="13" spans="1:16" x14ac:dyDescent="0.15">
      <c r="A13" s="29" t="s">
        <v>22</v>
      </c>
      <c r="B13" s="6">
        <v>3</v>
      </c>
      <c r="C13" s="27"/>
      <c r="D13" s="35">
        <f t="shared" ref="D13:D34" si="5">SUM(B13)</f>
        <v>3</v>
      </c>
      <c r="E13" s="54">
        <v>43871</v>
      </c>
      <c r="F13" s="19"/>
      <c r="G13" s="8" t="s">
        <v>23</v>
      </c>
      <c r="H13" s="6">
        <v>10</v>
      </c>
      <c r="I13" s="27"/>
      <c r="J13" s="35">
        <f t="shared" ref="J13:J31" si="6">SUM(H13)</f>
        <v>10</v>
      </c>
      <c r="K13" s="57">
        <v>43896</v>
      </c>
      <c r="L13" s="19"/>
      <c r="M13" s="30"/>
      <c r="N13" s="6"/>
      <c r="O13" s="27"/>
      <c r="P13" s="35">
        <f t="shared" ref="P13:P34" si="7">SUM(N13)</f>
        <v>0</v>
      </c>
    </row>
    <row r="14" spans="1:16" x14ac:dyDescent="0.15">
      <c r="A14" s="29" t="s">
        <v>22</v>
      </c>
      <c r="B14" s="6">
        <v>1</v>
      </c>
      <c r="C14" s="27"/>
      <c r="D14" s="35">
        <f t="shared" si="5"/>
        <v>1</v>
      </c>
      <c r="E14" s="54">
        <v>43876</v>
      </c>
      <c r="F14" s="19"/>
      <c r="G14" s="30" t="s">
        <v>24</v>
      </c>
      <c r="H14" s="6">
        <v>30</v>
      </c>
      <c r="I14" s="27"/>
      <c r="J14" s="35">
        <f t="shared" si="6"/>
        <v>30</v>
      </c>
      <c r="K14" s="57">
        <v>43881</v>
      </c>
      <c r="M14" s="5"/>
      <c r="N14" s="6"/>
      <c r="O14" s="27"/>
      <c r="P14" s="35">
        <f t="shared" si="7"/>
        <v>0</v>
      </c>
    </row>
    <row r="15" spans="1:16" x14ac:dyDescent="0.15">
      <c r="A15" s="29" t="s">
        <v>22</v>
      </c>
      <c r="B15" s="6">
        <v>1</v>
      </c>
      <c r="C15" s="27"/>
      <c r="D15" s="35">
        <f t="shared" si="5"/>
        <v>1</v>
      </c>
      <c r="E15" s="54">
        <v>43893</v>
      </c>
      <c r="F15" s="1"/>
      <c r="G15" s="30" t="s">
        <v>25</v>
      </c>
      <c r="H15" s="6">
        <v>40</v>
      </c>
      <c r="I15" s="27"/>
      <c r="J15" s="35">
        <f t="shared" si="6"/>
        <v>40</v>
      </c>
      <c r="K15" s="57">
        <v>43895</v>
      </c>
      <c r="L15" s="19"/>
      <c r="M15" s="5"/>
      <c r="N15" s="6"/>
      <c r="O15" s="27"/>
      <c r="P15" s="35">
        <f t="shared" si="7"/>
        <v>0</v>
      </c>
    </row>
    <row r="16" spans="1:16" x14ac:dyDescent="0.15">
      <c r="A16" s="29" t="s">
        <v>22</v>
      </c>
      <c r="B16" s="6">
        <v>3</v>
      </c>
      <c r="C16" s="27"/>
      <c r="D16" s="35">
        <f t="shared" si="5"/>
        <v>3</v>
      </c>
      <c r="E16" s="54">
        <v>43900</v>
      </c>
      <c r="F16" s="1"/>
      <c r="G16" s="30" t="s">
        <v>26</v>
      </c>
      <c r="H16" s="6">
        <v>300</v>
      </c>
      <c r="I16" s="27"/>
      <c r="J16" s="35">
        <f t="shared" si="6"/>
        <v>300</v>
      </c>
      <c r="K16" s="57">
        <v>43910</v>
      </c>
      <c r="M16" s="5"/>
      <c r="N16" s="6"/>
      <c r="O16" s="27"/>
      <c r="P16" s="35">
        <f t="shared" si="7"/>
        <v>0</v>
      </c>
    </row>
    <row r="17" spans="1:16" x14ac:dyDescent="0.15">
      <c r="A17" s="29" t="s">
        <v>22</v>
      </c>
      <c r="B17" s="6">
        <v>1</v>
      </c>
      <c r="C17" s="27"/>
      <c r="D17" s="35">
        <f t="shared" si="5"/>
        <v>1</v>
      </c>
      <c r="E17" s="54">
        <v>43901</v>
      </c>
      <c r="F17" s="1"/>
      <c r="G17" s="43" t="s">
        <v>44</v>
      </c>
      <c r="H17" s="6">
        <v>30</v>
      </c>
      <c r="I17" s="27"/>
      <c r="J17" s="35">
        <f t="shared" ref="J17:J22" si="8">SUM(H17)</f>
        <v>30</v>
      </c>
      <c r="K17" s="57">
        <v>43900</v>
      </c>
      <c r="M17" s="5"/>
      <c r="N17" s="6"/>
      <c r="O17" s="27"/>
      <c r="P17" s="35">
        <f t="shared" si="7"/>
        <v>0</v>
      </c>
    </row>
    <row r="18" spans="1:16" x14ac:dyDescent="0.15">
      <c r="A18" s="29" t="s">
        <v>22</v>
      </c>
      <c r="B18" s="6">
        <v>1</v>
      </c>
      <c r="C18" s="27"/>
      <c r="D18" s="35">
        <f t="shared" si="5"/>
        <v>1</v>
      </c>
      <c r="E18" s="54">
        <v>43906</v>
      </c>
      <c r="F18" s="1"/>
      <c r="G18" s="43" t="s">
        <v>45</v>
      </c>
      <c r="H18" s="6">
        <v>30</v>
      </c>
      <c r="I18" s="27"/>
      <c r="J18" s="35">
        <f t="shared" si="8"/>
        <v>30</v>
      </c>
      <c r="K18" s="57">
        <v>43900</v>
      </c>
      <c r="M18" s="5"/>
      <c r="N18" s="6"/>
      <c r="O18" s="27"/>
      <c r="P18" s="35">
        <f t="shared" si="7"/>
        <v>0</v>
      </c>
    </row>
    <row r="19" spans="1:16" x14ac:dyDescent="0.15">
      <c r="A19" s="29" t="s">
        <v>22</v>
      </c>
      <c r="B19" s="6">
        <v>1</v>
      </c>
      <c r="C19" s="27"/>
      <c r="D19" s="35">
        <f t="shared" si="5"/>
        <v>1</v>
      </c>
      <c r="E19" s="54">
        <v>43914</v>
      </c>
      <c r="F19" s="1"/>
      <c r="G19" s="8" t="s">
        <v>29</v>
      </c>
      <c r="H19" s="6">
        <v>3</v>
      </c>
      <c r="I19" s="27"/>
      <c r="J19" s="35">
        <f t="shared" si="8"/>
        <v>3</v>
      </c>
      <c r="K19" s="57">
        <v>43907</v>
      </c>
      <c r="M19" s="8"/>
      <c r="N19" s="6"/>
      <c r="O19" s="27"/>
      <c r="P19" s="35">
        <f t="shared" si="7"/>
        <v>0</v>
      </c>
    </row>
    <row r="20" spans="1:16" x14ac:dyDescent="0.15">
      <c r="A20" s="29" t="s">
        <v>42</v>
      </c>
      <c r="B20" s="6">
        <v>1</v>
      </c>
      <c r="C20" s="27"/>
      <c r="D20" s="35">
        <f t="shared" si="5"/>
        <v>1</v>
      </c>
      <c r="E20" s="54">
        <v>43925</v>
      </c>
      <c r="F20" s="1"/>
      <c r="G20" s="5" t="s">
        <v>21</v>
      </c>
      <c r="H20" s="6">
        <v>10</v>
      </c>
      <c r="I20" s="27"/>
      <c r="J20" s="35">
        <f t="shared" si="8"/>
        <v>10</v>
      </c>
      <c r="K20" s="57">
        <v>43901</v>
      </c>
      <c r="M20" s="8"/>
      <c r="N20" s="6"/>
      <c r="O20" s="27"/>
      <c r="P20" s="35">
        <f t="shared" si="7"/>
        <v>0</v>
      </c>
    </row>
    <row r="21" spans="1:16" x14ac:dyDescent="0.15">
      <c r="A21" s="29" t="s">
        <v>22</v>
      </c>
      <c r="B21" s="6">
        <v>2</v>
      </c>
      <c r="C21" s="27"/>
      <c r="D21" s="35">
        <f t="shared" si="5"/>
        <v>2</v>
      </c>
      <c r="E21" s="54">
        <v>43924</v>
      </c>
      <c r="F21" s="1"/>
      <c r="G21" s="8" t="s">
        <v>30</v>
      </c>
      <c r="H21" s="6">
        <v>20</v>
      </c>
      <c r="I21" s="27"/>
      <c r="J21" s="35">
        <f t="shared" si="8"/>
        <v>20</v>
      </c>
      <c r="K21" s="57">
        <v>43903</v>
      </c>
      <c r="M21" s="5"/>
      <c r="N21" s="6"/>
      <c r="O21" s="27"/>
      <c r="P21" s="35">
        <f t="shared" si="7"/>
        <v>0</v>
      </c>
    </row>
    <row r="22" spans="1:16" x14ac:dyDescent="0.15">
      <c r="A22" s="29" t="s">
        <v>22</v>
      </c>
      <c r="B22" s="6">
        <v>4</v>
      </c>
      <c r="C22" s="27"/>
      <c r="D22" s="35">
        <f t="shared" si="5"/>
        <v>4</v>
      </c>
      <c r="E22" s="54">
        <v>43931</v>
      </c>
      <c r="F22" s="1"/>
      <c r="G22" s="8" t="s">
        <v>31</v>
      </c>
      <c r="H22" s="6">
        <v>20</v>
      </c>
      <c r="I22" s="27"/>
      <c r="J22" s="35">
        <f t="shared" si="8"/>
        <v>20</v>
      </c>
      <c r="K22" s="57">
        <v>43909</v>
      </c>
      <c r="M22" s="5"/>
      <c r="N22" s="6"/>
      <c r="O22" s="27"/>
      <c r="P22" s="35">
        <f t="shared" si="7"/>
        <v>0</v>
      </c>
    </row>
    <row r="23" spans="1:16" x14ac:dyDescent="0.15">
      <c r="A23" s="29" t="s">
        <v>22</v>
      </c>
      <c r="B23" s="6">
        <v>9</v>
      </c>
      <c r="C23" s="27"/>
      <c r="D23" s="35">
        <f t="shared" si="5"/>
        <v>9</v>
      </c>
      <c r="E23" s="54">
        <v>43932</v>
      </c>
      <c r="F23" s="1"/>
      <c r="G23" s="8" t="s">
        <v>34</v>
      </c>
      <c r="H23" s="6">
        <v>9</v>
      </c>
      <c r="I23" s="27"/>
      <c r="J23" s="35">
        <f t="shared" si="6"/>
        <v>9</v>
      </c>
      <c r="K23" s="57">
        <v>43917</v>
      </c>
      <c r="M23" s="8"/>
      <c r="N23" s="6"/>
      <c r="O23" s="27"/>
      <c r="P23" s="35">
        <f t="shared" si="7"/>
        <v>0</v>
      </c>
    </row>
    <row r="24" spans="1:16" x14ac:dyDescent="0.15">
      <c r="A24" s="29" t="s">
        <v>22</v>
      </c>
      <c r="B24" s="6">
        <v>14</v>
      </c>
      <c r="C24" s="27"/>
      <c r="D24" s="35">
        <f t="shared" si="5"/>
        <v>14</v>
      </c>
      <c r="E24" s="54">
        <v>43934</v>
      </c>
      <c r="F24" s="1"/>
      <c r="G24" s="8" t="s">
        <v>35</v>
      </c>
      <c r="H24" s="6">
        <v>30</v>
      </c>
      <c r="I24" s="27"/>
      <c r="J24" s="35">
        <f t="shared" si="6"/>
        <v>30</v>
      </c>
      <c r="K24" s="57">
        <v>43917</v>
      </c>
      <c r="M24" s="5"/>
      <c r="N24" s="6"/>
      <c r="O24" s="27"/>
      <c r="P24" s="35">
        <f t="shared" si="7"/>
        <v>0</v>
      </c>
    </row>
    <row r="25" spans="1:16" x14ac:dyDescent="0.15">
      <c r="A25" s="5"/>
      <c r="B25" s="6"/>
      <c r="C25" s="27"/>
      <c r="D25" s="35">
        <f t="shared" si="5"/>
        <v>0</v>
      </c>
      <c r="E25" s="1"/>
      <c r="F25" s="1"/>
      <c r="G25" s="8" t="s">
        <v>36</v>
      </c>
      <c r="H25" s="6">
        <v>20</v>
      </c>
      <c r="I25" s="27"/>
      <c r="J25" s="35">
        <f t="shared" si="6"/>
        <v>20</v>
      </c>
      <c r="K25" s="57">
        <v>43915</v>
      </c>
      <c r="M25" s="8"/>
      <c r="N25" s="6"/>
      <c r="O25" s="27"/>
      <c r="P25" s="35">
        <f t="shared" si="7"/>
        <v>0</v>
      </c>
    </row>
    <row r="26" spans="1:16" x14ac:dyDescent="0.15">
      <c r="A26" s="8"/>
      <c r="B26" s="6"/>
      <c r="C26" s="27"/>
      <c r="D26" s="35">
        <f t="shared" si="5"/>
        <v>0</v>
      </c>
      <c r="E26" s="1"/>
      <c r="F26" s="1"/>
      <c r="G26" s="8" t="s">
        <v>21</v>
      </c>
      <c r="H26" s="6">
        <v>3</v>
      </c>
      <c r="I26" s="27"/>
      <c r="J26" s="35">
        <f t="shared" si="6"/>
        <v>3</v>
      </c>
      <c r="K26" s="61">
        <v>43915</v>
      </c>
      <c r="M26" s="8"/>
      <c r="N26" s="6"/>
      <c r="O26" s="27"/>
      <c r="P26" s="35">
        <f t="shared" si="7"/>
        <v>0</v>
      </c>
    </row>
    <row r="27" spans="1:16" x14ac:dyDescent="0.15">
      <c r="A27" s="5"/>
      <c r="B27" s="6"/>
      <c r="C27" s="27"/>
      <c r="D27" s="35">
        <f t="shared" si="5"/>
        <v>0</v>
      </c>
      <c r="E27" s="1"/>
      <c r="F27" s="1"/>
      <c r="G27" s="30" t="s">
        <v>27</v>
      </c>
      <c r="H27" s="6">
        <v>130</v>
      </c>
      <c r="I27" s="27"/>
      <c r="J27" s="35">
        <f t="shared" si="6"/>
        <v>130</v>
      </c>
      <c r="K27" s="57">
        <v>43930</v>
      </c>
      <c r="M27" s="5"/>
      <c r="N27" s="6"/>
      <c r="O27" s="27"/>
      <c r="P27" s="35">
        <f t="shared" si="7"/>
        <v>0</v>
      </c>
    </row>
    <row r="28" spans="1:16" x14ac:dyDescent="0.15">
      <c r="A28" s="29"/>
      <c r="B28" s="6"/>
      <c r="C28" s="27"/>
      <c r="D28" s="35">
        <f t="shared" si="5"/>
        <v>0</v>
      </c>
      <c r="E28" s="1"/>
      <c r="F28" s="1"/>
      <c r="G28" s="8" t="s">
        <v>39</v>
      </c>
      <c r="H28" s="6">
        <v>27</v>
      </c>
      <c r="I28" s="27"/>
      <c r="J28" s="35">
        <f t="shared" si="6"/>
        <v>27</v>
      </c>
      <c r="K28" s="57">
        <v>43924</v>
      </c>
      <c r="M28" s="5"/>
      <c r="N28" s="6"/>
      <c r="O28" s="27"/>
      <c r="P28" s="35">
        <f t="shared" si="7"/>
        <v>0</v>
      </c>
    </row>
    <row r="29" spans="1:16" x14ac:dyDescent="0.15">
      <c r="A29" s="5"/>
      <c r="B29" s="6"/>
      <c r="C29" s="27"/>
      <c r="D29" s="35">
        <f t="shared" si="5"/>
        <v>0</v>
      </c>
      <c r="E29" s="1"/>
      <c r="F29" s="1"/>
      <c r="G29" s="8" t="s">
        <v>40</v>
      </c>
      <c r="H29" s="6">
        <v>50</v>
      </c>
      <c r="I29" s="27"/>
      <c r="J29" s="35">
        <f t="shared" si="6"/>
        <v>50</v>
      </c>
      <c r="K29" s="57">
        <v>43924</v>
      </c>
      <c r="M29" s="5"/>
      <c r="N29" s="6"/>
      <c r="O29" s="27"/>
      <c r="P29" s="35">
        <f t="shared" si="7"/>
        <v>0</v>
      </c>
    </row>
    <row r="30" spans="1:16" x14ac:dyDescent="0.15">
      <c r="A30" s="31"/>
      <c r="B30" s="6"/>
      <c r="C30" s="27"/>
      <c r="D30" s="35">
        <f t="shared" si="5"/>
        <v>0</v>
      </c>
      <c r="E30" s="1"/>
      <c r="F30" s="1"/>
      <c r="G30" s="53" t="s">
        <v>41</v>
      </c>
      <c r="H30" s="51">
        <v>12</v>
      </c>
      <c r="I30" s="68"/>
      <c r="J30" s="52">
        <f t="shared" si="6"/>
        <v>12</v>
      </c>
      <c r="K30" s="20">
        <v>43921</v>
      </c>
      <c r="M30" s="8"/>
      <c r="N30" s="6"/>
      <c r="O30" s="27"/>
      <c r="P30" s="35">
        <f t="shared" si="7"/>
        <v>0</v>
      </c>
    </row>
    <row r="31" spans="1:16" x14ac:dyDescent="0.15">
      <c r="A31" s="5"/>
      <c r="B31" s="6"/>
      <c r="C31" s="27"/>
      <c r="D31" s="35">
        <f t="shared" si="5"/>
        <v>0</v>
      </c>
      <c r="E31" s="1"/>
      <c r="F31" s="1"/>
      <c r="G31" s="8" t="s">
        <v>43</v>
      </c>
      <c r="H31" s="6">
        <v>81</v>
      </c>
      <c r="I31" s="27"/>
      <c r="J31" s="35">
        <f t="shared" si="6"/>
        <v>81</v>
      </c>
      <c r="K31" s="57">
        <v>43931</v>
      </c>
      <c r="M31" s="8"/>
      <c r="N31" s="6"/>
      <c r="O31" s="27"/>
      <c r="P31" s="35">
        <f t="shared" si="7"/>
        <v>0</v>
      </c>
    </row>
    <row r="32" spans="1:16" x14ac:dyDescent="0.15">
      <c r="A32" s="12"/>
      <c r="B32" s="6"/>
      <c r="C32" s="27"/>
      <c r="D32" s="35">
        <f t="shared" si="5"/>
        <v>0</v>
      </c>
      <c r="E32" s="1"/>
      <c r="F32" s="1"/>
      <c r="G32" s="43" t="s">
        <v>46</v>
      </c>
      <c r="H32" s="6">
        <v>60</v>
      </c>
      <c r="I32" s="27"/>
      <c r="J32" s="35">
        <f t="shared" ref="J32:J34" si="9">SUM(H32)</f>
        <v>60</v>
      </c>
      <c r="K32" s="57">
        <v>43936</v>
      </c>
      <c r="M32" s="8"/>
      <c r="N32" s="6"/>
      <c r="O32" s="27"/>
      <c r="P32" s="35">
        <f t="shared" si="7"/>
        <v>0</v>
      </c>
    </row>
    <row r="33" spans="1:16" x14ac:dyDescent="0.15">
      <c r="A33" s="31"/>
      <c r="B33" s="6"/>
      <c r="C33" s="27"/>
      <c r="D33" s="35">
        <f t="shared" si="5"/>
        <v>0</v>
      </c>
      <c r="E33" s="1"/>
      <c r="F33" s="1"/>
      <c r="G33" s="43" t="s">
        <v>47</v>
      </c>
      <c r="H33" s="6">
        <v>40</v>
      </c>
      <c r="I33" s="27"/>
      <c r="J33" s="35">
        <f t="shared" si="9"/>
        <v>40</v>
      </c>
      <c r="K33" s="57">
        <v>43935</v>
      </c>
      <c r="M33" s="43"/>
      <c r="N33" s="6"/>
      <c r="O33" s="27"/>
      <c r="P33" s="35">
        <f t="shared" si="7"/>
        <v>0</v>
      </c>
    </row>
    <row r="34" spans="1:16" ht="14.25" thickBot="1" x14ac:dyDescent="0.2">
      <c r="A34" s="8"/>
      <c r="B34" s="6"/>
      <c r="C34" s="27"/>
      <c r="D34" s="35">
        <f t="shared" si="5"/>
        <v>0</v>
      </c>
      <c r="E34" s="1"/>
      <c r="F34" s="1"/>
      <c r="G34" s="44" t="s">
        <v>12</v>
      </c>
      <c r="H34" s="6">
        <v>0</v>
      </c>
      <c r="I34" s="27"/>
      <c r="J34" s="35">
        <f t="shared" si="9"/>
        <v>0</v>
      </c>
      <c r="K34" s="57" t="s">
        <v>13</v>
      </c>
      <c r="M34" s="44"/>
      <c r="N34" s="6"/>
      <c r="O34" s="27"/>
      <c r="P34" s="35">
        <f t="shared" si="7"/>
        <v>0</v>
      </c>
    </row>
    <row r="35" spans="1:16" ht="14.25" thickBot="1" x14ac:dyDescent="0.2">
      <c r="A35" s="9" t="s">
        <v>3</v>
      </c>
      <c r="B35" s="38">
        <f>SUM(B11:B34)</f>
        <v>50</v>
      </c>
      <c r="C35" s="64"/>
      <c r="D35" s="36">
        <f>SUM(D11:D34)</f>
        <v>50</v>
      </c>
      <c r="E35" s="1"/>
      <c r="F35" s="1"/>
      <c r="G35" s="9" t="s">
        <v>3</v>
      </c>
      <c r="H35" s="38">
        <f>SUM(H11:H34)</f>
        <v>975</v>
      </c>
      <c r="I35" s="64"/>
      <c r="J35" s="36">
        <f>SUM(J11:J34)</f>
        <v>975</v>
      </c>
      <c r="M35" s="9" t="s">
        <v>3</v>
      </c>
      <c r="N35" s="38">
        <f>SUM(N11:N34)</f>
        <v>0</v>
      </c>
      <c r="O35" s="64"/>
      <c r="P35" s="36">
        <f>SUM(P11:P34)</f>
        <v>0</v>
      </c>
    </row>
    <row r="36" spans="1:16" ht="14.25" thickBot="1" x14ac:dyDescent="0.2">
      <c r="A36" s="14" t="s">
        <v>4</v>
      </c>
      <c r="B36" s="37">
        <f>B10-B35</f>
        <v>40</v>
      </c>
      <c r="C36" s="37"/>
      <c r="D36" s="37">
        <f>D10-D35</f>
        <v>40</v>
      </c>
      <c r="E36" s="34"/>
      <c r="F36" s="1"/>
      <c r="G36" s="14" t="s">
        <v>4</v>
      </c>
      <c r="H36" s="37">
        <f>H10-H35</f>
        <v>1775</v>
      </c>
      <c r="I36" s="37"/>
      <c r="J36" s="37">
        <f>J10-J35</f>
        <v>1775</v>
      </c>
      <c r="M36" s="14" t="s">
        <v>4</v>
      </c>
      <c r="N36" s="37">
        <f>N10-N35</f>
        <v>0</v>
      </c>
      <c r="O36" s="37"/>
      <c r="P36" s="37">
        <f>P10-P35</f>
        <v>0</v>
      </c>
    </row>
    <row r="39" spans="1:16" ht="24" x14ac:dyDescent="0.25">
      <c r="A39" s="25" t="s">
        <v>7</v>
      </c>
      <c r="B39" s="1"/>
      <c r="C39" s="1"/>
      <c r="D39" s="1"/>
      <c r="E39" s="1"/>
      <c r="F39" s="1"/>
      <c r="G39" s="25" t="s">
        <v>8</v>
      </c>
      <c r="H39" s="1"/>
      <c r="I39" s="1"/>
      <c r="J39" s="1"/>
      <c r="M39" s="25" t="s">
        <v>9</v>
      </c>
      <c r="N39" s="1"/>
      <c r="O39" s="1"/>
      <c r="P39" s="1"/>
    </row>
    <row r="40" spans="1:16" ht="14.25" thickBo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M40" s="1"/>
      <c r="N40" s="1"/>
      <c r="O40" s="1"/>
      <c r="P40" s="1"/>
    </row>
    <row r="41" spans="1:16" ht="14.25" thickBot="1" x14ac:dyDescent="0.2">
      <c r="A41" s="2"/>
      <c r="B41" s="50" t="s">
        <v>10</v>
      </c>
      <c r="C41" s="50"/>
      <c r="D41" s="2" t="s">
        <v>0</v>
      </c>
      <c r="E41" s="33"/>
      <c r="F41" s="1"/>
      <c r="G41" s="2"/>
      <c r="H41" s="50" t="s">
        <v>10</v>
      </c>
      <c r="I41" s="50"/>
      <c r="J41" s="2" t="s">
        <v>0</v>
      </c>
      <c r="M41" s="2"/>
      <c r="N41" s="50" t="s">
        <v>10</v>
      </c>
      <c r="O41" s="50"/>
      <c r="P41" s="2" t="s">
        <v>0</v>
      </c>
    </row>
    <row r="42" spans="1:16" x14ac:dyDescent="0.15">
      <c r="A42" s="32" t="s">
        <v>4</v>
      </c>
      <c r="B42" s="48">
        <f>B36</f>
        <v>40</v>
      </c>
      <c r="C42" s="76"/>
      <c r="D42" s="47">
        <f>SUM(B42)</f>
        <v>40</v>
      </c>
      <c r="E42" s="1"/>
      <c r="F42" s="1"/>
      <c r="G42" s="13" t="s">
        <v>6</v>
      </c>
      <c r="H42" s="48">
        <f>H36</f>
        <v>1775</v>
      </c>
      <c r="I42" s="80"/>
      <c r="J42" s="47">
        <f>SUM(H42)</f>
        <v>1775</v>
      </c>
      <c r="K42" s="19"/>
      <c r="M42" s="13" t="s">
        <v>6</v>
      </c>
      <c r="N42" s="48">
        <f>N36</f>
        <v>0</v>
      </c>
      <c r="O42" s="80"/>
      <c r="P42" s="47">
        <f>SUM(N42)</f>
        <v>0</v>
      </c>
    </row>
    <row r="43" spans="1:16" x14ac:dyDescent="0.15">
      <c r="A43" s="3" t="s">
        <v>1</v>
      </c>
      <c r="B43" s="73">
        <v>30</v>
      </c>
      <c r="C43" s="71"/>
      <c r="D43" s="7">
        <f>SUM(B43)</f>
        <v>30</v>
      </c>
      <c r="E43" s="54">
        <v>43938</v>
      </c>
      <c r="F43" s="1"/>
      <c r="G43" s="4" t="s">
        <v>1</v>
      </c>
      <c r="H43" s="74"/>
      <c r="I43" s="78"/>
      <c r="J43" s="21">
        <f t="shared" ref="J43" si="10">SUM(H43)</f>
        <v>0</v>
      </c>
      <c r="K43" s="19"/>
      <c r="M43" s="4" t="s">
        <v>1</v>
      </c>
      <c r="N43" s="74"/>
      <c r="O43" s="78"/>
      <c r="P43" s="21">
        <f t="shared" ref="P43:P47" si="11">SUM(N43)</f>
        <v>0</v>
      </c>
    </row>
    <row r="44" spans="1:16" x14ac:dyDescent="0.15">
      <c r="A44" s="3" t="s">
        <v>1</v>
      </c>
      <c r="B44" s="24">
        <v>30</v>
      </c>
      <c r="C44" s="77"/>
      <c r="D44" s="7">
        <f t="shared" ref="D44:D47" si="12">SUM(B44)</f>
        <v>30</v>
      </c>
      <c r="E44" s="54">
        <v>43945</v>
      </c>
      <c r="F44" s="1"/>
      <c r="G44" s="4" t="s">
        <v>1</v>
      </c>
      <c r="H44" s="74">
        <v>193</v>
      </c>
      <c r="I44" s="78"/>
      <c r="J44" s="21">
        <f t="shared" ref="J44:J47" si="13">SUM(H44)</f>
        <v>193</v>
      </c>
      <c r="K44" s="57" t="s">
        <v>64</v>
      </c>
      <c r="M44" s="4" t="s">
        <v>1</v>
      </c>
      <c r="N44" s="74"/>
      <c r="O44" s="78"/>
      <c r="P44" s="21">
        <f t="shared" si="11"/>
        <v>0</v>
      </c>
    </row>
    <row r="45" spans="1:16" x14ac:dyDescent="0.15">
      <c r="A45" s="3" t="s">
        <v>1</v>
      </c>
      <c r="B45" s="79">
        <v>50</v>
      </c>
      <c r="C45" s="1"/>
      <c r="D45" s="7">
        <f t="shared" si="12"/>
        <v>50</v>
      </c>
      <c r="E45" s="54">
        <v>43949</v>
      </c>
      <c r="F45" s="1"/>
      <c r="G45" s="4" t="s">
        <v>1</v>
      </c>
      <c r="H45" s="74"/>
      <c r="I45" s="78"/>
      <c r="J45" s="21">
        <f t="shared" si="13"/>
        <v>0</v>
      </c>
      <c r="K45" s="19"/>
      <c r="M45" s="4" t="s">
        <v>1</v>
      </c>
      <c r="N45" s="74"/>
      <c r="O45" s="78"/>
      <c r="P45" s="21">
        <f t="shared" si="11"/>
        <v>0</v>
      </c>
    </row>
    <row r="46" spans="1:16" x14ac:dyDescent="0.15">
      <c r="A46" s="3" t="s">
        <v>1</v>
      </c>
      <c r="B46" s="74">
        <v>50</v>
      </c>
      <c r="C46" s="78"/>
      <c r="D46" s="7">
        <f t="shared" si="12"/>
        <v>50</v>
      </c>
      <c r="E46" s="54">
        <v>43951</v>
      </c>
      <c r="F46" s="1"/>
      <c r="G46" s="3" t="s">
        <v>1</v>
      </c>
      <c r="H46" s="74"/>
      <c r="I46" s="78"/>
      <c r="J46" s="7">
        <f t="shared" si="13"/>
        <v>0</v>
      </c>
      <c r="K46" s="19"/>
      <c r="M46" s="3" t="s">
        <v>1</v>
      </c>
      <c r="N46" s="74"/>
      <c r="O46" s="78"/>
      <c r="P46" s="7">
        <f t="shared" si="11"/>
        <v>0</v>
      </c>
    </row>
    <row r="47" spans="1:16" ht="14.25" thickBot="1" x14ac:dyDescent="0.2">
      <c r="A47" s="4" t="s">
        <v>1</v>
      </c>
      <c r="B47" s="75">
        <v>50</v>
      </c>
      <c r="C47" s="17"/>
      <c r="D47" s="22">
        <f t="shared" si="12"/>
        <v>50</v>
      </c>
      <c r="E47" s="54">
        <v>43952</v>
      </c>
      <c r="F47" s="1"/>
      <c r="G47" s="4" t="s">
        <v>1</v>
      </c>
      <c r="H47" s="75"/>
      <c r="I47" s="17"/>
      <c r="J47" s="22">
        <f t="shared" si="13"/>
        <v>0</v>
      </c>
      <c r="M47" s="4" t="s">
        <v>1</v>
      </c>
      <c r="N47" s="75"/>
      <c r="O47" s="17"/>
      <c r="P47" s="22">
        <f t="shared" si="11"/>
        <v>0</v>
      </c>
    </row>
    <row r="48" spans="1:16" ht="14.25" thickBot="1" x14ac:dyDescent="0.2">
      <c r="A48" s="14" t="s">
        <v>2</v>
      </c>
      <c r="B48" s="15">
        <f>SUM(B42:B47)</f>
        <v>250</v>
      </c>
      <c r="C48" s="65"/>
      <c r="D48" s="18">
        <f>SUM(B48)</f>
        <v>250</v>
      </c>
      <c r="E48" s="34"/>
      <c r="F48" s="1"/>
      <c r="G48" s="14" t="s">
        <v>2</v>
      </c>
      <c r="H48" s="15">
        <f>SUM(H42:H47)</f>
        <v>1968</v>
      </c>
      <c r="I48" s="65"/>
      <c r="J48" s="18">
        <f>SUM(H48)</f>
        <v>1968</v>
      </c>
      <c r="M48" s="14" t="s">
        <v>2</v>
      </c>
      <c r="N48" s="15">
        <f>SUM(N42:N47)</f>
        <v>0</v>
      </c>
      <c r="O48" s="65"/>
      <c r="P48" s="18">
        <f>SUM(N48)</f>
        <v>0</v>
      </c>
    </row>
    <row r="49" spans="1:16" x14ac:dyDescent="0.15">
      <c r="A49" s="29" t="s">
        <v>22</v>
      </c>
      <c r="B49" s="6">
        <v>18</v>
      </c>
      <c r="C49" s="27"/>
      <c r="D49" s="7">
        <f>SUM(B49)</f>
        <v>18</v>
      </c>
      <c r="E49" s="54">
        <v>43935</v>
      </c>
      <c r="F49" s="1"/>
      <c r="G49" s="43" t="s">
        <v>48</v>
      </c>
      <c r="H49" s="6">
        <v>30</v>
      </c>
      <c r="I49" s="27"/>
      <c r="J49" s="35">
        <f t="shared" ref="J49" si="14">SUM(H49)</f>
        <v>30</v>
      </c>
      <c r="K49" s="57">
        <v>43938</v>
      </c>
      <c r="M49" s="5"/>
      <c r="N49" s="6"/>
      <c r="O49" s="27"/>
      <c r="P49" s="7">
        <f>SUM(N49)</f>
        <v>0</v>
      </c>
    </row>
    <row r="50" spans="1:16" x14ac:dyDescent="0.15">
      <c r="A50" s="29" t="s">
        <v>22</v>
      </c>
      <c r="B50" s="6">
        <v>7</v>
      </c>
      <c r="C50" s="27"/>
      <c r="D50" s="7">
        <f>SUM(B50)</f>
        <v>7</v>
      </c>
      <c r="E50" s="54">
        <v>43936</v>
      </c>
      <c r="F50" s="1"/>
      <c r="G50" s="43" t="s">
        <v>49</v>
      </c>
      <c r="H50" s="6">
        <v>120</v>
      </c>
      <c r="I50" s="27"/>
      <c r="J50" s="7">
        <f>SUM(H50)</f>
        <v>120</v>
      </c>
      <c r="K50" s="57">
        <v>43938</v>
      </c>
      <c r="M50" s="5"/>
      <c r="N50" s="6"/>
      <c r="O50" s="27"/>
      <c r="P50" s="7">
        <f>SUM(N50)</f>
        <v>0</v>
      </c>
    </row>
    <row r="51" spans="1:16" x14ac:dyDescent="0.15">
      <c r="A51" s="29" t="s">
        <v>22</v>
      </c>
      <c r="B51" s="6">
        <v>13</v>
      </c>
      <c r="C51" s="27"/>
      <c r="D51" s="7">
        <f t="shared" ref="D51:D72" si="15">SUM(B51)</f>
        <v>13</v>
      </c>
      <c r="E51" s="54">
        <v>43937</v>
      </c>
      <c r="F51" s="1"/>
      <c r="G51" s="8" t="s">
        <v>50</v>
      </c>
      <c r="H51" s="6">
        <v>231</v>
      </c>
      <c r="I51" s="27"/>
      <c r="J51" s="7">
        <f t="shared" ref="J51:J68" si="16">SUM(H51)</f>
        <v>231</v>
      </c>
      <c r="K51" s="57">
        <v>43942</v>
      </c>
      <c r="M51" s="5"/>
      <c r="N51" s="6"/>
      <c r="O51" s="27"/>
      <c r="P51" s="7">
        <f t="shared" ref="P51:P72" si="17">SUM(N51)</f>
        <v>0</v>
      </c>
    </row>
    <row r="52" spans="1:16" x14ac:dyDescent="0.15">
      <c r="A52" s="29" t="s">
        <v>22</v>
      </c>
      <c r="B52" s="6">
        <v>1</v>
      </c>
      <c r="C52" s="27"/>
      <c r="D52" s="7">
        <f t="shared" si="15"/>
        <v>1</v>
      </c>
      <c r="E52" s="54">
        <v>43938</v>
      </c>
      <c r="F52" s="1"/>
      <c r="G52" s="8" t="s">
        <v>51</v>
      </c>
      <c r="H52" s="6">
        <v>50</v>
      </c>
      <c r="I52" s="27"/>
      <c r="J52" s="7">
        <f t="shared" si="16"/>
        <v>50</v>
      </c>
      <c r="K52" s="57">
        <v>43938</v>
      </c>
      <c r="M52" s="5"/>
      <c r="N52" s="6"/>
      <c r="O52" s="27"/>
      <c r="P52" s="7">
        <f t="shared" si="17"/>
        <v>0</v>
      </c>
    </row>
    <row r="53" spans="1:16" x14ac:dyDescent="0.15">
      <c r="A53" s="29" t="s">
        <v>22</v>
      </c>
      <c r="B53" s="6">
        <v>1</v>
      </c>
      <c r="C53" s="27"/>
      <c r="D53" s="7">
        <f t="shared" si="15"/>
        <v>1</v>
      </c>
      <c r="E53" s="54">
        <v>43941</v>
      </c>
      <c r="F53" s="1"/>
      <c r="G53" s="5" t="s">
        <v>52</v>
      </c>
      <c r="H53" s="6">
        <v>30</v>
      </c>
      <c r="I53" s="27"/>
      <c r="J53" s="7">
        <f t="shared" si="16"/>
        <v>30</v>
      </c>
      <c r="K53" s="57">
        <v>43938</v>
      </c>
      <c r="L53" s="19"/>
      <c r="M53" s="5"/>
      <c r="N53" s="6"/>
      <c r="O53" s="27"/>
      <c r="P53" s="7">
        <f t="shared" si="17"/>
        <v>0</v>
      </c>
    </row>
    <row r="54" spans="1:16" x14ac:dyDescent="0.15">
      <c r="A54" s="29" t="s">
        <v>22</v>
      </c>
      <c r="B54" s="6">
        <v>7</v>
      </c>
      <c r="C54" s="27"/>
      <c r="D54" s="7">
        <f t="shared" si="15"/>
        <v>7</v>
      </c>
      <c r="E54" s="54">
        <v>43943</v>
      </c>
      <c r="F54" s="1"/>
      <c r="G54" s="8" t="s">
        <v>53</v>
      </c>
      <c r="H54" s="6">
        <v>301</v>
      </c>
      <c r="I54" s="27"/>
      <c r="J54" s="7">
        <f t="shared" si="16"/>
        <v>301</v>
      </c>
      <c r="K54" s="57">
        <v>43945</v>
      </c>
      <c r="M54" s="8"/>
      <c r="N54" s="6"/>
      <c r="O54" s="27"/>
      <c r="P54" s="7">
        <f t="shared" si="17"/>
        <v>0</v>
      </c>
    </row>
    <row r="55" spans="1:16" x14ac:dyDescent="0.15">
      <c r="A55" s="29" t="s">
        <v>22</v>
      </c>
      <c r="B55" s="6">
        <v>4</v>
      </c>
      <c r="C55" s="27"/>
      <c r="D55" s="7">
        <f t="shared" si="15"/>
        <v>4</v>
      </c>
      <c r="E55" s="54">
        <v>43944</v>
      </c>
      <c r="F55" s="1"/>
      <c r="G55" s="43" t="s">
        <v>54</v>
      </c>
      <c r="H55" s="6">
        <v>150</v>
      </c>
      <c r="I55" s="27"/>
      <c r="J55" s="7">
        <f t="shared" si="16"/>
        <v>150</v>
      </c>
      <c r="K55" s="57">
        <v>43945</v>
      </c>
      <c r="M55" s="5"/>
      <c r="N55" s="6"/>
      <c r="O55" s="27"/>
      <c r="P55" s="7">
        <f t="shared" si="17"/>
        <v>0</v>
      </c>
    </row>
    <row r="56" spans="1:16" x14ac:dyDescent="0.15">
      <c r="A56" s="29" t="s">
        <v>22</v>
      </c>
      <c r="B56" s="6">
        <v>21</v>
      </c>
      <c r="C56" s="27"/>
      <c r="D56" s="7">
        <f t="shared" si="15"/>
        <v>21</v>
      </c>
      <c r="E56" s="54">
        <v>43945</v>
      </c>
      <c r="F56" s="1"/>
      <c r="G56" s="8" t="s">
        <v>55</v>
      </c>
      <c r="H56" s="6">
        <v>30</v>
      </c>
      <c r="I56" s="27"/>
      <c r="J56" s="7">
        <f t="shared" si="16"/>
        <v>30</v>
      </c>
      <c r="K56" s="57">
        <v>43945</v>
      </c>
      <c r="M56" s="5"/>
      <c r="N56" s="6"/>
      <c r="O56" s="27"/>
      <c r="P56" s="7">
        <f t="shared" si="17"/>
        <v>0</v>
      </c>
    </row>
    <row r="57" spans="1:16" x14ac:dyDescent="0.15">
      <c r="A57" s="29" t="s">
        <v>22</v>
      </c>
      <c r="B57" s="6">
        <v>18</v>
      </c>
      <c r="C57" s="27"/>
      <c r="D57" s="7">
        <f t="shared" si="15"/>
        <v>18</v>
      </c>
      <c r="E57" s="54">
        <v>43946</v>
      </c>
      <c r="F57" s="1"/>
      <c r="G57" s="5" t="s">
        <v>21</v>
      </c>
      <c r="H57" s="6">
        <v>30</v>
      </c>
      <c r="I57" s="27"/>
      <c r="J57" s="7">
        <f t="shared" si="16"/>
        <v>30</v>
      </c>
      <c r="K57" s="57">
        <v>43945</v>
      </c>
      <c r="M57" s="8"/>
      <c r="N57" s="6"/>
      <c r="O57" s="27"/>
      <c r="P57" s="7">
        <f t="shared" si="17"/>
        <v>0</v>
      </c>
    </row>
    <row r="58" spans="1:16" x14ac:dyDescent="0.15">
      <c r="A58" s="29" t="s">
        <v>22</v>
      </c>
      <c r="B58" s="6">
        <v>8</v>
      </c>
      <c r="C58" s="27"/>
      <c r="D58" s="7">
        <f t="shared" si="15"/>
        <v>8</v>
      </c>
      <c r="E58" s="54">
        <v>43948</v>
      </c>
      <c r="F58" s="1"/>
      <c r="G58" s="5" t="s">
        <v>56</v>
      </c>
      <c r="H58" s="6">
        <v>20</v>
      </c>
      <c r="I58" s="27"/>
      <c r="J58" s="7">
        <f t="shared" si="16"/>
        <v>20</v>
      </c>
      <c r="K58" s="57">
        <v>43962</v>
      </c>
      <c r="M58" s="8"/>
      <c r="N58" s="6"/>
      <c r="O58" s="27"/>
      <c r="P58" s="7">
        <f t="shared" si="17"/>
        <v>0</v>
      </c>
    </row>
    <row r="59" spans="1:16" x14ac:dyDescent="0.15">
      <c r="A59" s="29" t="s">
        <v>22</v>
      </c>
      <c r="B59" s="6">
        <v>50</v>
      </c>
      <c r="C59" s="27"/>
      <c r="D59" s="7">
        <f t="shared" si="15"/>
        <v>50</v>
      </c>
      <c r="E59" s="54">
        <v>43949</v>
      </c>
      <c r="F59" s="1"/>
      <c r="G59" s="5" t="s">
        <v>21</v>
      </c>
      <c r="H59" s="6">
        <v>50</v>
      </c>
      <c r="I59" s="27"/>
      <c r="J59" s="7">
        <f t="shared" si="16"/>
        <v>50</v>
      </c>
      <c r="K59" s="57">
        <v>43949</v>
      </c>
      <c r="M59" s="5"/>
      <c r="N59" s="6"/>
      <c r="O59" s="27"/>
      <c r="P59" s="7">
        <f t="shared" si="17"/>
        <v>0</v>
      </c>
    </row>
    <row r="60" spans="1:16" x14ac:dyDescent="0.15">
      <c r="A60" s="29" t="s">
        <v>22</v>
      </c>
      <c r="B60" s="6">
        <v>4</v>
      </c>
      <c r="C60" s="27"/>
      <c r="D60" s="7">
        <f t="shared" si="15"/>
        <v>4</v>
      </c>
      <c r="E60" s="54">
        <v>43952</v>
      </c>
      <c r="F60" s="1"/>
      <c r="G60" s="8" t="s">
        <v>57</v>
      </c>
      <c r="H60" s="6">
        <v>20</v>
      </c>
      <c r="I60" s="27"/>
      <c r="J60" s="7">
        <f t="shared" si="16"/>
        <v>20</v>
      </c>
      <c r="K60" s="57">
        <v>43950</v>
      </c>
      <c r="M60" s="5"/>
      <c r="N60" s="6"/>
      <c r="O60" s="27"/>
      <c r="P60" s="7">
        <f t="shared" si="17"/>
        <v>0</v>
      </c>
    </row>
    <row r="61" spans="1:16" x14ac:dyDescent="0.15">
      <c r="A61" s="29" t="s">
        <v>22</v>
      </c>
      <c r="B61" s="6">
        <v>1</v>
      </c>
      <c r="C61" s="27"/>
      <c r="D61" s="7">
        <f t="shared" si="15"/>
        <v>1</v>
      </c>
      <c r="E61" s="54">
        <v>43953</v>
      </c>
      <c r="F61" s="1"/>
      <c r="G61" s="43" t="s">
        <v>60</v>
      </c>
      <c r="H61" s="6">
        <v>30</v>
      </c>
      <c r="I61" s="27"/>
      <c r="J61" s="7">
        <f t="shared" si="16"/>
        <v>30</v>
      </c>
      <c r="K61" s="57">
        <v>43959</v>
      </c>
      <c r="M61" s="8"/>
      <c r="N61" s="6"/>
      <c r="O61" s="27"/>
      <c r="P61" s="7">
        <f t="shared" si="17"/>
        <v>0</v>
      </c>
    </row>
    <row r="62" spans="1:16" x14ac:dyDescent="0.15">
      <c r="A62" s="29" t="s">
        <v>22</v>
      </c>
      <c r="B62" s="6">
        <v>8</v>
      </c>
      <c r="C62" s="27"/>
      <c r="D62" s="7">
        <f t="shared" si="15"/>
        <v>8</v>
      </c>
      <c r="E62" s="54">
        <v>43957</v>
      </c>
      <c r="F62" s="1"/>
      <c r="G62" s="5" t="s">
        <v>21</v>
      </c>
      <c r="H62" s="6">
        <v>50</v>
      </c>
      <c r="I62" s="27"/>
      <c r="J62" s="7">
        <f t="shared" si="16"/>
        <v>50</v>
      </c>
      <c r="K62" s="57">
        <v>43951</v>
      </c>
      <c r="M62" s="5"/>
      <c r="N62" s="6"/>
      <c r="O62" s="27"/>
      <c r="P62" s="7">
        <f t="shared" si="17"/>
        <v>0</v>
      </c>
    </row>
    <row r="63" spans="1:16" x14ac:dyDescent="0.15">
      <c r="A63" s="29" t="s">
        <v>22</v>
      </c>
      <c r="B63" s="6">
        <v>2</v>
      </c>
      <c r="C63" s="27"/>
      <c r="D63" s="7">
        <f t="shared" si="15"/>
        <v>2</v>
      </c>
      <c r="E63" s="54">
        <v>43959</v>
      </c>
      <c r="F63" s="1"/>
      <c r="G63" s="5" t="s">
        <v>41</v>
      </c>
      <c r="H63" s="6">
        <v>12</v>
      </c>
      <c r="I63" s="27"/>
      <c r="J63" s="7">
        <f t="shared" si="16"/>
        <v>12</v>
      </c>
      <c r="K63" s="57">
        <v>43951</v>
      </c>
      <c r="M63" s="8"/>
      <c r="N63" s="6"/>
      <c r="O63" s="27"/>
      <c r="P63" s="7">
        <f t="shared" si="17"/>
        <v>0</v>
      </c>
    </row>
    <row r="64" spans="1:16" x14ac:dyDescent="0.15">
      <c r="A64" s="29" t="s">
        <v>22</v>
      </c>
      <c r="B64" s="6">
        <v>11</v>
      </c>
      <c r="C64" s="27"/>
      <c r="D64" s="7">
        <f t="shared" si="15"/>
        <v>11</v>
      </c>
      <c r="E64" s="54">
        <v>43962</v>
      </c>
      <c r="F64" s="1"/>
      <c r="G64" s="5" t="s">
        <v>21</v>
      </c>
      <c r="H64" s="6">
        <v>50</v>
      </c>
      <c r="I64" s="27"/>
      <c r="J64" s="7">
        <f t="shared" ref="J64:J66" si="18">SUM(H64)</f>
        <v>50</v>
      </c>
      <c r="K64" s="57">
        <v>43952</v>
      </c>
      <c r="M64" s="8"/>
      <c r="N64" s="6"/>
      <c r="O64" s="27"/>
      <c r="P64" s="7">
        <f t="shared" si="17"/>
        <v>0</v>
      </c>
    </row>
    <row r="65" spans="1:16" x14ac:dyDescent="0.15">
      <c r="A65" s="29" t="s">
        <v>22</v>
      </c>
      <c r="B65" s="6">
        <v>9</v>
      </c>
      <c r="C65" s="27"/>
      <c r="D65" s="7">
        <f t="shared" si="15"/>
        <v>9</v>
      </c>
      <c r="E65" s="54">
        <v>43963</v>
      </c>
      <c r="F65" s="1"/>
      <c r="G65" s="43" t="s">
        <v>61</v>
      </c>
      <c r="H65" s="6">
        <v>30</v>
      </c>
      <c r="I65" s="27"/>
      <c r="J65" s="7">
        <f t="shared" si="18"/>
        <v>30</v>
      </c>
      <c r="K65" s="57">
        <v>43965</v>
      </c>
      <c r="M65" s="5"/>
      <c r="N65" s="6"/>
      <c r="O65" s="27"/>
      <c r="P65" s="7">
        <f t="shared" si="17"/>
        <v>0</v>
      </c>
    </row>
    <row r="66" spans="1:16" x14ac:dyDescent="0.15">
      <c r="A66" s="29" t="s">
        <v>22</v>
      </c>
      <c r="B66" s="6">
        <v>3</v>
      </c>
      <c r="C66" s="27"/>
      <c r="D66" s="7">
        <f t="shared" si="15"/>
        <v>3</v>
      </c>
      <c r="E66" s="54">
        <v>43966</v>
      </c>
      <c r="F66" s="1"/>
      <c r="G66" s="8" t="s">
        <v>62</v>
      </c>
      <c r="H66" s="6">
        <v>10</v>
      </c>
      <c r="I66" s="27"/>
      <c r="J66" s="7">
        <f t="shared" si="18"/>
        <v>10</v>
      </c>
      <c r="K66" s="57">
        <v>43966</v>
      </c>
      <c r="M66" s="5"/>
      <c r="N66" s="6"/>
      <c r="O66" s="27"/>
      <c r="P66" s="7">
        <f t="shared" si="17"/>
        <v>0</v>
      </c>
    </row>
    <row r="67" spans="1:16" x14ac:dyDescent="0.15">
      <c r="A67" s="29" t="s">
        <v>22</v>
      </c>
      <c r="B67" s="6">
        <v>3</v>
      </c>
      <c r="C67" s="27"/>
      <c r="D67" s="7">
        <f t="shared" si="15"/>
        <v>3</v>
      </c>
      <c r="E67" s="54">
        <v>43967</v>
      </c>
      <c r="F67" s="1"/>
      <c r="G67" s="5"/>
      <c r="H67" s="6"/>
      <c r="I67" s="27"/>
      <c r="J67" s="7">
        <f t="shared" si="16"/>
        <v>0</v>
      </c>
      <c r="K67" s="19"/>
      <c r="M67" s="5"/>
      <c r="N67" s="6"/>
      <c r="O67" s="27"/>
      <c r="P67" s="7">
        <f t="shared" si="17"/>
        <v>0</v>
      </c>
    </row>
    <row r="68" spans="1:16" x14ac:dyDescent="0.15">
      <c r="A68" s="29" t="s">
        <v>22</v>
      </c>
      <c r="B68" s="6">
        <v>3</v>
      </c>
      <c r="C68" s="27"/>
      <c r="D68" s="7">
        <f t="shared" si="15"/>
        <v>3</v>
      </c>
      <c r="E68" s="54">
        <v>43969</v>
      </c>
      <c r="F68" s="1"/>
      <c r="G68" s="8"/>
      <c r="H68" s="6"/>
      <c r="I68" s="27"/>
      <c r="J68" s="35">
        <f t="shared" si="16"/>
        <v>0</v>
      </c>
      <c r="K68" s="19"/>
      <c r="M68" s="8"/>
      <c r="N68" s="6"/>
      <c r="O68" s="27"/>
      <c r="P68" s="7">
        <f t="shared" si="17"/>
        <v>0</v>
      </c>
    </row>
    <row r="69" spans="1:16" x14ac:dyDescent="0.15">
      <c r="A69" s="29" t="s">
        <v>22</v>
      </c>
      <c r="B69" s="6">
        <v>2</v>
      </c>
      <c r="C69" s="27"/>
      <c r="D69" s="7">
        <f t="shared" si="15"/>
        <v>2</v>
      </c>
      <c r="E69" s="54">
        <v>43972</v>
      </c>
      <c r="F69" s="1"/>
      <c r="G69" s="8"/>
      <c r="H69" s="6"/>
      <c r="I69" s="27"/>
      <c r="J69" s="35">
        <f t="shared" ref="J69:J72" si="19">SUM(H69)</f>
        <v>0</v>
      </c>
      <c r="K69" s="19"/>
      <c r="M69" s="8"/>
      <c r="N69" s="6"/>
      <c r="O69" s="27"/>
      <c r="P69" s="7">
        <f t="shared" si="17"/>
        <v>0</v>
      </c>
    </row>
    <row r="70" spans="1:16" x14ac:dyDescent="0.15">
      <c r="A70" s="5"/>
      <c r="B70" s="6"/>
      <c r="C70" s="27"/>
      <c r="D70" s="7">
        <f t="shared" si="15"/>
        <v>0</v>
      </c>
      <c r="E70" s="1"/>
      <c r="F70" s="1"/>
      <c r="G70" s="43"/>
      <c r="H70" s="6"/>
      <c r="I70" s="27"/>
      <c r="J70" s="35">
        <f t="shared" si="19"/>
        <v>0</v>
      </c>
      <c r="K70" s="19"/>
      <c r="M70" s="5"/>
      <c r="N70" s="6"/>
      <c r="O70" s="27"/>
      <c r="P70" s="7">
        <f t="shared" si="17"/>
        <v>0</v>
      </c>
    </row>
    <row r="71" spans="1:16" x14ac:dyDescent="0.15">
      <c r="A71" s="5"/>
      <c r="B71" s="6"/>
      <c r="C71" s="27"/>
      <c r="D71" s="7">
        <f t="shared" si="15"/>
        <v>0</v>
      </c>
      <c r="E71" s="1"/>
      <c r="F71" s="1"/>
      <c r="G71" s="8" t="s">
        <v>17</v>
      </c>
      <c r="H71" s="6">
        <v>0</v>
      </c>
      <c r="I71" s="27"/>
      <c r="J71" s="35">
        <f t="shared" ref="J71" si="20">SUM(H71)</f>
        <v>0</v>
      </c>
      <c r="K71" s="19" t="s">
        <v>18</v>
      </c>
      <c r="M71" s="8"/>
      <c r="N71" s="6"/>
      <c r="O71" s="27"/>
      <c r="P71" s="7">
        <f t="shared" si="17"/>
        <v>0</v>
      </c>
    </row>
    <row r="72" spans="1:16" ht="14.25" thickBot="1" x14ac:dyDescent="0.2">
      <c r="A72" s="5"/>
      <c r="B72" s="6"/>
      <c r="C72" s="27"/>
      <c r="D72" s="7">
        <f t="shared" si="15"/>
        <v>0</v>
      </c>
      <c r="E72" s="1"/>
      <c r="F72" s="1"/>
      <c r="G72" s="8" t="s">
        <v>32</v>
      </c>
      <c r="H72" s="6">
        <v>0</v>
      </c>
      <c r="I72" s="27"/>
      <c r="J72" s="7">
        <f t="shared" si="19"/>
        <v>0</v>
      </c>
      <c r="K72" s="19" t="s">
        <v>33</v>
      </c>
      <c r="M72" s="23"/>
      <c r="N72" s="6"/>
      <c r="O72" s="27"/>
      <c r="P72" s="7">
        <f t="shared" si="17"/>
        <v>0</v>
      </c>
    </row>
    <row r="73" spans="1:16" ht="14.25" thickBot="1" x14ac:dyDescent="0.2">
      <c r="A73" s="9" t="s">
        <v>3</v>
      </c>
      <c r="B73" s="10">
        <f>SUM(B49:B72)</f>
        <v>194</v>
      </c>
      <c r="C73" s="66"/>
      <c r="D73" s="11">
        <f>SUM(D49:D72)</f>
        <v>194</v>
      </c>
      <c r="E73" s="1"/>
      <c r="F73" s="1"/>
      <c r="G73" s="9" t="s">
        <v>3</v>
      </c>
      <c r="H73" s="10">
        <f>SUM(H49:H72)</f>
        <v>1244</v>
      </c>
      <c r="I73" s="66"/>
      <c r="J73" s="11">
        <f>SUM(J49:J72)</f>
        <v>1244</v>
      </c>
      <c r="M73" s="9" t="s">
        <v>3</v>
      </c>
      <c r="N73" s="10">
        <f>SUM(N49:N72)</f>
        <v>0</v>
      </c>
      <c r="O73" s="66"/>
      <c r="P73" s="11">
        <f>SUM(P49:P72)</f>
        <v>0</v>
      </c>
    </row>
    <row r="74" spans="1:16" ht="14.25" thickBot="1" x14ac:dyDescent="0.2">
      <c r="A74" s="14" t="s">
        <v>4</v>
      </c>
      <c r="B74" s="16">
        <f>B48-B73</f>
        <v>56</v>
      </c>
      <c r="C74" s="16"/>
      <c r="D74" s="16">
        <f>D48-D73</f>
        <v>56</v>
      </c>
      <c r="E74" s="34"/>
      <c r="F74" s="1"/>
      <c r="G74" s="14" t="s">
        <v>4</v>
      </c>
      <c r="H74" s="16">
        <f>H48-H73</f>
        <v>724</v>
      </c>
      <c r="I74" s="16"/>
      <c r="J74" s="16">
        <f>J48-J73</f>
        <v>724</v>
      </c>
      <c r="M74" s="14" t="s">
        <v>4</v>
      </c>
      <c r="N74" s="16">
        <f>N48-N73</f>
        <v>0</v>
      </c>
      <c r="O74" s="16"/>
      <c r="P74" s="16">
        <f>P48-P73</f>
        <v>0</v>
      </c>
    </row>
    <row r="77" spans="1:16" ht="24" x14ac:dyDescent="0.25">
      <c r="A77" s="25" t="s">
        <v>7</v>
      </c>
      <c r="B77" s="1"/>
      <c r="C77" s="1"/>
      <c r="D77" s="1"/>
      <c r="G77" s="25" t="s">
        <v>8</v>
      </c>
      <c r="H77" s="1"/>
      <c r="I77" s="1"/>
      <c r="J77" s="1"/>
      <c r="M77" s="25" t="s">
        <v>9</v>
      </c>
      <c r="N77" s="1"/>
      <c r="O77" s="1"/>
      <c r="P77" s="1"/>
    </row>
    <row r="78" spans="1:16" ht="14.25" thickBot="1" x14ac:dyDescent="0.2">
      <c r="A78" s="1"/>
      <c r="B78" s="1"/>
      <c r="C78" s="1"/>
      <c r="D78" s="1"/>
      <c r="G78" s="1"/>
      <c r="H78" s="1"/>
      <c r="I78" s="1"/>
      <c r="J78" s="1"/>
      <c r="M78" s="1"/>
      <c r="N78" s="1"/>
      <c r="O78" s="1"/>
      <c r="P78" s="1"/>
    </row>
    <row r="79" spans="1:16" ht="14.25" thickBot="1" x14ac:dyDescent="0.2">
      <c r="A79" s="2"/>
      <c r="B79" s="50" t="s">
        <v>10</v>
      </c>
      <c r="C79" s="50"/>
      <c r="D79" s="2" t="s">
        <v>0</v>
      </c>
      <c r="G79" s="2"/>
      <c r="H79" s="50" t="s">
        <v>10</v>
      </c>
      <c r="I79" s="50"/>
      <c r="J79" s="2" t="s">
        <v>0</v>
      </c>
      <c r="M79" s="2"/>
      <c r="N79" s="50" t="s">
        <v>10</v>
      </c>
      <c r="O79" s="50"/>
      <c r="P79" s="2" t="s">
        <v>0</v>
      </c>
    </row>
    <row r="80" spans="1:16" x14ac:dyDescent="0.15">
      <c r="A80" s="32" t="s">
        <v>4</v>
      </c>
      <c r="B80" s="48">
        <f>B74</f>
        <v>56</v>
      </c>
      <c r="C80" s="76"/>
      <c r="D80" s="47">
        <f>SUM(B80)</f>
        <v>56</v>
      </c>
      <c r="G80" s="13" t="s">
        <v>6</v>
      </c>
      <c r="H80" s="48">
        <f>H74</f>
        <v>724</v>
      </c>
      <c r="I80" s="80"/>
      <c r="J80" s="47">
        <f>SUM(H80)</f>
        <v>724</v>
      </c>
      <c r="K80" s="19"/>
      <c r="M80" s="13" t="s">
        <v>6</v>
      </c>
      <c r="N80" s="48">
        <f>N74</f>
        <v>0</v>
      </c>
      <c r="O80" s="80"/>
      <c r="P80" s="47">
        <f>SUM(N80)</f>
        <v>0</v>
      </c>
    </row>
    <row r="81" spans="1:16" x14ac:dyDescent="0.15">
      <c r="A81" s="3" t="s">
        <v>1</v>
      </c>
      <c r="B81" s="73">
        <v>30</v>
      </c>
      <c r="C81" s="71"/>
      <c r="D81" s="7">
        <f>SUM(B81)</f>
        <v>30</v>
      </c>
      <c r="E81" s="57">
        <v>43991</v>
      </c>
      <c r="G81" s="4" t="s">
        <v>1</v>
      </c>
      <c r="H81" s="74"/>
      <c r="I81" s="78"/>
      <c r="J81" s="21">
        <f t="shared" ref="J81:J85" si="21">SUM(H81)</f>
        <v>0</v>
      </c>
      <c r="K81" s="19"/>
      <c r="M81" s="4" t="s">
        <v>1</v>
      </c>
      <c r="N81" s="74"/>
      <c r="O81" s="78"/>
      <c r="P81" s="21">
        <f t="shared" ref="P81:P85" si="22">SUM(N81)</f>
        <v>0</v>
      </c>
    </row>
    <row r="82" spans="1:16" x14ac:dyDescent="0.15">
      <c r="A82" s="3" t="s">
        <v>1</v>
      </c>
      <c r="B82" s="24">
        <v>10</v>
      </c>
      <c r="C82" s="77"/>
      <c r="D82" s="7">
        <f t="shared" ref="D82:D85" si="23">SUM(B82)</f>
        <v>10</v>
      </c>
      <c r="E82" s="57">
        <v>43994</v>
      </c>
      <c r="G82" s="59" t="s">
        <v>1</v>
      </c>
      <c r="H82" s="82">
        <v>250</v>
      </c>
      <c r="I82" s="81"/>
      <c r="J82" s="60">
        <f t="shared" si="21"/>
        <v>250</v>
      </c>
      <c r="K82" s="20" t="s">
        <v>81</v>
      </c>
      <c r="M82" s="4" t="s">
        <v>1</v>
      </c>
      <c r="N82" s="74"/>
      <c r="O82" s="78"/>
      <c r="P82" s="21">
        <f t="shared" si="22"/>
        <v>0</v>
      </c>
    </row>
    <row r="83" spans="1:16" x14ac:dyDescent="0.15">
      <c r="A83" s="3" t="s">
        <v>1</v>
      </c>
      <c r="B83" s="79"/>
      <c r="C83" s="1"/>
      <c r="D83" s="7">
        <f t="shared" si="23"/>
        <v>0</v>
      </c>
      <c r="E83" s="19"/>
      <c r="G83" s="4" t="s">
        <v>1</v>
      </c>
      <c r="H83" s="74"/>
      <c r="I83" s="78"/>
      <c r="J83" s="21">
        <f t="shared" si="21"/>
        <v>0</v>
      </c>
      <c r="K83" s="19"/>
      <c r="M83" s="4" t="s">
        <v>1</v>
      </c>
      <c r="N83" s="74"/>
      <c r="O83" s="78"/>
      <c r="P83" s="21">
        <f t="shared" si="22"/>
        <v>0</v>
      </c>
    </row>
    <row r="84" spans="1:16" x14ac:dyDescent="0.15">
      <c r="A84" s="3" t="s">
        <v>1</v>
      </c>
      <c r="B84" s="74"/>
      <c r="C84" s="78"/>
      <c r="D84" s="7">
        <f t="shared" si="23"/>
        <v>0</v>
      </c>
      <c r="G84" s="3" t="s">
        <v>1</v>
      </c>
      <c r="H84" s="74"/>
      <c r="I84" s="78"/>
      <c r="J84" s="7">
        <f t="shared" si="21"/>
        <v>0</v>
      </c>
      <c r="K84" s="19"/>
      <c r="M84" s="3" t="s">
        <v>1</v>
      </c>
      <c r="N84" s="74"/>
      <c r="O84" s="78"/>
      <c r="P84" s="7">
        <f t="shared" si="22"/>
        <v>0</v>
      </c>
    </row>
    <row r="85" spans="1:16" ht="14.25" thickBot="1" x14ac:dyDescent="0.2">
      <c r="A85" s="4" t="s">
        <v>1</v>
      </c>
      <c r="B85" s="75"/>
      <c r="C85" s="17"/>
      <c r="D85" s="22">
        <f t="shared" si="23"/>
        <v>0</v>
      </c>
      <c r="G85" s="4" t="s">
        <v>1</v>
      </c>
      <c r="H85" s="75"/>
      <c r="I85" s="17"/>
      <c r="J85" s="22">
        <f t="shared" si="21"/>
        <v>0</v>
      </c>
      <c r="M85" s="4" t="s">
        <v>1</v>
      </c>
      <c r="N85" s="75"/>
      <c r="O85" s="17"/>
      <c r="P85" s="22">
        <f t="shared" si="22"/>
        <v>0</v>
      </c>
    </row>
    <row r="86" spans="1:16" ht="14.25" thickBot="1" x14ac:dyDescent="0.2">
      <c r="A86" s="14" t="s">
        <v>2</v>
      </c>
      <c r="B86" s="15">
        <f>SUM(B80:B85)</f>
        <v>96</v>
      </c>
      <c r="C86" s="65"/>
      <c r="D86" s="18">
        <f>SUM(B86)</f>
        <v>96</v>
      </c>
      <c r="G86" s="14" t="s">
        <v>2</v>
      </c>
      <c r="H86" s="15">
        <f>SUM(H80:H85)</f>
        <v>974</v>
      </c>
      <c r="I86" s="65"/>
      <c r="J86" s="18">
        <f>SUM(H86)</f>
        <v>974</v>
      </c>
      <c r="M86" s="14" t="s">
        <v>2</v>
      </c>
      <c r="N86" s="15">
        <f>SUM(N80:N85)</f>
        <v>0</v>
      </c>
      <c r="O86" s="65"/>
      <c r="P86" s="18">
        <f>SUM(N86)</f>
        <v>0</v>
      </c>
    </row>
    <row r="87" spans="1:16" x14ac:dyDescent="0.15">
      <c r="A87" s="29" t="s">
        <v>22</v>
      </c>
      <c r="B87" s="6">
        <v>8</v>
      </c>
      <c r="C87" s="27"/>
      <c r="D87" s="7">
        <f>SUM(B87)</f>
        <v>8</v>
      </c>
      <c r="E87" s="61">
        <v>43977</v>
      </c>
      <c r="G87" s="43" t="s">
        <v>63</v>
      </c>
      <c r="H87" s="6">
        <v>300</v>
      </c>
      <c r="I87" s="27"/>
      <c r="J87" s="35">
        <f t="shared" ref="J87" si="24">SUM(H87)</f>
        <v>300</v>
      </c>
      <c r="K87" s="57">
        <v>43966</v>
      </c>
      <c r="M87" s="5"/>
      <c r="N87" s="6"/>
      <c r="O87" s="27"/>
      <c r="P87" s="7">
        <f>SUM(N87)</f>
        <v>0</v>
      </c>
    </row>
    <row r="88" spans="1:16" x14ac:dyDescent="0.15">
      <c r="A88" s="29" t="s">
        <v>22</v>
      </c>
      <c r="B88" s="6">
        <v>2</v>
      </c>
      <c r="C88" s="27"/>
      <c r="D88" s="7">
        <f>SUM(B88)</f>
        <v>2</v>
      </c>
      <c r="E88" s="61">
        <v>43979</v>
      </c>
      <c r="G88" s="43" t="s">
        <v>66</v>
      </c>
      <c r="H88" s="6">
        <v>30</v>
      </c>
      <c r="I88" s="27"/>
      <c r="J88" s="7">
        <f>SUM(H88)</f>
        <v>30</v>
      </c>
      <c r="K88" s="57">
        <v>43973</v>
      </c>
      <c r="M88" s="5"/>
      <c r="N88" s="6"/>
      <c r="O88" s="27"/>
      <c r="P88" s="7">
        <f>SUM(N88)</f>
        <v>0</v>
      </c>
    </row>
    <row r="89" spans="1:16" x14ac:dyDescent="0.15">
      <c r="A89" s="29" t="s">
        <v>22</v>
      </c>
      <c r="B89" s="6">
        <v>4</v>
      </c>
      <c r="C89" s="27"/>
      <c r="D89" s="7">
        <f t="shared" ref="D89:D110" si="25">SUM(B89)</f>
        <v>4</v>
      </c>
      <c r="E89" s="61">
        <v>43983</v>
      </c>
      <c r="G89" s="43" t="s">
        <v>67</v>
      </c>
      <c r="H89" s="6">
        <v>60</v>
      </c>
      <c r="I89" s="27"/>
      <c r="J89" s="7">
        <f t="shared" ref="J89:J110" si="26">SUM(H89)</f>
        <v>60</v>
      </c>
      <c r="K89" s="57">
        <v>43973</v>
      </c>
      <c r="M89" s="5"/>
      <c r="N89" s="6"/>
      <c r="O89" s="27"/>
      <c r="P89" s="7">
        <f t="shared" ref="P89:P110" si="27">SUM(N89)</f>
        <v>0</v>
      </c>
    </row>
    <row r="90" spans="1:16" x14ac:dyDescent="0.15">
      <c r="A90" s="29" t="s">
        <v>22</v>
      </c>
      <c r="B90" s="6">
        <v>2</v>
      </c>
      <c r="C90" s="27"/>
      <c r="D90" s="7">
        <f t="shared" si="25"/>
        <v>2</v>
      </c>
      <c r="E90" s="61">
        <v>43984</v>
      </c>
      <c r="G90" s="8" t="s">
        <v>68</v>
      </c>
      <c r="H90" s="6">
        <v>40</v>
      </c>
      <c r="I90" s="27"/>
      <c r="J90" s="7">
        <f t="shared" si="26"/>
        <v>40</v>
      </c>
      <c r="K90" s="57">
        <v>43986</v>
      </c>
      <c r="M90" s="5"/>
      <c r="N90" s="6"/>
      <c r="O90" s="27"/>
      <c r="P90" s="7">
        <f t="shared" si="27"/>
        <v>0</v>
      </c>
    </row>
    <row r="91" spans="1:16" x14ac:dyDescent="0.15">
      <c r="A91" s="29" t="s">
        <v>22</v>
      </c>
      <c r="B91" s="6">
        <v>1</v>
      </c>
      <c r="C91" s="27"/>
      <c r="D91" s="7">
        <f t="shared" si="25"/>
        <v>1</v>
      </c>
      <c r="E91" s="61">
        <v>43985</v>
      </c>
      <c r="G91" s="43" t="s">
        <v>69</v>
      </c>
      <c r="H91" s="6">
        <v>60</v>
      </c>
      <c r="I91" s="27"/>
      <c r="J91" s="7">
        <f t="shared" si="26"/>
        <v>60</v>
      </c>
      <c r="K91" s="57">
        <v>43983</v>
      </c>
      <c r="M91" s="5"/>
      <c r="N91" s="6"/>
      <c r="O91" s="27"/>
      <c r="P91" s="7">
        <f t="shared" si="27"/>
        <v>0</v>
      </c>
    </row>
    <row r="92" spans="1:16" x14ac:dyDescent="0.15">
      <c r="A92" s="29" t="s">
        <v>22</v>
      </c>
      <c r="B92" s="6">
        <v>3</v>
      </c>
      <c r="C92" s="27"/>
      <c r="D92" s="7">
        <f t="shared" si="25"/>
        <v>3</v>
      </c>
      <c r="E92" s="61">
        <v>43986</v>
      </c>
      <c r="G92" s="43" t="s">
        <v>70</v>
      </c>
      <c r="H92" s="6">
        <v>30</v>
      </c>
      <c r="I92" s="27"/>
      <c r="J92" s="7">
        <f t="shared" si="26"/>
        <v>30</v>
      </c>
      <c r="K92" s="57">
        <v>43985</v>
      </c>
      <c r="M92" s="8"/>
      <c r="N92" s="6"/>
      <c r="O92" s="27"/>
      <c r="P92" s="7">
        <f t="shared" si="27"/>
        <v>0</v>
      </c>
    </row>
    <row r="93" spans="1:16" x14ac:dyDescent="0.15">
      <c r="A93" s="29" t="s">
        <v>22</v>
      </c>
      <c r="B93" s="6">
        <v>5</v>
      </c>
      <c r="C93" s="27"/>
      <c r="D93" s="7">
        <f t="shared" si="25"/>
        <v>5</v>
      </c>
      <c r="E93" s="61">
        <v>43987</v>
      </c>
      <c r="G93" s="43" t="s">
        <v>71</v>
      </c>
      <c r="H93" s="6">
        <v>30</v>
      </c>
      <c r="I93" s="27"/>
      <c r="J93" s="7">
        <f t="shared" si="26"/>
        <v>30</v>
      </c>
      <c r="K93" s="57">
        <v>43987</v>
      </c>
      <c r="M93" s="5"/>
      <c r="N93" s="6"/>
      <c r="O93" s="27"/>
      <c r="P93" s="7">
        <f t="shared" si="27"/>
        <v>0</v>
      </c>
    </row>
    <row r="94" spans="1:16" x14ac:dyDescent="0.15">
      <c r="A94" s="29" t="s">
        <v>22</v>
      </c>
      <c r="B94" s="6">
        <v>6</v>
      </c>
      <c r="C94" s="27"/>
      <c r="D94" s="7">
        <f t="shared" si="25"/>
        <v>6</v>
      </c>
      <c r="E94" s="61">
        <v>43988</v>
      </c>
      <c r="G94" s="43" t="s">
        <v>72</v>
      </c>
      <c r="H94" s="6">
        <v>60</v>
      </c>
      <c r="I94" s="27"/>
      <c r="J94" s="7">
        <f t="shared" si="26"/>
        <v>60</v>
      </c>
      <c r="K94" s="57">
        <v>43987</v>
      </c>
      <c r="M94" s="5"/>
      <c r="N94" s="6"/>
      <c r="O94" s="27"/>
      <c r="P94" s="7">
        <f t="shared" si="27"/>
        <v>0</v>
      </c>
    </row>
    <row r="95" spans="1:16" x14ac:dyDescent="0.15">
      <c r="A95" s="29" t="s">
        <v>22</v>
      </c>
      <c r="B95" s="6">
        <v>15</v>
      </c>
      <c r="C95" s="27"/>
      <c r="D95" s="7">
        <f t="shared" si="25"/>
        <v>15</v>
      </c>
      <c r="E95" s="61">
        <v>43990</v>
      </c>
      <c r="G95" s="5" t="s">
        <v>73</v>
      </c>
      <c r="H95" s="6">
        <v>10</v>
      </c>
      <c r="I95" s="27"/>
      <c r="J95" s="7">
        <f t="shared" si="26"/>
        <v>10</v>
      </c>
      <c r="K95" s="57">
        <v>43991</v>
      </c>
      <c r="M95" s="8"/>
      <c r="N95" s="6"/>
      <c r="O95" s="27"/>
      <c r="P95" s="7">
        <f t="shared" si="27"/>
        <v>0</v>
      </c>
    </row>
    <row r="96" spans="1:16" x14ac:dyDescent="0.15">
      <c r="A96" s="29" t="s">
        <v>22</v>
      </c>
      <c r="B96" s="6">
        <v>4</v>
      </c>
      <c r="C96" s="27"/>
      <c r="D96" s="7">
        <f t="shared" si="25"/>
        <v>4</v>
      </c>
      <c r="E96" s="61">
        <v>43991</v>
      </c>
      <c r="G96" s="5" t="s">
        <v>74</v>
      </c>
      <c r="H96" s="6">
        <v>10</v>
      </c>
      <c r="I96" s="27"/>
      <c r="J96" s="7">
        <f t="shared" si="26"/>
        <v>10</v>
      </c>
      <c r="K96" s="57">
        <v>43993</v>
      </c>
      <c r="M96" s="8"/>
      <c r="N96" s="6"/>
      <c r="O96" s="27"/>
      <c r="P96" s="7">
        <f t="shared" si="27"/>
        <v>0</v>
      </c>
    </row>
    <row r="97" spans="1:16" x14ac:dyDescent="0.15">
      <c r="A97" s="29" t="s">
        <v>22</v>
      </c>
      <c r="B97" s="6">
        <v>10</v>
      </c>
      <c r="C97" s="27"/>
      <c r="D97" s="7">
        <f t="shared" si="25"/>
        <v>10</v>
      </c>
      <c r="E97" s="61">
        <v>43992</v>
      </c>
      <c r="G97" s="5" t="s">
        <v>75</v>
      </c>
      <c r="H97" s="6">
        <v>30</v>
      </c>
      <c r="I97" s="27"/>
      <c r="J97" s="7">
        <f t="shared" si="26"/>
        <v>30</v>
      </c>
      <c r="K97" s="57">
        <v>43991</v>
      </c>
      <c r="M97" s="5"/>
      <c r="N97" s="6"/>
      <c r="O97" s="27"/>
      <c r="P97" s="7">
        <f t="shared" si="27"/>
        <v>0</v>
      </c>
    </row>
    <row r="98" spans="1:16" x14ac:dyDescent="0.15">
      <c r="A98" s="29" t="s">
        <v>22</v>
      </c>
      <c r="B98" s="6">
        <v>17</v>
      </c>
      <c r="C98" s="27"/>
      <c r="D98" s="7">
        <f t="shared" si="25"/>
        <v>17</v>
      </c>
      <c r="E98" s="61">
        <v>43993</v>
      </c>
      <c r="G98" s="5" t="s">
        <v>76</v>
      </c>
      <c r="H98" s="6">
        <v>14</v>
      </c>
      <c r="I98" s="27"/>
      <c r="J98" s="7">
        <f t="shared" si="26"/>
        <v>14</v>
      </c>
      <c r="K98" s="57">
        <v>43998</v>
      </c>
      <c r="M98" s="5"/>
      <c r="N98" s="6"/>
      <c r="O98" s="27"/>
      <c r="P98" s="7">
        <f t="shared" si="27"/>
        <v>0</v>
      </c>
    </row>
    <row r="99" spans="1:16" x14ac:dyDescent="0.15">
      <c r="A99" s="29" t="s">
        <v>22</v>
      </c>
      <c r="B99" s="6">
        <v>2</v>
      </c>
      <c r="C99" s="27"/>
      <c r="D99" s="7">
        <f t="shared" si="25"/>
        <v>2</v>
      </c>
      <c r="E99" s="61">
        <v>43998</v>
      </c>
      <c r="G99" s="5" t="s">
        <v>21</v>
      </c>
      <c r="H99" s="6">
        <v>10</v>
      </c>
      <c r="I99" s="27"/>
      <c r="J99" s="7">
        <f t="shared" si="26"/>
        <v>10</v>
      </c>
      <c r="K99" s="57">
        <v>43994</v>
      </c>
      <c r="M99" s="8"/>
      <c r="N99" s="6"/>
      <c r="O99" s="27"/>
      <c r="P99" s="7">
        <f t="shared" si="27"/>
        <v>0</v>
      </c>
    </row>
    <row r="100" spans="1:16" x14ac:dyDescent="0.15">
      <c r="A100" s="29" t="s">
        <v>22</v>
      </c>
      <c r="B100" s="6">
        <v>2</v>
      </c>
      <c r="C100" s="27"/>
      <c r="D100" s="7">
        <f t="shared" si="25"/>
        <v>2</v>
      </c>
      <c r="E100" s="61">
        <v>43999</v>
      </c>
      <c r="G100" s="5" t="s">
        <v>77</v>
      </c>
      <c r="H100" s="6">
        <v>10</v>
      </c>
      <c r="I100" s="27"/>
      <c r="J100" s="7">
        <f t="shared" si="26"/>
        <v>10</v>
      </c>
      <c r="K100" s="57">
        <v>44000</v>
      </c>
      <c r="L100" s="19"/>
      <c r="M100" s="5"/>
      <c r="N100" s="6"/>
      <c r="O100" s="27"/>
      <c r="P100" s="7">
        <f t="shared" si="27"/>
        <v>0</v>
      </c>
    </row>
    <row r="101" spans="1:16" x14ac:dyDescent="0.15">
      <c r="A101" s="29" t="s">
        <v>22</v>
      </c>
      <c r="B101" s="6">
        <v>1</v>
      </c>
      <c r="C101" s="27"/>
      <c r="D101" s="7">
        <f t="shared" si="25"/>
        <v>1</v>
      </c>
      <c r="E101" s="61">
        <v>44002</v>
      </c>
      <c r="G101" s="5" t="s">
        <v>78</v>
      </c>
      <c r="H101" s="6">
        <v>10</v>
      </c>
      <c r="I101" s="27"/>
      <c r="J101" s="7">
        <f t="shared" si="26"/>
        <v>10</v>
      </c>
      <c r="K101" s="57">
        <v>44001</v>
      </c>
      <c r="M101" s="8"/>
      <c r="N101" s="6"/>
      <c r="O101" s="27"/>
      <c r="P101" s="7">
        <f t="shared" si="27"/>
        <v>0</v>
      </c>
    </row>
    <row r="102" spans="1:16" x14ac:dyDescent="0.15">
      <c r="A102" s="29" t="s">
        <v>22</v>
      </c>
      <c r="B102" s="6">
        <v>4</v>
      </c>
      <c r="C102" s="27"/>
      <c r="D102" s="7">
        <f t="shared" si="25"/>
        <v>4</v>
      </c>
      <c r="E102" s="61">
        <v>44011</v>
      </c>
      <c r="G102" s="8" t="s">
        <v>79</v>
      </c>
      <c r="H102" s="6">
        <v>30</v>
      </c>
      <c r="I102" s="27"/>
      <c r="J102" s="7">
        <f t="shared" si="26"/>
        <v>30</v>
      </c>
      <c r="K102" s="57">
        <v>44006</v>
      </c>
      <c r="M102" s="8"/>
      <c r="N102" s="6"/>
      <c r="O102" s="27"/>
      <c r="P102" s="7">
        <f t="shared" si="27"/>
        <v>0</v>
      </c>
    </row>
    <row r="103" spans="1:16" x14ac:dyDescent="0.15">
      <c r="A103" s="29" t="s">
        <v>22</v>
      </c>
      <c r="B103" s="6">
        <v>2</v>
      </c>
      <c r="C103" s="27"/>
      <c r="D103" s="7">
        <f t="shared" si="25"/>
        <v>2</v>
      </c>
      <c r="E103" s="61">
        <v>44012</v>
      </c>
      <c r="G103" s="5" t="s">
        <v>80</v>
      </c>
      <c r="H103" s="6">
        <v>10</v>
      </c>
      <c r="I103" s="27"/>
      <c r="J103" s="7">
        <f t="shared" si="26"/>
        <v>10</v>
      </c>
      <c r="K103" s="57">
        <v>44006</v>
      </c>
      <c r="M103" s="5"/>
      <c r="N103" s="6"/>
      <c r="O103" s="27"/>
      <c r="P103" s="7">
        <f t="shared" si="27"/>
        <v>0</v>
      </c>
    </row>
    <row r="104" spans="1:16" x14ac:dyDescent="0.15">
      <c r="A104" s="5"/>
      <c r="B104" s="6"/>
      <c r="C104" s="27"/>
      <c r="D104" s="7">
        <f t="shared" si="25"/>
        <v>0</v>
      </c>
      <c r="G104" s="30" t="s">
        <v>82</v>
      </c>
      <c r="H104" s="6">
        <v>50</v>
      </c>
      <c r="I104" s="27"/>
      <c r="J104" s="7">
        <f t="shared" si="26"/>
        <v>50</v>
      </c>
      <c r="K104" s="57">
        <v>44006</v>
      </c>
      <c r="M104" s="5"/>
      <c r="N104" s="6"/>
      <c r="O104" s="27"/>
      <c r="P104" s="7">
        <f t="shared" si="27"/>
        <v>0</v>
      </c>
    </row>
    <row r="105" spans="1:16" x14ac:dyDescent="0.15">
      <c r="A105" s="5"/>
      <c r="B105" s="6"/>
      <c r="C105" s="27"/>
      <c r="D105" s="7">
        <f t="shared" si="25"/>
        <v>0</v>
      </c>
      <c r="G105" s="5" t="s">
        <v>83</v>
      </c>
      <c r="H105" s="6">
        <v>10</v>
      </c>
      <c r="I105" s="27"/>
      <c r="J105" s="7">
        <f t="shared" si="26"/>
        <v>10</v>
      </c>
      <c r="K105" s="57">
        <v>44007</v>
      </c>
      <c r="M105" s="5"/>
      <c r="N105" s="6"/>
      <c r="O105" s="27"/>
      <c r="P105" s="7">
        <f t="shared" si="27"/>
        <v>0</v>
      </c>
    </row>
    <row r="106" spans="1:16" x14ac:dyDescent="0.15">
      <c r="A106" s="8"/>
      <c r="B106" s="6"/>
      <c r="C106" s="27"/>
      <c r="D106" s="7">
        <f t="shared" si="25"/>
        <v>0</v>
      </c>
      <c r="G106" s="43" t="s">
        <v>86</v>
      </c>
      <c r="H106" s="6">
        <v>30</v>
      </c>
      <c r="I106" s="27"/>
      <c r="J106" s="35">
        <f t="shared" si="26"/>
        <v>30</v>
      </c>
      <c r="K106" s="57">
        <v>44007</v>
      </c>
      <c r="M106" s="8"/>
      <c r="N106" s="6"/>
      <c r="O106" s="27"/>
      <c r="P106" s="7">
        <f t="shared" si="27"/>
        <v>0</v>
      </c>
    </row>
    <row r="107" spans="1:16" x14ac:dyDescent="0.15">
      <c r="A107" s="8"/>
      <c r="B107" s="6"/>
      <c r="C107" s="27"/>
      <c r="D107" s="7">
        <f t="shared" si="25"/>
        <v>0</v>
      </c>
      <c r="G107" s="43" t="s">
        <v>87</v>
      </c>
      <c r="H107" s="6">
        <v>60</v>
      </c>
      <c r="I107" s="27"/>
      <c r="J107" s="35">
        <f t="shared" si="26"/>
        <v>60</v>
      </c>
      <c r="K107" s="57">
        <v>44007</v>
      </c>
      <c r="M107" s="8"/>
      <c r="N107" s="6"/>
      <c r="O107" s="27"/>
      <c r="P107" s="7">
        <f t="shared" si="27"/>
        <v>0</v>
      </c>
    </row>
    <row r="108" spans="1:16" x14ac:dyDescent="0.15">
      <c r="A108" s="5"/>
      <c r="B108" s="6"/>
      <c r="C108" s="27"/>
      <c r="D108" s="7">
        <f t="shared" si="25"/>
        <v>0</v>
      </c>
      <c r="G108" s="8" t="s">
        <v>88</v>
      </c>
      <c r="H108" s="6">
        <v>3</v>
      </c>
      <c r="I108" s="27"/>
      <c r="J108" s="35">
        <f t="shared" si="26"/>
        <v>3</v>
      </c>
      <c r="K108" s="57">
        <v>44004</v>
      </c>
      <c r="M108" s="5"/>
      <c r="N108" s="6"/>
      <c r="O108" s="27"/>
      <c r="P108" s="7">
        <f t="shared" si="27"/>
        <v>0</v>
      </c>
    </row>
    <row r="109" spans="1:16" x14ac:dyDescent="0.15">
      <c r="A109" s="5"/>
      <c r="B109" s="6"/>
      <c r="C109" s="27"/>
      <c r="D109" s="7">
        <f t="shared" si="25"/>
        <v>0</v>
      </c>
      <c r="G109" s="43" t="s">
        <v>89</v>
      </c>
      <c r="H109" s="6">
        <v>60</v>
      </c>
      <c r="I109" s="27"/>
      <c r="J109" s="35">
        <f t="shared" si="26"/>
        <v>60</v>
      </c>
      <c r="K109" s="57">
        <v>44008</v>
      </c>
      <c r="M109" s="8"/>
      <c r="N109" s="6"/>
      <c r="O109" s="27"/>
      <c r="P109" s="7">
        <f t="shared" si="27"/>
        <v>0</v>
      </c>
    </row>
    <row r="110" spans="1:16" ht="14.25" thickBot="1" x14ac:dyDescent="0.2">
      <c r="A110" s="5"/>
      <c r="B110" s="6"/>
      <c r="C110" s="27"/>
      <c r="D110" s="7">
        <f t="shared" si="25"/>
        <v>0</v>
      </c>
      <c r="G110" s="8" t="s">
        <v>90</v>
      </c>
      <c r="H110" s="6">
        <v>10</v>
      </c>
      <c r="I110" s="27"/>
      <c r="J110" s="35">
        <f t="shared" si="26"/>
        <v>10</v>
      </c>
      <c r="K110" s="57">
        <v>44011</v>
      </c>
      <c r="M110" s="23"/>
      <c r="N110" s="6"/>
      <c r="O110" s="27"/>
      <c r="P110" s="7">
        <f t="shared" si="27"/>
        <v>0</v>
      </c>
    </row>
    <row r="111" spans="1:16" ht="14.25" thickBot="1" x14ac:dyDescent="0.2">
      <c r="A111" s="9" t="s">
        <v>3</v>
      </c>
      <c r="B111" s="10">
        <f>SUM(B87:B110)</f>
        <v>88</v>
      </c>
      <c r="C111" s="66"/>
      <c r="D111" s="11">
        <f>SUM(D87:D110)</f>
        <v>88</v>
      </c>
      <c r="G111" s="9" t="s">
        <v>3</v>
      </c>
      <c r="H111" s="10">
        <f>SUM(H87:H110)</f>
        <v>967</v>
      </c>
      <c r="I111" s="66"/>
      <c r="J111" s="11">
        <f>SUM(J87:J110)</f>
        <v>967</v>
      </c>
      <c r="M111" s="9" t="s">
        <v>3</v>
      </c>
      <c r="N111" s="10">
        <f>SUM(N87:N110)</f>
        <v>0</v>
      </c>
      <c r="O111" s="66"/>
      <c r="P111" s="11">
        <f>SUM(P87:P110)</f>
        <v>0</v>
      </c>
    </row>
    <row r="112" spans="1:16" ht="14.25" thickBot="1" x14ac:dyDescent="0.2">
      <c r="A112" s="14" t="s">
        <v>4</v>
      </c>
      <c r="B112" s="16">
        <f>B86-B111</f>
        <v>8</v>
      </c>
      <c r="C112" s="16"/>
      <c r="D112" s="16">
        <f>D86-D111</f>
        <v>8</v>
      </c>
      <c r="G112" s="14" t="s">
        <v>4</v>
      </c>
      <c r="H112" s="16">
        <f>H86-H111</f>
        <v>7</v>
      </c>
      <c r="I112" s="16"/>
      <c r="J112" s="16">
        <f>J86-J111</f>
        <v>7</v>
      </c>
      <c r="M112" s="14" t="s">
        <v>4</v>
      </c>
      <c r="N112" s="16">
        <f>N86-N111</f>
        <v>0</v>
      </c>
      <c r="O112" s="16"/>
      <c r="P112" s="16">
        <f>P86-P111</f>
        <v>0</v>
      </c>
    </row>
    <row r="115" spans="1:16" ht="24" x14ac:dyDescent="0.25">
      <c r="A115" s="25" t="s">
        <v>7</v>
      </c>
      <c r="B115" s="1"/>
      <c r="C115" s="1"/>
      <c r="D115" s="1"/>
      <c r="G115" s="25" t="s">
        <v>8</v>
      </c>
      <c r="H115" s="1"/>
      <c r="I115" s="1"/>
      <c r="J115" s="1"/>
      <c r="M115" s="25" t="s">
        <v>9</v>
      </c>
      <c r="N115" s="1"/>
      <c r="O115" s="1"/>
      <c r="P115" s="1"/>
    </row>
    <row r="116" spans="1:16" ht="14.25" thickBot="1" x14ac:dyDescent="0.2">
      <c r="A116" s="1"/>
      <c r="B116" s="1"/>
      <c r="C116" s="1"/>
      <c r="D116" s="1"/>
      <c r="G116" s="1"/>
      <c r="H116" s="1"/>
      <c r="I116" s="1"/>
      <c r="J116" s="1"/>
      <c r="M116" s="1"/>
      <c r="N116" s="1"/>
      <c r="O116" s="1"/>
      <c r="P116" s="1"/>
    </row>
    <row r="117" spans="1:16" ht="14.25" thickBot="1" x14ac:dyDescent="0.2">
      <c r="A117" s="2"/>
      <c r="B117" s="50" t="s">
        <v>10</v>
      </c>
      <c r="C117" s="50"/>
      <c r="D117" s="2" t="s">
        <v>0</v>
      </c>
      <c r="G117" s="2"/>
      <c r="H117" s="50" t="s">
        <v>10</v>
      </c>
      <c r="I117" s="50"/>
      <c r="J117" s="2" t="s">
        <v>0</v>
      </c>
      <c r="M117" s="2"/>
      <c r="N117" s="50" t="s">
        <v>10</v>
      </c>
      <c r="O117" s="50"/>
      <c r="P117" s="2" t="s">
        <v>0</v>
      </c>
    </row>
    <row r="118" spans="1:16" x14ac:dyDescent="0.15">
      <c r="A118" s="32" t="s">
        <v>4</v>
      </c>
      <c r="B118" s="48">
        <f>B112</f>
        <v>8</v>
      </c>
      <c r="C118" s="76"/>
      <c r="D118" s="47">
        <f>SUM(B118)</f>
        <v>8</v>
      </c>
      <c r="G118" s="13" t="s">
        <v>6</v>
      </c>
      <c r="H118" s="48">
        <f>H112</f>
        <v>7</v>
      </c>
      <c r="I118" s="80"/>
      <c r="J118" s="47">
        <f>SUM(H118)</f>
        <v>7</v>
      </c>
      <c r="K118" s="19"/>
      <c r="M118" s="13" t="s">
        <v>6</v>
      </c>
      <c r="N118" s="48">
        <f>N112</f>
        <v>0</v>
      </c>
      <c r="O118" s="80"/>
      <c r="P118" s="47">
        <f>SUM(N118)</f>
        <v>0</v>
      </c>
    </row>
    <row r="119" spans="1:16" x14ac:dyDescent="0.15">
      <c r="A119" s="3" t="s">
        <v>1</v>
      </c>
      <c r="B119" s="73">
        <v>30</v>
      </c>
      <c r="C119" s="71"/>
      <c r="D119" s="7">
        <f>SUM(B119)</f>
        <v>30</v>
      </c>
      <c r="E119" s="57">
        <v>44015</v>
      </c>
      <c r="G119" s="59" t="s">
        <v>1</v>
      </c>
      <c r="H119" s="82">
        <v>250</v>
      </c>
      <c r="I119" s="81"/>
      <c r="J119" s="60">
        <f t="shared" ref="J119:J123" si="28">SUM(H119)</f>
        <v>250</v>
      </c>
      <c r="K119" s="20" t="s">
        <v>93</v>
      </c>
      <c r="M119" s="4" t="s">
        <v>1</v>
      </c>
      <c r="N119" s="74"/>
      <c r="O119" s="78"/>
      <c r="P119" s="21">
        <f t="shared" ref="P119:P123" si="29">SUM(N119)</f>
        <v>0</v>
      </c>
    </row>
    <row r="120" spans="1:16" x14ac:dyDescent="0.15">
      <c r="A120" s="3" t="s">
        <v>1</v>
      </c>
      <c r="B120" s="24">
        <v>20</v>
      </c>
      <c r="C120" s="77"/>
      <c r="D120" s="7">
        <f t="shared" ref="D120:D123" si="30">SUM(B120)</f>
        <v>20</v>
      </c>
      <c r="E120" s="61">
        <v>44016</v>
      </c>
      <c r="G120" s="59" t="s">
        <v>1</v>
      </c>
      <c r="H120" s="82">
        <v>1878</v>
      </c>
      <c r="I120" s="81"/>
      <c r="J120" s="60">
        <f t="shared" si="28"/>
        <v>1878</v>
      </c>
      <c r="K120" s="20" t="s">
        <v>97</v>
      </c>
      <c r="M120" s="4" t="s">
        <v>1</v>
      </c>
      <c r="N120" s="74"/>
      <c r="O120" s="78"/>
      <c r="P120" s="21">
        <f t="shared" si="29"/>
        <v>0</v>
      </c>
    </row>
    <row r="121" spans="1:16" x14ac:dyDescent="0.15">
      <c r="A121" s="3" t="s">
        <v>1</v>
      </c>
      <c r="B121" s="79">
        <v>30</v>
      </c>
      <c r="C121" s="1"/>
      <c r="D121" s="7">
        <f t="shared" si="30"/>
        <v>30</v>
      </c>
      <c r="E121" s="57">
        <v>44029</v>
      </c>
      <c r="G121" s="4" t="s">
        <v>1</v>
      </c>
      <c r="H121" s="74"/>
      <c r="I121" s="78"/>
      <c r="J121" s="21">
        <f t="shared" si="28"/>
        <v>0</v>
      </c>
      <c r="K121" s="19"/>
      <c r="M121" s="4" t="s">
        <v>1</v>
      </c>
      <c r="N121" s="74"/>
      <c r="O121" s="78"/>
      <c r="P121" s="21">
        <f t="shared" si="29"/>
        <v>0</v>
      </c>
    </row>
    <row r="122" spans="1:16" x14ac:dyDescent="0.15">
      <c r="A122" s="3" t="s">
        <v>109</v>
      </c>
      <c r="B122" s="74">
        <v>2</v>
      </c>
      <c r="C122" s="78"/>
      <c r="D122" s="7">
        <f t="shared" si="30"/>
        <v>2</v>
      </c>
      <c r="E122" s="61">
        <v>44065</v>
      </c>
      <c r="G122" s="3" t="s">
        <v>1</v>
      </c>
      <c r="H122" s="74"/>
      <c r="I122" s="78"/>
      <c r="J122" s="7">
        <f t="shared" si="28"/>
        <v>0</v>
      </c>
      <c r="K122" s="19"/>
      <c r="M122" s="3" t="s">
        <v>1</v>
      </c>
      <c r="N122" s="74"/>
      <c r="O122" s="78"/>
      <c r="P122" s="7">
        <f t="shared" si="29"/>
        <v>0</v>
      </c>
    </row>
    <row r="123" spans="1:16" ht="14.25" thickBot="1" x14ac:dyDescent="0.2">
      <c r="A123" s="4" t="s">
        <v>1</v>
      </c>
      <c r="B123" s="75"/>
      <c r="C123" s="17"/>
      <c r="D123" s="22">
        <f t="shared" si="30"/>
        <v>0</v>
      </c>
      <c r="G123" s="4" t="s">
        <v>1</v>
      </c>
      <c r="H123" s="75"/>
      <c r="I123" s="17"/>
      <c r="J123" s="22">
        <f t="shared" si="28"/>
        <v>0</v>
      </c>
      <c r="M123" s="4" t="s">
        <v>1</v>
      </c>
      <c r="N123" s="75"/>
      <c r="O123" s="17"/>
      <c r="P123" s="22">
        <f t="shared" si="29"/>
        <v>0</v>
      </c>
    </row>
    <row r="124" spans="1:16" ht="14.25" thickBot="1" x14ac:dyDescent="0.2">
      <c r="A124" s="14" t="s">
        <v>2</v>
      </c>
      <c r="B124" s="15">
        <f>SUM(B118:B123)</f>
        <v>90</v>
      </c>
      <c r="C124" s="65"/>
      <c r="D124" s="18">
        <f>SUM(B124)</f>
        <v>90</v>
      </c>
      <c r="G124" s="14" t="s">
        <v>2</v>
      </c>
      <c r="H124" s="15">
        <f>SUM(H118:H123)</f>
        <v>2135</v>
      </c>
      <c r="I124" s="65"/>
      <c r="J124" s="18">
        <f>SUM(H124)</f>
        <v>2135</v>
      </c>
      <c r="M124" s="14" t="s">
        <v>2</v>
      </c>
      <c r="N124" s="15">
        <f>SUM(N118:N123)</f>
        <v>0</v>
      </c>
      <c r="O124" s="65"/>
      <c r="P124" s="18">
        <f>SUM(N124)</f>
        <v>0</v>
      </c>
    </row>
    <row r="125" spans="1:16" x14ac:dyDescent="0.15">
      <c r="A125" s="29" t="s">
        <v>22</v>
      </c>
      <c r="B125" s="6">
        <v>1</v>
      </c>
      <c r="C125" s="27"/>
      <c r="D125" s="7">
        <f>SUM(B125)</f>
        <v>1</v>
      </c>
      <c r="E125" s="61">
        <v>44013</v>
      </c>
      <c r="G125" s="63" t="s">
        <v>91</v>
      </c>
      <c r="H125" s="6">
        <v>40</v>
      </c>
      <c r="I125" s="27"/>
      <c r="J125" s="35">
        <f t="shared" ref="J125" si="31">SUM(H125)</f>
        <v>40</v>
      </c>
      <c r="K125" s="57">
        <v>44018</v>
      </c>
      <c r="M125" s="5"/>
      <c r="N125" s="6"/>
      <c r="O125" s="27"/>
      <c r="P125" s="7">
        <f>SUM(N125)</f>
        <v>0</v>
      </c>
    </row>
    <row r="126" spans="1:16" x14ac:dyDescent="0.15">
      <c r="A126" s="29" t="s">
        <v>22</v>
      </c>
      <c r="B126" s="6">
        <v>3</v>
      </c>
      <c r="C126" s="27"/>
      <c r="D126" s="7">
        <f>SUM(B126)</f>
        <v>3</v>
      </c>
      <c r="E126" s="61">
        <v>44014</v>
      </c>
      <c r="G126" s="5" t="s">
        <v>92</v>
      </c>
      <c r="H126" s="6">
        <v>10</v>
      </c>
      <c r="I126" s="27"/>
      <c r="J126" s="7">
        <f>SUM(H126)</f>
        <v>10</v>
      </c>
      <c r="K126" s="57">
        <v>44018</v>
      </c>
      <c r="M126" s="5"/>
      <c r="N126" s="6"/>
      <c r="O126" s="27"/>
      <c r="P126" s="7">
        <f>SUM(N126)</f>
        <v>0</v>
      </c>
    </row>
    <row r="127" spans="1:16" x14ac:dyDescent="0.15">
      <c r="A127" s="29" t="s">
        <v>96</v>
      </c>
      <c r="B127" s="6">
        <v>15</v>
      </c>
      <c r="C127" s="27"/>
      <c r="D127" s="7">
        <v>15</v>
      </c>
      <c r="E127" s="61">
        <v>44018</v>
      </c>
      <c r="G127" s="43" t="s">
        <v>94</v>
      </c>
      <c r="H127" s="6">
        <v>30</v>
      </c>
      <c r="I127" s="27"/>
      <c r="J127" s="7">
        <f t="shared" ref="J127:J148" si="32">SUM(H127)</f>
        <v>30</v>
      </c>
      <c r="K127" s="57">
        <v>44015</v>
      </c>
      <c r="M127" s="5"/>
      <c r="N127" s="6"/>
      <c r="O127" s="27"/>
      <c r="P127" s="7">
        <f t="shared" ref="P127:P148" si="33">SUM(N127)</f>
        <v>0</v>
      </c>
    </row>
    <row r="128" spans="1:16" x14ac:dyDescent="0.15">
      <c r="A128" s="29" t="s">
        <v>22</v>
      </c>
      <c r="B128" s="6">
        <v>5</v>
      </c>
      <c r="C128" s="27"/>
      <c r="D128" s="7">
        <f t="shared" ref="D128" si="34">SUM(B128)</f>
        <v>5</v>
      </c>
      <c r="E128" s="61">
        <v>44015</v>
      </c>
      <c r="G128" s="62" t="s">
        <v>95</v>
      </c>
      <c r="H128" s="6">
        <v>34</v>
      </c>
      <c r="I128" s="27"/>
      <c r="J128" s="7">
        <f t="shared" si="32"/>
        <v>34</v>
      </c>
      <c r="K128" s="57">
        <v>44014</v>
      </c>
      <c r="M128" s="5"/>
      <c r="N128" s="6"/>
      <c r="O128" s="27"/>
      <c r="P128" s="7">
        <f t="shared" si="33"/>
        <v>0</v>
      </c>
    </row>
    <row r="129" spans="1:16" x14ac:dyDescent="0.15">
      <c r="A129" s="29" t="s">
        <v>22</v>
      </c>
      <c r="B129" s="6">
        <v>5</v>
      </c>
      <c r="C129" s="27"/>
      <c r="D129" s="7">
        <f t="shared" ref="D129:D148" si="35">SUM(B129)</f>
        <v>5</v>
      </c>
      <c r="E129" s="61">
        <v>44018</v>
      </c>
      <c r="G129" s="8" t="s">
        <v>21</v>
      </c>
      <c r="H129" s="6">
        <v>30</v>
      </c>
      <c r="I129" s="27"/>
      <c r="J129" s="7">
        <f t="shared" ref="J129" si="36">SUM(H129)</f>
        <v>30</v>
      </c>
      <c r="K129" s="57">
        <v>44015</v>
      </c>
      <c r="M129" s="5"/>
      <c r="N129" s="6"/>
      <c r="O129" s="27"/>
      <c r="P129" s="7">
        <f t="shared" si="33"/>
        <v>0</v>
      </c>
    </row>
    <row r="130" spans="1:16" x14ac:dyDescent="0.15">
      <c r="A130" s="29" t="s">
        <v>22</v>
      </c>
      <c r="B130" s="6">
        <v>1</v>
      </c>
      <c r="C130" s="27"/>
      <c r="D130" s="7">
        <f t="shared" si="35"/>
        <v>1</v>
      </c>
      <c r="E130" s="61">
        <v>44019</v>
      </c>
      <c r="G130" s="8" t="s">
        <v>21</v>
      </c>
      <c r="H130" s="6">
        <v>20</v>
      </c>
      <c r="I130" s="27"/>
      <c r="J130" s="7">
        <f t="shared" si="32"/>
        <v>20</v>
      </c>
      <c r="K130" s="57">
        <v>44016</v>
      </c>
      <c r="L130" s="19"/>
      <c r="M130" s="8"/>
      <c r="N130" s="6"/>
      <c r="O130" s="27"/>
      <c r="P130" s="7">
        <f t="shared" si="33"/>
        <v>0</v>
      </c>
    </row>
    <row r="131" spans="1:16" x14ac:dyDescent="0.15">
      <c r="A131" s="29" t="s">
        <v>22</v>
      </c>
      <c r="B131" s="6">
        <v>5</v>
      </c>
      <c r="C131" s="27"/>
      <c r="D131" s="7">
        <f t="shared" si="35"/>
        <v>5</v>
      </c>
      <c r="E131" s="61">
        <v>44022</v>
      </c>
      <c r="G131" s="62" t="s">
        <v>98</v>
      </c>
      <c r="H131" s="6">
        <v>25</v>
      </c>
      <c r="I131" s="27"/>
      <c r="J131" s="7">
        <f t="shared" ref="J131" si="37">SUM(H131)</f>
        <v>25</v>
      </c>
      <c r="K131" s="57">
        <v>44019</v>
      </c>
      <c r="M131" s="5"/>
      <c r="N131" s="6"/>
      <c r="O131" s="27"/>
      <c r="P131" s="7">
        <f t="shared" si="33"/>
        <v>0</v>
      </c>
    </row>
    <row r="132" spans="1:16" x14ac:dyDescent="0.15">
      <c r="A132" s="29" t="s">
        <v>22</v>
      </c>
      <c r="B132" s="6">
        <v>1</v>
      </c>
      <c r="C132" s="27"/>
      <c r="D132" s="7">
        <f t="shared" si="35"/>
        <v>1</v>
      </c>
      <c r="E132" s="61">
        <v>44025</v>
      </c>
      <c r="G132" s="8" t="s">
        <v>99</v>
      </c>
      <c r="H132" s="6">
        <v>20</v>
      </c>
      <c r="I132" s="27"/>
      <c r="J132" s="7">
        <f t="shared" si="32"/>
        <v>20</v>
      </c>
      <c r="K132" s="57">
        <v>44022</v>
      </c>
      <c r="M132" s="5"/>
      <c r="N132" s="6"/>
      <c r="O132" s="27"/>
      <c r="P132" s="7">
        <f t="shared" si="33"/>
        <v>0</v>
      </c>
    </row>
    <row r="133" spans="1:16" x14ac:dyDescent="0.15">
      <c r="A133" s="29" t="s">
        <v>22</v>
      </c>
      <c r="B133" s="6">
        <v>1</v>
      </c>
      <c r="C133" s="27"/>
      <c r="D133" s="7">
        <f t="shared" si="35"/>
        <v>1</v>
      </c>
      <c r="E133" s="61">
        <v>44028</v>
      </c>
      <c r="G133" s="5" t="s">
        <v>100</v>
      </c>
      <c r="H133" s="6">
        <v>10</v>
      </c>
      <c r="I133" s="27"/>
      <c r="J133" s="7">
        <f t="shared" si="32"/>
        <v>10</v>
      </c>
      <c r="K133" s="57">
        <v>44026</v>
      </c>
      <c r="M133" s="8"/>
      <c r="N133" s="6"/>
      <c r="O133" s="27"/>
      <c r="P133" s="7">
        <f t="shared" si="33"/>
        <v>0</v>
      </c>
    </row>
    <row r="134" spans="1:16" x14ac:dyDescent="0.15">
      <c r="A134" s="29" t="s">
        <v>22</v>
      </c>
      <c r="B134" s="6">
        <v>4</v>
      </c>
      <c r="C134" s="27"/>
      <c r="D134" s="7">
        <f t="shared" si="35"/>
        <v>4</v>
      </c>
      <c r="E134" s="61">
        <v>44029</v>
      </c>
      <c r="G134" s="8" t="s">
        <v>101</v>
      </c>
      <c r="H134" s="6">
        <v>30</v>
      </c>
      <c r="I134" s="27"/>
      <c r="J134" s="7">
        <f t="shared" si="32"/>
        <v>30</v>
      </c>
      <c r="K134" s="57">
        <v>44029</v>
      </c>
      <c r="M134" s="8"/>
      <c r="N134" s="6"/>
      <c r="O134" s="27"/>
      <c r="P134" s="7">
        <f t="shared" si="33"/>
        <v>0</v>
      </c>
    </row>
    <row r="135" spans="1:16" x14ac:dyDescent="0.15">
      <c r="A135" s="29" t="s">
        <v>22</v>
      </c>
      <c r="B135" s="6">
        <v>1</v>
      </c>
      <c r="C135" s="27"/>
      <c r="D135" s="7">
        <f t="shared" si="35"/>
        <v>1</v>
      </c>
      <c r="E135" s="61">
        <v>44032</v>
      </c>
      <c r="G135" s="5" t="s">
        <v>102</v>
      </c>
      <c r="H135" s="6">
        <v>20</v>
      </c>
      <c r="I135" s="27"/>
      <c r="J135" s="7">
        <f t="shared" si="32"/>
        <v>20</v>
      </c>
      <c r="K135" s="57">
        <v>44034</v>
      </c>
      <c r="M135" s="5"/>
      <c r="N135" s="6"/>
      <c r="O135" s="27"/>
      <c r="P135" s="7">
        <f t="shared" si="33"/>
        <v>0</v>
      </c>
    </row>
    <row r="136" spans="1:16" x14ac:dyDescent="0.15">
      <c r="A136" s="29" t="s">
        <v>22</v>
      </c>
      <c r="B136" s="6">
        <v>2</v>
      </c>
      <c r="C136" s="27"/>
      <c r="D136" s="7">
        <f t="shared" si="35"/>
        <v>2</v>
      </c>
      <c r="E136" s="61">
        <v>44033</v>
      </c>
      <c r="G136" s="8" t="s">
        <v>103</v>
      </c>
      <c r="H136" s="6">
        <v>10</v>
      </c>
      <c r="I136" s="27"/>
      <c r="J136" s="7">
        <f t="shared" si="32"/>
        <v>10</v>
      </c>
      <c r="K136" s="57">
        <v>44039</v>
      </c>
      <c r="L136" s="19"/>
      <c r="M136" s="5"/>
      <c r="N136" s="6"/>
      <c r="O136" s="27"/>
      <c r="P136" s="7">
        <f t="shared" si="33"/>
        <v>0</v>
      </c>
    </row>
    <row r="137" spans="1:16" x14ac:dyDescent="0.15">
      <c r="A137" s="29" t="s">
        <v>22</v>
      </c>
      <c r="B137" s="6">
        <v>4</v>
      </c>
      <c r="C137" s="27"/>
      <c r="D137" s="7">
        <f t="shared" si="35"/>
        <v>4</v>
      </c>
      <c r="E137" s="61">
        <v>44034</v>
      </c>
      <c r="G137" s="8" t="s">
        <v>104</v>
      </c>
      <c r="H137" s="6">
        <v>10</v>
      </c>
      <c r="I137" s="27"/>
      <c r="J137" s="7">
        <f t="shared" si="32"/>
        <v>10</v>
      </c>
      <c r="K137" s="57">
        <v>44047</v>
      </c>
      <c r="L137" s="19"/>
      <c r="M137" s="8"/>
      <c r="N137" s="6"/>
      <c r="O137" s="27"/>
      <c r="P137" s="7">
        <f t="shared" si="33"/>
        <v>0</v>
      </c>
    </row>
    <row r="138" spans="1:16" x14ac:dyDescent="0.15">
      <c r="A138" s="29" t="s">
        <v>22</v>
      </c>
      <c r="B138" s="6">
        <v>8</v>
      </c>
      <c r="C138" s="27"/>
      <c r="D138" s="7">
        <f t="shared" si="35"/>
        <v>8</v>
      </c>
      <c r="E138" s="61">
        <v>44039</v>
      </c>
      <c r="G138" s="43" t="s">
        <v>105</v>
      </c>
      <c r="H138" s="6">
        <v>30</v>
      </c>
      <c r="I138" s="27"/>
      <c r="J138" s="7">
        <f t="shared" si="32"/>
        <v>30</v>
      </c>
      <c r="K138" s="57">
        <v>44047</v>
      </c>
      <c r="L138" s="19"/>
      <c r="M138" s="5"/>
      <c r="N138" s="6"/>
      <c r="O138" s="27"/>
      <c r="P138" s="7">
        <f t="shared" si="33"/>
        <v>0</v>
      </c>
    </row>
    <row r="139" spans="1:16" x14ac:dyDescent="0.15">
      <c r="A139" s="29" t="s">
        <v>22</v>
      </c>
      <c r="B139" s="6">
        <v>2</v>
      </c>
      <c r="C139" s="27"/>
      <c r="D139" s="7">
        <f t="shared" si="35"/>
        <v>2</v>
      </c>
      <c r="E139" s="61">
        <v>44040</v>
      </c>
      <c r="G139" s="43" t="s">
        <v>106</v>
      </c>
      <c r="H139" s="6">
        <v>30</v>
      </c>
      <c r="I139" s="27"/>
      <c r="J139" s="7">
        <f t="shared" si="32"/>
        <v>30</v>
      </c>
      <c r="K139" s="57">
        <v>44049</v>
      </c>
      <c r="L139" s="19"/>
      <c r="M139" s="8"/>
      <c r="N139" s="6"/>
      <c r="O139" s="27"/>
      <c r="P139" s="7">
        <f t="shared" si="33"/>
        <v>0</v>
      </c>
    </row>
    <row r="140" spans="1:16" x14ac:dyDescent="0.15">
      <c r="A140" s="29" t="s">
        <v>22</v>
      </c>
      <c r="B140" s="6">
        <v>1</v>
      </c>
      <c r="C140" s="27"/>
      <c r="D140" s="7">
        <f t="shared" si="35"/>
        <v>1</v>
      </c>
      <c r="E140" s="61">
        <v>44047</v>
      </c>
      <c r="G140" s="30" t="s">
        <v>107</v>
      </c>
      <c r="H140" s="6">
        <v>40</v>
      </c>
      <c r="I140" s="27"/>
      <c r="J140" s="7">
        <f t="shared" si="32"/>
        <v>40</v>
      </c>
      <c r="K140" s="57">
        <v>44063</v>
      </c>
      <c r="L140" s="19"/>
      <c r="M140" s="8"/>
      <c r="N140" s="6"/>
      <c r="O140" s="27"/>
      <c r="P140" s="7">
        <f t="shared" si="33"/>
        <v>0</v>
      </c>
    </row>
    <row r="141" spans="1:16" x14ac:dyDescent="0.15">
      <c r="A141" s="29" t="s">
        <v>22</v>
      </c>
      <c r="B141" s="6">
        <v>4</v>
      </c>
      <c r="C141" s="27"/>
      <c r="D141" s="7">
        <f t="shared" si="35"/>
        <v>4</v>
      </c>
      <c r="E141" s="61">
        <v>44048</v>
      </c>
      <c r="G141" s="30" t="s">
        <v>108</v>
      </c>
      <c r="H141" s="6">
        <v>22</v>
      </c>
      <c r="I141" s="27"/>
      <c r="J141" s="7">
        <f t="shared" si="32"/>
        <v>22</v>
      </c>
      <c r="K141" s="57">
        <v>44068</v>
      </c>
      <c r="L141" s="19"/>
      <c r="M141" s="5"/>
      <c r="N141" s="6"/>
      <c r="O141" s="27"/>
      <c r="P141" s="7">
        <f t="shared" si="33"/>
        <v>0</v>
      </c>
    </row>
    <row r="142" spans="1:16" x14ac:dyDescent="0.15">
      <c r="A142" s="29" t="s">
        <v>22</v>
      </c>
      <c r="B142" s="6">
        <v>2</v>
      </c>
      <c r="C142" s="27"/>
      <c r="D142" s="7">
        <f t="shared" si="35"/>
        <v>2</v>
      </c>
      <c r="E142" s="61">
        <v>44049</v>
      </c>
      <c r="G142" s="8"/>
      <c r="H142" s="6"/>
      <c r="I142" s="27"/>
      <c r="J142" s="7">
        <f t="shared" si="32"/>
        <v>0</v>
      </c>
      <c r="K142" s="57"/>
      <c r="M142" s="5"/>
      <c r="N142" s="6"/>
      <c r="O142" s="27"/>
      <c r="P142" s="7">
        <f t="shared" si="33"/>
        <v>0</v>
      </c>
    </row>
    <row r="143" spans="1:16" x14ac:dyDescent="0.15">
      <c r="A143" s="29" t="s">
        <v>22</v>
      </c>
      <c r="B143" s="6">
        <v>2</v>
      </c>
      <c r="C143" s="27"/>
      <c r="D143" s="7">
        <f t="shared" si="35"/>
        <v>2</v>
      </c>
      <c r="E143" s="61">
        <v>44050</v>
      </c>
      <c r="G143" s="5" t="s">
        <v>84</v>
      </c>
      <c r="H143" s="6"/>
      <c r="I143" s="27"/>
      <c r="J143" s="7">
        <f t="shared" si="32"/>
        <v>0</v>
      </c>
      <c r="K143" s="19" t="s">
        <v>85</v>
      </c>
      <c r="M143" s="5"/>
      <c r="N143" s="6"/>
      <c r="O143" s="27"/>
      <c r="P143" s="7">
        <f t="shared" si="33"/>
        <v>0</v>
      </c>
    </row>
    <row r="144" spans="1:16" x14ac:dyDescent="0.15">
      <c r="A144" s="29" t="s">
        <v>22</v>
      </c>
      <c r="B144" s="6">
        <v>2</v>
      </c>
      <c r="C144" s="27"/>
      <c r="D144" s="7">
        <f t="shared" si="35"/>
        <v>2</v>
      </c>
      <c r="E144" s="61">
        <v>44054</v>
      </c>
      <c r="G144" s="43" t="s">
        <v>16</v>
      </c>
      <c r="H144" s="6"/>
      <c r="I144" s="27"/>
      <c r="J144" s="35">
        <f t="shared" si="32"/>
        <v>0</v>
      </c>
      <c r="K144" s="57"/>
      <c r="M144" s="8"/>
      <c r="N144" s="6"/>
      <c r="O144" s="27"/>
      <c r="P144" s="7">
        <f t="shared" si="33"/>
        <v>0</v>
      </c>
    </row>
    <row r="145" spans="1:16" x14ac:dyDescent="0.15">
      <c r="A145" s="29" t="s">
        <v>22</v>
      </c>
      <c r="B145" s="6">
        <v>2</v>
      </c>
      <c r="C145" s="27"/>
      <c r="D145" s="7">
        <f t="shared" si="35"/>
        <v>2</v>
      </c>
      <c r="E145" s="61">
        <v>44060</v>
      </c>
      <c r="G145" s="43" t="s">
        <v>15</v>
      </c>
      <c r="H145" s="6"/>
      <c r="I145" s="27"/>
      <c r="J145" s="35">
        <f t="shared" si="32"/>
        <v>0</v>
      </c>
      <c r="K145" s="19"/>
      <c r="M145" s="8"/>
      <c r="N145" s="6"/>
      <c r="O145" s="27"/>
      <c r="P145" s="7">
        <f t="shared" si="33"/>
        <v>0</v>
      </c>
    </row>
    <row r="146" spans="1:16" x14ac:dyDescent="0.15">
      <c r="A146" s="29" t="s">
        <v>22</v>
      </c>
      <c r="B146" s="6">
        <v>2</v>
      </c>
      <c r="C146" s="27"/>
      <c r="D146" s="7">
        <f t="shared" si="35"/>
        <v>2</v>
      </c>
      <c r="E146" s="61">
        <v>44061</v>
      </c>
      <c r="G146" s="62" t="s">
        <v>58</v>
      </c>
      <c r="H146" s="6"/>
      <c r="I146" s="27"/>
      <c r="J146" s="35">
        <f t="shared" ref="J146" si="38">SUM(H146)</f>
        <v>0</v>
      </c>
      <c r="K146" s="57" t="s">
        <v>59</v>
      </c>
      <c r="M146" s="5"/>
      <c r="N146" s="6"/>
      <c r="O146" s="27"/>
      <c r="P146" s="7">
        <f t="shared" si="33"/>
        <v>0</v>
      </c>
    </row>
    <row r="147" spans="1:16" x14ac:dyDescent="0.15">
      <c r="A147" s="29" t="s">
        <v>22</v>
      </c>
      <c r="B147" s="6">
        <v>2</v>
      </c>
      <c r="C147" s="27"/>
      <c r="D147" s="7">
        <f t="shared" si="35"/>
        <v>2</v>
      </c>
      <c r="E147" s="61">
        <v>44074</v>
      </c>
      <c r="G147" s="8" t="s">
        <v>20</v>
      </c>
      <c r="H147" s="6"/>
      <c r="I147" s="27"/>
      <c r="J147" s="7">
        <f t="shared" si="32"/>
        <v>0</v>
      </c>
      <c r="K147" s="19"/>
      <c r="M147" s="8"/>
      <c r="N147" s="6"/>
      <c r="O147" s="27"/>
      <c r="P147" s="7">
        <f t="shared" si="33"/>
        <v>0</v>
      </c>
    </row>
    <row r="148" spans="1:16" ht="14.25" thickBot="1" x14ac:dyDescent="0.2">
      <c r="A148" s="29" t="s">
        <v>22</v>
      </c>
      <c r="B148" s="6">
        <v>3</v>
      </c>
      <c r="C148" s="27"/>
      <c r="D148" s="7">
        <f t="shared" si="35"/>
        <v>3</v>
      </c>
      <c r="E148" s="61">
        <v>44081</v>
      </c>
      <c r="G148" s="5" t="s">
        <v>38</v>
      </c>
      <c r="H148" s="6"/>
      <c r="I148" s="27"/>
      <c r="J148" s="7">
        <f t="shared" si="32"/>
        <v>0</v>
      </c>
      <c r="K148" s="19" t="s">
        <v>37</v>
      </c>
      <c r="M148" s="23"/>
      <c r="N148" s="6"/>
      <c r="O148" s="27"/>
      <c r="P148" s="7">
        <f t="shared" si="33"/>
        <v>0</v>
      </c>
    </row>
    <row r="149" spans="1:16" ht="14.25" thickBot="1" x14ac:dyDescent="0.2">
      <c r="A149" s="9" t="s">
        <v>3</v>
      </c>
      <c r="B149" s="10">
        <f>SUM(B125:B148)</f>
        <v>78</v>
      </c>
      <c r="C149" s="66"/>
      <c r="D149" s="11">
        <f>SUM(D125:D148)</f>
        <v>78</v>
      </c>
      <c r="G149" s="9" t="s">
        <v>3</v>
      </c>
      <c r="H149" s="10">
        <f>SUM(H125:H148)</f>
        <v>411</v>
      </c>
      <c r="I149" s="66"/>
      <c r="J149" s="11">
        <f>SUM(J125:J148)</f>
        <v>411</v>
      </c>
      <c r="M149" s="9" t="s">
        <v>3</v>
      </c>
      <c r="N149" s="10">
        <f>SUM(N125:N148)</f>
        <v>0</v>
      </c>
      <c r="O149" s="66"/>
      <c r="P149" s="11">
        <f>SUM(P125:P148)</f>
        <v>0</v>
      </c>
    </row>
    <row r="150" spans="1:16" ht="14.25" thickBot="1" x14ac:dyDescent="0.2">
      <c r="A150" s="14" t="s">
        <v>4</v>
      </c>
      <c r="B150" s="16">
        <f>B124-B149</f>
        <v>12</v>
      </c>
      <c r="C150" s="16"/>
      <c r="D150" s="16">
        <f>D124-D149</f>
        <v>12</v>
      </c>
      <c r="G150" s="14" t="s">
        <v>4</v>
      </c>
      <c r="H150" s="16">
        <f>H124-H149</f>
        <v>1724</v>
      </c>
      <c r="I150" s="16"/>
      <c r="J150" s="16">
        <f>J124-J149</f>
        <v>1724</v>
      </c>
      <c r="M150" s="14" t="s">
        <v>4</v>
      </c>
      <c r="N150" s="16">
        <f>N124-N149</f>
        <v>0</v>
      </c>
      <c r="O150" s="16"/>
      <c r="P150" s="16">
        <f>P124-P149</f>
        <v>0</v>
      </c>
    </row>
    <row r="153" spans="1:16" ht="24" x14ac:dyDescent="0.25">
      <c r="A153" s="25" t="s">
        <v>7</v>
      </c>
      <c r="B153" s="1"/>
      <c r="C153" s="1"/>
      <c r="D153" s="1"/>
      <c r="G153" s="25" t="s">
        <v>8</v>
      </c>
      <c r="H153" s="1"/>
      <c r="I153" s="1"/>
      <c r="J153" s="1"/>
      <c r="M153" s="25" t="s">
        <v>9</v>
      </c>
      <c r="N153" s="1"/>
      <c r="O153" s="1"/>
      <c r="P153" s="1"/>
    </row>
    <row r="154" spans="1:16" ht="14.25" thickBot="1" x14ac:dyDescent="0.2">
      <c r="A154" s="1"/>
      <c r="B154" s="1"/>
      <c r="C154" s="1"/>
      <c r="D154" s="1"/>
      <c r="G154" s="1"/>
      <c r="H154" s="1"/>
      <c r="I154" s="1"/>
      <c r="J154" s="1"/>
      <c r="M154" s="1"/>
      <c r="N154" s="1"/>
      <c r="O154" s="1"/>
      <c r="P154" s="1"/>
    </row>
    <row r="155" spans="1:16" ht="14.25" thickBot="1" x14ac:dyDescent="0.2">
      <c r="A155" s="2"/>
      <c r="B155" s="50" t="s">
        <v>10</v>
      </c>
      <c r="C155" s="50"/>
      <c r="D155" s="2" t="s">
        <v>0</v>
      </c>
      <c r="G155" s="2"/>
      <c r="H155" s="50" t="s">
        <v>10</v>
      </c>
      <c r="I155" s="50"/>
      <c r="J155" s="2" t="s">
        <v>0</v>
      </c>
      <c r="M155" s="2"/>
      <c r="N155" s="50" t="s">
        <v>10</v>
      </c>
      <c r="O155" s="50"/>
      <c r="P155" s="2" t="s">
        <v>0</v>
      </c>
    </row>
    <row r="156" spans="1:16" x14ac:dyDescent="0.15">
      <c r="A156" s="32" t="s">
        <v>4</v>
      </c>
      <c r="B156" s="48">
        <f>B150</f>
        <v>12</v>
      </c>
      <c r="C156" s="76"/>
      <c r="D156" s="47">
        <f>SUM(B156)</f>
        <v>12</v>
      </c>
      <c r="G156" s="13" t="s">
        <v>6</v>
      </c>
      <c r="H156" s="48">
        <f>H150</f>
        <v>1724</v>
      </c>
      <c r="I156" s="80"/>
      <c r="J156" s="47">
        <f>SUM(H156)</f>
        <v>1724</v>
      </c>
      <c r="K156" s="19"/>
      <c r="M156" s="13" t="s">
        <v>6</v>
      </c>
      <c r="N156" s="48">
        <f>N150</f>
        <v>0</v>
      </c>
      <c r="O156" s="80"/>
      <c r="P156" s="47">
        <f>SUM(N156)</f>
        <v>0</v>
      </c>
    </row>
    <row r="157" spans="1:16" x14ac:dyDescent="0.15">
      <c r="A157" s="3" t="s">
        <v>113</v>
      </c>
      <c r="B157" s="73">
        <v>6</v>
      </c>
      <c r="C157" s="71"/>
      <c r="D157" s="7">
        <f>SUM(B157)</f>
        <v>6</v>
      </c>
      <c r="E157" s="61">
        <v>44084</v>
      </c>
      <c r="G157" s="4" t="s">
        <v>119</v>
      </c>
      <c r="H157" s="74">
        <v>79</v>
      </c>
      <c r="I157" s="78"/>
      <c r="J157" s="21">
        <f t="shared" ref="J157:J161" si="39">SUM(H157)</f>
        <v>79</v>
      </c>
      <c r="K157" s="57">
        <v>44156</v>
      </c>
      <c r="M157" s="4" t="s">
        <v>1</v>
      </c>
      <c r="N157" s="74"/>
      <c r="O157" s="78"/>
      <c r="P157" s="21">
        <f t="shared" ref="P157:P161" si="40">SUM(N157)</f>
        <v>0</v>
      </c>
    </row>
    <row r="158" spans="1:16" x14ac:dyDescent="0.15">
      <c r="A158" s="3" t="s">
        <v>1</v>
      </c>
      <c r="B158" s="24">
        <v>10</v>
      </c>
      <c r="C158" s="77"/>
      <c r="D158" s="7">
        <f t="shared" ref="D158:D161" si="41">SUM(B158)</f>
        <v>10</v>
      </c>
      <c r="E158" s="61">
        <v>44100</v>
      </c>
      <c r="G158" s="59" t="s">
        <v>124</v>
      </c>
      <c r="H158" s="82">
        <v>7</v>
      </c>
      <c r="I158" s="81"/>
      <c r="J158" s="60">
        <f t="shared" si="39"/>
        <v>7</v>
      </c>
      <c r="K158" s="20">
        <v>44184</v>
      </c>
      <c r="M158" s="4" t="s">
        <v>1</v>
      </c>
      <c r="N158" s="74"/>
      <c r="O158" s="78"/>
      <c r="P158" s="21">
        <f t="shared" si="40"/>
        <v>0</v>
      </c>
    </row>
    <row r="159" spans="1:16" x14ac:dyDescent="0.15">
      <c r="A159" s="3" t="s">
        <v>117</v>
      </c>
      <c r="B159" s="79">
        <v>71</v>
      </c>
      <c r="C159" s="1"/>
      <c r="D159" s="7">
        <f t="shared" si="41"/>
        <v>71</v>
      </c>
      <c r="E159" s="61">
        <v>44144</v>
      </c>
      <c r="G159" s="4" t="s">
        <v>1</v>
      </c>
      <c r="H159" s="74"/>
      <c r="I159" s="78"/>
      <c r="J159" s="21">
        <f t="shared" si="39"/>
        <v>0</v>
      </c>
      <c r="K159" s="19"/>
      <c r="M159" s="4" t="s">
        <v>1</v>
      </c>
      <c r="N159" s="74"/>
      <c r="O159" s="78"/>
      <c r="P159" s="21">
        <f t="shared" si="40"/>
        <v>0</v>
      </c>
    </row>
    <row r="160" spans="1:16" x14ac:dyDescent="0.15">
      <c r="A160" s="3" t="s">
        <v>109</v>
      </c>
      <c r="B160" s="74">
        <v>8</v>
      </c>
      <c r="C160" s="78"/>
      <c r="D160" s="7">
        <f t="shared" si="41"/>
        <v>8</v>
      </c>
      <c r="E160" s="61">
        <v>44155</v>
      </c>
      <c r="G160" s="3" t="s">
        <v>1</v>
      </c>
      <c r="H160" s="74"/>
      <c r="I160" s="78"/>
      <c r="J160" s="7">
        <f t="shared" si="39"/>
        <v>0</v>
      </c>
      <c r="K160" s="19"/>
      <c r="M160" s="3" t="s">
        <v>1</v>
      </c>
      <c r="N160" s="74"/>
      <c r="O160" s="78"/>
      <c r="P160" s="7">
        <f t="shared" si="40"/>
        <v>0</v>
      </c>
    </row>
    <row r="161" spans="1:16" ht="14.25" thickBot="1" x14ac:dyDescent="0.2">
      <c r="A161" s="4" t="s">
        <v>1</v>
      </c>
      <c r="B161" s="75">
        <v>20</v>
      </c>
      <c r="C161" s="17"/>
      <c r="D161" s="22">
        <f t="shared" si="41"/>
        <v>20</v>
      </c>
      <c r="E161" s="57">
        <v>44173</v>
      </c>
      <c r="G161" s="4" t="s">
        <v>1</v>
      </c>
      <c r="H161" s="75"/>
      <c r="I161" s="17"/>
      <c r="J161" s="22">
        <f t="shared" si="39"/>
        <v>0</v>
      </c>
      <c r="M161" s="4" t="s">
        <v>1</v>
      </c>
      <c r="N161" s="75"/>
      <c r="O161" s="17"/>
      <c r="P161" s="22">
        <f t="shared" si="40"/>
        <v>0</v>
      </c>
    </row>
    <row r="162" spans="1:16" ht="14.25" thickBot="1" x14ac:dyDescent="0.2">
      <c r="A162" s="14" t="s">
        <v>2</v>
      </c>
      <c r="B162" s="15">
        <f>SUM(B156:B161)</f>
        <v>127</v>
      </c>
      <c r="C162" s="65"/>
      <c r="D162" s="18">
        <f>SUM(B162)</f>
        <v>127</v>
      </c>
      <c r="G162" s="14" t="s">
        <v>2</v>
      </c>
      <c r="H162" s="15">
        <f>SUM(H156:H161)</f>
        <v>1810</v>
      </c>
      <c r="I162" s="65"/>
      <c r="J162" s="18">
        <f>SUM(H162)</f>
        <v>1810</v>
      </c>
      <c r="M162" s="14" t="s">
        <v>2</v>
      </c>
      <c r="N162" s="15">
        <f>SUM(N156:N161)</f>
        <v>0</v>
      </c>
      <c r="O162" s="65"/>
      <c r="P162" s="18">
        <f>SUM(N162)</f>
        <v>0</v>
      </c>
    </row>
    <row r="163" spans="1:16" x14ac:dyDescent="0.15">
      <c r="A163" s="29" t="s">
        <v>112</v>
      </c>
      <c r="B163" s="6">
        <v>2</v>
      </c>
      <c r="C163" s="27"/>
      <c r="D163" s="7">
        <f>SUM(B163)</f>
        <v>2</v>
      </c>
      <c r="E163" s="61">
        <v>44082</v>
      </c>
      <c r="G163" s="8" t="s">
        <v>110</v>
      </c>
      <c r="H163" s="6">
        <v>20</v>
      </c>
      <c r="I163" s="27"/>
      <c r="J163" s="7">
        <f t="shared" ref="J163" si="42">SUM(H163)</f>
        <v>20</v>
      </c>
      <c r="K163" s="57">
        <v>44076</v>
      </c>
      <c r="M163" s="5"/>
      <c r="N163" s="6"/>
      <c r="O163" s="27"/>
      <c r="P163" s="7">
        <f>SUM(N163)</f>
        <v>0</v>
      </c>
    </row>
    <row r="164" spans="1:16" x14ac:dyDescent="0.15">
      <c r="A164" s="29" t="s">
        <v>112</v>
      </c>
      <c r="B164" s="6">
        <v>1</v>
      </c>
      <c r="C164" s="27"/>
      <c r="D164" s="7">
        <f>SUM(B164)</f>
        <v>1</v>
      </c>
      <c r="E164" s="61">
        <v>44083</v>
      </c>
      <c r="G164" s="8" t="s">
        <v>111</v>
      </c>
      <c r="H164" s="6">
        <v>10</v>
      </c>
      <c r="I164" s="27"/>
      <c r="J164" s="7">
        <f>SUM(H164)</f>
        <v>10</v>
      </c>
      <c r="K164" s="57">
        <v>44078</v>
      </c>
      <c r="M164" s="5"/>
      <c r="N164" s="6"/>
      <c r="O164" s="27"/>
      <c r="P164" s="7">
        <f>SUM(N164)</f>
        <v>0</v>
      </c>
    </row>
    <row r="165" spans="1:16" x14ac:dyDescent="0.15">
      <c r="A165" s="29" t="s">
        <v>112</v>
      </c>
      <c r="B165" s="6">
        <v>2</v>
      </c>
      <c r="C165" s="27"/>
      <c r="D165" s="7">
        <f t="shared" ref="D165:D186" si="43">SUM(B165)</f>
        <v>2</v>
      </c>
      <c r="E165" s="61">
        <v>44084</v>
      </c>
      <c r="G165" s="43" t="s">
        <v>114</v>
      </c>
      <c r="H165" s="6">
        <v>10</v>
      </c>
      <c r="I165" s="27"/>
      <c r="J165" s="7">
        <f t="shared" ref="J165:J182" si="44">SUM(H165)</f>
        <v>10</v>
      </c>
      <c r="K165" s="57">
        <v>44100</v>
      </c>
      <c r="M165" s="5"/>
      <c r="N165" s="6"/>
      <c r="O165" s="27"/>
      <c r="P165" s="7">
        <f t="shared" ref="P165:P186" si="45">SUM(N165)</f>
        <v>0</v>
      </c>
    </row>
    <row r="166" spans="1:16" x14ac:dyDescent="0.15">
      <c r="A166" s="29" t="s">
        <v>112</v>
      </c>
      <c r="B166" s="6">
        <v>1</v>
      </c>
      <c r="C166" s="27"/>
      <c r="D166" s="7">
        <f t="shared" si="43"/>
        <v>1</v>
      </c>
      <c r="E166" s="61">
        <v>44085</v>
      </c>
      <c r="G166" s="43" t="s">
        <v>21</v>
      </c>
      <c r="H166" s="6">
        <v>20</v>
      </c>
      <c r="I166" s="27"/>
      <c r="J166" s="7">
        <f t="shared" si="44"/>
        <v>20</v>
      </c>
      <c r="K166" s="57">
        <v>44173</v>
      </c>
      <c r="M166" s="5"/>
      <c r="N166" s="6"/>
      <c r="O166" s="27"/>
      <c r="P166" s="7">
        <f t="shared" si="45"/>
        <v>0</v>
      </c>
    </row>
    <row r="167" spans="1:16" x14ac:dyDescent="0.15">
      <c r="A167" s="29" t="s">
        <v>112</v>
      </c>
      <c r="B167" s="6">
        <v>2</v>
      </c>
      <c r="C167" s="27"/>
      <c r="D167" s="7">
        <f t="shared" si="43"/>
        <v>2</v>
      </c>
      <c r="E167" s="61">
        <v>44088</v>
      </c>
      <c r="G167" s="5"/>
      <c r="H167" s="6"/>
      <c r="I167" s="27"/>
      <c r="J167" s="7">
        <f t="shared" si="44"/>
        <v>0</v>
      </c>
      <c r="K167" s="19"/>
      <c r="M167" s="5"/>
      <c r="N167" s="6"/>
      <c r="O167" s="27"/>
      <c r="P167" s="7">
        <f t="shared" si="45"/>
        <v>0</v>
      </c>
    </row>
    <row r="168" spans="1:16" x14ac:dyDescent="0.15">
      <c r="A168" s="29" t="s">
        <v>112</v>
      </c>
      <c r="B168" s="6">
        <v>2</v>
      </c>
      <c r="C168" s="27"/>
      <c r="D168" s="7">
        <f t="shared" si="43"/>
        <v>2</v>
      </c>
      <c r="E168" s="61">
        <v>44098</v>
      </c>
      <c r="G168" s="8"/>
      <c r="H168" s="6"/>
      <c r="I168" s="27"/>
      <c r="J168" s="7">
        <f t="shared" si="44"/>
        <v>0</v>
      </c>
      <c r="K168" s="19"/>
      <c r="M168" s="8"/>
      <c r="N168" s="6"/>
      <c r="O168" s="27"/>
      <c r="P168" s="7">
        <f t="shared" si="45"/>
        <v>0</v>
      </c>
    </row>
    <row r="169" spans="1:16" x14ac:dyDescent="0.15">
      <c r="A169" s="29" t="s">
        <v>112</v>
      </c>
      <c r="B169" s="6">
        <v>2</v>
      </c>
      <c r="C169" s="27"/>
      <c r="D169" s="7">
        <f t="shared" si="43"/>
        <v>2</v>
      </c>
      <c r="E169" s="61">
        <v>44099</v>
      </c>
      <c r="G169" s="5"/>
      <c r="H169" s="6"/>
      <c r="I169" s="27"/>
      <c r="J169" s="7">
        <f t="shared" si="44"/>
        <v>0</v>
      </c>
      <c r="M169" s="5"/>
      <c r="N169" s="6"/>
      <c r="O169" s="27"/>
      <c r="P169" s="7">
        <f t="shared" si="45"/>
        <v>0</v>
      </c>
    </row>
    <row r="170" spans="1:16" x14ac:dyDescent="0.15">
      <c r="A170" s="29" t="s">
        <v>112</v>
      </c>
      <c r="B170" s="6">
        <v>1</v>
      </c>
      <c r="C170" s="27"/>
      <c r="D170" s="7">
        <f t="shared" si="43"/>
        <v>1</v>
      </c>
      <c r="E170" s="61">
        <v>44109</v>
      </c>
      <c r="G170" s="5"/>
      <c r="H170" s="6"/>
      <c r="I170" s="27"/>
      <c r="J170" s="7">
        <f t="shared" si="44"/>
        <v>0</v>
      </c>
      <c r="M170" s="5"/>
      <c r="N170" s="6"/>
      <c r="O170" s="27"/>
      <c r="P170" s="7">
        <f t="shared" si="45"/>
        <v>0</v>
      </c>
    </row>
    <row r="171" spans="1:16" x14ac:dyDescent="0.15">
      <c r="A171" s="29" t="s">
        <v>112</v>
      </c>
      <c r="B171" s="6">
        <v>1</v>
      </c>
      <c r="C171" s="27"/>
      <c r="D171" s="7">
        <f t="shared" si="43"/>
        <v>1</v>
      </c>
      <c r="E171" s="61">
        <v>44125</v>
      </c>
      <c r="G171" s="8"/>
      <c r="H171" s="6"/>
      <c r="I171" s="27"/>
      <c r="J171" s="7">
        <f t="shared" si="44"/>
        <v>0</v>
      </c>
      <c r="M171" s="8"/>
      <c r="N171" s="6"/>
      <c r="O171" s="27"/>
      <c r="P171" s="7">
        <f t="shared" si="45"/>
        <v>0</v>
      </c>
    </row>
    <row r="172" spans="1:16" x14ac:dyDescent="0.15">
      <c r="A172" s="29" t="s">
        <v>112</v>
      </c>
      <c r="B172" s="6">
        <v>1</v>
      </c>
      <c r="C172" s="27"/>
      <c r="D172" s="7">
        <f t="shared" si="43"/>
        <v>1</v>
      </c>
      <c r="E172" s="61">
        <v>44130</v>
      </c>
      <c r="G172" s="8"/>
      <c r="H172" s="6"/>
      <c r="I172" s="27"/>
      <c r="J172" s="7">
        <f t="shared" si="44"/>
        <v>0</v>
      </c>
      <c r="M172" s="8"/>
      <c r="N172" s="6"/>
      <c r="O172" s="27"/>
      <c r="P172" s="7">
        <f t="shared" si="45"/>
        <v>0</v>
      </c>
    </row>
    <row r="173" spans="1:16" x14ac:dyDescent="0.15">
      <c r="A173" s="29" t="s">
        <v>112</v>
      </c>
      <c r="B173" s="6">
        <v>1</v>
      </c>
      <c r="C173" s="27"/>
      <c r="D173" s="7">
        <f t="shared" si="43"/>
        <v>1</v>
      </c>
      <c r="E173" s="61">
        <v>44140</v>
      </c>
      <c r="G173" s="5"/>
      <c r="H173" s="6"/>
      <c r="I173" s="27"/>
      <c r="J173" s="7">
        <f t="shared" si="44"/>
        <v>0</v>
      </c>
      <c r="M173" s="5"/>
      <c r="N173" s="6"/>
      <c r="O173" s="27"/>
      <c r="P173" s="7">
        <f t="shared" si="45"/>
        <v>0</v>
      </c>
    </row>
    <row r="174" spans="1:16" x14ac:dyDescent="0.15">
      <c r="A174" s="29" t="s">
        <v>112</v>
      </c>
      <c r="B174" s="6">
        <v>2</v>
      </c>
      <c r="C174" s="27"/>
      <c r="D174" s="7">
        <f t="shared" si="43"/>
        <v>2</v>
      </c>
      <c r="E174" s="61">
        <v>44147</v>
      </c>
      <c r="G174" s="5"/>
      <c r="H174" s="6"/>
      <c r="I174" s="27"/>
      <c r="J174" s="7">
        <f t="shared" si="44"/>
        <v>0</v>
      </c>
      <c r="M174" s="5"/>
      <c r="N174" s="6"/>
      <c r="O174" s="27"/>
      <c r="P174" s="7">
        <f t="shared" si="45"/>
        <v>0</v>
      </c>
    </row>
    <row r="175" spans="1:16" x14ac:dyDescent="0.15">
      <c r="A175" s="29" t="s">
        <v>112</v>
      </c>
      <c r="B175" s="6">
        <v>2</v>
      </c>
      <c r="C175" s="27"/>
      <c r="D175" s="7">
        <f t="shared" si="43"/>
        <v>2</v>
      </c>
      <c r="E175" s="61">
        <v>44148</v>
      </c>
      <c r="G175" s="8"/>
      <c r="H175" s="6"/>
      <c r="I175" s="27"/>
      <c r="J175" s="7">
        <f t="shared" si="44"/>
        <v>0</v>
      </c>
      <c r="M175" s="8"/>
      <c r="N175" s="6"/>
      <c r="O175" s="27"/>
      <c r="P175" s="7">
        <f t="shared" si="45"/>
        <v>0</v>
      </c>
    </row>
    <row r="176" spans="1:16" x14ac:dyDescent="0.15">
      <c r="A176" s="5" t="s">
        <v>118</v>
      </c>
      <c r="B176" s="6">
        <v>79</v>
      </c>
      <c r="C176" s="27"/>
      <c r="D176" s="7">
        <f t="shared" si="43"/>
        <v>79</v>
      </c>
      <c r="E176" s="61">
        <v>44156</v>
      </c>
      <c r="G176" s="5"/>
      <c r="H176" s="6"/>
      <c r="I176" s="27"/>
      <c r="J176" s="7">
        <f t="shared" si="44"/>
        <v>0</v>
      </c>
      <c r="M176" s="5"/>
      <c r="N176" s="6"/>
      <c r="O176" s="27"/>
      <c r="P176" s="7">
        <f t="shared" si="45"/>
        <v>0</v>
      </c>
    </row>
    <row r="177" spans="1:16" x14ac:dyDescent="0.15">
      <c r="A177" s="29" t="s">
        <v>112</v>
      </c>
      <c r="B177" s="6">
        <v>2</v>
      </c>
      <c r="C177" s="27"/>
      <c r="D177" s="7">
        <f t="shared" si="43"/>
        <v>2</v>
      </c>
      <c r="E177" s="61">
        <v>44159</v>
      </c>
      <c r="G177" s="8"/>
      <c r="H177" s="6"/>
      <c r="I177" s="27"/>
      <c r="J177" s="7">
        <f t="shared" si="44"/>
        <v>0</v>
      </c>
      <c r="M177" s="8"/>
      <c r="N177" s="6"/>
      <c r="O177" s="27"/>
      <c r="P177" s="7">
        <f t="shared" si="45"/>
        <v>0</v>
      </c>
    </row>
    <row r="178" spans="1:16" x14ac:dyDescent="0.15">
      <c r="A178" s="29" t="s">
        <v>112</v>
      </c>
      <c r="B178" s="6">
        <v>6</v>
      </c>
      <c r="C178" s="27"/>
      <c r="D178" s="7">
        <f t="shared" si="43"/>
        <v>6</v>
      </c>
      <c r="E178" s="61">
        <v>44172</v>
      </c>
      <c r="G178" s="8"/>
      <c r="H178" s="6"/>
      <c r="I178" s="27"/>
      <c r="J178" s="7">
        <f t="shared" si="44"/>
        <v>0</v>
      </c>
      <c r="M178" s="8"/>
      <c r="N178" s="6"/>
      <c r="O178" s="27"/>
      <c r="P178" s="7">
        <f t="shared" si="45"/>
        <v>0</v>
      </c>
    </row>
    <row r="179" spans="1:16" x14ac:dyDescent="0.15">
      <c r="A179" s="29" t="s">
        <v>112</v>
      </c>
      <c r="B179" s="6">
        <v>2</v>
      </c>
      <c r="C179" s="27"/>
      <c r="D179" s="7">
        <f t="shared" si="43"/>
        <v>2</v>
      </c>
      <c r="E179" s="61">
        <v>44173</v>
      </c>
      <c r="G179" s="5"/>
      <c r="H179" s="6"/>
      <c r="I179" s="27"/>
      <c r="J179" s="7">
        <f t="shared" si="44"/>
        <v>0</v>
      </c>
      <c r="K179" s="19"/>
      <c r="M179" s="5"/>
      <c r="N179" s="6"/>
      <c r="O179" s="27"/>
      <c r="P179" s="7">
        <f t="shared" si="45"/>
        <v>0</v>
      </c>
    </row>
    <row r="180" spans="1:16" x14ac:dyDescent="0.15">
      <c r="A180" s="5" t="s">
        <v>120</v>
      </c>
      <c r="B180" s="6">
        <v>-1</v>
      </c>
      <c r="C180" s="27"/>
      <c r="D180" s="7">
        <f t="shared" si="43"/>
        <v>-1</v>
      </c>
      <c r="E180" s="61">
        <v>44174</v>
      </c>
      <c r="G180" s="5"/>
      <c r="H180" s="6"/>
      <c r="I180" s="27"/>
      <c r="J180" s="7">
        <f t="shared" si="44"/>
        <v>0</v>
      </c>
      <c r="K180" s="19"/>
      <c r="M180" s="5"/>
      <c r="N180" s="6"/>
      <c r="O180" s="27"/>
      <c r="P180" s="7">
        <f t="shared" si="45"/>
        <v>0</v>
      </c>
    </row>
    <row r="181" spans="1:16" x14ac:dyDescent="0.15">
      <c r="A181" s="29" t="s">
        <v>112</v>
      </c>
      <c r="B181" s="6">
        <v>2</v>
      </c>
      <c r="C181" s="27"/>
      <c r="D181" s="7">
        <f t="shared" si="43"/>
        <v>2</v>
      </c>
      <c r="E181" s="61">
        <v>44176</v>
      </c>
      <c r="G181" s="43"/>
      <c r="H181" s="6"/>
      <c r="I181" s="27"/>
      <c r="J181" s="35">
        <f t="shared" si="44"/>
        <v>0</v>
      </c>
      <c r="K181" s="19"/>
      <c r="M181" s="5"/>
      <c r="N181" s="6"/>
      <c r="O181" s="27"/>
      <c r="P181" s="7">
        <f t="shared" si="45"/>
        <v>0</v>
      </c>
    </row>
    <row r="182" spans="1:16" x14ac:dyDescent="0.15">
      <c r="A182" s="29" t="s">
        <v>112</v>
      </c>
      <c r="B182" s="6">
        <v>1</v>
      </c>
      <c r="C182" s="27"/>
      <c r="D182" s="7">
        <f t="shared" si="43"/>
        <v>1</v>
      </c>
      <c r="E182" s="61">
        <v>44186</v>
      </c>
      <c r="G182" s="43"/>
      <c r="H182" s="6"/>
      <c r="I182" s="27"/>
      <c r="J182" s="35">
        <f t="shared" si="44"/>
        <v>0</v>
      </c>
      <c r="K182" s="19"/>
      <c r="M182" s="8"/>
      <c r="N182" s="6"/>
      <c r="O182" s="27"/>
      <c r="P182" s="7">
        <f t="shared" si="45"/>
        <v>0</v>
      </c>
    </row>
    <row r="183" spans="1:16" x14ac:dyDescent="0.15">
      <c r="A183" s="29" t="s">
        <v>112</v>
      </c>
      <c r="B183" s="6">
        <v>1</v>
      </c>
      <c r="C183" s="27"/>
      <c r="D183" s="7">
        <f t="shared" si="43"/>
        <v>1</v>
      </c>
      <c r="E183" s="61">
        <v>44201</v>
      </c>
      <c r="G183" s="43"/>
      <c r="H183" s="6"/>
      <c r="I183" s="27"/>
      <c r="J183" s="35">
        <f t="shared" ref="J183:J184" si="46">SUM(H183)</f>
        <v>0</v>
      </c>
      <c r="K183" s="57"/>
      <c r="L183" s="19"/>
      <c r="M183" s="8"/>
      <c r="N183" s="6"/>
      <c r="O183" s="27"/>
      <c r="P183" s="7">
        <f t="shared" si="45"/>
        <v>0</v>
      </c>
    </row>
    <row r="184" spans="1:16" x14ac:dyDescent="0.15">
      <c r="A184" s="5" t="s">
        <v>125</v>
      </c>
      <c r="B184" s="6">
        <v>1</v>
      </c>
      <c r="C184" s="27"/>
      <c r="D184" s="7">
        <f t="shared" si="43"/>
        <v>1</v>
      </c>
      <c r="E184" s="61">
        <v>44202</v>
      </c>
      <c r="G184" s="43"/>
      <c r="H184" s="6"/>
      <c r="I184" s="27"/>
      <c r="J184" s="35">
        <f t="shared" si="46"/>
        <v>0</v>
      </c>
      <c r="K184" s="19"/>
      <c r="L184" s="19"/>
      <c r="M184" s="5"/>
      <c r="N184" s="6"/>
      <c r="O184" s="27"/>
      <c r="P184" s="7">
        <f t="shared" si="45"/>
        <v>0</v>
      </c>
    </row>
    <row r="185" spans="1:16" x14ac:dyDescent="0.15">
      <c r="A185" s="5" t="s">
        <v>126</v>
      </c>
      <c r="B185" s="6">
        <v>-1</v>
      </c>
      <c r="C185" s="27"/>
      <c r="D185" s="7">
        <f t="shared" si="43"/>
        <v>-1</v>
      </c>
      <c r="E185" s="61">
        <v>44204</v>
      </c>
      <c r="G185" s="8"/>
      <c r="H185" s="6"/>
      <c r="I185" s="27"/>
      <c r="J185" s="35">
        <f t="shared" ref="J185" si="47">SUM(H185)</f>
        <v>0</v>
      </c>
      <c r="K185" s="19"/>
      <c r="L185" s="19"/>
      <c r="M185" s="8"/>
      <c r="N185" s="6"/>
      <c r="O185" s="27"/>
      <c r="P185" s="7">
        <f t="shared" si="45"/>
        <v>0</v>
      </c>
    </row>
    <row r="186" spans="1:16" ht="14.25" thickBot="1" x14ac:dyDescent="0.2">
      <c r="A186" s="29" t="s">
        <v>112</v>
      </c>
      <c r="B186" s="6">
        <v>1</v>
      </c>
      <c r="C186" s="27"/>
      <c r="D186" s="7">
        <f t="shared" si="43"/>
        <v>1</v>
      </c>
      <c r="E186" s="61">
        <v>44210</v>
      </c>
      <c r="G186" s="5"/>
      <c r="H186" s="6"/>
      <c r="I186" s="27"/>
      <c r="J186" s="7">
        <f t="shared" ref="J186" si="48">SUM(H186)</f>
        <v>0</v>
      </c>
      <c r="K186" s="19"/>
      <c r="L186" s="19"/>
      <c r="M186" s="23"/>
      <c r="N186" s="6"/>
      <c r="O186" s="27"/>
      <c r="P186" s="7">
        <f t="shared" si="45"/>
        <v>0</v>
      </c>
    </row>
    <row r="187" spans="1:16" ht="14.25" thickBot="1" x14ac:dyDescent="0.2">
      <c r="A187" s="9" t="s">
        <v>3</v>
      </c>
      <c r="B187" s="10">
        <f>SUM(B163:B186)</f>
        <v>113</v>
      </c>
      <c r="C187" s="66"/>
      <c r="D187" s="11">
        <f>SUM(D163:D186)</f>
        <v>113</v>
      </c>
      <c r="G187" s="9" t="s">
        <v>3</v>
      </c>
      <c r="H187" s="10">
        <f>SUM(H163:H186)</f>
        <v>60</v>
      </c>
      <c r="I187" s="66"/>
      <c r="J187" s="11">
        <f>SUM(J163:J186)</f>
        <v>60</v>
      </c>
      <c r="M187" s="9" t="s">
        <v>3</v>
      </c>
      <c r="N187" s="10">
        <f>SUM(N163:N186)</f>
        <v>0</v>
      </c>
      <c r="O187" s="66"/>
      <c r="P187" s="11">
        <f>SUM(P163:P186)</f>
        <v>0</v>
      </c>
    </row>
    <row r="188" spans="1:16" ht="14.25" thickBot="1" x14ac:dyDescent="0.2">
      <c r="A188" s="14" t="s">
        <v>4</v>
      </c>
      <c r="B188" s="16">
        <f>B162-B187</f>
        <v>14</v>
      </c>
      <c r="C188" s="16"/>
      <c r="D188" s="16">
        <f>D162-D187</f>
        <v>14</v>
      </c>
      <c r="G188" s="14" t="s">
        <v>4</v>
      </c>
      <c r="H188" s="16">
        <f>H162-H187</f>
        <v>1750</v>
      </c>
      <c r="I188" s="16"/>
      <c r="J188" s="16">
        <f>J162-J187</f>
        <v>1750</v>
      </c>
      <c r="M188" s="14" t="s">
        <v>4</v>
      </c>
      <c r="N188" s="16">
        <f>N162-N187</f>
        <v>0</v>
      </c>
      <c r="O188" s="16"/>
      <c r="P188" s="16">
        <f>P162-P187</f>
        <v>0</v>
      </c>
    </row>
    <row r="191" spans="1:16" ht="24" x14ac:dyDescent="0.25">
      <c r="A191" s="25" t="s">
        <v>7</v>
      </c>
      <c r="B191" s="1"/>
      <c r="C191" s="1"/>
      <c r="D191" s="1"/>
      <c r="G191" s="25" t="s">
        <v>8</v>
      </c>
      <c r="H191" s="1"/>
      <c r="I191" s="1"/>
      <c r="J191" s="1"/>
      <c r="M191" s="25" t="s">
        <v>9</v>
      </c>
      <c r="N191" s="1"/>
      <c r="O191" s="1"/>
      <c r="P191" s="1"/>
    </row>
    <row r="192" spans="1:16" ht="14.25" thickBot="1" x14ac:dyDescent="0.2">
      <c r="A192" s="1"/>
      <c r="B192" s="1"/>
      <c r="C192" s="1"/>
      <c r="D192" s="1"/>
      <c r="G192" s="1"/>
      <c r="H192" s="1"/>
      <c r="I192" s="1"/>
      <c r="J192" s="1"/>
      <c r="M192" s="1"/>
      <c r="N192" s="1"/>
      <c r="O192" s="1"/>
      <c r="P192" s="1"/>
    </row>
    <row r="193" spans="1:16" ht="14.25" thickBot="1" x14ac:dyDescent="0.2">
      <c r="A193" s="2"/>
      <c r="B193" s="50" t="s">
        <v>115</v>
      </c>
      <c r="C193" s="50" t="s">
        <v>116</v>
      </c>
      <c r="D193" s="2" t="s">
        <v>0</v>
      </c>
      <c r="G193" s="2"/>
      <c r="H193" s="50" t="s">
        <v>115</v>
      </c>
      <c r="I193" s="50" t="s">
        <v>116</v>
      </c>
      <c r="J193" s="2" t="s">
        <v>0</v>
      </c>
      <c r="M193" s="2"/>
      <c r="N193" s="50" t="s">
        <v>115</v>
      </c>
      <c r="O193" s="50" t="s">
        <v>116</v>
      </c>
      <c r="P193" s="2" t="s">
        <v>0</v>
      </c>
    </row>
    <row r="194" spans="1:16" x14ac:dyDescent="0.15">
      <c r="A194" s="32" t="s">
        <v>4</v>
      </c>
      <c r="B194" s="48">
        <f>B188</f>
        <v>14</v>
      </c>
      <c r="C194" s="76">
        <f>C188</f>
        <v>0</v>
      </c>
      <c r="D194" s="47">
        <f>SUM(B194+C194)</f>
        <v>14</v>
      </c>
      <c r="G194" s="13" t="s">
        <v>6</v>
      </c>
      <c r="H194" s="48">
        <f>H188</f>
        <v>1750</v>
      </c>
      <c r="I194" s="80">
        <f>I188</f>
        <v>0</v>
      </c>
      <c r="J194" s="47">
        <f>SUM(H194+I194)</f>
        <v>1750</v>
      </c>
      <c r="K194" s="19"/>
      <c r="M194" s="13" t="s">
        <v>6</v>
      </c>
      <c r="N194" s="48">
        <f>N188</f>
        <v>0</v>
      </c>
      <c r="O194" s="80">
        <f>O188</f>
        <v>0</v>
      </c>
      <c r="P194" s="47">
        <f>SUM(N194+O194)</f>
        <v>0</v>
      </c>
    </row>
    <row r="195" spans="1:16" x14ac:dyDescent="0.15">
      <c r="A195" s="3" t="s">
        <v>1</v>
      </c>
      <c r="B195" s="73">
        <v>20</v>
      </c>
      <c r="C195" s="71"/>
      <c r="D195" s="7">
        <f>SUM(B195+C195)</f>
        <v>20</v>
      </c>
      <c r="E195" s="57">
        <v>44223</v>
      </c>
      <c r="G195" s="4" t="s">
        <v>1</v>
      </c>
      <c r="H195" s="74"/>
      <c r="I195" s="78"/>
      <c r="J195" s="21">
        <f>SUM(H195+I195)</f>
        <v>0</v>
      </c>
      <c r="K195" s="57"/>
      <c r="M195" s="4" t="s">
        <v>1</v>
      </c>
      <c r="N195" s="74"/>
      <c r="O195" s="78"/>
      <c r="P195" s="21">
        <f>SUM(N195+O195)</f>
        <v>0</v>
      </c>
    </row>
    <row r="196" spans="1:16" x14ac:dyDescent="0.15">
      <c r="A196" s="3" t="s">
        <v>1</v>
      </c>
      <c r="B196" s="24">
        <v>20</v>
      </c>
      <c r="C196" s="77"/>
      <c r="D196" s="7">
        <f t="shared" ref="D196:D199" si="49">SUM(B196+C196)</f>
        <v>20</v>
      </c>
      <c r="E196" s="57">
        <v>44261</v>
      </c>
      <c r="F196" s="85"/>
      <c r="G196" s="86" t="s">
        <v>1</v>
      </c>
      <c r="H196" s="74"/>
      <c r="I196" s="78"/>
      <c r="J196" s="21">
        <f t="shared" ref="J196:J199" si="50">SUM(H196+I196)</f>
        <v>0</v>
      </c>
      <c r="K196" s="57"/>
      <c r="M196" s="4" t="s">
        <v>1</v>
      </c>
      <c r="N196" s="74"/>
      <c r="O196" s="78"/>
      <c r="P196" s="21">
        <f t="shared" ref="P196:P199" si="51">SUM(N196+O196)</f>
        <v>0</v>
      </c>
    </row>
    <row r="197" spans="1:16" x14ac:dyDescent="0.15">
      <c r="A197" s="8" t="s">
        <v>131</v>
      </c>
      <c r="B197" s="79">
        <v>4</v>
      </c>
      <c r="C197" s="1"/>
      <c r="D197" s="7">
        <f t="shared" si="49"/>
        <v>4</v>
      </c>
      <c r="E197" s="61">
        <v>44280</v>
      </c>
      <c r="G197" s="4" t="s">
        <v>1</v>
      </c>
      <c r="H197" s="74"/>
      <c r="I197" s="78"/>
      <c r="J197" s="21">
        <f t="shared" si="50"/>
        <v>0</v>
      </c>
      <c r="K197" s="19"/>
      <c r="M197" s="4" t="s">
        <v>1</v>
      </c>
      <c r="N197" s="74"/>
      <c r="O197" s="78"/>
      <c r="P197" s="21">
        <f t="shared" si="51"/>
        <v>0</v>
      </c>
    </row>
    <row r="198" spans="1:16" x14ac:dyDescent="0.15">
      <c r="A198" s="3" t="s">
        <v>1</v>
      </c>
      <c r="B198" s="74">
        <v>30</v>
      </c>
      <c r="C198" s="78"/>
      <c r="D198" s="7">
        <f t="shared" si="49"/>
        <v>30</v>
      </c>
      <c r="E198" s="57">
        <v>44298</v>
      </c>
      <c r="G198" s="3" t="s">
        <v>1</v>
      </c>
      <c r="H198" s="74"/>
      <c r="I198" s="78"/>
      <c r="J198" s="7">
        <f t="shared" si="50"/>
        <v>0</v>
      </c>
      <c r="K198" s="19"/>
      <c r="M198" s="3" t="s">
        <v>1</v>
      </c>
      <c r="N198" s="74"/>
      <c r="O198" s="78"/>
      <c r="P198" s="7">
        <f t="shared" si="51"/>
        <v>0</v>
      </c>
    </row>
    <row r="199" spans="1:16" ht="14.25" thickBot="1" x14ac:dyDescent="0.2">
      <c r="A199" s="4" t="s">
        <v>1</v>
      </c>
      <c r="B199" s="74"/>
      <c r="C199" s="78"/>
      <c r="D199" s="21">
        <f t="shared" si="49"/>
        <v>0</v>
      </c>
      <c r="G199" s="4" t="s">
        <v>1</v>
      </c>
      <c r="H199" s="75"/>
      <c r="I199" s="17"/>
      <c r="J199" s="22">
        <f t="shared" si="50"/>
        <v>0</v>
      </c>
      <c r="M199" s="4" t="s">
        <v>1</v>
      </c>
      <c r="N199" s="75"/>
      <c r="O199" s="17"/>
      <c r="P199" s="22">
        <f t="shared" si="51"/>
        <v>0</v>
      </c>
    </row>
    <row r="200" spans="1:16" ht="14.25" thickBot="1" x14ac:dyDescent="0.2">
      <c r="A200" s="14" t="s">
        <v>2</v>
      </c>
      <c r="B200" s="16">
        <f>SUM(B194:B199)</f>
        <v>88</v>
      </c>
      <c r="C200" s="83">
        <f>SUM(C194:C199)</f>
        <v>0</v>
      </c>
      <c r="D200" s="84">
        <f>SUM(B200+C200)</f>
        <v>88</v>
      </c>
      <c r="G200" s="14" t="s">
        <v>2</v>
      </c>
      <c r="H200" s="15">
        <f>SUM(H194:H199)</f>
        <v>1750</v>
      </c>
      <c r="I200" s="65">
        <f>SUM(I194:I199)</f>
        <v>0</v>
      </c>
      <c r="J200" s="18">
        <f>SUM(H200+I200)</f>
        <v>1750</v>
      </c>
      <c r="M200" s="14" t="s">
        <v>2</v>
      </c>
      <c r="N200" s="15">
        <f>SUM(N194:N199)</f>
        <v>0</v>
      </c>
      <c r="O200" s="65">
        <f>SUM(O194:O199)</f>
        <v>0</v>
      </c>
      <c r="P200" s="18">
        <f>SUM(N200+O200)</f>
        <v>0</v>
      </c>
    </row>
    <row r="201" spans="1:16" x14ac:dyDescent="0.15">
      <c r="A201" s="29" t="s">
        <v>112</v>
      </c>
      <c r="B201" s="6">
        <v>1</v>
      </c>
      <c r="C201" s="27"/>
      <c r="D201" s="7">
        <f>SUM(B201+C201)</f>
        <v>1</v>
      </c>
      <c r="E201" s="61">
        <v>44212</v>
      </c>
      <c r="G201" s="8" t="s">
        <v>127</v>
      </c>
      <c r="H201" s="6">
        <v>20</v>
      </c>
      <c r="I201" s="27"/>
      <c r="J201" s="7">
        <f>SUM(H201+I201)</f>
        <v>20</v>
      </c>
      <c r="K201" s="57">
        <v>44223</v>
      </c>
      <c r="M201" s="5"/>
      <c r="N201" s="6"/>
      <c r="O201" s="27"/>
      <c r="P201" s="7">
        <f>SUM(N201+O201)</f>
        <v>0</v>
      </c>
    </row>
    <row r="202" spans="1:16" x14ac:dyDescent="0.15">
      <c r="A202" s="29" t="s">
        <v>112</v>
      </c>
      <c r="B202" s="6">
        <v>1</v>
      </c>
      <c r="C202" s="27"/>
      <c r="D202" s="7">
        <f>SUM(B202+C202)</f>
        <v>1</v>
      </c>
      <c r="E202" s="61">
        <v>44218</v>
      </c>
      <c r="G202" s="43" t="s">
        <v>29</v>
      </c>
      <c r="H202" s="6">
        <v>10</v>
      </c>
      <c r="I202" s="27"/>
      <c r="J202" s="35">
        <f t="shared" ref="J202:J203" si="52">SUM(H202+I202)</f>
        <v>10</v>
      </c>
      <c r="K202" s="57">
        <v>44260</v>
      </c>
      <c r="M202" s="5"/>
      <c r="N202" s="6"/>
      <c r="O202" s="27"/>
      <c r="P202" s="7">
        <f>SUM(N202+O202)</f>
        <v>0</v>
      </c>
    </row>
    <row r="203" spans="1:16" x14ac:dyDescent="0.15">
      <c r="A203" s="29" t="s">
        <v>112</v>
      </c>
      <c r="B203" s="6">
        <v>3</v>
      </c>
      <c r="C203" s="27"/>
      <c r="D203" s="7">
        <f t="shared" ref="D203:D224" si="53">SUM(B203+C203)</f>
        <v>3</v>
      </c>
      <c r="E203" s="61">
        <v>44222</v>
      </c>
      <c r="G203" s="8" t="s">
        <v>21</v>
      </c>
      <c r="H203" s="6">
        <v>20</v>
      </c>
      <c r="I203" s="27"/>
      <c r="J203" s="7">
        <f t="shared" si="52"/>
        <v>20</v>
      </c>
      <c r="K203" s="57">
        <v>44261</v>
      </c>
      <c r="M203" s="5"/>
      <c r="N203" s="6"/>
      <c r="O203" s="27"/>
      <c r="P203" s="7">
        <f t="shared" ref="P203:P224" si="54">SUM(N203+O203)</f>
        <v>0</v>
      </c>
    </row>
    <row r="204" spans="1:16" x14ac:dyDescent="0.15">
      <c r="A204" s="29" t="s">
        <v>112</v>
      </c>
      <c r="B204" s="6">
        <v>3</v>
      </c>
      <c r="C204" s="27"/>
      <c r="D204" s="7">
        <f t="shared" si="53"/>
        <v>3</v>
      </c>
      <c r="E204" s="61">
        <v>44243</v>
      </c>
      <c r="G204" s="43" t="s">
        <v>122</v>
      </c>
      <c r="H204" s="6">
        <v>60</v>
      </c>
      <c r="I204" s="27"/>
      <c r="J204" s="7">
        <f t="shared" ref="J204:J224" si="55">SUM(H204+I204)</f>
        <v>60</v>
      </c>
      <c r="K204" s="57">
        <v>44281</v>
      </c>
      <c r="M204" s="5"/>
      <c r="N204" s="6"/>
      <c r="O204" s="27"/>
      <c r="P204" s="7">
        <f t="shared" si="54"/>
        <v>0</v>
      </c>
    </row>
    <row r="205" spans="1:16" x14ac:dyDescent="0.15">
      <c r="A205" s="29" t="s">
        <v>112</v>
      </c>
      <c r="B205" s="6">
        <v>4</v>
      </c>
      <c r="C205" s="27"/>
      <c r="D205" s="7">
        <f t="shared" si="53"/>
        <v>4</v>
      </c>
      <c r="E205" s="61">
        <v>44249</v>
      </c>
      <c r="G205" s="43" t="s">
        <v>123</v>
      </c>
      <c r="H205" s="6">
        <f>40*3</f>
        <v>120</v>
      </c>
      <c r="I205" s="27"/>
      <c r="J205" s="7">
        <f t="shared" si="55"/>
        <v>120</v>
      </c>
      <c r="K205" s="57">
        <v>44281</v>
      </c>
      <c r="M205" s="5"/>
      <c r="N205" s="6"/>
      <c r="O205" s="27"/>
      <c r="P205" s="7">
        <f t="shared" si="54"/>
        <v>0</v>
      </c>
    </row>
    <row r="206" spans="1:16" x14ac:dyDescent="0.15">
      <c r="A206" s="29" t="s">
        <v>112</v>
      </c>
      <c r="B206" s="6">
        <v>3</v>
      </c>
      <c r="C206" s="27"/>
      <c r="D206" s="7">
        <f t="shared" si="53"/>
        <v>3</v>
      </c>
      <c r="E206" s="61">
        <v>44251</v>
      </c>
      <c r="G206" s="43" t="s">
        <v>133</v>
      </c>
      <c r="H206" s="6">
        <v>30</v>
      </c>
      <c r="I206" s="27"/>
      <c r="J206" s="7">
        <f t="shared" si="55"/>
        <v>30</v>
      </c>
      <c r="K206" s="57">
        <v>44302</v>
      </c>
      <c r="M206" s="8"/>
      <c r="N206" s="6"/>
      <c r="O206" s="27"/>
      <c r="P206" s="7">
        <f t="shared" si="54"/>
        <v>0</v>
      </c>
    </row>
    <row r="207" spans="1:16" x14ac:dyDescent="0.15">
      <c r="A207" s="29" t="s">
        <v>112</v>
      </c>
      <c r="B207" s="6">
        <v>1</v>
      </c>
      <c r="C207" s="27"/>
      <c r="D207" s="7">
        <f t="shared" si="53"/>
        <v>1</v>
      </c>
      <c r="E207" s="61">
        <v>44253</v>
      </c>
      <c r="G207" s="43" t="s">
        <v>134</v>
      </c>
      <c r="H207" s="6">
        <v>120</v>
      </c>
      <c r="I207" s="27"/>
      <c r="J207" s="7">
        <f t="shared" si="55"/>
        <v>120</v>
      </c>
      <c r="K207" s="57">
        <v>44302</v>
      </c>
      <c r="M207" s="5"/>
      <c r="N207" s="6"/>
      <c r="O207" s="27"/>
      <c r="P207" s="7">
        <f t="shared" si="54"/>
        <v>0</v>
      </c>
    </row>
    <row r="208" spans="1:16" x14ac:dyDescent="0.15">
      <c r="A208" s="29" t="s">
        <v>112</v>
      </c>
      <c r="B208" s="6">
        <v>1</v>
      </c>
      <c r="C208" s="27"/>
      <c r="D208" s="7">
        <f t="shared" si="53"/>
        <v>1</v>
      </c>
      <c r="E208" s="61">
        <v>44263</v>
      </c>
      <c r="G208" s="5" t="s">
        <v>135</v>
      </c>
      <c r="H208" s="6">
        <v>30</v>
      </c>
      <c r="I208" s="27"/>
      <c r="J208" s="7">
        <f t="shared" si="55"/>
        <v>30</v>
      </c>
      <c r="K208" s="57">
        <v>44298</v>
      </c>
      <c r="M208" s="5"/>
      <c r="N208" s="6"/>
      <c r="O208" s="27"/>
      <c r="P208" s="7">
        <f t="shared" si="54"/>
        <v>0</v>
      </c>
    </row>
    <row r="209" spans="1:16" x14ac:dyDescent="0.15">
      <c r="A209" s="29" t="s">
        <v>112</v>
      </c>
      <c r="B209" s="6">
        <v>1</v>
      </c>
      <c r="C209" s="27"/>
      <c r="D209" s="7">
        <f t="shared" si="53"/>
        <v>1</v>
      </c>
      <c r="E209" s="61">
        <v>44264</v>
      </c>
      <c r="G209" s="43" t="s">
        <v>128</v>
      </c>
      <c r="H209" s="6">
        <v>30</v>
      </c>
      <c r="I209" s="27"/>
      <c r="J209" s="7">
        <f t="shared" si="55"/>
        <v>30</v>
      </c>
      <c r="K209" s="57">
        <v>44305</v>
      </c>
      <c r="M209" s="8"/>
      <c r="N209" s="6"/>
      <c r="O209" s="27"/>
      <c r="P209" s="7">
        <f t="shared" si="54"/>
        <v>0</v>
      </c>
    </row>
    <row r="210" spans="1:16" x14ac:dyDescent="0.15">
      <c r="A210" s="29" t="s">
        <v>112</v>
      </c>
      <c r="B210" s="6">
        <f>1+1</f>
        <v>2</v>
      </c>
      <c r="C210" s="27"/>
      <c r="D210" s="7">
        <f t="shared" si="53"/>
        <v>2</v>
      </c>
      <c r="E210" s="61">
        <v>44265</v>
      </c>
      <c r="G210" s="43" t="s">
        <v>129</v>
      </c>
      <c r="H210" s="6">
        <v>30</v>
      </c>
      <c r="I210" s="27"/>
      <c r="J210" s="7">
        <f t="shared" si="55"/>
        <v>30</v>
      </c>
      <c r="K210" s="57">
        <v>44305</v>
      </c>
      <c r="M210" s="8"/>
      <c r="N210" s="6"/>
      <c r="O210" s="27"/>
      <c r="P210" s="7">
        <f t="shared" si="54"/>
        <v>0</v>
      </c>
    </row>
    <row r="211" spans="1:16" x14ac:dyDescent="0.15">
      <c r="A211" s="29" t="s">
        <v>112</v>
      </c>
      <c r="B211" s="6">
        <v>1</v>
      </c>
      <c r="C211" s="27"/>
      <c r="D211" s="7">
        <f t="shared" si="53"/>
        <v>1</v>
      </c>
      <c r="E211" s="61">
        <v>44270</v>
      </c>
      <c r="G211" s="5"/>
      <c r="H211" s="6"/>
      <c r="I211" s="27"/>
      <c r="J211" s="7">
        <f t="shared" si="55"/>
        <v>0</v>
      </c>
      <c r="M211" s="5"/>
      <c r="N211" s="6"/>
      <c r="O211" s="27"/>
      <c r="P211" s="7">
        <f t="shared" si="54"/>
        <v>0</v>
      </c>
    </row>
    <row r="212" spans="1:16" x14ac:dyDescent="0.15">
      <c r="A212" s="29" t="s">
        <v>112</v>
      </c>
      <c r="B212" s="6">
        <v>1</v>
      </c>
      <c r="C212" s="27"/>
      <c r="D212" s="7">
        <f t="shared" si="53"/>
        <v>1</v>
      </c>
      <c r="E212" s="61">
        <v>44271</v>
      </c>
      <c r="G212" s="5"/>
      <c r="H212" s="6"/>
      <c r="I212" s="27"/>
      <c r="J212" s="7">
        <f t="shared" si="55"/>
        <v>0</v>
      </c>
      <c r="M212" s="5"/>
      <c r="N212" s="6"/>
      <c r="O212" s="27"/>
      <c r="P212" s="7">
        <f t="shared" si="54"/>
        <v>0</v>
      </c>
    </row>
    <row r="213" spans="1:16" x14ac:dyDescent="0.15">
      <c r="A213" s="29" t="s">
        <v>112</v>
      </c>
      <c r="B213" s="6">
        <v>1</v>
      </c>
      <c r="C213" s="27"/>
      <c r="D213" s="7">
        <f t="shared" si="53"/>
        <v>1</v>
      </c>
      <c r="E213" s="61">
        <v>44274</v>
      </c>
      <c r="G213" s="8"/>
      <c r="H213" s="6"/>
      <c r="I213" s="27"/>
      <c r="J213" s="7">
        <f t="shared" si="55"/>
        <v>0</v>
      </c>
      <c r="M213" s="8"/>
      <c r="N213" s="6"/>
      <c r="O213" s="27"/>
      <c r="P213" s="7">
        <f t="shared" si="54"/>
        <v>0</v>
      </c>
    </row>
    <row r="214" spans="1:16" x14ac:dyDescent="0.15">
      <c r="A214" s="29" t="s">
        <v>112</v>
      </c>
      <c r="B214" s="6">
        <f>1+2</f>
        <v>3</v>
      </c>
      <c r="C214" s="27"/>
      <c r="D214" s="7">
        <f t="shared" si="53"/>
        <v>3</v>
      </c>
      <c r="E214" s="61">
        <v>44277</v>
      </c>
      <c r="G214" s="5"/>
      <c r="H214" s="6"/>
      <c r="I214" s="27"/>
      <c r="J214" s="7">
        <f t="shared" si="55"/>
        <v>0</v>
      </c>
      <c r="M214" s="5"/>
      <c r="N214" s="6"/>
      <c r="O214" s="27"/>
      <c r="P214" s="7">
        <f t="shared" si="54"/>
        <v>0</v>
      </c>
    </row>
    <row r="215" spans="1:16" x14ac:dyDescent="0.15">
      <c r="A215" s="29" t="s">
        <v>112</v>
      </c>
      <c r="B215" s="6">
        <v>2</v>
      </c>
      <c r="C215" s="27"/>
      <c r="D215" s="7">
        <f t="shared" si="53"/>
        <v>2</v>
      </c>
      <c r="E215" s="61">
        <v>44278</v>
      </c>
      <c r="G215" s="8"/>
      <c r="H215" s="6"/>
      <c r="I215" s="27"/>
      <c r="J215" s="7">
        <f t="shared" si="55"/>
        <v>0</v>
      </c>
      <c r="M215" s="8"/>
      <c r="N215" s="6"/>
      <c r="O215" s="27"/>
      <c r="P215" s="7">
        <f t="shared" si="54"/>
        <v>0</v>
      </c>
    </row>
    <row r="216" spans="1:16" x14ac:dyDescent="0.15">
      <c r="A216" s="29" t="s">
        <v>112</v>
      </c>
      <c r="B216" s="6">
        <v>1</v>
      </c>
      <c r="C216" s="27"/>
      <c r="D216" s="7">
        <f t="shared" si="53"/>
        <v>1</v>
      </c>
      <c r="E216" s="61">
        <v>44281</v>
      </c>
      <c r="G216" s="8"/>
      <c r="H216" s="6"/>
      <c r="I216" s="27"/>
      <c r="J216" s="7">
        <f t="shared" si="55"/>
        <v>0</v>
      </c>
      <c r="M216" s="8"/>
      <c r="N216" s="6"/>
      <c r="O216" s="27"/>
      <c r="P216" s="7">
        <f t="shared" si="54"/>
        <v>0</v>
      </c>
    </row>
    <row r="217" spans="1:16" x14ac:dyDescent="0.15">
      <c r="A217" s="29" t="s">
        <v>112</v>
      </c>
      <c r="B217" s="6">
        <v>2</v>
      </c>
      <c r="C217" s="27"/>
      <c r="D217" s="7">
        <f t="shared" si="53"/>
        <v>2</v>
      </c>
      <c r="E217" s="61">
        <v>44284</v>
      </c>
      <c r="G217" s="5"/>
      <c r="H217" s="6"/>
      <c r="I217" s="27"/>
      <c r="J217" s="7">
        <f t="shared" si="55"/>
        <v>0</v>
      </c>
      <c r="K217" s="19"/>
      <c r="M217" s="5"/>
      <c r="N217" s="6"/>
      <c r="O217" s="27"/>
      <c r="P217" s="7">
        <f t="shared" si="54"/>
        <v>0</v>
      </c>
    </row>
    <row r="218" spans="1:16" x14ac:dyDescent="0.15">
      <c r="A218" s="29" t="s">
        <v>112</v>
      </c>
      <c r="B218" s="6">
        <v>1</v>
      </c>
      <c r="C218" s="27"/>
      <c r="D218" s="7">
        <f t="shared" si="53"/>
        <v>1</v>
      </c>
      <c r="E218" s="61">
        <v>44286</v>
      </c>
      <c r="G218" s="5"/>
      <c r="H218" s="6"/>
      <c r="I218" s="27"/>
      <c r="J218" s="7">
        <f t="shared" si="55"/>
        <v>0</v>
      </c>
      <c r="K218" s="19"/>
      <c r="M218" s="5"/>
      <c r="N218" s="6"/>
      <c r="O218" s="27"/>
      <c r="P218" s="7">
        <f t="shared" si="54"/>
        <v>0</v>
      </c>
    </row>
    <row r="219" spans="1:16" x14ac:dyDescent="0.15">
      <c r="A219" s="29" t="s">
        <v>112</v>
      </c>
      <c r="B219" s="6">
        <v>2</v>
      </c>
      <c r="C219" s="27"/>
      <c r="D219" s="7">
        <f t="shared" si="53"/>
        <v>2</v>
      </c>
      <c r="E219" s="61">
        <v>44288</v>
      </c>
      <c r="G219" s="43"/>
      <c r="H219" s="6"/>
      <c r="I219" s="27"/>
      <c r="J219" s="35">
        <f t="shared" si="55"/>
        <v>0</v>
      </c>
      <c r="K219" s="19"/>
      <c r="M219" s="5"/>
      <c r="N219" s="6"/>
      <c r="O219" s="27"/>
      <c r="P219" s="7">
        <f t="shared" si="54"/>
        <v>0</v>
      </c>
    </row>
    <row r="220" spans="1:16" x14ac:dyDescent="0.15">
      <c r="A220" s="8" t="s">
        <v>132</v>
      </c>
      <c r="B220" s="6">
        <v>1</v>
      </c>
      <c r="C220" s="27"/>
      <c r="D220" s="7">
        <f t="shared" si="53"/>
        <v>1</v>
      </c>
      <c r="E220" s="61">
        <v>44291</v>
      </c>
      <c r="G220" s="43"/>
      <c r="H220" s="6"/>
      <c r="I220" s="27"/>
      <c r="J220" s="35">
        <f t="shared" si="55"/>
        <v>0</v>
      </c>
      <c r="K220" s="19"/>
      <c r="M220" s="8"/>
      <c r="N220" s="6"/>
      <c r="O220" s="27"/>
      <c r="P220" s="7">
        <f t="shared" si="54"/>
        <v>0</v>
      </c>
    </row>
    <row r="221" spans="1:16" x14ac:dyDescent="0.15">
      <c r="A221" s="29" t="s">
        <v>112</v>
      </c>
      <c r="B221" s="6">
        <v>3</v>
      </c>
      <c r="C221" s="27"/>
      <c r="D221" s="7">
        <f t="shared" si="53"/>
        <v>3</v>
      </c>
      <c r="E221" s="61">
        <v>44289</v>
      </c>
      <c r="G221" s="43" t="s">
        <v>122</v>
      </c>
      <c r="H221" s="6"/>
      <c r="I221" s="27"/>
      <c r="J221" s="35">
        <f t="shared" ref="J221:J222" si="56">SUM(H221+I221)</f>
        <v>0</v>
      </c>
      <c r="K221" s="19" t="s">
        <v>121</v>
      </c>
      <c r="L221" s="19"/>
      <c r="M221" s="8"/>
      <c r="N221" s="6"/>
      <c r="O221" s="27"/>
      <c r="P221" s="7">
        <f t="shared" si="54"/>
        <v>0</v>
      </c>
    </row>
    <row r="222" spans="1:16" x14ac:dyDescent="0.15">
      <c r="A222" s="29" t="s">
        <v>112</v>
      </c>
      <c r="B222" s="6">
        <f>1+6</f>
        <v>7</v>
      </c>
      <c r="C222" s="27"/>
      <c r="D222" s="7">
        <f t="shared" si="53"/>
        <v>7</v>
      </c>
      <c r="E222" s="61">
        <v>44295</v>
      </c>
      <c r="G222" s="43" t="s">
        <v>123</v>
      </c>
      <c r="H222" s="6"/>
      <c r="I222" s="27"/>
      <c r="J222" s="7">
        <f t="shared" si="56"/>
        <v>0</v>
      </c>
      <c r="K222" s="19" t="s">
        <v>121</v>
      </c>
      <c r="L222" s="19"/>
      <c r="M222" s="5"/>
      <c r="N222" s="6"/>
      <c r="O222" s="27"/>
      <c r="P222" s="7">
        <f t="shared" si="54"/>
        <v>0</v>
      </c>
    </row>
    <row r="223" spans="1:16" x14ac:dyDescent="0.15">
      <c r="A223" s="29" t="s">
        <v>112</v>
      </c>
      <c r="B223" s="6">
        <f>2+2+2</f>
        <v>6</v>
      </c>
      <c r="C223" s="27"/>
      <c r="D223" s="7">
        <f t="shared" si="53"/>
        <v>6</v>
      </c>
      <c r="E223" s="61">
        <v>44298</v>
      </c>
      <c r="G223" s="43" t="s">
        <v>128</v>
      </c>
      <c r="H223" s="6"/>
      <c r="I223" s="27"/>
      <c r="J223" s="35">
        <f t="shared" si="55"/>
        <v>0</v>
      </c>
      <c r="K223" s="19" t="s">
        <v>130</v>
      </c>
      <c r="L223" s="19"/>
      <c r="M223" s="8"/>
      <c r="N223" s="6"/>
      <c r="O223" s="27"/>
      <c r="P223" s="7">
        <f t="shared" si="54"/>
        <v>0</v>
      </c>
    </row>
    <row r="224" spans="1:16" ht="14.25" thickBot="1" x14ac:dyDescent="0.2">
      <c r="A224" s="29" t="s">
        <v>112</v>
      </c>
      <c r="B224" s="6">
        <v>3</v>
      </c>
      <c r="C224" s="27"/>
      <c r="D224" s="7">
        <f t="shared" si="53"/>
        <v>3</v>
      </c>
      <c r="E224" s="61">
        <v>44299</v>
      </c>
      <c r="G224" s="43" t="s">
        <v>129</v>
      </c>
      <c r="H224" s="6"/>
      <c r="I224" s="27"/>
      <c r="J224" s="7">
        <f t="shared" si="55"/>
        <v>0</v>
      </c>
      <c r="K224" s="19" t="s">
        <v>130</v>
      </c>
      <c r="L224" s="19"/>
      <c r="M224" s="23"/>
      <c r="N224" s="6"/>
      <c r="O224" s="27"/>
      <c r="P224" s="7">
        <f t="shared" si="54"/>
        <v>0</v>
      </c>
    </row>
    <row r="225" spans="1:16" ht="14.25" thickBot="1" x14ac:dyDescent="0.2">
      <c r="A225" s="9" t="s">
        <v>3</v>
      </c>
      <c r="B225" s="10">
        <f>SUM(B201:B224)</f>
        <v>54</v>
      </c>
      <c r="C225" s="66">
        <f>SUM(C201:C224)</f>
        <v>0</v>
      </c>
      <c r="D225" s="11">
        <f>SUM(D201:D224)</f>
        <v>54</v>
      </c>
      <c r="G225" s="9" t="s">
        <v>3</v>
      </c>
      <c r="H225" s="10">
        <f>SUM(H201:H224)</f>
        <v>470</v>
      </c>
      <c r="I225" s="66">
        <f>SUM(I201:I224)</f>
        <v>0</v>
      </c>
      <c r="J225" s="11">
        <f>SUM(J201:J224)</f>
        <v>470</v>
      </c>
      <c r="M225" s="9" t="s">
        <v>3</v>
      </c>
      <c r="N225" s="10">
        <f>SUM(N201:N224)</f>
        <v>0</v>
      </c>
      <c r="O225" s="66">
        <f>SUM(O201:O224)</f>
        <v>0</v>
      </c>
      <c r="P225" s="11">
        <f>SUM(P201:P224)</f>
        <v>0</v>
      </c>
    </row>
    <row r="226" spans="1:16" ht="14.25" thickBot="1" x14ac:dyDescent="0.2">
      <c r="A226" s="14" t="s">
        <v>4</v>
      </c>
      <c r="B226" s="16">
        <f>B200-B225</f>
        <v>34</v>
      </c>
      <c r="C226" s="16">
        <f>C200-C225</f>
        <v>0</v>
      </c>
      <c r="D226" s="16">
        <f>D200-D225</f>
        <v>34</v>
      </c>
      <c r="G226" s="14" t="s">
        <v>4</v>
      </c>
      <c r="H226" s="16">
        <f>H200-H225</f>
        <v>1280</v>
      </c>
      <c r="I226" s="16">
        <f>I200-I225</f>
        <v>0</v>
      </c>
      <c r="J226" s="16">
        <f>J200-J225</f>
        <v>1280</v>
      </c>
      <c r="M226" s="14" t="s">
        <v>4</v>
      </c>
      <c r="N226" s="16">
        <f>N200-N225</f>
        <v>0</v>
      </c>
      <c r="O226" s="16">
        <f>O200-O225</f>
        <v>0</v>
      </c>
      <c r="P226" s="16">
        <f>P200-P225</f>
        <v>0</v>
      </c>
    </row>
    <row r="229" spans="1:16" ht="24" x14ac:dyDescent="0.25">
      <c r="A229" s="25" t="s">
        <v>7</v>
      </c>
      <c r="B229" s="1"/>
      <c r="C229" s="1"/>
      <c r="D229" s="1"/>
      <c r="G229" s="25" t="s">
        <v>8</v>
      </c>
      <c r="H229" s="1"/>
      <c r="I229" s="1"/>
      <c r="J229" s="1"/>
      <c r="M229" s="25" t="s">
        <v>9</v>
      </c>
      <c r="N229" s="1"/>
      <c r="O229" s="1"/>
      <c r="P229" s="1"/>
    </row>
    <row r="230" spans="1:16" ht="14.25" thickBot="1" x14ac:dyDescent="0.2">
      <c r="A230" s="1"/>
      <c r="B230" s="1"/>
      <c r="C230" s="1"/>
      <c r="D230" s="1"/>
      <c r="G230" s="1"/>
      <c r="H230" s="1"/>
      <c r="I230" s="1"/>
      <c r="J230" s="1"/>
      <c r="M230" s="1"/>
      <c r="N230" s="1"/>
      <c r="O230" s="1"/>
      <c r="P230" s="1"/>
    </row>
    <row r="231" spans="1:16" ht="14.25" thickBot="1" x14ac:dyDescent="0.2">
      <c r="A231" s="2"/>
      <c r="B231" s="50" t="s">
        <v>115</v>
      </c>
      <c r="C231" s="50" t="s">
        <v>116</v>
      </c>
      <c r="D231" s="2" t="s">
        <v>0</v>
      </c>
      <c r="G231" s="2"/>
      <c r="H231" s="50" t="s">
        <v>115</v>
      </c>
      <c r="I231" s="50" t="s">
        <v>116</v>
      </c>
      <c r="J231" s="2" t="s">
        <v>0</v>
      </c>
      <c r="M231" s="2"/>
      <c r="N231" s="50" t="s">
        <v>115</v>
      </c>
      <c r="O231" s="50" t="s">
        <v>116</v>
      </c>
      <c r="P231" s="2" t="s">
        <v>0</v>
      </c>
    </row>
    <row r="232" spans="1:16" x14ac:dyDescent="0.15">
      <c r="A232" s="32" t="s">
        <v>4</v>
      </c>
      <c r="B232" s="48">
        <f>B226</f>
        <v>34</v>
      </c>
      <c r="C232" s="76">
        <f>C226</f>
        <v>0</v>
      </c>
      <c r="D232" s="47">
        <f>SUM(B232+C232)</f>
        <v>34</v>
      </c>
      <c r="G232" s="13" t="s">
        <v>6</v>
      </c>
      <c r="H232" s="48">
        <f>H226</f>
        <v>1280</v>
      </c>
      <c r="I232" s="80">
        <f>I226</f>
        <v>0</v>
      </c>
      <c r="J232" s="47">
        <f>SUM(H232+I232)</f>
        <v>1280</v>
      </c>
      <c r="K232" s="19"/>
      <c r="M232" s="13" t="s">
        <v>6</v>
      </c>
      <c r="N232" s="48">
        <f>N226</f>
        <v>0</v>
      </c>
      <c r="O232" s="80">
        <f>O226</f>
        <v>0</v>
      </c>
      <c r="P232" s="47">
        <f>SUM(N232+O232)</f>
        <v>0</v>
      </c>
    </row>
    <row r="233" spans="1:16" x14ac:dyDescent="0.15">
      <c r="A233" s="3" t="s">
        <v>1</v>
      </c>
      <c r="B233" s="73">
        <v>20</v>
      </c>
      <c r="C233" s="71"/>
      <c r="D233" s="7">
        <f>SUM(B233+C233)</f>
        <v>20</v>
      </c>
      <c r="E233" s="57">
        <v>44312</v>
      </c>
      <c r="G233" s="4" t="s">
        <v>1</v>
      </c>
      <c r="H233" s="74"/>
      <c r="I233" s="78"/>
      <c r="J233" s="21">
        <f>SUM(H233+I233)</f>
        <v>0</v>
      </c>
      <c r="K233" s="57"/>
      <c r="M233" s="4" t="s">
        <v>1</v>
      </c>
      <c r="N233" s="74"/>
      <c r="O233" s="78"/>
      <c r="P233" s="21">
        <f>SUM(N233+O233)</f>
        <v>0</v>
      </c>
    </row>
    <row r="234" spans="1:16" x14ac:dyDescent="0.15">
      <c r="A234" s="3" t="s">
        <v>1</v>
      </c>
      <c r="B234" s="24">
        <v>30</v>
      </c>
      <c r="C234" s="77"/>
      <c r="D234" s="7">
        <f t="shared" ref="D234:D237" si="57">SUM(B234+C234)</f>
        <v>30</v>
      </c>
      <c r="E234" s="57">
        <v>44313</v>
      </c>
      <c r="G234" s="4" t="s">
        <v>1</v>
      </c>
      <c r="H234" s="74"/>
      <c r="I234" s="78"/>
      <c r="J234" s="21">
        <f t="shared" ref="J234:J237" si="58">SUM(H234+I234)</f>
        <v>0</v>
      </c>
      <c r="K234" s="57"/>
      <c r="M234" s="4" t="s">
        <v>1</v>
      </c>
      <c r="N234" s="74"/>
      <c r="O234" s="78"/>
      <c r="P234" s="21">
        <f t="shared" ref="P234:P237" si="59">SUM(N234+O234)</f>
        <v>0</v>
      </c>
    </row>
    <row r="235" spans="1:16" x14ac:dyDescent="0.15">
      <c r="A235" s="3" t="s">
        <v>1</v>
      </c>
      <c r="B235" s="79">
        <v>20</v>
      </c>
      <c r="C235" s="1"/>
      <c r="D235" s="7">
        <f t="shared" si="57"/>
        <v>20</v>
      </c>
      <c r="E235" s="57">
        <v>44317</v>
      </c>
      <c r="G235" s="4" t="s">
        <v>1</v>
      </c>
      <c r="H235" s="74"/>
      <c r="I235" s="78"/>
      <c r="J235" s="21">
        <f t="shared" si="58"/>
        <v>0</v>
      </c>
      <c r="K235" s="19"/>
      <c r="M235" s="4" t="s">
        <v>1</v>
      </c>
      <c r="N235" s="74"/>
      <c r="O235" s="78"/>
      <c r="P235" s="21">
        <f t="shared" si="59"/>
        <v>0</v>
      </c>
    </row>
    <row r="236" spans="1:16" x14ac:dyDescent="0.15">
      <c r="A236" s="3" t="s">
        <v>1</v>
      </c>
      <c r="B236" s="74"/>
      <c r="C236" s="78"/>
      <c r="D236" s="7">
        <f t="shared" si="57"/>
        <v>0</v>
      </c>
      <c r="E236" s="61"/>
      <c r="G236" s="3" t="s">
        <v>1</v>
      </c>
      <c r="H236" s="74"/>
      <c r="I236" s="78"/>
      <c r="J236" s="7">
        <f t="shared" si="58"/>
        <v>0</v>
      </c>
      <c r="K236" s="19"/>
      <c r="M236" s="3" t="s">
        <v>1</v>
      </c>
      <c r="N236" s="74"/>
      <c r="O236" s="78"/>
      <c r="P236" s="7">
        <f t="shared" si="59"/>
        <v>0</v>
      </c>
    </row>
    <row r="237" spans="1:16" ht="14.25" thickBot="1" x14ac:dyDescent="0.2">
      <c r="A237" s="4" t="s">
        <v>1</v>
      </c>
      <c r="B237" s="74"/>
      <c r="C237" s="78"/>
      <c r="D237" s="21">
        <f t="shared" si="57"/>
        <v>0</v>
      </c>
      <c r="G237" s="4" t="s">
        <v>1</v>
      </c>
      <c r="H237" s="75"/>
      <c r="I237" s="17"/>
      <c r="J237" s="22">
        <f t="shared" si="58"/>
        <v>0</v>
      </c>
      <c r="M237" s="4" t="s">
        <v>1</v>
      </c>
      <c r="N237" s="75"/>
      <c r="O237" s="17"/>
      <c r="P237" s="22">
        <f t="shared" si="59"/>
        <v>0</v>
      </c>
    </row>
    <row r="238" spans="1:16" ht="14.25" thickBot="1" x14ac:dyDescent="0.2">
      <c r="A238" s="14" t="s">
        <v>2</v>
      </c>
      <c r="B238" s="16">
        <f>SUM(B232:B237)</f>
        <v>104</v>
      </c>
      <c r="C238" s="83">
        <f>SUM(C232:C237)</f>
        <v>0</v>
      </c>
      <c r="D238" s="84">
        <f>SUM(B238+C238)</f>
        <v>104</v>
      </c>
      <c r="G238" s="14" t="s">
        <v>2</v>
      </c>
      <c r="H238" s="15">
        <f>SUM(H232:H237)</f>
        <v>1280</v>
      </c>
      <c r="I238" s="65">
        <f>SUM(I232:I237)</f>
        <v>0</v>
      </c>
      <c r="J238" s="18">
        <f>SUM(H238+I238)</f>
        <v>1280</v>
      </c>
      <c r="M238" s="14" t="s">
        <v>2</v>
      </c>
      <c r="N238" s="15">
        <f>SUM(N232:N237)</f>
        <v>0</v>
      </c>
      <c r="O238" s="65">
        <f>SUM(O232:O237)</f>
        <v>0</v>
      </c>
      <c r="P238" s="18">
        <f>SUM(N238+O238)</f>
        <v>0</v>
      </c>
    </row>
    <row r="239" spans="1:16" x14ac:dyDescent="0.15">
      <c r="A239" s="29" t="s">
        <v>112</v>
      </c>
      <c r="B239" s="6">
        <v>3</v>
      </c>
      <c r="C239" s="27"/>
      <c r="D239" s="7">
        <f>SUM(B239+C239)</f>
        <v>3</v>
      </c>
      <c r="E239" s="61">
        <v>44300</v>
      </c>
      <c r="G239" s="43" t="s">
        <v>136</v>
      </c>
      <c r="H239" s="6">
        <v>30</v>
      </c>
      <c r="I239" s="27"/>
      <c r="J239" s="7">
        <f>SUM(H239+I239)</f>
        <v>30</v>
      </c>
      <c r="K239" s="57">
        <v>44313</v>
      </c>
      <c r="M239" s="5"/>
      <c r="N239" s="6"/>
      <c r="O239" s="27"/>
      <c r="P239" s="7">
        <f>SUM(N239+O239)</f>
        <v>0</v>
      </c>
    </row>
    <row r="240" spans="1:16" x14ac:dyDescent="0.15">
      <c r="A240" s="29" t="s">
        <v>112</v>
      </c>
      <c r="B240" s="6">
        <f>2+1+3</f>
        <v>6</v>
      </c>
      <c r="C240" s="27"/>
      <c r="D240" s="7">
        <f>SUM(B240+C240)</f>
        <v>6</v>
      </c>
      <c r="E240" s="61">
        <v>44301</v>
      </c>
      <c r="G240" s="43" t="s">
        <v>137</v>
      </c>
      <c r="H240" s="6">
        <v>90</v>
      </c>
      <c r="I240" s="27"/>
      <c r="J240" s="7">
        <f>SUM(H240+I240)</f>
        <v>90</v>
      </c>
      <c r="K240" s="57">
        <v>44313</v>
      </c>
      <c r="M240" s="5"/>
      <c r="N240" s="6"/>
      <c r="O240" s="27"/>
      <c r="P240" s="7">
        <f>SUM(N240+O240)</f>
        <v>0</v>
      </c>
    </row>
    <row r="241" spans="1:16" x14ac:dyDescent="0.15">
      <c r="A241" s="29" t="s">
        <v>112</v>
      </c>
      <c r="B241" s="6">
        <f>1+2</f>
        <v>3</v>
      </c>
      <c r="C241" s="27"/>
      <c r="D241" s="7">
        <f t="shared" ref="D241:D262" si="60">SUM(B241+C241)</f>
        <v>3</v>
      </c>
      <c r="E241" s="61">
        <v>44302</v>
      </c>
      <c r="G241" s="43" t="s">
        <v>138</v>
      </c>
      <c r="H241" s="6">
        <v>20</v>
      </c>
      <c r="I241" s="27"/>
      <c r="J241" s="7">
        <f t="shared" ref="J241:J262" si="61">SUM(H241+I241)</f>
        <v>20</v>
      </c>
      <c r="K241" s="57">
        <v>44312</v>
      </c>
      <c r="M241" s="5"/>
      <c r="N241" s="6"/>
      <c r="O241" s="27"/>
      <c r="P241" s="7">
        <f t="shared" ref="P241:P262" si="62">SUM(N241+O241)</f>
        <v>0</v>
      </c>
    </row>
    <row r="242" spans="1:16" x14ac:dyDescent="0.15">
      <c r="A242" s="29" t="s">
        <v>112</v>
      </c>
      <c r="B242" s="6">
        <v>1</v>
      </c>
      <c r="C242" s="27"/>
      <c r="D242" s="7">
        <f t="shared" si="60"/>
        <v>1</v>
      </c>
      <c r="E242" s="61">
        <v>44303</v>
      </c>
      <c r="G242" s="43" t="s">
        <v>21</v>
      </c>
      <c r="H242" s="6">
        <v>30</v>
      </c>
      <c r="I242" s="27"/>
      <c r="J242" s="7">
        <f t="shared" si="61"/>
        <v>30</v>
      </c>
      <c r="K242" s="57">
        <v>44313</v>
      </c>
      <c r="M242" s="5"/>
      <c r="N242" s="6"/>
      <c r="O242" s="27"/>
      <c r="P242" s="7">
        <f t="shared" si="62"/>
        <v>0</v>
      </c>
    </row>
    <row r="243" spans="1:16" x14ac:dyDescent="0.15">
      <c r="A243" s="29" t="s">
        <v>112</v>
      </c>
      <c r="B243" s="6">
        <v>1</v>
      </c>
      <c r="C243" s="27"/>
      <c r="D243" s="7">
        <f t="shared" si="60"/>
        <v>1</v>
      </c>
      <c r="E243" s="61">
        <v>44305</v>
      </c>
      <c r="G243" s="43" t="s">
        <v>139</v>
      </c>
      <c r="H243" s="6">
        <v>30</v>
      </c>
      <c r="I243" s="27"/>
      <c r="J243" s="7">
        <f t="shared" si="61"/>
        <v>30</v>
      </c>
      <c r="K243" s="57">
        <v>44323</v>
      </c>
      <c r="M243" s="5"/>
      <c r="N243" s="6"/>
      <c r="O243" s="27"/>
      <c r="P243" s="7">
        <f t="shared" si="62"/>
        <v>0</v>
      </c>
    </row>
    <row r="244" spans="1:16" x14ac:dyDescent="0.15">
      <c r="A244" s="29" t="s">
        <v>112</v>
      </c>
      <c r="B244" s="6">
        <v>2</v>
      </c>
      <c r="C244" s="27"/>
      <c r="D244" s="7">
        <f t="shared" si="60"/>
        <v>2</v>
      </c>
      <c r="E244" s="61">
        <v>44307</v>
      </c>
      <c r="G244" s="43" t="s">
        <v>140</v>
      </c>
      <c r="H244" s="6">
        <v>90</v>
      </c>
      <c r="I244" s="27"/>
      <c r="J244" s="7">
        <f t="shared" si="61"/>
        <v>90</v>
      </c>
      <c r="K244" s="57">
        <v>44323</v>
      </c>
      <c r="M244" s="8"/>
      <c r="N244" s="6"/>
      <c r="O244" s="27"/>
      <c r="P244" s="7">
        <f t="shared" si="62"/>
        <v>0</v>
      </c>
    </row>
    <row r="245" spans="1:16" x14ac:dyDescent="0.15">
      <c r="A245" s="29" t="s">
        <v>112</v>
      </c>
      <c r="B245" s="6">
        <f>1+1</f>
        <v>2</v>
      </c>
      <c r="C245" s="27"/>
      <c r="D245" s="7">
        <f t="shared" si="60"/>
        <v>2</v>
      </c>
      <c r="E245" s="61">
        <v>44308</v>
      </c>
      <c r="G245" s="5" t="s">
        <v>141</v>
      </c>
      <c r="H245" s="6">
        <v>20</v>
      </c>
      <c r="I245" s="27"/>
      <c r="J245" s="7">
        <f t="shared" si="61"/>
        <v>20</v>
      </c>
      <c r="K245" s="57">
        <v>44317</v>
      </c>
      <c r="M245" s="5"/>
      <c r="N245" s="6"/>
      <c r="O245" s="27"/>
      <c r="P245" s="7">
        <f t="shared" si="62"/>
        <v>0</v>
      </c>
    </row>
    <row r="246" spans="1:16" x14ac:dyDescent="0.15">
      <c r="A246" s="29" t="s">
        <v>112</v>
      </c>
      <c r="B246" s="6">
        <f>3+1+3+1+4+6</f>
        <v>18</v>
      </c>
      <c r="C246" s="27"/>
      <c r="D246" s="7">
        <f t="shared" si="60"/>
        <v>18</v>
      </c>
      <c r="E246" s="61">
        <v>44312</v>
      </c>
      <c r="G246" s="43" t="s">
        <v>142</v>
      </c>
      <c r="H246" s="6">
        <v>60</v>
      </c>
      <c r="I246" s="27"/>
      <c r="J246" s="7">
        <f t="shared" si="61"/>
        <v>60</v>
      </c>
      <c r="K246" s="57">
        <v>44330</v>
      </c>
      <c r="M246" s="5"/>
      <c r="N246" s="6"/>
      <c r="O246" s="27"/>
      <c r="P246" s="7">
        <f t="shared" si="62"/>
        <v>0</v>
      </c>
    </row>
    <row r="247" spans="1:16" x14ac:dyDescent="0.15">
      <c r="A247" s="29" t="s">
        <v>112</v>
      </c>
      <c r="B247" s="6">
        <v>2</v>
      </c>
      <c r="C247" s="27"/>
      <c r="D247" s="7">
        <f t="shared" si="60"/>
        <v>2</v>
      </c>
      <c r="E247" s="61">
        <v>44313</v>
      </c>
      <c r="G247" s="43" t="s">
        <v>143</v>
      </c>
      <c r="H247" s="6">
        <v>180</v>
      </c>
      <c r="I247" s="27"/>
      <c r="J247" s="7">
        <f t="shared" si="61"/>
        <v>180</v>
      </c>
      <c r="K247" s="57">
        <v>44330</v>
      </c>
      <c r="M247" s="8"/>
      <c r="N247" s="6"/>
      <c r="O247" s="27"/>
      <c r="P247" s="7">
        <f t="shared" si="62"/>
        <v>0</v>
      </c>
    </row>
    <row r="248" spans="1:16" x14ac:dyDescent="0.15">
      <c r="A248" s="29" t="s">
        <v>112</v>
      </c>
      <c r="B248" s="6">
        <f>2+3</f>
        <v>5</v>
      </c>
      <c r="C248" s="27"/>
      <c r="D248" s="7">
        <f t="shared" si="60"/>
        <v>5</v>
      </c>
      <c r="E248" s="61">
        <v>44314</v>
      </c>
      <c r="G248" s="43" t="s">
        <v>144</v>
      </c>
      <c r="H248" s="6">
        <v>30</v>
      </c>
      <c r="I248" s="27"/>
      <c r="J248" s="7">
        <f t="shared" si="61"/>
        <v>30</v>
      </c>
      <c r="K248" s="57">
        <v>44341</v>
      </c>
      <c r="M248" s="8"/>
      <c r="N248" s="6"/>
      <c r="O248" s="27"/>
      <c r="P248" s="7">
        <f t="shared" si="62"/>
        <v>0</v>
      </c>
    </row>
    <row r="249" spans="1:16" x14ac:dyDescent="0.15">
      <c r="A249" s="29" t="s">
        <v>112</v>
      </c>
      <c r="B249" s="6">
        <v>4</v>
      </c>
      <c r="C249" s="27"/>
      <c r="D249" s="7">
        <f t="shared" si="60"/>
        <v>4</v>
      </c>
      <c r="E249" s="61">
        <v>44316</v>
      </c>
      <c r="G249" s="43" t="s">
        <v>145</v>
      </c>
      <c r="H249" s="6">
        <v>30</v>
      </c>
      <c r="I249" s="27"/>
      <c r="J249" s="7">
        <f t="shared" si="61"/>
        <v>30</v>
      </c>
      <c r="K249" s="57">
        <v>44344</v>
      </c>
      <c r="M249" s="5"/>
      <c r="N249" s="6"/>
      <c r="O249" s="27"/>
      <c r="P249" s="7">
        <f t="shared" si="62"/>
        <v>0</v>
      </c>
    </row>
    <row r="250" spans="1:16" x14ac:dyDescent="0.15">
      <c r="A250" s="29" t="s">
        <v>112</v>
      </c>
      <c r="B250" s="6">
        <f>3+2</f>
        <v>5</v>
      </c>
      <c r="C250" s="27"/>
      <c r="D250" s="7">
        <f t="shared" si="60"/>
        <v>5</v>
      </c>
      <c r="E250" s="61">
        <v>44322</v>
      </c>
      <c r="G250" s="43" t="s">
        <v>146</v>
      </c>
      <c r="H250" s="6">
        <v>90</v>
      </c>
      <c r="I250" s="27"/>
      <c r="J250" s="7">
        <f t="shared" si="61"/>
        <v>90</v>
      </c>
      <c r="K250" s="57">
        <v>44344</v>
      </c>
      <c r="M250" s="5"/>
      <c r="N250" s="6"/>
      <c r="O250" s="27"/>
      <c r="P250" s="7">
        <f t="shared" si="62"/>
        <v>0</v>
      </c>
    </row>
    <row r="251" spans="1:16" x14ac:dyDescent="0.15">
      <c r="A251" s="29" t="s">
        <v>112</v>
      </c>
      <c r="B251" s="6">
        <v>1</v>
      </c>
      <c r="C251" s="27"/>
      <c r="D251" s="7">
        <f t="shared" si="60"/>
        <v>1</v>
      </c>
      <c r="E251" s="61">
        <v>44323</v>
      </c>
      <c r="G251" s="43"/>
      <c r="H251" s="6"/>
      <c r="I251" s="27"/>
      <c r="J251" s="7">
        <f t="shared" si="61"/>
        <v>0</v>
      </c>
      <c r="K251" s="57"/>
      <c r="M251" s="8"/>
      <c r="N251" s="6"/>
      <c r="O251" s="27"/>
      <c r="P251" s="7">
        <f t="shared" si="62"/>
        <v>0</v>
      </c>
    </row>
    <row r="252" spans="1:16" x14ac:dyDescent="0.15">
      <c r="A252" s="29" t="s">
        <v>112</v>
      </c>
      <c r="B252" s="6">
        <v>1</v>
      </c>
      <c r="C252" s="27"/>
      <c r="D252" s="7">
        <f t="shared" si="60"/>
        <v>1</v>
      </c>
      <c r="E252" s="61">
        <v>44326</v>
      </c>
      <c r="G252" s="5"/>
      <c r="H252" s="6"/>
      <c r="I252" s="27"/>
      <c r="J252" s="7">
        <f t="shared" si="61"/>
        <v>0</v>
      </c>
      <c r="M252" s="5"/>
      <c r="N252" s="6"/>
      <c r="O252" s="27"/>
      <c r="P252" s="7">
        <f t="shared" si="62"/>
        <v>0</v>
      </c>
    </row>
    <row r="253" spans="1:16" x14ac:dyDescent="0.15">
      <c r="A253" s="29" t="s">
        <v>112</v>
      </c>
      <c r="B253" s="6">
        <v>4</v>
      </c>
      <c r="C253" s="27"/>
      <c r="D253" s="7">
        <f t="shared" si="60"/>
        <v>4</v>
      </c>
      <c r="E253" s="61">
        <v>44328</v>
      </c>
      <c r="G253" s="8"/>
      <c r="H253" s="6"/>
      <c r="I253" s="27"/>
      <c r="J253" s="7">
        <f t="shared" si="61"/>
        <v>0</v>
      </c>
      <c r="M253" s="8"/>
      <c r="N253" s="6"/>
      <c r="O253" s="27"/>
      <c r="P253" s="7">
        <f t="shared" si="62"/>
        <v>0</v>
      </c>
    </row>
    <row r="254" spans="1:16" x14ac:dyDescent="0.15">
      <c r="A254" s="29" t="s">
        <v>112</v>
      </c>
      <c r="B254" s="6">
        <f>1+2+1</f>
        <v>4</v>
      </c>
      <c r="C254" s="27"/>
      <c r="D254" s="7">
        <f t="shared" si="60"/>
        <v>4</v>
      </c>
      <c r="E254" s="61">
        <v>44330</v>
      </c>
      <c r="G254" s="8"/>
      <c r="H254" s="6"/>
      <c r="I254" s="27"/>
      <c r="J254" s="7">
        <f t="shared" si="61"/>
        <v>0</v>
      </c>
      <c r="M254" s="8"/>
      <c r="N254" s="6"/>
      <c r="O254" s="27"/>
      <c r="P254" s="7">
        <f t="shared" si="62"/>
        <v>0</v>
      </c>
    </row>
    <row r="255" spans="1:16" x14ac:dyDescent="0.15">
      <c r="A255" s="29" t="s">
        <v>112</v>
      </c>
      <c r="B255" s="6">
        <f>1+1</f>
        <v>2</v>
      </c>
      <c r="C255" s="27"/>
      <c r="D255" s="7">
        <f t="shared" si="60"/>
        <v>2</v>
      </c>
      <c r="E255" s="61">
        <v>44333</v>
      </c>
      <c r="G255" s="5"/>
      <c r="H255" s="6"/>
      <c r="I255" s="27"/>
      <c r="J255" s="7">
        <f t="shared" si="61"/>
        <v>0</v>
      </c>
      <c r="K255" s="19"/>
      <c r="M255" s="5"/>
      <c r="N255" s="6"/>
      <c r="O255" s="27"/>
      <c r="P255" s="7">
        <f t="shared" si="62"/>
        <v>0</v>
      </c>
    </row>
    <row r="256" spans="1:16" x14ac:dyDescent="0.15">
      <c r="A256" s="29" t="s">
        <v>112</v>
      </c>
      <c r="B256" s="6">
        <v>2</v>
      </c>
      <c r="C256" s="27"/>
      <c r="D256" s="7">
        <f t="shared" si="60"/>
        <v>2</v>
      </c>
      <c r="E256" s="61">
        <v>44335</v>
      </c>
      <c r="G256" s="5"/>
      <c r="H256" s="6"/>
      <c r="I256" s="27"/>
      <c r="J256" s="7">
        <f t="shared" si="61"/>
        <v>0</v>
      </c>
      <c r="K256" s="19"/>
      <c r="M256" s="5"/>
      <c r="N256" s="6"/>
      <c r="O256" s="27"/>
      <c r="P256" s="7">
        <f t="shared" si="62"/>
        <v>0</v>
      </c>
    </row>
    <row r="257" spans="1:16" x14ac:dyDescent="0.15">
      <c r="A257" s="29" t="s">
        <v>112</v>
      </c>
      <c r="B257" s="6">
        <v>1</v>
      </c>
      <c r="C257" s="27"/>
      <c r="D257" s="7">
        <f t="shared" si="60"/>
        <v>1</v>
      </c>
      <c r="E257" s="61">
        <v>44336</v>
      </c>
      <c r="G257" s="43"/>
      <c r="H257" s="6"/>
      <c r="I257" s="27"/>
      <c r="J257" s="35">
        <f t="shared" si="61"/>
        <v>0</v>
      </c>
      <c r="K257" s="19"/>
      <c r="M257" s="5"/>
      <c r="N257" s="6"/>
      <c r="O257" s="27"/>
      <c r="P257" s="7">
        <f t="shared" si="62"/>
        <v>0</v>
      </c>
    </row>
    <row r="258" spans="1:16" x14ac:dyDescent="0.15">
      <c r="A258" s="29" t="s">
        <v>112</v>
      </c>
      <c r="B258" s="6">
        <v>1</v>
      </c>
      <c r="C258" s="27"/>
      <c r="D258" s="7">
        <f t="shared" si="60"/>
        <v>1</v>
      </c>
      <c r="E258" s="61">
        <v>44340</v>
      </c>
      <c r="G258" s="43"/>
      <c r="H258" s="6"/>
      <c r="I258" s="27"/>
      <c r="J258" s="35">
        <f t="shared" si="61"/>
        <v>0</v>
      </c>
      <c r="K258" s="19"/>
      <c r="M258" s="8"/>
      <c r="N258" s="6"/>
      <c r="O258" s="27"/>
      <c r="P258" s="7">
        <f t="shared" si="62"/>
        <v>0</v>
      </c>
    </row>
    <row r="259" spans="1:16" x14ac:dyDescent="0.15">
      <c r="A259" s="29" t="s">
        <v>112</v>
      </c>
      <c r="B259" s="6">
        <f>1+1</f>
        <v>2</v>
      </c>
      <c r="C259" s="27"/>
      <c r="D259" s="7">
        <f t="shared" si="60"/>
        <v>2</v>
      </c>
      <c r="E259" s="61">
        <v>44342</v>
      </c>
      <c r="G259" s="43"/>
      <c r="H259" s="6"/>
      <c r="I259" s="27"/>
      <c r="J259" s="35">
        <f t="shared" si="61"/>
        <v>0</v>
      </c>
      <c r="K259" s="57"/>
      <c r="L259" s="19"/>
      <c r="M259" s="8"/>
      <c r="N259" s="6"/>
      <c r="O259" s="27"/>
      <c r="P259" s="7">
        <f t="shared" si="62"/>
        <v>0</v>
      </c>
    </row>
    <row r="260" spans="1:16" x14ac:dyDescent="0.15">
      <c r="A260" s="29" t="s">
        <v>112</v>
      </c>
      <c r="B260" s="6">
        <v>4</v>
      </c>
      <c r="C260" s="27"/>
      <c r="D260" s="7">
        <f t="shared" si="60"/>
        <v>4</v>
      </c>
      <c r="E260" s="61">
        <v>44344</v>
      </c>
      <c r="G260" s="43"/>
      <c r="H260" s="6"/>
      <c r="I260" s="27"/>
      <c r="J260" s="35">
        <f t="shared" si="61"/>
        <v>0</v>
      </c>
      <c r="K260" s="19"/>
      <c r="L260" s="19"/>
      <c r="M260" s="5"/>
      <c r="N260" s="6"/>
      <c r="O260" s="27"/>
      <c r="P260" s="7">
        <f t="shared" si="62"/>
        <v>0</v>
      </c>
    </row>
    <row r="261" spans="1:16" x14ac:dyDescent="0.15">
      <c r="A261" s="29" t="s">
        <v>112</v>
      </c>
      <c r="B261" s="6">
        <v>3</v>
      </c>
      <c r="C261" s="27"/>
      <c r="D261" s="7">
        <f t="shared" si="60"/>
        <v>3</v>
      </c>
      <c r="E261" s="61">
        <v>44347</v>
      </c>
      <c r="G261" s="8"/>
      <c r="H261" s="6"/>
      <c r="I261" s="27"/>
      <c r="J261" s="35">
        <f t="shared" si="61"/>
        <v>0</v>
      </c>
      <c r="K261" s="19"/>
      <c r="L261" s="19"/>
      <c r="M261" s="8"/>
      <c r="N261" s="6"/>
      <c r="O261" s="27"/>
      <c r="P261" s="7">
        <f t="shared" si="62"/>
        <v>0</v>
      </c>
    </row>
    <row r="262" spans="1:16" ht="14.25" thickBot="1" x14ac:dyDescent="0.2">
      <c r="A262" s="5"/>
      <c r="B262" s="6"/>
      <c r="C262" s="27"/>
      <c r="D262" s="7">
        <f t="shared" si="60"/>
        <v>0</v>
      </c>
      <c r="G262" s="5"/>
      <c r="H262" s="6"/>
      <c r="I262" s="27"/>
      <c r="J262" s="7">
        <f t="shared" si="61"/>
        <v>0</v>
      </c>
      <c r="K262" s="19"/>
      <c r="L262" s="19"/>
      <c r="M262" s="23"/>
      <c r="N262" s="6"/>
      <c r="O262" s="27"/>
      <c r="P262" s="7">
        <f t="shared" si="62"/>
        <v>0</v>
      </c>
    </row>
    <row r="263" spans="1:16" ht="14.25" thickBot="1" x14ac:dyDescent="0.2">
      <c r="A263" s="9" t="s">
        <v>3</v>
      </c>
      <c r="B263" s="10">
        <f>SUM(B239:B262)</f>
        <v>77</v>
      </c>
      <c r="C263" s="66">
        <f>SUM(C239:C262)</f>
        <v>0</v>
      </c>
      <c r="D263" s="11">
        <f>SUM(D239:D262)</f>
        <v>77</v>
      </c>
      <c r="G263" s="9" t="s">
        <v>3</v>
      </c>
      <c r="H263" s="10">
        <f>SUM(H239:H262)</f>
        <v>700</v>
      </c>
      <c r="I263" s="66">
        <f>SUM(I239:I262)</f>
        <v>0</v>
      </c>
      <c r="J263" s="11">
        <f>SUM(J239:J262)</f>
        <v>700</v>
      </c>
      <c r="M263" s="9" t="s">
        <v>3</v>
      </c>
      <c r="N263" s="10">
        <f>SUM(N239:N262)</f>
        <v>0</v>
      </c>
      <c r="O263" s="66">
        <f>SUM(O239:O262)</f>
        <v>0</v>
      </c>
      <c r="P263" s="11">
        <f>SUM(P239:P262)</f>
        <v>0</v>
      </c>
    </row>
    <row r="264" spans="1:16" ht="14.25" thickBot="1" x14ac:dyDescent="0.2">
      <c r="A264" s="14" t="s">
        <v>4</v>
      </c>
      <c r="B264" s="16">
        <f>B238-B263</f>
        <v>27</v>
      </c>
      <c r="C264" s="16">
        <f>C238-C263</f>
        <v>0</v>
      </c>
      <c r="D264" s="16">
        <f>D238-D263</f>
        <v>27</v>
      </c>
      <c r="G264" s="14" t="s">
        <v>4</v>
      </c>
      <c r="H264" s="16">
        <f>H238-H263</f>
        <v>580</v>
      </c>
      <c r="I264" s="16">
        <f>I238-I263</f>
        <v>0</v>
      </c>
      <c r="J264" s="16">
        <f>J238-J263</f>
        <v>580</v>
      </c>
      <c r="M264" s="14" t="s">
        <v>4</v>
      </c>
      <c r="N264" s="16">
        <f>N238-N263</f>
        <v>0</v>
      </c>
      <c r="O264" s="16">
        <f>O238-O263</f>
        <v>0</v>
      </c>
      <c r="P264" s="16">
        <f>P238-P263</f>
        <v>0</v>
      </c>
    </row>
    <row r="267" spans="1:16" ht="24" x14ac:dyDescent="0.25">
      <c r="A267" s="25" t="s">
        <v>7</v>
      </c>
      <c r="B267" s="1"/>
      <c r="C267" s="1"/>
      <c r="D267" s="1"/>
      <c r="G267" s="25" t="s">
        <v>8</v>
      </c>
      <c r="H267" s="1"/>
      <c r="I267" s="1"/>
      <c r="J267" s="1"/>
      <c r="M267" s="25" t="s">
        <v>9</v>
      </c>
      <c r="N267" s="1"/>
      <c r="O267" s="1"/>
      <c r="P267" s="1"/>
    </row>
    <row r="268" spans="1:16" ht="14.25" thickBot="1" x14ac:dyDescent="0.2">
      <c r="A268" s="1"/>
      <c r="B268" s="1"/>
      <c r="C268" s="1"/>
      <c r="D268" s="1"/>
      <c r="G268" s="1"/>
      <c r="H268" s="1"/>
      <c r="I268" s="1"/>
      <c r="J268" s="1"/>
      <c r="M268" s="1"/>
      <c r="N268" s="1"/>
      <c r="O268" s="1"/>
      <c r="P268" s="1"/>
    </row>
    <row r="269" spans="1:16" ht="14.25" thickBot="1" x14ac:dyDescent="0.2">
      <c r="A269" s="2"/>
      <c r="B269" s="50" t="s">
        <v>115</v>
      </c>
      <c r="C269" s="50" t="s">
        <v>116</v>
      </c>
      <c r="D269" s="2" t="s">
        <v>0</v>
      </c>
      <c r="G269" s="2"/>
      <c r="H269" s="50" t="s">
        <v>115</v>
      </c>
      <c r="I269" s="50" t="s">
        <v>116</v>
      </c>
      <c r="J269" s="2" t="s">
        <v>0</v>
      </c>
      <c r="M269" s="2"/>
      <c r="N269" s="50" t="s">
        <v>115</v>
      </c>
      <c r="O269" s="50" t="s">
        <v>116</v>
      </c>
      <c r="P269" s="2" t="s">
        <v>0</v>
      </c>
    </row>
    <row r="270" spans="1:16" x14ac:dyDescent="0.15">
      <c r="A270" s="32" t="s">
        <v>4</v>
      </c>
      <c r="B270" s="48">
        <f>B264</f>
        <v>27</v>
      </c>
      <c r="C270" s="76">
        <f>C264</f>
        <v>0</v>
      </c>
      <c r="D270" s="47">
        <f>SUM(B270+C270)</f>
        <v>27</v>
      </c>
      <c r="G270" s="13" t="s">
        <v>6</v>
      </c>
      <c r="H270" s="48">
        <f>H264</f>
        <v>580</v>
      </c>
      <c r="I270" s="80">
        <f>I264</f>
        <v>0</v>
      </c>
      <c r="J270" s="47">
        <f>SUM(H270+I270)</f>
        <v>580</v>
      </c>
      <c r="K270" s="19"/>
      <c r="M270" s="13" t="s">
        <v>6</v>
      </c>
      <c r="N270" s="48">
        <f>N264</f>
        <v>0</v>
      </c>
      <c r="O270" s="80">
        <f>O264</f>
        <v>0</v>
      </c>
      <c r="P270" s="47">
        <f>SUM(N270+O270)</f>
        <v>0</v>
      </c>
    </row>
    <row r="271" spans="1:16" x14ac:dyDescent="0.15">
      <c r="A271" s="3" t="s">
        <v>1</v>
      </c>
      <c r="B271" s="73">
        <v>25</v>
      </c>
      <c r="C271" s="71"/>
      <c r="D271" s="7">
        <f>SUM(B271+C271)</f>
        <v>25</v>
      </c>
      <c r="E271" s="57">
        <v>44352</v>
      </c>
      <c r="G271" s="4" t="s">
        <v>1</v>
      </c>
      <c r="H271" s="74"/>
      <c r="I271" s="78"/>
      <c r="J271" s="21">
        <f>SUM(H271+I271)</f>
        <v>0</v>
      </c>
      <c r="K271" s="57"/>
      <c r="M271" s="4" t="s">
        <v>1</v>
      </c>
      <c r="N271" s="74"/>
      <c r="O271" s="78"/>
      <c r="P271" s="21">
        <f>SUM(N271+O271)</f>
        <v>0</v>
      </c>
    </row>
    <row r="272" spans="1:16" x14ac:dyDescent="0.15">
      <c r="A272" s="3" t="s">
        <v>1</v>
      </c>
      <c r="B272" s="79">
        <v>20</v>
      </c>
      <c r="C272" s="1"/>
      <c r="D272" s="7">
        <f t="shared" ref="D272:D274" si="63">SUM(B272+C272)</f>
        <v>20</v>
      </c>
      <c r="E272" s="57">
        <v>44362</v>
      </c>
      <c r="G272" s="4" t="s">
        <v>1</v>
      </c>
      <c r="H272" s="74"/>
      <c r="I272" s="78"/>
      <c r="J272" s="21">
        <f t="shared" ref="J272:J275" si="64">SUM(H272+I272)</f>
        <v>0</v>
      </c>
      <c r="K272" s="57"/>
      <c r="M272" s="4" t="s">
        <v>1</v>
      </c>
      <c r="N272" s="74"/>
      <c r="O272" s="78"/>
      <c r="P272" s="21">
        <f t="shared" ref="P272:P275" si="65">SUM(N272+O272)</f>
        <v>0</v>
      </c>
    </row>
    <row r="273" spans="1:17" x14ac:dyDescent="0.15">
      <c r="A273" s="3" t="s">
        <v>1</v>
      </c>
      <c r="B273" s="74">
        <v>20</v>
      </c>
      <c r="C273" s="78"/>
      <c r="D273" s="7">
        <f t="shared" si="63"/>
        <v>20</v>
      </c>
      <c r="E273" s="57">
        <v>44366</v>
      </c>
      <c r="G273" s="4" t="s">
        <v>1</v>
      </c>
      <c r="H273" s="74"/>
      <c r="I273" s="78"/>
      <c r="J273" s="21">
        <f t="shared" si="64"/>
        <v>0</v>
      </c>
      <c r="K273" s="19"/>
      <c r="M273" s="4" t="s">
        <v>1</v>
      </c>
      <c r="N273" s="74"/>
      <c r="O273" s="78"/>
      <c r="P273" s="21">
        <f t="shared" si="65"/>
        <v>0</v>
      </c>
    </row>
    <row r="274" spans="1:17" x14ac:dyDescent="0.15">
      <c r="A274" s="3" t="s">
        <v>1</v>
      </c>
      <c r="B274" s="74">
        <v>30</v>
      </c>
      <c r="C274" s="78"/>
      <c r="D274" s="21">
        <f t="shared" si="63"/>
        <v>30</v>
      </c>
      <c r="E274" s="57">
        <v>44375</v>
      </c>
      <c r="G274" s="3" t="s">
        <v>1</v>
      </c>
      <c r="H274" s="74"/>
      <c r="I274" s="78"/>
      <c r="J274" s="7">
        <f t="shared" si="64"/>
        <v>0</v>
      </c>
      <c r="K274" s="19"/>
      <c r="M274" s="3" t="s">
        <v>1</v>
      </c>
      <c r="N274" s="74"/>
      <c r="O274" s="78"/>
      <c r="P274" s="7">
        <f t="shared" si="65"/>
        <v>0</v>
      </c>
    </row>
    <row r="275" spans="1:17" ht="14.25" thickBot="1" x14ac:dyDescent="0.2">
      <c r="A275" s="4" t="s">
        <v>1</v>
      </c>
      <c r="B275" s="74">
        <v>10</v>
      </c>
      <c r="C275" s="78"/>
      <c r="D275" s="21">
        <f t="shared" ref="D275" si="66">SUM(B275+C275)</f>
        <v>10</v>
      </c>
      <c r="E275" s="57">
        <v>44380</v>
      </c>
      <c r="G275" s="4" t="s">
        <v>1</v>
      </c>
      <c r="H275" s="75"/>
      <c r="I275" s="17"/>
      <c r="J275" s="22">
        <f t="shared" si="64"/>
        <v>0</v>
      </c>
      <c r="M275" s="4" t="s">
        <v>1</v>
      </c>
      <c r="N275" s="75"/>
      <c r="O275" s="17"/>
      <c r="P275" s="22">
        <f t="shared" si="65"/>
        <v>0</v>
      </c>
    </row>
    <row r="276" spans="1:17" ht="14.25" thickBot="1" x14ac:dyDescent="0.2">
      <c r="A276" s="14" t="s">
        <v>2</v>
      </c>
      <c r="B276" s="16">
        <f>SUM(B270:B275)</f>
        <v>132</v>
      </c>
      <c r="C276" s="83">
        <f>SUM(C270:C275)</f>
        <v>0</v>
      </c>
      <c r="D276" s="84">
        <f>SUM(B276+C276)</f>
        <v>132</v>
      </c>
      <c r="G276" s="14" t="s">
        <v>2</v>
      </c>
      <c r="H276" s="15">
        <f>SUM(H270:H275)</f>
        <v>580</v>
      </c>
      <c r="I276" s="65">
        <f>SUM(I270:I275)</f>
        <v>0</v>
      </c>
      <c r="J276" s="18">
        <f>SUM(H276+I276)</f>
        <v>580</v>
      </c>
      <c r="M276" s="14" t="s">
        <v>2</v>
      </c>
      <c r="N276" s="15">
        <f>SUM(N270:N275)</f>
        <v>0</v>
      </c>
      <c r="O276" s="65">
        <f>SUM(O270:O275)</f>
        <v>0</v>
      </c>
      <c r="P276" s="18">
        <f>SUM(N276+O276)</f>
        <v>0</v>
      </c>
    </row>
    <row r="277" spans="1:17" x14ac:dyDescent="0.15">
      <c r="A277" s="29" t="s">
        <v>112</v>
      </c>
      <c r="B277" s="6">
        <v>6</v>
      </c>
      <c r="C277" s="27"/>
      <c r="D277" s="7">
        <f>SUM(B277+C277)</f>
        <v>6</v>
      </c>
      <c r="E277" s="57">
        <v>44348</v>
      </c>
      <c r="F277" s="19"/>
      <c r="G277" s="43" t="s">
        <v>147</v>
      </c>
      <c r="H277" s="6">
        <v>30</v>
      </c>
      <c r="I277" s="27"/>
      <c r="J277" s="7">
        <f t="shared" ref="J277" si="67">SUM(H277+I277)</f>
        <v>30</v>
      </c>
      <c r="K277" s="57">
        <v>44348</v>
      </c>
      <c r="L277" s="19"/>
      <c r="M277" s="5"/>
      <c r="N277" s="6"/>
      <c r="O277" s="27"/>
      <c r="P277" s="7">
        <f>SUM(N277+O277)</f>
        <v>0</v>
      </c>
      <c r="Q277" s="19"/>
    </row>
    <row r="278" spans="1:17" x14ac:dyDescent="0.15">
      <c r="A278" s="29" t="s">
        <v>112</v>
      </c>
      <c r="B278" s="6">
        <f>2+2+1</f>
        <v>5</v>
      </c>
      <c r="C278" s="27"/>
      <c r="D278" s="7">
        <f>SUM(B278+C278)</f>
        <v>5</v>
      </c>
      <c r="E278" s="57">
        <v>44350</v>
      </c>
      <c r="F278" s="19"/>
      <c r="G278" s="43" t="s">
        <v>148</v>
      </c>
      <c r="H278" s="6">
        <v>60</v>
      </c>
      <c r="I278" s="27"/>
      <c r="J278" s="7">
        <f>SUM(H278+I278)</f>
        <v>60</v>
      </c>
      <c r="K278" s="57">
        <v>44355</v>
      </c>
      <c r="L278" s="19"/>
      <c r="M278" s="5"/>
      <c r="N278" s="6"/>
      <c r="O278" s="27"/>
      <c r="P278" s="7">
        <f>SUM(N278+O278)</f>
        <v>0</v>
      </c>
      <c r="Q278" s="19"/>
    </row>
    <row r="279" spans="1:17" x14ac:dyDescent="0.15">
      <c r="A279" s="29" t="s">
        <v>112</v>
      </c>
      <c r="B279" s="6">
        <f>2+6+2</f>
        <v>10</v>
      </c>
      <c r="C279" s="27"/>
      <c r="D279" s="7">
        <f t="shared" ref="D279:D300" si="68">SUM(B279+C279)</f>
        <v>10</v>
      </c>
      <c r="E279" s="57">
        <v>44352</v>
      </c>
      <c r="F279" s="19"/>
      <c r="G279" s="43" t="s">
        <v>149</v>
      </c>
      <c r="H279" s="6">
        <v>120</v>
      </c>
      <c r="I279" s="27"/>
      <c r="J279" s="7">
        <f t="shared" ref="J279:J300" si="69">SUM(H279+I279)</f>
        <v>120</v>
      </c>
      <c r="K279" s="57">
        <v>44355</v>
      </c>
      <c r="L279" s="19"/>
      <c r="M279" s="5"/>
      <c r="N279" s="6"/>
      <c r="O279" s="27"/>
      <c r="P279" s="7">
        <f t="shared" ref="P279:P300" si="70">SUM(N279+O279)</f>
        <v>0</v>
      </c>
      <c r="Q279" s="19"/>
    </row>
    <row r="280" spans="1:17" x14ac:dyDescent="0.15">
      <c r="A280" s="29" t="s">
        <v>112</v>
      </c>
      <c r="B280" s="6">
        <f>1+1</f>
        <v>2</v>
      </c>
      <c r="C280" s="27"/>
      <c r="D280" s="7">
        <f t="shared" si="68"/>
        <v>2</v>
      </c>
      <c r="E280" s="57">
        <v>44354</v>
      </c>
      <c r="F280" s="19"/>
      <c r="G280" s="43" t="s">
        <v>150</v>
      </c>
      <c r="H280" s="6">
        <v>25</v>
      </c>
      <c r="I280" s="27"/>
      <c r="J280" s="7">
        <f t="shared" si="69"/>
        <v>25</v>
      </c>
      <c r="K280" s="57">
        <v>44352</v>
      </c>
      <c r="L280" s="19"/>
      <c r="M280" s="5"/>
      <c r="N280" s="6"/>
      <c r="O280" s="27"/>
      <c r="P280" s="7">
        <f t="shared" si="70"/>
        <v>0</v>
      </c>
      <c r="Q280" s="19"/>
    </row>
    <row r="281" spans="1:17" x14ac:dyDescent="0.15">
      <c r="A281" s="29" t="s">
        <v>112</v>
      </c>
      <c r="B281" s="6">
        <f>2+1+2</f>
        <v>5</v>
      </c>
      <c r="C281" s="27"/>
      <c r="D281" s="7">
        <f t="shared" si="68"/>
        <v>5</v>
      </c>
      <c r="E281" s="57">
        <v>44356</v>
      </c>
      <c r="F281" s="19"/>
      <c r="G281" s="43" t="s">
        <v>21</v>
      </c>
      <c r="H281" s="6">
        <v>20</v>
      </c>
      <c r="I281" s="27"/>
      <c r="J281" s="7">
        <f t="shared" ref="J281:J286" si="71">SUM(H281+I281)</f>
        <v>20</v>
      </c>
      <c r="K281" s="57">
        <v>44362</v>
      </c>
      <c r="L281" s="19"/>
      <c r="M281" s="5"/>
      <c r="N281" s="6"/>
      <c r="O281" s="27"/>
      <c r="P281" s="7">
        <f t="shared" si="70"/>
        <v>0</v>
      </c>
      <c r="Q281" s="19"/>
    </row>
    <row r="282" spans="1:17" x14ac:dyDescent="0.15">
      <c r="A282" s="29" t="s">
        <v>112</v>
      </c>
      <c r="B282" s="6">
        <f>4+1</f>
        <v>5</v>
      </c>
      <c r="C282" s="27"/>
      <c r="D282" s="7">
        <f t="shared" si="68"/>
        <v>5</v>
      </c>
      <c r="E282" s="57">
        <v>44357</v>
      </c>
      <c r="F282" s="19"/>
      <c r="G282" s="43" t="s">
        <v>21</v>
      </c>
      <c r="H282" s="6">
        <v>20</v>
      </c>
      <c r="I282" s="27"/>
      <c r="J282" s="7">
        <f t="shared" si="71"/>
        <v>20</v>
      </c>
      <c r="K282" s="57">
        <v>44366</v>
      </c>
      <c r="L282" s="19"/>
      <c r="M282" s="8"/>
      <c r="N282" s="6"/>
      <c r="O282" s="27"/>
      <c r="P282" s="7">
        <f t="shared" si="70"/>
        <v>0</v>
      </c>
      <c r="Q282" s="19"/>
    </row>
    <row r="283" spans="1:17" x14ac:dyDescent="0.15">
      <c r="A283" s="29" t="s">
        <v>112</v>
      </c>
      <c r="B283" s="6">
        <f>1+1+2+2</f>
        <v>6</v>
      </c>
      <c r="C283" s="27"/>
      <c r="D283" s="7">
        <f t="shared" si="68"/>
        <v>6</v>
      </c>
      <c r="E283" s="57">
        <v>44358</v>
      </c>
      <c r="F283" s="19"/>
      <c r="G283" s="43" t="s">
        <v>151</v>
      </c>
      <c r="H283" s="6">
        <v>60</v>
      </c>
      <c r="I283" s="27"/>
      <c r="J283" s="7">
        <f t="shared" si="71"/>
        <v>60</v>
      </c>
      <c r="K283" s="57">
        <v>44372</v>
      </c>
      <c r="L283" s="19"/>
      <c r="M283" s="5"/>
      <c r="N283" s="6"/>
      <c r="O283" s="27"/>
      <c r="P283" s="7">
        <f t="shared" si="70"/>
        <v>0</v>
      </c>
      <c r="Q283" s="19"/>
    </row>
    <row r="284" spans="1:17" x14ac:dyDescent="0.15">
      <c r="A284" s="29" t="s">
        <v>112</v>
      </c>
      <c r="B284" s="6">
        <f>3+6</f>
        <v>9</v>
      </c>
      <c r="C284" s="27"/>
      <c r="D284" s="7">
        <f t="shared" si="68"/>
        <v>9</v>
      </c>
      <c r="E284" s="57">
        <v>44361</v>
      </c>
      <c r="F284" s="19"/>
      <c r="G284" s="43" t="s">
        <v>152</v>
      </c>
      <c r="H284" s="6">
        <v>60</v>
      </c>
      <c r="I284" s="27"/>
      <c r="J284" s="7">
        <f t="shared" si="71"/>
        <v>60</v>
      </c>
      <c r="K284" s="57">
        <v>44372</v>
      </c>
      <c r="L284" s="19"/>
      <c r="M284" s="5"/>
      <c r="N284" s="6"/>
      <c r="O284" s="27"/>
      <c r="P284" s="7">
        <f t="shared" si="70"/>
        <v>0</v>
      </c>
      <c r="Q284" s="19"/>
    </row>
    <row r="285" spans="1:17" x14ac:dyDescent="0.15">
      <c r="A285" s="29" t="s">
        <v>112</v>
      </c>
      <c r="B285" s="6">
        <v>1</v>
      </c>
      <c r="C285" s="27"/>
      <c r="D285" s="7">
        <f t="shared" si="68"/>
        <v>1</v>
      </c>
      <c r="E285" s="57">
        <v>44362</v>
      </c>
      <c r="F285" s="19"/>
      <c r="G285" s="43" t="s">
        <v>21</v>
      </c>
      <c r="H285" s="6">
        <v>30</v>
      </c>
      <c r="I285" s="27"/>
      <c r="J285" s="7">
        <f t="shared" si="71"/>
        <v>30</v>
      </c>
      <c r="K285" s="57">
        <v>44375</v>
      </c>
      <c r="L285" s="19"/>
      <c r="M285" s="8"/>
      <c r="N285" s="6"/>
      <c r="O285" s="27"/>
      <c r="P285" s="7">
        <f t="shared" si="70"/>
        <v>0</v>
      </c>
      <c r="Q285" s="19"/>
    </row>
    <row r="286" spans="1:17" x14ac:dyDescent="0.15">
      <c r="A286" s="29" t="s">
        <v>112</v>
      </c>
      <c r="B286" s="6">
        <v>1</v>
      </c>
      <c r="C286" s="27"/>
      <c r="D286" s="7">
        <f t="shared" si="68"/>
        <v>1</v>
      </c>
      <c r="E286" s="57">
        <v>44363</v>
      </c>
      <c r="F286" s="19"/>
      <c r="G286" s="43" t="s">
        <v>153</v>
      </c>
      <c r="H286" s="6">
        <v>60</v>
      </c>
      <c r="I286" s="27"/>
      <c r="J286" s="7">
        <f t="shared" si="71"/>
        <v>60</v>
      </c>
      <c r="K286" s="57">
        <v>44383</v>
      </c>
      <c r="L286" s="19"/>
      <c r="M286" s="8"/>
      <c r="N286" s="6"/>
      <c r="O286" s="27"/>
      <c r="P286" s="7">
        <f t="shared" si="70"/>
        <v>0</v>
      </c>
      <c r="Q286" s="19"/>
    </row>
    <row r="287" spans="1:17" x14ac:dyDescent="0.15">
      <c r="A287" s="29" t="s">
        <v>112</v>
      </c>
      <c r="B287" s="6">
        <f>2+1</f>
        <v>3</v>
      </c>
      <c r="C287" s="27"/>
      <c r="D287" s="7">
        <f t="shared" si="68"/>
        <v>3</v>
      </c>
      <c r="E287" s="57">
        <v>44365</v>
      </c>
      <c r="F287" s="19"/>
      <c r="G287" s="43" t="s">
        <v>21</v>
      </c>
      <c r="H287" s="6">
        <v>10</v>
      </c>
      <c r="I287" s="27"/>
      <c r="J287" s="7">
        <f t="shared" si="69"/>
        <v>10</v>
      </c>
      <c r="K287" s="57">
        <v>44380</v>
      </c>
      <c r="L287" s="19"/>
      <c r="M287" s="5"/>
      <c r="N287" s="6"/>
      <c r="O287" s="27"/>
      <c r="P287" s="7">
        <f t="shared" si="70"/>
        <v>0</v>
      </c>
      <c r="Q287" s="19"/>
    </row>
    <row r="288" spans="1:17" x14ac:dyDescent="0.15">
      <c r="A288" s="29" t="s">
        <v>112</v>
      </c>
      <c r="B288" s="6">
        <v>1</v>
      </c>
      <c r="C288" s="27"/>
      <c r="D288" s="7">
        <f t="shared" si="68"/>
        <v>1</v>
      </c>
      <c r="E288" s="57">
        <v>44366</v>
      </c>
      <c r="F288" s="19"/>
      <c r="G288" s="43" t="s">
        <v>154</v>
      </c>
      <c r="H288" s="6">
        <v>30</v>
      </c>
      <c r="I288" s="27"/>
      <c r="J288" s="7">
        <f t="shared" si="69"/>
        <v>30</v>
      </c>
      <c r="K288" s="57">
        <v>44386</v>
      </c>
      <c r="L288" s="19"/>
      <c r="M288" s="5"/>
      <c r="N288" s="6"/>
      <c r="O288" s="27"/>
      <c r="P288" s="7">
        <f t="shared" si="70"/>
        <v>0</v>
      </c>
      <c r="Q288" s="19"/>
    </row>
    <row r="289" spans="1:17" x14ac:dyDescent="0.15">
      <c r="A289" s="29" t="s">
        <v>112</v>
      </c>
      <c r="B289" s="6">
        <f>6+4</f>
        <v>10</v>
      </c>
      <c r="C289" s="27"/>
      <c r="D289" s="7">
        <f t="shared" si="68"/>
        <v>10</v>
      </c>
      <c r="E289" s="57">
        <v>44368</v>
      </c>
      <c r="F289" s="19"/>
      <c r="G289" s="43" t="s">
        <v>155</v>
      </c>
      <c r="H289" s="6">
        <v>30</v>
      </c>
      <c r="I289" s="27"/>
      <c r="J289" s="7">
        <f t="shared" si="69"/>
        <v>30</v>
      </c>
      <c r="K289" s="57">
        <v>44386</v>
      </c>
      <c r="L289" s="19"/>
      <c r="M289" s="8"/>
      <c r="N289" s="6"/>
      <c r="O289" s="27"/>
      <c r="P289" s="7">
        <f t="shared" si="70"/>
        <v>0</v>
      </c>
      <c r="Q289" s="19"/>
    </row>
    <row r="290" spans="1:17" x14ac:dyDescent="0.15">
      <c r="A290" s="29" t="s">
        <v>112</v>
      </c>
      <c r="B290" s="6">
        <v>1</v>
      </c>
      <c r="C290" s="27"/>
      <c r="D290" s="7">
        <f t="shared" si="68"/>
        <v>1</v>
      </c>
      <c r="E290" s="57">
        <v>44369</v>
      </c>
      <c r="F290" s="19"/>
      <c r="G290" s="5"/>
      <c r="H290" s="6"/>
      <c r="I290" s="27"/>
      <c r="J290" s="7">
        <f t="shared" si="69"/>
        <v>0</v>
      </c>
      <c r="K290" s="19"/>
      <c r="L290" s="19"/>
      <c r="M290" s="5"/>
      <c r="N290" s="6"/>
      <c r="O290" s="27"/>
      <c r="P290" s="7">
        <f t="shared" si="70"/>
        <v>0</v>
      </c>
      <c r="Q290" s="19"/>
    </row>
    <row r="291" spans="1:17" x14ac:dyDescent="0.15">
      <c r="A291" s="29" t="s">
        <v>112</v>
      </c>
      <c r="B291" s="6">
        <f>4+1</f>
        <v>5</v>
      </c>
      <c r="C291" s="27"/>
      <c r="D291" s="7">
        <f t="shared" si="68"/>
        <v>5</v>
      </c>
      <c r="E291" s="57">
        <v>44370</v>
      </c>
      <c r="F291" s="19"/>
      <c r="G291" s="8"/>
      <c r="H291" s="6"/>
      <c r="I291" s="27"/>
      <c r="J291" s="7">
        <f t="shared" si="69"/>
        <v>0</v>
      </c>
      <c r="K291" s="19"/>
      <c r="L291" s="19"/>
      <c r="M291" s="8"/>
      <c r="N291" s="6"/>
      <c r="O291" s="27"/>
      <c r="P291" s="7">
        <f t="shared" si="70"/>
        <v>0</v>
      </c>
      <c r="Q291" s="19"/>
    </row>
    <row r="292" spans="1:17" x14ac:dyDescent="0.15">
      <c r="A292" s="29" t="s">
        <v>112</v>
      </c>
      <c r="B292" s="6">
        <f>2+3</f>
        <v>5</v>
      </c>
      <c r="C292" s="27"/>
      <c r="D292" s="7">
        <f t="shared" si="68"/>
        <v>5</v>
      </c>
      <c r="E292" s="57">
        <v>44371</v>
      </c>
      <c r="F292" s="19"/>
      <c r="G292" s="8"/>
      <c r="H292" s="6"/>
      <c r="I292" s="27"/>
      <c r="J292" s="7">
        <f t="shared" si="69"/>
        <v>0</v>
      </c>
      <c r="K292" s="19"/>
      <c r="L292" s="19"/>
      <c r="M292" s="8"/>
      <c r="N292" s="6"/>
      <c r="O292" s="27"/>
      <c r="P292" s="7">
        <f t="shared" si="70"/>
        <v>0</v>
      </c>
      <c r="Q292" s="19"/>
    </row>
    <row r="293" spans="1:17" x14ac:dyDescent="0.15">
      <c r="A293" s="29" t="s">
        <v>112</v>
      </c>
      <c r="B293" s="6">
        <f>1+2</f>
        <v>3</v>
      </c>
      <c r="C293" s="27"/>
      <c r="D293" s="7">
        <f t="shared" si="68"/>
        <v>3</v>
      </c>
      <c r="E293" s="57">
        <v>44372</v>
      </c>
      <c r="F293" s="19"/>
      <c r="G293" s="5"/>
      <c r="H293" s="6"/>
      <c r="I293" s="27"/>
      <c r="J293" s="7">
        <f t="shared" si="69"/>
        <v>0</v>
      </c>
      <c r="K293" s="19"/>
      <c r="L293" s="19"/>
      <c r="M293" s="5"/>
      <c r="N293" s="6"/>
      <c r="O293" s="27"/>
      <c r="P293" s="7">
        <f t="shared" si="70"/>
        <v>0</v>
      </c>
      <c r="Q293" s="19"/>
    </row>
    <row r="294" spans="1:17" x14ac:dyDescent="0.15">
      <c r="A294" s="29" t="s">
        <v>112</v>
      </c>
      <c r="B294" s="6">
        <f>2+2+6</f>
        <v>10</v>
      </c>
      <c r="C294" s="27"/>
      <c r="D294" s="7">
        <f t="shared" si="68"/>
        <v>10</v>
      </c>
      <c r="E294" s="57">
        <v>44375</v>
      </c>
      <c r="F294" s="19"/>
      <c r="G294" s="5"/>
      <c r="H294" s="6"/>
      <c r="I294" s="27"/>
      <c r="J294" s="7">
        <f t="shared" si="69"/>
        <v>0</v>
      </c>
      <c r="K294" s="19"/>
      <c r="L294" s="19"/>
      <c r="M294" s="5"/>
      <c r="N294" s="6"/>
      <c r="O294" s="27"/>
      <c r="P294" s="7">
        <f t="shared" si="70"/>
        <v>0</v>
      </c>
      <c r="Q294" s="19"/>
    </row>
    <row r="295" spans="1:17" x14ac:dyDescent="0.15">
      <c r="A295" s="29" t="s">
        <v>112</v>
      </c>
      <c r="B295" s="6">
        <v>2</v>
      </c>
      <c r="C295" s="27"/>
      <c r="D295" s="7">
        <f t="shared" si="68"/>
        <v>2</v>
      </c>
      <c r="E295" s="57">
        <v>44376</v>
      </c>
      <c r="F295" s="19"/>
      <c r="G295" s="43"/>
      <c r="H295" s="6"/>
      <c r="I295" s="27"/>
      <c r="J295" s="35">
        <f t="shared" si="69"/>
        <v>0</v>
      </c>
      <c r="K295" s="19"/>
      <c r="L295" s="19"/>
      <c r="M295" s="5"/>
      <c r="N295" s="6"/>
      <c r="O295" s="27"/>
      <c r="P295" s="7">
        <f t="shared" si="70"/>
        <v>0</v>
      </c>
      <c r="Q295" s="19"/>
    </row>
    <row r="296" spans="1:17" x14ac:dyDescent="0.15">
      <c r="A296" s="29" t="s">
        <v>112</v>
      </c>
      <c r="B296" s="6">
        <f>3+2</f>
        <v>5</v>
      </c>
      <c r="C296" s="27"/>
      <c r="D296" s="7">
        <f t="shared" si="68"/>
        <v>5</v>
      </c>
      <c r="E296" s="57">
        <v>44378</v>
      </c>
      <c r="F296" s="19"/>
      <c r="G296" s="43"/>
      <c r="H296" s="6"/>
      <c r="I296" s="27"/>
      <c r="J296" s="35">
        <f t="shared" si="69"/>
        <v>0</v>
      </c>
      <c r="K296" s="19"/>
      <c r="L296" s="19"/>
      <c r="M296" s="8"/>
      <c r="N296" s="6"/>
      <c r="O296" s="27"/>
      <c r="P296" s="7">
        <f t="shared" si="70"/>
        <v>0</v>
      </c>
      <c r="Q296" s="19"/>
    </row>
    <row r="297" spans="1:17" x14ac:dyDescent="0.15">
      <c r="A297" s="29" t="s">
        <v>112</v>
      </c>
      <c r="B297" s="6">
        <v>2</v>
      </c>
      <c r="C297" s="27"/>
      <c r="D297" s="7">
        <f t="shared" si="68"/>
        <v>2</v>
      </c>
      <c r="E297" s="57">
        <v>44379</v>
      </c>
      <c r="F297" s="19"/>
      <c r="G297" s="43"/>
      <c r="H297" s="6"/>
      <c r="I297" s="27"/>
      <c r="J297" s="35">
        <f t="shared" si="69"/>
        <v>0</v>
      </c>
      <c r="K297" s="57"/>
      <c r="L297" s="19"/>
      <c r="M297" s="8"/>
      <c r="N297" s="6"/>
      <c r="O297" s="27"/>
      <c r="P297" s="7">
        <f t="shared" si="70"/>
        <v>0</v>
      </c>
      <c r="Q297" s="19"/>
    </row>
    <row r="298" spans="1:17" x14ac:dyDescent="0.15">
      <c r="A298" s="29" t="s">
        <v>112</v>
      </c>
      <c r="B298" s="6">
        <v>1</v>
      </c>
      <c r="C298" s="27"/>
      <c r="D298" s="7">
        <f t="shared" si="68"/>
        <v>1</v>
      </c>
      <c r="E298" s="57">
        <v>44380</v>
      </c>
      <c r="F298" s="19"/>
      <c r="G298" s="43"/>
      <c r="H298" s="6"/>
      <c r="I298" s="27"/>
      <c r="J298" s="35">
        <f t="shared" si="69"/>
        <v>0</v>
      </c>
      <c r="K298" s="19"/>
      <c r="L298" s="19"/>
      <c r="M298" s="5"/>
      <c r="N298" s="6"/>
      <c r="O298" s="27"/>
      <c r="P298" s="7">
        <f t="shared" si="70"/>
        <v>0</v>
      </c>
      <c r="Q298" s="19"/>
    </row>
    <row r="299" spans="1:17" x14ac:dyDescent="0.15">
      <c r="A299" s="29" t="s">
        <v>112</v>
      </c>
      <c r="B299" s="6"/>
      <c r="C299" s="27"/>
      <c r="D299" s="7">
        <f t="shared" si="68"/>
        <v>0</v>
      </c>
      <c r="E299" s="57">
        <v>44382</v>
      </c>
      <c r="F299" s="19"/>
      <c r="G299" s="8"/>
      <c r="H299" s="6"/>
      <c r="I299" s="27"/>
      <c r="J299" s="35">
        <f t="shared" si="69"/>
        <v>0</v>
      </c>
      <c r="K299" s="19"/>
      <c r="L299" s="19"/>
      <c r="M299" s="8"/>
      <c r="N299" s="6"/>
      <c r="O299" s="27"/>
      <c r="P299" s="7">
        <f t="shared" si="70"/>
        <v>0</v>
      </c>
      <c r="Q299" s="19"/>
    </row>
    <row r="300" spans="1:17" ht="14.25" thickBot="1" x14ac:dyDescent="0.2">
      <c r="A300" s="29" t="s">
        <v>112</v>
      </c>
      <c r="B300" s="6">
        <v>2</v>
      </c>
      <c r="C300" s="27"/>
      <c r="D300" s="7">
        <f t="shared" si="68"/>
        <v>2</v>
      </c>
      <c r="E300" s="57">
        <v>44384</v>
      </c>
      <c r="F300" s="19"/>
      <c r="G300" s="23"/>
      <c r="H300" s="6"/>
      <c r="I300" s="27"/>
      <c r="J300" s="7">
        <f t="shared" si="69"/>
        <v>0</v>
      </c>
      <c r="K300" s="57"/>
      <c r="L300" s="19"/>
      <c r="M300" s="23"/>
      <c r="N300" s="6"/>
      <c r="O300" s="27"/>
      <c r="P300" s="7">
        <f t="shared" si="70"/>
        <v>0</v>
      </c>
      <c r="Q300" s="19"/>
    </row>
    <row r="301" spans="1:17" ht="14.25" thickBot="1" x14ac:dyDescent="0.2">
      <c r="A301" s="9" t="s">
        <v>3</v>
      </c>
      <c r="B301" s="10">
        <f>SUM(B277:B300)</f>
        <v>100</v>
      </c>
      <c r="C301" s="66">
        <f>SUM(C277:C300)</f>
        <v>0</v>
      </c>
      <c r="D301" s="11">
        <f>SUM(D277:D300)</f>
        <v>100</v>
      </c>
      <c r="G301" s="9" t="s">
        <v>3</v>
      </c>
      <c r="H301" s="10">
        <f>SUM(H277:H300)</f>
        <v>555</v>
      </c>
      <c r="I301" s="66">
        <f>SUM(I277:I300)</f>
        <v>0</v>
      </c>
      <c r="J301" s="11">
        <f>SUM(J277:J300)</f>
        <v>555</v>
      </c>
      <c r="M301" s="9" t="s">
        <v>3</v>
      </c>
      <c r="N301" s="10">
        <f>SUM(N277:N300)</f>
        <v>0</v>
      </c>
      <c r="O301" s="66">
        <f>SUM(O277:O300)</f>
        <v>0</v>
      </c>
      <c r="P301" s="11">
        <f>SUM(P277:P300)</f>
        <v>0</v>
      </c>
    </row>
    <row r="302" spans="1:17" ht="14.25" thickBot="1" x14ac:dyDescent="0.2">
      <c r="A302" s="14" t="s">
        <v>4</v>
      </c>
      <c r="B302" s="16">
        <f>B276-B301</f>
        <v>32</v>
      </c>
      <c r="C302" s="16">
        <f>C276-C301</f>
        <v>0</v>
      </c>
      <c r="D302" s="16">
        <f>D276-D301</f>
        <v>32</v>
      </c>
      <c r="G302" s="14" t="s">
        <v>4</v>
      </c>
      <c r="H302" s="16">
        <f>H276-H301</f>
        <v>25</v>
      </c>
      <c r="I302" s="16">
        <f>I276-I301</f>
        <v>0</v>
      </c>
      <c r="J302" s="84">
        <f>J276-J301</f>
        <v>25</v>
      </c>
      <c r="M302" s="14" t="s">
        <v>4</v>
      </c>
      <c r="N302" s="16">
        <f>N276-N301</f>
        <v>0</v>
      </c>
      <c r="O302" s="16">
        <f>O276-O301</f>
        <v>0</v>
      </c>
      <c r="P302" s="16">
        <f>P276-P301</f>
        <v>0</v>
      </c>
    </row>
    <row r="305" spans="1:17" ht="24" x14ac:dyDescent="0.25">
      <c r="A305" s="25" t="s">
        <v>7</v>
      </c>
      <c r="B305" s="1"/>
      <c r="C305" s="1"/>
      <c r="D305" s="1"/>
      <c r="G305" s="25" t="s">
        <v>8</v>
      </c>
      <c r="H305" s="1"/>
      <c r="I305" s="1"/>
      <c r="J305" s="1"/>
      <c r="M305" s="25" t="s">
        <v>9</v>
      </c>
      <c r="N305" s="1"/>
      <c r="O305" s="1"/>
      <c r="P305" s="1"/>
    </row>
    <row r="306" spans="1:17" ht="14.25" thickBot="1" x14ac:dyDescent="0.2">
      <c r="A306" s="1"/>
      <c r="B306" s="1"/>
      <c r="C306" s="1"/>
      <c r="D306" s="1"/>
      <c r="G306" s="1"/>
      <c r="H306" s="1"/>
      <c r="I306" s="1"/>
      <c r="J306" s="1"/>
      <c r="M306" s="1"/>
      <c r="N306" s="1"/>
      <c r="O306" s="1"/>
      <c r="P306" s="1"/>
    </row>
    <row r="307" spans="1:17" ht="14.25" thickBot="1" x14ac:dyDescent="0.2">
      <c r="A307" s="2"/>
      <c r="B307" s="50" t="s">
        <v>115</v>
      </c>
      <c r="C307" s="50" t="s">
        <v>116</v>
      </c>
      <c r="D307" s="2" t="s">
        <v>0</v>
      </c>
      <c r="G307" s="2"/>
      <c r="H307" s="50" t="s">
        <v>115</v>
      </c>
      <c r="I307" s="50" t="s">
        <v>116</v>
      </c>
      <c r="J307" s="2" t="s">
        <v>0</v>
      </c>
      <c r="M307" s="2"/>
      <c r="N307" s="50" t="s">
        <v>115</v>
      </c>
      <c r="O307" s="50" t="s">
        <v>116</v>
      </c>
      <c r="P307" s="2" t="s">
        <v>0</v>
      </c>
    </row>
    <row r="308" spans="1:17" x14ac:dyDescent="0.15">
      <c r="A308" s="32" t="s">
        <v>4</v>
      </c>
      <c r="B308" s="48">
        <f>B302</f>
        <v>32</v>
      </c>
      <c r="C308" s="76">
        <f>C302</f>
        <v>0</v>
      </c>
      <c r="D308" s="47">
        <f>SUM(B308+C308)</f>
        <v>32</v>
      </c>
      <c r="G308" s="13" t="s">
        <v>6</v>
      </c>
      <c r="H308" s="48">
        <f>H302</f>
        <v>25</v>
      </c>
      <c r="I308" s="80">
        <f>I302</f>
        <v>0</v>
      </c>
      <c r="J308" s="47">
        <f>SUM(H308+I308)</f>
        <v>25</v>
      </c>
      <c r="K308" s="19"/>
      <c r="M308" s="13" t="s">
        <v>6</v>
      </c>
      <c r="N308" s="48">
        <f>N302</f>
        <v>0</v>
      </c>
      <c r="O308" s="80">
        <f>O302</f>
        <v>0</v>
      </c>
      <c r="P308" s="47">
        <f>SUM(N308+O308)</f>
        <v>0</v>
      </c>
    </row>
    <row r="309" spans="1:17" x14ac:dyDescent="0.15">
      <c r="A309" s="3" t="s">
        <v>1</v>
      </c>
      <c r="B309" s="73">
        <v>25</v>
      </c>
      <c r="C309" s="71"/>
      <c r="D309" s="7">
        <f>SUM(B309+C309)</f>
        <v>25</v>
      </c>
      <c r="E309" s="57">
        <v>44394</v>
      </c>
      <c r="G309" s="4" t="s">
        <v>1</v>
      </c>
      <c r="H309" s="74">
        <v>200</v>
      </c>
      <c r="I309" s="78"/>
      <c r="J309" s="21">
        <f>SUM(H309+I309)</f>
        <v>200</v>
      </c>
      <c r="K309" s="57" t="s">
        <v>161</v>
      </c>
      <c r="M309" s="4" t="s">
        <v>1</v>
      </c>
      <c r="N309" s="74"/>
      <c r="O309" s="78"/>
      <c r="P309" s="21">
        <f>SUM(N309+O309)</f>
        <v>0</v>
      </c>
    </row>
    <row r="310" spans="1:17" x14ac:dyDescent="0.15">
      <c r="A310" s="3" t="s">
        <v>1</v>
      </c>
      <c r="B310" s="24">
        <v>20</v>
      </c>
      <c r="C310" s="77"/>
      <c r="D310" s="7">
        <f t="shared" ref="D310:D313" si="72">SUM(B310+C310)</f>
        <v>20</v>
      </c>
      <c r="E310" s="57">
        <v>44419</v>
      </c>
      <c r="G310" s="4" t="s">
        <v>1</v>
      </c>
      <c r="H310" s="74">
        <v>819</v>
      </c>
      <c r="I310" s="78"/>
      <c r="J310" s="21">
        <f t="shared" ref="J310:J313" si="73">SUM(H310+I310)</f>
        <v>819</v>
      </c>
      <c r="K310" s="57" t="s">
        <v>162</v>
      </c>
      <c r="M310" s="4" t="s">
        <v>1</v>
      </c>
      <c r="N310" s="74"/>
      <c r="O310" s="78"/>
      <c r="P310" s="21">
        <f t="shared" ref="P310:P313" si="74">SUM(N310+O310)</f>
        <v>0</v>
      </c>
    </row>
    <row r="311" spans="1:17" x14ac:dyDescent="0.15">
      <c r="A311" s="3" t="s">
        <v>1</v>
      </c>
      <c r="B311" s="79"/>
      <c r="C311" s="1"/>
      <c r="D311" s="7">
        <f t="shared" si="72"/>
        <v>0</v>
      </c>
      <c r="E311" s="57"/>
      <c r="G311" s="4" t="s">
        <v>1</v>
      </c>
      <c r="H311" s="74"/>
      <c r="I311" s="78"/>
      <c r="J311" s="21">
        <f t="shared" si="73"/>
        <v>0</v>
      </c>
      <c r="K311" s="19"/>
      <c r="M311" s="4" t="s">
        <v>1</v>
      </c>
      <c r="N311" s="74"/>
      <c r="O311" s="78"/>
      <c r="P311" s="21">
        <f t="shared" si="74"/>
        <v>0</v>
      </c>
    </row>
    <row r="312" spans="1:17" x14ac:dyDescent="0.15">
      <c r="A312" s="3" t="s">
        <v>1</v>
      </c>
      <c r="B312" s="74"/>
      <c r="C312" s="78"/>
      <c r="D312" s="7">
        <f t="shared" si="72"/>
        <v>0</v>
      </c>
      <c r="E312" s="61"/>
      <c r="G312" s="3" t="s">
        <v>1</v>
      </c>
      <c r="H312" s="74"/>
      <c r="I312" s="78"/>
      <c r="J312" s="7">
        <f t="shared" si="73"/>
        <v>0</v>
      </c>
      <c r="K312" s="19"/>
      <c r="M312" s="3" t="s">
        <v>1</v>
      </c>
      <c r="N312" s="74"/>
      <c r="O312" s="78"/>
      <c r="P312" s="7">
        <f t="shared" si="74"/>
        <v>0</v>
      </c>
    </row>
    <row r="313" spans="1:17" ht="14.25" thickBot="1" x14ac:dyDescent="0.2">
      <c r="A313" s="4" t="s">
        <v>1</v>
      </c>
      <c r="B313" s="74">
        <v>-1</v>
      </c>
      <c r="C313" s="78"/>
      <c r="D313" s="21">
        <f t="shared" si="72"/>
        <v>-1</v>
      </c>
      <c r="G313" s="4" t="s">
        <v>1</v>
      </c>
      <c r="H313" s="75"/>
      <c r="I313" s="17"/>
      <c r="J313" s="22">
        <f t="shared" si="73"/>
        <v>0</v>
      </c>
      <c r="M313" s="4" t="s">
        <v>1</v>
      </c>
      <c r="N313" s="75"/>
      <c r="O313" s="17"/>
      <c r="P313" s="22">
        <f t="shared" si="74"/>
        <v>0</v>
      </c>
    </row>
    <row r="314" spans="1:17" ht="14.25" thickBot="1" x14ac:dyDescent="0.2">
      <c r="A314" s="14" t="s">
        <v>2</v>
      </c>
      <c r="B314" s="16">
        <f>SUM(B308:B313)</f>
        <v>76</v>
      </c>
      <c r="C314" s="83">
        <f>SUM(C308:C313)</f>
        <v>0</v>
      </c>
      <c r="D314" s="84">
        <f>SUM(B314+C314)</f>
        <v>76</v>
      </c>
      <c r="G314" s="14" t="s">
        <v>2</v>
      </c>
      <c r="H314" s="15">
        <f>SUM(H308:H313)</f>
        <v>1044</v>
      </c>
      <c r="I314" s="65">
        <f>SUM(I308:I313)</f>
        <v>0</v>
      </c>
      <c r="J314" s="18">
        <f>SUM(H314+I314)</f>
        <v>1044</v>
      </c>
      <c r="M314" s="14" t="s">
        <v>2</v>
      </c>
      <c r="N314" s="15">
        <f>SUM(N308:N313)</f>
        <v>0</v>
      </c>
      <c r="O314" s="65">
        <f>SUM(O308:O313)</f>
        <v>0</v>
      </c>
      <c r="P314" s="18">
        <f>SUM(N314+O314)</f>
        <v>0</v>
      </c>
    </row>
    <row r="315" spans="1:17" x14ac:dyDescent="0.15">
      <c r="A315" s="29" t="s">
        <v>112</v>
      </c>
      <c r="B315" s="6">
        <v>1</v>
      </c>
      <c r="C315" s="27"/>
      <c r="D315" s="7">
        <f>SUM(B315+C315)</f>
        <v>1</v>
      </c>
      <c r="E315" s="57">
        <v>44385</v>
      </c>
      <c r="F315" s="19"/>
      <c r="G315" s="43" t="s">
        <v>157</v>
      </c>
      <c r="H315" s="6">
        <v>25</v>
      </c>
      <c r="I315" s="27"/>
      <c r="J315" s="7">
        <f t="shared" ref="J315" si="75">SUM(H315+I315)</f>
        <v>25</v>
      </c>
      <c r="K315" s="57">
        <v>44394</v>
      </c>
      <c r="L315" s="19"/>
      <c r="M315" s="5"/>
      <c r="N315" s="6"/>
      <c r="O315" s="27"/>
      <c r="P315" s="7">
        <f>SUM(N315+O315)</f>
        <v>0</v>
      </c>
      <c r="Q315" s="19"/>
    </row>
    <row r="316" spans="1:17" x14ac:dyDescent="0.15">
      <c r="A316" s="29" t="s">
        <v>112</v>
      </c>
      <c r="B316" s="6">
        <v>2</v>
      </c>
      <c r="C316" s="27"/>
      <c r="D316" s="7">
        <f>SUM(B316+C316)</f>
        <v>2</v>
      </c>
      <c r="E316" s="57">
        <v>44386</v>
      </c>
      <c r="F316" s="19"/>
      <c r="G316" s="43" t="s">
        <v>158</v>
      </c>
      <c r="H316" s="6">
        <v>30</v>
      </c>
      <c r="I316" s="27"/>
      <c r="J316" s="7">
        <f>SUM(H316+I316)</f>
        <v>30</v>
      </c>
      <c r="K316" s="57">
        <v>44407</v>
      </c>
      <c r="L316" s="19"/>
      <c r="M316" s="5"/>
      <c r="N316" s="6"/>
      <c r="O316" s="27"/>
      <c r="P316" s="7">
        <f>SUM(N316+O316)</f>
        <v>0</v>
      </c>
      <c r="Q316" s="19"/>
    </row>
    <row r="317" spans="1:17" x14ac:dyDescent="0.15">
      <c r="A317" s="87" t="s">
        <v>156</v>
      </c>
      <c r="B317" s="6">
        <v>5</v>
      </c>
      <c r="C317" s="27"/>
      <c r="D317" s="7">
        <f t="shared" ref="D317:D338" si="76">SUM(B317+C317)</f>
        <v>5</v>
      </c>
      <c r="E317" s="57">
        <v>44390</v>
      </c>
      <c r="F317" s="19"/>
      <c r="G317" s="43" t="s">
        <v>159</v>
      </c>
      <c r="H317" s="6">
        <v>60</v>
      </c>
      <c r="I317" s="27"/>
      <c r="J317" s="7">
        <f t="shared" ref="J317:J338" si="77">SUM(H317+I317)</f>
        <v>60</v>
      </c>
      <c r="K317" s="57">
        <v>44407</v>
      </c>
      <c r="L317" s="19"/>
      <c r="M317" s="5"/>
      <c r="N317" s="6"/>
      <c r="O317" s="27"/>
      <c r="P317" s="7">
        <f t="shared" ref="P317:P338" si="78">SUM(N317+O317)</f>
        <v>0</v>
      </c>
      <c r="Q317" s="19"/>
    </row>
    <row r="318" spans="1:17" x14ac:dyDescent="0.15">
      <c r="A318" s="29" t="s">
        <v>112</v>
      </c>
      <c r="B318" s="6">
        <v>2</v>
      </c>
      <c r="C318" s="27"/>
      <c r="D318" s="7">
        <f t="shared" si="76"/>
        <v>2</v>
      </c>
      <c r="E318" s="57">
        <v>44389</v>
      </c>
      <c r="F318" s="19"/>
      <c r="G318" s="23" t="s">
        <v>163</v>
      </c>
      <c r="H318" s="6">
        <v>5</v>
      </c>
      <c r="I318" s="27"/>
      <c r="J318" s="7">
        <f t="shared" si="77"/>
        <v>5</v>
      </c>
      <c r="K318" s="57">
        <v>44411</v>
      </c>
      <c r="L318" s="19"/>
      <c r="M318" s="5"/>
      <c r="N318" s="6"/>
      <c r="O318" s="27"/>
      <c r="P318" s="7">
        <f t="shared" si="78"/>
        <v>0</v>
      </c>
      <c r="Q318" s="19"/>
    </row>
    <row r="319" spans="1:17" x14ac:dyDescent="0.15">
      <c r="A319" s="29" t="s">
        <v>112</v>
      </c>
      <c r="B319" s="6">
        <v>2</v>
      </c>
      <c r="C319" s="27"/>
      <c r="D319" s="7">
        <f t="shared" si="76"/>
        <v>2</v>
      </c>
      <c r="E319" s="57">
        <v>44390</v>
      </c>
      <c r="F319" s="19"/>
      <c r="G319" s="43" t="s">
        <v>164</v>
      </c>
      <c r="H319" s="24">
        <v>20</v>
      </c>
      <c r="I319" s="77"/>
      <c r="J319" s="7">
        <f t="shared" si="77"/>
        <v>20</v>
      </c>
      <c r="K319" s="57">
        <v>44419</v>
      </c>
      <c r="L319" s="19"/>
      <c r="M319" s="5"/>
      <c r="N319" s="6"/>
      <c r="O319" s="27"/>
      <c r="P319" s="7">
        <f t="shared" si="78"/>
        <v>0</v>
      </c>
      <c r="Q319" s="19"/>
    </row>
    <row r="320" spans="1:17" x14ac:dyDescent="0.15">
      <c r="A320" s="29" t="s">
        <v>112</v>
      </c>
      <c r="B320" s="6">
        <f>1+1</f>
        <v>2</v>
      </c>
      <c r="C320" s="27"/>
      <c r="D320" s="7">
        <f t="shared" si="76"/>
        <v>2</v>
      </c>
      <c r="E320" s="57">
        <v>44396</v>
      </c>
      <c r="F320" s="19"/>
      <c r="G320" s="43" t="s">
        <v>166</v>
      </c>
      <c r="H320" s="6">
        <v>20</v>
      </c>
      <c r="I320" s="27"/>
      <c r="J320" s="7">
        <f t="shared" si="77"/>
        <v>20</v>
      </c>
      <c r="K320" s="57">
        <v>44431</v>
      </c>
      <c r="L320" s="19"/>
      <c r="M320" s="8"/>
      <c r="N320" s="6"/>
      <c r="O320" s="27"/>
      <c r="P320" s="7">
        <f t="shared" si="78"/>
        <v>0</v>
      </c>
      <c r="Q320" s="19"/>
    </row>
    <row r="321" spans="1:17" x14ac:dyDescent="0.15">
      <c r="A321" s="29" t="s">
        <v>112</v>
      </c>
      <c r="B321" s="6">
        <v>1</v>
      </c>
      <c r="C321" s="27"/>
      <c r="D321" s="7">
        <f t="shared" si="76"/>
        <v>1</v>
      </c>
      <c r="E321" s="57">
        <v>44397</v>
      </c>
      <c r="F321" s="19"/>
      <c r="G321" s="43" t="s">
        <v>167</v>
      </c>
      <c r="H321" s="6">
        <v>30</v>
      </c>
      <c r="I321" s="27"/>
      <c r="J321" s="7">
        <f t="shared" si="77"/>
        <v>30</v>
      </c>
      <c r="K321" s="57">
        <v>44438</v>
      </c>
      <c r="L321" s="19"/>
      <c r="M321" s="5"/>
      <c r="N321" s="6"/>
      <c r="O321" s="27"/>
      <c r="P321" s="7">
        <f t="shared" si="78"/>
        <v>0</v>
      </c>
      <c r="Q321" s="19"/>
    </row>
    <row r="322" spans="1:17" x14ac:dyDescent="0.15">
      <c r="A322" s="29" t="s">
        <v>112</v>
      </c>
      <c r="B322" s="6">
        <v>2</v>
      </c>
      <c r="C322" s="27"/>
      <c r="D322" s="7">
        <f t="shared" si="76"/>
        <v>2</v>
      </c>
      <c r="E322" s="57">
        <v>44398</v>
      </c>
      <c r="F322" s="19"/>
      <c r="G322" s="43" t="s">
        <v>168</v>
      </c>
      <c r="H322" s="6">
        <f>3*20</f>
        <v>60</v>
      </c>
      <c r="I322" s="27"/>
      <c r="J322" s="7">
        <f t="shared" si="77"/>
        <v>60</v>
      </c>
      <c r="K322" s="57">
        <v>44442</v>
      </c>
      <c r="L322" s="19"/>
      <c r="M322" s="5"/>
      <c r="N322" s="6"/>
      <c r="O322" s="27"/>
      <c r="P322" s="7">
        <f t="shared" si="78"/>
        <v>0</v>
      </c>
      <c r="Q322" s="19"/>
    </row>
    <row r="323" spans="1:17" x14ac:dyDescent="0.15">
      <c r="A323" s="29" t="s">
        <v>112</v>
      </c>
      <c r="B323" s="6">
        <v>1</v>
      </c>
      <c r="C323" s="27"/>
      <c r="D323" s="7">
        <f t="shared" si="76"/>
        <v>1</v>
      </c>
      <c r="E323" s="57">
        <v>44401</v>
      </c>
      <c r="F323" s="19"/>
      <c r="G323" s="43" t="s">
        <v>169</v>
      </c>
      <c r="H323" s="6">
        <v>15</v>
      </c>
      <c r="I323" s="27"/>
      <c r="J323" s="7">
        <f t="shared" si="77"/>
        <v>15</v>
      </c>
      <c r="K323" s="57">
        <v>44455</v>
      </c>
      <c r="L323" s="19"/>
      <c r="M323" s="8"/>
      <c r="N323" s="6"/>
      <c r="O323" s="27"/>
      <c r="P323" s="7">
        <f t="shared" si="78"/>
        <v>0</v>
      </c>
      <c r="Q323" s="19"/>
    </row>
    <row r="324" spans="1:17" x14ac:dyDescent="0.15">
      <c r="A324" s="29" t="s">
        <v>112</v>
      </c>
      <c r="B324" s="6">
        <f>1+3+2+1</f>
        <v>7</v>
      </c>
      <c r="C324" s="27"/>
      <c r="D324" s="7">
        <f t="shared" si="76"/>
        <v>7</v>
      </c>
      <c r="E324" s="57">
        <v>44403</v>
      </c>
      <c r="F324" s="19"/>
      <c r="G324" s="43"/>
      <c r="H324" s="6"/>
      <c r="I324" s="27"/>
      <c r="J324" s="7">
        <f t="shared" si="77"/>
        <v>0</v>
      </c>
      <c r="K324" s="57"/>
      <c r="L324" s="19"/>
      <c r="M324" s="8"/>
      <c r="N324" s="6"/>
      <c r="O324" s="27"/>
      <c r="P324" s="7">
        <f t="shared" si="78"/>
        <v>0</v>
      </c>
      <c r="Q324" s="19"/>
    </row>
    <row r="325" spans="1:17" x14ac:dyDescent="0.15">
      <c r="A325" s="29" t="s">
        <v>160</v>
      </c>
      <c r="B325" s="6">
        <v>4</v>
      </c>
      <c r="C325" s="27"/>
      <c r="D325" s="7">
        <f t="shared" si="76"/>
        <v>4</v>
      </c>
      <c r="E325" s="57">
        <v>44405</v>
      </c>
      <c r="F325" s="19"/>
      <c r="G325" s="43"/>
      <c r="H325" s="6"/>
      <c r="I325" s="27"/>
      <c r="J325" s="7">
        <f t="shared" si="77"/>
        <v>0</v>
      </c>
      <c r="K325" s="57"/>
      <c r="L325" s="19"/>
      <c r="M325" s="5"/>
      <c r="N325" s="6"/>
      <c r="O325" s="27"/>
      <c r="P325" s="7">
        <f t="shared" si="78"/>
        <v>0</v>
      </c>
      <c r="Q325" s="19"/>
    </row>
    <row r="326" spans="1:17" x14ac:dyDescent="0.15">
      <c r="A326" s="29" t="s">
        <v>112</v>
      </c>
      <c r="B326" s="6">
        <f>1+2</f>
        <v>3</v>
      </c>
      <c r="C326" s="27"/>
      <c r="D326" s="7">
        <f t="shared" si="76"/>
        <v>3</v>
      </c>
      <c r="E326" s="57">
        <v>44410</v>
      </c>
      <c r="F326" s="19"/>
      <c r="G326" s="43"/>
      <c r="H326" s="6"/>
      <c r="I326" s="27"/>
      <c r="J326" s="7">
        <f t="shared" si="77"/>
        <v>0</v>
      </c>
      <c r="K326" s="57"/>
      <c r="L326" s="19"/>
      <c r="M326" s="5"/>
      <c r="N326" s="6"/>
      <c r="O326" s="27"/>
      <c r="P326" s="7">
        <f t="shared" si="78"/>
        <v>0</v>
      </c>
      <c r="Q326" s="19"/>
    </row>
    <row r="327" spans="1:17" x14ac:dyDescent="0.15">
      <c r="A327" s="29" t="s">
        <v>112</v>
      </c>
      <c r="B327" s="6">
        <v>2</v>
      </c>
      <c r="C327" s="27"/>
      <c r="D327" s="7">
        <f t="shared" si="76"/>
        <v>2</v>
      </c>
      <c r="E327" s="57">
        <v>44413</v>
      </c>
      <c r="F327" s="19"/>
      <c r="G327" s="43"/>
      <c r="H327" s="6"/>
      <c r="I327" s="27"/>
      <c r="J327" s="7">
        <f t="shared" si="77"/>
        <v>0</v>
      </c>
      <c r="K327" s="57"/>
      <c r="L327" s="19"/>
      <c r="M327" s="8"/>
      <c r="N327" s="6"/>
      <c r="O327" s="27"/>
      <c r="P327" s="7">
        <f t="shared" si="78"/>
        <v>0</v>
      </c>
      <c r="Q327" s="19"/>
    </row>
    <row r="328" spans="1:17" x14ac:dyDescent="0.15">
      <c r="A328" s="29" t="s">
        <v>112</v>
      </c>
      <c r="B328" s="6">
        <v>1</v>
      </c>
      <c r="C328" s="27"/>
      <c r="D328" s="7">
        <f t="shared" si="76"/>
        <v>1</v>
      </c>
      <c r="E328" s="57">
        <v>44414</v>
      </c>
      <c r="F328" s="19"/>
      <c r="G328" s="5"/>
      <c r="H328" s="6"/>
      <c r="I328" s="27"/>
      <c r="J328" s="7">
        <f t="shared" si="77"/>
        <v>0</v>
      </c>
      <c r="K328" s="19"/>
      <c r="L328" s="19"/>
      <c r="M328" s="5"/>
      <c r="N328" s="6"/>
      <c r="O328" s="27"/>
      <c r="P328" s="7">
        <f t="shared" si="78"/>
        <v>0</v>
      </c>
      <c r="Q328" s="19"/>
    </row>
    <row r="329" spans="1:17" x14ac:dyDescent="0.15">
      <c r="A329" s="29" t="s">
        <v>112</v>
      </c>
      <c r="B329" s="6">
        <v>2</v>
      </c>
      <c r="C329" s="27"/>
      <c r="D329" s="7">
        <f t="shared" si="76"/>
        <v>2</v>
      </c>
      <c r="E329" s="57">
        <v>44415</v>
      </c>
      <c r="F329" s="19"/>
      <c r="G329" s="8"/>
      <c r="H329" s="6"/>
      <c r="I329" s="27"/>
      <c r="J329" s="7">
        <f t="shared" si="77"/>
        <v>0</v>
      </c>
      <c r="K329" s="19"/>
      <c r="L329" s="19"/>
      <c r="M329" s="8"/>
      <c r="N329" s="6"/>
      <c r="O329" s="27"/>
      <c r="P329" s="7">
        <f t="shared" si="78"/>
        <v>0</v>
      </c>
      <c r="Q329" s="19"/>
    </row>
    <row r="330" spans="1:17" x14ac:dyDescent="0.15">
      <c r="A330" s="29" t="s">
        <v>112</v>
      </c>
      <c r="B330" s="6">
        <v>2</v>
      </c>
      <c r="C330" s="27"/>
      <c r="D330" s="7">
        <f t="shared" si="76"/>
        <v>2</v>
      </c>
      <c r="E330" s="57">
        <v>44419</v>
      </c>
      <c r="F330" s="19"/>
      <c r="G330" s="8"/>
      <c r="H330" s="6"/>
      <c r="I330" s="27"/>
      <c r="J330" s="7">
        <f t="shared" si="77"/>
        <v>0</v>
      </c>
      <c r="K330" s="19"/>
      <c r="L330" s="19"/>
      <c r="M330" s="8"/>
      <c r="N330" s="6"/>
      <c r="O330" s="27"/>
      <c r="P330" s="7">
        <f t="shared" si="78"/>
        <v>0</v>
      </c>
      <c r="Q330" s="19"/>
    </row>
    <row r="331" spans="1:17" x14ac:dyDescent="0.15">
      <c r="A331" s="29" t="s">
        <v>112</v>
      </c>
      <c r="B331" s="6">
        <v>1</v>
      </c>
      <c r="C331" s="27"/>
      <c r="D331" s="7">
        <f t="shared" si="76"/>
        <v>1</v>
      </c>
      <c r="E331" s="57">
        <v>44432</v>
      </c>
      <c r="F331" s="19"/>
      <c r="G331" s="5"/>
      <c r="H331" s="6"/>
      <c r="I331" s="27"/>
      <c r="J331" s="7">
        <f t="shared" si="77"/>
        <v>0</v>
      </c>
      <c r="K331" s="19"/>
      <c r="L331" s="19"/>
      <c r="M331" s="5"/>
      <c r="N331" s="6"/>
      <c r="O331" s="27"/>
      <c r="P331" s="7">
        <f t="shared" si="78"/>
        <v>0</v>
      </c>
      <c r="Q331" s="19"/>
    </row>
    <row r="332" spans="1:17" x14ac:dyDescent="0.15">
      <c r="A332" s="29" t="s">
        <v>112</v>
      </c>
      <c r="B332" s="6">
        <v>1</v>
      </c>
      <c r="C332" s="27"/>
      <c r="D332" s="7">
        <f t="shared" si="76"/>
        <v>1</v>
      </c>
      <c r="E332" s="57">
        <v>44433</v>
      </c>
      <c r="F332" s="19"/>
      <c r="G332" s="5"/>
      <c r="H332" s="6"/>
      <c r="I332" s="27"/>
      <c r="J332" s="7">
        <f t="shared" si="77"/>
        <v>0</v>
      </c>
      <c r="K332" s="19"/>
      <c r="L332" s="19"/>
      <c r="M332" s="5"/>
      <c r="N332" s="6"/>
      <c r="O332" s="27"/>
      <c r="P332" s="7">
        <f t="shared" si="78"/>
        <v>0</v>
      </c>
      <c r="Q332" s="19"/>
    </row>
    <row r="333" spans="1:17" x14ac:dyDescent="0.15">
      <c r="A333" s="29" t="s">
        <v>112</v>
      </c>
      <c r="B333" s="6">
        <v>1</v>
      </c>
      <c r="C333" s="27"/>
      <c r="D333" s="7">
        <f t="shared" si="76"/>
        <v>1</v>
      </c>
      <c r="E333" s="57">
        <v>44441</v>
      </c>
      <c r="F333" s="19"/>
      <c r="G333" s="43"/>
      <c r="H333" s="6"/>
      <c r="I333" s="27"/>
      <c r="J333" s="35">
        <f t="shared" si="77"/>
        <v>0</v>
      </c>
      <c r="K333" s="19"/>
      <c r="L333" s="19"/>
      <c r="M333" s="5"/>
      <c r="N333" s="6"/>
      <c r="O333" s="27"/>
      <c r="P333" s="7">
        <f t="shared" si="78"/>
        <v>0</v>
      </c>
      <c r="Q333" s="19"/>
    </row>
    <row r="334" spans="1:17" x14ac:dyDescent="0.15">
      <c r="A334" s="29" t="s">
        <v>112</v>
      </c>
      <c r="B334" s="6">
        <v>2</v>
      </c>
      <c r="C334" s="27"/>
      <c r="D334" s="7">
        <f t="shared" si="76"/>
        <v>2</v>
      </c>
      <c r="E334" s="57">
        <v>44442</v>
      </c>
      <c r="F334" s="19"/>
      <c r="G334" s="43"/>
      <c r="H334" s="6"/>
      <c r="I334" s="27"/>
      <c r="J334" s="35">
        <f t="shared" si="77"/>
        <v>0</v>
      </c>
      <c r="K334" s="19"/>
      <c r="L334" s="19"/>
      <c r="M334" s="8"/>
      <c r="N334" s="6"/>
      <c r="O334" s="27"/>
      <c r="P334" s="7">
        <f t="shared" si="78"/>
        <v>0</v>
      </c>
      <c r="Q334" s="19"/>
    </row>
    <row r="335" spans="1:17" x14ac:dyDescent="0.15">
      <c r="A335" s="29" t="s">
        <v>112</v>
      </c>
      <c r="B335" s="6">
        <v>1</v>
      </c>
      <c r="C335" s="27"/>
      <c r="D335" s="7">
        <f t="shared" si="76"/>
        <v>1</v>
      </c>
      <c r="E335" s="57">
        <v>44445</v>
      </c>
      <c r="F335" s="19"/>
      <c r="G335" s="43"/>
      <c r="H335" s="6"/>
      <c r="I335" s="27"/>
      <c r="J335" s="35">
        <f t="shared" si="77"/>
        <v>0</v>
      </c>
      <c r="K335" s="57"/>
      <c r="L335" s="19"/>
      <c r="M335" s="8"/>
      <c r="N335" s="6"/>
      <c r="O335" s="27"/>
      <c r="P335" s="7">
        <f t="shared" si="78"/>
        <v>0</v>
      </c>
      <c r="Q335" s="19"/>
    </row>
    <row r="336" spans="1:17" x14ac:dyDescent="0.15">
      <c r="A336" s="29" t="s">
        <v>112</v>
      </c>
      <c r="B336" s="6">
        <v>2</v>
      </c>
      <c r="C336" s="27"/>
      <c r="D336" s="7">
        <f t="shared" si="76"/>
        <v>2</v>
      </c>
      <c r="E336" s="57">
        <v>44452</v>
      </c>
      <c r="F336" s="19"/>
      <c r="G336" s="43"/>
      <c r="H336" s="6"/>
      <c r="I336" s="27"/>
      <c r="J336" s="35">
        <f t="shared" si="77"/>
        <v>0</v>
      </c>
      <c r="K336" s="19"/>
      <c r="L336" s="19"/>
      <c r="M336" s="5"/>
      <c r="N336" s="6"/>
      <c r="O336" s="27"/>
      <c r="P336" s="7">
        <f t="shared" si="78"/>
        <v>0</v>
      </c>
      <c r="Q336" s="19"/>
    </row>
    <row r="337" spans="1:17" x14ac:dyDescent="0.15">
      <c r="A337" s="29" t="s">
        <v>112</v>
      </c>
      <c r="B337" s="6">
        <v>1</v>
      </c>
      <c r="C337" s="27"/>
      <c r="D337" s="7">
        <f t="shared" si="76"/>
        <v>1</v>
      </c>
      <c r="E337" s="57">
        <v>44454</v>
      </c>
      <c r="F337" s="19"/>
      <c r="G337" s="23"/>
      <c r="H337" s="6"/>
      <c r="I337" s="27"/>
      <c r="J337" s="35">
        <f t="shared" si="77"/>
        <v>0</v>
      </c>
      <c r="K337" s="57"/>
      <c r="L337" s="19"/>
      <c r="M337" s="8"/>
      <c r="N337" s="6"/>
      <c r="O337" s="27"/>
      <c r="P337" s="7">
        <f t="shared" si="78"/>
        <v>0</v>
      </c>
      <c r="Q337" s="19"/>
    </row>
    <row r="338" spans="1:17" ht="14.25" thickBot="1" x14ac:dyDescent="0.2">
      <c r="A338" s="5"/>
      <c r="B338" s="6"/>
      <c r="C338" s="27"/>
      <c r="D338" s="7">
        <f t="shared" si="76"/>
        <v>0</v>
      </c>
      <c r="E338" s="19"/>
      <c r="F338" s="19"/>
      <c r="G338" s="23" t="s">
        <v>165</v>
      </c>
      <c r="H338" s="6"/>
      <c r="I338" s="27"/>
      <c r="J338" s="7">
        <f t="shared" si="77"/>
        <v>0</v>
      </c>
      <c r="K338" s="57">
        <v>44411</v>
      </c>
      <c r="L338" s="19"/>
      <c r="M338" s="23"/>
      <c r="N338" s="6"/>
      <c r="O338" s="27"/>
      <c r="P338" s="7">
        <f t="shared" si="78"/>
        <v>0</v>
      </c>
      <c r="Q338" s="19"/>
    </row>
    <row r="339" spans="1:17" ht="14.25" thickBot="1" x14ac:dyDescent="0.2">
      <c r="A339" s="9" t="s">
        <v>3</v>
      </c>
      <c r="B339" s="10">
        <f>SUM(B315:B338)</f>
        <v>48</v>
      </c>
      <c r="C339" s="66">
        <f>SUM(C315:C338)</f>
        <v>0</v>
      </c>
      <c r="D339" s="11">
        <f>SUM(D315:D338)</f>
        <v>48</v>
      </c>
      <c r="G339" s="9" t="s">
        <v>3</v>
      </c>
      <c r="H339" s="10">
        <f>SUM(H315:H338)</f>
        <v>265</v>
      </c>
      <c r="I339" s="66">
        <f>SUM(I315:I338)</f>
        <v>0</v>
      </c>
      <c r="J339" s="11">
        <f>SUM(J315:J338)</f>
        <v>265</v>
      </c>
      <c r="M339" s="9" t="s">
        <v>3</v>
      </c>
      <c r="N339" s="10">
        <f>SUM(N315:N338)</f>
        <v>0</v>
      </c>
      <c r="O339" s="66">
        <f>SUM(O315:O338)</f>
        <v>0</v>
      </c>
      <c r="P339" s="11">
        <f>SUM(P315:P338)</f>
        <v>0</v>
      </c>
    </row>
    <row r="340" spans="1:17" ht="14.25" thickBot="1" x14ac:dyDescent="0.2">
      <c r="A340" s="14" t="s">
        <v>4</v>
      </c>
      <c r="B340" s="16">
        <f>B314-B339</f>
        <v>28</v>
      </c>
      <c r="C340" s="16">
        <f>C314-C339</f>
        <v>0</v>
      </c>
      <c r="D340" s="16">
        <f>D314-D339</f>
        <v>28</v>
      </c>
      <c r="G340" s="14" t="s">
        <v>4</v>
      </c>
      <c r="H340" s="16">
        <f>H314-H339</f>
        <v>779</v>
      </c>
      <c r="I340" s="16">
        <f>I314-I339</f>
        <v>0</v>
      </c>
      <c r="J340" s="16">
        <f>J314-J339</f>
        <v>779</v>
      </c>
      <c r="M340" s="14" t="s">
        <v>4</v>
      </c>
      <c r="N340" s="16">
        <f>N314-N339</f>
        <v>0</v>
      </c>
      <c r="O340" s="16">
        <f>O314-O339</f>
        <v>0</v>
      </c>
      <c r="P340" s="16">
        <f>P314-P339</f>
        <v>0</v>
      </c>
    </row>
    <row r="343" spans="1:17" ht="24" x14ac:dyDescent="0.25">
      <c r="A343" s="25" t="s">
        <v>7</v>
      </c>
      <c r="B343" s="1"/>
      <c r="C343" s="1"/>
      <c r="D343" s="1"/>
      <c r="G343" s="25" t="s">
        <v>8</v>
      </c>
      <c r="H343" s="1"/>
      <c r="I343" s="1"/>
      <c r="J343" s="1"/>
      <c r="M343" s="25" t="s">
        <v>9</v>
      </c>
      <c r="N343" s="1"/>
      <c r="O343" s="1"/>
      <c r="P343" s="1"/>
    </row>
    <row r="344" spans="1:17" ht="14.25" thickBot="1" x14ac:dyDescent="0.2">
      <c r="A344" s="1"/>
      <c r="B344" s="1"/>
      <c r="C344" s="1"/>
      <c r="D344" s="1"/>
      <c r="G344" s="1"/>
      <c r="H344" s="1"/>
      <c r="I344" s="1"/>
      <c r="J344" s="1"/>
      <c r="M344" s="1"/>
      <c r="N344" s="1"/>
      <c r="O344" s="1"/>
      <c r="P344" s="1"/>
    </row>
    <row r="345" spans="1:17" ht="14.25" thickBot="1" x14ac:dyDescent="0.2">
      <c r="A345" s="2"/>
      <c r="B345" s="50" t="s">
        <v>115</v>
      </c>
      <c r="C345" s="50" t="s">
        <v>116</v>
      </c>
      <c r="D345" s="2" t="s">
        <v>0</v>
      </c>
      <c r="G345" s="2"/>
      <c r="H345" s="50" t="s">
        <v>115</v>
      </c>
      <c r="I345" s="50" t="s">
        <v>116</v>
      </c>
      <c r="J345" s="2" t="s">
        <v>0</v>
      </c>
      <c r="M345" s="2"/>
      <c r="N345" s="50" t="s">
        <v>115</v>
      </c>
      <c r="O345" s="50" t="s">
        <v>116</v>
      </c>
      <c r="P345" s="2" t="s">
        <v>0</v>
      </c>
    </row>
    <row r="346" spans="1:17" x14ac:dyDescent="0.15">
      <c r="A346" s="32" t="s">
        <v>4</v>
      </c>
      <c r="B346" s="48">
        <f>B340</f>
        <v>28</v>
      </c>
      <c r="C346" s="76">
        <f>C340</f>
        <v>0</v>
      </c>
      <c r="D346" s="47">
        <f>SUM(B346+C346)</f>
        <v>28</v>
      </c>
      <c r="G346" s="13" t="s">
        <v>6</v>
      </c>
      <c r="H346" s="48">
        <f>H340</f>
        <v>779</v>
      </c>
      <c r="I346" s="80">
        <f>I340</f>
        <v>0</v>
      </c>
      <c r="J346" s="47">
        <f>SUM(H346+I346)</f>
        <v>779</v>
      </c>
      <c r="K346" s="19"/>
      <c r="M346" s="13" t="s">
        <v>6</v>
      </c>
      <c r="N346" s="48">
        <f>N340</f>
        <v>0</v>
      </c>
      <c r="O346" s="80">
        <f>O340</f>
        <v>0</v>
      </c>
      <c r="P346" s="47">
        <f>SUM(N346+O346)</f>
        <v>0</v>
      </c>
    </row>
    <row r="347" spans="1:17" x14ac:dyDescent="0.15">
      <c r="A347" s="3" t="s">
        <v>171</v>
      </c>
      <c r="B347" s="73">
        <v>1</v>
      </c>
      <c r="C347" s="71"/>
      <c r="D347" s="7">
        <f>SUM(B347+C347)</f>
        <v>1</v>
      </c>
      <c r="E347" s="57">
        <v>44466</v>
      </c>
      <c r="G347" s="4" t="s">
        <v>1</v>
      </c>
      <c r="H347" s="74"/>
      <c r="I347" s="78"/>
      <c r="J347" s="21">
        <f>SUM(H347+I347)</f>
        <v>0</v>
      </c>
      <c r="K347" s="57"/>
      <c r="M347" s="4" t="s">
        <v>1</v>
      </c>
      <c r="N347" s="74"/>
      <c r="O347" s="78"/>
      <c r="P347" s="21">
        <f>SUM(N347+O347)</f>
        <v>0</v>
      </c>
    </row>
    <row r="348" spans="1:17" x14ac:dyDescent="0.15">
      <c r="A348" s="3" t="s">
        <v>1</v>
      </c>
      <c r="B348" s="24">
        <v>10</v>
      </c>
      <c r="C348" s="77"/>
      <c r="D348" s="7">
        <f t="shared" ref="D348:D351" si="79">SUM(B348+C348)</f>
        <v>10</v>
      </c>
      <c r="E348" s="57">
        <v>44520</v>
      </c>
      <c r="G348" s="4" t="s">
        <v>1</v>
      </c>
      <c r="H348" s="74"/>
      <c r="I348" s="78"/>
      <c r="J348" s="21">
        <f t="shared" ref="J348:J351" si="80">SUM(H348+I348)</f>
        <v>0</v>
      </c>
      <c r="K348" s="57"/>
      <c r="M348" s="4" t="s">
        <v>1</v>
      </c>
      <c r="N348" s="74"/>
      <c r="O348" s="78"/>
      <c r="P348" s="21">
        <f t="shared" ref="P348:P351" si="81">SUM(N348+O348)</f>
        <v>0</v>
      </c>
    </row>
    <row r="349" spans="1:17" x14ac:dyDescent="0.15">
      <c r="A349" s="29" t="s">
        <v>178</v>
      </c>
      <c r="B349" s="6">
        <v>1</v>
      </c>
      <c r="C349" s="1"/>
      <c r="D349" s="7">
        <f t="shared" si="79"/>
        <v>1</v>
      </c>
      <c r="E349" s="57">
        <v>44587</v>
      </c>
      <c r="G349" s="4" t="s">
        <v>1</v>
      </c>
      <c r="H349" s="74"/>
      <c r="I349" s="78"/>
      <c r="J349" s="21">
        <f t="shared" si="80"/>
        <v>0</v>
      </c>
      <c r="K349" s="57"/>
      <c r="M349" s="4" t="s">
        <v>1</v>
      </c>
      <c r="N349" s="74"/>
      <c r="O349" s="78"/>
      <c r="P349" s="21">
        <f t="shared" si="81"/>
        <v>0</v>
      </c>
    </row>
    <row r="350" spans="1:17" x14ac:dyDescent="0.15">
      <c r="A350" s="3" t="s">
        <v>1</v>
      </c>
      <c r="B350" s="74">
        <v>10</v>
      </c>
      <c r="C350" s="78"/>
      <c r="D350" s="7">
        <f t="shared" si="79"/>
        <v>10</v>
      </c>
      <c r="E350" s="57">
        <v>44607</v>
      </c>
      <c r="G350" s="3" t="s">
        <v>1</v>
      </c>
      <c r="H350" s="74"/>
      <c r="I350" s="78"/>
      <c r="J350" s="7">
        <f t="shared" si="80"/>
        <v>0</v>
      </c>
      <c r="K350" s="19"/>
      <c r="M350" s="3" t="s">
        <v>1</v>
      </c>
      <c r="N350" s="74"/>
      <c r="O350" s="78"/>
      <c r="P350" s="7">
        <f t="shared" si="81"/>
        <v>0</v>
      </c>
    </row>
    <row r="351" spans="1:17" ht="14.25" thickBot="1" x14ac:dyDescent="0.2">
      <c r="A351" s="4" t="s">
        <v>1</v>
      </c>
      <c r="B351" s="74"/>
      <c r="C351" s="78"/>
      <c r="D351" s="21">
        <f t="shared" si="79"/>
        <v>0</v>
      </c>
      <c r="E351" s="19"/>
      <c r="G351" s="4" t="s">
        <v>1</v>
      </c>
      <c r="H351" s="75"/>
      <c r="I351" s="17"/>
      <c r="J351" s="22">
        <f t="shared" si="80"/>
        <v>0</v>
      </c>
      <c r="M351" s="4" t="s">
        <v>1</v>
      </c>
      <c r="N351" s="75"/>
      <c r="O351" s="17"/>
      <c r="P351" s="22">
        <f t="shared" si="81"/>
        <v>0</v>
      </c>
    </row>
    <row r="352" spans="1:17" ht="14.25" thickBot="1" x14ac:dyDescent="0.2">
      <c r="A352" s="14" t="s">
        <v>2</v>
      </c>
      <c r="B352" s="16">
        <f>SUM(B346:B351)</f>
        <v>50</v>
      </c>
      <c r="C352" s="83">
        <f>SUM(C346:C351)</f>
        <v>0</v>
      </c>
      <c r="D352" s="84">
        <f>SUM(B352+C352)</f>
        <v>50</v>
      </c>
      <c r="G352" s="14" t="s">
        <v>2</v>
      </c>
      <c r="H352" s="15">
        <f>SUM(H346:H351)</f>
        <v>779</v>
      </c>
      <c r="I352" s="65">
        <f>SUM(I346:I351)</f>
        <v>0</v>
      </c>
      <c r="J352" s="18">
        <f>SUM(H352+I352)</f>
        <v>779</v>
      </c>
      <c r="M352" s="14" t="s">
        <v>2</v>
      </c>
      <c r="N352" s="15">
        <f>SUM(N346:N351)</f>
        <v>0</v>
      </c>
      <c r="O352" s="65">
        <f>SUM(O346:O351)</f>
        <v>0</v>
      </c>
      <c r="P352" s="18">
        <f>SUM(N352+O352)</f>
        <v>0</v>
      </c>
    </row>
    <row r="353" spans="1:16" x14ac:dyDescent="0.15">
      <c r="A353" s="29" t="s">
        <v>170</v>
      </c>
      <c r="B353" s="6">
        <v>1</v>
      </c>
      <c r="C353" s="27"/>
      <c r="D353" s="7">
        <f>SUM(B353+C353)</f>
        <v>1</v>
      </c>
      <c r="E353" s="57">
        <v>44460</v>
      </c>
      <c r="F353" s="19"/>
      <c r="G353" s="43" t="s">
        <v>172</v>
      </c>
      <c r="H353" s="6">
        <v>15</v>
      </c>
      <c r="I353" s="27"/>
      <c r="J353" s="7">
        <f t="shared" ref="J353" si="82">SUM(H353+I353)</f>
        <v>15</v>
      </c>
      <c r="K353" s="57">
        <v>44481</v>
      </c>
      <c r="L353" s="19"/>
      <c r="M353" s="5"/>
      <c r="N353" s="6"/>
      <c r="O353" s="27"/>
      <c r="P353" s="7">
        <f>SUM(N353+O353)</f>
        <v>0</v>
      </c>
    </row>
    <row r="354" spans="1:16" x14ac:dyDescent="0.15">
      <c r="A354" s="29" t="s">
        <v>112</v>
      </c>
      <c r="B354" s="6">
        <v>2</v>
      </c>
      <c r="C354" s="27"/>
      <c r="D354" s="7">
        <f>SUM(B354+C354)</f>
        <v>2</v>
      </c>
      <c r="E354" s="57">
        <v>44466</v>
      </c>
      <c r="F354" s="19"/>
      <c r="G354" s="43" t="s">
        <v>173</v>
      </c>
      <c r="H354" s="6">
        <v>30</v>
      </c>
      <c r="I354" s="27"/>
      <c r="J354" s="7">
        <f>SUM(H354+I354)</f>
        <v>30</v>
      </c>
      <c r="K354" s="57">
        <v>44491</v>
      </c>
      <c r="L354" s="19"/>
      <c r="M354" s="5"/>
      <c r="N354" s="6"/>
      <c r="O354" s="27"/>
      <c r="P354" s="7">
        <f>SUM(N354+O354)</f>
        <v>0</v>
      </c>
    </row>
    <row r="355" spans="1:16" x14ac:dyDescent="0.15">
      <c r="A355" s="29" t="s">
        <v>112</v>
      </c>
      <c r="B355" s="6">
        <v>3</v>
      </c>
      <c r="C355" s="27"/>
      <c r="D355" s="7">
        <f t="shared" ref="D355:D376" si="83">SUM(B355+C355)</f>
        <v>3</v>
      </c>
      <c r="E355" s="57">
        <v>44474</v>
      </c>
      <c r="F355" s="19"/>
      <c r="G355" s="43" t="s">
        <v>174</v>
      </c>
      <c r="H355" s="6">
        <v>30</v>
      </c>
      <c r="I355" s="27"/>
      <c r="J355" s="7">
        <f t="shared" ref="J355:J376" si="84">SUM(H355+I355)</f>
        <v>30</v>
      </c>
      <c r="K355" s="57">
        <v>44496</v>
      </c>
      <c r="L355" s="19"/>
      <c r="M355" s="5"/>
      <c r="N355" s="6"/>
      <c r="O355" s="27"/>
      <c r="P355" s="7">
        <f t="shared" ref="P355:P376" si="85">SUM(N355+O355)</f>
        <v>0</v>
      </c>
    </row>
    <row r="356" spans="1:16" x14ac:dyDescent="0.15">
      <c r="A356" s="29" t="s">
        <v>112</v>
      </c>
      <c r="B356" s="6">
        <f>3+1</f>
        <v>4</v>
      </c>
      <c r="C356" s="27"/>
      <c r="D356" s="7">
        <f t="shared" si="83"/>
        <v>4</v>
      </c>
      <c r="E356" s="57">
        <v>44475</v>
      </c>
      <c r="F356" s="19"/>
      <c r="G356" s="43" t="s">
        <v>175</v>
      </c>
      <c r="H356" s="6">
        <f>10*3</f>
        <v>30</v>
      </c>
      <c r="I356" s="27"/>
      <c r="J356" s="7">
        <f t="shared" si="84"/>
        <v>30</v>
      </c>
      <c r="K356" s="57">
        <v>44496</v>
      </c>
      <c r="L356" s="19"/>
      <c r="M356" s="5"/>
      <c r="N356" s="6"/>
      <c r="O356" s="27"/>
      <c r="P356" s="7">
        <f t="shared" si="85"/>
        <v>0</v>
      </c>
    </row>
    <row r="357" spans="1:16" x14ac:dyDescent="0.15">
      <c r="A357" s="29" t="s">
        <v>112</v>
      </c>
      <c r="B357" s="6">
        <v>1</v>
      </c>
      <c r="C357" s="27"/>
      <c r="D357" s="7">
        <f t="shared" si="83"/>
        <v>1</v>
      </c>
      <c r="E357" s="57">
        <v>44480</v>
      </c>
      <c r="F357" s="19"/>
      <c r="G357" s="43" t="s">
        <v>176</v>
      </c>
      <c r="H357" s="24">
        <v>10</v>
      </c>
      <c r="I357" s="77"/>
      <c r="J357" s="7">
        <f t="shared" si="84"/>
        <v>10</v>
      </c>
      <c r="K357" s="57">
        <v>44520</v>
      </c>
      <c r="L357" s="19"/>
      <c r="M357" s="5"/>
      <c r="N357" s="6"/>
      <c r="O357" s="27"/>
      <c r="P357" s="7">
        <f t="shared" si="85"/>
        <v>0</v>
      </c>
    </row>
    <row r="358" spans="1:16" x14ac:dyDescent="0.15">
      <c r="A358" s="29" t="s">
        <v>112</v>
      </c>
      <c r="B358" s="6">
        <f>2+1</f>
        <v>3</v>
      </c>
      <c r="C358" s="27"/>
      <c r="D358" s="7">
        <f t="shared" si="83"/>
        <v>3</v>
      </c>
      <c r="E358" s="57">
        <v>44494</v>
      </c>
      <c r="F358" s="19"/>
      <c r="G358" s="43" t="s">
        <v>21</v>
      </c>
      <c r="H358" s="6">
        <v>10</v>
      </c>
      <c r="I358" s="27"/>
      <c r="J358" s="7">
        <f t="shared" si="84"/>
        <v>10</v>
      </c>
      <c r="K358" s="57">
        <v>44607</v>
      </c>
      <c r="L358" s="19"/>
      <c r="M358" s="8"/>
      <c r="N358" s="6"/>
      <c r="O358" s="27"/>
      <c r="P358" s="7">
        <f t="shared" si="85"/>
        <v>0</v>
      </c>
    </row>
    <row r="359" spans="1:16" x14ac:dyDescent="0.15">
      <c r="A359" s="29" t="s">
        <v>112</v>
      </c>
      <c r="B359" s="6">
        <v>1</v>
      </c>
      <c r="C359" s="27"/>
      <c r="D359" s="7">
        <f t="shared" si="83"/>
        <v>1</v>
      </c>
      <c r="E359" s="57">
        <v>44505</v>
      </c>
      <c r="F359" s="19"/>
      <c r="G359" s="5"/>
      <c r="H359" s="6"/>
      <c r="I359" s="27"/>
      <c r="J359" s="7">
        <f t="shared" si="84"/>
        <v>0</v>
      </c>
      <c r="K359" s="57"/>
      <c r="L359" s="19"/>
      <c r="M359" s="5"/>
      <c r="N359" s="6"/>
      <c r="O359" s="27"/>
      <c r="P359" s="7">
        <f t="shared" si="85"/>
        <v>0</v>
      </c>
    </row>
    <row r="360" spans="1:16" x14ac:dyDescent="0.15">
      <c r="A360" s="29" t="s">
        <v>112</v>
      </c>
      <c r="B360" s="6">
        <v>1</v>
      </c>
      <c r="C360" s="27"/>
      <c r="D360" s="7">
        <f t="shared" si="83"/>
        <v>1</v>
      </c>
      <c r="E360" s="57">
        <v>44509</v>
      </c>
      <c r="F360" s="19"/>
      <c r="G360" s="43"/>
      <c r="H360" s="6"/>
      <c r="I360" s="27"/>
      <c r="J360" s="7">
        <f t="shared" si="84"/>
        <v>0</v>
      </c>
      <c r="K360" s="57"/>
      <c r="L360" s="19"/>
      <c r="M360" s="5"/>
      <c r="N360" s="6"/>
      <c r="O360" s="27"/>
      <c r="P360" s="7">
        <f t="shared" si="85"/>
        <v>0</v>
      </c>
    </row>
    <row r="361" spans="1:16" x14ac:dyDescent="0.15">
      <c r="A361" s="29" t="s">
        <v>112</v>
      </c>
      <c r="B361" s="6">
        <v>1</v>
      </c>
      <c r="C361" s="27"/>
      <c r="D361" s="7">
        <f t="shared" si="83"/>
        <v>1</v>
      </c>
      <c r="E361" s="57">
        <v>44512</v>
      </c>
      <c r="F361" s="19"/>
      <c r="G361" s="43"/>
      <c r="H361" s="6"/>
      <c r="I361" s="27"/>
      <c r="J361" s="7">
        <f t="shared" si="84"/>
        <v>0</v>
      </c>
      <c r="K361" s="57"/>
      <c r="L361" s="19"/>
      <c r="M361" s="8"/>
      <c r="N361" s="6"/>
      <c r="O361" s="27"/>
      <c r="P361" s="7">
        <f t="shared" si="85"/>
        <v>0</v>
      </c>
    </row>
    <row r="362" spans="1:16" x14ac:dyDescent="0.15">
      <c r="A362" s="29" t="s">
        <v>112</v>
      </c>
      <c r="B362" s="6">
        <v>1</v>
      </c>
      <c r="C362" s="27"/>
      <c r="D362" s="7">
        <f t="shared" si="83"/>
        <v>1</v>
      </c>
      <c r="E362" s="57">
        <v>44519</v>
      </c>
      <c r="F362" s="19"/>
      <c r="G362" s="43"/>
      <c r="H362" s="6"/>
      <c r="I362" s="27"/>
      <c r="J362" s="7">
        <f t="shared" si="84"/>
        <v>0</v>
      </c>
      <c r="K362" s="57"/>
      <c r="L362" s="19"/>
      <c r="M362" s="8"/>
      <c r="N362" s="6"/>
      <c r="O362" s="27"/>
      <c r="P362" s="7">
        <f t="shared" si="85"/>
        <v>0</v>
      </c>
    </row>
    <row r="363" spans="1:16" x14ac:dyDescent="0.15">
      <c r="A363" s="29" t="s">
        <v>112</v>
      </c>
      <c r="B363" s="6">
        <v>1</v>
      </c>
      <c r="C363" s="27"/>
      <c r="D363" s="7">
        <f t="shared" si="83"/>
        <v>1</v>
      </c>
      <c r="E363" s="57">
        <v>44530</v>
      </c>
      <c r="F363" s="19"/>
      <c r="G363" s="43"/>
      <c r="H363" s="6"/>
      <c r="I363" s="27"/>
      <c r="J363" s="7">
        <f t="shared" si="84"/>
        <v>0</v>
      </c>
      <c r="K363" s="57"/>
      <c r="L363" s="19"/>
      <c r="M363" s="5"/>
      <c r="N363" s="6"/>
      <c r="O363" s="27"/>
      <c r="P363" s="7">
        <f t="shared" si="85"/>
        <v>0</v>
      </c>
    </row>
    <row r="364" spans="1:16" x14ac:dyDescent="0.15">
      <c r="A364" s="29" t="s">
        <v>112</v>
      </c>
      <c r="B364" s="6">
        <v>1</v>
      </c>
      <c r="C364" s="27"/>
      <c r="D364" s="7">
        <f t="shared" si="83"/>
        <v>1</v>
      </c>
      <c r="E364" s="57">
        <v>44568</v>
      </c>
      <c r="F364" s="19"/>
      <c r="G364" s="43"/>
      <c r="H364" s="6"/>
      <c r="I364" s="27"/>
      <c r="J364" s="7">
        <f t="shared" si="84"/>
        <v>0</v>
      </c>
      <c r="K364" s="57"/>
      <c r="L364" s="19"/>
      <c r="M364" s="5"/>
      <c r="N364" s="6"/>
      <c r="O364" s="27"/>
      <c r="P364" s="7">
        <f t="shared" si="85"/>
        <v>0</v>
      </c>
    </row>
    <row r="365" spans="1:16" x14ac:dyDescent="0.15">
      <c r="A365" s="29" t="s">
        <v>177</v>
      </c>
      <c r="B365" s="6">
        <v>1</v>
      </c>
      <c r="C365" s="27"/>
      <c r="D365" s="7">
        <f t="shared" si="83"/>
        <v>1</v>
      </c>
      <c r="E365" s="57">
        <v>44582</v>
      </c>
      <c r="F365" s="19"/>
      <c r="G365" s="43"/>
      <c r="H365" s="6"/>
      <c r="I365" s="27"/>
      <c r="J365" s="7">
        <f t="shared" si="84"/>
        <v>0</v>
      </c>
      <c r="K365" s="57"/>
      <c r="L365" s="19"/>
      <c r="M365" s="8"/>
      <c r="N365" s="6"/>
      <c r="O365" s="27"/>
      <c r="P365" s="7">
        <f t="shared" si="85"/>
        <v>0</v>
      </c>
    </row>
    <row r="366" spans="1:16" x14ac:dyDescent="0.15">
      <c r="A366" s="29" t="s">
        <v>112</v>
      </c>
      <c r="B366" s="6">
        <v>1</v>
      </c>
      <c r="C366" s="27"/>
      <c r="D366" s="7">
        <f t="shared" si="83"/>
        <v>1</v>
      </c>
      <c r="E366" s="57">
        <v>44587</v>
      </c>
      <c r="F366" s="19"/>
      <c r="G366" s="5"/>
      <c r="H366" s="6"/>
      <c r="I366" s="27"/>
      <c r="J366" s="7">
        <f t="shared" si="84"/>
        <v>0</v>
      </c>
      <c r="K366" s="19"/>
      <c r="L366" s="19"/>
      <c r="M366" s="5"/>
      <c r="N366" s="6"/>
      <c r="O366" s="27"/>
      <c r="P366" s="7">
        <f t="shared" si="85"/>
        <v>0</v>
      </c>
    </row>
    <row r="367" spans="1:16" x14ac:dyDescent="0.15">
      <c r="A367" s="29" t="s">
        <v>179</v>
      </c>
      <c r="B367" s="6">
        <v>1</v>
      </c>
      <c r="C367" s="27"/>
      <c r="D367" s="7">
        <f t="shared" si="83"/>
        <v>1</v>
      </c>
      <c r="E367" s="57">
        <v>44595</v>
      </c>
      <c r="F367" s="19"/>
      <c r="G367" s="8"/>
      <c r="H367" s="6"/>
      <c r="I367" s="27"/>
      <c r="J367" s="7">
        <f t="shared" si="84"/>
        <v>0</v>
      </c>
      <c r="K367" s="19"/>
      <c r="L367" s="19"/>
      <c r="M367" s="8"/>
      <c r="N367" s="6"/>
      <c r="O367" s="27"/>
      <c r="P367" s="7">
        <f t="shared" si="85"/>
        <v>0</v>
      </c>
    </row>
    <row r="368" spans="1:16" x14ac:dyDescent="0.15">
      <c r="A368" s="29" t="s">
        <v>180</v>
      </c>
      <c r="B368" s="6">
        <v>1</v>
      </c>
      <c r="C368" s="27"/>
      <c r="D368" s="7">
        <f t="shared" si="83"/>
        <v>1</v>
      </c>
      <c r="E368" s="57">
        <v>44594</v>
      </c>
      <c r="F368" s="19"/>
      <c r="G368" s="8"/>
      <c r="H368" s="6"/>
      <c r="I368" s="27"/>
      <c r="J368" s="7">
        <f t="shared" si="84"/>
        <v>0</v>
      </c>
      <c r="K368" s="19"/>
      <c r="L368" s="19"/>
      <c r="M368" s="8"/>
      <c r="N368" s="6"/>
      <c r="O368" s="27"/>
      <c r="P368" s="7">
        <f t="shared" si="85"/>
        <v>0</v>
      </c>
    </row>
    <row r="369" spans="1:16" x14ac:dyDescent="0.15">
      <c r="A369" s="29" t="s">
        <v>112</v>
      </c>
      <c r="B369" s="6">
        <v>2</v>
      </c>
      <c r="C369" s="27"/>
      <c r="D369" s="7">
        <f t="shared" ref="D369:D374" si="86">SUM(B369+C369)</f>
        <v>2</v>
      </c>
      <c r="E369" s="57">
        <v>44599</v>
      </c>
      <c r="F369" s="19"/>
      <c r="G369" s="5"/>
      <c r="H369" s="6"/>
      <c r="I369" s="27"/>
      <c r="J369" s="7">
        <f t="shared" si="84"/>
        <v>0</v>
      </c>
      <c r="K369" s="19"/>
      <c r="L369" s="19"/>
      <c r="M369" s="5"/>
      <c r="N369" s="6"/>
      <c r="O369" s="27"/>
      <c r="P369" s="7">
        <f t="shared" si="85"/>
        <v>0</v>
      </c>
    </row>
    <row r="370" spans="1:16" x14ac:dyDescent="0.15">
      <c r="A370" s="29" t="s">
        <v>112</v>
      </c>
      <c r="B370" s="6">
        <f>2+2</f>
        <v>4</v>
      </c>
      <c r="C370" s="27"/>
      <c r="D370" s="7">
        <f t="shared" si="86"/>
        <v>4</v>
      </c>
      <c r="E370" s="57">
        <v>44606</v>
      </c>
      <c r="F370" s="19"/>
      <c r="G370" s="5"/>
      <c r="H370" s="6"/>
      <c r="I370" s="27"/>
      <c r="J370" s="7">
        <f t="shared" si="84"/>
        <v>0</v>
      </c>
      <c r="K370" s="19"/>
      <c r="L370" s="19"/>
      <c r="M370" s="5"/>
      <c r="N370" s="6"/>
      <c r="O370" s="27"/>
      <c r="P370" s="7">
        <f t="shared" si="85"/>
        <v>0</v>
      </c>
    </row>
    <row r="371" spans="1:16" x14ac:dyDescent="0.15">
      <c r="A371" s="29" t="s">
        <v>182</v>
      </c>
      <c r="B371" s="6">
        <v>1</v>
      </c>
      <c r="C371" s="27"/>
      <c r="D371" s="7">
        <f t="shared" si="86"/>
        <v>1</v>
      </c>
      <c r="E371" s="57">
        <v>44613</v>
      </c>
      <c r="F371" s="19"/>
      <c r="G371" s="43"/>
      <c r="H371" s="6"/>
      <c r="I371" s="27"/>
      <c r="J371" s="35">
        <f t="shared" si="84"/>
        <v>0</v>
      </c>
      <c r="K371" s="19"/>
      <c r="L371" s="19"/>
      <c r="M371" s="5"/>
      <c r="N371" s="6"/>
      <c r="O371" s="27"/>
      <c r="P371" s="7">
        <f t="shared" si="85"/>
        <v>0</v>
      </c>
    </row>
    <row r="372" spans="1:16" x14ac:dyDescent="0.15">
      <c r="A372" s="29" t="s">
        <v>183</v>
      </c>
      <c r="B372" s="6">
        <v>1</v>
      </c>
      <c r="C372" s="27"/>
      <c r="D372" s="7">
        <f t="shared" si="86"/>
        <v>1</v>
      </c>
      <c r="E372" s="57">
        <v>44616</v>
      </c>
      <c r="F372" s="19"/>
      <c r="G372" s="43"/>
      <c r="H372" s="6"/>
      <c r="I372" s="27"/>
      <c r="J372" s="35">
        <f t="shared" si="84"/>
        <v>0</v>
      </c>
      <c r="K372" s="19"/>
      <c r="L372" s="19"/>
      <c r="M372" s="8"/>
      <c r="N372" s="6"/>
      <c r="O372" s="27"/>
      <c r="P372" s="7">
        <f t="shared" si="85"/>
        <v>0</v>
      </c>
    </row>
    <row r="373" spans="1:16" x14ac:dyDescent="0.15">
      <c r="A373" s="29" t="s">
        <v>186</v>
      </c>
      <c r="B373" s="6">
        <v>1</v>
      </c>
      <c r="C373" s="27"/>
      <c r="D373" s="7">
        <f t="shared" si="86"/>
        <v>1</v>
      </c>
      <c r="E373" s="57">
        <v>44617</v>
      </c>
      <c r="F373" s="19"/>
      <c r="G373" s="43"/>
      <c r="H373" s="6"/>
      <c r="I373" s="27"/>
      <c r="J373" s="35">
        <f t="shared" si="84"/>
        <v>0</v>
      </c>
      <c r="K373" s="57"/>
      <c r="L373" s="19"/>
      <c r="M373" s="8"/>
      <c r="N373" s="6"/>
      <c r="O373" s="27"/>
      <c r="P373" s="7">
        <f t="shared" si="85"/>
        <v>0</v>
      </c>
    </row>
    <row r="374" spans="1:16" x14ac:dyDescent="0.15">
      <c r="A374" s="29"/>
      <c r="B374" s="6"/>
      <c r="C374" s="27"/>
      <c r="D374" s="7">
        <f t="shared" si="86"/>
        <v>0</v>
      </c>
      <c r="E374" s="57"/>
      <c r="F374" s="19"/>
      <c r="G374" s="43"/>
      <c r="H374" s="6"/>
      <c r="I374" s="27"/>
      <c r="J374" s="35">
        <f t="shared" si="84"/>
        <v>0</v>
      </c>
      <c r="K374" s="19"/>
      <c r="L374" s="19"/>
      <c r="M374" s="5"/>
      <c r="N374" s="6"/>
      <c r="O374" s="27"/>
      <c r="P374" s="7">
        <f t="shared" si="85"/>
        <v>0</v>
      </c>
    </row>
    <row r="375" spans="1:16" x14ac:dyDescent="0.15">
      <c r="A375" s="29"/>
      <c r="B375" s="6"/>
      <c r="C375" s="27"/>
      <c r="D375" s="7">
        <f t="shared" si="83"/>
        <v>0</v>
      </c>
      <c r="E375" s="57"/>
      <c r="F375" s="19"/>
      <c r="G375" s="8"/>
      <c r="H375" s="6"/>
      <c r="I375" s="27"/>
      <c r="J375" s="35">
        <f t="shared" si="84"/>
        <v>0</v>
      </c>
      <c r="K375" s="19"/>
      <c r="L375" s="19"/>
      <c r="M375" s="8"/>
      <c r="N375" s="6"/>
      <c r="O375" s="27"/>
      <c r="P375" s="7">
        <f t="shared" si="85"/>
        <v>0</v>
      </c>
    </row>
    <row r="376" spans="1:16" ht="14.25" thickBot="1" x14ac:dyDescent="0.2">
      <c r="A376" s="5"/>
      <c r="B376" s="6"/>
      <c r="C376" s="27"/>
      <c r="D376" s="7">
        <f t="shared" si="83"/>
        <v>0</v>
      </c>
      <c r="E376" s="19"/>
      <c r="F376" s="19"/>
      <c r="G376" s="23"/>
      <c r="H376" s="6"/>
      <c r="I376" s="27"/>
      <c r="J376" s="7">
        <f t="shared" si="84"/>
        <v>0</v>
      </c>
      <c r="K376" s="57"/>
      <c r="L376" s="19"/>
      <c r="M376" s="23"/>
      <c r="N376" s="6"/>
      <c r="O376" s="27"/>
      <c r="P376" s="7">
        <f t="shared" si="85"/>
        <v>0</v>
      </c>
    </row>
    <row r="377" spans="1:16" ht="14.25" thickBot="1" x14ac:dyDescent="0.2">
      <c r="A377" s="9" t="s">
        <v>3</v>
      </c>
      <c r="B377" s="10">
        <f>SUM(B353:B376)</f>
        <v>33</v>
      </c>
      <c r="C377" s="66">
        <f>SUM(C353:C376)</f>
        <v>0</v>
      </c>
      <c r="D377" s="11">
        <f>SUM(D353:D376)</f>
        <v>33</v>
      </c>
      <c r="G377" s="9" t="s">
        <v>3</v>
      </c>
      <c r="H377" s="10">
        <f>SUM(H353:H376)</f>
        <v>125</v>
      </c>
      <c r="I377" s="66">
        <f>SUM(I353:I376)</f>
        <v>0</v>
      </c>
      <c r="J377" s="11">
        <f>SUM(J353:J376)</f>
        <v>125</v>
      </c>
      <c r="M377" s="9" t="s">
        <v>3</v>
      </c>
      <c r="N377" s="10">
        <f>SUM(N353:N376)</f>
        <v>0</v>
      </c>
      <c r="O377" s="66">
        <f>SUM(O353:O376)</f>
        <v>0</v>
      </c>
      <c r="P377" s="11">
        <f>SUM(P353:P376)</f>
        <v>0</v>
      </c>
    </row>
    <row r="378" spans="1:16" ht="14.25" thickBot="1" x14ac:dyDescent="0.2">
      <c r="A378" s="14" t="s">
        <v>4</v>
      </c>
      <c r="B378" s="16">
        <f>B352-B377</f>
        <v>17</v>
      </c>
      <c r="C378" s="16">
        <f>C352-C377</f>
        <v>0</v>
      </c>
      <c r="D378" s="16">
        <f>D352-D377</f>
        <v>17</v>
      </c>
      <c r="G378" s="14" t="s">
        <v>4</v>
      </c>
      <c r="H378" s="16">
        <f>H352-H377</f>
        <v>654</v>
      </c>
      <c r="I378" s="16">
        <f>I352-I377</f>
        <v>0</v>
      </c>
      <c r="J378" s="16">
        <f>J352-J377</f>
        <v>654</v>
      </c>
      <c r="M378" s="14" t="s">
        <v>4</v>
      </c>
      <c r="N378" s="16">
        <f>N352-N377</f>
        <v>0</v>
      </c>
      <c r="O378" s="16">
        <f>O352-O377</f>
        <v>0</v>
      </c>
      <c r="P378" s="16">
        <f>P352-P377</f>
        <v>0</v>
      </c>
    </row>
    <row r="381" spans="1:16" ht="24" x14ac:dyDescent="0.25">
      <c r="A381" s="25" t="s">
        <v>7</v>
      </c>
      <c r="B381" s="1"/>
      <c r="C381" s="1"/>
      <c r="D381" s="1"/>
      <c r="G381" s="25" t="s">
        <v>8</v>
      </c>
      <c r="H381" s="1"/>
      <c r="I381" s="1"/>
      <c r="J381" s="1"/>
      <c r="M381" s="25" t="s">
        <v>9</v>
      </c>
      <c r="N381" s="1"/>
      <c r="O381" s="1"/>
      <c r="P381" s="1"/>
    </row>
    <row r="382" spans="1:16" ht="14.25" thickBot="1" x14ac:dyDescent="0.2">
      <c r="A382" s="1"/>
      <c r="B382" s="1"/>
      <c r="C382" s="1"/>
      <c r="D382" s="1"/>
      <c r="G382" s="1"/>
      <c r="H382" s="1"/>
      <c r="I382" s="1"/>
      <c r="J382" s="1"/>
      <c r="M382" s="1"/>
      <c r="N382" s="1"/>
      <c r="O382" s="1"/>
      <c r="P382" s="1"/>
    </row>
    <row r="383" spans="1:16" ht="14.25" thickBot="1" x14ac:dyDescent="0.2">
      <c r="A383" s="2"/>
      <c r="B383" s="50" t="s">
        <v>115</v>
      </c>
      <c r="C383" s="50" t="s">
        <v>116</v>
      </c>
      <c r="D383" s="2" t="s">
        <v>0</v>
      </c>
      <c r="G383" s="2"/>
      <c r="H383" s="50" t="s">
        <v>115</v>
      </c>
      <c r="I383" s="50" t="s">
        <v>116</v>
      </c>
      <c r="J383" s="2" t="s">
        <v>0</v>
      </c>
      <c r="M383" s="2"/>
      <c r="N383" s="50" t="s">
        <v>115</v>
      </c>
      <c r="O383" s="50" t="s">
        <v>116</v>
      </c>
      <c r="P383" s="2" t="s">
        <v>0</v>
      </c>
    </row>
    <row r="384" spans="1:16" x14ac:dyDescent="0.15">
      <c r="A384" s="32" t="s">
        <v>4</v>
      </c>
      <c r="B384" s="48">
        <f>B378</f>
        <v>17</v>
      </c>
      <c r="C384" s="76">
        <f>C378</f>
        <v>0</v>
      </c>
      <c r="D384" s="47">
        <f>SUM(B384+C384)</f>
        <v>17</v>
      </c>
      <c r="G384" s="13" t="s">
        <v>6</v>
      </c>
      <c r="H384" s="48">
        <f>H378</f>
        <v>654</v>
      </c>
      <c r="I384" s="80">
        <f>I378</f>
        <v>0</v>
      </c>
      <c r="J384" s="47">
        <f>SUM(H384+I384)</f>
        <v>654</v>
      </c>
      <c r="K384" s="19"/>
      <c r="M384" s="13" t="s">
        <v>6</v>
      </c>
      <c r="N384" s="48">
        <f>N378</f>
        <v>0</v>
      </c>
      <c r="O384" s="80">
        <f>O378</f>
        <v>0</v>
      </c>
      <c r="P384" s="47">
        <f>SUM(N384+O384)</f>
        <v>0</v>
      </c>
    </row>
    <row r="385" spans="1:16" x14ac:dyDescent="0.15">
      <c r="A385" s="3" t="s">
        <v>185</v>
      </c>
      <c r="B385" s="73">
        <v>5</v>
      </c>
      <c r="C385" s="71">
        <v>5</v>
      </c>
      <c r="D385" s="7">
        <f>SUM(B385+C385)</f>
        <v>10</v>
      </c>
      <c r="E385" s="57">
        <v>44617</v>
      </c>
      <c r="G385" s="4" t="s">
        <v>1</v>
      </c>
      <c r="H385" s="74"/>
      <c r="I385" s="78">
        <v>5</v>
      </c>
      <c r="J385" s="21">
        <f>SUM(H385+I385)</f>
        <v>5</v>
      </c>
      <c r="K385" s="57"/>
      <c r="M385" s="4" t="s">
        <v>1</v>
      </c>
      <c r="N385" s="74"/>
      <c r="O385" s="78"/>
      <c r="P385" s="21">
        <f>SUM(N385+O385)</f>
        <v>0</v>
      </c>
    </row>
    <row r="386" spans="1:16" x14ac:dyDescent="0.15">
      <c r="A386" s="3" t="s">
        <v>1</v>
      </c>
      <c r="B386" s="24">
        <v>20</v>
      </c>
      <c r="C386" s="77"/>
      <c r="D386" s="7">
        <f t="shared" ref="D386:D389" si="87">SUM(B386+C386)</f>
        <v>20</v>
      </c>
      <c r="E386" s="57">
        <v>44629</v>
      </c>
      <c r="G386" s="4" t="s">
        <v>1</v>
      </c>
      <c r="H386" s="74"/>
      <c r="I386" s="78"/>
      <c r="J386" s="21">
        <f t="shared" ref="J386:J389" si="88">SUM(H386+I386)</f>
        <v>0</v>
      </c>
      <c r="K386" s="57"/>
      <c r="M386" s="4" t="s">
        <v>1</v>
      </c>
      <c r="N386" s="74"/>
      <c r="O386" s="78"/>
      <c r="P386" s="21">
        <f t="shared" ref="P386:P389" si="89">SUM(N386+O386)</f>
        <v>0</v>
      </c>
    </row>
    <row r="387" spans="1:16" x14ac:dyDescent="0.15">
      <c r="A387" s="3" t="s">
        <v>1</v>
      </c>
      <c r="B387" s="79">
        <v>15</v>
      </c>
      <c r="C387" s="1"/>
      <c r="D387" s="7">
        <f t="shared" si="87"/>
        <v>15</v>
      </c>
      <c r="E387" s="57">
        <v>44659</v>
      </c>
      <c r="G387" s="4" t="s">
        <v>1</v>
      </c>
      <c r="H387" s="74"/>
      <c r="I387" s="78"/>
      <c r="J387" s="21">
        <f t="shared" ref="J387:J388" si="90">SUM(H387+I387)</f>
        <v>0</v>
      </c>
      <c r="K387" s="57"/>
      <c r="M387" s="4" t="s">
        <v>1</v>
      </c>
      <c r="N387" s="74"/>
      <c r="O387" s="78"/>
      <c r="P387" s="21">
        <f t="shared" si="89"/>
        <v>0</v>
      </c>
    </row>
    <row r="388" spans="1:16" x14ac:dyDescent="0.15">
      <c r="A388" s="3" t="s">
        <v>1</v>
      </c>
      <c r="B388" s="74">
        <v>20</v>
      </c>
      <c r="C388" s="78"/>
      <c r="D388" s="7">
        <f t="shared" si="87"/>
        <v>20</v>
      </c>
      <c r="E388" s="57">
        <v>44676</v>
      </c>
      <c r="G388" s="4" t="s">
        <v>1</v>
      </c>
      <c r="H388" s="74"/>
      <c r="I388" s="78"/>
      <c r="J388" s="21">
        <f t="shared" si="90"/>
        <v>0</v>
      </c>
      <c r="K388" s="57"/>
      <c r="M388" s="3" t="s">
        <v>1</v>
      </c>
      <c r="N388" s="74"/>
      <c r="O388" s="78"/>
      <c r="P388" s="7">
        <f t="shared" si="89"/>
        <v>0</v>
      </c>
    </row>
    <row r="389" spans="1:16" ht="14.25" thickBot="1" x14ac:dyDescent="0.2">
      <c r="A389" s="4" t="s">
        <v>1</v>
      </c>
      <c r="B389" s="74">
        <v>30</v>
      </c>
      <c r="C389" s="78"/>
      <c r="D389" s="21">
        <f t="shared" si="87"/>
        <v>30</v>
      </c>
      <c r="E389" s="57">
        <v>44677</v>
      </c>
      <c r="G389" s="4" t="s">
        <v>1</v>
      </c>
      <c r="H389" s="75"/>
      <c r="I389" s="17"/>
      <c r="J389" s="22">
        <f t="shared" si="88"/>
        <v>0</v>
      </c>
      <c r="M389" s="4" t="s">
        <v>1</v>
      </c>
      <c r="N389" s="75"/>
      <c r="O389" s="17"/>
      <c r="P389" s="22">
        <f t="shared" si="89"/>
        <v>0</v>
      </c>
    </row>
    <row r="390" spans="1:16" ht="14.25" thickBot="1" x14ac:dyDescent="0.2">
      <c r="A390" s="14" t="s">
        <v>2</v>
      </c>
      <c r="B390" s="84">
        <f>SUM(B384:B389)</f>
        <v>107</v>
      </c>
      <c r="C390" s="83">
        <f>SUM(C384:C389)</f>
        <v>5</v>
      </c>
      <c r="D390" s="84">
        <f>SUM(B390+C390)</f>
        <v>112</v>
      </c>
      <c r="G390" s="14" t="s">
        <v>2</v>
      </c>
      <c r="H390" s="15">
        <f>SUM(H384:H389)</f>
        <v>654</v>
      </c>
      <c r="I390" s="65">
        <f>SUM(I384:I389)</f>
        <v>5</v>
      </c>
      <c r="J390" s="18">
        <f>SUM(H390+I390)</f>
        <v>659</v>
      </c>
      <c r="M390" s="14" t="s">
        <v>2</v>
      </c>
      <c r="N390" s="15">
        <f>SUM(N384:N389)</f>
        <v>0</v>
      </c>
      <c r="O390" s="65">
        <f>SUM(O384:O389)</f>
        <v>0</v>
      </c>
      <c r="P390" s="18">
        <f>SUM(N390+O390)</f>
        <v>0</v>
      </c>
    </row>
    <row r="391" spans="1:16" x14ac:dyDescent="0.15">
      <c r="A391" s="29" t="s">
        <v>187</v>
      </c>
      <c r="B391" s="6">
        <v>1</v>
      </c>
      <c r="C391" s="27">
        <v>1</v>
      </c>
      <c r="D391" s="7">
        <f>SUM(B391+C391)</f>
        <v>2</v>
      </c>
      <c r="E391" s="57">
        <v>44621</v>
      </c>
      <c r="F391" s="19"/>
      <c r="G391" s="43" t="s">
        <v>184</v>
      </c>
      <c r="H391" s="6">
        <v>5</v>
      </c>
      <c r="I391" s="27">
        <v>5</v>
      </c>
      <c r="J391" s="7">
        <f t="shared" ref="J391" si="91">SUM(H391+I391)</f>
        <v>10</v>
      </c>
      <c r="K391" s="57">
        <v>44617</v>
      </c>
      <c r="L391" s="19"/>
      <c r="M391" s="5"/>
      <c r="N391" s="6"/>
      <c r="O391" s="27"/>
      <c r="P391" s="7">
        <f>SUM(N391+O391)</f>
        <v>0</v>
      </c>
    </row>
    <row r="392" spans="1:16" x14ac:dyDescent="0.15">
      <c r="A392" s="29" t="s">
        <v>188</v>
      </c>
      <c r="B392" s="6">
        <v>1</v>
      </c>
      <c r="C392" s="27"/>
      <c r="D392" s="7">
        <f>SUM(B392+C392)</f>
        <v>1</v>
      </c>
      <c r="E392" s="57">
        <v>44621</v>
      </c>
      <c r="F392" s="19"/>
      <c r="G392" s="43" t="s">
        <v>21</v>
      </c>
      <c r="H392" s="6">
        <v>20</v>
      </c>
      <c r="I392" s="27"/>
      <c r="J392" s="7">
        <f>SUM(H392+I392)</f>
        <v>20</v>
      </c>
      <c r="K392" s="57">
        <v>44629</v>
      </c>
      <c r="L392" s="19"/>
      <c r="M392" s="5"/>
      <c r="N392" s="6"/>
      <c r="O392" s="27"/>
      <c r="P392" s="7">
        <f>SUM(N392+O392)</f>
        <v>0</v>
      </c>
    </row>
    <row r="393" spans="1:16" x14ac:dyDescent="0.15">
      <c r="A393" s="29" t="s">
        <v>112</v>
      </c>
      <c r="B393" s="6">
        <v>2</v>
      </c>
      <c r="C393" s="27"/>
      <c r="D393" s="7">
        <f t="shared" ref="D393:D414" si="92">SUM(B393+C393)</f>
        <v>2</v>
      </c>
      <c r="E393" s="57">
        <v>44622</v>
      </c>
      <c r="F393" s="19"/>
      <c r="G393" s="43" t="s">
        <v>21</v>
      </c>
      <c r="H393" s="6">
        <v>15</v>
      </c>
      <c r="I393" s="27"/>
      <c r="J393" s="7">
        <f t="shared" ref="J393:J410" si="93">SUM(H393+I393)</f>
        <v>15</v>
      </c>
      <c r="K393" s="57">
        <v>44659</v>
      </c>
      <c r="L393" s="19"/>
      <c r="M393" s="5"/>
      <c r="N393" s="6"/>
      <c r="O393" s="27"/>
      <c r="P393" s="7">
        <f t="shared" ref="P393:P414" si="94">SUM(N393+O393)</f>
        <v>0</v>
      </c>
    </row>
    <row r="394" spans="1:16" x14ac:dyDescent="0.15">
      <c r="A394" s="29" t="s">
        <v>112</v>
      </c>
      <c r="B394" s="6">
        <f>2+1</f>
        <v>3</v>
      </c>
      <c r="C394" s="27"/>
      <c r="D394" s="7">
        <f t="shared" si="92"/>
        <v>3</v>
      </c>
      <c r="E394" s="57">
        <v>44625</v>
      </c>
      <c r="F394" s="19"/>
      <c r="G394" s="43" t="s">
        <v>21</v>
      </c>
      <c r="H394" s="6">
        <v>20</v>
      </c>
      <c r="I394" s="27"/>
      <c r="J394" s="7">
        <f t="shared" si="93"/>
        <v>20</v>
      </c>
      <c r="K394" s="57">
        <v>44676</v>
      </c>
      <c r="L394" s="19"/>
      <c r="M394" s="5"/>
      <c r="N394" s="6"/>
      <c r="O394" s="27"/>
      <c r="P394" s="7">
        <f t="shared" si="94"/>
        <v>0</v>
      </c>
    </row>
    <row r="395" spans="1:16" x14ac:dyDescent="0.15">
      <c r="A395" s="29" t="s">
        <v>112</v>
      </c>
      <c r="B395" s="6">
        <v>2</v>
      </c>
      <c r="C395" s="27"/>
      <c r="D395" s="7">
        <f t="shared" si="92"/>
        <v>2</v>
      </c>
      <c r="E395" s="57">
        <v>44627</v>
      </c>
      <c r="F395" s="19"/>
      <c r="G395" s="43" t="s">
        <v>21</v>
      </c>
      <c r="H395" s="24">
        <v>30</v>
      </c>
      <c r="I395" s="77"/>
      <c r="J395" s="7">
        <f t="shared" si="93"/>
        <v>30</v>
      </c>
      <c r="K395" s="57">
        <v>44677</v>
      </c>
      <c r="L395" s="19"/>
      <c r="M395" s="5"/>
      <c r="N395" s="6"/>
      <c r="O395" s="27"/>
      <c r="P395" s="7">
        <f t="shared" si="94"/>
        <v>0</v>
      </c>
    </row>
    <row r="396" spans="1:16" x14ac:dyDescent="0.15">
      <c r="A396" s="29" t="s">
        <v>112</v>
      </c>
      <c r="B396" s="6">
        <f>4+2</f>
        <v>6</v>
      </c>
      <c r="C396" s="27"/>
      <c r="D396" s="7">
        <f t="shared" si="92"/>
        <v>6</v>
      </c>
      <c r="E396" s="57">
        <v>44628</v>
      </c>
      <c r="F396" s="19"/>
      <c r="G396" s="43"/>
      <c r="H396" s="6"/>
      <c r="I396" s="27"/>
      <c r="J396" s="7">
        <f t="shared" si="93"/>
        <v>0</v>
      </c>
      <c r="K396" s="57"/>
      <c r="L396" s="19"/>
      <c r="M396" s="8"/>
      <c r="N396" s="6"/>
      <c r="O396" s="27"/>
      <c r="P396" s="7">
        <f t="shared" si="94"/>
        <v>0</v>
      </c>
    </row>
    <row r="397" spans="1:16" x14ac:dyDescent="0.15">
      <c r="A397" s="29" t="s">
        <v>112</v>
      </c>
      <c r="B397" s="6">
        <v>1</v>
      </c>
      <c r="C397" s="27"/>
      <c r="D397" s="7">
        <f t="shared" si="92"/>
        <v>1</v>
      </c>
      <c r="E397" s="57">
        <v>44629</v>
      </c>
      <c r="F397" s="19"/>
      <c r="G397" s="5"/>
      <c r="H397" s="6"/>
      <c r="I397" s="27"/>
      <c r="J397" s="7">
        <f t="shared" si="93"/>
        <v>0</v>
      </c>
      <c r="K397" s="57"/>
      <c r="L397" s="19"/>
      <c r="M397" s="5"/>
      <c r="N397" s="6"/>
      <c r="O397" s="27"/>
      <c r="P397" s="7">
        <f t="shared" si="94"/>
        <v>0</v>
      </c>
    </row>
    <row r="398" spans="1:16" x14ac:dyDescent="0.15">
      <c r="A398" s="29" t="s">
        <v>112</v>
      </c>
      <c r="B398" s="6">
        <v>1</v>
      </c>
      <c r="C398" s="27"/>
      <c r="D398" s="7">
        <f t="shared" si="92"/>
        <v>1</v>
      </c>
      <c r="E398" s="57">
        <v>44630</v>
      </c>
      <c r="F398" s="19"/>
      <c r="G398" s="43"/>
      <c r="H398" s="6"/>
      <c r="I398" s="27"/>
      <c r="J398" s="7">
        <f t="shared" si="93"/>
        <v>0</v>
      </c>
      <c r="K398" s="57"/>
      <c r="L398" s="19"/>
      <c r="M398" s="5"/>
      <c r="N398" s="6"/>
      <c r="O398" s="27"/>
      <c r="P398" s="7">
        <f t="shared" si="94"/>
        <v>0</v>
      </c>
    </row>
    <row r="399" spans="1:16" x14ac:dyDescent="0.15">
      <c r="A399" s="29" t="s">
        <v>112</v>
      </c>
      <c r="B399" s="6">
        <v>2</v>
      </c>
      <c r="C399" s="27"/>
      <c r="D399" s="7">
        <f t="shared" si="92"/>
        <v>2</v>
      </c>
      <c r="E399" s="57">
        <v>44631</v>
      </c>
      <c r="F399" s="19"/>
      <c r="G399" s="43"/>
      <c r="H399" s="6"/>
      <c r="I399" s="27"/>
      <c r="J399" s="7">
        <f t="shared" si="93"/>
        <v>0</v>
      </c>
      <c r="K399" s="57"/>
      <c r="L399" s="19"/>
      <c r="M399" s="8"/>
      <c r="N399" s="6"/>
      <c r="O399" s="27"/>
      <c r="P399" s="7">
        <f t="shared" si="94"/>
        <v>0</v>
      </c>
    </row>
    <row r="400" spans="1:16" x14ac:dyDescent="0.15">
      <c r="A400" s="29" t="s">
        <v>112</v>
      </c>
      <c r="B400" s="6">
        <v>1</v>
      </c>
      <c r="C400" s="27"/>
      <c r="D400" s="7">
        <f t="shared" si="92"/>
        <v>1</v>
      </c>
      <c r="E400" s="57">
        <v>44636</v>
      </c>
      <c r="F400" s="19"/>
      <c r="G400" s="43"/>
      <c r="H400" s="6"/>
      <c r="I400" s="27"/>
      <c r="J400" s="7">
        <f t="shared" si="93"/>
        <v>0</v>
      </c>
      <c r="K400" s="57"/>
      <c r="L400" s="19"/>
      <c r="M400" s="8"/>
      <c r="N400" s="6"/>
      <c r="O400" s="27"/>
      <c r="P400" s="7">
        <f t="shared" si="94"/>
        <v>0</v>
      </c>
    </row>
    <row r="401" spans="1:16" x14ac:dyDescent="0.15">
      <c r="A401" s="29" t="s">
        <v>112</v>
      </c>
      <c r="B401" s="6">
        <f>2+1</f>
        <v>3</v>
      </c>
      <c r="C401" s="27"/>
      <c r="D401" s="7">
        <f t="shared" si="92"/>
        <v>3</v>
      </c>
      <c r="E401" s="57">
        <v>44642</v>
      </c>
      <c r="F401" s="19"/>
      <c r="G401" s="43"/>
      <c r="H401" s="6"/>
      <c r="I401" s="27"/>
      <c r="J401" s="7">
        <f t="shared" si="93"/>
        <v>0</v>
      </c>
      <c r="K401" s="57"/>
      <c r="L401" s="19"/>
      <c r="M401" s="5"/>
      <c r="N401" s="6"/>
      <c r="O401" s="27"/>
      <c r="P401" s="7">
        <f t="shared" si="94"/>
        <v>0</v>
      </c>
    </row>
    <row r="402" spans="1:16" x14ac:dyDescent="0.15">
      <c r="A402" s="29" t="s">
        <v>112</v>
      </c>
      <c r="B402" s="6">
        <f>1</f>
        <v>1</v>
      </c>
      <c r="C402" s="27"/>
      <c r="D402" s="7">
        <f t="shared" si="92"/>
        <v>1</v>
      </c>
      <c r="E402" s="57">
        <v>44648</v>
      </c>
      <c r="F402" s="19"/>
      <c r="G402" s="43"/>
      <c r="H402" s="6"/>
      <c r="I402" s="27"/>
      <c r="J402" s="7">
        <f t="shared" si="93"/>
        <v>0</v>
      </c>
      <c r="K402" s="57"/>
      <c r="L402" s="19"/>
      <c r="M402" s="5"/>
      <c r="N402" s="6"/>
      <c r="O402" s="27"/>
      <c r="P402" s="7">
        <f t="shared" si="94"/>
        <v>0</v>
      </c>
    </row>
    <row r="403" spans="1:16" x14ac:dyDescent="0.15">
      <c r="A403" s="29" t="s">
        <v>112</v>
      </c>
      <c r="B403" s="6">
        <v>2</v>
      </c>
      <c r="C403" s="27"/>
      <c r="D403" s="7">
        <f t="shared" si="92"/>
        <v>2</v>
      </c>
      <c r="E403" s="57">
        <v>44649</v>
      </c>
      <c r="F403" s="19"/>
      <c r="G403" s="43"/>
      <c r="H403" s="6"/>
      <c r="I403" s="27"/>
      <c r="J403" s="7">
        <f t="shared" si="93"/>
        <v>0</v>
      </c>
      <c r="K403" s="57"/>
      <c r="L403" s="19"/>
      <c r="M403" s="8"/>
      <c r="N403" s="6"/>
      <c r="O403" s="27"/>
      <c r="P403" s="7">
        <f t="shared" si="94"/>
        <v>0</v>
      </c>
    </row>
    <row r="404" spans="1:16" x14ac:dyDescent="0.15">
      <c r="A404" s="29" t="s">
        <v>112</v>
      </c>
      <c r="B404" s="6">
        <f>2+1</f>
        <v>3</v>
      </c>
      <c r="C404" s="27"/>
      <c r="D404" s="7">
        <f t="shared" si="92"/>
        <v>3</v>
      </c>
      <c r="E404" s="57">
        <v>44655</v>
      </c>
      <c r="F404" s="19"/>
      <c r="G404" s="5"/>
      <c r="H404" s="6"/>
      <c r="I404" s="27"/>
      <c r="J404" s="7">
        <f t="shared" si="93"/>
        <v>0</v>
      </c>
      <c r="K404" s="19"/>
      <c r="L404" s="19"/>
      <c r="M404" s="5"/>
      <c r="N404" s="6"/>
      <c r="O404" s="27"/>
      <c r="P404" s="7">
        <f t="shared" si="94"/>
        <v>0</v>
      </c>
    </row>
    <row r="405" spans="1:16" x14ac:dyDescent="0.15">
      <c r="A405" s="29" t="s">
        <v>112</v>
      </c>
      <c r="B405" s="6">
        <v>3</v>
      </c>
      <c r="C405" s="27"/>
      <c r="D405" s="7">
        <f t="shared" si="92"/>
        <v>3</v>
      </c>
      <c r="E405" s="57">
        <v>44656</v>
      </c>
      <c r="F405" s="19"/>
      <c r="G405" s="8"/>
      <c r="H405" s="6"/>
      <c r="I405" s="27"/>
      <c r="J405" s="7">
        <f t="shared" si="93"/>
        <v>0</v>
      </c>
      <c r="K405" s="19"/>
      <c r="L405" s="19"/>
      <c r="M405" s="8"/>
      <c r="N405" s="6"/>
      <c r="O405" s="27"/>
      <c r="P405" s="7">
        <f t="shared" si="94"/>
        <v>0</v>
      </c>
    </row>
    <row r="406" spans="1:16" x14ac:dyDescent="0.15">
      <c r="A406" s="29" t="s">
        <v>112</v>
      </c>
      <c r="B406" s="6">
        <f>3+2</f>
        <v>5</v>
      </c>
      <c r="C406" s="27">
        <v>1</v>
      </c>
      <c r="D406" s="7">
        <f t="shared" si="92"/>
        <v>6</v>
      </c>
      <c r="E406" s="57">
        <v>44662</v>
      </c>
      <c r="F406" s="19"/>
      <c r="G406" s="8"/>
      <c r="H406" s="6"/>
      <c r="I406" s="27"/>
      <c r="J406" s="7">
        <f t="shared" si="93"/>
        <v>0</v>
      </c>
      <c r="K406" s="19"/>
      <c r="L406" s="19"/>
      <c r="M406" s="8"/>
      <c r="N406" s="6"/>
      <c r="O406" s="27"/>
      <c r="P406" s="7">
        <f t="shared" si="94"/>
        <v>0</v>
      </c>
    </row>
    <row r="407" spans="1:16" x14ac:dyDescent="0.15">
      <c r="A407" s="29" t="s">
        <v>112</v>
      </c>
      <c r="B407" s="6">
        <v>1</v>
      </c>
      <c r="C407" s="27"/>
      <c r="D407" s="7">
        <f t="shared" si="92"/>
        <v>1</v>
      </c>
      <c r="E407" s="57">
        <v>44663</v>
      </c>
      <c r="F407" s="19"/>
      <c r="G407" s="5"/>
      <c r="H407" s="6"/>
      <c r="I407" s="27"/>
      <c r="J407" s="7">
        <f t="shared" si="93"/>
        <v>0</v>
      </c>
      <c r="K407" s="19"/>
      <c r="L407" s="19"/>
      <c r="M407" s="5"/>
      <c r="N407" s="6"/>
      <c r="O407" s="27"/>
      <c r="P407" s="7">
        <f t="shared" si="94"/>
        <v>0</v>
      </c>
    </row>
    <row r="408" spans="1:16" x14ac:dyDescent="0.15">
      <c r="A408" s="29" t="s">
        <v>112</v>
      </c>
      <c r="B408" s="6">
        <v>1</v>
      </c>
      <c r="C408" s="27"/>
      <c r="D408" s="7">
        <f t="shared" si="92"/>
        <v>1</v>
      </c>
      <c r="E408" s="57">
        <v>44664</v>
      </c>
      <c r="F408" s="19"/>
      <c r="G408" s="5"/>
      <c r="H408" s="6"/>
      <c r="I408" s="27"/>
      <c r="J408" s="7">
        <f t="shared" si="93"/>
        <v>0</v>
      </c>
      <c r="K408" s="19"/>
      <c r="L408" s="19"/>
      <c r="M408" s="5"/>
      <c r="N408" s="6"/>
      <c r="O408" s="27"/>
      <c r="P408" s="7">
        <f t="shared" si="94"/>
        <v>0</v>
      </c>
    </row>
    <row r="409" spans="1:16" x14ac:dyDescent="0.15">
      <c r="A409" s="29" t="s">
        <v>112</v>
      </c>
      <c r="B409" s="6">
        <v>2</v>
      </c>
      <c r="C409" s="27"/>
      <c r="D409" s="7">
        <f t="shared" si="92"/>
        <v>2</v>
      </c>
      <c r="E409" s="57">
        <v>44665</v>
      </c>
      <c r="F409" s="19"/>
      <c r="G409" s="43"/>
      <c r="H409" s="6"/>
      <c r="I409" s="27"/>
      <c r="J409" s="35">
        <f t="shared" si="93"/>
        <v>0</v>
      </c>
      <c r="K409" s="19"/>
      <c r="L409" s="19"/>
      <c r="M409" s="5"/>
      <c r="N409" s="6"/>
      <c r="O409" s="27"/>
      <c r="P409" s="7">
        <f t="shared" si="94"/>
        <v>0</v>
      </c>
    </row>
    <row r="410" spans="1:16" x14ac:dyDescent="0.15">
      <c r="A410" s="29" t="s">
        <v>112</v>
      </c>
      <c r="B410" s="6">
        <v>2</v>
      </c>
      <c r="C410" s="27">
        <v>2</v>
      </c>
      <c r="D410" s="7">
        <f t="shared" si="92"/>
        <v>4</v>
      </c>
      <c r="E410" s="57">
        <v>44671</v>
      </c>
      <c r="F410" s="19"/>
      <c r="G410" s="43"/>
      <c r="H410" s="6"/>
      <c r="I410" s="27"/>
      <c r="J410" s="35">
        <f t="shared" si="93"/>
        <v>0</v>
      </c>
      <c r="K410" s="19"/>
      <c r="L410" s="19"/>
      <c r="M410" s="8"/>
      <c r="N410" s="6"/>
      <c r="O410" s="27"/>
      <c r="P410" s="7">
        <f t="shared" si="94"/>
        <v>0</v>
      </c>
    </row>
    <row r="411" spans="1:16" x14ac:dyDescent="0.15">
      <c r="A411" s="29" t="s">
        <v>112</v>
      </c>
      <c r="B411" s="6">
        <v>1</v>
      </c>
      <c r="C411" s="27"/>
      <c r="D411" s="7">
        <f t="shared" si="92"/>
        <v>1</v>
      </c>
      <c r="E411" s="57">
        <v>44672</v>
      </c>
      <c r="F411" s="19"/>
      <c r="G411" s="43"/>
      <c r="H411" s="6"/>
      <c r="I411" s="27"/>
      <c r="J411" s="35">
        <f t="shared" ref="J411:J414" si="95">SUM(H411+I411)</f>
        <v>0</v>
      </c>
      <c r="K411" s="19"/>
      <c r="L411" s="19"/>
      <c r="M411" s="8"/>
      <c r="N411" s="6"/>
      <c r="O411" s="27"/>
      <c r="P411" s="7">
        <f t="shared" si="94"/>
        <v>0</v>
      </c>
    </row>
    <row r="412" spans="1:16" x14ac:dyDescent="0.15">
      <c r="A412" s="29" t="s">
        <v>112</v>
      </c>
      <c r="B412" s="6">
        <f>1+6</f>
        <v>7</v>
      </c>
      <c r="C412" s="27"/>
      <c r="D412" s="7">
        <f t="shared" si="92"/>
        <v>7</v>
      </c>
      <c r="E412" s="57">
        <v>44673</v>
      </c>
      <c r="F412" s="19"/>
      <c r="G412" s="43"/>
      <c r="H412" s="6"/>
      <c r="I412" s="27"/>
      <c r="J412" s="35">
        <f t="shared" si="95"/>
        <v>0</v>
      </c>
      <c r="K412" s="19"/>
      <c r="L412" s="19"/>
      <c r="M412" s="5"/>
      <c r="N412" s="6"/>
      <c r="O412" s="27"/>
      <c r="P412" s="7">
        <f t="shared" si="94"/>
        <v>0</v>
      </c>
    </row>
    <row r="413" spans="1:16" x14ac:dyDescent="0.15">
      <c r="A413" s="29" t="s">
        <v>112</v>
      </c>
      <c r="B413" s="6">
        <f>7+10</f>
        <v>17</v>
      </c>
      <c r="C413" s="27"/>
      <c r="D413" s="7">
        <f t="shared" si="92"/>
        <v>17</v>
      </c>
      <c r="E413" s="57">
        <v>44676</v>
      </c>
      <c r="F413" s="19"/>
      <c r="G413" s="43"/>
      <c r="H413" s="6"/>
      <c r="I413" s="27"/>
      <c r="J413" s="35">
        <f t="shared" si="95"/>
        <v>0</v>
      </c>
      <c r="K413" s="19"/>
      <c r="L413" s="19"/>
      <c r="M413" s="8"/>
      <c r="N413" s="6"/>
      <c r="O413" s="27"/>
      <c r="P413" s="7">
        <f t="shared" si="94"/>
        <v>0</v>
      </c>
    </row>
    <row r="414" spans="1:16" ht="14.25" thickBot="1" x14ac:dyDescent="0.2">
      <c r="A414" s="29" t="s">
        <v>112</v>
      </c>
      <c r="B414" s="6">
        <f>2+1</f>
        <v>3</v>
      </c>
      <c r="C414" s="27"/>
      <c r="D414" s="7">
        <f t="shared" si="92"/>
        <v>3</v>
      </c>
      <c r="E414" s="57">
        <v>44677</v>
      </c>
      <c r="F414" s="19"/>
      <c r="G414" s="43"/>
      <c r="H414" s="6"/>
      <c r="I414" s="27"/>
      <c r="J414" s="35">
        <f t="shared" si="95"/>
        <v>0</v>
      </c>
      <c r="K414" s="19"/>
      <c r="L414" s="19"/>
      <c r="M414" s="23"/>
      <c r="N414" s="6"/>
      <c r="O414" s="27"/>
      <c r="P414" s="7">
        <f t="shared" si="94"/>
        <v>0</v>
      </c>
    </row>
    <row r="415" spans="1:16" ht="14.25" thickBot="1" x14ac:dyDescent="0.2">
      <c r="A415" s="9" t="s">
        <v>3</v>
      </c>
      <c r="B415" s="10">
        <f>SUM(B391:B414)</f>
        <v>71</v>
      </c>
      <c r="C415" s="66">
        <f>SUM(C391:C414)</f>
        <v>4</v>
      </c>
      <c r="D415" s="11">
        <f>SUM(D391:D414)</f>
        <v>75</v>
      </c>
      <c r="G415" s="9" t="s">
        <v>3</v>
      </c>
      <c r="H415" s="10">
        <f>SUM(H391:H414)</f>
        <v>90</v>
      </c>
      <c r="I415" s="66">
        <f>SUM(I391:I414)</f>
        <v>5</v>
      </c>
      <c r="J415" s="11">
        <f>SUM(J391:J414)</f>
        <v>95</v>
      </c>
      <c r="M415" s="9" t="s">
        <v>3</v>
      </c>
      <c r="N415" s="10">
        <f>SUM(N391:N414)</f>
        <v>0</v>
      </c>
      <c r="O415" s="66">
        <f>SUM(O391:O414)</f>
        <v>0</v>
      </c>
      <c r="P415" s="11">
        <f>SUM(P391:P414)</f>
        <v>0</v>
      </c>
    </row>
    <row r="416" spans="1:16" ht="14.25" thickBot="1" x14ac:dyDescent="0.2">
      <c r="A416" s="14" t="s">
        <v>4</v>
      </c>
      <c r="B416" s="16">
        <f>B390-B415</f>
        <v>36</v>
      </c>
      <c r="C416" s="16">
        <f>C390-C415</f>
        <v>1</v>
      </c>
      <c r="D416" s="16">
        <f>D390-D415</f>
        <v>37</v>
      </c>
      <c r="G416" s="14" t="s">
        <v>4</v>
      </c>
      <c r="H416" s="16">
        <f>H390-H415</f>
        <v>564</v>
      </c>
      <c r="I416" s="16">
        <f>I390-I415</f>
        <v>0</v>
      </c>
      <c r="J416" s="16">
        <f>J390-J415</f>
        <v>564</v>
      </c>
      <c r="M416" s="14" t="s">
        <v>4</v>
      </c>
      <c r="N416" s="16">
        <f>N390-N415</f>
        <v>0</v>
      </c>
      <c r="O416" s="16">
        <f>O390-O415</f>
        <v>0</v>
      </c>
      <c r="P416" s="16">
        <f>P390-P415</f>
        <v>0</v>
      </c>
    </row>
    <row r="419" spans="1:16" ht="24" x14ac:dyDescent="0.25">
      <c r="A419" s="25" t="s">
        <v>7</v>
      </c>
      <c r="B419" s="1"/>
      <c r="C419" s="1"/>
      <c r="D419" s="1"/>
      <c r="G419" s="25" t="s">
        <v>8</v>
      </c>
      <c r="H419" s="1"/>
      <c r="I419" s="1"/>
      <c r="J419" s="1"/>
      <c r="M419" s="25" t="s">
        <v>9</v>
      </c>
      <c r="N419" s="1"/>
      <c r="O419" s="1"/>
      <c r="P419" s="1"/>
    </row>
    <row r="420" spans="1:16" ht="14.25" thickBot="1" x14ac:dyDescent="0.2">
      <c r="A420" s="1"/>
      <c r="B420" s="1"/>
      <c r="C420" s="1"/>
      <c r="D420" s="1"/>
      <c r="G420" s="1"/>
      <c r="H420" s="1"/>
      <c r="I420" s="1"/>
      <c r="J420" s="1"/>
      <c r="M420" s="1"/>
      <c r="N420" s="1"/>
      <c r="O420" s="1"/>
      <c r="P420" s="1"/>
    </row>
    <row r="421" spans="1:16" ht="14.25" thickBot="1" x14ac:dyDescent="0.2">
      <c r="A421" s="2"/>
      <c r="B421" s="50" t="s">
        <v>115</v>
      </c>
      <c r="C421" s="50" t="s">
        <v>116</v>
      </c>
      <c r="D421" s="2" t="s">
        <v>0</v>
      </c>
      <c r="G421" s="2"/>
      <c r="H421" s="50" t="s">
        <v>115</v>
      </c>
      <c r="I421" s="50" t="s">
        <v>116</v>
      </c>
      <c r="J421" s="2" t="s">
        <v>0</v>
      </c>
      <c r="M421" s="2"/>
      <c r="N421" s="50" t="s">
        <v>115</v>
      </c>
      <c r="O421" s="50" t="s">
        <v>116</v>
      </c>
      <c r="P421" s="2" t="s">
        <v>0</v>
      </c>
    </row>
    <row r="422" spans="1:16" x14ac:dyDescent="0.15">
      <c r="A422" s="32" t="s">
        <v>4</v>
      </c>
      <c r="B422" s="48">
        <f>B416</f>
        <v>36</v>
      </c>
      <c r="C422" s="76">
        <f>C416</f>
        <v>1</v>
      </c>
      <c r="D422" s="47">
        <f>SUM(B422+C422)</f>
        <v>37</v>
      </c>
      <c r="G422" s="13" t="s">
        <v>6</v>
      </c>
      <c r="H422" s="48">
        <f>H416</f>
        <v>564</v>
      </c>
      <c r="I422" s="80">
        <f>I416</f>
        <v>0</v>
      </c>
      <c r="J422" s="47">
        <f>SUM(H422+I422)</f>
        <v>564</v>
      </c>
      <c r="K422" s="19"/>
      <c r="M422" s="13" t="s">
        <v>6</v>
      </c>
      <c r="N422" s="48">
        <f>N416</f>
        <v>0</v>
      </c>
      <c r="O422" s="80">
        <f>O416</f>
        <v>0</v>
      </c>
      <c r="P422" s="47">
        <f>SUM(N422+O422)</f>
        <v>0</v>
      </c>
    </row>
    <row r="423" spans="1:16" x14ac:dyDescent="0.15">
      <c r="A423" s="29" t="s">
        <v>191</v>
      </c>
      <c r="B423" s="74">
        <v>1</v>
      </c>
      <c r="C423" s="78"/>
      <c r="D423" s="7">
        <f>SUM(B423+C423)</f>
        <v>1</v>
      </c>
      <c r="E423" s="57">
        <v>44681</v>
      </c>
      <c r="G423" s="4" t="s">
        <v>1</v>
      </c>
      <c r="H423" s="74"/>
      <c r="I423" s="78"/>
      <c r="J423" s="21">
        <f>SUM(H423+I423)</f>
        <v>0</v>
      </c>
      <c r="K423" s="57"/>
      <c r="M423" s="4" t="s">
        <v>1</v>
      </c>
      <c r="N423" s="74"/>
      <c r="O423" s="78"/>
      <c r="P423" s="21">
        <f>SUM(N423+O423)</f>
        <v>0</v>
      </c>
    </row>
    <row r="424" spans="1:16" x14ac:dyDescent="0.15">
      <c r="A424" s="29" t="s">
        <v>192</v>
      </c>
      <c r="B424" s="74">
        <v>1</v>
      </c>
      <c r="C424" s="78"/>
      <c r="D424" s="7">
        <f t="shared" ref="D424:D427" si="96">SUM(B424+C424)</f>
        <v>1</v>
      </c>
      <c r="E424" s="57">
        <v>44681</v>
      </c>
      <c r="G424" s="4" t="s">
        <v>1</v>
      </c>
      <c r="H424" s="74"/>
      <c r="I424" s="78"/>
      <c r="J424" s="21">
        <f t="shared" ref="J424:J427" si="97">SUM(H424+I424)</f>
        <v>0</v>
      </c>
      <c r="K424" s="57"/>
      <c r="M424" s="4" t="s">
        <v>1</v>
      </c>
      <c r="N424" s="74"/>
      <c r="O424" s="78"/>
      <c r="P424" s="21">
        <f t="shared" ref="P424:P427" si="98">SUM(N424+O424)</f>
        <v>0</v>
      </c>
    </row>
    <row r="425" spans="1:16" x14ac:dyDescent="0.15">
      <c r="A425" s="4" t="s">
        <v>1</v>
      </c>
      <c r="B425" s="74">
        <v>15</v>
      </c>
      <c r="C425" s="78"/>
      <c r="D425" s="7">
        <f t="shared" si="96"/>
        <v>15</v>
      </c>
      <c r="E425" s="57">
        <v>44693</v>
      </c>
      <c r="G425" s="4" t="s">
        <v>1</v>
      </c>
      <c r="H425" s="74">
        <v>1000</v>
      </c>
      <c r="I425" s="78">
        <v>1994</v>
      </c>
      <c r="J425" s="21">
        <f t="shared" si="97"/>
        <v>2994</v>
      </c>
      <c r="K425" s="57" t="s">
        <v>198</v>
      </c>
      <c r="M425" s="4" t="s">
        <v>1</v>
      </c>
      <c r="N425" s="74"/>
      <c r="O425" s="78"/>
      <c r="P425" s="21">
        <f t="shared" si="98"/>
        <v>0</v>
      </c>
    </row>
    <row r="426" spans="1:16" x14ac:dyDescent="0.15">
      <c r="A426" s="4" t="s">
        <v>1</v>
      </c>
      <c r="B426" s="74"/>
      <c r="C426" s="78">
        <v>15</v>
      </c>
      <c r="D426" s="7">
        <f t="shared" si="96"/>
        <v>15</v>
      </c>
      <c r="E426" s="57">
        <v>44697</v>
      </c>
      <c r="G426" s="3" t="s">
        <v>1</v>
      </c>
      <c r="H426" s="74"/>
      <c r="I426" s="78"/>
      <c r="J426" s="7">
        <f t="shared" si="97"/>
        <v>0</v>
      </c>
      <c r="K426" s="19"/>
      <c r="M426" s="3" t="s">
        <v>1</v>
      </c>
      <c r="N426" s="74"/>
      <c r="O426" s="78"/>
      <c r="P426" s="7">
        <f t="shared" si="98"/>
        <v>0</v>
      </c>
    </row>
    <row r="427" spans="1:16" ht="14.25" thickBot="1" x14ac:dyDescent="0.2">
      <c r="A427" s="4" t="s">
        <v>1</v>
      </c>
      <c r="B427" s="74">
        <v>10</v>
      </c>
      <c r="C427" s="78">
        <v>10</v>
      </c>
      <c r="D427" s="21">
        <f t="shared" si="96"/>
        <v>20</v>
      </c>
      <c r="E427" s="57">
        <v>44698</v>
      </c>
      <c r="G427" s="4" t="s">
        <v>1</v>
      </c>
      <c r="H427" s="75"/>
      <c r="I427" s="17"/>
      <c r="J427" s="22">
        <f t="shared" si="97"/>
        <v>0</v>
      </c>
      <c r="K427" s="19"/>
      <c r="M427" s="4" t="s">
        <v>1</v>
      </c>
      <c r="N427" s="75"/>
      <c r="O427" s="17"/>
      <c r="P427" s="22">
        <f t="shared" si="98"/>
        <v>0</v>
      </c>
    </row>
    <row r="428" spans="1:16" ht="14.25" thickBot="1" x14ac:dyDescent="0.2">
      <c r="A428" s="14" t="s">
        <v>2</v>
      </c>
      <c r="B428" s="16">
        <f>SUM(B422:B427)</f>
        <v>63</v>
      </c>
      <c r="C428" s="83">
        <f>SUM(C422:C427)</f>
        <v>26</v>
      </c>
      <c r="D428" s="84">
        <f>SUM(B428+C428)</f>
        <v>89</v>
      </c>
      <c r="G428" s="14" t="s">
        <v>2</v>
      </c>
      <c r="H428" s="15">
        <f>SUM(H422:H427)</f>
        <v>1564</v>
      </c>
      <c r="I428" s="65">
        <f>SUM(I422:I427)</f>
        <v>1994</v>
      </c>
      <c r="J428" s="18">
        <f>SUM(H428+I428)</f>
        <v>3558</v>
      </c>
      <c r="M428" s="14" t="s">
        <v>2</v>
      </c>
      <c r="N428" s="15">
        <f>SUM(N422:N427)</f>
        <v>0</v>
      </c>
      <c r="O428" s="65">
        <f>SUM(O422:O427)</f>
        <v>0</v>
      </c>
      <c r="P428" s="18">
        <f>SUM(N428+O428)</f>
        <v>0</v>
      </c>
    </row>
    <row r="429" spans="1:16" x14ac:dyDescent="0.15">
      <c r="A429" s="29" t="s">
        <v>112</v>
      </c>
      <c r="B429" s="6">
        <v>1</v>
      </c>
      <c r="C429" s="27"/>
      <c r="D429" s="7">
        <f>SUM(B429+C429)</f>
        <v>1</v>
      </c>
      <c r="E429" s="57">
        <v>44679</v>
      </c>
      <c r="F429" s="19"/>
      <c r="G429" s="43" t="s">
        <v>21</v>
      </c>
      <c r="H429" s="6">
        <v>15</v>
      </c>
      <c r="I429" s="27"/>
      <c r="J429" s="7">
        <f t="shared" ref="J429" si="99">SUM(H429+I429)</f>
        <v>15</v>
      </c>
      <c r="K429" s="57">
        <v>44693</v>
      </c>
      <c r="L429" s="19"/>
      <c r="M429" s="5"/>
      <c r="N429" s="6"/>
      <c r="O429" s="27"/>
      <c r="P429" s="7">
        <f>SUM(N429+O429)</f>
        <v>0</v>
      </c>
    </row>
    <row r="430" spans="1:16" x14ac:dyDescent="0.15">
      <c r="A430" s="29" t="s">
        <v>112</v>
      </c>
      <c r="B430" s="6">
        <f>2+4</f>
        <v>6</v>
      </c>
      <c r="C430" s="27"/>
      <c r="D430" s="7">
        <f>SUM(B430+C430)</f>
        <v>6</v>
      </c>
      <c r="E430" s="57">
        <v>44683</v>
      </c>
      <c r="F430" s="19"/>
      <c r="G430" s="43" t="s">
        <v>21</v>
      </c>
      <c r="H430" s="6"/>
      <c r="I430" s="27">
        <v>15</v>
      </c>
      <c r="J430" s="7">
        <f>SUM(H430+I430)</f>
        <v>15</v>
      </c>
      <c r="K430" s="57">
        <v>44697</v>
      </c>
      <c r="L430" s="19"/>
      <c r="M430" s="5"/>
      <c r="N430" s="6"/>
      <c r="O430" s="27"/>
      <c r="P430" s="7">
        <f>SUM(N430+O430)</f>
        <v>0</v>
      </c>
    </row>
    <row r="431" spans="1:16" x14ac:dyDescent="0.15">
      <c r="A431" s="29" t="s">
        <v>112</v>
      </c>
      <c r="B431" s="6">
        <f>2+2+2+2+1</f>
        <v>9</v>
      </c>
      <c r="C431" s="27"/>
      <c r="D431" s="7">
        <f t="shared" ref="D431:D452" si="100">SUM(B431+C431)</f>
        <v>9</v>
      </c>
      <c r="E431" s="57">
        <v>44687</v>
      </c>
      <c r="F431" s="19"/>
      <c r="G431" s="43" t="s">
        <v>21</v>
      </c>
      <c r="H431" s="6">
        <v>10</v>
      </c>
      <c r="I431" s="27">
        <v>10</v>
      </c>
      <c r="J431" s="7">
        <f t="shared" ref="J431:J452" si="101">SUM(H431+I431)</f>
        <v>20</v>
      </c>
      <c r="K431" s="57">
        <v>44698</v>
      </c>
      <c r="L431" s="19"/>
      <c r="M431" s="5"/>
      <c r="N431" s="6"/>
      <c r="O431" s="27"/>
      <c r="P431" s="7">
        <f t="shared" ref="P431:P452" si="102">SUM(N431+O431)</f>
        <v>0</v>
      </c>
    </row>
    <row r="432" spans="1:16" x14ac:dyDescent="0.15">
      <c r="A432" s="29" t="s">
        <v>112</v>
      </c>
      <c r="B432" s="6">
        <v>1</v>
      </c>
      <c r="C432" s="27"/>
      <c r="D432" s="7">
        <f t="shared" si="100"/>
        <v>1</v>
      </c>
      <c r="E432" s="57">
        <v>44688</v>
      </c>
      <c r="F432" s="19"/>
      <c r="G432" s="43"/>
      <c r="H432" s="6"/>
      <c r="I432" s="27"/>
      <c r="J432" s="7">
        <f t="shared" si="101"/>
        <v>0</v>
      </c>
      <c r="K432" s="57"/>
      <c r="L432" s="19"/>
      <c r="M432" s="5"/>
      <c r="N432" s="6"/>
      <c r="O432" s="27"/>
      <c r="P432" s="7">
        <f t="shared" si="102"/>
        <v>0</v>
      </c>
    </row>
    <row r="433" spans="1:16" x14ac:dyDescent="0.15">
      <c r="A433" s="29" t="s">
        <v>112</v>
      </c>
      <c r="B433" s="6">
        <f>1+2</f>
        <v>3</v>
      </c>
      <c r="C433" s="27"/>
      <c r="D433" s="7">
        <f t="shared" si="100"/>
        <v>3</v>
      </c>
      <c r="E433" s="57">
        <v>44690</v>
      </c>
      <c r="F433" s="19"/>
      <c r="G433" s="43"/>
      <c r="H433" s="24"/>
      <c r="I433" s="77"/>
      <c r="J433" s="7">
        <f t="shared" si="101"/>
        <v>0</v>
      </c>
      <c r="K433" s="57"/>
      <c r="L433" s="19"/>
      <c r="M433" s="5"/>
      <c r="N433" s="6"/>
      <c r="O433" s="27"/>
      <c r="P433" s="7">
        <f t="shared" si="102"/>
        <v>0</v>
      </c>
    </row>
    <row r="434" spans="1:16" x14ac:dyDescent="0.15">
      <c r="A434" s="29" t="s">
        <v>112</v>
      </c>
      <c r="B434" s="6">
        <v>2</v>
      </c>
      <c r="C434" s="27"/>
      <c r="D434" s="7">
        <f t="shared" si="100"/>
        <v>2</v>
      </c>
      <c r="E434" s="57">
        <v>44691</v>
      </c>
      <c r="F434" s="19"/>
      <c r="G434" s="43"/>
      <c r="H434" s="6"/>
      <c r="I434" s="27"/>
      <c r="J434" s="7">
        <f t="shared" si="101"/>
        <v>0</v>
      </c>
      <c r="K434" s="57"/>
      <c r="L434" s="19"/>
      <c r="M434" s="8"/>
      <c r="N434" s="6"/>
      <c r="O434" s="27"/>
      <c r="P434" s="7">
        <f t="shared" si="102"/>
        <v>0</v>
      </c>
    </row>
    <row r="435" spans="1:16" x14ac:dyDescent="0.15">
      <c r="A435" s="29" t="s">
        <v>112</v>
      </c>
      <c r="B435" s="6">
        <f>1+2+2+1+2</f>
        <v>8</v>
      </c>
      <c r="C435" s="27"/>
      <c r="D435" s="7">
        <f t="shared" si="100"/>
        <v>8</v>
      </c>
      <c r="E435" s="57">
        <v>44692</v>
      </c>
      <c r="F435" s="19"/>
      <c r="G435" s="5"/>
      <c r="H435" s="6"/>
      <c r="I435" s="27"/>
      <c r="J435" s="7">
        <f t="shared" si="101"/>
        <v>0</v>
      </c>
      <c r="K435" s="57"/>
      <c r="L435" s="19"/>
      <c r="M435" s="5"/>
      <c r="N435" s="6"/>
      <c r="O435" s="27"/>
      <c r="P435" s="7">
        <f t="shared" si="102"/>
        <v>0</v>
      </c>
    </row>
    <row r="436" spans="1:16" x14ac:dyDescent="0.15">
      <c r="A436" s="29" t="s">
        <v>112</v>
      </c>
      <c r="B436" s="6">
        <v>2</v>
      </c>
      <c r="C436" s="27"/>
      <c r="D436" s="7">
        <f t="shared" si="100"/>
        <v>2</v>
      </c>
      <c r="E436" s="57">
        <v>44693</v>
      </c>
      <c r="F436" s="19"/>
      <c r="G436" s="43"/>
      <c r="H436" s="6"/>
      <c r="I436" s="27"/>
      <c r="J436" s="7">
        <f t="shared" si="101"/>
        <v>0</v>
      </c>
      <c r="K436" s="57"/>
      <c r="L436" s="19"/>
      <c r="M436" s="5"/>
      <c r="N436" s="6"/>
      <c r="O436" s="27"/>
      <c r="P436" s="7">
        <f t="shared" si="102"/>
        <v>0</v>
      </c>
    </row>
    <row r="437" spans="1:16" x14ac:dyDescent="0.15">
      <c r="A437" s="29" t="s">
        <v>195</v>
      </c>
      <c r="B437" s="6">
        <v>1</v>
      </c>
      <c r="C437" s="27">
        <v>1</v>
      </c>
      <c r="D437" s="7">
        <f t="shared" si="100"/>
        <v>2</v>
      </c>
      <c r="E437" s="57">
        <v>44697</v>
      </c>
      <c r="F437" s="19"/>
      <c r="G437" s="43"/>
      <c r="H437" s="6"/>
      <c r="I437" s="27"/>
      <c r="J437" s="7">
        <f t="shared" si="101"/>
        <v>0</v>
      </c>
      <c r="K437" s="57"/>
      <c r="L437" s="19"/>
      <c r="M437" s="8"/>
      <c r="N437" s="6"/>
      <c r="O437" s="27"/>
      <c r="P437" s="7">
        <f t="shared" si="102"/>
        <v>0</v>
      </c>
    </row>
    <row r="438" spans="1:16" x14ac:dyDescent="0.15">
      <c r="A438" s="29" t="s">
        <v>112</v>
      </c>
      <c r="B438" s="6">
        <f>5+3+2</f>
        <v>10</v>
      </c>
      <c r="C438" s="27">
        <f>9</f>
        <v>9</v>
      </c>
      <c r="D438" s="7">
        <f t="shared" si="100"/>
        <v>19</v>
      </c>
      <c r="E438" s="57">
        <v>44697</v>
      </c>
      <c r="F438" s="19"/>
      <c r="G438" s="43"/>
      <c r="H438" s="6"/>
      <c r="I438" s="27"/>
      <c r="J438" s="7">
        <f t="shared" si="101"/>
        <v>0</v>
      </c>
      <c r="K438" s="57"/>
      <c r="L438" s="19"/>
      <c r="M438" s="8"/>
      <c r="N438" s="6"/>
      <c r="O438" s="27"/>
      <c r="P438" s="7">
        <f t="shared" si="102"/>
        <v>0</v>
      </c>
    </row>
    <row r="439" spans="1:16" x14ac:dyDescent="0.15">
      <c r="A439" s="29" t="s">
        <v>112</v>
      </c>
      <c r="B439" s="6">
        <v>1</v>
      </c>
      <c r="C439" s="27">
        <v>1</v>
      </c>
      <c r="D439" s="7">
        <f t="shared" si="100"/>
        <v>2</v>
      </c>
      <c r="E439" s="57">
        <v>44698</v>
      </c>
      <c r="F439" s="19"/>
      <c r="G439" s="43"/>
      <c r="H439" s="6"/>
      <c r="I439" s="27"/>
      <c r="J439" s="7">
        <f t="shared" si="101"/>
        <v>0</v>
      </c>
      <c r="K439" s="57"/>
      <c r="L439" s="19"/>
      <c r="M439" s="5"/>
      <c r="N439" s="6"/>
      <c r="O439" s="27"/>
      <c r="P439" s="7">
        <f t="shared" si="102"/>
        <v>0</v>
      </c>
    </row>
    <row r="440" spans="1:16" x14ac:dyDescent="0.15">
      <c r="A440" s="29" t="s">
        <v>112</v>
      </c>
      <c r="B440" s="6">
        <v>4</v>
      </c>
      <c r="C440" s="27">
        <v>2</v>
      </c>
      <c r="D440" s="7">
        <f t="shared" si="100"/>
        <v>6</v>
      </c>
      <c r="E440" s="57">
        <v>44699</v>
      </c>
      <c r="F440" s="19"/>
      <c r="G440" s="43"/>
      <c r="H440" s="6"/>
      <c r="I440" s="27"/>
      <c r="J440" s="7">
        <f t="shared" si="101"/>
        <v>0</v>
      </c>
      <c r="K440" s="57"/>
      <c r="L440" s="19"/>
      <c r="M440" s="5"/>
      <c r="N440" s="6"/>
      <c r="O440" s="27"/>
      <c r="P440" s="7">
        <f t="shared" si="102"/>
        <v>0</v>
      </c>
    </row>
    <row r="441" spans="1:16" x14ac:dyDescent="0.15">
      <c r="A441" s="29" t="s">
        <v>112</v>
      </c>
      <c r="B441" s="6">
        <f>3+7</f>
        <v>10</v>
      </c>
      <c r="C441" s="27"/>
      <c r="D441" s="7">
        <f t="shared" si="100"/>
        <v>10</v>
      </c>
      <c r="E441" s="57">
        <v>44700</v>
      </c>
      <c r="F441" s="19"/>
      <c r="G441" s="43"/>
      <c r="H441" s="6"/>
      <c r="I441" s="27"/>
      <c r="J441" s="7">
        <f t="shared" si="101"/>
        <v>0</v>
      </c>
      <c r="K441" s="57"/>
      <c r="L441" s="19"/>
      <c r="M441" s="8"/>
      <c r="N441" s="6"/>
      <c r="O441" s="27"/>
      <c r="P441" s="7">
        <f t="shared" si="102"/>
        <v>0</v>
      </c>
    </row>
    <row r="442" spans="1:16" x14ac:dyDescent="0.15">
      <c r="A442" s="29"/>
      <c r="B442" s="6"/>
      <c r="C442" s="27"/>
      <c r="D442" s="7">
        <f t="shared" si="100"/>
        <v>0</v>
      </c>
      <c r="E442" s="57"/>
      <c r="F442" s="19"/>
      <c r="G442" s="5"/>
      <c r="H442" s="6"/>
      <c r="I442" s="27"/>
      <c r="J442" s="7">
        <f t="shared" si="101"/>
        <v>0</v>
      </c>
      <c r="K442" s="19"/>
      <c r="L442" s="19"/>
      <c r="M442" s="5"/>
      <c r="N442" s="6"/>
      <c r="O442" s="27"/>
      <c r="P442" s="7">
        <f t="shared" si="102"/>
        <v>0</v>
      </c>
    </row>
    <row r="443" spans="1:16" x14ac:dyDescent="0.15">
      <c r="A443" s="29"/>
      <c r="B443" s="6"/>
      <c r="C443" s="27"/>
      <c r="D443" s="7">
        <f t="shared" si="100"/>
        <v>0</v>
      </c>
      <c r="E443" s="57"/>
      <c r="F443" s="19"/>
      <c r="G443" s="8"/>
      <c r="H443" s="6"/>
      <c r="I443" s="27"/>
      <c r="J443" s="7">
        <f t="shared" si="101"/>
        <v>0</v>
      </c>
      <c r="K443" s="19"/>
      <c r="L443" s="19"/>
      <c r="M443" s="8"/>
      <c r="N443" s="6"/>
      <c r="O443" s="27"/>
      <c r="P443" s="7">
        <f t="shared" si="102"/>
        <v>0</v>
      </c>
    </row>
    <row r="444" spans="1:16" x14ac:dyDescent="0.15">
      <c r="A444" s="29"/>
      <c r="B444" s="6"/>
      <c r="C444" s="27"/>
      <c r="D444" s="7">
        <f t="shared" si="100"/>
        <v>0</v>
      </c>
      <c r="E444" s="57"/>
      <c r="F444" s="19"/>
      <c r="G444" s="8"/>
      <c r="H444" s="6"/>
      <c r="I444" s="27"/>
      <c r="J444" s="7">
        <f t="shared" si="101"/>
        <v>0</v>
      </c>
      <c r="K444" s="19"/>
      <c r="L444" s="19"/>
      <c r="M444" s="8"/>
      <c r="N444" s="6"/>
      <c r="O444" s="27"/>
      <c r="P444" s="7">
        <f t="shared" si="102"/>
        <v>0</v>
      </c>
    </row>
    <row r="445" spans="1:16" x14ac:dyDescent="0.15">
      <c r="A445" s="29"/>
      <c r="B445" s="6"/>
      <c r="C445" s="27"/>
      <c r="D445" s="7">
        <f t="shared" si="100"/>
        <v>0</v>
      </c>
      <c r="E445" s="57"/>
      <c r="F445" s="19"/>
      <c r="G445" s="5"/>
      <c r="H445" s="6"/>
      <c r="I445" s="27"/>
      <c r="J445" s="7">
        <f t="shared" si="101"/>
        <v>0</v>
      </c>
      <c r="K445" s="19"/>
      <c r="L445" s="19"/>
      <c r="M445" s="5"/>
      <c r="N445" s="6"/>
      <c r="O445" s="27"/>
      <c r="P445" s="7">
        <f t="shared" si="102"/>
        <v>0</v>
      </c>
    </row>
    <row r="446" spans="1:16" x14ac:dyDescent="0.15">
      <c r="A446" s="29"/>
      <c r="B446" s="6"/>
      <c r="C446" s="27"/>
      <c r="D446" s="7">
        <f t="shared" si="100"/>
        <v>0</v>
      </c>
      <c r="E446" s="57"/>
      <c r="F446" s="19"/>
      <c r="G446" s="5"/>
      <c r="H446" s="6"/>
      <c r="I446" s="27"/>
      <c r="J446" s="7">
        <f t="shared" si="101"/>
        <v>0</v>
      </c>
      <c r="K446" s="19"/>
      <c r="L446" s="19"/>
      <c r="M446" s="5"/>
      <c r="N446" s="6"/>
      <c r="O446" s="27"/>
      <c r="P446" s="7">
        <f t="shared" si="102"/>
        <v>0</v>
      </c>
    </row>
    <row r="447" spans="1:16" x14ac:dyDescent="0.15">
      <c r="A447" s="29"/>
      <c r="B447" s="6"/>
      <c r="C447" s="27"/>
      <c r="D447" s="7">
        <f t="shared" si="100"/>
        <v>0</v>
      </c>
      <c r="E447" s="57"/>
      <c r="F447" s="19"/>
      <c r="G447" s="43"/>
      <c r="H447" s="6"/>
      <c r="I447" s="27"/>
      <c r="J447" s="35">
        <f t="shared" si="101"/>
        <v>0</v>
      </c>
      <c r="K447" s="19"/>
      <c r="L447" s="19"/>
      <c r="M447" s="5"/>
      <c r="N447" s="6"/>
      <c r="O447" s="27"/>
      <c r="P447" s="7">
        <f t="shared" si="102"/>
        <v>0</v>
      </c>
    </row>
    <row r="448" spans="1:16" x14ac:dyDescent="0.15">
      <c r="A448" s="29"/>
      <c r="B448" s="6"/>
      <c r="C448" s="27"/>
      <c r="D448" s="7">
        <f t="shared" si="100"/>
        <v>0</v>
      </c>
      <c r="E448" s="57"/>
      <c r="F448" s="19"/>
      <c r="G448" s="43"/>
      <c r="H448" s="6"/>
      <c r="I448" s="27"/>
      <c r="J448" s="35">
        <f t="shared" si="101"/>
        <v>0</v>
      </c>
      <c r="K448" s="19"/>
      <c r="L448" s="19"/>
      <c r="M448" s="8"/>
      <c r="N448" s="6"/>
      <c r="O448" s="27"/>
      <c r="P448" s="7">
        <f t="shared" si="102"/>
        <v>0</v>
      </c>
    </row>
    <row r="449" spans="1:16" x14ac:dyDescent="0.15">
      <c r="A449" s="29"/>
      <c r="B449" s="6"/>
      <c r="C449" s="27"/>
      <c r="D449" s="7">
        <f t="shared" si="100"/>
        <v>0</v>
      </c>
      <c r="E449" s="57"/>
      <c r="F449" s="19"/>
      <c r="G449" s="43"/>
      <c r="H449" s="6"/>
      <c r="I449" s="27"/>
      <c r="J449" s="35">
        <f t="shared" si="101"/>
        <v>0</v>
      </c>
      <c r="K449" s="57"/>
      <c r="L449" s="19"/>
      <c r="M449" s="8"/>
      <c r="N449" s="6"/>
      <c r="O449" s="27"/>
      <c r="P449" s="7">
        <f t="shared" si="102"/>
        <v>0</v>
      </c>
    </row>
    <row r="450" spans="1:16" x14ac:dyDescent="0.15">
      <c r="A450" s="29"/>
      <c r="B450" s="6"/>
      <c r="C450" s="27"/>
      <c r="D450" s="7">
        <f t="shared" si="100"/>
        <v>0</v>
      </c>
      <c r="E450" s="57"/>
      <c r="F450" s="19"/>
      <c r="G450" s="43"/>
      <c r="H450" s="6"/>
      <c r="I450" s="27"/>
      <c r="J450" s="35">
        <f t="shared" si="101"/>
        <v>0</v>
      </c>
      <c r="K450" s="19"/>
      <c r="L450" s="19"/>
      <c r="M450" s="5"/>
      <c r="N450" s="6"/>
      <c r="O450" s="27"/>
      <c r="P450" s="7">
        <f t="shared" si="102"/>
        <v>0</v>
      </c>
    </row>
    <row r="451" spans="1:16" x14ac:dyDescent="0.15">
      <c r="A451" s="29"/>
      <c r="B451" s="6"/>
      <c r="C451" s="27"/>
      <c r="D451" s="7">
        <f t="shared" si="100"/>
        <v>0</v>
      </c>
      <c r="E451" s="57"/>
      <c r="F451" s="19"/>
      <c r="G451" s="8"/>
      <c r="H451" s="6"/>
      <c r="I451" s="27"/>
      <c r="J451" s="35">
        <f t="shared" si="101"/>
        <v>0</v>
      </c>
      <c r="K451" s="19"/>
      <c r="L451" s="19"/>
      <c r="M451" s="8"/>
      <c r="N451" s="6"/>
      <c r="O451" s="27"/>
      <c r="P451" s="7">
        <f t="shared" si="102"/>
        <v>0</v>
      </c>
    </row>
    <row r="452" spans="1:16" ht="14.25" thickBot="1" x14ac:dyDescent="0.2">
      <c r="A452" s="5"/>
      <c r="B452" s="6"/>
      <c r="C452" s="27"/>
      <c r="D452" s="7">
        <f t="shared" si="100"/>
        <v>0</v>
      </c>
      <c r="E452" s="19"/>
      <c r="F452" s="19"/>
      <c r="G452" s="5"/>
      <c r="H452" s="6"/>
      <c r="I452" s="27"/>
      <c r="J452" s="7">
        <f t="shared" si="101"/>
        <v>0</v>
      </c>
      <c r="K452" s="57"/>
      <c r="L452" s="19"/>
      <c r="M452" s="23"/>
      <c r="N452" s="6"/>
      <c r="O452" s="27"/>
      <c r="P452" s="7">
        <f t="shared" si="102"/>
        <v>0</v>
      </c>
    </row>
    <row r="453" spans="1:16" ht="14.25" thickBot="1" x14ac:dyDescent="0.2">
      <c r="A453" s="9" t="s">
        <v>3</v>
      </c>
      <c r="B453" s="10">
        <f>SUM(B429:B452)</f>
        <v>58</v>
      </c>
      <c r="C453" s="66">
        <f>SUM(C429:C452)</f>
        <v>13</v>
      </c>
      <c r="D453" s="11">
        <f>SUM(D429:D452)</f>
        <v>71</v>
      </c>
      <c r="G453" s="9" t="s">
        <v>3</v>
      </c>
      <c r="H453" s="10">
        <f>SUM(H429:H452)</f>
        <v>25</v>
      </c>
      <c r="I453" s="66">
        <f>SUM(I429:I452)</f>
        <v>25</v>
      </c>
      <c r="J453" s="11">
        <f>SUM(J429:J452)</f>
        <v>50</v>
      </c>
      <c r="M453" s="9" t="s">
        <v>3</v>
      </c>
      <c r="N453" s="10">
        <f>SUM(N429:N452)</f>
        <v>0</v>
      </c>
      <c r="O453" s="66">
        <f>SUM(O429:O452)</f>
        <v>0</v>
      </c>
      <c r="P453" s="11">
        <f>SUM(P429:P452)</f>
        <v>0</v>
      </c>
    </row>
    <row r="454" spans="1:16" ht="14.25" thickBot="1" x14ac:dyDescent="0.2">
      <c r="A454" s="14" t="s">
        <v>4</v>
      </c>
      <c r="B454" s="16">
        <f>B428-B453</f>
        <v>5</v>
      </c>
      <c r="C454" s="16">
        <f>C428-C453</f>
        <v>13</v>
      </c>
      <c r="D454" s="16">
        <f>D428-D453</f>
        <v>18</v>
      </c>
      <c r="G454" s="14" t="s">
        <v>4</v>
      </c>
      <c r="H454" s="16">
        <f>H428-H453</f>
        <v>1539</v>
      </c>
      <c r="I454" s="16">
        <f>I428-I453</f>
        <v>1969</v>
      </c>
      <c r="J454" s="84">
        <f>J428-J453</f>
        <v>3508</v>
      </c>
      <c r="M454" s="14" t="s">
        <v>4</v>
      </c>
      <c r="N454" s="16">
        <f>N428-N453</f>
        <v>0</v>
      </c>
      <c r="O454" s="16">
        <f>O428-O453</f>
        <v>0</v>
      </c>
      <c r="P454" s="16">
        <f>P428-P453</f>
        <v>0</v>
      </c>
    </row>
    <row r="457" spans="1:16" ht="24" x14ac:dyDescent="0.25">
      <c r="A457" s="25" t="s">
        <v>7</v>
      </c>
      <c r="B457" s="1"/>
      <c r="C457" s="1"/>
      <c r="D457" s="1"/>
      <c r="G457" s="25" t="s">
        <v>8</v>
      </c>
      <c r="H457" s="1"/>
      <c r="I457" s="1"/>
      <c r="J457" s="1"/>
    </row>
    <row r="458" spans="1:16" ht="14.25" thickBot="1" x14ac:dyDescent="0.2">
      <c r="A458" s="1"/>
      <c r="B458" s="1"/>
      <c r="C458" s="1"/>
      <c r="D458" s="1"/>
      <c r="G458" s="1"/>
      <c r="H458" s="1"/>
      <c r="I458" s="1"/>
      <c r="J458" s="1"/>
    </row>
    <row r="459" spans="1:16" ht="14.25" thickBot="1" x14ac:dyDescent="0.2">
      <c r="A459" s="2"/>
      <c r="B459" s="50" t="s">
        <v>115</v>
      </c>
      <c r="C459" s="50" t="s">
        <v>116</v>
      </c>
      <c r="D459" s="2" t="s">
        <v>0</v>
      </c>
      <c r="G459" s="2"/>
      <c r="H459" s="50" t="s">
        <v>115</v>
      </c>
      <c r="I459" s="50" t="s">
        <v>116</v>
      </c>
      <c r="J459" s="2" t="s">
        <v>0</v>
      </c>
    </row>
    <row r="460" spans="1:16" x14ac:dyDescent="0.15">
      <c r="A460" s="32" t="s">
        <v>4</v>
      </c>
      <c r="B460" s="48">
        <f>B454</f>
        <v>5</v>
      </c>
      <c r="C460" s="76">
        <f>C454</f>
        <v>13</v>
      </c>
      <c r="D460" s="47">
        <f>SUM(B460+C460)</f>
        <v>18</v>
      </c>
      <c r="G460" s="13" t="s">
        <v>6</v>
      </c>
      <c r="H460" s="48">
        <f>H454</f>
        <v>1539</v>
      </c>
      <c r="I460" s="80">
        <f>I454</f>
        <v>1969</v>
      </c>
      <c r="J460" s="47">
        <f>SUM(H460+I460)</f>
        <v>3508</v>
      </c>
      <c r="K460" s="19"/>
    </row>
    <row r="461" spans="1:16" x14ac:dyDescent="0.15">
      <c r="A461" s="4" t="s">
        <v>1</v>
      </c>
      <c r="B461" s="74">
        <v>20</v>
      </c>
      <c r="C461" s="78">
        <v>10</v>
      </c>
      <c r="D461" s="7">
        <f>SUM(B461+C461)</f>
        <v>30</v>
      </c>
      <c r="E461" s="57">
        <v>44701</v>
      </c>
      <c r="G461" s="4" t="s">
        <v>1</v>
      </c>
      <c r="H461" s="74"/>
      <c r="I461" s="78"/>
      <c r="J461" s="21">
        <f>SUM(H461+I461)</f>
        <v>0</v>
      </c>
      <c r="K461" s="57"/>
    </row>
    <row r="462" spans="1:16" x14ac:dyDescent="0.15">
      <c r="A462" s="4" t="s">
        <v>1</v>
      </c>
      <c r="B462" s="74">
        <v>10</v>
      </c>
      <c r="C462" s="78">
        <v>5</v>
      </c>
      <c r="D462" s="7">
        <f t="shared" ref="D462:D465" si="103">SUM(B462+C462)</f>
        <v>15</v>
      </c>
      <c r="E462" s="57">
        <v>44705</v>
      </c>
      <c r="G462" s="4" t="s">
        <v>1</v>
      </c>
      <c r="H462" s="24">
        <v>1862</v>
      </c>
      <c r="I462" s="90"/>
      <c r="J462" s="7">
        <f t="shared" ref="J462" si="104">SUM(H462+I462)</f>
        <v>1862</v>
      </c>
      <c r="K462" s="57" t="s">
        <v>206</v>
      </c>
    </row>
    <row r="463" spans="1:16" x14ac:dyDescent="0.15">
      <c r="A463" s="4" t="s">
        <v>1</v>
      </c>
      <c r="B463" s="74">
        <v>50</v>
      </c>
      <c r="C463" s="78">
        <v>10</v>
      </c>
      <c r="D463" s="7">
        <f t="shared" si="103"/>
        <v>60</v>
      </c>
      <c r="E463" s="57">
        <v>44706</v>
      </c>
      <c r="G463" s="4" t="s">
        <v>1</v>
      </c>
      <c r="H463" s="79"/>
      <c r="I463" s="1"/>
      <c r="J463" s="88">
        <f t="shared" ref="J463:J465" si="105">SUM(H463+I463)</f>
        <v>0</v>
      </c>
      <c r="K463" s="57"/>
    </row>
    <row r="464" spans="1:16" x14ac:dyDescent="0.15">
      <c r="A464" s="4" t="s">
        <v>1</v>
      </c>
      <c r="B464" s="74"/>
      <c r="C464" s="78">
        <v>20</v>
      </c>
      <c r="D464" s="7">
        <f t="shared" si="103"/>
        <v>20</v>
      </c>
      <c r="E464" s="57">
        <v>44719</v>
      </c>
      <c r="G464" s="3" t="s">
        <v>1</v>
      </c>
      <c r="H464" s="74"/>
      <c r="I464" s="78"/>
      <c r="J464" s="7">
        <f t="shared" si="105"/>
        <v>0</v>
      </c>
      <c r="K464" s="19"/>
    </row>
    <row r="465" spans="1:12" ht="14.25" thickBot="1" x14ac:dyDescent="0.2">
      <c r="A465" s="4" t="s">
        <v>1</v>
      </c>
      <c r="B465" s="74">
        <v>15</v>
      </c>
      <c r="C465" s="78">
        <v>10</v>
      </c>
      <c r="D465" s="21">
        <f t="shared" si="103"/>
        <v>25</v>
      </c>
      <c r="E465" s="57">
        <v>44722</v>
      </c>
      <c r="G465" s="4" t="s">
        <v>1</v>
      </c>
      <c r="H465" s="75"/>
      <c r="I465" s="17"/>
      <c r="J465" s="22">
        <f t="shared" si="105"/>
        <v>0</v>
      </c>
    </row>
    <row r="466" spans="1:12" ht="14.25" thickBot="1" x14ac:dyDescent="0.2">
      <c r="A466" s="14" t="s">
        <v>2</v>
      </c>
      <c r="B466" s="16">
        <f>SUM(B460:B465)</f>
        <v>100</v>
      </c>
      <c r="C466" s="83">
        <f>SUM(C460:C465)</f>
        <v>68</v>
      </c>
      <c r="D466" s="84">
        <f>SUM(B466+C466)</f>
        <v>168</v>
      </c>
      <c r="G466" s="14" t="s">
        <v>2</v>
      </c>
      <c r="H466" s="15">
        <f>SUM(H460:H465)</f>
        <v>3401</v>
      </c>
      <c r="I466" s="65">
        <f>SUM(I460:I465)</f>
        <v>1969</v>
      </c>
      <c r="J466" s="18">
        <f>SUM(H466+I466)</f>
        <v>5370</v>
      </c>
    </row>
    <row r="467" spans="1:12" x14ac:dyDescent="0.15">
      <c r="A467" s="29" t="s">
        <v>112</v>
      </c>
      <c r="B467" s="6">
        <v>2</v>
      </c>
      <c r="C467" s="27">
        <v>2</v>
      </c>
      <c r="D467" s="7">
        <f t="shared" ref="D467" si="106">SUM(B467+C467)</f>
        <v>4</v>
      </c>
      <c r="E467" s="57">
        <v>44701</v>
      </c>
      <c r="F467" s="19"/>
      <c r="G467" s="43" t="s">
        <v>21</v>
      </c>
      <c r="H467" s="6">
        <v>20</v>
      </c>
      <c r="I467" s="27"/>
      <c r="J467" s="7">
        <f>SUM(H467+I467)</f>
        <v>20</v>
      </c>
      <c r="K467" s="57">
        <v>44701</v>
      </c>
    </row>
    <row r="468" spans="1:12" x14ac:dyDescent="0.15">
      <c r="A468" s="29" t="s">
        <v>112</v>
      </c>
      <c r="B468" s="6">
        <f>4+3+1+4+3</f>
        <v>15</v>
      </c>
      <c r="C468" s="27">
        <f>2+1</f>
        <v>3</v>
      </c>
      <c r="D468" s="7">
        <f>SUM(B468+C468)</f>
        <v>18</v>
      </c>
      <c r="E468" s="57">
        <v>44704</v>
      </c>
      <c r="F468" s="19"/>
      <c r="G468" s="43" t="s">
        <v>21</v>
      </c>
      <c r="H468" s="6">
        <v>10</v>
      </c>
      <c r="I468" s="27">
        <v>5</v>
      </c>
      <c r="J468" s="7">
        <f>SUM(H468+I468)</f>
        <v>15</v>
      </c>
      <c r="K468" s="57">
        <v>44705</v>
      </c>
      <c r="L468" s="19"/>
    </row>
    <row r="469" spans="1:12" x14ac:dyDescent="0.15">
      <c r="A469" s="29" t="s">
        <v>112</v>
      </c>
      <c r="B469" s="6">
        <f>1+1+4+4</f>
        <v>10</v>
      </c>
      <c r="C469" s="27">
        <f>1+1</f>
        <v>2</v>
      </c>
      <c r="D469" s="7">
        <f t="shared" ref="D469:D490" si="107">SUM(B469+C469)</f>
        <v>12</v>
      </c>
      <c r="E469" s="57">
        <v>44705</v>
      </c>
      <c r="F469" s="19"/>
      <c r="G469" s="43" t="s">
        <v>21</v>
      </c>
      <c r="H469" s="6">
        <v>50</v>
      </c>
      <c r="I469" s="27">
        <v>10</v>
      </c>
      <c r="J469" s="7">
        <f t="shared" ref="J469:J487" si="108">SUM(H469+I469)</f>
        <v>60</v>
      </c>
      <c r="K469" s="57">
        <v>44706</v>
      </c>
    </row>
    <row r="470" spans="1:12" x14ac:dyDescent="0.15">
      <c r="A470" s="29" t="s">
        <v>112</v>
      </c>
      <c r="B470" s="6">
        <f>2+1</f>
        <v>3</v>
      </c>
      <c r="C470" s="27">
        <v>2</v>
      </c>
      <c r="D470" s="7">
        <f t="shared" si="107"/>
        <v>5</v>
      </c>
      <c r="E470" s="57">
        <v>44706</v>
      </c>
      <c r="F470" s="19"/>
      <c r="G470" s="5" t="s">
        <v>197</v>
      </c>
      <c r="H470" s="6">
        <v>36</v>
      </c>
      <c r="I470" s="27">
        <v>36</v>
      </c>
      <c r="J470" s="7">
        <f t="shared" si="108"/>
        <v>72</v>
      </c>
      <c r="K470" s="57">
        <v>44725</v>
      </c>
    </row>
    <row r="471" spans="1:12" x14ac:dyDescent="0.15">
      <c r="A471" s="29" t="s">
        <v>112</v>
      </c>
      <c r="B471" s="6">
        <f>1+3</f>
        <v>4</v>
      </c>
      <c r="C471" s="27">
        <v>4</v>
      </c>
      <c r="D471" s="7">
        <f t="shared" si="107"/>
        <v>8</v>
      </c>
      <c r="E471" s="57">
        <v>44707</v>
      </c>
      <c r="F471" s="19"/>
      <c r="G471" s="8" t="s">
        <v>201</v>
      </c>
      <c r="H471" s="24">
        <v>18</v>
      </c>
      <c r="I471" s="77">
        <v>8</v>
      </c>
      <c r="J471" s="7">
        <f t="shared" si="108"/>
        <v>26</v>
      </c>
      <c r="K471" s="57">
        <v>44720</v>
      </c>
    </row>
    <row r="472" spans="1:12" x14ac:dyDescent="0.15">
      <c r="A472" s="29" t="s">
        <v>112</v>
      </c>
      <c r="B472" s="6">
        <v>3</v>
      </c>
      <c r="C472" s="27">
        <f>2+1</f>
        <v>3</v>
      </c>
      <c r="D472" s="7">
        <f t="shared" si="107"/>
        <v>6</v>
      </c>
      <c r="E472" s="57">
        <v>44708</v>
      </c>
      <c r="F472" s="19"/>
      <c r="G472" s="43" t="s">
        <v>21</v>
      </c>
      <c r="H472" s="6"/>
      <c r="I472" s="27">
        <v>20</v>
      </c>
      <c r="J472" s="7">
        <f t="shared" si="108"/>
        <v>20</v>
      </c>
      <c r="K472" s="57">
        <v>44719</v>
      </c>
      <c r="L472" s="19"/>
    </row>
    <row r="473" spans="1:12" x14ac:dyDescent="0.15">
      <c r="A473" s="29" t="s">
        <v>112</v>
      </c>
      <c r="B473" s="6"/>
      <c r="C473" s="27">
        <v>2</v>
      </c>
      <c r="D473" s="7">
        <f t="shared" si="107"/>
        <v>2</v>
      </c>
      <c r="E473" s="57">
        <v>44711</v>
      </c>
      <c r="F473" s="19"/>
      <c r="G473" s="43" t="s">
        <v>21</v>
      </c>
      <c r="H473" s="6">
        <v>15</v>
      </c>
      <c r="I473" s="27">
        <v>10</v>
      </c>
      <c r="J473" s="7">
        <f t="shared" si="108"/>
        <v>25</v>
      </c>
      <c r="K473" s="57">
        <v>44722</v>
      </c>
      <c r="L473" s="19"/>
    </row>
    <row r="474" spans="1:12" x14ac:dyDescent="0.15">
      <c r="A474" s="29" t="s">
        <v>112</v>
      </c>
      <c r="B474" s="6">
        <v>1</v>
      </c>
      <c r="C474" s="27">
        <f>4</f>
        <v>4</v>
      </c>
      <c r="D474" s="7">
        <f t="shared" si="107"/>
        <v>5</v>
      </c>
      <c r="E474" s="57">
        <v>44712</v>
      </c>
      <c r="F474" s="19"/>
      <c r="G474" s="43"/>
      <c r="H474" s="6"/>
      <c r="I474" s="27"/>
      <c r="J474" s="7">
        <f t="shared" si="108"/>
        <v>0</v>
      </c>
      <c r="K474" s="57"/>
    </row>
    <row r="475" spans="1:12" x14ac:dyDescent="0.15">
      <c r="A475" s="29" t="s">
        <v>112</v>
      </c>
      <c r="B475" s="6">
        <v>1</v>
      </c>
      <c r="C475" s="27"/>
      <c r="D475" s="7">
        <f t="shared" si="107"/>
        <v>1</v>
      </c>
      <c r="E475" s="57">
        <v>44713</v>
      </c>
      <c r="F475" s="19"/>
      <c r="G475" s="43"/>
      <c r="H475" s="6"/>
      <c r="I475" s="27"/>
      <c r="J475" s="7">
        <f t="shared" si="108"/>
        <v>0</v>
      </c>
      <c r="K475" s="57"/>
    </row>
    <row r="476" spans="1:12" x14ac:dyDescent="0.15">
      <c r="A476" s="29" t="s">
        <v>112</v>
      </c>
      <c r="B476" s="6">
        <f>1+4</f>
        <v>5</v>
      </c>
      <c r="C476" s="27"/>
      <c r="D476" s="7">
        <f t="shared" si="107"/>
        <v>5</v>
      </c>
      <c r="E476" s="57">
        <v>44714</v>
      </c>
      <c r="F476" s="19"/>
      <c r="G476" s="43"/>
      <c r="H476" s="6"/>
      <c r="I476" s="27"/>
      <c r="J476" s="7">
        <f t="shared" si="108"/>
        <v>0</v>
      </c>
      <c r="K476" s="57"/>
    </row>
    <row r="477" spans="1:12" x14ac:dyDescent="0.15">
      <c r="A477" s="29" t="s">
        <v>112</v>
      </c>
      <c r="B477" s="6">
        <v>3</v>
      </c>
      <c r="C477" s="27">
        <v>1</v>
      </c>
      <c r="D477" s="7">
        <f t="shared" si="107"/>
        <v>4</v>
      </c>
      <c r="E477" s="57">
        <v>44716</v>
      </c>
      <c r="F477" s="19"/>
      <c r="G477" s="43"/>
      <c r="H477" s="6"/>
      <c r="I477" s="27"/>
      <c r="J477" s="7">
        <f t="shared" si="108"/>
        <v>0</v>
      </c>
      <c r="K477" s="57"/>
    </row>
    <row r="478" spans="1:12" x14ac:dyDescent="0.15">
      <c r="A478" s="29" t="s">
        <v>112</v>
      </c>
      <c r="B478" s="6">
        <f>2+8</f>
        <v>10</v>
      </c>
      <c r="C478" s="27">
        <f>7+1+5</f>
        <v>13</v>
      </c>
      <c r="D478" s="7">
        <f t="shared" si="107"/>
        <v>23</v>
      </c>
      <c r="E478" s="57">
        <v>44718</v>
      </c>
      <c r="F478" s="19"/>
      <c r="G478" s="43"/>
      <c r="H478" s="6"/>
      <c r="I478" s="27"/>
      <c r="J478" s="7">
        <f t="shared" si="108"/>
        <v>0</v>
      </c>
      <c r="K478" s="57"/>
    </row>
    <row r="479" spans="1:12" x14ac:dyDescent="0.15">
      <c r="A479" s="29" t="s">
        <v>112</v>
      </c>
      <c r="B479" s="6">
        <f>4+5</f>
        <v>9</v>
      </c>
      <c r="C479" s="27">
        <v>2</v>
      </c>
      <c r="D479" s="7">
        <f t="shared" si="107"/>
        <v>11</v>
      </c>
      <c r="E479" s="57">
        <v>44719</v>
      </c>
      <c r="F479" s="19"/>
      <c r="G479" s="43"/>
      <c r="H479" s="6"/>
      <c r="I479" s="27"/>
      <c r="J479" s="7">
        <f t="shared" si="108"/>
        <v>0</v>
      </c>
      <c r="K479" s="57"/>
    </row>
    <row r="480" spans="1:12" x14ac:dyDescent="0.15">
      <c r="A480" s="29" t="s">
        <v>112</v>
      </c>
      <c r="B480" s="6">
        <v>3</v>
      </c>
      <c r="C480" s="27"/>
      <c r="D480" s="7">
        <f t="shared" si="107"/>
        <v>3</v>
      </c>
      <c r="E480" s="57">
        <v>44720</v>
      </c>
      <c r="F480" s="19"/>
      <c r="G480" s="5"/>
      <c r="H480" s="6"/>
      <c r="I480" s="27"/>
      <c r="J480" s="7">
        <f t="shared" si="108"/>
        <v>0</v>
      </c>
      <c r="K480" s="19"/>
    </row>
    <row r="481" spans="1:11" x14ac:dyDescent="0.15">
      <c r="A481" s="29" t="s">
        <v>112</v>
      </c>
      <c r="B481" s="6">
        <v>1</v>
      </c>
      <c r="C481" s="27">
        <v>1</v>
      </c>
      <c r="D481" s="7">
        <f t="shared" si="107"/>
        <v>2</v>
      </c>
      <c r="E481" s="57">
        <v>44722</v>
      </c>
      <c r="F481" s="19"/>
      <c r="G481" s="8"/>
      <c r="H481" s="6"/>
      <c r="I481" s="27"/>
      <c r="J481" s="7">
        <f t="shared" si="108"/>
        <v>0</v>
      </c>
      <c r="K481" s="19"/>
    </row>
    <row r="482" spans="1:11" x14ac:dyDescent="0.15">
      <c r="A482" s="29" t="s">
        <v>112</v>
      </c>
      <c r="B482" s="6">
        <f>1+1</f>
        <v>2</v>
      </c>
      <c r="C482" s="27">
        <f>1+1</f>
        <v>2</v>
      </c>
      <c r="D482" s="7">
        <f t="shared" si="107"/>
        <v>4</v>
      </c>
      <c r="E482" s="57">
        <v>44725</v>
      </c>
      <c r="F482" s="19"/>
      <c r="G482" s="8"/>
      <c r="H482" s="6"/>
      <c r="I482" s="27"/>
      <c r="J482" s="7">
        <f t="shared" si="108"/>
        <v>0</v>
      </c>
      <c r="K482" s="19"/>
    </row>
    <row r="483" spans="1:11" x14ac:dyDescent="0.15">
      <c r="A483" s="29" t="s">
        <v>112</v>
      </c>
      <c r="B483" s="6">
        <v>1</v>
      </c>
      <c r="C483" s="27">
        <f>1+1</f>
        <v>2</v>
      </c>
      <c r="D483" s="7">
        <f t="shared" si="107"/>
        <v>3</v>
      </c>
      <c r="E483" s="57">
        <v>44726</v>
      </c>
      <c r="F483" s="19"/>
      <c r="G483" s="5"/>
      <c r="H483" s="6"/>
      <c r="I483" s="27"/>
      <c r="J483" s="7">
        <f t="shared" si="108"/>
        <v>0</v>
      </c>
      <c r="K483" s="19"/>
    </row>
    <row r="484" spans="1:11" x14ac:dyDescent="0.15">
      <c r="A484" s="29" t="s">
        <v>112</v>
      </c>
      <c r="B484" s="6">
        <f>1+1</f>
        <v>2</v>
      </c>
      <c r="C484" s="27"/>
      <c r="D484" s="7">
        <f t="shared" si="107"/>
        <v>2</v>
      </c>
      <c r="E484" s="57">
        <v>44727</v>
      </c>
      <c r="F484" s="19"/>
      <c r="G484" s="5"/>
      <c r="H484" s="6"/>
      <c r="I484" s="27"/>
      <c r="J484" s="7">
        <f t="shared" si="108"/>
        <v>0</v>
      </c>
      <c r="K484" s="19"/>
    </row>
    <row r="485" spans="1:11" x14ac:dyDescent="0.15">
      <c r="A485" s="29" t="s">
        <v>112</v>
      </c>
      <c r="B485" s="6">
        <f>3+3</f>
        <v>6</v>
      </c>
      <c r="C485" s="27">
        <f>1+3</f>
        <v>4</v>
      </c>
      <c r="D485" s="7">
        <f t="shared" si="107"/>
        <v>10</v>
      </c>
      <c r="E485" s="57">
        <v>44728</v>
      </c>
      <c r="F485" s="19"/>
      <c r="G485" s="43"/>
      <c r="H485" s="6"/>
      <c r="I485" s="27"/>
      <c r="J485" s="35">
        <f t="shared" si="108"/>
        <v>0</v>
      </c>
      <c r="K485" s="19"/>
    </row>
    <row r="486" spans="1:11" x14ac:dyDescent="0.15">
      <c r="A486" s="29" t="s">
        <v>112</v>
      </c>
      <c r="B486" s="6">
        <f>1+1</f>
        <v>2</v>
      </c>
      <c r="C486" s="27">
        <v>1</v>
      </c>
      <c r="D486" s="7">
        <f t="shared" si="107"/>
        <v>3</v>
      </c>
      <c r="E486" s="57">
        <v>44729</v>
      </c>
      <c r="F486" s="19"/>
      <c r="G486" s="43"/>
      <c r="H486" s="6"/>
      <c r="I486" s="27"/>
      <c r="J486" s="35">
        <f t="shared" si="108"/>
        <v>0</v>
      </c>
      <c r="K486" s="19"/>
    </row>
    <row r="487" spans="1:11" x14ac:dyDescent="0.15">
      <c r="A487" s="29" t="s">
        <v>112</v>
      </c>
      <c r="B487" s="6">
        <v>3</v>
      </c>
      <c r="C487" s="27"/>
      <c r="D487" s="7">
        <f t="shared" si="107"/>
        <v>3</v>
      </c>
      <c r="E487" s="57">
        <v>44730</v>
      </c>
      <c r="F487" s="19"/>
      <c r="G487" s="43"/>
      <c r="H487" s="6"/>
      <c r="I487" s="27"/>
      <c r="J487" s="35">
        <f t="shared" si="108"/>
        <v>0</v>
      </c>
      <c r="K487" s="57"/>
    </row>
    <row r="488" spans="1:11" x14ac:dyDescent="0.15">
      <c r="A488" s="29" t="s">
        <v>112</v>
      </c>
      <c r="B488" s="6">
        <f>1+2</f>
        <v>3</v>
      </c>
      <c r="C488" s="27">
        <f>1+1</f>
        <v>2</v>
      </c>
      <c r="D488" s="7">
        <f t="shared" si="107"/>
        <v>5</v>
      </c>
      <c r="E488" s="57">
        <v>44732</v>
      </c>
      <c r="F488" s="19"/>
      <c r="G488" s="43"/>
      <c r="H488" s="6"/>
      <c r="I488" s="27"/>
      <c r="J488" s="35">
        <f t="shared" ref="J488" si="109">SUM(H488+I488)</f>
        <v>0</v>
      </c>
      <c r="K488" s="57"/>
    </row>
    <row r="489" spans="1:11" x14ac:dyDescent="0.15">
      <c r="A489" s="29" t="s">
        <v>112</v>
      </c>
      <c r="B489" s="6">
        <f>2+2</f>
        <v>4</v>
      </c>
      <c r="C489" s="27">
        <f>2+1+2</f>
        <v>5</v>
      </c>
      <c r="D489" s="7">
        <f t="shared" si="107"/>
        <v>9</v>
      </c>
      <c r="E489" s="57">
        <v>44733</v>
      </c>
      <c r="F489" s="19"/>
      <c r="G489" s="5" t="s">
        <v>193</v>
      </c>
      <c r="H489" s="6"/>
      <c r="I489" s="27"/>
      <c r="J489" s="35">
        <f t="shared" ref="J489:J490" si="110">SUM(H489+I489)</f>
        <v>0</v>
      </c>
      <c r="K489" s="19" t="s">
        <v>194</v>
      </c>
    </row>
    <row r="490" spans="1:11" ht="14.25" thickBot="1" x14ac:dyDescent="0.2">
      <c r="A490" s="29" t="s">
        <v>112</v>
      </c>
      <c r="B490" s="6">
        <v>1</v>
      </c>
      <c r="C490" s="27"/>
      <c r="D490" s="7">
        <f t="shared" si="107"/>
        <v>1</v>
      </c>
      <c r="E490" s="57">
        <v>44734</v>
      </c>
      <c r="F490" s="19"/>
      <c r="G490" s="8" t="s">
        <v>189</v>
      </c>
      <c r="H490" s="6"/>
      <c r="I490" s="27"/>
      <c r="J490" s="35">
        <f t="shared" si="110"/>
        <v>0</v>
      </c>
      <c r="K490" s="19" t="s">
        <v>190</v>
      </c>
    </row>
    <row r="491" spans="1:11" ht="14.25" thickBot="1" x14ac:dyDescent="0.2">
      <c r="A491" s="9" t="s">
        <v>3</v>
      </c>
      <c r="B491" s="10">
        <f>SUM(B467:B490)</f>
        <v>94</v>
      </c>
      <c r="C491" s="66">
        <f>SUM(C467:C490)</f>
        <v>55</v>
      </c>
      <c r="D491" s="11">
        <f>SUM(D467:D490)</f>
        <v>149</v>
      </c>
      <c r="G491" s="9" t="s">
        <v>3</v>
      </c>
      <c r="H491" s="10">
        <f>SUM(H467:H490)</f>
        <v>149</v>
      </c>
      <c r="I491" s="66">
        <f>SUM(I467:I490)</f>
        <v>89</v>
      </c>
      <c r="J491" s="11">
        <f>SUM(J467:J490)</f>
        <v>238</v>
      </c>
    </row>
    <row r="492" spans="1:11" ht="14.25" thickBot="1" x14ac:dyDescent="0.2">
      <c r="A492" s="14" t="s">
        <v>4</v>
      </c>
      <c r="B492" s="16">
        <f>B466-B491</f>
        <v>6</v>
      </c>
      <c r="C492" s="16">
        <f>C466-C491</f>
        <v>13</v>
      </c>
      <c r="D492" s="16">
        <f>D466-D491</f>
        <v>19</v>
      </c>
      <c r="G492" s="14" t="s">
        <v>4</v>
      </c>
      <c r="H492" s="16">
        <f>H466-H491</f>
        <v>3252</v>
      </c>
      <c r="I492" s="16">
        <f>I466-I491</f>
        <v>1880</v>
      </c>
      <c r="J492" s="16">
        <f>J466-J491</f>
        <v>5132</v>
      </c>
    </row>
    <row r="495" spans="1:11" ht="24" x14ac:dyDescent="0.25">
      <c r="A495" s="25" t="s">
        <v>7</v>
      </c>
      <c r="B495" s="1"/>
      <c r="C495" s="1"/>
      <c r="D495" s="1"/>
      <c r="G495" s="25" t="s">
        <v>8</v>
      </c>
      <c r="H495" s="1"/>
      <c r="I495" s="1"/>
      <c r="J495" s="1"/>
    </row>
    <row r="496" spans="1:11" ht="14.25" thickBot="1" x14ac:dyDescent="0.2">
      <c r="A496" s="1"/>
      <c r="B496" s="1"/>
      <c r="C496" s="1"/>
      <c r="D496" s="1"/>
      <c r="G496" s="1"/>
      <c r="H496" s="1"/>
      <c r="I496" s="1"/>
      <c r="J496" s="1"/>
    </row>
    <row r="497" spans="1:12" ht="14.25" thickBot="1" x14ac:dyDescent="0.2">
      <c r="A497" s="2"/>
      <c r="B497" s="50" t="s">
        <v>115</v>
      </c>
      <c r="C497" s="50" t="s">
        <v>116</v>
      </c>
      <c r="D497" s="2" t="s">
        <v>0</v>
      </c>
      <c r="G497" s="2"/>
      <c r="H497" s="50" t="s">
        <v>115</v>
      </c>
      <c r="I497" s="50" t="s">
        <v>116</v>
      </c>
      <c r="J497" s="2" t="s">
        <v>0</v>
      </c>
    </row>
    <row r="498" spans="1:12" x14ac:dyDescent="0.15">
      <c r="A498" s="32" t="s">
        <v>4</v>
      </c>
      <c r="B498" s="48">
        <f>B492</f>
        <v>6</v>
      </c>
      <c r="C498" s="76">
        <f>C492</f>
        <v>13</v>
      </c>
      <c r="D498" s="47">
        <f>SUM(B498+C498)</f>
        <v>19</v>
      </c>
      <c r="G498" s="13" t="s">
        <v>6</v>
      </c>
      <c r="H498" s="48">
        <f>H492</f>
        <v>3252</v>
      </c>
      <c r="I498" s="80">
        <f>I492</f>
        <v>1880</v>
      </c>
      <c r="J498" s="47">
        <f>SUM(H498+I498)</f>
        <v>5132</v>
      </c>
      <c r="K498" s="19"/>
    </row>
    <row r="499" spans="1:12" x14ac:dyDescent="0.15">
      <c r="A499" s="4" t="s">
        <v>1</v>
      </c>
      <c r="B499" s="74">
        <v>20</v>
      </c>
      <c r="C499" s="78">
        <v>10</v>
      </c>
      <c r="D499" s="7">
        <f>SUM(B499+C499)</f>
        <v>30</v>
      </c>
      <c r="E499" s="57">
        <v>44734</v>
      </c>
      <c r="G499" s="4" t="s">
        <v>1</v>
      </c>
      <c r="H499" s="74"/>
      <c r="I499" s="78"/>
      <c r="J499" s="21">
        <f>SUM(H499+I499)</f>
        <v>0</v>
      </c>
      <c r="K499" s="57"/>
    </row>
    <row r="500" spans="1:12" x14ac:dyDescent="0.15">
      <c r="A500" s="4" t="s">
        <v>1</v>
      </c>
      <c r="B500" s="74">
        <v>20</v>
      </c>
      <c r="C500" s="78">
        <v>20</v>
      </c>
      <c r="D500" s="7">
        <f t="shared" ref="D500:D503" si="111">SUM(B500+C500)</f>
        <v>40</v>
      </c>
      <c r="E500" s="57">
        <v>44740</v>
      </c>
      <c r="G500" s="3" t="s">
        <v>1</v>
      </c>
      <c r="H500" s="24"/>
      <c r="I500" s="90"/>
      <c r="J500" s="7">
        <f>SUM(H500+I500)</f>
        <v>0</v>
      </c>
      <c r="K500" s="57"/>
    </row>
    <row r="501" spans="1:12" x14ac:dyDescent="0.15">
      <c r="A501" s="4" t="s">
        <v>1</v>
      </c>
      <c r="B501" s="74">
        <v>20</v>
      </c>
      <c r="C501" s="78">
        <v>20</v>
      </c>
      <c r="D501" s="7">
        <f t="shared" si="111"/>
        <v>40</v>
      </c>
      <c r="E501" s="57">
        <v>44748</v>
      </c>
      <c r="G501" s="89" t="s">
        <v>1</v>
      </c>
      <c r="H501" s="79"/>
      <c r="I501" s="1"/>
      <c r="J501" s="88">
        <f t="shared" ref="J501:J503" si="112">SUM(H501+I501)</f>
        <v>0</v>
      </c>
      <c r="K501" s="57"/>
    </row>
    <row r="502" spans="1:12" x14ac:dyDescent="0.15">
      <c r="A502" s="4" t="s">
        <v>1</v>
      </c>
      <c r="B502" s="74">
        <v>15</v>
      </c>
      <c r="C502" s="78">
        <v>15</v>
      </c>
      <c r="D502" s="7">
        <f t="shared" si="111"/>
        <v>30</v>
      </c>
      <c r="E502" s="57">
        <v>44755</v>
      </c>
      <c r="G502" s="3" t="s">
        <v>1</v>
      </c>
      <c r="H502" s="74"/>
      <c r="I502" s="78"/>
      <c r="J502" s="7">
        <f t="shared" si="112"/>
        <v>0</v>
      </c>
      <c r="K502" s="19"/>
    </row>
    <row r="503" spans="1:12" ht="14.25" thickBot="1" x14ac:dyDescent="0.2">
      <c r="A503" s="4" t="s">
        <v>1</v>
      </c>
      <c r="B503" s="74">
        <v>15</v>
      </c>
      <c r="C503" s="78"/>
      <c r="D503" s="21">
        <f t="shared" si="111"/>
        <v>15</v>
      </c>
      <c r="E503" s="57">
        <v>44763</v>
      </c>
      <c r="G503" s="4" t="s">
        <v>1</v>
      </c>
      <c r="H503" s="75"/>
      <c r="I503" s="17"/>
      <c r="J503" s="22">
        <f t="shared" si="112"/>
        <v>0</v>
      </c>
    </row>
    <row r="504" spans="1:12" ht="14.25" thickBot="1" x14ac:dyDescent="0.2">
      <c r="A504" s="14" t="s">
        <v>2</v>
      </c>
      <c r="B504" s="16">
        <f>SUM(B498:B503)</f>
        <v>96</v>
      </c>
      <c r="C504" s="83">
        <f>SUM(C498:C503)</f>
        <v>78</v>
      </c>
      <c r="D504" s="84">
        <f>SUM(B504+C504)</f>
        <v>174</v>
      </c>
      <c r="G504" s="14" t="s">
        <v>2</v>
      </c>
      <c r="H504" s="15">
        <f>SUM(H498:H503)</f>
        <v>3252</v>
      </c>
      <c r="I504" s="65">
        <f>SUM(I498:I503)</f>
        <v>1880</v>
      </c>
      <c r="J504" s="18">
        <f>SUM(H504+I504)</f>
        <v>5132</v>
      </c>
    </row>
    <row r="505" spans="1:12" x14ac:dyDescent="0.15">
      <c r="A505" s="29" t="s">
        <v>112</v>
      </c>
      <c r="B505" s="6">
        <f>2+1</f>
        <v>3</v>
      </c>
      <c r="C505" s="27">
        <v>3</v>
      </c>
      <c r="D505" s="7">
        <f t="shared" ref="D505" si="113">SUM(B505+C505)</f>
        <v>6</v>
      </c>
      <c r="E505" s="57">
        <v>44735</v>
      </c>
      <c r="F505" s="19"/>
      <c r="G505" s="43" t="s">
        <v>200</v>
      </c>
      <c r="H505" s="6">
        <v>20</v>
      </c>
      <c r="I505" s="27">
        <v>10</v>
      </c>
      <c r="J505" s="7">
        <f>SUM(H505+I505)</f>
        <v>30</v>
      </c>
      <c r="K505" s="57">
        <v>44734</v>
      </c>
    </row>
    <row r="506" spans="1:12" x14ac:dyDescent="0.15">
      <c r="A506" s="29" t="s">
        <v>112</v>
      </c>
      <c r="B506" s="6">
        <f>2+1+2</f>
        <v>5</v>
      </c>
      <c r="C506" s="27">
        <v>1</v>
      </c>
      <c r="D506" s="7">
        <f>SUM(B506+C506)</f>
        <v>6</v>
      </c>
      <c r="E506" s="57">
        <v>44736</v>
      </c>
      <c r="F506" s="19"/>
      <c r="G506" s="5" t="s">
        <v>199</v>
      </c>
      <c r="H506" s="6">
        <v>20</v>
      </c>
      <c r="I506" s="27">
        <v>20</v>
      </c>
      <c r="J506" s="7">
        <f>SUM(H506+I506)</f>
        <v>40</v>
      </c>
      <c r="K506" s="57">
        <v>44742</v>
      </c>
      <c r="L506" s="19"/>
    </row>
    <row r="507" spans="1:12" x14ac:dyDescent="0.15">
      <c r="A507" s="29" t="s">
        <v>112</v>
      </c>
      <c r="B507" s="6">
        <v>4</v>
      </c>
      <c r="C507" s="27">
        <v>14</v>
      </c>
      <c r="D507" s="7">
        <f t="shared" ref="D507:D528" si="114">SUM(B507+C507)</f>
        <v>18</v>
      </c>
      <c r="E507" s="57">
        <v>44739</v>
      </c>
      <c r="F507" s="19"/>
      <c r="G507" s="5" t="s">
        <v>202</v>
      </c>
      <c r="H507" s="6">
        <v>20</v>
      </c>
      <c r="I507" s="27"/>
      <c r="J507" s="7">
        <f t="shared" ref="J507:J528" si="115">SUM(H507+I507)</f>
        <v>20</v>
      </c>
      <c r="K507" s="57">
        <v>44743</v>
      </c>
    </row>
    <row r="508" spans="1:12" x14ac:dyDescent="0.15">
      <c r="A508" s="29" t="s">
        <v>112</v>
      </c>
      <c r="B508" s="6">
        <v>1</v>
      </c>
      <c r="C508" s="27"/>
      <c r="D508" s="7">
        <f t="shared" si="114"/>
        <v>1</v>
      </c>
      <c r="E508" s="57">
        <v>44739</v>
      </c>
      <c r="F508" s="19"/>
      <c r="G508" s="5" t="s">
        <v>203</v>
      </c>
      <c r="H508" s="6">
        <v>20</v>
      </c>
      <c r="I508" s="27">
        <v>20</v>
      </c>
      <c r="J508" s="7">
        <f t="shared" si="115"/>
        <v>40</v>
      </c>
      <c r="K508" s="57">
        <v>44740</v>
      </c>
      <c r="L508" s="19"/>
    </row>
    <row r="509" spans="1:12" x14ac:dyDescent="0.15">
      <c r="A509" s="29" t="s">
        <v>112</v>
      </c>
      <c r="B509" s="6">
        <v>2</v>
      </c>
      <c r="C509" s="27">
        <v>2</v>
      </c>
      <c r="D509" s="7">
        <f t="shared" si="114"/>
        <v>4</v>
      </c>
      <c r="E509" s="57">
        <v>44740</v>
      </c>
      <c r="F509" s="19"/>
      <c r="G509" s="5" t="s">
        <v>204</v>
      </c>
      <c r="H509" s="24">
        <v>20</v>
      </c>
      <c r="I509" s="77"/>
      <c r="J509" s="7">
        <f t="shared" si="115"/>
        <v>20</v>
      </c>
      <c r="K509" s="57">
        <v>44746</v>
      </c>
    </row>
    <row r="510" spans="1:12" x14ac:dyDescent="0.15">
      <c r="A510" s="29" t="s">
        <v>112</v>
      </c>
      <c r="B510" s="6">
        <v>2</v>
      </c>
      <c r="C510" s="27">
        <v>1</v>
      </c>
      <c r="D510" s="7">
        <f t="shared" si="114"/>
        <v>3</v>
      </c>
      <c r="E510" s="57">
        <v>44741</v>
      </c>
      <c r="F510" s="19"/>
      <c r="G510" s="5" t="s">
        <v>205</v>
      </c>
      <c r="H510" s="6">
        <v>20</v>
      </c>
      <c r="I510" s="27"/>
      <c r="J510" s="7">
        <f t="shared" si="115"/>
        <v>20</v>
      </c>
      <c r="K510" s="57">
        <v>44747</v>
      </c>
    </row>
    <row r="511" spans="1:12" x14ac:dyDescent="0.15">
      <c r="A511" s="29" t="s">
        <v>112</v>
      </c>
      <c r="B511" s="6">
        <v>2</v>
      </c>
      <c r="C511" s="27">
        <v>1</v>
      </c>
      <c r="D511" s="7">
        <f t="shared" si="114"/>
        <v>3</v>
      </c>
      <c r="E511" s="57">
        <v>44742</v>
      </c>
      <c r="F511" s="19"/>
      <c r="G511" s="5" t="s">
        <v>21</v>
      </c>
      <c r="H511" s="6">
        <v>20</v>
      </c>
      <c r="I511" s="27">
        <v>20</v>
      </c>
      <c r="J511" s="7">
        <f t="shared" si="115"/>
        <v>40</v>
      </c>
      <c r="K511" s="57">
        <v>44748</v>
      </c>
    </row>
    <row r="512" spans="1:12" x14ac:dyDescent="0.15">
      <c r="A512" s="29" t="s">
        <v>112</v>
      </c>
      <c r="B512" s="6">
        <f>3+7</f>
        <v>10</v>
      </c>
      <c r="C512" s="27">
        <f>3+2</f>
        <v>5</v>
      </c>
      <c r="D512" s="7">
        <f t="shared" si="114"/>
        <v>15</v>
      </c>
      <c r="E512" s="57">
        <v>44743</v>
      </c>
      <c r="F512" s="19"/>
      <c r="G512" s="5" t="s">
        <v>207</v>
      </c>
      <c r="H512" s="6">
        <v>250</v>
      </c>
      <c r="I512" s="27">
        <v>70</v>
      </c>
      <c r="J512" s="7">
        <f t="shared" si="115"/>
        <v>320</v>
      </c>
      <c r="K512" s="57">
        <v>44756</v>
      </c>
    </row>
    <row r="513" spans="1:13" x14ac:dyDescent="0.15">
      <c r="A513" s="29" t="s">
        <v>112</v>
      </c>
      <c r="B513" s="6">
        <v>2</v>
      </c>
      <c r="C513" s="27">
        <v>2</v>
      </c>
      <c r="D513" s="7">
        <f t="shared" si="114"/>
        <v>4</v>
      </c>
      <c r="E513" s="57">
        <v>44744</v>
      </c>
      <c r="F513" s="19"/>
      <c r="G513" s="5" t="s">
        <v>21</v>
      </c>
      <c r="H513" s="6">
        <v>15</v>
      </c>
      <c r="I513" s="27">
        <v>15</v>
      </c>
      <c r="J513" s="7">
        <f t="shared" si="115"/>
        <v>30</v>
      </c>
      <c r="K513" s="57">
        <v>44755</v>
      </c>
    </row>
    <row r="514" spans="1:13" x14ac:dyDescent="0.15">
      <c r="A514" s="29" t="s">
        <v>112</v>
      </c>
      <c r="B514" s="6"/>
      <c r="C514" s="27">
        <v>2</v>
      </c>
      <c r="D514" s="7">
        <f t="shared" si="114"/>
        <v>2</v>
      </c>
      <c r="E514" s="57">
        <v>44746</v>
      </c>
      <c r="F514" s="19"/>
      <c r="G514" s="5" t="s">
        <v>208</v>
      </c>
      <c r="H514" s="6">
        <v>120</v>
      </c>
      <c r="I514" s="27">
        <v>40</v>
      </c>
      <c r="J514" s="7">
        <f t="shared" si="115"/>
        <v>160</v>
      </c>
      <c r="K514" s="57">
        <v>44757</v>
      </c>
    </row>
    <row r="515" spans="1:13" x14ac:dyDescent="0.15">
      <c r="A515" s="29" t="s">
        <v>112</v>
      </c>
      <c r="B515" s="6">
        <f>2+1+1</f>
        <v>4</v>
      </c>
      <c r="C515" s="27">
        <f>2+2+1</f>
        <v>5</v>
      </c>
      <c r="D515" s="7">
        <f t="shared" si="114"/>
        <v>9</v>
      </c>
      <c r="E515" s="57">
        <v>44747</v>
      </c>
      <c r="F515" s="19"/>
      <c r="G515" s="5" t="s">
        <v>209</v>
      </c>
      <c r="H515" s="6">
        <v>40</v>
      </c>
      <c r="I515" s="27">
        <v>40</v>
      </c>
      <c r="J515" s="7">
        <f t="shared" si="115"/>
        <v>80</v>
      </c>
      <c r="K515" s="57">
        <v>44758</v>
      </c>
      <c r="L515" s="19"/>
    </row>
    <row r="516" spans="1:13" x14ac:dyDescent="0.15">
      <c r="A516" s="29" t="s">
        <v>112</v>
      </c>
      <c r="B516" s="6">
        <f>1+2</f>
        <v>3</v>
      </c>
      <c r="C516" s="27">
        <v>2</v>
      </c>
      <c r="D516" s="7">
        <f t="shared" si="114"/>
        <v>5</v>
      </c>
      <c r="E516" s="57">
        <v>44748</v>
      </c>
      <c r="F516" s="19"/>
      <c r="G516" s="5" t="s">
        <v>21</v>
      </c>
      <c r="H516" s="6">
        <v>15</v>
      </c>
      <c r="I516" s="27"/>
      <c r="J516" s="7">
        <f t="shared" si="115"/>
        <v>15</v>
      </c>
      <c r="K516" s="57">
        <v>44763</v>
      </c>
      <c r="L516" s="19"/>
      <c r="M516" s="19"/>
    </row>
    <row r="517" spans="1:13" x14ac:dyDescent="0.15">
      <c r="A517" s="29" t="s">
        <v>112</v>
      </c>
      <c r="B517" s="6">
        <v>3</v>
      </c>
      <c r="C517" s="27">
        <v>1</v>
      </c>
      <c r="D517" s="7">
        <f t="shared" si="114"/>
        <v>4</v>
      </c>
      <c r="E517" s="57">
        <v>44749</v>
      </c>
      <c r="F517" s="19"/>
      <c r="G517" s="43"/>
      <c r="H517" s="6"/>
      <c r="I517" s="27"/>
      <c r="J517" s="7">
        <f t="shared" si="115"/>
        <v>0</v>
      </c>
      <c r="K517" s="57"/>
    </row>
    <row r="518" spans="1:13" x14ac:dyDescent="0.15">
      <c r="A518" s="29" t="s">
        <v>112</v>
      </c>
      <c r="B518" s="6">
        <v>1</v>
      </c>
      <c r="C518" s="27">
        <v>2</v>
      </c>
      <c r="D518" s="7">
        <f t="shared" si="114"/>
        <v>3</v>
      </c>
      <c r="E518" s="57">
        <v>44750</v>
      </c>
      <c r="F518" s="19"/>
      <c r="G518" s="5"/>
      <c r="H518" s="6"/>
      <c r="I518" s="27"/>
      <c r="J518" s="7">
        <f t="shared" si="115"/>
        <v>0</v>
      </c>
      <c r="K518" s="19"/>
    </row>
    <row r="519" spans="1:13" x14ac:dyDescent="0.15">
      <c r="A519" s="29" t="s">
        <v>112</v>
      </c>
      <c r="B519" s="6">
        <f>2+9+1+1</f>
        <v>13</v>
      </c>
      <c r="C519" s="27">
        <f>3+2+2</f>
        <v>7</v>
      </c>
      <c r="D519" s="7">
        <f t="shared" si="114"/>
        <v>20</v>
      </c>
      <c r="E519" s="57">
        <v>44754</v>
      </c>
      <c r="F519" s="19"/>
      <c r="G519" s="8"/>
      <c r="H519" s="6"/>
      <c r="I519" s="27"/>
      <c r="J519" s="7">
        <f t="shared" si="115"/>
        <v>0</v>
      </c>
      <c r="K519" s="19"/>
    </row>
    <row r="520" spans="1:13" x14ac:dyDescent="0.15">
      <c r="A520" s="29" t="s">
        <v>112</v>
      </c>
      <c r="B520" s="6">
        <f>4+1</f>
        <v>5</v>
      </c>
      <c r="C520" s="27"/>
      <c r="D520" s="7">
        <f t="shared" si="114"/>
        <v>5</v>
      </c>
      <c r="E520" s="57">
        <v>44755</v>
      </c>
      <c r="F520" s="19"/>
      <c r="G520" s="8"/>
      <c r="H520" s="6"/>
      <c r="I520" s="27"/>
      <c r="J520" s="7">
        <f t="shared" si="115"/>
        <v>0</v>
      </c>
      <c r="K520" s="19"/>
    </row>
    <row r="521" spans="1:13" x14ac:dyDescent="0.15">
      <c r="A521" s="29" t="s">
        <v>112</v>
      </c>
      <c r="B521" s="6">
        <v>2</v>
      </c>
      <c r="C521" s="27">
        <v>2</v>
      </c>
      <c r="D521" s="7">
        <f t="shared" si="114"/>
        <v>4</v>
      </c>
      <c r="E521" s="57">
        <v>44756</v>
      </c>
      <c r="F521" s="19"/>
      <c r="G521" s="5"/>
      <c r="H521" s="6"/>
      <c r="I521" s="27"/>
      <c r="J521" s="7">
        <f t="shared" si="115"/>
        <v>0</v>
      </c>
      <c r="K521" s="19"/>
    </row>
    <row r="522" spans="1:13" x14ac:dyDescent="0.15">
      <c r="A522" s="29" t="s">
        <v>112</v>
      </c>
      <c r="B522" s="6"/>
      <c r="C522" s="27">
        <v>2</v>
      </c>
      <c r="D522" s="7">
        <f t="shared" si="114"/>
        <v>2</v>
      </c>
      <c r="E522" s="57">
        <v>44757</v>
      </c>
      <c r="F522" s="19"/>
      <c r="G522" s="5"/>
      <c r="H522" s="6"/>
      <c r="I522" s="27"/>
      <c r="J522" s="7">
        <f t="shared" si="115"/>
        <v>0</v>
      </c>
      <c r="K522" s="19"/>
    </row>
    <row r="523" spans="1:13" x14ac:dyDescent="0.15">
      <c r="A523" s="29" t="s">
        <v>112</v>
      </c>
      <c r="B523" s="6">
        <v>2</v>
      </c>
      <c r="C523" s="27">
        <v>3</v>
      </c>
      <c r="D523" s="7">
        <f t="shared" si="114"/>
        <v>5</v>
      </c>
      <c r="E523" s="57">
        <v>44758</v>
      </c>
      <c r="F523" s="19"/>
      <c r="G523" s="43"/>
      <c r="H523" s="6"/>
      <c r="I523" s="27"/>
      <c r="J523" s="35">
        <f t="shared" si="115"/>
        <v>0</v>
      </c>
      <c r="K523" s="19"/>
    </row>
    <row r="524" spans="1:13" x14ac:dyDescent="0.15">
      <c r="A524" s="29" t="s">
        <v>112</v>
      </c>
      <c r="B524" s="6">
        <v>5</v>
      </c>
      <c r="C524" s="27">
        <v>3</v>
      </c>
      <c r="D524" s="7">
        <f t="shared" si="114"/>
        <v>8</v>
      </c>
      <c r="E524" s="57">
        <v>44761</v>
      </c>
      <c r="F524" s="19"/>
      <c r="G524" s="43"/>
      <c r="H524" s="6"/>
      <c r="I524" s="27"/>
      <c r="J524" s="35">
        <f t="shared" si="115"/>
        <v>0</v>
      </c>
      <c r="K524" s="19"/>
    </row>
    <row r="525" spans="1:13" x14ac:dyDescent="0.15">
      <c r="A525" s="29" t="s">
        <v>112</v>
      </c>
      <c r="B525" s="6">
        <v>3</v>
      </c>
      <c r="C525" s="27">
        <v>3</v>
      </c>
      <c r="D525" s="7">
        <f t="shared" si="114"/>
        <v>6</v>
      </c>
      <c r="E525" s="57">
        <v>44762</v>
      </c>
      <c r="F525" s="19"/>
      <c r="G525" s="43"/>
      <c r="H525" s="6"/>
      <c r="I525" s="27"/>
      <c r="J525" s="35">
        <f t="shared" si="115"/>
        <v>0</v>
      </c>
      <c r="K525" s="57"/>
    </row>
    <row r="526" spans="1:13" x14ac:dyDescent="0.15">
      <c r="A526" s="29" t="s">
        <v>210</v>
      </c>
      <c r="B526" s="6">
        <v>-2</v>
      </c>
      <c r="C526" s="27"/>
      <c r="D526" s="7">
        <f t="shared" si="114"/>
        <v>-2</v>
      </c>
      <c r="E526" s="57">
        <v>44763</v>
      </c>
      <c r="F526" s="19"/>
      <c r="G526" s="43"/>
      <c r="H526" s="6"/>
      <c r="I526" s="27"/>
      <c r="J526" s="35">
        <f t="shared" ref="J526:J527" si="116">SUM(H526+I526)</f>
        <v>0</v>
      </c>
      <c r="K526" s="57"/>
    </row>
    <row r="527" spans="1:13" x14ac:dyDescent="0.15">
      <c r="A527" s="29" t="s">
        <v>112</v>
      </c>
      <c r="B527" s="6">
        <f>1+1</f>
        <v>2</v>
      </c>
      <c r="C527" s="27">
        <v>1</v>
      </c>
      <c r="D527" s="7">
        <f t="shared" si="114"/>
        <v>3</v>
      </c>
      <c r="E527" s="57">
        <v>44763</v>
      </c>
      <c r="F527" s="19"/>
      <c r="G527" s="43"/>
      <c r="H527" s="6"/>
      <c r="I527" s="27"/>
      <c r="J527" s="35">
        <f t="shared" si="116"/>
        <v>0</v>
      </c>
      <c r="K527" s="57"/>
    </row>
    <row r="528" spans="1:13" ht="14.25" thickBot="1" x14ac:dyDescent="0.2">
      <c r="A528" s="29" t="s">
        <v>112</v>
      </c>
      <c r="B528" s="6">
        <v>2</v>
      </c>
      <c r="C528" s="27"/>
      <c r="D528" s="7">
        <f t="shared" si="114"/>
        <v>2</v>
      </c>
      <c r="E528" s="57">
        <v>44764</v>
      </c>
      <c r="F528" s="19"/>
      <c r="G528" s="5" t="s">
        <v>181</v>
      </c>
      <c r="H528" s="6"/>
      <c r="I528" s="27"/>
      <c r="J528" s="7">
        <f t="shared" si="115"/>
        <v>0</v>
      </c>
      <c r="K528" s="57" t="s">
        <v>196</v>
      </c>
    </row>
    <row r="529" spans="1:12" ht="14.25" thickBot="1" x14ac:dyDescent="0.2">
      <c r="A529" s="9" t="s">
        <v>3</v>
      </c>
      <c r="B529" s="10">
        <f>SUM(B505:B528)</f>
        <v>74</v>
      </c>
      <c r="C529" s="66">
        <f>SUM(C505:C528)</f>
        <v>62</v>
      </c>
      <c r="D529" s="11">
        <f>SUM(D505:D528)</f>
        <v>136</v>
      </c>
      <c r="G529" s="9" t="s">
        <v>3</v>
      </c>
      <c r="H529" s="10">
        <f>SUM(H505:H528)</f>
        <v>580</v>
      </c>
      <c r="I529" s="66">
        <f>SUM(I505:I528)</f>
        <v>235</v>
      </c>
      <c r="J529" s="11">
        <f>SUM(J505:J528)</f>
        <v>815</v>
      </c>
    </row>
    <row r="530" spans="1:12" ht="14.25" thickBot="1" x14ac:dyDescent="0.2">
      <c r="A530" s="14" t="s">
        <v>4</v>
      </c>
      <c r="B530" s="16">
        <f>B504-B529</f>
        <v>22</v>
      </c>
      <c r="C530" s="16">
        <f>C504-C529</f>
        <v>16</v>
      </c>
      <c r="D530" s="16">
        <f>D504-D529</f>
        <v>38</v>
      </c>
      <c r="G530" s="14" t="s">
        <v>4</v>
      </c>
      <c r="H530" s="16">
        <f>H504-H529</f>
        <v>2672</v>
      </c>
      <c r="I530" s="16">
        <f>I504-I529</f>
        <v>1645</v>
      </c>
      <c r="J530" s="16">
        <f>J504-J529</f>
        <v>4317</v>
      </c>
    </row>
    <row r="533" spans="1:12" ht="24" x14ac:dyDescent="0.25">
      <c r="A533" s="25" t="s">
        <v>7</v>
      </c>
      <c r="B533" s="1"/>
      <c r="C533" s="1"/>
      <c r="D533" s="1"/>
      <c r="G533" s="25" t="s">
        <v>8</v>
      </c>
      <c r="H533" s="1"/>
      <c r="I533" s="1"/>
      <c r="J533" s="1"/>
    </row>
    <row r="534" spans="1:12" ht="14.25" thickBot="1" x14ac:dyDescent="0.2">
      <c r="A534" s="1"/>
      <c r="B534" s="1"/>
      <c r="C534" s="1"/>
      <c r="D534" s="1"/>
      <c r="G534" s="1"/>
      <c r="H534" s="1"/>
      <c r="I534" s="1"/>
      <c r="J534" s="1"/>
    </row>
    <row r="535" spans="1:12" ht="14.25" thickBot="1" x14ac:dyDescent="0.2">
      <c r="A535" s="2"/>
      <c r="B535" s="50" t="s">
        <v>115</v>
      </c>
      <c r="C535" s="50" t="s">
        <v>116</v>
      </c>
      <c r="D535" s="2" t="s">
        <v>0</v>
      </c>
      <c r="G535" s="2"/>
      <c r="H535" s="50" t="s">
        <v>115</v>
      </c>
      <c r="I535" s="50" t="s">
        <v>116</v>
      </c>
      <c r="J535" s="2" t="s">
        <v>0</v>
      </c>
    </row>
    <row r="536" spans="1:12" x14ac:dyDescent="0.15">
      <c r="A536" s="32" t="s">
        <v>4</v>
      </c>
      <c r="B536" s="48">
        <f>B530</f>
        <v>22</v>
      </c>
      <c r="C536" s="76">
        <f>C530</f>
        <v>16</v>
      </c>
      <c r="D536" s="47">
        <f>SUM(B536+C536)</f>
        <v>38</v>
      </c>
      <c r="G536" s="13" t="s">
        <v>6</v>
      </c>
      <c r="H536" s="48">
        <f>H530</f>
        <v>2672</v>
      </c>
      <c r="I536" s="80">
        <f>I530</f>
        <v>1645</v>
      </c>
      <c r="J536" s="47">
        <f>SUM(H536+I536)</f>
        <v>4317</v>
      </c>
      <c r="K536" s="19"/>
    </row>
    <row r="537" spans="1:12" x14ac:dyDescent="0.15">
      <c r="A537" s="3" t="s">
        <v>1</v>
      </c>
      <c r="B537" s="74">
        <v>5</v>
      </c>
      <c r="C537" s="78">
        <v>20</v>
      </c>
      <c r="D537" s="7">
        <f>SUM(B537+C537)</f>
        <v>25</v>
      </c>
      <c r="E537" s="57">
        <v>44770</v>
      </c>
      <c r="G537" s="3" t="s">
        <v>1</v>
      </c>
      <c r="H537" s="24"/>
      <c r="I537" s="90"/>
      <c r="J537" s="7">
        <f>SUM(H537+I537)</f>
        <v>0</v>
      </c>
      <c r="K537" s="57"/>
    </row>
    <row r="538" spans="1:12" x14ac:dyDescent="0.15">
      <c r="A538" s="29" t="s">
        <v>212</v>
      </c>
      <c r="B538" s="6">
        <v>1</v>
      </c>
      <c r="C538" s="27"/>
      <c r="D538" s="7">
        <f>SUM(B538+C538)</f>
        <v>1</v>
      </c>
      <c r="E538" s="57">
        <v>44772</v>
      </c>
      <c r="G538" s="3" t="s">
        <v>1</v>
      </c>
      <c r="H538" s="24"/>
      <c r="I538" s="90"/>
      <c r="J538" s="7">
        <f>SUM(H538+I538)</f>
        <v>0</v>
      </c>
      <c r="K538" s="57"/>
    </row>
    <row r="539" spans="1:12" x14ac:dyDescent="0.15">
      <c r="A539" s="4" t="s">
        <v>1</v>
      </c>
      <c r="B539" s="74">
        <v>15</v>
      </c>
      <c r="C539" s="78">
        <v>10</v>
      </c>
      <c r="D539" s="7">
        <f t="shared" ref="D539:D541" si="117">SUM(B539+C539)</f>
        <v>25</v>
      </c>
      <c r="E539" s="57">
        <v>44777</v>
      </c>
      <c r="G539" s="89" t="s">
        <v>1</v>
      </c>
      <c r="H539" s="79"/>
      <c r="I539" s="1"/>
      <c r="J539" s="88">
        <f t="shared" ref="J539:J541" si="118">SUM(H539+I539)</f>
        <v>0</v>
      </c>
      <c r="K539" s="57"/>
    </row>
    <row r="540" spans="1:12" x14ac:dyDescent="0.15">
      <c r="A540" s="4" t="s">
        <v>1</v>
      </c>
      <c r="B540" s="74">
        <v>10</v>
      </c>
      <c r="C540" s="78">
        <v>10</v>
      </c>
      <c r="D540" s="7">
        <f t="shared" si="117"/>
        <v>20</v>
      </c>
      <c r="E540" s="57">
        <v>44784</v>
      </c>
      <c r="G540" s="3" t="s">
        <v>1</v>
      </c>
      <c r="H540" s="74"/>
      <c r="I540" s="78"/>
      <c r="J540" s="7">
        <f t="shared" si="118"/>
        <v>0</v>
      </c>
      <c r="K540" s="19"/>
    </row>
    <row r="541" spans="1:12" ht="14.25" thickBot="1" x14ac:dyDescent="0.2">
      <c r="A541" s="4" t="s">
        <v>1</v>
      </c>
      <c r="B541" s="74">
        <v>10</v>
      </c>
      <c r="C541" s="78">
        <v>10</v>
      </c>
      <c r="D541" s="21">
        <f t="shared" si="117"/>
        <v>20</v>
      </c>
      <c r="E541" s="57">
        <v>44792</v>
      </c>
      <c r="G541" s="4" t="s">
        <v>1</v>
      </c>
      <c r="H541" s="75"/>
      <c r="I541" s="17"/>
      <c r="J541" s="22">
        <f t="shared" si="118"/>
        <v>0</v>
      </c>
    </row>
    <row r="542" spans="1:12" ht="14.25" thickBot="1" x14ac:dyDescent="0.2">
      <c r="A542" s="14" t="s">
        <v>2</v>
      </c>
      <c r="B542" s="16">
        <f>SUM(B536:B541)</f>
        <v>63</v>
      </c>
      <c r="C542" s="83">
        <f>SUM(C536:C541)</f>
        <v>66</v>
      </c>
      <c r="D542" s="84">
        <f>SUM(B542+C542)</f>
        <v>129</v>
      </c>
      <c r="G542" s="14" t="s">
        <v>2</v>
      </c>
      <c r="H542" s="15">
        <f>SUM(H536:H541)</f>
        <v>2672</v>
      </c>
      <c r="I542" s="65">
        <f>SUM(I536:I541)</f>
        <v>1645</v>
      </c>
      <c r="J542" s="18">
        <f>SUM(H542+I542)</f>
        <v>4317</v>
      </c>
    </row>
    <row r="543" spans="1:12" x14ac:dyDescent="0.15">
      <c r="A543" s="29" t="s">
        <v>112</v>
      </c>
      <c r="B543" s="6">
        <f>2+1+1+1</f>
        <v>5</v>
      </c>
      <c r="C543" s="27">
        <f>4+1+2</f>
        <v>7</v>
      </c>
      <c r="D543" s="7">
        <f t="shared" ref="D543" si="119">SUM(B543+C543)</f>
        <v>12</v>
      </c>
      <c r="E543" s="57">
        <v>44767</v>
      </c>
      <c r="F543" s="19"/>
      <c r="G543" s="43" t="s">
        <v>211</v>
      </c>
      <c r="H543" s="6">
        <v>5</v>
      </c>
      <c r="I543" s="27">
        <v>20</v>
      </c>
      <c r="J543" s="7">
        <f>SUM(H543+I543)</f>
        <v>25</v>
      </c>
      <c r="K543" s="57">
        <v>44770</v>
      </c>
    </row>
    <row r="544" spans="1:12" x14ac:dyDescent="0.15">
      <c r="A544" s="29" t="s">
        <v>112</v>
      </c>
      <c r="B544" s="6"/>
      <c r="C544" s="27">
        <v>6</v>
      </c>
      <c r="D544" s="7">
        <f>SUM(B544+C544)</f>
        <v>6</v>
      </c>
      <c r="E544" s="57">
        <v>44768</v>
      </c>
      <c r="F544" s="19"/>
      <c r="G544" s="43" t="s">
        <v>21</v>
      </c>
      <c r="H544" s="6">
        <v>15</v>
      </c>
      <c r="I544" s="27">
        <v>10</v>
      </c>
      <c r="J544" s="7">
        <f t="shared" ref="J544:J546" si="120">SUM(H544+I544)</f>
        <v>25</v>
      </c>
      <c r="K544" s="57">
        <v>44777</v>
      </c>
      <c r="L544" s="19"/>
    </row>
    <row r="545" spans="1:13" x14ac:dyDescent="0.15">
      <c r="A545" s="29" t="s">
        <v>112</v>
      </c>
      <c r="B545" s="6">
        <v>1</v>
      </c>
      <c r="C545" s="27">
        <f>1+1</f>
        <v>2</v>
      </c>
      <c r="D545" s="7">
        <f t="shared" ref="D545:D566" si="121">SUM(B545+C545)</f>
        <v>3</v>
      </c>
      <c r="E545" s="57">
        <v>44769</v>
      </c>
      <c r="F545" s="19"/>
      <c r="G545" s="43" t="s">
        <v>21</v>
      </c>
      <c r="H545" s="6">
        <v>10</v>
      </c>
      <c r="I545" s="27">
        <v>10</v>
      </c>
      <c r="J545" s="7">
        <f t="shared" si="120"/>
        <v>20</v>
      </c>
      <c r="K545" s="57">
        <v>44784</v>
      </c>
    </row>
    <row r="546" spans="1:13" x14ac:dyDescent="0.15">
      <c r="A546" s="29" t="s">
        <v>112</v>
      </c>
      <c r="B546" s="6">
        <f>3+1</f>
        <v>4</v>
      </c>
      <c r="C546" s="27"/>
      <c r="D546" s="7">
        <f t="shared" si="121"/>
        <v>4</v>
      </c>
      <c r="E546" s="57">
        <v>44770</v>
      </c>
      <c r="F546" s="19"/>
      <c r="G546" s="43" t="s">
        <v>21</v>
      </c>
      <c r="H546" s="6">
        <v>10</v>
      </c>
      <c r="I546" s="27">
        <v>10</v>
      </c>
      <c r="J546" s="7">
        <f t="shared" si="120"/>
        <v>20</v>
      </c>
      <c r="K546" s="57">
        <v>44792</v>
      </c>
      <c r="L546" s="19"/>
    </row>
    <row r="547" spans="1:13" x14ac:dyDescent="0.15">
      <c r="A547" s="29" t="s">
        <v>112</v>
      </c>
      <c r="B547" s="6"/>
      <c r="C547" s="27">
        <v>3</v>
      </c>
      <c r="D547" s="7">
        <f t="shared" si="121"/>
        <v>3</v>
      </c>
      <c r="E547" s="57">
        <v>44771</v>
      </c>
      <c r="F547" s="19"/>
      <c r="G547" s="5"/>
      <c r="H547" s="24"/>
      <c r="I547" s="77"/>
      <c r="J547" s="7">
        <f t="shared" ref="J547:J566" si="122">SUM(H547+I547)</f>
        <v>0</v>
      </c>
      <c r="K547" s="57"/>
    </row>
    <row r="548" spans="1:13" x14ac:dyDescent="0.15">
      <c r="A548" s="29" t="s">
        <v>112</v>
      </c>
      <c r="B548" s="6">
        <v>1</v>
      </c>
      <c r="C548" s="27"/>
      <c r="D548" s="7">
        <f t="shared" si="121"/>
        <v>1</v>
      </c>
      <c r="E548" s="57">
        <v>44772</v>
      </c>
      <c r="F548" s="19"/>
      <c r="G548" s="5"/>
      <c r="H548" s="6"/>
      <c r="I548" s="27"/>
      <c r="J548" s="7">
        <f t="shared" si="122"/>
        <v>0</v>
      </c>
      <c r="K548" s="57"/>
    </row>
    <row r="549" spans="1:13" x14ac:dyDescent="0.15">
      <c r="A549" s="29" t="s">
        <v>112</v>
      </c>
      <c r="B549" s="6">
        <v>1</v>
      </c>
      <c r="C549" s="27">
        <f>2+2+1</f>
        <v>5</v>
      </c>
      <c r="D549" s="7">
        <f t="shared" si="121"/>
        <v>6</v>
      </c>
      <c r="E549" s="57">
        <v>44774</v>
      </c>
      <c r="F549" s="19"/>
      <c r="G549" s="5"/>
      <c r="H549" s="6"/>
      <c r="I549" s="27"/>
      <c r="J549" s="7">
        <f t="shared" si="122"/>
        <v>0</v>
      </c>
      <c r="K549" s="57"/>
    </row>
    <row r="550" spans="1:13" x14ac:dyDescent="0.15">
      <c r="A550" s="29" t="s">
        <v>112</v>
      </c>
      <c r="B550" s="6"/>
      <c r="C550" s="27">
        <f>2+1</f>
        <v>3</v>
      </c>
      <c r="D550" s="7">
        <f t="shared" si="121"/>
        <v>3</v>
      </c>
      <c r="E550" s="57">
        <v>44775</v>
      </c>
      <c r="F550" s="19"/>
      <c r="G550" s="5"/>
      <c r="H550" s="6"/>
      <c r="I550" s="27"/>
      <c r="J550" s="7">
        <f t="shared" si="122"/>
        <v>0</v>
      </c>
      <c r="K550" s="57"/>
    </row>
    <row r="551" spans="1:13" x14ac:dyDescent="0.15">
      <c r="A551" s="29" t="s">
        <v>112</v>
      </c>
      <c r="B551" s="6">
        <f>4+1+2</f>
        <v>7</v>
      </c>
      <c r="C551" s="27">
        <f>3+1</f>
        <v>4</v>
      </c>
      <c r="D551" s="7">
        <f t="shared" si="121"/>
        <v>11</v>
      </c>
      <c r="E551" s="57">
        <v>44776</v>
      </c>
      <c r="F551" s="19"/>
      <c r="G551" s="5"/>
      <c r="H551" s="6"/>
      <c r="I551" s="27"/>
      <c r="J551" s="7">
        <f t="shared" si="122"/>
        <v>0</v>
      </c>
      <c r="K551" s="57"/>
    </row>
    <row r="552" spans="1:13" x14ac:dyDescent="0.15">
      <c r="A552" s="29" t="s">
        <v>112</v>
      </c>
      <c r="B552" s="6"/>
      <c r="C552" s="27">
        <v>1</v>
      </c>
      <c r="D552" s="7">
        <f t="shared" si="121"/>
        <v>1</v>
      </c>
      <c r="E552" s="57">
        <v>44777</v>
      </c>
      <c r="F552" s="19"/>
      <c r="G552" s="5"/>
      <c r="H552" s="6"/>
      <c r="I552" s="27"/>
      <c r="J552" s="7">
        <f t="shared" si="122"/>
        <v>0</v>
      </c>
      <c r="K552" s="57"/>
    </row>
    <row r="553" spans="1:13" x14ac:dyDescent="0.15">
      <c r="A553" s="29" t="s">
        <v>112</v>
      </c>
      <c r="B553" s="6"/>
      <c r="C553" s="27">
        <f>2+2</f>
        <v>4</v>
      </c>
      <c r="D553" s="7">
        <f t="shared" si="121"/>
        <v>4</v>
      </c>
      <c r="E553" s="57">
        <v>44778</v>
      </c>
      <c r="F553" s="19"/>
      <c r="G553" s="5"/>
      <c r="H553" s="6"/>
      <c r="I553" s="27"/>
      <c r="J553" s="7">
        <f t="shared" si="122"/>
        <v>0</v>
      </c>
      <c r="K553" s="57"/>
      <c r="L553" s="19"/>
    </row>
    <row r="554" spans="1:13" x14ac:dyDescent="0.15">
      <c r="A554" s="29" t="s">
        <v>112</v>
      </c>
      <c r="B554" s="6">
        <v>3</v>
      </c>
      <c r="C554" s="27"/>
      <c r="D554" s="7">
        <f t="shared" si="121"/>
        <v>3</v>
      </c>
      <c r="E554" s="57">
        <v>44779</v>
      </c>
      <c r="F554" s="19"/>
      <c r="G554" s="5"/>
      <c r="H554" s="6"/>
      <c r="I554" s="27"/>
      <c r="J554" s="7">
        <f t="shared" si="122"/>
        <v>0</v>
      </c>
      <c r="K554" s="57"/>
      <c r="L554" s="19"/>
      <c r="M554" s="19"/>
    </row>
    <row r="555" spans="1:13" x14ac:dyDescent="0.15">
      <c r="A555" s="29" t="s">
        <v>112</v>
      </c>
      <c r="B555" s="6">
        <f>2+2+1</f>
        <v>5</v>
      </c>
      <c r="C555" s="27"/>
      <c r="D555" s="7">
        <f t="shared" si="121"/>
        <v>5</v>
      </c>
      <c r="E555" s="57">
        <v>44781</v>
      </c>
      <c r="F555" s="19"/>
      <c r="G555" s="43"/>
      <c r="H555" s="6"/>
      <c r="I555" s="27"/>
      <c r="J555" s="7">
        <f t="shared" si="122"/>
        <v>0</v>
      </c>
      <c r="K555" s="57"/>
    </row>
    <row r="556" spans="1:13" x14ac:dyDescent="0.15">
      <c r="A556" s="29" t="s">
        <v>112</v>
      </c>
      <c r="B556" s="6"/>
      <c r="C556" s="27">
        <v>2</v>
      </c>
      <c r="D556" s="7">
        <f t="shared" si="121"/>
        <v>2</v>
      </c>
      <c r="E556" s="57">
        <v>44782</v>
      </c>
      <c r="F556" s="19"/>
      <c r="G556" s="5"/>
      <c r="H556" s="6"/>
      <c r="I556" s="27"/>
      <c r="J556" s="7">
        <f t="shared" si="122"/>
        <v>0</v>
      </c>
      <c r="K556" s="19"/>
    </row>
    <row r="557" spans="1:13" x14ac:dyDescent="0.15">
      <c r="A557" s="29" t="s">
        <v>112</v>
      </c>
      <c r="B557" s="6">
        <f>1+2</f>
        <v>3</v>
      </c>
      <c r="C557" s="27">
        <v>1</v>
      </c>
      <c r="D557" s="7">
        <f t="shared" si="121"/>
        <v>4</v>
      </c>
      <c r="E557" s="57">
        <v>44783</v>
      </c>
      <c r="F557" s="19"/>
      <c r="G557" s="8"/>
      <c r="H557" s="6"/>
      <c r="I557" s="27"/>
      <c r="J557" s="7">
        <f t="shared" si="122"/>
        <v>0</v>
      </c>
      <c r="K557" s="19"/>
    </row>
    <row r="558" spans="1:13" x14ac:dyDescent="0.15">
      <c r="A558" s="29" t="s">
        <v>112</v>
      </c>
      <c r="B558" s="6"/>
      <c r="C558" s="27">
        <v>2</v>
      </c>
      <c r="D558" s="7">
        <f t="shared" si="121"/>
        <v>2</v>
      </c>
      <c r="E558" s="57">
        <v>44784</v>
      </c>
      <c r="F558" s="19"/>
      <c r="G558" s="8"/>
      <c r="H558" s="6"/>
      <c r="I558" s="27"/>
      <c r="J558" s="7">
        <f t="shared" si="122"/>
        <v>0</v>
      </c>
      <c r="K558" s="19"/>
    </row>
    <row r="559" spans="1:13" x14ac:dyDescent="0.15">
      <c r="A559" s="29" t="s">
        <v>112</v>
      </c>
      <c r="B559" s="6">
        <f>2+9</f>
        <v>11</v>
      </c>
      <c r="C559" s="27">
        <v>4</v>
      </c>
      <c r="D559" s="7">
        <f t="shared" si="121"/>
        <v>15</v>
      </c>
      <c r="E559" s="57">
        <v>44790</v>
      </c>
      <c r="F559" s="19"/>
      <c r="G559" s="5"/>
      <c r="H559" s="6"/>
      <c r="I559" s="27"/>
      <c r="J559" s="7">
        <f t="shared" si="122"/>
        <v>0</v>
      </c>
      <c r="K559" s="19"/>
    </row>
    <row r="560" spans="1:13" x14ac:dyDescent="0.15">
      <c r="A560" s="29" t="s">
        <v>112</v>
      </c>
      <c r="B560" s="6">
        <v>1</v>
      </c>
      <c r="C560" s="27"/>
      <c r="D560" s="7">
        <f t="shared" si="121"/>
        <v>1</v>
      </c>
      <c r="E560" s="57">
        <v>44791</v>
      </c>
      <c r="F560" s="19"/>
      <c r="G560" s="5"/>
      <c r="H560" s="6"/>
      <c r="I560" s="27"/>
      <c r="J560" s="7">
        <f t="shared" si="122"/>
        <v>0</v>
      </c>
      <c r="K560" s="19"/>
    </row>
    <row r="561" spans="1:11" x14ac:dyDescent="0.15">
      <c r="A561" s="29" t="s">
        <v>112</v>
      </c>
      <c r="B561" s="6">
        <v>1</v>
      </c>
      <c r="C561" s="27">
        <v>1</v>
      </c>
      <c r="D561" s="7">
        <f t="shared" si="121"/>
        <v>2</v>
      </c>
      <c r="E561" s="57">
        <v>44795</v>
      </c>
      <c r="F561" s="19"/>
      <c r="G561" s="43"/>
      <c r="H561" s="6"/>
      <c r="I561" s="27"/>
      <c r="J561" s="35">
        <f t="shared" si="122"/>
        <v>0</v>
      </c>
      <c r="K561" s="19"/>
    </row>
    <row r="562" spans="1:11" x14ac:dyDescent="0.15">
      <c r="A562" s="29" t="s">
        <v>213</v>
      </c>
      <c r="B562" s="6">
        <v>-1</v>
      </c>
      <c r="C562" s="27">
        <v>-2</v>
      </c>
      <c r="D562" s="7">
        <f t="shared" si="121"/>
        <v>-3</v>
      </c>
      <c r="E562" s="57">
        <v>44793</v>
      </c>
      <c r="F562" s="19"/>
      <c r="G562" s="43"/>
      <c r="H562" s="6"/>
      <c r="I562" s="27"/>
      <c r="J562" s="35">
        <f t="shared" si="122"/>
        <v>0</v>
      </c>
      <c r="K562" s="19"/>
    </row>
    <row r="563" spans="1:11" x14ac:dyDescent="0.15">
      <c r="A563" s="29"/>
      <c r="B563" s="6"/>
      <c r="C563" s="27"/>
      <c r="D563" s="7">
        <f t="shared" ref="D563" si="123">SUM(B563+C563)</f>
        <v>0</v>
      </c>
      <c r="E563" s="57"/>
      <c r="F563" s="19"/>
      <c r="G563" s="43"/>
      <c r="H563" s="6"/>
      <c r="I563" s="27"/>
      <c r="J563" s="35">
        <f t="shared" si="122"/>
        <v>0</v>
      </c>
      <c r="K563" s="57"/>
    </row>
    <row r="564" spans="1:11" x14ac:dyDescent="0.15">
      <c r="A564" s="29"/>
      <c r="B564" s="6"/>
      <c r="C564" s="27"/>
      <c r="D564" s="7">
        <f t="shared" si="121"/>
        <v>0</v>
      </c>
      <c r="E564" s="57"/>
      <c r="F564" s="19"/>
      <c r="G564" s="43"/>
      <c r="H564" s="6"/>
      <c r="I564" s="27"/>
      <c r="J564" s="35">
        <f t="shared" si="122"/>
        <v>0</v>
      </c>
      <c r="K564" s="57"/>
    </row>
    <row r="565" spans="1:11" x14ac:dyDescent="0.15">
      <c r="A565" s="29"/>
      <c r="B565" s="6"/>
      <c r="C565" s="27"/>
      <c r="D565" s="7">
        <f t="shared" si="121"/>
        <v>0</v>
      </c>
      <c r="E565" s="57"/>
      <c r="F565" s="19"/>
      <c r="G565" s="43"/>
      <c r="H565" s="6"/>
      <c r="I565" s="27"/>
      <c r="J565" s="35">
        <f t="shared" si="122"/>
        <v>0</v>
      </c>
      <c r="K565" s="57"/>
    </row>
    <row r="566" spans="1:11" ht="14.25" thickBot="1" x14ac:dyDescent="0.2">
      <c r="A566" s="29"/>
      <c r="B566" s="6"/>
      <c r="C566" s="27"/>
      <c r="D566" s="7">
        <f t="shared" si="121"/>
        <v>0</v>
      </c>
      <c r="E566" s="57"/>
      <c r="F566" s="19"/>
      <c r="G566" s="5"/>
      <c r="H566" s="6"/>
      <c r="I566" s="27"/>
      <c r="J566" s="7">
        <f t="shared" si="122"/>
        <v>0</v>
      </c>
      <c r="K566" s="57"/>
    </row>
    <row r="567" spans="1:11" ht="14.25" thickBot="1" x14ac:dyDescent="0.2">
      <c r="A567" s="9" t="s">
        <v>3</v>
      </c>
      <c r="B567" s="10">
        <f>SUM(B543:B566)</f>
        <v>42</v>
      </c>
      <c r="C567" s="66">
        <f>SUM(C543:C566)</f>
        <v>43</v>
      </c>
      <c r="D567" s="11">
        <f>SUM(D543:D566)</f>
        <v>85</v>
      </c>
      <c r="G567" s="9" t="s">
        <v>3</v>
      </c>
      <c r="H567" s="10">
        <f>SUM(H543:H566)</f>
        <v>40</v>
      </c>
      <c r="I567" s="66">
        <f>SUM(I543:I566)</f>
        <v>50</v>
      </c>
      <c r="J567" s="11">
        <f>SUM(J543:J566)</f>
        <v>90</v>
      </c>
    </row>
    <row r="568" spans="1:11" ht="14.25" thickBot="1" x14ac:dyDescent="0.2">
      <c r="A568" s="14" t="s">
        <v>4</v>
      </c>
      <c r="B568" s="16">
        <f>B542-B567</f>
        <v>21</v>
      </c>
      <c r="C568" s="16">
        <f>C542-C567</f>
        <v>23</v>
      </c>
      <c r="D568" s="16">
        <f>D542-D567</f>
        <v>44</v>
      </c>
      <c r="G568" s="14" t="s">
        <v>4</v>
      </c>
      <c r="H568" s="16">
        <f>H542-H567</f>
        <v>2632</v>
      </c>
      <c r="I568" s="16">
        <f>I542-I567</f>
        <v>1595</v>
      </c>
      <c r="J568" s="16">
        <f>J542-J567</f>
        <v>4227</v>
      </c>
    </row>
    <row r="571" spans="1:11" ht="24" x14ac:dyDescent="0.25">
      <c r="A571" s="25" t="s">
        <v>7</v>
      </c>
      <c r="B571" s="1"/>
      <c r="C571" s="1"/>
      <c r="D571" s="1"/>
      <c r="G571" s="25" t="s">
        <v>8</v>
      </c>
      <c r="H571" s="1"/>
      <c r="I571" s="1"/>
      <c r="J571" s="1"/>
    </row>
    <row r="572" spans="1:11" ht="14.25" thickBot="1" x14ac:dyDescent="0.2">
      <c r="A572" s="1"/>
      <c r="B572" s="1"/>
      <c r="C572" s="1"/>
      <c r="D572" s="1"/>
      <c r="G572" s="1"/>
      <c r="H572" s="1"/>
      <c r="I572" s="1"/>
      <c r="J572" s="1"/>
    </row>
    <row r="573" spans="1:11" ht="14.25" thickBot="1" x14ac:dyDescent="0.2">
      <c r="A573" s="2"/>
      <c r="B573" s="50" t="s">
        <v>115</v>
      </c>
      <c r="C573" s="50" t="s">
        <v>116</v>
      </c>
      <c r="D573" s="2" t="s">
        <v>0</v>
      </c>
      <c r="G573" s="2"/>
      <c r="H573" s="50" t="s">
        <v>115</v>
      </c>
      <c r="I573" s="50" t="s">
        <v>116</v>
      </c>
      <c r="J573" s="2" t="s">
        <v>0</v>
      </c>
    </row>
    <row r="574" spans="1:11" x14ac:dyDescent="0.15">
      <c r="A574" s="32" t="s">
        <v>4</v>
      </c>
      <c r="B574" s="48">
        <f>B568</f>
        <v>21</v>
      </c>
      <c r="C574" s="76">
        <f>C568</f>
        <v>23</v>
      </c>
      <c r="D574" s="47">
        <f>SUM(B574+C574)</f>
        <v>44</v>
      </c>
      <c r="G574" s="13" t="s">
        <v>6</v>
      </c>
      <c r="H574" s="48">
        <f>H568</f>
        <v>2632</v>
      </c>
      <c r="I574" s="80">
        <f>I568</f>
        <v>1595</v>
      </c>
      <c r="J574" s="47">
        <f>SUM(H574+I574)</f>
        <v>4227</v>
      </c>
      <c r="K574" s="19"/>
    </row>
    <row r="575" spans="1:11" x14ac:dyDescent="0.15">
      <c r="A575" s="91" t="s">
        <v>214</v>
      </c>
      <c r="B575" s="92">
        <v>0</v>
      </c>
      <c r="C575" s="93">
        <v>0</v>
      </c>
      <c r="D575" s="94">
        <f>SUM(B575+C575)</f>
        <v>0</v>
      </c>
      <c r="E575" s="95">
        <v>44796</v>
      </c>
      <c r="G575" s="4" t="s">
        <v>215</v>
      </c>
      <c r="H575" s="74">
        <v>53</v>
      </c>
      <c r="I575" s="78"/>
      <c r="J575" s="21">
        <f>SUM(H575+I575)</f>
        <v>53</v>
      </c>
      <c r="K575" s="57">
        <v>44798</v>
      </c>
    </row>
    <row r="576" spans="1:11" x14ac:dyDescent="0.15">
      <c r="A576" s="3" t="s">
        <v>1</v>
      </c>
      <c r="B576" s="6">
        <v>15</v>
      </c>
      <c r="C576" s="27">
        <v>15</v>
      </c>
      <c r="D576" s="7">
        <f>SUM(B576+C576)</f>
        <v>30</v>
      </c>
      <c r="E576" s="57">
        <v>44810</v>
      </c>
      <c r="G576" s="3" t="s">
        <v>1</v>
      </c>
      <c r="H576" s="24"/>
      <c r="I576" s="90"/>
      <c r="J576" s="7">
        <f>SUM(H576+I576)</f>
        <v>0</v>
      </c>
      <c r="K576" s="57"/>
    </row>
    <row r="577" spans="1:13" x14ac:dyDescent="0.15">
      <c r="A577" s="3" t="s">
        <v>1</v>
      </c>
      <c r="B577" s="74"/>
      <c r="C577" s="78"/>
      <c r="D577" s="7">
        <f t="shared" ref="D577:D579" si="124">SUM(B577+C577)</f>
        <v>0</v>
      </c>
      <c r="E577" s="57"/>
      <c r="G577" s="89" t="s">
        <v>1</v>
      </c>
      <c r="H577" s="79"/>
      <c r="I577" s="1"/>
      <c r="J577" s="88">
        <f t="shared" ref="J577:J579" si="125">SUM(H577+I577)</f>
        <v>0</v>
      </c>
      <c r="K577" s="57"/>
    </row>
    <row r="578" spans="1:13" x14ac:dyDescent="0.15">
      <c r="A578" s="3" t="s">
        <v>1</v>
      </c>
      <c r="B578" s="74"/>
      <c r="C578" s="78"/>
      <c r="D578" s="7">
        <f t="shared" si="124"/>
        <v>0</v>
      </c>
      <c r="E578" s="57"/>
      <c r="G578" s="3" t="s">
        <v>1</v>
      </c>
      <c r="H578" s="74"/>
      <c r="I578" s="78"/>
      <c r="J578" s="7">
        <f t="shared" si="125"/>
        <v>0</v>
      </c>
      <c r="K578" s="19"/>
    </row>
    <row r="579" spans="1:13" ht="14.25" thickBot="1" x14ac:dyDescent="0.2">
      <c r="A579" s="3" t="s">
        <v>1</v>
      </c>
      <c r="B579" s="74"/>
      <c r="C579" s="78"/>
      <c r="D579" s="21">
        <f t="shared" si="124"/>
        <v>0</v>
      </c>
      <c r="E579" s="57"/>
      <c r="G579" s="4" t="s">
        <v>1</v>
      </c>
      <c r="H579" s="75"/>
      <c r="I579" s="17"/>
      <c r="J579" s="22">
        <f t="shared" si="125"/>
        <v>0</v>
      </c>
    </row>
    <row r="580" spans="1:13" ht="14.25" thickBot="1" x14ac:dyDescent="0.2">
      <c r="A580" s="14" t="s">
        <v>2</v>
      </c>
      <c r="B580" s="16">
        <f>SUM(B574:B579)</f>
        <v>36</v>
      </c>
      <c r="C580" s="83">
        <f>SUM(C574:C579)</f>
        <v>38</v>
      </c>
      <c r="D580" s="84">
        <f>SUM(B580+C580)</f>
        <v>74</v>
      </c>
      <c r="G580" s="14" t="s">
        <v>2</v>
      </c>
      <c r="H580" s="15">
        <f>SUM(H574:H579)</f>
        <v>2685</v>
      </c>
      <c r="I580" s="65">
        <f>SUM(I574:I579)</f>
        <v>1595</v>
      </c>
      <c r="J580" s="18">
        <f>SUM(H580+I580)</f>
        <v>4280</v>
      </c>
    </row>
    <row r="581" spans="1:13" x14ac:dyDescent="0.15">
      <c r="A581" s="29" t="s">
        <v>112</v>
      </c>
      <c r="B581" s="6">
        <v>2</v>
      </c>
      <c r="C581" s="27">
        <v>1</v>
      </c>
      <c r="D581" s="7">
        <f t="shared" ref="D581:D582" si="126">SUM(B581+C581)</f>
        <v>3</v>
      </c>
      <c r="E581" s="57">
        <v>44797</v>
      </c>
      <c r="F581" s="19"/>
      <c r="G581" s="43"/>
      <c r="H581" s="6"/>
      <c r="I581" s="27"/>
      <c r="J581" s="7">
        <f>SUM(H581+I581)</f>
        <v>0</v>
      </c>
      <c r="K581" s="57"/>
      <c r="L581" s="19"/>
      <c r="M581" s="19"/>
    </row>
    <row r="582" spans="1:13" x14ac:dyDescent="0.15">
      <c r="A582" s="29" t="s">
        <v>112</v>
      </c>
      <c r="B582" s="6"/>
      <c r="C582" s="27">
        <v>4</v>
      </c>
      <c r="D582" s="7">
        <f t="shared" si="126"/>
        <v>4</v>
      </c>
      <c r="E582" s="57">
        <v>44798</v>
      </c>
      <c r="F582" s="19"/>
      <c r="G582" s="43"/>
      <c r="H582" s="6"/>
      <c r="I582" s="27"/>
      <c r="J582" s="7">
        <f t="shared" ref="J582:J604" si="127">SUM(H582+I582)</f>
        <v>0</v>
      </c>
      <c r="K582" s="57"/>
      <c r="L582" s="19"/>
      <c r="M582" s="19"/>
    </row>
    <row r="583" spans="1:13" x14ac:dyDescent="0.15">
      <c r="A583" s="29" t="s">
        <v>112</v>
      </c>
      <c r="B583" s="6">
        <v>2</v>
      </c>
      <c r="C583" s="27"/>
      <c r="D583" s="7">
        <f t="shared" ref="D583:D604" si="128">SUM(B583+C583)</f>
        <v>2</v>
      </c>
      <c r="E583" s="57">
        <v>44802</v>
      </c>
      <c r="F583" s="19"/>
      <c r="G583" s="43"/>
      <c r="H583" s="6"/>
      <c r="I583" s="27"/>
      <c r="J583" s="7">
        <f t="shared" si="127"/>
        <v>0</v>
      </c>
      <c r="K583" s="57"/>
      <c r="L583" s="19"/>
      <c r="M583" s="19"/>
    </row>
    <row r="584" spans="1:13" x14ac:dyDescent="0.15">
      <c r="A584" s="29" t="s">
        <v>112</v>
      </c>
      <c r="B584" s="6">
        <v>2</v>
      </c>
      <c r="C584" s="27">
        <v>4</v>
      </c>
      <c r="D584" s="7">
        <f t="shared" si="128"/>
        <v>6</v>
      </c>
      <c r="E584" s="57">
        <v>44804</v>
      </c>
      <c r="F584" s="19"/>
      <c r="G584" s="43"/>
      <c r="H584" s="6"/>
      <c r="I584" s="27"/>
      <c r="J584" s="7">
        <f t="shared" si="127"/>
        <v>0</v>
      </c>
      <c r="K584" s="57"/>
      <c r="L584" s="19"/>
      <c r="M584" s="19"/>
    </row>
    <row r="585" spans="1:13" x14ac:dyDescent="0.15">
      <c r="A585" s="29" t="s">
        <v>112</v>
      </c>
      <c r="B585" s="6">
        <f>6+2</f>
        <v>8</v>
      </c>
      <c r="C585" s="27">
        <f>2+5</f>
        <v>7</v>
      </c>
      <c r="D585" s="7">
        <f t="shared" si="128"/>
        <v>15</v>
      </c>
      <c r="E585" s="57">
        <v>44809</v>
      </c>
      <c r="F585" s="19"/>
      <c r="G585" s="5"/>
      <c r="H585" s="24"/>
      <c r="I585" s="77"/>
      <c r="J585" s="7">
        <f t="shared" si="127"/>
        <v>0</v>
      </c>
      <c r="K585" s="57"/>
      <c r="L585" s="19"/>
      <c r="M585" s="19"/>
    </row>
    <row r="586" spans="1:13" x14ac:dyDescent="0.15">
      <c r="A586" s="29" t="s">
        <v>112</v>
      </c>
      <c r="B586" s="6">
        <v>4</v>
      </c>
      <c r="C586" s="27">
        <f>3+2</f>
        <v>5</v>
      </c>
      <c r="D586" s="7">
        <f t="shared" si="128"/>
        <v>9</v>
      </c>
      <c r="E586" s="57">
        <v>44810</v>
      </c>
      <c r="F586" s="19"/>
      <c r="G586" s="5"/>
      <c r="H586" s="6"/>
      <c r="I586" s="27"/>
      <c r="J586" s="7">
        <f t="shared" si="127"/>
        <v>0</v>
      </c>
      <c r="K586" s="57"/>
      <c r="L586" s="19"/>
      <c r="M586" s="19"/>
    </row>
    <row r="587" spans="1:13" x14ac:dyDescent="0.15">
      <c r="A587" s="29" t="s">
        <v>112</v>
      </c>
      <c r="B587" s="6"/>
      <c r="C587" s="27"/>
      <c r="D587" s="7">
        <f t="shared" si="128"/>
        <v>0</v>
      </c>
      <c r="E587" s="57"/>
      <c r="F587" s="19"/>
      <c r="G587" s="5"/>
      <c r="H587" s="6"/>
      <c r="I587" s="27"/>
      <c r="J587" s="7">
        <f t="shared" si="127"/>
        <v>0</v>
      </c>
      <c r="K587" s="57"/>
    </row>
    <row r="588" spans="1:13" x14ac:dyDescent="0.15">
      <c r="A588" s="29"/>
      <c r="B588" s="6"/>
      <c r="C588" s="27"/>
      <c r="D588" s="7">
        <f t="shared" si="128"/>
        <v>0</v>
      </c>
      <c r="E588" s="57"/>
      <c r="F588" s="19"/>
      <c r="G588" s="5"/>
      <c r="H588" s="6"/>
      <c r="I588" s="27"/>
      <c r="J588" s="7">
        <f t="shared" si="127"/>
        <v>0</v>
      </c>
      <c r="K588" s="57"/>
    </row>
    <row r="589" spans="1:13" x14ac:dyDescent="0.15">
      <c r="A589" s="29"/>
      <c r="B589" s="6"/>
      <c r="C589" s="27"/>
      <c r="D589" s="7">
        <f t="shared" si="128"/>
        <v>0</v>
      </c>
      <c r="E589" s="57"/>
      <c r="F589" s="19"/>
      <c r="G589" s="5"/>
      <c r="H589" s="6"/>
      <c r="I589" s="27"/>
      <c r="J589" s="7">
        <f t="shared" si="127"/>
        <v>0</v>
      </c>
      <c r="K589" s="57"/>
    </row>
    <row r="590" spans="1:13" x14ac:dyDescent="0.15">
      <c r="A590" s="29"/>
      <c r="B590" s="6"/>
      <c r="C590" s="27"/>
      <c r="D590" s="7">
        <f t="shared" si="128"/>
        <v>0</v>
      </c>
      <c r="E590" s="57"/>
      <c r="F590" s="19"/>
      <c r="G590" s="5"/>
      <c r="H590" s="6"/>
      <c r="I590" s="27"/>
      <c r="J590" s="7">
        <f t="shared" si="127"/>
        <v>0</v>
      </c>
      <c r="K590" s="57"/>
    </row>
    <row r="591" spans="1:13" x14ac:dyDescent="0.15">
      <c r="A591" s="29"/>
      <c r="B591" s="6"/>
      <c r="C591" s="27"/>
      <c r="D591" s="7">
        <f t="shared" si="128"/>
        <v>0</v>
      </c>
      <c r="E591" s="57"/>
      <c r="F591" s="19"/>
      <c r="G591" s="5"/>
      <c r="H591" s="6"/>
      <c r="I591" s="27"/>
      <c r="J591" s="7">
        <f t="shared" si="127"/>
        <v>0</v>
      </c>
      <c r="K591" s="57"/>
    </row>
    <row r="592" spans="1:13" x14ac:dyDescent="0.15">
      <c r="A592" s="29"/>
      <c r="B592" s="6"/>
      <c r="C592" s="27"/>
      <c r="D592" s="7">
        <f t="shared" si="128"/>
        <v>0</v>
      </c>
      <c r="E592" s="57"/>
      <c r="F592" s="19"/>
      <c r="G592" s="5"/>
      <c r="H592" s="6"/>
      <c r="I592" s="27"/>
      <c r="J592" s="7">
        <f t="shared" si="127"/>
        <v>0</v>
      </c>
      <c r="K592" s="57"/>
    </row>
    <row r="593" spans="1:11" x14ac:dyDescent="0.15">
      <c r="A593" s="29"/>
      <c r="B593" s="6"/>
      <c r="C593" s="27"/>
      <c r="D593" s="7">
        <f t="shared" si="128"/>
        <v>0</v>
      </c>
      <c r="E593" s="57"/>
      <c r="F593" s="19"/>
      <c r="G593" s="43"/>
      <c r="H593" s="6"/>
      <c r="I593" s="27"/>
      <c r="J593" s="7">
        <f t="shared" si="127"/>
        <v>0</v>
      </c>
      <c r="K593" s="57"/>
    </row>
    <row r="594" spans="1:11" x14ac:dyDescent="0.15">
      <c r="A594" s="29"/>
      <c r="B594" s="6"/>
      <c r="C594" s="27"/>
      <c r="D594" s="7">
        <f t="shared" si="128"/>
        <v>0</v>
      </c>
      <c r="E594" s="57"/>
      <c r="F594" s="19"/>
      <c r="G594" s="5"/>
      <c r="H594" s="6"/>
      <c r="I594" s="27"/>
      <c r="J594" s="7">
        <f t="shared" si="127"/>
        <v>0</v>
      </c>
      <c r="K594" s="19"/>
    </row>
    <row r="595" spans="1:11" x14ac:dyDescent="0.15">
      <c r="A595" s="29"/>
      <c r="B595" s="6"/>
      <c r="C595" s="27"/>
      <c r="D595" s="7">
        <f t="shared" si="128"/>
        <v>0</v>
      </c>
      <c r="E595" s="57"/>
      <c r="F595" s="19"/>
      <c r="G595" s="8"/>
      <c r="H595" s="6"/>
      <c r="I595" s="27"/>
      <c r="J595" s="7">
        <f t="shared" si="127"/>
        <v>0</v>
      </c>
      <c r="K595" s="19"/>
    </row>
    <row r="596" spans="1:11" x14ac:dyDescent="0.15">
      <c r="A596" s="29"/>
      <c r="B596" s="6"/>
      <c r="C596" s="27"/>
      <c r="D596" s="7">
        <f t="shared" si="128"/>
        <v>0</v>
      </c>
      <c r="E596" s="57"/>
      <c r="F596" s="19"/>
      <c r="G596" s="8"/>
      <c r="H596" s="6"/>
      <c r="I596" s="27"/>
      <c r="J596" s="7">
        <f t="shared" si="127"/>
        <v>0</v>
      </c>
      <c r="K596" s="19"/>
    </row>
    <row r="597" spans="1:11" x14ac:dyDescent="0.15">
      <c r="A597" s="29"/>
      <c r="B597" s="6"/>
      <c r="C597" s="27"/>
      <c r="D597" s="7">
        <f t="shared" si="128"/>
        <v>0</v>
      </c>
      <c r="E597" s="57"/>
      <c r="F597" s="19"/>
      <c r="G597" s="5"/>
      <c r="H597" s="6"/>
      <c r="I597" s="27"/>
      <c r="J597" s="7">
        <f t="shared" si="127"/>
        <v>0</v>
      </c>
      <c r="K597" s="19"/>
    </row>
    <row r="598" spans="1:11" x14ac:dyDescent="0.15">
      <c r="A598" s="29"/>
      <c r="B598" s="6"/>
      <c r="C598" s="27"/>
      <c r="D598" s="7">
        <f t="shared" si="128"/>
        <v>0</v>
      </c>
      <c r="E598" s="57"/>
      <c r="F598" s="19"/>
      <c r="G598" s="5"/>
      <c r="H598" s="6"/>
      <c r="I598" s="27"/>
      <c r="J598" s="7">
        <f t="shared" si="127"/>
        <v>0</v>
      </c>
      <c r="K598" s="19"/>
    </row>
    <row r="599" spans="1:11" x14ac:dyDescent="0.15">
      <c r="A599" s="29"/>
      <c r="B599" s="6"/>
      <c r="C599" s="27"/>
      <c r="D599" s="7">
        <f t="shared" si="128"/>
        <v>0</v>
      </c>
      <c r="E599" s="57"/>
      <c r="F599" s="19"/>
      <c r="G599" s="43"/>
      <c r="H599" s="6"/>
      <c r="I599" s="27"/>
      <c r="J599" s="35">
        <f t="shared" si="127"/>
        <v>0</v>
      </c>
      <c r="K599" s="19"/>
    </row>
    <row r="600" spans="1:11" x14ac:dyDescent="0.15">
      <c r="A600" s="29"/>
      <c r="B600" s="6"/>
      <c r="C600" s="27"/>
      <c r="D600" s="7">
        <f t="shared" si="128"/>
        <v>0</v>
      </c>
      <c r="E600" s="57"/>
      <c r="F600" s="19"/>
      <c r="G600" s="43"/>
      <c r="H600" s="6"/>
      <c r="I600" s="27"/>
      <c r="J600" s="35">
        <f t="shared" si="127"/>
        <v>0</v>
      </c>
      <c r="K600" s="19"/>
    </row>
    <row r="601" spans="1:11" x14ac:dyDescent="0.15">
      <c r="A601" s="29"/>
      <c r="B601" s="6"/>
      <c r="C601" s="27"/>
      <c r="D601" s="7">
        <f t="shared" si="128"/>
        <v>0</v>
      </c>
      <c r="E601" s="57"/>
      <c r="F601" s="19"/>
      <c r="G601" s="43"/>
      <c r="H601" s="6"/>
      <c r="I601" s="27"/>
      <c r="J601" s="35">
        <f t="shared" si="127"/>
        <v>0</v>
      </c>
      <c r="K601" s="57"/>
    </row>
    <row r="602" spans="1:11" x14ac:dyDescent="0.15">
      <c r="A602" s="29"/>
      <c r="B602" s="6"/>
      <c r="C602" s="27"/>
      <c r="D602" s="7">
        <f t="shared" si="128"/>
        <v>0</v>
      </c>
      <c r="E602" s="57"/>
      <c r="F602" s="19"/>
      <c r="G602" s="43"/>
      <c r="H602" s="6"/>
      <c r="I602" s="27"/>
      <c r="J602" s="35">
        <f t="shared" si="127"/>
        <v>0</v>
      </c>
      <c r="K602" s="57"/>
    </row>
    <row r="603" spans="1:11" x14ac:dyDescent="0.15">
      <c r="A603" s="29"/>
      <c r="B603" s="6"/>
      <c r="C603" s="27"/>
      <c r="D603" s="7">
        <f t="shared" si="128"/>
        <v>0</v>
      </c>
      <c r="E603" s="57"/>
      <c r="F603" s="19"/>
      <c r="G603" s="43"/>
      <c r="H603" s="6"/>
      <c r="I603" s="27"/>
      <c r="J603" s="35">
        <f t="shared" si="127"/>
        <v>0</v>
      </c>
      <c r="K603" s="57"/>
    </row>
    <row r="604" spans="1:11" ht="14.25" thickBot="1" x14ac:dyDescent="0.2">
      <c r="A604" s="29" t="s">
        <v>222</v>
      </c>
      <c r="B604" s="6">
        <v>1</v>
      </c>
      <c r="C604" s="27">
        <v>5</v>
      </c>
      <c r="D604" s="7">
        <f t="shared" si="128"/>
        <v>6</v>
      </c>
      <c r="E604" s="57"/>
      <c r="F604" s="19"/>
      <c r="G604" s="5"/>
      <c r="H604" s="6"/>
      <c r="I604" s="27"/>
      <c r="J604" s="7">
        <f t="shared" si="127"/>
        <v>0</v>
      </c>
      <c r="K604" s="57"/>
    </row>
    <row r="605" spans="1:11" ht="14.25" thickBot="1" x14ac:dyDescent="0.2">
      <c r="A605" s="9" t="s">
        <v>3</v>
      </c>
      <c r="B605" s="10">
        <f>SUM(B581:B604)</f>
        <v>19</v>
      </c>
      <c r="C605" s="66">
        <f>SUM(C581:C604)</f>
        <v>26</v>
      </c>
      <c r="D605" s="11">
        <f>SUM(D581:D604)</f>
        <v>45</v>
      </c>
      <c r="G605" s="9" t="s">
        <v>3</v>
      </c>
      <c r="H605" s="10">
        <f>SUM(H581:H604)</f>
        <v>0</v>
      </c>
      <c r="I605" s="66">
        <f>SUM(I581:I604)</f>
        <v>0</v>
      </c>
      <c r="J605" s="11">
        <f>SUM(J581:J604)</f>
        <v>0</v>
      </c>
    </row>
    <row r="606" spans="1:11" ht="14.25" thickBot="1" x14ac:dyDescent="0.2">
      <c r="A606" s="14" t="s">
        <v>4</v>
      </c>
      <c r="B606" s="16">
        <f>B580-B605</f>
        <v>17</v>
      </c>
      <c r="C606" s="16">
        <f>C580-C605</f>
        <v>12</v>
      </c>
      <c r="D606" s="84">
        <f>D580-D605</f>
        <v>29</v>
      </c>
      <c r="G606" s="14" t="s">
        <v>4</v>
      </c>
      <c r="H606" s="16">
        <f>H580-H605</f>
        <v>2685</v>
      </c>
      <c r="I606" s="16">
        <f>I580-I605</f>
        <v>1595</v>
      </c>
      <c r="J606" s="16">
        <f>J580-J605</f>
        <v>4280</v>
      </c>
    </row>
    <row r="609" spans="1:12" ht="24" x14ac:dyDescent="0.25">
      <c r="A609" s="25" t="s">
        <v>7</v>
      </c>
      <c r="B609" s="1"/>
      <c r="C609" s="1"/>
      <c r="D609" s="1"/>
      <c r="G609" s="25" t="s">
        <v>8</v>
      </c>
      <c r="H609" s="1"/>
      <c r="I609" s="1"/>
      <c r="J609" s="1"/>
    </row>
    <row r="610" spans="1:12" ht="14.25" thickBot="1" x14ac:dyDescent="0.2">
      <c r="A610" s="1"/>
      <c r="B610" s="1"/>
      <c r="C610" s="1"/>
      <c r="D610" s="1"/>
      <c r="G610" s="1"/>
      <c r="H610" s="1"/>
      <c r="I610" s="1"/>
      <c r="J610" s="1"/>
    </row>
    <row r="611" spans="1:12" ht="14.25" thickBot="1" x14ac:dyDescent="0.2">
      <c r="A611" s="2"/>
      <c r="B611" s="50" t="s">
        <v>115</v>
      </c>
      <c r="C611" s="50" t="s">
        <v>116</v>
      </c>
      <c r="D611" s="2" t="s">
        <v>0</v>
      </c>
      <c r="G611" s="2"/>
      <c r="H611" s="50" t="s">
        <v>115</v>
      </c>
      <c r="I611" s="50" t="s">
        <v>116</v>
      </c>
      <c r="J611" s="2" t="s">
        <v>0</v>
      </c>
    </row>
    <row r="612" spans="1:12" x14ac:dyDescent="0.15">
      <c r="A612" s="32" t="s">
        <v>4</v>
      </c>
      <c r="B612" s="48">
        <f>B606</f>
        <v>17</v>
      </c>
      <c r="C612" s="76">
        <f>C606</f>
        <v>12</v>
      </c>
      <c r="D612" s="47">
        <f>SUM(B612+C612)</f>
        <v>29</v>
      </c>
      <c r="G612" s="13" t="s">
        <v>6</v>
      </c>
      <c r="H612" s="48">
        <f>H606</f>
        <v>2685</v>
      </c>
      <c r="I612" s="80">
        <f>I606</f>
        <v>1595</v>
      </c>
      <c r="J612" s="47">
        <f>SUM(H612+I612)</f>
        <v>4280</v>
      </c>
      <c r="K612" s="19"/>
    </row>
    <row r="613" spans="1:12" x14ac:dyDescent="0.15">
      <c r="A613" s="3" t="s">
        <v>1</v>
      </c>
      <c r="B613" s="6">
        <v>15</v>
      </c>
      <c r="C613" s="27">
        <v>15</v>
      </c>
      <c r="D613" s="7">
        <f>SUM(B613+C613)</f>
        <v>30</v>
      </c>
      <c r="E613" s="57">
        <v>44810</v>
      </c>
      <c r="G613" s="3" t="s">
        <v>1</v>
      </c>
      <c r="H613" s="24"/>
      <c r="I613" s="90"/>
      <c r="J613" s="7">
        <f>SUM(H613+I613)</f>
        <v>0</v>
      </c>
      <c r="K613" s="57"/>
    </row>
    <row r="614" spans="1:12" x14ac:dyDescent="0.15">
      <c r="A614" s="3" t="s">
        <v>215</v>
      </c>
      <c r="B614" s="74">
        <v>3</v>
      </c>
      <c r="C614" s="78">
        <v>1</v>
      </c>
      <c r="D614" s="7">
        <f t="shared" ref="D614" si="129">SUM(B614+C614)</f>
        <v>4</v>
      </c>
      <c r="E614" s="57">
        <v>44818</v>
      </c>
      <c r="G614" s="3" t="s">
        <v>1</v>
      </c>
      <c r="H614" s="24"/>
      <c r="I614" s="90"/>
      <c r="J614" s="7">
        <f>SUM(H614+I614)</f>
        <v>0</v>
      </c>
      <c r="K614" s="57"/>
    </row>
    <row r="615" spans="1:12" x14ac:dyDescent="0.15">
      <c r="A615" s="3" t="s">
        <v>216</v>
      </c>
      <c r="B615" s="74">
        <v>12</v>
      </c>
      <c r="C615" s="78">
        <v>14</v>
      </c>
      <c r="D615" s="7">
        <f t="shared" ref="D615:D617" si="130">SUM(B615+C615)</f>
        <v>26</v>
      </c>
      <c r="E615" s="57">
        <v>44830</v>
      </c>
      <c r="G615" s="89" t="s">
        <v>1</v>
      </c>
      <c r="H615" s="79"/>
      <c r="I615" s="1"/>
      <c r="J615" s="88">
        <f t="shared" ref="J615:J617" si="131">SUM(H615+I615)</f>
        <v>0</v>
      </c>
      <c r="K615" s="57"/>
    </row>
    <row r="616" spans="1:12" x14ac:dyDescent="0.15">
      <c r="A616" s="3" t="s">
        <v>217</v>
      </c>
      <c r="B616" s="74">
        <v>1</v>
      </c>
      <c r="C616" s="78"/>
      <c r="D616" s="7">
        <f t="shared" si="130"/>
        <v>1</v>
      </c>
      <c r="E616" s="57">
        <v>44845</v>
      </c>
      <c r="G616" s="3" t="s">
        <v>1</v>
      </c>
      <c r="H616" s="74"/>
      <c r="I616" s="78"/>
      <c r="J616" s="7">
        <f t="shared" si="131"/>
        <v>0</v>
      </c>
      <c r="K616" s="19"/>
    </row>
    <row r="617" spans="1:12" ht="14.25" thickBot="1" x14ac:dyDescent="0.2">
      <c r="A617" s="3" t="s">
        <v>215</v>
      </c>
      <c r="B617" s="74">
        <v>7</v>
      </c>
      <c r="C617" s="78">
        <v>2</v>
      </c>
      <c r="D617" s="21">
        <f t="shared" si="130"/>
        <v>9</v>
      </c>
      <c r="E617" s="57">
        <v>44860</v>
      </c>
      <c r="G617" s="4" t="s">
        <v>1</v>
      </c>
      <c r="H617" s="75"/>
      <c r="I617" s="17"/>
      <c r="J617" s="22">
        <f t="shared" si="131"/>
        <v>0</v>
      </c>
    </row>
    <row r="618" spans="1:12" ht="14.25" thickBot="1" x14ac:dyDescent="0.2">
      <c r="A618" s="14" t="s">
        <v>2</v>
      </c>
      <c r="B618" s="16">
        <f>SUM(B612:B617)</f>
        <v>55</v>
      </c>
      <c r="C618" s="83">
        <f>SUM(C612:C617)</f>
        <v>44</v>
      </c>
      <c r="D618" s="84">
        <f>SUM(B618+C618)</f>
        <v>99</v>
      </c>
      <c r="G618" s="14" t="s">
        <v>2</v>
      </c>
      <c r="H618" s="15">
        <f>SUM(H612:H617)</f>
        <v>2685</v>
      </c>
      <c r="I618" s="65">
        <f>SUM(I612:I617)</f>
        <v>1595</v>
      </c>
      <c r="J618" s="18">
        <f>SUM(H618+I618)</f>
        <v>4280</v>
      </c>
    </row>
    <row r="619" spans="1:12" x14ac:dyDescent="0.15">
      <c r="A619" s="29" t="s">
        <v>112</v>
      </c>
      <c r="B619" s="6">
        <f>6+2</f>
        <v>8</v>
      </c>
      <c r="C619" s="27">
        <f>2+5</f>
        <v>7</v>
      </c>
      <c r="D619" s="7">
        <f t="shared" ref="D619:D621" si="132">SUM(B619+C619)</f>
        <v>15</v>
      </c>
      <c r="E619" s="57">
        <v>44809</v>
      </c>
      <c r="F619" s="19"/>
      <c r="G619" s="43" t="s">
        <v>21</v>
      </c>
      <c r="H619" s="6">
        <v>15</v>
      </c>
      <c r="I619" s="27">
        <v>15</v>
      </c>
      <c r="J619" s="7">
        <f>SUM(H619+I619)</f>
        <v>30</v>
      </c>
      <c r="K619" s="57">
        <v>44810</v>
      </c>
      <c r="L619" s="19"/>
    </row>
    <row r="620" spans="1:12" x14ac:dyDescent="0.15">
      <c r="A620" s="29" t="s">
        <v>112</v>
      </c>
      <c r="B620" s="6">
        <v>4</v>
      </c>
      <c r="C620" s="27">
        <f>3+2</f>
        <v>5</v>
      </c>
      <c r="D620" s="7">
        <f t="shared" si="132"/>
        <v>9</v>
      </c>
      <c r="E620" s="57">
        <v>44810</v>
      </c>
      <c r="F620" s="19"/>
      <c r="G620" s="43" t="s">
        <v>21</v>
      </c>
      <c r="H620" s="6">
        <v>5</v>
      </c>
      <c r="I620" s="27">
        <v>10</v>
      </c>
      <c r="J620" s="7">
        <f t="shared" ref="J620" si="133">SUM(H620+I620)</f>
        <v>15</v>
      </c>
      <c r="K620" s="57">
        <v>44874</v>
      </c>
      <c r="L620" s="19"/>
    </row>
    <row r="621" spans="1:12" x14ac:dyDescent="0.15">
      <c r="A621" s="29" t="s">
        <v>112</v>
      </c>
      <c r="B621" s="6"/>
      <c r="C621" s="27">
        <v>4</v>
      </c>
      <c r="D621" s="7">
        <f t="shared" si="132"/>
        <v>4</v>
      </c>
      <c r="E621" s="57">
        <v>44811</v>
      </c>
      <c r="F621" s="19"/>
      <c r="G621" s="43"/>
      <c r="H621" s="6"/>
      <c r="I621" s="27"/>
      <c r="J621" s="7">
        <f t="shared" ref="J621:J642" si="134">SUM(H621+I621)</f>
        <v>0</v>
      </c>
      <c r="K621" s="57"/>
      <c r="L621" s="19"/>
    </row>
    <row r="622" spans="1:12" x14ac:dyDescent="0.15">
      <c r="A622" s="29" t="s">
        <v>112</v>
      </c>
      <c r="B622" s="6">
        <v>1</v>
      </c>
      <c r="C622" s="27">
        <v>2</v>
      </c>
      <c r="D622" s="7">
        <f t="shared" ref="D622:D642" si="135">SUM(B622+C622)</f>
        <v>3</v>
      </c>
      <c r="E622" s="57">
        <v>44812</v>
      </c>
      <c r="F622" s="19"/>
      <c r="G622" s="43"/>
      <c r="H622" s="6"/>
      <c r="I622" s="27"/>
      <c r="J622" s="7">
        <f t="shared" si="134"/>
        <v>0</v>
      </c>
      <c r="K622" s="57"/>
      <c r="L622" s="19"/>
    </row>
    <row r="623" spans="1:12" x14ac:dyDescent="0.15">
      <c r="A623" s="29" t="s">
        <v>112</v>
      </c>
      <c r="B623" s="6">
        <f>1+2</f>
        <v>3</v>
      </c>
      <c r="C623" s="27">
        <f>1+3</f>
        <v>4</v>
      </c>
      <c r="D623" s="7">
        <f t="shared" si="135"/>
        <v>7</v>
      </c>
      <c r="E623" s="57">
        <v>44816</v>
      </c>
      <c r="F623" s="19"/>
      <c r="G623" s="5"/>
      <c r="H623" s="24"/>
      <c r="I623" s="77"/>
      <c r="J623" s="7">
        <f t="shared" si="134"/>
        <v>0</v>
      </c>
      <c r="K623" s="57"/>
      <c r="L623" s="19"/>
    </row>
    <row r="624" spans="1:12" x14ac:dyDescent="0.15">
      <c r="A624" s="29" t="s">
        <v>112</v>
      </c>
      <c r="B624" s="6">
        <v>9</v>
      </c>
      <c r="C624" s="27">
        <v>1</v>
      </c>
      <c r="D624" s="7">
        <f t="shared" si="135"/>
        <v>10</v>
      </c>
      <c r="E624" s="57">
        <v>44824</v>
      </c>
      <c r="F624" s="19"/>
      <c r="G624" s="5"/>
      <c r="H624" s="6"/>
      <c r="I624" s="27"/>
      <c r="J624" s="7">
        <f t="shared" si="134"/>
        <v>0</v>
      </c>
      <c r="K624" s="57"/>
      <c r="L624" s="19"/>
    </row>
    <row r="625" spans="1:11" x14ac:dyDescent="0.15">
      <c r="A625" s="29" t="s">
        <v>112</v>
      </c>
      <c r="B625" s="6">
        <v>1</v>
      </c>
      <c r="C625" s="27">
        <f>2+3</f>
        <v>5</v>
      </c>
      <c r="D625" s="7">
        <f t="shared" si="135"/>
        <v>6</v>
      </c>
      <c r="E625" s="57">
        <v>44830</v>
      </c>
      <c r="F625" s="19"/>
      <c r="G625" s="5"/>
      <c r="H625" s="6"/>
      <c r="I625" s="27"/>
      <c r="J625" s="7">
        <f t="shared" si="134"/>
        <v>0</v>
      </c>
      <c r="K625" s="57"/>
    </row>
    <row r="626" spans="1:11" x14ac:dyDescent="0.15">
      <c r="A626" s="29" t="s">
        <v>112</v>
      </c>
      <c r="B626" s="6">
        <v>1</v>
      </c>
      <c r="C626" s="27"/>
      <c r="D626" s="7">
        <f t="shared" si="135"/>
        <v>1</v>
      </c>
      <c r="E626" s="57">
        <v>44837</v>
      </c>
      <c r="F626" s="19"/>
      <c r="G626" s="5"/>
      <c r="H626" s="6"/>
      <c r="I626" s="27"/>
      <c r="J626" s="7">
        <f t="shared" si="134"/>
        <v>0</v>
      </c>
      <c r="K626" s="57"/>
    </row>
    <row r="627" spans="1:11" x14ac:dyDescent="0.15">
      <c r="A627" s="29" t="s">
        <v>112</v>
      </c>
      <c r="B627" s="6"/>
      <c r="C627" s="27">
        <v>2</v>
      </c>
      <c r="D627" s="7">
        <f t="shared" si="135"/>
        <v>2</v>
      </c>
      <c r="E627" s="57">
        <v>44838</v>
      </c>
      <c r="F627" s="19"/>
      <c r="G627" s="5"/>
      <c r="H627" s="6"/>
      <c r="I627" s="27"/>
      <c r="J627" s="7">
        <f t="shared" si="134"/>
        <v>0</v>
      </c>
      <c r="K627" s="57"/>
    </row>
    <row r="628" spans="1:11" x14ac:dyDescent="0.15">
      <c r="A628" s="29" t="s">
        <v>112</v>
      </c>
      <c r="B628" s="6">
        <v>1</v>
      </c>
      <c r="C628" s="27"/>
      <c r="D628" s="7">
        <f t="shared" si="135"/>
        <v>1</v>
      </c>
      <c r="E628" s="57">
        <v>44839</v>
      </c>
      <c r="F628" s="19"/>
      <c r="G628" s="5"/>
      <c r="H628" s="6"/>
      <c r="I628" s="27"/>
      <c r="J628" s="7">
        <f t="shared" si="134"/>
        <v>0</v>
      </c>
      <c r="K628" s="57"/>
    </row>
    <row r="629" spans="1:11" x14ac:dyDescent="0.15">
      <c r="A629" s="29" t="s">
        <v>112</v>
      </c>
      <c r="B629" s="6">
        <v>4</v>
      </c>
      <c r="C629" s="27">
        <v>4</v>
      </c>
      <c r="D629" s="7">
        <f t="shared" si="135"/>
        <v>8</v>
      </c>
      <c r="E629" s="57">
        <v>44845</v>
      </c>
      <c r="F629" s="19"/>
      <c r="G629" s="5"/>
      <c r="H629" s="6"/>
      <c r="I629" s="27"/>
      <c r="J629" s="7">
        <f t="shared" si="134"/>
        <v>0</v>
      </c>
      <c r="K629" s="57"/>
    </row>
    <row r="630" spans="1:11" x14ac:dyDescent="0.15">
      <c r="A630" s="29" t="s">
        <v>112</v>
      </c>
      <c r="B630" s="6">
        <v>1</v>
      </c>
      <c r="C630" s="27"/>
      <c r="D630" s="7">
        <f t="shared" si="135"/>
        <v>1</v>
      </c>
      <c r="E630" s="57">
        <v>44846</v>
      </c>
      <c r="F630" s="19"/>
      <c r="G630" s="5"/>
      <c r="H630" s="6"/>
      <c r="I630" s="27"/>
      <c r="J630" s="7">
        <f t="shared" si="134"/>
        <v>0</v>
      </c>
      <c r="K630" s="57"/>
    </row>
    <row r="631" spans="1:11" x14ac:dyDescent="0.15">
      <c r="A631" s="29" t="s">
        <v>112</v>
      </c>
      <c r="B631" s="6">
        <v>1</v>
      </c>
      <c r="C631" s="27"/>
      <c r="D631" s="7">
        <f t="shared" si="135"/>
        <v>1</v>
      </c>
      <c r="E631" s="57">
        <v>44858</v>
      </c>
      <c r="F631" s="19"/>
      <c r="G631" s="43"/>
      <c r="H631" s="6"/>
      <c r="I631" s="27"/>
      <c r="J631" s="7">
        <f t="shared" si="134"/>
        <v>0</v>
      </c>
      <c r="K631" s="57"/>
    </row>
    <row r="632" spans="1:11" x14ac:dyDescent="0.15">
      <c r="A632" s="29" t="s">
        <v>112</v>
      </c>
      <c r="B632" s="6">
        <v>2</v>
      </c>
      <c r="C632" s="27"/>
      <c r="D632" s="7">
        <f t="shared" si="135"/>
        <v>2</v>
      </c>
      <c r="E632" s="57">
        <v>44862</v>
      </c>
      <c r="F632" s="19"/>
      <c r="G632" s="5"/>
      <c r="H632" s="6"/>
      <c r="I632" s="27"/>
      <c r="J632" s="7">
        <f t="shared" si="134"/>
        <v>0</v>
      </c>
      <c r="K632" s="19"/>
    </row>
    <row r="633" spans="1:11" x14ac:dyDescent="0.15">
      <c r="A633" s="29" t="s">
        <v>112</v>
      </c>
      <c r="B633" s="6">
        <v>2</v>
      </c>
      <c r="C633" s="27"/>
      <c r="D633" s="7">
        <f t="shared" si="135"/>
        <v>2</v>
      </c>
      <c r="E633" s="57">
        <v>44867</v>
      </c>
      <c r="F633" s="19"/>
      <c r="G633" s="8"/>
      <c r="H633" s="6"/>
      <c r="I633" s="27"/>
      <c r="J633" s="7">
        <f t="shared" si="134"/>
        <v>0</v>
      </c>
      <c r="K633" s="19"/>
    </row>
    <row r="634" spans="1:11" x14ac:dyDescent="0.15">
      <c r="A634" s="29" t="s">
        <v>112</v>
      </c>
      <c r="B634" s="6">
        <v>2</v>
      </c>
      <c r="C634" s="27"/>
      <c r="D634" s="7">
        <f t="shared" si="135"/>
        <v>2</v>
      </c>
      <c r="E634" s="57">
        <v>44867</v>
      </c>
      <c r="F634" s="19"/>
      <c r="G634" s="8"/>
      <c r="H634" s="6"/>
      <c r="I634" s="27"/>
      <c r="J634" s="7">
        <f t="shared" si="134"/>
        <v>0</v>
      </c>
      <c r="K634" s="19"/>
    </row>
    <row r="635" spans="1:11" x14ac:dyDescent="0.15">
      <c r="A635" s="29" t="s">
        <v>112</v>
      </c>
      <c r="B635" s="6"/>
      <c r="C635" s="27">
        <v>4</v>
      </c>
      <c r="D635" s="7">
        <f t="shared" si="135"/>
        <v>4</v>
      </c>
      <c r="E635" s="57">
        <v>44869</v>
      </c>
      <c r="F635" s="19"/>
      <c r="G635" s="5"/>
      <c r="H635" s="6"/>
      <c r="I635" s="27"/>
      <c r="J635" s="7">
        <f t="shared" si="134"/>
        <v>0</v>
      </c>
      <c r="K635" s="19"/>
    </row>
    <row r="636" spans="1:11" x14ac:dyDescent="0.15">
      <c r="A636" s="29" t="s">
        <v>112</v>
      </c>
      <c r="B636" s="6">
        <v>3</v>
      </c>
      <c r="C636" s="27"/>
      <c r="D636" s="7">
        <f t="shared" si="135"/>
        <v>3</v>
      </c>
      <c r="E636" s="57">
        <v>44870</v>
      </c>
      <c r="F636" s="19"/>
      <c r="G636" s="5"/>
      <c r="H636" s="6"/>
      <c r="I636" s="27"/>
      <c r="J636" s="7">
        <f t="shared" si="134"/>
        <v>0</v>
      </c>
      <c r="K636" s="19"/>
    </row>
    <row r="637" spans="1:11" x14ac:dyDescent="0.15">
      <c r="A637" s="29" t="s">
        <v>218</v>
      </c>
      <c r="B637" s="6">
        <v>-5</v>
      </c>
      <c r="C637" s="27">
        <v>-10</v>
      </c>
      <c r="D637" s="7">
        <f t="shared" si="135"/>
        <v>-15</v>
      </c>
      <c r="E637" s="57">
        <v>44874</v>
      </c>
      <c r="F637" s="19"/>
      <c r="G637" s="43"/>
      <c r="H637" s="6"/>
      <c r="I637" s="27"/>
      <c r="J637" s="35">
        <f t="shared" si="134"/>
        <v>0</v>
      </c>
      <c r="K637" s="19"/>
    </row>
    <row r="638" spans="1:11" x14ac:dyDescent="0.15">
      <c r="A638" s="29" t="s">
        <v>112</v>
      </c>
      <c r="B638" s="6">
        <v>1</v>
      </c>
      <c r="C638" s="27">
        <v>2</v>
      </c>
      <c r="D638" s="7">
        <f t="shared" si="135"/>
        <v>3</v>
      </c>
      <c r="E638" s="57">
        <v>44876</v>
      </c>
      <c r="F638" s="19"/>
      <c r="G638" s="43"/>
      <c r="H638" s="6"/>
      <c r="I638" s="27"/>
      <c r="J638" s="35">
        <f t="shared" si="134"/>
        <v>0</v>
      </c>
      <c r="K638" s="19"/>
    </row>
    <row r="639" spans="1:11" x14ac:dyDescent="0.15">
      <c r="A639" s="29" t="s">
        <v>112</v>
      </c>
      <c r="B639" s="6">
        <v>1</v>
      </c>
      <c r="C639" s="27"/>
      <c r="D639" s="7">
        <f t="shared" si="135"/>
        <v>1</v>
      </c>
      <c r="E639" s="57">
        <v>44879</v>
      </c>
      <c r="F639" s="19"/>
      <c r="G639" s="43"/>
      <c r="H639" s="6"/>
      <c r="I639" s="27"/>
      <c r="J639" s="35">
        <f t="shared" si="134"/>
        <v>0</v>
      </c>
      <c r="K639" s="57"/>
    </row>
    <row r="640" spans="1:11" x14ac:dyDescent="0.15">
      <c r="A640" s="29" t="s">
        <v>112</v>
      </c>
      <c r="B640" s="6">
        <v>4</v>
      </c>
      <c r="C640" s="27">
        <v>2</v>
      </c>
      <c r="D640" s="7">
        <f t="shared" si="135"/>
        <v>6</v>
      </c>
      <c r="E640" s="57">
        <v>44881</v>
      </c>
      <c r="F640" s="19"/>
      <c r="G640" s="43"/>
      <c r="H640" s="6"/>
      <c r="I640" s="27"/>
      <c r="J640" s="35">
        <f t="shared" si="134"/>
        <v>0</v>
      </c>
      <c r="K640" s="57"/>
    </row>
    <row r="641" spans="1:11" x14ac:dyDescent="0.15">
      <c r="A641" s="29" t="s">
        <v>112</v>
      </c>
      <c r="B641" s="6">
        <v>2</v>
      </c>
      <c r="C641" s="27">
        <v>4</v>
      </c>
      <c r="D641" s="7">
        <f t="shared" si="135"/>
        <v>6</v>
      </c>
      <c r="E641" s="57">
        <v>44887</v>
      </c>
      <c r="F641" s="19"/>
      <c r="G641" s="43"/>
      <c r="H641" s="6"/>
      <c r="I641" s="27"/>
      <c r="J641" s="35">
        <f t="shared" si="134"/>
        <v>0</v>
      </c>
      <c r="K641" s="57"/>
    </row>
    <row r="642" spans="1:11" ht="14.25" thickBot="1" x14ac:dyDescent="0.2">
      <c r="A642" s="29" t="s">
        <v>112</v>
      </c>
      <c r="B642" s="6"/>
      <c r="C642" s="27">
        <v>3</v>
      </c>
      <c r="D642" s="7">
        <f t="shared" si="135"/>
        <v>3</v>
      </c>
      <c r="E642" s="57">
        <v>44893</v>
      </c>
      <c r="F642" s="19"/>
      <c r="G642" s="5"/>
      <c r="H642" s="6"/>
      <c r="I642" s="27"/>
      <c r="J642" s="7">
        <f t="shared" si="134"/>
        <v>0</v>
      </c>
      <c r="K642" s="57"/>
    </row>
    <row r="643" spans="1:11" ht="14.25" thickBot="1" x14ac:dyDescent="0.2">
      <c r="A643" s="9" t="s">
        <v>3</v>
      </c>
      <c r="B643" s="10">
        <f>SUM(B619:B642)</f>
        <v>46</v>
      </c>
      <c r="C643" s="66">
        <f>SUM(C619:C642)</f>
        <v>39</v>
      </c>
      <c r="D643" s="11">
        <f>SUM(D619:D642)</f>
        <v>85</v>
      </c>
      <c r="G643" s="9" t="s">
        <v>3</v>
      </c>
      <c r="H643" s="10">
        <f>SUM(H619:H642)</f>
        <v>20</v>
      </c>
      <c r="I643" s="66">
        <f>SUM(I619:I642)</f>
        <v>25</v>
      </c>
      <c r="J643" s="11">
        <f>SUM(J619:J642)</f>
        <v>45</v>
      </c>
    </row>
    <row r="644" spans="1:11" ht="14.25" thickBot="1" x14ac:dyDescent="0.2">
      <c r="A644" s="14" t="s">
        <v>4</v>
      </c>
      <c r="B644" s="16">
        <f>B618-B643</f>
        <v>9</v>
      </c>
      <c r="C644" s="16">
        <f>C618-C643</f>
        <v>5</v>
      </c>
      <c r="D644" s="84">
        <f>D618-D643</f>
        <v>14</v>
      </c>
      <c r="G644" s="14" t="s">
        <v>4</v>
      </c>
      <c r="H644" s="16">
        <f>H618-H643</f>
        <v>2665</v>
      </c>
      <c r="I644" s="16">
        <f>I618-I643</f>
        <v>1570</v>
      </c>
      <c r="J644" s="16">
        <f>J618-J643</f>
        <v>4235</v>
      </c>
    </row>
    <row r="647" spans="1:11" ht="24" x14ac:dyDescent="0.25">
      <c r="A647" s="25" t="s">
        <v>7</v>
      </c>
      <c r="B647" s="1"/>
      <c r="C647" s="1"/>
      <c r="D647" s="1"/>
      <c r="G647" s="25" t="s">
        <v>8</v>
      </c>
      <c r="H647" s="1"/>
      <c r="I647" s="1"/>
      <c r="J647" s="1"/>
    </row>
    <row r="648" spans="1:11" ht="14.25" thickBot="1" x14ac:dyDescent="0.2">
      <c r="A648" s="1"/>
      <c r="B648" s="1"/>
      <c r="C648" s="1"/>
      <c r="D648" s="1"/>
      <c r="G648" s="1"/>
      <c r="H648" s="1"/>
      <c r="I648" s="1"/>
      <c r="J648" s="1"/>
    </row>
    <row r="649" spans="1:11" ht="14.25" thickBot="1" x14ac:dyDescent="0.2">
      <c r="A649" s="2"/>
      <c r="B649" s="50" t="s">
        <v>115</v>
      </c>
      <c r="C649" s="50" t="s">
        <v>116</v>
      </c>
      <c r="D649" s="2" t="s">
        <v>0</v>
      </c>
      <c r="G649" s="2"/>
      <c r="H649" s="50" t="s">
        <v>115</v>
      </c>
      <c r="I649" s="50" t="s">
        <v>116</v>
      </c>
      <c r="J649" s="2" t="s">
        <v>0</v>
      </c>
    </row>
    <row r="650" spans="1:11" x14ac:dyDescent="0.15">
      <c r="A650" s="32" t="s">
        <v>4</v>
      </c>
      <c r="B650" s="48">
        <f>B644</f>
        <v>9</v>
      </c>
      <c r="C650" s="76">
        <f>C644</f>
        <v>5</v>
      </c>
      <c r="D650" s="47">
        <f>SUM(B650+C650)</f>
        <v>14</v>
      </c>
      <c r="G650" s="13" t="s">
        <v>6</v>
      </c>
      <c r="H650" s="48">
        <f>H644</f>
        <v>2665</v>
      </c>
      <c r="I650" s="80">
        <f>I644</f>
        <v>1570</v>
      </c>
      <c r="J650" s="47">
        <f>SUM(H650+I650)</f>
        <v>4235</v>
      </c>
      <c r="K650" s="19"/>
    </row>
    <row r="651" spans="1:11" x14ac:dyDescent="0.15">
      <c r="A651" s="3" t="s">
        <v>1</v>
      </c>
      <c r="B651" s="6">
        <v>10</v>
      </c>
      <c r="C651" s="27">
        <v>10</v>
      </c>
      <c r="D651" s="7">
        <f>SUM(B651+C651)</f>
        <v>20</v>
      </c>
      <c r="E651" s="57">
        <v>44889</v>
      </c>
      <c r="G651" s="3" t="s">
        <v>1</v>
      </c>
      <c r="H651" s="24"/>
      <c r="I651" s="90"/>
      <c r="J651" s="7">
        <f>SUM(H651+I651)</f>
        <v>0</v>
      </c>
      <c r="K651" s="57"/>
    </row>
    <row r="652" spans="1:11" x14ac:dyDescent="0.15">
      <c r="A652" s="3" t="s">
        <v>124</v>
      </c>
      <c r="B652" s="74">
        <v>-1</v>
      </c>
      <c r="C652" s="78"/>
      <c r="D652" s="7">
        <f t="shared" ref="D652:D655" si="136">SUM(B652+C652)</f>
        <v>-1</v>
      </c>
      <c r="E652" s="57">
        <v>44932</v>
      </c>
      <c r="G652" s="3" t="s">
        <v>1</v>
      </c>
      <c r="H652" s="24"/>
      <c r="I652" s="90"/>
      <c r="J652" s="7">
        <f>SUM(H652+I652)</f>
        <v>0</v>
      </c>
      <c r="K652" s="57"/>
    </row>
    <row r="653" spans="1:11" x14ac:dyDescent="0.15">
      <c r="A653" s="3" t="s">
        <v>1</v>
      </c>
      <c r="B653" s="74">
        <v>10</v>
      </c>
      <c r="C653" s="78"/>
      <c r="D653" s="7">
        <f t="shared" si="136"/>
        <v>10</v>
      </c>
      <c r="E653" s="57">
        <v>44932</v>
      </c>
      <c r="G653" s="89" t="s">
        <v>1</v>
      </c>
      <c r="H653" s="79"/>
      <c r="I653" s="1"/>
      <c r="J653" s="88">
        <f t="shared" ref="J653:J655" si="137">SUM(H653+I653)</f>
        <v>0</v>
      </c>
      <c r="K653" s="57"/>
    </row>
    <row r="654" spans="1:11" x14ac:dyDescent="0.15">
      <c r="A654" s="3" t="s">
        <v>1</v>
      </c>
      <c r="B654" s="74">
        <v>15</v>
      </c>
      <c r="C654" s="78">
        <v>5</v>
      </c>
      <c r="D654" s="7">
        <f t="shared" si="136"/>
        <v>20</v>
      </c>
      <c r="E654" s="57">
        <v>44938</v>
      </c>
      <c r="G654" s="3" t="s">
        <v>1</v>
      </c>
      <c r="H654" s="74"/>
      <c r="I654" s="78"/>
      <c r="J654" s="7">
        <f t="shared" si="137"/>
        <v>0</v>
      </c>
      <c r="K654" s="19"/>
    </row>
    <row r="655" spans="1:11" ht="14.25" thickBot="1" x14ac:dyDescent="0.2">
      <c r="A655" s="3" t="s">
        <v>1</v>
      </c>
      <c r="B655" s="74">
        <v>10</v>
      </c>
      <c r="C655" s="78">
        <v>10</v>
      </c>
      <c r="D655" s="21">
        <f t="shared" si="136"/>
        <v>20</v>
      </c>
      <c r="E655" s="57">
        <v>44966</v>
      </c>
      <c r="G655" s="4" t="s">
        <v>1</v>
      </c>
      <c r="H655" s="75"/>
      <c r="I655" s="17"/>
      <c r="J655" s="22">
        <f t="shared" si="137"/>
        <v>0</v>
      </c>
    </row>
    <row r="656" spans="1:11" ht="14.25" thickBot="1" x14ac:dyDescent="0.2">
      <c r="A656" s="14" t="s">
        <v>2</v>
      </c>
      <c r="B656" s="16">
        <f>SUM(B650:B655)</f>
        <v>53</v>
      </c>
      <c r="C656" s="83">
        <f>SUM(C650:C655)</f>
        <v>30</v>
      </c>
      <c r="D656" s="84">
        <f>SUM(B656+C656)</f>
        <v>83</v>
      </c>
      <c r="G656" s="14" t="s">
        <v>2</v>
      </c>
      <c r="H656" s="15">
        <f>SUM(H650:H655)</f>
        <v>2665</v>
      </c>
      <c r="I656" s="65">
        <f>SUM(I650:I655)</f>
        <v>1570</v>
      </c>
      <c r="J656" s="18">
        <f>SUM(H656+I656)</f>
        <v>4235</v>
      </c>
    </row>
    <row r="657" spans="1:12" x14ac:dyDescent="0.15">
      <c r="A657" s="29" t="s">
        <v>112</v>
      </c>
      <c r="B657" s="6">
        <f>2+2</f>
        <v>4</v>
      </c>
      <c r="C657" s="27"/>
      <c r="D657" s="7">
        <f t="shared" ref="D657:D680" si="138">SUM(B657+C657)</f>
        <v>4</v>
      </c>
      <c r="E657" s="57">
        <v>44900</v>
      </c>
      <c r="F657" s="19"/>
      <c r="G657" s="43" t="s">
        <v>21</v>
      </c>
      <c r="H657" s="6">
        <v>10</v>
      </c>
      <c r="I657" s="27">
        <v>10</v>
      </c>
      <c r="J657" s="7">
        <f>SUM(H657+I657)</f>
        <v>20</v>
      </c>
      <c r="K657" s="57">
        <v>44889</v>
      </c>
      <c r="L657" s="19"/>
    </row>
    <row r="658" spans="1:12" x14ac:dyDescent="0.15">
      <c r="A658" s="29" t="s">
        <v>112</v>
      </c>
      <c r="B658" s="6">
        <v>1</v>
      </c>
      <c r="C658" s="27"/>
      <c r="D658" s="7">
        <f t="shared" si="138"/>
        <v>1</v>
      </c>
      <c r="E658" s="57">
        <v>44907</v>
      </c>
      <c r="F658" s="19"/>
      <c r="G658" s="43" t="s">
        <v>21</v>
      </c>
      <c r="H658" s="6">
        <v>10</v>
      </c>
      <c r="I658" s="27">
        <v>15</v>
      </c>
      <c r="J658" s="7">
        <f t="shared" ref="J658:J680" si="139">SUM(H658+I658)</f>
        <v>25</v>
      </c>
      <c r="K658" s="57">
        <v>44932</v>
      </c>
      <c r="L658" s="19"/>
    </row>
    <row r="659" spans="1:12" x14ac:dyDescent="0.15">
      <c r="A659" s="29" t="s">
        <v>112</v>
      </c>
      <c r="B659" s="6">
        <v>2</v>
      </c>
      <c r="C659" s="27"/>
      <c r="D659" s="7">
        <f t="shared" si="138"/>
        <v>2</v>
      </c>
      <c r="E659" s="57">
        <v>44911</v>
      </c>
      <c r="F659" s="19"/>
      <c r="G659" s="43" t="s">
        <v>21</v>
      </c>
      <c r="H659" s="6">
        <v>15</v>
      </c>
      <c r="I659" s="27">
        <v>5</v>
      </c>
      <c r="J659" s="7">
        <f t="shared" si="139"/>
        <v>20</v>
      </c>
      <c r="K659" s="57">
        <v>44938</v>
      </c>
      <c r="L659" s="19"/>
    </row>
    <row r="660" spans="1:12" x14ac:dyDescent="0.15">
      <c r="A660" s="29" t="s">
        <v>112</v>
      </c>
      <c r="B660" s="6"/>
      <c r="C660" s="27">
        <v>2</v>
      </c>
      <c r="D660" s="7">
        <f t="shared" si="138"/>
        <v>2</v>
      </c>
      <c r="E660" s="57">
        <v>44916</v>
      </c>
      <c r="F660" s="19"/>
      <c r="G660" s="43" t="s">
        <v>21</v>
      </c>
      <c r="H660" s="6">
        <v>10</v>
      </c>
      <c r="I660" s="27">
        <v>10</v>
      </c>
      <c r="J660" s="7">
        <f t="shared" si="139"/>
        <v>20</v>
      </c>
      <c r="K660" s="57">
        <v>44966</v>
      </c>
      <c r="L660" s="19"/>
    </row>
    <row r="661" spans="1:12" x14ac:dyDescent="0.15">
      <c r="A661" s="29" t="s">
        <v>112</v>
      </c>
      <c r="B661" s="6"/>
      <c r="C661" s="27">
        <v>2</v>
      </c>
      <c r="D661" s="7">
        <f t="shared" si="138"/>
        <v>2</v>
      </c>
      <c r="E661" s="57">
        <v>44921</v>
      </c>
      <c r="F661" s="19"/>
      <c r="G661" s="5"/>
      <c r="H661" s="24"/>
      <c r="I661" s="77"/>
      <c r="J661" s="7">
        <f t="shared" si="139"/>
        <v>0</v>
      </c>
      <c r="K661" s="57"/>
      <c r="L661" s="19"/>
    </row>
    <row r="662" spans="1:12" x14ac:dyDescent="0.15">
      <c r="A662" s="29" t="s">
        <v>112</v>
      </c>
      <c r="B662" s="6">
        <v>4</v>
      </c>
      <c r="C662" s="27">
        <v>1</v>
      </c>
      <c r="D662" s="7">
        <f t="shared" si="138"/>
        <v>5</v>
      </c>
      <c r="E662" s="57">
        <v>44931</v>
      </c>
      <c r="F662" s="19"/>
      <c r="G662" s="5"/>
      <c r="H662" s="6"/>
      <c r="I662" s="27"/>
      <c r="J662" s="7">
        <f t="shared" si="139"/>
        <v>0</v>
      </c>
      <c r="K662" s="57"/>
      <c r="L662" s="19"/>
    </row>
    <row r="663" spans="1:12" x14ac:dyDescent="0.15">
      <c r="A663" s="29" t="s">
        <v>112</v>
      </c>
      <c r="B663" s="6">
        <v>12</v>
      </c>
      <c r="C663" s="27"/>
      <c r="D663" s="7">
        <f t="shared" si="138"/>
        <v>12</v>
      </c>
      <c r="E663" s="57">
        <v>44933</v>
      </c>
      <c r="F663" s="19"/>
      <c r="G663" s="5"/>
      <c r="H663" s="6"/>
      <c r="I663" s="27"/>
      <c r="J663" s="7">
        <f t="shared" si="139"/>
        <v>0</v>
      </c>
      <c r="K663" s="57"/>
    </row>
    <row r="664" spans="1:12" x14ac:dyDescent="0.15">
      <c r="A664" s="29" t="s">
        <v>112</v>
      </c>
      <c r="B664" s="6"/>
      <c r="C664" s="27">
        <v>1</v>
      </c>
      <c r="D664" s="7">
        <f t="shared" si="138"/>
        <v>1</v>
      </c>
      <c r="E664" s="57">
        <v>44939</v>
      </c>
      <c r="F664" s="19"/>
      <c r="G664" s="5"/>
      <c r="H664" s="6"/>
      <c r="I664" s="27"/>
      <c r="J664" s="7">
        <f t="shared" si="139"/>
        <v>0</v>
      </c>
      <c r="K664" s="57"/>
    </row>
    <row r="665" spans="1:12" x14ac:dyDescent="0.15">
      <c r="A665" s="29" t="s">
        <v>112</v>
      </c>
      <c r="B665" s="6">
        <v>2</v>
      </c>
      <c r="C665" s="27">
        <v>2</v>
      </c>
      <c r="D665" s="7">
        <f t="shared" si="138"/>
        <v>4</v>
      </c>
      <c r="E665" s="57">
        <v>44942</v>
      </c>
      <c r="F665" s="19"/>
      <c r="G665" s="5"/>
      <c r="H665" s="6"/>
      <c r="I665" s="27"/>
      <c r="J665" s="7">
        <f t="shared" si="139"/>
        <v>0</v>
      </c>
      <c r="K665" s="57"/>
    </row>
    <row r="666" spans="1:12" x14ac:dyDescent="0.15">
      <c r="A666" s="29" t="s">
        <v>112</v>
      </c>
      <c r="B666" s="6">
        <v>3</v>
      </c>
      <c r="C666" s="27"/>
      <c r="D666" s="7">
        <f t="shared" si="138"/>
        <v>3</v>
      </c>
      <c r="E666" s="57">
        <v>44944</v>
      </c>
      <c r="F666" s="19"/>
      <c r="G666" s="5"/>
      <c r="H666" s="6"/>
      <c r="I666" s="27"/>
      <c r="J666" s="7">
        <f t="shared" si="139"/>
        <v>0</v>
      </c>
      <c r="K666" s="57"/>
    </row>
    <row r="667" spans="1:12" x14ac:dyDescent="0.15">
      <c r="A667" s="29" t="s">
        <v>112</v>
      </c>
      <c r="B667" s="6">
        <v>1</v>
      </c>
      <c r="C667" s="27">
        <v>2</v>
      </c>
      <c r="D667" s="7">
        <f t="shared" si="138"/>
        <v>3</v>
      </c>
      <c r="E667" s="57">
        <v>44951</v>
      </c>
      <c r="F667" s="19"/>
      <c r="G667" s="5"/>
      <c r="H667" s="6"/>
      <c r="I667" s="27"/>
      <c r="J667" s="7">
        <f t="shared" si="139"/>
        <v>0</v>
      </c>
      <c r="K667" s="57"/>
    </row>
    <row r="668" spans="1:12" x14ac:dyDescent="0.15">
      <c r="A668" s="29" t="s">
        <v>112</v>
      </c>
      <c r="B668" s="6"/>
      <c r="C668" s="27">
        <v>2</v>
      </c>
      <c r="D668" s="7">
        <f t="shared" si="138"/>
        <v>2</v>
      </c>
      <c r="E668" s="57">
        <v>44963</v>
      </c>
      <c r="F668" s="19"/>
      <c r="G668" s="5"/>
      <c r="H668" s="6"/>
      <c r="I668" s="27"/>
      <c r="J668" s="7">
        <f t="shared" si="139"/>
        <v>0</v>
      </c>
      <c r="K668" s="57"/>
    </row>
    <row r="669" spans="1:12" x14ac:dyDescent="0.15">
      <c r="A669" s="29" t="s">
        <v>112</v>
      </c>
      <c r="B669" s="6">
        <v>2</v>
      </c>
      <c r="C669" s="27"/>
      <c r="D669" s="7">
        <f t="shared" si="138"/>
        <v>2</v>
      </c>
      <c r="E669" s="57">
        <v>44970</v>
      </c>
      <c r="F669" s="19"/>
      <c r="G669" s="43"/>
      <c r="H669" s="6"/>
      <c r="I669" s="27"/>
      <c r="J669" s="7">
        <f t="shared" si="139"/>
        <v>0</v>
      </c>
      <c r="K669" s="57"/>
    </row>
    <row r="670" spans="1:12" x14ac:dyDescent="0.15">
      <c r="A670" s="29" t="s">
        <v>112</v>
      </c>
      <c r="B670" s="6"/>
      <c r="C670" s="27">
        <v>1</v>
      </c>
      <c r="D670" s="7">
        <f t="shared" si="138"/>
        <v>1</v>
      </c>
      <c r="E670" s="57">
        <v>44973</v>
      </c>
      <c r="F670" s="19"/>
      <c r="G670" s="5"/>
      <c r="H670" s="6"/>
      <c r="I670" s="27"/>
      <c r="J670" s="7">
        <f t="shared" si="139"/>
        <v>0</v>
      </c>
      <c r="K670" s="19"/>
    </row>
    <row r="671" spans="1:12" x14ac:dyDescent="0.15">
      <c r="A671" s="29" t="s">
        <v>112</v>
      </c>
      <c r="B671" s="6">
        <v>2</v>
      </c>
      <c r="C671" s="27">
        <v>2</v>
      </c>
      <c r="D671" s="7">
        <f t="shared" si="138"/>
        <v>4</v>
      </c>
      <c r="E671" s="57">
        <v>44974</v>
      </c>
      <c r="F671" s="19"/>
      <c r="G671" s="8"/>
      <c r="H671" s="6"/>
      <c r="I671" s="27"/>
      <c r="J671" s="7">
        <f t="shared" si="139"/>
        <v>0</v>
      </c>
      <c r="K671" s="19"/>
    </row>
    <row r="672" spans="1:12" x14ac:dyDescent="0.15">
      <c r="A672" s="29" t="s">
        <v>112</v>
      </c>
      <c r="B672" s="6">
        <v>1</v>
      </c>
      <c r="C672" s="27"/>
      <c r="D672" s="7">
        <f t="shared" si="138"/>
        <v>1</v>
      </c>
      <c r="E672" s="57">
        <v>44978</v>
      </c>
      <c r="F672" s="19"/>
      <c r="G672" s="8"/>
      <c r="H672" s="6"/>
      <c r="I672" s="27"/>
      <c r="J672" s="7">
        <f t="shared" si="139"/>
        <v>0</v>
      </c>
      <c r="K672" s="19"/>
    </row>
    <row r="673" spans="1:11" x14ac:dyDescent="0.15">
      <c r="A673" s="29" t="s">
        <v>112</v>
      </c>
      <c r="B673" s="6"/>
      <c r="C673" s="27">
        <v>1</v>
      </c>
      <c r="D673" s="7">
        <f t="shared" si="138"/>
        <v>1</v>
      </c>
      <c r="E673" s="57">
        <v>44985</v>
      </c>
      <c r="F673" s="19"/>
      <c r="G673" s="5"/>
      <c r="H673" s="6"/>
      <c r="I673" s="27"/>
      <c r="J673" s="7">
        <f t="shared" si="139"/>
        <v>0</v>
      </c>
      <c r="K673" s="19"/>
    </row>
    <row r="674" spans="1:11" x14ac:dyDescent="0.15">
      <c r="A674" s="29" t="s">
        <v>112</v>
      </c>
      <c r="B674" s="6"/>
      <c r="C674" s="27">
        <v>1</v>
      </c>
      <c r="D674" s="7">
        <f t="shared" si="138"/>
        <v>1</v>
      </c>
      <c r="E674" s="57">
        <v>44987</v>
      </c>
      <c r="F674" s="19"/>
      <c r="G674" s="5"/>
      <c r="H674" s="6"/>
      <c r="I674" s="27"/>
      <c r="J674" s="7">
        <f t="shared" si="139"/>
        <v>0</v>
      </c>
      <c r="K674" s="19"/>
    </row>
    <row r="675" spans="1:11" x14ac:dyDescent="0.15">
      <c r="A675" s="29" t="s">
        <v>112</v>
      </c>
      <c r="B675" s="6"/>
      <c r="C675" s="27">
        <v>1</v>
      </c>
      <c r="D675" s="7">
        <f t="shared" si="138"/>
        <v>1</v>
      </c>
      <c r="E675" s="57">
        <v>44988</v>
      </c>
      <c r="F675" s="19"/>
      <c r="G675" s="43"/>
      <c r="H675" s="6"/>
      <c r="I675" s="27"/>
      <c r="J675" s="35">
        <f t="shared" si="139"/>
        <v>0</v>
      </c>
      <c r="K675" s="19"/>
    </row>
    <row r="676" spans="1:11" x14ac:dyDescent="0.15">
      <c r="A676" s="29" t="s">
        <v>112</v>
      </c>
      <c r="B676" s="6">
        <f>4+2</f>
        <v>6</v>
      </c>
      <c r="C676" s="27">
        <v>2</v>
      </c>
      <c r="D676" s="7">
        <f t="shared" si="138"/>
        <v>8</v>
      </c>
      <c r="E676" s="57">
        <v>44991</v>
      </c>
      <c r="F676" s="19"/>
      <c r="G676" s="43"/>
      <c r="H676" s="6"/>
      <c r="I676" s="27"/>
      <c r="J676" s="35">
        <f t="shared" si="139"/>
        <v>0</v>
      </c>
      <c r="K676" s="19"/>
    </row>
    <row r="677" spans="1:11" x14ac:dyDescent="0.15">
      <c r="A677" s="29" t="s">
        <v>112</v>
      </c>
      <c r="B677" s="6">
        <v>4</v>
      </c>
      <c r="C677" s="27">
        <v>1</v>
      </c>
      <c r="D677" s="7">
        <f t="shared" si="138"/>
        <v>5</v>
      </c>
      <c r="E677" s="57">
        <v>44993</v>
      </c>
      <c r="F677" s="19"/>
      <c r="G677" s="43"/>
      <c r="H677" s="6"/>
      <c r="I677" s="27"/>
      <c r="J677" s="35">
        <f t="shared" si="139"/>
        <v>0</v>
      </c>
      <c r="K677" s="57"/>
    </row>
    <row r="678" spans="1:11" x14ac:dyDescent="0.15">
      <c r="A678" s="29" t="s">
        <v>112</v>
      </c>
      <c r="B678" s="6">
        <v>1</v>
      </c>
      <c r="C678" s="27"/>
      <c r="D678" s="7">
        <f t="shared" si="138"/>
        <v>1</v>
      </c>
      <c r="E678" s="57">
        <v>44994</v>
      </c>
      <c r="F678" s="19"/>
      <c r="G678" s="43"/>
      <c r="H678" s="6"/>
      <c r="I678" s="27"/>
      <c r="J678" s="35">
        <f t="shared" si="139"/>
        <v>0</v>
      </c>
      <c r="K678" s="57"/>
    </row>
    <row r="679" spans="1:11" x14ac:dyDescent="0.15">
      <c r="A679" s="29" t="s">
        <v>112</v>
      </c>
      <c r="B679" s="6">
        <v>1</v>
      </c>
      <c r="C679" s="27">
        <v>1</v>
      </c>
      <c r="D679" s="7">
        <f t="shared" si="138"/>
        <v>2</v>
      </c>
      <c r="E679" s="57">
        <v>44995</v>
      </c>
      <c r="F679" s="19"/>
      <c r="G679" s="43"/>
      <c r="H679" s="6"/>
      <c r="I679" s="27"/>
      <c r="J679" s="35">
        <f t="shared" si="139"/>
        <v>0</v>
      </c>
      <c r="K679" s="57"/>
    </row>
    <row r="680" spans="1:11" ht="14.25" thickBot="1" x14ac:dyDescent="0.2">
      <c r="A680" s="29" t="s">
        <v>112</v>
      </c>
      <c r="B680" s="6">
        <v>4</v>
      </c>
      <c r="C680" s="27">
        <v>4</v>
      </c>
      <c r="D680" s="7">
        <f t="shared" si="138"/>
        <v>8</v>
      </c>
      <c r="E680" s="57">
        <v>44998</v>
      </c>
      <c r="F680" s="19"/>
      <c r="G680" s="5"/>
      <c r="H680" s="6"/>
      <c r="I680" s="27"/>
      <c r="J680" s="7">
        <f t="shared" si="139"/>
        <v>0</v>
      </c>
      <c r="K680" s="57"/>
    </row>
    <row r="681" spans="1:11" ht="14.25" thickBot="1" x14ac:dyDescent="0.2">
      <c r="A681" s="9" t="s">
        <v>3</v>
      </c>
      <c r="B681" s="10">
        <f>SUM(B657:B680)</f>
        <v>50</v>
      </c>
      <c r="C681" s="66">
        <f>SUM(C657:C680)</f>
        <v>26</v>
      </c>
      <c r="D681" s="11">
        <f>SUM(D657:D680)</f>
        <v>76</v>
      </c>
      <c r="G681" s="9" t="s">
        <v>3</v>
      </c>
      <c r="H681" s="10">
        <f>SUM(H657:H680)</f>
        <v>45</v>
      </c>
      <c r="I681" s="66">
        <f>SUM(I657:I680)</f>
        <v>40</v>
      </c>
      <c r="J681" s="11">
        <f>SUM(J657:J680)</f>
        <v>85</v>
      </c>
    </row>
    <row r="682" spans="1:11" ht="14.25" thickBot="1" x14ac:dyDescent="0.2">
      <c r="A682" s="14" t="s">
        <v>4</v>
      </c>
      <c r="B682" s="16">
        <f>B656-B681</f>
        <v>3</v>
      </c>
      <c r="C682" s="16">
        <f>C656-C681</f>
        <v>4</v>
      </c>
      <c r="D682" s="84">
        <f>D656-D681</f>
        <v>7</v>
      </c>
      <c r="G682" s="14" t="s">
        <v>4</v>
      </c>
      <c r="H682" s="16">
        <f>H656-H681</f>
        <v>2620</v>
      </c>
      <c r="I682" s="16">
        <f>I656-I681</f>
        <v>1530</v>
      </c>
      <c r="J682" s="16">
        <f>J656-J681</f>
        <v>4150</v>
      </c>
    </row>
    <row r="685" spans="1:11" ht="24" x14ac:dyDescent="0.25">
      <c r="A685" s="25" t="s">
        <v>7</v>
      </c>
      <c r="B685" s="1"/>
      <c r="C685" s="1"/>
      <c r="D685" s="1"/>
      <c r="G685" s="25" t="s">
        <v>8</v>
      </c>
      <c r="H685" s="1"/>
      <c r="I685" s="1"/>
      <c r="J685" s="1"/>
    </row>
    <row r="686" spans="1:11" ht="14.25" thickBot="1" x14ac:dyDescent="0.2">
      <c r="A686" s="1"/>
      <c r="B686" s="1"/>
      <c r="C686" s="1"/>
      <c r="D686" s="1"/>
      <c r="G686" s="1"/>
      <c r="H686" s="1"/>
      <c r="I686" s="1"/>
      <c r="J686" s="1"/>
    </row>
    <row r="687" spans="1:11" ht="14.25" thickBot="1" x14ac:dyDescent="0.2">
      <c r="A687" s="2"/>
      <c r="B687" s="50" t="s">
        <v>115</v>
      </c>
      <c r="C687" s="50" t="s">
        <v>116</v>
      </c>
      <c r="D687" s="2" t="s">
        <v>0</v>
      </c>
      <c r="G687" s="2"/>
      <c r="H687" s="50" t="s">
        <v>115</v>
      </c>
      <c r="I687" s="50" t="s">
        <v>116</v>
      </c>
      <c r="J687" s="2" t="s">
        <v>0</v>
      </c>
    </row>
    <row r="688" spans="1:11" x14ac:dyDescent="0.15">
      <c r="A688" s="32" t="s">
        <v>4</v>
      </c>
      <c r="B688" s="48">
        <f>B682</f>
        <v>3</v>
      </c>
      <c r="C688" s="76">
        <f>C682</f>
        <v>4</v>
      </c>
      <c r="D688" s="47">
        <f>SUM(B688+C688)</f>
        <v>7</v>
      </c>
      <c r="G688" s="13" t="s">
        <v>6</v>
      </c>
      <c r="H688" s="48">
        <f>H682</f>
        <v>2620</v>
      </c>
      <c r="I688" s="80">
        <f>I682</f>
        <v>1530</v>
      </c>
      <c r="J688" s="47">
        <f>SUM(H688+I688)</f>
        <v>4150</v>
      </c>
      <c r="K688" s="19"/>
    </row>
    <row r="689" spans="1:12" x14ac:dyDescent="0.15">
      <c r="A689" s="3" t="s">
        <v>1</v>
      </c>
      <c r="B689" s="6">
        <v>20</v>
      </c>
      <c r="C689" s="27">
        <v>15</v>
      </c>
      <c r="D689" s="7">
        <f>SUM(B689+C689)</f>
        <v>35</v>
      </c>
      <c r="E689" s="57">
        <v>44999</v>
      </c>
      <c r="G689" s="3" t="s">
        <v>1</v>
      </c>
      <c r="H689" s="24"/>
      <c r="I689" s="90"/>
      <c r="J689" s="7">
        <f>SUM(H689+I689)</f>
        <v>0</v>
      </c>
      <c r="K689" s="57"/>
    </row>
    <row r="690" spans="1:12" x14ac:dyDescent="0.15">
      <c r="A690" s="3" t="s">
        <v>1</v>
      </c>
      <c r="B690" s="74">
        <v>10</v>
      </c>
      <c r="C690" s="78"/>
      <c r="D690" s="7">
        <f t="shared" ref="D690:D693" si="140">SUM(B690+C690)</f>
        <v>10</v>
      </c>
      <c r="E690" s="57">
        <v>45008</v>
      </c>
      <c r="G690" s="3" t="s">
        <v>1</v>
      </c>
      <c r="H690" s="24"/>
      <c r="I690" s="90"/>
      <c r="J690" s="7">
        <f>SUM(H690+I690)</f>
        <v>0</v>
      </c>
      <c r="K690" s="57"/>
    </row>
    <row r="691" spans="1:12" x14ac:dyDescent="0.15">
      <c r="A691" s="3" t="s">
        <v>1</v>
      </c>
      <c r="B691" s="74">
        <v>10</v>
      </c>
      <c r="C691" s="78"/>
      <c r="D691" s="7">
        <f t="shared" si="140"/>
        <v>10</v>
      </c>
      <c r="E691" s="57">
        <v>45009</v>
      </c>
      <c r="G691" s="89" t="s">
        <v>1</v>
      </c>
      <c r="H691" s="79"/>
      <c r="I691" s="1"/>
      <c r="J691" s="88">
        <f t="shared" ref="J691:J693" si="141">SUM(H691+I691)</f>
        <v>0</v>
      </c>
      <c r="K691" s="57"/>
    </row>
    <row r="692" spans="1:12" x14ac:dyDescent="0.15">
      <c r="A692" s="3" t="s">
        <v>1</v>
      </c>
      <c r="B692" s="74"/>
      <c r="C692" s="78">
        <v>20</v>
      </c>
      <c r="D692" s="7">
        <f t="shared" si="140"/>
        <v>20</v>
      </c>
      <c r="E692" s="57">
        <v>45012</v>
      </c>
      <c r="G692" s="3" t="s">
        <v>1</v>
      </c>
      <c r="H692" s="74"/>
      <c r="I692" s="78"/>
      <c r="J692" s="7">
        <f t="shared" si="141"/>
        <v>0</v>
      </c>
      <c r="K692" s="19"/>
    </row>
    <row r="693" spans="1:12" ht="14.25" thickBot="1" x14ac:dyDescent="0.2">
      <c r="A693" s="3" t="s">
        <v>1</v>
      </c>
      <c r="B693" s="74">
        <v>20</v>
      </c>
      <c r="C693" s="78"/>
      <c r="D693" s="21">
        <f t="shared" si="140"/>
        <v>20</v>
      </c>
      <c r="E693" s="57">
        <v>45013</v>
      </c>
      <c r="G693" s="4" t="s">
        <v>1</v>
      </c>
      <c r="H693" s="75"/>
      <c r="I693" s="17"/>
      <c r="J693" s="22">
        <f t="shared" si="141"/>
        <v>0</v>
      </c>
    </row>
    <row r="694" spans="1:12" ht="14.25" thickBot="1" x14ac:dyDescent="0.2">
      <c r="A694" s="14" t="s">
        <v>2</v>
      </c>
      <c r="B694" s="16">
        <f>SUM(B688:B693)</f>
        <v>63</v>
      </c>
      <c r="C694" s="83">
        <f>SUM(C688:C693)</f>
        <v>39</v>
      </c>
      <c r="D694" s="84">
        <f>SUM(B694+C694)</f>
        <v>102</v>
      </c>
      <c r="G694" s="14" t="s">
        <v>2</v>
      </c>
      <c r="H694" s="15">
        <f>SUM(H688:H693)</f>
        <v>2620</v>
      </c>
      <c r="I694" s="65">
        <f>SUM(I688:I693)</f>
        <v>1530</v>
      </c>
      <c r="J694" s="18">
        <f>SUM(H694+I694)</f>
        <v>4150</v>
      </c>
    </row>
    <row r="695" spans="1:12" x14ac:dyDescent="0.15">
      <c r="A695" s="29" t="s">
        <v>112</v>
      </c>
      <c r="B695" s="6"/>
      <c r="C695" s="27">
        <v>1</v>
      </c>
      <c r="D695" s="7">
        <f t="shared" ref="D695:D716" si="142">SUM(B695+C695)</f>
        <v>1</v>
      </c>
      <c r="E695" s="57">
        <v>44999</v>
      </c>
      <c r="F695" s="19"/>
      <c r="G695" s="43" t="s">
        <v>219</v>
      </c>
      <c r="H695" s="6">
        <v>20</v>
      </c>
      <c r="I695" s="27">
        <v>15</v>
      </c>
      <c r="J695" s="35">
        <f>SUM(H695+I695)</f>
        <v>35</v>
      </c>
      <c r="K695" s="57">
        <v>44999</v>
      </c>
      <c r="L695" s="19"/>
    </row>
    <row r="696" spans="1:12" x14ac:dyDescent="0.15">
      <c r="A696" s="29" t="s">
        <v>112</v>
      </c>
      <c r="B696" s="6">
        <f>2+3</f>
        <v>5</v>
      </c>
      <c r="C696" s="27">
        <v>2</v>
      </c>
      <c r="D696" s="7">
        <f t="shared" si="142"/>
        <v>7</v>
      </c>
      <c r="E696" s="57">
        <v>45000</v>
      </c>
      <c r="F696" s="19"/>
      <c r="G696" s="43" t="s">
        <v>21</v>
      </c>
      <c r="H696" s="6">
        <v>10</v>
      </c>
      <c r="I696" s="27"/>
      <c r="J696" s="35">
        <f t="shared" ref="J696:J716" si="143">SUM(H696+I696)</f>
        <v>10</v>
      </c>
      <c r="K696" s="57">
        <v>45008</v>
      </c>
      <c r="L696" s="19"/>
    </row>
    <row r="697" spans="1:12" x14ac:dyDescent="0.15">
      <c r="A697" s="29" t="s">
        <v>112</v>
      </c>
      <c r="B697" s="6">
        <v>1</v>
      </c>
      <c r="C697" s="27">
        <v>1</v>
      </c>
      <c r="D697" s="7">
        <f t="shared" si="142"/>
        <v>2</v>
      </c>
      <c r="E697" s="57">
        <v>45002</v>
      </c>
      <c r="F697" s="19"/>
      <c r="G697" s="43" t="s">
        <v>21</v>
      </c>
      <c r="H697" s="6">
        <v>10</v>
      </c>
      <c r="I697" s="27"/>
      <c r="J697" s="35">
        <f t="shared" si="143"/>
        <v>10</v>
      </c>
      <c r="K697" s="57">
        <v>45009</v>
      </c>
      <c r="L697" s="19"/>
    </row>
    <row r="698" spans="1:12" x14ac:dyDescent="0.15">
      <c r="A698" s="29" t="s">
        <v>112</v>
      </c>
      <c r="B698" s="6">
        <v>1</v>
      </c>
      <c r="C698" s="27">
        <v>1</v>
      </c>
      <c r="D698" s="7">
        <f t="shared" si="142"/>
        <v>2</v>
      </c>
      <c r="E698" s="57">
        <v>45003</v>
      </c>
      <c r="F698" s="19"/>
      <c r="G698" s="43" t="s">
        <v>21</v>
      </c>
      <c r="H698" s="6"/>
      <c r="I698" s="27">
        <v>20</v>
      </c>
      <c r="J698" s="35">
        <f t="shared" si="143"/>
        <v>20</v>
      </c>
      <c r="K698" s="57">
        <v>45012</v>
      </c>
      <c r="L698" s="19"/>
    </row>
    <row r="699" spans="1:12" x14ac:dyDescent="0.15">
      <c r="A699" s="29" t="s">
        <v>112</v>
      </c>
      <c r="B699" s="6">
        <v>4</v>
      </c>
      <c r="C699" s="27"/>
      <c r="D699" s="7">
        <f t="shared" si="142"/>
        <v>4</v>
      </c>
      <c r="E699" s="57">
        <v>45005</v>
      </c>
      <c r="F699" s="19"/>
      <c r="G699" s="43" t="s">
        <v>21</v>
      </c>
      <c r="H699" s="6">
        <v>20</v>
      </c>
      <c r="I699" s="27"/>
      <c r="J699" s="35">
        <f t="shared" si="143"/>
        <v>20</v>
      </c>
      <c r="K699" s="57">
        <v>45013</v>
      </c>
      <c r="L699" s="19"/>
    </row>
    <row r="700" spans="1:12" x14ac:dyDescent="0.15">
      <c r="A700" s="29" t="s">
        <v>112</v>
      </c>
      <c r="B700" s="6">
        <f>1+1+2</f>
        <v>4</v>
      </c>
      <c r="C700" s="27">
        <f>2+1</f>
        <v>3</v>
      </c>
      <c r="D700" s="7">
        <f t="shared" si="142"/>
        <v>7</v>
      </c>
      <c r="E700" s="57">
        <v>45007</v>
      </c>
      <c r="F700" s="19"/>
      <c r="G700" s="43" t="s">
        <v>21</v>
      </c>
      <c r="H700" s="6">
        <v>20</v>
      </c>
      <c r="I700" s="27">
        <v>10</v>
      </c>
      <c r="J700" s="35">
        <f t="shared" si="143"/>
        <v>30</v>
      </c>
      <c r="K700" s="57">
        <v>45027</v>
      </c>
      <c r="L700" s="19"/>
    </row>
    <row r="701" spans="1:12" x14ac:dyDescent="0.15">
      <c r="A701" s="29" t="s">
        <v>112</v>
      </c>
      <c r="B701" s="6">
        <v>4</v>
      </c>
      <c r="C701" s="27">
        <v>4</v>
      </c>
      <c r="D701" s="7">
        <f t="shared" si="142"/>
        <v>8</v>
      </c>
      <c r="E701" s="57">
        <v>45008</v>
      </c>
      <c r="F701" s="19"/>
      <c r="G701" s="43" t="s">
        <v>21</v>
      </c>
      <c r="H701" s="6">
        <v>10</v>
      </c>
      <c r="I701" s="27"/>
      <c r="J701" s="35">
        <f>SUM(H701+I701)</f>
        <v>10</v>
      </c>
      <c r="K701" s="57">
        <v>45030</v>
      </c>
    </row>
    <row r="702" spans="1:12" x14ac:dyDescent="0.15">
      <c r="A702" s="29" t="s">
        <v>112</v>
      </c>
      <c r="B702" s="6">
        <v>4</v>
      </c>
      <c r="C702" s="27">
        <v>3</v>
      </c>
      <c r="D702" s="7">
        <f t="shared" si="142"/>
        <v>7</v>
      </c>
      <c r="E702" s="57">
        <v>45009</v>
      </c>
      <c r="F702" s="19"/>
      <c r="G702" s="43"/>
      <c r="H702" s="6"/>
      <c r="I702" s="27"/>
      <c r="J702" s="35">
        <f t="shared" si="143"/>
        <v>0</v>
      </c>
      <c r="K702" s="57"/>
    </row>
    <row r="703" spans="1:12" x14ac:dyDescent="0.15">
      <c r="A703" s="29" t="s">
        <v>112</v>
      </c>
      <c r="B703" s="6">
        <f>5+2+3</f>
        <v>10</v>
      </c>
      <c r="C703" s="27"/>
      <c r="D703" s="7">
        <f t="shared" si="142"/>
        <v>10</v>
      </c>
      <c r="E703" s="57">
        <v>45012</v>
      </c>
      <c r="F703" s="19"/>
      <c r="G703" s="43"/>
      <c r="H703" s="6"/>
      <c r="I703" s="27"/>
      <c r="J703" s="35">
        <f t="shared" si="143"/>
        <v>0</v>
      </c>
      <c r="K703" s="57"/>
    </row>
    <row r="704" spans="1:12" x14ac:dyDescent="0.15">
      <c r="A704" s="29" t="s">
        <v>112</v>
      </c>
      <c r="B704" s="6">
        <v>4</v>
      </c>
      <c r="C704" s="27">
        <v>2</v>
      </c>
      <c r="D704" s="7">
        <f t="shared" si="142"/>
        <v>6</v>
      </c>
      <c r="E704" s="57">
        <v>45013</v>
      </c>
      <c r="F704" s="19"/>
      <c r="G704" s="43"/>
      <c r="H704" s="6"/>
      <c r="I704" s="27"/>
      <c r="J704" s="35">
        <f t="shared" si="143"/>
        <v>0</v>
      </c>
      <c r="K704" s="57"/>
    </row>
    <row r="705" spans="1:11" x14ac:dyDescent="0.15">
      <c r="A705" s="29" t="s">
        <v>112</v>
      </c>
      <c r="B705" s="6">
        <v>1</v>
      </c>
      <c r="C705" s="27"/>
      <c r="D705" s="7">
        <f t="shared" si="142"/>
        <v>1</v>
      </c>
      <c r="E705" s="57">
        <v>45016</v>
      </c>
      <c r="F705" s="19"/>
      <c r="G705" s="43"/>
      <c r="H705" s="6"/>
      <c r="I705" s="27"/>
      <c r="J705" s="35">
        <f t="shared" si="143"/>
        <v>0</v>
      </c>
      <c r="K705" s="57"/>
    </row>
    <row r="706" spans="1:11" x14ac:dyDescent="0.15">
      <c r="A706" s="29" t="s">
        <v>112</v>
      </c>
      <c r="B706" s="6">
        <v>5</v>
      </c>
      <c r="C706" s="27">
        <v>2</v>
      </c>
      <c r="D706" s="7">
        <f t="shared" si="142"/>
        <v>7</v>
      </c>
      <c r="E706" s="57">
        <v>45020</v>
      </c>
      <c r="F706" s="19"/>
      <c r="G706" s="43"/>
      <c r="H706" s="6"/>
      <c r="I706" s="27"/>
      <c r="J706" s="35">
        <f t="shared" si="143"/>
        <v>0</v>
      </c>
      <c r="K706" s="57"/>
    </row>
    <row r="707" spans="1:11" x14ac:dyDescent="0.15">
      <c r="A707" s="29" t="s">
        <v>223</v>
      </c>
      <c r="B707" s="6">
        <v>1</v>
      </c>
      <c r="C707" s="27"/>
      <c r="D707" s="7">
        <f t="shared" si="142"/>
        <v>1</v>
      </c>
      <c r="E707" s="57">
        <v>45022</v>
      </c>
      <c r="F707" s="19"/>
      <c r="G707" s="43"/>
      <c r="H707" s="6"/>
      <c r="I707" s="27"/>
      <c r="J707" s="35">
        <f t="shared" si="143"/>
        <v>0</v>
      </c>
      <c r="K707" s="57"/>
    </row>
    <row r="708" spans="1:11" x14ac:dyDescent="0.15">
      <c r="A708" s="29" t="s">
        <v>112</v>
      </c>
      <c r="B708" s="6">
        <v>1</v>
      </c>
      <c r="C708" s="27">
        <v>3</v>
      </c>
      <c r="D708" s="7">
        <f t="shared" si="142"/>
        <v>4</v>
      </c>
      <c r="E708" s="57">
        <v>45022</v>
      </c>
      <c r="F708" s="19"/>
      <c r="G708" s="43"/>
      <c r="H708" s="6"/>
      <c r="I708" s="27"/>
      <c r="J708" s="35">
        <f t="shared" si="143"/>
        <v>0</v>
      </c>
      <c r="K708" s="57"/>
    </row>
    <row r="709" spans="1:11" x14ac:dyDescent="0.15">
      <c r="A709" s="29" t="s">
        <v>112</v>
      </c>
      <c r="B709" s="6">
        <v>4</v>
      </c>
      <c r="C709" s="27"/>
      <c r="D709" s="7">
        <f t="shared" si="142"/>
        <v>4</v>
      </c>
      <c r="E709" s="57">
        <v>45023</v>
      </c>
      <c r="F709" s="19"/>
      <c r="G709" s="43"/>
      <c r="H709" s="6"/>
      <c r="I709" s="27"/>
      <c r="J709" s="35">
        <f t="shared" si="143"/>
        <v>0</v>
      </c>
      <c r="K709" s="57"/>
    </row>
    <row r="710" spans="1:11" x14ac:dyDescent="0.15">
      <c r="A710" s="29" t="s">
        <v>112</v>
      </c>
      <c r="B710" s="6">
        <v>8</v>
      </c>
      <c r="C710" s="27">
        <f>1+1</f>
        <v>2</v>
      </c>
      <c r="D710" s="7">
        <f t="shared" si="142"/>
        <v>10</v>
      </c>
      <c r="E710" s="57">
        <v>45026</v>
      </c>
      <c r="F710" s="19"/>
      <c r="G710" s="43"/>
      <c r="H710" s="6"/>
      <c r="I710" s="27"/>
      <c r="J710" s="35">
        <f t="shared" si="143"/>
        <v>0</v>
      </c>
      <c r="K710" s="57"/>
    </row>
    <row r="711" spans="1:11" x14ac:dyDescent="0.15">
      <c r="A711" s="29" t="s">
        <v>224</v>
      </c>
      <c r="B711" s="6">
        <v>-20</v>
      </c>
      <c r="C711" s="27">
        <v>-10</v>
      </c>
      <c r="D711" s="7">
        <f t="shared" si="142"/>
        <v>-30</v>
      </c>
      <c r="E711" s="57">
        <v>45027</v>
      </c>
      <c r="F711" s="19"/>
      <c r="G711" s="43"/>
      <c r="H711" s="6"/>
      <c r="I711" s="27"/>
      <c r="J711" s="35">
        <f t="shared" si="143"/>
        <v>0</v>
      </c>
      <c r="K711" s="57"/>
    </row>
    <row r="712" spans="1:11" x14ac:dyDescent="0.15">
      <c r="A712" s="29" t="s">
        <v>112</v>
      </c>
      <c r="B712" s="6">
        <v>5</v>
      </c>
      <c r="C712" s="27">
        <v>2</v>
      </c>
      <c r="D712" s="7">
        <f t="shared" si="142"/>
        <v>7</v>
      </c>
      <c r="E712" s="57">
        <v>45027</v>
      </c>
      <c r="F712" s="19"/>
      <c r="G712" s="43"/>
      <c r="H712" s="6"/>
      <c r="I712" s="27"/>
      <c r="J712" s="35">
        <f t="shared" si="143"/>
        <v>0</v>
      </c>
      <c r="K712" s="57"/>
    </row>
    <row r="713" spans="1:11" x14ac:dyDescent="0.15">
      <c r="A713" s="29" t="s">
        <v>112</v>
      </c>
      <c r="B713" s="6">
        <v>5</v>
      </c>
      <c r="C713" s="27"/>
      <c r="D713" s="7">
        <f t="shared" si="142"/>
        <v>5</v>
      </c>
      <c r="E713" s="57">
        <v>45028</v>
      </c>
      <c r="F713" s="19"/>
      <c r="G713" s="43"/>
      <c r="H713" s="6"/>
      <c r="I713" s="27"/>
      <c r="J713" s="35">
        <f t="shared" si="143"/>
        <v>0</v>
      </c>
      <c r="K713" s="57"/>
    </row>
    <row r="714" spans="1:11" x14ac:dyDescent="0.15">
      <c r="A714" s="29" t="s">
        <v>112</v>
      </c>
      <c r="B714" s="6">
        <v>2</v>
      </c>
      <c r="C714" s="27"/>
      <c r="D714" s="7">
        <f t="shared" si="142"/>
        <v>2</v>
      </c>
      <c r="E714" s="57">
        <v>45029</v>
      </c>
      <c r="F714" s="19"/>
      <c r="G714" s="43"/>
      <c r="H714" s="6"/>
      <c r="I714" s="27"/>
      <c r="J714" s="35">
        <f t="shared" si="143"/>
        <v>0</v>
      </c>
      <c r="K714" s="57"/>
    </row>
    <row r="715" spans="1:11" x14ac:dyDescent="0.15">
      <c r="A715" s="29"/>
      <c r="B715" s="6"/>
      <c r="C715" s="27"/>
      <c r="D715" s="7">
        <f t="shared" si="142"/>
        <v>0</v>
      </c>
      <c r="E715" s="57"/>
      <c r="F715" s="19"/>
      <c r="G715" s="43"/>
      <c r="H715" s="6"/>
      <c r="I715" s="27"/>
      <c r="J715" s="35">
        <f t="shared" si="143"/>
        <v>0</v>
      </c>
      <c r="K715" s="57"/>
    </row>
    <row r="716" spans="1:11" x14ac:dyDescent="0.15">
      <c r="A716" s="29"/>
      <c r="B716" s="6"/>
      <c r="C716" s="27"/>
      <c r="D716" s="7">
        <f t="shared" si="142"/>
        <v>0</v>
      </c>
      <c r="E716" s="57"/>
      <c r="F716" s="19"/>
      <c r="G716" s="43"/>
      <c r="H716" s="6"/>
      <c r="I716" s="27"/>
      <c r="J716" s="35">
        <f t="shared" si="143"/>
        <v>0</v>
      </c>
      <c r="K716" s="57"/>
    </row>
    <row r="717" spans="1:11" x14ac:dyDescent="0.15">
      <c r="A717" s="29"/>
      <c r="B717" s="6"/>
      <c r="C717" s="27"/>
      <c r="D717" s="7">
        <f t="shared" ref="D717:D718" si="144">SUM(B717+C717)</f>
        <v>0</v>
      </c>
      <c r="E717" s="57"/>
      <c r="F717" s="19"/>
      <c r="G717" s="43"/>
      <c r="H717" s="6"/>
      <c r="I717" s="27"/>
      <c r="J717" s="35">
        <f t="shared" ref="J717:J718" si="145">SUM(H717+I717)</f>
        <v>0</v>
      </c>
      <c r="K717" s="57"/>
    </row>
    <row r="718" spans="1:11" ht="14.25" thickBot="1" x14ac:dyDescent="0.2">
      <c r="A718" s="29"/>
      <c r="B718" s="6"/>
      <c r="C718" s="27"/>
      <c r="D718" s="7">
        <f t="shared" si="144"/>
        <v>0</v>
      </c>
      <c r="E718" s="57"/>
      <c r="F718" s="19"/>
      <c r="G718" s="43"/>
      <c r="H718" s="6"/>
      <c r="I718" s="27"/>
      <c r="J718" s="35">
        <f t="shared" si="145"/>
        <v>0</v>
      </c>
      <c r="K718" s="57"/>
    </row>
    <row r="719" spans="1:11" ht="14.25" thickBot="1" x14ac:dyDescent="0.2">
      <c r="A719" s="9" t="s">
        <v>3</v>
      </c>
      <c r="B719" s="10">
        <f>SUM(B695:B718)</f>
        <v>49</v>
      </c>
      <c r="C719" s="66">
        <f>SUM(C695:C718)</f>
        <v>16</v>
      </c>
      <c r="D719" s="11">
        <f>SUM(D695:D718)</f>
        <v>65</v>
      </c>
      <c r="G719" s="9" t="s">
        <v>3</v>
      </c>
      <c r="H719" s="10">
        <f>SUM(H695:H718)</f>
        <v>90</v>
      </c>
      <c r="I719" s="66">
        <f>SUM(I695:I718)</f>
        <v>45</v>
      </c>
      <c r="J719" s="11">
        <f>SUM(J695:J718)</f>
        <v>135</v>
      </c>
    </row>
    <row r="720" spans="1:11" ht="14.25" thickBot="1" x14ac:dyDescent="0.2">
      <c r="A720" s="14" t="s">
        <v>4</v>
      </c>
      <c r="B720" s="16">
        <f>B694-B719</f>
        <v>14</v>
      </c>
      <c r="C720" s="16">
        <f>C694-C719</f>
        <v>23</v>
      </c>
      <c r="D720" s="84">
        <f>D694-D719</f>
        <v>37</v>
      </c>
      <c r="G720" s="14" t="s">
        <v>4</v>
      </c>
      <c r="H720" s="16">
        <f>H694-H719</f>
        <v>2530</v>
      </c>
      <c r="I720" s="16">
        <f>I694-I719</f>
        <v>1485</v>
      </c>
      <c r="J720" s="16">
        <f>J694-J719</f>
        <v>4015</v>
      </c>
    </row>
    <row r="723" spans="1:12" ht="24" x14ac:dyDescent="0.25">
      <c r="A723" s="25" t="s">
        <v>7</v>
      </c>
      <c r="B723" s="1"/>
      <c r="C723" s="1"/>
      <c r="D723" s="1"/>
      <c r="G723" s="25" t="s">
        <v>8</v>
      </c>
      <c r="H723" s="1"/>
      <c r="I723" s="1"/>
      <c r="J723" s="1"/>
    </row>
    <row r="724" spans="1:12" ht="14.25" thickBot="1" x14ac:dyDescent="0.2">
      <c r="A724" s="1"/>
      <c r="B724" s="1"/>
      <c r="C724" s="1"/>
      <c r="D724" s="1"/>
      <c r="G724" s="1"/>
      <c r="H724" s="1"/>
      <c r="I724" s="1"/>
      <c r="J724" s="1"/>
    </row>
    <row r="725" spans="1:12" ht="14.25" thickBot="1" x14ac:dyDescent="0.2">
      <c r="A725" s="2"/>
      <c r="B725" s="50" t="s">
        <v>115</v>
      </c>
      <c r="C725" s="50" t="s">
        <v>116</v>
      </c>
      <c r="D725" s="2" t="s">
        <v>0</v>
      </c>
      <c r="G725" s="2"/>
      <c r="H725" s="50" t="s">
        <v>115</v>
      </c>
      <c r="I725" s="50" t="s">
        <v>116</v>
      </c>
      <c r="J725" s="2" t="s">
        <v>0</v>
      </c>
    </row>
    <row r="726" spans="1:12" x14ac:dyDescent="0.15">
      <c r="A726" s="32" t="s">
        <v>4</v>
      </c>
      <c r="B726" s="48">
        <f>B720</f>
        <v>14</v>
      </c>
      <c r="C726" s="76">
        <f>C720</f>
        <v>23</v>
      </c>
      <c r="D726" s="47">
        <f>SUM(B726+C726)</f>
        <v>37</v>
      </c>
      <c r="G726" s="13" t="s">
        <v>6</v>
      </c>
      <c r="H726" s="48">
        <f>H720</f>
        <v>2530</v>
      </c>
      <c r="I726" s="80">
        <f>I720</f>
        <v>1485</v>
      </c>
      <c r="J726" s="47">
        <f>SUM(H726+I726)</f>
        <v>4015</v>
      </c>
      <c r="K726" s="19"/>
    </row>
    <row r="727" spans="1:12" x14ac:dyDescent="0.15">
      <c r="A727" s="3" t="s">
        <v>1</v>
      </c>
      <c r="B727" s="6">
        <v>10</v>
      </c>
      <c r="C727" s="27"/>
      <c r="D727" s="7">
        <f>SUM(B727+C727)</f>
        <v>10</v>
      </c>
      <c r="E727" s="57">
        <v>45030</v>
      </c>
      <c r="G727" s="3" t="s">
        <v>1</v>
      </c>
      <c r="H727" s="24"/>
      <c r="I727" s="90"/>
      <c r="J727" s="7">
        <f>SUM(H727+I727)</f>
        <v>0</v>
      </c>
      <c r="K727" s="57"/>
    </row>
    <row r="728" spans="1:12" x14ac:dyDescent="0.15">
      <c r="A728" s="3" t="s">
        <v>1</v>
      </c>
      <c r="B728" s="74">
        <v>10</v>
      </c>
      <c r="C728" s="78">
        <v>10</v>
      </c>
      <c r="D728" s="7">
        <f t="shared" ref="D728:D731" si="146">SUM(B728+C728)</f>
        <v>20</v>
      </c>
      <c r="E728" s="57">
        <v>45036</v>
      </c>
      <c r="G728" s="3" t="s">
        <v>1</v>
      </c>
      <c r="H728" s="24"/>
      <c r="I728" s="90"/>
      <c r="J728" s="7">
        <f>SUM(H728+I728)</f>
        <v>0</v>
      </c>
      <c r="K728" s="57"/>
    </row>
    <row r="729" spans="1:12" x14ac:dyDescent="0.15">
      <c r="A729" s="3" t="s">
        <v>1</v>
      </c>
      <c r="B729" s="74">
        <v>20</v>
      </c>
      <c r="C729" s="78">
        <v>15</v>
      </c>
      <c r="D729" s="7">
        <f t="shared" si="146"/>
        <v>35</v>
      </c>
      <c r="E729" s="57">
        <v>45041</v>
      </c>
      <c r="G729" s="89" t="s">
        <v>1</v>
      </c>
      <c r="H729" s="79"/>
      <c r="I729" s="1"/>
      <c r="J729" s="88">
        <f t="shared" ref="J729:J731" si="147">SUM(H729+I729)</f>
        <v>0</v>
      </c>
      <c r="K729" s="57"/>
    </row>
    <row r="730" spans="1:12" x14ac:dyDescent="0.15">
      <c r="A730" s="3" t="s">
        <v>1</v>
      </c>
      <c r="B730" s="74">
        <v>15</v>
      </c>
      <c r="C730" s="78"/>
      <c r="D730" s="7">
        <f t="shared" si="146"/>
        <v>15</v>
      </c>
      <c r="E730" s="57">
        <v>45047</v>
      </c>
      <c r="G730" s="3" t="s">
        <v>1</v>
      </c>
      <c r="H730" s="74"/>
      <c r="I730" s="78"/>
      <c r="J730" s="7">
        <f t="shared" si="147"/>
        <v>0</v>
      </c>
      <c r="K730" s="19"/>
    </row>
    <row r="731" spans="1:12" ht="14.25" thickBot="1" x14ac:dyDescent="0.2">
      <c r="A731" s="3" t="s">
        <v>1</v>
      </c>
      <c r="B731" s="74"/>
      <c r="C731" s="78">
        <v>25</v>
      </c>
      <c r="D731" s="21">
        <f t="shared" si="146"/>
        <v>25</v>
      </c>
      <c r="E731" s="57">
        <v>45048</v>
      </c>
      <c r="G731" s="4" t="s">
        <v>1</v>
      </c>
      <c r="H731" s="75"/>
      <c r="I731" s="17"/>
      <c r="J731" s="22">
        <f t="shared" si="147"/>
        <v>0</v>
      </c>
    </row>
    <row r="732" spans="1:12" ht="14.25" thickBot="1" x14ac:dyDescent="0.2">
      <c r="A732" s="14" t="s">
        <v>2</v>
      </c>
      <c r="B732" s="16">
        <f>SUM(B726:B731)</f>
        <v>69</v>
      </c>
      <c r="C732" s="83">
        <f>SUM(C726:C731)</f>
        <v>73</v>
      </c>
      <c r="D732" s="84">
        <f>SUM(B732+C732)</f>
        <v>142</v>
      </c>
      <c r="G732" s="14" t="s">
        <v>2</v>
      </c>
      <c r="H732" s="15">
        <f>SUM(H726:H731)</f>
        <v>2530</v>
      </c>
      <c r="I732" s="65">
        <f>SUM(I726:I731)</f>
        <v>1485</v>
      </c>
      <c r="J732" s="18">
        <f>SUM(H732+I732)</f>
        <v>4015</v>
      </c>
    </row>
    <row r="733" spans="1:12" x14ac:dyDescent="0.15">
      <c r="A733" s="29" t="s">
        <v>112</v>
      </c>
      <c r="B733" s="6">
        <v>6</v>
      </c>
      <c r="C733" s="27">
        <v>3</v>
      </c>
      <c r="D733" s="7">
        <f t="shared" ref="D733:D756" si="148">SUM(B733+C733)</f>
        <v>9</v>
      </c>
      <c r="E733" s="57">
        <v>45031</v>
      </c>
      <c r="F733" s="19"/>
      <c r="G733" s="43" t="s">
        <v>21</v>
      </c>
      <c r="H733" s="6">
        <v>10</v>
      </c>
      <c r="I733" s="27">
        <v>10</v>
      </c>
      <c r="J733" s="35">
        <f t="shared" ref="J733:J734" si="149">SUM(H733+I733)</f>
        <v>20</v>
      </c>
      <c r="K733" s="57">
        <v>45036</v>
      </c>
      <c r="L733" s="19"/>
    </row>
    <row r="734" spans="1:12" x14ac:dyDescent="0.15">
      <c r="A734" s="29" t="s">
        <v>112</v>
      </c>
      <c r="B734" s="6">
        <v>4</v>
      </c>
      <c r="C734" s="27">
        <v>3</v>
      </c>
      <c r="D734" s="7">
        <f t="shared" si="148"/>
        <v>7</v>
      </c>
      <c r="E734" s="57">
        <v>45033</v>
      </c>
      <c r="F734" s="19"/>
      <c r="G734" s="43" t="s">
        <v>21</v>
      </c>
      <c r="H734" s="6">
        <v>20</v>
      </c>
      <c r="I734" s="27">
        <v>15</v>
      </c>
      <c r="J734" s="35">
        <f t="shared" si="149"/>
        <v>35</v>
      </c>
      <c r="K734" s="57">
        <v>45041</v>
      </c>
      <c r="L734" s="19"/>
    </row>
    <row r="735" spans="1:12" x14ac:dyDescent="0.15">
      <c r="A735" s="29" t="s">
        <v>112</v>
      </c>
      <c r="B735" s="6"/>
      <c r="C735" s="27">
        <v>1</v>
      </c>
      <c r="D735" s="7">
        <f t="shared" si="148"/>
        <v>1</v>
      </c>
      <c r="E735" s="57">
        <v>45034</v>
      </c>
      <c r="F735" s="19"/>
      <c r="G735" s="43" t="s">
        <v>21</v>
      </c>
      <c r="H735" s="6">
        <v>15</v>
      </c>
      <c r="I735" s="27"/>
      <c r="J735" s="35">
        <f t="shared" ref="J735:J746" si="150">SUM(H735+I735)</f>
        <v>15</v>
      </c>
      <c r="K735" s="57">
        <v>45047</v>
      </c>
    </row>
    <row r="736" spans="1:12" x14ac:dyDescent="0.15">
      <c r="A736" s="29" t="s">
        <v>112</v>
      </c>
      <c r="B736" s="6"/>
      <c r="C736" s="27">
        <f>1+2</f>
        <v>3</v>
      </c>
      <c r="D736" s="7">
        <f t="shared" si="148"/>
        <v>3</v>
      </c>
      <c r="E736" s="57">
        <v>45035</v>
      </c>
      <c r="F736" s="19"/>
      <c r="G736" s="43" t="s">
        <v>21</v>
      </c>
      <c r="H736" s="6">
        <v>25</v>
      </c>
      <c r="I736" s="27">
        <v>10</v>
      </c>
      <c r="J736" s="35">
        <f t="shared" si="150"/>
        <v>35</v>
      </c>
      <c r="K736" s="57">
        <v>45055</v>
      </c>
      <c r="L736" s="19"/>
    </row>
    <row r="737" spans="1:13" x14ac:dyDescent="0.15">
      <c r="A737" s="29" t="s">
        <v>112</v>
      </c>
      <c r="B737" s="6">
        <v>1</v>
      </c>
      <c r="C737" s="27"/>
      <c r="D737" s="7">
        <f t="shared" si="148"/>
        <v>1</v>
      </c>
      <c r="E737" s="57">
        <v>45036</v>
      </c>
      <c r="F737" s="19"/>
      <c r="G737" s="5" t="s">
        <v>226</v>
      </c>
      <c r="H737" s="6">
        <v>50</v>
      </c>
      <c r="I737" s="27">
        <v>50</v>
      </c>
      <c r="J737" s="35">
        <f t="shared" si="150"/>
        <v>100</v>
      </c>
      <c r="K737" s="57">
        <v>45057</v>
      </c>
      <c r="L737" s="19"/>
      <c r="M737" s="19"/>
    </row>
    <row r="738" spans="1:13" x14ac:dyDescent="0.15">
      <c r="A738" s="29" t="s">
        <v>112</v>
      </c>
      <c r="B738" s="6">
        <v>4</v>
      </c>
      <c r="C738" s="27"/>
      <c r="D738" s="7">
        <f t="shared" si="148"/>
        <v>4</v>
      </c>
      <c r="E738" s="57">
        <v>45037</v>
      </c>
      <c r="F738" s="19"/>
      <c r="G738" s="43" t="s">
        <v>21</v>
      </c>
      <c r="H738" s="6">
        <v>10</v>
      </c>
      <c r="I738" s="27"/>
      <c r="J738" s="35">
        <f t="shared" si="150"/>
        <v>10</v>
      </c>
      <c r="K738" s="57">
        <v>45057</v>
      </c>
    </row>
    <row r="739" spans="1:13" x14ac:dyDescent="0.15">
      <c r="A739" s="29" t="s">
        <v>112</v>
      </c>
      <c r="B739" s="6">
        <f>1+12+1+2</f>
        <v>16</v>
      </c>
      <c r="C739" s="27">
        <f>1+14</f>
        <v>15</v>
      </c>
      <c r="D739" s="7">
        <f t="shared" si="148"/>
        <v>31</v>
      </c>
      <c r="E739" s="57">
        <v>45040</v>
      </c>
      <c r="F739" s="19"/>
      <c r="G739" s="43" t="s">
        <v>21</v>
      </c>
      <c r="H739" s="6">
        <v>5</v>
      </c>
      <c r="I739" s="27"/>
      <c r="J739" s="35">
        <f t="shared" si="150"/>
        <v>5</v>
      </c>
      <c r="K739" s="57">
        <v>45059</v>
      </c>
      <c r="L739" s="19"/>
      <c r="M739" s="19"/>
    </row>
    <row r="740" spans="1:13" x14ac:dyDescent="0.15">
      <c r="A740" s="29" t="s">
        <v>112</v>
      </c>
      <c r="B740" s="6"/>
      <c r="C740" s="27">
        <v>4</v>
      </c>
      <c r="D740" s="7">
        <f t="shared" si="148"/>
        <v>4</v>
      </c>
      <c r="E740" s="57">
        <v>45041</v>
      </c>
      <c r="F740" s="19"/>
      <c r="G740" s="43" t="s">
        <v>21</v>
      </c>
      <c r="H740" s="6">
        <v>15</v>
      </c>
      <c r="I740" s="27">
        <v>10</v>
      </c>
      <c r="J740" s="35">
        <f t="shared" si="150"/>
        <v>25</v>
      </c>
      <c r="K740" s="57">
        <v>45064</v>
      </c>
      <c r="L740" s="19"/>
      <c r="M740" s="19"/>
    </row>
    <row r="741" spans="1:13" x14ac:dyDescent="0.15">
      <c r="A741" s="29" t="s">
        <v>112</v>
      </c>
      <c r="B741" s="6">
        <v>8</v>
      </c>
      <c r="C741" s="27">
        <v>2</v>
      </c>
      <c r="D741" s="7">
        <f t="shared" si="148"/>
        <v>10</v>
      </c>
      <c r="E741" s="57">
        <v>45042</v>
      </c>
      <c r="F741" s="19"/>
      <c r="G741" s="43"/>
      <c r="H741" s="6"/>
      <c r="I741" s="27"/>
      <c r="J741" s="35">
        <f t="shared" si="150"/>
        <v>0</v>
      </c>
      <c r="K741" s="57"/>
    </row>
    <row r="742" spans="1:13" x14ac:dyDescent="0.15">
      <c r="A742" s="29" t="s">
        <v>112</v>
      </c>
      <c r="B742" s="6">
        <v>6</v>
      </c>
      <c r="C742" s="27">
        <f>6+1</f>
        <v>7</v>
      </c>
      <c r="D742" s="7">
        <f t="shared" si="148"/>
        <v>13</v>
      </c>
      <c r="E742" s="57">
        <v>45044</v>
      </c>
      <c r="F742" s="19"/>
      <c r="G742" s="43"/>
      <c r="H742" s="6"/>
      <c r="I742" s="27"/>
      <c r="J742" s="35">
        <f t="shared" si="150"/>
        <v>0</v>
      </c>
      <c r="K742" s="57"/>
    </row>
    <row r="743" spans="1:13" x14ac:dyDescent="0.15">
      <c r="A743" s="29" t="s">
        <v>112</v>
      </c>
      <c r="B743" s="6">
        <v>5</v>
      </c>
      <c r="C743" s="27">
        <v>9</v>
      </c>
      <c r="D743" s="7">
        <f t="shared" si="148"/>
        <v>14</v>
      </c>
      <c r="E743" s="57">
        <v>45047</v>
      </c>
      <c r="F743" s="19"/>
      <c r="G743" s="43"/>
      <c r="H743" s="6"/>
      <c r="I743" s="27"/>
      <c r="J743" s="35">
        <f t="shared" si="150"/>
        <v>0</v>
      </c>
      <c r="K743" s="57"/>
    </row>
    <row r="744" spans="1:13" x14ac:dyDescent="0.15">
      <c r="A744" s="29" t="s">
        <v>112</v>
      </c>
      <c r="B744" s="6">
        <f>2+4</f>
        <v>6</v>
      </c>
      <c r="C744" s="27">
        <v>2</v>
      </c>
      <c r="D744" s="7">
        <f t="shared" si="148"/>
        <v>8</v>
      </c>
      <c r="E744" s="57">
        <v>45048</v>
      </c>
      <c r="F744" s="19"/>
      <c r="G744" s="43"/>
      <c r="H744" s="6"/>
      <c r="I744" s="27"/>
      <c r="J744" s="35">
        <f t="shared" si="150"/>
        <v>0</v>
      </c>
      <c r="K744" s="57"/>
    </row>
    <row r="745" spans="1:13" x14ac:dyDescent="0.15">
      <c r="A745" s="29" t="s">
        <v>112</v>
      </c>
      <c r="B745" s="6">
        <f>1+10+2</f>
        <v>13</v>
      </c>
      <c r="C745" s="27">
        <f>1+6+1</f>
        <v>8</v>
      </c>
      <c r="D745" s="7">
        <f t="shared" si="148"/>
        <v>21</v>
      </c>
      <c r="E745" s="57">
        <v>45054</v>
      </c>
      <c r="F745" s="19"/>
      <c r="G745" s="43"/>
      <c r="H745" s="6"/>
      <c r="I745" s="27"/>
      <c r="J745" s="35">
        <f t="shared" si="150"/>
        <v>0</v>
      </c>
      <c r="K745" s="57"/>
    </row>
    <row r="746" spans="1:13" x14ac:dyDescent="0.15">
      <c r="A746" s="29" t="s">
        <v>225</v>
      </c>
      <c r="B746" s="6">
        <v>-25</v>
      </c>
      <c r="C746" s="27">
        <v>-10</v>
      </c>
      <c r="D746" s="7">
        <f t="shared" si="148"/>
        <v>-35</v>
      </c>
      <c r="E746" s="57">
        <v>45055</v>
      </c>
      <c r="F746" s="19"/>
      <c r="G746" s="43"/>
      <c r="H746" s="6"/>
      <c r="I746" s="27"/>
      <c r="J746" s="35">
        <f t="shared" si="150"/>
        <v>0</v>
      </c>
      <c r="K746" s="57"/>
    </row>
    <row r="747" spans="1:13" x14ac:dyDescent="0.15">
      <c r="A747" s="29" t="s">
        <v>112</v>
      </c>
      <c r="B747" s="6">
        <f>1+4</f>
        <v>5</v>
      </c>
      <c r="C747" s="27">
        <f>1+1</f>
        <v>2</v>
      </c>
      <c r="D747" s="7">
        <f t="shared" si="148"/>
        <v>7</v>
      </c>
      <c r="E747" s="57">
        <v>45055</v>
      </c>
      <c r="F747" s="19"/>
      <c r="G747" s="43"/>
      <c r="H747" s="6"/>
      <c r="I747" s="27"/>
      <c r="J747" s="35">
        <f t="shared" ref="J747:J756" si="151">SUM(H747+I747)</f>
        <v>0</v>
      </c>
      <c r="K747" s="57"/>
    </row>
    <row r="748" spans="1:13" x14ac:dyDescent="0.15">
      <c r="A748" s="29" t="s">
        <v>112</v>
      </c>
      <c r="B748" s="6">
        <f>1+5</f>
        <v>6</v>
      </c>
      <c r="C748" s="27"/>
      <c r="D748" s="7">
        <f t="shared" si="148"/>
        <v>6</v>
      </c>
      <c r="E748" s="57">
        <v>45056</v>
      </c>
      <c r="F748" s="19"/>
      <c r="G748" s="43"/>
      <c r="H748" s="6"/>
      <c r="I748" s="27"/>
      <c r="J748" s="35">
        <f t="shared" si="151"/>
        <v>0</v>
      </c>
      <c r="K748" s="57"/>
    </row>
    <row r="749" spans="1:13" x14ac:dyDescent="0.15">
      <c r="A749" s="29" t="s">
        <v>1</v>
      </c>
      <c r="B749" s="6">
        <v>-10</v>
      </c>
      <c r="C749" s="27"/>
      <c r="D749" s="7">
        <f t="shared" si="148"/>
        <v>-10</v>
      </c>
      <c r="E749" s="57">
        <v>45057</v>
      </c>
      <c r="F749" s="19"/>
      <c r="G749" s="43"/>
      <c r="H749" s="6"/>
      <c r="I749" s="27"/>
      <c r="J749" s="35">
        <f t="shared" si="151"/>
        <v>0</v>
      </c>
      <c r="K749" s="57"/>
    </row>
    <row r="750" spans="1:13" x14ac:dyDescent="0.15">
      <c r="A750" s="29" t="s">
        <v>112</v>
      </c>
      <c r="B750" s="6">
        <f>1+3</f>
        <v>4</v>
      </c>
      <c r="C750" s="27">
        <f>1+1</f>
        <v>2</v>
      </c>
      <c r="D750" s="7">
        <f t="shared" si="148"/>
        <v>6</v>
      </c>
      <c r="E750" s="57">
        <v>45057</v>
      </c>
      <c r="F750" s="19"/>
      <c r="G750" s="43"/>
      <c r="H750" s="6"/>
      <c r="I750" s="27"/>
      <c r="J750" s="35">
        <f t="shared" si="151"/>
        <v>0</v>
      </c>
      <c r="K750" s="57"/>
    </row>
    <row r="751" spans="1:13" x14ac:dyDescent="0.15">
      <c r="A751" s="29" t="s">
        <v>112</v>
      </c>
      <c r="B751" s="6">
        <v>2</v>
      </c>
      <c r="C751" s="27"/>
      <c r="D751" s="7">
        <f t="shared" si="148"/>
        <v>2</v>
      </c>
      <c r="E751" s="57">
        <v>45058</v>
      </c>
      <c r="F751" s="19"/>
      <c r="G751" s="43"/>
      <c r="H751" s="6"/>
      <c r="I751" s="27"/>
      <c r="J751" s="35">
        <f t="shared" si="151"/>
        <v>0</v>
      </c>
      <c r="K751" s="57"/>
    </row>
    <row r="752" spans="1:13" x14ac:dyDescent="0.15">
      <c r="A752" s="29" t="s">
        <v>1</v>
      </c>
      <c r="B752" s="6">
        <v>-5</v>
      </c>
      <c r="C752" s="27"/>
      <c r="D752" s="7">
        <f t="shared" si="148"/>
        <v>-5</v>
      </c>
      <c r="E752" s="57">
        <v>45059</v>
      </c>
      <c r="F752" s="19"/>
      <c r="G752" s="43"/>
      <c r="H752" s="6"/>
      <c r="I752" s="27"/>
      <c r="J752" s="35">
        <f t="shared" si="151"/>
        <v>0</v>
      </c>
      <c r="K752" s="57"/>
    </row>
    <row r="753" spans="1:11" x14ac:dyDescent="0.15">
      <c r="A753" s="29" t="s">
        <v>112</v>
      </c>
      <c r="B753" s="6">
        <v>2</v>
      </c>
      <c r="C753" s="27"/>
      <c r="D753" s="7">
        <f t="shared" si="148"/>
        <v>2</v>
      </c>
      <c r="E753" s="57">
        <v>45059</v>
      </c>
      <c r="F753" s="19"/>
      <c r="G753" s="43"/>
      <c r="H753" s="6"/>
      <c r="I753" s="27"/>
      <c r="J753" s="35">
        <f t="shared" si="151"/>
        <v>0</v>
      </c>
      <c r="K753" s="57"/>
    </row>
    <row r="754" spans="1:11" x14ac:dyDescent="0.15">
      <c r="A754" s="29" t="s">
        <v>112</v>
      </c>
      <c r="B754" s="6">
        <v>4</v>
      </c>
      <c r="C754" s="27">
        <v>6</v>
      </c>
      <c r="D754" s="7">
        <f t="shared" si="148"/>
        <v>10</v>
      </c>
      <c r="E754" s="57">
        <v>45061</v>
      </c>
      <c r="F754" s="19"/>
      <c r="G754" s="43"/>
      <c r="H754" s="6"/>
      <c r="I754" s="27"/>
      <c r="J754" s="35">
        <f t="shared" si="151"/>
        <v>0</v>
      </c>
      <c r="K754" s="57"/>
    </row>
    <row r="755" spans="1:11" x14ac:dyDescent="0.15">
      <c r="A755" s="29" t="s">
        <v>112</v>
      </c>
      <c r="B755" s="6">
        <f>1+3</f>
        <v>4</v>
      </c>
      <c r="C755" s="27">
        <v>1</v>
      </c>
      <c r="D755" s="7">
        <f t="shared" si="148"/>
        <v>5</v>
      </c>
      <c r="E755" s="57">
        <v>45062</v>
      </c>
      <c r="F755" s="19"/>
      <c r="G755" s="43"/>
      <c r="H755" s="6"/>
      <c r="I755" s="27"/>
      <c r="J755" s="35">
        <f t="shared" si="151"/>
        <v>0</v>
      </c>
      <c r="K755" s="57"/>
    </row>
    <row r="756" spans="1:11" ht="14.25" thickBot="1" x14ac:dyDescent="0.2">
      <c r="A756" s="29" t="s">
        <v>112</v>
      </c>
      <c r="B756" s="6">
        <v>6</v>
      </c>
      <c r="C756" s="27">
        <v>2</v>
      </c>
      <c r="D756" s="7">
        <f t="shared" si="148"/>
        <v>8</v>
      </c>
      <c r="E756" s="57">
        <v>45063</v>
      </c>
      <c r="F756" s="19"/>
      <c r="G756" s="43"/>
      <c r="H756" s="6"/>
      <c r="I756" s="27"/>
      <c r="J756" s="35">
        <f t="shared" si="151"/>
        <v>0</v>
      </c>
      <c r="K756" s="57"/>
    </row>
    <row r="757" spans="1:11" ht="14.25" thickBot="1" x14ac:dyDescent="0.2">
      <c r="A757" s="9" t="s">
        <v>3</v>
      </c>
      <c r="B757" s="10">
        <f>SUM(B733:B756)</f>
        <v>62</v>
      </c>
      <c r="C757" s="66">
        <f>SUM(C733:C756)</f>
        <v>60</v>
      </c>
      <c r="D757" s="11">
        <f>SUM(D733:D756)</f>
        <v>122</v>
      </c>
      <c r="G757" s="9" t="s">
        <v>3</v>
      </c>
      <c r="H757" s="10">
        <f>SUM(H733:H756)</f>
        <v>150</v>
      </c>
      <c r="I757" s="66">
        <f>SUM(I733:I756)</f>
        <v>95</v>
      </c>
      <c r="J757" s="11">
        <f>SUM(J733:J756)</f>
        <v>245</v>
      </c>
    </row>
    <row r="758" spans="1:11" ht="14.25" thickBot="1" x14ac:dyDescent="0.2">
      <c r="A758" s="14" t="s">
        <v>4</v>
      </c>
      <c r="B758" s="16">
        <f>B732-B757</f>
        <v>7</v>
      </c>
      <c r="C758" s="16">
        <f>C732-C757</f>
        <v>13</v>
      </c>
      <c r="D758" s="84">
        <f>D732-D757</f>
        <v>20</v>
      </c>
      <c r="G758" s="14" t="s">
        <v>4</v>
      </c>
      <c r="H758" s="16">
        <f>H732-H757</f>
        <v>2380</v>
      </c>
      <c r="I758" s="16">
        <f>I732-I757</f>
        <v>1390</v>
      </c>
      <c r="J758" s="16">
        <f>J732-J757</f>
        <v>3770</v>
      </c>
    </row>
    <row r="761" spans="1:11" ht="24" x14ac:dyDescent="0.25">
      <c r="A761" s="25" t="s">
        <v>7</v>
      </c>
      <c r="B761" s="1"/>
      <c r="C761" s="1"/>
      <c r="D761" s="1"/>
      <c r="G761" s="25" t="s">
        <v>8</v>
      </c>
      <c r="H761" s="1"/>
      <c r="I761" s="1"/>
      <c r="J761" s="1"/>
    </row>
    <row r="762" spans="1:11" ht="14.25" thickBot="1" x14ac:dyDescent="0.2">
      <c r="A762" s="1"/>
      <c r="B762" s="1"/>
      <c r="C762" s="1"/>
      <c r="D762" s="1"/>
      <c r="G762" s="1"/>
      <c r="H762" s="1"/>
      <c r="I762" s="1"/>
      <c r="J762" s="1"/>
    </row>
    <row r="763" spans="1:11" ht="14.25" thickBot="1" x14ac:dyDescent="0.2">
      <c r="A763" s="2"/>
      <c r="B763" s="50" t="s">
        <v>115</v>
      </c>
      <c r="C763" s="50" t="s">
        <v>116</v>
      </c>
      <c r="D763" s="2" t="s">
        <v>0</v>
      </c>
      <c r="G763" s="2"/>
      <c r="H763" s="50" t="s">
        <v>115</v>
      </c>
      <c r="I763" s="50" t="s">
        <v>116</v>
      </c>
      <c r="J763" s="2" t="s">
        <v>0</v>
      </c>
    </row>
    <row r="764" spans="1:11" x14ac:dyDescent="0.15">
      <c r="A764" s="32" t="s">
        <v>4</v>
      </c>
      <c r="B764" s="48">
        <f>B758</f>
        <v>7</v>
      </c>
      <c r="C764" s="76">
        <f>C758</f>
        <v>13</v>
      </c>
      <c r="D764" s="47">
        <f>SUM(B764+C764)</f>
        <v>20</v>
      </c>
      <c r="G764" s="13" t="s">
        <v>6</v>
      </c>
      <c r="H764" s="48">
        <f>H758</f>
        <v>2380</v>
      </c>
      <c r="I764" s="80">
        <f>I758</f>
        <v>1390</v>
      </c>
      <c r="J764" s="47">
        <f>SUM(H764+I764)</f>
        <v>3770</v>
      </c>
      <c r="K764" s="19"/>
    </row>
    <row r="765" spans="1:11" x14ac:dyDescent="0.15">
      <c r="A765" s="3" t="s">
        <v>1</v>
      </c>
      <c r="B765" s="74">
        <v>15</v>
      </c>
      <c r="C765" s="78">
        <v>10</v>
      </c>
      <c r="D765" s="7">
        <f t="shared" ref="D765:D767" si="152">SUM(B765+C765)</f>
        <v>25</v>
      </c>
      <c r="E765" s="57">
        <v>45064</v>
      </c>
      <c r="G765" s="3" t="s">
        <v>1</v>
      </c>
      <c r="H765" s="24"/>
      <c r="I765" s="90"/>
      <c r="J765" s="7">
        <f>SUM(H765+I765)</f>
        <v>0</v>
      </c>
      <c r="K765" s="57"/>
    </row>
    <row r="766" spans="1:11" x14ac:dyDescent="0.15">
      <c r="A766" s="3" t="s">
        <v>1</v>
      </c>
      <c r="B766" s="74">
        <v>15</v>
      </c>
      <c r="C766" s="78">
        <v>10</v>
      </c>
      <c r="D766" s="7">
        <f t="shared" si="152"/>
        <v>25</v>
      </c>
      <c r="E766" s="57">
        <v>45065</v>
      </c>
      <c r="G766" s="3" t="s">
        <v>1</v>
      </c>
      <c r="H766" s="24"/>
      <c r="I766" s="90"/>
      <c r="J766" s="7">
        <f>SUM(H766+I766)</f>
        <v>0</v>
      </c>
      <c r="K766" s="57"/>
    </row>
    <row r="767" spans="1:11" x14ac:dyDescent="0.15">
      <c r="A767" s="3" t="s">
        <v>1</v>
      </c>
      <c r="B767" s="74">
        <v>15</v>
      </c>
      <c r="C767" s="78"/>
      <c r="D767" s="7">
        <f t="shared" si="152"/>
        <v>15</v>
      </c>
      <c r="E767" s="57">
        <v>45070</v>
      </c>
      <c r="G767" s="89" t="s">
        <v>1</v>
      </c>
      <c r="H767" s="79"/>
      <c r="I767" s="1"/>
      <c r="J767" s="88">
        <f t="shared" ref="J767:J769" si="153">SUM(H767+I767)</f>
        <v>0</v>
      </c>
      <c r="K767" s="57"/>
    </row>
    <row r="768" spans="1:11" x14ac:dyDescent="0.15">
      <c r="A768" s="3" t="s">
        <v>1</v>
      </c>
      <c r="B768" s="74">
        <v>10</v>
      </c>
      <c r="C768" s="78">
        <v>5</v>
      </c>
      <c r="D768" s="7">
        <f t="shared" ref="D768:D769" si="154">SUM(B768+C768)</f>
        <v>15</v>
      </c>
      <c r="E768" s="57">
        <v>45075</v>
      </c>
      <c r="G768" s="3" t="s">
        <v>1</v>
      </c>
      <c r="H768" s="74"/>
      <c r="I768" s="78"/>
      <c r="J768" s="7">
        <f t="shared" si="153"/>
        <v>0</v>
      </c>
      <c r="K768" s="19"/>
    </row>
    <row r="769" spans="1:13" ht="14.25" thickBot="1" x14ac:dyDescent="0.2">
      <c r="A769" s="3" t="s">
        <v>1</v>
      </c>
      <c r="B769" s="74">
        <v>15</v>
      </c>
      <c r="C769" s="78"/>
      <c r="D769" s="21">
        <f t="shared" si="154"/>
        <v>15</v>
      </c>
      <c r="E769" s="57">
        <v>45076</v>
      </c>
      <c r="G769" s="4" t="s">
        <v>1</v>
      </c>
      <c r="H769" s="75"/>
      <c r="I769" s="17"/>
      <c r="J769" s="22">
        <f t="shared" si="153"/>
        <v>0</v>
      </c>
    </row>
    <row r="770" spans="1:13" ht="14.25" thickBot="1" x14ac:dyDescent="0.2">
      <c r="A770" s="14" t="s">
        <v>2</v>
      </c>
      <c r="B770" s="16">
        <f>SUM(B764:B769)</f>
        <v>77</v>
      </c>
      <c r="C770" s="83">
        <f>SUM(C764:C769)</f>
        <v>38</v>
      </c>
      <c r="D770" s="84">
        <f>SUM(B770+C770)</f>
        <v>115</v>
      </c>
      <c r="G770" s="14" t="s">
        <v>2</v>
      </c>
      <c r="H770" s="15">
        <f>SUM(H764:H769)</f>
        <v>2380</v>
      </c>
      <c r="I770" s="65">
        <f>SUM(I764:I769)</f>
        <v>1390</v>
      </c>
      <c r="J770" s="18">
        <f>SUM(H770+I770)</f>
        <v>3770</v>
      </c>
    </row>
    <row r="771" spans="1:13" x14ac:dyDescent="0.15">
      <c r="A771" s="29" t="s">
        <v>227</v>
      </c>
      <c r="B771" s="6">
        <v>5</v>
      </c>
      <c r="C771" s="27">
        <v>5</v>
      </c>
      <c r="D771" s="7">
        <f t="shared" ref="D771:D792" si="155">SUM(B771+C771)</f>
        <v>10</v>
      </c>
      <c r="E771" s="57">
        <v>45064</v>
      </c>
      <c r="F771" s="19"/>
      <c r="G771" s="43" t="s">
        <v>21</v>
      </c>
      <c r="H771" s="6">
        <v>15</v>
      </c>
      <c r="I771" s="27">
        <v>10</v>
      </c>
      <c r="J771" s="35">
        <f t="shared" ref="J771:J772" si="156">SUM(H771+I771)</f>
        <v>25</v>
      </c>
      <c r="K771" s="57">
        <v>45065</v>
      </c>
    </row>
    <row r="772" spans="1:13" x14ac:dyDescent="0.15">
      <c r="A772" s="29" t="s">
        <v>112</v>
      </c>
      <c r="B772" s="6">
        <v>8</v>
      </c>
      <c r="C772" s="27">
        <v>2</v>
      </c>
      <c r="D772" s="7">
        <f t="shared" si="155"/>
        <v>10</v>
      </c>
      <c r="E772" s="57">
        <v>45064</v>
      </c>
      <c r="F772" s="19"/>
      <c r="G772" s="43" t="s">
        <v>21</v>
      </c>
      <c r="H772" s="6">
        <v>15</v>
      </c>
      <c r="I772" s="27"/>
      <c r="J772" s="35">
        <f t="shared" si="156"/>
        <v>15</v>
      </c>
      <c r="K772" s="57">
        <v>45070</v>
      </c>
    </row>
    <row r="773" spans="1:13" x14ac:dyDescent="0.15">
      <c r="A773" s="29" t="s">
        <v>112</v>
      </c>
      <c r="B773" s="6">
        <v>2</v>
      </c>
      <c r="C773" s="27"/>
      <c r="D773" s="7">
        <f t="shared" si="155"/>
        <v>2</v>
      </c>
      <c r="E773" s="57">
        <v>45065</v>
      </c>
      <c r="F773" s="19"/>
      <c r="G773" s="5" t="s">
        <v>230</v>
      </c>
      <c r="H773" s="6">
        <v>100</v>
      </c>
      <c r="I773" s="27">
        <v>50</v>
      </c>
      <c r="J773" s="35">
        <f t="shared" ref="J773:J782" si="157">SUM(H773+I773)</f>
        <v>150</v>
      </c>
      <c r="K773" s="57">
        <v>45071</v>
      </c>
    </row>
    <row r="774" spans="1:13" x14ac:dyDescent="0.15">
      <c r="A774" s="29" t="s">
        <v>112</v>
      </c>
      <c r="B774" s="6">
        <v>4</v>
      </c>
      <c r="C774" s="27"/>
      <c r="D774" s="7">
        <f t="shared" si="155"/>
        <v>4</v>
      </c>
      <c r="E774" s="57">
        <v>45066</v>
      </c>
      <c r="F774" s="19"/>
      <c r="G774" s="5" t="s">
        <v>231</v>
      </c>
      <c r="H774" s="6">
        <v>20</v>
      </c>
      <c r="I774" s="27"/>
      <c r="J774" s="35">
        <f t="shared" si="157"/>
        <v>20</v>
      </c>
      <c r="K774" s="57">
        <v>45073</v>
      </c>
      <c r="L774" s="19"/>
    </row>
    <row r="775" spans="1:13" x14ac:dyDescent="0.15">
      <c r="A775" s="29" t="s">
        <v>112</v>
      </c>
      <c r="B775" s="6">
        <v>6</v>
      </c>
      <c r="C775" s="27"/>
      <c r="D775" s="7">
        <f t="shared" si="155"/>
        <v>6</v>
      </c>
      <c r="E775" s="57">
        <v>45068</v>
      </c>
      <c r="F775" s="19"/>
      <c r="G775" s="43" t="s">
        <v>21</v>
      </c>
      <c r="H775" s="6">
        <v>10</v>
      </c>
      <c r="I775" s="27">
        <v>5</v>
      </c>
      <c r="J775" s="35">
        <f t="shared" si="157"/>
        <v>15</v>
      </c>
      <c r="K775" s="57">
        <v>45075</v>
      </c>
      <c r="M775" s="19"/>
    </row>
    <row r="776" spans="1:13" x14ac:dyDescent="0.15">
      <c r="A776" s="29" t="s">
        <v>112</v>
      </c>
      <c r="B776" s="6"/>
      <c r="C776" s="27">
        <v>1</v>
      </c>
      <c r="D776" s="7">
        <f t="shared" si="155"/>
        <v>1</v>
      </c>
      <c r="E776" s="57">
        <v>45069</v>
      </c>
      <c r="F776" s="19"/>
      <c r="G776" s="43" t="s">
        <v>21</v>
      </c>
      <c r="H776" s="6">
        <v>15</v>
      </c>
      <c r="I776" s="27"/>
      <c r="J776" s="35">
        <f t="shared" si="157"/>
        <v>15</v>
      </c>
      <c r="K776" s="57">
        <v>45076</v>
      </c>
      <c r="L776" s="19"/>
    </row>
    <row r="777" spans="1:13" x14ac:dyDescent="0.15">
      <c r="A777" s="29" t="s">
        <v>112</v>
      </c>
      <c r="B777" s="6"/>
      <c r="C777" s="27">
        <v>1</v>
      </c>
      <c r="D777" s="7">
        <f t="shared" si="155"/>
        <v>1</v>
      </c>
      <c r="E777" s="57">
        <v>45069</v>
      </c>
      <c r="F777" s="19"/>
      <c r="G777" s="43"/>
      <c r="H777" s="6"/>
      <c r="I777" s="27"/>
      <c r="J777" s="35">
        <f t="shared" si="157"/>
        <v>0</v>
      </c>
      <c r="K777" s="57"/>
      <c r="M777" s="19"/>
    </row>
    <row r="778" spans="1:13" x14ac:dyDescent="0.15">
      <c r="A778" s="29" t="s">
        <v>112</v>
      </c>
      <c r="B778" s="6">
        <v>2</v>
      </c>
      <c r="C778" s="27">
        <v>2</v>
      </c>
      <c r="D778" s="7">
        <f t="shared" si="155"/>
        <v>4</v>
      </c>
      <c r="E778" s="57">
        <v>45070</v>
      </c>
      <c r="F778" s="19"/>
      <c r="G778" s="43"/>
      <c r="H778" s="6"/>
      <c r="I778" s="27"/>
      <c r="J778" s="35">
        <f t="shared" si="157"/>
        <v>0</v>
      </c>
      <c r="K778" s="57"/>
    </row>
    <row r="779" spans="1:13" x14ac:dyDescent="0.15">
      <c r="A779" s="29" t="s">
        <v>227</v>
      </c>
      <c r="B779" s="6">
        <v>3</v>
      </c>
      <c r="C779" s="27"/>
      <c r="D779" s="7">
        <f t="shared" si="155"/>
        <v>3</v>
      </c>
      <c r="E779" s="57">
        <v>45070</v>
      </c>
      <c r="F779" s="19"/>
      <c r="G779" s="43"/>
      <c r="H779" s="6"/>
      <c r="I779" s="27"/>
      <c r="J779" s="35">
        <f t="shared" si="157"/>
        <v>0</v>
      </c>
      <c r="K779" s="57"/>
    </row>
    <row r="780" spans="1:13" x14ac:dyDescent="0.15">
      <c r="A780" s="29" t="s">
        <v>112</v>
      </c>
      <c r="B780" s="6">
        <v>4</v>
      </c>
      <c r="C780" s="27">
        <v>2</v>
      </c>
      <c r="D780" s="7">
        <f t="shared" si="155"/>
        <v>6</v>
      </c>
      <c r="E780" s="57">
        <v>45071</v>
      </c>
      <c r="F780" s="19"/>
      <c r="G780" s="43"/>
      <c r="H780" s="6"/>
      <c r="I780" s="27"/>
      <c r="J780" s="35">
        <f t="shared" si="157"/>
        <v>0</v>
      </c>
      <c r="K780" s="57"/>
    </row>
    <row r="781" spans="1:13" x14ac:dyDescent="0.15">
      <c r="A781" s="29" t="s">
        <v>112</v>
      </c>
      <c r="B781" s="6">
        <f>2+3</f>
        <v>5</v>
      </c>
      <c r="C781" s="27"/>
      <c r="D781" s="7">
        <f t="shared" si="155"/>
        <v>5</v>
      </c>
      <c r="E781" s="57">
        <v>45072</v>
      </c>
      <c r="F781" s="19"/>
      <c r="G781" s="43"/>
      <c r="H781" s="6"/>
      <c r="I781" s="27"/>
      <c r="J781" s="35">
        <f t="shared" si="157"/>
        <v>0</v>
      </c>
      <c r="K781" s="57"/>
    </row>
    <row r="782" spans="1:13" x14ac:dyDescent="0.15">
      <c r="A782" s="29" t="s">
        <v>232</v>
      </c>
      <c r="B782" s="6">
        <v>5</v>
      </c>
      <c r="C782" s="27"/>
      <c r="D782" s="7">
        <f t="shared" si="155"/>
        <v>5</v>
      </c>
      <c r="E782" s="57">
        <v>45075</v>
      </c>
      <c r="F782" s="19"/>
      <c r="G782" s="43"/>
      <c r="H782" s="6"/>
      <c r="I782" s="27"/>
      <c r="J782" s="35">
        <f t="shared" si="157"/>
        <v>0</v>
      </c>
      <c r="K782" s="57"/>
    </row>
    <row r="783" spans="1:13" x14ac:dyDescent="0.15">
      <c r="A783" s="29" t="s">
        <v>112</v>
      </c>
      <c r="B783" s="6">
        <f>5+2+2</f>
        <v>9</v>
      </c>
      <c r="C783" s="27">
        <v>3</v>
      </c>
      <c r="D783" s="7">
        <f t="shared" si="155"/>
        <v>12</v>
      </c>
      <c r="E783" s="57">
        <v>45075</v>
      </c>
      <c r="F783" s="19"/>
      <c r="G783" s="43"/>
      <c r="H783" s="6"/>
      <c r="I783" s="27"/>
      <c r="J783" s="35">
        <f t="shared" ref="J783:J790" si="158">SUM(H783+I783)</f>
        <v>0</v>
      </c>
      <c r="K783" s="57"/>
    </row>
    <row r="784" spans="1:13" x14ac:dyDescent="0.15">
      <c r="A784" s="29" t="s">
        <v>112</v>
      </c>
      <c r="B784" s="6">
        <v>1</v>
      </c>
      <c r="C784" s="27"/>
      <c r="D784" s="7">
        <f t="shared" si="155"/>
        <v>1</v>
      </c>
      <c r="E784" s="57">
        <v>45077</v>
      </c>
      <c r="F784" s="19"/>
      <c r="G784" s="43"/>
      <c r="H784" s="6"/>
      <c r="I784" s="27"/>
      <c r="J784" s="35">
        <f t="shared" si="158"/>
        <v>0</v>
      </c>
      <c r="K784" s="57"/>
    </row>
    <row r="785" spans="1:11" x14ac:dyDescent="0.15">
      <c r="A785" s="29" t="s">
        <v>112</v>
      </c>
      <c r="B785" s="6">
        <f>1+1</f>
        <v>2</v>
      </c>
      <c r="C785" s="27"/>
      <c r="D785" s="7">
        <f t="shared" si="155"/>
        <v>2</v>
      </c>
      <c r="E785" s="57">
        <v>45078</v>
      </c>
      <c r="F785" s="19"/>
      <c r="G785" s="43"/>
      <c r="H785" s="6"/>
      <c r="I785" s="27"/>
      <c r="J785" s="35">
        <f t="shared" si="158"/>
        <v>0</v>
      </c>
      <c r="K785" s="57"/>
    </row>
    <row r="786" spans="1:11" x14ac:dyDescent="0.15">
      <c r="A786" s="29" t="s">
        <v>112</v>
      </c>
      <c r="B786" s="6">
        <v>3</v>
      </c>
      <c r="C786" s="27">
        <v>1</v>
      </c>
      <c r="D786" s="7">
        <f t="shared" si="155"/>
        <v>4</v>
      </c>
      <c r="E786" s="57">
        <v>45079</v>
      </c>
      <c r="F786" s="19"/>
      <c r="G786" s="43"/>
      <c r="H786" s="6"/>
      <c r="I786" s="27"/>
      <c r="J786" s="35">
        <f t="shared" si="158"/>
        <v>0</v>
      </c>
      <c r="K786" s="57"/>
    </row>
    <row r="787" spans="1:11" x14ac:dyDescent="0.15">
      <c r="A787" s="29" t="s">
        <v>234</v>
      </c>
      <c r="B787" s="6">
        <v>5</v>
      </c>
      <c r="C787" s="27">
        <v>2</v>
      </c>
      <c r="D787" s="7">
        <f t="shared" si="155"/>
        <v>7</v>
      </c>
      <c r="E787" s="57">
        <v>45080</v>
      </c>
      <c r="F787" s="19"/>
      <c r="G787" s="43"/>
      <c r="H787" s="6"/>
      <c r="I787" s="27"/>
      <c r="J787" s="35">
        <f t="shared" si="158"/>
        <v>0</v>
      </c>
      <c r="K787" s="57"/>
    </row>
    <row r="788" spans="1:11" x14ac:dyDescent="0.15">
      <c r="A788" s="29" t="s">
        <v>112</v>
      </c>
      <c r="B788" s="6">
        <f>1+7</f>
        <v>8</v>
      </c>
      <c r="C788" s="27">
        <v>1</v>
      </c>
      <c r="D788" s="7">
        <f t="shared" si="155"/>
        <v>9</v>
      </c>
      <c r="E788" s="57">
        <v>45082</v>
      </c>
      <c r="F788" s="19"/>
      <c r="G788" s="43"/>
      <c r="H788" s="6"/>
      <c r="I788" s="27"/>
      <c r="J788" s="35">
        <f t="shared" si="158"/>
        <v>0</v>
      </c>
      <c r="K788" s="57"/>
    </row>
    <row r="789" spans="1:11" x14ac:dyDescent="0.15">
      <c r="A789" s="29"/>
      <c r="B789" s="6"/>
      <c r="C789" s="27"/>
      <c r="D789" s="7">
        <f t="shared" si="155"/>
        <v>0</v>
      </c>
      <c r="E789" s="57"/>
      <c r="F789" s="19"/>
      <c r="G789" s="43"/>
      <c r="H789" s="6"/>
      <c r="I789" s="27"/>
      <c r="J789" s="35">
        <f t="shared" si="158"/>
        <v>0</v>
      </c>
      <c r="K789" s="57"/>
    </row>
    <row r="790" spans="1:11" x14ac:dyDescent="0.15">
      <c r="A790" s="29"/>
      <c r="B790" s="6"/>
      <c r="C790" s="27"/>
      <c r="D790" s="7">
        <f t="shared" si="155"/>
        <v>0</v>
      </c>
      <c r="E790" s="57"/>
      <c r="F790" s="19"/>
      <c r="G790" s="43"/>
      <c r="H790" s="6"/>
      <c r="I790" s="27"/>
      <c r="J790" s="35">
        <f t="shared" si="158"/>
        <v>0</v>
      </c>
      <c r="K790" s="57"/>
    </row>
    <row r="791" spans="1:11" x14ac:dyDescent="0.15">
      <c r="A791" s="29"/>
      <c r="B791" s="6"/>
      <c r="C791" s="27"/>
      <c r="D791" s="7">
        <f t="shared" si="155"/>
        <v>0</v>
      </c>
      <c r="E791" s="57"/>
      <c r="F791" s="19"/>
      <c r="G791" s="43"/>
      <c r="H791" s="6"/>
      <c r="I791" s="27"/>
      <c r="J791" s="35">
        <f t="shared" ref="J791:J792" si="159">SUM(H791+I791)</f>
        <v>0</v>
      </c>
      <c r="K791" s="57"/>
    </row>
    <row r="792" spans="1:11" x14ac:dyDescent="0.15">
      <c r="A792" s="29"/>
      <c r="B792" s="6"/>
      <c r="C792" s="27"/>
      <c r="D792" s="7">
        <f t="shared" si="155"/>
        <v>0</v>
      </c>
      <c r="E792" s="57"/>
      <c r="F792" s="19"/>
      <c r="G792" s="43"/>
      <c r="H792" s="6"/>
      <c r="I792" s="27"/>
      <c r="J792" s="35">
        <f t="shared" si="159"/>
        <v>0</v>
      </c>
      <c r="K792" s="57"/>
    </row>
    <row r="793" spans="1:11" x14ac:dyDescent="0.15">
      <c r="A793" s="29"/>
      <c r="B793" s="6"/>
      <c r="C793" s="27"/>
      <c r="D793" s="7">
        <f t="shared" ref="D793:D794" si="160">SUM(B793+C793)</f>
        <v>0</v>
      </c>
      <c r="E793" s="57"/>
      <c r="F793" s="19"/>
      <c r="G793" s="97" t="s">
        <v>220</v>
      </c>
      <c r="H793" s="98"/>
      <c r="I793" s="99"/>
      <c r="J793" s="100">
        <f t="shared" ref="J793:J794" si="161">SUM(H793+I793)</f>
        <v>0</v>
      </c>
      <c r="K793" s="101"/>
    </row>
    <row r="794" spans="1:11" ht="14.25" thickBot="1" x14ac:dyDescent="0.2">
      <c r="A794" s="29"/>
      <c r="B794" s="6"/>
      <c r="C794" s="27"/>
      <c r="D794" s="7">
        <f t="shared" si="160"/>
        <v>0</v>
      </c>
      <c r="E794" s="57"/>
      <c r="F794" s="19"/>
      <c r="G794" s="5" t="s">
        <v>233</v>
      </c>
      <c r="H794" s="6"/>
      <c r="I794" s="27"/>
      <c r="J794" s="7">
        <f t="shared" si="161"/>
        <v>0</v>
      </c>
      <c r="K794" s="57" t="s">
        <v>221</v>
      </c>
    </row>
    <row r="795" spans="1:11" ht="14.25" thickBot="1" x14ac:dyDescent="0.2">
      <c r="A795" s="9" t="s">
        <v>3</v>
      </c>
      <c r="B795" s="10">
        <f>SUM(B771:B794)</f>
        <v>72</v>
      </c>
      <c r="C795" s="66">
        <f>SUM(C771:C794)</f>
        <v>20</v>
      </c>
      <c r="D795" s="11">
        <f>SUM(D771:D794)</f>
        <v>92</v>
      </c>
      <c r="G795" s="9" t="s">
        <v>3</v>
      </c>
      <c r="H795" s="10">
        <f>SUM(H771:H794)</f>
        <v>175</v>
      </c>
      <c r="I795" s="66">
        <f>SUM(I771:I794)</f>
        <v>65</v>
      </c>
      <c r="J795" s="11">
        <f>SUM(J771:J794)</f>
        <v>240</v>
      </c>
    </row>
    <row r="796" spans="1:11" ht="14.25" thickBot="1" x14ac:dyDescent="0.2">
      <c r="A796" s="14" t="s">
        <v>4</v>
      </c>
      <c r="B796" s="16">
        <f>B770-B795</f>
        <v>5</v>
      </c>
      <c r="C796" s="16">
        <f>C770-C795</f>
        <v>18</v>
      </c>
      <c r="D796" s="84">
        <f>D770-D795</f>
        <v>23</v>
      </c>
      <c r="G796" s="14" t="s">
        <v>4</v>
      </c>
      <c r="H796" s="16">
        <f>H770-H795</f>
        <v>2205</v>
      </c>
      <c r="I796" s="16">
        <f>I770-I795</f>
        <v>1325</v>
      </c>
      <c r="J796" s="16">
        <f>J770-J795</f>
        <v>3530</v>
      </c>
    </row>
    <row r="799" spans="1:11" ht="24" x14ac:dyDescent="0.25">
      <c r="A799" s="25" t="s">
        <v>7</v>
      </c>
      <c r="B799" s="1"/>
      <c r="C799" s="1"/>
      <c r="D799" s="1"/>
      <c r="G799" s="25" t="s">
        <v>8</v>
      </c>
      <c r="H799" s="1"/>
      <c r="I799" s="1"/>
      <c r="J799" s="1"/>
    </row>
    <row r="800" spans="1:11" ht="14.25" thickBot="1" x14ac:dyDescent="0.2">
      <c r="A800" s="1"/>
      <c r="B800" s="1"/>
      <c r="C800" s="1"/>
      <c r="D800" s="1"/>
      <c r="G800" s="1"/>
      <c r="H800" s="1"/>
      <c r="I800" s="1"/>
      <c r="J800" s="1"/>
    </row>
    <row r="801" spans="1:13" ht="14.25" thickBot="1" x14ac:dyDescent="0.2">
      <c r="A801" s="2"/>
      <c r="B801" s="50" t="s">
        <v>115</v>
      </c>
      <c r="C801" s="50" t="s">
        <v>116</v>
      </c>
      <c r="D801" s="2" t="s">
        <v>0</v>
      </c>
      <c r="G801" s="2"/>
      <c r="H801" s="50" t="s">
        <v>115</v>
      </c>
      <c r="I801" s="50" t="s">
        <v>116</v>
      </c>
      <c r="J801" s="2" t="s">
        <v>0</v>
      </c>
    </row>
    <row r="802" spans="1:13" x14ac:dyDescent="0.15">
      <c r="A802" s="32" t="s">
        <v>4</v>
      </c>
      <c r="B802" s="48">
        <f>B796</f>
        <v>5</v>
      </c>
      <c r="C802" s="76">
        <f>C796</f>
        <v>18</v>
      </c>
      <c r="D802" s="47">
        <f>SUM(B802+C802)</f>
        <v>23</v>
      </c>
      <c r="G802" s="13" t="s">
        <v>6</v>
      </c>
      <c r="H802" s="48">
        <f>H796</f>
        <v>2205</v>
      </c>
      <c r="I802" s="80">
        <f>I796</f>
        <v>1325</v>
      </c>
      <c r="J802" s="47">
        <f>SUM(H802+I802)</f>
        <v>3530</v>
      </c>
      <c r="K802" s="19"/>
    </row>
    <row r="803" spans="1:13" x14ac:dyDescent="0.15">
      <c r="A803" s="3" t="s">
        <v>1</v>
      </c>
      <c r="B803" s="74">
        <v>20</v>
      </c>
      <c r="C803" s="78">
        <v>10</v>
      </c>
      <c r="D803" s="7">
        <f t="shared" ref="D803:D807" si="162">SUM(B803+C803)</f>
        <v>30</v>
      </c>
      <c r="E803" s="57">
        <v>45083</v>
      </c>
      <c r="F803" s="19"/>
      <c r="G803" s="3" t="s">
        <v>1</v>
      </c>
      <c r="H803" s="24"/>
      <c r="I803" s="90"/>
      <c r="J803" s="7">
        <f>SUM(H803+I803)</f>
        <v>0</v>
      </c>
      <c r="K803" s="57"/>
    </row>
    <row r="804" spans="1:13" x14ac:dyDescent="0.15">
      <c r="A804" s="3" t="s">
        <v>1</v>
      </c>
      <c r="B804" s="74">
        <v>20</v>
      </c>
      <c r="C804" s="78">
        <v>20</v>
      </c>
      <c r="D804" s="7">
        <f t="shared" si="162"/>
        <v>40</v>
      </c>
      <c r="E804" s="57">
        <v>45089</v>
      </c>
      <c r="G804" s="3" t="s">
        <v>1</v>
      </c>
      <c r="H804" s="24"/>
      <c r="I804" s="90"/>
      <c r="J804" s="7">
        <f>SUM(H804+I804)</f>
        <v>0</v>
      </c>
      <c r="K804" s="57"/>
    </row>
    <row r="805" spans="1:13" x14ac:dyDescent="0.15">
      <c r="A805" s="3" t="s">
        <v>1</v>
      </c>
      <c r="B805" s="74">
        <v>30</v>
      </c>
      <c r="C805" s="78">
        <v>20</v>
      </c>
      <c r="D805" s="7">
        <f t="shared" si="162"/>
        <v>50</v>
      </c>
      <c r="E805" s="57">
        <v>45094</v>
      </c>
      <c r="G805" s="89" t="s">
        <v>1</v>
      </c>
      <c r="H805" s="79"/>
      <c r="I805" s="1"/>
      <c r="J805" s="88">
        <f t="shared" ref="J805:J807" si="163">SUM(H805+I805)</f>
        <v>0</v>
      </c>
      <c r="K805" s="57"/>
    </row>
    <row r="806" spans="1:13" x14ac:dyDescent="0.15">
      <c r="A806" s="3" t="s">
        <v>1</v>
      </c>
      <c r="B806" s="74">
        <v>20</v>
      </c>
      <c r="C806" s="78">
        <v>10</v>
      </c>
      <c r="D806" s="7">
        <f t="shared" si="162"/>
        <v>30</v>
      </c>
      <c r="E806" s="57">
        <v>45100</v>
      </c>
      <c r="G806" s="3" t="s">
        <v>1</v>
      </c>
      <c r="H806" s="74"/>
      <c r="I806" s="78"/>
      <c r="J806" s="7">
        <f t="shared" si="163"/>
        <v>0</v>
      </c>
      <c r="K806" s="19"/>
    </row>
    <row r="807" spans="1:13" ht="14.25" thickBot="1" x14ac:dyDescent="0.2">
      <c r="A807" s="3" t="s">
        <v>1</v>
      </c>
      <c r="B807" s="74">
        <v>30</v>
      </c>
      <c r="C807" s="78">
        <v>20</v>
      </c>
      <c r="D807" s="21">
        <f t="shared" si="162"/>
        <v>50</v>
      </c>
      <c r="E807" s="57">
        <v>45105</v>
      </c>
      <c r="G807" s="4" t="s">
        <v>1</v>
      </c>
      <c r="H807" s="75"/>
      <c r="I807" s="17"/>
      <c r="J807" s="22">
        <f t="shared" si="163"/>
        <v>0</v>
      </c>
    </row>
    <row r="808" spans="1:13" ht="14.25" thickBot="1" x14ac:dyDescent="0.2">
      <c r="A808" s="14" t="s">
        <v>2</v>
      </c>
      <c r="B808" s="16">
        <f>SUM(B802:B807)</f>
        <v>125</v>
      </c>
      <c r="C808" s="83">
        <f>SUM(C802:C807)</f>
        <v>98</v>
      </c>
      <c r="D808" s="84">
        <f>SUM(B808+C808)</f>
        <v>223</v>
      </c>
      <c r="G808" s="14" t="s">
        <v>2</v>
      </c>
      <c r="H808" s="15">
        <f>SUM(H802:H807)</f>
        <v>2205</v>
      </c>
      <c r="I808" s="65">
        <f>SUM(I802:I807)</f>
        <v>1325</v>
      </c>
      <c r="J808" s="18">
        <f>SUM(H808+I808)</f>
        <v>3530</v>
      </c>
    </row>
    <row r="809" spans="1:13" x14ac:dyDescent="0.15">
      <c r="A809" s="29" t="s">
        <v>112</v>
      </c>
      <c r="B809" s="6">
        <f>2+2</f>
        <v>4</v>
      </c>
      <c r="C809" s="27">
        <f>2+3</f>
        <v>5</v>
      </c>
      <c r="D809" s="7">
        <f t="shared" ref="D809:D832" si="164">SUM(B809+C809)</f>
        <v>9</v>
      </c>
      <c r="E809" s="57">
        <v>45083</v>
      </c>
      <c r="F809" s="19"/>
      <c r="G809" s="43" t="s">
        <v>21</v>
      </c>
      <c r="H809" s="6">
        <v>20</v>
      </c>
      <c r="I809" s="27">
        <v>10</v>
      </c>
      <c r="J809" s="35">
        <f t="shared" ref="J809:J813" si="165">SUM(H809+I809)</f>
        <v>30</v>
      </c>
      <c r="K809" s="57">
        <v>45083</v>
      </c>
    </row>
    <row r="810" spans="1:13" x14ac:dyDescent="0.15">
      <c r="A810" s="29" t="s">
        <v>112</v>
      </c>
      <c r="B810" s="6"/>
      <c r="C810" s="27">
        <v>4</v>
      </c>
      <c r="D810" s="7">
        <f t="shared" si="164"/>
        <v>4</v>
      </c>
      <c r="E810" s="57">
        <v>45084</v>
      </c>
      <c r="F810" s="19"/>
      <c r="G810" s="43" t="s">
        <v>21</v>
      </c>
      <c r="H810" s="6">
        <v>20</v>
      </c>
      <c r="I810" s="27">
        <v>20</v>
      </c>
      <c r="J810" s="35">
        <f t="shared" si="165"/>
        <v>40</v>
      </c>
      <c r="K810" s="57">
        <v>45089</v>
      </c>
    </row>
    <row r="811" spans="1:13" x14ac:dyDescent="0.15">
      <c r="A811" s="29" t="s">
        <v>112</v>
      </c>
      <c r="B811" s="6"/>
      <c r="C811" s="27">
        <v>2</v>
      </c>
      <c r="D811" s="7">
        <f t="shared" si="164"/>
        <v>2</v>
      </c>
      <c r="E811" s="57">
        <v>45086</v>
      </c>
      <c r="F811" s="19"/>
      <c r="G811" s="43" t="s">
        <v>21</v>
      </c>
      <c r="H811" s="6">
        <v>30</v>
      </c>
      <c r="I811" s="27">
        <v>20</v>
      </c>
      <c r="J811" s="35">
        <f t="shared" si="165"/>
        <v>50</v>
      </c>
      <c r="K811" s="57">
        <v>45094</v>
      </c>
    </row>
    <row r="812" spans="1:13" x14ac:dyDescent="0.15">
      <c r="A812" s="29" t="s">
        <v>235</v>
      </c>
      <c r="B812" s="6">
        <v>10</v>
      </c>
      <c r="C812" s="27"/>
      <c r="D812" s="7">
        <f t="shared" si="164"/>
        <v>10</v>
      </c>
      <c r="E812" s="57">
        <v>45086</v>
      </c>
      <c r="F812" s="19"/>
      <c r="G812" s="43" t="s">
        <v>21</v>
      </c>
      <c r="H812" s="6">
        <v>20</v>
      </c>
      <c r="I812" s="27">
        <v>10</v>
      </c>
      <c r="J812" s="35">
        <f t="shared" si="165"/>
        <v>30</v>
      </c>
      <c r="K812" s="57">
        <v>45100</v>
      </c>
    </row>
    <row r="813" spans="1:13" x14ac:dyDescent="0.15">
      <c r="A813" s="29" t="s">
        <v>112</v>
      </c>
      <c r="B813" s="6">
        <f>6+2</f>
        <v>8</v>
      </c>
      <c r="C813" s="27">
        <f>1+2</f>
        <v>3</v>
      </c>
      <c r="D813" s="7">
        <f t="shared" si="164"/>
        <v>11</v>
      </c>
      <c r="E813" s="57">
        <v>45089</v>
      </c>
      <c r="F813" s="19"/>
      <c r="G813" s="43" t="s">
        <v>21</v>
      </c>
      <c r="H813" s="6">
        <v>30</v>
      </c>
      <c r="I813" s="27">
        <v>20</v>
      </c>
      <c r="J813" s="35">
        <f t="shared" si="165"/>
        <v>50</v>
      </c>
      <c r="K813" s="57">
        <v>45105</v>
      </c>
    </row>
    <row r="814" spans="1:13" x14ac:dyDescent="0.15">
      <c r="A814" s="29" t="s">
        <v>112</v>
      </c>
      <c r="B814" s="6">
        <v>2</v>
      </c>
      <c r="C814" s="27">
        <v>1</v>
      </c>
      <c r="D814" s="7">
        <f t="shared" si="164"/>
        <v>3</v>
      </c>
      <c r="E814" s="57">
        <v>45090</v>
      </c>
      <c r="F814" s="19"/>
      <c r="G814" s="5" t="s">
        <v>241</v>
      </c>
      <c r="H814" s="6">
        <v>50</v>
      </c>
      <c r="I814" s="27">
        <v>20</v>
      </c>
      <c r="J814" s="35">
        <f t="shared" ref="J814:J832" si="166">SUM(H814+I814)</f>
        <v>70</v>
      </c>
      <c r="K814" s="57">
        <v>45113</v>
      </c>
      <c r="L814" s="19"/>
      <c r="M814" s="19"/>
    </row>
    <row r="815" spans="1:13" x14ac:dyDescent="0.15">
      <c r="A815" s="29" t="s">
        <v>236</v>
      </c>
      <c r="B815" s="6">
        <v>5</v>
      </c>
      <c r="C815" s="27">
        <v>5</v>
      </c>
      <c r="D815" s="7">
        <f t="shared" si="164"/>
        <v>10</v>
      </c>
      <c r="E815" s="57">
        <v>45091</v>
      </c>
      <c r="F815" s="19"/>
      <c r="G815" s="43" t="s">
        <v>21</v>
      </c>
      <c r="H815" s="6">
        <v>20</v>
      </c>
      <c r="I815" s="27">
        <v>20</v>
      </c>
      <c r="J815" s="35">
        <f t="shared" si="166"/>
        <v>40</v>
      </c>
      <c r="K815" s="57">
        <v>45113</v>
      </c>
      <c r="L815" s="19"/>
      <c r="M815" s="19"/>
    </row>
    <row r="816" spans="1:13" x14ac:dyDescent="0.15">
      <c r="A816" s="29" t="s">
        <v>112</v>
      </c>
      <c r="B816" s="6">
        <v>2</v>
      </c>
      <c r="C816" s="27"/>
      <c r="D816" s="7">
        <f t="shared" si="164"/>
        <v>2</v>
      </c>
      <c r="E816" s="57">
        <v>45091</v>
      </c>
      <c r="F816" s="19"/>
      <c r="G816" s="43" t="s">
        <v>21</v>
      </c>
      <c r="H816" s="6">
        <v>10</v>
      </c>
      <c r="I816" s="27">
        <v>10</v>
      </c>
      <c r="J816" s="35">
        <f t="shared" si="166"/>
        <v>20</v>
      </c>
      <c r="K816" s="57">
        <v>45118</v>
      </c>
      <c r="L816" s="19"/>
      <c r="M816" s="19"/>
    </row>
    <row r="817" spans="1:12" x14ac:dyDescent="0.15">
      <c r="A817" s="29" t="s">
        <v>112</v>
      </c>
      <c r="B817" s="6">
        <v>2</v>
      </c>
      <c r="C817" s="27"/>
      <c r="D817" s="7">
        <f t="shared" si="164"/>
        <v>2</v>
      </c>
      <c r="E817" s="57">
        <v>45093</v>
      </c>
      <c r="F817" s="19"/>
      <c r="G817" s="5" t="s">
        <v>245</v>
      </c>
      <c r="H817" s="6">
        <v>300</v>
      </c>
      <c r="I817" s="27">
        <v>100</v>
      </c>
      <c r="J817" s="35">
        <f t="shared" si="166"/>
        <v>400</v>
      </c>
      <c r="K817" s="57">
        <v>45127</v>
      </c>
    </row>
    <row r="818" spans="1:12" x14ac:dyDescent="0.15">
      <c r="A818" s="29" t="s">
        <v>237</v>
      </c>
      <c r="B818" s="6">
        <v>10</v>
      </c>
      <c r="C818" s="27">
        <v>10</v>
      </c>
      <c r="D818" s="7">
        <f t="shared" si="164"/>
        <v>20</v>
      </c>
      <c r="E818" s="57">
        <v>45097</v>
      </c>
      <c r="F818" s="19"/>
      <c r="G818" s="5" t="s">
        <v>248</v>
      </c>
      <c r="H818" s="6"/>
      <c r="I818" s="27">
        <v>100</v>
      </c>
      <c r="J818" s="35">
        <f t="shared" si="166"/>
        <v>100</v>
      </c>
      <c r="K818" s="57">
        <v>45128</v>
      </c>
    </row>
    <row r="819" spans="1:12" x14ac:dyDescent="0.15">
      <c r="A819" s="29" t="s">
        <v>112</v>
      </c>
      <c r="B819" s="6">
        <v>6</v>
      </c>
      <c r="C819" s="27">
        <v>6</v>
      </c>
      <c r="D819" s="7">
        <f t="shared" si="164"/>
        <v>12</v>
      </c>
      <c r="E819" s="57">
        <v>45096</v>
      </c>
      <c r="F819" s="19"/>
      <c r="G819" s="5" t="s">
        <v>249</v>
      </c>
      <c r="H819" s="6">
        <v>180</v>
      </c>
      <c r="I819" s="27">
        <v>70</v>
      </c>
      <c r="J819" s="35">
        <f t="shared" si="166"/>
        <v>250</v>
      </c>
      <c r="K819" s="57">
        <v>45129</v>
      </c>
      <c r="L819" s="19"/>
    </row>
    <row r="820" spans="1:12" x14ac:dyDescent="0.15">
      <c r="A820" s="29" t="s">
        <v>238</v>
      </c>
      <c r="B820" s="6">
        <v>5</v>
      </c>
      <c r="C820" s="27">
        <v>5</v>
      </c>
      <c r="D820" s="7">
        <f t="shared" si="164"/>
        <v>10</v>
      </c>
      <c r="E820" s="57">
        <v>45099</v>
      </c>
      <c r="F820" s="19"/>
      <c r="G820" s="43"/>
      <c r="H820" s="6"/>
      <c r="I820" s="27"/>
      <c r="J820" s="35">
        <f t="shared" si="166"/>
        <v>0</v>
      </c>
      <c r="K820" s="57"/>
    </row>
    <row r="821" spans="1:12" x14ac:dyDescent="0.15">
      <c r="A821" s="29" t="s">
        <v>112</v>
      </c>
      <c r="B821" s="6">
        <f>1+2</f>
        <v>3</v>
      </c>
      <c r="C821" s="27"/>
      <c r="D821" s="7">
        <f t="shared" si="164"/>
        <v>3</v>
      </c>
      <c r="E821" s="57">
        <v>45098</v>
      </c>
      <c r="F821" s="19"/>
      <c r="G821" s="43"/>
      <c r="H821" s="6"/>
      <c r="I821" s="27"/>
      <c r="J821" s="35">
        <f t="shared" si="166"/>
        <v>0</v>
      </c>
      <c r="K821" s="57"/>
    </row>
    <row r="822" spans="1:12" x14ac:dyDescent="0.15">
      <c r="A822" s="29" t="s">
        <v>112</v>
      </c>
      <c r="B822" s="6"/>
      <c r="C822" s="27">
        <v>2</v>
      </c>
      <c r="D822" s="7">
        <f t="shared" si="164"/>
        <v>2</v>
      </c>
      <c r="E822" s="57">
        <v>45099</v>
      </c>
      <c r="F822" s="19"/>
      <c r="G822" s="43"/>
      <c r="H822" s="6"/>
      <c r="I822" s="27"/>
      <c r="J822" s="35">
        <f t="shared" si="166"/>
        <v>0</v>
      </c>
      <c r="K822" s="57"/>
    </row>
    <row r="823" spans="1:12" x14ac:dyDescent="0.15">
      <c r="A823" s="29" t="s">
        <v>112</v>
      </c>
      <c r="B823" s="6">
        <v>1</v>
      </c>
      <c r="C823" s="27"/>
      <c r="D823" s="7">
        <f t="shared" si="164"/>
        <v>1</v>
      </c>
      <c r="E823" s="57">
        <v>45100</v>
      </c>
      <c r="F823" s="19"/>
      <c r="G823" s="43"/>
      <c r="H823" s="6"/>
      <c r="I823" s="27"/>
      <c r="J823" s="35">
        <f t="shared" si="166"/>
        <v>0</v>
      </c>
      <c r="K823" s="57"/>
    </row>
    <row r="824" spans="1:12" x14ac:dyDescent="0.15">
      <c r="A824" s="29" t="s">
        <v>112</v>
      </c>
      <c r="B824" s="6">
        <f>11+4+3</f>
        <v>18</v>
      </c>
      <c r="C824" s="27">
        <f>13+1+1</f>
        <v>15</v>
      </c>
      <c r="D824" s="7">
        <f t="shared" si="164"/>
        <v>33</v>
      </c>
      <c r="E824" s="57">
        <v>45103</v>
      </c>
      <c r="F824" s="19"/>
      <c r="G824" s="43"/>
      <c r="H824" s="6"/>
      <c r="I824" s="27"/>
      <c r="J824" s="35">
        <f t="shared" si="166"/>
        <v>0</v>
      </c>
      <c r="K824" s="57"/>
    </row>
    <row r="825" spans="1:12" x14ac:dyDescent="0.15">
      <c r="A825" s="29" t="s">
        <v>112</v>
      </c>
      <c r="B825" s="6">
        <v>3</v>
      </c>
      <c r="C825" s="27">
        <v>1</v>
      </c>
      <c r="D825" s="7">
        <f t="shared" si="164"/>
        <v>4</v>
      </c>
      <c r="E825" s="57">
        <v>45104</v>
      </c>
      <c r="F825" s="19"/>
      <c r="G825" s="43"/>
      <c r="H825" s="6"/>
      <c r="I825" s="27"/>
      <c r="J825" s="35">
        <f t="shared" si="166"/>
        <v>0</v>
      </c>
      <c r="K825" s="57"/>
    </row>
    <row r="826" spans="1:12" x14ac:dyDescent="0.15">
      <c r="A826" s="29" t="s">
        <v>239</v>
      </c>
      <c r="B826" s="6">
        <v>10</v>
      </c>
      <c r="C826" s="27"/>
      <c r="D826" s="7">
        <f t="shared" si="164"/>
        <v>10</v>
      </c>
      <c r="E826" s="57">
        <v>45105</v>
      </c>
      <c r="F826" s="19"/>
      <c r="G826" s="43"/>
      <c r="H826" s="6"/>
      <c r="I826" s="27"/>
      <c r="J826" s="35">
        <f t="shared" si="166"/>
        <v>0</v>
      </c>
      <c r="K826" s="57"/>
    </row>
    <row r="827" spans="1:12" x14ac:dyDescent="0.15">
      <c r="A827" s="29" t="s">
        <v>112</v>
      </c>
      <c r="B827" s="6"/>
      <c r="C827" s="27">
        <v>1</v>
      </c>
      <c r="D827" s="7">
        <f t="shared" si="164"/>
        <v>1</v>
      </c>
      <c r="E827" s="57">
        <v>45106</v>
      </c>
      <c r="F827" s="19"/>
      <c r="G827" s="43"/>
      <c r="H827" s="6"/>
      <c r="I827" s="27"/>
      <c r="J827" s="35">
        <f t="shared" si="166"/>
        <v>0</v>
      </c>
      <c r="K827" s="57"/>
    </row>
    <row r="828" spans="1:12" x14ac:dyDescent="0.15">
      <c r="A828" s="29" t="s">
        <v>112</v>
      </c>
      <c r="B828" s="6"/>
      <c r="C828" s="27">
        <v>1</v>
      </c>
      <c r="D828" s="7">
        <f t="shared" si="164"/>
        <v>1</v>
      </c>
      <c r="E828" s="57">
        <v>45107</v>
      </c>
      <c r="F828" s="19"/>
      <c r="G828" s="43"/>
      <c r="H828" s="6"/>
      <c r="I828" s="27"/>
      <c r="J828" s="35">
        <f t="shared" si="166"/>
        <v>0</v>
      </c>
      <c r="K828" s="57"/>
    </row>
    <row r="829" spans="1:12" x14ac:dyDescent="0.15">
      <c r="A829" s="29" t="s">
        <v>240</v>
      </c>
      <c r="B829" s="6"/>
      <c r="C829" s="27">
        <v>1</v>
      </c>
      <c r="D829" s="7">
        <f t="shared" si="164"/>
        <v>1</v>
      </c>
      <c r="E829" s="57">
        <v>45110</v>
      </c>
      <c r="F829" s="19"/>
      <c r="G829" s="43"/>
      <c r="H829" s="6"/>
      <c r="I829" s="27"/>
      <c r="J829" s="35">
        <f t="shared" ref="J829:J830" si="167">SUM(H829+I829)</f>
        <v>0</v>
      </c>
      <c r="K829" s="57"/>
    </row>
    <row r="830" spans="1:12" x14ac:dyDescent="0.15">
      <c r="A830" s="29" t="s">
        <v>112</v>
      </c>
      <c r="B830" s="6">
        <v>3</v>
      </c>
      <c r="C830" s="27"/>
      <c r="D830" s="7">
        <f t="shared" si="164"/>
        <v>3</v>
      </c>
      <c r="E830" s="57">
        <v>45108</v>
      </c>
      <c r="F830" s="19"/>
      <c r="G830" s="43"/>
      <c r="H830" s="6"/>
      <c r="I830" s="27"/>
      <c r="J830" s="35">
        <f t="shared" si="167"/>
        <v>0</v>
      </c>
      <c r="K830" s="57"/>
    </row>
    <row r="831" spans="1:12" x14ac:dyDescent="0.15">
      <c r="A831" s="29" t="s">
        <v>112</v>
      </c>
      <c r="B831" s="6">
        <f>2+5</f>
        <v>7</v>
      </c>
      <c r="C831" s="27">
        <f>2+4</f>
        <v>6</v>
      </c>
      <c r="D831" s="7">
        <f t="shared" si="164"/>
        <v>13</v>
      </c>
      <c r="E831" s="57">
        <v>45110</v>
      </c>
      <c r="F831" s="19"/>
      <c r="G831" s="97" t="s">
        <v>229</v>
      </c>
      <c r="H831" s="98"/>
      <c r="I831" s="99"/>
      <c r="J831" s="100">
        <f t="shared" si="166"/>
        <v>0</v>
      </c>
      <c r="K831" s="57"/>
    </row>
    <row r="832" spans="1:12" ht="14.25" thickBot="1" x14ac:dyDescent="0.2">
      <c r="A832" s="29" t="s">
        <v>112</v>
      </c>
      <c r="B832" s="6">
        <f>1+2</f>
        <v>3</v>
      </c>
      <c r="C832" s="27">
        <v>2</v>
      </c>
      <c r="D832" s="7">
        <f t="shared" si="164"/>
        <v>5</v>
      </c>
      <c r="E832" s="57">
        <v>45111</v>
      </c>
      <c r="F832" s="19"/>
      <c r="G832" s="5" t="s">
        <v>254</v>
      </c>
      <c r="H832" s="6"/>
      <c r="I832" s="27"/>
      <c r="J832" s="7">
        <f t="shared" si="166"/>
        <v>0</v>
      </c>
      <c r="K832" s="57" t="s">
        <v>228</v>
      </c>
    </row>
    <row r="833" spans="1:11" ht="14.25" thickBot="1" x14ac:dyDescent="0.2">
      <c r="A833" s="9" t="s">
        <v>3</v>
      </c>
      <c r="B833" s="10">
        <f>SUM(B809:B832)</f>
        <v>102</v>
      </c>
      <c r="C833" s="66">
        <f>SUM(C809:C832)</f>
        <v>70</v>
      </c>
      <c r="D833" s="11">
        <f>SUM(D809:D832)</f>
        <v>172</v>
      </c>
      <c r="G833" s="9" t="s">
        <v>3</v>
      </c>
      <c r="H833" s="10">
        <f>SUM(H809:H832)</f>
        <v>680</v>
      </c>
      <c r="I833" s="66">
        <f>SUM(I809:I832)</f>
        <v>400</v>
      </c>
      <c r="J833" s="11">
        <f>SUM(J809:J832)</f>
        <v>1080</v>
      </c>
    </row>
    <row r="834" spans="1:11" ht="14.25" thickBot="1" x14ac:dyDescent="0.2">
      <c r="A834" s="14" t="s">
        <v>4</v>
      </c>
      <c r="B834" s="16">
        <f>B808-B833</f>
        <v>23</v>
      </c>
      <c r="C834" s="16">
        <f>C808-C833</f>
        <v>28</v>
      </c>
      <c r="D834" s="84">
        <f>D808-D833</f>
        <v>51</v>
      </c>
      <c r="G834" s="14" t="s">
        <v>4</v>
      </c>
      <c r="H834" s="16">
        <f>H808-H833</f>
        <v>1525</v>
      </c>
      <c r="I834" s="16">
        <f>I808-I833</f>
        <v>925</v>
      </c>
      <c r="J834" s="16">
        <f>J808-J833</f>
        <v>2450</v>
      </c>
    </row>
    <row r="837" spans="1:11" ht="24" x14ac:dyDescent="0.25">
      <c r="A837" s="25" t="s">
        <v>7</v>
      </c>
      <c r="B837" s="1"/>
      <c r="C837" s="1"/>
      <c r="D837" s="1"/>
      <c r="G837" s="25" t="s">
        <v>8</v>
      </c>
      <c r="H837" s="1"/>
      <c r="I837" s="1"/>
      <c r="J837" s="1"/>
    </row>
    <row r="838" spans="1:11" ht="14.25" thickBot="1" x14ac:dyDescent="0.2">
      <c r="A838" s="1"/>
      <c r="B838" s="1"/>
      <c r="C838" s="1"/>
      <c r="D838" s="1"/>
      <c r="G838" s="1"/>
      <c r="H838" s="1"/>
      <c r="I838" s="1"/>
      <c r="J838" s="1"/>
    </row>
    <row r="839" spans="1:11" ht="14.25" thickBot="1" x14ac:dyDescent="0.2">
      <c r="A839" s="2"/>
      <c r="B839" s="50" t="s">
        <v>115</v>
      </c>
      <c r="C839" s="50" t="s">
        <v>116</v>
      </c>
      <c r="D839" s="2" t="s">
        <v>0</v>
      </c>
      <c r="G839" s="2"/>
      <c r="H839" s="50" t="s">
        <v>115</v>
      </c>
      <c r="I839" s="50" t="s">
        <v>116</v>
      </c>
      <c r="J839" s="2" t="s">
        <v>0</v>
      </c>
    </row>
    <row r="840" spans="1:11" x14ac:dyDescent="0.15">
      <c r="A840" s="32" t="s">
        <v>4</v>
      </c>
      <c r="B840" s="48">
        <f>B834</f>
        <v>23</v>
      </c>
      <c r="C840" s="76">
        <f>C834</f>
        <v>28</v>
      </c>
      <c r="D840" s="47">
        <f>SUM(B840+C840)</f>
        <v>51</v>
      </c>
      <c r="G840" s="13" t="s">
        <v>6</v>
      </c>
      <c r="H840" s="48">
        <f>H834</f>
        <v>1525</v>
      </c>
      <c r="I840" s="80">
        <f>I834</f>
        <v>925</v>
      </c>
      <c r="J840" s="47">
        <f>SUM(H840+I840)</f>
        <v>2450</v>
      </c>
    </row>
    <row r="841" spans="1:11" x14ac:dyDescent="0.15">
      <c r="A841" s="3" t="s">
        <v>1</v>
      </c>
      <c r="B841" s="74">
        <v>20</v>
      </c>
      <c r="C841" s="78">
        <v>20</v>
      </c>
      <c r="D841" s="7">
        <f t="shared" ref="D841:D845" si="168">SUM(B841+C841)</f>
        <v>40</v>
      </c>
      <c r="E841" s="57">
        <v>45113</v>
      </c>
      <c r="G841" s="3" t="s">
        <v>1</v>
      </c>
      <c r="H841" s="24"/>
      <c r="I841" s="90"/>
      <c r="J841" s="7">
        <f>SUM(H841+I841)</f>
        <v>0</v>
      </c>
    </row>
    <row r="842" spans="1:11" x14ac:dyDescent="0.15">
      <c r="A842" s="3" t="s">
        <v>1</v>
      </c>
      <c r="B842" s="74">
        <v>10</v>
      </c>
      <c r="C842" s="78">
        <v>10</v>
      </c>
      <c r="D842" s="7">
        <f t="shared" si="168"/>
        <v>20</v>
      </c>
      <c r="E842" s="57">
        <v>45118</v>
      </c>
      <c r="G842" s="3" t="s">
        <v>1</v>
      </c>
      <c r="H842" s="24"/>
      <c r="I842" s="90"/>
      <c r="J842" s="7">
        <f>SUM(H842+I842)</f>
        <v>0</v>
      </c>
    </row>
    <row r="843" spans="1:11" x14ac:dyDescent="0.15">
      <c r="A843" s="3" t="s">
        <v>1</v>
      </c>
      <c r="B843" s="74">
        <v>20</v>
      </c>
      <c r="C843" s="78">
        <v>20</v>
      </c>
      <c r="D843" s="7">
        <f t="shared" si="168"/>
        <v>40</v>
      </c>
      <c r="E843" s="57">
        <v>45120</v>
      </c>
      <c r="G843" s="3" t="s">
        <v>1</v>
      </c>
      <c r="H843" s="24"/>
      <c r="I843" s="90"/>
      <c r="J843" s="7">
        <f t="shared" ref="J843:J845" si="169">SUM(H843+I843)</f>
        <v>0</v>
      </c>
    </row>
    <row r="844" spans="1:11" x14ac:dyDescent="0.15">
      <c r="A844" s="3" t="s">
        <v>244</v>
      </c>
      <c r="B844" s="74">
        <v>1</v>
      </c>
      <c r="C844" s="78">
        <v>2</v>
      </c>
      <c r="D844" s="7">
        <f t="shared" si="168"/>
        <v>3</v>
      </c>
      <c r="E844" s="61">
        <v>45120</v>
      </c>
      <c r="G844" s="89" t="s">
        <v>1</v>
      </c>
      <c r="H844" s="79"/>
      <c r="I844" s="1"/>
      <c r="J844" s="88">
        <f t="shared" ref="J844" si="170">SUM(H844+I844)</f>
        <v>0</v>
      </c>
    </row>
    <row r="845" spans="1:11" ht="14.25" thickBot="1" x14ac:dyDescent="0.2">
      <c r="A845" s="3" t="s">
        <v>1</v>
      </c>
      <c r="B845" s="74">
        <v>10</v>
      </c>
      <c r="C845" s="78">
        <v>10</v>
      </c>
      <c r="D845" s="21">
        <f t="shared" si="168"/>
        <v>20</v>
      </c>
      <c r="E845" s="57">
        <v>45126</v>
      </c>
      <c r="G845" s="4" t="s">
        <v>1</v>
      </c>
      <c r="H845" s="75"/>
      <c r="I845" s="17"/>
      <c r="J845" s="22">
        <f t="shared" si="169"/>
        <v>0</v>
      </c>
    </row>
    <row r="846" spans="1:11" ht="14.25" thickBot="1" x14ac:dyDescent="0.2">
      <c r="A846" s="14" t="s">
        <v>2</v>
      </c>
      <c r="B846" s="16">
        <f>SUM(B840:B845)</f>
        <v>84</v>
      </c>
      <c r="C846" s="83">
        <f>SUM(C840:C845)</f>
        <v>90</v>
      </c>
      <c r="D846" s="84">
        <f>SUM(B846+C846)</f>
        <v>174</v>
      </c>
      <c r="G846" s="14" t="s">
        <v>2</v>
      </c>
      <c r="H846" s="15">
        <f>SUM(H840:H845)</f>
        <v>1525</v>
      </c>
      <c r="I846" s="65">
        <f>SUM(I840:I845)</f>
        <v>925</v>
      </c>
      <c r="J846" s="18">
        <f>SUM(H846+I846)</f>
        <v>2450</v>
      </c>
    </row>
    <row r="847" spans="1:11" x14ac:dyDescent="0.15">
      <c r="A847" s="29" t="s">
        <v>242</v>
      </c>
      <c r="B847" s="6">
        <v>5</v>
      </c>
      <c r="C847" s="27">
        <v>10</v>
      </c>
      <c r="D847" s="7">
        <f t="shared" ref="D847:D870" si="171">SUM(B847+C847)</f>
        <v>15</v>
      </c>
      <c r="E847" s="57">
        <v>45113</v>
      </c>
      <c r="G847" s="43" t="s">
        <v>21</v>
      </c>
      <c r="H847" s="74">
        <v>20</v>
      </c>
      <c r="I847" s="78">
        <v>20</v>
      </c>
      <c r="J847" s="7">
        <f t="shared" ref="J847:J849" si="172">SUM(H847+I847)</f>
        <v>40</v>
      </c>
      <c r="K847" s="57">
        <v>45120</v>
      </c>
    </row>
    <row r="848" spans="1:11" x14ac:dyDescent="0.15">
      <c r="A848" s="29" t="s">
        <v>112</v>
      </c>
      <c r="B848" s="6">
        <v>2</v>
      </c>
      <c r="C848" s="27">
        <v>3</v>
      </c>
      <c r="D848" s="7">
        <f t="shared" si="171"/>
        <v>5</v>
      </c>
      <c r="E848" s="61">
        <v>45112</v>
      </c>
      <c r="G848" s="43" t="s">
        <v>21</v>
      </c>
      <c r="H848" s="6">
        <v>10</v>
      </c>
      <c r="I848" s="27">
        <v>10</v>
      </c>
      <c r="J848" s="35">
        <f t="shared" si="172"/>
        <v>20</v>
      </c>
      <c r="K848" s="57">
        <v>45126</v>
      </c>
    </row>
    <row r="849" spans="1:12" x14ac:dyDescent="0.15">
      <c r="A849" s="29" t="s">
        <v>112</v>
      </c>
      <c r="B849" s="6">
        <v>5</v>
      </c>
      <c r="C849" s="27">
        <f>2+6</f>
        <v>8</v>
      </c>
      <c r="D849" s="7">
        <f t="shared" si="171"/>
        <v>13</v>
      </c>
      <c r="E849" s="61">
        <v>45113</v>
      </c>
      <c r="G849" s="43" t="s">
        <v>21</v>
      </c>
      <c r="H849" s="6">
        <v>25</v>
      </c>
      <c r="I849" s="27">
        <v>10</v>
      </c>
      <c r="J849" s="35">
        <f t="shared" si="172"/>
        <v>35</v>
      </c>
      <c r="K849" s="57">
        <v>45128</v>
      </c>
      <c r="L849" s="19"/>
    </row>
    <row r="850" spans="1:12" x14ac:dyDescent="0.15">
      <c r="A850" s="29" t="s">
        <v>112</v>
      </c>
      <c r="B850" s="6">
        <f>9-3</f>
        <v>6</v>
      </c>
      <c r="C850" s="27">
        <f>2+5</f>
        <v>7</v>
      </c>
      <c r="D850" s="7">
        <f t="shared" si="171"/>
        <v>13</v>
      </c>
      <c r="E850" s="61">
        <v>45117</v>
      </c>
      <c r="G850" s="43" t="s">
        <v>21</v>
      </c>
      <c r="H850" s="6">
        <v>20</v>
      </c>
      <c r="I850" s="27"/>
      <c r="J850" s="35">
        <f t="shared" ref="J850:J851" si="173">SUM(H850+I850)</f>
        <v>20</v>
      </c>
      <c r="K850" s="57">
        <v>45133</v>
      </c>
      <c r="L850" s="19"/>
    </row>
    <row r="851" spans="1:12" x14ac:dyDescent="0.15">
      <c r="A851" s="29" t="s">
        <v>112</v>
      </c>
      <c r="B851" s="6">
        <f>1+1</f>
        <v>2</v>
      </c>
      <c r="C851" s="27">
        <f>1+1</f>
        <v>2</v>
      </c>
      <c r="D851" s="7">
        <f t="shared" si="171"/>
        <v>4</v>
      </c>
      <c r="E851" s="57">
        <v>45118</v>
      </c>
      <c r="G851" s="43" t="s">
        <v>21</v>
      </c>
      <c r="H851" s="6">
        <v>15</v>
      </c>
      <c r="I851" s="27">
        <v>15</v>
      </c>
      <c r="J851" s="35">
        <f t="shared" si="173"/>
        <v>30</v>
      </c>
      <c r="K851" s="57">
        <v>45134</v>
      </c>
    </row>
    <row r="852" spans="1:12" x14ac:dyDescent="0.15">
      <c r="A852" s="29" t="s">
        <v>243</v>
      </c>
      <c r="B852" s="6">
        <v>20</v>
      </c>
      <c r="C852" s="27">
        <v>20</v>
      </c>
      <c r="D852" s="7">
        <f t="shared" si="171"/>
        <v>40</v>
      </c>
      <c r="E852" s="57">
        <v>45120</v>
      </c>
      <c r="G852" s="43"/>
      <c r="H852" s="6"/>
      <c r="I852" s="27"/>
      <c r="J852" s="35">
        <f t="shared" ref="J852:J870" si="174">SUM(H852+I852)</f>
        <v>0</v>
      </c>
    </row>
    <row r="853" spans="1:12" x14ac:dyDescent="0.15">
      <c r="A853" s="29" t="s">
        <v>112</v>
      </c>
      <c r="B853" s="6">
        <f>1+1</f>
        <v>2</v>
      </c>
      <c r="C853" s="27">
        <f>1+1</f>
        <v>2</v>
      </c>
      <c r="D853" s="7">
        <f t="shared" si="171"/>
        <v>4</v>
      </c>
      <c r="E853" s="61">
        <v>45119</v>
      </c>
      <c r="G853" s="43"/>
      <c r="H853" s="6"/>
      <c r="I853" s="27"/>
      <c r="J853" s="35">
        <f t="shared" si="174"/>
        <v>0</v>
      </c>
    </row>
    <row r="854" spans="1:12" x14ac:dyDescent="0.15">
      <c r="A854" s="29" t="s">
        <v>112</v>
      </c>
      <c r="B854" s="6">
        <v>2</v>
      </c>
      <c r="C854" s="27">
        <f>1+4</f>
        <v>5</v>
      </c>
      <c r="D854" s="7">
        <f t="shared" si="171"/>
        <v>7</v>
      </c>
      <c r="E854" s="61">
        <v>45120</v>
      </c>
      <c r="G854" s="43"/>
      <c r="H854" s="6"/>
      <c r="I854" s="27"/>
      <c r="J854" s="35">
        <f t="shared" si="174"/>
        <v>0</v>
      </c>
    </row>
    <row r="855" spans="1:12" x14ac:dyDescent="0.15">
      <c r="A855" s="29" t="s">
        <v>112</v>
      </c>
      <c r="B855" s="6"/>
      <c r="C855" s="27">
        <v>1</v>
      </c>
      <c r="D855" s="7">
        <f t="shared" si="171"/>
        <v>1</v>
      </c>
      <c r="E855" s="61">
        <v>45121</v>
      </c>
      <c r="G855" s="43"/>
      <c r="H855" s="6"/>
      <c r="I855" s="27"/>
      <c r="J855" s="35">
        <f t="shared" si="174"/>
        <v>0</v>
      </c>
    </row>
    <row r="856" spans="1:12" x14ac:dyDescent="0.15">
      <c r="A856" s="29" t="s">
        <v>112</v>
      </c>
      <c r="B856" s="6">
        <v>4</v>
      </c>
      <c r="C856" s="27">
        <v>3</v>
      </c>
      <c r="D856" s="7">
        <f t="shared" si="171"/>
        <v>7</v>
      </c>
      <c r="E856" s="61">
        <v>45122</v>
      </c>
      <c r="G856" s="43"/>
      <c r="H856" s="6"/>
      <c r="I856" s="27"/>
      <c r="J856" s="35">
        <f t="shared" si="174"/>
        <v>0</v>
      </c>
    </row>
    <row r="857" spans="1:12" x14ac:dyDescent="0.15">
      <c r="A857" s="29" t="s">
        <v>112</v>
      </c>
      <c r="B857" s="6">
        <f>3+2</f>
        <v>5</v>
      </c>
      <c r="C857" s="27">
        <v>1</v>
      </c>
      <c r="D857" s="7">
        <f t="shared" si="171"/>
        <v>6</v>
      </c>
      <c r="E857" s="61">
        <v>45125</v>
      </c>
      <c r="G857" s="43"/>
      <c r="H857" s="6"/>
      <c r="I857" s="27"/>
      <c r="J857" s="35">
        <f t="shared" si="174"/>
        <v>0</v>
      </c>
    </row>
    <row r="858" spans="1:12" x14ac:dyDescent="0.15">
      <c r="A858" s="29" t="s">
        <v>112</v>
      </c>
      <c r="B858" s="6">
        <v>1</v>
      </c>
      <c r="C858" s="27"/>
      <c r="D858" s="7">
        <f t="shared" si="171"/>
        <v>1</v>
      </c>
      <c r="E858" s="61">
        <v>45126</v>
      </c>
      <c r="G858" s="43"/>
      <c r="H858" s="6"/>
      <c r="I858" s="27"/>
      <c r="J858" s="35">
        <f t="shared" si="174"/>
        <v>0</v>
      </c>
    </row>
    <row r="859" spans="1:12" x14ac:dyDescent="0.15">
      <c r="A859" s="29" t="s">
        <v>246</v>
      </c>
      <c r="B859" s="6">
        <v>20</v>
      </c>
      <c r="C859" s="27"/>
      <c r="D859" s="7">
        <f t="shared" si="171"/>
        <v>20</v>
      </c>
      <c r="E859" s="57">
        <v>45128</v>
      </c>
      <c r="G859" s="43"/>
      <c r="H859" s="6"/>
      <c r="I859" s="27"/>
      <c r="J859" s="35">
        <f t="shared" si="174"/>
        <v>0</v>
      </c>
    </row>
    <row r="860" spans="1:12" x14ac:dyDescent="0.15">
      <c r="A860" s="29" t="s">
        <v>112</v>
      </c>
      <c r="B860" s="6">
        <v>1</v>
      </c>
      <c r="C860" s="27">
        <v>4</v>
      </c>
      <c r="D860" s="7">
        <f t="shared" si="171"/>
        <v>5</v>
      </c>
      <c r="E860" s="61">
        <v>45127</v>
      </c>
      <c r="G860" s="43"/>
      <c r="H860" s="6"/>
      <c r="I860" s="27"/>
      <c r="J860" s="35">
        <f t="shared" si="174"/>
        <v>0</v>
      </c>
    </row>
    <row r="861" spans="1:12" x14ac:dyDescent="0.15">
      <c r="A861" s="29" t="s">
        <v>247</v>
      </c>
      <c r="B861" s="6">
        <v>-25</v>
      </c>
      <c r="C861" s="27">
        <v>-10</v>
      </c>
      <c r="D861" s="7">
        <f t="shared" si="171"/>
        <v>-35</v>
      </c>
      <c r="E861" s="57">
        <v>45128</v>
      </c>
      <c r="G861" s="43"/>
      <c r="H861" s="6"/>
      <c r="I861" s="27"/>
      <c r="J861" s="35">
        <f t="shared" si="174"/>
        <v>0</v>
      </c>
    </row>
    <row r="862" spans="1:12" x14ac:dyDescent="0.15">
      <c r="A862" s="29" t="s">
        <v>112</v>
      </c>
      <c r="B862" s="6">
        <v>1</v>
      </c>
      <c r="C862" s="27">
        <v>2</v>
      </c>
      <c r="D862" s="7">
        <f t="shared" si="171"/>
        <v>3</v>
      </c>
      <c r="E862" s="61">
        <v>45128</v>
      </c>
      <c r="G862" s="43"/>
      <c r="H862" s="6"/>
      <c r="I862" s="27"/>
      <c r="J862" s="35">
        <f t="shared" si="174"/>
        <v>0</v>
      </c>
    </row>
    <row r="863" spans="1:12" x14ac:dyDescent="0.15">
      <c r="A863" s="29" t="s">
        <v>112</v>
      </c>
      <c r="B863" s="6">
        <f>1+8</f>
        <v>9</v>
      </c>
      <c r="C863" s="27">
        <v>1</v>
      </c>
      <c r="D863" s="7">
        <f>SUM(B863+C863)</f>
        <v>10</v>
      </c>
      <c r="E863" s="61">
        <v>45131</v>
      </c>
      <c r="G863" s="43"/>
      <c r="H863" s="6"/>
      <c r="I863" s="27"/>
      <c r="J863" s="35">
        <f t="shared" si="174"/>
        <v>0</v>
      </c>
    </row>
    <row r="864" spans="1:12" x14ac:dyDescent="0.15">
      <c r="A864" s="29" t="s">
        <v>112</v>
      </c>
      <c r="B864" s="6">
        <v>6</v>
      </c>
      <c r="C864" s="27"/>
      <c r="D864" s="7">
        <f t="shared" si="171"/>
        <v>6</v>
      </c>
      <c r="E864" s="61">
        <v>45132</v>
      </c>
      <c r="G864" s="43"/>
      <c r="H864" s="6"/>
      <c r="I864" s="27"/>
      <c r="J864" s="35">
        <f t="shared" si="174"/>
        <v>0</v>
      </c>
    </row>
    <row r="865" spans="1:10" x14ac:dyDescent="0.15">
      <c r="A865" s="29" t="s">
        <v>218</v>
      </c>
      <c r="B865" s="6">
        <v>-20</v>
      </c>
      <c r="C865" s="27"/>
      <c r="D865" s="7">
        <f t="shared" si="171"/>
        <v>-20</v>
      </c>
      <c r="E865" s="57">
        <v>45133</v>
      </c>
      <c r="G865" s="43"/>
      <c r="H865" s="6"/>
      <c r="I865" s="27"/>
      <c r="J865" s="35">
        <f t="shared" si="174"/>
        <v>0</v>
      </c>
    </row>
    <row r="866" spans="1:10" x14ac:dyDescent="0.15">
      <c r="A866" s="29" t="s">
        <v>250</v>
      </c>
      <c r="B866" s="6">
        <v>10</v>
      </c>
      <c r="C866" s="27">
        <v>10</v>
      </c>
      <c r="D866" s="7">
        <f t="shared" si="171"/>
        <v>20</v>
      </c>
      <c r="E866" s="57">
        <v>45134</v>
      </c>
      <c r="G866" s="43"/>
      <c r="H866" s="6"/>
      <c r="I866" s="27"/>
      <c r="J866" s="35">
        <f t="shared" si="174"/>
        <v>0</v>
      </c>
    </row>
    <row r="867" spans="1:10" x14ac:dyDescent="0.15">
      <c r="A867" s="29" t="s">
        <v>112</v>
      </c>
      <c r="B867" s="6">
        <v>6</v>
      </c>
      <c r="C867" s="27"/>
      <c r="D867" s="7">
        <f t="shared" si="171"/>
        <v>6</v>
      </c>
      <c r="E867" s="57">
        <v>45133</v>
      </c>
      <c r="G867" s="43"/>
      <c r="H867" s="6"/>
      <c r="I867" s="27"/>
      <c r="J867" s="35">
        <f t="shared" si="174"/>
        <v>0</v>
      </c>
    </row>
    <row r="868" spans="1:10" x14ac:dyDescent="0.15">
      <c r="A868" s="29" t="s">
        <v>218</v>
      </c>
      <c r="B868" s="6">
        <v>-15</v>
      </c>
      <c r="C868" s="27">
        <v>-15</v>
      </c>
      <c r="D868" s="7">
        <f t="shared" si="171"/>
        <v>-30</v>
      </c>
      <c r="E868" s="57">
        <v>45134</v>
      </c>
      <c r="G868" s="43"/>
      <c r="H868" s="6"/>
      <c r="I868" s="27"/>
      <c r="J868" s="35">
        <f t="shared" si="174"/>
        <v>0</v>
      </c>
    </row>
    <row r="869" spans="1:10" x14ac:dyDescent="0.15">
      <c r="A869" s="29" t="s">
        <v>112</v>
      </c>
      <c r="B869" s="6">
        <v>1</v>
      </c>
      <c r="C869" s="27">
        <v>2</v>
      </c>
      <c r="D869" s="7">
        <f t="shared" si="171"/>
        <v>3</v>
      </c>
      <c r="E869" s="57">
        <v>45135</v>
      </c>
      <c r="G869" s="43"/>
      <c r="H869" s="6"/>
      <c r="I869" s="27"/>
      <c r="J869" s="35">
        <f t="shared" si="174"/>
        <v>0</v>
      </c>
    </row>
    <row r="870" spans="1:10" ht="14.25" thickBot="1" x14ac:dyDescent="0.2">
      <c r="A870" s="29" t="s">
        <v>112</v>
      </c>
      <c r="B870" s="6">
        <v>5</v>
      </c>
      <c r="C870" s="27">
        <v>1</v>
      </c>
      <c r="D870" s="7">
        <f t="shared" si="171"/>
        <v>6</v>
      </c>
      <c r="E870" s="61">
        <v>45135</v>
      </c>
      <c r="G870" s="43"/>
      <c r="H870" s="6"/>
      <c r="I870" s="27"/>
      <c r="J870" s="35">
        <f t="shared" si="174"/>
        <v>0</v>
      </c>
    </row>
    <row r="871" spans="1:10" ht="14.25" thickBot="1" x14ac:dyDescent="0.2">
      <c r="A871" s="9" t="s">
        <v>3</v>
      </c>
      <c r="B871" s="10">
        <f>SUM(B847:B870)</f>
        <v>53</v>
      </c>
      <c r="C871" s="66">
        <f>SUM(C847:C870)</f>
        <v>57</v>
      </c>
      <c r="D871" s="11">
        <f>SUM(D847:D870)</f>
        <v>110</v>
      </c>
      <c r="G871" s="9" t="s">
        <v>3</v>
      </c>
      <c r="H871" s="10">
        <f>SUM(H847:H870)</f>
        <v>90</v>
      </c>
      <c r="I871" s="66">
        <f>SUM(I847:I870)</f>
        <v>55</v>
      </c>
      <c r="J871" s="11">
        <f>SUM(J847:J870)</f>
        <v>145</v>
      </c>
    </row>
    <row r="872" spans="1:10" ht="14.25" thickBot="1" x14ac:dyDescent="0.2">
      <c r="A872" s="14" t="s">
        <v>4</v>
      </c>
      <c r="B872" s="16">
        <f>B846-B871</f>
        <v>31</v>
      </c>
      <c r="C872" s="16">
        <f>C846-C871</f>
        <v>33</v>
      </c>
      <c r="D872" s="84">
        <f>D846-D871</f>
        <v>64</v>
      </c>
      <c r="G872" s="14" t="s">
        <v>4</v>
      </c>
      <c r="H872" s="16">
        <f>H846-H871</f>
        <v>1435</v>
      </c>
      <c r="I872" s="16">
        <f>I846-I871</f>
        <v>870</v>
      </c>
      <c r="J872" s="16">
        <f>J846-J871</f>
        <v>2305</v>
      </c>
    </row>
    <row r="875" spans="1:10" ht="24" x14ac:dyDescent="0.25">
      <c r="A875" s="25" t="s">
        <v>7</v>
      </c>
      <c r="B875" s="1"/>
      <c r="C875" s="1"/>
      <c r="D875" s="1"/>
      <c r="G875" s="25" t="s">
        <v>8</v>
      </c>
      <c r="H875" s="1"/>
      <c r="I875" s="1"/>
      <c r="J875" s="1"/>
    </row>
    <row r="876" spans="1:10" ht="14.25" thickBot="1" x14ac:dyDescent="0.2">
      <c r="A876" s="1"/>
      <c r="B876" s="1"/>
      <c r="C876" s="1"/>
      <c r="D876" s="1"/>
      <c r="G876" s="1"/>
      <c r="H876" s="1"/>
      <c r="I876" s="1"/>
      <c r="J876" s="1"/>
    </row>
    <row r="877" spans="1:10" ht="14.25" thickBot="1" x14ac:dyDescent="0.2">
      <c r="A877" s="2"/>
      <c r="B877" s="50" t="s">
        <v>115</v>
      </c>
      <c r="C877" s="50" t="s">
        <v>116</v>
      </c>
      <c r="D877" s="2" t="s">
        <v>0</v>
      </c>
      <c r="G877" s="2"/>
      <c r="H877" s="50" t="s">
        <v>115</v>
      </c>
      <c r="I877" s="50" t="s">
        <v>116</v>
      </c>
      <c r="J877" s="2" t="s">
        <v>0</v>
      </c>
    </row>
    <row r="878" spans="1:10" x14ac:dyDescent="0.15">
      <c r="A878" s="32" t="s">
        <v>4</v>
      </c>
      <c r="B878" s="48">
        <f>B872</f>
        <v>31</v>
      </c>
      <c r="C878" s="76">
        <f>C872</f>
        <v>33</v>
      </c>
      <c r="D878" s="47">
        <f>SUM(B878+C878)</f>
        <v>64</v>
      </c>
      <c r="G878" s="13" t="s">
        <v>6</v>
      </c>
      <c r="H878" s="48">
        <f>H872</f>
        <v>1435</v>
      </c>
      <c r="I878" s="80">
        <f>I872</f>
        <v>870</v>
      </c>
      <c r="J878" s="47">
        <f>SUM(H878+I878)</f>
        <v>2305</v>
      </c>
    </row>
    <row r="879" spans="1:10" x14ac:dyDescent="0.15">
      <c r="A879" s="3" t="s">
        <v>1</v>
      </c>
      <c r="B879" s="74">
        <v>10</v>
      </c>
      <c r="C879" s="78">
        <v>10</v>
      </c>
      <c r="D879" s="7">
        <f t="shared" ref="D879:D882" si="175">SUM(B879+C879)</f>
        <v>20</v>
      </c>
      <c r="E879" s="57">
        <v>45136</v>
      </c>
      <c r="G879" s="3" t="s">
        <v>1</v>
      </c>
      <c r="H879" s="24"/>
      <c r="I879" s="90"/>
      <c r="J879" s="7">
        <f>SUM(H879+I879)</f>
        <v>0</v>
      </c>
    </row>
    <row r="880" spans="1:10" x14ac:dyDescent="0.15">
      <c r="A880" s="3" t="s">
        <v>124</v>
      </c>
      <c r="B880" s="74">
        <v>0</v>
      </c>
      <c r="C880" s="78">
        <v>0</v>
      </c>
      <c r="D880" s="7">
        <f t="shared" si="175"/>
        <v>0</v>
      </c>
      <c r="E880" s="61">
        <v>45140</v>
      </c>
      <c r="G880" s="3" t="s">
        <v>1</v>
      </c>
      <c r="H880" s="24"/>
      <c r="I880" s="90"/>
      <c r="J880" s="7">
        <f>SUM(H880+I880)</f>
        <v>0</v>
      </c>
    </row>
    <row r="881" spans="1:12" x14ac:dyDescent="0.15">
      <c r="A881" s="3" t="s">
        <v>1</v>
      </c>
      <c r="B881" s="74">
        <v>20</v>
      </c>
      <c r="C881" s="78">
        <v>20</v>
      </c>
      <c r="D881" s="7">
        <f t="shared" si="175"/>
        <v>40</v>
      </c>
      <c r="E881" s="57">
        <v>45143</v>
      </c>
      <c r="G881" s="3" t="s">
        <v>1</v>
      </c>
      <c r="H881" s="24"/>
      <c r="I881" s="90"/>
      <c r="J881" s="7">
        <f t="shared" ref="J881:J882" si="176">SUM(H881+I881)</f>
        <v>0</v>
      </c>
    </row>
    <row r="882" spans="1:12" x14ac:dyDescent="0.15">
      <c r="A882" s="3" t="s">
        <v>124</v>
      </c>
      <c r="B882" s="103">
        <v>0</v>
      </c>
      <c r="C882" s="104">
        <v>0</v>
      </c>
      <c r="D882" s="105">
        <f t="shared" si="175"/>
        <v>0</v>
      </c>
      <c r="E882" s="101">
        <v>45146</v>
      </c>
      <c r="G882" s="3" t="s">
        <v>1</v>
      </c>
      <c r="H882" s="24"/>
      <c r="I882" s="90"/>
      <c r="J882" s="7">
        <f t="shared" si="176"/>
        <v>0</v>
      </c>
    </row>
    <row r="883" spans="1:12" ht="14.25" thickBot="1" x14ac:dyDescent="0.2">
      <c r="A883" s="3" t="s">
        <v>215</v>
      </c>
      <c r="B883" s="74">
        <v>1</v>
      </c>
      <c r="C883" s="78">
        <v>1</v>
      </c>
      <c r="D883" s="7">
        <f t="shared" ref="D883" si="177">SUM(B883+C883)</f>
        <v>2</v>
      </c>
      <c r="E883" s="57">
        <v>45155</v>
      </c>
      <c r="G883" s="4" t="s">
        <v>1</v>
      </c>
      <c r="H883" s="75"/>
      <c r="I883" s="17"/>
      <c r="J883" s="22">
        <f t="shared" ref="J883" si="178">SUM(H883+I883)</f>
        <v>0</v>
      </c>
    </row>
    <row r="884" spans="1:12" ht="14.25" thickBot="1" x14ac:dyDescent="0.2">
      <c r="A884" s="14" t="s">
        <v>2</v>
      </c>
      <c r="B884" s="16">
        <f>SUM(B878:B883)</f>
        <v>62</v>
      </c>
      <c r="C884" s="83">
        <f>SUM(C878:C883)</f>
        <v>64</v>
      </c>
      <c r="D884" s="84">
        <f>SUM(B884+C884)</f>
        <v>126</v>
      </c>
      <c r="G884" s="14" t="s">
        <v>2</v>
      </c>
      <c r="H884" s="84">
        <f>SUM(H878:H883)</f>
        <v>1435</v>
      </c>
      <c r="I884" s="65">
        <f>SUM(I878:I883)</f>
        <v>870</v>
      </c>
      <c r="J884" s="18">
        <f>SUM(H884+I884)</f>
        <v>2305</v>
      </c>
    </row>
    <row r="885" spans="1:12" x14ac:dyDescent="0.15">
      <c r="A885" s="29" t="s">
        <v>112</v>
      </c>
      <c r="B885" s="6">
        <v>1</v>
      </c>
      <c r="C885" s="27">
        <v>3</v>
      </c>
      <c r="D885" s="7">
        <f t="shared" ref="D885:D908" si="179">SUM(B885+C885)</f>
        <v>4</v>
      </c>
      <c r="E885" s="61">
        <v>45136</v>
      </c>
      <c r="G885" s="43" t="s">
        <v>251</v>
      </c>
      <c r="H885" s="6">
        <v>10</v>
      </c>
      <c r="I885" s="27">
        <v>10</v>
      </c>
      <c r="J885" s="35">
        <f t="shared" ref="J885:J908" si="180">SUM(H885+I885)</f>
        <v>20</v>
      </c>
      <c r="K885" s="57">
        <v>45136</v>
      </c>
    </row>
    <row r="886" spans="1:12" x14ac:dyDescent="0.15">
      <c r="A886" s="29" t="s">
        <v>112</v>
      </c>
      <c r="B886" s="6">
        <v>2</v>
      </c>
      <c r="C886" s="27">
        <v>6</v>
      </c>
      <c r="D886" s="7">
        <f t="shared" si="179"/>
        <v>8</v>
      </c>
      <c r="E886" s="61">
        <v>45138</v>
      </c>
      <c r="G886" s="43" t="s">
        <v>21</v>
      </c>
      <c r="H886" s="6">
        <v>20</v>
      </c>
      <c r="I886" s="27">
        <v>20</v>
      </c>
      <c r="J886" s="35">
        <f t="shared" si="180"/>
        <v>40</v>
      </c>
      <c r="K886" s="57">
        <v>45143</v>
      </c>
    </row>
    <row r="887" spans="1:12" x14ac:dyDescent="0.15">
      <c r="A887" s="29" t="s">
        <v>112</v>
      </c>
      <c r="B887" s="6">
        <v>3</v>
      </c>
      <c r="C887" s="27">
        <v>3</v>
      </c>
      <c r="D887" s="7">
        <f t="shared" si="179"/>
        <v>6</v>
      </c>
      <c r="E887" s="61">
        <v>45139</v>
      </c>
      <c r="G887" s="43" t="s">
        <v>21</v>
      </c>
      <c r="H887" s="6">
        <v>5</v>
      </c>
      <c r="I887" s="27">
        <v>5</v>
      </c>
      <c r="J887" s="35">
        <f t="shared" si="180"/>
        <v>10</v>
      </c>
      <c r="K887" s="57">
        <v>45176</v>
      </c>
      <c r="L887" s="102"/>
    </row>
    <row r="888" spans="1:12" x14ac:dyDescent="0.15">
      <c r="A888" s="29" t="s">
        <v>252</v>
      </c>
      <c r="B888" s="6">
        <v>10</v>
      </c>
      <c r="C888" s="27">
        <v>10</v>
      </c>
      <c r="D888" s="7">
        <f t="shared" si="179"/>
        <v>20</v>
      </c>
      <c r="E888" s="57">
        <v>45141</v>
      </c>
      <c r="G888" s="43"/>
      <c r="H888" s="6"/>
      <c r="I888" s="27"/>
      <c r="J888" s="35">
        <f t="shared" si="180"/>
        <v>0</v>
      </c>
      <c r="K888" s="19"/>
    </row>
    <row r="889" spans="1:12" x14ac:dyDescent="0.15">
      <c r="A889" s="29" t="s">
        <v>112</v>
      </c>
      <c r="B889" s="6">
        <v>2</v>
      </c>
      <c r="C889" s="27">
        <v>1</v>
      </c>
      <c r="D889" s="7">
        <f t="shared" si="179"/>
        <v>3</v>
      </c>
      <c r="E889" s="61">
        <v>45142</v>
      </c>
      <c r="G889" s="43"/>
      <c r="H889" s="6"/>
      <c r="I889" s="27"/>
      <c r="J889" s="35">
        <f t="shared" si="180"/>
        <v>0</v>
      </c>
    </row>
    <row r="890" spans="1:12" x14ac:dyDescent="0.15">
      <c r="A890" s="29" t="s">
        <v>112</v>
      </c>
      <c r="B890" s="6">
        <f>4+2+2</f>
        <v>8</v>
      </c>
      <c r="C890" s="27">
        <f>2+1+1</f>
        <v>4</v>
      </c>
      <c r="D890" s="7">
        <f t="shared" si="179"/>
        <v>12</v>
      </c>
      <c r="E890" s="61">
        <v>45143</v>
      </c>
      <c r="G890" s="43"/>
      <c r="H890" s="6"/>
      <c r="I890" s="27"/>
      <c r="J890" s="35">
        <f t="shared" si="180"/>
        <v>0</v>
      </c>
    </row>
    <row r="891" spans="1:12" x14ac:dyDescent="0.15">
      <c r="A891" s="29" t="s">
        <v>253</v>
      </c>
      <c r="B891" s="6">
        <v>5</v>
      </c>
      <c r="C891" s="27">
        <v>5</v>
      </c>
      <c r="D891" s="7">
        <f t="shared" si="179"/>
        <v>10</v>
      </c>
      <c r="E891" s="57">
        <v>45147</v>
      </c>
      <c r="G891" s="43"/>
      <c r="H891" s="6"/>
      <c r="I891" s="27"/>
      <c r="J891" s="35">
        <f t="shared" si="180"/>
        <v>0</v>
      </c>
    </row>
    <row r="892" spans="1:12" x14ac:dyDescent="0.15">
      <c r="A892" s="29" t="s">
        <v>112</v>
      </c>
      <c r="B892" s="6">
        <v>2</v>
      </c>
      <c r="C892" s="27"/>
      <c r="D892" s="7">
        <f t="shared" si="179"/>
        <v>2</v>
      </c>
      <c r="E892" s="61">
        <v>45146</v>
      </c>
      <c r="G892" s="43"/>
      <c r="H892" s="6"/>
      <c r="I892" s="27"/>
      <c r="J892" s="35">
        <f t="shared" si="180"/>
        <v>0</v>
      </c>
    </row>
    <row r="893" spans="1:12" x14ac:dyDescent="0.15">
      <c r="A893" s="29" t="s">
        <v>112</v>
      </c>
      <c r="B893" s="6">
        <f>1+1</f>
        <v>2</v>
      </c>
      <c r="C893" s="27">
        <v>5</v>
      </c>
      <c r="D893" s="7">
        <f t="shared" si="179"/>
        <v>7</v>
      </c>
      <c r="E893" s="61">
        <v>45147</v>
      </c>
      <c r="G893" s="43"/>
      <c r="H893" s="6"/>
      <c r="I893" s="27"/>
      <c r="J893" s="35">
        <f t="shared" si="180"/>
        <v>0</v>
      </c>
    </row>
    <row r="894" spans="1:12" x14ac:dyDescent="0.15">
      <c r="A894" s="29" t="s">
        <v>112</v>
      </c>
      <c r="B894" s="6"/>
      <c r="C894" s="27">
        <v>1</v>
      </c>
      <c r="D894" s="7">
        <f t="shared" si="179"/>
        <v>1</v>
      </c>
      <c r="E894" s="61">
        <v>45149</v>
      </c>
      <c r="G894" s="43"/>
      <c r="H894" s="6"/>
      <c r="I894" s="27"/>
      <c r="J894" s="35">
        <f t="shared" si="180"/>
        <v>0</v>
      </c>
    </row>
    <row r="895" spans="1:12" x14ac:dyDescent="0.15">
      <c r="A895" s="29" t="s">
        <v>112</v>
      </c>
      <c r="B895" s="6">
        <v>2</v>
      </c>
      <c r="C895" s="27"/>
      <c r="D895" s="7">
        <f t="shared" si="179"/>
        <v>2</v>
      </c>
      <c r="E895" s="61">
        <v>45154</v>
      </c>
      <c r="G895" s="43"/>
      <c r="H895" s="6"/>
      <c r="I895" s="27"/>
      <c r="J895" s="35">
        <f t="shared" si="180"/>
        <v>0</v>
      </c>
    </row>
    <row r="896" spans="1:12" x14ac:dyDescent="0.15">
      <c r="A896" s="29" t="s">
        <v>112</v>
      </c>
      <c r="B896" s="6">
        <v>2</v>
      </c>
      <c r="C896" s="27">
        <v>2</v>
      </c>
      <c r="D896" s="7">
        <f t="shared" si="179"/>
        <v>4</v>
      </c>
      <c r="E896" s="61">
        <v>45155</v>
      </c>
      <c r="G896" s="43"/>
      <c r="H896" s="6"/>
      <c r="I896" s="27"/>
      <c r="J896" s="35">
        <f t="shared" si="180"/>
        <v>0</v>
      </c>
    </row>
    <row r="897" spans="1:10" x14ac:dyDescent="0.15">
      <c r="A897" s="29" t="s">
        <v>112</v>
      </c>
      <c r="B897" s="6"/>
      <c r="C897" s="27">
        <v>2</v>
      </c>
      <c r="D897" s="7">
        <f t="shared" si="179"/>
        <v>2</v>
      </c>
      <c r="E897" s="61">
        <v>45156</v>
      </c>
      <c r="G897" s="43"/>
      <c r="H897" s="6"/>
      <c r="I897" s="27"/>
      <c r="J897" s="35">
        <f t="shared" si="180"/>
        <v>0</v>
      </c>
    </row>
    <row r="898" spans="1:10" x14ac:dyDescent="0.15">
      <c r="A898" s="29" t="s">
        <v>112</v>
      </c>
      <c r="B898" s="6"/>
      <c r="C898" s="27">
        <v>2</v>
      </c>
      <c r="D898" s="7">
        <f t="shared" si="179"/>
        <v>2</v>
      </c>
      <c r="E898" s="61">
        <v>45160</v>
      </c>
      <c r="G898" s="43"/>
      <c r="H898" s="6"/>
      <c r="I898" s="27"/>
      <c r="J898" s="35">
        <f t="shared" si="180"/>
        <v>0</v>
      </c>
    </row>
    <row r="899" spans="1:10" x14ac:dyDescent="0.15">
      <c r="A899" s="29" t="s">
        <v>112</v>
      </c>
      <c r="B899" s="6"/>
      <c r="C899" s="27">
        <v>1</v>
      </c>
      <c r="D899" s="7">
        <f t="shared" si="179"/>
        <v>1</v>
      </c>
      <c r="E899" s="61">
        <v>45162</v>
      </c>
      <c r="G899" s="43"/>
      <c r="H899" s="6"/>
      <c r="I899" s="27"/>
      <c r="J899" s="35">
        <f t="shared" si="180"/>
        <v>0</v>
      </c>
    </row>
    <row r="900" spans="1:10" x14ac:dyDescent="0.15">
      <c r="A900" s="29" t="s">
        <v>112</v>
      </c>
      <c r="B900" s="6">
        <v>4</v>
      </c>
      <c r="C900" s="27">
        <v>2</v>
      </c>
      <c r="D900" s="7">
        <f t="shared" si="179"/>
        <v>6</v>
      </c>
      <c r="E900" s="61">
        <v>45163</v>
      </c>
      <c r="G900" s="43"/>
      <c r="H900" s="6"/>
      <c r="I900" s="27"/>
      <c r="J900" s="35">
        <f t="shared" si="180"/>
        <v>0</v>
      </c>
    </row>
    <row r="901" spans="1:10" x14ac:dyDescent="0.15">
      <c r="A901" s="29" t="s">
        <v>112</v>
      </c>
      <c r="B901" s="6">
        <f>2+3</f>
        <v>5</v>
      </c>
      <c r="C901" s="27"/>
      <c r="D901" s="7">
        <f t="shared" si="179"/>
        <v>5</v>
      </c>
      <c r="E901" s="61">
        <v>45166</v>
      </c>
      <c r="G901" s="43"/>
      <c r="H901" s="6"/>
      <c r="I901" s="27"/>
      <c r="J901" s="35">
        <f t="shared" si="180"/>
        <v>0</v>
      </c>
    </row>
    <row r="902" spans="1:10" x14ac:dyDescent="0.15">
      <c r="A902" s="29" t="s">
        <v>112</v>
      </c>
      <c r="B902" s="6">
        <v>1</v>
      </c>
      <c r="C902" s="27"/>
      <c r="D902" s="7">
        <f t="shared" si="179"/>
        <v>1</v>
      </c>
      <c r="E902" s="61">
        <v>45168</v>
      </c>
      <c r="G902" s="43"/>
      <c r="H902" s="6"/>
      <c r="I902" s="27"/>
      <c r="J902" s="35">
        <f t="shared" si="180"/>
        <v>0</v>
      </c>
    </row>
    <row r="903" spans="1:10" x14ac:dyDescent="0.15">
      <c r="A903" s="29" t="s">
        <v>112</v>
      </c>
      <c r="B903" s="6"/>
      <c r="C903" s="27">
        <v>2</v>
      </c>
      <c r="D903" s="7">
        <f t="shared" si="179"/>
        <v>2</v>
      </c>
      <c r="E903" s="61">
        <v>45170</v>
      </c>
      <c r="G903" s="43"/>
      <c r="H903" s="6"/>
      <c r="I903" s="27"/>
      <c r="J903" s="35">
        <f t="shared" si="180"/>
        <v>0</v>
      </c>
    </row>
    <row r="904" spans="1:10" x14ac:dyDescent="0.15">
      <c r="A904" s="29" t="s">
        <v>112</v>
      </c>
      <c r="B904" s="6">
        <v>4</v>
      </c>
      <c r="C904" s="27">
        <v>1</v>
      </c>
      <c r="D904" s="7">
        <f t="shared" si="179"/>
        <v>5</v>
      </c>
      <c r="E904" s="61">
        <v>45174</v>
      </c>
      <c r="G904" s="43"/>
      <c r="H904" s="6"/>
      <c r="I904" s="27"/>
      <c r="J904" s="35">
        <f t="shared" si="180"/>
        <v>0</v>
      </c>
    </row>
    <row r="905" spans="1:10" x14ac:dyDescent="0.15">
      <c r="A905" s="29" t="s">
        <v>112</v>
      </c>
      <c r="B905" s="6"/>
      <c r="C905" s="27">
        <v>3</v>
      </c>
      <c r="D905" s="7">
        <f t="shared" si="179"/>
        <v>3</v>
      </c>
      <c r="E905" s="61">
        <v>45175</v>
      </c>
      <c r="G905" s="43"/>
      <c r="H905" s="6"/>
      <c r="I905" s="27"/>
      <c r="J905" s="35">
        <f t="shared" si="180"/>
        <v>0</v>
      </c>
    </row>
    <row r="906" spans="1:10" x14ac:dyDescent="0.15">
      <c r="A906" s="29" t="s">
        <v>255</v>
      </c>
      <c r="B906" s="6">
        <v>-5</v>
      </c>
      <c r="C906" s="27">
        <v>-5</v>
      </c>
      <c r="D906" s="7">
        <f t="shared" si="179"/>
        <v>-10</v>
      </c>
      <c r="E906" s="57">
        <v>45176</v>
      </c>
      <c r="G906" s="43"/>
      <c r="H906" s="6"/>
      <c r="I906" s="27"/>
      <c r="J906" s="35">
        <f t="shared" si="180"/>
        <v>0</v>
      </c>
    </row>
    <row r="907" spans="1:10" x14ac:dyDescent="0.15">
      <c r="A907" s="29" t="s">
        <v>256</v>
      </c>
      <c r="B907" s="6"/>
      <c r="C907" s="27">
        <v>5</v>
      </c>
      <c r="D907" s="7">
        <f t="shared" si="179"/>
        <v>5</v>
      </c>
      <c r="E907" s="57">
        <v>45176</v>
      </c>
      <c r="G907" s="43"/>
      <c r="H907" s="6"/>
      <c r="I907" s="27"/>
      <c r="J907" s="35">
        <f t="shared" si="180"/>
        <v>0</v>
      </c>
    </row>
    <row r="908" spans="1:10" ht="14.25" thickBot="1" x14ac:dyDescent="0.2">
      <c r="A908" s="29" t="s">
        <v>112</v>
      </c>
      <c r="B908" s="6">
        <v>1</v>
      </c>
      <c r="C908" s="27"/>
      <c r="D908" s="7">
        <f t="shared" si="179"/>
        <v>1</v>
      </c>
      <c r="E908" s="61">
        <v>45176</v>
      </c>
      <c r="G908" s="43"/>
      <c r="H908" s="6"/>
      <c r="I908" s="27"/>
      <c r="J908" s="35">
        <f t="shared" si="180"/>
        <v>0</v>
      </c>
    </row>
    <row r="909" spans="1:10" ht="14.25" thickBot="1" x14ac:dyDescent="0.2">
      <c r="A909" s="9" t="s">
        <v>3</v>
      </c>
      <c r="B909" s="10">
        <f>SUM(B885:B908)</f>
        <v>49</v>
      </c>
      <c r="C909" s="66">
        <f>SUM(C885:C908)</f>
        <v>53</v>
      </c>
      <c r="D909" s="11">
        <f>SUM(D885:D908)</f>
        <v>102</v>
      </c>
      <c r="G909" s="9" t="s">
        <v>3</v>
      </c>
      <c r="H909" s="10">
        <f>SUM(H885:H908)</f>
        <v>35</v>
      </c>
      <c r="I909" s="66">
        <f>SUM(I885:I908)</f>
        <v>35</v>
      </c>
      <c r="J909" s="11">
        <f>SUM(J885:J908)</f>
        <v>70</v>
      </c>
    </row>
    <row r="910" spans="1:10" ht="14.25" thickBot="1" x14ac:dyDescent="0.2">
      <c r="A910" s="14" t="s">
        <v>4</v>
      </c>
      <c r="B910" s="16">
        <f>B884-B909</f>
        <v>13</v>
      </c>
      <c r="C910" s="16">
        <f>C884-C909</f>
        <v>11</v>
      </c>
      <c r="D910" s="84">
        <f>D884-D909</f>
        <v>24</v>
      </c>
      <c r="G910" s="14" t="s">
        <v>4</v>
      </c>
      <c r="H910" s="16">
        <f>H884-H909</f>
        <v>1400</v>
      </c>
      <c r="I910" s="16">
        <f>I884-I909</f>
        <v>835</v>
      </c>
      <c r="J910" s="16">
        <f>J884-J909</f>
        <v>2235</v>
      </c>
    </row>
    <row r="913" spans="1:11" ht="24" x14ac:dyDescent="0.25">
      <c r="A913" s="25" t="s">
        <v>7</v>
      </c>
      <c r="B913" s="1"/>
      <c r="C913" s="1"/>
      <c r="D913" s="1"/>
      <c r="G913" s="25" t="s">
        <v>8</v>
      </c>
      <c r="H913" s="1"/>
      <c r="I913" s="1"/>
      <c r="J913" s="1"/>
    </row>
    <row r="914" spans="1:11" ht="14.25" thickBot="1" x14ac:dyDescent="0.2">
      <c r="A914" s="1"/>
      <c r="B914" s="1"/>
      <c r="C914" s="1"/>
      <c r="D914" s="1"/>
      <c r="G914" s="1"/>
      <c r="H914" s="1"/>
      <c r="I914" s="1"/>
      <c r="J914" s="1"/>
    </row>
    <row r="915" spans="1:11" ht="14.25" thickBot="1" x14ac:dyDescent="0.2">
      <c r="A915" s="2"/>
      <c r="B915" s="50" t="s">
        <v>115</v>
      </c>
      <c r="C915" s="50" t="s">
        <v>116</v>
      </c>
      <c r="D915" s="2" t="s">
        <v>0</v>
      </c>
      <c r="G915" s="2"/>
      <c r="H915" s="50" t="s">
        <v>115</v>
      </c>
      <c r="I915" s="50" t="s">
        <v>116</v>
      </c>
      <c r="J915" s="2" t="s">
        <v>0</v>
      </c>
    </row>
    <row r="916" spans="1:11" x14ac:dyDescent="0.15">
      <c r="A916" s="32" t="s">
        <v>4</v>
      </c>
      <c r="B916" s="48">
        <f>B910</f>
        <v>13</v>
      </c>
      <c r="C916" s="76">
        <f>C910</f>
        <v>11</v>
      </c>
      <c r="D916" s="47">
        <f>SUM(B916+C916)</f>
        <v>24</v>
      </c>
      <c r="G916" s="13" t="s">
        <v>6</v>
      </c>
      <c r="H916" s="48">
        <f>H910</f>
        <v>1400</v>
      </c>
      <c r="I916" s="80">
        <f>I910</f>
        <v>835</v>
      </c>
      <c r="J916" s="47">
        <f>SUM(H916+I916)</f>
        <v>2235</v>
      </c>
    </row>
    <row r="917" spans="1:11" x14ac:dyDescent="0.15">
      <c r="A917" s="3" t="s">
        <v>215</v>
      </c>
      <c r="B917" s="74">
        <v>11</v>
      </c>
      <c r="C917" s="78">
        <f>3-2</f>
        <v>1</v>
      </c>
      <c r="D917" s="7">
        <f t="shared" ref="D917:D921" si="181">SUM(B917+C917)</f>
        <v>12</v>
      </c>
      <c r="E917" s="57">
        <v>45183</v>
      </c>
      <c r="G917" s="3" t="s">
        <v>1</v>
      </c>
      <c r="H917" s="24"/>
      <c r="I917" s="90"/>
      <c r="J917" s="7">
        <f>SUM(H917+I917)</f>
        <v>0</v>
      </c>
    </row>
    <row r="918" spans="1:11" x14ac:dyDescent="0.15">
      <c r="A918" s="3" t="s">
        <v>1</v>
      </c>
      <c r="B918" s="74">
        <v>5</v>
      </c>
      <c r="C918" s="78">
        <v>5</v>
      </c>
      <c r="D918" s="7">
        <f t="shared" si="181"/>
        <v>10</v>
      </c>
      <c r="E918" s="57">
        <v>45182</v>
      </c>
      <c r="G918" s="3" t="s">
        <v>257</v>
      </c>
      <c r="H918" s="24">
        <v>66</v>
      </c>
      <c r="I918" s="90">
        <v>44</v>
      </c>
      <c r="J918" s="7">
        <f>SUM(H918+I918)</f>
        <v>110</v>
      </c>
      <c r="K918" s="57">
        <v>45204</v>
      </c>
    </row>
    <row r="919" spans="1:11" x14ac:dyDescent="0.15">
      <c r="A919" s="3" t="s">
        <v>1</v>
      </c>
      <c r="B919" s="74">
        <v>5</v>
      </c>
      <c r="C919" s="78">
        <v>5</v>
      </c>
      <c r="D919" s="7">
        <f t="shared" si="181"/>
        <v>10</v>
      </c>
      <c r="E919" s="57">
        <v>45197</v>
      </c>
      <c r="G919" s="3" t="s">
        <v>1</v>
      </c>
      <c r="H919" s="24"/>
      <c r="I919" s="90"/>
      <c r="J919" s="7">
        <f t="shared" ref="J919:J921" si="182">SUM(H919+I919)</f>
        <v>0</v>
      </c>
    </row>
    <row r="920" spans="1:11" x14ac:dyDescent="0.15">
      <c r="A920" s="3" t="s">
        <v>1</v>
      </c>
      <c r="B920" s="74">
        <v>10</v>
      </c>
      <c r="C920" s="78"/>
      <c r="D920" s="7">
        <f t="shared" si="181"/>
        <v>10</v>
      </c>
      <c r="E920" s="57">
        <v>45202</v>
      </c>
      <c r="G920" s="89" t="s">
        <v>1</v>
      </c>
      <c r="H920" s="79"/>
      <c r="I920" s="1"/>
      <c r="J920" s="88">
        <f t="shared" ref="J920" si="183">SUM(H920+I920)</f>
        <v>0</v>
      </c>
    </row>
    <row r="921" spans="1:11" ht="14.25" thickBot="1" x14ac:dyDescent="0.2">
      <c r="A921" s="3" t="s">
        <v>215</v>
      </c>
      <c r="B921" s="74">
        <v>1</v>
      </c>
      <c r="C921" s="78"/>
      <c r="D921" s="21">
        <f t="shared" si="181"/>
        <v>1</v>
      </c>
      <c r="E921" s="57">
        <v>45218</v>
      </c>
      <c r="G921" s="4" t="s">
        <v>1</v>
      </c>
      <c r="H921" s="75"/>
      <c r="I921" s="17"/>
      <c r="J921" s="22">
        <f t="shared" si="182"/>
        <v>0</v>
      </c>
    </row>
    <row r="922" spans="1:11" ht="14.25" thickBot="1" x14ac:dyDescent="0.2">
      <c r="A922" s="14" t="s">
        <v>2</v>
      </c>
      <c r="B922" s="16">
        <f>SUM(B916:B921)</f>
        <v>45</v>
      </c>
      <c r="C922" s="83">
        <f>SUM(C916:C921)</f>
        <v>22</v>
      </c>
      <c r="D922" s="84">
        <f>SUM(B922+C922)</f>
        <v>67</v>
      </c>
      <c r="G922" s="14" t="s">
        <v>2</v>
      </c>
      <c r="H922" s="84">
        <f>SUM(H916:H921)</f>
        <v>1466</v>
      </c>
      <c r="I922" s="65">
        <f>SUM(I916:I921)</f>
        <v>879</v>
      </c>
      <c r="J922" s="18">
        <f>SUM(H922+I922)</f>
        <v>2345</v>
      </c>
    </row>
    <row r="923" spans="1:11" x14ac:dyDescent="0.15">
      <c r="A923" s="29" t="s">
        <v>112</v>
      </c>
      <c r="B923" s="6">
        <f>1+1</f>
        <v>2</v>
      </c>
      <c r="C923" s="27">
        <f>1+2</f>
        <v>3</v>
      </c>
      <c r="D923" s="7">
        <f t="shared" ref="D923:D946" si="184">SUM(B923+C923)</f>
        <v>5</v>
      </c>
      <c r="E923" s="61">
        <v>45180</v>
      </c>
      <c r="G923" s="43" t="s">
        <v>21</v>
      </c>
      <c r="H923" s="6">
        <v>5</v>
      </c>
      <c r="I923" s="27">
        <v>5</v>
      </c>
      <c r="J923" s="35">
        <f t="shared" ref="J923:J926" si="185">SUM(H923+I923)</f>
        <v>10</v>
      </c>
      <c r="K923" s="57">
        <v>45182</v>
      </c>
    </row>
    <row r="924" spans="1:11" x14ac:dyDescent="0.15">
      <c r="A924" s="29" t="s">
        <v>112</v>
      </c>
      <c r="B924" s="6">
        <v>6</v>
      </c>
      <c r="C924" s="27"/>
      <c r="D924" s="7">
        <f t="shared" si="184"/>
        <v>6</v>
      </c>
      <c r="E924" s="61">
        <v>45181</v>
      </c>
      <c r="G924" s="43" t="s">
        <v>21</v>
      </c>
      <c r="H924" s="6">
        <v>5</v>
      </c>
      <c r="I924" s="27">
        <v>5</v>
      </c>
      <c r="J924" s="35">
        <f t="shared" si="185"/>
        <v>10</v>
      </c>
      <c r="K924" s="57">
        <v>45197</v>
      </c>
    </row>
    <row r="925" spans="1:11" x14ac:dyDescent="0.15">
      <c r="A925" s="29" t="s">
        <v>258</v>
      </c>
      <c r="B925" s="6"/>
      <c r="C925" s="27">
        <v>3</v>
      </c>
      <c r="D925" s="7">
        <f t="shared" si="184"/>
        <v>3</v>
      </c>
      <c r="E925" s="57">
        <v>45185</v>
      </c>
      <c r="G925" s="43" t="s">
        <v>21</v>
      </c>
      <c r="H925" s="6">
        <v>10</v>
      </c>
      <c r="I925" s="27"/>
      <c r="J925" s="35">
        <f t="shared" si="185"/>
        <v>10</v>
      </c>
      <c r="K925" s="57">
        <v>45202</v>
      </c>
    </row>
    <row r="926" spans="1:11" x14ac:dyDescent="0.15">
      <c r="A926" s="29" t="s">
        <v>112</v>
      </c>
      <c r="B926" s="6">
        <v>2</v>
      </c>
      <c r="C926" s="27"/>
      <c r="D926" s="7">
        <f t="shared" si="184"/>
        <v>2</v>
      </c>
      <c r="E926" s="57">
        <v>45191</v>
      </c>
      <c r="G926" s="43" t="s">
        <v>21</v>
      </c>
      <c r="H926" s="6"/>
      <c r="I926" s="27">
        <v>10</v>
      </c>
      <c r="J926" s="35">
        <f t="shared" si="185"/>
        <v>10</v>
      </c>
      <c r="K926" s="57">
        <v>45206</v>
      </c>
    </row>
    <row r="927" spans="1:11" x14ac:dyDescent="0.15">
      <c r="A927" s="29" t="s">
        <v>259</v>
      </c>
      <c r="B927" s="6">
        <v>2</v>
      </c>
      <c r="C927" s="27"/>
      <c r="D927" s="7">
        <f t="shared" si="184"/>
        <v>2</v>
      </c>
      <c r="E927" s="57">
        <v>45192</v>
      </c>
      <c r="G927" s="43" t="s">
        <v>21</v>
      </c>
      <c r="H927" s="6">
        <v>10</v>
      </c>
      <c r="I927" s="27"/>
      <c r="J927" s="35">
        <f t="shared" ref="J927:J946" si="186">SUM(H927+I927)</f>
        <v>10</v>
      </c>
      <c r="K927" s="57">
        <v>45210</v>
      </c>
    </row>
    <row r="928" spans="1:11" x14ac:dyDescent="0.15">
      <c r="A928" s="29" t="s">
        <v>112</v>
      </c>
      <c r="B928" s="6">
        <v>4</v>
      </c>
      <c r="C928" s="27">
        <v>2</v>
      </c>
      <c r="D928" s="7">
        <f t="shared" si="184"/>
        <v>6</v>
      </c>
      <c r="E928" s="61">
        <v>45194</v>
      </c>
      <c r="G928" s="43"/>
      <c r="H928" s="6"/>
      <c r="I928" s="27"/>
      <c r="J928" s="35">
        <f t="shared" ref="J928" si="187">SUM(H928+I928)</f>
        <v>0</v>
      </c>
    </row>
    <row r="929" spans="1:10" x14ac:dyDescent="0.15">
      <c r="A929" s="29" t="s">
        <v>112</v>
      </c>
      <c r="B929" s="6">
        <v>4</v>
      </c>
      <c r="C929" s="27"/>
      <c r="D929" s="7">
        <f t="shared" si="184"/>
        <v>4</v>
      </c>
      <c r="E929" s="61">
        <v>45195</v>
      </c>
      <c r="G929" s="43"/>
      <c r="H929" s="6"/>
      <c r="I929" s="27"/>
      <c r="J929" s="35">
        <f t="shared" si="186"/>
        <v>0</v>
      </c>
    </row>
    <row r="930" spans="1:10" x14ac:dyDescent="0.15">
      <c r="A930" s="29" t="s">
        <v>112</v>
      </c>
      <c r="B930" s="6">
        <v>1</v>
      </c>
      <c r="C930" s="27"/>
      <c r="D930" s="7">
        <f t="shared" si="184"/>
        <v>1</v>
      </c>
      <c r="E930" s="61">
        <v>45196</v>
      </c>
      <c r="G930" s="43"/>
      <c r="H930" s="6"/>
      <c r="I930" s="27"/>
      <c r="J930" s="35">
        <f t="shared" si="186"/>
        <v>0</v>
      </c>
    </row>
    <row r="931" spans="1:10" x14ac:dyDescent="0.15">
      <c r="A931" s="29" t="s">
        <v>112</v>
      </c>
      <c r="B931" s="6">
        <v>2</v>
      </c>
      <c r="C931" s="27"/>
      <c r="D931" s="7">
        <f t="shared" si="184"/>
        <v>2</v>
      </c>
      <c r="E931" s="61">
        <v>45199</v>
      </c>
      <c r="G931" s="43"/>
      <c r="H931" s="6"/>
      <c r="I931" s="27"/>
      <c r="J931" s="35">
        <f t="shared" si="186"/>
        <v>0</v>
      </c>
    </row>
    <row r="932" spans="1:10" x14ac:dyDescent="0.15">
      <c r="A932" s="29" t="s">
        <v>112</v>
      </c>
      <c r="B932" s="6">
        <f>1+2</f>
        <v>3</v>
      </c>
      <c r="C932" s="27">
        <v>1</v>
      </c>
      <c r="D932" s="7">
        <f t="shared" si="184"/>
        <v>4</v>
      </c>
      <c r="E932" s="61">
        <v>45201</v>
      </c>
      <c r="G932" s="43"/>
      <c r="H932" s="6"/>
      <c r="I932" s="27"/>
      <c r="J932" s="35">
        <f t="shared" si="186"/>
        <v>0</v>
      </c>
    </row>
    <row r="933" spans="1:10" x14ac:dyDescent="0.15">
      <c r="A933" s="29" t="s">
        <v>112</v>
      </c>
      <c r="B933" s="6">
        <v>1</v>
      </c>
      <c r="C933" s="27"/>
      <c r="D933" s="7">
        <f t="shared" si="184"/>
        <v>1</v>
      </c>
      <c r="E933" s="61">
        <v>45202</v>
      </c>
      <c r="G933" s="43"/>
      <c r="H933" s="6"/>
      <c r="I933" s="27"/>
      <c r="J933" s="35">
        <f t="shared" si="186"/>
        <v>0</v>
      </c>
    </row>
    <row r="934" spans="1:10" x14ac:dyDescent="0.15">
      <c r="A934" s="29" t="s">
        <v>260</v>
      </c>
      <c r="B934" s="6">
        <v>3</v>
      </c>
      <c r="C934" s="27">
        <v>3</v>
      </c>
      <c r="D934" s="7">
        <f t="shared" si="184"/>
        <v>6</v>
      </c>
      <c r="E934" s="57">
        <v>45203</v>
      </c>
      <c r="G934" s="43"/>
      <c r="H934" s="6"/>
      <c r="I934" s="27"/>
      <c r="J934" s="35">
        <f t="shared" si="186"/>
        <v>0</v>
      </c>
    </row>
    <row r="935" spans="1:10" x14ac:dyDescent="0.15">
      <c r="A935" s="29" t="s">
        <v>112</v>
      </c>
      <c r="B935" s="6">
        <v>2</v>
      </c>
      <c r="C935" s="27"/>
      <c r="D935" s="7">
        <f t="shared" si="184"/>
        <v>2</v>
      </c>
      <c r="E935" s="61">
        <v>45203</v>
      </c>
      <c r="G935" s="43"/>
      <c r="H935" s="6"/>
      <c r="I935" s="27"/>
      <c r="J935" s="35">
        <f t="shared" si="186"/>
        <v>0</v>
      </c>
    </row>
    <row r="936" spans="1:10" x14ac:dyDescent="0.15">
      <c r="A936" s="29" t="s">
        <v>112</v>
      </c>
      <c r="B936" s="6"/>
      <c r="C936" s="27">
        <v>1</v>
      </c>
      <c r="D936" s="7">
        <f t="shared" si="184"/>
        <v>1</v>
      </c>
      <c r="E936" s="61">
        <v>45204</v>
      </c>
      <c r="G936" s="43"/>
      <c r="H936" s="6"/>
      <c r="I936" s="27"/>
      <c r="J936" s="35">
        <f t="shared" si="186"/>
        <v>0</v>
      </c>
    </row>
    <row r="937" spans="1:10" x14ac:dyDescent="0.15">
      <c r="A937" s="29" t="s">
        <v>112</v>
      </c>
      <c r="B937" s="6">
        <v>1</v>
      </c>
      <c r="C937" s="27">
        <v>1</v>
      </c>
      <c r="D937" s="7">
        <f t="shared" si="184"/>
        <v>2</v>
      </c>
      <c r="E937" s="61">
        <v>45205</v>
      </c>
      <c r="G937" s="43"/>
      <c r="H937" s="6"/>
      <c r="I937" s="27"/>
      <c r="J937" s="35">
        <f t="shared" si="186"/>
        <v>0</v>
      </c>
    </row>
    <row r="938" spans="1:10" x14ac:dyDescent="0.15">
      <c r="A938" s="29" t="s">
        <v>261</v>
      </c>
      <c r="B938" s="6"/>
      <c r="C938" s="27">
        <v>-10</v>
      </c>
      <c r="D938" s="7">
        <f t="shared" si="184"/>
        <v>-10</v>
      </c>
      <c r="E938" s="57">
        <v>45206</v>
      </c>
      <c r="G938" s="43"/>
      <c r="H938" s="6"/>
      <c r="I938" s="27"/>
      <c r="J938" s="35">
        <f t="shared" si="186"/>
        <v>0</v>
      </c>
    </row>
    <row r="939" spans="1:10" x14ac:dyDescent="0.15">
      <c r="A939" s="29" t="s">
        <v>112</v>
      </c>
      <c r="B939" s="6">
        <v>3</v>
      </c>
      <c r="C939" s="27">
        <v>1</v>
      </c>
      <c r="D939" s="7">
        <f t="shared" si="184"/>
        <v>4</v>
      </c>
      <c r="E939" s="61">
        <v>45206</v>
      </c>
      <c r="G939" s="43"/>
      <c r="H939" s="6"/>
      <c r="I939" s="27"/>
      <c r="J939" s="35">
        <f t="shared" si="186"/>
        <v>0</v>
      </c>
    </row>
    <row r="940" spans="1:10" x14ac:dyDescent="0.15">
      <c r="A940" s="29" t="s">
        <v>112</v>
      </c>
      <c r="B940" s="6">
        <v>1</v>
      </c>
      <c r="C940" s="27">
        <f>1+2</f>
        <v>3</v>
      </c>
      <c r="D940" s="7">
        <f t="shared" si="184"/>
        <v>4</v>
      </c>
      <c r="E940" s="61">
        <v>45209</v>
      </c>
      <c r="G940" s="43"/>
      <c r="H940" s="6"/>
      <c r="I940" s="27"/>
      <c r="J940" s="35">
        <f t="shared" si="186"/>
        <v>0</v>
      </c>
    </row>
    <row r="941" spans="1:10" x14ac:dyDescent="0.15">
      <c r="A941" s="29" t="s">
        <v>218</v>
      </c>
      <c r="B941" s="6">
        <v>-10</v>
      </c>
      <c r="C941" s="27"/>
      <c r="D941" s="7">
        <f t="shared" si="184"/>
        <v>-10</v>
      </c>
      <c r="E941" s="57">
        <v>45210</v>
      </c>
      <c r="G941" s="43"/>
      <c r="H941" s="6"/>
      <c r="I941" s="27"/>
      <c r="J941" s="35">
        <f t="shared" si="186"/>
        <v>0</v>
      </c>
    </row>
    <row r="942" spans="1:10" x14ac:dyDescent="0.15">
      <c r="A942" s="29" t="s">
        <v>112</v>
      </c>
      <c r="B942" s="6">
        <v>2</v>
      </c>
      <c r="C942" s="27"/>
      <c r="D942" s="7">
        <f t="shared" si="184"/>
        <v>2</v>
      </c>
      <c r="E942" s="61">
        <v>45210</v>
      </c>
      <c r="G942" s="43"/>
      <c r="H942" s="6"/>
      <c r="I942" s="27"/>
      <c r="J942" s="35">
        <f t="shared" si="186"/>
        <v>0</v>
      </c>
    </row>
    <row r="943" spans="1:10" x14ac:dyDescent="0.15">
      <c r="A943" s="29" t="s">
        <v>262</v>
      </c>
      <c r="B943" s="6">
        <v>2</v>
      </c>
      <c r="C943" s="27">
        <v>2</v>
      </c>
      <c r="D943" s="7">
        <f t="shared" si="184"/>
        <v>4</v>
      </c>
      <c r="E943" s="57">
        <v>45212</v>
      </c>
      <c r="G943" s="43"/>
      <c r="H943" s="6"/>
      <c r="I943" s="27"/>
      <c r="J943" s="35">
        <f t="shared" si="186"/>
        <v>0</v>
      </c>
    </row>
    <row r="944" spans="1:10" x14ac:dyDescent="0.15">
      <c r="A944" s="29" t="s">
        <v>112</v>
      </c>
      <c r="B944" s="6">
        <v>1</v>
      </c>
      <c r="C944" s="27">
        <v>1</v>
      </c>
      <c r="D944" s="7">
        <f t="shared" si="184"/>
        <v>2</v>
      </c>
      <c r="E944" s="61">
        <v>45212</v>
      </c>
      <c r="G944" s="43"/>
      <c r="H944" s="6"/>
      <c r="I944" s="27"/>
      <c r="J944" s="35">
        <f t="shared" si="186"/>
        <v>0</v>
      </c>
    </row>
    <row r="945" spans="1:10" x14ac:dyDescent="0.15">
      <c r="A945" s="29" t="s">
        <v>263</v>
      </c>
      <c r="B945" s="6"/>
      <c r="C945" s="27">
        <v>-2</v>
      </c>
      <c r="D945" s="7">
        <f t="shared" si="184"/>
        <v>-2</v>
      </c>
      <c r="E945" s="61">
        <v>45212</v>
      </c>
      <c r="G945" s="43"/>
      <c r="H945" s="6"/>
      <c r="I945" s="27"/>
      <c r="J945" s="35">
        <f t="shared" si="186"/>
        <v>0</v>
      </c>
    </row>
    <row r="946" spans="1:10" ht="14.25" thickBot="1" x14ac:dyDescent="0.2">
      <c r="A946" s="29" t="s">
        <v>264</v>
      </c>
      <c r="B946" s="6">
        <v>5</v>
      </c>
      <c r="C946" s="27">
        <v>5</v>
      </c>
      <c r="D946" s="7">
        <f t="shared" si="184"/>
        <v>10</v>
      </c>
      <c r="E946" s="57">
        <v>45216</v>
      </c>
      <c r="F946" s="19"/>
      <c r="G946" s="43"/>
      <c r="H946" s="6"/>
      <c r="I946" s="27"/>
      <c r="J946" s="35">
        <f t="shared" si="186"/>
        <v>0</v>
      </c>
    </row>
    <row r="947" spans="1:10" ht="14.25" thickBot="1" x14ac:dyDescent="0.2">
      <c r="A947" s="9" t="s">
        <v>3</v>
      </c>
      <c r="B947" s="10">
        <f>SUM(B923:B946)</f>
        <v>37</v>
      </c>
      <c r="C947" s="66">
        <f>SUM(C923:C946)</f>
        <v>14</v>
      </c>
      <c r="D947" s="11">
        <f>SUM(D923:D946)</f>
        <v>51</v>
      </c>
      <c r="G947" s="9" t="s">
        <v>3</v>
      </c>
      <c r="H947" s="10">
        <f>SUM(H923:H946)</f>
        <v>30</v>
      </c>
      <c r="I947" s="66">
        <f>SUM(I923:I946)</f>
        <v>20</v>
      </c>
      <c r="J947" s="11">
        <f>SUM(J923:J946)</f>
        <v>50</v>
      </c>
    </row>
    <row r="948" spans="1:10" ht="14.25" thickBot="1" x14ac:dyDescent="0.2">
      <c r="A948" s="14" t="s">
        <v>4</v>
      </c>
      <c r="B948" s="16">
        <f>B922-B947</f>
        <v>8</v>
      </c>
      <c r="C948" s="16">
        <f>C922-C947</f>
        <v>8</v>
      </c>
      <c r="D948" s="84">
        <f>D922-D947</f>
        <v>16</v>
      </c>
      <c r="G948" s="14" t="s">
        <v>4</v>
      </c>
      <c r="H948" s="16">
        <f>H922-H947</f>
        <v>1436</v>
      </c>
      <c r="I948" s="16">
        <f>I922-I947</f>
        <v>859</v>
      </c>
      <c r="J948" s="16">
        <f>J922-J947</f>
        <v>2295</v>
      </c>
    </row>
    <row r="951" spans="1:10" ht="24" x14ac:dyDescent="0.25">
      <c r="A951" s="25" t="s">
        <v>7</v>
      </c>
      <c r="B951" s="1"/>
      <c r="C951" s="1"/>
      <c r="D951" s="1"/>
      <c r="G951" s="25" t="s">
        <v>8</v>
      </c>
      <c r="H951" s="1"/>
      <c r="I951" s="1"/>
      <c r="J951" s="1"/>
    </row>
    <row r="952" spans="1:10" ht="14.25" thickBot="1" x14ac:dyDescent="0.2">
      <c r="A952" s="1"/>
      <c r="B952" s="1"/>
      <c r="C952" s="1"/>
      <c r="D952" s="1"/>
      <c r="G952" s="1"/>
      <c r="H952" s="1"/>
      <c r="I952" s="1"/>
      <c r="J952" s="1"/>
    </row>
    <row r="953" spans="1:10" ht="14.25" thickBot="1" x14ac:dyDescent="0.2">
      <c r="A953" s="2"/>
      <c r="B953" s="50" t="s">
        <v>115</v>
      </c>
      <c r="C953" s="50" t="s">
        <v>116</v>
      </c>
      <c r="D953" s="2" t="s">
        <v>0</v>
      </c>
      <c r="G953" s="2"/>
      <c r="H953" s="50" t="s">
        <v>115</v>
      </c>
      <c r="I953" s="50" t="s">
        <v>116</v>
      </c>
      <c r="J953" s="2" t="s">
        <v>0</v>
      </c>
    </row>
    <row r="954" spans="1:10" x14ac:dyDescent="0.15">
      <c r="A954" s="32" t="s">
        <v>4</v>
      </c>
      <c r="B954" s="48">
        <f>B948</f>
        <v>8</v>
      </c>
      <c r="C954" s="76">
        <f>C948</f>
        <v>8</v>
      </c>
      <c r="D954" s="47">
        <f>SUM(B954+C954)</f>
        <v>16</v>
      </c>
      <c r="G954" s="13" t="s">
        <v>6</v>
      </c>
      <c r="H954" s="48">
        <f>H948</f>
        <v>1436</v>
      </c>
      <c r="I954" s="80">
        <f>I948</f>
        <v>859</v>
      </c>
      <c r="J954" s="47">
        <f>SUM(H954+I954)</f>
        <v>2295</v>
      </c>
    </row>
    <row r="955" spans="1:10" x14ac:dyDescent="0.15">
      <c r="A955" s="3" t="s">
        <v>1</v>
      </c>
      <c r="B955" s="74">
        <v>10</v>
      </c>
      <c r="C955" s="78">
        <v>10</v>
      </c>
      <c r="D955" s="7">
        <f t="shared" ref="D955" si="188">SUM(B955+C955)</f>
        <v>20</v>
      </c>
      <c r="E955" s="57">
        <v>45217</v>
      </c>
      <c r="G955" s="3" t="s">
        <v>1</v>
      </c>
      <c r="H955" s="24"/>
      <c r="I955" s="90"/>
      <c r="J955" s="7">
        <f>SUM(H955+I955)</f>
        <v>0</v>
      </c>
    </row>
    <row r="956" spans="1:10" x14ac:dyDescent="0.15">
      <c r="A956" s="3" t="s">
        <v>1</v>
      </c>
      <c r="B956" s="74">
        <v>10</v>
      </c>
      <c r="C956" s="78">
        <v>5</v>
      </c>
      <c r="D956" s="7">
        <f t="shared" ref="D956:D959" si="189">SUM(B956+C956)</f>
        <v>15</v>
      </c>
      <c r="E956" s="57">
        <v>45238</v>
      </c>
      <c r="G956" s="3" t="s">
        <v>1</v>
      </c>
      <c r="H956" s="24"/>
      <c r="I956" s="90"/>
      <c r="J956" s="7">
        <f>SUM(H956+I956)</f>
        <v>0</v>
      </c>
    </row>
    <row r="957" spans="1:10" x14ac:dyDescent="0.15">
      <c r="A957" s="3" t="s">
        <v>1</v>
      </c>
      <c r="B957" s="74">
        <v>15</v>
      </c>
      <c r="C957" s="78">
        <v>15</v>
      </c>
      <c r="D957" s="7">
        <f t="shared" si="189"/>
        <v>30</v>
      </c>
      <c r="E957" s="57">
        <v>45246</v>
      </c>
      <c r="G957" s="3" t="s">
        <v>1</v>
      </c>
      <c r="H957" s="24"/>
      <c r="I957" s="90"/>
      <c r="J957" s="7">
        <f t="shared" ref="J957:J959" si="190">SUM(H957+I957)</f>
        <v>0</v>
      </c>
    </row>
    <row r="958" spans="1:10" x14ac:dyDescent="0.15">
      <c r="A958" s="3" t="s">
        <v>1</v>
      </c>
      <c r="B958" s="74">
        <v>20</v>
      </c>
      <c r="C958" s="78"/>
      <c r="D958" s="7">
        <f t="shared" si="189"/>
        <v>20</v>
      </c>
      <c r="E958" s="57">
        <v>45248</v>
      </c>
      <c r="G958" s="89" t="s">
        <v>1</v>
      </c>
      <c r="H958" s="79"/>
      <c r="I958" s="1"/>
      <c r="J958" s="88">
        <f t="shared" ref="J958" si="191">SUM(H958+I958)</f>
        <v>0</v>
      </c>
    </row>
    <row r="959" spans="1:10" ht="14.25" thickBot="1" x14ac:dyDescent="0.2">
      <c r="A959" s="3" t="s">
        <v>1</v>
      </c>
      <c r="B959" s="74">
        <v>-2</v>
      </c>
      <c r="C959" s="78">
        <v>1</v>
      </c>
      <c r="D959" s="21">
        <f t="shared" si="189"/>
        <v>-1</v>
      </c>
      <c r="G959" s="4" t="s">
        <v>1</v>
      </c>
      <c r="H959" s="75"/>
      <c r="I959" s="17"/>
      <c r="J959" s="22">
        <f t="shared" si="190"/>
        <v>0</v>
      </c>
    </row>
    <row r="960" spans="1:10" ht="14.25" thickBot="1" x14ac:dyDescent="0.2">
      <c r="A960" s="14" t="s">
        <v>2</v>
      </c>
      <c r="B960" s="84">
        <f>SUM(B954:B959)</f>
        <v>61</v>
      </c>
      <c r="C960" s="83">
        <f>SUM(C954:C959)</f>
        <v>39</v>
      </c>
      <c r="D960" s="84">
        <f>SUM(B960+C960)</f>
        <v>100</v>
      </c>
      <c r="G960" s="14" t="s">
        <v>2</v>
      </c>
      <c r="H960" s="84">
        <f>SUM(H954:H959)</f>
        <v>1436</v>
      </c>
      <c r="I960" s="65">
        <f>SUM(I954:I959)</f>
        <v>859</v>
      </c>
      <c r="J960" s="18">
        <f>SUM(H960+I960)</f>
        <v>2295</v>
      </c>
    </row>
    <row r="961" spans="1:13" x14ac:dyDescent="0.15">
      <c r="A961" s="29" t="s">
        <v>112</v>
      </c>
      <c r="B961" s="6">
        <v>1</v>
      </c>
      <c r="C961" s="27"/>
      <c r="D961" s="7">
        <f t="shared" ref="D961" si="192">SUM(B961+C961)</f>
        <v>1</v>
      </c>
      <c r="E961" s="61">
        <v>45223</v>
      </c>
      <c r="G961" s="43" t="s">
        <v>21</v>
      </c>
      <c r="H961" s="6">
        <v>10</v>
      </c>
      <c r="I961" s="27">
        <v>10</v>
      </c>
      <c r="J961" s="35">
        <f t="shared" ref="J961:J972" si="193">SUM(H961+I961)</f>
        <v>20</v>
      </c>
      <c r="K961" s="57">
        <v>45217</v>
      </c>
    </row>
    <row r="962" spans="1:13" x14ac:dyDescent="0.15">
      <c r="A962" s="29" t="s">
        <v>112</v>
      </c>
      <c r="B962" s="6">
        <v>4</v>
      </c>
      <c r="C962" s="27">
        <v>1</v>
      </c>
      <c r="D962" s="7">
        <f t="shared" ref="D962:D984" si="194">SUM(B962+C962)</f>
        <v>5</v>
      </c>
      <c r="E962" s="61">
        <v>45224</v>
      </c>
      <c r="G962" s="43" t="s">
        <v>21</v>
      </c>
      <c r="H962" s="6">
        <v>10</v>
      </c>
      <c r="I962" s="27">
        <v>5</v>
      </c>
      <c r="J962" s="35">
        <f t="shared" si="193"/>
        <v>15</v>
      </c>
      <c r="K962" s="57">
        <v>45238</v>
      </c>
    </row>
    <row r="963" spans="1:13" x14ac:dyDescent="0.15">
      <c r="A963" s="29" t="s">
        <v>112</v>
      </c>
      <c r="B963" s="6">
        <v>1</v>
      </c>
      <c r="C963" s="27"/>
      <c r="D963" s="7">
        <f t="shared" si="194"/>
        <v>1</v>
      </c>
      <c r="E963" s="61">
        <v>45225</v>
      </c>
      <c r="G963" s="43" t="s">
        <v>21</v>
      </c>
      <c r="H963" s="6">
        <v>15</v>
      </c>
      <c r="I963" s="27">
        <v>15</v>
      </c>
      <c r="J963" s="35">
        <f t="shared" si="193"/>
        <v>30</v>
      </c>
      <c r="K963" s="57">
        <v>45246</v>
      </c>
    </row>
    <row r="964" spans="1:13" x14ac:dyDescent="0.15">
      <c r="A964" s="29" t="s">
        <v>112</v>
      </c>
      <c r="B964" s="6">
        <v>2</v>
      </c>
      <c r="C964" s="27"/>
      <c r="D964" s="7">
        <f t="shared" si="194"/>
        <v>2</v>
      </c>
      <c r="E964" s="61">
        <v>45234</v>
      </c>
      <c r="G964" s="43" t="s">
        <v>21</v>
      </c>
      <c r="H964" s="6">
        <v>20</v>
      </c>
      <c r="I964" s="27"/>
      <c r="J964" s="35">
        <f t="shared" si="193"/>
        <v>20</v>
      </c>
      <c r="K964" s="57">
        <v>45248</v>
      </c>
      <c r="L964" s="19"/>
    </row>
    <row r="965" spans="1:13" x14ac:dyDescent="0.15">
      <c r="A965" s="29" t="s">
        <v>112</v>
      </c>
      <c r="B965" s="6">
        <v>1</v>
      </c>
      <c r="C965" s="27">
        <v>1</v>
      </c>
      <c r="D965" s="7">
        <f t="shared" si="194"/>
        <v>2</v>
      </c>
      <c r="E965" s="61">
        <v>45236</v>
      </c>
      <c r="G965" s="43" t="s">
        <v>21</v>
      </c>
      <c r="H965" s="6">
        <v>15</v>
      </c>
      <c r="I965" s="27"/>
      <c r="J965" s="35">
        <f t="shared" si="193"/>
        <v>15</v>
      </c>
      <c r="K965" s="57">
        <v>45265</v>
      </c>
      <c r="L965" s="19"/>
      <c r="M965" s="19"/>
    </row>
    <row r="966" spans="1:13" x14ac:dyDescent="0.15">
      <c r="A966" s="29" t="s">
        <v>227</v>
      </c>
      <c r="B966" s="6">
        <v>5</v>
      </c>
      <c r="C966" s="27">
        <v>5</v>
      </c>
      <c r="D966" s="7">
        <f t="shared" si="194"/>
        <v>10</v>
      </c>
      <c r="E966" s="57">
        <v>45239</v>
      </c>
      <c r="G966" s="43" t="s">
        <v>21</v>
      </c>
      <c r="H966" s="6">
        <v>10</v>
      </c>
      <c r="I966" s="27">
        <v>5</v>
      </c>
      <c r="J966" s="35">
        <f t="shared" si="193"/>
        <v>15</v>
      </c>
      <c r="K966" s="57">
        <v>45275</v>
      </c>
      <c r="L966" s="19"/>
      <c r="M966" s="19"/>
    </row>
    <row r="967" spans="1:13" x14ac:dyDescent="0.15">
      <c r="A967" s="29" t="s">
        <v>112</v>
      </c>
      <c r="B967" s="6">
        <v>1</v>
      </c>
      <c r="C967" s="27">
        <v>1</v>
      </c>
      <c r="D967" s="7">
        <f t="shared" si="194"/>
        <v>2</v>
      </c>
      <c r="E967" s="61">
        <v>45239</v>
      </c>
      <c r="G967" s="43" t="s">
        <v>21</v>
      </c>
      <c r="H967" s="6">
        <v>10</v>
      </c>
      <c r="I967" s="27">
        <v>5</v>
      </c>
      <c r="J967" s="35">
        <f t="shared" si="193"/>
        <v>15</v>
      </c>
      <c r="K967" s="57">
        <v>45310</v>
      </c>
      <c r="L967" s="19"/>
      <c r="M967" s="19"/>
    </row>
    <row r="968" spans="1:13" x14ac:dyDescent="0.15">
      <c r="A968" s="29" t="s">
        <v>112</v>
      </c>
      <c r="B968" s="6">
        <v>1</v>
      </c>
      <c r="C968" s="27"/>
      <c r="D968" s="7">
        <f t="shared" si="194"/>
        <v>1</v>
      </c>
      <c r="E968" s="61">
        <v>45243</v>
      </c>
      <c r="G968" s="43" t="s">
        <v>21</v>
      </c>
      <c r="H968" s="6">
        <v>10</v>
      </c>
      <c r="I968" s="27">
        <v>5</v>
      </c>
      <c r="J968" s="35">
        <f t="shared" si="193"/>
        <v>15</v>
      </c>
      <c r="K968" s="57">
        <v>45315</v>
      </c>
    </row>
    <row r="969" spans="1:13" x14ac:dyDescent="0.15">
      <c r="A969" s="29" t="s">
        <v>112</v>
      </c>
      <c r="B969" s="6">
        <v>1</v>
      </c>
      <c r="C969" s="27"/>
      <c r="D969" s="7">
        <f t="shared" si="194"/>
        <v>1</v>
      </c>
      <c r="E969" s="57">
        <v>45245</v>
      </c>
      <c r="G969" s="43" t="s">
        <v>21</v>
      </c>
      <c r="H969" s="6">
        <v>5</v>
      </c>
      <c r="I969" s="27">
        <v>5</v>
      </c>
      <c r="J969" s="35">
        <f t="shared" si="193"/>
        <v>10</v>
      </c>
      <c r="K969" s="57">
        <v>45323</v>
      </c>
    </row>
    <row r="970" spans="1:13" x14ac:dyDescent="0.15">
      <c r="A970" s="29" t="s">
        <v>265</v>
      </c>
      <c r="B970" s="6">
        <v>5</v>
      </c>
      <c r="C970" s="27">
        <v>5</v>
      </c>
      <c r="D970" s="7">
        <f t="shared" si="194"/>
        <v>10</v>
      </c>
      <c r="E970" s="57">
        <v>45246</v>
      </c>
      <c r="G970" s="43" t="s">
        <v>21</v>
      </c>
      <c r="H970" s="6">
        <v>10</v>
      </c>
      <c r="I970" s="27">
        <v>10</v>
      </c>
      <c r="J970" s="35">
        <f t="shared" si="193"/>
        <v>20</v>
      </c>
      <c r="K970" s="57">
        <v>45330</v>
      </c>
    </row>
    <row r="971" spans="1:13" x14ac:dyDescent="0.15">
      <c r="A971" s="29" t="s">
        <v>112</v>
      </c>
      <c r="B971" s="6">
        <v>10</v>
      </c>
      <c r="C971" s="27"/>
      <c r="D971" s="7">
        <f t="shared" si="194"/>
        <v>10</v>
      </c>
      <c r="E971" s="57">
        <v>45246</v>
      </c>
      <c r="G971" s="43" t="s">
        <v>21</v>
      </c>
      <c r="H971" s="6">
        <v>15</v>
      </c>
      <c r="I971" s="27">
        <v>5</v>
      </c>
      <c r="J971" s="35">
        <f t="shared" si="193"/>
        <v>20</v>
      </c>
      <c r="K971" s="57">
        <v>45336</v>
      </c>
    </row>
    <row r="972" spans="1:13" x14ac:dyDescent="0.15">
      <c r="A972" s="29" t="s">
        <v>266</v>
      </c>
      <c r="B972" s="6">
        <v>1</v>
      </c>
      <c r="C972" s="27">
        <v>1</v>
      </c>
      <c r="D972" s="7">
        <f t="shared" si="194"/>
        <v>2</v>
      </c>
      <c r="E972" s="61">
        <v>45250</v>
      </c>
      <c r="G972" s="43" t="s">
        <v>21</v>
      </c>
      <c r="H972" s="6">
        <v>15</v>
      </c>
      <c r="I972" s="27">
        <v>5</v>
      </c>
      <c r="J972" s="35">
        <f t="shared" si="193"/>
        <v>20</v>
      </c>
      <c r="K972" s="57">
        <v>45343</v>
      </c>
    </row>
    <row r="973" spans="1:13" x14ac:dyDescent="0.15">
      <c r="A973" s="29" t="s">
        <v>112</v>
      </c>
      <c r="B973" s="6">
        <v>1</v>
      </c>
      <c r="C973" s="27"/>
      <c r="D973" s="7">
        <f t="shared" si="194"/>
        <v>1</v>
      </c>
      <c r="E973" s="61">
        <v>45248</v>
      </c>
      <c r="G973" s="43"/>
      <c r="H973" s="6"/>
      <c r="I973" s="27"/>
      <c r="J973" s="35">
        <f t="shared" ref="J973:J984" si="195">SUM(H973+I973)</f>
        <v>0</v>
      </c>
      <c r="K973" s="19"/>
    </row>
    <row r="974" spans="1:13" x14ac:dyDescent="0.15">
      <c r="A974" s="29" t="s">
        <v>112</v>
      </c>
      <c r="B974" s="6">
        <v>2</v>
      </c>
      <c r="C974" s="27">
        <v>2</v>
      </c>
      <c r="D974" s="7">
        <f t="shared" si="194"/>
        <v>4</v>
      </c>
      <c r="E974" s="61">
        <v>45250</v>
      </c>
      <c r="G974" s="43"/>
      <c r="H974" s="6"/>
      <c r="I974" s="27"/>
      <c r="J974" s="35">
        <f t="shared" si="195"/>
        <v>0</v>
      </c>
    </row>
    <row r="975" spans="1:13" x14ac:dyDescent="0.15">
      <c r="A975" s="29" t="s">
        <v>112</v>
      </c>
      <c r="B975" s="6">
        <v>2</v>
      </c>
      <c r="C975" s="27"/>
      <c r="D975" s="7">
        <f t="shared" si="194"/>
        <v>2</v>
      </c>
      <c r="E975" s="61">
        <v>45252</v>
      </c>
      <c r="G975" s="43"/>
      <c r="H975" s="6"/>
      <c r="I975" s="27"/>
      <c r="J975" s="35">
        <f t="shared" si="195"/>
        <v>0</v>
      </c>
    </row>
    <row r="976" spans="1:13" x14ac:dyDescent="0.15">
      <c r="A976" s="29" t="s">
        <v>112</v>
      </c>
      <c r="B976" s="6">
        <v>1</v>
      </c>
      <c r="C976" s="27"/>
      <c r="D976" s="7">
        <f t="shared" si="194"/>
        <v>1</v>
      </c>
      <c r="E976" s="61">
        <v>45254</v>
      </c>
      <c r="G976" s="43"/>
      <c r="H976" s="6"/>
      <c r="I976" s="27"/>
      <c r="J976" s="35">
        <f t="shared" si="195"/>
        <v>0</v>
      </c>
    </row>
    <row r="977" spans="1:10" x14ac:dyDescent="0.15">
      <c r="A977" s="29" t="s">
        <v>112</v>
      </c>
      <c r="B977" s="6">
        <v>1</v>
      </c>
      <c r="C977" s="27"/>
      <c r="D977" s="7">
        <f t="shared" si="194"/>
        <v>1</v>
      </c>
      <c r="E977" s="61">
        <v>45257</v>
      </c>
      <c r="G977" s="43"/>
      <c r="H977" s="6"/>
      <c r="I977" s="27"/>
      <c r="J977" s="35">
        <f t="shared" si="195"/>
        <v>0</v>
      </c>
    </row>
    <row r="978" spans="1:10" x14ac:dyDescent="0.15">
      <c r="A978" s="29" t="s">
        <v>112</v>
      </c>
      <c r="B978" s="6">
        <v>1</v>
      </c>
      <c r="C978" s="27">
        <v>1</v>
      </c>
      <c r="D978" s="7">
        <f t="shared" si="194"/>
        <v>2</v>
      </c>
      <c r="E978" s="61">
        <v>45264</v>
      </c>
      <c r="G978" s="43"/>
      <c r="H978" s="6"/>
      <c r="I978" s="27"/>
      <c r="J978" s="35">
        <f t="shared" si="195"/>
        <v>0</v>
      </c>
    </row>
    <row r="979" spans="1:10" x14ac:dyDescent="0.15">
      <c r="A979" s="29" t="s">
        <v>227</v>
      </c>
      <c r="B979" s="6">
        <v>8</v>
      </c>
      <c r="C979" s="27">
        <v>1</v>
      </c>
      <c r="D979" s="7">
        <f t="shared" si="194"/>
        <v>9</v>
      </c>
      <c r="E979" s="57">
        <v>45265</v>
      </c>
      <c r="G979" s="43"/>
      <c r="H979" s="6"/>
      <c r="I979" s="27"/>
      <c r="J979" s="35">
        <f t="shared" si="195"/>
        <v>0</v>
      </c>
    </row>
    <row r="980" spans="1:10" x14ac:dyDescent="0.15">
      <c r="A980" s="29" t="s">
        <v>267</v>
      </c>
      <c r="B980" s="6">
        <v>-15</v>
      </c>
      <c r="C980" s="27"/>
      <c r="D980" s="7">
        <f t="shared" si="194"/>
        <v>-15</v>
      </c>
      <c r="E980" s="57">
        <v>45265</v>
      </c>
      <c r="G980" s="43"/>
      <c r="H980" s="6"/>
      <c r="I980" s="27"/>
      <c r="J980" s="35">
        <f t="shared" si="195"/>
        <v>0</v>
      </c>
    </row>
    <row r="981" spans="1:10" x14ac:dyDescent="0.15">
      <c r="A981" s="29" t="s">
        <v>112</v>
      </c>
      <c r="B981" s="6">
        <v>1</v>
      </c>
      <c r="C981" s="27"/>
      <c r="D981" s="7">
        <f t="shared" si="194"/>
        <v>1</v>
      </c>
      <c r="E981" s="61">
        <v>45265</v>
      </c>
      <c r="G981" s="43"/>
      <c r="H981" s="6"/>
      <c r="I981" s="27"/>
      <c r="J981" s="35">
        <f t="shared" si="195"/>
        <v>0</v>
      </c>
    </row>
    <row r="982" spans="1:10" x14ac:dyDescent="0.15">
      <c r="A982" s="29" t="s">
        <v>112</v>
      </c>
      <c r="B982" s="6">
        <v>3</v>
      </c>
      <c r="C982" s="27"/>
      <c r="D982" s="7">
        <f t="shared" si="194"/>
        <v>3</v>
      </c>
      <c r="E982" s="61">
        <v>45266</v>
      </c>
      <c r="G982" s="43"/>
      <c r="H982" s="6"/>
      <c r="I982" s="27"/>
      <c r="J982" s="35">
        <f t="shared" si="195"/>
        <v>0</v>
      </c>
    </row>
    <row r="983" spans="1:10" x14ac:dyDescent="0.15">
      <c r="A983" s="29" t="s">
        <v>112</v>
      </c>
      <c r="B983" s="6">
        <v>1</v>
      </c>
      <c r="C983" s="27"/>
      <c r="D983" s="7">
        <f t="shared" si="194"/>
        <v>1</v>
      </c>
      <c r="E983" s="61">
        <v>45267</v>
      </c>
      <c r="G983" s="43"/>
      <c r="H983" s="6"/>
      <c r="I983" s="27"/>
      <c r="J983" s="35">
        <f t="shared" si="195"/>
        <v>0</v>
      </c>
    </row>
    <row r="984" spans="1:10" ht="14.25" thickBot="1" x14ac:dyDescent="0.2">
      <c r="A984" s="29" t="s">
        <v>112</v>
      </c>
      <c r="B984" s="6">
        <v>1</v>
      </c>
      <c r="C984" s="27"/>
      <c r="D984" s="7">
        <f t="shared" si="194"/>
        <v>1</v>
      </c>
      <c r="E984" s="61">
        <v>45268</v>
      </c>
      <c r="G984" s="43"/>
      <c r="H984" s="6"/>
      <c r="I984" s="27"/>
      <c r="J984" s="35">
        <f t="shared" si="195"/>
        <v>0</v>
      </c>
    </row>
    <row r="985" spans="1:10" ht="14.25" thickBot="1" x14ac:dyDescent="0.2">
      <c r="A985" s="9" t="s">
        <v>3</v>
      </c>
      <c r="B985" s="10">
        <f>SUM(B961:B984)</f>
        <v>40</v>
      </c>
      <c r="C985" s="66">
        <f>SUM(C961:C984)</f>
        <v>18</v>
      </c>
      <c r="D985" s="11">
        <f>SUM(D961:D984)</f>
        <v>58</v>
      </c>
      <c r="G985" s="9" t="s">
        <v>3</v>
      </c>
      <c r="H985" s="10">
        <f>SUM(H961:H984)</f>
        <v>145</v>
      </c>
      <c r="I985" s="66">
        <f>SUM(I961:I984)</f>
        <v>70</v>
      </c>
      <c r="J985" s="11">
        <f>SUM(J961:J984)</f>
        <v>215</v>
      </c>
    </row>
    <row r="986" spans="1:10" ht="14.25" thickBot="1" x14ac:dyDescent="0.2">
      <c r="A986" s="14" t="s">
        <v>4</v>
      </c>
      <c r="B986" s="16">
        <f>B960-B985</f>
        <v>21</v>
      </c>
      <c r="C986" s="16">
        <f>C960-C985</f>
        <v>21</v>
      </c>
      <c r="D986" s="84">
        <f>D960-D985</f>
        <v>42</v>
      </c>
      <c r="G986" s="14" t="s">
        <v>4</v>
      </c>
      <c r="H986" s="16">
        <f>H960-H985</f>
        <v>1291</v>
      </c>
      <c r="I986" s="16">
        <f>I960-I985</f>
        <v>789</v>
      </c>
      <c r="J986" s="16">
        <f>J960-J985</f>
        <v>2080</v>
      </c>
    </row>
    <row r="989" spans="1:10" ht="24" x14ac:dyDescent="0.25">
      <c r="A989" s="25" t="s">
        <v>7</v>
      </c>
      <c r="B989" s="1"/>
      <c r="C989" s="1"/>
      <c r="D989" s="1"/>
      <c r="G989" s="25" t="s">
        <v>8</v>
      </c>
      <c r="H989" s="1"/>
      <c r="I989" s="1"/>
      <c r="J989" s="1"/>
    </row>
    <row r="990" spans="1:10" ht="14.25" thickBot="1" x14ac:dyDescent="0.2">
      <c r="A990" s="1"/>
      <c r="B990" s="1"/>
      <c r="C990" s="1"/>
      <c r="D990" s="1"/>
      <c r="G990" s="1"/>
      <c r="H990" s="1"/>
      <c r="I990" s="1"/>
      <c r="J990" s="1"/>
    </row>
    <row r="991" spans="1:10" ht="14.25" thickBot="1" x14ac:dyDescent="0.2">
      <c r="A991" s="2"/>
      <c r="B991" s="50" t="s">
        <v>115</v>
      </c>
      <c r="C991" s="50" t="s">
        <v>116</v>
      </c>
      <c r="D991" s="2" t="s">
        <v>0</v>
      </c>
      <c r="G991" s="2"/>
      <c r="H991" s="50" t="s">
        <v>115</v>
      </c>
      <c r="I991" s="50" t="s">
        <v>116</v>
      </c>
      <c r="J991" s="2" t="s">
        <v>0</v>
      </c>
    </row>
    <row r="992" spans="1:10" x14ac:dyDescent="0.15">
      <c r="A992" s="32" t="s">
        <v>4</v>
      </c>
      <c r="B992" s="48">
        <f>B986</f>
        <v>21</v>
      </c>
      <c r="C992" s="76">
        <f>C986</f>
        <v>21</v>
      </c>
      <c r="D992" s="47">
        <f>SUM(B992+C992)</f>
        <v>42</v>
      </c>
      <c r="G992" s="13" t="s">
        <v>6</v>
      </c>
      <c r="H992" s="48">
        <f>H986</f>
        <v>1291</v>
      </c>
      <c r="I992" s="80">
        <f>I986</f>
        <v>789</v>
      </c>
      <c r="J992" s="47">
        <f>SUM(H992+I992)</f>
        <v>2080</v>
      </c>
    </row>
    <row r="993" spans="1:12" x14ac:dyDescent="0.15">
      <c r="A993" s="3" t="s">
        <v>1</v>
      </c>
      <c r="B993" s="74">
        <v>10</v>
      </c>
      <c r="C993" s="78">
        <v>5</v>
      </c>
      <c r="D993" s="7">
        <f t="shared" ref="D993" si="196">SUM(B993+C993)</f>
        <v>15</v>
      </c>
      <c r="E993" s="57">
        <v>45276</v>
      </c>
      <c r="G993" s="3" t="s">
        <v>1</v>
      </c>
      <c r="H993" s="24"/>
      <c r="I993" s="90"/>
      <c r="J993" s="7">
        <f>SUM(H993+I993)</f>
        <v>0</v>
      </c>
    </row>
    <row r="994" spans="1:12" x14ac:dyDescent="0.15">
      <c r="A994" s="3" t="s">
        <v>1</v>
      </c>
      <c r="B994" s="74">
        <v>10</v>
      </c>
      <c r="C994" s="78">
        <v>5</v>
      </c>
      <c r="D994" s="7">
        <f t="shared" ref="D994:D997" si="197">SUM(B994+C994)</f>
        <v>15</v>
      </c>
      <c r="E994" s="57">
        <v>45310</v>
      </c>
      <c r="G994" s="3" t="s">
        <v>1</v>
      </c>
      <c r="H994" s="24"/>
      <c r="I994" s="90"/>
      <c r="J994" s="7">
        <f>SUM(H994+I994)</f>
        <v>0</v>
      </c>
    </row>
    <row r="995" spans="1:12" x14ac:dyDescent="0.15">
      <c r="A995" s="3" t="s">
        <v>1</v>
      </c>
      <c r="B995" s="74">
        <v>10</v>
      </c>
      <c r="C995" s="78">
        <v>5</v>
      </c>
      <c r="D995" s="7">
        <f t="shared" si="197"/>
        <v>15</v>
      </c>
      <c r="E995" s="57">
        <v>45315</v>
      </c>
      <c r="G995" s="3" t="s">
        <v>1</v>
      </c>
      <c r="H995" s="74">
        <v>2000</v>
      </c>
      <c r="I995" s="78">
        <v>2000</v>
      </c>
      <c r="J995" s="7">
        <f t="shared" ref="J995" si="198">SUM(H995+I995)</f>
        <v>4000</v>
      </c>
      <c r="K995" s="19" t="s">
        <v>277</v>
      </c>
      <c r="L995" s="19"/>
    </row>
    <row r="996" spans="1:12" x14ac:dyDescent="0.15">
      <c r="A996" s="3" t="s">
        <v>1</v>
      </c>
      <c r="B996" s="74">
        <v>5</v>
      </c>
      <c r="C996" s="78">
        <v>5</v>
      </c>
      <c r="D996" s="7">
        <f t="shared" si="197"/>
        <v>10</v>
      </c>
      <c r="E996" s="57">
        <v>45323</v>
      </c>
      <c r="G996" s="91" t="s">
        <v>1</v>
      </c>
      <c r="H996" s="82">
        <v>1030</v>
      </c>
      <c r="I996" s="81">
        <v>901</v>
      </c>
      <c r="J996" s="96">
        <f t="shared" ref="J996:J997" si="199">SUM(H996+I996)</f>
        <v>1931</v>
      </c>
      <c r="K996" s="102" t="s">
        <v>268</v>
      </c>
    </row>
    <row r="997" spans="1:12" ht="14.25" thickBot="1" x14ac:dyDescent="0.2">
      <c r="A997" s="3" t="s">
        <v>1</v>
      </c>
      <c r="B997" s="74">
        <v>10</v>
      </c>
      <c r="C997" s="78">
        <v>10</v>
      </c>
      <c r="D997" s="21">
        <f t="shared" si="197"/>
        <v>20</v>
      </c>
      <c r="E997" s="57">
        <v>45330</v>
      </c>
      <c r="G997" s="4" t="s">
        <v>1</v>
      </c>
      <c r="H997" s="75"/>
      <c r="I997" s="17"/>
      <c r="J997" s="22">
        <f t="shared" si="199"/>
        <v>0</v>
      </c>
    </row>
    <row r="998" spans="1:12" ht="14.25" thickBot="1" x14ac:dyDescent="0.2">
      <c r="A998" s="14" t="s">
        <v>2</v>
      </c>
      <c r="B998" s="16">
        <f>SUM(B992:B997)</f>
        <v>66</v>
      </c>
      <c r="C998" s="83">
        <f>SUM(C992:C997)</f>
        <v>51</v>
      </c>
      <c r="D998" s="84">
        <f>SUM(B998+C998)</f>
        <v>117</v>
      </c>
      <c r="G998" s="14" t="s">
        <v>2</v>
      </c>
      <c r="H998" s="84">
        <f>SUM(H992:H997)</f>
        <v>4321</v>
      </c>
      <c r="I998" s="65">
        <f>SUM(I992:I997)</f>
        <v>3690</v>
      </c>
      <c r="J998" s="18">
        <f>SUM(H998+I998)</f>
        <v>8011</v>
      </c>
    </row>
    <row r="999" spans="1:12" x14ac:dyDescent="0.15">
      <c r="A999" s="29" t="s">
        <v>112</v>
      </c>
      <c r="B999" s="6">
        <v>2</v>
      </c>
      <c r="C999" s="27">
        <v>2</v>
      </c>
      <c r="D999" s="7">
        <f t="shared" ref="D999:D1022" si="200">SUM(B999+C999)</f>
        <v>4</v>
      </c>
      <c r="E999" s="61">
        <v>45271</v>
      </c>
      <c r="G999" s="43"/>
      <c r="H999" s="6"/>
      <c r="I999" s="27"/>
      <c r="J999" s="35">
        <f t="shared" ref="J999:J1020" si="201">SUM(H999+I999)</f>
        <v>0</v>
      </c>
    </row>
    <row r="1000" spans="1:12" x14ac:dyDescent="0.15">
      <c r="A1000" s="29" t="s">
        <v>112</v>
      </c>
      <c r="B1000" s="6">
        <v>1</v>
      </c>
      <c r="C1000" s="27"/>
      <c r="D1000" s="7">
        <f t="shared" si="200"/>
        <v>1</v>
      </c>
      <c r="E1000" s="61">
        <v>45272</v>
      </c>
      <c r="G1000" s="43"/>
      <c r="H1000" s="6"/>
      <c r="I1000" s="27"/>
      <c r="J1000" s="35">
        <f t="shared" si="201"/>
        <v>0</v>
      </c>
    </row>
    <row r="1001" spans="1:12" x14ac:dyDescent="0.15">
      <c r="A1001" s="29" t="s">
        <v>112</v>
      </c>
      <c r="B1001" s="6">
        <v>2</v>
      </c>
      <c r="C1001" s="27">
        <v>2</v>
      </c>
      <c r="D1001" s="7">
        <f t="shared" si="200"/>
        <v>4</v>
      </c>
      <c r="E1001" s="61">
        <v>45273</v>
      </c>
      <c r="G1001" s="43"/>
      <c r="H1001" s="6"/>
      <c r="I1001" s="27"/>
      <c r="J1001" s="35">
        <f t="shared" si="201"/>
        <v>0</v>
      </c>
    </row>
    <row r="1002" spans="1:12" x14ac:dyDescent="0.15">
      <c r="A1002" s="29" t="s">
        <v>227</v>
      </c>
      <c r="B1002" s="6">
        <v>6</v>
      </c>
      <c r="C1002" s="27">
        <v>3</v>
      </c>
      <c r="D1002" s="7">
        <f t="shared" si="200"/>
        <v>9</v>
      </c>
      <c r="E1002" s="57">
        <v>45275</v>
      </c>
      <c r="G1002" s="43"/>
      <c r="H1002" s="6"/>
      <c r="I1002" s="27"/>
      <c r="J1002" s="35">
        <f t="shared" si="201"/>
        <v>0</v>
      </c>
    </row>
    <row r="1003" spans="1:12" x14ac:dyDescent="0.15">
      <c r="A1003" s="29" t="s">
        <v>112</v>
      </c>
      <c r="B1003" s="6"/>
      <c r="C1003" s="27">
        <v>1</v>
      </c>
      <c r="D1003" s="7">
        <f t="shared" si="200"/>
        <v>1</v>
      </c>
      <c r="E1003" s="57">
        <v>45276</v>
      </c>
      <c r="G1003" s="43"/>
      <c r="H1003" s="6"/>
      <c r="I1003" s="27"/>
      <c r="J1003" s="35">
        <f t="shared" si="201"/>
        <v>0</v>
      </c>
    </row>
    <row r="1004" spans="1:12" x14ac:dyDescent="0.15">
      <c r="A1004" s="29" t="s">
        <v>112</v>
      </c>
      <c r="B1004" s="6">
        <v>1</v>
      </c>
      <c r="C1004" s="27"/>
      <c r="D1004" s="7">
        <f t="shared" si="200"/>
        <v>1</v>
      </c>
      <c r="E1004" s="61">
        <v>45279</v>
      </c>
      <c r="G1004" s="43"/>
      <c r="H1004" s="6"/>
      <c r="I1004" s="27"/>
      <c r="J1004" s="35">
        <f t="shared" si="201"/>
        <v>0</v>
      </c>
    </row>
    <row r="1005" spans="1:12" x14ac:dyDescent="0.15">
      <c r="A1005" s="29" t="s">
        <v>112</v>
      </c>
      <c r="B1005" s="6">
        <v>4</v>
      </c>
      <c r="C1005" s="27"/>
      <c r="D1005" s="7">
        <f t="shared" si="200"/>
        <v>4</v>
      </c>
      <c r="E1005" s="61">
        <v>45281</v>
      </c>
      <c r="G1005" s="43"/>
      <c r="H1005" s="6"/>
      <c r="I1005" s="27"/>
      <c r="J1005" s="35">
        <f t="shared" si="201"/>
        <v>0</v>
      </c>
    </row>
    <row r="1006" spans="1:12" x14ac:dyDescent="0.15">
      <c r="A1006" s="29" t="s">
        <v>112</v>
      </c>
      <c r="B1006" s="6">
        <v>1</v>
      </c>
      <c r="C1006" s="27">
        <v>3</v>
      </c>
      <c r="D1006" s="7">
        <f t="shared" si="200"/>
        <v>4</v>
      </c>
      <c r="E1006" s="61">
        <v>45296</v>
      </c>
      <c r="G1006" s="43"/>
      <c r="H1006" s="6"/>
      <c r="I1006" s="27"/>
      <c r="J1006" s="35">
        <f t="shared" si="201"/>
        <v>0</v>
      </c>
    </row>
    <row r="1007" spans="1:12" x14ac:dyDescent="0.15">
      <c r="A1007" s="29" t="s">
        <v>112</v>
      </c>
      <c r="B1007" s="6">
        <v>1</v>
      </c>
      <c r="C1007" s="27">
        <v>1</v>
      </c>
      <c r="D1007" s="7">
        <f t="shared" si="200"/>
        <v>2</v>
      </c>
      <c r="E1007" s="61">
        <v>45302</v>
      </c>
      <c r="G1007" s="43"/>
      <c r="H1007" s="6"/>
      <c r="I1007" s="27"/>
      <c r="J1007" s="35">
        <f t="shared" si="201"/>
        <v>0</v>
      </c>
    </row>
    <row r="1008" spans="1:12" x14ac:dyDescent="0.15">
      <c r="A1008" s="29" t="s">
        <v>112</v>
      </c>
      <c r="B1008" s="6">
        <v>1</v>
      </c>
      <c r="C1008" s="27"/>
      <c r="D1008" s="7">
        <f t="shared" si="200"/>
        <v>1</v>
      </c>
      <c r="E1008" s="61">
        <v>45306</v>
      </c>
      <c r="G1008" s="43"/>
      <c r="H1008" s="6"/>
      <c r="I1008" s="27"/>
      <c r="J1008" s="35">
        <f t="shared" si="201"/>
        <v>0</v>
      </c>
    </row>
    <row r="1009" spans="1:10" x14ac:dyDescent="0.15">
      <c r="A1009" s="29" t="s">
        <v>112</v>
      </c>
      <c r="B1009" s="6">
        <v>2</v>
      </c>
      <c r="C1009" s="27"/>
      <c r="D1009" s="7">
        <f t="shared" si="200"/>
        <v>2</v>
      </c>
      <c r="E1009" s="61">
        <v>45307</v>
      </c>
      <c r="G1009" s="43"/>
      <c r="H1009" s="6"/>
      <c r="I1009" s="27"/>
      <c r="J1009" s="35">
        <f t="shared" si="201"/>
        <v>0</v>
      </c>
    </row>
    <row r="1010" spans="1:10" x14ac:dyDescent="0.15">
      <c r="A1010" s="29" t="s">
        <v>270</v>
      </c>
      <c r="B1010" s="6">
        <v>5</v>
      </c>
      <c r="C1010" s="27"/>
      <c r="D1010" s="7">
        <f t="shared" si="200"/>
        <v>5</v>
      </c>
      <c r="E1010" s="57">
        <v>45311</v>
      </c>
      <c r="G1010" s="43"/>
      <c r="H1010" s="6"/>
      <c r="I1010" s="27"/>
      <c r="J1010" s="35">
        <f t="shared" si="201"/>
        <v>0</v>
      </c>
    </row>
    <row r="1011" spans="1:10" x14ac:dyDescent="0.15">
      <c r="A1011" s="29" t="s">
        <v>112</v>
      </c>
      <c r="B1011" s="6">
        <v>2</v>
      </c>
      <c r="C1011" s="27"/>
      <c r="D1011" s="7">
        <f t="shared" si="200"/>
        <v>2</v>
      </c>
      <c r="E1011" s="61">
        <v>45310</v>
      </c>
      <c r="G1011" s="43"/>
      <c r="H1011" s="6"/>
      <c r="I1011" s="27"/>
      <c r="J1011" s="35">
        <f t="shared" si="201"/>
        <v>0</v>
      </c>
    </row>
    <row r="1012" spans="1:10" x14ac:dyDescent="0.15">
      <c r="A1012" s="29" t="s">
        <v>112</v>
      </c>
      <c r="B1012" s="6">
        <v>1</v>
      </c>
      <c r="C1012" s="27">
        <v>1</v>
      </c>
      <c r="D1012" s="7">
        <f t="shared" si="200"/>
        <v>2</v>
      </c>
      <c r="E1012" s="61">
        <v>45313</v>
      </c>
      <c r="G1012" s="43"/>
      <c r="H1012" s="6"/>
      <c r="I1012" s="27"/>
      <c r="J1012" s="35">
        <f t="shared" si="201"/>
        <v>0</v>
      </c>
    </row>
    <row r="1013" spans="1:10" x14ac:dyDescent="0.15">
      <c r="A1013" s="29" t="s">
        <v>112</v>
      </c>
      <c r="B1013" s="6">
        <v>1</v>
      </c>
      <c r="C1013" s="27"/>
      <c r="D1013" s="7">
        <f t="shared" si="200"/>
        <v>1</v>
      </c>
      <c r="E1013" s="61">
        <v>45316</v>
      </c>
      <c r="G1013" s="43"/>
      <c r="H1013" s="6"/>
      <c r="I1013" s="27"/>
      <c r="J1013" s="35">
        <f t="shared" si="201"/>
        <v>0</v>
      </c>
    </row>
    <row r="1014" spans="1:10" x14ac:dyDescent="0.15">
      <c r="A1014" s="29" t="s">
        <v>112</v>
      </c>
      <c r="B1014" s="6"/>
      <c r="C1014" s="27">
        <v>4</v>
      </c>
      <c r="D1014" s="7">
        <f t="shared" si="200"/>
        <v>4</v>
      </c>
      <c r="E1014" s="61">
        <v>45317</v>
      </c>
      <c r="G1014" s="43"/>
      <c r="H1014" s="6"/>
      <c r="I1014" s="27"/>
      <c r="J1014" s="35">
        <f t="shared" si="201"/>
        <v>0</v>
      </c>
    </row>
    <row r="1015" spans="1:10" x14ac:dyDescent="0.15">
      <c r="A1015" s="29" t="s">
        <v>112</v>
      </c>
      <c r="B1015" s="6">
        <v>2</v>
      </c>
      <c r="C1015" s="27"/>
      <c r="D1015" s="7">
        <f t="shared" si="200"/>
        <v>2</v>
      </c>
      <c r="E1015" s="61">
        <v>45320</v>
      </c>
      <c r="G1015" s="43"/>
      <c r="H1015" s="6"/>
      <c r="I1015" s="27"/>
      <c r="J1015" s="35">
        <f t="shared" si="201"/>
        <v>0</v>
      </c>
    </row>
    <row r="1016" spans="1:10" x14ac:dyDescent="0.15">
      <c r="A1016" s="29" t="s">
        <v>271</v>
      </c>
      <c r="B1016" s="6">
        <v>5</v>
      </c>
      <c r="C1016" s="27">
        <v>5</v>
      </c>
      <c r="D1016" s="7">
        <f t="shared" si="200"/>
        <v>10</v>
      </c>
      <c r="E1016" s="57">
        <v>45321</v>
      </c>
      <c r="G1016" s="43"/>
      <c r="H1016" s="6"/>
      <c r="I1016" s="27"/>
      <c r="J1016" s="35">
        <f t="shared" si="201"/>
        <v>0</v>
      </c>
    </row>
    <row r="1017" spans="1:10" x14ac:dyDescent="0.15">
      <c r="A1017" s="29" t="s">
        <v>112</v>
      </c>
      <c r="B1017" s="6">
        <v>2</v>
      </c>
      <c r="C1017" s="27"/>
      <c r="D1017" s="7">
        <f t="shared" si="200"/>
        <v>2</v>
      </c>
      <c r="E1017" s="61">
        <v>45323</v>
      </c>
      <c r="G1017" s="43"/>
      <c r="H1017" s="6"/>
      <c r="I1017" s="27"/>
      <c r="J1017" s="35">
        <f t="shared" si="201"/>
        <v>0</v>
      </c>
    </row>
    <row r="1018" spans="1:10" x14ac:dyDescent="0.15">
      <c r="A1018" s="29" t="s">
        <v>112</v>
      </c>
      <c r="B1018" s="6">
        <v>3</v>
      </c>
      <c r="C1018" s="27">
        <v>4</v>
      </c>
      <c r="D1018" s="7">
        <f t="shared" si="200"/>
        <v>7</v>
      </c>
      <c r="E1018" s="61">
        <v>45327</v>
      </c>
      <c r="G1018" s="43"/>
      <c r="H1018" s="6"/>
      <c r="I1018" s="27"/>
      <c r="J1018" s="35">
        <f t="shared" si="201"/>
        <v>0</v>
      </c>
    </row>
    <row r="1019" spans="1:10" x14ac:dyDescent="0.15">
      <c r="A1019" s="29" t="s">
        <v>112</v>
      </c>
      <c r="B1019" s="6">
        <v>2</v>
      </c>
      <c r="C1019" s="27"/>
      <c r="D1019" s="7">
        <f t="shared" si="200"/>
        <v>2</v>
      </c>
      <c r="E1019" s="61">
        <v>45328</v>
      </c>
      <c r="G1019" s="43"/>
      <c r="H1019" s="6"/>
      <c r="I1019" s="27"/>
      <c r="J1019" s="35">
        <f t="shared" si="201"/>
        <v>0</v>
      </c>
    </row>
    <row r="1020" spans="1:10" x14ac:dyDescent="0.15">
      <c r="A1020" s="29" t="s">
        <v>112</v>
      </c>
      <c r="B1020" s="6">
        <v>1</v>
      </c>
      <c r="C1020" s="27"/>
      <c r="D1020" s="7">
        <f t="shared" si="200"/>
        <v>1</v>
      </c>
      <c r="E1020" s="61">
        <v>45329</v>
      </c>
      <c r="G1020" s="43"/>
      <c r="H1020" s="6"/>
      <c r="I1020" s="27"/>
      <c r="J1020" s="35">
        <f t="shared" si="201"/>
        <v>0</v>
      </c>
    </row>
    <row r="1021" spans="1:10" x14ac:dyDescent="0.15">
      <c r="A1021" s="29" t="s">
        <v>227</v>
      </c>
      <c r="B1021" s="6">
        <v>10</v>
      </c>
      <c r="C1021" s="27">
        <v>5</v>
      </c>
      <c r="D1021" s="7">
        <f t="shared" si="200"/>
        <v>15</v>
      </c>
      <c r="E1021" s="57">
        <v>45329</v>
      </c>
      <c r="G1021" s="43"/>
      <c r="H1021" s="6"/>
      <c r="I1021" s="27"/>
      <c r="J1021" s="35">
        <f t="shared" ref="J1021:J1022" si="202">SUM(H1021+I1021)</f>
        <v>0</v>
      </c>
    </row>
    <row r="1022" spans="1:10" ht="14.25" thickBot="1" x14ac:dyDescent="0.2">
      <c r="A1022" s="29" t="s">
        <v>112</v>
      </c>
      <c r="B1022" s="6">
        <v>2</v>
      </c>
      <c r="C1022" s="27">
        <v>1</v>
      </c>
      <c r="D1022" s="7">
        <f t="shared" si="200"/>
        <v>3</v>
      </c>
      <c r="E1022" s="61">
        <v>45331</v>
      </c>
      <c r="G1022" s="43"/>
      <c r="H1022" s="6"/>
      <c r="I1022" s="27"/>
      <c r="J1022" s="35">
        <f t="shared" si="202"/>
        <v>0</v>
      </c>
    </row>
    <row r="1023" spans="1:10" ht="14.25" thickBot="1" x14ac:dyDescent="0.2">
      <c r="A1023" s="9" t="s">
        <v>3</v>
      </c>
      <c r="B1023" s="10">
        <f>SUM(B999:B1022)</f>
        <v>57</v>
      </c>
      <c r="C1023" s="66">
        <f>SUM(C999:C1022)</f>
        <v>32</v>
      </c>
      <c r="D1023" s="11">
        <f>SUM(D999:D1022)</f>
        <v>89</v>
      </c>
      <c r="G1023" s="9" t="s">
        <v>3</v>
      </c>
      <c r="H1023" s="10">
        <f>SUM(H999:H1022)</f>
        <v>0</v>
      </c>
      <c r="I1023" s="66">
        <f>SUM(I999:I1022)</f>
        <v>0</v>
      </c>
      <c r="J1023" s="11">
        <f>SUM(J999:J1022)</f>
        <v>0</v>
      </c>
    </row>
    <row r="1024" spans="1:10" ht="14.25" thickBot="1" x14ac:dyDescent="0.2">
      <c r="A1024" s="14" t="s">
        <v>4</v>
      </c>
      <c r="B1024" s="16">
        <f>B998-B1023</f>
        <v>9</v>
      </c>
      <c r="C1024" s="16">
        <f>C998-C1023</f>
        <v>19</v>
      </c>
      <c r="D1024" s="84">
        <f>D998-D1023</f>
        <v>28</v>
      </c>
      <c r="G1024" s="14" t="s">
        <v>4</v>
      </c>
      <c r="H1024" s="16">
        <f>H998-H1023</f>
        <v>4321</v>
      </c>
      <c r="I1024" s="16">
        <f>I998-I1023</f>
        <v>3690</v>
      </c>
      <c r="J1024" s="16">
        <f>J998-J1023</f>
        <v>8011</v>
      </c>
    </row>
    <row r="1027" spans="1:11" ht="24" x14ac:dyDescent="0.25">
      <c r="A1027" s="25" t="s">
        <v>7</v>
      </c>
      <c r="B1027" s="1"/>
      <c r="C1027" s="1"/>
      <c r="D1027" s="1"/>
      <c r="G1027" s="25" t="s">
        <v>8</v>
      </c>
      <c r="H1027" s="1"/>
      <c r="I1027" s="1"/>
      <c r="J1027" s="1"/>
    </row>
    <row r="1028" spans="1:11" ht="14.25" thickBot="1" x14ac:dyDescent="0.2">
      <c r="A1028" s="1"/>
      <c r="B1028" s="1"/>
      <c r="C1028" s="1"/>
      <c r="D1028" s="1"/>
      <c r="G1028" s="1"/>
      <c r="H1028" s="1"/>
      <c r="I1028" s="1"/>
      <c r="J1028" s="1"/>
    </row>
    <row r="1029" spans="1:11" ht="14.25" thickBot="1" x14ac:dyDescent="0.2">
      <c r="A1029" s="2"/>
      <c r="B1029" s="50" t="s">
        <v>115</v>
      </c>
      <c r="C1029" s="50" t="s">
        <v>116</v>
      </c>
      <c r="D1029" s="2" t="s">
        <v>0</v>
      </c>
      <c r="G1029" s="2"/>
      <c r="H1029" s="50" t="s">
        <v>115</v>
      </c>
      <c r="I1029" s="50" t="s">
        <v>116</v>
      </c>
      <c r="J1029" s="2" t="s">
        <v>0</v>
      </c>
    </row>
    <row r="1030" spans="1:11" x14ac:dyDescent="0.15">
      <c r="A1030" s="32" t="s">
        <v>4</v>
      </c>
      <c r="B1030" s="48">
        <f>B1024</f>
        <v>9</v>
      </c>
      <c r="C1030" s="76">
        <f>C1024</f>
        <v>19</v>
      </c>
      <c r="D1030" s="47">
        <f>SUM(B1030+C1030)</f>
        <v>28</v>
      </c>
      <c r="G1030" s="13" t="s">
        <v>6</v>
      </c>
      <c r="H1030" s="48">
        <f>H1024</f>
        <v>4321</v>
      </c>
      <c r="I1030" s="80">
        <f>I1024</f>
        <v>3690</v>
      </c>
      <c r="J1030" s="47">
        <f>SUM(H1030+I1030)</f>
        <v>8011</v>
      </c>
    </row>
    <row r="1031" spans="1:11" x14ac:dyDescent="0.15">
      <c r="A1031" s="3" t="s">
        <v>1</v>
      </c>
      <c r="B1031" s="74">
        <v>15</v>
      </c>
      <c r="C1031" s="78">
        <v>5</v>
      </c>
      <c r="D1031" s="7">
        <f t="shared" ref="D1031:D1035" si="203">SUM(B1031+C1031)</f>
        <v>20</v>
      </c>
      <c r="E1031" s="57">
        <v>45336</v>
      </c>
      <c r="G1031" s="3" t="s">
        <v>1</v>
      </c>
      <c r="H1031" s="24"/>
      <c r="I1031" s="90"/>
      <c r="J1031" s="7">
        <f>SUM(H1031+I1031)</f>
        <v>0</v>
      </c>
    </row>
    <row r="1032" spans="1:11" x14ac:dyDescent="0.15">
      <c r="A1032" s="3" t="s">
        <v>1</v>
      </c>
      <c r="B1032" s="74">
        <v>15</v>
      </c>
      <c r="C1032" s="78">
        <v>5</v>
      </c>
      <c r="D1032" s="7">
        <f t="shared" si="203"/>
        <v>20</v>
      </c>
      <c r="E1032" s="57">
        <v>45343</v>
      </c>
      <c r="G1032" s="3" t="s">
        <v>1</v>
      </c>
      <c r="H1032" s="24"/>
      <c r="I1032" s="90"/>
      <c r="J1032" s="7">
        <f>SUM(H1032+I1032)</f>
        <v>0</v>
      </c>
    </row>
    <row r="1033" spans="1:11" x14ac:dyDescent="0.15">
      <c r="A1033" s="3" t="s">
        <v>1</v>
      </c>
      <c r="B1033" s="74">
        <v>25</v>
      </c>
      <c r="C1033" s="78">
        <v>10</v>
      </c>
      <c r="D1033" s="7">
        <f t="shared" si="203"/>
        <v>35</v>
      </c>
      <c r="E1033" s="57">
        <v>45355</v>
      </c>
      <c r="G1033" s="3" t="s">
        <v>1</v>
      </c>
      <c r="H1033" s="24"/>
      <c r="I1033" s="90"/>
      <c r="J1033" s="7">
        <f t="shared" ref="J1033:J1034" si="204">SUM(H1033+I1033)</f>
        <v>0</v>
      </c>
    </row>
    <row r="1034" spans="1:11" x14ac:dyDescent="0.15">
      <c r="A1034" s="3" t="s">
        <v>1</v>
      </c>
      <c r="B1034" s="74">
        <v>10</v>
      </c>
      <c r="C1034" s="78">
        <v>10</v>
      </c>
      <c r="D1034" s="7">
        <f t="shared" si="203"/>
        <v>20</v>
      </c>
      <c r="E1034" s="57">
        <v>45367</v>
      </c>
      <c r="G1034" s="3" t="s">
        <v>1</v>
      </c>
      <c r="H1034" s="24"/>
      <c r="I1034" s="90"/>
      <c r="J1034" s="7">
        <f t="shared" si="204"/>
        <v>0</v>
      </c>
    </row>
    <row r="1035" spans="1:11" ht="14.25" thickBot="1" x14ac:dyDescent="0.2">
      <c r="A1035" s="3" t="s">
        <v>1</v>
      </c>
      <c r="B1035" s="74">
        <v>10</v>
      </c>
      <c r="C1035" s="78"/>
      <c r="D1035" s="21">
        <f t="shared" si="203"/>
        <v>10</v>
      </c>
      <c r="E1035" s="57">
        <v>45370</v>
      </c>
      <c r="G1035" s="4" t="s">
        <v>1</v>
      </c>
      <c r="H1035" s="75"/>
      <c r="I1035" s="17"/>
      <c r="J1035" s="22">
        <f t="shared" ref="J1035" si="205">SUM(H1035+I1035)</f>
        <v>0</v>
      </c>
    </row>
    <row r="1036" spans="1:11" ht="14.25" thickBot="1" x14ac:dyDescent="0.2">
      <c r="A1036" s="14" t="s">
        <v>2</v>
      </c>
      <c r="B1036" s="16">
        <f>SUM(B1030:B1035)</f>
        <v>84</v>
      </c>
      <c r="C1036" s="83">
        <f>SUM(C1030:C1035)</f>
        <v>49</v>
      </c>
      <c r="D1036" s="84">
        <f>SUM(B1036+C1036)</f>
        <v>133</v>
      </c>
      <c r="G1036" s="14" t="s">
        <v>2</v>
      </c>
      <c r="H1036" s="84">
        <f>SUM(H1030:H1035)</f>
        <v>4321</v>
      </c>
      <c r="I1036" s="65">
        <f>SUM(I1030:I1035)</f>
        <v>3690</v>
      </c>
      <c r="J1036" s="18">
        <f>SUM(H1036+I1036)</f>
        <v>8011</v>
      </c>
    </row>
    <row r="1037" spans="1:11" x14ac:dyDescent="0.15">
      <c r="A1037" s="29" t="s">
        <v>272</v>
      </c>
      <c r="B1037" s="6">
        <v>1</v>
      </c>
      <c r="C1037" s="27">
        <v>1</v>
      </c>
      <c r="D1037" s="7">
        <f t="shared" ref="D1037:D1060" si="206">SUM(B1037+C1037)</f>
        <v>2</v>
      </c>
      <c r="E1037" s="61">
        <v>45336</v>
      </c>
      <c r="G1037" s="43" t="s">
        <v>274</v>
      </c>
      <c r="H1037" s="6">
        <v>25</v>
      </c>
      <c r="I1037" s="27">
        <v>10</v>
      </c>
      <c r="J1037" s="35">
        <f t="shared" ref="J1037:J1038" si="207">SUM(H1037+I1037)</f>
        <v>35</v>
      </c>
      <c r="K1037" s="57">
        <v>45355</v>
      </c>
    </row>
    <row r="1038" spans="1:11" x14ac:dyDescent="0.15">
      <c r="A1038" s="29" t="s">
        <v>112</v>
      </c>
      <c r="B1038" s="6">
        <v>3</v>
      </c>
      <c r="C1038" s="27"/>
      <c r="D1038" s="7">
        <f t="shared" si="206"/>
        <v>3</v>
      </c>
      <c r="E1038" s="61">
        <v>45335</v>
      </c>
      <c r="G1038" s="43" t="s">
        <v>21</v>
      </c>
      <c r="H1038" s="6">
        <v>10</v>
      </c>
      <c r="I1038" s="27">
        <v>10</v>
      </c>
      <c r="J1038" s="35">
        <f t="shared" si="207"/>
        <v>20</v>
      </c>
      <c r="K1038" s="57">
        <v>45367</v>
      </c>
    </row>
    <row r="1039" spans="1:11" x14ac:dyDescent="0.15">
      <c r="A1039" s="29" t="s">
        <v>112</v>
      </c>
      <c r="B1039" s="6">
        <v>2</v>
      </c>
      <c r="C1039" s="27">
        <v>2</v>
      </c>
      <c r="D1039" s="7">
        <f t="shared" si="206"/>
        <v>4</v>
      </c>
      <c r="E1039" s="61">
        <v>45336</v>
      </c>
      <c r="G1039" s="43" t="s">
        <v>21</v>
      </c>
      <c r="H1039" s="6">
        <v>10</v>
      </c>
      <c r="I1039" s="27"/>
      <c r="J1039" s="35">
        <f t="shared" ref="J1039:J1059" si="208">SUM(H1039+I1039)</f>
        <v>10</v>
      </c>
      <c r="K1039" s="57">
        <v>45370</v>
      </c>
    </row>
    <row r="1040" spans="1:11" x14ac:dyDescent="0.15">
      <c r="A1040" s="29" t="s">
        <v>112</v>
      </c>
      <c r="B1040" s="6">
        <v>1</v>
      </c>
      <c r="C1040" s="27"/>
      <c r="D1040" s="7">
        <f t="shared" si="206"/>
        <v>1</v>
      </c>
      <c r="E1040" s="57">
        <v>45338</v>
      </c>
      <c r="G1040" s="43" t="s">
        <v>21</v>
      </c>
      <c r="H1040" s="6">
        <v>10</v>
      </c>
      <c r="I1040" s="27">
        <v>10</v>
      </c>
      <c r="J1040" s="35">
        <f t="shared" si="208"/>
        <v>20</v>
      </c>
      <c r="K1040" s="57">
        <v>45377</v>
      </c>
    </row>
    <row r="1041" spans="1:12" x14ac:dyDescent="0.15">
      <c r="A1041" s="29" t="s">
        <v>112</v>
      </c>
      <c r="B1041" s="6">
        <v>5</v>
      </c>
      <c r="C1041" s="27"/>
      <c r="D1041" s="7">
        <f t="shared" si="206"/>
        <v>5</v>
      </c>
      <c r="E1041" s="57">
        <v>45341</v>
      </c>
      <c r="G1041" s="43" t="s">
        <v>21</v>
      </c>
      <c r="H1041" s="6">
        <v>10</v>
      </c>
      <c r="I1041" s="27">
        <v>15</v>
      </c>
      <c r="J1041" s="35">
        <f t="shared" si="208"/>
        <v>25</v>
      </c>
      <c r="K1041" s="57">
        <v>45381</v>
      </c>
      <c r="L1041" s="19"/>
    </row>
    <row r="1042" spans="1:12" x14ac:dyDescent="0.15">
      <c r="A1042" s="29" t="s">
        <v>112</v>
      </c>
      <c r="B1042" s="6">
        <f>1+4</f>
        <v>5</v>
      </c>
      <c r="C1042" s="27">
        <v>4</v>
      </c>
      <c r="D1042" s="7">
        <f t="shared" si="206"/>
        <v>9</v>
      </c>
      <c r="E1042" s="61">
        <v>45342</v>
      </c>
      <c r="G1042" s="43"/>
      <c r="H1042" s="6"/>
      <c r="I1042" s="27"/>
      <c r="J1042" s="35">
        <f t="shared" ref="J1042:J1044" si="209">SUM(H1042+I1042)</f>
        <v>0</v>
      </c>
      <c r="K1042" s="19"/>
      <c r="L1042" s="19"/>
    </row>
    <row r="1043" spans="1:12" x14ac:dyDescent="0.15">
      <c r="A1043" s="29" t="s">
        <v>112</v>
      </c>
      <c r="B1043" s="6">
        <v>3</v>
      </c>
      <c r="C1043" s="27">
        <v>1</v>
      </c>
      <c r="D1043" s="7">
        <f t="shared" si="206"/>
        <v>4</v>
      </c>
      <c r="E1043" s="61">
        <v>45344</v>
      </c>
      <c r="G1043" s="43"/>
      <c r="H1043" s="6"/>
      <c r="I1043" s="27"/>
      <c r="J1043" s="35">
        <f t="shared" si="209"/>
        <v>0</v>
      </c>
      <c r="K1043" s="19"/>
    </row>
    <row r="1044" spans="1:12" x14ac:dyDescent="0.15">
      <c r="A1044" s="29" t="s">
        <v>112</v>
      </c>
      <c r="B1044" s="6">
        <v>2</v>
      </c>
      <c r="C1044" s="27">
        <v>3</v>
      </c>
      <c r="D1044" s="7">
        <f t="shared" si="206"/>
        <v>5</v>
      </c>
      <c r="E1044" s="61">
        <v>45348</v>
      </c>
      <c r="G1044" s="43"/>
      <c r="H1044" s="6"/>
      <c r="I1044" s="27"/>
      <c r="J1044" s="35">
        <f t="shared" si="209"/>
        <v>0</v>
      </c>
      <c r="K1044" s="19"/>
    </row>
    <row r="1045" spans="1:12" x14ac:dyDescent="0.15">
      <c r="A1045" s="29" t="s">
        <v>112</v>
      </c>
      <c r="B1045" s="6">
        <v>2</v>
      </c>
      <c r="C1045" s="27"/>
      <c r="D1045" s="7">
        <f t="shared" si="206"/>
        <v>2</v>
      </c>
      <c r="E1045" s="61">
        <v>45349</v>
      </c>
      <c r="G1045" s="43"/>
      <c r="H1045" s="6"/>
      <c r="I1045" s="27"/>
      <c r="J1045" s="35">
        <f t="shared" si="208"/>
        <v>0</v>
      </c>
      <c r="K1045" s="19"/>
    </row>
    <row r="1046" spans="1:12" x14ac:dyDescent="0.15">
      <c r="A1046" s="29" t="s">
        <v>112</v>
      </c>
      <c r="B1046" s="6">
        <v>2</v>
      </c>
      <c r="C1046" s="27"/>
      <c r="D1046" s="7">
        <f t="shared" si="206"/>
        <v>2</v>
      </c>
      <c r="E1046" s="61">
        <v>45350</v>
      </c>
      <c r="G1046" s="43"/>
      <c r="H1046" s="6"/>
      <c r="I1046" s="27"/>
      <c r="J1046" s="35">
        <f t="shared" si="208"/>
        <v>0</v>
      </c>
      <c r="K1046" s="19"/>
    </row>
    <row r="1047" spans="1:12" x14ac:dyDescent="0.15">
      <c r="A1047" s="29" t="s">
        <v>112</v>
      </c>
      <c r="B1047" s="6"/>
      <c r="C1047" s="27">
        <f>3+2</f>
        <v>5</v>
      </c>
      <c r="D1047" s="7">
        <f t="shared" si="206"/>
        <v>5</v>
      </c>
      <c r="E1047" s="61">
        <v>45351</v>
      </c>
      <c r="G1047" s="43"/>
      <c r="H1047" s="6"/>
      <c r="I1047" s="27"/>
      <c r="J1047" s="35">
        <f t="shared" si="208"/>
        <v>0</v>
      </c>
      <c r="K1047" s="19"/>
    </row>
    <row r="1048" spans="1:12" x14ac:dyDescent="0.15">
      <c r="A1048" s="29" t="s">
        <v>112</v>
      </c>
      <c r="B1048" s="6">
        <v>1</v>
      </c>
      <c r="C1048" s="27"/>
      <c r="D1048" s="7">
        <f t="shared" si="206"/>
        <v>1</v>
      </c>
      <c r="E1048" s="57">
        <v>45353</v>
      </c>
      <c r="G1048" s="43"/>
      <c r="H1048" s="6"/>
      <c r="I1048" s="27"/>
      <c r="J1048" s="35">
        <f t="shared" si="208"/>
        <v>0</v>
      </c>
    </row>
    <row r="1049" spans="1:12" x14ac:dyDescent="0.15">
      <c r="A1049" s="29" t="s">
        <v>227</v>
      </c>
      <c r="B1049" s="6">
        <v>10</v>
      </c>
      <c r="C1049" s="27">
        <v>3</v>
      </c>
      <c r="D1049" s="7">
        <f t="shared" si="206"/>
        <v>13</v>
      </c>
      <c r="E1049" s="57">
        <v>45356</v>
      </c>
      <c r="G1049" s="43"/>
      <c r="H1049" s="6"/>
      <c r="I1049" s="27"/>
      <c r="J1049" s="35">
        <f t="shared" si="208"/>
        <v>0</v>
      </c>
    </row>
    <row r="1050" spans="1:12" x14ac:dyDescent="0.15">
      <c r="A1050" s="29" t="s">
        <v>112</v>
      </c>
      <c r="B1050" s="6">
        <v>2</v>
      </c>
      <c r="C1050" s="27"/>
      <c r="D1050" s="7">
        <f t="shared" si="206"/>
        <v>2</v>
      </c>
      <c r="E1050" s="61">
        <v>45356</v>
      </c>
      <c r="G1050" s="43"/>
      <c r="H1050" s="6"/>
      <c r="I1050" s="27"/>
      <c r="J1050" s="35">
        <f t="shared" si="208"/>
        <v>0</v>
      </c>
    </row>
    <row r="1051" spans="1:12" x14ac:dyDescent="0.15">
      <c r="A1051" s="29" t="s">
        <v>112</v>
      </c>
      <c r="B1051" s="6">
        <f>1+2</f>
        <v>3</v>
      </c>
      <c r="C1051" s="27"/>
      <c r="D1051" s="7">
        <f t="shared" si="206"/>
        <v>3</v>
      </c>
      <c r="E1051" s="61">
        <v>45357</v>
      </c>
      <c r="G1051" s="43"/>
      <c r="H1051" s="6"/>
      <c r="I1051" s="27"/>
      <c r="J1051" s="35">
        <f t="shared" si="208"/>
        <v>0</v>
      </c>
    </row>
    <row r="1052" spans="1:12" x14ac:dyDescent="0.15">
      <c r="A1052" s="29" t="s">
        <v>112</v>
      </c>
      <c r="B1052" s="6">
        <v>1</v>
      </c>
      <c r="C1052" s="27"/>
      <c r="D1052" s="7">
        <f t="shared" si="206"/>
        <v>1</v>
      </c>
      <c r="E1052" s="61">
        <v>45358</v>
      </c>
      <c r="G1052" s="43"/>
      <c r="H1052" s="6"/>
      <c r="I1052" s="27"/>
      <c r="J1052" s="35">
        <f t="shared" si="208"/>
        <v>0</v>
      </c>
    </row>
    <row r="1053" spans="1:12" x14ac:dyDescent="0.15">
      <c r="A1053" s="29" t="s">
        <v>112</v>
      </c>
      <c r="B1053" s="6"/>
      <c r="C1053" s="27">
        <v>1</v>
      </c>
      <c r="D1053" s="7">
        <f t="shared" si="206"/>
        <v>1</v>
      </c>
      <c r="E1053" s="61">
        <v>45359</v>
      </c>
      <c r="G1053" s="43"/>
      <c r="H1053" s="6"/>
      <c r="I1053" s="27"/>
      <c r="J1053" s="35">
        <f t="shared" si="208"/>
        <v>0</v>
      </c>
    </row>
    <row r="1054" spans="1:12" x14ac:dyDescent="0.15">
      <c r="A1054" s="29" t="s">
        <v>112</v>
      </c>
      <c r="B1054" s="6">
        <v>7</v>
      </c>
      <c r="C1054" s="27">
        <v>3</v>
      </c>
      <c r="D1054" s="7">
        <f t="shared" si="206"/>
        <v>10</v>
      </c>
      <c r="E1054" s="57">
        <v>45362</v>
      </c>
      <c r="G1054" s="43"/>
      <c r="H1054" s="6"/>
      <c r="I1054" s="27"/>
      <c r="J1054" s="35">
        <f t="shared" si="208"/>
        <v>0</v>
      </c>
    </row>
    <row r="1055" spans="1:12" x14ac:dyDescent="0.15">
      <c r="A1055" s="29" t="s">
        <v>112</v>
      </c>
      <c r="B1055" s="6">
        <v>2</v>
      </c>
      <c r="C1055" s="27"/>
      <c r="D1055" s="7">
        <f t="shared" si="206"/>
        <v>2</v>
      </c>
      <c r="E1055" s="61">
        <v>45363</v>
      </c>
      <c r="G1055" s="43"/>
      <c r="H1055" s="6"/>
      <c r="I1055" s="27"/>
      <c r="J1055" s="35">
        <f t="shared" si="208"/>
        <v>0</v>
      </c>
    </row>
    <row r="1056" spans="1:12" x14ac:dyDescent="0.15">
      <c r="A1056" s="29" t="s">
        <v>112</v>
      </c>
      <c r="B1056" s="6">
        <v>2</v>
      </c>
      <c r="C1056" s="27">
        <v>2</v>
      </c>
      <c r="D1056" s="7">
        <f t="shared" si="206"/>
        <v>4</v>
      </c>
      <c r="E1056" s="61">
        <v>45364</v>
      </c>
      <c r="G1056" s="43"/>
      <c r="H1056" s="6"/>
      <c r="I1056" s="27"/>
      <c r="J1056" s="35">
        <f t="shared" si="208"/>
        <v>0</v>
      </c>
    </row>
    <row r="1057" spans="1:10" x14ac:dyDescent="0.15">
      <c r="A1057" s="29" t="s">
        <v>112</v>
      </c>
      <c r="B1057" s="6">
        <v>2</v>
      </c>
      <c r="C1057" s="27">
        <f>2+1</f>
        <v>3</v>
      </c>
      <c r="D1057" s="7">
        <f t="shared" si="206"/>
        <v>5</v>
      </c>
      <c r="E1057" s="61">
        <v>45366</v>
      </c>
      <c r="G1057" s="43"/>
      <c r="H1057" s="6"/>
      <c r="I1057" s="27"/>
      <c r="J1057" s="35">
        <f t="shared" si="208"/>
        <v>0</v>
      </c>
    </row>
    <row r="1058" spans="1:10" x14ac:dyDescent="0.15">
      <c r="A1058" s="29" t="s">
        <v>112</v>
      </c>
      <c r="B1058" s="6">
        <v>6</v>
      </c>
      <c r="C1058" s="27"/>
      <c r="D1058" s="7">
        <f t="shared" si="206"/>
        <v>6</v>
      </c>
      <c r="E1058" s="61">
        <v>45369</v>
      </c>
      <c r="G1058" s="43"/>
      <c r="H1058" s="6"/>
      <c r="I1058" s="27"/>
      <c r="J1058" s="35">
        <f t="shared" si="208"/>
        <v>0</v>
      </c>
    </row>
    <row r="1059" spans="1:10" x14ac:dyDescent="0.15">
      <c r="A1059" s="29" t="s">
        <v>112</v>
      </c>
      <c r="B1059" s="6">
        <v>1</v>
      </c>
      <c r="C1059" s="27">
        <v>1</v>
      </c>
      <c r="D1059" s="7">
        <f t="shared" si="206"/>
        <v>2</v>
      </c>
      <c r="E1059" s="57">
        <v>45372</v>
      </c>
      <c r="G1059" s="43"/>
      <c r="H1059" s="6"/>
      <c r="I1059" s="27"/>
      <c r="J1059" s="35">
        <f t="shared" si="208"/>
        <v>0</v>
      </c>
    </row>
    <row r="1060" spans="1:10" ht="14.25" thickBot="1" x14ac:dyDescent="0.2">
      <c r="A1060" s="29" t="s">
        <v>112</v>
      </c>
      <c r="B1060" s="6">
        <v>2</v>
      </c>
      <c r="C1060" s="27">
        <v>3</v>
      </c>
      <c r="D1060" s="7">
        <f t="shared" si="206"/>
        <v>5</v>
      </c>
      <c r="E1060" s="61">
        <v>45373</v>
      </c>
      <c r="G1060" s="43"/>
      <c r="H1060" s="6"/>
      <c r="I1060" s="27"/>
      <c r="J1060" s="35">
        <f t="shared" ref="J1060" si="210">SUM(H1060+I1060)</f>
        <v>0</v>
      </c>
    </row>
    <row r="1061" spans="1:10" ht="14.25" thickBot="1" x14ac:dyDescent="0.2">
      <c r="A1061" s="9" t="s">
        <v>3</v>
      </c>
      <c r="B1061" s="10">
        <f>SUM(B1037:B1060)</f>
        <v>65</v>
      </c>
      <c r="C1061" s="66">
        <f>SUM(C1037:C1060)</f>
        <v>32</v>
      </c>
      <c r="D1061" s="11">
        <f>SUM(D1037:D1060)</f>
        <v>97</v>
      </c>
      <c r="G1061" s="9" t="s">
        <v>3</v>
      </c>
      <c r="H1061" s="10">
        <f>SUM(H1037:H1060)</f>
        <v>65</v>
      </c>
      <c r="I1061" s="66">
        <f>SUM(I1037:I1060)</f>
        <v>45</v>
      </c>
      <c r="J1061" s="11">
        <f>SUM(J1037:J1060)</f>
        <v>110</v>
      </c>
    </row>
    <row r="1062" spans="1:10" ht="14.25" thickBot="1" x14ac:dyDescent="0.2">
      <c r="A1062" s="14" t="s">
        <v>4</v>
      </c>
      <c r="B1062" s="16">
        <f>B1036-B1061</f>
        <v>19</v>
      </c>
      <c r="C1062" s="16">
        <f>C1036-C1061</f>
        <v>17</v>
      </c>
      <c r="D1062" s="84">
        <f>D1036-D1061</f>
        <v>36</v>
      </c>
      <c r="G1062" s="14" t="s">
        <v>4</v>
      </c>
      <c r="H1062" s="16">
        <f>H1036-H1061</f>
        <v>4256</v>
      </c>
      <c r="I1062" s="16">
        <f>I1036-I1061</f>
        <v>3645</v>
      </c>
      <c r="J1062" s="16">
        <f>J1036-J1061</f>
        <v>7901</v>
      </c>
    </row>
    <row r="1065" spans="1:10" ht="24" x14ac:dyDescent="0.25">
      <c r="A1065" s="25" t="s">
        <v>7</v>
      </c>
      <c r="B1065" s="1"/>
      <c r="C1065" s="1"/>
      <c r="D1065" s="1"/>
      <c r="G1065" s="25" t="s">
        <v>8</v>
      </c>
      <c r="H1065" s="1"/>
      <c r="I1065" s="1"/>
      <c r="J1065" s="1"/>
    </row>
    <row r="1066" spans="1:10" ht="14.25" thickBot="1" x14ac:dyDescent="0.2">
      <c r="A1066" s="1"/>
      <c r="B1066" s="1"/>
      <c r="C1066" s="1"/>
      <c r="D1066" s="1"/>
      <c r="G1066" s="1"/>
      <c r="H1066" s="1"/>
      <c r="I1066" s="1"/>
      <c r="J1066" s="1"/>
    </row>
    <row r="1067" spans="1:10" ht="14.25" thickBot="1" x14ac:dyDescent="0.2">
      <c r="A1067" s="2"/>
      <c r="B1067" s="50" t="s">
        <v>115</v>
      </c>
      <c r="C1067" s="50" t="s">
        <v>116</v>
      </c>
      <c r="D1067" s="2" t="s">
        <v>0</v>
      </c>
      <c r="G1067" s="2"/>
      <c r="H1067" s="50" t="s">
        <v>115</v>
      </c>
      <c r="I1067" s="50" t="s">
        <v>116</v>
      </c>
      <c r="J1067" s="2" t="s">
        <v>0</v>
      </c>
    </row>
    <row r="1068" spans="1:10" x14ac:dyDescent="0.15">
      <c r="A1068" s="32" t="s">
        <v>4</v>
      </c>
      <c r="B1068" s="48">
        <f>B1062</f>
        <v>19</v>
      </c>
      <c r="C1068" s="76">
        <f>C1062</f>
        <v>17</v>
      </c>
      <c r="D1068" s="47">
        <f>SUM(B1068+C1068)</f>
        <v>36</v>
      </c>
      <c r="G1068" s="13" t="s">
        <v>6</v>
      </c>
      <c r="H1068" s="48">
        <f>H1062</f>
        <v>4256</v>
      </c>
      <c r="I1068" s="80">
        <f>I1062</f>
        <v>3645</v>
      </c>
      <c r="J1068" s="47">
        <f>SUM(H1068+I1068)</f>
        <v>7901</v>
      </c>
    </row>
    <row r="1069" spans="1:10" x14ac:dyDescent="0.15">
      <c r="A1069" s="3" t="s">
        <v>1</v>
      </c>
      <c r="B1069" s="74">
        <v>10</v>
      </c>
      <c r="C1069" s="78">
        <v>10</v>
      </c>
      <c r="D1069" s="7">
        <f t="shared" ref="D1069:D1073" si="211">SUM(B1069+C1069)</f>
        <v>20</v>
      </c>
      <c r="E1069" s="57">
        <v>45377</v>
      </c>
      <c r="G1069" s="3" t="s">
        <v>1</v>
      </c>
      <c r="H1069" s="24"/>
      <c r="I1069" s="90"/>
      <c r="J1069" s="7">
        <f>SUM(H1069+I1069)</f>
        <v>0</v>
      </c>
    </row>
    <row r="1070" spans="1:10" x14ac:dyDescent="0.15">
      <c r="A1070" s="3" t="s">
        <v>1</v>
      </c>
      <c r="B1070" s="74">
        <v>10</v>
      </c>
      <c r="C1070" s="78">
        <v>15</v>
      </c>
      <c r="D1070" s="7">
        <f t="shared" si="211"/>
        <v>25</v>
      </c>
      <c r="E1070" s="57">
        <v>45381</v>
      </c>
      <c r="G1070" s="3" t="s">
        <v>1</v>
      </c>
      <c r="H1070" s="24"/>
      <c r="I1070" s="90"/>
      <c r="J1070" s="7">
        <f>SUM(H1070+I1070)</f>
        <v>0</v>
      </c>
    </row>
    <row r="1071" spans="1:10" x14ac:dyDescent="0.15">
      <c r="A1071" s="3" t="s">
        <v>1</v>
      </c>
      <c r="B1071" s="74">
        <v>15</v>
      </c>
      <c r="C1071" s="78"/>
      <c r="D1071" s="7">
        <f t="shared" si="211"/>
        <v>15</v>
      </c>
      <c r="E1071" s="57">
        <v>45386</v>
      </c>
      <c r="G1071" s="3" t="s">
        <v>1</v>
      </c>
      <c r="H1071" s="24"/>
      <c r="I1071" s="90"/>
      <c r="J1071" s="7">
        <f t="shared" ref="J1071:J1073" si="212">SUM(H1071+I1071)</f>
        <v>0</v>
      </c>
    </row>
    <row r="1072" spans="1:10" x14ac:dyDescent="0.15">
      <c r="A1072" s="3" t="s">
        <v>1</v>
      </c>
      <c r="B1072" s="74">
        <v>10</v>
      </c>
      <c r="C1072" s="78">
        <v>10</v>
      </c>
      <c r="D1072" s="7">
        <f t="shared" si="211"/>
        <v>20</v>
      </c>
      <c r="E1072" s="57">
        <v>45388</v>
      </c>
      <c r="G1072" s="3" t="s">
        <v>1</v>
      </c>
      <c r="H1072" s="24"/>
      <c r="I1072" s="90"/>
      <c r="J1072" s="7">
        <f t="shared" si="212"/>
        <v>0</v>
      </c>
    </row>
    <row r="1073" spans="1:13" ht="14.25" thickBot="1" x14ac:dyDescent="0.2">
      <c r="A1073" s="3" t="s">
        <v>1</v>
      </c>
      <c r="B1073" s="74">
        <v>20</v>
      </c>
      <c r="C1073" s="78">
        <v>10</v>
      </c>
      <c r="D1073" s="21">
        <f t="shared" si="211"/>
        <v>30</v>
      </c>
      <c r="E1073" s="57">
        <v>45394</v>
      </c>
      <c r="G1073" s="4" t="s">
        <v>1</v>
      </c>
      <c r="H1073" s="75"/>
      <c r="I1073" s="17"/>
      <c r="J1073" s="22">
        <f t="shared" si="212"/>
        <v>0</v>
      </c>
    </row>
    <row r="1074" spans="1:13" ht="14.25" thickBot="1" x14ac:dyDescent="0.2">
      <c r="A1074" s="14" t="s">
        <v>2</v>
      </c>
      <c r="B1074" s="16">
        <f>SUM(B1068:B1073)</f>
        <v>84</v>
      </c>
      <c r="C1074" s="83">
        <f>SUM(C1068:C1073)</f>
        <v>62</v>
      </c>
      <c r="D1074" s="84">
        <f>SUM(B1074+C1074)</f>
        <v>146</v>
      </c>
      <c r="G1074" s="14" t="s">
        <v>2</v>
      </c>
      <c r="H1074" s="84">
        <f>SUM(H1068:H1073)</f>
        <v>4256</v>
      </c>
      <c r="I1074" s="65">
        <f>SUM(I1068:I1073)</f>
        <v>3645</v>
      </c>
      <c r="J1074" s="18">
        <f>SUM(H1074+I1074)</f>
        <v>7901</v>
      </c>
    </row>
    <row r="1075" spans="1:13" x14ac:dyDescent="0.15">
      <c r="A1075" s="29" t="s">
        <v>112</v>
      </c>
      <c r="B1075" s="6">
        <v>4</v>
      </c>
      <c r="C1075" s="27">
        <v>4</v>
      </c>
      <c r="D1075" s="7">
        <f t="shared" ref="D1075:D1098" si="213">SUM(B1075+C1075)</f>
        <v>8</v>
      </c>
      <c r="E1075" s="61">
        <v>45376</v>
      </c>
      <c r="G1075" s="43" t="s">
        <v>21</v>
      </c>
      <c r="H1075" s="6">
        <v>15</v>
      </c>
      <c r="I1075" s="27"/>
      <c r="J1075" s="35">
        <f t="shared" ref="J1075:J1077" si="214">SUM(H1075+I1075)</f>
        <v>15</v>
      </c>
      <c r="K1075" s="57">
        <v>45386</v>
      </c>
    </row>
    <row r="1076" spans="1:13" x14ac:dyDescent="0.15">
      <c r="A1076" s="29" t="s">
        <v>112</v>
      </c>
      <c r="B1076" s="6"/>
      <c r="C1076" s="27">
        <v>2</v>
      </c>
      <c r="D1076" s="7">
        <f t="shared" si="213"/>
        <v>2</v>
      </c>
      <c r="E1076" s="57">
        <v>45377</v>
      </c>
      <c r="G1076" s="43" t="s">
        <v>21</v>
      </c>
      <c r="H1076" s="6">
        <v>10</v>
      </c>
      <c r="I1076" s="27">
        <v>10</v>
      </c>
      <c r="J1076" s="35">
        <f t="shared" si="214"/>
        <v>20</v>
      </c>
      <c r="K1076" s="57">
        <v>45388</v>
      </c>
    </row>
    <row r="1077" spans="1:13" x14ac:dyDescent="0.15">
      <c r="A1077" s="29" t="s">
        <v>227</v>
      </c>
      <c r="B1077" s="6">
        <v>8</v>
      </c>
      <c r="C1077" s="27">
        <v>8</v>
      </c>
      <c r="D1077" s="7">
        <f t="shared" si="213"/>
        <v>16</v>
      </c>
      <c r="E1077" s="57">
        <v>45378</v>
      </c>
      <c r="G1077" s="43" t="s">
        <v>21</v>
      </c>
      <c r="H1077" s="6">
        <v>20</v>
      </c>
      <c r="I1077" s="27">
        <v>10</v>
      </c>
      <c r="J1077" s="35">
        <f t="shared" si="214"/>
        <v>30</v>
      </c>
      <c r="K1077" s="57">
        <v>45394</v>
      </c>
    </row>
    <row r="1078" spans="1:13" x14ac:dyDescent="0.15">
      <c r="A1078" s="29" t="s">
        <v>112</v>
      </c>
      <c r="B1078" s="6">
        <v>2</v>
      </c>
      <c r="C1078" s="27">
        <v>2</v>
      </c>
      <c r="D1078" s="7">
        <f t="shared" si="213"/>
        <v>4</v>
      </c>
      <c r="E1078" s="57">
        <v>45378</v>
      </c>
      <c r="G1078" s="43" t="s">
        <v>282</v>
      </c>
      <c r="H1078" s="6">
        <v>100</v>
      </c>
      <c r="I1078" s="27">
        <v>50</v>
      </c>
      <c r="J1078" s="35">
        <f t="shared" ref="J1078:J1096" si="215">SUM(H1078+I1078)</f>
        <v>150</v>
      </c>
      <c r="K1078" s="57">
        <v>45400</v>
      </c>
      <c r="L1078" s="19"/>
    </row>
    <row r="1079" spans="1:13" x14ac:dyDescent="0.15">
      <c r="A1079" s="29" t="s">
        <v>112</v>
      </c>
      <c r="B1079" s="6">
        <v>8</v>
      </c>
      <c r="C1079" s="27">
        <v>2</v>
      </c>
      <c r="D1079" s="7">
        <f t="shared" si="213"/>
        <v>10</v>
      </c>
      <c r="E1079" s="57">
        <v>45383</v>
      </c>
      <c r="G1079" s="43" t="s">
        <v>21</v>
      </c>
      <c r="H1079" s="6">
        <v>10</v>
      </c>
      <c r="I1079" s="27">
        <v>5</v>
      </c>
      <c r="J1079" s="35">
        <f t="shared" si="215"/>
        <v>15</v>
      </c>
      <c r="K1079" s="57">
        <v>45400</v>
      </c>
    </row>
    <row r="1080" spans="1:13" x14ac:dyDescent="0.15">
      <c r="A1080" s="29" t="s">
        <v>112</v>
      </c>
      <c r="B1080" s="6">
        <v>1</v>
      </c>
      <c r="C1080" s="27"/>
      <c r="D1080" s="7">
        <f t="shared" si="213"/>
        <v>1</v>
      </c>
      <c r="E1080" s="61">
        <v>45385</v>
      </c>
      <c r="G1080" s="43" t="s">
        <v>21</v>
      </c>
      <c r="H1080" s="6">
        <v>100</v>
      </c>
      <c r="I1080" s="27">
        <v>100</v>
      </c>
      <c r="J1080" s="35">
        <f t="shared" si="215"/>
        <v>200</v>
      </c>
      <c r="K1080" s="57">
        <v>45402</v>
      </c>
    </row>
    <row r="1081" spans="1:13" x14ac:dyDescent="0.15">
      <c r="A1081" s="29" t="s">
        <v>227</v>
      </c>
      <c r="B1081" s="6">
        <v>10</v>
      </c>
      <c r="C1081" s="27">
        <v>10</v>
      </c>
      <c r="D1081" s="7">
        <f t="shared" si="213"/>
        <v>20</v>
      </c>
      <c r="E1081" s="57">
        <v>45385</v>
      </c>
      <c r="G1081" s="43" t="s">
        <v>284</v>
      </c>
      <c r="H1081" s="6">
        <v>100</v>
      </c>
      <c r="I1081" s="27">
        <v>150</v>
      </c>
      <c r="J1081" s="35">
        <f t="shared" si="215"/>
        <v>250</v>
      </c>
      <c r="K1081" s="57">
        <v>45414</v>
      </c>
    </row>
    <row r="1082" spans="1:13" x14ac:dyDescent="0.15">
      <c r="A1082" s="29" t="s">
        <v>112</v>
      </c>
      <c r="B1082" s="6">
        <f>2+2</f>
        <v>4</v>
      </c>
      <c r="C1082" s="27"/>
      <c r="D1082" s="7">
        <f t="shared" si="213"/>
        <v>4</v>
      </c>
      <c r="E1082" s="61">
        <v>45386</v>
      </c>
      <c r="G1082" s="43" t="s">
        <v>285</v>
      </c>
      <c r="H1082" s="6">
        <v>30</v>
      </c>
      <c r="I1082" s="27"/>
      <c r="J1082" s="35">
        <f t="shared" si="215"/>
        <v>30</v>
      </c>
      <c r="K1082" s="57">
        <v>45415</v>
      </c>
      <c r="L1082" s="19"/>
      <c r="M1082" s="19"/>
    </row>
    <row r="1083" spans="1:13" x14ac:dyDescent="0.15">
      <c r="A1083" s="29" t="s">
        <v>112</v>
      </c>
      <c r="B1083" s="6">
        <v>1</v>
      </c>
      <c r="C1083" s="27">
        <v>2</v>
      </c>
      <c r="D1083" s="7">
        <f t="shared" si="213"/>
        <v>3</v>
      </c>
      <c r="E1083" s="61">
        <v>45387</v>
      </c>
      <c r="G1083" s="43" t="s">
        <v>21</v>
      </c>
      <c r="H1083" s="6">
        <v>50</v>
      </c>
      <c r="I1083" s="27"/>
      <c r="J1083" s="35">
        <f t="shared" si="215"/>
        <v>50</v>
      </c>
      <c r="K1083" s="57">
        <v>45419</v>
      </c>
      <c r="L1083" s="19"/>
      <c r="M1083" s="19"/>
    </row>
    <row r="1084" spans="1:13" x14ac:dyDescent="0.15">
      <c r="A1084" s="29" t="s">
        <v>112</v>
      </c>
      <c r="B1084" s="6">
        <f>4+2</f>
        <v>6</v>
      </c>
      <c r="C1084" s="27">
        <v>1</v>
      </c>
      <c r="D1084" s="7">
        <f t="shared" si="213"/>
        <v>7</v>
      </c>
      <c r="E1084" s="61">
        <v>45390</v>
      </c>
      <c r="G1084" s="43" t="s">
        <v>21</v>
      </c>
      <c r="H1084" s="6">
        <v>50</v>
      </c>
      <c r="I1084" s="27">
        <v>50</v>
      </c>
      <c r="J1084" s="35">
        <f t="shared" si="215"/>
        <v>100</v>
      </c>
      <c r="K1084" s="57">
        <v>45423</v>
      </c>
    </row>
    <row r="1085" spans="1:13" x14ac:dyDescent="0.15">
      <c r="A1085" s="29" t="s">
        <v>112</v>
      </c>
      <c r="B1085" s="6">
        <v>3</v>
      </c>
      <c r="C1085" s="27"/>
      <c r="D1085" s="7">
        <f t="shared" si="213"/>
        <v>3</v>
      </c>
      <c r="E1085" s="61">
        <v>45391</v>
      </c>
      <c r="G1085" s="43" t="s">
        <v>21</v>
      </c>
      <c r="H1085" s="6">
        <v>50</v>
      </c>
      <c r="I1085" s="27">
        <v>30</v>
      </c>
      <c r="J1085" s="35">
        <f t="shared" si="215"/>
        <v>80</v>
      </c>
      <c r="K1085" s="57">
        <v>45437</v>
      </c>
    </row>
    <row r="1086" spans="1:13" x14ac:dyDescent="0.15">
      <c r="A1086" s="29" t="s">
        <v>112</v>
      </c>
      <c r="B1086" s="6">
        <v>2</v>
      </c>
      <c r="C1086" s="27"/>
      <c r="D1086" s="7">
        <f t="shared" si="213"/>
        <v>2</v>
      </c>
      <c r="E1086" s="57">
        <v>45392</v>
      </c>
      <c r="G1086" s="43"/>
      <c r="H1086" s="6"/>
      <c r="I1086" s="27"/>
      <c r="J1086" s="35">
        <f t="shared" si="215"/>
        <v>0</v>
      </c>
      <c r="K1086" s="19"/>
    </row>
    <row r="1087" spans="1:13" x14ac:dyDescent="0.15">
      <c r="A1087" s="29" t="s">
        <v>227</v>
      </c>
      <c r="B1087" s="6">
        <v>10</v>
      </c>
      <c r="C1087" s="27">
        <v>5</v>
      </c>
      <c r="D1087" s="7">
        <f t="shared" si="213"/>
        <v>15</v>
      </c>
      <c r="E1087" s="57">
        <v>45394</v>
      </c>
      <c r="G1087" s="43"/>
      <c r="H1087" s="6"/>
      <c r="I1087" s="27"/>
      <c r="J1087" s="35">
        <f t="shared" si="215"/>
        <v>0</v>
      </c>
      <c r="K1087" s="19"/>
    </row>
    <row r="1088" spans="1:13" x14ac:dyDescent="0.15">
      <c r="A1088" s="29" t="s">
        <v>112</v>
      </c>
      <c r="B1088" s="6">
        <v>4</v>
      </c>
      <c r="C1088" s="27">
        <f>1+1</f>
        <v>2</v>
      </c>
      <c r="D1088" s="7">
        <f t="shared" si="213"/>
        <v>6</v>
      </c>
      <c r="E1088" s="61">
        <v>45397</v>
      </c>
      <c r="G1088" s="43"/>
      <c r="H1088" s="6"/>
      <c r="I1088" s="27"/>
      <c r="J1088" s="35">
        <f t="shared" si="215"/>
        <v>0</v>
      </c>
      <c r="K1088" s="19"/>
    </row>
    <row r="1089" spans="1:11" x14ac:dyDescent="0.15">
      <c r="A1089" s="29" t="s">
        <v>112</v>
      </c>
      <c r="B1089" s="6">
        <v>5</v>
      </c>
      <c r="C1089" s="27">
        <v>6</v>
      </c>
      <c r="D1089" s="7">
        <f t="shared" si="213"/>
        <v>11</v>
      </c>
      <c r="E1089" s="61">
        <v>45398</v>
      </c>
      <c r="G1089" s="43"/>
      <c r="H1089" s="6"/>
      <c r="I1089" s="27"/>
      <c r="J1089" s="35">
        <f t="shared" si="215"/>
        <v>0</v>
      </c>
    </row>
    <row r="1090" spans="1:11" x14ac:dyDescent="0.15">
      <c r="A1090" s="29" t="s">
        <v>112</v>
      </c>
      <c r="B1090" s="6">
        <v>6</v>
      </c>
      <c r="C1090" s="27">
        <v>1</v>
      </c>
      <c r="D1090" s="7">
        <f t="shared" si="213"/>
        <v>7</v>
      </c>
      <c r="E1090" s="61">
        <v>45399</v>
      </c>
      <c r="G1090" s="43"/>
      <c r="H1090" s="6"/>
      <c r="I1090" s="27"/>
      <c r="J1090" s="35">
        <f t="shared" si="215"/>
        <v>0</v>
      </c>
    </row>
    <row r="1091" spans="1:11" x14ac:dyDescent="0.15">
      <c r="A1091" s="29" t="s">
        <v>283</v>
      </c>
      <c r="B1091" s="6">
        <v>-10</v>
      </c>
      <c r="C1091" s="27">
        <v>-5</v>
      </c>
      <c r="D1091" s="7">
        <f t="shared" si="213"/>
        <v>-15</v>
      </c>
      <c r="E1091" s="57">
        <v>45400</v>
      </c>
      <c r="G1091" s="43"/>
      <c r="H1091" s="6"/>
      <c r="I1091" s="27"/>
      <c r="J1091" s="35">
        <f t="shared" si="215"/>
        <v>0</v>
      </c>
    </row>
    <row r="1092" spans="1:11" x14ac:dyDescent="0.15">
      <c r="A1092" s="29" t="s">
        <v>112</v>
      </c>
      <c r="B1092" s="6"/>
      <c r="C1092" s="27">
        <v>3</v>
      </c>
      <c r="D1092" s="7">
        <f t="shared" si="213"/>
        <v>3</v>
      </c>
      <c r="E1092" s="57">
        <v>45400</v>
      </c>
      <c r="G1092" s="43"/>
      <c r="H1092" s="6"/>
      <c r="I1092" s="27"/>
      <c r="J1092" s="35">
        <f t="shared" si="215"/>
        <v>0</v>
      </c>
    </row>
    <row r="1093" spans="1:11" x14ac:dyDescent="0.15">
      <c r="A1093" s="29" t="s">
        <v>227</v>
      </c>
      <c r="B1093" s="6">
        <v>20</v>
      </c>
      <c r="C1093" s="27">
        <v>10</v>
      </c>
      <c r="D1093" s="7">
        <f t="shared" si="213"/>
        <v>30</v>
      </c>
      <c r="E1093" s="57">
        <v>45402</v>
      </c>
      <c r="G1093" s="43"/>
      <c r="H1093" s="6"/>
      <c r="I1093" s="27"/>
      <c r="J1093" s="35">
        <f t="shared" si="215"/>
        <v>0</v>
      </c>
    </row>
    <row r="1094" spans="1:11" x14ac:dyDescent="0.15">
      <c r="A1094" s="29" t="s">
        <v>218</v>
      </c>
      <c r="B1094" s="6">
        <v>-100</v>
      </c>
      <c r="C1094" s="27">
        <v>-100</v>
      </c>
      <c r="D1094" s="7">
        <f t="shared" si="213"/>
        <v>-200</v>
      </c>
      <c r="E1094" s="61">
        <v>45402</v>
      </c>
      <c r="G1094" s="43"/>
      <c r="H1094" s="6"/>
      <c r="I1094" s="27"/>
      <c r="J1094" s="35">
        <f t="shared" si="215"/>
        <v>0</v>
      </c>
    </row>
    <row r="1095" spans="1:11" x14ac:dyDescent="0.15">
      <c r="A1095" s="29" t="s">
        <v>227</v>
      </c>
      <c r="B1095" s="6">
        <v>30</v>
      </c>
      <c r="C1095" s="27">
        <v>15</v>
      </c>
      <c r="D1095" s="7">
        <f t="shared" si="213"/>
        <v>45</v>
      </c>
      <c r="E1095" s="57">
        <v>45405</v>
      </c>
      <c r="G1095" s="43"/>
      <c r="H1095" s="6"/>
      <c r="I1095" s="27"/>
      <c r="J1095" s="35">
        <f t="shared" si="215"/>
        <v>0</v>
      </c>
    </row>
    <row r="1096" spans="1:11" x14ac:dyDescent="0.15">
      <c r="A1096" s="29" t="s">
        <v>112</v>
      </c>
      <c r="B1096" s="6">
        <v>9</v>
      </c>
      <c r="C1096" s="27">
        <v>5</v>
      </c>
      <c r="D1096" s="7">
        <f t="shared" si="213"/>
        <v>14</v>
      </c>
      <c r="E1096" s="57">
        <v>45404</v>
      </c>
      <c r="G1096" s="43"/>
      <c r="H1096" s="6"/>
      <c r="I1096" s="27"/>
      <c r="J1096" s="35">
        <f t="shared" si="215"/>
        <v>0</v>
      </c>
    </row>
    <row r="1097" spans="1:11" x14ac:dyDescent="0.15">
      <c r="A1097" s="29" t="s">
        <v>112</v>
      </c>
      <c r="B1097" s="6">
        <v>2</v>
      </c>
      <c r="C1097" s="27"/>
      <c r="D1097" s="7">
        <f t="shared" si="213"/>
        <v>2</v>
      </c>
      <c r="E1097" s="57">
        <v>45405</v>
      </c>
      <c r="G1097" s="106" t="s">
        <v>278</v>
      </c>
      <c r="H1097" s="98">
        <v>0</v>
      </c>
      <c r="I1097" s="99">
        <v>0</v>
      </c>
      <c r="J1097" s="100">
        <f t="shared" ref="J1097" si="216">SUM(H1097+I1097)</f>
        <v>0</v>
      </c>
      <c r="K1097" s="19"/>
    </row>
    <row r="1098" spans="1:11" ht="14.25" thickBot="1" x14ac:dyDescent="0.2">
      <c r="A1098" s="29" t="s">
        <v>112</v>
      </c>
      <c r="B1098" s="6"/>
      <c r="C1098" s="27">
        <v>1</v>
      </c>
      <c r="D1098" s="7">
        <f t="shared" si="213"/>
        <v>1</v>
      </c>
      <c r="E1098" s="57">
        <v>45406</v>
      </c>
      <c r="G1098" s="43" t="s">
        <v>269</v>
      </c>
      <c r="H1098" s="6">
        <f>220-100-100-20</f>
        <v>0</v>
      </c>
      <c r="I1098" s="27">
        <f>150-50-100</f>
        <v>0</v>
      </c>
      <c r="J1098" s="35">
        <f t="shared" ref="J1098" si="217">SUM(H1098+I1098)</f>
        <v>0</v>
      </c>
      <c r="K1098" s="19" t="s">
        <v>273</v>
      </c>
    </row>
    <row r="1099" spans="1:11" ht="14.25" thickBot="1" x14ac:dyDescent="0.2">
      <c r="A1099" s="9" t="s">
        <v>3</v>
      </c>
      <c r="B1099" s="10">
        <f>SUM(B1075:B1098)</f>
        <v>25</v>
      </c>
      <c r="C1099" s="66">
        <f>SUM(C1075:C1098)</f>
        <v>-26</v>
      </c>
      <c r="D1099" s="11">
        <f>SUM(D1075:D1098)</f>
        <v>-1</v>
      </c>
      <c r="G1099" s="9" t="s">
        <v>3</v>
      </c>
      <c r="H1099" s="10">
        <f>SUM(H1075:H1098)</f>
        <v>535</v>
      </c>
      <c r="I1099" s="66">
        <f>SUM(I1075:I1098)</f>
        <v>405</v>
      </c>
      <c r="J1099" s="11">
        <f>SUM(J1075:J1098)</f>
        <v>940</v>
      </c>
    </row>
    <row r="1100" spans="1:11" ht="14.25" thickBot="1" x14ac:dyDescent="0.2">
      <c r="A1100" s="14" t="s">
        <v>4</v>
      </c>
      <c r="B1100" s="16">
        <f>B1074-B1099</f>
        <v>59</v>
      </c>
      <c r="C1100" s="16">
        <f>C1074-C1099</f>
        <v>88</v>
      </c>
      <c r="D1100" s="84">
        <f>D1074-D1099</f>
        <v>147</v>
      </c>
      <c r="G1100" s="14" t="s">
        <v>4</v>
      </c>
      <c r="H1100" s="16">
        <f>H1074-H1099</f>
        <v>3721</v>
      </c>
      <c r="I1100" s="16">
        <f>I1074-I1099</f>
        <v>3240</v>
      </c>
      <c r="J1100" s="16">
        <f>J1074-J1099</f>
        <v>6961</v>
      </c>
    </row>
    <row r="1103" spans="1:11" ht="24" x14ac:dyDescent="0.25">
      <c r="A1103" s="25" t="s">
        <v>7</v>
      </c>
      <c r="B1103" s="1"/>
      <c r="C1103" s="1"/>
      <c r="D1103" s="1"/>
      <c r="G1103" s="25" t="s">
        <v>8</v>
      </c>
      <c r="H1103" s="1"/>
      <c r="I1103" s="1"/>
      <c r="J1103" s="1"/>
    </row>
    <row r="1104" spans="1:11" ht="14.25" thickBot="1" x14ac:dyDescent="0.2">
      <c r="A1104" s="1"/>
      <c r="B1104" s="1"/>
      <c r="C1104" s="1"/>
      <c r="D1104" s="1"/>
      <c r="G1104" s="1"/>
      <c r="H1104" s="1"/>
      <c r="I1104" s="1"/>
      <c r="J1104" s="1"/>
    </row>
    <row r="1105" spans="1:13" ht="14.25" thickBot="1" x14ac:dyDescent="0.2">
      <c r="A1105" s="2"/>
      <c r="B1105" s="50" t="s">
        <v>115</v>
      </c>
      <c r="C1105" s="50" t="s">
        <v>116</v>
      </c>
      <c r="D1105" s="2" t="s">
        <v>0</v>
      </c>
      <c r="G1105" s="2"/>
      <c r="H1105" s="50" t="s">
        <v>115</v>
      </c>
      <c r="I1105" s="50" t="s">
        <v>116</v>
      </c>
      <c r="J1105" s="2" t="s">
        <v>0</v>
      </c>
    </row>
    <row r="1106" spans="1:13" x14ac:dyDescent="0.15">
      <c r="A1106" s="32" t="s">
        <v>4</v>
      </c>
      <c r="B1106" s="48">
        <f>B1100</f>
        <v>59</v>
      </c>
      <c r="C1106" s="76">
        <f>C1100</f>
        <v>88</v>
      </c>
      <c r="D1106" s="47">
        <f>SUM(B1106+C1106)</f>
        <v>147</v>
      </c>
      <c r="G1106" s="13" t="s">
        <v>6</v>
      </c>
      <c r="H1106" s="48">
        <f>H1100</f>
        <v>3721</v>
      </c>
      <c r="I1106" s="80">
        <f>I1100</f>
        <v>3240</v>
      </c>
      <c r="J1106" s="47">
        <f>SUM(H1106+I1106)</f>
        <v>6961</v>
      </c>
    </row>
    <row r="1107" spans="1:13" x14ac:dyDescent="0.15">
      <c r="A1107" s="3" t="s">
        <v>1</v>
      </c>
      <c r="B1107" s="74">
        <v>50</v>
      </c>
      <c r="C1107" s="78"/>
      <c r="D1107" s="7">
        <f t="shared" ref="D1107" si="218">SUM(B1107+C1107)</f>
        <v>50</v>
      </c>
      <c r="E1107" s="57">
        <v>45419</v>
      </c>
      <c r="G1107" s="3" t="s">
        <v>1</v>
      </c>
      <c r="H1107" s="24"/>
      <c r="I1107" s="90"/>
      <c r="J1107" s="7">
        <f>SUM(H1107+I1107)</f>
        <v>0</v>
      </c>
    </row>
    <row r="1108" spans="1:13" x14ac:dyDescent="0.15">
      <c r="A1108" s="3" t="s">
        <v>1</v>
      </c>
      <c r="B1108" s="74">
        <v>50</v>
      </c>
      <c r="C1108" s="78">
        <v>50</v>
      </c>
      <c r="D1108" s="7">
        <f t="shared" ref="D1108:D1111" si="219">SUM(B1108+C1108)</f>
        <v>100</v>
      </c>
      <c r="E1108" s="57">
        <v>45423</v>
      </c>
      <c r="G1108" s="3" t="s">
        <v>1</v>
      </c>
      <c r="H1108" s="24"/>
      <c r="I1108" s="90"/>
      <c r="J1108" s="7">
        <f>SUM(H1108+I1108)</f>
        <v>0</v>
      </c>
    </row>
    <row r="1109" spans="1:13" x14ac:dyDescent="0.15">
      <c r="A1109" s="3" t="s">
        <v>1</v>
      </c>
      <c r="B1109" s="74">
        <v>50</v>
      </c>
      <c r="C1109" s="78">
        <v>30</v>
      </c>
      <c r="D1109" s="7">
        <f t="shared" si="219"/>
        <v>80</v>
      </c>
      <c r="E1109" s="57">
        <v>45437</v>
      </c>
      <c r="G1109" s="3" t="s">
        <v>1</v>
      </c>
      <c r="H1109" s="24"/>
      <c r="I1109" s="90"/>
      <c r="J1109" s="7">
        <f t="shared" ref="J1109:J1111" si="220">SUM(H1109+I1109)</f>
        <v>0</v>
      </c>
    </row>
    <row r="1110" spans="1:13" x14ac:dyDescent="0.15">
      <c r="A1110" s="29" t="s">
        <v>292</v>
      </c>
      <c r="B1110" s="6">
        <v>1</v>
      </c>
      <c r="C1110" s="27">
        <v>1</v>
      </c>
      <c r="D1110" s="7">
        <f t="shared" si="219"/>
        <v>2</v>
      </c>
      <c r="E1110" s="61">
        <v>45444</v>
      </c>
      <c r="G1110" s="3" t="s">
        <v>1</v>
      </c>
      <c r="H1110" s="24"/>
      <c r="I1110" s="90"/>
      <c r="J1110" s="7">
        <f t="shared" si="220"/>
        <v>0</v>
      </c>
    </row>
    <row r="1111" spans="1:13" ht="14.25" thickBot="1" x14ac:dyDescent="0.2">
      <c r="A1111" s="3" t="s">
        <v>1</v>
      </c>
      <c r="B1111" s="74">
        <v>8</v>
      </c>
      <c r="C1111" s="78">
        <v>-9</v>
      </c>
      <c r="D1111" s="21">
        <f t="shared" si="219"/>
        <v>-1</v>
      </c>
      <c r="G1111" s="4" t="s">
        <v>1</v>
      </c>
      <c r="H1111" s="75"/>
      <c r="I1111" s="17"/>
      <c r="J1111" s="22">
        <f t="shared" si="220"/>
        <v>0</v>
      </c>
    </row>
    <row r="1112" spans="1:13" ht="14.25" thickBot="1" x14ac:dyDescent="0.2">
      <c r="A1112" s="14" t="s">
        <v>2</v>
      </c>
      <c r="B1112" s="16">
        <f>SUM(B1106:B1111)</f>
        <v>218</v>
      </c>
      <c r="C1112" s="83">
        <f>SUM(C1106:C1111)</f>
        <v>160</v>
      </c>
      <c r="D1112" s="84">
        <f>SUM(B1112+C1112)</f>
        <v>378</v>
      </c>
      <c r="G1112" s="14" t="s">
        <v>2</v>
      </c>
      <c r="H1112" s="84">
        <f>SUM(H1106:H1111)</f>
        <v>3721</v>
      </c>
      <c r="I1112" s="65">
        <f>SUM(I1106:I1111)</f>
        <v>3240</v>
      </c>
      <c r="J1112" s="18">
        <f>SUM(H1112+I1112)</f>
        <v>6961</v>
      </c>
    </row>
    <row r="1113" spans="1:13" x14ac:dyDescent="0.15">
      <c r="A1113" s="29" t="s">
        <v>112</v>
      </c>
      <c r="B1113" s="6">
        <v>2</v>
      </c>
      <c r="C1113" s="27">
        <v>3</v>
      </c>
      <c r="D1113" s="7">
        <f t="shared" ref="D1113" si="221">SUM(B1113+C1113)</f>
        <v>5</v>
      </c>
      <c r="E1113" s="61">
        <v>45407</v>
      </c>
      <c r="G1113" s="43" t="s">
        <v>291</v>
      </c>
      <c r="H1113" s="6">
        <v>22</v>
      </c>
      <c r="I1113" s="27">
        <v>22</v>
      </c>
      <c r="J1113" s="35">
        <f t="shared" ref="J1113:J1136" si="222">SUM(H1113+I1113)</f>
        <v>44</v>
      </c>
      <c r="K1113" s="57">
        <v>45446</v>
      </c>
      <c r="L1113" s="19"/>
      <c r="M1113" s="19"/>
    </row>
    <row r="1114" spans="1:13" x14ac:dyDescent="0.15">
      <c r="A1114" s="29" t="s">
        <v>112</v>
      </c>
      <c r="B1114" s="6">
        <f>1+4</f>
        <v>5</v>
      </c>
      <c r="C1114" s="27">
        <v>2</v>
      </c>
      <c r="D1114" s="7">
        <f t="shared" ref="D1114:D1136" si="223">SUM(B1114+C1114)</f>
        <v>7</v>
      </c>
      <c r="E1114" s="57">
        <v>45408</v>
      </c>
      <c r="G1114" s="43" t="s">
        <v>294</v>
      </c>
      <c r="H1114" s="6">
        <v>100</v>
      </c>
      <c r="I1114" s="27"/>
      <c r="J1114" s="35">
        <f t="shared" si="222"/>
        <v>100</v>
      </c>
      <c r="K1114" s="57">
        <v>45449</v>
      </c>
      <c r="L1114" s="19"/>
      <c r="M1114" s="19"/>
    </row>
    <row r="1115" spans="1:13" x14ac:dyDescent="0.15">
      <c r="A1115" s="29" t="s">
        <v>227</v>
      </c>
      <c r="B1115" s="6"/>
      <c r="C1115" s="27">
        <v>10</v>
      </c>
      <c r="D1115" s="7">
        <f t="shared" si="223"/>
        <v>10</v>
      </c>
      <c r="E1115" s="57">
        <v>45413</v>
      </c>
      <c r="G1115" s="43" t="s">
        <v>295</v>
      </c>
      <c r="H1115" s="6">
        <v>20</v>
      </c>
      <c r="I1115" s="27"/>
      <c r="J1115" s="35">
        <f t="shared" si="222"/>
        <v>20</v>
      </c>
      <c r="K1115" s="57">
        <v>45451</v>
      </c>
      <c r="L1115" s="19"/>
      <c r="M1115" s="19"/>
    </row>
    <row r="1116" spans="1:13" x14ac:dyDescent="0.15">
      <c r="A1116" s="29" t="s">
        <v>112</v>
      </c>
      <c r="B1116" s="6">
        <f>5+3+9+4</f>
        <v>21</v>
      </c>
      <c r="C1116" s="27">
        <f>4+12</f>
        <v>16</v>
      </c>
      <c r="D1116" s="7">
        <f t="shared" si="223"/>
        <v>37</v>
      </c>
      <c r="E1116" s="61">
        <v>45412</v>
      </c>
      <c r="G1116" s="43" t="s">
        <v>296</v>
      </c>
      <c r="H1116" s="6">
        <v>44</v>
      </c>
      <c r="I1116" s="27">
        <v>44</v>
      </c>
      <c r="J1116" s="35">
        <f t="shared" ref="J1116" si="224">SUM(H1116+I1116)</f>
        <v>88</v>
      </c>
      <c r="K1116" s="57">
        <v>45460</v>
      </c>
      <c r="L1116" s="19"/>
      <c r="M1116" s="19"/>
    </row>
    <row r="1117" spans="1:13" x14ac:dyDescent="0.15">
      <c r="A1117" s="29" t="s">
        <v>112</v>
      </c>
      <c r="B1117" s="6">
        <f>3+1</f>
        <v>4</v>
      </c>
      <c r="C1117" s="27">
        <v>1</v>
      </c>
      <c r="D1117" s="7">
        <f t="shared" si="223"/>
        <v>5</v>
      </c>
      <c r="E1117" s="61">
        <v>45413</v>
      </c>
      <c r="G1117" s="43"/>
      <c r="H1117" s="6"/>
      <c r="I1117" s="27"/>
      <c r="J1117" s="35">
        <f t="shared" si="222"/>
        <v>0</v>
      </c>
      <c r="K1117" s="19"/>
      <c r="L1117" s="19"/>
      <c r="M1117" s="19"/>
    </row>
    <row r="1118" spans="1:13" x14ac:dyDescent="0.15">
      <c r="A1118" s="29" t="s">
        <v>112</v>
      </c>
      <c r="B1118" s="6">
        <v>1</v>
      </c>
      <c r="C1118" s="27"/>
      <c r="D1118" s="7">
        <f t="shared" si="223"/>
        <v>1</v>
      </c>
      <c r="E1118" s="61">
        <v>45414</v>
      </c>
      <c r="G1118" s="43"/>
      <c r="H1118" s="6"/>
      <c r="I1118" s="27"/>
      <c r="J1118" s="35">
        <f t="shared" si="222"/>
        <v>0</v>
      </c>
    </row>
    <row r="1119" spans="1:13" x14ac:dyDescent="0.15">
      <c r="A1119" s="29" t="s">
        <v>112</v>
      </c>
      <c r="B1119" s="6">
        <f>4+9</f>
        <v>13</v>
      </c>
      <c r="C1119" s="27">
        <v>1</v>
      </c>
      <c r="D1119" s="7">
        <f t="shared" si="223"/>
        <v>14</v>
      </c>
      <c r="E1119" s="61">
        <v>45419</v>
      </c>
      <c r="G1119" s="43"/>
      <c r="H1119" s="6"/>
      <c r="I1119" s="27"/>
      <c r="J1119" s="35">
        <f t="shared" si="222"/>
        <v>0</v>
      </c>
    </row>
    <row r="1120" spans="1:13" x14ac:dyDescent="0.15">
      <c r="A1120" s="29" t="s">
        <v>112</v>
      </c>
      <c r="B1120" s="6">
        <v>4</v>
      </c>
      <c r="C1120" s="27">
        <f>2+2</f>
        <v>4</v>
      </c>
      <c r="D1120" s="7">
        <f t="shared" si="223"/>
        <v>8</v>
      </c>
      <c r="E1120" s="61">
        <v>45420</v>
      </c>
      <c r="G1120" s="43"/>
      <c r="H1120" s="6"/>
      <c r="I1120" s="27"/>
      <c r="J1120" s="35">
        <f t="shared" si="222"/>
        <v>0</v>
      </c>
    </row>
    <row r="1121" spans="1:11" x14ac:dyDescent="0.15">
      <c r="A1121" s="29" t="s">
        <v>112</v>
      </c>
      <c r="B1121" s="6"/>
      <c r="C1121" s="27">
        <v>2</v>
      </c>
      <c r="D1121" s="7">
        <f t="shared" si="223"/>
        <v>2</v>
      </c>
      <c r="E1121" s="61">
        <v>45421</v>
      </c>
      <c r="G1121" s="43"/>
      <c r="H1121" s="6"/>
      <c r="I1121" s="27"/>
      <c r="J1121" s="35">
        <f t="shared" si="222"/>
        <v>0</v>
      </c>
    </row>
    <row r="1122" spans="1:11" x14ac:dyDescent="0.15">
      <c r="A1122" s="29" t="s">
        <v>112</v>
      </c>
      <c r="B1122" s="6">
        <v>8</v>
      </c>
      <c r="C1122" s="27">
        <v>7</v>
      </c>
      <c r="D1122" s="7">
        <f t="shared" si="223"/>
        <v>15</v>
      </c>
      <c r="E1122" s="61">
        <v>45422</v>
      </c>
      <c r="G1122" s="43"/>
      <c r="H1122" s="6"/>
      <c r="I1122" s="27"/>
      <c r="J1122" s="35">
        <f t="shared" si="222"/>
        <v>0</v>
      </c>
    </row>
    <row r="1123" spans="1:11" x14ac:dyDescent="0.15">
      <c r="A1123" s="29" t="s">
        <v>112</v>
      </c>
      <c r="B1123" s="6">
        <v>3</v>
      </c>
      <c r="C1123" s="27">
        <v>2</v>
      </c>
      <c r="D1123" s="7">
        <f t="shared" si="223"/>
        <v>5</v>
      </c>
      <c r="E1123" s="61">
        <v>45423</v>
      </c>
      <c r="G1123" s="43"/>
      <c r="H1123" s="6"/>
      <c r="I1123" s="27"/>
      <c r="J1123" s="35">
        <f t="shared" si="222"/>
        <v>0</v>
      </c>
    </row>
    <row r="1124" spans="1:11" x14ac:dyDescent="0.15">
      <c r="A1124" s="29" t="s">
        <v>112</v>
      </c>
      <c r="B1124" s="6">
        <f>2+4</f>
        <v>6</v>
      </c>
      <c r="C1124" s="27">
        <v>3</v>
      </c>
      <c r="D1124" s="7">
        <f t="shared" si="223"/>
        <v>9</v>
      </c>
      <c r="E1124" s="61">
        <v>45425</v>
      </c>
      <c r="G1124" s="43"/>
      <c r="H1124" s="6"/>
      <c r="I1124" s="27"/>
      <c r="J1124" s="35">
        <f t="shared" si="222"/>
        <v>0</v>
      </c>
    </row>
    <row r="1125" spans="1:11" x14ac:dyDescent="0.15">
      <c r="A1125" s="29" t="s">
        <v>112</v>
      </c>
      <c r="B1125" s="6">
        <v>3</v>
      </c>
      <c r="C1125" s="27">
        <v>2</v>
      </c>
      <c r="D1125" s="7">
        <f t="shared" si="223"/>
        <v>5</v>
      </c>
      <c r="E1125" s="61">
        <v>45427</v>
      </c>
      <c r="G1125" s="43"/>
      <c r="H1125" s="6"/>
      <c r="I1125" s="27"/>
      <c r="J1125" s="35">
        <f t="shared" si="222"/>
        <v>0</v>
      </c>
    </row>
    <row r="1126" spans="1:11" x14ac:dyDescent="0.15">
      <c r="A1126" s="29" t="s">
        <v>112</v>
      </c>
      <c r="B1126" s="6">
        <v>4</v>
      </c>
      <c r="C1126" s="27">
        <f>2+3</f>
        <v>5</v>
      </c>
      <c r="D1126" s="7">
        <f t="shared" si="223"/>
        <v>9</v>
      </c>
      <c r="E1126" s="61">
        <v>45428</v>
      </c>
      <c r="G1126" s="43"/>
      <c r="H1126" s="6"/>
      <c r="I1126" s="27"/>
      <c r="J1126" s="35">
        <f t="shared" si="222"/>
        <v>0</v>
      </c>
    </row>
    <row r="1127" spans="1:11" x14ac:dyDescent="0.15">
      <c r="A1127" s="29" t="s">
        <v>112</v>
      </c>
      <c r="B1127" s="6">
        <v>2</v>
      </c>
      <c r="C1127" s="27"/>
      <c r="D1127" s="7">
        <f t="shared" si="223"/>
        <v>2</v>
      </c>
      <c r="E1127" s="61">
        <v>45429</v>
      </c>
      <c r="G1127" s="43"/>
      <c r="H1127" s="6"/>
      <c r="I1127" s="27"/>
      <c r="J1127" s="35">
        <f t="shared" si="222"/>
        <v>0</v>
      </c>
    </row>
    <row r="1128" spans="1:11" x14ac:dyDescent="0.15">
      <c r="A1128" s="29" t="s">
        <v>112</v>
      </c>
      <c r="B1128" s="6">
        <f>9+12+2</f>
        <v>23</v>
      </c>
      <c r="C1128" s="27">
        <v>2</v>
      </c>
      <c r="D1128" s="7">
        <f t="shared" si="223"/>
        <v>25</v>
      </c>
      <c r="E1128" s="61">
        <v>45432</v>
      </c>
      <c r="G1128" s="43"/>
      <c r="H1128" s="6"/>
      <c r="I1128" s="27"/>
      <c r="J1128" s="35">
        <f t="shared" si="222"/>
        <v>0</v>
      </c>
    </row>
    <row r="1129" spans="1:11" x14ac:dyDescent="0.15">
      <c r="A1129" s="29" t="s">
        <v>112</v>
      </c>
      <c r="B1129" s="6">
        <v>1</v>
      </c>
      <c r="C1129" s="27"/>
      <c r="D1129" s="7">
        <f t="shared" si="223"/>
        <v>1</v>
      </c>
      <c r="E1129" s="61">
        <v>45433</v>
      </c>
      <c r="G1129" s="43"/>
      <c r="H1129" s="6"/>
      <c r="I1129" s="27"/>
      <c r="J1129" s="35">
        <f t="shared" si="222"/>
        <v>0</v>
      </c>
    </row>
    <row r="1130" spans="1:11" x14ac:dyDescent="0.15">
      <c r="A1130" s="29" t="s">
        <v>112</v>
      </c>
      <c r="B1130" s="6">
        <f>1+2</f>
        <v>3</v>
      </c>
      <c r="C1130" s="27">
        <v>2</v>
      </c>
      <c r="D1130" s="7">
        <f t="shared" si="223"/>
        <v>5</v>
      </c>
      <c r="E1130" s="61">
        <v>45434</v>
      </c>
      <c r="G1130" s="43"/>
      <c r="H1130" s="6"/>
      <c r="I1130" s="27"/>
      <c r="J1130" s="35">
        <f t="shared" si="222"/>
        <v>0</v>
      </c>
    </row>
    <row r="1131" spans="1:11" x14ac:dyDescent="0.15">
      <c r="A1131" s="29" t="s">
        <v>112</v>
      </c>
      <c r="B1131" s="6">
        <v>2</v>
      </c>
      <c r="C1131" s="27">
        <v>1</v>
      </c>
      <c r="D1131" s="7">
        <f t="shared" si="223"/>
        <v>3</v>
      </c>
      <c r="E1131" s="61">
        <v>45435</v>
      </c>
      <c r="G1131" s="43"/>
      <c r="H1131" s="6"/>
      <c r="I1131" s="27"/>
      <c r="J1131" s="35">
        <f t="shared" ref="J1131:J1133" si="225">SUM(H1131+I1131)</f>
        <v>0</v>
      </c>
    </row>
    <row r="1132" spans="1:11" x14ac:dyDescent="0.15">
      <c r="A1132" s="29" t="s">
        <v>112</v>
      </c>
      <c r="B1132" s="6">
        <v>2</v>
      </c>
      <c r="C1132" s="27">
        <v>2</v>
      </c>
      <c r="D1132" s="7">
        <f t="shared" si="223"/>
        <v>4</v>
      </c>
      <c r="E1132" s="61">
        <v>45436</v>
      </c>
      <c r="G1132" s="43"/>
      <c r="H1132" s="6"/>
      <c r="I1132" s="27"/>
      <c r="J1132" s="35">
        <f t="shared" si="225"/>
        <v>0</v>
      </c>
    </row>
    <row r="1133" spans="1:11" x14ac:dyDescent="0.15">
      <c r="A1133" s="29" t="s">
        <v>227</v>
      </c>
      <c r="B1133" s="6">
        <v>10</v>
      </c>
      <c r="C1133" s="27"/>
      <c r="D1133" s="7">
        <f t="shared" si="223"/>
        <v>10</v>
      </c>
      <c r="E1133" s="57">
        <v>45440</v>
      </c>
      <c r="G1133" s="43"/>
      <c r="H1133" s="6"/>
      <c r="I1133" s="27"/>
      <c r="J1133" s="35">
        <f t="shared" si="225"/>
        <v>0</v>
      </c>
    </row>
    <row r="1134" spans="1:11" x14ac:dyDescent="0.15">
      <c r="A1134" s="29" t="s">
        <v>112</v>
      </c>
      <c r="B1134" s="6">
        <f>7+1</f>
        <v>8</v>
      </c>
      <c r="C1134" s="27">
        <f>2+2</f>
        <v>4</v>
      </c>
      <c r="D1134" s="7">
        <f t="shared" si="223"/>
        <v>12</v>
      </c>
      <c r="E1134" s="57">
        <v>45439</v>
      </c>
      <c r="G1134" s="106" t="s">
        <v>279</v>
      </c>
      <c r="H1134" s="98"/>
      <c r="I1134" s="99"/>
      <c r="J1134" s="100">
        <f t="shared" si="222"/>
        <v>0</v>
      </c>
      <c r="K1134" s="19"/>
    </row>
    <row r="1135" spans="1:11" x14ac:dyDescent="0.15">
      <c r="A1135" s="29" t="s">
        <v>112</v>
      </c>
      <c r="B1135" s="6">
        <v>1</v>
      </c>
      <c r="C1135" s="27">
        <v>1</v>
      </c>
      <c r="D1135" s="7">
        <f t="shared" si="223"/>
        <v>2</v>
      </c>
      <c r="E1135" s="61">
        <v>45440</v>
      </c>
      <c r="G1135" s="43" t="s">
        <v>280</v>
      </c>
      <c r="H1135" s="6"/>
      <c r="I1135" s="27"/>
      <c r="J1135" s="35">
        <f t="shared" si="222"/>
        <v>0</v>
      </c>
      <c r="K1135" s="19" t="s">
        <v>281</v>
      </c>
    </row>
    <row r="1136" spans="1:11" ht="14.25" thickBot="1" x14ac:dyDescent="0.2">
      <c r="A1136" s="29" t="s">
        <v>112</v>
      </c>
      <c r="B1136" s="6">
        <v>11</v>
      </c>
      <c r="C1136" s="27">
        <v>2</v>
      </c>
      <c r="D1136" s="7">
        <f t="shared" si="223"/>
        <v>13</v>
      </c>
      <c r="E1136" s="61">
        <v>45442</v>
      </c>
      <c r="G1136" s="43" t="s">
        <v>275</v>
      </c>
      <c r="H1136" s="6"/>
      <c r="I1136" s="27"/>
      <c r="J1136" s="35">
        <f t="shared" si="222"/>
        <v>0</v>
      </c>
      <c r="K1136" s="19" t="s">
        <v>276</v>
      </c>
    </row>
    <row r="1137" spans="1:13" ht="14.25" thickBot="1" x14ac:dyDescent="0.2">
      <c r="A1137" s="9" t="s">
        <v>3</v>
      </c>
      <c r="B1137" s="10">
        <f>SUM(B1113:B1136)</f>
        <v>137</v>
      </c>
      <c r="C1137" s="66">
        <f>SUM(C1113:C1136)</f>
        <v>72</v>
      </c>
      <c r="D1137" s="11">
        <f>SUM(D1113:D1136)</f>
        <v>209</v>
      </c>
      <c r="G1137" s="9" t="s">
        <v>3</v>
      </c>
      <c r="H1137" s="10">
        <f>SUM(H1113:H1136)</f>
        <v>186</v>
      </c>
      <c r="I1137" s="66">
        <f>SUM(I1113:I1136)</f>
        <v>66</v>
      </c>
      <c r="J1137" s="11">
        <f>SUM(J1113:J1136)</f>
        <v>252</v>
      </c>
    </row>
    <row r="1138" spans="1:13" ht="14.25" thickBot="1" x14ac:dyDescent="0.2">
      <c r="A1138" s="14" t="s">
        <v>4</v>
      </c>
      <c r="B1138" s="16">
        <f>B1112-B1137</f>
        <v>81</v>
      </c>
      <c r="C1138" s="16">
        <f>C1112-C1137</f>
        <v>88</v>
      </c>
      <c r="D1138" s="84">
        <f>D1112-D1137</f>
        <v>169</v>
      </c>
      <c r="G1138" s="14" t="s">
        <v>4</v>
      </c>
      <c r="H1138" s="16">
        <f>H1112-H1137</f>
        <v>3535</v>
      </c>
      <c r="I1138" s="16">
        <f>I1112-I1137</f>
        <v>3174</v>
      </c>
      <c r="J1138" s="16">
        <f>J1112-J1137</f>
        <v>6709</v>
      </c>
    </row>
    <row r="1141" spans="1:13" ht="24" x14ac:dyDescent="0.25">
      <c r="A1141" s="25" t="s">
        <v>7</v>
      </c>
      <c r="B1141" s="1"/>
      <c r="C1141" s="1"/>
      <c r="D1141" s="1"/>
      <c r="G1141" s="25" t="s">
        <v>8</v>
      </c>
      <c r="H1141" s="1"/>
      <c r="I1141" s="1"/>
      <c r="J1141" s="1"/>
    </row>
    <row r="1142" spans="1:13" ht="14.25" thickBot="1" x14ac:dyDescent="0.2">
      <c r="A1142" s="1"/>
      <c r="B1142" s="1"/>
      <c r="C1142" s="1"/>
      <c r="D1142" s="1"/>
      <c r="G1142" s="1"/>
      <c r="H1142" s="1"/>
      <c r="I1142" s="1"/>
      <c r="J1142" s="1"/>
    </row>
    <row r="1143" spans="1:13" ht="14.25" thickBot="1" x14ac:dyDescent="0.2">
      <c r="A1143" s="2"/>
      <c r="B1143" s="50" t="s">
        <v>115</v>
      </c>
      <c r="C1143" s="50" t="s">
        <v>116</v>
      </c>
      <c r="D1143" s="2" t="s">
        <v>0</v>
      </c>
      <c r="G1143" s="2"/>
      <c r="H1143" s="50" t="s">
        <v>115</v>
      </c>
      <c r="I1143" s="50" t="s">
        <v>116</v>
      </c>
      <c r="J1143" s="2" t="s">
        <v>0</v>
      </c>
    </row>
    <row r="1144" spans="1:13" x14ac:dyDescent="0.15">
      <c r="A1144" s="32" t="s">
        <v>4</v>
      </c>
      <c r="B1144" s="48">
        <f>B1138</f>
        <v>81</v>
      </c>
      <c r="C1144" s="76">
        <f>C1138</f>
        <v>88</v>
      </c>
      <c r="D1144" s="47">
        <f>SUM(B1144+C1144)</f>
        <v>169</v>
      </c>
      <c r="G1144" s="13" t="s">
        <v>6</v>
      </c>
      <c r="H1144" s="48">
        <f>H1138</f>
        <v>3535</v>
      </c>
      <c r="I1144" s="80">
        <f>I1138</f>
        <v>3174</v>
      </c>
      <c r="J1144" s="47">
        <f>SUM(H1144+I1144)</f>
        <v>6709</v>
      </c>
    </row>
    <row r="1145" spans="1:13" x14ac:dyDescent="0.15">
      <c r="A1145" s="3" t="s">
        <v>1</v>
      </c>
      <c r="B1145" s="74">
        <v>50</v>
      </c>
      <c r="C1145" s="78"/>
      <c r="D1145" s="7">
        <f t="shared" ref="D1145:D1146" si="226">SUM(B1145+C1145)</f>
        <v>50</v>
      </c>
      <c r="E1145" s="57">
        <v>45453</v>
      </c>
      <c r="G1145" s="3" t="s">
        <v>1</v>
      </c>
      <c r="H1145" s="24"/>
      <c r="I1145" s="90"/>
      <c r="J1145" s="7">
        <f>SUM(H1145+I1145)</f>
        <v>0</v>
      </c>
    </row>
    <row r="1146" spans="1:13" x14ac:dyDescent="0.15">
      <c r="A1146" s="3" t="s">
        <v>244</v>
      </c>
      <c r="B1146" s="74">
        <v>3</v>
      </c>
      <c r="C1146" s="78">
        <v>4</v>
      </c>
      <c r="D1146" s="7">
        <f t="shared" si="226"/>
        <v>7</v>
      </c>
      <c r="E1146" s="57">
        <v>45456</v>
      </c>
      <c r="G1146" s="3" t="s">
        <v>1</v>
      </c>
      <c r="H1146" s="24"/>
      <c r="I1146" s="90"/>
      <c r="J1146" s="7">
        <f>SUM(H1146+I1146)</f>
        <v>0</v>
      </c>
    </row>
    <row r="1147" spans="1:13" x14ac:dyDescent="0.15">
      <c r="A1147" s="3" t="s">
        <v>1</v>
      </c>
      <c r="B1147" s="74">
        <v>50</v>
      </c>
      <c r="C1147" s="78">
        <v>50</v>
      </c>
      <c r="D1147" s="7">
        <f t="shared" ref="D1147:D1149" si="227">SUM(B1147+C1147)</f>
        <v>100</v>
      </c>
      <c r="E1147" s="57">
        <v>45467</v>
      </c>
      <c r="G1147" s="3" t="s">
        <v>1</v>
      </c>
      <c r="H1147" s="24"/>
      <c r="I1147" s="90"/>
      <c r="J1147" s="7">
        <f t="shared" ref="J1147:J1149" si="228">SUM(H1147+I1147)</f>
        <v>0</v>
      </c>
    </row>
    <row r="1148" spans="1:13" x14ac:dyDescent="0.15">
      <c r="A1148" s="3" t="s">
        <v>1</v>
      </c>
      <c r="B1148" s="74"/>
      <c r="C1148" s="78"/>
      <c r="D1148" s="7">
        <f t="shared" si="227"/>
        <v>0</v>
      </c>
      <c r="G1148" s="3" t="s">
        <v>1</v>
      </c>
      <c r="H1148" s="24"/>
      <c r="I1148" s="90"/>
      <c r="J1148" s="7">
        <f t="shared" si="228"/>
        <v>0</v>
      </c>
    </row>
    <row r="1149" spans="1:13" ht="14.25" thickBot="1" x14ac:dyDescent="0.2">
      <c r="A1149" s="3" t="s">
        <v>1</v>
      </c>
      <c r="B1149" s="74"/>
      <c r="C1149" s="78"/>
      <c r="D1149" s="21">
        <f t="shared" si="227"/>
        <v>0</v>
      </c>
      <c r="G1149" s="4" t="s">
        <v>1</v>
      </c>
      <c r="H1149" s="75"/>
      <c r="I1149" s="17"/>
      <c r="J1149" s="22">
        <f t="shared" si="228"/>
        <v>0</v>
      </c>
    </row>
    <row r="1150" spans="1:13" ht="14.25" thickBot="1" x14ac:dyDescent="0.2">
      <c r="A1150" s="14" t="s">
        <v>2</v>
      </c>
      <c r="B1150" s="16">
        <f>SUM(B1144:B1149)</f>
        <v>184</v>
      </c>
      <c r="C1150" s="83">
        <f>SUM(C1144:C1149)</f>
        <v>142</v>
      </c>
      <c r="D1150" s="84">
        <f>SUM(B1150+C1150)</f>
        <v>326</v>
      </c>
      <c r="G1150" s="14" t="s">
        <v>2</v>
      </c>
      <c r="H1150" s="84">
        <f>SUM(H1144:H1149)</f>
        <v>3535</v>
      </c>
      <c r="I1150" s="65">
        <f>SUM(I1144:I1149)</f>
        <v>3174</v>
      </c>
      <c r="J1150" s="18">
        <f>SUM(H1150+I1150)</f>
        <v>6709</v>
      </c>
    </row>
    <row r="1151" spans="1:13" x14ac:dyDescent="0.15">
      <c r="A1151" s="29" t="s">
        <v>112</v>
      </c>
      <c r="B1151" s="6">
        <v>3</v>
      </c>
      <c r="C1151" s="27">
        <v>2</v>
      </c>
      <c r="D1151" s="7">
        <f t="shared" ref="D1151:D1163" si="229">SUM(B1151+C1151)</f>
        <v>5</v>
      </c>
      <c r="E1151" s="61">
        <v>45446</v>
      </c>
      <c r="G1151" s="43" t="s">
        <v>21</v>
      </c>
      <c r="H1151" s="6">
        <v>50</v>
      </c>
      <c r="I1151" s="27"/>
      <c r="J1151" s="35">
        <f t="shared" ref="J1151:J1152" si="230">SUM(H1151+I1151)</f>
        <v>50</v>
      </c>
      <c r="K1151" s="57">
        <v>45453</v>
      </c>
      <c r="L1151" s="19"/>
      <c r="M1151" s="19"/>
    </row>
    <row r="1152" spans="1:13" x14ac:dyDescent="0.15">
      <c r="A1152" s="29" t="s">
        <v>112</v>
      </c>
      <c r="B1152" s="6">
        <v>5</v>
      </c>
      <c r="C1152" s="27">
        <f>2+3</f>
        <v>5</v>
      </c>
      <c r="D1152" s="7">
        <f t="shared" si="229"/>
        <v>10</v>
      </c>
      <c r="E1152" s="61">
        <v>45447</v>
      </c>
      <c r="G1152" s="43" t="s">
        <v>21</v>
      </c>
      <c r="H1152" s="6">
        <v>50</v>
      </c>
      <c r="I1152" s="27">
        <v>50</v>
      </c>
      <c r="J1152" s="35">
        <f t="shared" si="230"/>
        <v>100</v>
      </c>
      <c r="K1152" s="57">
        <v>45467</v>
      </c>
      <c r="L1152" s="19"/>
      <c r="M1152" s="19"/>
    </row>
    <row r="1153" spans="1:12" x14ac:dyDescent="0.15">
      <c r="A1153" s="29" t="s">
        <v>112</v>
      </c>
      <c r="B1153" s="6">
        <f>3+4</f>
        <v>7</v>
      </c>
      <c r="C1153" s="27">
        <v>2</v>
      </c>
      <c r="D1153" s="7">
        <f t="shared" si="229"/>
        <v>9</v>
      </c>
      <c r="E1153" s="61">
        <v>45448</v>
      </c>
      <c r="G1153" s="43" t="s">
        <v>297</v>
      </c>
      <c r="H1153" s="6">
        <v>70</v>
      </c>
      <c r="I1153" s="27">
        <v>25</v>
      </c>
      <c r="J1153" s="35">
        <f t="shared" ref="J1153:J1168" si="231">SUM(H1153+I1153)</f>
        <v>95</v>
      </c>
      <c r="K1153" s="57">
        <v>45470</v>
      </c>
      <c r="L1153" s="19"/>
    </row>
    <row r="1154" spans="1:12" x14ac:dyDescent="0.15">
      <c r="A1154" s="29" t="s">
        <v>112</v>
      </c>
      <c r="B1154" s="6">
        <v>4</v>
      </c>
      <c r="C1154" s="27">
        <v>5</v>
      </c>
      <c r="D1154" s="7">
        <f t="shared" si="229"/>
        <v>9</v>
      </c>
      <c r="E1154" s="61">
        <v>45449</v>
      </c>
      <c r="G1154" s="43" t="s">
        <v>21</v>
      </c>
      <c r="H1154" s="6">
        <v>50</v>
      </c>
      <c r="I1154" s="27">
        <v>50</v>
      </c>
      <c r="J1154" s="35">
        <f t="shared" si="231"/>
        <v>100</v>
      </c>
      <c r="K1154" s="57">
        <v>45479</v>
      </c>
      <c r="L1154" s="19"/>
    </row>
    <row r="1155" spans="1:12" x14ac:dyDescent="0.15">
      <c r="A1155" s="29" t="s">
        <v>227</v>
      </c>
      <c r="B1155" s="6">
        <v>10</v>
      </c>
      <c r="C1155" s="27">
        <v>5</v>
      </c>
      <c r="D1155" s="7">
        <f t="shared" si="229"/>
        <v>15</v>
      </c>
      <c r="E1155" s="57">
        <v>45450</v>
      </c>
      <c r="G1155" s="43" t="s">
        <v>298</v>
      </c>
      <c r="H1155" s="6">
        <v>25</v>
      </c>
      <c r="I1155" s="27">
        <v>15</v>
      </c>
      <c r="J1155" s="35">
        <f t="shared" si="231"/>
        <v>40</v>
      </c>
      <c r="K1155" s="57">
        <v>45484</v>
      </c>
      <c r="L1155" s="19"/>
    </row>
    <row r="1156" spans="1:12" x14ac:dyDescent="0.15">
      <c r="A1156" s="29" t="s">
        <v>112</v>
      </c>
      <c r="B1156" s="6">
        <f>2+1+8+3+2</f>
        <v>16</v>
      </c>
      <c r="C1156" s="27">
        <f>2+11</f>
        <v>13</v>
      </c>
      <c r="D1156" s="7">
        <f t="shared" si="229"/>
        <v>29</v>
      </c>
      <c r="E1156" s="61">
        <v>45453</v>
      </c>
      <c r="G1156" s="43" t="s">
        <v>299</v>
      </c>
      <c r="H1156" s="6">
        <v>20</v>
      </c>
      <c r="I1156" s="27">
        <v>15</v>
      </c>
      <c r="J1156" s="35">
        <f t="shared" si="231"/>
        <v>35</v>
      </c>
      <c r="K1156" s="57">
        <v>45486</v>
      </c>
      <c r="L1156" s="19"/>
    </row>
    <row r="1157" spans="1:12" x14ac:dyDescent="0.15">
      <c r="A1157" s="29" t="s">
        <v>112</v>
      </c>
      <c r="B1157" s="6">
        <f>2+1</f>
        <v>3</v>
      </c>
      <c r="C1157" s="27">
        <f>1+2</f>
        <v>3</v>
      </c>
      <c r="D1157" s="7">
        <f t="shared" si="229"/>
        <v>6</v>
      </c>
      <c r="E1157" s="61">
        <v>45454</v>
      </c>
      <c r="G1157" s="43"/>
      <c r="H1157" s="6"/>
      <c r="I1157" s="27"/>
      <c r="J1157" s="35">
        <f t="shared" si="231"/>
        <v>0</v>
      </c>
      <c r="K1157" s="19"/>
      <c r="L1157" s="19"/>
    </row>
    <row r="1158" spans="1:12" x14ac:dyDescent="0.15">
      <c r="A1158" s="29" t="s">
        <v>112</v>
      </c>
      <c r="B1158" s="6">
        <v>1</v>
      </c>
      <c r="C1158" s="27">
        <v>2</v>
      </c>
      <c r="D1158" s="7">
        <f t="shared" si="229"/>
        <v>3</v>
      </c>
      <c r="E1158" s="61">
        <v>45455</v>
      </c>
      <c r="G1158" s="43"/>
      <c r="H1158" s="6"/>
      <c r="I1158" s="27"/>
      <c r="J1158" s="35">
        <f t="shared" si="231"/>
        <v>0</v>
      </c>
      <c r="K1158" s="19"/>
      <c r="L1158" s="19"/>
    </row>
    <row r="1159" spans="1:12" x14ac:dyDescent="0.15">
      <c r="A1159" s="29" t="s">
        <v>112</v>
      </c>
      <c r="B1159" s="6"/>
      <c r="C1159" s="27">
        <f>2+1</f>
        <v>3</v>
      </c>
      <c r="D1159" s="7">
        <f t="shared" si="229"/>
        <v>3</v>
      </c>
      <c r="E1159" s="61">
        <v>45456</v>
      </c>
      <c r="G1159" s="43"/>
      <c r="H1159" s="6"/>
      <c r="I1159" s="27"/>
      <c r="J1159" s="35">
        <f t="shared" si="231"/>
        <v>0</v>
      </c>
    </row>
    <row r="1160" spans="1:12" x14ac:dyDescent="0.15">
      <c r="A1160" s="29" t="s">
        <v>112</v>
      </c>
      <c r="B1160" s="6">
        <v>1</v>
      </c>
      <c r="C1160" s="27"/>
      <c r="D1160" s="7">
        <f t="shared" si="229"/>
        <v>1</v>
      </c>
      <c r="E1160" s="61">
        <v>45457</v>
      </c>
      <c r="G1160" s="43"/>
      <c r="H1160" s="6"/>
      <c r="I1160" s="27"/>
      <c r="J1160" s="35">
        <f t="shared" si="231"/>
        <v>0</v>
      </c>
    </row>
    <row r="1161" spans="1:12" x14ac:dyDescent="0.15">
      <c r="A1161" s="29" t="s">
        <v>227</v>
      </c>
      <c r="B1161" s="6">
        <v>10</v>
      </c>
      <c r="C1161" s="27"/>
      <c r="D1161" s="7">
        <f t="shared" si="229"/>
        <v>10</v>
      </c>
      <c r="E1161" s="57">
        <v>45458</v>
      </c>
      <c r="G1161" s="43"/>
      <c r="H1161" s="6"/>
      <c r="I1161" s="27"/>
      <c r="J1161" s="35">
        <f t="shared" si="231"/>
        <v>0</v>
      </c>
    </row>
    <row r="1162" spans="1:12" x14ac:dyDescent="0.15">
      <c r="A1162" s="29" t="s">
        <v>112</v>
      </c>
      <c r="B1162" s="6">
        <v>1</v>
      </c>
      <c r="C1162" s="27"/>
      <c r="D1162" s="7">
        <f t="shared" si="229"/>
        <v>1</v>
      </c>
      <c r="E1162" s="57">
        <v>45458</v>
      </c>
      <c r="G1162" s="43"/>
      <c r="H1162" s="6"/>
      <c r="I1162" s="27"/>
      <c r="J1162" s="35">
        <f t="shared" si="231"/>
        <v>0</v>
      </c>
    </row>
    <row r="1163" spans="1:12" x14ac:dyDescent="0.15">
      <c r="A1163" s="29" t="s">
        <v>112</v>
      </c>
      <c r="B1163" s="6">
        <f>1+4</f>
        <v>5</v>
      </c>
      <c r="C1163" s="27">
        <v>2</v>
      </c>
      <c r="D1163" s="7">
        <f t="shared" si="229"/>
        <v>7</v>
      </c>
      <c r="E1163" s="57">
        <v>45460</v>
      </c>
      <c r="G1163" s="43"/>
      <c r="H1163" s="6"/>
      <c r="I1163" s="27"/>
      <c r="J1163" s="35">
        <f t="shared" si="231"/>
        <v>0</v>
      </c>
    </row>
    <row r="1164" spans="1:12" x14ac:dyDescent="0.15">
      <c r="A1164" s="29" t="s">
        <v>227</v>
      </c>
      <c r="B1164" s="6">
        <v>20</v>
      </c>
      <c r="C1164" s="27">
        <v>5</v>
      </c>
      <c r="D1164" s="7">
        <f t="shared" ref="D1164:D1174" si="232">SUM(B1164+C1164)</f>
        <v>25</v>
      </c>
      <c r="E1164" s="57">
        <v>45462</v>
      </c>
      <c r="G1164" s="43"/>
      <c r="H1164" s="6"/>
      <c r="I1164" s="27"/>
      <c r="J1164" s="35">
        <f t="shared" si="231"/>
        <v>0</v>
      </c>
    </row>
    <row r="1165" spans="1:12" x14ac:dyDescent="0.15">
      <c r="A1165" s="29" t="s">
        <v>112</v>
      </c>
      <c r="B1165" s="6"/>
      <c r="C1165" s="27">
        <v>4</v>
      </c>
      <c r="D1165" s="7">
        <f t="shared" si="232"/>
        <v>4</v>
      </c>
      <c r="E1165" s="57">
        <v>45462</v>
      </c>
      <c r="G1165" s="43"/>
      <c r="H1165" s="6"/>
      <c r="I1165" s="27"/>
      <c r="J1165" s="35">
        <f t="shared" si="231"/>
        <v>0</v>
      </c>
    </row>
    <row r="1166" spans="1:12" x14ac:dyDescent="0.15">
      <c r="A1166" s="29" t="s">
        <v>112</v>
      </c>
      <c r="B1166" s="6">
        <v>2</v>
      </c>
      <c r="C1166" s="27">
        <v>2</v>
      </c>
      <c r="D1166" s="7">
        <f t="shared" si="232"/>
        <v>4</v>
      </c>
      <c r="E1166" s="61">
        <v>45464</v>
      </c>
      <c r="G1166" s="43"/>
      <c r="H1166" s="6"/>
      <c r="I1166" s="27"/>
      <c r="J1166" s="35">
        <f t="shared" si="231"/>
        <v>0</v>
      </c>
    </row>
    <row r="1167" spans="1:12" x14ac:dyDescent="0.15">
      <c r="A1167" s="29" t="s">
        <v>112</v>
      </c>
      <c r="B1167" s="6">
        <f>5+1</f>
        <v>6</v>
      </c>
      <c r="C1167" s="27">
        <f>3+2</f>
        <v>5</v>
      </c>
      <c r="D1167" s="7">
        <f t="shared" si="232"/>
        <v>11</v>
      </c>
      <c r="E1167" s="61">
        <v>45467</v>
      </c>
      <c r="G1167" s="43"/>
      <c r="H1167" s="6"/>
      <c r="I1167" s="27"/>
      <c r="J1167" s="35">
        <f t="shared" si="231"/>
        <v>0</v>
      </c>
    </row>
    <row r="1168" spans="1:12" x14ac:dyDescent="0.15">
      <c r="A1168" s="29" t="s">
        <v>112</v>
      </c>
      <c r="B1168" s="6">
        <v>3</v>
      </c>
      <c r="C1168" s="27">
        <v>5</v>
      </c>
      <c r="D1168" s="7">
        <f t="shared" si="232"/>
        <v>8</v>
      </c>
      <c r="E1168" s="61">
        <v>45468</v>
      </c>
      <c r="G1168" s="43"/>
      <c r="H1168" s="6"/>
      <c r="I1168" s="27"/>
      <c r="J1168" s="35">
        <f t="shared" si="231"/>
        <v>0</v>
      </c>
    </row>
    <row r="1169" spans="1:11" x14ac:dyDescent="0.15">
      <c r="A1169" s="29" t="s">
        <v>227</v>
      </c>
      <c r="B1169" s="6">
        <v>10</v>
      </c>
      <c r="C1169" s="27">
        <v>10</v>
      </c>
      <c r="D1169" s="7">
        <f t="shared" si="232"/>
        <v>20</v>
      </c>
      <c r="E1169" s="57">
        <v>45469</v>
      </c>
      <c r="G1169" s="43"/>
      <c r="H1169" s="6"/>
      <c r="I1169" s="27"/>
      <c r="J1169" s="35">
        <f t="shared" ref="J1169:J1170" si="233">SUM(H1169+I1169)</f>
        <v>0</v>
      </c>
    </row>
    <row r="1170" spans="1:11" x14ac:dyDescent="0.15">
      <c r="A1170" s="29" t="s">
        <v>112</v>
      </c>
      <c r="B1170" s="6">
        <v>5</v>
      </c>
      <c r="C1170" s="27">
        <v>4</v>
      </c>
      <c r="D1170" s="7">
        <f t="shared" si="232"/>
        <v>9</v>
      </c>
      <c r="E1170" s="61">
        <v>45469</v>
      </c>
      <c r="G1170" s="43"/>
      <c r="H1170" s="6"/>
      <c r="I1170" s="27"/>
      <c r="J1170" s="35">
        <f t="shared" si="233"/>
        <v>0</v>
      </c>
    </row>
    <row r="1171" spans="1:11" x14ac:dyDescent="0.15">
      <c r="A1171" s="29" t="s">
        <v>112</v>
      </c>
      <c r="B1171" s="6"/>
      <c r="C1171" s="27">
        <v>4</v>
      </c>
      <c r="D1171" s="7">
        <f t="shared" si="232"/>
        <v>4</v>
      </c>
      <c r="E1171" s="61">
        <v>45470</v>
      </c>
      <c r="G1171" s="43"/>
      <c r="H1171" s="6"/>
      <c r="I1171" s="27"/>
      <c r="J1171" s="35">
        <f t="shared" ref="J1171:J1174" si="234">SUM(H1171+I1171)</f>
        <v>0</v>
      </c>
    </row>
    <row r="1172" spans="1:11" x14ac:dyDescent="0.15">
      <c r="A1172" s="29" t="s">
        <v>112</v>
      </c>
      <c r="B1172" s="6">
        <v>6</v>
      </c>
      <c r="C1172" s="27"/>
      <c r="D1172" s="7">
        <f t="shared" si="232"/>
        <v>6</v>
      </c>
      <c r="E1172" s="61">
        <v>45471</v>
      </c>
      <c r="G1172" s="43"/>
      <c r="H1172" s="6"/>
      <c r="I1172" s="27"/>
      <c r="J1172" s="35">
        <f t="shared" si="234"/>
        <v>0</v>
      </c>
    </row>
    <row r="1173" spans="1:11" x14ac:dyDescent="0.15">
      <c r="A1173" s="29" t="s">
        <v>112</v>
      </c>
      <c r="B1173" s="6">
        <v>2</v>
      </c>
      <c r="C1173" s="27">
        <v>2</v>
      </c>
      <c r="D1173" s="7">
        <f t="shared" si="232"/>
        <v>4</v>
      </c>
      <c r="E1173" s="61">
        <v>45472</v>
      </c>
      <c r="G1173" s="106" t="s">
        <v>287</v>
      </c>
      <c r="H1173" s="98"/>
      <c r="I1173" s="99"/>
      <c r="J1173" s="100">
        <f t="shared" si="234"/>
        <v>0</v>
      </c>
      <c r="K1173" s="107"/>
    </row>
    <row r="1174" spans="1:11" ht="14.25" thickBot="1" x14ac:dyDescent="0.2">
      <c r="A1174" s="29" t="s">
        <v>112</v>
      </c>
      <c r="B1174" s="6">
        <v>11</v>
      </c>
      <c r="C1174" s="27">
        <v>1</v>
      </c>
      <c r="D1174" s="7">
        <f t="shared" si="232"/>
        <v>12</v>
      </c>
      <c r="E1174" s="61">
        <v>45474</v>
      </c>
      <c r="G1174" s="43" t="s">
        <v>286</v>
      </c>
      <c r="H1174" s="6"/>
      <c r="I1174" s="27"/>
      <c r="J1174" s="35">
        <f t="shared" si="234"/>
        <v>0</v>
      </c>
      <c r="K1174" s="57" t="s">
        <v>288</v>
      </c>
    </row>
    <row r="1175" spans="1:11" ht="14.25" thickBot="1" x14ac:dyDescent="0.2">
      <c r="A1175" s="9" t="s">
        <v>3</v>
      </c>
      <c r="B1175" s="10">
        <f>SUM(B1151:B1174)</f>
        <v>131</v>
      </c>
      <c r="C1175" s="66">
        <f>SUM(C1151:C1174)</f>
        <v>84</v>
      </c>
      <c r="D1175" s="11">
        <f>SUM(D1151:D1174)</f>
        <v>215</v>
      </c>
      <c r="G1175" s="9" t="s">
        <v>3</v>
      </c>
      <c r="H1175" s="10">
        <f>SUM(H1151:H1174)</f>
        <v>265</v>
      </c>
      <c r="I1175" s="66">
        <f>SUM(I1151:I1174)</f>
        <v>155</v>
      </c>
      <c r="J1175" s="11">
        <f>SUM(J1151:J1174)</f>
        <v>420</v>
      </c>
    </row>
    <row r="1176" spans="1:11" ht="14.25" thickBot="1" x14ac:dyDescent="0.2">
      <c r="A1176" s="14" t="s">
        <v>4</v>
      </c>
      <c r="B1176" s="16">
        <f>B1150-B1175</f>
        <v>53</v>
      </c>
      <c r="C1176" s="16">
        <f>C1150-C1175</f>
        <v>58</v>
      </c>
      <c r="D1176" s="84">
        <f>D1150-D1175</f>
        <v>111</v>
      </c>
      <c r="G1176" s="14" t="s">
        <v>4</v>
      </c>
      <c r="H1176" s="16">
        <f>H1150-H1175</f>
        <v>3270</v>
      </c>
      <c r="I1176" s="16">
        <f>I1150-I1175</f>
        <v>3019</v>
      </c>
      <c r="J1176" s="16">
        <f>J1150-J1175</f>
        <v>6289</v>
      </c>
    </row>
    <row r="1179" spans="1:11" ht="24" x14ac:dyDescent="0.25">
      <c r="A1179" s="25" t="s">
        <v>7</v>
      </c>
      <c r="B1179" s="1"/>
      <c r="C1179" s="1"/>
      <c r="D1179" s="1"/>
      <c r="G1179" s="25" t="s">
        <v>8</v>
      </c>
      <c r="H1179" s="1"/>
      <c r="I1179" s="1"/>
      <c r="J1179" s="1"/>
    </row>
    <row r="1180" spans="1:11" ht="14.25" thickBot="1" x14ac:dyDescent="0.2">
      <c r="A1180" s="1"/>
      <c r="B1180" s="1"/>
      <c r="C1180" s="1"/>
      <c r="D1180" s="1"/>
      <c r="G1180" s="1"/>
      <c r="H1180" s="1"/>
      <c r="I1180" s="1"/>
      <c r="J1180" s="1"/>
    </row>
    <row r="1181" spans="1:11" ht="14.25" thickBot="1" x14ac:dyDescent="0.2">
      <c r="A1181" s="2"/>
      <c r="B1181" s="50" t="s">
        <v>115</v>
      </c>
      <c r="C1181" s="50" t="s">
        <v>116</v>
      </c>
      <c r="D1181" s="2" t="s">
        <v>0</v>
      </c>
      <c r="G1181" s="2"/>
      <c r="H1181" s="50" t="s">
        <v>115</v>
      </c>
      <c r="I1181" s="50" t="s">
        <v>116</v>
      </c>
      <c r="J1181" s="2" t="s">
        <v>0</v>
      </c>
    </row>
    <row r="1182" spans="1:11" x14ac:dyDescent="0.15">
      <c r="A1182" s="32" t="s">
        <v>4</v>
      </c>
      <c r="B1182" s="48">
        <f>B1176</f>
        <v>53</v>
      </c>
      <c r="C1182" s="76">
        <f>C1176</f>
        <v>58</v>
      </c>
      <c r="D1182" s="47">
        <f>SUM(B1182+C1182)</f>
        <v>111</v>
      </c>
      <c r="G1182" s="13" t="s">
        <v>6</v>
      </c>
      <c r="H1182" s="48">
        <f>H1176</f>
        <v>3270</v>
      </c>
      <c r="I1182" s="80">
        <f>I1176</f>
        <v>3019</v>
      </c>
      <c r="J1182" s="47">
        <f>SUM(H1182+I1182)</f>
        <v>6289</v>
      </c>
    </row>
    <row r="1183" spans="1:11" x14ac:dyDescent="0.15">
      <c r="A1183" s="3" t="s">
        <v>1</v>
      </c>
      <c r="B1183" s="74">
        <v>50</v>
      </c>
      <c r="C1183" s="78">
        <v>50</v>
      </c>
      <c r="D1183" s="7">
        <f t="shared" ref="D1183" si="235">SUM(B1183+C1183)</f>
        <v>100</v>
      </c>
      <c r="E1183" s="57">
        <v>45479</v>
      </c>
      <c r="G1183" s="3" t="s">
        <v>1</v>
      </c>
      <c r="H1183" s="24"/>
      <c r="I1183" s="90"/>
      <c r="J1183" s="7">
        <f>SUM(H1183+I1183)</f>
        <v>0</v>
      </c>
    </row>
    <row r="1184" spans="1:11" x14ac:dyDescent="0.15">
      <c r="A1184" s="3" t="s">
        <v>244</v>
      </c>
      <c r="B1184" s="74">
        <v>4</v>
      </c>
      <c r="C1184" s="78">
        <v>1</v>
      </c>
      <c r="D1184" s="7">
        <f t="shared" ref="D1184:D1187" si="236">SUM(B1184+C1184)</f>
        <v>5</v>
      </c>
      <c r="E1184" s="57">
        <v>45489</v>
      </c>
      <c r="G1184" s="3" t="s">
        <v>1</v>
      </c>
      <c r="H1184" s="24"/>
      <c r="I1184" s="90"/>
      <c r="J1184" s="7">
        <f>SUM(H1184+I1184)</f>
        <v>0</v>
      </c>
    </row>
    <row r="1185" spans="1:11" x14ac:dyDescent="0.15">
      <c r="A1185" s="3" t="s">
        <v>1</v>
      </c>
      <c r="B1185" s="74"/>
      <c r="C1185" s="78"/>
      <c r="D1185" s="7">
        <f t="shared" si="236"/>
        <v>0</v>
      </c>
      <c r="E1185" s="19"/>
      <c r="G1185" s="3" t="s">
        <v>1</v>
      </c>
      <c r="H1185" s="24"/>
      <c r="I1185" s="90"/>
      <c r="J1185" s="7">
        <f t="shared" ref="J1185:J1187" si="237">SUM(H1185+I1185)</f>
        <v>0</v>
      </c>
    </row>
    <row r="1186" spans="1:11" x14ac:dyDescent="0.15">
      <c r="A1186" s="3" t="s">
        <v>1</v>
      </c>
      <c r="B1186" s="74"/>
      <c r="C1186" s="78"/>
      <c r="D1186" s="7">
        <f t="shared" si="236"/>
        <v>0</v>
      </c>
      <c r="E1186" s="19"/>
      <c r="G1186" s="3" t="s">
        <v>1</v>
      </c>
      <c r="H1186" s="24"/>
      <c r="I1186" s="90"/>
      <c r="J1186" s="7">
        <f t="shared" si="237"/>
        <v>0</v>
      </c>
    </row>
    <row r="1187" spans="1:11" ht="14.25" thickBot="1" x14ac:dyDescent="0.2">
      <c r="A1187" s="3" t="s">
        <v>1</v>
      </c>
      <c r="B1187" s="74"/>
      <c r="C1187" s="78"/>
      <c r="D1187" s="21">
        <f t="shared" si="236"/>
        <v>0</v>
      </c>
      <c r="G1187" s="4" t="s">
        <v>1</v>
      </c>
      <c r="H1187" s="75"/>
      <c r="I1187" s="17"/>
      <c r="J1187" s="22">
        <f t="shared" si="237"/>
        <v>0</v>
      </c>
    </row>
    <row r="1188" spans="1:11" ht="14.25" thickBot="1" x14ac:dyDescent="0.2">
      <c r="A1188" s="14" t="s">
        <v>2</v>
      </c>
      <c r="B1188" s="16">
        <f>SUM(B1182:B1187)</f>
        <v>107</v>
      </c>
      <c r="C1188" s="83">
        <f>SUM(C1182:C1187)</f>
        <v>109</v>
      </c>
      <c r="D1188" s="84">
        <f>SUM(B1188+C1188)</f>
        <v>216</v>
      </c>
      <c r="G1188" s="14" t="s">
        <v>2</v>
      </c>
      <c r="H1188" s="84">
        <f>SUM(H1182:H1187)</f>
        <v>3270</v>
      </c>
      <c r="I1188" s="65">
        <f>SUM(I1182:I1187)</f>
        <v>3019</v>
      </c>
      <c r="J1188" s="18">
        <f>SUM(H1188+I1188)</f>
        <v>6289</v>
      </c>
    </row>
    <row r="1189" spans="1:11" x14ac:dyDescent="0.15">
      <c r="A1189" s="29" t="s">
        <v>227</v>
      </c>
      <c r="B1189" s="6"/>
      <c r="C1189" s="27">
        <v>10</v>
      </c>
      <c r="D1189" s="7">
        <f t="shared" ref="D1189:D1193" si="238">SUM(B1189+C1189)</f>
        <v>10</v>
      </c>
      <c r="E1189" s="57">
        <v>45476</v>
      </c>
      <c r="G1189" s="43" t="s">
        <v>300</v>
      </c>
      <c r="H1189" s="6">
        <v>35</v>
      </c>
      <c r="I1189" s="27">
        <v>30</v>
      </c>
      <c r="J1189" s="35">
        <f t="shared" ref="J1189:J1212" si="239">SUM(H1189+I1189)</f>
        <v>65</v>
      </c>
      <c r="K1189" s="57">
        <v>45498</v>
      </c>
    </row>
    <row r="1190" spans="1:11" x14ac:dyDescent="0.15">
      <c r="A1190" s="29" t="s">
        <v>112</v>
      </c>
      <c r="B1190" s="6">
        <v>1</v>
      </c>
      <c r="C1190" s="27">
        <v>1</v>
      </c>
      <c r="D1190" s="7">
        <f t="shared" si="238"/>
        <v>2</v>
      </c>
      <c r="E1190" s="61">
        <v>45475</v>
      </c>
      <c r="G1190" s="43" t="s">
        <v>21</v>
      </c>
      <c r="H1190" s="6">
        <v>15</v>
      </c>
      <c r="I1190" s="27">
        <v>20</v>
      </c>
      <c r="J1190" s="35">
        <f t="shared" si="239"/>
        <v>35</v>
      </c>
      <c r="K1190" s="57">
        <v>45521</v>
      </c>
    </row>
    <row r="1191" spans="1:11" x14ac:dyDescent="0.15">
      <c r="A1191" s="29" t="s">
        <v>112</v>
      </c>
      <c r="B1191" s="6">
        <v>2</v>
      </c>
      <c r="C1191" s="27">
        <v>2</v>
      </c>
      <c r="D1191" s="7">
        <f t="shared" si="238"/>
        <v>4</v>
      </c>
      <c r="E1191" s="61">
        <v>45476</v>
      </c>
      <c r="G1191" s="43"/>
      <c r="H1191" s="6"/>
      <c r="I1191" s="27"/>
      <c r="J1191" s="35">
        <f t="shared" si="239"/>
        <v>0</v>
      </c>
      <c r="K1191" s="19"/>
    </row>
    <row r="1192" spans="1:11" x14ac:dyDescent="0.15">
      <c r="A1192" s="29" t="s">
        <v>112</v>
      </c>
      <c r="B1192" s="6">
        <v>2</v>
      </c>
      <c r="C1192" s="27">
        <v>1</v>
      </c>
      <c r="D1192" s="7">
        <f t="shared" si="238"/>
        <v>3</v>
      </c>
      <c r="E1192" s="61">
        <v>45477</v>
      </c>
      <c r="G1192" s="43"/>
      <c r="H1192" s="6"/>
      <c r="I1192" s="27"/>
      <c r="J1192" s="35">
        <f t="shared" si="239"/>
        <v>0</v>
      </c>
      <c r="K1192" s="19"/>
    </row>
    <row r="1193" spans="1:11" x14ac:dyDescent="0.15">
      <c r="A1193" s="29" t="s">
        <v>112</v>
      </c>
      <c r="B1193" s="6">
        <f>4+3</f>
        <v>7</v>
      </c>
      <c r="C1193" s="27">
        <v>4</v>
      </c>
      <c r="D1193" s="7">
        <f t="shared" si="238"/>
        <v>11</v>
      </c>
      <c r="E1193" s="61">
        <v>45478</v>
      </c>
      <c r="G1193" s="43"/>
      <c r="H1193" s="6"/>
      <c r="I1193" s="27"/>
      <c r="J1193" s="35">
        <f t="shared" si="239"/>
        <v>0</v>
      </c>
      <c r="K1193" s="19"/>
    </row>
    <row r="1194" spans="1:11" x14ac:dyDescent="0.15">
      <c r="A1194" s="29" t="s">
        <v>112</v>
      </c>
      <c r="B1194" s="6">
        <v>3</v>
      </c>
      <c r="C1194" s="27">
        <v>1</v>
      </c>
      <c r="D1194" s="7">
        <f t="shared" ref="D1194:D1212" si="240">SUM(B1194+C1194)</f>
        <v>4</v>
      </c>
      <c r="E1194" s="57">
        <v>45479</v>
      </c>
      <c r="G1194" s="43"/>
      <c r="H1194" s="6"/>
      <c r="I1194" s="27"/>
      <c r="J1194" s="35">
        <f t="shared" si="239"/>
        <v>0</v>
      </c>
    </row>
    <row r="1195" spans="1:11" x14ac:dyDescent="0.15">
      <c r="A1195" s="29" t="s">
        <v>227</v>
      </c>
      <c r="B1195" s="6"/>
      <c r="C1195" s="27">
        <v>10</v>
      </c>
      <c r="D1195" s="7">
        <f t="shared" si="240"/>
        <v>10</v>
      </c>
      <c r="E1195" s="57">
        <v>45482</v>
      </c>
      <c r="G1195" s="43"/>
      <c r="H1195" s="6"/>
      <c r="I1195" s="27"/>
      <c r="J1195" s="35">
        <f t="shared" si="239"/>
        <v>0</v>
      </c>
    </row>
    <row r="1196" spans="1:11" x14ac:dyDescent="0.15">
      <c r="A1196" s="29" t="s">
        <v>112</v>
      </c>
      <c r="B1196" s="6">
        <f>2+6</f>
        <v>8</v>
      </c>
      <c r="C1196" s="27">
        <v>3</v>
      </c>
      <c r="D1196" s="7">
        <f t="shared" si="240"/>
        <v>11</v>
      </c>
      <c r="E1196" s="61">
        <v>45481</v>
      </c>
      <c r="G1196" s="43"/>
      <c r="H1196" s="6"/>
      <c r="I1196" s="27"/>
      <c r="J1196" s="35">
        <f t="shared" si="239"/>
        <v>0</v>
      </c>
    </row>
    <row r="1197" spans="1:11" x14ac:dyDescent="0.15">
      <c r="A1197" s="29" t="s">
        <v>112</v>
      </c>
      <c r="B1197" s="6">
        <f>2+2</f>
        <v>4</v>
      </c>
      <c r="C1197" s="27"/>
      <c r="D1197" s="7">
        <f t="shared" si="240"/>
        <v>4</v>
      </c>
      <c r="E1197" s="61">
        <v>45482</v>
      </c>
      <c r="G1197" s="43"/>
      <c r="H1197" s="6"/>
      <c r="I1197" s="27"/>
      <c r="J1197" s="35">
        <f t="shared" si="239"/>
        <v>0</v>
      </c>
    </row>
    <row r="1198" spans="1:11" x14ac:dyDescent="0.15">
      <c r="A1198" s="29" t="s">
        <v>112</v>
      </c>
      <c r="B1198" s="6"/>
      <c r="C1198" s="27">
        <f>1+3</f>
        <v>4</v>
      </c>
      <c r="D1198" s="7">
        <f t="shared" si="240"/>
        <v>4</v>
      </c>
      <c r="E1198" s="61">
        <v>45483</v>
      </c>
      <c r="G1198" s="43"/>
      <c r="H1198" s="6"/>
      <c r="I1198" s="27"/>
      <c r="J1198" s="35">
        <f t="shared" si="239"/>
        <v>0</v>
      </c>
    </row>
    <row r="1199" spans="1:11" x14ac:dyDescent="0.15">
      <c r="A1199" s="29" t="s">
        <v>112</v>
      </c>
      <c r="B1199" s="6">
        <f>1+10</f>
        <v>11</v>
      </c>
      <c r="C1199" s="27">
        <f>1+2</f>
        <v>3</v>
      </c>
      <c r="D1199" s="7">
        <f t="shared" si="240"/>
        <v>14</v>
      </c>
      <c r="E1199" s="61">
        <v>45484</v>
      </c>
      <c r="G1199" s="43"/>
      <c r="H1199" s="6"/>
      <c r="I1199" s="27"/>
      <c r="J1199" s="35">
        <f t="shared" si="239"/>
        <v>0</v>
      </c>
    </row>
    <row r="1200" spans="1:11" x14ac:dyDescent="0.15">
      <c r="A1200" s="29" t="s">
        <v>112</v>
      </c>
      <c r="B1200" s="6">
        <v>1</v>
      </c>
      <c r="C1200" s="27"/>
      <c r="D1200" s="7">
        <f t="shared" si="240"/>
        <v>1</v>
      </c>
      <c r="E1200" s="57">
        <v>45489</v>
      </c>
      <c r="G1200" s="43"/>
      <c r="H1200" s="6"/>
      <c r="I1200" s="27"/>
      <c r="J1200" s="35">
        <f t="shared" si="239"/>
        <v>0</v>
      </c>
    </row>
    <row r="1201" spans="1:12" x14ac:dyDescent="0.15">
      <c r="A1201" s="29" t="s">
        <v>112</v>
      </c>
      <c r="B1201" s="6"/>
      <c r="C1201" s="27">
        <v>2</v>
      </c>
      <c r="D1201" s="7">
        <f t="shared" si="240"/>
        <v>2</v>
      </c>
      <c r="E1201" s="57">
        <v>45491</v>
      </c>
      <c r="G1201" s="43"/>
      <c r="H1201" s="6"/>
      <c r="I1201" s="27"/>
      <c r="J1201" s="35">
        <f t="shared" si="239"/>
        <v>0</v>
      </c>
    </row>
    <row r="1202" spans="1:12" x14ac:dyDescent="0.15">
      <c r="A1202" s="29" t="s">
        <v>227</v>
      </c>
      <c r="B1202" s="6"/>
      <c r="C1202" s="27">
        <v>15</v>
      </c>
      <c r="D1202" s="7">
        <f t="shared" si="240"/>
        <v>15</v>
      </c>
      <c r="E1202" s="57">
        <v>45492</v>
      </c>
      <c r="G1202" s="43"/>
      <c r="H1202" s="6"/>
      <c r="I1202" s="27"/>
      <c r="J1202" s="35">
        <f t="shared" si="239"/>
        <v>0</v>
      </c>
    </row>
    <row r="1203" spans="1:12" x14ac:dyDescent="0.15">
      <c r="A1203" s="29" t="s">
        <v>112</v>
      </c>
      <c r="B1203" s="6">
        <v>2</v>
      </c>
      <c r="C1203" s="27">
        <v>2</v>
      </c>
      <c r="D1203" s="7">
        <f t="shared" si="240"/>
        <v>4</v>
      </c>
      <c r="E1203" s="61">
        <v>45492</v>
      </c>
      <c r="G1203" s="43"/>
      <c r="H1203" s="6"/>
      <c r="I1203" s="27"/>
      <c r="J1203" s="35">
        <f t="shared" si="239"/>
        <v>0</v>
      </c>
    </row>
    <row r="1204" spans="1:12" x14ac:dyDescent="0.15">
      <c r="A1204" s="29" t="s">
        <v>112</v>
      </c>
      <c r="B1204" s="6">
        <f>1+2</f>
        <v>3</v>
      </c>
      <c r="C1204" s="27">
        <v>1</v>
      </c>
      <c r="D1204" s="7">
        <f t="shared" si="240"/>
        <v>4</v>
      </c>
      <c r="E1204" s="61">
        <v>45493</v>
      </c>
      <c r="G1204" s="43"/>
      <c r="H1204" s="6"/>
      <c r="I1204" s="27"/>
      <c r="J1204" s="35">
        <f t="shared" si="239"/>
        <v>0</v>
      </c>
    </row>
    <row r="1205" spans="1:12" x14ac:dyDescent="0.15">
      <c r="A1205" s="29" t="s">
        <v>112</v>
      </c>
      <c r="B1205" s="6">
        <f>8+2+3</f>
        <v>13</v>
      </c>
      <c r="C1205" s="27">
        <v>1</v>
      </c>
      <c r="D1205" s="7">
        <f t="shared" si="240"/>
        <v>14</v>
      </c>
      <c r="E1205" s="61">
        <v>45495</v>
      </c>
      <c r="G1205" s="43"/>
      <c r="H1205" s="6"/>
      <c r="I1205" s="27"/>
      <c r="J1205" s="35">
        <f t="shared" si="239"/>
        <v>0</v>
      </c>
    </row>
    <row r="1206" spans="1:12" x14ac:dyDescent="0.15">
      <c r="A1206" s="29" t="s">
        <v>112</v>
      </c>
      <c r="B1206" s="6">
        <v>1</v>
      </c>
      <c r="C1206" s="27">
        <v>2</v>
      </c>
      <c r="D1206" s="7">
        <f t="shared" si="240"/>
        <v>3</v>
      </c>
      <c r="E1206" s="61">
        <v>45497</v>
      </c>
      <c r="G1206" s="43"/>
      <c r="H1206" s="6"/>
      <c r="I1206" s="27"/>
      <c r="J1206" s="35">
        <f t="shared" si="239"/>
        <v>0</v>
      </c>
    </row>
    <row r="1207" spans="1:12" x14ac:dyDescent="0.15">
      <c r="A1207" s="29" t="s">
        <v>112</v>
      </c>
      <c r="B1207" s="6">
        <f>2+1</f>
        <v>3</v>
      </c>
      <c r="C1207" s="27"/>
      <c r="D1207" s="7">
        <f t="shared" si="240"/>
        <v>3</v>
      </c>
      <c r="E1207" s="61">
        <v>45498</v>
      </c>
      <c r="G1207" s="43"/>
      <c r="H1207" s="6"/>
      <c r="I1207" s="27"/>
      <c r="J1207" s="35">
        <f t="shared" si="239"/>
        <v>0</v>
      </c>
    </row>
    <row r="1208" spans="1:12" x14ac:dyDescent="0.15">
      <c r="A1208" s="29" t="s">
        <v>112</v>
      </c>
      <c r="B1208" s="6">
        <v>1</v>
      </c>
      <c r="C1208" s="27">
        <v>7</v>
      </c>
      <c r="D1208" s="7">
        <f t="shared" si="240"/>
        <v>8</v>
      </c>
      <c r="E1208" s="61">
        <v>45499</v>
      </c>
      <c r="G1208" s="43"/>
      <c r="H1208" s="6"/>
      <c r="I1208" s="27"/>
      <c r="J1208" s="35">
        <f t="shared" si="239"/>
        <v>0</v>
      </c>
    </row>
    <row r="1209" spans="1:12" x14ac:dyDescent="0.15">
      <c r="A1209" s="29" t="s">
        <v>112</v>
      </c>
      <c r="B1209" s="6">
        <v>1</v>
      </c>
      <c r="C1209" s="27"/>
      <c r="D1209" s="7">
        <f t="shared" si="240"/>
        <v>1</v>
      </c>
      <c r="E1209" s="61">
        <v>45502</v>
      </c>
      <c r="G1209" s="43"/>
      <c r="H1209" s="6"/>
      <c r="I1209" s="27"/>
      <c r="J1209" s="35">
        <f t="shared" ref="J1209:J1210" si="241">SUM(H1209+I1209)</f>
        <v>0</v>
      </c>
    </row>
    <row r="1210" spans="1:12" x14ac:dyDescent="0.15">
      <c r="A1210" s="29" t="s">
        <v>227</v>
      </c>
      <c r="B1210" s="6"/>
      <c r="C1210" s="27">
        <v>10</v>
      </c>
      <c r="D1210" s="7">
        <f t="shared" si="240"/>
        <v>10</v>
      </c>
      <c r="E1210" s="57">
        <v>45504</v>
      </c>
      <c r="G1210" s="43"/>
      <c r="H1210" s="6"/>
      <c r="I1210" s="27"/>
      <c r="J1210" s="35">
        <f t="shared" si="241"/>
        <v>0</v>
      </c>
    </row>
    <row r="1211" spans="1:12" x14ac:dyDescent="0.15">
      <c r="A1211" s="29" t="s">
        <v>112</v>
      </c>
      <c r="B1211" s="6"/>
      <c r="C1211" s="27"/>
      <c r="D1211" s="7">
        <f t="shared" si="240"/>
        <v>0</v>
      </c>
      <c r="E1211" s="57">
        <v>45503</v>
      </c>
      <c r="G1211" s="106" t="s">
        <v>290</v>
      </c>
      <c r="H1211" s="98"/>
      <c r="I1211" s="99"/>
      <c r="J1211" s="100">
        <f t="shared" si="239"/>
        <v>0</v>
      </c>
      <c r="K1211" s="107"/>
      <c r="L1211" s="19"/>
    </row>
    <row r="1212" spans="1:12" ht="14.25" thickBot="1" x14ac:dyDescent="0.2">
      <c r="A1212" s="29" t="s">
        <v>112</v>
      </c>
      <c r="B1212" s="6">
        <v>2</v>
      </c>
      <c r="C1212" s="27"/>
      <c r="D1212" s="7">
        <f t="shared" si="240"/>
        <v>2</v>
      </c>
      <c r="E1212" s="61">
        <v>45504</v>
      </c>
      <c r="G1212" s="43" t="s">
        <v>289</v>
      </c>
      <c r="H1212" s="6"/>
      <c r="I1212" s="27"/>
      <c r="J1212" s="35">
        <f t="shared" si="239"/>
        <v>0</v>
      </c>
      <c r="K1212" s="57" t="s">
        <v>293</v>
      </c>
      <c r="L1212" s="19"/>
    </row>
    <row r="1213" spans="1:12" ht="14.25" thickBot="1" x14ac:dyDescent="0.2">
      <c r="A1213" s="9" t="s">
        <v>3</v>
      </c>
      <c r="B1213" s="10">
        <f>SUM(B1189:B1212)</f>
        <v>65</v>
      </c>
      <c r="C1213" s="66">
        <f>SUM(C1189:C1212)</f>
        <v>79</v>
      </c>
      <c r="D1213" s="11">
        <f>SUM(D1189:D1212)</f>
        <v>144</v>
      </c>
      <c r="G1213" s="9" t="s">
        <v>3</v>
      </c>
      <c r="H1213" s="10">
        <f>SUM(H1189:H1212)</f>
        <v>50</v>
      </c>
      <c r="I1213" s="66">
        <f>SUM(I1189:I1212)</f>
        <v>50</v>
      </c>
      <c r="J1213" s="11">
        <f>SUM(J1189:J1212)</f>
        <v>100</v>
      </c>
    </row>
    <row r="1214" spans="1:12" ht="14.25" thickBot="1" x14ac:dyDescent="0.2">
      <c r="A1214" s="14" t="s">
        <v>4</v>
      </c>
      <c r="B1214" s="16">
        <f>B1188-B1213</f>
        <v>42</v>
      </c>
      <c r="C1214" s="16">
        <f>C1188-C1213</f>
        <v>30</v>
      </c>
      <c r="D1214" s="84">
        <f>D1188-D1213</f>
        <v>72</v>
      </c>
      <c r="G1214" s="14" t="s">
        <v>4</v>
      </c>
      <c r="H1214" s="16">
        <f>H1188-H1213</f>
        <v>3220</v>
      </c>
      <c r="I1214" s="16">
        <f>I1188-I1213</f>
        <v>2969</v>
      </c>
      <c r="J1214" s="16">
        <f>J1188-J1213</f>
        <v>6189</v>
      </c>
    </row>
    <row r="1217" spans="1:10" ht="24" x14ac:dyDescent="0.25">
      <c r="A1217" s="25" t="s">
        <v>7</v>
      </c>
      <c r="B1217" s="1"/>
      <c r="C1217" s="1"/>
      <c r="D1217" s="1"/>
      <c r="G1217" s="25" t="s">
        <v>8</v>
      </c>
      <c r="H1217" s="1"/>
      <c r="I1217" s="1"/>
      <c r="J1217" s="1"/>
    </row>
    <row r="1218" spans="1:10" ht="14.25" thickBot="1" x14ac:dyDescent="0.2">
      <c r="A1218" s="1"/>
      <c r="B1218" s="1"/>
      <c r="C1218" s="1"/>
      <c r="D1218" s="1"/>
      <c r="G1218" s="1"/>
      <c r="H1218" s="1"/>
      <c r="I1218" s="1"/>
      <c r="J1218" s="1"/>
    </row>
    <row r="1219" spans="1:10" ht="14.25" thickBot="1" x14ac:dyDescent="0.2">
      <c r="A1219" s="2"/>
      <c r="B1219" s="50" t="s">
        <v>115</v>
      </c>
      <c r="C1219" s="50" t="s">
        <v>116</v>
      </c>
      <c r="D1219" s="2" t="s">
        <v>0</v>
      </c>
      <c r="G1219" s="2"/>
      <c r="H1219" s="50" t="s">
        <v>115</v>
      </c>
      <c r="I1219" s="50" t="s">
        <v>116</v>
      </c>
      <c r="J1219" s="2" t="s">
        <v>0</v>
      </c>
    </row>
    <row r="1220" spans="1:10" x14ac:dyDescent="0.15">
      <c r="A1220" s="32" t="s">
        <v>4</v>
      </c>
      <c r="B1220" s="48">
        <f>B1214</f>
        <v>42</v>
      </c>
      <c r="C1220" s="76">
        <f>C1214</f>
        <v>30</v>
      </c>
      <c r="D1220" s="47">
        <f>SUM(B1220+C1220)</f>
        <v>72</v>
      </c>
      <c r="G1220" s="13" t="s">
        <v>6</v>
      </c>
      <c r="H1220" s="48">
        <f>H1214</f>
        <v>3220</v>
      </c>
      <c r="I1220" s="80">
        <f>I1214</f>
        <v>2969</v>
      </c>
      <c r="J1220" s="47">
        <f>SUM(H1220+I1220)</f>
        <v>6189</v>
      </c>
    </row>
    <row r="1221" spans="1:10" x14ac:dyDescent="0.15">
      <c r="A1221" s="3" t="s">
        <v>1</v>
      </c>
      <c r="B1221" s="74">
        <v>15</v>
      </c>
      <c r="C1221" s="78">
        <v>20</v>
      </c>
      <c r="D1221" s="7">
        <f t="shared" ref="D1221:D1223" si="242">SUM(B1221+C1221)</f>
        <v>35</v>
      </c>
      <c r="E1221" s="57">
        <v>45521</v>
      </c>
      <c r="G1221" s="3" t="s">
        <v>1</v>
      </c>
      <c r="H1221" s="24"/>
      <c r="I1221" s="90"/>
      <c r="J1221" s="7">
        <f>SUM(H1221+I1221)</f>
        <v>0</v>
      </c>
    </row>
    <row r="1222" spans="1:10" x14ac:dyDescent="0.15">
      <c r="A1222" s="3" t="s">
        <v>301</v>
      </c>
      <c r="B1222" s="74"/>
      <c r="C1222" s="78">
        <v>2</v>
      </c>
      <c r="D1222" s="7">
        <f t="shared" si="242"/>
        <v>2</v>
      </c>
      <c r="E1222" s="57">
        <v>45527</v>
      </c>
      <c r="G1222" s="3" t="s">
        <v>1</v>
      </c>
      <c r="H1222" s="24"/>
      <c r="I1222" s="90"/>
      <c r="J1222" s="7">
        <f>SUM(H1222+I1222)</f>
        <v>0</v>
      </c>
    </row>
    <row r="1223" spans="1:10" x14ac:dyDescent="0.15">
      <c r="A1223" s="3" t="s">
        <v>244</v>
      </c>
      <c r="B1223" s="74">
        <v>2</v>
      </c>
      <c r="C1223" s="78"/>
      <c r="D1223" s="7">
        <f t="shared" si="242"/>
        <v>2</v>
      </c>
      <c r="E1223" s="57">
        <v>45531</v>
      </c>
      <c r="G1223" s="3" t="s">
        <v>1</v>
      </c>
      <c r="H1223" s="24"/>
      <c r="I1223" s="90"/>
      <c r="J1223" s="7">
        <f t="shared" ref="J1223:J1225" si="243">SUM(H1223+I1223)</f>
        <v>0</v>
      </c>
    </row>
    <row r="1224" spans="1:10" x14ac:dyDescent="0.15">
      <c r="A1224" s="3" t="s">
        <v>124</v>
      </c>
      <c r="B1224" s="74">
        <v>-4</v>
      </c>
      <c r="C1224" s="78">
        <v>-1</v>
      </c>
      <c r="D1224" s="7">
        <f t="shared" ref="D1224:D1225" si="244">SUM(B1224+C1224)</f>
        <v>-5</v>
      </c>
      <c r="E1224" s="57">
        <v>45531</v>
      </c>
      <c r="G1224" s="3" t="s">
        <v>1</v>
      </c>
      <c r="H1224" s="24"/>
      <c r="I1224" s="90"/>
      <c r="J1224" s="7">
        <f t="shared" si="243"/>
        <v>0</v>
      </c>
    </row>
    <row r="1225" spans="1:10" ht="14.25" thickBot="1" x14ac:dyDescent="0.2">
      <c r="A1225" s="3" t="s">
        <v>1</v>
      </c>
      <c r="B1225" s="74"/>
      <c r="C1225" s="78"/>
      <c r="D1225" s="21">
        <f t="shared" si="244"/>
        <v>0</v>
      </c>
      <c r="G1225" s="4" t="s">
        <v>1</v>
      </c>
      <c r="H1225" s="75"/>
      <c r="I1225" s="17"/>
      <c r="J1225" s="22">
        <f t="shared" si="243"/>
        <v>0</v>
      </c>
    </row>
    <row r="1226" spans="1:10" ht="14.25" thickBot="1" x14ac:dyDescent="0.2">
      <c r="A1226" s="14" t="s">
        <v>2</v>
      </c>
      <c r="B1226" s="16">
        <f>SUM(B1220:B1225)</f>
        <v>55</v>
      </c>
      <c r="C1226" s="83">
        <f>SUM(C1220:C1225)</f>
        <v>51</v>
      </c>
      <c r="D1226" s="84">
        <f>SUM(B1226+C1226)</f>
        <v>106</v>
      </c>
      <c r="G1226" s="14" t="s">
        <v>2</v>
      </c>
      <c r="H1226" s="84">
        <f>SUM(H1220:H1225)</f>
        <v>3220</v>
      </c>
      <c r="I1226" s="65">
        <f>SUM(I1220:I1225)</f>
        <v>2969</v>
      </c>
      <c r="J1226" s="18">
        <f>SUM(H1226+I1226)</f>
        <v>6189</v>
      </c>
    </row>
    <row r="1227" spans="1:10" x14ac:dyDescent="0.15">
      <c r="A1227" s="29" t="s">
        <v>112</v>
      </c>
      <c r="B1227" s="6">
        <v>1</v>
      </c>
      <c r="C1227" s="27"/>
      <c r="D1227" s="7">
        <f t="shared" ref="D1227:D1246" si="245">SUM(B1227+C1227)</f>
        <v>1</v>
      </c>
      <c r="E1227" s="61">
        <v>45505</v>
      </c>
      <c r="G1227" s="43"/>
      <c r="H1227" s="6"/>
      <c r="I1227" s="27"/>
      <c r="J1227" s="35">
        <f t="shared" ref="J1227:J1228" si="246">SUM(H1227+I1227)</f>
        <v>0</v>
      </c>
    </row>
    <row r="1228" spans="1:10" x14ac:dyDescent="0.15">
      <c r="A1228" s="29" t="s">
        <v>112</v>
      </c>
      <c r="B1228" s="6"/>
      <c r="C1228" s="27">
        <v>2</v>
      </c>
      <c r="D1228" s="7">
        <f t="shared" si="245"/>
        <v>2</v>
      </c>
      <c r="E1228" s="61">
        <v>45506</v>
      </c>
      <c r="G1228" s="43"/>
      <c r="H1228" s="6"/>
      <c r="I1228" s="27"/>
      <c r="J1228" s="35">
        <f t="shared" si="246"/>
        <v>0</v>
      </c>
    </row>
    <row r="1229" spans="1:10" x14ac:dyDescent="0.15">
      <c r="A1229" s="29" t="s">
        <v>112</v>
      </c>
      <c r="B1229" s="6">
        <v>2</v>
      </c>
      <c r="C1229" s="27">
        <v>2</v>
      </c>
      <c r="D1229" s="7">
        <f t="shared" si="245"/>
        <v>4</v>
      </c>
      <c r="E1229" s="61">
        <v>45509</v>
      </c>
      <c r="G1229" s="43"/>
      <c r="H1229" s="6"/>
      <c r="I1229" s="27"/>
      <c r="J1229" s="35">
        <f t="shared" ref="J1229:J1247" si="247">SUM(H1229+I1229)</f>
        <v>0</v>
      </c>
    </row>
    <row r="1230" spans="1:10" x14ac:dyDescent="0.15">
      <c r="A1230" s="29" t="s">
        <v>112</v>
      </c>
      <c r="B1230" s="6">
        <v>1</v>
      </c>
      <c r="C1230" s="27">
        <v>3</v>
      </c>
      <c r="D1230" s="7">
        <f t="shared" si="245"/>
        <v>4</v>
      </c>
      <c r="E1230" s="61">
        <v>45510</v>
      </c>
      <c r="G1230" s="43"/>
      <c r="H1230" s="6"/>
      <c r="I1230" s="27"/>
      <c r="J1230" s="35">
        <f t="shared" si="247"/>
        <v>0</v>
      </c>
    </row>
    <row r="1231" spans="1:10" x14ac:dyDescent="0.15">
      <c r="A1231" s="29" t="s">
        <v>112</v>
      </c>
      <c r="B1231" s="6">
        <v>4</v>
      </c>
      <c r="C1231" s="27"/>
      <c r="D1231" s="7">
        <f t="shared" si="245"/>
        <v>4</v>
      </c>
      <c r="E1231" s="61">
        <v>45510</v>
      </c>
      <c r="G1231" s="43"/>
      <c r="H1231" s="6"/>
      <c r="I1231" s="27"/>
      <c r="J1231" s="35">
        <f t="shared" si="247"/>
        <v>0</v>
      </c>
    </row>
    <row r="1232" spans="1:10" x14ac:dyDescent="0.15">
      <c r="A1232" s="29" t="s">
        <v>112</v>
      </c>
      <c r="B1232" s="6">
        <v>2</v>
      </c>
      <c r="C1232" s="27">
        <v>1</v>
      </c>
      <c r="D1232" s="7">
        <f t="shared" si="245"/>
        <v>3</v>
      </c>
      <c r="E1232" s="61">
        <v>45511</v>
      </c>
      <c r="G1232" s="43"/>
      <c r="H1232" s="6"/>
      <c r="I1232" s="27"/>
      <c r="J1232" s="35">
        <f t="shared" si="247"/>
        <v>0</v>
      </c>
    </row>
    <row r="1233" spans="1:10" x14ac:dyDescent="0.15">
      <c r="A1233" s="29" t="s">
        <v>112</v>
      </c>
      <c r="B1233" s="6">
        <v>7</v>
      </c>
      <c r="C1233" s="27">
        <v>1</v>
      </c>
      <c r="D1233" s="7">
        <f t="shared" si="245"/>
        <v>8</v>
      </c>
      <c r="E1233" s="61">
        <v>45512</v>
      </c>
      <c r="G1233" s="43"/>
      <c r="H1233" s="6"/>
      <c r="I1233" s="27"/>
      <c r="J1233" s="35">
        <f t="shared" si="247"/>
        <v>0</v>
      </c>
    </row>
    <row r="1234" spans="1:10" x14ac:dyDescent="0.15">
      <c r="A1234" s="29" t="s">
        <v>112</v>
      </c>
      <c r="B1234" s="6">
        <v>1</v>
      </c>
      <c r="C1234" s="27">
        <v>2</v>
      </c>
      <c r="D1234" s="7">
        <f t="shared" si="245"/>
        <v>3</v>
      </c>
      <c r="E1234" s="61">
        <v>45513</v>
      </c>
      <c r="G1234" s="43"/>
      <c r="H1234" s="6"/>
      <c r="I1234" s="27"/>
      <c r="J1234" s="35">
        <f t="shared" si="247"/>
        <v>0</v>
      </c>
    </row>
    <row r="1235" spans="1:10" x14ac:dyDescent="0.15">
      <c r="A1235" s="29" t="s">
        <v>112</v>
      </c>
      <c r="B1235" s="6">
        <v>4</v>
      </c>
      <c r="C1235" s="27"/>
      <c r="D1235" s="7">
        <f t="shared" si="245"/>
        <v>4</v>
      </c>
      <c r="E1235" s="61">
        <v>45515</v>
      </c>
      <c r="G1235" s="43"/>
      <c r="H1235" s="6"/>
      <c r="I1235" s="27"/>
      <c r="J1235" s="35">
        <f t="shared" si="247"/>
        <v>0</v>
      </c>
    </row>
    <row r="1236" spans="1:10" x14ac:dyDescent="0.15">
      <c r="A1236" s="29" t="s">
        <v>112</v>
      </c>
      <c r="B1236" s="6">
        <v>5</v>
      </c>
      <c r="C1236" s="27">
        <v>10</v>
      </c>
      <c r="D1236" s="7">
        <f t="shared" si="245"/>
        <v>15</v>
      </c>
      <c r="E1236" s="61">
        <v>45520</v>
      </c>
      <c r="G1236" s="43"/>
      <c r="H1236" s="6"/>
      <c r="I1236" s="27"/>
      <c r="J1236" s="35">
        <f t="shared" si="247"/>
        <v>0</v>
      </c>
    </row>
    <row r="1237" spans="1:10" x14ac:dyDescent="0.15">
      <c r="A1237" s="29" t="s">
        <v>112</v>
      </c>
      <c r="B1237" s="6"/>
      <c r="C1237" s="27">
        <v>1</v>
      </c>
      <c r="D1237" s="7">
        <f t="shared" si="245"/>
        <v>1</v>
      </c>
      <c r="E1237" s="61">
        <v>45523</v>
      </c>
      <c r="G1237" s="43"/>
      <c r="H1237" s="6"/>
      <c r="I1237" s="27"/>
      <c r="J1237" s="35">
        <f t="shared" si="247"/>
        <v>0</v>
      </c>
    </row>
    <row r="1238" spans="1:10" x14ac:dyDescent="0.15">
      <c r="A1238" s="29" t="s">
        <v>112</v>
      </c>
      <c r="B1238" s="6">
        <v>1</v>
      </c>
      <c r="C1238" s="27"/>
      <c r="D1238" s="7">
        <f t="shared" si="245"/>
        <v>1</v>
      </c>
      <c r="E1238" s="61">
        <v>45524</v>
      </c>
      <c r="G1238" s="43"/>
      <c r="H1238" s="6"/>
      <c r="I1238" s="27"/>
      <c r="J1238" s="35">
        <f t="shared" si="247"/>
        <v>0</v>
      </c>
    </row>
    <row r="1239" spans="1:10" x14ac:dyDescent="0.15">
      <c r="A1239" s="29" t="s">
        <v>227</v>
      </c>
      <c r="B1239" s="6">
        <v>5</v>
      </c>
      <c r="C1239" s="27"/>
      <c r="D1239" s="7">
        <f t="shared" si="245"/>
        <v>5</v>
      </c>
      <c r="E1239" s="57">
        <v>45524</v>
      </c>
      <c r="G1239" s="43"/>
      <c r="H1239" s="6"/>
      <c r="I1239" s="27"/>
      <c r="J1239" s="35">
        <f t="shared" si="247"/>
        <v>0</v>
      </c>
    </row>
    <row r="1240" spans="1:10" x14ac:dyDescent="0.15">
      <c r="A1240" s="29" t="s">
        <v>112</v>
      </c>
      <c r="B1240" s="6">
        <v>1</v>
      </c>
      <c r="C1240" s="27"/>
      <c r="D1240" s="7">
        <f t="shared" si="245"/>
        <v>1</v>
      </c>
      <c r="E1240" s="61">
        <v>45527</v>
      </c>
      <c r="G1240" s="43"/>
      <c r="H1240" s="6"/>
      <c r="I1240" s="27"/>
      <c r="J1240" s="35">
        <f t="shared" si="247"/>
        <v>0</v>
      </c>
    </row>
    <row r="1241" spans="1:10" x14ac:dyDescent="0.15">
      <c r="A1241" s="29" t="s">
        <v>112</v>
      </c>
      <c r="B1241" s="6">
        <f>2-1</f>
        <v>1</v>
      </c>
      <c r="C1241" s="27">
        <v>2</v>
      </c>
      <c r="D1241" s="7">
        <f t="shared" si="245"/>
        <v>3</v>
      </c>
      <c r="E1241" s="61">
        <v>45530</v>
      </c>
      <c r="G1241" s="43"/>
      <c r="H1241" s="6"/>
      <c r="I1241" s="27"/>
      <c r="J1241" s="35">
        <f t="shared" si="247"/>
        <v>0</v>
      </c>
    </row>
    <row r="1242" spans="1:10" x14ac:dyDescent="0.15">
      <c r="A1242" s="29" t="s">
        <v>112</v>
      </c>
      <c r="B1242" s="6">
        <v>1</v>
      </c>
      <c r="C1242" s="27"/>
      <c r="D1242" s="7">
        <f t="shared" ref="D1242" si="248">SUM(B1242+C1242)</f>
        <v>1</v>
      </c>
      <c r="E1242" s="61">
        <v>45533</v>
      </c>
      <c r="G1242" s="43"/>
      <c r="H1242" s="6"/>
      <c r="I1242" s="27"/>
      <c r="J1242" s="35">
        <f t="shared" si="247"/>
        <v>0</v>
      </c>
    </row>
    <row r="1243" spans="1:10" x14ac:dyDescent="0.15">
      <c r="A1243" s="29" t="s">
        <v>112</v>
      </c>
      <c r="B1243" s="6">
        <v>1</v>
      </c>
      <c r="C1243" s="27"/>
      <c r="D1243" s="7">
        <f t="shared" si="245"/>
        <v>1</v>
      </c>
      <c r="E1243" s="61">
        <v>45533</v>
      </c>
      <c r="G1243" s="43"/>
      <c r="H1243" s="6"/>
      <c r="I1243" s="27"/>
      <c r="J1243" s="35">
        <f t="shared" si="247"/>
        <v>0</v>
      </c>
    </row>
    <row r="1244" spans="1:10" x14ac:dyDescent="0.15">
      <c r="A1244" s="29" t="s">
        <v>112</v>
      </c>
      <c r="B1244" s="6"/>
      <c r="C1244" s="27">
        <v>1</v>
      </c>
      <c r="D1244" s="7">
        <f t="shared" si="245"/>
        <v>1</v>
      </c>
      <c r="E1244" s="61">
        <v>45534</v>
      </c>
      <c r="G1244" s="43"/>
      <c r="H1244" s="6"/>
      <c r="I1244" s="27"/>
      <c r="J1244" s="35">
        <f t="shared" si="247"/>
        <v>0</v>
      </c>
    </row>
    <row r="1245" spans="1:10" x14ac:dyDescent="0.15">
      <c r="A1245" s="29" t="s">
        <v>112</v>
      </c>
      <c r="B1245" s="6">
        <f>2+3</f>
        <v>5</v>
      </c>
      <c r="C1245" s="27">
        <f>2+1</f>
        <v>3</v>
      </c>
      <c r="D1245" s="7">
        <f t="shared" si="245"/>
        <v>8</v>
      </c>
      <c r="E1245" s="61">
        <v>45535</v>
      </c>
      <c r="G1245" s="43"/>
      <c r="H1245" s="6"/>
      <c r="I1245" s="27"/>
      <c r="J1245" s="35">
        <f t="shared" si="247"/>
        <v>0</v>
      </c>
    </row>
    <row r="1246" spans="1:10" x14ac:dyDescent="0.15">
      <c r="A1246" s="29"/>
      <c r="B1246" s="6"/>
      <c r="C1246" s="27"/>
      <c r="D1246" s="7">
        <f t="shared" si="245"/>
        <v>0</v>
      </c>
      <c r="G1246" s="43"/>
      <c r="H1246" s="6"/>
      <c r="I1246" s="27"/>
      <c r="J1246" s="35">
        <f t="shared" si="247"/>
        <v>0</v>
      </c>
    </row>
    <row r="1247" spans="1:10" x14ac:dyDescent="0.15">
      <c r="A1247" s="29"/>
      <c r="B1247" s="6"/>
      <c r="C1247" s="27"/>
      <c r="D1247" s="7">
        <f t="shared" ref="D1247:D1250" si="249">SUM(B1247+C1247)</f>
        <v>0</v>
      </c>
      <c r="G1247" s="43"/>
      <c r="H1247" s="6"/>
      <c r="I1247" s="27"/>
      <c r="J1247" s="35">
        <f t="shared" si="247"/>
        <v>0</v>
      </c>
    </row>
    <row r="1248" spans="1:10" x14ac:dyDescent="0.15">
      <c r="A1248" s="29"/>
      <c r="B1248" s="6"/>
      <c r="C1248" s="27"/>
      <c r="D1248" s="7">
        <f t="shared" si="249"/>
        <v>0</v>
      </c>
      <c r="G1248" s="43"/>
      <c r="H1248" s="6"/>
      <c r="I1248" s="27"/>
      <c r="J1248" s="35">
        <f t="shared" ref="J1248:J1250" si="250">SUM(H1248+I1248)</f>
        <v>0</v>
      </c>
    </row>
    <row r="1249" spans="1:13" x14ac:dyDescent="0.15">
      <c r="A1249" s="29"/>
      <c r="B1249" s="6"/>
      <c r="C1249" s="27"/>
      <c r="D1249" s="7">
        <f t="shared" si="249"/>
        <v>0</v>
      </c>
      <c r="G1249" s="43"/>
      <c r="H1249" s="6"/>
      <c r="I1249" s="27"/>
      <c r="J1249" s="35">
        <f t="shared" si="250"/>
        <v>0</v>
      </c>
    </row>
    <row r="1250" spans="1:13" ht="14.25" thickBot="1" x14ac:dyDescent="0.2">
      <c r="A1250" s="29"/>
      <c r="B1250" s="6"/>
      <c r="C1250" s="27"/>
      <c r="D1250" s="7">
        <f t="shared" si="249"/>
        <v>0</v>
      </c>
      <c r="G1250" s="43"/>
      <c r="H1250" s="6"/>
      <c r="I1250" s="27"/>
      <c r="J1250" s="35">
        <f t="shared" si="250"/>
        <v>0</v>
      </c>
    </row>
    <row r="1251" spans="1:13" ht="14.25" thickBot="1" x14ac:dyDescent="0.2">
      <c r="A1251" s="9" t="s">
        <v>3</v>
      </c>
      <c r="B1251" s="10">
        <f>SUM(B1227:B1250)</f>
        <v>42</v>
      </c>
      <c r="C1251" s="66">
        <f>SUM(C1227:C1250)</f>
        <v>28</v>
      </c>
      <c r="D1251" s="11">
        <f>SUM(D1227:D1250)</f>
        <v>70</v>
      </c>
      <c r="G1251" s="9" t="s">
        <v>3</v>
      </c>
      <c r="H1251" s="10">
        <f>SUM(H1227:H1250)</f>
        <v>0</v>
      </c>
      <c r="I1251" s="66">
        <f>SUM(I1227:I1250)</f>
        <v>0</v>
      </c>
      <c r="J1251" s="11">
        <f>SUM(J1227:J1250)</f>
        <v>0</v>
      </c>
    </row>
    <row r="1252" spans="1:13" ht="14.25" thickBot="1" x14ac:dyDescent="0.2">
      <c r="A1252" s="14" t="s">
        <v>4</v>
      </c>
      <c r="B1252" s="16">
        <f>B1226-B1251</f>
        <v>13</v>
      </c>
      <c r="C1252" s="16">
        <f>C1226-C1251</f>
        <v>23</v>
      </c>
      <c r="D1252" s="84">
        <f>D1226-D1251</f>
        <v>36</v>
      </c>
      <c r="G1252" s="14" t="s">
        <v>4</v>
      </c>
      <c r="H1252" s="16">
        <f>H1226-H1251</f>
        <v>3220</v>
      </c>
      <c r="I1252" s="16">
        <f>I1226-I1251</f>
        <v>2969</v>
      </c>
      <c r="J1252" s="16">
        <f>J1226-J1251</f>
        <v>6189</v>
      </c>
    </row>
    <row r="1255" spans="1:13" ht="24.75" thickBot="1" x14ac:dyDescent="0.3">
      <c r="A1255" s="25" t="s">
        <v>7</v>
      </c>
      <c r="B1255" s="1"/>
      <c r="C1255" s="1"/>
      <c r="D1255" s="1"/>
      <c r="G1255" s="25" t="s">
        <v>8</v>
      </c>
      <c r="H1255" s="1"/>
      <c r="I1255" s="1"/>
      <c r="J1255" s="1"/>
    </row>
    <row r="1256" spans="1:13" ht="14.25" thickBot="1" x14ac:dyDescent="0.2">
      <c r="A1256" s="2"/>
      <c r="B1256" s="50" t="s">
        <v>115</v>
      </c>
      <c r="C1256" s="50" t="s">
        <v>116</v>
      </c>
      <c r="D1256" s="2" t="s">
        <v>0</v>
      </c>
      <c r="G1256" s="2"/>
      <c r="H1256" s="50" t="s">
        <v>115</v>
      </c>
      <c r="I1256" s="50" t="s">
        <v>116</v>
      </c>
      <c r="J1256" s="2" t="s">
        <v>0</v>
      </c>
    </row>
    <row r="1257" spans="1:13" x14ac:dyDescent="0.15">
      <c r="A1257" s="32" t="s">
        <v>4</v>
      </c>
      <c r="B1257" s="48">
        <f>B1252</f>
        <v>13</v>
      </c>
      <c r="C1257" s="76">
        <f>C1252</f>
        <v>23</v>
      </c>
      <c r="D1257" s="47">
        <f>SUM(B1257+C1257)</f>
        <v>36</v>
      </c>
      <c r="G1257" s="13" t="s">
        <v>6</v>
      </c>
      <c r="H1257" s="48">
        <f>H1252</f>
        <v>3220</v>
      </c>
      <c r="I1257" s="80">
        <f>I1252</f>
        <v>2969</v>
      </c>
      <c r="J1257" s="47">
        <f>SUM(H1257+I1257)</f>
        <v>6189</v>
      </c>
    </row>
    <row r="1258" spans="1:13" x14ac:dyDescent="0.15">
      <c r="A1258" s="3" t="s">
        <v>1</v>
      </c>
      <c r="B1258" s="24">
        <v>20</v>
      </c>
      <c r="C1258" s="90"/>
      <c r="D1258" s="7">
        <f>SUM(B1258+C1258)</f>
        <v>20</v>
      </c>
      <c r="E1258" s="57">
        <v>45538</v>
      </c>
      <c r="G1258" s="3" t="s">
        <v>215</v>
      </c>
      <c r="H1258" s="24">
        <v>49</v>
      </c>
      <c r="I1258" s="90">
        <v>33</v>
      </c>
      <c r="J1258" s="7">
        <f>SUM(H1258+I1258)</f>
        <v>82</v>
      </c>
      <c r="K1258" s="57">
        <v>45569</v>
      </c>
    </row>
    <row r="1259" spans="1:13" x14ac:dyDescent="0.15">
      <c r="A1259" s="3" t="s">
        <v>1</v>
      </c>
      <c r="B1259" s="24">
        <v>30</v>
      </c>
      <c r="C1259" s="90"/>
      <c r="D1259" s="7">
        <f>SUM(B1259+C1259)</f>
        <v>30</v>
      </c>
      <c r="E1259" s="57">
        <v>45560</v>
      </c>
      <c r="G1259" s="3" t="s">
        <v>1</v>
      </c>
      <c r="H1259" s="24"/>
      <c r="I1259" s="90"/>
      <c r="J1259" s="7">
        <f>SUM(H1259+I1259)</f>
        <v>0</v>
      </c>
    </row>
    <row r="1260" spans="1:13" x14ac:dyDescent="0.15">
      <c r="A1260" s="3" t="s">
        <v>1</v>
      </c>
      <c r="B1260" s="24">
        <v>10</v>
      </c>
      <c r="C1260" s="90">
        <v>5</v>
      </c>
      <c r="D1260" s="7">
        <f t="shared" ref="D1260:D1262" si="251">SUM(B1260+C1260)</f>
        <v>15</v>
      </c>
      <c r="E1260" s="57">
        <v>45569</v>
      </c>
      <c r="G1260" s="3" t="s">
        <v>1</v>
      </c>
      <c r="H1260" s="24"/>
      <c r="I1260" s="90"/>
      <c r="J1260" s="7">
        <f t="shared" ref="J1260:J1262" si="252">SUM(H1260+I1260)</f>
        <v>0</v>
      </c>
    </row>
    <row r="1261" spans="1:13" x14ac:dyDescent="0.15">
      <c r="A1261" s="3" t="s">
        <v>302</v>
      </c>
      <c r="B1261" s="24">
        <v>10</v>
      </c>
      <c r="C1261" s="90">
        <v>10</v>
      </c>
      <c r="D1261" s="7">
        <f t="shared" si="251"/>
        <v>20</v>
      </c>
      <c r="E1261" s="57">
        <v>45582</v>
      </c>
      <c r="G1261" s="3" t="s">
        <v>1</v>
      </c>
      <c r="H1261" s="24"/>
      <c r="I1261" s="90"/>
      <c r="J1261" s="7">
        <f t="shared" si="252"/>
        <v>0</v>
      </c>
    </row>
    <row r="1262" spans="1:13" ht="14.25" thickBot="1" x14ac:dyDescent="0.2">
      <c r="A1262" s="4" t="s">
        <v>1</v>
      </c>
      <c r="B1262" s="75"/>
      <c r="C1262" s="17"/>
      <c r="D1262" s="22">
        <f t="shared" si="251"/>
        <v>0</v>
      </c>
      <c r="G1262" s="4" t="s">
        <v>1</v>
      </c>
      <c r="H1262" s="75"/>
      <c r="I1262" s="17"/>
      <c r="J1262" s="22">
        <f t="shared" si="252"/>
        <v>0</v>
      </c>
    </row>
    <row r="1263" spans="1:13" ht="14.25" thickBot="1" x14ac:dyDescent="0.2">
      <c r="A1263" s="14" t="s">
        <v>2</v>
      </c>
      <c r="B1263" s="84">
        <f>SUM(B1257:B1262)</f>
        <v>83</v>
      </c>
      <c r="C1263" s="65">
        <f>SUM(C1257:C1262)</f>
        <v>38</v>
      </c>
      <c r="D1263" s="18">
        <f>SUM(B1263+C1263)</f>
        <v>121</v>
      </c>
      <c r="G1263" s="14" t="s">
        <v>2</v>
      </c>
      <c r="H1263" s="84">
        <f>SUM(H1257:H1262)</f>
        <v>3269</v>
      </c>
      <c r="I1263" s="65">
        <f>SUM(I1257:I1262)</f>
        <v>3002</v>
      </c>
      <c r="J1263" s="18">
        <f>SUM(H1263+I1263)</f>
        <v>6271</v>
      </c>
    </row>
    <row r="1264" spans="1:13" x14ac:dyDescent="0.15">
      <c r="A1264" s="29" t="s">
        <v>112</v>
      </c>
      <c r="B1264" s="6">
        <v>3</v>
      </c>
      <c r="C1264" s="27"/>
      <c r="D1264" s="35">
        <f t="shared" ref="D1264:D1287" si="253">SUM(B1264+C1264)</f>
        <v>3</v>
      </c>
      <c r="E1264" s="61">
        <v>45537</v>
      </c>
      <c r="G1264" s="43" t="s">
        <v>21</v>
      </c>
      <c r="H1264" s="6">
        <v>20</v>
      </c>
      <c r="I1264" s="27"/>
      <c r="J1264" s="35">
        <f>SUM(H1264+I1264)</f>
        <v>20</v>
      </c>
      <c r="K1264" s="57">
        <v>45538</v>
      </c>
      <c r="L1264" s="19"/>
      <c r="M1264" s="19"/>
    </row>
    <row r="1265" spans="1:13" x14ac:dyDescent="0.15">
      <c r="A1265" s="29" t="s">
        <v>112</v>
      </c>
      <c r="B1265" s="6">
        <v>3</v>
      </c>
      <c r="C1265" s="27"/>
      <c r="D1265" s="35">
        <f t="shared" si="253"/>
        <v>3</v>
      </c>
      <c r="E1265" s="61">
        <v>45540</v>
      </c>
      <c r="G1265" s="43" t="s">
        <v>21</v>
      </c>
      <c r="H1265" s="6">
        <v>30</v>
      </c>
      <c r="I1265" s="27"/>
      <c r="J1265" s="35">
        <f>SUM(H1265+I1265)</f>
        <v>30</v>
      </c>
      <c r="K1265" s="57">
        <v>45560</v>
      </c>
      <c r="L1265" s="19"/>
      <c r="M1265" s="19"/>
    </row>
    <row r="1266" spans="1:13" x14ac:dyDescent="0.15">
      <c r="A1266" s="29" t="s">
        <v>112</v>
      </c>
      <c r="B1266" s="6">
        <v>2</v>
      </c>
      <c r="C1266" s="27"/>
      <c r="D1266" s="35">
        <f t="shared" si="253"/>
        <v>2</v>
      </c>
      <c r="E1266" s="61">
        <v>45541</v>
      </c>
      <c r="G1266" s="43" t="s">
        <v>21</v>
      </c>
      <c r="H1266" s="6">
        <v>10</v>
      </c>
      <c r="I1266" s="27">
        <v>5</v>
      </c>
      <c r="J1266" s="35">
        <f t="shared" ref="J1266" si="254">SUM(H1266+I1266)</f>
        <v>15</v>
      </c>
      <c r="K1266" s="57">
        <v>45569</v>
      </c>
      <c r="L1266" s="19"/>
      <c r="M1266" s="19"/>
    </row>
    <row r="1267" spans="1:13" x14ac:dyDescent="0.15">
      <c r="A1267" s="29" t="s">
        <v>112</v>
      </c>
      <c r="B1267" s="6">
        <v>2</v>
      </c>
      <c r="C1267" s="27"/>
      <c r="D1267" s="35">
        <f t="shared" si="253"/>
        <v>2</v>
      </c>
      <c r="E1267" s="61">
        <v>45542</v>
      </c>
      <c r="G1267" s="43"/>
      <c r="H1267" s="6"/>
      <c r="I1267" s="27"/>
      <c r="J1267" s="35">
        <f t="shared" ref="J1267:J1287" si="255">SUM(H1267+I1267)</f>
        <v>0</v>
      </c>
      <c r="K1267" s="19"/>
      <c r="L1267" s="19"/>
      <c r="M1267" s="19"/>
    </row>
    <row r="1268" spans="1:13" x14ac:dyDescent="0.15">
      <c r="A1268" s="29" t="s">
        <v>112</v>
      </c>
      <c r="B1268" s="6">
        <v>2</v>
      </c>
      <c r="C1268" s="27"/>
      <c r="D1268" s="35">
        <f t="shared" si="253"/>
        <v>2</v>
      </c>
      <c r="E1268" s="61">
        <v>45544</v>
      </c>
      <c r="G1268" s="43"/>
      <c r="H1268" s="6"/>
      <c r="I1268" s="27"/>
      <c r="J1268" s="35">
        <f t="shared" si="255"/>
        <v>0</v>
      </c>
      <c r="K1268" s="19"/>
      <c r="L1268" s="19"/>
      <c r="M1268" s="19"/>
    </row>
    <row r="1269" spans="1:13" x14ac:dyDescent="0.15">
      <c r="A1269" s="29" t="s">
        <v>112</v>
      </c>
      <c r="B1269" s="6">
        <v>1</v>
      </c>
      <c r="C1269" s="27">
        <v>4</v>
      </c>
      <c r="D1269" s="35">
        <f t="shared" si="253"/>
        <v>5</v>
      </c>
      <c r="E1269" s="61">
        <v>45545</v>
      </c>
      <c r="G1269" s="43"/>
      <c r="H1269" s="6"/>
      <c r="I1269" s="27"/>
      <c r="J1269" s="35">
        <f t="shared" si="255"/>
        <v>0</v>
      </c>
    </row>
    <row r="1270" spans="1:13" x14ac:dyDescent="0.15">
      <c r="A1270" s="29" t="s">
        <v>112</v>
      </c>
      <c r="B1270" s="6">
        <v>1</v>
      </c>
      <c r="C1270" s="27"/>
      <c r="D1270" s="35">
        <f t="shared" si="253"/>
        <v>1</v>
      </c>
      <c r="E1270" s="61">
        <v>45545</v>
      </c>
      <c r="G1270" s="43"/>
      <c r="H1270" s="6"/>
      <c r="I1270" s="27"/>
      <c r="J1270" s="35">
        <f t="shared" si="255"/>
        <v>0</v>
      </c>
    </row>
    <row r="1271" spans="1:13" x14ac:dyDescent="0.15">
      <c r="A1271" s="29" t="s">
        <v>112</v>
      </c>
      <c r="B1271" s="6">
        <v>1</v>
      </c>
      <c r="C1271" s="27"/>
      <c r="D1271" s="35">
        <f t="shared" si="253"/>
        <v>1</v>
      </c>
      <c r="E1271" s="61">
        <v>45547</v>
      </c>
      <c r="G1271" s="43"/>
      <c r="H1271" s="6"/>
      <c r="I1271" s="27"/>
      <c r="J1271" s="35">
        <f t="shared" si="255"/>
        <v>0</v>
      </c>
    </row>
    <row r="1272" spans="1:13" x14ac:dyDescent="0.15">
      <c r="A1272" s="29" t="s">
        <v>112</v>
      </c>
      <c r="B1272" s="6">
        <v>3</v>
      </c>
      <c r="C1272" s="27"/>
      <c r="D1272" s="35">
        <f t="shared" si="253"/>
        <v>3</v>
      </c>
      <c r="E1272" s="61">
        <v>45552</v>
      </c>
      <c r="G1272" s="43"/>
      <c r="H1272" s="6"/>
      <c r="I1272" s="27"/>
      <c r="J1272" s="35">
        <f t="shared" si="255"/>
        <v>0</v>
      </c>
    </row>
    <row r="1273" spans="1:13" x14ac:dyDescent="0.15">
      <c r="A1273" s="29" t="s">
        <v>112</v>
      </c>
      <c r="B1273" s="6">
        <v>2</v>
      </c>
      <c r="C1273" s="27"/>
      <c r="D1273" s="35">
        <f t="shared" si="253"/>
        <v>2</v>
      </c>
      <c r="E1273" s="61">
        <v>45555</v>
      </c>
      <c r="G1273" s="43"/>
      <c r="H1273" s="6"/>
      <c r="I1273" s="27"/>
      <c r="J1273" s="35">
        <f t="shared" si="255"/>
        <v>0</v>
      </c>
    </row>
    <row r="1274" spans="1:13" x14ac:dyDescent="0.15">
      <c r="A1274" s="29" t="s">
        <v>112</v>
      </c>
      <c r="B1274" s="6">
        <v>3</v>
      </c>
      <c r="C1274" s="27"/>
      <c r="D1274" s="35">
        <f t="shared" si="253"/>
        <v>3</v>
      </c>
      <c r="E1274" s="61">
        <v>45556</v>
      </c>
      <c r="G1274" s="43"/>
      <c r="H1274" s="6"/>
      <c r="I1274" s="27"/>
      <c r="J1274" s="35">
        <f t="shared" si="255"/>
        <v>0</v>
      </c>
    </row>
    <row r="1275" spans="1:13" x14ac:dyDescent="0.15">
      <c r="A1275" s="29" t="s">
        <v>112</v>
      </c>
      <c r="B1275" s="6">
        <f>4+2+1</f>
        <v>7</v>
      </c>
      <c r="C1275" s="27">
        <v>2</v>
      </c>
      <c r="D1275" s="35">
        <f t="shared" si="253"/>
        <v>9</v>
      </c>
      <c r="E1275" s="61">
        <v>45559</v>
      </c>
      <c r="G1275" s="43"/>
      <c r="H1275" s="6"/>
      <c r="I1275" s="27"/>
      <c r="J1275" s="35">
        <f t="shared" si="255"/>
        <v>0</v>
      </c>
    </row>
    <row r="1276" spans="1:13" x14ac:dyDescent="0.15">
      <c r="A1276" s="29" t="s">
        <v>112</v>
      </c>
      <c r="B1276" s="6">
        <v>2</v>
      </c>
      <c r="C1276" s="27"/>
      <c r="D1276" s="35">
        <f t="shared" si="253"/>
        <v>2</v>
      </c>
      <c r="E1276" s="57">
        <v>45561</v>
      </c>
      <c r="G1276" s="43"/>
      <c r="H1276" s="6"/>
      <c r="I1276" s="27"/>
      <c r="J1276" s="35">
        <f t="shared" si="255"/>
        <v>0</v>
      </c>
    </row>
    <row r="1277" spans="1:13" x14ac:dyDescent="0.15">
      <c r="A1277" s="29" t="s">
        <v>112</v>
      </c>
      <c r="B1277" s="6">
        <v>4</v>
      </c>
      <c r="C1277" s="27">
        <v>2</v>
      </c>
      <c r="D1277" s="35">
        <f t="shared" si="253"/>
        <v>6</v>
      </c>
      <c r="E1277" s="57">
        <v>45565</v>
      </c>
      <c r="G1277" s="43"/>
      <c r="H1277" s="6"/>
      <c r="I1277" s="27"/>
      <c r="J1277" s="35">
        <f t="shared" si="255"/>
        <v>0</v>
      </c>
    </row>
    <row r="1278" spans="1:13" x14ac:dyDescent="0.15">
      <c r="A1278" s="43" t="s">
        <v>227</v>
      </c>
      <c r="B1278" s="6">
        <v>15</v>
      </c>
      <c r="C1278" s="27"/>
      <c r="D1278" s="35">
        <f t="shared" si="253"/>
        <v>15</v>
      </c>
      <c r="E1278" s="57">
        <v>45568</v>
      </c>
      <c r="G1278" s="43"/>
      <c r="H1278" s="6"/>
      <c r="I1278" s="27"/>
      <c r="J1278" s="35">
        <f t="shared" si="255"/>
        <v>0</v>
      </c>
    </row>
    <row r="1279" spans="1:13" x14ac:dyDescent="0.15">
      <c r="A1279" s="29" t="s">
        <v>112</v>
      </c>
      <c r="B1279" s="6">
        <v>2</v>
      </c>
      <c r="C1279" s="27">
        <v>2</v>
      </c>
      <c r="D1279" s="35">
        <f t="shared" si="253"/>
        <v>4</v>
      </c>
      <c r="E1279" s="57">
        <v>45568</v>
      </c>
      <c r="G1279" s="43"/>
      <c r="H1279" s="6"/>
      <c r="I1279" s="27"/>
      <c r="J1279" s="35">
        <f t="shared" si="255"/>
        <v>0</v>
      </c>
    </row>
    <row r="1280" spans="1:13" x14ac:dyDescent="0.15">
      <c r="A1280" s="29" t="s">
        <v>112</v>
      </c>
      <c r="B1280" s="6">
        <v>1</v>
      </c>
      <c r="C1280" s="27">
        <v>1</v>
      </c>
      <c r="D1280" s="35">
        <f t="shared" si="253"/>
        <v>2</v>
      </c>
      <c r="E1280" s="57">
        <v>45574</v>
      </c>
      <c r="G1280" s="43"/>
      <c r="H1280" s="6"/>
      <c r="I1280" s="27"/>
      <c r="J1280" s="35">
        <f t="shared" si="255"/>
        <v>0</v>
      </c>
    </row>
    <row r="1281" spans="1:10" x14ac:dyDescent="0.15">
      <c r="A1281" s="29" t="s">
        <v>112</v>
      </c>
      <c r="B1281" s="6"/>
      <c r="C1281" s="27">
        <v>1</v>
      </c>
      <c r="D1281" s="35">
        <f t="shared" si="253"/>
        <v>1</v>
      </c>
      <c r="E1281" s="61">
        <v>45576</v>
      </c>
      <c r="G1281" s="43"/>
      <c r="H1281" s="6"/>
      <c r="I1281" s="27"/>
      <c r="J1281" s="35">
        <f t="shared" si="255"/>
        <v>0</v>
      </c>
    </row>
    <row r="1282" spans="1:10" x14ac:dyDescent="0.15">
      <c r="A1282" s="29" t="s">
        <v>112</v>
      </c>
      <c r="B1282" s="6">
        <v>1</v>
      </c>
      <c r="C1282" s="27"/>
      <c r="D1282" s="35">
        <f t="shared" si="253"/>
        <v>1</v>
      </c>
      <c r="E1282" s="61">
        <v>45580</v>
      </c>
      <c r="G1282" s="43"/>
      <c r="H1282" s="6"/>
      <c r="I1282" s="27"/>
      <c r="J1282" s="35">
        <f t="shared" si="255"/>
        <v>0</v>
      </c>
    </row>
    <row r="1283" spans="1:10" x14ac:dyDescent="0.15">
      <c r="A1283" s="43" t="s">
        <v>227</v>
      </c>
      <c r="B1283" s="6">
        <v>5</v>
      </c>
      <c r="C1283" s="27"/>
      <c r="D1283" s="35">
        <f t="shared" si="253"/>
        <v>5</v>
      </c>
      <c r="E1283" s="61">
        <v>45582</v>
      </c>
      <c r="G1283" s="43"/>
      <c r="H1283" s="6"/>
      <c r="I1283" s="27"/>
      <c r="J1283" s="35">
        <f t="shared" si="255"/>
        <v>0</v>
      </c>
    </row>
    <row r="1284" spans="1:10" x14ac:dyDescent="0.15">
      <c r="A1284" s="29" t="s">
        <v>112</v>
      </c>
      <c r="B1284" s="6"/>
      <c r="C1284" s="27">
        <v>2</v>
      </c>
      <c r="D1284" s="35">
        <f t="shared" si="253"/>
        <v>2</v>
      </c>
      <c r="E1284" s="61">
        <v>45583</v>
      </c>
      <c r="G1284" s="43"/>
      <c r="H1284" s="6"/>
      <c r="I1284" s="27"/>
      <c r="J1284" s="35">
        <f t="shared" si="255"/>
        <v>0</v>
      </c>
    </row>
    <row r="1285" spans="1:10" x14ac:dyDescent="0.15">
      <c r="A1285" s="29" t="s">
        <v>112</v>
      </c>
      <c r="B1285" s="6">
        <v>2</v>
      </c>
      <c r="C1285" s="27"/>
      <c r="D1285" s="35">
        <f t="shared" si="253"/>
        <v>2</v>
      </c>
      <c r="E1285" s="61">
        <v>45586</v>
      </c>
      <c r="G1285" s="43"/>
      <c r="H1285" s="6"/>
      <c r="I1285" s="27"/>
      <c r="J1285" s="35">
        <f t="shared" si="255"/>
        <v>0</v>
      </c>
    </row>
    <row r="1286" spans="1:10" x14ac:dyDescent="0.15">
      <c r="A1286" s="29" t="s">
        <v>112</v>
      </c>
      <c r="B1286" s="6">
        <v>3</v>
      </c>
      <c r="C1286" s="27"/>
      <c r="D1286" s="35">
        <f t="shared" si="253"/>
        <v>3</v>
      </c>
      <c r="E1286" s="61">
        <v>45590</v>
      </c>
      <c r="G1286" s="43"/>
      <c r="H1286" s="6"/>
      <c r="I1286" s="27"/>
      <c r="J1286" s="35">
        <f t="shared" si="255"/>
        <v>0</v>
      </c>
    </row>
    <row r="1287" spans="1:10" ht="14.25" thickBot="1" x14ac:dyDescent="0.2">
      <c r="A1287" s="29" t="s">
        <v>112</v>
      </c>
      <c r="B1287" s="6">
        <v>1</v>
      </c>
      <c r="C1287" s="27"/>
      <c r="D1287" s="35">
        <f t="shared" si="253"/>
        <v>1</v>
      </c>
      <c r="E1287" s="61">
        <v>45594</v>
      </c>
      <c r="G1287" s="43"/>
      <c r="H1287" s="6"/>
      <c r="I1287" s="27"/>
      <c r="J1287" s="35">
        <f t="shared" si="255"/>
        <v>0</v>
      </c>
    </row>
    <row r="1288" spans="1:10" ht="14.25" thickBot="1" x14ac:dyDescent="0.2">
      <c r="A1288" s="9" t="s">
        <v>3</v>
      </c>
      <c r="B1288" s="10">
        <f>SUM(B1264:B1287)</f>
        <v>66</v>
      </c>
      <c r="C1288" s="66">
        <f>SUM(C1264:C1287)</f>
        <v>14</v>
      </c>
      <c r="D1288" s="11">
        <f>SUM(D1264:D1287)</f>
        <v>80</v>
      </c>
      <c r="G1288" s="9" t="s">
        <v>3</v>
      </c>
      <c r="H1288" s="10">
        <f>SUM(H1264:H1287)</f>
        <v>60</v>
      </c>
      <c r="I1288" s="66">
        <f>SUM(I1264:I1287)</f>
        <v>5</v>
      </c>
      <c r="J1288" s="11">
        <f>SUM(J1264:J1287)</f>
        <v>65</v>
      </c>
    </row>
    <row r="1289" spans="1:10" ht="14.25" thickBot="1" x14ac:dyDescent="0.2">
      <c r="A1289" s="14" t="s">
        <v>4</v>
      </c>
      <c r="B1289" s="16">
        <f>B1263-B1288</f>
        <v>17</v>
      </c>
      <c r="C1289" s="16">
        <f>C1263-C1288</f>
        <v>24</v>
      </c>
      <c r="D1289" s="84">
        <f>D1263-D1288</f>
        <v>41</v>
      </c>
      <c r="G1289" s="14" t="s">
        <v>4</v>
      </c>
      <c r="H1289" s="16">
        <f>H1263-H1288</f>
        <v>3209</v>
      </c>
      <c r="I1289" s="16">
        <f>I1263-I1288</f>
        <v>2997</v>
      </c>
      <c r="J1289" s="16">
        <f>J1263-J1288</f>
        <v>6206</v>
      </c>
    </row>
    <row r="1292" spans="1:10" ht="24.75" thickBot="1" x14ac:dyDescent="0.3">
      <c r="A1292" s="25" t="s">
        <v>7</v>
      </c>
      <c r="B1292" s="1"/>
      <c r="C1292" s="1"/>
      <c r="D1292" s="1"/>
      <c r="G1292" s="25" t="s">
        <v>8</v>
      </c>
      <c r="H1292" s="1"/>
      <c r="I1292" s="1"/>
      <c r="J1292" s="1"/>
    </row>
    <row r="1293" spans="1:10" ht="14.25" thickBot="1" x14ac:dyDescent="0.2">
      <c r="A1293" s="2"/>
      <c r="B1293" s="50" t="s">
        <v>115</v>
      </c>
      <c r="C1293" s="50" t="s">
        <v>116</v>
      </c>
      <c r="D1293" s="2" t="s">
        <v>0</v>
      </c>
      <c r="G1293" s="2"/>
      <c r="H1293" s="50" t="s">
        <v>115</v>
      </c>
      <c r="I1293" s="50" t="s">
        <v>116</v>
      </c>
      <c r="J1293" s="2" t="s">
        <v>0</v>
      </c>
    </row>
    <row r="1294" spans="1:10" x14ac:dyDescent="0.15">
      <c r="A1294" s="32" t="s">
        <v>4</v>
      </c>
      <c r="B1294" s="48">
        <f>B1289</f>
        <v>17</v>
      </c>
      <c r="C1294" s="76">
        <f>C1289</f>
        <v>24</v>
      </c>
      <c r="D1294" s="47">
        <f>SUM(B1294+C1294)</f>
        <v>41</v>
      </c>
      <c r="G1294" s="13" t="s">
        <v>6</v>
      </c>
      <c r="H1294" s="48">
        <f>H1289</f>
        <v>3209</v>
      </c>
      <c r="I1294" s="80">
        <f>I1289</f>
        <v>2997</v>
      </c>
      <c r="J1294" s="47">
        <f>SUM(H1294+I1294)</f>
        <v>6206</v>
      </c>
    </row>
    <row r="1295" spans="1:10" x14ac:dyDescent="0.15">
      <c r="A1295" s="3" t="s">
        <v>244</v>
      </c>
      <c r="B1295" s="24">
        <v>2</v>
      </c>
      <c r="C1295" s="90">
        <v>3</v>
      </c>
      <c r="D1295" s="7">
        <f t="shared" ref="D1295:D1297" si="256">SUM(B1295+C1295)</f>
        <v>5</v>
      </c>
      <c r="E1295" s="57">
        <v>45608</v>
      </c>
      <c r="G1295" s="3" t="s">
        <v>1</v>
      </c>
      <c r="H1295" s="24"/>
      <c r="I1295" s="90"/>
      <c r="J1295" s="7">
        <f t="shared" ref="J1295:J1297" si="257">SUM(H1295+I1295)</f>
        <v>0</v>
      </c>
    </row>
    <row r="1296" spans="1:10" x14ac:dyDescent="0.15">
      <c r="A1296" s="3" t="s">
        <v>1</v>
      </c>
      <c r="B1296" s="24">
        <v>20</v>
      </c>
      <c r="C1296" s="90"/>
      <c r="D1296" s="7">
        <f t="shared" si="256"/>
        <v>20</v>
      </c>
      <c r="E1296" s="57">
        <v>45609</v>
      </c>
      <c r="G1296" s="3" t="s">
        <v>1</v>
      </c>
      <c r="H1296" s="24"/>
      <c r="I1296" s="90"/>
      <c r="J1296" s="7">
        <f t="shared" si="257"/>
        <v>0</v>
      </c>
    </row>
    <row r="1297" spans="1:12" x14ac:dyDescent="0.15">
      <c r="A1297" s="3" t="s">
        <v>1</v>
      </c>
      <c r="B1297" s="24">
        <v>30</v>
      </c>
      <c r="C1297" s="90"/>
      <c r="D1297" s="7">
        <f t="shared" si="256"/>
        <v>30</v>
      </c>
      <c r="E1297" s="57">
        <v>45617</v>
      </c>
      <c r="G1297" s="3" t="s">
        <v>1</v>
      </c>
      <c r="H1297" s="24"/>
      <c r="I1297" s="90"/>
      <c r="J1297" s="7">
        <f t="shared" si="257"/>
        <v>0</v>
      </c>
    </row>
    <row r="1298" spans="1:12" x14ac:dyDescent="0.15">
      <c r="A1298" s="3" t="s">
        <v>244</v>
      </c>
      <c r="B1298" s="24">
        <v>1</v>
      </c>
      <c r="C1298" s="90"/>
      <c r="D1298" s="7">
        <f t="shared" ref="D1298:D1299" si="258">SUM(B1298+C1298)</f>
        <v>1</v>
      </c>
      <c r="E1298" s="57">
        <v>45630</v>
      </c>
      <c r="G1298" s="3" t="s">
        <v>1</v>
      </c>
      <c r="H1298" s="24"/>
      <c r="I1298" s="90"/>
      <c r="J1298" s="7">
        <f t="shared" ref="J1298:J1299" si="259">SUM(H1298+I1298)</f>
        <v>0</v>
      </c>
    </row>
    <row r="1299" spans="1:12" ht="14.25" thickBot="1" x14ac:dyDescent="0.2">
      <c r="A1299" s="4" t="s">
        <v>1</v>
      </c>
      <c r="B1299" s="75">
        <v>1</v>
      </c>
      <c r="C1299" s="17">
        <v>1</v>
      </c>
      <c r="D1299" s="22">
        <f t="shared" si="258"/>
        <v>2</v>
      </c>
      <c r="E1299" s="57">
        <v>45642</v>
      </c>
      <c r="G1299" s="4" t="s">
        <v>1</v>
      </c>
      <c r="H1299" s="75"/>
      <c r="I1299" s="17"/>
      <c r="J1299" s="22">
        <f t="shared" si="259"/>
        <v>0</v>
      </c>
    </row>
    <row r="1300" spans="1:12" ht="14.25" thickBot="1" x14ac:dyDescent="0.2">
      <c r="A1300" s="14" t="s">
        <v>2</v>
      </c>
      <c r="B1300" s="84">
        <f>SUM(B1294:B1299)</f>
        <v>71</v>
      </c>
      <c r="C1300" s="65">
        <f>SUM(C1294:C1299)</f>
        <v>28</v>
      </c>
      <c r="D1300" s="18">
        <f>SUM(B1300+C1300)</f>
        <v>99</v>
      </c>
      <c r="G1300" s="14" t="s">
        <v>2</v>
      </c>
      <c r="H1300" s="84">
        <f>SUM(H1294:H1299)</f>
        <v>3209</v>
      </c>
      <c r="I1300" s="65">
        <f>SUM(I1294:I1299)</f>
        <v>2997</v>
      </c>
      <c r="J1300" s="18">
        <f>SUM(H1300+I1300)</f>
        <v>6206</v>
      </c>
    </row>
    <row r="1301" spans="1:12" x14ac:dyDescent="0.15">
      <c r="A1301" s="29" t="s">
        <v>112</v>
      </c>
      <c r="B1301" s="6">
        <v>4</v>
      </c>
      <c r="C1301" s="27"/>
      <c r="D1301" s="35">
        <f t="shared" ref="D1301:D1320" si="260">SUM(B1301+C1301)</f>
        <v>4</v>
      </c>
      <c r="E1301" s="61">
        <v>45601</v>
      </c>
      <c r="G1301" s="43" t="s">
        <v>21</v>
      </c>
      <c r="H1301" s="6">
        <v>20</v>
      </c>
      <c r="I1301" s="27"/>
      <c r="J1301" s="35">
        <f t="shared" ref="J1301:J1302" si="261">SUM(H1301+I1301)</f>
        <v>20</v>
      </c>
      <c r="K1301" s="57">
        <v>45609</v>
      </c>
    </row>
    <row r="1302" spans="1:12" x14ac:dyDescent="0.15">
      <c r="A1302" s="29" t="s">
        <v>112</v>
      </c>
      <c r="B1302" s="6">
        <v>8</v>
      </c>
      <c r="C1302" s="27">
        <v>3</v>
      </c>
      <c r="D1302" s="35">
        <f t="shared" si="260"/>
        <v>11</v>
      </c>
      <c r="E1302" s="61">
        <v>45607</v>
      </c>
      <c r="G1302" s="43" t="s">
        <v>21</v>
      </c>
      <c r="H1302" s="6">
        <v>30</v>
      </c>
      <c r="I1302" s="27"/>
      <c r="J1302" s="35">
        <f t="shared" si="261"/>
        <v>30</v>
      </c>
      <c r="K1302" s="57">
        <v>45617</v>
      </c>
    </row>
    <row r="1303" spans="1:12" x14ac:dyDescent="0.15">
      <c r="A1303" s="108" t="s">
        <v>296</v>
      </c>
      <c r="B1303" s="6">
        <v>2</v>
      </c>
      <c r="C1303" s="27">
        <v>2</v>
      </c>
      <c r="D1303" s="35">
        <f t="shared" si="260"/>
        <v>4</v>
      </c>
      <c r="E1303" s="57">
        <v>45611</v>
      </c>
      <c r="F1303" s="19"/>
      <c r="G1303" s="43" t="s">
        <v>21</v>
      </c>
      <c r="H1303" s="6">
        <v>1</v>
      </c>
      <c r="I1303" s="27">
        <v>1</v>
      </c>
      <c r="J1303" s="35">
        <f t="shared" ref="J1303:J1320" si="262">SUM(H1303+I1303)</f>
        <v>2</v>
      </c>
      <c r="K1303" s="57">
        <v>45642</v>
      </c>
      <c r="L1303" s="19"/>
    </row>
    <row r="1304" spans="1:12" x14ac:dyDescent="0.15">
      <c r="A1304" s="29" t="s">
        <v>112</v>
      </c>
      <c r="B1304" s="6">
        <v>4</v>
      </c>
      <c r="C1304" s="27"/>
      <c r="D1304" s="35">
        <f t="shared" si="260"/>
        <v>4</v>
      </c>
      <c r="E1304" s="57">
        <v>45611</v>
      </c>
      <c r="F1304" s="19"/>
      <c r="G1304" s="43" t="s">
        <v>21</v>
      </c>
      <c r="H1304" s="6">
        <v>10</v>
      </c>
      <c r="I1304" s="27">
        <v>10</v>
      </c>
      <c r="J1304" s="35">
        <f t="shared" si="262"/>
        <v>20</v>
      </c>
      <c r="K1304" s="57">
        <v>45643</v>
      </c>
      <c r="L1304" s="19"/>
    </row>
    <row r="1305" spans="1:12" x14ac:dyDescent="0.15">
      <c r="A1305" s="29" t="s">
        <v>112</v>
      </c>
      <c r="B1305" s="6">
        <v>1</v>
      </c>
      <c r="C1305" s="27"/>
      <c r="D1305" s="35">
        <f t="shared" si="260"/>
        <v>1</v>
      </c>
      <c r="E1305" s="57">
        <v>45614</v>
      </c>
      <c r="F1305" s="19"/>
      <c r="G1305" s="43"/>
      <c r="H1305" s="6"/>
      <c r="I1305" s="27"/>
      <c r="J1305" s="35">
        <f t="shared" si="262"/>
        <v>0</v>
      </c>
      <c r="K1305" s="19"/>
      <c r="L1305" s="19"/>
    </row>
    <row r="1306" spans="1:12" x14ac:dyDescent="0.15">
      <c r="A1306" s="29" t="s">
        <v>112</v>
      </c>
      <c r="B1306" s="6">
        <f>1+5</f>
        <v>6</v>
      </c>
      <c r="C1306" s="27"/>
      <c r="D1306" s="35">
        <f t="shared" si="260"/>
        <v>6</v>
      </c>
      <c r="E1306" s="57">
        <v>45615</v>
      </c>
      <c r="F1306" s="19"/>
      <c r="G1306" s="43"/>
      <c r="H1306" s="6"/>
      <c r="I1306" s="27"/>
      <c r="J1306" s="35">
        <f t="shared" si="262"/>
        <v>0</v>
      </c>
      <c r="K1306" s="19"/>
      <c r="L1306" s="19"/>
    </row>
    <row r="1307" spans="1:12" x14ac:dyDescent="0.15">
      <c r="A1307" s="43" t="s">
        <v>303</v>
      </c>
      <c r="B1307" s="6">
        <v>14</v>
      </c>
      <c r="C1307" s="27"/>
      <c r="D1307" s="35">
        <f t="shared" si="260"/>
        <v>14</v>
      </c>
      <c r="E1307" s="57">
        <v>45617</v>
      </c>
      <c r="F1307" s="19"/>
      <c r="G1307" s="43"/>
      <c r="H1307" s="6"/>
      <c r="I1307" s="27"/>
      <c r="J1307" s="35">
        <f t="shared" si="262"/>
        <v>0</v>
      </c>
      <c r="K1307" s="19"/>
    </row>
    <row r="1308" spans="1:12" x14ac:dyDescent="0.15">
      <c r="A1308" s="29" t="s">
        <v>112</v>
      </c>
      <c r="B1308" s="6">
        <v>2</v>
      </c>
      <c r="C1308" s="27">
        <v>3</v>
      </c>
      <c r="D1308" s="35">
        <f t="shared" si="260"/>
        <v>5</v>
      </c>
      <c r="E1308" s="57">
        <v>45621</v>
      </c>
      <c r="G1308" s="43"/>
      <c r="H1308" s="6"/>
      <c r="I1308" s="27"/>
      <c r="J1308" s="35">
        <f t="shared" si="262"/>
        <v>0</v>
      </c>
      <c r="K1308" s="19"/>
    </row>
    <row r="1309" spans="1:12" x14ac:dyDescent="0.15">
      <c r="A1309" s="29" t="s">
        <v>112</v>
      </c>
      <c r="B1309" s="6">
        <v>2</v>
      </c>
      <c r="C1309" s="27">
        <v>3</v>
      </c>
      <c r="D1309" s="35">
        <f t="shared" si="260"/>
        <v>5</v>
      </c>
      <c r="E1309" s="61">
        <v>45622</v>
      </c>
      <c r="G1309" s="43"/>
      <c r="H1309" s="6"/>
      <c r="I1309" s="27"/>
      <c r="J1309" s="35">
        <f t="shared" si="262"/>
        <v>0</v>
      </c>
    </row>
    <row r="1310" spans="1:12" x14ac:dyDescent="0.15">
      <c r="A1310" s="29" t="s">
        <v>112</v>
      </c>
      <c r="B1310" s="6">
        <v>2</v>
      </c>
      <c r="C1310" s="27"/>
      <c r="D1310" s="35">
        <f t="shared" si="260"/>
        <v>2</v>
      </c>
      <c r="E1310" s="57">
        <v>45628</v>
      </c>
      <c r="G1310" s="43"/>
      <c r="H1310" s="6"/>
      <c r="I1310" s="27"/>
      <c r="J1310" s="35">
        <f t="shared" si="262"/>
        <v>0</v>
      </c>
    </row>
    <row r="1311" spans="1:12" x14ac:dyDescent="0.15">
      <c r="A1311" s="29" t="s">
        <v>112</v>
      </c>
      <c r="B1311" s="6"/>
      <c r="C1311" s="27">
        <v>2</v>
      </c>
      <c r="D1311" s="35">
        <f t="shared" si="260"/>
        <v>2</v>
      </c>
      <c r="E1311" s="57">
        <v>45630</v>
      </c>
      <c r="G1311" s="43"/>
      <c r="H1311" s="6"/>
      <c r="I1311" s="27"/>
      <c r="J1311" s="35">
        <f t="shared" si="262"/>
        <v>0</v>
      </c>
    </row>
    <row r="1312" spans="1:12" x14ac:dyDescent="0.15">
      <c r="A1312" s="29" t="s">
        <v>112</v>
      </c>
      <c r="B1312" s="6">
        <f>2+2</f>
        <v>4</v>
      </c>
      <c r="C1312" s="27"/>
      <c r="D1312" s="35">
        <f t="shared" si="260"/>
        <v>4</v>
      </c>
      <c r="E1312" s="57">
        <v>45636</v>
      </c>
      <c r="G1312" s="43"/>
      <c r="H1312" s="6"/>
      <c r="I1312" s="27"/>
      <c r="J1312" s="35">
        <f t="shared" si="262"/>
        <v>0</v>
      </c>
    </row>
    <row r="1313" spans="1:10" x14ac:dyDescent="0.15">
      <c r="A1313" s="29" t="s">
        <v>112</v>
      </c>
      <c r="B1313" s="6">
        <v>2</v>
      </c>
      <c r="C1313" s="27"/>
      <c r="D1313" s="35">
        <f t="shared" si="260"/>
        <v>2</v>
      </c>
      <c r="E1313" s="57">
        <v>45639</v>
      </c>
      <c r="G1313" s="43"/>
      <c r="H1313" s="6"/>
      <c r="I1313" s="27"/>
      <c r="J1313" s="35">
        <f t="shared" si="262"/>
        <v>0</v>
      </c>
    </row>
    <row r="1314" spans="1:10" x14ac:dyDescent="0.15">
      <c r="A1314" s="43" t="s">
        <v>304</v>
      </c>
      <c r="B1314" s="6">
        <v>-10</v>
      </c>
      <c r="C1314" s="27">
        <v>-10</v>
      </c>
      <c r="D1314" s="35">
        <f t="shared" si="260"/>
        <v>-20</v>
      </c>
      <c r="E1314" s="57">
        <v>45643</v>
      </c>
      <c r="G1314" s="43"/>
      <c r="H1314" s="6"/>
      <c r="I1314" s="27"/>
      <c r="J1314" s="35">
        <f t="shared" si="262"/>
        <v>0</v>
      </c>
    </row>
    <row r="1315" spans="1:10" x14ac:dyDescent="0.15">
      <c r="A1315" s="43" t="s">
        <v>305</v>
      </c>
      <c r="B1315" s="6">
        <v>2</v>
      </c>
      <c r="C1315" s="27"/>
      <c r="D1315" s="35">
        <f t="shared" si="260"/>
        <v>2</v>
      </c>
      <c r="E1315" s="57">
        <v>45642</v>
      </c>
      <c r="G1315" s="43"/>
      <c r="H1315" s="6"/>
      <c r="I1315" s="27"/>
      <c r="J1315" s="35">
        <f t="shared" si="262"/>
        <v>0</v>
      </c>
    </row>
    <row r="1316" spans="1:10" x14ac:dyDescent="0.15">
      <c r="A1316" s="43" t="s">
        <v>306</v>
      </c>
      <c r="B1316" s="6">
        <v>1</v>
      </c>
      <c r="C1316" s="27"/>
      <c r="D1316" s="35">
        <f t="shared" si="260"/>
        <v>1</v>
      </c>
      <c r="E1316" s="57">
        <v>45644</v>
      </c>
      <c r="G1316" s="43"/>
      <c r="H1316" s="6"/>
      <c r="I1316" s="27"/>
      <c r="J1316" s="35">
        <f t="shared" si="262"/>
        <v>0</v>
      </c>
    </row>
    <row r="1317" spans="1:10" x14ac:dyDescent="0.15">
      <c r="A1317" s="29" t="s">
        <v>112</v>
      </c>
      <c r="B1317" s="6">
        <v>3</v>
      </c>
      <c r="C1317" s="27"/>
      <c r="D1317" s="35">
        <f t="shared" si="260"/>
        <v>3</v>
      </c>
      <c r="E1317" s="61">
        <v>45652</v>
      </c>
      <c r="G1317" s="43"/>
      <c r="H1317" s="6"/>
      <c r="I1317" s="27"/>
      <c r="J1317" s="35">
        <f t="shared" si="262"/>
        <v>0</v>
      </c>
    </row>
    <row r="1318" spans="1:10" x14ac:dyDescent="0.15">
      <c r="A1318" s="43" t="s">
        <v>227</v>
      </c>
      <c r="B1318" s="6"/>
      <c r="C1318" s="27">
        <v>10</v>
      </c>
      <c r="D1318" s="35">
        <f t="shared" si="260"/>
        <v>10</v>
      </c>
      <c r="E1318" s="61">
        <v>45653</v>
      </c>
      <c r="G1318" s="43"/>
      <c r="H1318" s="6"/>
      <c r="I1318" s="27"/>
      <c r="J1318" s="35">
        <f t="shared" si="262"/>
        <v>0</v>
      </c>
    </row>
    <row r="1319" spans="1:10" x14ac:dyDescent="0.15">
      <c r="A1319" s="29" t="s">
        <v>112</v>
      </c>
      <c r="B1319" s="6"/>
      <c r="C1319" s="27"/>
      <c r="D1319" s="35">
        <f t="shared" si="260"/>
        <v>0</v>
      </c>
      <c r="E1319" s="61">
        <v>45672</v>
      </c>
      <c r="G1319" s="43"/>
      <c r="H1319" s="6"/>
      <c r="I1319" s="27"/>
      <c r="J1319" s="35">
        <f t="shared" si="262"/>
        <v>0</v>
      </c>
    </row>
    <row r="1320" spans="1:10" x14ac:dyDescent="0.15">
      <c r="A1320" s="43" t="s">
        <v>227</v>
      </c>
      <c r="B1320" s="6">
        <v>10</v>
      </c>
      <c r="C1320" s="27"/>
      <c r="D1320" s="35">
        <f t="shared" si="260"/>
        <v>10</v>
      </c>
      <c r="E1320" s="57">
        <v>45674</v>
      </c>
      <c r="G1320" s="43"/>
      <c r="H1320" s="6"/>
      <c r="I1320" s="27"/>
      <c r="J1320" s="35">
        <f t="shared" si="262"/>
        <v>0</v>
      </c>
    </row>
    <row r="1321" spans="1:10" x14ac:dyDescent="0.15">
      <c r="A1321" s="29" t="s">
        <v>112</v>
      </c>
      <c r="B1321" s="6">
        <f>2+2</f>
        <v>4</v>
      </c>
      <c r="C1321" s="27"/>
      <c r="D1321" s="35">
        <f t="shared" ref="D1321:D1324" si="263">SUM(B1321+C1321)</f>
        <v>4</v>
      </c>
      <c r="E1321" s="61">
        <v>45680</v>
      </c>
      <c r="G1321" s="43"/>
      <c r="H1321" s="6"/>
      <c r="I1321" s="27"/>
      <c r="J1321" s="35">
        <f t="shared" ref="J1321:J1324" si="264">SUM(H1321+I1321)</f>
        <v>0</v>
      </c>
    </row>
    <row r="1322" spans="1:10" x14ac:dyDescent="0.15">
      <c r="A1322" s="29" t="s">
        <v>112</v>
      </c>
      <c r="B1322" s="6">
        <v>1</v>
      </c>
      <c r="C1322" s="27">
        <v>2</v>
      </c>
      <c r="D1322" s="35">
        <f t="shared" si="263"/>
        <v>3</v>
      </c>
      <c r="E1322" s="61">
        <v>45684</v>
      </c>
      <c r="G1322" s="43"/>
      <c r="H1322" s="6"/>
      <c r="I1322" s="27"/>
      <c r="J1322" s="35">
        <f t="shared" si="264"/>
        <v>0</v>
      </c>
    </row>
    <row r="1323" spans="1:10" x14ac:dyDescent="0.15">
      <c r="A1323" s="29" t="s">
        <v>112</v>
      </c>
      <c r="B1323" s="6">
        <f>1+2</f>
        <v>3</v>
      </c>
      <c r="C1323" s="27"/>
      <c r="D1323" s="35">
        <f t="shared" si="263"/>
        <v>3</v>
      </c>
      <c r="E1323" s="61">
        <v>45692</v>
      </c>
      <c r="G1323" s="43"/>
      <c r="H1323" s="6"/>
      <c r="I1323" s="27"/>
      <c r="J1323" s="35">
        <f t="shared" si="264"/>
        <v>0</v>
      </c>
    </row>
    <row r="1324" spans="1:10" ht="14.25" thickBot="1" x14ac:dyDescent="0.2">
      <c r="A1324" s="29" t="s">
        <v>112</v>
      </c>
      <c r="B1324" s="6"/>
      <c r="C1324" s="27">
        <v>1</v>
      </c>
      <c r="D1324" s="35">
        <f t="shared" si="263"/>
        <v>1</v>
      </c>
      <c r="E1324" s="61">
        <v>45694</v>
      </c>
      <c r="G1324" s="43"/>
      <c r="H1324" s="6"/>
      <c r="I1324" s="27"/>
      <c r="J1324" s="35">
        <f t="shared" si="264"/>
        <v>0</v>
      </c>
    </row>
    <row r="1325" spans="1:10" ht="14.25" thickBot="1" x14ac:dyDescent="0.2">
      <c r="A1325" s="9" t="s">
        <v>3</v>
      </c>
      <c r="B1325" s="10">
        <f>SUM(B1301:B1324)</f>
        <v>65</v>
      </c>
      <c r="C1325" s="66">
        <f>SUM(C1301:C1324)</f>
        <v>16</v>
      </c>
      <c r="D1325" s="11">
        <f>SUM(D1301:D1324)</f>
        <v>81</v>
      </c>
      <c r="G1325" s="9" t="s">
        <v>3</v>
      </c>
      <c r="H1325" s="10">
        <f>SUM(H1301:H1324)</f>
        <v>61</v>
      </c>
      <c r="I1325" s="66">
        <f>SUM(I1301:I1324)</f>
        <v>11</v>
      </c>
      <c r="J1325" s="11">
        <f>SUM(J1301:J1324)</f>
        <v>72</v>
      </c>
    </row>
    <row r="1326" spans="1:10" ht="14.25" thickBot="1" x14ac:dyDescent="0.2">
      <c r="A1326" s="14" t="s">
        <v>4</v>
      </c>
      <c r="B1326" s="16">
        <f>B1300-B1325</f>
        <v>6</v>
      </c>
      <c r="C1326" s="16">
        <f>C1300-C1325</f>
        <v>12</v>
      </c>
      <c r="D1326" s="84">
        <f>D1300-D1325</f>
        <v>18</v>
      </c>
      <c r="G1326" s="14" t="s">
        <v>4</v>
      </c>
      <c r="H1326" s="16">
        <f>H1300-H1325</f>
        <v>3148</v>
      </c>
      <c r="I1326" s="16">
        <f>I1300-I1325</f>
        <v>2986</v>
      </c>
      <c r="J1326" s="16">
        <f>J1300-J1325</f>
        <v>6134</v>
      </c>
    </row>
    <row r="1329" spans="1:12" ht="24.75" thickBot="1" x14ac:dyDescent="0.3">
      <c r="A1329" s="25" t="s">
        <v>7</v>
      </c>
      <c r="B1329" s="1"/>
      <c r="C1329" s="1"/>
      <c r="D1329" s="1"/>
      <c r="G1329" s="25" t="s">
        <v>8</v>
      </c>
      <c r="H1329" s="1"/>
      <c r="I1329" s="1"/>
      <c r="J1329" s="1"/>
    </row>
    <row r="1330" spans="1:12" ht="14.25" thickBot="1" x14ac:dyDescent="0.2">
      <c r="A1330" s="2"/>
      <c r="B1330" s="50" t="s">
        <v>115</v>
      </c>
      <c r="C1330" s="50" t="s">
        <v>116</v>
      </c>
      <c r="D1330" s="2" t="s">
        <v>0</v>
      </c>
      <c r="G1330" s="2"/>
      <c r="H1330" s="50" t="s">
        <v>115</v>
      </c>
      <c r="I1330" s="50" t="s">
        <v>116</v>
      </c>
      <c r="J1330" s="2" t="s">
        <v>0</v>
      </c>
    </row>
    <row r="1331" spans="1:12" x14ac:dyDescent="0.15">
      <c r="A1331" s="32" t="s">
        <v>4</v>
      </c>
      <c r="B1331" s="48">
        <f>B1326</f>
        <v>6</v>
      </c>
      <c r="C1331" s="76">
        <f>C1326</f>
        <v>12</v>
      </c>
      <c r="D1331" s="47">
        <f>SUM(B1331+C1331)</f>
        <v>18</v>
      </c>
      <c r="G1331" s="13" t="s">
        <v>6</v>
      </c>
      <c r="H1331" s="48">
        <f>H1326</f>
        <v>3148</v>
      </c>
      <c r="I1331" s="80">
        <f>I1326</f>
        <v>2986</v>
      </c>
      <c r="J1331" s="47">
        <f>SUM(H1331+I1331)</f>
        <v>6134</v>
      </c>
    </row>
    <row r="1332" spans="1:12" x14ac:dyDescent="0.15">
      <c r="A1332" s="3" t="s">
        <v>1</v>
      </c>
      <c r="B1332" s="24">
        <v>5</v>
      </c>
      <c r="C1332" s="90">
        <v>5</v>
      </c>
      <c r="D1332" s="7">
        <f t="shared" ref="D1332:D1336" si="265">SUM(B1332+C1332)</f>
        <v>10</v>
      </c>
      <c r="E1332" s="57">
        <v>45675</v>
      </c>
      <c r="G1332" s="3" t="s">
        <v>1</v>
      </c>
      <c r="H1332" s="24"/>
      <c r="I1332" s="90"/>
      <c r="J1332" s="7">
        <f t="shared" ref="J1332:J1336" si="266">SUM(H1332+I1332)</f>
        <v>0</v>
      </c>
    </row>
    <row r="1333" spans="1:12" x14ac:dyDescent="0.15">
      <c r="A1333" s="3" t="s">
        <v>1</v>
      </c>
      <c r="B1333" s="24">
        <v>10</v>
      </c>
      <c r="C1333" s="90">
        <v>5</v>
      </c>
      <c r="D1333" s="7">
        <f t="shared" si="265"/>
        <v>15</v>
      </c>
      <c r="E1333" s="57">
        <v>45681</v>
      </c>
      <c r="G1333" s="3" t="s">
        <v>1</v>
      </c>
      <c r="H1333" s="24"/>
      <c r="I1333" s="90"/>
      <c r="J1333" s="7">
        <f t="shared" si="266"/>
        <v>0</v>
      </c>
    </row>
    <row r="1334" spans="1:12" x14ac:dyDescent="0.15">
      <c r="A1334" s="3" t="s">
        <v>1</v>
      </c>
      <c r="B1334" s="24">
        <v>10</v>
      </c>
      <c r="C1334" s="90">
        <v>5</v>
      </c>
      <c r="D1334" s="7">
        <f t="shared" si="265"/>
        <v>15</v>
      </c>
      <c r="E1334" s="57">
        <v>45698</v>
      </c>
      <c r="G1334" s="3" t="s">
        <v>1</v>
      </c>
      <c r="H1334" s="24"/>
      <c r="I1334" s="90"/>
      <c r="J1334" s="7">
        <f t="shared" si="266"/>
        <v>0</v>
      </c>
    </row>
    <row r="1335" spans="1:12" x14ac:dyDescent="0.15">
      <c r="A1335" s="3" t="s">
        <v>1</v>
      </c>
      <c r="B1335" s="24">
        <v>10</v>
      </c>
      <c r="C1335" s="90">
        <v>5</v>
      </c>
      <c r="D1335" s="7">
        <f t="shared" si="265"/>
        <v>15</v>
      </c>
      <c r="E1335" s="57">
        <v>45717</v>
      </c>
      <c r="G1335" s="3" t="s">
        <v>1</v>
      </c>
      <c r="H1335" s="24"/>
      <c r="I1335" s="90"/>
      <c r="J1335" s="7">
        <f t="shared" si="266"/>
        <v>0</v>
      </c>
    </row>
    <row r="1336" spans="1:12" ht="14.25" thickBot="1" x14ac:dyDescent="0.2">
      <c r="A1336" s="4" t="s">
        <v>1</v>
      </c>
      <c r="B1336" s="75">
        <v>5</v>
      </c>
      <c r="C1336" s="17">
        <v>11</v>
      </c>
      <c r="D1336" s="22">
        <f t="shared" si="265"/>
        <v>16</v>
      </c>
      <c r="E1336" s="61">
        <v>45722</v>
      </c>
      <c r="G1336" s="4" t="s">
        <v>1</v>
      </c>
      <c r="H1336" s="75"/>
      <c r="I1336" s="17"/>
      <c r="J1336" s="22">
        <f t="shared" si="266"/>
        <v>0</v>
      </c>
    </row>
    <row r="1337" spans="1:12" ht="14.25" thickBot="1" x14ac:dyDescent="0.2">
      <c r="A1337" s="14" t="s">
        <v>2</v>
      </c>
      <c r="B1337" s="84">
        <f>SUM(B1331:B1336)</f>
        <v>46</v>
      </c>
      <c r="C1337" s="65">
        <f>SUM(C1331:C1336)</f>
        <v>43</v>
      </c>
      <c r="D1337" s="18">
        <f>SUM(B1337+C1337)</f>
        <v>89</v>
      </c>
      <c r="G1337" s="14" t="s">
        <v>2</v>
      </c>
      <c r="H1337" s="84">
        <f>SUM(H1331:H1336)</f>
        <v>3148</v>
      </c>
      <c r="I1337" s="65">
        <f>SUM(I1331:I1336)</f>
        <v>2986</v>
      </c>
      <c r="J1337" s="18">
        <f>SUM(H1337+I1337)</f>
        <v>6134</v>
      </c>
    </row>
    <row r="1338" spans="1:12" x14ac:dyDescent="0.15">
      <c r="A1338" s="43" t="s">
        <v>307</v>
      </c>
      <c r="B1338" s="6">
        <v>1</v>
      </c>
      <c r="C1338" s="27">
        <v>1</v>
      </c>
      <c r="D1338" s="35">
        <f t="shared" ref="D1338:D1353" si="267">SUM(B1338+C1338)</f>
        <v>2</v>
      </c>
      <c r="E1338" s="61">
        <v>45691</v>
      </c>
      <c r="G1338" s="43" t="s">
        <v>21</v>
      </c>
      <c r="H1338" s="6">
        <v>5</v>
      </c>
      <c r="I1338" s="27">
        <v>5</v>
      </c>
      <c r="J1338" s="35">
        <f t="shared" ref="J1338:J1343" si="268">SUM(H1338+I1338)</f>
        <v>10</v>
      </c>
      <c r="K1338" s="57">
        <v>45675</v>
      </c>
    </row>
    <row r="1339" spans="1:12" x14ac:dyDescent="0.15">
      <c r="A1339" s="29" t="s">
        <v>112</v>
      </c>
      <c r="B1339" s="6">
        <v>4</v>
      </c>
      <c r="C1339" s="27"/>
      <c r="D1339" s="35">
        <f t="shared" si="267"/>
        <v>4</v>
      </c>
      <c r="E1339" s="61">
        <v>45695</v>
      </c>
      <c r="G1339" s="43" t="s">
        <v>21</v>
      </c>
      <c r="H1339" s="6">
        <v>10</v>
      </c>
      <c r="I1339" s="27">
        <v>5</v>
      </c>
      <c r="J1339" s="35">
        <f t="shared" si="268"/>
        <v>15</v>
      </c>
      <c r="K1339" s="57">
        <v>45681</v>
      </c>
    </row>
    <row r="1340" spans="1:12" x14ac:dyDescent="0.15">
      <c r="A1340" s="29" t="s">
        <v>112</v>
      </c>
      <c r="B1340" s="6">
        <v>1</v>
      </c>
      <c r="C1340" s="27"/>
      <c r="D1340" s="35">
        <f t="shared" si="267"/>
        <v>1</v>
      </c>
      <c r="E1340" s="61">
        <v>45698</v>
      </c>
      <c r="F1340" s="19"/>
      <c r="G1340" s="43" t="s">
        <v>21</v>
      </c>
      <c r="H1340" s="6">
        <v>10</v>
      </c>
      <c r="I1340" s="27">
        <v>5</v>
      </c>
      <c r="J1340" s="35">
        <f t="shared" si="268"/>
        <v>15</v>
      </c>
      <c r="K1340" s="57">
        <v>45698</v>
      </c>
      <c r="L1340" s="19"/>
    </row>
    <row r="1341" spans="1:12" x14ac:dyDescent="0.15">
      <c r="A1341" s="29" t="s">
        <v>112</v>
      </c>
      <c r="B1341" s="6">
        <v>2</v>
      </c>
      <c r="C1341" s="27"/>
      <c r="D1341" s="35">
        <f t="shared" si="267"/>
        <v>2</v>
      </c>
      <c r="E1341" s="61">
        <v>45705</v>
      </c>
      <c r="F1341" s="19"/>
      <c r="G1341" s="43" t="s">
        <v>21</v>
      </c>
      <c r="H1341" s="6">
        <v>10</v>
      </c>
      <c r="I1341" s="27">
        <v>5</v>
      </c>
      <c r="J1341" s="35">
        <f t="shared" si="268"/>
        <v>15</v>
      </c>
      <c r="K1341" s="57">
        <v>45717</v>
      </c>
      <c r="L1341" s="19"/>
    </row>
    <row r="1342" spans="1:12" x14ac:dyDescent="0.15">
      <c r="A1342" s="29" t="s">
        <v>112</v>
      </c>
      <c r="B1342" s="6">
        <v>2</v>
      </c>
      <c r="C1342" s="27"/>
      <c r="D1342" s="35">
        <f t="shared" si="267"/>
        <v>2</v>
      </c>
      <c r="E1342" s="61">
        <v>45707</v>
      </c>
      <c r="F1342" s="19"/>
      <c r="G1342" s="43" t="s">
        <v>21</v>
      </c>
      <c r="H1342" s="6">
        <v>5</v>
      </c>
      <c r="I1342" s="27">
        <v>11</v>
      </c>
      <c r="J1342" s="35">
        <f t="shared" si="268"/>
        <v>16</v>
      </c>
      <c r="K1342" s="57">
        <v>45722</v>
      </c>
      <c r="L1342" s="19"/>
    </row>
    <row r="1343" spans="1:12" x14ac:dyDescent="0.15">
      <c r="A1343" s="29" t="s">
        <v>112</v>
      </c>
      <c r="B1343" s="6">
        <v>1</v>
      </c>
      <c r="C1343" s="27"/>
      <c r="D1343" s="35">
        <f t="shared" si="267"/>
        <v>1</v>
      </c>
      <c r="E1343" s="61">
        <v>45708</v>
      </c>
      <c r="F1343" s="19"/>
      <c r="G1343" s="43" t="s">
        <v>21</v>
      </c>
      <c r="H1343" s="6">
        <v>10</v>
      </c>
      <c r="I1343" s="27"/>
      <c r="J1343" s="35">
        <f t="shared" si="268"/>
        <v>10</v>
      </c>
      <c r="K1343" s="57">
        <v>45734</v>
      </c>
    </row>
    <row r="1344" spans="1:12" x14ac:dyDescent="0.15">
      <c r="A1344" s="29" t="s">
        <v>112</v>
      </c>
      <c r="B1344" s="6">
        <v>1</v>
      </c>
      <c r="C1344" s="27"/>
      <c r="D1344" s="35">
        <f t="shared" si="267"/>
        <v>1</v>
      </c>
      <c r="E1344" s="61">
        <v>45709</v>
      </c>
      <c r="F1344" s="19"/>
      <c r="G1344" s="43"/>
      <c r="H1344" s="6"/>
      <c r="I1344" s="27"/>
      <c r="J1344" s="35">
        <f t="shared" ref="J1344:J1361" si="269">SUM(H1344+I1344)</f>
        <v>0</v>
      </c>
    </row>
    <row r="1345" spans="1:10" x14ac:dyDescent="0.15">
      <c r="A1345" s="29" t="s">
        <v>112</v>
      </c>
      <c r="B1345" s="6"/>
      <c r="C1345" s="27">
        <v>2</v>
      </c>
      <c r="D1345" s="35">
        <f t="shared" si="267"/>
        <v>2</v>
      </c>
      <c r="E1345" s="61">
        <v>45713</v>
      </c>
      <c r="G1345" s="43"/>
      <c r="H1345" s="6"/>
      <c r="I1345" s="27"/>
      <c r="J1345" s="35">
        <f t="shared" si="269"/>
        <v>0</v>
      </c>
    </row>
    <row r="1346" spans="1:10" x14ac:dyDescent="0.15">
      <c r="A1346" s="29" t="s">
        <v>112</v>
      </c>
      <c r="B1346" s="6">
        <v>1</v>
      </c>
      <c r="C1346" s="27"/>
      <c r="D1346" s="35">
        <f t="shared" si="267"/>
        <v>1</v>
      </c>
      <c r="E1346" s="61">
        <v>45715</v>
      </c>
      <c r="G1346" s="43"/>
      <c r="H1346" s="6"/>
      <c r="I1346" s="27"/>
      <c r="J1346" s="35">
        <f t="shared" si="269"/>
        <v>0</v>
      </c>
    </row>
    <row r="1347" spans="1:10" x14ac:dyDescent="0.15">
      <c r="A1347" s="29" t="s">
        <v>112</v>
      </c>
      <c r="B1347" s="6">
        <v>1</v>
      </c>
      <c r="C1347" s="27"/>
      <c r="D1347" s="35">
        <f t="shared" si="267"/>
        <v>1</v>
      </c>
      <c r="E1347" s="61">
        <v>45717</v>
      </c>
      <c r="G1347" s="43"/>
      <c r="H1347" s="6"/>
      <c r="I1347" s="27"/>
      <c r="J1347" s="35">
        <f t="shared" si="269"/>
        <v>0</v>
      </c>
    </row>
    <row r="1348" spans="1:10" x14ac:dyDescent="0.15">
      <c r="A1348" s="29" t="s">
        <v>112</v>
      </c>
      <c r="B1348" s="6">
        <v>1</v>
      </c>
      <c r="C1348" s="27"/>
      <c r="D1348" s="35">
        <f t="shared" si="267"/>
        <v>1</v>
      </c>
      <c r="E1348" s="61">
        <v>45719</v>
      </c>
      <c r="G1348" s="43"/>
      <c r="H1348" s="6"/>
      <c r="I1348" s="27"/>
      <c r="J1348" s="35">
        <f t="shared" si="269"/>
        <v>0</v>
      </c>
    </row>
    <row r="1349" spans="1:10" x14ac:dyDescent="0.15">
      <c r="A1349" s="29" t="s">
        <v>112</v>
      </c>
      <c r="B1349" s="6">
        <v>2</v>
      </c>
      <c r="C1349" s="27">
        <v>2</v>
      </c>
      <c r="D1349" s="35">
        <f t="shared" si="267"/>
        <v>4</v>
      </c>
      <c r="E1349" s="61">
        <v>45721</v>
      </c>
      <c r="G1349" s="43"/>
      <c r="H1349" s="6"/>
      <c r="I1349" s="27"/>
      <c r="J1349" s="35">
        <f t="shared" si="269"/>
        <v>0</v>
      </c>
    </row>
    <row r="1350" spans="1:10" x14ac:dyDescent="0.15">
      <c r="A1350" s="29" t="s">
        <v>112</v>
      </c>
      <c r="B1350" s="6">
        <v>2</v>
      </c>
      <c r="C1350" s="27">
        <v>2</v>
      </c>
      <c r="D1350" s="35">
        <f t="shared" si="267"/>
        <v>4</v>
      </c>
      <c r="E1350" s="61">
        <v>45722</v>
      </c>
      <c r="G1350" s="43"/>
      <c r="H1350" s="6"/>
      <c r="I1350" s="27"/>
      <c r="J1350" s="35">
        <f t="shared" si="269"/>
        <v>0</v>
      </c>
    </row>
    <row r="1351" spans="1:10" x14ac:dyDescent="0.15">
      <c r="A1351" s="29" t="s">
        <v>112</v>
      </c>
      <c r="B1351" s="6"/>
      <c r="C1351" s="27">
        <v>1</v>
      </c>
      <c r="D1351" s="35">
        <f t="shared" si="267"/>
        <v>1</v>
      </c>
      <c r="E1351" s="61">
        <v>45723</v>
      </c>
      <c r="G1351" s="43"/>
      <c r="H1351" s="6"/>
      <c r="I1351" s="27"/>
      <c r="J1351" s="35">
        <f t="shared" si="269"/>
        <v>0</v>
      </c>
    </row>
    <row r="1352" spans="1:10" x14ac:dyDescent="0.15">
      <c r="A1352" s="29" t="s">
        <v>112</v>
      </c>
      <c r="B1352" s="6">
        <f>3+1+1</f>
        <v>5</v>
      </c>
      <c r="C1352" s="27">
        <f>1+1+1+1</f>
        <v>4</v>
      </c>
      <c r="D1352" s="35">
        <f t="shared" si="267"/>
        <v>9</v>
      </c>
      <c r="E1352" s="61">
        <v>45726</v>
      </c>
      <c r="G1352" s="43"/>
      <c r="H1352" s="6"/>
      <c r="I1352" s="27"/>
      <c r="J1352" s="35">
        <f t="shared" si="269"/>
        <v>0</v>
      </c>
    </row>
    <row r="1353" spans="1:10" x14ac:dyDescent="0.15">
      <c r="A1353" s="29" t="s">
        <v>112</v>
      </c>
      <c r="B1353" s="6">
        <v>1</v>
      </c>
      <c r="C1353" s="27">
        <v>3</v>
      </c>
      <c r="D1353" s="35">
        <f t="shared" si="267"/>
        <v>4</v>
      </c>
      <c r="E1353" s="61">
        <v>45728</v>
      </c>
      <c r="G1353" s="43"/>
      <c r="H1353" s="6"/>
      <c r="I1353" s="27"/>
      <c r="J1353" s="35">
        <f t="shared" si="269"/>
        <v>0</v>
      </c>
    </row>
    <row r="1354" spans="1:10" x14ac:dyDescent="0.15">
      <c r="A1354" s="29" t="s">
        <v>112</v>
      </c>
      <c r="B1354" s="6">
        <v>1</v>
      </c>
      <c r="C1354" s="27">
        <v>1</v>
      </c>
      <c r="D1354" s="35">
        <f t="shared" ref="D1354:D1361" si="270">SUM(B1354+C1354)</f>
        <v>2</v>
      </c>
      <c r="E1354" s="61">
        <v>45729</v>
      </c>
      <c r="G1354" s="43"/>
      <c r="H1354" s="6"/>
      <c r="I1354" s="27"/>
      <c r="J1354" s="35">
        <f t="shared" si="269"/>
        <v>0</v>
      </c>
    </row>
    <row r="1355" spans="1:10" x14ac:dyDescent="0.15">
      <c r="A1355" s="29" t="s">
        <v>112</v>
      </c>
      <c r="B1355" s="6">
        <v>1</v>
      </c>
      <c r="C1355" s="27"/>
      <c r="D1355" s="35">
        <f t="shared" si="270"/>
        <v>1</v>
      </c>
      <c r="E1355" s="57">
        <v>45731</v>
      </c>
      <c r="G1355" s="43"/>
      <c r="H1355" s="6"/>
      <c r="I1355" s="27"/>
      <c r="J1355" s="35">
        <f t="shared" si="269"/>
        <v>0</v>
      </c>
    </row>
    <row r="1356" spans="1:10" x14ac:dyDescent="0.15">
      <c r="A1356" s="29" t="s">
        <v>112</v>
      </c>
      <c r="B1356" s="6">
        <f>5+1</f>
        <v>6</v>
      </c>
      <c r="C1356" s="27">
        <v>2</v>
      </c>
      <c r="D1356" s="35">
        <f t="shared" si="270"/>
        <v>8</v>
      </c>
      <c r="E1356" s="57">
        <v>45733</v>
      </c>
      <c r="G1356" s="43"/>
      <c r="H1356" s="6"/>
      <c r="I1356" s="27"/>
      <c r="J1356" s="35">
        <f t="shared" si="269"/>
        <v>0</v>
      </c>
    </row>
    <row r="1357" spans="1:10" x14ac:dyDescent="0.15">
      <c r="A1357" s="43" t="s">
        <v>312</v>
      </c>
      <c r="B1357" s="6">
        <v>-10</v>
      </c>
      <c r="C1357" s="27"/>
      <c r="D1357" s="35">
        <f t="shared" si="270"/>
        <v>-10</v>
      </c>
      <c r="E1357" s="57">
        <v>45734</v>
      </c>
      <c r="G1357" s="43"/>
      <c r="H1357" s="6"/>
      <c r="I1357" s="27"/>
      <c r="J1357" s="35">
        <f t="shared" si="269"/>
        <v>0</v>
      </c>
    </row>
    <row r="1358" spans="1:10" x14ac:dyDescent="0.15">
      <c r="A1358" s="29" t="s">
        <v>112</v>
      </c>
      <c r="B1358" s="6">
        <v>2</v>
      </c>
      <c r="C1358" s="27"/>
      <c r="D1358" s="35">
        <f t="shared" si="270"/>
        <v>2</v>
      </c>
      <c r="E1358" s="61">
        <v>45735</v>
      </c>
      <c r="G1358" s="43"/>
      <c r="H1358" s="6"/>
      <c r="I1358" s="27"/>
      <c r="J1358" s="35">
        <f t="shared" si="269"/>
        <v>0</v>
      </c>
    </row>
    <row r="1359" spans="1:10" x14ac:dyDescent="0.15">
      <c r="A1359" s="29" t="s">
        <v>112</v>
      </c>
      <c r="B1359" s="6"/>
      <c r="C1359" s="27">
        <v>1</v>
      </c>
      <c r="D1359" s="35">
        <f t="shared" si="270"/>
        <v>1</v>
      </c>
      <c r="E1359" s="61">
        <v>45737</v>
      </c>
      <c r="G1359" s="43"/>
      <c r="H1359" s="6"/>
      <c r="I1359" s="27"/>
      <c r="J1359" s="35">
        <f t="shared" si="269"/>
        <v>0</v>
      </c>
    </row>
    <row r="1360" spans="1:10" x14ac:dyDescent="0.15">
      <c r="A1360" s="29" t="s">
        <v>112</v>
      </c>
      <c r="B1360" s="6">
        <f>3+8+2</f>
        <v>13</v>
      </c>
      <c r="C1360" s="27">
        <f>1+5</f>
        <v>6</v>
      </c>
      <c r="D1360" s="35">
        <f t="shared" si="270"/>
        <v>19</v>
      </c>
      <c r="E1360" s="61">
        <v>45740</v>
      </c>
      <c r="G1360" s="43"/>
      <c r="H1360" s="6"/>
      <c r="I1360" s="27"/>
      <c r="J1360" s="35">
        <f t="shared" si="269"/>
        <v>0</v>
      </c>
    </row>
    <row r="1361" spans="1:13" ht="14.25" thickBot="1" x14ac:dyDescent="0.2">
      <c r="A1361" s="29" t="s">
        <v>112</v>
      </c>
      <c r="B1361" s="6">
        <f>6+3</f>
        <v>9</v>
      </c>
      <c r="C1361" s="27">
        <v>2</v>
      </c>
      <c r="D1361" s="35">
        <f t="shared" si="270"/>
        <v>11</v>
      </c>
      <c r="E1361" s="61">
        <v>45741</v>
      </c>
      <c r="G1361" s="43"/>
      <c r="H1361" s="6"/>
      <c r="I1361" s="27"/>
      <c r="J1361" s="35">
        <f t="shared" si="269"/>
        <v>0</v>
      </c>
    </row>
    <row r="1362" spans="1:13" ht="14.25" thickBot="1" x14ac:dyDescent="0.2">
      <c r="A1362" s="9" t="s">
        <v>3</v>
      </c>
      <c r="B1362" s="10">
        <f>SUM(B1338:B1361)</f>
        <v>47</v>
      </c>
      <c r="C1362" s="66">
        <f>SUM(C1338:C1361)</f>
        <v>27</v>
      </c>
      <c r="D1362" s="11">
        <f>SUM(D1338:D1361)</f>
        <v>74</v>
      </c>
      <c r="G1362" s="9" t="s">
        <v>3</v>
      </c>
      <c r="H1362" s="10">
        <f>SUM(H1338:H1361)</f>
        <v>50</v>
      </c>
      <c r="I1362" s="66">
        <f>SUM(I1338:I1361)</f>
        <v>31</v>
      </c>
      <c r="J1362" s="11">
        <f>SUM(J1338:J1361)</f>
        <v>81</v>
      </c>
    </row>
    <row r="1363" spans="1:13" ht="14.25" thickBot="1" x14ac:dyDescent="0.2">
      <c r="A1363" s="14" t="s">
        <v>4</v>
      </c>
      <c r="B1363" s="16">
        <f>B1337-B1362</f>
        <v>-1</v>
      </c>
      <c r="C1363" s="16">
        <f>C1337-C1362</f>
        <v>16</v>
      </c>
      <c r="D1363" s="84">
        <f>D1337-D1362</f>
        <v>15</v>
      </c>
      <c r="G1363" s="14" t="s">
        <v>4</v>
      </c>
      <c r="H1363" s="16">
        <f>H1337-H1362</f>
        <v>3098</v>
      </c>
      <c r="I1363" s="16">
        <f>I1337-I1362</f>
        <v>2955</v>
      </c>
      <c r="J1363" s="16">
        <f>J1337-J1362</f>
        <v>6053</v>
      </c>
    </row>
    <row r="1366" spans="1:13" ht="24.75" thickBot="1" x14ac:dyDescent="0.3">
      <c r="A1366" s="25" t="s">
        <v>7</v>
      </c>
      <c r="B1366" s="1"/>
      <c r="C1366" s="1"/>
      <c r="D1366" s="1"/>
      <c r="G1366" s="25" t="s">
        <v>8</v>
      </c>
      <c r="H1366" s="1"/>
      <c r="I1366" s="1"/>
      <c r="J1366" s="1"/>
    </row>
    <row r="1367" spans="1:13" ht="14.25" thickBot="1" x14ac:dyDescent="0.2">
      <c r="A1367" s="2"/>
      <c r="B1367" s="50" t="s">
        <v>115</v>
      </c>
      <c r="C1367" s="50" t="s">
        <v>116</v>
      </c>
      <c r="D1367" s="2" t="s">
        <v>0</v>
      </c>
      <c r="G1367" s="2"/>
      <c r="H1367" s="50" t="s">
        <v>115</v>
      </c>
      <c r="I1367" s="50" t="s">
        <v>116</v>
      </c>
      <c r="J1367" s="2" t="s">
        <v>0</v>
      </c>
    </row>
    <row r="1368" spans="1:13" x14ac:dyDescent="0.15">
      <c r="A1368" s="32" t="s">
        <v>4</v>
      </c>
      <c r="B1368" s="48">
        <f>B1363</f>
        <v>-1</v>
      </c>
      <c r="C1368" s="76">
        <f>C1363</f>
        <v>16</v>
      </c>
      <c r="D1368" s="47">
        <f>SUM(B1368+C1368)</f>
        <v>15</v>
      </c>
      <c r="G1368" s="13" t="s">
        <v>6</v>
      </c>
      <c r="H1368" s="48">
        <f>H1363</f>
        <v>3098</v>
      </c>
      <c r="I1368" s="80">
        <f>I1363</f>
        <v>2955</v>
      </c>
      <c r="J1368" s="47">
        <f>SUM(H1368+I1368)</f>
        <v>6053</v>
      </c>
    </row>
    <row r="1369" spans="1:13" x14ac:dyDescent="0.15">
      <c r="A1369" s="3" t="s">
        <v>1</v>
      </c>
      <c r="B1369" s="24">
        <v>10</v>
      </c>
      <c r="C1369" s="90"/>
      <c r="D1369" s="7">
        <f t="shared" ref="D1369:D1370" si="271">SUM(B1369+C1369)</f>
        <v>10</v>
      </c>
      <c r="E1369" s="57">
        <v>45741</v>
      </c>
      <c r="G1369" s="3" t="s">
        <v>1</v>
      </c>
      <c r="H1369" s="24"/>
      <c r="I1369" s="90"/>
      <c r="J1369" s="7">
        <f t="shared" ref="J1369:J1373" si="272">SUM(H1369+I1369)</f>
        <v>0</v>
      </c>
    </row>
    <row r="1370" spans="1:13" x14ac:dyDescent="0.15">
      <c r="A1370" s="3" t="s">
        <v>1</v>
      </c>
      <c r="B1370" s="24">
        <v>20</v>
      </c>
      <c r="C1370" s="90">
        <v>20</v>
      </c>
      <c r="D1370" s="7">
        <f t="shared" si="271"/>
        <v>40</v>
      </c>
      <c r="E1370" s="57">
        <v>45742</v>
      </c>
      <c r="G1370" s="3" t="s">
        <v>1</v>
      </c>
      <c r="H1370" s="24"/>
      <c r="I1370" s="90"/>
      <c r="J1370" s="7">
        <f t="shared" si="272"/>
        <v>0</v>
      </c>
    </row>
    <row r="1371" spans="1:13" x14ac:dyDescent="0.15">
      <c r="A1371" s="3" t="s">
        <v>1</v>
      </c>
      <c r="B1371" s="24">
        <v>30</v>
      </c>
      <c r="C1371" s="90">
        <v>30</v>
      </c>
      <c r="D1371" s="7">
        <f t="shared" ref="D1371:D1373" si="273">SUM(B1371+C1371)</f>
        <v>60</v>
      </c>
      <c r="E1371" s="57">
        <v>45745</v>
      </c>
      <c r="G1371" s="3" t="s">
        <v>1</v>
      </c>
      <c r="H1371" s="24"/>
      <c r="I1371" s="90"/>
      <c r="J1371" s="7">
        <f t="shared" si="272"/>
        <v>0</v>
      </c>
    </row>
    <row r="1372" spans="1:13" x14ac:dyDescent="0.15">
      <c r="A1372" s="3" t="s">
        <v>1</v>
      </c>
      <c r="B1372" s="24">
        <v>30</v>
      </c>
      <c r="C1372" s="90">
        <v>10</v>
      </c>
      <c r="D1372" s="7">
        <f t="shared" si="273"/>
        <v>40</v>
      </c>
      <c r="E1372" s="57">
        <v>45752</v>
      </c>
      <c r="G1372" s="3" t="s">
        <v>1</v>
      </c>
      <c r="H1372" s="24"/>
      <c r="I1372" s="90"/>
      <c r="J1372" s="7">
        <f t="shared" si="272"/>
        <v>0</v>
      </c>
    </row>
    <row r="1373" spans="1:13" ht="14.25" thickBot="1" x14ac:dyDescent="0.2">
      <c r="A1373" s="4" t="s">
        <v>1</v>
      </c>
      <c r="B1373" s="75">
        <v>16</v>
      </c>
      <c r="C1373" s="17">
        <v>15</v>
      </c>
      <c r="D1373" s="22">
        <f t="shared" si="273"/>
        <v>31</v>
      </c>
      <c r="E1373" s="57">
        <v>45766</v>
      </c>
      <c r="G1373" s="4" t="s">
        <v>1</v>
      </c>
      <c r="H1373" s="75"/>
      <c r="I1373" s="17"/>
      <c r="J1373" s="22">
        <f t="shared" si="272"/>
        <v>0</v>
      </c>
    </row>
    <row r="1374" spans="1:13" ht="14.25" thickBot="1" x14ac:dyDescent="0.2">
      <c r="A1374" s="14" t="s">
        <v>2</v>
      </c>
      <c r="B1374" s="84">
        <f>SUM(B1368:B1373)</f>
        <v>105</v>
      </c>
      <c r="C1374" s="65">
        <f>SUM(C1368:C1373)</f>
        <v>91</v>
      </c>
      <c r="D1374" s="18">
        <f>SUM(B1374+C1374)</f>
        <v>196</v>
      </c>
      <c r="G1374" s="14" t="s">
        <v>2</v>
      </c>
      <c r="H1374" s="84">
        <f>SUM(H1368:H1373)</f>
        <v>3098</v>
      </c>
      <c r="I1374" s="65">
        <f>SUM(I1368:I1373)</f>
        <v>2955</v>
      </c>
      <c r="J1374" s="18">
        <f>SUM(H1374+I1374)</f>
        <v>6053</v>
      </c>
    </row>
    <row r="1375" spans="1:13" x14ac:dyDescent="0.15">
      <c r="A1375" s="29" t="s">
        <v>112</v>
      </c>
      <c r="B1375" s="6">
        <f>1+2+2</f>
        <v>5</v>
      </c>
      <c r="C1375" s="27">
        <v>2</v>
      </c>
      <c r="D1375" s="35">
        <f t="shared" ref="D1375:D1398" si="274">SUM(B1375+C1375)</f>
        <v>7</v>
      </c>
      <c r="E1375" s="61">
        <v>45742</v>
      </c>
      <c r="G1375" s="43" t="s">
        <v>313</v>
      </c>
      <c r="H1375" s="6">
        <v>10</v>
      </c>
      <c r="I1375" s="27"/>
      <c r="J1375" s="35">
        <f t="shared" ref="J1375:J1378" si="275">SUM(H1375+I1375)</f>
        <v>10</v>
      </c>
      <c r="K1375" s="57">
        <v>45741</v>
      </c>
      <c r="L1375" s="19"/>
      <c r="M1375" s="19"/>
    </row>
    <row r="1376" spans="1:13" x14ac:dyDescent="0.15">
      <c r="A1376" s="29" t="s">
        <v>112</v>
      </c>
      <c r="B1376" s="6">
        <v>4</v>
      </c>
      <c r="C1376" s="27">
        <v>1</v>
      </c>
      <c r="D1376" s="35">
        <f t="shared" si="274"/>
        <v>5</v>
      </c>
      <c r="E1376" s="61">
        <v>45743</v>
      </c>
      <c r="G1376" s="43" t="s">
        <v>21</v>
      </c>
      <c r="H1376" s="6">
        <v>20</v>
      </c>
      <c r="I1376" s="27">
        <v>20</v>
      </c>
      <c r="J1376" s="35">
        <f t="shared" si="275"/>
        <v>40</v>
      </c>
      <c r="K1376" s="57">
        <v>45742</v>
      </c>
      <c r="L1376" s="19"/>
      <c r="M1376" s="19"/>
    </row>
    <row r="1377" spans="1:13" x14ac:dyDescent="0.15">
      <c r="A1377" s="29" t="s">
        <v>112</v>
      </c>
      <c r="B1377" s="6"/>
      <c r="C1377" s="27">
        <v>1</v>
      </c>
      <c r="D1377" s="35">
        <f t="shared" si="274"/>
        <v>1</v>
      </c>
      <c r="E1377" s="61">
        <v>45744</v>
      </c>
      <c r="F1377" s="19"/>
      <c r="G1377" s="43" t="s">
        <v>21</v>
      </c>
      <c r="H1377" s="6">
        <v>30</v>
      </c>
      <c r="I1377" s="27">
        <v>30</v>
      </c>
      <c r="J1377" s="35">
        <f t="shared" si="275"/>
        <v>60</v>
      </c>
      <c r="K1377" s="57">
        <v>45745</v>
      </c>
      <c r="L1377" s="19"/>
      <c r="M1377" s="19"/>
    </row>
    <row r="1378" spans="1:13" x14ac:dyDescent="0.15">
      <c r="A1378" s="29" t="s">
        <v>112</v>
      </c>
      <c r="B1378" s="6">
        <v>3</v>
      </c>
      <c r="C1378" s="27">
        <v>4</v>
      </c>
      <c r="D1378" s="35">
        <f t="shared" si="274"/>
        <v>7</v>
      </c>
      <c r="E1378" s="61">
        <v>45745</v>
      </c>
      <c r="F1378" s="19"/>
      <c r="G1378" s="43" t="s">
        <v>21</v>
      </c>
      <c r="H1378" s="6">
        <v>30</v>
      </c>
      <c r="I1378" s="27">
        <v>10</v>
      </c>
      <c r="J1378" s="35">
        <f t="shared" si="275"/>
        <v>40</v>
      </c>
      <c r="K1378" s="57">
        <v>45752</v>
      </c>
      <c r="L1378" s="19"/>
      <c r="M1378" s="19"/>
    </row>
    <row r="1379" spans="1:13" x14ac:dyDescent="0.15">
      <c r="A1379" s="29" t="s">
        <v>112</v>
      </c>
      <c r="B1379" s="6">
        <v>7</v>
      </c>
      <c r="C1379" s="27">
        <v>3</v>
      </c>
      <c r="D1379" s="35">
        <f t="shared" si="274"/>
        <v>10</v>
      </c>
      <c r="E1379" s="61">
        <v>45747</v>
      </c>
      <c r="F1379" s="19"/>
      <c r="G1379" s="43" t="s">
        <v>314</v>
      </c>
      <c r="H1379" s="6">
        <v>180</v>
      </c>
      <c r="I1379" s="27">
        <v>70</v>
      </c>
      <c r="J1379" s="35">
        <f t="shared" ref="J1379:J1393" si="276">SUM(H1379+I1379)</f>
        <v>250</v>
      </c>
      <c r="K1379" s="57">
        <v>45764</v>
      </c>
      <c r="L1379" s="19"/>
      <c r="M1379" s="19"/>
    </row>
    <row r="1380" spans="1:13" x14ac:dyDescent="0.15">
      <c r="A1380" s="29" t="s">
        <v>112</v>
      </c>
      <c r="B1380" s="6">
        <v>2</v>
      </c>
      <c r="C1380" s="27"/>
      <c r="D1380" s="35">
        <f t="shared" si="274"/>
        <v>2</v>
      </c>
      <c r="E1380" s="61">
        <v>45749</v>
      </c>
      <c r="F1380" s="19"/>
      <c r="G1380" s="43" t="s">
        <v>21</v>
      </c>
      <c r="H1380" s="6">
        <v>16</v>
      </c>
      <c r="I1380" s="27">
        <v>15</v>
      </c>
      <c r="J1380" s="35">
        <f t="shared" si="276"/>
        <v>31</v>
      </c>
      <c r="K1380" s="57">
        <v>45766</v>
      </c>
      <c r="L1380" s="19"/>
      <c r="M1380" s="19"/>
    </row>
    <row r="1381" spans="1:13" x14ac:dyDescent="0.15">
      <c r="A1381" s="29" t="s">
        <v>112</v>
      </c>
      <c r="B1381" s="6">
        <v>2</v>
      </c>
      <c r="C1381" s="27">
        <v>2</v>
      </c>
      <c r="D1381" s="35">
        <f t="shared" si="274"/>
        <v>4</v>
      </c>
      <c r="E1381" s="61">
        <v>45750</v>
      </c>
      <c r="F1381" s="19"/>
      <c r="G1381" s="43" t="s">
        <v>317</v>
      </c>
      <c r="H1381" s="6">
        <v>12</v>
      </c>
      <c r="I1381" s="27">
        <v>6</v>
      </c>
      <c r="J1381" s="35">
        <f t="shared" si="276"/>
        <v>18</v>
      </c>
      <c r="K1381" s="57">
        <v>45772</v>
      </c>
      <c r="L1381" s="19"/>
      <c r="M1381" s="19"/>
    </row>
    <row r="1382" spans="1:13" x14ac:dyDescent="0.15">
      <c r="A1382" s="29" t="s">
        <v>112</v>
      </c>
      <c r="B1382" s="6"/>
      <c r="C1382" s="27">
        <v>1</v>
      </c>
      <c r="D1382" s="35">
        <f t="shared" si="274"/>
        <v>1</v>
      </c>
      <c r="E1382" s="61">
        <v>45751</v>
      </c>
      <c r="G1382" s="108" t="s">
        <v>319</v>
      </c>
      <c r="H1382" s="6">
        <v>12</v>
      </c>
      <c r="I1382" s="27">
        <v>6</v>
      </c>
      <c r="J1382" s="35">
        <f t="shared" si="276"/>
        <v>18</v>
      </c>
      <c r="K1382" s="57">
        <v>45775</v>
      </c>
      <c r="L1382" s="19"/>
      <c r="M1382" s="19"/>
    </row>
    <row r="1383" spans="1:13" x14ac:dyDescent="0.15">
      <c r="A1383" s="29" t="s">
        <v>112</v>
      </c>
      <c r="B1383" s="6"/>
      <c r="C1383" s="27">
        <v>1</v>
      </c>
      <c r="D1383" s="35">
        <f t="shared" si="274"/>
        <v>1</v>
      </c>
      <c r="E1383" s="61">
        <v>45752</v>
      </c>
      <c r="G1383" s="43" t="s">
        <v>320</v>
      </c>
      <c r="H1383" s="6">
        <v>15</v>
      </c>
      <c r="I1383" s="27">
        <v>30</v>
      </c>
      <c r="J1383" s="35">
        <f t="shared" si="276"/>
        <v>45</v>
      </c>
      <c r="K1383" s="57">
        <v>45778</v>
      </c>
      <c r="L1383" s="19"/>
      <c r="M1383" s="19"/>
    </row>
    <row r="1384" spans="1:13" x14ac:dyDescent="0.15">
      <c r="A1384" s="29" t="s">
        <v>112</v>
      </c>
      <c r="B1384" s="6">
        <f>4+1</f>
        <v>5</v>
      </c>
      <c r="C1384" s="27">
        <v>2</v>
      </c>
      <c r="D1384" s="35">
        <f t="shared" si="274"/>
        <v>7</v>
      </c>
      <c r="E1384" s="61">
        <v>45754</v>
      </c>
      <c r="G1384" s="43" t="s">
        <v>321</v>
      </c>
      <c r="H1384" s="6"/>
      <c r="I1384" s="27">
        <v>25</v>
      </c>
      <c r="J1384" s="35">
        <f t="shared" si="276"/>
        <v>25</v>
      </c>
      <c r="K1384" s="57">
        <v>45779</v>
      </c>
      <c r="L1384" s="19"/>
      <c r="M1384" s="19"/>
    </row>
    <row r="1385" spans="1:13" x14ac:dyDescent="0.15">
      <c r="A1385" s="29" t="s">
        <v>112</v>
      </c>
      <c r="B1385" s="6">
        <v>1</v>
      </c>
      <c r="C1385" s="27"/>
      <c r="D1385" s="35">
        <f t="shared" si="274"/>
        <v>1</v>
      </c>
      <c r="E1385" s="61">
        <v>45755</v>
      </c>
      <c r="G1385" s="43" t="s">
        <v>322</v>
      </c>
      <c r="H1385" s="6">
        <v>25</v>
      </c>
      <c r="I1385" s="27">
        <v>12</v>
      </c>
      <c r="J1385" s="35">
        <f t="shared" si="276"/>
        <v>37</v>
      </c>
      <c r="K1385" s="57">
        <v>45789</v>
      </c>
      <c r="L1385" s="19"/>
      <c r="M1385" s="19"/>
    </row>
    <row r="1386" spans="1:13" x14ac:dyDescent="0.15">
      <c r="A1386" s="29" t="s">
        <v>112</v>
      </c>
      <c r="B1386" s="6">
        <v>1</v>
      </c>
      <c r="C1386" s="27">
        <v>1</v>
      </c>
      <c r="D1386" s="35">
        <f t="shared" si="274"/>
        <v>2</v>
      </c>
      <c r="E1386" s="61">
        <v>45756</v>
      </c>
      <c r="G1386" s="43" t="s">
        <v>21</v>
      </c>
      <c r="H1386" s="6">
        <v>30</v>
      </c>
      <c r="I1386" s="27">
        <v>20</v>
      </c>
      <c r="J1386" s="35">
        <f t="shared" si="276"/>
        <v>50</v>
      </c>
      <c r="K1386" s="57">
        <v>45787</v>
      </c>
      <c r="L1386" s="19"/>
    </row>
    <row r="1387" spans="1:13" x14ac:dyDescent="0.15">
      <c r="A1387" s="29" t="s">
        <v>112</v>
      </c>
      <c r="B1387" s="6">
        <v>1</v>
      </c>
      <c r="C1387" s="27">
        <v>1</v>
      </c>
      <c r="D1387" s="35">
        <f t="shared" si="274"/>
        <v>2</v>
      </c>
      <c r="E1387" s="61">
        <v>45757</v>
      </c>
      <c r="G1387" s="43" t="s">
        <v>326</v>
      </c>
      <c r="H1387" s="6">
        <v>20</v>
      </c>
      <c r="I1387" s="27">
        <v>10</v>
      </c>
      <c r="J1387" s="35">
        <f t="shared" si="276"/>
        <v>30</v>
      </c>
      <c r="K1387" s="57">
        <v>45792</v>
      </c>
      <c r="L1387" s="19"/>
    </row>
    <row r="1388" spans="1:13" x14ac:dyDescent="0.15">
      <c r="A1388" s="29" t="s">
        <v>112</v>
      </c>
      <c r="B1388" s="6">
        <f>2+1</f>
        <v>3</v>
      </c>
      <c r="C1388" s="27"/>
      <c r="D1388" s="35">
        <f t="shared" si="274"/>
        <v>3</v>
      </c>
      <c r="E1388" s="61">
        <v>45758</v>
      </c>
      <c r="G1388" s="43" t="s">
        <v>327</v>
      </c>
      <c r="H1388" s="6">
        <v>20</v>
      </c>
      <c r="I1388" s="27">
        <v>8</v>
      </c>
      <c r="J1388" s="35">
        <f t="shared" si="276"/>
        <v>28</v>
      </c>
      <c r="K1388" s="57">
        <v>45794</v>
      </c>
      <c r="L1388" s="19"/>
    </row>
    <row r="1389" spans="1:13" x14ac:dyDescent="0.15">
      <c r="A1389" s="29" t="s">
        <v>112</v>
      </c>
      <c r="B1389" s="6">
        <f>2+3+1</f>
        <v>6</v>
      </c>
      <c r="C1389" s="27">
        <v>1</v>
      </c>
      <c r="D1389" s="35">
        <f t="shared" si="274"/>
        <v>7</v>
      </c>
      <c r="E1389" s="61">
        <v>45761</v>
      </c>
      <c r="G1389" s="43" t="s">
        <v>330</v>
      </c>
      <c r="H1389" s="6">
        <v>7</v>
      </c>
      <c r="I1389" s="27">
        <v>2</v>
      </c>
      <c r="J1389" s="35">
        <f t="shared" si="276"/>
        <v>9</v>
      </c>
      <c r="K1389" s="57">
        <v>45794</v>
      </c>
      <c r="L1389" s="19"/>
    </row>
    <row r="1390" spans="1:13" x14ac:dyDescent="0.15">
      <c r="A1390" s="29" t="s">
        <v>112</v>
      </c>
      <c r="B1390" s="6">
        <v>1</v>
      </c>
      <c r="C1390" s="27">
        <v>4</v>
      </c>
      <c r="D1390" s="35">
        <f t="shared" si="274"/>
        <v>5</v>
      </c>
      <c r="E1390" s="61">
        <v>45762</v>
      </c>
      <c r="G1390" s="43" t="s">
        <v>21</v>
      </c>
      <c r="H1390" s="6">
        <v>20</v>
      </c>
      <c r="I1390" s="27">
        <v>20</v>
      </c>
      <c r="J1390" s="35">
        <f t="shared" si="276"/>
        <v>40</v>
      </c>
      <c r="K1390" s="57">
        <v>45796</v>
      </c>
      <c r="L1390" s="19"/>
    </row>
    <row r="1391" spans="1:13" x14ac:dyDescent="0.15">
      <c r="A1391" s="29" t="s">
        <v>112</v>
      </c>
      <c r="B1391" s="6">
        <v>1</v>
      </c>
      <c r="C1391" s="27"/>
      <c r="D1391" s="35">
        <f t="shared" si="274"/>
        <v>1</v>
      </c>
      <c r="E1391" s="61">
        <v>45763</v>
      </c>
      <c r="G1391" s="43" t="s">
        <v>21</v>
      </c>
      <c r="H1391" s="6">
        <v>20</v>
      </c>
      <c r="I1391" s="27">
        <v>20</v>
      </c>
      <c r="J1391" s="35">
        <f t="shared" si="276"/>
        <v>40</v>
      </c>
      <c r="K1391" s="57">
        <v>45797</v>
      </c>
      <c r="L1391" s="19"/>
    </row>
    <row r="1392" spans="1:13" x14ac:dyDescent="0.15">
      <c r="A1392" s="29" t="s">
        <v>112</v>
      </c>
      <c r="B1392" s="6"/>
      <c r="C1392" s="27">
        <v>1</v>
      </c>
      <c r="D1392" s="35">
        <f t="shared" si="274"/>
        <v>1</v>
      </c>
      <c r="E1392" s="61">
        <v>45764</v>
      </c>
      <c r="G1392" s="43" t="s">
        <v>21</v>
      </c>
      <c r="H1392" s="6">
        <v>30</v>
      </c>
      <c r="I1392" s="27">
        <v>30</v>
      </c>
      <c r="J1392" s="35">
        <f t="shared" si="276"/>
        <v>60</v>
      </c>
      <c r="K1392" s="57">
        <v>45805</v>
      </c>
      <c r="L1392" s="19"/>
    </row>
    <row r="1393" spans="1:12" x14ac:dyDescent="0.15">
      <c r="A1393" s="29" t="s">
        <v>112</v>
      </c>
      <c r="B1393" s="6">
        <f>4+1</f>
        <v>5</v>
      </c>
      <c r="C1393" s="27">
        <v>1</v>
      </c>
      <c r="D1393" s="35">
        <f t="shared" si="274"/>
        <v>6</v>
      </c>
      <c r="E1393" s="61">
        <v>45765</v>
      </c>
      <c r="G1393" s="43"/>
      <c r="H1393" s="6"/>
      <c r="I1393" s="27"/>
      <c r="J1393" s="35">
        <f t="shared" si="276"/>
        <v>0</v>
      </c>
      <c r="K1393" s="19"/>
    </row>
    <row r="1394" spans="1:12" x14ac:dyDescent="0.15">
      <c r="A1394" s="29" t="s">
        <v>112</v>
      </c>
      <c r="B1394" s="6">
        <f>1+5+2</f>
        <v>8</v>
      </c>
      <c r="C1394" s="27">
        <f>1+8+1</f>
        <v>10</v>
      </c>
      <c r="D1394" s="35">
        <f t="shared" si="274"/>
        <v>18</v>
      </c>
      <c r="E1394" s="61">
        <v>45768</v>
      </c>
      <c r="G1394" s="43"/>
      <c r="H1394" s="6"/>
      <c r="I1394" s="27"/>
      <c r="J1394" s="35">
        <f t="shared" ref="J1394:J1395" si="277">SUM(H1394+I1394)</f>
        <v>0</v>
      </c>
    </row>
    <row r="1395" spans="1:12" x14ac:dyDescent="0.15">
      <c r="A1395" s="29" t="s">
        <v>112</v>
      </c>
      <c r="B1395" s="6">
        <v>1</v>
      </c>
      <c r="C1395" s="27">
        <v>2</v>
      </c>
      <c r="D1395" s="35">
        <f t="shared" si="274"/>
        <v>3</v>
      </c>
      <c r="E1395" s="61">
        <v>45769</v>
      </c>
      <c r="G1395" s="43"/>
      <c r="H1395" s="6"/>
      <c r="I1395" s="27"/>
      <c r="J1395" s="35">
        <f t="shared" si="277"/>
        <v>0</v>
      </c>
    </row>
    <row r="1396" spans="1:12" x14ac:dyDescent="0.15">
      <c r="A1396" s="29" t="s">
        <v>112</v>
      </c>
      <c r="B1396" s="6">
        <f>2+2</f>
        <v>4</v>
      </c>
      <c r="C1396" s="27"/>
      <c r="D1396" s="35">
        <f t="shared" si="274"/>
        <v>4</v>
      </c>
      <c r="E1396" s="61">
        <v>45770</v>
      </c>
      <c r="G1396" s="43" t="s">
        <v>323</v>
      </c>
      <c r="H1396" s="6"/>
      <c r="I1396" s="27"/>
      <c r="J1396" s="35">
        <f t="shared" ref="J1396:J1398" si="278">SUM(H1396+I1396)</f>
        <v>0</v>
      </c>
      <c r="K1396" s="57">
        <v>45770</v>
      </c>
    </row>
    <row r="1397" spans="1:12" x14ac:dyDescent="0.15">
      <c r="A1397" s="29" t="s">
        <v>112</v>
      </c>
      <c r="B1397" s="6"/>
      <c r="C1397" s="27">
        <v>4</v>
      </c>
      <c r="D1397" s="35">
        <f t="shared" si="274"/>
        <v>4</v>
      </c>
      <c r="E1397" s="61">
        <v>45771</v>
      </c>
      <c r="G1397" s="43" t="s">
        <v>310</v>
      </c>
      <c r="H1397" s="6"/>
      <c r="I1397" s="27"/>
      <c r="J1397" s="35">
        <f t="shared" si="278"/>
        <v>0</v>
      </c>
      <c r="K1397" s="19" t="s">
        <v>311</v>
      </c>
      <c r="L1397" s="19"/>
    </row>
    <row r="1398" spans="1:12" ht="14.25" thickBot="1" x14ac:dyDescent="0.2">
      <c r="A1398" s="29" t="s">
        <v>112</v>
      </c>
      <c r="B1398" s="6">
        <f>1+2</f>
        <v>3</v>
      </c>
      <c r="C1398" s="27">
        <f>3+6</f>
        <v>9</v>
      </c>
      <c r="D1398" s="35">
        <f t="shared" si="274"/>
        <v>12</v>
      </c>
      <c r="E1398" s="61">
        <v>45772</v>
      </c>
      <c r="G1398" s="43" t="s">
        <v>309</v>
      </c>
      <c r="H1398" s="6"/>
      <c r="I1398" s="27"/>
      <c r="J1398" s="35">
        <f t="shared" si="278"/>
        <v>0</v>
      </c>
      <c r="K1398" s="19" t="s">
        <v>308</v>
      </c>
    </row>
    <row r="1399" spans="1:12" ht="14.25" thickBot="1" x14ac:dyDescent="0.2">
      <c r="A1399" s="9" t="s">
        <v>3</v>
      </c>
      <c r="B1399" s="10">
        <f>SUM(B1375:B1398)</f>
        <v>63</v>
      </c>
      <c r="C1399" s="66">
        <f>SUM(C1375:C1398)</f>
        <v>51</v>
      </c>
      <c r="D1399" s="11">
        <f>SUM(D1375:D1398)</f>
        <v>114</v>
      </c>
      <c r="G1399" s="9" t="s">
        <v>3</v>
      </c>
      <c r="H1399" s="10">
        <f>SUM(H1375:H1398)</f>
        <v>497</v>
      </c>
      <c r="I1399" s="66">
        <f>SUM(I1375:I1398)</f>
        <v>334</v>
      </c>
      <c r="J1399" s="11">
        <f>SUM(J1375:J1398)</f>
        <v>831</v>
      </c>
    </row>
    <row r="1400" spans="1:12" ht="14.25" thickBot="1" x14ac:dyDescent="0.2">
      <c r="A1400" s="14" t="s">
        <v>4</v>
      </c>
      <c r="B1400" s="16">
        <f>B1374-B1399</f>
        <v>42</v>
      </c>
      <c r="C1400" s="16">
        <f>C1374-C1399</f>
        <v>40</v>
      </c>
      <c r="D1400" s="84">
        <f>D1374-D1399</f>
        <v>82</v>
      </c>
      <c r="G1400" s="14" t="s">
        <v>4</v>
      </c>
      <c r="H1400" s="16">
        <f>H1374-H1399</f>
        <v>2601</v>
      </c>
      <c r="I1400" s="16">
        <f>I1374-I1399</f>
        <v>2621</v>
      </c>
      <c r="J1400" s="16">
        <f>J1374-J1399</f>
        <v>5222</v>
      </c>
    </row>
    <row r="1403" spans="1:12" ht="24.75" thickBot="1" x14ac:dyDescent="0.3">
      <c r="A1403" s="25" t="s">
        <v>7</v>
      </c>
      <c r="B1403" s="1"/>
      <c r="C1403" s="1"/>
      <c r="D1403" s="1"/>
      <c r="G1403" s="25" t="s">
        <v>8</v>
      </c>
      <c r="H1403" s="1"/>
      <c r="I1403" s="1"/>
      <c r="J1403" s="1"/>
    </row>
    <row r="1404" spans="1:12" ht="14.25" thickBot="1" x14ac:dyDescent="0.2">
      <c r="A1404" s="2"/>
      <c r="B1404" s="50" t="s">
        <v>115</v>
      </c>
      <c r="C1404" s="50" t="s">
        <v>116</v>
      </c>
      <c r="D1404" s="2" t="s">
        <v>0</v>
      </c>
      <c r="G1404" s="2"/>
      <c r="H1404" s="50" t="s">
        <v>115</v>
      </c>
      <c r="I1404" s="50" t="s">
        <v>116</v>
      </c>
      <c r="J1404" s="2" t="s">
        <v>0</v>
      </c>
    </row>
    <row r="1405" spans="1:12" x14ac:dyDescent="0.15">
      <c r="A1405" s="32" t="s">
        <v>4</v>
      </c>
      <c r="B1405" s="48">
        <f>B1400</f>
        <v>42</v>
      </c>
      <c r="C1405" s="76">
        <f>C1400</f>
        <v>40</v>
      </c>
      <c r="D1405" s="47">
        <f>SUM(B1405+C1405)</f>
        <v>82</v>
      </c>
      <c r="G1405" s="13" t="s">
        <v>6</v>
      </c>
      <c r="H1405" s="48">
        <f>H1400</f>
        <v>2601</v>
      </c>
      <c r="I1405" s="80">
        <f>I1400</f>
        <v>2621</v>
      </c>
      <c r="J1405" s="47">
        <f>SUM(H1405+I1405)</f>
        <v>5222</v>
      </c>
    </row>
    <row r="1406" spans="1:12" x14ac:dyDescent="0.15">
      <c r="A1406" s="3" t="s">
        <v>1</v>
      </c>
      <c r="B1406" s="24">
        <v>30</v>
      </c>
      <c r="C1406" s="90">
        <v>20</v>
      </c>
      <c r="D1406" s="7">
        <f t="shared" ref="D1406:D1410" si="279">SUM(B1406+C1406)</f>
        <v>50</v>
      </c>
      <c r="E1406" s="57">
        <v>45787</v>
      </c>
      <c r="G1406" s="3" t="s">
        <v>1</v>
      </c>
      <c r="H1406" s="24"/>
      <c r="I1406" s="90"/>
      <c r="J1406" s="7">
        <f t="shared" ref="J1406:J1410" si="280">SUM(H1406+I1406)</f>
        <v>0</v>
      </c>
    </row>
    <row r="1407" spans="1:12" x14ac:dyDescent="0.15">
      <c r="A1407" s="3" t="s">
        <v>1</v>
      </c>
      <c r="B1407" s="24">
        <v>20</v>
      </c>
      <c r="C1407" s="90">
        <v>20</v>
      </c>
      <c r="D1407" s="7">
        <f t="shared" si="279"/>
        <v>40</v>
      </c>
      <c r="E1407" s="57">
        <v>45796</v>
      </c>
      <c r="G1407" s="3" t="s">
        <v>1</v>
      </c>
      <c r="H1407" s="24"/>
      <c r="I1407" s="90"/>
      <c r="J1407" s="7">
        <f t="shared" si="280"/>
        <v>0</v>
      </c>
    </row>
    <row r="1408" spans="1:12" x14ac:dyDescent="0.15">
      <c r="A1408" s="3" t="s">
        <v>1</v>
      </c>
      <c r="B1408" s="24">
        <v>20</v>
      </c>
      <c r="C1408" s="90">
        <v>20</v>
      </c>
      <c r="D1408" s="7">
        <f t="shared" si="279"/>
        <v>40</v>
      </c>
      <c r="E1408" s="57">
        <v>45797</v>
      </c>
      <c r="G1408" s="3" t="s">
        <v>1</v>
      </c>
      <c r="H1408" s="24"/>
      <c r="I1408" s="90"/>
      <c r="J1408" s="7">
        <f t="shared" si="280"/>
        <v>0</v>
      </c>
    </row>
    <row r="1409" spans="1:13" x14ac:dyDescent="0.15">
      <c r="A1409" s="3" t="s">
        <v>1</v>
      </c>
      <c r="B1409" s="24">
        <v>30</v>
      </c>
      <c r="C1409" s="90">
        <v>30</v>
      </c>
      <c r="D1409" s="7">
        <f t="shared" si="279"/>
        <v>60</v>
      </c>
      <c r="E1409" s="57">
        <v>45805</v>
      </c>
      <c r="G1409" s="3" t="s">
        <v>1</v>
      </c>
      <c r="H1409" s="24"/>
      <c r="I1409" s="90"/>
      <c r="J1409" s="7">
        <f t="shared" si="280"/>
        <v>0</v>
      </c>
    </row>
    <row r="1410" spans="1:13" ht="14.25" thickBot="1" x14ac:dyDescent="0.2">
      <c r="A1410" s="4" t="s">
        <v>335</v>
      </c>
      <c r="B1410" s="75">
        <v>20</v>
      </c>
      <c r="C1410" s="17"/>
      <c r="D1410" s="22">
        <f t="shared" si="279"/>
        <v>20</v>
      </c>
      <c r="E1410" s="57">
        <v>45819</v>
      </c>
      <c r="G1410" s="4" t="s">
        <v>1</v>
      </c>
      <c r="H1410" s="75"/>
      <c r="I1410" s="17"/>
      <c r="J1410" s="22">
        <f t="shared" si="280"/>
        <v>0</v>
      </c>
    </row>
    <row r="1411" spans="1:13" ht="14.25" thickBot="1" x14ac:dyDescent="0.2">
      <c r="A1411" s="14" t="s">
        <v>2</v>
      </c>
      <c r="B1411" s="84">
        <f>SUM(B1405:B1410)</f>
        <v>162</v>
      </c>
      <c r="C1411" s="65">
        <f>SUM(C1405:C1410)</f>
        <v>130</v>
      </c>
      <c r="D1411" s="18">
        <f>SUM(B1411+C1411)</f>
        <v>292</v>
      </c>
      <c r="G1411" s="14" t="s">
        <v>2</v>
      </c>
      <c r="H1411" s="84">
        <f>SUM(H1405:H1410)</f>
        <v>2601</v>
      </c>
      <c r="I1411" s="65">
        <f>SUM(I1405:I1410)</f>
        <v>2621</v>
      </c>
      <c r="J1411" s="18">
        <f>SUM(H1411+I1411)</f>
        <v>5222</v>
      </c>
    </row>
    <row r="1412" spans="1:13" x14ac:dyDescent="0.15">
      <c r="A1412" s="29" t="s">
        <v>112</v>
      </c>
      <c r="B1412" s="6">
        <f>1+10</f>
        <v>11</v>
      </c>
      <c r="C1412" s="27">
        <f>1+1</f>
        <v>2</v>
      </c>
      <c r="D1412" s="35">
        <f>SUM(B1412+C1412)</f>
        <v>13</v>
      </c>
      <c r="E1412" s="61">
        <v>45775</v>
      </c>
      <c r="G1412" s="43" t="s">
        <v>332</v>
      </c>
      <c r="H1412" s="6">
        <v>15</v>
      </c>
      <c r="I1412" s="27">
        <v>5</v>
      </c>
      <c r="J1412" s="35">
        <f t="shared" ref="J1412:J1422" si="281">SUM(H1412+I1412)</f>
        <v>20</v>
      </c>
      <c r="K1412" s="57">
        <v>45813</v>
      </c>
      <c r="L1412" s="19"/>
      <c r="M1412" s="19"/>
    </row>
    <row r="1413" spans="1:13" x14ac:dyDescent="0.15">
      <c r="A1413" s="29" t="s">
        <v>112</v>
      </c>
      <c r="B1413" s="6">
        <v>2</v>
      </c>
      <c r="C1413" s="27">
        <v>1</v>
      </c>
      <c r="D1413" s="35">
        <f t="shared" ref="D1413:D1432" si="282">SUM(B1413+C1413)</f>
        <v>3</v>
      </c>
      <c r="E1413" s="61">
        <v>45777</v>
      </c>
      <c r="G1413" s="43" t="s">
        <v>21</v>
      </c>
      <c r="H1413" s="6">
        <v>20</v>
      </c>
      <c r="I1413" s="27"/>
      <c r="J1413" s="35">
        <f t="shared" si="281"/>
        <v>20</v>
      </c>
      <c r="K1413" s="57">
        <v>45819</v>
      </c>
      <c r="L1413" s="19"/>
      <c r="M1413" s="19"/>
    </row>
    <row r="1414" spans="1:13" x14ac:dyDescent="0.15">
      <c r="A1414" s="29" t="s">
        <v>112</v>
      </c>
      <c r="B1414" s="6">
        <v>1</v>
      </c>
      <c r="C1414" s="27">
        <v>1</v>
      </c>
      <c r="D1414" s="35">
        <f t="shared" si="282"/>
        <v>2</v>
      </c>
      <c r="E1414" s="61">
        <v>45778</v>
      </c>
      <c r="G1414" s="43" t="s">
        <v>21</v>
      </c>
      <c r="H1414" s="6">
        <v>20</v>
      </c>
      <c r="I1414" s="27">
        <v>20</v>
      </c>
      <c r="J1414" s="35">
        <f t="shared" si="281"/>
        <v>40</v>
      </c>
      <c r="K1414" s="57">
        <v>45825</v>
      </c>
      <c r="L1414" s="19"/>
      <c r="M1414" s="19"/>
    </row>
    <row r="1415" spans="1:13" x14ac:dyDescent="0.15">
      <c r="A1415" s="29" t="s">
        <v>112</v>
      </c>
      <c r="B1415" s="6">
        <f>1+2+1</f>
        <v>4</v>
      </c>
      <c r="C1415" s="27">
        <f>2+2</f>
        <v>4</v>
      </c>
      <c r="D1415" s="35">
        <f t="shared" si="282"/>
        <v>8</v>
      </c>
      <c r="E1415" s="61">
        <v>45779</v>
      </c>
      <c r="G1415" s="43" t="s">
        <v>341</v>
      </c>
      <c r="H1415" s="6">
        <v>20</v>
      </c>
      <c r="I1415" s="27">
        <v>2</v>
      </c>
      <c r="J1415" s="35">
        <f t="shared" si="281"/>
        <v>22</v>
      </c>
      <c r="K1415" s="57">
        <v>45832</v>
      </c>
      <c r="L1415" s="19"/>
      <c r="M1415" s="19"/>
    </row>
    <row r="1416" spans="1:13" x14ac:dyDescent="0.15">
      <c r="A1416" s="29" t="s">
        <v>112</v>
      </c>
      <c r="B1416" s="6">
        <f>2+1+1+3</f>
        <v>7</v>
      </c>
      <c r="C1416" s="27">
        <f>2+2</f>
        <v>4</v>
      </c>
      <c r="D1416" s="35">
        <f t="shared" si="282"/>
        <v>11</v>
      </c>
      <c r="E1416" s="61">
        <v>45784</v>
      </c>
      <c r="G1416" s="43" t="s">
        <v>21</v>
      </c>
      <c r="H1416" s="6">
        <v>30</v>
      </c>
      <c r="I1416" s="27">
        <v>20</v>
      </c>
      <c r="J1416" s="35">
        <f t="shared" si="281"/>
        <v>50</v>
      </c>
      <c r="K1416" s="57">
        <v>45833</v>
      </c>
      <c r="L1416" s="19"/>
      <c r="M1416" s="19"/>
    </row>
    <row r="1417" spans="1:13" x14ac:dyDescent="0.15">
      <c r="A1417" s="29" t="s">
        <v>112</v>
      </c>
      <c r="B1417" s="6"/>
      <c r="C1417" s="27">
        <v>1</v>
      </c>
      <c r="D1417" s="35">
        <f t="shared" si="282"/>
        <v>1</v>
      </c>
      <c r="E1417" s="61">
        <v>45785</v>
      </c>
      <c r="G1417" s="43" t="s">
        <v>343</v>
      </c>
      <c r="H1417" s="6">
        <v>15</v>
      </c>
      <c r="I1417" s="27">
        <v>30</v>
      </c>
      <c r="J1417" s="35">
        <f t="shared" si="281"/>
        <v>45</v>
      </c>
      <c r="K1417" s="57">
        <v>45834</v>
      </c>
      <c r="L1417" s="19"/>
    </row>
    <row r="1418" spans="1:13" x14ac:dyDescent="0.15">
      <c r="A1418" s="62" t="s">
        <v>329</v>
      </c>
      <c r="B1418" s="6">
        <v>1</v>
      </c>
      <c r="C1418" s="27"/>
      <c r="D1418" s="35">
        <f t="shared" si="282"/>
        <v>1</v>
      </c>
      <c r="E1418" s="61">
        <v>45786</v>
      </c>
      <c r="G1418" s="43" t="s">
        <v>21</v>
      </c>
      <c r="H1418" s="6">
        <v>30</v>
      </c>
      <c r="I1418" s="27">
        <v>19</v>
      </c>
      <c r="J1418" s="35">
        <f t="shared" si="281"/>
        <v>49</v>
      </c>
      <c r="K1418" s="57">
        <v>45841</v>
      </c>
      <c r="L1418" s="19"/>
    </row>
    <row r="1419" spans="1:13" x14ac:dyDescent="0.15">
      <c r="A1419" s="29" t="s">
        <v>112</v>
      </c>
      <c r="B1419" s="6">
        <v>3</v>
      </c>
      <c r="C1419" s="27"/>
      <c r="D1419" s="35">
        <f t="shared" si="282"/>
        <v>3</v>
      </c>
      <c r="E1419" s="61">
        <v>45786</v>
      </c>
      <c r="G1419" s="43"/>
      <c r="H1419" s="6"/>
      <c r="I1419" s="27"/>
      <c r="J1419" s="35">
        <f t="shared" si="281"/>
        <v>0</v>
      </c>
      <c r="K1419" s="19"/>
      <c r="L1419" s="19"/>
    </row>
    <row r="1420" spans="1:13" x14ac:dyDescent="0.15">
      <c r="A1420" s="29" t="s">
        <v>112</v>
      </c>
      <c r="B1420" s="6">
        <f>1+1+9</f>
        <v>11</v>
      </c>
      <c r="C1420" s="27">
        <f>3+1+10</f>
        <v>14</v>
      </c>
      <c r="D1420" s="35">
        <f t="shared" si="282"/>
        <v>25</v>
      </c>
      <c r="E1420" s="61">
        <v>45789</v>
      </c>
      <c r="G1420" s="43"/>
      <c r="H1420" s="6"/>
      <c r="I1420" s="27"/>
      <c r="J1420" s="35">
        <f t="shared" si="281"/>
        <v>0</v>
      </c>
      <c r="K1420" s="19"/>
      <c r="L1420" s="19"/>
    </row>
    <row r="1421" spans="1:13" x14ac:dyDescent="0.15">
      <c r="A1421" s="29" t="s">
        <v>112</v>
      </c>
      <c r="B1421" s="6">
        <v>3</v>
      </c>
      <c r="C1421" s="27"/>
      <c r="D1421" s="35">
        <f t="shared" si="282"/>
        <v>3</v>
      </c>
      <c r="E1421" s="61">
        <v>45790</v>
      </c>
      <c r="G1421" s="43"/>
      <c r="H1421" s="6"/>
      <c r="I1421" s="27"/>
      <c r="J1421" s="35">
        <f t="shared" si="281"/>
        <v>0</v>
      </c>
    </row>
    <row r="1422" spans="1:13" x14ac:dyDescent="0.15">
      <c r="A1422" s="29" t="s">
        <v>112</v>
      </c>
      <c r="B1422" s="6">
        <f>1+3</f>
        <v>4</v>
      </c>
      <c r="C1422" s="27"/>
      <c r="D1422" s="35">
        <f t="shared" si="282"/>
        <v>4</v>
      </c>
      <c r="E1422" s="61">
        <v>45791</v>
      </c>
      <c r="G1422" s="43"/>
      <c r="H1422" s="6"/>
      <c r="I1422" s="27"/>
      <c r="J1422" s="35">
        <f t="shared" si="281"/>
        <v>0</v>
      </c>
    </row>
    <row r="1423" spans="1:13" x14ac:dyDescent="0.15">
      <c r="A1423" s="62" t="s">
        <v>328</v>
      </c>
      <c r="B1423" s="6">
        <v>1</v>
      </c>
      <c r="C1423" s="27"/>
      <c r="D1423" s="35">
        <f t="shared" si="282"/>
        <v>1</v>
      </c>
      <c r="E1423" s="61">
        <v>45793</v>
      </c>
      <c r="G1423" s="43"/>
      <c r="H1423" s="6"/>
      <c r="I1423" s="27"/>
      <c r="J1423" s="35">
        <f t="shared" ref="J1423" si="283">SUM(H1423+I1423)</f>
        <v>0</v>
      </c>
    </row>
    <row r="1424" spans="1:13" x14ac:dyDescent="0.15">
      <c r="A1424" s="29" t="s">
        <v>112</v>
      </c>
      <c r="B1424" s="6">
        <v>2</v>
      </c>
      <c r="C1424" s="27">
        <f>2+1</f>
        <v>3</v>
      </c>
      <c r="D1424" s="35">
        <f t="shared" si="282"/>
        <v>5</v>
      </c>
      <c r="E1424" s="61">
        <v>45792</v>
      </c>
      <c r="G1424" s="43"/>
      <c r="H1424" s="6"/>
      <c r="I1424" s="27"/>
      <c r="J1424" s="35">
        <f t="shared" ref="J1424:J1435" si="284">SUM(H1424+I1424)</f>
        <v>0</v>
      </c>
    </row>
    <row r="1425" spans="1:12" x14ac:dyDescent="0.15">
      <c r="A1425" s="29" t="s">
        <v>112</v>
      </c>
      <c r="B1425" s="6">
        <v>2</v>
      </c>
      <c r="C1425" s="27">
        <v>1</v>
      </c>
      <c r="D1425" s="35">
        <f t="shared" si="282"/>
        <v>3</v>
      </c>
      <c r="E1425" s="61">
        <v>45793</v>
      </c>
      <c r="G1425" s="43"/>
      <c r="H1425" s="6"/>
      <c r="I1425" s="27"/>
      <c r="J1425" s="35">
        <f t="shared" si="284"/>
        <v>0</v>
      </c>
    </row>
    <row r="1426" spans="1:12" x14ac:dyDescent="0.15">
      <c r="A1426" s="29" t="s">
        <v>112</v>
      </c>
      <c r="B1426" s="6">
        <f>3+2+9</f>
        <v>14</v>
      </c>
      <c r="C1426" s="27">
        <f>2+2+5</f>
        <v>9</v>
      </c>
      <c r="D1426" s="35">
        <f t="shared" si="282"/>
        <v>23</v>
      </c>
      <c r="E1426" s="61">
        <v>45796</v>
      </c>
      <c r="G1426" s="43"/>
      <c r="H1426" s="6"/>
      <c r="I1426" s="27"/>
      <c r="J1426" s="35">
        <f t="shared" si="284"/>
        <v>0</v>
      </c>
    </row>
    <row r="1427" spans="1:12" x14ac:dyDescent="0.15">
      <c r="A1427" s="29" t="s">
        <v>112</v>
      </c>
      <c r="B1427" s="6">
        <f>1+2</f>
        <v>3</v>
      </c>
      <c r="C1427" s="27"/>
      <c r="D1427" s="35">
        <f t="shared" si="282"/>
        <v>3</v>
      </c>
      <c r="E1427" s="61">
        <v>45797</v>
      </c>
      <c r="G1427" s="43"/>
      <c r="H1427" s="6"/>
      <c r="I1427" s="27"/>
      <c r="J1427" s="35">
        <f t="shared" si="284"/>
        <v>0</v>
      </c>
    </row>
    <row r="1428" spans="1:12" x14ac:dyDescent="0.15">
      <c r="A1428" s="29" t="s">
        <v>112</v>
      </c>
      <c r="B1428" s="6"/>
      <c r="C1428" s="27">
        <f>2+1+2</f>
        <v>5</v>
      </c>
      <c r="D1428" s="35">
        <f t="shared" si="282"/>
        <v>5</v>
      </c>
      <c r="E1428" s="61">
        <v>45799</v>
      </c>
      <c r="G1428" s="43"/>
      <c r="H1428" s="6"/>
      <c r="I1428" s="27"/>
      <c r="J1428" s="35">
        <f t="shared" si="284"/>
        <v>0</v>
      </c>
    </row>
    <row r="1429" spans="1:12" x14ac:dyDescent="0.15">
      <c r="A1429" s="29" t="s">
        <v>112</v>
      </c>
      <c r="B1429" s="6">
        <v>1</v>
      </c>
      <c r="C1429" s="27">
        <v>2</v>
      </c>
      <c r="D1429" s="35">
        <f t="shared" si="282"/>
        <v>3</v>
      </c>
      <c r="E1429" s="61">
        <v>45800</v>
      </c>
      <c r="G1429" s="43"/>
      <c r="H1429" s="6"/>
      <c r="I1429" s="27"/>
      <c r="J1429" s="35">
        <f t="shared" si="284"/>
        <v>0</v>
      </c>
    </row>
    <row r="1430" spans="1:12" x14ac:dyDescent="0.15">
      <c r="A1430" s="29" t="s">
        <v>112</v>
      </c>
      <c r="B1430" s="6">
        <f>1+7</f>
        <v>8</v>
      </c>
      <c r="C1430" s="27">
        <f>2+14</f>
        <v>16</v>
      </c>
      <c r="D1430" s="35">
        <f t="shared" si="282"/>
        <v>24</v>
      </c>
      <c r="E1430" s="61">
        <v>45803</v>
      </c>
      <c r="G1430" s="43"/>
      <c r="H1430" s="6"/>
      <c r="I1430" s="27"/>
      <c r="J1430" s="35">
        <f t="shared" si="284"/>
        <v>0</v>
      </c>
    </row>
    <row r="1431" spans="1:12" x14ac:dyDescent="0.15">
      <c r="A1431" s="29" t="s">
        <v>112</v>
      </c>
      <c r="B1431" s="6">
        <f>2+7+1</f>
        <v>10</v>
      </c>
      <c r="C1431" s="27">
        <v>1</v>
      </c>
      <c r="D1431" s="35">
        <f t="shared" si="282"/>
        <v>11</v>
      </c>
      <c r="E1431" s="61">
        <v>45804</v>
      </c>
      <c r="G1431" s="43"/>
      <c r="H1431" s="6"/>
      <c r="I1431" s="27"/>
      <c r="J1431" s="35">
        <f t="shared" si="284"/>
        <v>0</v>
      </c>
    </row>
    <row r="1432" spans="1:12" x14ac:dyDescent="0.15">
      <c r="A1432" s="29" t="s">
        <v>112</v>
      </c>
      <c r="B1432" s="6">
        <v>2</v>
      </c>
      <c r="C1432" s="27">
        <v>2</v>
      </c>
      <c r="D1432" s="35">
        <f t="shared" si="282"/>
        <v>4</v>
      </c>
      <c r="E1432" s="61">
        <v>45805</v>
      </c>
      <c r="G1432" s="43"/>
      <c r="H1432" s="6"/>
      <c r="I1432" s="27"/>
      <c r="J1432" s="35">
        <f t="shared" si="284"/>
        <v>0</v>
      </c>
    </row>
    <row r="1433" spans="1:12" x14ac:dyDescent="0.15">
      <c r="A1433" s="29" t="s">
        <v>112</v>
      </c>
      <c r="B1433" s="6">
        <v>2</v>
      </c>
      <c r="C1433" s="27">
        <v>2</v>
      </c>
      <c r="D1433" s="35">
        <f t="shared" ref="D1433:D1435" si="285">SUM(B1433+C1433)</f>
        <v>4</v>
      </c>
      <c r="E1433" s="61">
        <v>45807</v>
      </c>
      <c r="G1433" s="43" t="s">
        <v>338</v>
      </c>
      <c r="H1433" s="6"/>
      <c r="I1433" s="27"/>
      <c r="J1433" s="35">
        <f t="shared" ref="J1433" si="286">SUM(H1433+I1433)</f>
        <v>0</v>
      </c>
      <c r="K1433" s="57" t="s">
        <v>325</v>
      </c>
    </row>
    <row r="1434" spans="1:12" x14ac:dyDescent="0.15">
      <c r="A1434" s="29" t="s">
        <v>112</v>
      </c>
      <c r="B1434" s="6">
        <v>1</v>
      </c>
      <c r="C1434" s="27"/>
      <c r="D1434" s="35">
        <f t="shared" si="285"/>
        <v>1</v>
      </c>
      <c r="E1434" s="61">
        <v>45808</v>
      </c>
      <c r="G1434" s="106" t="s">
        <v>339</v>
      </c>
      <c r="H1434" s="98"/>
      <c r="I1434" s="99"/>
      <c r="J1434" s="100">
        <f t="shared" si="284"/>
        <v>0</v>
      </c>
      <c r="K1434" s="101"/>
      <c r="L1434" s="19"/>
    </row>
    <row r="1435" spans="1:12" ht="14.25" thickBot="1" x14ac:dyDescent="0.2">
      <c r="A1435" s="29" t="s">
        <v>112</v>
      </c>
      <c r="B1435" s="6">
        <f>1+1</f>
        <v>2</v>
      </c>
      <c r="C1435" s="27">
        <v>4</v>
      </c>
      <c r="D1435" s="35">
        <f t="shared" si="285"/>
        <v>6</v>
      </c>
      <c r="E1435" s="61">
        <v>45810</v>
      </c>
      <c r="G1435" s="43" t="s">
        <v>315</v>
      </c>
      <c r="H1435" s="6"/>
      <c r="I1435" s="27"/>
      <c r="J1435" s="35">
        <f t="shared" si="284"/>
        <v>0</v>
      </c>
      <c r="K1435" s="19" t="s">
        <v>316</v>
      </c>
      <c r="L1435" s="19"/>
    </row>
    <row r="1436" spans="1:12" ht="14.25" thickBot="1" x14ac:dyDescent="0.2">
      <c r="A1436" s="9" t="s">
        <v>3</v>
      </c>
      <c r="B1436" s="10">
        <f>SUM(B1412:B1435)</f>
        <v>95</v>
      </c>
      <c r="C1436" s="66">
        <f>SUM(C1412:C1435)</f>
        <v>72</v>
      </c>
      <c r="D1436" s="11">
        <f>SUM(D1412:D1435)</f>
        <v>167</v>
      </c>
      <c r="G1436" s="9" t="s">
        <v>3</v>
      </c>
      <c r="H1436" s="10">
        <f>SUM(H1412:H1435)</f>
        <v>150</v>
      </c>
      <c r="I1436" s="66">
        <f>SUM(I1412:I1435)</f>
        <v>96</v>
      </c>
      <c r="J1436" s="11">
        <f>SUM(J1412:J1435)</f>
        <v>246</v>
      </c>
    </row>
    <row r="1437" spans="1:12" ht="14.25" thickBot="1" x14ac:dyDescent="0.2">
      <c r="A1437" s="14" t="s">
        <v>4</v>
      </c>
      <c r="B1437" s="16">
        <f>B1411-B1436</f>
        <v>67</v>
      </c>
      <c r="C1437" s="16">
        <f>C1411-C1436</f>
        <v>58</v>
      </c>
      <c r="D1437" s="84">
        <f>D1411-D1436</f>
        <v>125</v>
      </c>
      <c r="G1437" s="14" t="s">
        <v>4</v>
      </c>
      <c r="H1437" s="16">
        <f>H1411-H1436</f>
        <v>2451</v>
      </c>
      <c r="I1437" s="16">
        <f>I1411-I1436</f>
        <v>2525</v>
      </c>
      <c r="J1437" s="16">
        <f>J1411-J1436</f>
        <v>4976</v>
      </c>
    </row>
    <row r="1440" spans="1:12" ht="24.75" thickBot="1" x14ac:dyDescent="0.3">
      <c r="A1440" s="25" t="s">
        <v>7</v>
      </c>
      <c r="B1440" s="1"/>
      <c r="C1440" s="1"/>
      <c r="D1440" s="1"/>
      <c r="G1440" s="25" t="s">
        <v>8</v>
      </c>
      <c r="H1440" s="1"/>
      <c r="I1440" s="1"/>
      <c r="J1440" s="1"/>
    </row>
    <row r="1441" spans="1:10" ht="14.25" thickBot="1" x14ac:dyDescent="0.2">
      <c r="A1441" s="2"/>
      <c r="B1441" s="50" t="s">
        <v>115</v>
      </c>
      <c r="C1441" s="50" t="s">
        <v>116</v>
      </c>
      <c r="D1441" s="2" t="s">
        <v>0</v>
      </c>
      <c r="G1441" s="2"/>
      <c r="H1441" s="50" t="s">
        <v>115</v>
      </c>
      <c r="I1441" s="50" t="s">
        <v>116</v>
      </c>
      <c r="J1441" s="2" t="s">
        <v>0</v>
      </c>
    </row>
    <row r="1442" spans="1:10" x14ac:dyDescent="0.15">
      <c r="A1442" s="32" t="s">
        <v>4</v>
      </c>
      <c r="B1442" s="48">
        <f>B1437</f>
        <v>67</v>
      </c>
      <c r="C1442" s="76">
        <f>C1437</f>
        <v>58</v>
      </c>
      <c r="D1442" s="47">
        <f>SUM(B1442+C1442)</f>
        <v>125</v>
      </c>
      <c r="G1442" s="13" t="s">
        <v>6</v>
      </c>
      <c r="H1442" s="48">
        <f>H1437</f>
        <v>2451</v>
      </c>
      <c r="I1442" s="80">
        <f>I1437</f>
        <v>2525</v>
      </c>
      <c r="J1442" s="47">
        <f>SUM(H1442+I1442)</f>
        <v>4976</v>
      </c>
    </row>
    <row r="1443" spans="1:10" x14ac:dyDescent="0.15">
      <c r="A1443" s="3" t="s">
        <v>244</v>
      </c>
      <c r="B1443" s="24"/>
      <c r="C1443" s="90">
        <v>2</v>
      </c>
      <c r="D1443" s="7">
        <f t="shared" ref="D1443:D1447" si="287">SUM(B1443+C1443)</f>
        <v>2</v>
      </c>
      <c r="E1443" s="57">
        <v>45826</v>
      </c>
      <c r="G1443" s="3" t="s">
        <v>1</v>
      </c>
      <c r="H1443" s="24"/>
      <c r="I1443" s="90"/>
      <c r="J1443" s="7">
        <f t="shared" ref="J1443:J1447" si="288">SUM(H1443+I1443)</f>
        <v>0</v>
      </c>
    </row>
    <row r="1444" spans="1:10" x14ac:dyDescent="0.15">
      <c r="A1444" s="3" t="s">
        <v>1</v>
      </c>
      <c r="B1444" s="24">
        <v>20</v>
      </c>
      <c r="C1444" s="90">
        <v>20</v>
      </c>
      <c r="D1444" s="7">
        <f t="shared" ref="D1444" si="289">SUM(B1444+C1444)</f>
        <v>40</v>
      </c>
      <c r="E1444" s="57">
        <v>45825</v>
      </c>
      <c r="G1444" s="3" t="s">
        <v>1</v>
      </c>
      <c r="H1444" s="24"/>
      <c r="I1444" s="90"/>
      <c r="J1444" s="7">
        <f t="shared" si="288"/>
        <v>0</v>
      </c>
    </row>
    <row r="1445" spans="1:10" x14ac:dyDescent="0.15">
      <c r="A1445" s="3" t="s">
        <v>342</v>
      </c>
      <c r="B1445" s="24">
        <v>3</v>
      </c>
      <c r="C1445" s="90">
        <v>4</v>
      </c>
      <c r="D1445" s="7">
        <f t="shared" si="287"/>
        <v>7</v>
      </c>
      <c r="E1445" s="57">
        <v>45825</v>
      </c>
      <c r="G1445" s="3" t="s">
        <v>1</v>
      </c>
      <c r="H1445" s="24"/>
      <c r="I1445" s="90"/>
      <c r="J1445" s="7">
        <f t="shared" si="288"/>
        <v>0</v>
      </c>
    </row>
    <row r="1446" spans="1:10" x14ac:dyDescent="0.15">
      <c r="A1446" s="3" t="s">
        <v>1</v>
      </c>
      <c r="B1446" s="24">
        <v>30</v>
      </c>
      <c r="C1446" s="90">
        <v>20</v>
      </c>
      <c r="D1446" s="7">
        <f t="shared" si="287"/>
        <v>50</v>
      </c>
      <c r="E1446" s="57">
        <v>45833</v>
      </c>
      <c r="G1446" s="3" t="s">
        <v>1</v>
      </c>
      <c r="H1446" s="24"/>
      <c r="I1446" s="90"/>
      <c r="J1446" s="7">
        <f t="shared" si="288"/>
        <v>0</v>
      </c>
    </row>
    <row r="1447" spans="1:10" ht="14.25" thickBot="1" x14ac:dyDescent="0.2">
      <c r="A1447" s="4" t="s">
        <v>1</v>
      </c>
      <c r="B1447" s="75">
        <v>30</v>
      </c>
      <c r="C1447" s="17">
        <v>19</v>
      </c>
      <c r="D1447" s="22">
        <f t="shared" si="287"/>
        <v>49</v>
      </c>
      <c r="E1447" s="57">
        <v>45841</v>
      </c>
      <c r="G1447" s="4" t="s">
        <v>1</v>
      </c>
      <c r="H1447" s="75"/>
      <c r="I1447" s="17"/>
      <c r="J1447" s="22">
        <f t="shared" si="288"/>
        <v>0</v>
      </c>
    </row>
    <row r="1448" spans="1:10" ht="14.25" thickBot="1" x14ac:dyDescent="0.2">
      <c r="A1448" s="14" t="s">
        <v>2</v>
      </c>
      <c r="B1448" s="84">
        <f>SUM(B1442:B1447)</f>
        <v>150</v>
      </c>
      <c r="C1448" s="65">
        <f>SUM(C1442:C1447)</f>
        <v>123</v>
      </c>
      <c r="D1448" s="18">
        <f>SUM(B1448+C1448)</f>
        <v>273</v>
      </c>
      <c r="G1448" s="14" t="s">
        <v>2</v>
      </c>
      <c r="H1448" s="84">
        <f>SUM(H1442:H1447)</f>
        <v>2451</v>
      </c>
      <c r="I1448" s="65">
        <f>SUM(I1442:I1447)</f>
        <v>2525</v>
      </c>
      <c r="J1448" s="18">
        <f>SUM(H1448+I1448)</f>
        <v>4976</v>
      </c>
    </row>
    <row r="1449" spans="1:10" x14ac:dyDescent="0.15">
      <c r="A1449" s="29" t="s">
        <v>112</v>
      </c>
      <c r="B1449" s="6">
        <f>1+2</f>
        <v>3</v>
      </c>
      <c r="C1449" s="27"/>
      <c r="D1449" s="35">
        <f t="shared" ref="D1449:D1472" si="290">SUM(B1449+C1449)</f>
        <v>3</v>
      </c>
      <c r="E1449" s="61">
        <v>45812</v>
      </c>
      <c r="G1449" s="43"/>
      <c r="H1449" s="6"/>
      <c r="I1449" s="27"/>
      <c r="J1449" s="35">
        <f t="shared" ref="J1449:J1464" si="291">SUM(H1449+I1449)</f>
        <v>0</v>
      </c>
    </row>
    <row r="1450" spans="1:10" x14ac:dyDescent="0.15">
      <c r="A1450" s="29" t="s">
        <v>112</v>
      </c>
      <c r="B1450" s="6">
        <f>1+7</f>
        <v>8</v>
      </c>
      <c r="C1450" s="27">
        <v>5</v>
      </c>
      <c r="D1450" s="35">
        <f t="shared" si="290"/>
        <v>13</v>
      </c>
      <c r="E1450" s="61">
        <v>45813</v>
      </c>
      <c r="G1450" s="43"/>
      <c r="H1450" s="6"/>
      <c r="I1450" s="27"/>
      <c r="J1450" s="35">
        <f t="shared" si="291"/>
        <v>0</v>
      </c>
    </row>
    <row r="1451" spans="1:10" x14ac:dyDescent="0.15">
      <c r="A1451" s="29" t="s">
        <v>112</v>
      </c>
      <c r="B1451" s="6">
        <f>3+1</f>
        <v>4</v>
      </c>
      <c r="C1451" s="27">
        <v>2</v>
      </c>
      <c r="D1451" s="35">
        <f t="shared" si="290"/>
        <v>6</v>
      </c>
      <c r="E1451" s="61">
        <v>45814</v>
      </c>
      <c r="G1451" s="43"/>
      <c r="H1451" s="6"/>
      <c r="I1451" s="27"/>
      <c r="J1451" s="35">
        <f t="shared" si="291"/>
        <v>0</v>
      </c>
    </row>
    <row r="1452" spans="1:10" x14ac:dyDescent="0.15">
      <c r="A1452" s="29" t="s">
        <v>112</v>
      </c>
      <c r="B1452" s="6">
        <f>1+1</f>
        <v>2</v>
      </c>
      <c r="C1452" s="27">
        <v>3</v>
      </c>
      <c r="D1452" s="35">
        <f t="shared" si="290"/>
        <v>5</v>
      </c>
      <c r="E1452" s="61">
        <v>45815</v>
      </c>
      <c r="G1452" s="43"/>
      <c r="H1452" s="6"/>
      <c r="I1452" s="27"/>
      <c r="J1452" s="35">
        <f t="shared" si="291"/>
        <v>0</v>
      </c>
    </row>
    <row r="1453" spans="1:10" x14ac:dyDescent="0.15">
      <c r="A1453" s="29" t="s">
        <v>112</v>
      </c>
      <c r="B1453" s="6">
        <f>5+1</f>
        <v>6</v>
      </c>
      <c r="C1453" s="27">
        <v>6</v>
      </c>
      <c r="D1453" s="35">
        <f t="shared" si="290"/>
        <v>12</v>
      </c>
      <c r="E1453" s="61">
        <v>45817</v>
      </c>
      <c r="G1453" s="43"/>
      <c r="H1453" s="6"/>
      <c r="I1453" s="27"/>
      <c r="J1453" s="35">
        <f t="shared" si="291"/>
        <v>0</v>
      </c>
    </row>
    <row r="1454" spans="1:10" x14ac:dyDescent="0.15">
      <c r="A1454" s="29" t="s">
        <v>112</v>
      </c>
      <c r="B1454" s="6">
        <f>2+3</f>
        <v>5</v>
      </c>
      <c r="C1454" s="27">
        <v>3</v>
      </c>
      <c r="D1454" s="35">
        <f t="shared" si="290"/>
        <v>8</v>
      </c>
      <c r="E1454" s="61">
        <v>45818</v>
      </c>
      <c r="G1454" s="43"/>
      <c r="H1454" s="6"/>
      <c r="I1454" s="27"/>
      <c r="J1454" s="35">
        <f t="shared" si="291"/>
        <v>0</v>
      </c>
    </row>
    <row r="1455" spans="1:10" x14ac:dyDescent="0.15">
      <c r="A1455" s="29" t="s">
        <v>112</v>
      </c>
      <c r="B1455" s="6">
        <v>5</v>
      </c>
      <c r="C1455" s="27">
        <v>2</v>
      </c>
      <c r="D1455" s="35">
        <f t="shared" si="290"/>
        <v>7</v>
      </c>
      <c r="E1455" s="61">
        <v>45819</v>
      </c>
      <c r="G1455" s="43"/>
      <c r="H1455" s="6"/>
      <c r="I1455" s="27"/>
      <c r="J1455" s="35">
        <f t="shared" si="291"/>
        <v>0</v>
      </c>
    </row>
    <row r="1456" spans="1:10" x14ac:dyDescent="0.15">
      <c r="A1456" s="29" t="s">
        <v>112</v>
      </c>
      <c r="B1456" s="6">
        <f>1+6</f>
        <v>7</v>
      </c>
      <c r="C1456" s="27"/>
      <c r="D1456" s="35">
        <f t="shared" si="290"/>
        <v>7</v>
      </c>
      <c r="E1456" s="61">
        <v>45820</v>
      </c>
      <c r="G1456" s="43"/>
      <c r="H1456" s="6"/>
      <c r="I1456" s="27"/>
      <c r="J1456" s="35">
        <f t="shared" si="291"/>
        <v>0</v>
      </c>
    </row>
    <row r="1457" spans="1:10" x14ac:dyDescent="0.15">
      <c r="A1457" s="29" t="s">
        <v>112</v>
      </c>
      <c r="B1457" s="6">
        <v>1</v>
      </c>
      <c r="C1457" s="27">
        <v>3</v>
      </c>
      <c r="D1457" s="35">
        <f t="shared" si="290"/>
        <v>4</v>
      </c>
      <c r="E1457" s="61">
        <v>45821</v>
      </c>
      <c r="G1457" s="43"/>
      <c r="H1457" s="6"/>
      <c r="I1457" s="27"/>
      <c r="J1457" s="35">
        <f t="shared" si="291"/>
        <v>0</v>
      </c>
    </row>
    <row r="1458" spans="1:10" x14ac:dyDescent="0.15">
      <c r="A1458" s="29" t="s">
        <v>112</v>
      </c>
      <c r="B1458" s="6">
        <f>1+6+2</f>
        <v>9</v>
      </c>
      <c r="C1458" s="27">
        <f>4+1+1</f>
        <v>6</v>
      </c>
      <c r="D1458" s="35">
        <f t="shared" si="290"/>
        <v>15</v>
      </c>
      <c r="E1458" s="61">
        <v>45824</v>
      </c>
      <c r="G1458" s="43"/>
      <c r="H1458" s="6"/>
      <c r="I1458" s="27"/>
      <c r="J1458" s="35">
        <f t="shared" si="291"/>
        <v>0</v>
      </c>
    </row>
    <row r="1459" spans="1:10" x14ac:dyDescent="0.15">
      <c r="A1459" s="29" t="s">
        <v>112</v>
      </c>
      <c r="B1459" s="6">
        <v>2</v>
      </c>
      <c r="C1459" s="27">
        <v>4</v>
      </c>
      <c r="D1459" s="35">
        <f t="shared" si="290"/>
        <v>6</v>
      </c>
      <c r="E1459" s="61">
        <v>45825</v>
      </c>
      <c r="G1459" s="43"/>
      <c r="H1459" s="6"/>
      <c r="I1459" s="27"/>
      <c r="J1459" s="35">
        <f t="shared" si="291"/>
        <v>0</v>
      </c>
    </row>
    <row r="1460" spans="1:10" x14ac:dyDescent="0.15">
      <c r="A1460" s="29" t="s">
        <v>112</v>
      </c>
      <c r="B1460" s="6">
        <f>5-1</f>
        <v>4</v>
      </c>
      <c r="C1460" s="27">
        <v>5</v>
      </c>
      <c r="D1460" s="35">
        <f t="shared" si="290"/>
        <v>9</v>
      </c>
      <c r="E1460" s="61">
        <v>45826</v>
      </c>
      <c r="G1460" s="43"/>
      <c r="H1460" s="6"/>
      <c r="I1460" s="27"/>
      <c r="J1460" s="35">
        <f t="shared" si="291"/>
        <v>0</v>
      </c>
    </row>
    <row r="1461" spans="1:10" x14ac:dyDescent="0.15">
      <c r="A1461" s="29" t="s">
        <v>112</v>
      </c>
      <c r="B1461" s="6">
        <v>4</v>
      </c>
      <c r="C1461" s="27">
        <v>4</v>
      </c>
      <c r="D1461" s="35">
        <f t="shared" si="290"/>
        <v>8</v>
      </c>
      <c r="E1461" s="61">
        <v>45827</v>
      </c>
      <c r="G1461" s="43"/>
      <c r="H1461" s="6"/>
      <c r="I1461" s="27"/>
      <c r="J1461" s="35">
        <f t="shared" si="291"/>
        <v>0</v>
      </c>
    </row>
    <row r="1462" spans="1:10" x14ac:dyDescent="0.15">
      <c r="A1462" s="29" t="s">
        <v>112</v>
      </c>
      <c r="B1462" s="6">
        <v>7</v>
      </c>
      <c r="C1462" s="27">
        <v>4</v>
      </c>
      <c r="D1462" s="35">
        <f t="shared" si="290"/>
        <v>11</v>
      </c>
      <c r="E1462" s="61">
        <v>45828</v>
      </c>
      <c r="G1462" s="43"/>
      <c r="H1462" s="6"/>
      <c r="I1462" s="27"/>
      <c r="J1462" s="35">
        <f t="shared" si="291"/>
        <v>0</v>
      </c>
    </row>
    <row r="1463" spans="1:10" x14ac:dyDescent="0.15">
      <c r="A1463" s="29" t="s">
        <v>112</v>
      </c>
      <c r="B1463" s="6">
        <v>2</v>
      </c>
      <c r="C1463" s="27"/>
      <c r="D1463" s="35">
        <f t="shared" si="290"/>
        <v>2</v>
      </c>
      <c r="E1463" s="61">
        <v>45829</v>
      </c>
      <c r="G1463" s="43"/>
      <c r="H1463" s="6"/>
      <c r="I1463" s="27"/>
      <c r="J1463" s="35">
        <f t="shared" si="291"/>
        <v>0</v>
      </c>
    </row>
    <row r="1464" spans="1:10" x14ac:dyDescent="0.15">
      <c r="A1464" s="29" t="s">
        <v>112</v>
      </c>
      <c r="B1464" s="6">
        <v>2</v>
      </c>
      <c r="C1464" s="27">
        <f>1+3</f>
        <v>4</v>
      </c>
      <c r="D1464" s="35">
        <f t="shared" si="290"/>
        <v>6</v>
      </c>
      <c r="E1464" s="61">
        <v>45831</v>
      </c>
      <c r="G1464" s="43"/>
      <c r="H1464" s="6"/>
      <c r="I1464" s="27"/>
      <c r="J1464" s="35">
        <f t="shared" si="291"/>
        <v>0</v>
      </c>
    </row>
    <row r="1465" spans="1:10" x14ac:dyDescent="0.15">
      <c r="A1465" s="29" t="s">
        <v>112</v>
      </c>
      <c r="B1465" s="6">
        <f>1+1+1</f>
        <v>3</v>
      </c>
      <c r="C1465" s="27">
        <f>1+1</f>
        <v>2</v>
      </c>
      <c r="D1465" s="35">
        <f t="shared" si="290"/>
        <v>5</v>
      </c>
      <c r="E1465" s="61">
        <v>45832</v>
      </c>
      <c r="G1465" s="43"/>
      <c r="H1465" s="6"/>
      <c r="I1465" s="27"/>
      <c r="J1465" s="35">
        <f t="shared" ref="J1465:J1472" si="292">SUM(H1465+I1465)</f>
        <v>0</v>
      </c>
    </row>
    <row r="1466" spans="1:10" x14ac:dyDescent="0.15">
      <c r="A1466" s="29" t="s">
        <v>112</v>
      </c>
      <c r="B1466" s="6">
        <f>2+4+1+2+1</f>
        <v>10</v>
      </c>
      <c r="C1466" s="27">
        <f>1+3+1</f>
        <v>5</v>
      </c>
      <c r="D1466" s="35">
        <f t="shared" si="290"/>
        <v>15</v>
      </c>
      <c r="E1466" s="61">
        <v>45833</v>
      </c>
      <c r="G1466" s="43"/>
      <c r="H1466" s="6"/>
      <c r="I1466" s="27"/>
      <c r="J1466" s="35">
        <f t="shared" si="292"/>
        <v>0</v>
      </c>
    </row>
    <row r="1467" spans="1:10" x14ac:dyDescent="0.15">
      <c r="A1467" s="29" t="s">
        <v>112</v>
      </c>
      <c r="B1467" s="6">
        <v>2</v>
      </c>
      <c r="C1467" s="27">
        <v>1</v>
      </c>
      <c r="D1467" s="35">
        <f t="shared" si="290"/>
        <v>3</v>
      </c>
      <c r="E1467" s="61">
        <v>45834</v>
      </c>
      <c r="G1467" s="43"/>
      <c r="H1467" s="6"/>
      <c r="I1467" s="27"/>
      <c r="J1467" s="35">
        <f t="shared" si="292"/>
        <v>0</v>
      </c>
    </row>
    <row r="1468" spans="1:10" x14ac:dyDescent="0.15">
      <c r="A1468" s="29" t="s">
        <v>112</v>
      </c>
      <c r="B1468" s="6">
        <v>2</v>
      </c>
      <c r="C1468" s="27">
        <v>2</v>
      </c>
      <c r="D1468" s="35">
        <f t="shared" si="290"/>
        <v>4</v>
      </c>
      <c r="E1468" s="61">
        <v>45835</v>
      </c>
      <c r="G1468" s="43"/>
      <c r="H1468" s="6"/>
      <c r="I1468" s="27"/>
      <c r="J1468" s="35">
        <f t="shared" si="292"/>
        <v>0</v>
      </c>
    </row>
    <row r="1469" spans="1:10" x14ac:dyDescent="0.15">
      <c r="A1469" s="29" t="s">
        <v>112</v>
      </c>
      <c r="B1469" s="6">
        <f>4+1+2+2</f>
        <v>9</v>
      </c>
      <c r="C1469" s="27">
        <f>1+6</f>
        <v>7</v>
      </c>
      <c r="D1469" s="35">
        <f t="shared" si="290"/>
        <v>16</v>
      </c>
      <c r="E1469" s="61">
        <v>45838</v>
      </c>
      <c r="G1469" s="43"/>
      <c r="H1469" s="6"/>
      <c r="I1469" s="27"/>
      <c r="J1469" s="35">
        <f t="shared" si="292"/>
        <v>0</v>
      </c>
    </row>
    <row r="1470" spans="1:10" x14ac:dyDescent="0.15">
      <c r="A1470" s="29" t="s">
        <v>112</v>
      </c>
      <c r="B1470" s="6"/>
      <c r="C1470" s="27">
        <v>2</v>
      </c>
      <c r="D1470" s="35">
        <f t="shared" si="290"/>
        <v>2</v>
      </c>
      <c r="E1470" s="61">
        <v>45839</v>
      </c>
      <c r="G1470" s="43"/>
      <c r="H1470" s="6"/>
      <c r="I1470" s="27"/>
      <c r="J1470" s="35">
        <f t="shared" si="292"/>
        <v>0</v>
      </c>
    </row>
    <row r="1471" spans="1:10" x14ac:dyDescent="0.15">
      <c r="A1471" s="29" t="s">
        <v>112</v>
      </c>
      <c r="B1471" s="6">
        <v>3</v>
      </c>
      <c r="C1471" s="27">
        <v>1</v>
      </c>
      <c r="D1471" s="35">
        <f t="shared" si="290"/>
        <v>4</v>
      </c>
      <c r="E1471" s="61">
        <v>45840</v>
      </c>
      <c r="G1471" s="43"/>
      <c r="H1471" s="6"/>
      <c r="I1471" s="27"/>
      <c r="J1471" s="35">
        <f t="shared" si="292"/>
        <v>0</v>
      </c>
    </row>
    <row r="1472" spans="1:10" ht="14.25" thickBot="1" x14ac:dyDescent="0.2">
      <c r="A1472" s="29" t="s">
        <v>112</v>
      </c>
      <c r="B1472" s="6"/>
      <c r="C1472" s="27">
        <v>1</v>
      </c>
      <c r="D1472" s="35">
        <f t="shared" si="290"/>
        <v>1</v>
      </c>
      <c r="E1472" s="61">
        <v>45841</v>
      </c>
      <c r="G1472" s="43"/>
      <c r="H1472" s="6"/>
      <c r="I1472" s="27"/>
      <c r="J1472" s="35">
        <f t="shared" si="292"/>
        <v>0</v>
      </c>
    </row>
    <row r="1473" spans="1:12" ht="14.25" thickBot="1" x14ac:dyDescent="0.2">
      <c r="A1473" s="9" t="s">
        <v>3</v>
      </c>
      <c r="B1473" s="10">
        <f>SUM(B1449:B1472)</f>
        <v>100</v>
      </c>
      <c r="C1473" s="66">
        <f>SUM(C1449:C1472)</f>
        <v>72</v>
      </c>
      <c r="D1473" s="11">
        <f>SUM(D1449:D1472)</f>
        <v>172</v>
      </c>
      <c r="G1473" s="9" t="s">
        <v>3</v>
      </c>
      <c r="H1473" s="10">
        <f>SUM(H1449:H1472)</f>
        <v>0</v>
      </c>
      <c r="I1473" s="66">
        <f>SUM(I1449:I1472)</f>
        <v>0</v>
      </c>
      <c r="J1473" s="11">
        <f>SUM(J1449:J1472)</f>
        <v>0</v>
      </c>
    </row>
    <row r="1474" spans="1:12" ht="14.25" thickBot="1" x14ac:dyDescent="0.2">
      <c r="A1474" s="14" t="s">
        <v>4</v>
      </c>
      <c r="B1474" s="16">
        <f>B1448-B1473</f>
        <v>50</v>
      </c>
      <c r="C1474" s="16">
        <f>C1448-C1473</f>
        <v>51</v>
      </c>
      <c r="D1474" s="84">
        <f>D1448-D1473</f>
        <v>101</v>
      </c>
      <c r="G1474" s="14" t="s">
        <v>4</v>
      </c>
      <c r="H1474" s="16">
        <f>H1448-H1473</f>
        <v>2451</v>
      </c>
      <c r="I1474" s="16">
        <f>I1448-I1473</f>
        <v>2525</v>
      </c>
      <c r="J1474" s="16">
        <f>J1448-J1473</f>
        <v>4976</v>
      </c>
    </row>
    <row r="1477" spans="1:12" ht="24.75" thickBot="1" x14ac:dyDescent="0.3">
      <c r="A1477" s="25" t="s">
        <v>7</v>
      </c>
      <c r="B1477" s="1"/>
      <c r="C1477" s="1"/>
      <c r="D1477" s="1"/>
      <c r="G1477" s="25" t="s">
        <v>8</v>
      </c>
      <c r="H1477" s="1"/>
      <c r="I1477" s="1"/>
      <c r="J1477" s="1"/>
    </row>
    <row r="1478" spans="1:12" ht="14.25" thickBot="1" x14ac:dyDescent="0.2">
      <c r="A1478" s="2"/>
      <c r="B1478" s="50" t="s">
        <v>115</v>
      </c>
      <c r="C1478" s="50" t="s">
        <v>116</v>
      </c>
      <c r="D1478" s="2" t="s">
        <v>0</v>
      </c>
      <c r="G1478" s="2"/>
      <c r="H1478" s="50" t="s">
        <v>115</v>
      </c>
      <c r="I1478" s="50" t="s">
        <v>116</v>
      </c>
      <c r="J1478" s="2" t="s">
        <v>0</v>
      </c>
    </row>
    <row r="1479" spans="1:12" x14ac:dyDescent="0.15">
      <c r="A1479" s="32" t="s">
        <v>4</v>
      </c>
      <c r="B1479" s="48">
        <f>B1474</f>
        <v>50</v>
      </c>
      <c r="C1479" s="76">
        <f>C1474</f>
        <v>51</v>
      </c>
      <c r="D1479" s="47">
        <f>SUM(B1479+C1479)</f>
        <v>101</v>
      </c>
      <c r="G1479" s="13" t="s">
        <v>6</v>
      </c>
      <c r="H1479" s="48">
        <f>H1474</f>
        <v>2451</v>
      </c>
      <c r="I1479" s="80">
        <f>I1474</f>
        <v>2525</v>
      </c>
      <c r="J1479" s="47">
        <f>SUM(H1479+I1479)</f>
        <v>4976</v>
      </c>
    </row>
    <row r="1480" spans="1:12" x14ac:dyDescent="0.15">
      <c r="A1480" s="3" t="s">
        <v>1</v>
      </c>
      <c r="B1480" s="24">
        <v>30</v>
      </c>
      <c r="C1480" s="90">
        <v>30</v>
      </c>
      <c r="D1480" s="7">
        <f t="shared" ref="D1480:D1484" si="293">SUM(B1480+C1480)</f>
        <v>60</v>
      </c>
      <c r="E1480" s="57">
        <v>45852</v>
      </c>
      <c r="F1480" s="19"/>
      <c r="G1480" s="3" t="s">
        <v>1</v>
      </c>
      <c r="H1480" s="24"/>
      <c r="I1480" s="90"/>
      <c r="J1480" s="7">
        <f t="shared" ref="J1480:J1484" si="294">SUM(H1480+I1480)</f>
        <v>0</v>
      </c>
    </row>
    <row r="1481" spans="1:12" x14ac:dyDescent="0.15">
      <c r="A1481" s="3" t="s">
        <v>1</v>
      </c>
      <c r="B1481" s="24">
        <v>20</v>
      </c>
      <c r="C1481" s="90">
        <v>20</v>
      </c>
      <c r="D1481" s="7">
        <f t="shared" si="293"/>
        <v>40</v>
      </c>
      <c r="E1481" s="57">
        <v>45855</v>
      </c>
      <c r="F1481" s="19"/>
      <c r="G1481" s="3" t="s">
        <v>1</v>
      </c>
      <c r="H1481" s="24"/>
      <c r="I1481" s="90"/>
      <c r="J1481" s="7">
        <f t="shared" si="294"/>
        <v>0</v>
      </c>
    </row>
    <row r="1482" spans="1:12" x14ac:dyDescent="0.15">
      <c r="A1482" s="3" t="s">
        <v>1</v>
      </c>
      <c r="B1482" s="24">
        <v>40</v>
      </c>
      <c r="C1482" s="90">
        <v>10</v>
      </c>
      <c r="D1482" s="7">
        <f t="shared" si="293"/>
        <v>50</v>
      </c>
      <c r="E1482" s="57">
        <v>45871</v>
      </c>
      <c r="F1482" s="19"/>
      <c r="G1482" s="3" t="s">
        <v>1</v>
      </c>
      <c r="H1482" s="24"/>
      <c r="I1482" s="90"/>
      <c r="J1482" s="7">
        <f t="shared" si="294"/>
        <v>0</v>
      </c>
    </row>
    <row r="1483" spans="1:12" x14ac:dyDescent="0.15">
      <c r="A1483" s="3" t="s">
        <v>342</v>
      </c>
      <c r="B1483" s="24">
        <v>7</v>
      </c>
      <c r="C1483" s="90"/>
      <c r="D1483" s="7">
        <f t="shared" si="293"/>
        <v>7</v>
      </c>
      <c r="E1483" s="61">
        <v>45887</v>
      </c>
      <c r="G1483" s="3" t="s">
        <v>1</v>
      </c>
      <c r="H1483" s="24"/>
      <c r="I1483" s="90"/>
      <c r="J1483" s="7">
        <f t="shared" si="294"/>
        <v>0</v>
      </c>
    </row>
    <row r="1484" spans="1:12" ht="14.25" thickBot="1" x14ac:dyDescent="0.2">
      <c r="A1484" s="4" t="s">
        <v>1</v>
      </c>
      <c r="B1484" s="75"/>
      <c r="C1484" s="17"/>
      <c r="D1484" s="22">
        <f t="shared" si="293"/>
        <v>0</v>
      </c>
      <c r="G1484" s="4" t="s">
        <v>1</v>
      </c>
      <c r="H1484" s="75"/>
      <c r="I1484" s="17"/>
      <c r="J1484" s="22">
        <f t="shared" si="294"/>
        <v>0</v>
      </c>
    </row>
    <row r="1485" spans="1:12" ht="14.25" thickBot="1" x14ac:dyDescent="0.2">
      <c r="A1485" s="14" t="s">
        <v>2</v>
      </c>
      <c r="B1485" s="84">
        <f>SUM(B1479:B1484)</f>
        <v>147</v>
      </c>
      <c r="C1485" s="65">
        <f>SUM(C1479:C1484)</f>
        <v>111</v>
      </c>
      <c r="D1485" s="18">
        <f>SUM(B1485+C1485)</f>
        <v>258</v>
      </c>
      <c r="G1485" s="14" t="s">
        <v>2</v>
      </c>
      <c r="H1485" s="84">
        <f>SUM(H1479:H1484)</f>
        <v>2451</v>
      </c>
      <c r="I1485" s="65">
        <f>SUM(I1479:I1484)</f>
        <v>2525</v>
      </c>
      <c r="J1485" s="18">
        <f>SUM(H1485+I1485)</f>
        <v>4976</v>
      </c>
    </row>
    <row r="1486" spans="1:12" x14ac:dyDescent="0.15">
      <c r="A1486" s="29" t="s">
        <v>112</v>
      </c>
      <c r="B1486" s="6">
        <v>2</v>
      </c>
      <c r="C1486" s="27">
        <v>3</v>
      </c>
      <c r="D1486" s="35">
        <f t="shared" ref="D1486:D1509" si="295">SUM(B1486+C1486)</f>
        <v>5</v>
      </c>
      <c r="E1486" s="61">
        <v>45842</v>
      </c>
      <c r="G1486" s="43" t="s">
        <v>21</v>
      </c>
      <c r="H1486" s="6">
        <v>30</v>
      </c>
      <c r="I1486" s="27">
        <v>30</v>
      </c>
      <c r="J1486" s="35">
        <f t="shared" ref="J1486:J1488" si="296">SUM(H1486+I1486)</f>
        <v>60</v>
      </c>
      <c r="K1486" s="57">
        <v>45852</v>
      </c>
    </row>
    <row r="1487" spans="1:12" x14ac:dyDescent="0.15">
      <c r="A1487" s="29" t="s">
        <v>112</v>
      </c>
      <c r="B1487" s="6">
        <f>2+1</f>
        <v>3</v>
      </c>
      <c r="C1487" s="27"/>
      <c r="D1487" s="35">
        <f t="shared" si="295"/>
        <v>3</v>
      </c>
      <c r="E1487" s="61">
        <v>45843</v>
      </c>
      <c r="G1487" s="43" t="s">
        <v>21</v>
      </c>
      <c r="H1487" s="6">
        <v>20</v>
      </c>
      <c r="I1487" s="27">
        <v>20</v>
      </c>
      <c r="J1487" s="35">
        <f t="shared" si="296"/>
        <v>40</v>
      </c>
      <c r="K1487" s="57">
        <v>45855</v>
      </c>
      <c r="L1487" s="19"/>
    </row>
    <row r="1488" spans="1:12" x14ac:dyDescent="0.15">
      <c r="A1488" s="29" t="s">
        <v>112</v>
      </c>
      <c r="B1488" s="6">
        <f>1+6</f>
        <v>7</v>
      </c>
      <c r="C1488" s="27">
        <f>3+8</f>
        <v>11</v>
      </c>
      <c r="D1488" s="35">
        <f t="shared" si="295"/>
        <v>18</v>
      </c>
      <c r="E1488" s="61">
        <v>45845</v>
      </c>
      <c r="G1488" s="43" t="s">
        <v>21</v>
      </c>
      <c r="H1488" s="6">
        <v>40</v>
      </c>
      <c r="I1488" s="27">
        <v>10</v>
      </c>
      <c r="J1488" s="35">
        <f t="shared" si="296"/>
        <v>50</v>
      </c>
      <c r="K1488" s="57">
        <v>45871</v>
      </c>
      <c r="L1488" s="19"/>
    </row>
    <row r="1489" spans="1:12" x14ac:dyDescent="0.15">
      <c r="A1489" s="29" t="s">
        <v>112</v>
      </c>
      <c r="B1489" s="6">
        <v>2</v>
      </c>
      <c r="C1489" s="27"/>
      <c r="D1489" s="35">
        <f t="shared" si="295"/>
        <v>2</v>
      </c>
      <c r="E1489" s="61">
        <v>45846</v>
      </c>
      <c r="G1489" s="43"/>
      <c r="H1489" s="6"/>
      <c r="I1489" s="27"/>
      <c r="J1489" s="35">
        <f t="shared" ref="J1489:J1502" si="297">SUM(H1489+I1489)</f>
        <v>0</v>
      </c>
      <c r="K1489" s="19"/>
      <c r="L1489" s="19"/>
    </row>
    <row r="1490" spans="1:12" x14ac:dyDescent="0.15">
      <c r="A1490" s="29" t="s">
        <v>112</v>
      </c>
      <c r="B1490" s="6">
        <f>2+1</f>
        <v>3</v>
      </c>
      <c r="C1490" s="27">
        <v>2</v>
      </c>
      <c r="D1490" s="35">
        <f t="shared" si="295"/>
        <v>5</v>
      </c>
      <c r="E1490" s="61">
        <v>45847</v>
      </c>
      <c r="G1490" s="43"/>
      <c r="H1490" s="6"/>
      <c r="I1490" s="27"/>
      <c r="J1490" s="35">
        <f t="shared" si="297"/>
        <v>0</v>
      </c>
    </row>
    <row r="1491" spans="1:12" x14ac:dyDescent="0.15">
      <c r="A1491" s="29" t="s">
        <v>112</v>
      </c>
      <c r="B1491" s="6">
        <f>2+1</f>
        <v>3</v>
      </c>
      <c r="C1491" s="27">
        <f>1+3</f>
        <v>4</v>
      </c>
      <c r="D1491" s="35">
        <f t="shared" si="295"/>
        <v>7</v>
      </c>
      <c r="E1491" s="61">
        <v>45848</v>
      </c>
      <c r="G1491" s="43"/>
      <c r="H1491" s="6"/>
      <c r="I1491" s="27"/>
      <c r="J1491" s="35">
        <f t="shared" si="297"/>
        <v>0</v>
      </c>
    </row>
    <row r="1492" spans="1:12" x14ac:dyDescent="0.15">
      <c r="A1492" s="29" t="s">
        <v>112</v>
      </c>
      <c r="B1492" s="6">
        <f>2+6</f>
        <v>8</v>
      </c>
      <c r="C1492" s="27">
        <v>5</v>
      </c>
      <c r="D1492" s="35">
        <f t="shared" si="295"/>
        <v>13</v>
      </c>
      <c r="E1492" s="61">
        <v>45849</v>
      </c>
      <c r="G1492" s="43"/>
      <c r="H1492" s="6"/>
      <c r="I1492" s="27"/>
      <c r="J1492" s="35">
        <f t="shared" si="297"/>
        <v>0</v>
      </c>
    </row>
    <row r="1493" spans="1:12" x14ac:dyDescent="0.15">
      <c r="A1493" s="29" t="s">
        <v>112</v>
      </c>
      <c r="B1493" s="6">
        <f>1+9</f>
        <v>10</v>
      </c>
      <c r="C1493" s="27">
        <f>1+8</f>
        <v>9</v>
      </c>
      <c r="D1493" s="35">
        <f t="shared" si="295"/>
        <v>19</v>
      </c>
      <c r="E1493" s="61">
        <v>45852</v>
      </c>
      <c r="G1493" s="43"/>
      <c r="H1493" s="6"/>
      <c r="I1493" s="27"/>
      <c r="J1493" s="35">
        <f t="shared" si="297"/>
        <v>0</v>
      </c>
    </row>
    <row r="1494" spans="1:12" x14ac:dyDescent="0.15">
      <c r="A1494" s="29" t="s">
        <v>112</v>
      </c>
      <c r="B1494" s="6">
        <f>1+3+5</f>
        <v>9</v>
      </c>
      <c r="C1494" s="27">
        <v>3</v>
      </c>
      <c r="D1494" s="35">
        <f t="shared" si="295"/>
        <v>12</v>
      </c>
      <c r="E1494" s="61">
        <v>45853</v>
      </c>
      <c r="G1494" s="43"/>
      <c r="H1494" s="6"/>
      <c r="I1494" s="27"/>
      <c r="J1494" s="35">
        <f t="shared" si="297"/>
        <v>0</v>
      </c>
    </row>
    <row r="1495" spans="1:12" x14ac:dyDescent="0.15">
      <c r="A1495" s="29" t="s">
        <v>112</v>
      </c>
      <c r="B1495" s="6">
        <v>1</v>
      </c>
      <c r="C1495" s="27">
        <v>2</v>
      </c>
      <c r="D1495" s="35">
        <f t="shared" si="295"/>
        <v>3</v>
      </c>
      <c r="E1495" s="61">
        <v>45854</v>
      </c>
      <c r="G1495" s="43"/>
      <c r="H1495" s="6"/>
      <c r="I1495" s="27"/>
      <c r="J1495" s="35">
        <f t="shared" si="297"/>
        <v>0</v>
      </c>
    </row>
    <row r="1496" spans="1:12" x14ac:dyDescent="0.15">
      <c r="A1496" s="29" t="s">
        <v>112</v>
      </c>
      <c r="B1496" s="6">
        <f>2+1</f>
        <v>3</v>
      </c>
      <c r="C1496" s="27"/>
      <c r="D1496" s="35">
        <f t="shared" si="295"/>
        <v>3</v>
      </c>
      <c r="E1496" s="61">
        <v>45855</v>
      </c>
      <c r="G1496" s="43"/>
      <c r="H1496" s="6"/>
      <c r="I1496" s="27"/>
      <c r="J1496" s="35">
        <f t="shared" si="297"/>
        <v>0</v>
      </c>
    </row>
    <row r="1497" spans="1:12" x14ac:dyDescent="0.15">
      <c r="A1497" s="29" t="s">
        <v>112</v>
      </c>
      <c r="B1497" s="6">
        <v>2</v>
      </c>
      <c r="C1497" s="27">
        <v>2</v>
      </c>
      <c r="D1497" s="35">
        <f t="shared" si="295"/>
        <v>4</v>
      </c>
      <c r="E1497" s="61">
        <v>45856</v>
      </c>
      <c r="G1497" s="43"/>
      <c r="H1497" s="6"/>
      <c r="I1497" s="27"/>
      <c r="J1497" s="35">
        <f t="shared" si="297"/>
        <v>0</v>
      </c>
    </row>
    <row r="1498" spans="1:12" x14ac:dyDescent="0.15">
      <c r="A1498" s="29" t="s">
        <v>112</v>
      </c>
      <c r="B1498" s="6">
        <f>2+1+2</f>
        <v>5</v>
      </c>
      <c r="C1498" s="27">
        <v>5</v>
      </c>
      <c r="D1498" s="35">
        <f t="shared" si="295"/>
        <v>10</v>
      </c>
      <c r="E1498" s="61">
        <v>45857</v>
      </c>
      <c r="G1498" s="43"/>
      <c r="H1498" s="6"/>
      <c r="I1498" s="27"/>
      <c r="J1498" s="35">
        <f t="shared" si="297"/>
        <v>0</v>
      </c>
    </row>
    <row r="1499" spans="1:12" x14ac:dyDescent="0.15">
      <c r="A1499" s="29" t="s">
        <v>112</v>
      </c>
      <c r="B1499" s="6">
        <f>1+6</f>
        <v>7</v>
      </c>
      <c r="C1499" s="27">
        <v>4</v>
      </c>
      <c r="D1499" s="35">
        <f t="shared" si="295"/>
        <v>11</v>
      </c>
      <c r="E1499" s="61">
        <v>45860</v>
      </c>
      <c r="G1499" s="43"/>
      <c r="H1499" s="6"/>
      <c r="I1499" s="27"/>
      <c r="J1499" s="35">
        <f t="shared" si="297"/>
        <v>0</v>
      </c>
    </row>
    <row r="1500" spans="1:12" x14ac:dyDescent="0.15">
      <c r="A1500" s="29" t="s">
        <v>112</v>
      </c>
      <c r="B1500" s="6"/>
      <c r="C1500" s="27">
        <v>1</v>
      </c>
      <c r="D1500" s="35">
        <f t="shared" si="295"/>
        <v>1</v>
      </c>
      <c r="E1500" s="61">
        <v>45861</v>
      </c>
      <c r="G1500" s="43"/>
      <c r="H1500" s="6"/>
      <c r="I1500" s="27"/>
      <c r="J1500" s="35">
        <f t="shared" si="297"/>
        <v>0</v>
      </c>
    </row>
    <row r="1501" spans="1:12" x14ac:dyDescent="0.15">
      <c r="A1501" s="29" t="s">
        <v>112</v>
      </c>
      <c r="B1501" s="6">
        <v>2</v>
      </c>
      <c r="C1501" s="27"/>
      <c r="D1501" s="35">
        <f t="shared" si="295"/>
        <v>2</v>
      </c>
      <c r="E1501" s="61">
        <v>45862</v>
      </c>
      <c r="G1501" s="43"/>
      <c r="H1501" s="6"/>
      <c r="I1501" s="27"/>
      <c r="J1501" s="35">
        <f t="shared" si="297"/>
        <v>0</v>
      </c>
    </row>
    <row r="1502" spans="1:12" x14ac:dyDescent="0.15">
      <c r="A1502" s="29" t="s">
        <v>112</v>
      </c>
      <c r="B1502" s="6">
        <f>3+1</f>
        <v>4</v>
      </c>
      <c r="C1502" s="27">
        <v>2</v>
      </c>
      <c r="D1502" s="35">
        <f t="shared" si="295"/>
        <v>6</v>
      </c>
      <c r="E1502" s="61">
        <v>45863</v>
      </c>
      <c r="G1502" s="43"/>
      <c r="H1502" s="6"/>
      <c r="I1502" s="27"/>
      <c r="J1502" s="35">
        <f t="shared" si="297"/>
        <v>0</v>
      </c>
    </row>
    <row r="1503" spans="1:12" x14ac:dyDescent="0.15">
      <c r="A1503" s="29" t="s">
        <v>112</v>
      </c>
      <c r="B1503" s="6">
        <v>8</v>
      </c>
      <c r="C1503" s="27">
        <v>6</v>
      </c>
      <c r="D1503" s="35">
        <f t="shared" si="295"/>
        <v>14</v>
      </c>
      <c r="E1503" s="61">
        <v>45866</v>
      </c>
      <c r="G1503" s="43"/>
      <c r="H1503" s="6"/>
      <c r="I1503" s="27"/>
      <c r="J1503" s="35">
        <f t="shared" ref="J1503:J1507" si="298">SUM(H1503+I1503)</f>
        <v>0</v>
      </c>
    </row>
    <row r="1504" spans="1:12" x14ac:dyDescent="0.15">
      <c r="A1504" s="29" t="s">
        <v>112</v>
      </c>
      <c r="B1504" s="6">
        <f>1+2</f>
        <v>3</v>
      </c>
      <c r="C1504" s="27"/>
      <c r="D1504" s="35">
        <f t="shared" si="295"/>
        <v>3</v>
      </c>
      <c r="E1504" s="61">
        <v>45867</v>
      </c>
      <c r="G1504" s="43"/>
      <c r="H1504" s="6"/>
      <c r="I1504" s="27"/>
      <c r="J1504" s="35">
        <f t="shared" si="298"/>
        <v>0</v>
      </c>
    </row>
    <row r="1505" spans="1:11" x14ac:dyDescent="0.15">
      <c r="A1505" s="29" t="s">
        <v>112</v>
      </c>
      <c r="B1505" s="6">
        <v>2</v>
      </c>
      <c r="C1505" s="27">
        <v>2</v>
      </c>
      <c r="D1505" s="35">
        <f t="shared" si="295"/>
        <v>4</v>
      </c>
      <c r="E1505" s="61">
        <v>45869</v>
      </c>
      <c r="G1505" s="43"/>
      <c r="H1505" s="6"/>
      <c r="I1505" s="27"/>
      <c r="J1505" s="35">
        <f t="shared" si="298"/>
        <v>0</v>
      </c>
    </row>
    <row r="1506" spans="1:11" x14ac:dyDescent="0.15">
      <c r="A1506" s="29" t="s">
        <v>112</v>
      </c>
      <c r="B1506" s="6">
        <v>1</v>
      </c>
      <c r="C1506" s="27"/>
      <c r="D1506" s="35">
        <f t="shared" si="295"/>
        <v>1</v>
      </c>
      <c r="E1506" s="61">
        <v>45870</v>
      </c>
      <c r="G1506" s="43"/>
      <c r="H1506" s="6"/>
      <c r="I1506" s="27"/>
      <c r="J1506" s="35">
        <f t="shared" si="298"/>
        <v>0</v>
      </c>
    </row>
    <row r="1507" spans="1:11" x14ac:dyDescent="0.15">
      <c r="A1507" s="29" t="s">
        <v>112</v>
      </c>
      <c r="B1507" s="6">
        <f>1+1</f>
        <v>2</v>
      </c>
      <c r="C1507" s="27">
        <f>1+1</f>
        <v>2</v>
      </c>
      <c r="D1507" s="35">
        <f t="shared" si="295"/>
        <v>4</v>
      </c>
      <c r="E1507" s="61">
        <v>45873</v>
      </c>
      <c r="G1507" s="43"/>
      <c r="H1507" s="6"/>
      <c r="I1507" s="27"/>
      <c r="J1507" s="35">
        <f t="shared" si="298"/>
        <v>0</v>
      </c>
    </row>
    <row r="1508" spans="1:11" x14ac:dyDescent="0.15">
      <c r="A1508" s="29" t="s">
        <v>112</v>
      </c>
      <c r="B1508" s="6">
        <v>2</v>
      </c>
      <c r="C1508" s="27">
        <v>1</v>
      </c>
      <c r="D1508" s="35">
        <f t="shared" si="295"/>
        <v>3</v>
      </c>
      <c r="E1508" s="61">
        <v>45874</v>
      </c>
      <c r="G1508" s="43" t="s">
        <v>344</v>
      </c>
      <c r="H1508" s="6"/>
      <c r="I1508" s="27"/>
      <c r="J1508" s="35">
        <f t="shared" ref="J1508:J1509" si="299">SUM(H1508+I1508)</f>
        <v>0</v>
      </c>
      <c r="K1508" s="19" t="s">
        <v>324</v>
      </c>
    </row>
    <row r="1509" spans="1:11" ht="14.25" thickBot="1" x14ac:dyDescent="0.2">
      <c r="A1509" s="29" t="s">
        <v>112</v>
      </c>
      <c r="B1509" s="6">
        <f>4+1+3</f>
        <v>8</v>
      </c>
      <c r="C1509" s="27">
        <v>3</v>
      </c>
      <c r="D1509" s="35">
        <f t="shared" si="295"/>
        <v>11</v>
      </c>
      <c r="E1509" s="61">
        <v>45875</v>
      </c>
      <c r="G1509" s="43" t="s">
        <v>348</v>
      </c>
      <c r="H1509" s="6"/>
      <c r="I1509" s="27"/>
      <c r="J1509" s="35">
        <f t="shared" si="299"/>
        <v>0</v>
      </c>
      <c r="K1509" s="19" t="s">
        <v>331</v>
      </c>
    </row>
    <row r="1510" spans="1:11" ht="14.25" thickBot="1" x14ac:dyDescent="0.2">
      <c r="A1510" s="9" t="s">
        <v>3</v>
      </c>
      <c r="B1510" s="10">
        <f>SUM(B1486:B1509)</f>
        <v>97</v>
      </c>
      <c r="C1510" s="66">
        <f>SUM(C1486:C1509)</f>
        <v>67</v>
      </c>
      <c r="D1510" s="11">
        <f>SUM(D1486:D1509)</f>
        <v>164</v>
      </c>
      <c r="G1510" s="9" t="s">
        <v>3</v>
      </c>
      <c r="H1510" s="10">
        <f>SUM(H1486:H1509)</f>
        <v>90</v>
      </c>
      <c r="I1510" s="66">
        <f>SUM(I1486:I1509)</f>
        <v>60</v>
      </c>
      <c r="J1510" s="11">
        <f>SUM(J1486:J1509)</f>
        <v>150</v>
      </c>
    </row>
    <row r="1511" spans="1:11" ht="14.25" thickBot="1" x14ac:dyDescent="0.2">
      <c r="A1511" s="14" t="s">
        <v>4</v>
      </c>
      <c r="B1511" s="16">
        <f>B1485-B1510</f>
        <v>50</v>
      </c>
      <c r="C1511" s="16">
        <f>C1485-C1510</f>
        <v>44</v>
      </c>
      <c r="D1511" s="84">
        <f>D1485-D1510</f>
        <v>94</v>
      </c>
      <c r="G1511" s="14" t="s">
        <v>4</v>
      </c>
      <c r="H1511" s="16">
        <f>H1485-H1510</f>
        <v>2361</v>
      </c>
      <c r="I1511" s="16">
        <f>I1485-I1510</f>
        <v>2465</v>
      </c>
      <c r="J1511" s="16">
        <f>J1485-J1510</f>
        <v>4826</v>
      </c>
    </row>
    <row r="1514" spans="1:11" ht="24.75" thickBot="1" x14ac:dyDescent="0.3">
      <c r="A1514" s="25" t="s">
        <v>7</v>
      </c>
      <c r="B1514" s="1"/>
      <c r="C1514" s="1"/>
      <c r="D1514" s="1"/>
      <c r="G1514" s="25" t="s">
        <v>8</v>
      </c>
      <c r="H1514" s="1"/>
      <c r="I1514" s="1"/>
      <c r="J1514" s="1"/>
    </row>
    <row r="1515" spans="1:11" ht="14.25" thickBot="1" x14ac:dyDescent="0.2">
      <c r="A1515" s="2"/>
      <c r="B1515" s="50" t="s">
        <v>115</v>
      </c>
      <c r="C1515" s="50" t="s">
        <v>116</v>
      </c>
      <c r="D1515" s="2" t="s">
        <v>0</v>
      </c>
      <c r="G1515" s="2"/>
      <c r="H1515" s="50" t="s">
        <v>115</v>
      </c>
      <c r="I1515" s="50" t="s">
        <v>116</v>
      </c>
      <c r="J1515" s="2" t="s">
        <v>0</v>
      </c>
    </row>
    <row r="1516" spans="1:11" x14ac:dyDescent="0.15">
      <c r="A1516" s="32" t="s">
        <v>4</v>
      </c>
      <c r="B1516" s="48">
        <f>B1511</f>
        <v>50</v>
      </c>
      <c r="C1516" s="76">
        <f>C1511</f>
        <v>44</v>
      </c>
      <c r="D1516" s="47">
        <f>SUM(B1516+C1516)</f>
        <v>94</v>
      </c>
      <c r="G1516" s="13" t="s">
        <v>6</v>
      </c>
      <c r="H1516" s="48">
        <f>H1511</f>
        <v>2361</v>
      </c>
      <c r="I1516" s="80">
        <f>I1511</f>
        <v>2465</v>
      </c>
      <c r="J1516" s="47">
        <f>SUM(H1516+I1516)</f>
        <v>4826</v>
      </c>
    </row>
    <row r="1517" spans="1:11" x14ac:dyDescent="0.15">
      <c r="A1517" s="3" t="s">
        <v>1</v>
      </c>
      <c r="B1517" s="24">
        <v>20</v>
      </c>
      <c r="C1517" s="90">
        <v>19</v>
      </c>
      <c r="D1517" s="7">
        <f t="shared" ref="D1517:D1521" si="300">SUM(B1517+C1517)</f>
        <v>39</v>
      </c>
      <c r="E1517" s="57">
        <v>45890</v>
      </c>
      <c r="G1517" s="3" t="s">
        <v>1</v>
      </c>
      <c r="H1517" s="24"/>
      <c r="I1517" s="90"/>
      <c r="J1517" s="7">
        <f t="shared" ref="J1517:J1521" si="301">SUM(H1517+I1517)</f>
        <v>0</v>
      </c>
    </row>
    <row r="1518" spans="1:11" x14ac:dyDescent="0.15">
      <c r="A1518" s="3" t="s">
        <v>124</v>
      </c>
      <c r="B1518" s="24">
        <v>0</v>
      </c>
      <c r="C1518" s="90">
        <v>-3</v>
      </c>
      <c r="D1518" s="7">
        <f t="shared" si="300"/>
        <v>-3</v>
      </c>
      <c r="E1518" s="57">
        <v>45890</v>
      </c>
      <c r="G1518" s="3" t="s">
        <v>1</v>
      </c>
      <c r="H1518" s="24"/>
      <c r="I1518" s="90"/>
      <c r="J1518" s="7">
        <f t="shared" si="301"/>
        <v>0</v>
      </c>
    </row>
    <row r="1519" spans="1:11" x14ac:dyDescent="0.15">
      <c r="A1519" s="3" t="s">
        <v>1</v>
      </c>
      <c r="B1519" s="24">
        <v>10</v>
      </c>
      <c r="C1519" s="90"/>
      <c r="D1519" s="7">
        <f t="shared" si="300"/>
        <v>10</v>
      </c>
      <c r="E1519" s="57">
        <v>45905</v>
      </c>
      <c r="G1519" s="3" t="s">
        <v>1</v>
      </c>
      <c r="H1519" s="24"/>
      <c r="I1519" s="90"/>
      <c r="J1519" s="7">
        <f t="shared" si="301"/>
        <v>0</v>
      </c>
    </row>
    <row r="1520" spans="1:11" x14ac:dyDescent="0.15">
      <c r="A1520" s="3" t="s">
        <v>1</v>
      </c>
      <c r="B1520" s="24">
        <v>20</v>
      </c>
      <c r="C1520" s="90"/>
      <c r="D1520" s="7">
        <f t="shared" si="300"/>
        <v>20</v>
      </c>
      <c r="E1520" s="57">
        <v>45909</v>
      </c>
      <c r="G1520" s="3" t="s">
        <v>1</v>
      </c>
      <c r="H1520" s="24"/>
      <c r="I1520" s="90"/>
      <c r="J1520" s="7">
        <f t="shared" si="301"/>
        <v>0</v>
      </c>
    </row>
    <row r="1521" spans="1:12" ht="14.25" thickBot="1" x14ac:dyDescent="0.2">
      <c r="A1521" s="4" t="s">
        <v>1</v>
      </c>
      <c r="B1521" s="75"/>
      <c r="C1521" s="17"/>
      <c r="D1521" s="22">
        <f t="shared" si="300"/>
        <v>0</v>
      </c>
      <c r="G1521" s="4" t="s">
        <v>1</v>
      </c>
      <c r="H1521" s="75"/>
      <c r="I1521" s="17"/>
      <c r="J1521" s="22">
        <f t="shared" si="301"/>
        <v>0</v>
      </c>
    </row>
    <row r="1522" spans="1:12" ht="14.25" thickBot="1" x14ac:dyDescent="0.2">
      <c r="A1522" s="14" t="s">
        <v>2</v>
      </c>
      <c r="B1522" s="84">
        <f>SUM(B1516:B1521)</f>
        <v>100</v>
      </c>
      <c r="C1522" s="65">
        <f>SUM(C1516:C1521)</f>
        <v>60</v>
      </c>
      <c r="D1522" s="18">
        <f>SUM(B1522+C1522)</f>
        <v>160</v>
      </c>
      <c r="G1522" s="14" t="s">
        <v>2</v>
      </c>
      <c r="H1522" s="84">
        <f>SUM(H1516:H1521)</f>
        <v>2361</v>
      </c>
      <c r="I1522" s="65">
        <f>SUM(I1516:I1521)</f>
        <v>2465</v>
      </c>
      <c r="J1522" s="18">
        <f>SUM(H1522+I1522)</f>
        <v>4826</v>
      </c>
    </row>
    <row r="1523" spans="1:12" x14ac:dyDescent="0.15">
      <c r="A1523" s="29" t="s">
        <v>112</v>
      </c>
      <c r="B1523" s="6">
        <f>2+1</f>
        <v>3</v>
      </c>
      <c r="C1523" s="27">
        <v>1</v>
      </c>
      <c r="D1523" s="35">
        <f t="shared" ref="D1523:D1529" si="302">SUM(B1523+C1523)</f>
        <v>4</v>
      </c>
      <c r="E1523" s="61">
        <v>45876</v>
      </c>
      <c r="G1523" s="43" t="s">
        <v>349</v>
      </c>
      <c r="H1523" s="6">
        <v>20</v>
      </c>
      <c r="I1523" s="27"/>
      <c r="J1523" s="35">
        <f t="shared" ref="J1523:J1539" si="303">SUM(H1523+I1523)</f>
        <v>20</v>
      </c>
      <c r="K1523" s="57">
        <v>45890</v>
      </c>
      <c r="L1523" s="19"/>
    </row>
    <row r="1524" spans="1:12" x14ac:dyDescent="0.15">
      <c r="A1524" s="29" t="s">
        <v>112</v>
      </c>
      <c r="B1524" s="6">
        <f>1+2</f>
        <v>3</v>
      </c>
      <c r="C1524" s="27"/>
      <c r="D1524" s="35">
        <f t="shared" si="302"/>
        <v>3</v>
      </c>
      <c r="E1524" s="61">
        <v>45877</v>
      </c>
      <c r="G1524" s="43" t="s">
        <v>21</v>
      </c>
      <c r="H1524" s="6">
        <v>20</v>
      </c>
      <c r="I1524" s="27">
        <v>19</v>
      </c>
      <c r="J1524" s="35">
        <f t="shared" si="303"/>
        <v>39</v>
      </c>
      <c r="K1524" s="57">
        <v>45890</v>
      </c>
      <c r="L1524" s="102"/>
    </row>
    <row r="1525" spans="1:12" x14ac:dyDescent="0.15">
      <c r="A1525" s="29" t="s">
        <v>112</v>
      </c>
      <c r="B1525" s="6">
        <v>1</v>
      </c>
      <c r="C1525" s="27"/>
      <c r="D1525" s="35">
        <f t="shared" si="302"/>
        <v>1</v>
      </c>
      <c r="E1525" s="61">
        <v>45878</v>
      </c>
      <c r="G1525" s="43" t="s">
        <v>21</v>
      </c>
      <c r="H1525" s="6">
        <v>10</v>
      </c>
      <c r="I1525" s="27"/>
      <c r="J1525" s="35">
        <f t="shared" si="303"/>
        <v>10</v>
      </c>
      <c r="K1525" s="57">
        <v>45905</v>
      </c>
      <c r="L1525" s="19"/>
    </row>
    <row r="1526" spans="1:12" x14ac:dyDescent="0.15">
      <c r="A1526" s="29" t="s">
        <v>112</v>
      </c>
      <c r="B1526" s="6">
        <f>9+2+2</f>
        <v>13</v>
      </c>
      <c r="C1526" s="27">
        <f>4+2</f>
        <v>6</v>
      </c>
      <c r="D1526" s="35">
        <f t="shared" si="302"/>
        <v>19</v>
      </c>
      <c r="E1526" s="61">
        <v>45887</v>
      </c>
      <c r="G1526" s="43" t="s">
        <v>21</v>
      </c>
      <c r="H1526" s="6">
        <v>20</v>
      </c>
      <c r="I1526" s="27"/>
      <c r="J1526" s="35">
        <f t="shared" si="303"/>
        <v>20</v>
      </c>
      <c r="K1526" s="57">
        <v>45909</v>
      </c>
      <c r="L1526" s="19"/>
    </row>
    <row r="1527" spans="1:12" x14ac:dyDescent="0.15">
      <c r="A1527" s="29" t="s">
        <v>112</v>
      </c>
      <c r="B1527" s="6">
        <f>2+1+3</f>
        <v>6</v>
      </c>
      <c r="C1527" s="27"/>
      <c r="D1527" s="35">
        <f t="shared" si="302"/>
        <v>6</v>
      </c>
      <c r="E1527" s="61">
        <v>45888</v>
      </c>
      <c r="G1527" s="43"/>
      <c r="H1527" s="6"/>
      <c r="I1527" s="27"/>
      <c r="J1527" s="35">
        <f t="shared" si="303"/>
        <v>0</v>
      </c>
      <c r="K1527" s="19"/>
      <c r="L1527" s="19"/>
    </row>
    <row r="1528" spans="1:12" x14ac:dyDescent="0.15">
      <c r="A1528" s="29" t="s">
        <v>112</v>
      </c>
      <c r="B1528" s="6">
        <v>3</v>
      </c>
      <c r="C1528" s="27">
        <v>2</v>
      </c>
      <c r="D1528" s="35">
        <f t="shared" si="302"/>
        <v>5</v>
      </c>
      <c r="E1528" s="61">
        <v>45889</v>
      </c>
      <c r="G1528" s="43"/>
      <c r="H1528" s="6"/>
      <c r="I1528" s="27"/>
      <c r="J1528" s="35">
        <f t="shared" si="303"/>
        <v>0</v>
      </c>
      <c r="K1528" s="19"/>
      <c r="L1528" s="19"/>
    </row>
    <row r="1529" spans="1:12" x14ac:dyDescent="0.15">
      <c r="A1529" s="29" t="s">
        <v>112</v>
      </c>
      <c r="B1529" s="6">
        <v>1</v>
      </c>
      <c r="C1529" s="27">
        <v>1</v>
      </c>
      <c r="D1529" s="35">
        <f t="shared" si="302"/>
        <v>2</v>
      </c>
      <c r="E1529" s="61">
        <v>45890</v>
      </c>
      <c r="G1529" s="43"/>
      <c r="H1529" s="6"/>
      <c r="I1529" s="27"/>
      <c r="J1529" s="35">
        <f t="shared" si="303"/>
        <v>0</v>
      </c>
      <c r="K1529" s="19"/>
      <c r="L1529" s="19"/>
    </row>
    <row r="1530" spans="1:12" x14ac:dyDescent="0.15">
      <c r="A1530" s="29" t="s">
        <v>112</v>
      </c>
      <c r="B1530" s="6">
        <f>4+6</f>
        <v>10</v>
      </c>
      <c r="C1530" s="27">
        <v>1</v>
      </c>
      <c r="D1530" s="35">
        <f t="shared" ref="D1530:D1546" si="304">SUM(B1530+C1530)</f>
        <v>11</v>
      </c>
      <c r="E1530" s="61">
        <v>45894</v>
      </c>
      <c r="G1530" s="43"/>
      <c r="H1530" s="6"/>
      <c r="I1530" s="27"/>
      <c r="J1530" s="35">
        <f t="shared" si="303"/>
        <v>0</v>
      </c>
      <c r="K1530" s="19"/>
      <c r="L1530" s="19"/>
    </row>
    <row r="1531" spans="1:12" x14ac:dyDescent="0.15">
      <c r="A1531" s="29" t="s">
        <v>112</v>
      </c>
      <c r="B1531" s="6">
        <f>1+1</f>
        <v>2</v>
      </c>
      <c r="C1531" s="27"/>
      <c r="D1531" s="35">
        <f t="shared" si="304"/>
        <v>2</v>
      </c>
      <c r="E1531" s="61">
        <v>45895</v>
      </c>
      <c r="G1531" s="43"/>
      <c r="H1531" s="6"/>
      <c r="I1531" s="27"/>
      <c r="J1531" s="35">
        <f t="shared" si="303"/>
        <v>0</v>
      </c>
    </row>
    <row r="1532" spans="1:12" x14ac:dyDescent="0.15">
      <c r="A1532" s="29" t="s">
        <v>112</v>
      </c>
      <c r="B1532" s="6">
        <v>4</v>
      </c>
      <c r="C1532" s="27"/>
      <c r="D1532" s="35">
        <f t="shared" si="304"/>
        <v>4</v>
      </c>
      <c r="E1532" s="61">
        <v>45898</v>
      </c>
      <c r="G1532" s="43"/>
      <c r="H1532" s="6"/>
      <c r="I1532" s="27"/>
      <c r="J1532" s="35">
        <f t="shared" si="303"/>
        <v>0</v>
      </c>
    </row>
    <row r="1533" spans="1:12" x14ac:dyDescent="0.15">
      <c r="A1533" s="29" t="s">
        <v>112</v>
      </c>
      <c r="B1533" s="6">
        <v>1</v>
      </c>
      <c r="C1533" s="27"/>
      <c r="D1533" s="35">
        <f t="shared" si="304"/>
        <v>1</v>
      </c>
      <c r="E1533" s="61">
        <v>45899</v>
      </c>
      <c r="G1533" s="43"/>
      <c r="H1533" s="6"/>
      <c r="I1533" s="27"/>
      <c r="J1533" s="35">
        <f t="shared" si="303"/>
        <v>0</v>
      </c>
    </row>
    <row r="1534" spans="1:12" x14ac:dyDescent="0.15">
      <c r="A1534" s="29" t="s">
        <v>112</v>
      </c>
      <c r="B1534" s="6">
        <f>1+1</f>
        <v>2</v>
      </c>
      <c r="C1534" s="27">
        <v>2</v>
      </c>
      <c r="D1534" s="35">
        <f t="shared" si="304"/>
        <v>4</v>
      </c>
      <c r="E1534" s="61">
        <v>45901</v>
      </c>
      <c r="G1534" s="43"/>
      <c r="H1534" s="6"/>
      <c r="I1534" s="27"/>
      <c r="J1534" s="35">
        <f t="shared" si="303"/>
        <v>0</v>
      </c>
    </row>
    <row r="1535" spans="1:12" x14ac:dyDescent="0.15">
      <c r="A1535" s="29" t="s">
        <v>112</v>
      </c>
      <c r="B1535" s="6">
        <v>1</v>
      </c>
      <c r="C1535" s="27"/>
      <c r="D1535" s="35">
        <f t="shared" si="304"/>
        <v>1</v>
      </c>
      <c r="E1535" s="61">
        <v>45902</v>
      </c>
      <c r="G1535" s="43"/>
      <c r="H1535" s="6"/>
      <c r="I1535" s="27"/>
      <c r="J1535" s="35">
        <f t="shared" si="303"/>
        <v>0</v>
      </c>
    </row>
    <row r="1536" spans="1:12" x14ac:dyDescent="0.15">
      <c r="A1536" s="29" t="s">
        <v>112</v>
      </c>
      <c r="B1536" s="6">
        <f>6+1</f>
        <v>7</v>
      </c>
      <c r="C1536" s="27"/>
      <c r="D1536" s="35">
        <f t="shared" si="304"/>
        <v>7</v>
      </c>
      <c r="E1536" s="61">
        <v>45904</v>
      </c>
      <c r="G1536" s="43"/>
      <c r="H1536" s="6"/>
      <c r="I1536" s="27"/>
      <c r="J1536" s="35">
        <f t="shared" si="303"/>
        <v>0</v>
      </c>
    </row>
    <row r="1537" spans="1:12" x14ac:dyDescent="0.15">
      <c r="A1537" s="29" t="s">
        <v>112</v>
      </c>
      <c r="B1537" s="6">
        <v>4</v>
      </c>
      <c r="C1537" s="27">
        <v>1</v>
      </c>
      <c r="D1537" s="35">
        <f t="shared" si="304"/>
        <v>5</v>
      </c>
      <c r="E1537" s="61">
        <v>45905</v>
      </c>
      <c r="G1537" s="43"/>
      <c r="H1537" s="6"/>
      <c r="I1537" s="27"/>
      <c r="J1537" s="35">
        <f t="shared" si="303"/>
        <v>0</v>
      </c>
    </row>
    <row r="1538" spans="1:12" x14ac:dyDescent="0.15">
      <c r="A1538" s="29" t="s">
        <v>112</v>
      </c>
      <c r="B1538" s="6">
        <v>1</v>
      </c>
      <c r="C1538" s="27">
        <v>1</v>
      </c>
      <c r="D1538" s="35">
        <f t="shared" si="304"/>
        <v>2</v>
      </c>
      <c r="E1538" s="61">
        <v>45906</v>
      </c>
      <c r="G1538" s="43"/>
      <c r="H1538" s="6"/>
      <c r="I1538" s="27"/>
      <c r="J1538" s="35">
        <f t="shared" si="303"/>
        <v>0</v>
      </c>
    </row>
    <row r="1539" spans="1:12" x14ac:dyDescent="0.15">
      <c r="A1539" s="29" t="s">
        <v>112</v>
      </c>
      <c r="B1539" s="6">
        <f>2+4</f>
        <v>6</v>
      </c>
      <c r="C1539" s="27">
        <f>3+4</f>
        <v>7</v>
      </c>
      <c r="D1539" s="35">
        <f t="shared" si="304"/>
        <v>13</v>
      </c>
      <c r="E1539" s="61">
        <v>45908</v>
      </c>
      <c r="G1539" s="43"/>
      <c r="H1539" s="6"/>
      <c r="I1539" s="27"/>
      <c r="J1539" s="35">
        <f t="shared" si="303"/>
        <v>0</v>
      </c>
    </row>
    <row r="1540" spans="1:12" x14ac:dyDescent="0.15">
      <c r="A1540" s="29" t="s">
        <v>112</v>
      </c>
      <c r="B1540" s="6">
        <v>2</v>
      </c>
      <c r="C1540" s="27">
        <v>2</v>
      </c>
      <c r="D1540" s="35">
        <f t="shared" si="304"/>
        <v>4</v>
      </c>
      <c r="E1540" s="61">
        <v>45910</v>
      </c>
      <c r="G1540" s="43"/>
      <c r="H1540" s="6"/>
      <c r="I1540" s="27"/>
      <c r="J1540" s="35">
        <f t="shared" ref="J1540:J1541" si="305">SUM(H1540+I1540)</f>
        <v>0</v>
      </c>
    </row>
    <row r="1541" spans="1:12" x14ac:dyDescent="0.15">
      <c r="A1541" s="29"/>
      <c r="B1541" s="6"/>
      <c r="C1541" s="27"/>
      <c r="D1541" s="35">
        <f t="shared" si="304"/>
        <v>0</v>
      </c>
      <c r="E1541" s="61"/>
      <c r="G1541" s="43"/>
      <c r="H1541" s="6"/>
      <c r="I1541" s="27"/>
      <c r="J1541" s="35">
        <f t="shared" si="305"/>
        <v>0</v>
      </c>
    </row>
    <row r="1542" spans="1:12" x14ac:dyDescent="0.15">
      <c r="A1542" s="29"/>
      <c r="B1542" s="6"/>
      <c r="C1542" s="27"/>
      <c r="D1542" s="35">
        <f t="shared" si="304"/>
        <v>0</v>
      </c>
      <c r="E1542" s="61"/>
      <c r="G1542" s="43"/>
      <c r="H1542" s="6"/>
      <c r="I1542" s="27"/>
      <c r="J1542" s="35">
        <f t="shared" ref="J1542:J1543" si="306">SUM(H1542+I1542)</f>
        <v>0</v>
      </c>
    </row>
    <row r="1543" spans="1:12" x14ac:dyDescent="0.15">
      <c r="A1543" s="29"/>
      <c r="B1543" s="6"/>
      <c r="C1543" s="27"/>
      <c r="D1543" s="35">
        <f t="shared" si="304"/>
        <v>0</v>
      </c>
      <c r="E1543" s="61"/>
      <c r="G1543" s="43"/>
      <c r="H1543" s="6"/>
      <c r="I1543" s="27"/>
      <c r="J1543" s="35">
        <f t="shared" si="306"/>
        <v>0</v>
      </c>
    </row>
    <row r="1544" spans="1:12" x14ac:dyDescent="0.15">
      <c r="A1544" s="29"/>
      <c r="B1544" s="6"/>
      <c r="C1544" s="27"/>
      <c r="D1544" s="35">
        <f t="shared" si="304"/>
        <v>0</v>
      </c>
      <c r="E1544" s="61"/>
      <c r="G1544" s="43" t="s">
        <v>350</v>
      </c>
      <c r="H1544" s="6"/>
      <c r="I1544" s="27"/>
      <c r="J1544" s="35">
        <f t="shared" ref="J1544:J1546" si="307">SUM(H1544+I1544)</f>
        <v>0</v>
      </c>
      <c r="K1544" s="19" t="s">
        <v>340</v>
      </c>
      <c r="L1544" s="19"/>
    </row>
    <row r="1545" spans="1:12" x14ac:dyDescent="0.15">
      <c r="A1545" s="29"/>
      <c r="B1545" s="6"/>
      <c r="C1545" s="27"/>
      <c r="D1545" s="35">
        <f t="shared" si="304"/>
        <v>0</v>
      </c>
      <c r="E1545" s="61"/>
      <c r="G1545" s="106" t="s">
        <v>336</v>
      </c>
      <c r="H1545" s="98"/>
      <c r="I1545" s="99"/>
      <c r="J1545" s="100">
        <f t="shared" si="307"/>
        <v>0</v>
      </c>
      <c r="K1545" s="107"/>
      <c r="L1545" s="19"/>
    </row>
    <row r="1546" spans="1:12" ht="14.25" thickBot="1" x14ac:dyDescent="0.2">
      <c r="A1546" s="43"/>
      <c r="B1546" s="6"/>
      <c r="C1546" s="27"/>
      <c r="D1546" s="35">
        <f t="shared" si="304"/>
        <v>0</v>
      </c>
      <c r="G1546" s="43" t="s">
        <v>351</v>
      </c>
      <c r="H1546" s="6"/>
      <c r="I1546" s="27"/>
      <c r="J1546" s="35">
        <f t="shared" si="307"/>
        <v>0</v>
      </c>
      <c r="K1546" s="19" t="s">
        <v>318</v>
      </c>
      <c r="L1546" s="19"/>
    </row>
    <row r="1547" spans="1:12" ht="14.25" thickBot="1" x14ac:dyDescent="0.2">
      <c r="A1547" s="9" t="s">
        <v>3</v>
      </c>
      <c r="B1547" s="10">
        <f>SUM(B1523:B1546)</f>
        <v>70</v>
      </c>
      <c r="C1547" s="66">
        <f>SUM(C1523:C1546)</f>
        <v>24</v>
      </c>
      <c r="D1547" s="11">
        <f>SUM(D1523:D1546)</f>
        <v>94</v>
      </c>
      <c r="G1547" s="9" t="s">
        <v>3</v>
      </c>
      <c r="H1547" s="10">
        <f>SUM(H1523:H1546)</f>
        <v>70</v>
      </c>
      <c r="I1547" s="66">
        <f>SUM(I1523:I1546)</f>
        <v>19</v>
      </c>
      <c r="J1547" s="11">
        <f>SUM(J1523:J1546)</f>
        <v>89</v>
      </c>
    </row>
    <row r="1548" spans="1:12" ht="14.25" thickBot="1" x14ac:dyDescent="0.2">
      <c r="A1548" s="14" t="s">
        <v>4</v>
      </c>
      <c r="B1548" s="16">
        <f>B1522-B1547</f>
        <v>30</v>
      </c>
      <c r="C1548" s="16">
        <f>C1522-C1547</f>
        <v>36</v>
      </c>
      <c r="D1548" s="84">
        <f>D1522-D1547</f>
        <v>66</v>
      </c>
      <c r="G1548" s="14" t="s">
        <v>4</v>
      </c>
      <c r="H1548" s="16">
        <f>H1522-H1547</f>
        <v>2291</v>
      </c>
      <c r="I1548" s="16">
        <f>I1522-I1547</f>
        <v>2446</v>
      </c>
      <c r="J1548" s="16">
        <f>J1522-J1547</f>
        <v>4737</v>
      </c>
    </row>
    <row r="1551" spans="1:12" ht="24.75" thickBot="1" x14ac:dyDescent="0.3">
      <c r="A1551" s="25" t="s">
        <v>7</v>
      </c>
      <c r="B1551" s="1"/>
      <c r="C1551" s="1"/>
      <c r="D1551" s="1"/>
      <c r="G1551" s="25" t="s">
        <v>8</v>
      </c>
      <c r="H1551" s="1"/>
      <c r="I1551" s="1"/>
      <c r="J1551" s="1"/>
    </row>
    <row r="1552" spans="1:12" ht="14.25" thickBot="1" x14ac:dyDescent="0.2">
      <c r="A1552" s="2"/>
      <c r="B1552" s="50" t="s">
        <v>115</v>
      </c>
      <c r="C1552" s="50" t="s">
        <v>116</v>
      </c>
      <c r="D1552" s="2" t="s">
        <v>0</v>
      </c>
      <c r="G1552" s="2"/>
      <c r="H1552" s="50" t="s">
        <v>115</v>
      </c>
      <c r="I1552" s="50" t="s">
        <v>116</v>
      </c>
      <c r="J1552" s="2" t="s">
        <v>0</v>
      </c>
    </row>
    <row r="1553" spans="1:12" x14ac:dyDescent="0.15">
      <c r="A1553" s="32" t="s">
        <v>4</v>
      </c>
      <c r="B1553" s="48">
        <f>B1548</f>
        <v>30</v>
      </c>
      <c r="C1553" s="76">
        <f>C1548</f>
        <v>36</v>
      </c>
      <c r="D1553" s="47">
        <f>SUM(B1553+C1553)</f>
        <v>66</v>
      </c>
      <c r="G1553" s="13" t="s">
        <v>6</v>
      </c>
      <c r="H1553" s="48">
        <f>H1548</f>
        <v>2291</v>
      </c>
      <c r="I1553" s="80">
        <f>I1548</f>
        <v>2446</v>
      </c>
      <c r="J1553" s="47">
        <f>SUM(H1553+I1553)</f>
        <v>4737</v>
      </c>
    </row>
    <row r="1554" spans="1:12" x14ac:dyDescent="0.15">
      <c r="A1554" s="3" t="s">
        <v>244</v>
      </c>
      <c r="B1554" s="24">
        <v>1</v>
      </c>
      <c r="C1554" s="90"/>
      <c r="D1554" s="7">
        <f t="shared" ref="D1554:D1558" si="308">SUM(B1554+C1554)</f>
        <v>1</v>
      </c>
      <c r="E1554" s="61">
        <v>45917</v>
      </c>
      <c r="G1554" s="3" t="s">
        <v>1</v>
      </c>
      <c r="H1554" s="24"/>
      <c r="I1554" s="90"/>
      <c r="J1554" s="7">
        <f t="shared" ref="J1554:J1558" si="309">SUM(H1554+I1554)</f>
        <v>0</v>
      </c>
    </row>
    <row r="1555" spans="1:12" x14ac:dyDescent="0.15">
      <c r="A1555" s="109" t="s">
        <v>1</v>
      </c>
      <c r="B1555" s="110">
        <v>10</v>
      </c>
      <c r="C1555" s="111"/>
      <c r="D1555" s="112">
        <f t="shared" si="308"/>
        <v>10</v>
      </c>
      <c r="E1555" s="113">
        <v>45939</v>
      </c>
      <c r="G1555" s="3" t="s">
        <v>215</v>
      </c>
      <c r="H1555" s="24">
        <v>11</v>
      </c>
      <c r="I1555" s="90">
        <v>33</v>
      </c>
      <c r="J1555" s="7">
        <f t="shared" si="309"/>
        <v>44</v>
      </c>
      <c r="K1555" s="57">
        <v>45947</v>
      </c>
    </row>
    <row r="1556" spans="1:12" x14ac:dyDescent="0.15">
      <c r="A1556" s="3" t="s">
        <v>1</v>
      </c>
      <c r="B1556" s="24">
        <v>5</v>
      </c>
      <c r="C1556" s="90"/>
      <c r="D1556" s="7">
        <f t="shared" si="308"/>
        <v>5</v>
      </c>
      <c r="E1556" s="57">
        <v>45947</v>
      </c>
      <c r="G1556" s="3" t="s">
        <v>215</v>
      </c>
      <c r="H1556" s="24">
        <v>15</v>
      </c>
      <c r="I1556" s="90"/>
      <c r="J1556" s="7">
        <f t="shared" si="309"/>
        <v>15</v>
      </c>
      <c r="K1556" s="57">
        <v>45947</v>
      </c>
    </row>
    <row r="1557" spans="1:12" x14ac:dyDescent="0.15">
      <c r="A1557" s="3" t="s">
        <v>1</v>
      </c>
      <c r="B1557" s="24">
        <v>10</v>
      </c>
      <c r="C1557" s="90">
        <v>10</v>
      </c>
      <c r="D1557" s="7">
        <f t="shared" si="308"/>
        <v>20</v>
      </c>
      <c r="E1557" s="57">
        <v>45954</v>
      </c>
      <c r="G1557" s="3" t="s">
        <v>1</v>
      </c>
      <c r="H1557" s="24"/>
      <c r="I1557" s="90"/>
      <c r="J1557" s="7">
        <f t="shared" si="309"/>
        <v>0</v>
      </c>
    </row>
    <row r="1558" spans="1:12" ht="14.25" thickBot="1" x14ac:dyDescent="0.2">
      <c r="A1558" s="4" t="s">
        <v>1</v>
      </c>
      <c r="B1558" s="75"/>
      <c r="C1558" s="17"/>
      <c r="D1558" s="22">
        <f t="shared" si="308"/>
        <v>0</v>
      </c>
      <c r="G1558" s="4" t="s">
        <v>1</v>
      </c>
      <c r="H1558" s="75"/>
      <c r="I1558" s="17"/>
      <c r="J1558" s="22">
        <f t="shared" si="309"/>
        <v>0</v>
      </c>
    </row>
    <row r="1559" spans="1:12" ht="14.25" thickBot="1" x14ac:dyDescent="0.2">
      <c r="A1559" s="14" t="s">
        <v>2</v>
      </c>
      <c r="B1559" s="84">
        <f>SUM(B1553:B1558)</f>
        <v>56</v>
      </c>
      <c r="C1559" s="65">
        <f>SUM(C1553:C1558)</f>
        <v>46</v>
      </c>
      <c r="D1559" s="18">
        <f>SUM(B1559+C1559)</f>
        <v>102</v>
      </c>
      <c r="G1559" s="14" t="s">
        <v>2</v>
      </c>
      <c r="H1559" s="84">
        <f>SUM(H1553:H1558)</f>
        <v>2317</v>
      </c>
      <c r="I1559" s="65">
        <f>SUM(I1553:I1558)</f>
        <v>2479</v>
      </c>
      <c r="J1559" s="18">
        <f>SUM(H1559+I1559)</f>
        <v>4796</v>
      </c>
    </row>
    <row r="1560" spans="1:12" x14ac:dyDescent="0.15">
      <c r="A1560" s="29" t="s">
        <v>112</v>
      </c>
      <c r="B1560" s="6">
        <v>1</v>
      </c>
      <c r="C1560" s="27"/>
      <c r="D1560" s="35">
        <f t="shared" ref="D1560:D1583" si="310">SUM(B1560+C1560)</f>
        <v>1</v>
      </c>
      <c r="E1560" s="61">
        <v>45911</v>
      </c>
      <c r="G1560" s="43" t="s">
        <v>352</v>
      </c>
      <c r="H1560" s="6">
        <v>20</v>
      </c>
      <c r="I1560" s="27">
        <v>20</v>
      </c>
      <c r="J1560" s="35">
        <f t="shared" ref="J1560:J1583" si="311">SUM(H1560+I1560)</f>
        <v>40</v>
      </c>
      <c r="K1560" s="57">
        <v>45905</v>
      </c>
      <c r="L1560" s="19"/>
    </row>
    <row r="1561" spans="1:12" x14ac:dyDescent="0.15">
      <c r="A1561" s="29" t="s">
        <v>112</v>
      </c>
      <c r="B1561" s="6">
        <v>1</v>
      </c>
      <c r="C1561" s="27">
        <v>3</v>
      </c>
      <c r="D1561" s="35">
        <f t="shared" si="310"/>
        <v>4</v>
      </c>
      <c r="E1561" s="61">
        <v>45912</v>
      </c>
      <c r="G1561" s="43" t="s">
        <v>353</v>
      </c>
      <c r="H1561" s="6">
        <v>10</v>
      </c>
      <c r="I1561" s="27"/>
      <c r="J1561" s="35">
        <f t="shared" si="311"/>
        <v>10</v>
      </c>
      <c r="K1561" s="57">
        <v>45910</v>
      </c>
      <c r="L1561" s="19"/>
    </row>
    <row r="1562" spans="1:12" x14ac:dyDescent="0.15">
      <c r="A1562" s="43" t="s">
        <v>355</v>
      </c>
      <c r="B1562" s="6"/>
      <c r="C1562" s="27">
        <v>5</v>
      </c>
      <c r="D1562" s="35">
        <f t="shared" si="310"/>
        <v>5</v>
      </c>
      <c r="E1562" s="61">
        <v>45913</v>
      </c>
      <c r="G1562" s="43" t="s">
        <v>354</v>
      </c>
      <c r="H1562" s="6">
        <v>20</v>
      </c>
      <c r="I1562" s="27"/>
      <c r="J1562" s="35">
        <f t="shared" si="311"/>
        <v>20</v>
      </c>
      <c r="K1562" s="57">
        <v>45912</v>
      </c>
      <c r="L1562" s="19"/>
    </row>
    <row r="1563" spans="1:12" x14ac:dyDescent="0.15">
      <c r="A1563" s="29" t="s">
        <v>112</v>
      </c>
      <c r="B1563" s="6"/>
      <c r="C1563" s="27">
        <v>1</v>
      </c>
      <c r="D1563" s="35">
        <f t="shared" si="310"/>
        <v>1</v>
      </c>
      <c r="E1563" s="61">
        <v>45916</v>
      </c>
      <c r="G1563" s="114" t="s">
        <v>356</v>
      </c>
      <c r="H1563" s="115">
        <v>10</v>
      </c>
      <c r="I1563" s="116"/>
      <c r="J1563" s="117">
        <f t="shared" si="311"/>
        <v>10</v>
      </c>
      <c r="K1563" s="113">
        <v>45939</v>
      </c>
      <c r="L1563" s="19"/>
    </row>
    <row r="1564" spans="1:12" x14ac:dyDescent="0.15">
      <c r="A1564" s="29" t="s">
        <v>112</v>
      </c>
      <c r="B1564" s="6">
        <v>1</v>
      </c>
      <c r="C1564" s="27"/>
      <c r="D1564" s="35">
        <f t="shared" si="310"/>
        <v>1</v>
      </c>
      <c r="E1564" s="61">
        <v>45918</v>
      </c>
      <c r="G1564" s="43" t="s">
        <v>21</v>
      </c>
      <c r="H1564" s="6">
        <v>5</v>
      </c>
      <c r="I1564" s="27"/>
      <c r="J1564" s="35">
        <f t="shared" si="311"/>
        <v>5</v>
      </c>
      <c r="K1564" s="57">
        <v>45947</v>
      </c>
    </row>
    <row r="1565" spans="1:12" x14ac:dyDescent="0.15">
      <c r="A1565" s="29" t="s">
        <v>112</v>
      </c>
      <c r="B1565" s="6">
        <v>2</v>
      </c>
      <c r="C1565" s="27"/>
      <c r="D1565" s="35">
        <f t="shared" si="310"/>
        <v>2</v>
      </c>
      <c r="E1565" s="61">
        <v>45919</v>
      </c>
      <c r="G1565" s="43" t="s">
        <v>21</v>
      </c>
      <c r="H1565" s="6">
        <v>10</v>
      </c>
      <c r="I1565" s="27">
        <v>10</v>
      </c>
      <c r="J1565" s="35">
        <f t="shared" si="311"/>
        <v>20</v>
      </c>
      <c r="K1565" s="57">
        <v>45954</v>
      </c>
    </row>
    <row r="1566" spans="1:12" x14ac:dyDescent="0.15">
      <c r="A1566" s="29" t="s">
        <v>112</v>
      </c>
      <c r="B1566" s="6">
        <v>4</v>
      </c>
      <c r="C1566" s="27"/>
      <c r="D1566" s="35">
        <f t="shared" si="310"/>
        <v>4</v>
      </c>
      <c r="E1566" s="61">
        <v>45922</v>
      </c>
      <c r="G1566" s="43"/>
      <c r="H1566" s="6"/>
      <c r="I1566" s="27"/>
      <c r="J1566" s="35">
        <f t="shared" si="311"/>
        <v>0</v>
      </c>
    </row>
    <row r="1567" spans="1:12" x14ac:dyDescent="0.15">
      <c r="A1567" s="29" t="s">
        <v>112</v>
      </c>
      <c r="B1567" s="6">
        <v>4</v>
      </c>
      <c r="C1567" s="27">
        <v>1</v>
      </c>
      <c r="D1567" s="35">
        <f t="shared" si="310"/>
        <v>5</v>
      </c>
      <c r="E1567" s="61">
        <v>45924</v>
      </c>
      <c r="G1567" s="43"/>
      <c r="H1567" s="6"/>
      <c r="I1567" s="27"/>
      <c r="J1567" s="35">
        <f t="shared" si="311"/>
        <v>0</v>
      </c>
    </row>
    <row r="1568" spans="1:12" x14ac:dyDescent="0.15">
      <c r="A1568" s="29" t="s">
        <v>112</v>
      </c>
      <c r="B1568" s="6">
        <v>3</v>
      </c>
      <c r="C1568" s="27"/>
      <c r="D1568" s="35">
        <f t="shared" si="310"/>
        <v>3</v>
      </c>
      <c r="E1568" s="61">
        <v>45926</v>
      </c>
      <c r="G1568" s="43"/>
      <c r="H1568" s="6"/>
      <c r="I1568" s="27"/>
      <c r="J1568" s="35">
        <f t="shared" si="311"/>
        <v>0</v>
      </c>
    </row>
    <row r="1569" spans="1:11" x14ac:dyDescent="0.15">
      <c r="A1569" s="29" t="s">
        <v>112</v>
      </c>
      <c r="B1569" s="6">
        <v>1</v>
      </c>
      <c r="C1569" s="27">
        <v>2</v>
      </c>
      <c r="D1569" s="35">
        <f t="shared" si="310"/>
        <v>3</v>
      </c>
      <c r="E1569" s="61">
        <v>45929</v>
      </c>
      <c r="G1569" s="43"/>
      <c r="H1569" s="6"/>
      <c r="I1569" s="27"/>
      <c r="J1569" s="35">
        <f t="shared" si="311"/>
        <v>0</v>
      </c>
    </row>
    <row r="1570" spans="1:11" x14ac:dyDescent="0.15">
      <c r="A1570" s="29" t="s">
        <v>112</v>
      </c>
      <c r="B1570" s="6"/>
      <c r="C1570" s="27">
        <v>1</v>
      </c>
      <c r="D1570" s="35">
        <f t="shared" si="310"/>
        <v>1</v>
      </c>
      <c r="E1570" s="61">
        <v>45930</v>
      </c>
      <c r="G1570" s="43"/>
      <c r="H1570" s="6"/>
      <c r="I1570" s="27"/>
      <c r="J1570" s="35">
        <f t="shared" si="311"/>
        <v>0</v>
      </c>
    </row>
    <row r="1571" spans="1:11" x14ac:dyDescent="0.15">
      <c r="A1571" s="29" t="s">
        <v>22</v>
      </c>
      <c r="B1571" s="6">
        <v>1</v>
      </c>
      <c r="C1571" s="27">
        <v>3</v>
      </c>
      <c r="D1571" s="35">
        <f t="shared" si="310"/>
        <v>4</v>
      </c>
      <c r="E1571" s="61">
        <v>45931</v>
      </c>
      <c r="G1571" s="43"/>
      <c r="H1571" s="6"/>
      <c r="I1571" s="27"/>
      <c r="J1571" s="35">
        <f t="shared" si="311"/>
        <v>0</v>
      </c>
    </row>
    <row r="1572" spans="1:11" x14ac:dyDescent="0.15">
      <c r="A1572" s="29" t="s">
        <v>22</v>
      </c>
      <c r="B1572" s="6">
        <v>2</v>
      </c>
      <c r="C1572" s="27">
        <v>1</v>
      </c>
      <c r="D1572" s="35">
        <f t="shared" si="310"/>
        <v>3</v>
      </c>
      <c r="E1572" s="61">
        <v>45932</v>
      </c>
      <c r="G1572" s="43"/>
      <c r="H1572" s="6"/>
      <c r="I1572" s="27"/>
      <c r="J1572" s="35">
        <f t="shared" si="311"/>
        <v>0</v>
      </c>
    </row>
    <row r="1573" spans="1:11" x14ac:dyDescent="0.15">
      <c r="A1573" s="29" t="s">
        <v>22</v>
      </c>
      <c r="B1573" s="6">
        <v>1</v>
      </c>
      <c r="C1573" s="27"/>
      <c r="D1573" s="35">
        <f t="shared" si="310"/>
        <v>1</v>
      </c>
      <c r="E1573" s="61">
        <v>45936</v>
      </c>
      <c r="G1573" s="43"/>
      <c r="H1573" s="6"/>
      <c r="I1573" s="27"/>
      <c r="J1573" s="35">
        <f t="shared" si="311"/>
        <v>0</v>
      </c>
    </row>
    <row r="1574" spans="1:11" x14ac:dyDescent="0.15">
      <c r="A1574" s="29" t="s">
        <v>22</v>
      </c>
      <c r="B1574" s="6">
        <v>2</v>
      </c>
      <c r="C1574" s="27"/>
      <c r="D1574" s="35">
        <f t="shared" si="310"/>
        <v>2</v>
      </c>
      <c r="E1574" s="61">
        <v>45937</v>
      </c>
      <c r="G1574" s="43"/>
      <c r="H1574" s="6"/>
      <c r="I1574" s="27"/>
      <c r="J1574" s="35">
        <f t="shared" si="311"/>
        <v>0</v>
      </c>
    </row>
    <row r="1575" spans="1:11" x14ac:dyDescent="0.15">
      <c r="A1575" s="29" t="s">
        <v>22</v>
      </c>
      <c r="B1575" s="6">
        <v>2</v>
      </c>
      <c r="C1575" s="27"/>
      <c r="D1575" s="35">
        <f t="shared" si="310"/>
        <v>2</v>
      </c>
      <c r="E1575" s="61">
        <v>45938</v>
      </c>
      <c r="G1575" s="43"/>
      <c r="H1575" s="6"/>
      <c r="I1575" s="27"/>
      <c r="J1575" s="35">
        <f t="shared" si="311"/>
        <v>0</v>
      </c>
    </row>
    <row r="1576" spans="1:11" x14ac:dyDescent="0.15">
      <c r="A1576" s="29" t="s">
        <v>22</v>
      </c>
      <c r="B1576" s="6">
        <v>2</v>
      </c>
      <c r="C1576" s="27"/>
      <c r="D1576" s="35">
        <f t="shared" si="310"/>
        <v>2</v>
      </c>
      <c r="E1576" s="61">
        <v>45939</v>
      </c>
      <c r="G1576" s="43"/>
      <c r="H1576" s="6"/>
      <c r="I1576" s="27"/>
      <c r="J1576" s="35">
        <f t="shared" si="311"/>
        <v>0</v>
      </c>
    </row>
    <row r="1577" spans="1:11" x14ac:dyDescent="0.15">
      <c r="A1577" s="29" t="s">
        <v>22</v>
      </c>
      <c r="B1577" s="6">
        <v>1</v>
      </c>
      <c r="C1577" s="27">
        <v>1</v>
      </c>
      <c r="D1577" s="35">
        <f t="shared" si="310"/>
        <v>2</v>
      </c>
      <c r="E1577" s="61">
        <v>45940</v>
      </c>
      <c r="G1577" s="43"/>
      <c r="H1577" s="6"/>
      <c r="I1577" s="27"/>
      <c r="J1577" s="35">
        <f t="shared" si="311"/>
        <v>0</v>
      </c>
    </row>
    <row r="1578" spans="1:11" x14ac:dyDescent="0.15">
      <c r="A1578" s="29" t="s">
        <v>22</v>
      </c>
      <c r="B1578" s="6">
        <f>1+1+1</f>
        <v>3</v>
      </c>
      <c r="C1578" s="27">
        <v>3</v>
      </c>
      <c r="D1578" s="35">
        <f t="shared" si="310"/>
        <v>6</v>
      </c>
      <c r="E1578" s="61">
        <v>45944</v>
      </c>
      <c r="G1578" s="43"/>
      <c r="H1578" s="6"/>
      <c r="I1578" s="27"/>
      <c r="J1578" s="35">
        <f t="shared" si="311"/>
        <v>0</v>
      </c>
    </row>
    <row r="1579" spans="1:11" x14ac:dyDescent="0.15">
      <c r="A1579" s="29" t="s">
        <v>22</v>
      </c>
      <c r="B1579" s="6"/>
      <c r="C1579" s="27">
        <v>2</v>
      </c>
      <c r="D1579" s="35">
        <f t="shared" si="310"/>
        <v>2</v>
      </c>
      <c r="E1579" s="61">
        <v>45950</v>
      </c>
      <c r="G1579" s="43"/>
      <c r="H1579" s="6"/>
      <c r="I1579" s="27"/>
      <c r="J1579" s="35">
        <f t="shared" ref="J1579:J1581" si="312">SUM(H1579+I1579)</f>
        <v>0</v>
      </c>
    </row>
    <row r="1580" spans="1:11" x14ac:dyDescent="0.15">
      <c r="A1580" s="29" t="s">
        <v>22</v>
      </c>
      <c r="B1580" s="6">
        <v>2</v>
      </c>
      <c r="C1580" s="27">
        <v>1</v>
      </c>
      <c r="D1580" s="35">
        <f t="shared" si="310"/>
        <v>3</v>
      </c>
      <c r="E1580" s="61">
        <v>45951</v>
      </c>
      <c r="G1580" s="43"/>
      <c r="H1580" s="6"/>
      <c r="I1580" s="27"/>
      <c r="J1580" s="35">
        <f t="shared" si="312"/>
        <v>0</v>
      </c>
    </row>
    <row r="1581" spans="1:11" x14ac:dyDescent="0.15">
      <c r="A1581" s="29" t="s">
        <v>22</v>
      </c>
      <c r="B1581" s="6">
        <v>2</v>
      </c>
      <c r="C1581" s="27">
        <f>1+1</f>
        <v>2</v>
      </c>
      <c r="D1581" s="35">
        <f t="shared" si="310"/>
        <v>4</v>
      </c>
      <c r="E1581" s="61">
        <v>45952</v>
      </c>
      <c r="G1581" s="43" t="s">
        <v>347</v>
      </c>
      <c r="H1581" s="6"/>
      <c r="I1581" s="27"/>
      <c r="J1581" s="35">
        <f t="shared" si="312"/>
        <v>0</v>
      </c>
      <c r="K1581" s="19" t="s">
        <v>346</v>
      </c>
    </row>
    <row r="1582" spans="1:11" x14ac:dyDescent="0.15">
      <c r="A1582" s="29" t="s">
        <v>22</v>
      </c>
      <c r="B1582" s="6">
        <v>6</v>
      </c>
      <c r="C1582" s="27">
        <v>3</v>
      </c>
      <c r="D1582" s="35">
        <f t="shared" si="310"/>
        <v>9</v>
      </c>
      <c r="E1582" s="61">
        <v>45957</v>
      </c>
      <c r="G1582" s="106" t="s">
        <v>337</v>
      </c>
      <c r="H1582" s="98"/>
      <c r="I1582" s="99"/>
      <c r="J1582" s="100">
        <f t="shared" si="311"/>
        <v>0</v>
      </c>
      <c r="K1582" s="107"/>
    </row>
    <row r="1583" spans="1:11" ht="14.25" thickBot="1" x14ac:dyDescent="0.2">
      <c r="A1583" s="29" t="s">
        <v>22</v>
      </c>
      <c r="B1583" s="6">
        <v>1</v>
      </c>
      <c r="C1583" s="27">
        <v>1</v>
      </c>
      <c r="D1583" s="35">
        <f t="shared" si="310"/>
        <v>2</v>
      </c>
      <c r="E1583" s="61">
        <v>45958</v>
      </c>
      <c r="G1583" s="43" t="s">
        <v>333</v>
      </c>
      <c r="H1583" s="6"/>
      <c r="I1583" s="27"/>
      <c r="J1583" s="35">
        <f t="shared" si="311"/>
        <v>0</v>
      </c>
      <c r="K1583" s="19" t="s">
        <v>334</v>
      </c>
    </row>
    <row r="1584" spans="1:11" ht="14.25" thickBot="1" x14ac:dyDescent="0.2">
      <c r="A1584" s="9" t="s">
        <v>3</v>
      </c>
      <c r="B1584" s="10">
        <f>SUM(B1560:B1583)</f>
        <v>42</v>
      </c>
      <c r="C1584" s="66">
        <f>SUM(C1560:C1583)</f>
        <v>30</v>
      </c>
      <c r="D1584" s="11">
        <f>SUM(D1560:D1583)</f>
        <v>72</v>
      </c>
      <c r="G1584" s="9" t="s">
        <v>3</v>
      </c>
      <c r="H1584" s="10">
        <f>SUM(H1560:H1583)</f>
        <v>75</v>
      </c>
      <c r="I1584" s="66">
        <f>SUM(I1560:I1583)</f>
        <v>30</v>
      </c>
      <c r="J1584" s="11">
        <f>SUM(J1560:J1583)</f>
        <v>105</v>
      </c>
    </row>
    <row r="1585" spans="1:13" ht="14.25" thickBot="1" x14ac:dyDescent="0.2">
      <c r="A1585" s="14" t="s">
        <v>4</v>
      </c>
      <c r="B1585" s="16">
        <f>B1559-B1584</f>
        <v>14</v>
      </c>
      <c r="C1585" s="16">
        <f>C1559-C1584</f>
        <v>16</v>
      </c>
      <c r="D1585" s="84">
        <f>D1559-D1584</f>
        <v>30</v>
      </c>
      <c r="G1585" s="14" t="s">
        <v>4</v>
      </c>
      <c r="H1585" s="16">
        <f>H1559-H1584</f>
        <v>2242</v>
      </c>
      <c r="I1585" s="16">
        <f>I1559-I1584</f>
        <v>2449</v>
      </c>
      <c r="J1585" s="16">
        <f>J1559-J1584</f>
        <v>4691</v>
      </c>
      <c r="M1585" t="s">
        <v>345</v>
      </c>
    </row>
    <row r="1588" spans="1:13" ht="24.75" thickBot="1" x14ac:dyDescent="0.3">
      <c r="A1588" s="25" t="s">
        <v>7</v>
      </c>
      <c r="B1588" s="1"/>
      <c r="C1588" s="1"/>
      <c r="D1588" s="1"/>
      <c r="G1588" s="25" t="s">
        <v>8</v>
      </c>
      <c r="H1588" s="1"/>
      <c r="I1588" s="1"/>
      <c r="J1588" s="1"/>
    </row>
    <row r="1589" spans="1:13" ht="14.25" thickBot="1" x14ac:dyDescent="0.2">
      <c r="A1589" s="2"/>
      <c r="B1589" s="50" t="s">
        <v>115</v>
      </c>
      <c r="C1589" s="50" t="s">
        <v>116</v>
      </c>
      <c r="D1589" s="2" t="s">
        <v>0</v>
      </c>
      <c r="G1589" s="2"/>
      <c r="H1589" s="50" t="s">
        <v>115</v>
      </c>
      <c r="I1589" s="50" t="s">
        <v>116</v>
      </c>
      <c r="J1589" s="2" t="s">
        <v>0</v>
      </c>
    </row>
    <row r="1590" spans="1:13" x14ac:dyDescent="0.15">
      <c r="A1590" s="32" t="s">
        <v>4</v>
      </c>
      <c r="B1590" s="48">
        <f>B1585</f>
        <v>14</v>
      </c>
      <c r="C1590" s="76">
        <f>C1585</f>
        <v>16</v>
      </c>
      <c r="D1590" s="47">
        <f>SUM(B1590+C1590)</f>
        <v>30</v>
      </c>
      <c r="G1590" s="13" t="s">
        <v>6</v>
      </c>
      <c r="H1590" s="48">
        <f>H1585</f>
        <v>2242</v>
      </c>
      <c r="I1590" s="80">
        <f>I1585</f>
        <v>2449</v>
      </c>
      <c r="J1590" s="47">
        <f>SUM(H1590+I1590)</f>
        <v>4691</v>
      </c>
    </row>
    <row r="1591" spans="1:13" x14ac:dyDescent="0.15">
      <c r="A1591" s="4" t="s">
        <v>1</v>
      </c>
      <c r="B1591" s="24">
        <v>10</v>
      </c>
      <c r="C1591" s="90"/>
      <c r="D1591" s="7">
        <f t="shared" ref="D1591:D1594" si="313">SUM(B1591+C1591)</f>
        <v>10</v>
      </c>
      <c r="E1591" s="57">
        <v>45961</v>
      </c>
      <c r="G1591" s="3" t="s">
        <v>1</v>
      </c>
      <c r="H1591" s="24"/>
      <c r="I1591" s="90"/>
      <c r="J1591" s="7">
        <f t="shared" ref="J1591:J1593" si="314">SUM(H1591+I1591)</f>
        <v>0</v>
      </c>
    </row>
    <row r="1592" spans="1:13" x14ac:dyDescent="0.15">
      <c r="A1592" s="4" t="s">
        <v>342</v>
      </c>
      <c r="B1592" s="24">
        <v>2</v>
      </c>
      <c r="C1592" s="90"/>
      <c r="D1592" s="7">
        <f t="shared" si="313"/>
        <v>2</v>
      </c>
      <c r="E1592" s="57">
        <v>45978</v>
      </c>
      <c r="G1592" s="3" t="s">
        <v>1</v>
      </c>
      <c r="H1592" s="24"/>
      <c r="I1592" s="90"/>
      <c r="J1592" s="7">
        <f t="shared" si="314"/>
        <v>0</v>
      </c>
    </row>
    <row r="1593" spans="1:13" x14ac:dyDescent="0.15">
      <c r="A1593" s="4" t="s">
        <v>1</v>
      </c>
      <c r="B1593" s="24">
        <v>15</v>
      </c>
      <c r="C1593" s="90">
        <v>10</v>
      </c>
      <c r="D1593" s="7">
        <f t="shared" si="313"/>
        <v>25</v>
      </c>
      <c r="E1593" s="57">
        <v>45989</v>
      </c>
      <c r="G1593" s="3" t="s">
        <v>1</v>
      </c>
      <c r="H1593" s="24"/>
      <c r="I1593" s="90"/>
      <c r="J1593" s="7">
        <f t="shared" si="314"/>
        <v>0</v>
      </c>
    </row>
    <row r="1594" spans="1:13" x14ac:dyDescent="0.15">
      <c r="A1594" s="118" t="s">
        <v>1</v>
      </c>
      <c r="B1594" s="110">
        <v>20</v>
      </c>
      <c r="C1594" s="111">
        <v>5</v>
      </c>
      <c r="D1594" s="112">
        <f t="shared" si="313"/>
        <v>25</v>
      </c>
      <c r="E1594" s="113">
        <v>45994</v>
      </c>
      <c r="G1594" s="3" t="s">
        <v>1</v>
      </c>
      <c r="H1594" s="24"/>
      <c r="I1594" s="90"/>
      <c r="J1594" s="7">
        <f t="shared" ref="J1594:J1595" si="315">SUM(H1594+I1594)</f>
        <v>0</v>
      </c>
    </row>
    <row r="1595" spans="1:13" ht="14.25" thickBot="1" x14ac:dyDescent="0.2">
      <c r="A1595" s="118" t="s">
        <v>1</v>
      </c>
      <c r="B1595" s="119">
        <v>10</v>
      </c>
      <c r="C1595" s="120">
        <v>5</v>
      </c>
      <c r="D1595" s="121">
        <f t="shared" ref="D1595" si="316">SUM(B1595+C1595)</f>
        <v>15</v>
      </c>
      <c r="E1595" s="113">
        <v>46007</v>
      </c>
      <c r="G1595" s="4" t="s">
        <v>1</v>
      </c>
      <c r="H1595" s="75"/>
      <c r="I1595" s="17"/>
      <c r="J1595" s="22">
        <f t="shared" si="315"/>
        <v>0</v>
      </c>
    </row>
    <row r="1596" spans="1:13" ht="14.25" thickBot="1" x14ac:dyDescent="0.2">
      <c r="A1596" s="14" t="s">
        <v>2</v>
      </c>
      <c r="B1596" s="84">
        <f>SUM(B1590:B1595)</f>
        <v>71</v>
      </c>
      <c r="C1596" s="65">
        <f>SUM(C1590:C1595)</f>
        <v>36</v>
      </c>
      <c r="D1596" s="18">
        <f>SUM(B1596+C1596)</f>
        <v>107</v>
      </c>
      <c r="G1596" s="14" t="s">
        <v>2</v>
      </c>
      <c r="H1596" s="84">
        <f>SUM(H1590:H1595)</f>
        <v>2242</v>
      </c>
      <c r="I1596" s="65">
        <f>SUM(I1590:I1595)</f>
        <v>2449</v>
      </c>
      <c r="J1596" s="18">
        <f>SUM(H1596+I1596)</f>
        <v>4691</v>
      </c>
    </row>
    <row r="1597" spans="1:13" x14ac:dyDescent="0.15">
      <c r="A1597" s="29" t="s">
        <v>22</v>
      </c>
      <c r="B1597" s="6">
        <v>6</v>
      </c>
      <c r="C1597" s="27"/>
      <c r="D1597" s="35">
        <f t="shared" ref="D1597:D1619" si="317">SUM(B1597+C1597)</f>
        <v>6</v>
      </c>
      <c r="E1597" s="61">
        <v>45959</v>
      </c>
      <c r="G1597" s="43" t="s">
        <v>358</v>
      </c>
      <c r="H1597" s="6">
        <v>10</v>
      </c>
      <c r="I1597" s="27"/>
      <c r="J1597" s="35">
        <f t="shared" ref="J1597:J1602" si="318">SUM(H1597+I1597)</f>
        <v>10</v>
      </c>
      <c r="K1597" s="57">
        <v>45961</v>
      </c>
    </row>
    <row r="1598" spans="1:13" x14ac:dyDescent="0.15">
      <c r="A1598" s="43" t="s">
        <v>357</v>
      </c>
      <c r="B1598" s="6">
        <v>-1</v>
      </c>
      <c r="C1598" s="27">
        <v>-1</v>
      </c>
      <c r="D1598" s="35">
        <f t="shared" si="317"/>
        <v>-2</v>
      </c>
      <c r="E1598" s="61">
        <v>45959</v>
      </c>
      <c r="G1598" s="43" t="s">
        <v>21</v>
      </c>
      <c r="H1598" s="6">
        <v>15</v>
      </c>
      <c r="I1598" s="27">
        <v>10</v>
      </c>
      <c r="J1598" s="35">
        <f t="shared" si="318"/>
        <v>25</v>
      </c>
      <c r="K1598" s="57">
        <v>45989</v>
      </c>
    </row>
    <row r="1599" spans="1:13" x14ac:dyDescent="0.15">
      <c r="A1599" s="29" t="s">
        <v>22</v>
      </c>
      <c r="B1599" s="6">
        <v>1</v>
      </c>
      <c r="C1599" s="27"/>
      <c r="D1599" s="35">
        <f t="shared" si="317"/>
        <v>1</v>
      </c>
      <c r="E1599" s="61">
        <v>45961</v>
      </c>
      <c r="G1599" s="114" t="s">
        <v>21</v>
      </c>
      <c r="H1599" s="115">
        <v>20</v>
      </c>
      <c r="I1599" s="116">
        <v>5</v>
      </c>
      <c r="J1599" s="117">
        <f t="shared" si="318"/>
        <v>25</v>
      </c>
      <c r="K1599" s="113">
        <v>45994</v>
      </c>
    </row>
    <row r="1600" spans="1:13" x14ac:dyDescent="0.15">
      <c r="A1600" s="29" t="s">
        <v>22</v>
      </c>
      <c r="B1600" s="6">
        <v>1</v>
      </c>
      <c r="C1600" s="27"/>
      <c r="D1600" s="35">
        <f t="shared" si="317"/>
        <v>1</v>
      </c>
      <c r="E1600" s="61">
        <v>45968</v>
      </c>
      <c r="G1600" s="114" t="s">
        <v>21</v>
      </c>
      <c r="H1600" s="115">
        <v>10</v>
      </c>
      <c r="I1600" s="116">
        <v>5</v>
      </c>
      <c r="J1600" s="117">
        <f t="shared" si="318"/>
        <v>15</v>
      </c>
      <c r="K1600" s="113">
        <v>46007</v>
      </c>
    </row>
    <row r="1601" spans="1:10" x14ac:dyDescent="0.15">
      <c r="A1601" s="29" t="s">
        <v>22</v>
      </c>
      <c r="B1601" s="6"/>
      <c r="C1601" s="27">
        <v>1</v>
      </c>
      <c r="D1601" s="35">
        <f t="shared" si="317"/>
        <v>1</v>
      </c>
      <c r="E1601" s="61">
        <v>45972</v>
      </c>
      <c r="G1601" s="43"/>
      <c r="H1601" s="6"/>
      <c r="I1601" s="27"/>
      <c r="J1601" s="35">
        <f t="shared" si="318"/>
        <v>0</v>
      </c>
    </row>
    <row r="1602" spans="1:10" x14ac:dyDescent="0.15">
      <c r="A1602" s="29" t="s">
        <v>22</v>
      </c>
      <c r="B1602" s="6">
        <v>4</v>
      </c>
      <c r="C1602" s="27">
        <v>1</v>
      </c>
      <c r="D1602" s="35">
        <f t="shared" si="317"/>
        <v>5</v>
      </c>
      <c r="E1602" s="61">
        <v>45978</v>
      </c>
      <c r="G1602" s="43"/>
      <c r="H1602" s="6"/>
      <c r="I1602" s="27"/>
      <c r="J1602" s="35">
        <f t="shared" si="318"/>
        <v>0</v>
      </c>
    </row>
    <row r="1603" spans="1:10" x14ac:dyDescent="0.15">
      <c r="A1603" s="29" t="s">
        <v>22</v>
      </c>
      <c r="B1603" s="6">
        <v>3</v>
      </c>
      <c r="C1603" s="27">
        <v>2</v>
      </c>
      <c r="D1603" s="35">
        <f t="shared" si="317"/>
        <v>5</v>
      </c>
      <c r="E1603" s="61">
        <v>45982</v>
      </c>
      <c r="G1603" s="43"/>
      <c r="H1603" s="6"/>
      <c r="I1603" s="27"/>
      <c r="J1603" s="35">
        <f t="shared" ref="J1603:J1617" si="319">SUM(H1603+I1603)</f>
        <v>0</v>
      </c>
    </row>
    <row r="1604" spans="1:10" x14ac:dyDescent="0.15">
      <c r="A1604" s="29" t="s">
        <v>22</v>
      </c>
      <c r="B1604" s="6">
        <v>7</v>
      </c>
      <c r="C1604" s="27">
        <v>2</v>
      </c>
      <c r="D1604" s="35">
        <f t="shared" si="317"/>
        <v>9</v>
      </c>
      <c r="E1604" s="61">
        <v>45986</v>
      </c>
      <c r="G1604" s="43"/>
      <c r="H1604" s="6"/>
      <c r="I1604" s="27"/>
      <c r="J1604" s="35">
        <f t="shared" si="319"/>
        <v>0</v>
      </c>
    </row>
    <row r="1605" spans="1:10" x14ac:dyDescent="0.15">
      <c r="A1605" s="29" t="s">
        <v>22</v>
      </c>
      <c r="B1605" s="6">
        <v>2</v>
      </c>
      <c r="C1605" s="27"/>
      <c r="D1605" s="35">
        <f t="shared" si="317"/>
        <v>2</v>
      </c>
      <c r="E1605" s="61">
        <v>45987</v>
      </c>
      <c r="G1605" s="43"/>
      <c r="H1605" s="6"/>
      <c r="I1605" s="27"/>
      <c r="J1605" s="35">
        <f t="shared" si="319"/>
        <v>0</v>
      </c>
    </row>
    <row r="1606" spans="1:10" x14ac:dyDescent="0.15">
      <c r="A1606" s="29" t="s">
        <v>22</v>
      </c>
      <c r="B1606" s="6"/>
      <c r="C1606" s="27">
        <v>1</v>
      </c>
      <c r="D1606" s="35">
        <f t="shared" si="317"/>
        <v>1</v>
      </c>
      <c r="E1606" s="61">
        <v>45990</v>
      </c>
      <c r="G1606" s="43"/>
      <c r="H1606" s="6"/>
      <c r="I1606" s="27"/>
      <c r="J1606" s="35">
        <f t="shared" si="319"/>
        <v>0</v>
      </c>
    </row>
    <row r="1607" spans="1:10" x14ac:dyDescent="0.15">
      <c r="A1607" s="29" t="s">
        <v>22</v>
      </c>
      <c r="B1607" s="6">
        <v>14</v>
      </c>
      <c r="C1607" s="27"/>
      <c r="D1607" s="35">
        <f t="shared" si="317"/>
        <v>14</v>
      </c>
      <c r="E1607" s="61">
        <v>45992</v>
      </c>
      <c r="G1607" s="43"/>
      <c r="H1607" s="6"/>
      <c r="I1607" s="27"/>
      <c r="J1607" s="35">
        <f t="shared" si="319"/>
        <v>0</v>
      </c>
    </row>
    <row r="1608" spans="1:10" x14ac:dyDescent="0.15">
      <c r="A1608" s="29" t="s">
        <v>22</v>
      </c>
      <c r="B1608" s="6">
        <v>2</v>
      </c>
      <c r="C1608" s="27">
        <v>1</v>
      </c>
      <c r="D1608" s="35">
        <f t="shared" si="317"/>
        <v>3</v>
      </c>
      <c r="E1608" s="61">
        <v>45993</v>
      </c>
      <c r="G1608" s="43"/>
      <c r="H1608" s="6"/>
      <c r="I1608" s="27"/>
      <c r="J1608" s="35">
        <f t="shared" si="319"/>
        <v>0</v>
      </c>
    </row>
    <row r="1609" spans="1:10" x14ac:dyDescent="0.15">
      <c r="A1609" s="29" t="s">
        <v>22</v>
      </c>
      <c r="B1609" s="6"/>
      <c r="C1609" s="27">
        <v>1</v>
      </c>
      <c r="D1609" s="35">
        <f t="shared" si="317"/>
        <v>1</v>
      </c>
      <c r="E1609" s="61">
        <v>45996</v>
      </c>
      <c r="G1609" s="43"/>
      <c r="H1609" s="6"/>
      <c r="I1609" s="27"/>
      <c r="J1609" s="35">
        <f t="shared" si="319"/>
        <v>0</v>
      </c>
    </row>
    <row r="1610" spans="1:10" x14ac:dyDescent="0.15">
      <c r="A1610" s="29" t="s">
        <v>22</v>
      </c>
      <c r="B1610" s="6">
        <v>5</v>
      </c>
      <c r="C1610" s="27">
        <v>2</v>
      </c>
      <c r="D1610" s="35">
        <f t="shared" si="317"/>
        <v>7</v>
      </c>
      <c r="E1610" s="61">
        <v>45999</v>
      </c>
      <c r="G1610" s="43"/>
      <c r="H1610" s="6"/>
      <c r="I1610" s="27"/>
      <c r="J1610" s="35">
        <f t="shared" si="319"/>
        <v>0</v>
      </c>
    </row>
    <row r="1611" spans="1:10" x14ac:dyDescent="0.15">
      <c r="A1611" s="29" t="s">
        <v>22</v>
      </c>
      <c r="B1611" s="6">
        <v>7</v>
      </c>
      <c r="C1611" s="27">
        <v>1</v>
      </c>
      <c r="D1611" s="35">
        <f t="shared" si="317"/>
        <v>8</v>
      </c>
      <c r="E1611" s="61">
        <v>46006</v>
      </c>
      <c r="G1611" s="43"/>
      <c r="H1611" s="6"/>
      <c r="I1611" s="27"/>
      <c r="J1611" s="35">
        <f t="shared" si="319"/>
        <v>0</v>
      </c>
    </row>
    <row r="1612" spans="1:10" x14ac:dyDescent="0.15">
      <c r="A1612" s="29" t="s">
        <v>22</v>
      </c>
      <c r="B1612" s="6"/>
      <c r="C1612" s="27">
        <v>3</v>
      </c>
      <c r="D1612" s="35">
        <f t="shared" si="317"/>
        <v>3</v>
      </c>
      <c r="E1612" s="61">
        <v>46007</v>
      </c>
      <c r="G1612" s="43"/>
      <c r="H1612" s="6"/>
      <c r="I1612" s="27"/>
      <c r="J1612" s="35">
        <f t="shared" si="319"/>
        <v>0</v>
      </c>
    </row>
    <row r="1613" spans="1:10" x14ac:dyDescent="0.15">
      <c r="A1613" s="29" t="s">
        <v>22</v>
      </c>
      <c r="B1613" s="6">
        <v>1</v>
      </c>
      <c r="C1613" s="27"/>
      <c r="D1613" s="35">
        <f t="shared" si="317"/>
        <v>1</v>
      </c>
      <c r="E1613" s="61">
        <v>46008</v>
      </c>
      <c r="G1613" s="43"/>
      <c r="H1613" s="6"/>
      <c r="I1613" s="27"/>
      <c r="J1613" s="35">
        <f t="shared" si="319"/>
        <v>0</v>
      </c>
    </row>
    <row r="1614" spans="1:10" x14ac:dyDescent="0.15">
      <c r="A1614" s="29" t="s">
        <v>22</v>
      </c>
      <c r="B1614" s="6">
        <v>1</v>
      </c>
      <c r="C1614" s="27"/>
      <c r="D1614" s="35">
        <f t="shared" ref="D1614" si="320">SUM(B1614+C1614)</f>
        <v>1</v>
      </c>
      <c r="E1614" s="61">
        <v>46010</v>
      </c>
      <c r="G1614" s="43"/>
      <c r="H1614" s="6"/>
      <c r="I1614" s="27"/>
      <c r="J1614" s="35">
        <f t="shared" si="319"/>
        <v>0</v>
      </c>
    </row>
    <row r="1615" spans="1:10" x14ac:dyDescent="0.15">
      <c r="A1615" s="29" t="s">
        <v>22</v>
      </c>
      <c r="B1615" s="6">
        <v>5</v>
      </c>
      <c r="C1615" s="27">
        <v>2</v>
      </c>
      <c r="D1615" s="35">
        <f t="shared" si="317"/>
        <v>7</v>
      </c>
      <c r="E1615" s="61">
        <v>46013</v>
      </c>
      <c r="G1615" s="43"/>
      <c r="H1615" s="6"/>
      <c r="I1615" s="27"/>
      <c r="J1615" s="35">
        <f t="shared" si="319"/>
        <v>0</v>
      </c>
    </row>
    <row r="1616" spans="1:10" x14ac:dyDescent="0.15">
      <c r="A1616" s="29" t="s">
        <v>22</v>
      </c>
      <c r="B1616" s="6"/>
      <c r="C1616" s="27">
        <v>5</v>
      </c>
      <c r="D1616" s="35">
        <f t="shared" si="317"/>
        <v>5</v>
      </c>
      <c r="E1616" s="61">
        <v>46014</v>
      </c>
      <c r="G1616" s="43"/>
      <c r="H1616" s="6"/>
      <c r="I1616" s="27"/>
      <c r="J1616" s="35">
        <f t="shared" si="319"/>
        <v>0</v>
      </c>
    </row>
    <row r="1617" spans="1:10" x14ac:dyDescent="0.15">
      <c r="A1617" s="29" t="s">
        <v>22</v>
      </c>
      <c r="B1617" s="6"/>
      <c r="C1617" s="27">
        <v>2</v>
      </c>
      <c r="D1617" s="35">
        <f t="shared" si="317"/>
        <v>2</v>
      </c>
      <c r="E1617" s="61">
        <v>46016</v>
      </c>
      <c r="G1617" s="43"/>
      <c r="H1617" s="6"/>
      <c r="I1617" s="27"/>
      <c r="J1617" s="35">
        <f t="shared" si="319"/>
        <v>0</v>
      </c>
    </row>
    <row r="1618" spans="1:10" x14ac:dyDescent="0.15">
      <c r="A1618" s="29" t="s">
        <v>22</v>
      </c>
      <c r="B1618" s="6">
        <v>1</v>
      </c>
      <c r="C1618" s="27">
        <v>4</v>
      </c>
      <c r="D1618" s="35">
        <f t="shared" si="317"/>
        <v>5</v>
      </c>
      <c r="E1618" s="61">
        <v>46027</v>
      </c>
      <c r="G1618" s="43"/>
      <c r="H1618" s="6"/>
      <c r="I1618" s="27"/>
      <c r="J1618" s="35">
        <f t="shared" ref="J1618:J1619" si="321">SUM(H1618+I1618)</f>
        <v>0</v>
      </c>
    </row>
    <row r="1619" spans="1:10" x14ac:dyDescent="0.15">
      <c r="A1619" s="29" t="s">
        <v>22</v>
      </c>
      <c r="B1619" s="6"/>
      <c r="C1619" s="27">
        <v>1</v>
      </c>
      <c r="D1619" s="35">
        <f t="shared" si="317"/>
        <v>1</v>
      </c>
      <c r="E1619" s="61">
        <v>46029</v>
      </c>
      <c r="G1619" s="43"/>
      <c r="H1619" s="6"/>
      <c r="I1619" s="27"/>
      <c r="J1619" s="35">
        <f t="shared" si="321"/>
        <v>0</v>
      </c>
    </row>
    <row r="1620" spans="1:10" ht="14.25" thickBot="1" x14ac:dyDescent="0.2">
      <c r="A1620" s="29" t="s">
        <v>22</v>
      </c>
      <c r="B1620" s="6">
        <v>5</v>
      </c>
      <c r="C1620" s="27">
        <v>1</v>
      </c>
      <c r="D1620" s="35">
        <f t="shared" ref="D1620" si="322">SUM(B1620+C1620)</f>
        <v>6</v>
      </c>
      <c r="E1620" s="61">
        <v>46035</v>
      </c>
      <c r="G1620" s="43"/>
      <c r="H1620" s="6"/>
      <c r="I1620" s="27"/>
      <c r="J1620" s="35">
        <f t="shared" ref="J1620" si="323">SUM(H1620+I1620)</f>
        <v>0</v>
      </c>
    </row>
    <row r="1621" spans="1:10" ht="14.25" thickBot="1" x14ac:dyDescent="0.2">
      <c r="A1621" s="9" t="s">
        <v>3</v>
      </c>
      <c r="B1621" s="10">
        <f>SUM(B1597:B1620)</f>
        <v>64</v>
      </c>
      <c r="C1621" s="66">
        <f>SUM(C1597:C1620)</f>
        <v>29</v>
      </c>
      <c r="D1621" s="11">
        <f>SUM(D1597:D1620)</f>
        <v>93</v>
      </c>
      <c r="G1621" s="9" t="s">
        <v>3</v>
      </c>
      <c r="H1621" s="10">
        <f>SUM(H1597:H1620)</f>
        <v>55</v>
      </c>
      <c r="I1621" s="66">
        <f>SUM(I1597:I1620)</f>
        <v>20</v>
      </c>
      <c r="J1621" s="11">
        <f>SUM(J1597:J1620)</f>
        <v>75</v>
      </c>
    </row>
    <row r="1622" spans="1:10" ht="14.25" thickBot="1" x14ac:dyDescent="0.2">
      <c r="A1622" s="14" t="s">
        <v>4</v>
      </c>
      <c r="B1622" s="16">
        <f>B1596-B1621</f>
        <v>7</v>
      </c>
      <c r="C1622" s="16">
        <f>C1596-C1621</f>
        <v>7</v>
      </c>
      <c r="D1622" s="84">
        <f>D1596-D1621</f>
        <v>14</v>
      </c>
      <c r="G1622" s="14" t="s">
        <v>4</v>
      </c>
      <c r="H1622" s="16">
        <f>H1596-H1621</f>
        <v>2187</v>
      </c>
      <c r="I1622" s="16">
        <f>I1596-I1621</f>
        <v>2429</v>
      </c>
      <c r="J1622" s="16">
        <f>J1596-J1621</f>
        <v>4616</v>
      </c>
    </row>
    <row r="1625" spans="1:10" ht="24.75" thickBot="1" x14ac:dyDescent="0.3">
      <c r="A1625" s="25" t="s">
        <v>7</v>
      </c>
      <c r="B1625" s="1"/>
      <c r="C1625" s="1"/>
      <c r="D1625" s="1"/>
      <c r="G1625" s="25" t="s">
        <v>8</v>
      </c>
      <c r="H1625" s="1"/>
      <c r="I1625" s="1"/>
      <c r="J1625" s="1"/>
    </row>
    <row r="1626" spans="1:10" ht="14.25" thickBot="1" x14ac:dyDescent="0.2">
      <c r="A1626" s="2"/>
      <c r="B1626" s="50" t="s">
        <v>115</v>
      </c>
      <c r="C1626" s="50" t="s">
        <v>116</v>
      </c>
      <c r="D1626" s="2" t="s">
        <v>0</v>
      </c>
      <c r="G1626" s="2"/>
      <c r="H1626" s="50" t="s">
        <v>115</v>
      </c>
      <c r="I1626" s="50" t="s">
        <v>116</v>
      </c>
      <c r="J1626" s="2" t="s">
        <v>0</v>
      </c>
    </row>
    <row r="1627" spans="1:10" x14ac:dyDescent="0.15">
      <c r="A1627" s="32" t="s">
        <v>4</v>
      </c>
      <c r="B1627" s="48">
        <f>B1622</f>
        <v>7</v>
      </c>
      <c r="C1627" s="76">
        <f>C1622</f>
        <v>7</v>
      </c>
      <c r="D1627" s="47">
        <f>SUM(B1627+C1627)</f>
        <v>14</v>
      </c>
      <c r="G1627" s="13" t="s">
        <v>6</v>
      </c>
      <c r="H1627" s="48">
        <f>H1622</f>
        <v>2187</v>
      </c>
      <c r="I1627" s="80">
        <f>I1622</f>
        <v>2429</v>
      </c>
      <c r="J1627" s="47">
        <f>SUM(H1627+I1627)</f>
        <v>4616</v>
      </c>
    </row>
    <row r="1628" spans="1:10" x14ac:dyDescent="0.15">
      <c r="A1628" s="4" t="s">
        <v>1</v>
      </c>
      <c r="B1628" s="24">
        <v>10</v>
      </c>
      <c r="C1628" s="90">
        <v>15</v>
      </c>
      <c r="D1628" s="7">
        <f t="shared" ref="D1628:D1632" si="324">SUM(B1628+C1628)</f>
        <v>25</v>
      </c>
      <c r="E1628" s="57">
        <v>46032</v>
      </c>
      <c r="G1628" s="3" t="s">
        <v>1</v>
      </c>
      <c r="H1628" s="24"/>
      <c r="I1628" s="90"/>
      <c r="J1628" s="7">
        <f t="shared" ref="J1628:J1632" si="325">SUM(H1628+I1628)</f>
        <v>0</v>
      </c>
    </row>
    <row r="1629" spans="1:10" x14ac:dyDescent="0.15">
      <c r="A1629" s="4" t="s">
        <v>1</v>
      </c>
      <c r="B1629" s="24">
        <v>3</v>
      </c>
      <c r="C1629" s="90">
        <v>3</v>
      </c>
      <c r="D1629" s="7">
        <f t="shared" si="324"/>
        <v>6</v>
      </c>
      <c r="E1629" s="57">
        <v>46038</v>
      </c>
      <c r="G1629" s="3" t="s">
        <v>1</v>
      </c>
      <c r="H1629" s="24"/>
      <c r="I1629" s="90"/>
      <c r="J1629" s="7">
        <f t="shared" si="325"/>
        <v>0</v>
      </c>
    </row>
    <row r="1630" spans="1:10" x14ac:dyDescent="0.15">
      <c r="A1630" s="4" t="s">
        <v>1</v>
      </c>
      <c r="B1630" s="24">
        <v>10</v>
      </c>
      <c r="C1630" s="90"/>
      <c r="D1630" s="7">
        <f t="shared" si="324"/>
        <v>10</v>
      </c>
      <c r="E1630" s="57">
        <v>46053</v>
      </c>
      <c r="G1630" s="3" t="s">
        <v>1</v>
      </c>
      <c r="H1630" s="24"/>
      <c r="I1630" s="90"/>
      <c r="J1630" s="7">
        <f t="shared" si="325"/>
        <v>0</v>
      </c>
    </row>
    <row r="1631" spans="1:10" x14ac:dyDescent="0.15">
      <c r="A1631" s="4" t="s">
        <v>1</v>
      </c>
      <c r="B1631" s="110">
        <v>10</v>
      </c>
      <c r="C1631" s="111"/>
      <c r="D1631" s="112">
        <f t="shared" si="324"/>
        <v>10</v>
      </c>
      <c r="E1631" s="113">
        <v>46060</v>
      </c>
      <c r="G1631" s="3" t="s">
        <v>1</v>
      </c>
      <c r="H1631" s="24"/>
      <c r="I1631" s="90"/>
      <c r="J1631" s="7">
        <f t="shared" si="325"/>
        <v>0</v>
      </c>
    </row>
    <row r="1632" spans="1:10" ht="14.25" thickBot="1" x14ac:dyDescent="0.2">
      <c r="A1632" s="118" t="s">
        <v>1</v>
      </c>
      <c r="B1632" s="119">
        <v>10</v>
      </c>
      <c r="C1632" s="120">
        <v>20</v>
      </c>
      <c r="D1632" s="121">
        <f t="shared" si="324"/>
        <v>30</v>
      </c>
      <c r="E1632" s="113">
        <v>46074</v>
      </c>
      <c r="G1632" s="4" t="s">
        <v>1</v>
      </c>
      <c r="H1632" s="75"/>
      <c r="I1632" s="17"/>
      <c r="J1632" s="22">
        <f t="shared" si="325"/>
        <v>0</v>
      </c>
    </row>
    <row r="1633" spans="1:11" ht="14.25" thickBot="1" x14ac:dyDescent="0.2">
      <c r="A1633" s="14" t="s">
        <v>2</v>
      </c>
      <c r="B1633" s="84">
        <f>SUM(B1627:B1632)</f>
        <v>50</v>
      </c>
      <c r="C1633" s="65">
        <f>SUM(C1627:C1632)</f>
        <v>45</v>
      </c>
      <c r="D1633" s="18">
        <f>SUM(B1633+C1633)</f>
        <v>95</v>
      </c>
      <c r="G1633" s="14" t="s">
        <v>2</v>
      </c>
      <c r="H1633" s="84">
        <f>SUM(H1627:H1632)</f>
        <v>2187</v>
      </c>
      <c r="I1633" s="65">
        <f>SUM(I1627:I1632)</f>
        <v>2429</v>
      </c>
      <c r="J1633" s="18">
        <f>SUM(H1633+I1633)</f>
        <v>4616</v>
      </c>
    </row>
    <row r="1634" spans="1:11" x14ac:dyDescent="0.15">
      <c r="A1634" s="29" t="s">
        <v>361</v>
      </c>
      <c r="B1634" s="6">
        <v>1</v>
      </c>
      <c r="C1634" s="27"/>
      <c r="D1634" s="35">
        <f t="shared" ref="D1634:D1657" si="326">SUM(B1634+C1634)</f>
        <v>1</v>
      </c>
      <c r="E1634" s="61">
        <v>46038</v>
      </c>
      <c r="G1634" s="43" t="s">
        <v>359</v>
      </c>
      <c r="H1634" s="6">
        <v>10</v>
      </c>
      <c r="I1634" s="27">
        <v>15</v>
      </c>
      <c r="J1634" s="35">
        <f t="shared" ref="J1634:J1638" si="327">SUM(H1634+I1634)</f>
        <v>25</v>
      </c>
      <c r="K1634" s="61">
        <v>46032</v>
      </c>
    </row>
    <row r="1635" spans="1:11" x14ac:dyDescent="0.15">
      <c r="A1635" s="43" t="s">
        <v>22</v>
      </c>
      <c r="B1635" s="6">
        <v>3</v>
      </c>
      <c r="C1635" s="27">
        <v>2</v>
      </c>
      <c r="D1635" s="35">
        <f t="shared" si="326"/>
        <v>5</v>
      </c>
      <c r="E1635" s="61">
        <v>46041</v>
      </c>
      <c r="G1635" s="43" t="s">
        <v>360</v>
      </c>
      <c r="H1635" s="6">
        <v>3</v>
      </c>
      <c r="I1635" s="27">
        <v>3</v>
      </c>
      <c r="J1635" s="35">
        <f t="shared" si="327"/>
        <v>6</v>
      </c>
      <c r="K1635" s="57">
        <v>46038</v>
      </c>
    </row>
    <row r="1636" spans="1:11" x14ac:dyDescent="0.15">
      <c r="A1636" s="43" t="s">
        <v>22</v>
      </c>
      <c r="B1636" s="6">
        <v>2</v>
      </c>
      <c r="C1636" s="27">
        <v>1</v>
      </c>
      <c r="D1636" s="35">
        <f t="shared" si="326"/>
        <v>3</v>
      </c>
      <c r="E1636" s="61">
        <v>46048</v>
      </c>
      <c r="G1636" s="43" t="s">
        <v>360</v>
      </c>
      <c r="H1636" s="6">
        <v>10</v>
      </c>
      <c r="I1636" s="27"/>
      <c r="J1636" s="35">
        <f t="shared" si="327"/>
        <v>10</v>
      </c>
      <c r="K1636" s="57">
        <v>46053</v>
      </c>
    </row>
    <row r="1637" spans="1:11" x14ac:dyDescent="0.15">
      <c r="A1637" s="43" t="s">
        <v>22</v>
      </c>
      <c r="B1637" s="6">
        <v>3</v>
      </c>
      <c r="C1637" s="27"/>
      <c r="D1637" s="35">
        <f t="shared" si="326"/>
        <v>3</v>
      </c>
      <c r="E1637" s="61">
        <v>46052</v>
      </c>
      <c r="G1637" s="43" t="s">
        <v>360</v>
      </c>
      <c r="H1637" s="6">
        <v>10</v>
      </c>
      <c r="I1637" s="27"/>
      <c r="J1637" s="35">
        <f t="shared" si="327"/>
        <v>10</v>
      </c>
      <c r="K1637" s="61">
        <v>46060</v>
      </c>
    </row>
    <row r="1638" spans="1:11" x14ac:dyDescent="0.15">
      <c r="A1638" s="43" t="s">
        <v>22</v>
      </c>
      <c r="B1638" s="6">
        <v>3</v>
      </c>
      <c r="C1638" s="27"/>
      <c r="D1638" s="35">
        <f t="shared" si="326"/>
        <v>3</v>
      </c>
      <c r="E1638" s="61">
        <v>46053</v>
      </c>
      <c r="G1638" s="43" t="s">
        <v>360</v>
      </c>
      <c r="H1638" s="6">
        <v>10</v>
      </c>
      <c r="I1638" s="27">
        <v>20</v>
      </c>
      <c r="J1638" s="35">
        <f t="shared" si="327"/>
        <v>30</v>
      </c>
      <c r="K1638" s="61">
        <v>46074</v>
      </c>
    </row>
    <row r="1639" spans="1:11" x14ac:dyDescent="0.15">
      <c r="A1639" s="43" t="s">
        <v>22</v>
      </c>
      <c r="B1639" s="6">
        <v>6</v>
      </c>
      <c r="C1639" s="27"/>
      <c r="D1639" s="35">
        <f t="shared" si="326"/>
        <v>6</v>
      </c>
      <c r="E1639" s="61">
        <v>46059</v>
      </c>
      <c r="G1639" s="114" t="s">
        <v>360</v>
      </c>
      <c r="H1639" s="115">
        <v>5</v>
      </c>
      <c r="I1639" s="116"/>
      <c r="J1639" s="117">
        <f t="shared" ref="J1639:J1654" si="328">SUM(H1639+I1639)</f>
        <v>5</v>
      </c>
      <c r="K1639" s="113">
        <v>46092</v>
      </c>
    </row>
    <row r="1640" spans="1:11" x14ac:dyDescent="0.15">
      <c r="A1640" s="43" t="s">
        <v>22</v>
      </c>
      <c r="B1640" s="6"/>
      <c r="C1640" s="27">
        <v>6</v>
      </c>
      <c r="D1640" s="35">
        <f t="shared" si="326"/>
        <v>6</v>
      </c>
      <c r="E1640" s="61">
        <v>46062</v>
      </c>
      <c r="G1640" s="114" t="s">
        <v>360</v>
      </c>
      <c r="H1640" s="115">
        <v>10</v>
      </c>
      <c r="I1640" s="116"/>
      <c r="J1640" s="117">
        <f t="shared" si="328"/>
        <v>10</v>
      </c>
      <c r="K1640" s="113">
        <v>46093</v>
      </c>
    </row>
    <row r="1641" spans="1:11" x14ac:dyDescent="0.15">
      <c r="A1641" s="43" t="s">
        <v>22</v>
      </c>
      <c r="B1641" s="6">
        <v>1</v>
      </c>
      <c r="C1641" s="27">
        <v>1</v>
      </c>
      <c r="D1641" s="35">
        <f t="shared" si="326"/>
        <v>2</v>
      </c>
      <c r="E1641" s="61">
        <v>46063</v>
      </c>
      <c r="G1641" s="114" t="s">
        <v>360</v>
      </c>
      <c r="H1641" s="115">
        <v>10</v>
      </c>
      <c r="I1641" s="116">
        <v>10</v>
      </c>
      <c r="J1641" s="117">
        <f t="shared" si="328"/>
        <v>20</v>
      </c>
      <c r="K1641" s="113">
        <v>46100</v>
      </c>
    </row>
    <row r="1642" spans="1:11" x14ac:dyDescent="0.15">
      <c r="A1642" s="43" t="s">
        <v>22</v>
      </c>
      <c r="B1642" s="6">
        <v>2</v>
      </c>
      <c r="C1642" s="27"/>
      <c r="D1642" s="35">
        <f t="shared" si="326"/>
        <v>2</v>
      </c>
      <c r="E1642" s="61">
        <v>46065</v>
      </c>
      <c r="F1642" s="61"/>
      <c r="G1642" s="43"/>
      <c r="H1642" s="6"/>
      <c r="I1642" s="27"/>
      <c r="J1642" s="35">
        <f t="shared" si="328"/>
        <v>0</v>
      </c>
    </row>
    <row r="1643" spans="1:11" x14ac:dyDescent="0.15">
      <c r="A1643" s="43" t="s">
        <v>22</v>
      </c>
      <c r="B1643" s="6">
        <v>2</v>
      </c>
      <c r="C1643" s="27">
        <v>3</v>
      </c>
      <c r="D1643" s="35">
        <f t="shared" si="326"/>
        <v>5</v>
      </c>
      <c r="E1643" s="61">
        <v>46066</v>
      </c>
      <c r="G1643" s="43"/>
      <c r="H1643" s="6"/>
      <c r="I1643" s="27"/>
      <c r="J1643" s="35">
        <f t="shared" si="328"/>
        <v>0</v>
      </c>
    </row>
    <row r="1644" spans="1:11" x14ac:dyDescent="0.15">
      <c r="A1644" s="43" t="s">
        <v>22</v>
      </c>
      <c r="B1644" s="6"/>
      <c r="C1644" s="27">
        <v>2</v>
      </c>
      <c r="D1644" s="35">
        <f t="shared" si="326"/>
        <v>2</v>
      </c>
      <c r="E1644" s="61">
        <v>46069</v>
      </c>
      <c r="G1644" s="43"/>
      <c r="H1644" s="6"/>
      <c r="I1644" s="27"/>
      <c r="J1644" s="35">
        <f t="shared" si="328"/>
        <v>0</v>
      </c>
    </row>
    <row r="1645" spans="1:11" x14ac:dyDescent="0.15">
      <c r="A1645" s="43" t="s">
        <v>22</v>
      </c>
      <c r="B1645" s="6">
        <v>1</v>
      </c>
      <c r="C1645" s="27">
        <v>2</v>
      </c>
      <c r="D1645" s="35">
        <f t="shared" si="326"/>
        <v>3</v>
      </c>
      <c r="E1645" s="61">
        <v>46069</v>
      </c>
      <c r="G1645" s="43"/>
      <c r="H1645" s="6"/>
      <c r="I1645" s="27"/>
      <c r="J1645" s="35">
        <f t="shared" si="328"/>
        <v>0</v>
      </c>
    </row>
    <row r="1646" spans="1:11" x14ac:dyDescent="0.15">
      <c r="A1646" s="43" t="s">
        <v>22</v>
      </c>
      <c r="B1646" s="6"/>
      <c r="C1646" s="27">
        <v>2</v>
      </c>
      <c r="D1646" s="35">
        <f t="shared" si="326"/>
        <v>2</v>
      </c>
      <c r="E1646" s="61">
        <v>46072</v>
      </c>
      <c r="G1646" s="43"/>
      <c r="H1646" s="6"/>
      <c r="I1646" s="27"/>
      <c r="J1646" s="35">
        <f t="shared" si="328"/>
        <v>0</v>
      </c>
    </row>
    <row r="1647" spans="1:11" x14ac:dyDescent="0.15">
      <c r="A1647" s="43" t="s">
        <v>22</v>
      </c>
      <c r="B1647" s="6"/>
      <c r="C1647" s="27">
        <v>1</v>
      </c>
      <c r="D1647" s="35">
        <f t="shared" si="326"/>
        <v>1</v>
      </c>
      <c r="E1647" s="61">
        <v>46073</v>
      </c>
      <c r="G1647" s="43"/>
      <c r="H1647" s="6"/>
      <c r="I1647" s="27"/>
      <c r="J1647" s="35">
        <f t="shared" si="328"/>
        <v>0</v>
      </c>
    </row>
    <row r="1648" spans="1:11" x14ac:dyDescent="0.15">
      <c r="A1648" s="43" t="s">
        <v>22</v>
      </c>
      <c r="B1648" s="6">
        <v>4</v>
      </c>
      <c r="C1648" s="27">
        <v>3</v>
      </c>
      <c r="D1648" s="35">
        <f t="shared" si="326"/>
        <v>7</v>
      </c>
      <c r="E1648" s="61">
        <v>46077</v>
      </c>
      <c r="G1648" s="43"/>
      <c r="H1648" s="6"/>
      <c r="I1648" s="27"/>
      <c r="J1648" s="35">
        <f t="shared" si="328"/>
        <v>0</v>
      </c>
    </row>
    <row r="1649" spans="1:10" x14ac:dyDescent="0.15">
      <c r="A1649" s="43" t="s">
        <v>22</v>
      </c>
      <c r="B1649" s="6"/>
      <c r="C1649" s="27">
        <v>1</v>
      </c>
      <c r="D1649" s="35">
        <f t="shared" si="326"/>
        <v>1</v>
      </c>
      <c r="E1649" s="61">
        <v>46078</v>
      </c>
      <c r="G1649" s="43"/>
      <c r="H1649" s="6"/>
      <c r="I1649" s="27"/>
      <c r="J1649" s="35">
        <f t="shared" si="328"/>
        <v>0</v>
      </c>
    </row>
    <row r="1650" spans="1:10" x14ac:dyDescent="0.15">
      <c r="A1650" s="43" t="s">
        <v>22</v>
      </c>
      <c r="B1650" s="6">
        <v>1</v>
      </c>
      <c r="C1650" s="27"/>
      <c r="D1650" s="35">
        <f t="shared" si="326"/>
        <v>1</v>
      </c>
      <c r="E1650" s="61">
        <v>46079</v>
      </c>
      <c r="G1650" s="43"/>
      <c r="H1650" s="6"/>
      <c r="I1650" s="27"/>
      <c r="J1650" s="35">
        <f t="shared" si="328"/>
        <v>0</v>
      </c>
    </row>
    <row r="1651" spans="1:10" x14ac:dyDescent="0.15">
      <c r="A1651" s="43" t="s">
        <v>22</v>
      </c>
      <c r="B1651" s="6">
        <v>3</v>
      </c>
      <c r="C1651" s="27">
        <v>4</v>
      </c>
      <c r="D1651" s="35">
        <f t="shared" si="326"/>
        <v>7</v>
      </c>
      <c r="E1651" s="61">
        <v>46083</v>
      </c>
      <c r="G1651" s="43"/>
      <c r="H1651" s="6"/>
      <c r="I1651" s="27"/>
      <c r="J1651" s="35">
        <f t="shared" si="328"/>
        <v>0</v>
      </c>
    </row>
    <row r="1652" spans="1:10" x14ac:dyDescent="0.15">
      <c r="A1652" s="43" t="s">
        <v>22</v>
      </c>
      <c r="B1652" s="6"/>
      <c r="C1652" s="27">
        <v>1</v>
      </c>
      <c r="D1652" s="35">
        <f t="shared" si="326"/>
        <v>1</v>
      </c>
      <c r="E1652" s="61">
        <v>46084</v>
      </c>
      <c r="G1652" s="43"/>
      <c r="H1652" s="6"/>
      <c r="I1652" s="27"/>
      <c r="J1652" s="35">
        <f t="shared" si="328"/>
        <v>0</v>
      </c>
    </row>
    <row r="1653" spans="1:10" x14ac:dyDescent="0.15">
      <c r="A1653" s="29" t="s">
        <v>366</v>
      </c>
      <c r="B1653" s="6">
        <v>0</v>
      </c>
      <c r="C1653" s="27">
        <v>-1</v>
      </c>
      <c r="D1653" s="35">
        <f t="shared" si="326"/>
        <v>-1</v>
      </c>
      <c r="E1653" s="61">
        <v>46085</v>
      </c>
      <c r="G1653" s="43"/>
      <c r="H1653" s="6"/>
      <c r="I1653" s="27"/>
      <c r="J1653" s="35">
        <f t="shared" si="328"/>
        <v>0</v>
      </c>
    </row>
    <row r="1654" spans="1:10" x14ac:dyDescent="0.15">
      <c r="A1654" s="43" t="s">
        <v>22</v>
      </c>
      <c r="B1654" s="6">
        <f>4+1</f>
        <v>5</v>
      </c>
      <c r="C1654" s="27">
        <f>1+2</f>
        <v>3</v>
      </c>
      <c r="D1654" s="35">
        <f t="shared" si="326"/>
        <v>8</v>
      </c>
      <c r="E1654" s="61">
        <v>46086</v>
      </c>
      <c r="G1654" s="43"/>
      <c r="H1654" s="6"/>
      <c r="I1654" s="27"/>
      <c r="J1654" s="35">
        <f t="shared" si="328"/>
        <v>0</v>
      </c>
    </row>
    <row r="1655" spans="1:10" x14ac:dyDescent="0.15">
      <c r="A1655" s="43" t="s">
        <v>22</v>
      </c>
      <c r="B1655" s="6">
        <v>6</v>
      </c>
      <c r="C1655" s="27">
        <v>2</v>
      </c>
      <c r="D1655" s="35">
        <f t="shared" ref="D1655" si="329">SUM(B1655+C1655)</f>
        <v>8</v>
      </c>
      <c r="E1655" s="61">
        <v>46090</v>
      </c>
      <c r="G1655" s="43"/>
      <c r="H1655" s="6"/>
      <c r="I1655" s="27"/>
      <c r="J1655" s="35">
        <f t="shared" ref="J1655:J1657" si="330">SUM(H1655+I1655)</f>
        <v>0</v>
      </c>
    </row>
    <row r="1656" spans="1:10" x14ac:dyDescent="0.15">
      <c r="A1656" s="43" t="s">
        <v>22</v>
      </c>
      <c r="B1656" s="6">
        <v>2</v>
      </c>
      <c r="C1656" s="27">
        <v>1</v>
      </c>
      <c r="D1656" s="35">
        <f t="shared" si="326"/>
        <v>3</v>
      </c>
      <c r="E1656" s="61">
        <v>46091</v>
      </c>
      <c r="G1656" s="43"/>
      <c r="H1656" s="6"/>
      <c r="I1656" s="27"/>
      <c r="J1656" s="35">
        <f t="shared" si="330"/>
        <v>0</v>
      </c>
    </row>
    <row r="1657" spans="1:10" ht="14.25" thickBot="1" x14ac:dyDescent="0.2">
      <c r="A1657" s="43" t="s">
        <v>22</v>
      </c>
      <c r="B1657" s="6">
        <v>6</v>
      </c>
      <c r="C1657" s="27"/>
      <c r="D1657" s="35">
        <f t="shared" si="326"/>
        <v>6</v>
      </c>
      <c r="E1657" s="61">
        <v>46092</v>
      </c>
      <c r="G1657" s="43"/>
      <c r="H1657" s="6"/>
      <c r="I1657" s="27"/>
      <c r="J1657" s="35">
        <f t="shared" si="330"/>
        <v>0</v>
      </c>
    </row>
    <row r="1658" spans="1:10" ht="14.25" thickBot="1" x14ac:dyDescent="0.2">
      <c r="A1658" s="9" t="s">
        <v>3</v>
      </c>
      <c r="B1658" s="10">
        <f>SUM(B1634:B1657)</f>
        <v>51</v>
      </c>
      <c r="C1658" s="66">
        <f>SUM(C1634:C1657)</f>
        <v>34</v>
      </c>
      <c r="D1658" s="11">
        <f>SUM(D1634:D1657)</f>
        <v>85</v>
      </c>
      <c r="G1658" s="9" t="s">
        <v>3</v>
      </c>
      <c r="H1658" s="10">
        <f>SUM(H1634:H1657)</f>
        <v>68</v>
      </c>
      <c r="I1658" s="66">
        <f>SUM(I1634:I1657)</f>
        <v>48</v>
      </c>
      <c r="J1658" s="11">
        <f>SUM(J1634:J1657)</f>
        <v>116</v>
      </c>
    </row>
    <row r="1659" spans="1:10" ht="14.25" thickBot="1" x14ac:dyDescent="0.2">
      <c r="A1659" s="14" t="s">
        <v>4</v>
      </c>
      <c r="B1659" s="16">
        <f>B1633-B1658</f>
        <v>-1</v>
      </c>
      <c r="C1659" s="16">
        <f>C1633-C1658</f>
        <v>11</v>
      </c>
      <c r="D1659" s="84">
        <f>D1633-D1658</f>
        <v>10</v>
      </c>
      <c r="G1659" s="14" t="s">
        <v>4</v>
      </c>
      <c r="H1659" s="16">
        <f>H1633-H1658</f>
        <v>2119</v>
      </c>
      <c r="I1659" s="16">
        <f>I1633-I1658</f>
        <v>2381</v>
      </c>
      <c r="J1659" s="16">
        <f>J1633-J1658</f>
        <v>4500</v>
      </c>
    </row>
    <row r="1662" spans="1:10" ht="24.75" thickBot="1" x14ac:dyDescent="0.3">
      <c r="A1662" s="25" t="s">
        <v>7</v>
      </c>
      <c r="B1662" s="1"/>
      <c r="C1662" s="1"/>
      <c r="D1662" s="1"/>
      <c r="G1662" s="25" t="s">
        <v>8</v>
      </c>
      <c r="H1662" s="1"/>
      <c r="I1662" s="1"/>
      <c r="J1662" s="1"/>
    </row>
    <row r="1663" spans="1:10" ht="14.25" thickBot="1" x14ac:dyDescent="0.2">
      <c r="A1663" s="2"/>
      <c r="B1663" s="50" t="s">
        <v>115</v>
      </c>
      <c r="C1663" s="50" t="s">
        <v>116</v>
      </c>
      <c r="D1663" s="2" t="s">
        <v>0</v>
      </c>
      <c r="G1663" s="2"/>
      <c r="H1663" s="50" t="s">
        <v>115</v>
      </c>
      <c r="I1663" s="50" t="s">
        <v>116</v>
      </c>
      <c r="J1663" s="2" t="s">
        <v>0</v>
      </c>
    </row>
    <row r="1664" spans="1:10" x14ac:dyDescent="0.15">
      <c r="A1664" s="32" t="s">
        <v>4</v>
      </c>
      <c r="B1664" s="48">
        <f>B1659</f>
        <v>-1</v>
      </c>
      <c r="C1664" s="76">
        <f>C1659</f>
        <v>11</v>
      </c>
      <c r="D1664" s="47">
        <f>SUM(B1664+C1664)</f>
        <v>10</v>
      </c>
      <c r="G1664" s="13" t="s">
        <v>6</v>
      </c>
      <c r="H1664" s="48">
        <f>H1659</f>
        <v>2119</v>
      </c>
      <c r="I1664" s="80">
        <f>I1659</f>
        <v>2381</v>
      </c>
      <c r="J1664" s="47">
        <f>SUM(H1664+I1664)</f>
        <v>4500</v>
      </c>
    </row>
    <row r="1665" spans="1:13" x14ac:dyDescent="0.15">
      <c r="A1665" s="118" t="s">
        <v>1</v>
      </c>
      <c r="B1665" s="110">
        <v>5</v>
      </c>
      <c r="C1665" s="111"/>
      <c r="D1665" s="112">
        <f t="shared" ref="D1665:D1669" si="331">SUM(B1665+C1665)</f>
        <v>5</v>
      </c>
      <c r="E1665" s="113">
        <v>46092</v>
      </c>
      <c r="G1665" s="3" t="s">
        <v>1</v>
      </c>
      <c r="H1665" s="24"/>
      <c r="I1665" s="90"/>
      <c r="J1665" s="7">
        <f t="shared" ref="J1665:J1669" si="332">SUM(H1665+I1665)</f>
        <v>0</v>
      </c>
    </row>
    <row r="1666" spans="1:13" x14ac:dyDescent="0.15">
      <c r="A1666" s="118" t="s">
        <v>1</v>
      </c>
      <c r="B1666" s="110">
        <v>10</v>
      </c>
      <c r="C1666" s="111"/>
      <c r="D1666" s="112">
        <f t="shared" si="331"/>
        <v>10</v>
      </c>
      <c r="E1666" s="113">
        <v>46093</v>
      </c>
      <c r="G1666" s="3" t="s">
        <v>1</v>
      </c>
      <c r="H1666" s="24"/>
      <c r="I1666" s="90"/>
      <c r="J1666" s="7">
        <f t="shared" si="332"/>
        <v>0</v>
      </c>
    </row>
    <row r="1667" spans="1:13" x14ac:dyDescent="0.15">
      <c r="A1667" s="118" t="s">
        <v>1</v>
      </c>
      <c r="B1667" s="110">
        <v>10</v>
      </c>
      <c r="C1667" s="111">
        <v>10</v>
      </c>
      <c r="D1667" s="112">
        <f t="shared" si="331"/>
        <v>20</v>
      </c>
      <c r="E1667" s="113">
        <v>46100</v>
      </c>
      <c r="G1667" s="3" t="s">
        <v>1</v>
      </c>
      <c r="H1667" s="24"/>
      <c r="I1667" s="90"/>
      <c r="J1667" s="7">
        <f t="shared" si="332"/>
        <v>0</v>
      </c>
    </row>
    <row r="1668" spans="1:13" x14ac:dyDescent="0.15">
      <c r="A1668" s="4" t="s">
        <v>1</v>
      </c>
      <c r="B1668" s="24">
        <v>10</v>
      </c>
      <c r="C1668" s="90">
        <v>10</v>
      </c>
      <c r="D1668" s="7">
        <f t="shared" si="331"/>
        <v>20</v>
      </c>
      <c r="E1668" s="57">
        <v>46107</v>
      </c>
      <c r="G1668" s="3" t="s">
        <v>1</v>
      </c>
      <c r="H1668" s="24"/>
      <c r="I1668" s="90"/>
      <c r="J1668" s="7">
        <f t="shared" si="332"/>
        <v>0</v>
      </c>
    </row>
    <row r="1669" spans="1:13" ht="14.25" thickBot="1" x14ac:dyDescent="0.2">
      <c r="A1669" s="118" t="s">
        <v>1</v>
      </c>
      <c r="B1669" s="119">
        <v>5</v>
      </c>
      <c r="C1669" s="120">
        <v>10</v>
      </c>
      <c r="D1669" s="121">
        <f t="shared" si="331"/>
        <v>15</v>
      </c>
      <c r="E1669" s="113">
        <v>46113</v>
      </c>
      <c r="G1669" s="4" t="s">
        <v>1</v>
      </c>
      <c r="H1669" s="75"/>
      <c r="I1669" s="17"/>
      <c r="J1669" s="22">
        <f t="shared" si="332"/>
        <v>0</v>
      </c>
    </row>
    <row r="1670" spans="1:13" ht="14.25" thickBot="1" x14ac:dyDescent="0.2">
      <c r="A1670" s="14" t="s">
        <v>2</v>
      </c>
      <c r="B1670" s="84">
        <f>SUM(B1664:B1669)</f>
        <v>39</v>
      </c>
      <c r="C1670" s="65">
        <f>SUM(C1664:C1669)</f>
        <v>41</v>
      </c>
      <c r="D1670" s="18">
        <f>SUM(B1670+C1670)</f>
        <v>80</v>
      </c>
      <c r="G1670" s="14" t="s">
        <v>2</v>
      </c>
      <c r="H1670" s="84">
        <f>SUM(H1664:H1669)</f>
        <v>2119</v>
      </c>
      <c r="I1670" s="65">
        <f>SUM(I1664:I1669)</f>
        <v>2381</v>
      </c>
      <c r="J1670" s="18">
        <f>SUM(H1670+I1670)</f>
        <v>4500</v>
      </c>
    </row>
    <row r="1671" spans="1:13" x14ac:dyDescent="0.15">
      <c r="A1671" s="43" t="s">
        <v>22</v>
      </c>
      <c r="B1671" s="6">
        <v>3</v>
      </c>
      <c r="C1671" s="27"/>
      <c r="D1671" s="35">
        <f t="shared" ref="D1671:D1694" si="333">SUM(B1671+C1671)</f>
        <v>3</v>
      </c>
      <c r="E1671" s="61">
        <v>46097</v>
      </c>
      <c r="G1671" s="43" t="s">
        <v>367</v>
      </c>
      <c r="H1671" s="6">
        <v>10</v>
      </c>
      <c r="I1671" s="27">
        <v>10</v>
      </c>
      <c r="J1671" s="35">
        <f t="shared" ref="J1671:J1694" si="334">SUM(H1671+I1671)</f>
        <v>20</v>
      </c>
      <c r="K1671" s="57">
        <v>46107</v>
      </c>
    </row>
    <row r="1672" spans="1:13" x14ac:dyDescent="0.15">
      <c r="A1672" s="43" t="s">
        <v>22</v>
      </c>
      <c r="B1672" s="6">
        <v>1</v>
      </c>
      <c r="C1672" s="27">
        <v>1</v>
      </c>
      <c r="D1672" s="35">
        <f t="shared" si="333"/>
        <v>2</v>
      </c>
      <c r="E1672" s="61">
        <v>46099</v>
      </c>
      <c r="G1672" s="114" t="s">
        <v>360</v>
      </c>
      <c r="H1672" s="115">
        <v>5</v>
      </c>
      <c r="I1672" s="116">
        <v>10</v>
      </c>
      <c r="J1672" s="117">
        <f t="shared" si="334"/>
        <v>15</v>
      </c>
      <c r="K1672" s="113">
        <v>46113</v>
      </c>
    </row>
    <row r="1673" spans="1:13" x14ac:dyDescent="0.15">
      <c r="A1673" s="43" t="s">
        <v>22</v>
      </c>
      <c r="B1673" s="6"/>
      <c r="C1673" s="27">
        <v>1</v>
      </c>
      <c r="D1673" s="35">
        <f t="shared" si="333"/>
        <v>1</v>
      </c>
      <c r="E1673" s="61">
        <v>46100</v>
      </c>
      <c r="G1673" s="43" t="s">
        <v>360</v>
      </c>
      <c r="H1673" s="6">
        <v>10</v>
      </c>
      <c r="I1673" s="27">
        <v>15</v>
      </c>
      <c r="J1673" s="35">
        <f t="shared" si="334"/>
        <v>25</v>
      </c>
      <c r="K1673" s="57">
        <v>46115</v>
      </c>
    </row>
    <row r="1674" spans="1:13" x14ac:dyDescent="0.15">
      <c r="A1674" s="43" t="s">
        <v>22</v>
      </c>
      <c r="B1674" s="6">
        <v>7</v>
      </c>
      <c r="C1674" s="27">
        <v>6</v>
      </c>
      <c r="D1674" s="35">
        <f t="shared" si="333"/>
        <v>13</v>
      </c>
      <c r="E1674" s="61">
        <v>46104</v>
      </c>
      <c r="G1674" s="43" t="s">
        <v>371</v>
      </c>
      <c r="H1674" s="6">
        <v>12</v>
      </c>
      <c r="I1674" s="27">
        <v>12</v>
      </c>
      <c r="J1674" s="35">
        <f t="shared" si="334"/>
        <v>24</v>
      </c>
      <c r="K1674" s="57">
        <v>46121</v>
      </c>
    </row>
    <row r="1675" spans="1:13" x14ac:dyDescent="0.15">
      <c r="A1675" s="43" t="s">
        <v>22</v>
      </c>
      <c r="B1675" s="6">
        <v>1</v>
      </c>
      <c r="C1675" s="27">
        <v>1</v>
      </c>
      <c r="D1675" s="35">
        <f t="shared" si="333"/>
        <v>2</v>
      </c>
      <c r="E1675" s="61">
        <v>46105</v>
      </c>
      <c r="G1675" s="43" t="s">
        <v>360</v>
      </c>
      <c r="H1675" s="6">
        <v>15</v>
      </c>
      <c r="I1675" s="27"/>
      <c r="J1675" s="35">
        <f t="shared" si="334"/>
        <v>15</v>
      </c>
      <c r="K1675" s="57">
        <v>46121</v>
      </c>
    </row>
    <row r="1676" spans="1:13" x14ac:dyDescent="0.15">
      <c r="A1676" s="43" t="s">
        <v>22</v>
      </c>
      <c r="B1676" s="6">
        <v>2</v>
      </c>
      <c r="C1676" s="27">
        <v>5</v>
      </c>
      <c r="D1676" s="35">
        <f t="shared" si="333"/>
        <v>7</v>
      </c>
      <c r="E1676" s="61">
        <v>46106</v>
      </c>
      <c r="G1676" s="43" t="s">
        <v>360</v>
      </c>
      <c r="H1676" s="6">
        <v>15</v>
      </c>
      <c r="I1676" s="27"/>
      <c r="J1676" s="35">
        <f t="shared" si="334"/>
        <v>15</v>
      </c>
      <c r="K1676" s="57">
        <v>46125</v>
      </c>
    </row>
    <row r="1677" spans="1:13" x14ac:dyDescent="0.15">
      <c r="A1677" s="43" t="s">
        <v>22</v>
      </c>
      <c r="B1677" s="6">
        <v>2</v>
      </c>
      <c r="C1677" s="27">
        <f>2+1</f>
        <v>3</v>
      </c>
      <c r="D1677" s="35">
        <f t="shared" si="333"/>
        <v>5</v>
      </c>
      <c r="E1677" s="61">
        <v>46107</v>
      </c>
      <c r="G1677" s="43" t="s">
        <v>373</v>
      </c>
      <c r="H1677" s="6">
        <v>100</v>
      </c>
      <c r="I1677" s="27">
        <v>50</v>
      </c>
      <c r="J1677" s="35">
        <f t="shared" si="334"/>
        <v>150</v>
      </c>
      <c r="K1677" s="57">
        <v>46128</v>
      </c>
    </row>
    <row r="1678" spans="1:13" x14ac:dyDescent="0.15">
      <c r="A1678" s="43" t="s">
        <v>22</v>
      </c>
      <c r="B1678" s="6">
        <v>2</v>
      </c>
      <c r="C1678" s="27">
        <v>2</v>
      </c>
      <c r="D1678" s="35">
        <f t="shared" si="333"/>
        <v>4</v>
      </c>
      <c r="E1678" s="61">
        <v>46111</v>
      </c>
      <c r="G1678" s="114" t="s">
        <v>360</v>
      </c>
      <c r="H1678" s="115">
        <v>10</v>
      </c>
      <c r="I1678" s="116">
        <v>10</v>
      </c>
      <c r="J1678" s="117">
        <f t="shared" si="334"/>
        <v>20</v>
      </c>
      <c r="K1678" s="113">
        <v>46127</v>
      </c>
    </row>
    <row r="1679" spans="1:13" x14ac:dyDescent="0.15">
      <c r="A1679" s="43" t="s">
        <v>22</v>
      </c>
      <c r="B1679" s="6">
        <v>2</v>
      </c>
      <c r="C1679" s="27">
        <v>4</v>
      </c>
      <c r="D1679" s="35">
        <f t="shared" si="333"/>
        <v>6</v>
      </c>
      <c r="E1679" s="61">
        <v>46112</v>
      </c>
      <c r="F1679" s="61"/>
      <c r="G1679" s="114" t="s">
        <v>359</v>
      </c>
      <c r="H1679" s="115">
        <v>10</v>
      </c>
      <c r="I1679" s="116">
        <v>10</v>
      </c>
      <c r="J1679" s="117">
        <f t="shared" si="334"/>
        <v>20</v>
      </c>
      <c r="K1679" s="113">
        <v>46130</v>
      </c>
    </row>
    <row r="1680" spans="1:13" x14ac:dyDescent="0.15">
      <c r="A1680" s="43" t="s">
        <v>22</v>
      </c>
      <c r="B1680" s="6">
        <v>5</v>
      </c>
      <c r="C1680" s="27">
        <v>6</v>
      </c>
      <c r="D1680" s="35">
        <f t="shared" si="333"/>
        <v>11</v>
      </c>
      <c r="E1680" s="61">
        <v>46113</v>
      </c>
      <c r="G1680" s="43" t="s">
        <v>374</v>
      </c>
      <c r="H1680" s="6"/>
      <c r="I1680" s="27">
        <v>5</v>
      </c>
      <c r="J1680" s="35">
        <f t="shared" si="334"/>
        <v>5</v>
      </c>
      <c r="K1680" s="57">
        <v>46135</v>
      </c>
      <c r="L1680" s="19"/>
      <c r="M1680" s="19"/>
    </row>
    <row r="1681" spans="1:11" x14ac:dyDescent="0.15">
      <c r="A1681" s="43" t="s">
        <v>22</v>
      </c>
      <c r="B1681" s="6">
        <v>2</v>
      </c>
      <c r="C1681" s="27">
        <v>2</v>
      </c>
      <c r="D1681" s="35">
        <f t="shared" si="333"/>
        <v>4</v>
      </c>
      <c r="E1681" s="61">
        <v>46114</v>
      </c>
      <c r="G1681" s="114" t="s">
        <v>360</v>
      </c>
      <c r="H1681" s="115">
        <v>15</v>
      </c>
      <c r="I1681" s="116">
        <v>15</v>
      </c>
      <c r="J1681" s="117">
        <f t="shared" si="334"/>
        <v>30</v>
      </c>
      <c r="K1681" s="113">
        <v>46134</v>
      </c>
    </row>
    <row r="1682" spans="1:11" x14ac:dyDescent="0.15">
      <c r="A1682" s="43" t="s">
        <v>218</v>
      </c>
      <c r="B1682" s="6">
        <v>-10</v>
      </c>
      <c r="C1682" s="27">
        <v>-15</v>
      </c>
      <c r="D1682" s="35">
        <f t="shared" si="333"/>
        <v>-25</v>
      </c>
      <c r="E1682" s="57">
        <v>46115</v>
      </c>
      <c r="G1682" s="114" t="s">
        <v>360</v>
      </c>
      <c r="H1682" s="115">
        <v>10</v>
      </c>
      <c r="I1682" s="116"/>
      <c r="J1682" s="117">
        <f t="shared" si="334"/>
        <v>10</v>
      </c>
      <c r="K1682" s="113">
        <v>46139</v>
      </c>
    </row>
    <row r="1683" spans="1:11" x14ac:dyDescent="0.15">
      <c r="A1683" s="43" t="s">
        <v>22</v>
      </c>
      <c r="B1683" s="6">
        <v>1</v>
      </c>
      <c r="C1683" s="27"/>
      <c r="D1683" s="35">
        <f t="shared" si="333"/>
        <v>1</v>
      </c>
      <c r="E1683" s="61">
        <v>46115</v>
      </c>
      <c r="G1683" s="114" t="s">
        <v>360</v>
      </c>
      <c r="H1683" s="115">
        <v>10</v>
      </c>
      <c r="I1683" s="116"/>
      <c r="J1683" s="117">
        <f t="shared" si="334"/>
        <v>10</v>
      </c>
      <c r="K1683" s="113">
        <v>46136</v>
      </c>
    </row>
    <row r="1684" spans="1:11" x14ac:dyDescent="0.15">
      <c r="A1684" s="43" t="s">
        <v>22</v>
      </c>
      <c r="B1684" s="6">
        <v>5</v>
      </c>
      <c r="C1684" s="27">
        <v>4</v>
      </c>
      <c r="D1684" s="35">
        <f t="shared" si="333"/>
        <v>9</v>
      </c>
      <c r="E1684" s="61">
        <v>46118</v>
      </c>
      <c r="G1684" s="114" t="s">
        <v>360</v>
      </c>
      <c r="H1684" s="115"/>
      <c r="I1684" s="116">
        <v>10</v>
      </c>
      <c r="J1684" s="117">
        <f t="shared" si="334"/>
        <v>10</v>
      </c>
      <c r="K1684" s="113">
        <v>46139</v>
      </c>
    </row>
    <row r="1685" spans="1:11" x14ac:dyDescent="0.15">
      <c r="A1685" s="43" t="s">
        <v>22</v>
      </c>
      <c r="B1685" s="6">
        <v>11</v>
      </c>
      <c r="C1685" s="27"/>
      <c r="D1685" s="35">
        <f t="shared" si="333"/>
        <v>11</v>
      </c>
      <c r="E1685" s="57">
        <v>46120</v>
      </c>
      <c r="F1685" s="19"/>
      <c r="G1685" s="114" t="s">
        <v>360</v>
      </c>
      <c r="H1685" s="115">
        <v>10</v>
      </c>
      <c r="I1685" s="116">
        <v>5</v>
      </c>
      <c r="J1685" s="117">
        <f t="shared" si="334"/>
        <v>15</v>
      </c>
      <c r="K1685" s="113">
        <v>46140</v>
      </c>
    </row>
    <row r="1686" spans="1:11" x14ac:dyDescent="0.15">
      <c r="A1686" s="43" t="s">
        <v>1</v>
      </c>
      <c r="B1686" s="6">
        <v>-15</v>
      </c>
      <c r="C1686" s="27"/>
      <c r="D1686" s="35">
        <f t="shared" si="333"/>
        <v>-15</v>
      </c>
      <c r="E1686" s="57">
        <v>46121</v>
      </c>
      <c r="F1686" s="19"/>
      <c r="G1686" s="43"/>
      <c r="H1686" s="6"/>
      <c r="I1686" s="27"/>
      <c r="J1686" s="35">
        <f t="shared" si="334"/>
        <v>0</v>
      </c>
    </row>
    <row r="1687" spans="1:11" x14ac:dyDescent="0.15">
      <c r="A1687" s="43" t="s">
        <v>22</v>
      </c>
      <c r="B1687" s="6">
        <v>2</v>
      </c>
      <c r="C1687" s="27">
        <v>1</v>
      </c>
      <c r="D1687" s="35">
        <f t="shared" si="333"/>
        <v>3</v>
      </c>
      <c r="E1687" s="61">
        <v>46121</v>
      </c>
      <c r="G1687" s="43"/>
      <c r="H1687" s="6"/>
      <c r="I1687" s="27"/>
      <c r="J1687" s="35">
        <f t="shared" si="334"/>
        <v>0</v>
      </c>
    </row>
    <row r="1688" spans="1:11" x14ac:dyDescent="0.15">
      <c r="A1688" s="43" t="s">
        <v>22</v>
      </c>
      <c r="B1688" s="6">
        <v>12</v>
      </c>
      <c r="C1688" s="27"/>
      <c r="D1688" s="35">
        <f t="shared" si="333"/>
        <v>12</v>
      </c>
      <c r="E1688" s="61">
        <v>46122</v>
      </c>
      <c r="G1688" s="43"/>
      <c r="H1688" s="6"/>
      <c r="I1688" s="27"/>
      <c r="J1688" s="35">
        <f t="shared" si="334"/>
        <v>0</v>
      </c>
    </row>
    <row r="1689" spans="1:11" x14ac:dyDescent="0.15">
      <c r="A1689" s="43" t="s">
        <v>372</v>
      </c>
      <c r="B1689" s="6">
        <v>-15</v>
      </c>
      <c r="C1689" s="27"/>
      <c r="D1689" s="35">
        <f t="shared" si="333"/>
        <v>-15</v>
      </c>
      <c r="E1689" s="57">
        <v>46125</v>
      </c>
      <c r="G1689" s="43"/>
      <c r="H1689" s="6"/>
      <c r="I1689" s="27"/>
      <c r="J1689" s="35">
        <f t="shared" si="334"/>
        <v>0</v>
      </c>
    </row>
    <row r="1690" spans="1:11" x14ac:dyDescent="0.15">
      <c r="A1690" s="29" t="s">
        <v>22</v>
      </c>
      <c r="B1690" s="6">
        <v>3</v>
      </c>
      <c r="C1690" s="27">
        <v>7</v>
      </c>
      <c r="D1690" s="35">
        <f t="shared" si="333"/>
        <v>10</v>
      </c>
      <c r="E1690" s="61">
        <v>46125</v>
      </c>
      <c r="G1690" s="106" t="s">
        <v>369</v>
      </c>
      <c r="H1690" s="98"/>
      <c r="I1690" s="99"/>
      <c r="J1690" s="100">
        <f t="shared" si="334"/>
        <v>0</v>
      </c>
      <c r="K1690" s="107"/>
    </row>
    <row r="1691" spans="1:11" x14ac:dyDescent="0.15">
      <c r="A1691" s="29" t="s">
        <v>22</v>
      </c>
      <c r="B1691" s="6">
        <v>6</v>
      </c>
      <c r="C1691" s="27"/>
      <c r="D1691" s="35">
        <f t="shared" si="333"/>
        <v>6</v>
      </c>
      <c r="E1691" s="61">
        <v>46126</v>
      </c>
      <c r="G1691" s="43" t="s">
        <v>365</v>
      </c>
      <c r="H1691" s="6"/>
      <c r="I1691" s="27"/>
      <c r="J1691" s="35">
        <f t="shared" ref="J1691:J1692" si="335">SUM(H1691+I1691)</f>
        <v>0</v>
      </c>
      <c r="K1691" s="57">
        <v>46120</v>
      </c>
    </row>
    <row r="1692" spans="1:11" x14ac:dyDescent="0.15">
      <c r="A1692" s="114" t="s">
        <v>218</v>
      </c>
      <c r="B1692" s="115">
        <v>-10</v>
      </c>
      <c r="C1692" s="116">
        <v>-10</v>
      </c>
      <c r="D1692" s="117">
        <f t="shared" si="333"/>
        <v>-20</v>
      </c>
      <c r="E1692" s="113">
        <v>46127</v>
      </c>
      <c r="G1692" s="43" t="s">
        <v>364</v>
      </c>
      <c r="H1692" s="6"/>
      <c r="I1692" s="27"/>
      <c r="J1692" s="35">
        <f t="shared" si="335"/>
        <v>0</v>
      </c>
      <c r="K1692" s="57">
        <v>46134</v>
      </c>
    </row>
    <row r="1693" spans="1:11" x14ac:dyDescent="0.15">
      <c r="A1693" s="43" t="s">
        <v>22</v>
      </c>
      <c r="B1693" s="6">
        <v>1</v>
      </c>
      <c r="C1693" s="27">
        <v>5</v>
      </c>
      <c r="D1693" s="35">
        <f t="shared" si="333"/>
        <v>6</v>
      </c>
      <c r="E1693" s="61">
        <v>46127</v>
      </c>
      <c r="G1693" s="106" t="s">
        <v>370</v>
      </c>
      <c r="H1693" s="98"/>
      <c r="I1693" s="99"/>
      <c r="J1693" s="100">
        <f t="shared" si="334"/>
        <v>0</v>
      </c>
      <c r="K1693" s="101"/>
    </row>
    <row r="1694" spans="1:11" ht="14.25" thickBot="1" x14ac:dyDescent="0.2">
      <c r="A1694" s="43" t="s">
        <v>22</v>
      </c>
      <c r="B1694" s="6">
        <v>3</v>
      </c>
      <c r="C1694" s="27">
        <v>8</v>
      </c>
      <c r="D1694" s="35">
        <f t="shared" si="333"/>
        <v>11</v>
      </c>
      <c r="E1694" s="61">
        <v>46128</v>
      </c>
      <c r="G1694" s="43" t="s">
        <v>362</v>
      </c>
      <c r="H1694" s="6"/>
      <c r="I1694" s="27"/>
      <c r="J1694" s="35">
        <f t="shared" si="334"/>
        <v>0</v>
      </c>
      <c r="K1694" s="19" t="s">
        <v>363</v>
      </c>
    </row>
    <row r="1695" spans="1:11" ht="14.25" thickBot="1" x14ac:dyDescent="0.2">
      <c r="A1695" s="9" t="s">
        <v>3</v>
      </c>
      <c r="B1695" s="10">
        <f>SUM(B1671:B1694)</f>
        <v>21</v>
      </c>
      <c r="C1695" s="66">
        <f>SUM(C1671:C1694)</f>
        <v>31</v>
      </c>
      <c r="D1695" s="11">
        <f>SUM(D1671:D1694)</f>
        <v>52</v>
      </c>
      <c r="G1695" s="9" t="s">
        <v>3</v>
      </c>
      <c r="H1695" s="10">
        <f>SUM(H1671:H1694)</f>
        <v>232</v>
      </c>
      <c r="I1695" s="66">
        <f>SUM(I1671:I1694)</f>
        <v>152</v>
      </c>
      <c r="J1695" s="11">
        <f>SUM(J1671:J1694)</f>
        <v>384</v>
      </c>
    </row>
    <row r="1696" spans="1:11" ht="14.25" thickBot="1" x14ac:dyDescent="0.2">
      <c r="A1696" s="14" t="s">
        <v>4</v>
      </c>
      <c r="B1696" s="16">
        <f>B1670-B1695</f>
        <v>18</v>
      </c>
      <c r="C1696" s="16">
        <f>C1670-C1695</f>
        <v>10</v>
      </c>
      <c r="D1696" s="84">
        <f>D1670-D1695</f>
        <v>28</v>
      </c>
      <c r="G1696" s="14" t="s">
        <v>4</v>
      </c>
      <c r="H1696" s="16">
        <f>H1670-H1695</f>
        <v>1887</v>
      </c>
      <c r="I1696" s="16">
        <f>I1670-I1695</f>
        <v>2229</v>
      </c>
      <c r="J1696" s="16">
        <f>J1670-J1695</f>
        <v>4116</v>
      </c>
    </row>
    <row r="1699" spans="1:12" ht="24.75" thickBot="1" x14ac:dyDescent="0.3">
      <c r="A1699" s="25" t="s">
        <v>7</v>
      </c>
      <c r="B1699" s="1"/>
      <c r="C1699" s="1"/>
      <c r="D1699" s="1"/>
      <c r="G1699" s="25" t="s">
        <v>8</v>
      </c>
      <c r="H1699" s="1"/>
      <c r="I1699" s="1"/>
      <c r="J1699" s="1"/>
    </row>
    <row r="1700" spans="1:12" ht="14.25" thickBot="1" x14ac:dyDescent="0.2">
      <c r="A1700" s="2"/>
      <c r="B1700" s="50" t="s">
        <v>115</v>
      </c>
      <c r="C1700" s="50" t="s">
        <v>116</v>
      </c>
      <c r="D1700" s="2" t="s">
        <v>0</v>
      </c>
      <c r="G1700" s="2"/>
      <c r="H1700" s="50" t="s">
        <v>115</v>
      </c>
      <c r="I1700" s="50" t="s">
        <v>116</v>
      </c>
      <c r="J1700" s="2" t="s">
        <v>0</v>
      </c>
    </row>
    <row r="1701" spans="1:12" x14ac:dyDescent="0.15">
      <c r="A1701" s="32" t="s">
        <v>4</v>
      </c>
      <c r="B1701" s="48">
        <f>B1696</f>
        <v>18</v>
      </c>
      <c r="C1701" s="76">
        <f>C1696</f>
        <v>10</v>
      </c>
      <c r="D1701" s="47">
        <f>SUM(B1701+C1701)</f>
        <v>28</v>
      </c>
      <c r="G1701" s="13" t="s">
        <v>6</v>
      </c>
      <c r="H1701" s="48">
        <f>H1696</f>
        <v>1887</v>
      </c>
      <c r="I1701" s="80">
        <f>I1696</f>
        <v>2229</v>
      </c>
      <c r="J1701" s="47">
        <f>SUM(H1701+I1701)</f>
        <v>4116</v>
      </c>
    </row>
    <row r="1702" spans="1:12" x14ac:dyDescent="0.15">
      <c r="A1702" s="118" t="s">
        <v>1</v>
      </c>
      <c r="B1702" s="110">
        <v>10</v>
      </c>
      <c r="C1702" s="111">
        <v>10</v>
      </c>
      <c r="D1702" s="112">
        <f t="shared" ref="D1702:D1705" si="336">SUM(B1702+C1702)</f>
        <v>20</v>
      </c>
      <c r="E1702" s="113">
        <v>46130</v>
      </c>
      <c r="G1702" s="3" t="s">
        <v>1</v>
      </c>
      <c r="H1702" s="24"/>
      <c r="I1702" s="90"/>
      <c r="J1702" s="7">
        <f t="shared" ref="J1702:J1706" si="337">SUM(H1702+I1702)</f>
        <v>0</v>
      </c>
    </row>
    <row r="1703" spans="1:12" x14ac:dyDescent="0.15">
      <c r="A1703" s="118" t="s">
        <v>1</v>
      </c>
      <c r="B1703" s="110">
        <v>15</v>
      </c>
      <c r="C1703" s="111">
        <v>15</v>
      </c>
      <c r="D1703" s="112">
        <f t="shared" si="336"/>
        <v>30</v>
      </c>
      <c r="E1703" s="113">
        <v>46134</v>
      </c>
      <c r="G1703" s="3" t="s">
        <v>1</v>
      </c>
      <c r="H1703" s="24"/>
      <c r="I1703" s="90"/>
      <c r="J1703" s="7">
        <f t="shared" si="337"/>
        <v>0</v>
      </c>
    </row>
    <row r="1704" spans="1:12" x14ac:dyDescent="0.15">
      <c r="A1704" s="118" t="s">
        <v>1</v>
      </c>
      <c r="B1704" s="110">
        <v>10</v>
      </c>
      <c r="C1704" s="111"/>
      <c r="D1704" s="112">
        <f t="shared" si="336"/>
        <v>10</v>
      </c>
      <c r="E1704" s="113">
        <v>46139</v>
      </c>
      <c r="G1704" s="3" t="s">
        <v>1</v>
      </c>
      <c r="H1704" s="24"/>
      <c r="I1704" s="90"/>
      <c r="J1704" s="7">
        <f t="shared" si="337"/>
        <v>0</v>
      </c>
    </row>
    <row r="1705" spans="1:12" x14ac:dyDescent="0.15">
      <c r="A1705" s="118" t="s">
        <v>1</v>
      </c>
      <c r="B1705" s="110">
        <v>10</v>
      </c>
      <c r="C1705" s="111"/>
      <c r="D1705" s="112">
        <f t="shared" si="336"/>
        <v>10</v>
      </c>
      <c r="E1705" s="113">
        <v>46136</v>
      </c>
      <c r="G1705" s="3" t="s">
        <v>1</v>
      </c>
      <c r="H1705" s="24"/>
      <c r="I1705" s="90"/>
      <c r="J1705" s="7">
        <f t="shared" si="337"/>
        <v>0</v>
      </c>
    </row>
    <row r="1706" spans="1:12" ht="14.25" thickBot="1" x14ac:dyDescent="0.2">
      <c r="A1706" s="128" t="s">
        <v>1</v>
      </c>
      <c r="B1706" s="129"/>
      <c r="C1706" s="130">
        <v>10</v>
      </c>
      <c r="D1706" s="131">
        <f t="shared" ref="D1706" si="338">SUM(B1706+C1706)</f>
        <v>10</v>
      </c>
      <c r="E1706" s="113">
        <v>46139</v>
      </c>
      <c r="G1706" s="4" t="s">
        <v>1</v>
      </c>
      <c r="H1706" s="75"/>
      <c r="I1706" s="17"/>
      <c r="J1706" s="22">
        <f t="shared" si="337"/>
        <v>0</v>
      </c>
    </row>
    <row r="1707" spans="1:12" ht="14.25" thickBot="1" x14ac:dyDescent="0.2">
      <c r="A1707" s="127" t="s">
        <v>2</v>
      </c>
      <c r="B1707" s="18">
        <f>SUM(B1701:B1706)</f>
        <v>63</v>
      </c>
      <c r="C1707" s="65">
        <f>SUM(C1701:C1706)</f>
        <v>45</v>
      </c>
      <c r="D1707" s="18">
        <f>SUM(B1707+C1707)</f>
        <v>108</v>
      </c>
      <c r="G1707" s="14" t="s">
        <v>2</v>
      </c>
      <c r="H1707" s="84">
        <f>SUM(H1701:H1706)</f>
        <v>1887</v>
      </c>
      <c r="I1707" s="65">
        <f>SUM(I1701:I1706)</f>
        <v>2229</v>
      </c>
      <c r="J1707" s="18">
        <f>SUM(H1707+I1707)</f>
        <v>4116</v>
      </c>
    </row>
    <row r="1708" spans="1:12" x14ac:dyDescent="0.15">
      <c r="A1708" s="43" t="s">
        <v>22</v>
      </c>
      <c r="B1708" s="6">
        <v>11</v>
      </c>
      <c r="C1708" s="27">
        <v>1</v>
      </c>
      <c r="D1708" s="35">
        <f t="shared" ref="D1708:D1714" si="339">SUM(B1708+C1708)</f>
        <v>12</v>
      </c>
      <c r="E1708" s="61">
        <v>46129</v>
      </c>
      <c r="G1708" s="43" t="s">
        <v>378</v>
      </c>
      <c r="H1708" s="6"/>
      <c r="I1708" s="27">
        <v>10</v>
      </c>
      <c r="J1708" s="35">
        <f t="shared" ref="J1708:J1710" si="340">SUM(H1708+I1708)</f>
        <v>10</v>
      </c>
      <c r="K1708" s="57">
        <v>46143</v>
      </c>
    </row>
    <row r="1709" spans="1:12" x14ac:dyDescent="0.15">
      <c r="A1709" s="43" t="s">
        <v>22</v>
      </c>
      <c r="B1709" s="6">
        <v>13</v>
      </c>
      <c r="C1709" s="27">
        <v>11</v>
      </c>
      <c r="D1709" s="35">
        <f t="shared" si="339"/>
        <v>24</v>
      </c>
      <c r="E1709" s="61">
        <v>46132</v>
      </c>
      <c r="G1709" s="43" t="s">
        <v>360</v>
      </c>
      <c r="H1709" s="6">
        <v>20</v>
      </c>
      <c r="I1709" s="27">
        <v>10</v>
      </c>
      <c r="J1709" s="35">
        <f t="shared" si="340"/>
        <v>30</v>
      </c>
      <c r="K1709" s="57">
        <v>46144</v>
      </c>
    </row>
    <row r="1710" spans="1:12" x14ac:dyDescent="0.15">
      <c r="A1710" s="43" t="s">
        <v>22</v>
      </c>
      <c r="B1710" s="6">
        <v>2</v>
      </c>
      <c r="C1710" s="27">
        <v>3</v>
      </c>
      <c r="D1710" s="35">
        <f t="shared" si="339"/>
        <v>5</v>
      </c>
      <c r="E1710" s="61">
        <v>46133</v>
      </c>
      <c r="G1710" s="43" t="s">
        <v>380</v>
      </c>
      <c r="H1710" s="6"/>
      <c r="I1710" s="27">
        <v>20</v>
      </c>
      <c r="J1710" s="35">
        <f t="shared" si="340"/>
        <v>20</v>
      </c>
      <c r="K1710" s="57">
        <v>46144</v>
      </c>
      <c r="L1710" s="19"/>
    </row>
    <row r="1711" spans="1:12" x14ac:dyDescent="0.15">
      <c r="A1711" s="43" t="s">
        <v>22</v>
      </c>
      <c r="B1711" s="6">
        <v>6</v>
      </c>
      <c r="C1711" s="27">
        <v>1</v>
      </c>
      <c r="D1711" s="35">
        <f t="shared" si="339"/>
        <v>7</v>
      </c>
      <c r="E1711" s="61">
        <v>46134</v>
      </c>
      <c r="G1711" s="114" t="s">
        <v>382</v>
      </c>
      <c r="H1711" s="115">
        <v>15</v>
      </c>
      <c r="I1711" s="116">
        <v>10</v>
      </c>
      <c r="J1711" s="117">
        <f t="shared" ref="J1711:J1727" si="341">SUM(H1711+I1711)</f>
        <v>25</v>
      </c>
      <c r="K1711" s="113">
        <v>46153</v>
      </c>
    </row>
    <row r="1712" spans="1:12" x14ac:dyDescent="0.15">
      <c r="A1712" s="43" t="s">
        <v>22</v>
      </c>
      <c r="B1712" s="6">
        <v>3</v>
      </c>
      <c r="C1712" s="27">
        <v>6</v>
      </c>
      <c r="D1712" s="35">
        <f t="shared" si="339"/>
        <v>9</v>
      </c>
      <c r="E1712" s="61">
        <v>46135</v>
      </c>
      <c r="G1712" s="114" t="s">
        <v>360</v>
      </c>
      <c r="H1712" s="115">
        <v>10</v>
      </c>
      <c r="I1712" s="116"/>
      <c r="J1712" s="117">
        <f t="shared" si="341"/>
        <v>10</v>
      </c>
      <c r="K1712" s="113">
        <v>46154</v>
      </c>
      <c r="L1712" s="132"/>
    </row>
    <row r="1713" spans="1:11" x14ac:dyDescent="0.15">
      <c r="A1713" s="43" t="s">
        <v>22</v>
      </c>
      <c r="B1713" s="6">
        <v>6</v>
      </c>
      <c r="C1713" s="27">
        <v>2</v>
      </c>
      <c r="D1713" s="35">
        <f t="shared" si="339"/>
        <v>8</v>
      </c>
      <c r="E1713" s="61">
        <v>46136</v>
      </c>
      <c r="G1713" s="43" t="s">
        <v>360</v>
      </c>
      <c r="H1713" s="6">
        <v>10</v>
      </c>
      <c r="I1713" s="27">
        <v>10</v>
      </c>
      <c r="J1713" s="35">
        <f t="shared" si="341"/>
        <v>20</v>
      </c>
      <c r="K1713" s="57">
        <v>46157</v>
      </c>
    </row>
    <row r="1714" spans="1:11" x14ac:dyDescent="0.15">
      <c r="A1714" s="43" t="s">
        <v>22</v>
      </c>
      <c r="B1714" s="6">
        <v>15</v>
      </c>
      <c r="C1714" s="27">
        <v>8</v>
      </c>
      <c r="D1714" s="35">
        <f t="shared" si="339"/>
        <v>23</v>
      </c>
      <c r="E1714" s="61">
        <v>46139</v>
      </c>
      <c r="G1714" s="114" t="s">
        <v>360</v>
      </c>
      <c r="H1714" s="115">
        <v>10</v>
      </c>
      <c r="I1714" s="116"/>
      <c r="J1714" s="117">
        <f t="shared" si="341"/>
        <v>10</v>
      </c>
      <c r="K1714" s="113">
        <v>46161</v>
      </c>
    </row>
    <row r="1715" spans="1:11" x14ac:dyDescent="0.15">
      <c r="A1715" s="114" t="s">
        <v>1</v>
      </c>
      <c r="B1715" s="115">
        <v>-10</v>
      </c>
      <c r="C1715" s="116">
        <v>-5</v>
      </c>
      <c r="D1715" s="117">
        <f t="shared" ref="D1715:D1731" si="342">SUM(B1715+C1715)</f>
        <v>-15</v>
      </c>
      <c r="E1715" s="113">
        <v>46140</v>
      </c>
      <c r="F1715" s="132"/>
      <c r="G1715" s="114" t="s">
        <v>360</v>
      </c>
      <c r="H1715" s="115">
        <v>10</v>
      </c>
      <c r="I1715" s="116">
        <v>20</v>
      </c>
      <c r="J1715" s="117">
        <f t="shared" si="341"/>
        <v>30</v>
      </c>
      <c r="K1715" s="113">
        <v>46162</v>
      </c>
    </row>
    <row r="1716" spans="1:11" x14ac:dyDescent="0.15">
      <c r="A1716" s="43" t="s">
        <v>22</v>
      </c>
      <c r="B1716" s="6">
        <v>3</v>
      </c>
      <c r="C1716" s="27">
        <v>3</v>
      </c>
      <c r="D1716" s="35">
        <f t="shared" si="342"/>
        <v>6</v>
      </c>
      <c r="E1716" s="61">
        <v>46140</v>
      </c>
      <c r="F1716" s="61"/>
      <c r="G1716" s="43"/>
      <c r="H1716" s="6"/>
      <c r="I1716" s="27"/>
      <c r="J1716" s="35">
        <f t="shared" si="341"/>
        <v>0</v>
      </c>
    </row>
    <row r="1717" spans="1:11" x14ac:dyDescent="0.15">
      <c r="A1717" s="43" t="s">
        <v>22</v>
      </c>
      <c r="B1717" s="6">
        <v>6</v>
      </c>
      <c r="C1717" s="27">
        <v>1</v>
      </c>
      <c r="D1717" s="35">
        <f t="shared" si="342"/>
        <v>7</v>
      </c>
      <c r="E1717" s="61">
        <v>46142</v>
      </c>
      <c r="G1717" s="43"/>
      <c r="H1717" s="6"/>
      <c r="I1717" s="27"/>
      <c r="J1717" s="35">
        <f t="shared" si="341"/>
        <v>0</v>
      </c>
    </row>
    <row r="1718" spans="1:11" x14ac:dyDescent="0.15">
      <c r="A1718" s="43" t="s">
        <v>379</v>
      </c>
      <c r="B1718" s="6"/>
      <c r="C1718" s="27">
        <v>-1</v>
      </c>
      <c r="D1718" s="35">
        <f t="shared" si="342"/>
        <v>-1</v>
      </c>
      <c r="E1718" s="61">
        <v>46142</v>
      </c>
      <c r="G1718" s="43"/>
      <c r="H1718" s="6"/>
      <c r="I1718" s="27"/>
      <c r="J1718" s="35">
        <f t="shared" si="341"/>
        <v>0</v>
      </c>
    </row>
    <row r="1719" spans="1:11" x14ac:dyDescent="0.15">
      <c r="A1719" s="43" t="s">
        <v>218</v>
      </c>
      <c r="B1719" s="6">
        <v>-20</v>
      </c>
      <c r="C1719" s="27">
        <v>-10</v>
      </c>
      <c r="D1719" s="35">
        <f t="shared" si="342"/>
        <v>-30</v>
      </c>
      <c r="E1719" s="57">
        <v>46144</v>
      </c>
      <c r="G1719" s="43"/>
      <c r="H1719" s="6"/>
      <c r="I1719" s="27"/>
      <c r="J1719" s="35">
        <f t="shared" si="341"/>
        <v>0</v>
      </c>
    </row>
    <row r="1720" spans="1:11" x14ac:dyDescent="0.15">
      <c r="A1720" s="43" t="s">
        <v>22</v>
      </c>
      <c r="B1720" s="6">
        <v>3</v>
      </c>
      <c r="C1720" s="27"/>
      <c r="D1720" s="35">
        <f t="shared" si="342"/>
        <v>3</v>
      </c>
      <c r="E1720" s="61">
        <v>46143</v>
      </c>
      <c r="G1720" s="43"/>
      <c r="H1720" s="6"/>
      <c r="I1720" s="27"/>
      <c r="J1720" s="35">
        <f t="shared" si="341"/>
        <v>0</v>
      </c>
    </row>
    <row r="1721" spans="1:11" x14ac:dyDescent="0.15">
      <c r="A1721" s="43" t="s">
        <v>22</v>
      </c>
      <c r="B1721" s="6">
        <v>10</v>
      </c>
      <c r="C1721" s="27">
        <v>13</v>
      </c>
      <c r="D1721" s="35">
        <f t="shared" si="342"/>
        <v>23</v>
      </c>
      <c r="E1721" s="61">
        <v>46149</v>
      </c>
      <c r="G1721" s="43"/>
      <c r="H1721" s="6"/>
      <c r="I1721" s="27"/>
      <c r="J1721" s="35">
        <f t="shared" si="341"/>
        <v>0</v>
      </c>
    </row>
    <row r="1722" spans="1:11" x14ac:dyDescent="0.15">
      <c r="A1722" s="43" t="s">
        <v>22</v>
      </c>
      <c r="B1722" s="6">
        <v>8</v>
      </c>
      <c r="C1722" s="27"/>
      <c r="D1722" s="35">
        <f t="shared" si="342"/>
        <v>8</v>
      </c>
      <c r="E1722" s="61">
        <v>46150</v>
      </c>
      <c r="G1722" s="43"/>
      <c r="H1722" s="6"/>
      <c r="I1722" s="27"/>
      <c r="J1722" s="35">
        <f t="shared" si="341"/>
        <v>0</v>
      </c>
    </row>
    <row r="1723" spans="1:11" x14ac:dyDescent="0.15">
      <c r="A1723" s="114" t="s">
        <v>381</v>
      </c>
      <c r="B1723" s="115">
        <v>-15</v>
      </c>
      <c r="C1723" s="116">
        <v>-10</v>
      </c>
      <c r="D1723" s="117">
        <f t="shared" si="342"/>
        <v>-25</v>
      </c>
      <c r="E1723" s="113">
        <v>46153</v>
      </c>
      <c r="G1723" s="43"/>
      <c r="H1723" s="6"/>
      <c r="I1723" s="27"/>
      <c r="J1723" s="35">
        <f t="shared" si="341"/>
        <v>0</v>
      </c>
    </row>
    <row r="1724" spans="1:11" x14ac:dyDescent="0.15">
      <c r="A1724" s="43" t="s">
        <v>22</v>
      </c>
      <c r="B1724" s="6">
        <v>16</v>
      </c>
      <c r="C1724" s="27">
        <v>7</v>
      </c>
      <c r="D1724" s="35">
        <f t="shared" si="342"/>
        <v>23</v>
      </c>
      <c r="E1724" s="61">
        <v>46153</v>
      </c>
      <c r="G1724" s="43"/>
      <c r="H1724" s="6"/>
      <c r="I1724" s="27"/>
      <c r="J1724" s="35">
        <f t="shared" si="341"/>
        <v>0</v>
      </c>
    </row>
    <row r="1725" spans="1:11" x14ac:dyDescent="0.15">
      <c r="A1725" s="114" t="s">
        <v>218</v>
      </c>
      <c r="B1725" s="115">
        <v>-10</v>
      </c>
      <c r="C1725" s="116"/>
      <c r="D1725" s="117">
        <f t="shared" si="342"/>
        <v>-10</v>
      </c>
      <c r="E1725" s="113">
        <v>46154</v>
      </c>
      <c r="G1725" s="43"/>
      <c r="H1725" s="6"/>
      <c r="I1725" s="27"/>
      <c r="J1725" s="35">
        <f t="shared" si="341"/>
        <v>0</v>
      </c>
    </row>
    <row r="1726" spans="1:11" x14ac:dyDescent="0.15">
      <c r="A1726" s="43" t="s">
        <v>22</v>
      </c>
      <c r="B1726" s="6"/>
      <c r="C1726" s="27">
        <v>2</v>
      </c>
      <c r="D1726" s="35">
        <f t="shared" si="342"/>
        <v>2</v>
      </c>
      <c r="E1726" s="61">
        <v>46154</v>
      </c>
      <c r="G1726" s="43"/>
      <c r="H1726" s="6"/>
      <c r="I1726" s="27"/>
      <c r="J1726" s="35">
        <f t="shared" si="341"/>
        <v>0</v>
      </c>
    </row>
    <row r="1727" spans="1:11" x14ac:dyDescent="0.15">
      <c r="A1727" s="43" t="s">
        <v>22</v>
      </c>
      <c r="B1727" s="6">
        <v>3</v>
      </c>
      <c r="C1727" s="27">
        <v>2</v>
      </c>
      <c r="D1727" s="35">
        <f t="shared" si="342"/>
        <v>5</v>
      </c>
      <c r="E1727" s="61">
        <v>46155</v>
      </c>
      <c r="G1727" s="43"/>
      <c r="H1727" s="6"/>
      <c r="I1727" s="27"/>
      <c r="J1727" s="35">
        <f t="shared" si="341"/>
        <v>0</v>
      </c>
    </row>
    <row r="1728" spans="1:11" x14ac:dyDescent="0.15">
      <c r="A1728" s="43" t="s">
        <v>22</v>
      </c>
      <c r="B1728" s="6">
        <v>6</v>
      </c>
      <c r="C1728" s="27"/>
      <c r="D1728" s="35">
        <f t="shared" si="342"/>
        <v>6</v>
      </c>
      <c r="E1728" s="57">
        <v>46156</v>
      </c>
      <c r="G1728" s="43"/>
      <c r="H1728" s="6"/>
      <c r="I1728" s="27"/>
      <c r="J1728" s="35">
        <f t="shared" ref="J1728:J1731" si="343">SUM(H1728+I1728)</f>
        <v>0</v>
      </c>
    </row>
    <row r="1729" spans="1:10" x14ac:dyDescent="0.15">
      <c r="A1729" s="43" t="s">
        <v>1</v>
      </c>
      <c r="B1729" s="6">
        <v>-10</v>
      </c>
      <c r="C1729" s="27">
        <v>-10</v>
      </c>
      <c r="D1729" s="35">
        <f t="shared" si="342"/>
        <v>-20</v>
      </c>
      <c r="E1729" s="57">
        <v>46157</v>
      </c>
      <c r="G1729" s="43"/>
      <c r="H1729" s="6"/>
      <c r="I1729" s="27"/>
      <c r="J1729" s="35">
        <f t="shared" si="343"/>
        <v>0</v>
      </c>
    </row>
    <row r="1730" spans="1:10" x14ac:dyDescent="0.15">
      <c r="A1730" s="43" t="s">
        <v>22</v>
      </c>
      <c r="B1730" s="6">
        <v>3</v>
      </c>
      <c r="C1730" s="27">
        <v>1</v>
      </c>
      <c r="D1730" s="35">
        <f t="shared" si="342"/>
        <v>4</v>
      </c>
      <c r="E1730" s="61">
        <v>46157</v>
      </c>
      <c r="G1730" s="43"/>
      <c r="H1730" s="6"/>
      <c r="I1730" s="27"/>
      <c r="J1730" s="35">
        <f t="shared" si="343"/>
        <v>0</v>
      </c>
    </row>
    <row r="1731" spans="1:10" ht="14.25" thickBot="1" x14ac:dyDescent="0.2">
      <c r="A1731" s="43" t="s">
        <v>22</v>
      </c>
      <c r="B1731" s="6">
        <v>11</v>
      </c>
      <c r="C1731" s="27">
        <v>13</v>
      </c>
      <c r="D1731" s="35">
        <f t="shared" si="342"/>
        <v>24</v>
      </c>
      <c r="E1731" s="61">
        <v>46160</v>
      </c>
      <c r="G1731" s="43"/>
      <c r="H1731" s="6"/>
      <c r="I1731" s="27"/>
      <c r="J1731" s="35">
        <f t="shared" si="343"/>
        <v>0</v>
      </c>
    </row>
    <row r="1732" spans="1:10" ht="14.25" thickBot="1" x14ac:dyDescent="0.2">
      <c r="A1732" s="9" t="s">
        <v>3</v>
      </c>
      <c r="B1732" s="10">
        <f>SUM(B1708:B1731)</f>
        <v>60</v>
      </c>
      <c r="C1732" s="66">
        <f>SUM(C1708:C1731)</f>
        <v>38</v>
      </c>
      <c r="D1732" s="11">
        <f>SUM(D1708:D1731)</f>
        <v>98</v>
      </c>
      <c r="G1732" s="9" t="s">
        <v>3</v>
      </c>
      <c r="H1732" s="10">
        <f>SUM(H1708:H1731)</f>
        <v>75</v>
      </c>
      <c r="I1732" s="66">
        <f>SUM(I1708:I1731)</f>
        <v>80</v>
      </c>
      <c r="J1732" s="11">
        <f>SUM(J1708:J1731)</f>
        <v>155</v>
      </c>
    </row>
    <row r="1733" spans="1:10" ht="14.25" thickBot="1" x14ac:dyDescent="0.2">
      <c r="A1733" s="14" t="s">
        <v>4</v>
      </c>
      <c r="B1733" s="16">
        <f>B1707-B1732</f>
        <v>3</v>
      </c>
      <c r="C1733" s="16">
        <f>C1707-C1732</f>
        <v>7</v>
      </c>
      <c r="D1733" s="84">
        <f>D1707-D1732</f>
        <v>10</v>
      </c>
      <c r="G1733" s="14" t="s">
        <v>4</v>
      </c>
      <c r="H1733" s="16">
        <f>H1707-H1732</f>
        <v>1812</v>
      </c>
      <c r="I1733" s="16">
        <f>I1707-I1732</f>
        <v>2149</v>
      </c>
      <c r="J1733" s="16">
        <f>J1707-J1732</f>
        <v>3961</v>
      </c>
    </row>
    <row r="1736" spans="1:10" ht="24.75" thickBot="1" x14ac:dyDescent="0.3">
      <c r="A1736" s="25" t="s">
        <v>7</v>
      </c>
      <c r="B1736" s="1"/>
      <c r="C1736" s="1"/>
      <c r="D1736" s="1"/>
      <c r="G1736" s="25" t="s">
        <v>8</v>
      </c>
      <c r="H1736" s="1"/>
      <c r="I1736" s="1"/>
      <c r="J1736" s="1"/>
    </row>
    <row r="1737" spans="1:10" ht="14.25" thickBot="1" x14ac:dyDescent="0.2">
      <c r="A1737" s="2"/>
      <c r="B1737" s="50" t="s">
        <v>115</v>
      </c>
      <c r="C1737" s="50" t="s">
        <v>116</v>
      </c>
      <c r="D1737" s="2" t="s">
        <v>0</v>
      </c>
      <c r="G1737" s="2"/>
      <c r="H1737" s="50" t="s">
        <v>115</v>
      </c>
      <c r="I1737" s="50" t="s">
        <v>116</v>
      </c>
      <c r="J1737" s="2" t="s">
        <v>0</v>
      </c>
    </row>
    <row r="1738" spans="1:10" x14ac:dyDescent="0.15">
      <c r="A1738" s="32" t="s">
        <v>4</v>
      </c>
      <c r="B1738" s="48">
        <f>B1733</f>
        <v>3</v>
      </c>
      <c r="C1738" s="76">
        <f>C1733</f>
        <v>7</v>
      </c>
      <c r="D1738" s="47">
        <f>SUM(B1738+C1738)</f>
        <v>10</v>
      </c>
      <c r="G1738" s="13" t="s">
        <v>6</v>
      </c>
      <c r="H1738" s="48">
        <f>H1733</f>
        <v>1812</v>
      </c>
      <c r="I1738" s="80">
        <f>I1733</f>
        <v>2149</v>
      </c>
      <c r="J1738" s="47">
        <f>SUM(H1738+I1738)</f>
        <v>3961</v>
      </c>
    </row>
    <row r="1739" spans="1:10" x14ac:dyDescent="0.15">
      <c r="A1739" s="118" t="s">
        <v>1</v>
      </c>
      <c r="B1739" s="110">
        <v>10</v>
      </c>
      <c r="C1739" s="111"/>
      <c r="D1739" s="112">
        <f t="shared" ref="D1739:D1743" si="344">SUM(B1739+C1739)</f>
        <v>10</v>
      </c>
      <c r="E1739" s="113">
        <v>46161</v>
      </c>
      <c r="G1739" s="3" t="s">
        <v>1</v>
      </c>
      <c r="H1739" s="24"/>
      <c r="I1739" s="90"/>
      <c r="J1739" s="7">
        <f t="shared" ref="J1739:J1743" si="345">SUM(H1739+I1739)</f>
        <v>0</v>
      </c>
    </row>
    <row r="1740" spans="1:10" x14ac:dyDescent="0.15">
      <c r="A1740" s="118" t="s">
        <v>1</v>
      </c>
      <c r="B1740" s="110">
        <v>10</v>
      </c>
      <c r="C1740" s="111">
        <v>20</v>
      </c>
      <c r="D1740" s="112">
        <f t="shared" si="344"/>
        <v>30</v>
      </c>
      <c r="E1740" s="113">
        <v>46162</v>
      </c>
      <c r="G1740" s="3" t="s">
        <v>1</v>
      </c>
      <c r="H1740" s="24"/>
      <c r="I1740" s="90"/>
      <c r="J1740" s="7">
        <f t="shared" si="345"/>
        <v>0</v>
      </c>
    </row>
    <row r="1741" spans="1:10" x14ac:dyDescent="0.15">
      <c r="A1741" s="4" t="s">
        <v>1</v>
      </c>
      <c r="B1741" s="24">
        <v>15</v>
      </c>
      <c r="C1741" s="90"/>
      <c r="D1741" s="7">
        <f t="shared" si="344"/>
        <v>15</v>
      </c>
      <c r="E1741" s="57">
        <v>46163</v>
      </c>
      <c r="G1741" s="3" t="s">
        <v>1</v>
      </c>
      <c r="H1741" s="24"/>
      <c r="I1741" s="90"/>
      <c r="J1741" s="7">
        <f t="shared" si="345"/>
        <v>0</v>
      </c>
    </row>
    <row r="1742" spans="1:10" x14ac:dyDescent="0.15">
      <c r="A1742" s="4" t="s">
        <v>385</v>
      </c>
      <c r="B1742" s="24">
        <v>6</v>
      </c>
      <c r="C1742" s="90">
        <v>-7</v>
      </c>
      <c r="D1742" s="7">
        <f t="shared" si="344"/>
        <v>-1</v>
      </c>
      <c r="E1742" s="57">
        <v>46162</v>
      </c>
      <c r="G1742" s="3" t="s">
        <v>1</v>
      </c>
      <c r="H1742" s="24"/>
      <c r="I1742" s="90"/>
      <c r="J1742" s="7">
        <f t="shared" si="345"/>
        <v>0</v>
      </c>
    </row>
    <row r="1743" spans="1:10" ht="14.25" thickBot="1" x14ac:dyDescent="0.2">
      <c r="A1743" s="133" t="s">
        <v>1</v>
      </c>
      <c r="B1743" s="75"/>
      <c r="C1743" s="17">
        <v>10</v>
      </c>
      <c r="D1743" s="22">
        <f t="shared" si="344"/>
        <v>10</v>
      </c>
      <c r="E1743" s="57">
        <v>46167</v>
      </c>
      <c r="G1743" s="4" t="s">
        <v>1</v>
      </c>
      <c r="H1743" s="75"/>
      <c r="I1743" s="17"/>
      <c r="J1743" s="22">
        <f t="shared" si="345"/>
        <v>0</v>
      </c>
    </row>
    <row r="1744" spans="1:10" ht="14.25" thickBot="1" x14ac:dyDescent="0.2">
      <c r="A1744" s="127" t="s">
        <v>2</v>
      </c>
      <c r="B1744" s="18">
        <f>SUM(B1738:B1743)</f>
        <v>44</v>
      </c>
      <c r="C1744" s="65">
        <f>SUM(C1738:C1743)</f>
        <v>30</v>
      </c>
      <c r="D1744" s="18">
        <f>SUM(B1744+C1744)</f>
        <v>74</v>
      </c>
      <c r="G1744" s="14" t="s">
        <v>2</v>
      </c>
      <c r="H1744" s="84">
        <f>SUM(H1738:H1743)</f>
        <v>1812</v>
      </c>
      <c r="I1744" s="65">
        <f>SUM(I1738:I1743)</f>
        <v>2149</v>
      </c>
      <c r="J1744" s="18">
        <f>SUM(H1744+I1744)</f>
        <v>3961</v>
      </c>
    </row>
    <row r="1745" spans="1:13" x14ac:dyDescent="0.15">
      <c r="A1745" s="43" t="s">
        <v>383</v>
      </c>
      <c r="B1745" s="6">
        <v>1</v>
      </c>
      <c r="C1745" s="27"/>
      <c r="D1745" s="35">
        <f t="shared" ref="D1745:D1766" si="346">SUM(B1745+C1745)</f>
        <v>1</v>
      </c>
      <c r="E1745" s="57">
        <v>46162</v>
      </c>
      <c r="F1745" s="19"/>
      <c r="G1745" s="114" t="s">
        <v>384</v>
      </c>
      <c r="H1745" s="115">
        <v>15</v>
      </c>
      <c r="I1745" s="116"/>
      <c r="J1745" s="117">
        <f t="shared" ref="J1745:J1750" si="347">SUM(H1745+I1745)</f>
        <v>15</v>
      </c>
      <c r="K1745" s="113">
        <v>46163</v>
      </c>
    </row>
    <row r="1746" spans="1:13" x14ac:dyDescent="0.15">
      <c r="A1746" s="43" t="s">
        <v>22</v>
      </c>
      <c r="B1746" s="6">
        <v>9</v>
      </c>
      <c r="C1746" s="27"/>
      <c r="D1746" s="35">
        <f t="shared" si="346"/>
        <v>9</v>
      </c>
      <c r="E1746" s="61">
        <v>46161</v>
      </c>
      <c r="G1746" s="43" t="s">
        <v>359</v>
      </c>
      <c r="H1746" s="6"/>
      <c r="I1746" s="27">
        <v>10</v>
      </c>
      <c r="J1746" s="35">
        <f t="shared" si="347"/>
        <v>10</v>
      </c>
      <c r="K1746" s="57">
        <v>46167</v>
      </c>
      <c r="L1746" s="19"/>
    </row>
    <row r="1747" spans="1:13" x14ac:dyDescent="0.15">
      <c r="A1747" s="43" t="s">
        <v>22</v>
      </c>
      <c r="B1747" s="6">
        <v>7</v>
      </c>
      <c r="C1747" s="27">
        <v>4</v>
      </c>
      <c r="D1747" s="35">
        <f t="shared" si="346"/>
        <v>11</v>
      </c>
      <c r="E1747" s="61">
        <v>46162</v>
      </c>
      <c r="G1747" s="43" t="s">
        <v>360</v>
      </c>
      <c r="H1747" s="6">
        <v>10</v>
      </c>
      <c r="I1747" s="27"/>
      <c r="J1747" s="35">
        <f t="shared" si="347"/>
        <v>10</v>
      </c>
      <c r="K1747" s="57">
        <v>46168</v>
      </c>
    </row>
    <row r="1748" spans="1:13" x14ac:dyDescent="0.15">
      <c r="A1748" s="43" t="s">
        <v>22</v>
      </c>
      <c r="B1748" s="6">
        <v>8</v>
      </c>
      <c r="C1748" s="27">
        <v>3</v>
      </c>
      <c r="D1748" s="35">
        <f t="shared" si="346"/>
        <v>11</v>
      </c>
      <c r="E1748" s="61">
        <v>46163</v>
      </c>
      <c r="G1748" s="43" t="s">
        <v>360</v>
      </c>
      <c r="H1748" s="6">
        <v>5</v>
      </c>
      <c r="I1748" s="27">
        <v>10</v>
      </c>
      <c r="J1748" s="35">
        <f t="shared" si="347"/>
        <v>15</v>
      </c>
      <c r="K1748" s="57">
        <v>46170</v>
      </c>
    </row>
    <row r="1749" spans="1:13" x14ac:dyDescent="0.15">
      <c r="A1749" s="43" t="s">
        <v>22</v>
      </c>
      <c r="B1749" s="6">
        <v>1</v>
      </c>
      <c r="C1749" s="27">
        <v>2</v>
      </c>
      <c r="D1749" s="35">
        <f t="shared" si="346"/>
        <v>3</v>
      </c>
      <c r="E1749" s="61">
        <v>46164</v>
      </c>
      <c r="G1749" s="43" t="s">
        <v>360</v>
      </c>
      <c r="H1749" s="6">
        <v>20</v>
      </c>
      <c r="I1749" s="27">
        <v>5</v>
      </c>
      <c r="J1749" s="35">
        <f t="shared" si="347"/>
        <v>25</v>
      </c>
      <c r="K1749" s="57">
        <v>46171</v>
      </c>
      <c r="L1749" s="19"/>
    </row>
    <row r="1750" spans="1:13" x14ac:dyDescent="0.15">
      <c r="A1750" s="43" t="s">
        <v>22</v>
      </c>
      <c r="B1750" s="6">
        <v>9</v>
      </c>
      <c r="C1750" s="27">
        <v>8</v>
      </c>
      <c r="D1750" s="35">
        <f t="shared" si="346"/>
        <v>17</v>
      </c>
      <c r="E1750" s="61">
        <v>46167</v>
      </c>
      <c r="G1750" s="43" t="s">
        <v>389</v>
      </c>
      <c r="H1750" s="6">
        <v>7</v>
      </c>
      <c r="I1750" s="27"/>
      <c r="J1750" s="35">
        <f t="shared" si="347"/>
        <v>7</v>
      </c>
      <c r="K1750" s="57">
        <v>46177</v>
      </c>
      <c r="L1750" s="19"/>
    </row>
    <row r="1751" spans="1:13" x14ac:dyDescent="0.15">
      <c r="A1751" s="114" t="s">
        <v>218</v>
      </c>
      <c r="B1751" s="115">
        <v>-10</v>
      </c>
      <c r="C1751" s="116"/>
      <c r="D1751" s="117">
        <f t="shared" si="346"/>
        <v>-10</v>
      </c>
      <c r="E1751" s="113">
        <v>46168</v>
      </c>
      <c r="G1751" s="43" t="s">
        <v>360</v>
      </c>
      <c r="H1751" s="6">
        <v>10</v>
      </c>
      <c r="I1751" s="27">
        <v>10</v>
      </c>
      <c r="J1751" s="35">
        <f t="shared" ref="J1751:J1764" si="348">SUM(H1751+I1751)</f>
        <v>20</v>
      </c>
      <c r="K1751" s="57">
        <v>46176</v>
      </c>
    </row>
    <row r="1752" spans="1:13" x14ac:dyDescent="0.15">
      <c r="A1752" s="43" t="s">
        <v>22</v>
      </c>
      <c r="B1752" s="6">
        <v>3</v>
      </c>
      <c r="C1752" s="27">
        <v>1</v>
      </c>
      <c r="D1752" s="35">
        <f t="shared" si="346"/>
        <v>4</v>
      </c>
      <c r="E1752" s="113">
        <v>46168</v>
      </c>
      <c r="F1752" s="132"/>
      <c r="G1752" s="114" t="s">
        <v>360</v>
      </c>
      <c r="H1752" s="115">
        <v>10</v>
      </c>
      <c r="I1752" s="116">
        <v>10</v>
      </c>
      <c r="J1752" s="117">
        <f t="shared" si="348"/>
        <v>20</v>
      </c>
      <c r="K1752" s="113">
        <v>46177</v>
      </c>
    </row>
    <row r="1753" spans="1:13" x14ac:dyDescent="0.15">
      <c r="A1753" s="43" t="s">
        <v>22</v>
      </c>
      <c r="B1753" s="6">
        <v>2</v>
      </c>
      <c r="C1753" s="27">
        <v>1</v>
      </c>
      <c r="D1753" s="35">
        <f t="shared" si="346"/>
        <v>3</v>
      </c>
      <c r="E1753" s="57">
        <v>46169</v>
      </c>
      <c r="F1753" s="61"/>
      <c r="G1753" s="43" t="s">
        <v>360</v>
      </c>
      <c r="H1753" s="6">
        <v>15</v>
      </c>
      <c r="I1753" s="27">
        <v>5</v>
      </c>
      <c r="J1753" s="35">
        <f t="shared" si="348"/>
        <v>20</v>
      </c>
      <c r="K1753" s="57">
        <v>46179</v>
      </c>
    </row>
    <row r="1754" spans="1:13" x14ac:dyDescent="0.15">
      <c r="A1754" s="43" t="s">
        <v>386</v>
      </c>
      <c r="B1754" s="6">
        <v>-5</v>
      </c>
      <c r="C1754" s="27">
        <v>-10</v>
      </c>
      <c r="D1754" s="35">
        <f t="shared" si="346"/>
        <v>-15</v>
      </c>
      <c r="E1754" s="57">
        <v>46170</v>
      </c>
      <c r="G1754" s="114" t="s">
        <v>360</v>
      </c>
      <c r="H1754" s="115">
        <v>15</v>
      </c>
      <c r="I1754" s="116">
        <v>15</v>
      </c>
      <c r="J1754" s="117">
        <f t="shared" si="348"/>
        <v>30</v>
      </c>
      <c r="K1754" s="113">
        <v>46182</v>
      </c>
    </row>
    <row r="1755" spans="1:13" x14ac:dyDescent="0.15">
      <c r="A1755" s="43" t="s">
        <v>22</v>
      </c>
      <c r="B1755" s="6">
        <v>6</v>
      </c>
      <c r="C1755" s="27">
        <v>1</v>
      </c>
      <c r="D1755" s="35">
        <f t="shared" si="346"/>
        <v>7</v>
      </c>
      <c r="E1755" s="61">
        <v>46170</v>
      </c>
      <c r="G1755" s="43" t="s">
        <v>360</v>
      </c>
      <c r="H1755" s="6">
        <v>25</v>
      </c>
      <c r="I1755" s="27">
        <v>15</v>
      </c>
      <c r="J1755" s="35">
        <f t="shared" si="348"/>
        <v>40</v>
      </c>
      <c r="K1755" s="57">
        <v>46184</v>
      </c>
      <c r="L1755" s="19"/>
      <c r="M1755" s="19"/>
    </row>
    <row r="1756" spans="1:13" x14ac:dyDescent="0.15">
      <c r="A1756" s="43" t="s">
        <v>387</v>
      </c>
      <c r="B1756" s="6">
        <v>-20</v>
      </c>
      <c r="C1756" s="27">
        <v>-5</v>
      </c>
      <c r="D1756" s="35">
        <f t="shared" si="346"/>
        <v>-25</v>
      </c>
      <c r="E1756" s="57">
        <v>46171</v>
      </c>
      <c r="G1756" s="43" t="s">
        <v>360</v>
      </c>
      <c r="H1756" s="6">
        <v>5</v>
      </c>
      <c r="I1756" s="27">
        <v>10</v>
      </c>
      <c r="J1756" s="35">
        <f t="shared" si="348"/>
        <v>15</v>
      </c>
      <c r="K1756" s="57">
        <v>46185</v>
      </c>
      <c r="L1756" s="19"/>
      <c r="M1756" s="19"/>
    </row>
    <row r="1757" spans="1:13" x14ac:dyDescent="0.15">
      <c r="A1757" s="114" t="s">
        <v>22</v>
      </c>
      <c r="B1757" s="115">
        <v>2</v>
      </c>
      <c r="C1757" s="116">
        <v>2</v>
      </c>
      <c r="D1757" s="117">
        <f t="shared" si="346"/>
        <v>4</v>
      </c>
      <c r="E1757" s="113">
        <v>46171</v>
      </c>
      <c r="G1757" s="43"/>
      <c r="H1757" s="6"/>
      <c r="I1757" s="27"/>
      <c r="J1757" s="35">
        <f t="shared" si="348"/>
        <v>0</v>
      </c>
    </row>
    <row r="1758" spans="1:13" x14ac:dyDescent="0.15">
      <c r="A1758" s="114" t="s">
        <v>388</v>
      </c>
      <c r="B1758" s="115"/>
      <c r="C1758" s="116">
        <v>2</v>
      </c>
      <c r="D1758" s="117">
        <f t="shared" si="346"/>
        <v>2</v>
      </c>
      <c r="E1758" s="113">
        <v>46175</v>
      </c>
      <c r="G1758" s="43"/>
      <c r="H1758" s="6"/>
      <c r="I1758" s="27"/>
      <c r="J1758" s="35">
        <f t="shared" si="348"/>
        <v>0</v>
      </c>
    </row>
    <row r="1759" spans="1:13" x14ac:dyDescent="0.15">
      <c r="A1759" s="43" t="s">
        <v>22</v>
      </c>
      <c r="B1759" s="6">
        <v>19</v>
      </c>
      <c r="C1759" s="27">
        <v>7</v>
      </c>
      <c r="D1759" s="35">
        <f t="shared" si="346"/>
        <v>26</v>
      </c>
      <c r="E1759" s="61">
        <v>46174</v>
      </c>
      <c r="G1759" s="43"/>
      <c r="H1759" s="6"/>
      <c r="I1759" s="27"/>
      <c r="J1759" s="35">
        <f t="shared" si="348"/>
        <v>0</v>
      </c>
    </row>
    <row r="1760" spans="1:13" x14ac:dyDescent="0.15">
      <c r="A1760" s="43" t="s">
        <v>22</v>
      </c>
      <c r="B1760" s="6">
        <v>3</v>
      </c>
      <c r="C1760" s="27">
        <v>3</v>
      </c>
      <c r="D1760" s="35">
        <f t="shared" si="346"/>
        <v>6</v>
      </c>
      <c r="E1760" s="57">
        <v>46175</v>
      </c>
      <c r="G1760" s="43"/>
      <c r="H1760" s="6"/>
      <c r="I1760" s="27"/>
      <c r="J1760" s="35">
        <f t="shared" si="348"/>
        <v>0</v>
      </c>
    </row>
    <row r="1761" spans="1:11" x14ac:dyDescent="0.15">
      <c r="A1761" s="43" t="s">
        <v>218</v>
      </c>
      <c r="B1761" s="6">
        <v>-10</v>
      </c>
      <c r="C1761" s="27">
        <v>-10</v>
      </c>
      <c r="D1761" s="35">
        <f t="shared" si="346"/>
        <v>-20</v>
      </c>
      <c r="E1761" s="57">
        <v>46176</v>
      </c>
      <c r="G1761" s="43"/>
      <c r="H1761" s="6"/>
      <c r="I1761" s="27"/>
      <c r="J1761" s="35">
        <f t="shared" si="348"/>
        <v>0</v>
      </c>
    </row>
    <row r="1762" spans="1:11" x14ac:dyDescent="0.15">
      <c r="A1762" s="114" t="s">
        <v>218</v>
      </c>
      <c r="B1762" s="115">
        <v>-10</v>
      </c>
      <c r="C1762" s="116">
        <v>-10</v>
      </c>
      <c r="D1762" s="117">
        <f t="shared" si="346"/>
        <v>-20</v>
      </c>
      <c r="E1762" s="113">
        <v>46177</v>
      </c>
      <c r="G1762" s="43"/>
      <c r="H1762" s="6"/>
      <c r="I1762" s="27"/>
      <c r="J1762" s="35">
        <f t="shared" si="348"/>
        <v>0</v>
      </c>
    </row>
    <row r="1763" spans="1:11" x14ac:dyDescent="0.15">
      <c r="A1763" s="43" t="s">
        <v>22</v>
      </c>
      <c r="B1763" s="6">
        <v>4</v>
      </c>
      <c r="C1763" s="27">
        <v>7</v>
      </c>
      <c r="D1763" s="35">
        <f t="shared" si="346"/>
        <v>11</v>
      </c>
      <c r="E1763" s="61">
        <v>46176</v>
      </c>
      <c r="G1763" s="43"/>
      <c r="H1763" s="6"/>
      <c r="I1763" s="27"/>
      <c r="J1763" s="35">
        <f t="shared" si="348"/>
        <v>0</v>
      </c>
    </row>
    <row r="1764" spans="1:11" x14ac:dyDescent="0.15">
      <c r="A1764" s="43" t="s">
        <v>22</v>
      </c>
      <c r="B1764" s="6">
        <v>5</v>
      </c>
      <c r="C1764" s="27"/>
      <c r="D1764" s="35">
        <f t="shared" si="346"/>
        <v>5</v>
      </c>
      <c r="E1764" s="61">
        <v>46177</v>
      </c>
      <c r="G1764" s="43"/>
      <c r="H1764" s="6"/>
      <c r="I1764" s="27"/>
      <c r="J1764" s="35">
        <f t="shared" si="348"/>
        <v>0</v>
      </c>
    </row>
    <row r="1765" spans="1:11" x14ac:dyDescent="0.15">
      <c r="A1765" s="43" t="s">
        <v>22</v>
      </c>
      <c r="B1765" s="6">
        <v>10</v>
      </c>
      <c r="C1765" s="27">
        <v>7</v>
      </c>
      <c r="D1765" s="35">
        <f t="shared" si="346"/>
        <v>17</v>
      </c>
      <c r="E1765" s="57">
        <v>46178</v>
      </c>
      <c r="G1765" s="43"/>
      <c r="H1765" s="6"/>
      <c r="I1765" s="27"/>
      <c r="J1765" s="35">
        <f t="shared" ref="J1765:J1766" si="349">SUM(H1765+I1765)</f>
        <v>0</v>
      </c>
    </row>
    <row r="1766" spans="1:11" x14ac:dyDescent="0.15">
      <c r="A1766" s="43" t="s">
        <v>390</v>
      </c>
      <c r="B1766" s="6">
        <v>-15</v>
      </c>
      <c r="C1766" s="27">
        <v>-5</v>
      </c>
      <c r="D1766" s="35">
        <f t="shared" si="346"/>
        <v>-20</v>
      </c>
      <c r="E1766" s="57">
        <v>46179</v>
      </c>
      <c r="G1766" s="43"/>
      <c r="H1766" s="6"/>
      <c r="I1766" s="27"/>
      <c r="J1766" s="35">
        <f t="shared" si="349"/>
        <v>0</v>
      </c>
    </row>
    <row r="1767" spans="1:11" x14ac:dyDescent="0.15">
      <c r="A1767" s="43" t="s">
        <v>391</v>
      </c>
      <c r="B1767" s="6">
        <v>1</v>
      </c>
      <c r="C1767" s="27">
        <v>1</v>
      </c>
      <c r="D1767" s="35">
        <f t="shared" ref="D1767:D1768" si="350">SUM(B1767+C1767)</f>
        <v>2</v>
      </c>
      <c r="E1767" s="57">
        <v>46179</v>
      </c>
      <c r="G1767" s="106" t="s">
        <v>369</v>
      </c>
      <c r="H1767" s="98"/>
      <c r="I1767" s="99"/>
      <c r="J1767" s="100">
        <f t="shared" ref="J1767:J1768" si="351">SUM(H1767+I1767)</f>
        <v>0</v>
      </c>
      <c r="K1767" s="57"/>
    </row>
    <row r="1768" spans="1:11" ht="14.25" thickBot="1" x14ac:dyDescent="0.2">
      <c r="A1768" s="43" t="s">
        <v>22</v>
      </c>
      <c r="B1768" s="6">
        <v>20</v>
      </c>
      <c r="C1768" s="27">
        <v>14</v>
      </c>
      <c r="D1768" s="35">
        <f t="shared" si="350"/>
        <v>34</v>
      </c>
      <c r="E1768" s="61">
        <v>46181</v>
      </c>
      <c r="G1768" s="43" t="s">
        <v>368</v>
      </c>
      <c r="H1768" s="6"/>
      <c r="I1768" s="27"/>
      <c r="J1768" s="35">
        <f t="shared" si="351"/>
        <v>0</v>
      </c>
      <c r="K1768" s="57" t="s">
        <v>376</v>
      </c>
    </row>
    <row r="1769" spans="1:11" ht="14.25" thickBot="1" x14ac:dyDescent="0.2">
      <c r="A1769" s="9" t="s">
        <v>3</v>
      </c>
      <c r="B1769" s="10">
        <f>SUM(B1745:B1768)</f>
        <v>40</v>
      </c>
      <c r="C1769" s="66">
        <f>SUM(C1745:C1768)</f>
        <v>23</v>
      </c>
      <c r="D1769" s="11">
        <f>SUM(D1745:D1768)</f>
        <v>63</v>
      </c>
      <c r="G1769" s="9" t="s">
        <v>3</v>
      </c>
      <c r="H1769" s="10">
        <f>SUM(H1745:H1768)</f>
        <v>137</v>
      </c>
      <c r="I1769" s="66">
        <f>SUM(I1745:I1768)</f>
        <v>90</v>
      </c>
      <c r="J1769" s="11">
        <f>SUM(J1745:J1768)</f>
        <v>227</v>
      </c>
    </row>
    <row r="1770" spans="1:11" ht="14.25" thickBot="1" x14ac:dyDescent="0.2">
      <c r="A1770" s="14" t="s">
        <v>4</v>
      </c>
      <c r="B1770" s="16">
        <f>B1744-B1769</f>
        <v>4</v>
      </c>
      <c r="C1770" s="16">
        <f>C1744-C1769</f>
        <v>7</v>
      </c>
      <c r="D1770" s="84">
        <f>D1744-D1769</f>
        <v>11</v>
      </c>
      <c r="G1770" s="14" t="s">
        <v>4</v>
      </c>
      <c r="H1770" s="16">
        <f>H1744-H1769</f>
        <v>1675</v>
      </c>
      <c r="I1770" s="16">
        <f>I1744-I1769</f>
        <v>2059</v>
      </c>
      <c r="J1770" s="16">
        <f>J1744-J1769</f>
        <v>3734</v>
      </c>
    </row>
    <row r="1773" spans="1:11" ht="24.75" thickBot="1" x14ac:dyDescent="0.3">
      <c r="A1773" s="25" t="s">
        <v>7</v>
      </c>
      <c r="B1773" s="1"/>
      <c r="C1773" s="1"/>
      <c r="D1773" s="1"/>
      <c r="G1773" s="25" t="s">
        <v>8</v>
      </c>
      <c r="H1773" s="1"/>
      <c r="I1773" s="1"/>
      <c r="J1773" s="1"/>
    </row>
    <row r="1774" spans="1:11" ht="14.25" thickBot="1" x14ac:dyDescent="0.2">
      <c r="A1774" s="2"/>
      <c r="B1774" s="50" t="s">
        <v>115</v>
      </c>
      <c r="C1774" s="50" t="s">
        <v>116</v>
      </c>
      <c r="D1774" s="2" t="s">
        <v>0</v>
      </c>
      <c r="G1774" s="2"/>
      <c r="H1774" s="50" t="s">
        <v>115</v>
      </c>
      <c r="I1774" s="50" t="s">
        <v>116</v>
      </c>
      <c r="J1774" s="2" t="s">
        <v>0</v>
      </c>
    </row>
    <row r="1775" spans="1:11" x14ac:dyDescent="0.15">
      <c r="A1775" s="32" t="s">
        <v>4</v>
      </c>
      <c r="B1775" s="48">
        <f>B1770</f>
        <v>4</v>
      </c>
      <c r="C1775" s="76">
        <f>C1770</f>
        <v>7</v>
      </c>
      <c r="D1775" s="47">
        <f>SUM(B1775+C1775)</f>
        <v>11</v>
      </c>
      <c r="G1775" s="13" t="s">
        <v>6</v>
      </c>
      <c r="H1775" s="48">
        <f>H1770</f>
        <v>1675</v>
      </c>
      <c r="I1775" s="80">
        <f>I1770</f>
        <v>2059</v>
      </c>
      <c r="J1775" s="47">
        <f>SUM(H1775+I1775)</f>
        <v>3734</v>
      </c>
    </row>
    <row r="1776" spans="1:11" x14ac:dyDescent="0.15">
      <c r="A1776" s="118" t="s">
        <v>1</v>
      </c>
      <c r="B1776" s="110">
        <v>15</v>
      </c>
      <c r="C1776" s="111">
        <v>15</v>
      </c>
      <c r="D1776" s="112">
        <f t="shared" ref="D1776:D1780" si="352">SUM(B1776+C1776)</f>
        <v>30</v>
      </c>
      <c r="E1776" s="113">
        <v>46182</v>
      </c>
      <c r="G1776" s="3" t="s">
        <v>1</v>
      </c>
      <c r="H1776" s="24"/>
      <c r="I1776" s="90"/>
      <c r="J1776" s="7">
        <f t="shared" ref="J1776:J1780" si="353">SUM(H1776+I1776)</f>
        <v>0</v>
      </c>
    </row>
    <row r="1777" spans="1:11" x14ac:dyDescent="0.15">
      <c r="A1777" s="4" t="s">
        <v>1</v>
      </c>
      <c r="B1777" s="24">
        <v>25</v>
      </c>
      <c r="C1777" s="90">
        <v>15</v>
      </c>
      <c r="D1777" s="7">
        <f t="shared" si="352"/>
        <v>40</v>
      </c>
      <c r="E1777" s="57">
        <v>46184</v>
      </c>
      <c r="G1777" s="3" t="s">
        <v>1</v>
      </c>
      <c r="H1777" s="24"/>
      <c r="I1777" s="90"/>
      <c r="J1777" s="7">
        <f t="shared" si="353"/>
        <v>0</v>
      </c>
    </row>
    <row r="1778" spans="1:11" x14ac:dyDescent="0.15">
      <c r="A1778" s="4" t="s">
        <v>1</v>
      </c>
      <c r="B1778" s="24">
        <v>5</v>
      </c>
      <c r="C1778" s="90">
        <v>10</v>
      </c>
      <c r="D1778" s="7">
        <f t="shared" si="352"/>
        <v>15</v>
      </c>
      <c r="E1778" s="57">
        <v>46185</v>
      </c>
      <c r="G1778" s="3" t="s">
        <v>1</v>
      </c>
      <c r="H1778" s="24"/>
      <c r="I1778" s="90"/>
      <c r="J1778" s="7">
        <f t="shared" si="353"/>
        <v>0</v>
      </c>
    </row>
    <row r="1779" spans="1:11" x14ac:dyDescent="0.15">
      <c r="A1779" s="4" t="s">
        <v>1</v>
      </c>
      <c r="B1779" s="24">
        <v>10</v>
      </c>
      <c r="C1779" s="90">
        <v>10</v>
      </c>
      <c r="D1779" s="7">
        <f t="shared" si="352"/>
        <v>20</v>
      </c>
      <c r="E1779" s="57">
        <v>46191</v>
      </c>
      <c r="G1779" s="3" t="s">
        <v>1</v>
      </c>
      <c r="H1779" s="24"/>
      <c r="I1779" s="90"/>
      <c r="J1779" s="7">
        <f t="shared" si="353"/>
        <v>0</v>
      </c>
    </row>
    <row r="1780" spans="1:11" ht="14.25" thickBot="1" x14ac:dyDescent="0.2">
      <c r="A1780" s="133" t="s">
        <v>1</v>
      </c>
      <c r="B1780" s="75"/>
      <c r="C1780" s="17"/>
      <c r="D1780" s="22">
        <f t="shared" si="352"/>
        <v>0</v>
      </c>
      <c r="E1780" s="57"/>
      <c r="G1780" s="4" t="s">
        <v>1</v>
      </c>
      <c r="H1780" s="75"/>
      <c r="I1780" s="17"/>
      <c r="J1780" s="22">
        <f t="shared" si="353"/>
        <v>0</v>
      </c>
    </row>
    <row r="1781" spans="1:11" ht="14.25" thickBot="1" x14ac:dyDescent="0.2">
      <c r="A1781" s="127" t="s">
        <v>2</v>
      </c>
      <c r="B1781" s="18">
        <f>SUM(B1775:B1780)</f>
        <v>59</v>
      </c>
      <c r="C1781" s="65">
        <f>SUM(C1775:C1780)</f>
        <v>57</v>
      </c>
      <c r="D1781" s="18">
        <f>SUM(B1781+C1781)</f>
        <v>116</v>
      </c>
      <c r="G1781" s="14" t="s">
        <v>2</v>
      </c>
      <c r="H1781" s="84">
        <f>SUM(H1775:H1780)</f>
        <v>1675</v>
      </c>
      <c r="I1781" s="65">
        <f>SUM(I1775:I1780)</f>
        <v>2059</v>
      </c>
      <c r="J1781" s="18">
        <f>SUM(H1781+I1781)</f>
        <v>3734</v>
      </c>
    </row>
    <row r="1782" spans="1:11" x14ac:dyDescent="0.15">
      <c r="A1782" s="43" t="s">
        <v>383</v>
      </c>
      <c r="B1782" s="6"/>
      <c r="C1782" s="27">
        <v>1</v>
      </c>
      <c r="D1782" s="35">
        <f t="shared" ref="D1782:D1801" si="354">SUM(B1782+C1782)</f>
        <v>1</v>
      </c>
      <c r="E1782" s="57">
        <v>46182</v>
      </c>
      <c r="F1782" s="19"/>
      <c r="G1782" s="43" t="s">
        <v>393</v>
      </c>
      <c r="H1782" s="6">
        <v>10</v>
      </c>
      <c r="I1782" s="27">
        <v>10</v>
      </c>
      <c r="J1782" s="35">
        <f t="shared" ref="J1782:J1789" si="355">SUM(H1782+I1782)</f>
        <v>20</v>
      </c>
      <c r="K1782" s="57">
        <v>46191</v>
      </c>
    </row>
    <row r="1783" spans="1:11" x14ac:dyDescent="0.15">
      <c r="A1783" s="43" t="s">
        <v>22</v>
      </c>
      <c r="B1783" s="6">
        <v>5</v>
      </c>
      <c r="C1783" s="27">
        <v>1</v>
      </c>
      <c r="D1783" s="35">
        <f t="shared" si="354"/>
        <v>6</v>
      </c>
      <c r="E1783" s="57">
        <v>46182</v>
      </c>
      <c r="G1783" s="43"/>
      <c r="H1783" s="6"/>
      <c r="I1783" s="27"/>
      <c r="J1783" s="35">
        <f t="shared" si="355"/>
        <v>0</v>
      </c>
    </row>
    <row r="1784" spans="1:11" x14ac:dyDescent="0.15">
      <c r="A1784" s="43" t="s">
        <v>392</v>
      </c>
      <c r="B1784" s="6">
        <v>6</v>
      </c>
      <c r="C1784" s="27">
        <v>7</v>
      </c>
      <c r="D1784" s="35">
        <f t="shared" si="354"/>
        <v>13</v>
      </c>
      <c r="E1784" s="57">
        <v>46183</v>
      </c>
      <c r="G1784" s="43"/>
      <c r="H1784" s="6"/>
      <c r="I1784" s="27"/>
      <c r="J1784" s="35">
        <f t="shared" si="355"/>
        <v>0</v>
      </c>
    </row>
    <row r="1785" spans="1:11" x14ac:dyDescent="0.15">
      <c r="A1785" s="43" t="s">
        <v>22</v>
      </c>
      <c r="B1785" s="6">
        <v>6</v>
      </c>
      <c r="C1785" s="27">
        <v>4</v>
      </c>
      <c r="D1785" s="35">
        <f t="shared" si="354"/>
        <v>10</v>
      </c>
      <c r="E1785" s="57">
        <v>46183</v>
      </c>
      <c r="G1785" s="43"/>
      <c r="H1785" s="6"/>
      <c r="I1785" s="27"/>
      <c r="J1785" s="35">
        <f t="shared" si="355"/>
        <v>0</v>
      </c>
    </row>
    <row r="1786" spans="1:11" x14ac:dyDescent="0.15">
      <c r="A1786" s="43" t="s">
        <v>22</v>
      </c>
      <c r="B1786" s="6">
        <v>6</v>
      </c>
      <c r="C1786" s="27">
        <v>10</v>
      </c>
      <c r="D1786" s="35">
        <f t="shared" si="354"/>
        <v>16</v>
      </c>
      <c r="E1786" s="57">
        <v>46184</v>
      </c>
      <c r="G1786" s="43"/>
      <c r="H1786" s="6"/>
      <c r="I1786" s="27"/>
      <c r="J1786" s="35">
        <f t="shared" si="355"/>
        <v>0</v>
      </c>
    </row>
    <row r="1787" spans="1:11" x14ac:dyDescent="0.15">
      <c r="A1787" s="43" t="s">
        <v>22</v>
      </c>
      <c r="B1787" s="6">
        <v>2</v>
      </c>
      <c r="C1787" s="27">
        <v>3</v>
      </c>
      <c r="D1787" s="35">
        <f t="shared" si="354"/>
        <v>5</v>
      </c>
      <c r="E1787" s="57">
        <v>46185</v>
      </c>
      <c r="G1787" s="43"/>
      <c r="H1787" s="6"/>
      <c r="I1787" s="27"/>
      <c r="J1787" s="35">
        <f t="shared" si="355"/>
        <v>0</v>
      </c>
    </row>
    <row r="1788" spans="1:11" x14ac:dyDescent="0.15">
      <c r="A1788" s="43" t="s">
        <v>22</v>
      </c>
      <c r="B1788" s="6">
        <v>8</v>
      </c>
      <c r="C1788" s="27">
        <v>4</v>
      </c>
      <c r="D1788" s="35">
        <f t="shared" si="354"/>
        <v>12</v>
      </c>
      <c r="E1788" s="57">
        <v>46188</v>
      </c>
      <c r="G1788" s="43"/>
      <c r="H1788" s="6"/>
      <c r="I1788" s="27"/>
      <c r="J1788" s="35">
        <f t="shared" si="355"/>
        <v>0</v>
      </c>
    </row>
    <row r="1789" spans="1:11" x14ac:dyDescent="0.15">
      <c r="A1789" s="43" t="s">
        <v>22</v>
      </c>
      <c r="B1789" s="6">
        <v>2</v>
      </c>
      <c r="C1789" s="27">
        <v>1</v>
      </c>
      <c r="D1789" s="35">
        <f t="shared" si="354"/>
        <v>3</v>
      </c>
      <c r="E1789" s="57">
        <v>46189</v>
      </c>
      <c r="F1789" s="132"/>
      <c r="G1789" s="43"/>
      <c r="H1789" s="6"/>
      <c r="I1789" s="27"/>
      <c r="J1789" s="35">
        <f t="shared" si="355"/>
        <v>0</v>
      </c>
    </row>
    <row r="1790" spans="1:11" x14ac:dyDescent="0.15">
      <c r="A1790" s="43" t="s">
        <v>22</v>
      </c>
      <c r="B1790" s="6">
        <v>2</v>
      </c>
      <c r="C1790" s="27"/>
      <c r="D1790" s="35">
        <f t="shared" si="354"/>
        <v>2</v>
      </c>
      <c r="E1790" s="57">
        <v>46190</v>
      </c>
      <c r="F1790" s="61"/>
      <c r="G1790" s="43"/>
      <c r="H1790" s="6"/>
      <c r="I1790" s="27"/>
      <c r="J1790" s="35">
        <f t="shared" ref="J1790:J1805" si="356">SUM(H1790+I1790)</f>
        <v>0</v>
      </c>
    </row>
    <row r="1791" spans="1:11" x14ac:dyDescent="0.15">
      <c r="A1791" s="43" t="s">
        <v>22</v>
      </c>
      <c r="B1791" s="6">
        <v>2</v>
      </c>
      <c r="C1791" s="27">
        <v>2</v>
      </c>
      <c r="D1791" s="35">
        <f t="shared" si="354"/>
        <v>4</v>
      </c>
      <c r="E1791" s="57">
        <v>46191</v>
      </c>
      <c r="G1791" s="43"/>
      <c r="H1791" s="6"/>
      <c r="I1791" s="27"/>
      <c r="J1791" s="35">
        <f t="shared" si="356"/>
        <v>0</v>
      </c>
    </row>
    <row r="1792" spans="1:11" x14ac:dyDescent="0.15">
      <c r="A1792" s="43" t="s">
        <v>112</v>
      </c>
      <c r="B1792" s="6">
        <v>1</v>
      </c>
      <c r="C1792" s="27">
        <v>3</v>
      </c>
      <c r="D1792" s="35">
        <f t="shared" si="354"/>
        <v>4</v>
      </c>
      <c r="E1792" s="57">
        <v>46218</v>
      </c>
      <c r="G1792" s="43"/>
      <c r="H1792" s="6"/>
      <c r="I1792" s="27"/>
      <c r="J1792" s="35">
        <f t="shared" si="356"/>
        <v>0</v>
      </c>
    </row>
    <row r="1793" spans="1:11" x14ac:dyDescent="0.15">
      <c r="A1793" s="43" t="s">
        <v>112</v>
      </c>
      <c r="B1793" s="6">
        <v>1</v>
      </c>
      <c r="C1793" s="27">
        <v>4</v>
      </c>
      <c r="D1793" s="35">
        <f t="shared" si="354"/>
        <v>5</v>
      </c>
      <c r="E1793" s="57">
        <v>46218</v>
      </c>
      <c r="G1793" s="43"/>
      <c r="H1793" s="6"/>
      <c r="I1793" s="27"/>
      <c r="J1793" s="35">
        <f t="shared" si="356"/>
        <v>0</v>
      </c>
    </row>
    <row r="1794" spans="1:11" x14ac:dyDescent="0.15">
      <c r="A1794" s="43" t="s">
        <v>112</v>
      </c>
      <c r="B1794" s="6"/>
      <c r="C1794" s="27">
        <v>2</v>
      </c>
      <c r="D1794" s="35">
        <f t="shared" si="354"/>
        <v>2</v>
      </c>
      <c r="E1794" s="57">
        <v>46218</v>
      </c>
      <c r="G1794" s="43"/>
      <c r="H1794" s="6"/>
      <c r="I1794" s="27"/>
      <c r="J1794" s="35">
        <f t="shared" si="356"/>
        <v>0</v>
      </c>
    </row>
    <row r="1795" spans="1:11" x14ac:dyDescent="0.15">
      <c r="A1795" s="43"/>
      <c r="B1795" s="6"/>
      <c r="C1795" s="27"/>
      <c r="D1795" s="35">
        <f t="shared" si="354"/>
        <v>0</v>
      </c>
      <c r="E1795" s="57"/>
      <c r="G1795" s="43"/>
      <c r="H1795" s="6"/>
      <c r="I1795" s="27"/>
      <c r="J1795" s="35">
        <f t="shared" si="356"/>
        <v>0</v>
      </c>
    </row>
    <row r="1796" spans="1:11" x14ac:dyDescent="0.15">
      <c r="A1796" s="43"/>
      <c r="B1796" s="6"/>
      <c r="C1796" s="27"/>
      <c r="D1796" s="35">
        <f t="shared" si="354"/>
        <v>0</v>
      </c>
      <c r="E1796" s="57"/>
      <c r="G1796" s="43"/>
      <c r="H1796" s="6"/>
      <c r="I1796" s="27"/>
      <c r="J1796" s="35">
        <f t="shared" si="356"/>
        <v>0</v>
      </c>
    </row>
    <row r="1797" spans="1:11" x14ac:dyDescent="0.15">
      <c r="A1797" s="43"/>
      <c r="B1797" s="6"/>
      <c r="C1797" s="27"/>
      <c r="D1797" s="35">
        <f t="shared" si="354"/>
        <v>0</v>
      </c>
      <c r="E1797" s="57"/>
      <c r="G1797" s="43"/>
      <c r="H1797" s="6"/>
      <c r="I1797" s="27"/>
      <c r="J1797" s="35">
        <f t="shared" si="356"/>
        <v>0</v>
      </c>
    </row>
    <row r="1798" spans="1:11" x14ac:dyDescent="0.15">
      <c r="A1798" s="43"/>
      <c r="B1798" s="6"/>
      <c r="C1798" s="27"/>
      <c r="D1798" s="35">
        <f t="shared" si="354"/>
        <v>0</v>
      </c>
      <c r="E1798" s="57"/>
      <c r="G1798" s="43"/>
      <c r="H1798" s="6"/>
      <c r="I1798" s="27"/>
      <c r="J1798" s="35">
        <f t="shared" si="356"/>
        <v>0</v>
      </c>
    </row>
    <row r="1799" spans="1:11" x14ac:dyDescent="0.15">
      <c r="A1799" s="43"/>
      <c r="B1799" s="6"/>
      <c r="C1799" s="27"/>
      <c r="D1799" s="35">
        <f t="shared" si="354"/>
        <v>0</v>
      </c>
      <c r="E1799" s="57"/>
      <c r="G1799" s="43"/>
      <c r="H1799" s="6"/>
      <c r="I1799" s="27"/>
      <c r="J1799" s="35">
        <f t="shared" si="356"/>
        <v>0</v>
      </c>
    </row>
    <row r="1800" spans="1:11" x14ac:dyDescent="0.15">
      <c r="A1800" s="43"/>
      <c r="B1800" s="6"/>
      <c r="C1800" s="27"/>
      <c r="D1800" s="35">
        <f t="shared" si="354"/>
        <v>0</v>
      </c>
      <c r="E1800" s="57"/>
      <c r="G1800" s="43"/>
      <c r="H1800" s="6"/>
      <c r="I1800" s="27"/>
      <c r="J1800" s="35">
        <f t="shared" si="356"/>
        <v>0</v>
      </c>
    </row>
    <row r="1801" spans="1:11" x14ac:dyDescent="0.15">
      <c r="A1801" s="43"/>
      <c r="B1801" s="6"/>
      <c r="C1801" s="27"/>
      <c r="D1801" s="35">
        <f t="shared" si="354"/>
        <v>0</v>
      </c>
      <c r="E1801" s="57"/>
      <c r="G1801" s="43"/>
      <c r="H1801" s="6"/>
      <c r="I1801" s="27"/>
      <c r="J1801" s="35">
        <f t="shared" si="356"/>
        <v>0</v>
      </c>
    </row>
    <row r="1802" spans="1:11" x14ac:dyDescent="0.15">
      <c r="A1802" s="43"/>
      <c r="B1802" s="6"/>
      <c r="C1802" s="27"/>
      <c r="D1802" s="35">
        <f t="shared" ref="D1802:D1805" si="357">SUM(B1802+C1802)</f>
        <v>0</v>
      </c>
      <c r="E1802" s="57"/>
      <c r="G1802" s="43"/>
      <c r="H1802" s="6"/>
      <c r="I1802" s="27"/>
      <c r="J1802" s="35">
        <f t="shared" ref="J1802:J1803" si="358">SUM(H1802+I1802)</f>
        <v>0</v>
      </c>
    </row>
    <row r="1803" spans="1:11" x14ac:dyDescent="0.15">
      <c r="A1803" s="43"/>
      <c r="B1803" s="6"/>
      <c r="C1803" s="27"/>
      <c r="D1803" s="35">
        <f t="shared" si="357"/>
        <v>0</v>
      </c>
      <c r="E1803" s="57"/>
      <c r="G1803" s="43"/>
      <c r="H1803" s="6"/>
      <c r="I1803" s="27"/>
      <c r="J1803" s="35">
        <f t="shared" si="358"/>
        <v>0</v>
      </c>
    </row>
    <row r="1804" spans="1:11" x14ac:dyDescent="0.15">
      <c r="A1804" s="43"/>
      <c r="B1804" s="6"/>
      <c r="C1804" s="27"/>
      <c r="D1804" s="35">
        <f t="shared" si="357"/>
        <v>0</v>
      </c>
      <c r="G1804" s="123" t="s">
        <v>369</v>
      </c>
      <c r="H1804" s="124">
        <v>-10</v>
      </c>
      <c r="I1804" s="125">
        <v>-10</v>
      </c>
      <c r="J1804" s="126">
        <f t="shared" si="356"/>
        <v>-20</v>
      </c>
      <c r="K1804" s="20"/>
    </row>
    <row r="1805" spans="1:11" ht="14.25" thickBot="1" x14ac:dyDescent="0.2">
      <c r="A1805" s="43"/>
      <c r="B1805" s="6"/>
      <c r="C1805" s="27"/>
      <c r="D1805" s="35">
        <f t="shared" si="357"/>
        <v>0</v>
      </c>
      <c r="G1805" s="122" t="s">
        <v>375</v>
      </c>
      <c r="H1805" s="51">
        <v>20</v>
      </c>
      <c r="I1805" s="68">
        <v>20</v>
      </c>
      <c r="J1805" s="52">
        <f t="shared" si="356"/>
        <v>40</v>
      </c>
      <c r="K1805" s="20" t="s">
        <v>377</v>
      </c>
    </row>
    <row r="1806" spans="1:11" ht="14.25" thickBot="1" x14ac:dyDescent="0.2">
      <c r="A1806" s="9" t="s">
        <v>3</v>
      </c>
      <c r="B1806" s="10">
        <f>SUM(B1782:B1805)</f>
        <v>41</v>
      </c>
      <c r="C1806" s="66">
        <f>SUM(C1782:C1805)</f>
        <v>42</v>
      </c>
      <c r="D1806" s="11">
        <f>SUM(D1782:D1805)</f>
        <v>83</v>
      </c>
      <c r="G1806" s="9" t="s">
        <v>3</v>
      </c>
      <c r="H1806" s="10">
        <f>SUM(H1782:H1805)</f>
        <v>20</v>
      </c>
      <c r="I1806" s="66">
        <f>SUM(I1782:I1805)</f>
        <v>20</v>
      </c>
      <c r="J1806" s="11">
        <f>SUM(J1782:J1805)</f>
        <v>40</v>
      </c>
    </row>
    <row r="1807" spans="1:11" ht="14.25" thickBot="1" x14ac:dyDescent="0.2">
      <c r="A1807" s="14" t="s">
        <v>4</v>
      </c>
      <c r="B1807" s="16">
        <f>B1781-B1806</f>
        <v>18</v>
      </c>
      <c r="C1807" s="16">
        <f>C1781-C1806</f>
        <v>15</v>
      </c>
      <c r="D1807" s="84">
        <f>D1781-D1806</f>
        <v>33</v>
      </c>
      <c r="G1807" s="14" t="s">
        <v>4</v>
      </c>
      <c r="H1807" s="16">
        <f>H1781-H1806</f>
        <v>1655</v>
      </c>
      <c r="I1807" s="16">
        <f>I1781-I1806</f>
        <v>2039</v>
      </c>
      <c r="J1807" s="16">
        <f>J1781-J1806</f>
        <v>3694</v>
      </c>
    </row>
  </sheetData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夢販オリジナル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聡祐 松島</cp:lastModifiedBy>
  <cp:lastPrinted>2019-05-14T05:55:55Z</cp:lastPrinted>
  <dcterms:created xsi:type="dcterms:W3CDTF">2014-01-28T06:53:42Z</dcterms:created>
  <dcterms:modified xsi:type="dcterms:W3CDTF">2026-07-15T05:27:24Z</dcterms:modified>
</cp:coreProperties>
</file>