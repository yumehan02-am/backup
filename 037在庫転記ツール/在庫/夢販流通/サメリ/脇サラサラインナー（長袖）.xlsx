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サメリ\"/>
    </mc:Choice>
  </mc:AlternateContent>
  <xr:revisionPtr revIDLastSave="0" documentId="13_ncr:1_{A2677B16-030C-4ADE-A8D3-C7FC65968A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長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2" i="1" l="1"/>
  <c r="J401" i="1"/>
  <c r="J381" i="1"/>
  <c r="J382" i="1"/>
  <c r="D381" i="1"/>
  <c r="D382" i="1"/>
  <c r="D383" i="1"/>
  <c r="D384" i="1"/>
  <c r="D385" i="1"/>
  <c r="D386" i="1"/>
  <c r="D387" i="1"/>
  <c r="D388" i="1"/>
  <c r="D405" i="1" s="1"/>
  <c r="D389" i="1"/>
  <c r="D390" i="1"/>
  <c r="D391" i="1"/>
  <c r="D392" i="1"/>
  <c r="D393" i="1"/>
  <c r="I405" i="1"/>
  <c r="H405" i="1"/>
  <c r="C405" i="1"/>
  <c r="B405" i="1"/>
  <c r="J404" i="1"/>
  <c r="D404" i="1"/>
  <c r="J403" i="1"/>
  <c r="D403" i="1"/>
  <c r="D402" i="1"/>
  <c r="D401" i="1"/>
  <c r="J400" i="1"/>
  <c r="D400" i="1"/>
  <c r="J399" i="1"/>
  <c r="D399" i="1"/>
  <c r="J398" i="1"/>
  <c r="D398" i="1"/>
  <c r="J397" i="1"/>
  <c r="D397" i="1"/>
  <c r="J396" i="1"/>
  <c r="D396" i="1"/>
  <c r="J395" i="1"/>
  <c r="D395" i="1"/>
  <c r="J394" i="1"/>
  <c r="D394" i="1"/>
  <c r="J393" i="1"/>
  <c r="J392" i="1"/>
  <c r="J391" i="1"/>
  <c r="J390" i="1"/>
  <c r="J389" i="1"/>
  <c r="J388" i="1"/>
  <c r="J387" i="1"/>
  <c r="J386" i="1"/>
  <c r="J385" i="1"/>
  <c r="J384" i="1"/>
  <c r="J383" i="1"/>
  <c r="J379" i="1"/>
  <c r="D379" i="1"/>
  <c r="J378" i="1"/>
  <c r="D378" i="1"/>
  <c r="J377" i="1"/>
  <c r="D377" i="1"/>
  <c r="J376" i="1"/>
  <c r="D376" i="1"/>
  <c r="J375" i="1"/>
  <c r="D375" i="1"/>
  <c r="I374" i="1"/>
  <c r="J374" i="1" s="1"/>
  <c r="H374" i="1"/>
  <c r="H380" i="1" s="1"/>
  <c r="J344" i="1"/>
  <c r="J345" i="1"/>
  <c r="J346" i="1"/>
  <c r="J347" i="1"/>
  <c r="J348" i="1"/>
  <c r="I368" i="1"/>
  <c r="H368" i="1"/>
  <c r="C368" i="1"/>
  <c r="B368" i="1"/>
  <c r="J367" i="1"/>
  <c r="D367" i="1"/>
  <c r="J366" i="1"/>
  <c r="D366" i="1"/>
  <c r="J365" i="1"/>
  <c r="D365" i="1"/>
  <c r="J364" i="1"/>
  <c r="D364" i="1"/>
  <c r="J363" i="1"/>
  <c r="D363" i="1"/>
  <c r="J362" i="1"/>
  <c r="D362" i="1"/>
  <c r="J361" i="1"/>
  <c r="D361" i="1"/>
  <c r="J360" i="1"/>
  <c r="D360" i="1"/>
  <c r="J359" i="1"/>
  <c r="D359" i="1"/>
  <c r="J358" i="1"/>
  <c r="D358" i="1"/>
  <c r="J357" i="1"/>
  <c r="D357" i="1"/>
  <c r="J356" i="1"/>
  <c r="D356" i="1"/>
  <c r="J355" i="1"/>
  <c r="D355" i="1"/>
  <c r="J354" i="1"/>
  <c r="D354" i="1"/>
  <c r="J353" i="1"/>
  <c r="D353" i="1"/>
  <c r="J352" i="1"/>
  <c r="D352" i="1"/>
  <c r="J351" i="1"/>
  <c r="D351" i="1"/>
  <c r="J350" i="1"/>
  <c r="D350" i="1"/>
  <c r="J349" i="1"/>
  <c r="D349" i="1"/>
  <c r="D348" i="1"/>
  <c r="D347" i="1"/>
  <c r="D346" i="1"/>
  <c r="D345" i="1"/>
  <c r="J368" i="1"/>
  <c r="D344" i="1"/>
  <c r="J342" i="1"/>
  <c r="D342" i="1"/>
  <c r="J341" i="1"/>
  <c r="D341" i="1"/>
  <c r="J340" i="1"/>
  <c r="D340" i="1"/>
  <c r="J339" i="1"/>
  <c r="D339" i="1"/>
  <c r="J338" i="1"/>
  <c r="D338" i="1"/>
  <c r="I337" i="1"/>
  <c r="I343" i="1" s="1"/>
  <c r="I369" i="1" s="1"/>
  <c r="J289" i="1"/>
  <c r="J290" i="1"/>
  <c r="J291" i="1"/>
  <c r="J292" i="1"/>
  <c r="J293" i="1"/>
  <c r="J326" i="1"/>
  <c r="J327" i="1"/>
  <c r="J328" i="1"/>
  <c r="J307" i="1"/>
  <c r="J308" i="1"/>
  <c r="J309" i="1"/>
  <c r="J310" i="1"/>
  <c r="I331" i="1"/>
  <c r="H331" i="1"/>
  <c r="C331" i="1"/>
  <c r="B331" i="1"/>
  <c r="J330" i="1"/>
  <c r="D330" i="1"/>
  <c r="J329" i="1"/>
  <c r="D329" i="1"/>
  <c r="D328" i="1"/>
  <c r="D327" i="1"/>
  <c r="D326" i="1"/>
  <c r="J325" i="1"/>
  <c r="D325" i="1"/>
  <c r="J324" i="1"/>
  <c r="D324" i="1"/>
  <c r="J323" i="1"/>
  <c r="D323" i="1"/>
  <c r="J322" i="1"/>
  <c r="D322" i="1"/>
  <c r="J321" i="1"/>
  <c r="D321" i="1"/>
  <c r="J320" i="1"/>
  <c r="D320" i="1"/>
  <c r="J319" i="1"/>
  <c r="D319" i="1"/>
  <c r="J318" i="1"/>
  <c r="D318" i="1"/>
  <c r="J317" i="1"/>
  <c r="D317" i="1"/>
  <c r="J316" i="1"/>
  <c r="D316" i="1"/>
  <c r="J315" i="1"/>
  <c r="D315" i="1"/>
  <c r="J314" i="1"/>
  <c r="D314" i="1"/>
  <c r="J313" i="1"/>
  <c r="D313" i="1"/>
  <c r="J312" i="1"/>
  <c r="D312" i="1"/>
  <c r="J311" i="1"/>
  <c r="D311" i="1"/>
  <c r="D310" i="1"/>
  <c r="D309" i="1"/>
  <c r="D308" i="1"/>
  <c r="D307" i="1"/>
  <c r="J305" i="1"/>
  <c r="D305" i="1"/>
  <c r="J304" i="1"/>
  <c r="D304" i="1"/>
  <c r="J303" i="1"/>
  <c r="D303" i="1"/>
  <c r="J302" i="1"/>
  <c r="D302" i="1"/>
  <c r="J301" i="1"/>
  <c r="D301" i="1"/>
  <c r="J251" i="1"/>
  <c r="J252" i="1"/>
  <c r="J253" i="1"/>
  <c r="J254" i="1"/>
  <c r="J255" i="1"/>
  <c r="J256" i="1"/>
  <c r="J270" i="1"/>
  <c r="J271" i="1"/>
  <c r="J272" i="1"/>
  <c r="J273" i="1"/>
  <c r="J274" i="1"/>
  <c r="J275" i="1"/>
  <c r="J276" i="1"/>
  <c r="J277" i="1"/>
  <c r="I294" i="1"/>
  <c r="H294" i="1"/>
  <c r="B294" i="1"/>
  <c r="D293" i="1"/>
  <c r="D292" i="1"/>
  <c r="D291" i="1"/>
  <c r="D290" i="1"/>
  <c r="D289" i="1"/>
  <c r="J288" i="1"/>
  <c r="D288" i="1"/>
  <c r="J287" i="1"/>
  <c r="D287" i="1"/>
  <c r="J286" i="1"/>
  <c r="D286" i="1"/>
  <c r="J285" i="1"/>
  <c r="D285" i="1"/>
  <c r="J284" i="1"/>
  <c r="D284" i="1"/>
  <c r="J283" i="1"/>
  <c r="D283" i="1"/>
  <c r="J282" i="1"/>
  <c r="D282" i="1"/>
  <c r="J281" i="1"/>
  <c r="D281" i="1"/>
  <c r="J280" i="1"/>
  <c r="D280" i="1"/>
  <c r="J279" i="1"/>
  <c r="D279" i="1"/>
  <c r="J278" i="1"/>
  <c r="D278" i="1"/>
  <c r="D277" i="1"/>
  <c r="D276" i="1"/>
  <c r="D275" i="1"/>
  <c r="C294" i="1"/>
  <c r="D273" i="1"/>
  <c r="D272" i="1"/>
  <c r="D271" i="1"/>
  <c r="D270" i="1"/>
  <c r="J268" i="1"/>
  <c r="D268" i="1"/>
  <c r="J267" i="1"/>
  <c r="D267" i="1"/>
  <c r="J266" i="1"/>
  <c r="D266" i="1"/>
  <c r="J265" i="1"/>
  <c r="D265" i="1"/>
  <c r="J264" i="1"/>
  <c r="D264" i="1"/>
  <c r="C245" i="1"/>
  <c r="J238" i="1"/>
  <c r="D240" i="1"/>
  <c r="C237" i="1"/>
  <c r="B233" i="1"/>
  <c r="J214" i="1"/>
  <c r="J215" i="1"/>
  <c r="J216" i="1"/>
  <c r="J217" i="1"/>
  <c r="J218" i="1"/>
  <c r="J219" i="1"/>
  <c r="J228" i="1"/>
  <c r="J233" i="1"/>
  <c r="J234" i="1"/>
  <c r="J235" i="1"/>
  <c r="J236" i="1"/>
  <c r="J237" i="1"/>
  <c r="J239" i="1"/>
  <c r="J240" i="1"/>
  <c r="J241" i="1"/>
  <c r="D233" i="1"/>
  <c r="D234" i="1"/>
  <c r="D235" i="1"/>
  <c r="D236" i="1"/>
  <c r="D237" i="1"/>
  <c r="D238" i="1"/>
  <c r="D239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I257" i="1"/>
  <c r="H257" i="1"/>
  <c r="C257" i="1"/>
  <c r="B257" i="1"/>
  <c r="D256" i="1"/>
  <c r="D255" i="1"/>
  <c r="J250" i="1"/>
  <c r="J249" i="1"/>
  <c r="J248" i="1"/>
  <c r="J247" i="1"/>
  <c r="J246" i="1"/>
  <c r="J245" i="1"/>
  <c r="J244" i="1"/>
  <c r="J243" i="1"/>
  <c r="J242" i="1"/>
  <c r="J231" i="1"/>
  <c r="D231" i="1"/>
  <c r="J230" i="1"/>
  <c r="D230" i="1"/>
  <c r="J229" i="1"/>
  <c r="D229" i="1"/>
  <c r="D228" i="1"/>
  <c r="J227" i="1"/>
  <c r="D227" i="1"/>
  <c r="B209" i="1"/>
  <c r="C197" i="1"/>
  <c r="B179" i="1"/>
  <c r="J178" i="1"/>
  <c r="J179" i="1"/>
  <c r="J181" i="1"/>
  <c r="J180" i="1"/>
  <c r="J190" i="1"/>
  <c r="J196" i="1"/>
  <c r="J197" i="1"/>
  <c r="J198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190" i="1"/>
  <c r="D192" i="1"/>
  <c r="D193" i="1"/>
  <c r="D194" i="1"/>
  <c r="I220" i="1"/>
  <c r="B220" i="1"/>
  <c r="D219" i="1"/>
  <c r="D218" i="1"/>
  <c r="D217" i="1"/>
  <c r="D216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C220" i="1"/>
  <c r="J200" i="1"/>
  <c r="J199" i="1"/>
  <c r="J194" i="1"/>
  <c r="J193" i="1"/>
  <c r="J192" i="1"/>
  <c r="J191" i="1"/>
  <c r="D191" i="1"/>
  <c r="J177" i="1"/>
  <c r="J175" i="1"/>
  <c r="J176" i="1"/>
  <c r="J182" i="1"/>
  <c r="J123" i="1"/>
  <c r="C164" i="1"/>
  <c r="C183" i="1" s="1"/>
  <c r="J153" i="1"/>
  <c r="D144" i="1"/>
  <c r="J116" i="1"/>
  <c r="C134" i="1"/>
  <c r="D134" i="1" s="1"/>
  <c r="C119" i="1"/>
  <c r="D119" i="1" s="1"/>
  <c r="B119" i="1"/>
  <c r="D154" i="1"/>
  <c r="D155" i="1"/>
  <c r="J104" i="1"/>
  <c r="J105" i="1"/>
  <c r="J106" i="1"/>
  <c r="J107" i="1"/>
  <c r="J108" i="1"/>
  <c r="J145" i="1"/>
  <c r="J144" i="1"/>
  <c r="J143" i="1"/>
  <c r="J142" i="1"/>
  <c r="J159" i="1"/>
  <c r="D153" i="1"/>
  <c r="D159" i="1"/>
  <c r="D160" i="1"/>
  <c r="D161" i="1"/>
  <c r="I183" i="1"/>
  <c r="H183" i="1"/>
  <c r="B183" i="1"/>
  <c r="D182" i="1"/>
  <c r="D181" i="1"/>
  <c r="D180" i="1"/>
  <c r="D179" i="1"/>
  <c r="D178" i="1"/>
  <c r="D177" i="1"/>
  <c r="D176" i="1"/>
  <c r="D175" i="1"/>
  <c r="J174" i="1"/>
  <c r="D174" i="1"/>
  <c r="J173" i="1"/>
  <c r="D173" i="1"/>
  <c r="J172" i="1"/>
  <c r="D172" i="1"/>
  <c r="J171" i="1"/>
  <c r="D171" i="1"/>
  <c r="J170" i="1"/>
  <c r="D170" i="1"/>
  <c r="J169" i="1"/>
  <c r="D169" i="1"/>
  <c r="J168" i="1"/>
  <c r="D168" i="1"/>
  <c r="J167" i="1"/>
  <c r="D167" i="1"/>
  <c r="J166" i="1"/>
  <c r="D166" i="1"/>
  <c r="J165" i="1"/>
  <c r="D165" i="1"/>
  <c r="J164" i="1"/>
  <c r="J163" i="1"/>
  <c r="D163" i="1"/>
  <c r="J162" i="1"/>
  <c r="D162" i="1"/>
  <c r="J161" i="1"/>
  <c r="J160" i="1"/>
  <c r="J157" i="1"/>
  <c r="D157" i="1"/>
  <c r="J156" i="1"/>
  <c r="D156" i="1"/>
  <c r="J155" i="1"/>
  <c r="J154" i="1"/>
  <c r="J122" i="1"/>
  <c r="B123" i="1"/>
  <c r="B146" i="1" s="1"/>
  <c r="J92" i="1"/>
  <c r="C102" i="1"/>
  <c r="D102" i="1" s="1"/>
  <c r="J90" i="1"/>
  <c r="J89" i="1"/>
  <c r="B91" i="1"/>
  <c r="I146" i="1"/>
  <c r="J138" i="1"/>
  <c r="J139" i="1"/>
  <c r="J140" i="1"/>
  <c r="J141" i="1"/>
  <c r="D122" i="1"/>
  <c r="D116" i="1"/>
  <c r="D117" i="1"/>
  <c r="C146" i="1"/>
  <c r="D145" i="1"/>
  <c r="D143" i="1"/>
  <c r="D142" i="1"/>
  <c r="D141" i="1"/>
  <c r="D140" i="1"/>
  <c r="D139" i="1"/>
  <c r="D138" i="1"/>
  <c r="J137" i="1"/>
  <c r="D137" i="1"/>
  <c r="J136" i="1"/>
  <c r="D136" i="1"/>
  <c r="J135" i="1"/>
  <c r="D135" i="1"/>
  <c r="J134" i="1"/>
  <c r="J133" i="1"/>
  <c r="D133" i="1"/>
  <c r="J132" i="1"/>
  <c r="D132" i="1"/>
  <c r="J131" i="1"/>
  <c r="D131" i="1"/>
  <c r="J130" i="1"/>
  <c r="D130" i="1"/>
  <c r="J129" i="1"/>
  <c r="D129" i="1"/>
  <c r="J128" i="1"/>
  <c r="D128" i="1"/>
  <c r="J127" i="1"/>
  <c r="D127" i="1"/>
  <c r="J126" i="1"/>
  <c r="D126" i="1"/>
  <c r="J125" i="1"/>
  <c r="D125" i="1"/>
  <c r="J124" i="1"/>
  <c r="D124" i="1"/>
  <c r="D123" i="1"/>
  <c r="J120" i="1"/>
  <c r="D120" i="1"/>
  <c r="J119" i="1"/>
  <c r="J118" i="1"/>
  <c r="D118" i="1"/>
  <c r="J117" i="1"/>
  <c r="J55" i="1"/>
  <c r="J85" i="1"/>
  <c r="J67" i="1"/>
  <c r="J68" i="1"/>
  <c r="J69" i="1"/>
  <c r="J70" i="1"/>
  <c r="J71" i="1"/>
  <c r="D71" i="1"/>
  <c r="D85" i="1"/>
  <c r="B70" i="1"/>
  <c r="J54" i="1"/>
  <c r="C62" i="1"/>
  <c r="D62" i="1" s="1"/>
  <c r="J53" i="1"/>
  <c r="J52" i="1"/>
  <c r="C59" i="1"/>
  <c r="D59" i="1" s="1"/>
  <c r="J51" i="1"/>
  <c r="B55" i="1"/>
  <c r="C55" i="1"/>
  <c r="D55" i="1"/>
  <c r="J50" i="1"/>
  <c r="C53" i="1"/>
  <c r="B53" i="1"/>
  <c r="J22" i="1"/>
  <c r="C33" i="1"/>
  <c r="B33" i="1"/>
  <c r="B30" i="1"/>
  <c r="J21" i="1"/>
  <c r="J20" i="1"/>
  <c r="C25" i="1"/>
  <c r="J19" i="1"/>
  <c r="D24" i="1"/>
  <c r="J18" i="1"/>
  <c r="C23" i="1"/>
  <c r="B23" i="1"/>
  <c r="D22" i="1"/>
  <c r="D21" i="1"/>
  <c r="D20" i="1"/>
  <c r="D19" i="1"/>
  <c r="B17" i="1"/>
  <c r="J17" i="1"/>
  <c r="J14" i="1"/>
  <c r="C12" i="1"/>
  <c r="J29" i="1"/>
  <c r="J30" i="1"/>
  <c r="J31" i="1"/>
  <c r="I109" i="1"/>
  <c r="H109" i="1"/>
  <c r="B109" i="1"/>
  <c r="D108" i="1"/>
  <c r="D107" i="1"/>
  <c r="D106" i="1"/>
  <c r="D105" i="1"/>
  <c r="D104" i="1"/>
  <c r="J103" i="1"/>
  <c r="D103" i="1"/>
  <c r="J102" i="1"/>
  <c r="J101" i="1"/>
  <c r="D101" i="1"/>
  <c r="J100" i="1"/>
  <c r="D100" i="1"/>
  <c r="J99" i="1"/>
  <c r="D99" i="1"/>
  <c r="J98" i="1"/>
  <c r="D98" i="1"/>
  <c r="J97" i="1"/>
  <c r="D97" i="1"/>
  <c r="J96" i="1"/>
  <c r="D96" i="1"/>
  <c r="J95" i="1"/>
  <c r="D95" i="1"/>
  <c r="J94" i="1"/>
  <c r="D94" i="1"/>
  <c r="J93" i="1"/>
  <c r="D93" i="1"/>
  <c r="D92" i="1"/>
  <c r="J91" i="1"/>
  <c r="D91" i="1"/>
  <c r="D90" i="1"/>
  <c r="D89" i="1"/>
  <c r="J88" i="1"/>
  <c r="D88" i="1"/>
  <c r="J87" i="1"/>
  <c r="D87" i="1"/>
  <c r="J86" i="1"/>
  <c r="D86" i="1"/>
  <c r="J83" i="1"/>
  <c r="D83" i="1"/>
  <c r="J82" i="1"/>
  <c r="D82" i="1"/>
  <c r="J81" i="1"/>
  <c r="D81" i="1"/>
  <c r="J80" i="1"/>
  <c r="D80" i="1"/>
  <c r="J79" i="1"/>
  <c r="D79" i="1"/>
  <c r="J6" i="1"/>
  <c r="J32" i="1"/>
  <c r="D48" i="1"/>
  <c r="D49" i="1"/>
  <c r="D50" i="1"/>
  <c r="D51" i="1"/>
  <c r="D52" i="1"/>
  <c r="D54" i="1"/>
  <c r="D56" i="1"/>
  <c r="D57" i="1"/>
  <c r="D58" i="1"/>
  <c r="D60" i="1"/>
  <c r="D61" i="1"/>
  <c r="D63" i="1"/>
  <c r="D64" i="1"/>
  <c r="D65" i="1"/>
  <c r="D66" i="1"/>
  <c r="D67" i="1"/>
  <c r="J405" i="1" l="1"/>
  <c r="H406" i="1"/>
  <c r="I380" i="1"/>
  <c r="I406" i="1" s="1"/>
  <c r="D368" i="1"/>
  <c r="J331" i="1"/>
  <c r="D331" i="1"/>
  <c r="J294" i="1"/>
  <c r="D274" i="1"/>
  <c r="D294" i="1" s="1"/>
  <c r="D257" i="1"/>
  <c r="J257" i="1"/>
  <c r="H220" i="1"/>
  <c r="D220" i="1"/>
  <c r="J220" i="1"/>
  <c r="J183" i="1"/>
  <c r="D164" i="1"/>
  <c r="D183" i="1" s="1"/>
  <c r="D146" i="1"/>
  <c r="C109" i="1"/>
  <c r="J146" i="1"/>
  <c r="H146" i="1"/>
  <c r="D53" i="1"/>
  <c r="J109" i="1"/>
  <c r="D109" i="1"/>
  <c r="D33" i="1"/>
  <c r="D32" i="1"/>
  <c r="D26" i="1"/>
  <c r="D18" i="1"/>
  <c r="D11" i="1"/>
  <c r="J8" i="1"/>
  <c r="H35" i="1"/>
  <c r="I35" i="1"/>
  <c r="J48" i="1"/>
  <c r="J49" i="1"/>
  <c r="J56" i="1"/>
  <c r="J57" i="1"/>
  <c r="J58" i="1"/>
  <c r="J59" i="1"/>
  <c r="J60" i="1"/>
  <c r="J61" i="1"/>
  <c r="J62" i="1"/>
  <c r="J63" i="1"/>
  <c r="J64" i="1"/>
  <c r="J65" i="1"/>
  <c r="J66" i="1"/>
  <c r="I72" i="1"/>
  <c r="H72" i="1"/>
  <c r="D68" i="1"/>
  <c r="D69" i="1"/>
  <c r="D70" i="1"/>
  <c r="C72" i="1"/>
  <c r="J46" i="1"/>
  <c r="D46" i="1"/>
  <c r="J45" i="1"/>
  <c r="D45" i="1"/>
  <c r="J44" i="1"/>
  <c r="D44" i="1"/>
  <c r="J43" i="1"/>
  <c r="D43" i="1"/>
  <c r="J42" i="1"/>
  <c r="D42" i="1"/>
  <c r="J34" i="1"/>
  <c r="J33" i="1"/>
  <c r="J7" i="1"/>
  <c r="J11" i="1"/>
  <c r="J12" i="1"/>
  <c r="J13" i="1"/>
  <c r="J15" i="1"/>
  <c r="J16" i="1"/>
  <c r="J23" i="1"/>
  <c r="J24" i="1"/>
  <c r="J25" i="1"/>
  <c r="J26" i="1"/>
  <c r="J27" i="1"/>
  <c r="J28" i="1"/>
  <c r="D12" i="1"/>
  <c r="D14" i="1"/>
  <c r="D15" i="1"/>
  <c r="D16" i="1"/>
  <c r="D17" i="1"/>
  <c r="D23" i="1"/>
  <c r="D25" i="1"/>
  <c r="D27" i="1"/>
  <c r="D28" i="1"/>
  <c r="D29" i="1"/>
  <c r="D31" i="1"/>
  <c r="D34" i="1"/>
  <c r="J9" i="1"/>
  <c r="D9" i="1"/>
  <c r="D8" i="1"/>
  <c r="D7" i="1"/>
  <c r="D6" i="1"/>
  <c r="J5" i="1"/>
  <c r="D5" i="1"/>
  <c r="J380" i="1" l="1"/>
  <c r="J406" i="1" s="1"/>
  <c r="D30" i="1"/>
  <c r="D13" i="1"/>
  <c r="C10" i="1"/>
  <c r="B72" i="1"/>
  <c r="J35" i="1"/>
  <c r="I10" i="1"/>
  <c r="I36" i="1" s="1"/>
  <c r="I41" i="1" s="1"/>
  <c r="I47" i="1" s="1"/>
  <c r="I73" i="1" s="1"/>
  <c r="I78" i="1" s="1"/>
  <c r="C35" i="1"/>
  <c r="D72" i="1"/>
  <c r="B35" i="1"/>
  <c r="J72" i="1"/>
  <c r="I84" i="1" l="1"/>
  <c r="I110" i="1" s="1"/>
  <c r="I115" i="1" s="1"/>
  <c r="I121" i="1" s="1"/>
  <c r="I147" i="1" s="1"/>
  <c r="I152" i="1" s="1"/>
  <c r="I158" i="1" s="1"/>
  <c r="I184" i="1" s="1"/>
  <c r="I189" i="1" s="1"/>
  <c r="I195" i="1" s="1"/>
  <c r="I221" i="1" s="1"/>
  <c r="I226" i="1" s="1"/>
  <c r="I232" i="1" s="1"/>
  <c r="I258" i="1" s="1"/>
  <c r="I263" i="1" s="1"/>
  <c r="I269" i="1" s="1"/>
  <c r="I295" i="1" s="1"/>
  <c r="I300" i="1" s="1"/>
  <c r="I306" i="1" s="1"/>
  <c r="I332" i="1" s="1"/>
  <c r="C36" i="1"/>
  <c r="C41" i="1" s="1"/>
  <c r="C47" i="1" s="1"/>
  <c r="C73" i="1" s="1"/>
  <c r="C78" i="1" s="1"/>
  <c r="C84" i="1" s="1"/>
  <c r="C110" i="1" s="1"/>
  <c r="C115" i="1" s="1"/>
  <c r="D35" i="1"/>
  <c r="C121" i="1" l="1"/>
  <c r="J4" i="1"/>
  <c r="H10" i="1"/>
  <c r="D4" i="1"/>
  <c r="B10" i="1"/>
  <c r="C147" i="1" l="1"/>
  <c r="C152" i="1" s="1"/>
  <c r="C158" i="1" s="1"/>
  <c r="C184" i="1" s="1"/>
  <c r="C189" i="1" s="1"/>
  <c r="C195" i="1" s="1"/>
  <c r="C221" i="1" s="1"/>
  <c r="C226" i="1" s="1"/>
  <c r="C232" i="1" s="1"/>
  <c r="C258" i="1" s="1"/>
  <c r="C263" i="1" s="1"/>
  <c r="C269" i="1" s="1"/>
  <c r="C295" i="1" s="1"/>
  <c r="C300" i="1" s="1"/>
  <c r="J10" i="1"/>
  <c r="J36" i="1" s="1"/>
  <c r="H36" i="1"/>
  <c r="H41" i="1" s="1"/>
  <c r="D10" i="1"/>
  <c r="D36" i="1" s="1"/>
  <c r="B36" i="1"/>
  <c r="B41" i="1" s="1"/>
  <c r="C306" i="1" l="1"/>
  <c r="H47" i="1"/>
  <c r="J41" i="1"/>
  <c r="B47" i="1"/>
  <c r="D41" i="1"/>
  <c r="C332" i="1" l="1"/>
  <c r="C337" i="1" s="1"/>
  <c r="C343" i="1" s="1"/>
  <c r="C369" i="1" s="1"/>
  <c r="C374" i="1" s="1"/>
  <c r="C380" i="1" s="1"/>
  <c r="C406" i="1" s="1"/>
  <c r="J47" i="1"/>
  <c r="J73" i="1" s="1"/>
  <c r="H73" i="1"/>
  <c r="H78" i="1" s="1"/>
  <c r="D47" i="1"/>
  <c r="D73" i="1" s="1"/>
  <c r="B73" i="1"/>
  <c r="B78" i="1" s="1"/>
  <c r="D78" i="1" l="1"/>
  <c r="B84" i="1"/>
  <c r="H84" i="1"/>
  <c r="J78" i="1"/>
  <c r="B110" i="1" l="1"/>
  <c r="B115" i="1" s="1"/>
  <c r="D84" i="1"/>
  <c r="D110" i="1" s="1"/>
  <c r="H110" i="1"/>
  <c r="H115" i="1" s="1"/>
  <c r="J84" i="1"/>
  <c r="J110" i="1" s="1"/>
  <c r="H121" i="1" l="1"/>
  <c r="J115" i="1"/>
  <c r="B121" i="1"/>
  <c r="D115" i="1"/>
  <c r="J121" i="1" l="1"/>
  <c r="J147" i="1" s="1"/>
  <c r="H147" i="1"/>
  <c r="H152" i="1" s="1"/>
  <c r="B147" i="1"/>
  <c r="B152" i="1" s="1"/>
  <c r="D121" i="1"/>
  <c r="D147" i="1" s="1"/>
  <c r="B158" i="1" l="1"/>
  <c r="D152" i="1"/>
  <c r="H158" i="1"/>
  <c r="J152" i="1"/>
  <c r="D158" i="1" l="1"/>
  <c r="D184" i="1" s="1"/>
  <c r="B184" i="1"/>
  <c r="B189" i="1" s="1"/>
  <c r="H184" i="1"/>
  <c r="H189" i="1" s="1"/>
  <c r="J158" i="1"/>
  <c r="J184" i="1" s="1"/>
  <c r="B195" i="1" l="1"/>
  <c r="D189" i="1"/>
  <c r="H195" i="1"/>
  <c r="J189" i="1"/>
  <c r="B221" i="1" l="1"/>
  <c r="B226" i="1" s="1"/>
  <c r="D195" i="1"/>
  <c r="D221" i="1" s="1"/>
  <c r="J195" i="1"/>
  <c r="J221" i="1" s="1"/>
  <c r="H221" i="1"/>
  <c r="H226" i="1" s="1"/>
  <c r="D226" i="1" l="1"/>
  <c r="B232" i="1"/>
  <c r="H232" i="1"/>
  <c r="J226" i="1"/>
  <c r="B258" i="1" l="1"/>
  <c r="B263" i="1" s="1"/>
  <c r="D232" i="1"/>
  <c r="D258" i="1" s="1"/>
  <c r="H258" i="1"/>
  <c r="H263" i="1" s="1"/>
  <c r="J232" i="1"/>
  <c r="J258" i="1" s="1"/>
  <c r="B269" i="1" l="1"/>
  <c r="D263" i="1"/>
  <c r="H269" i="1"/>
  <c r="J263" i="1"/>
  <c r="B295" i="1" l="1"/>
  <c r="B300" i="1" s="1"/>
  <c r="D269" i="1"/>
  <c r="D295" i="1" s="1"/>
  <c r="H295" i="1"/>
  <c r="H300" i="1" s="1"/>
  <c r="J269" i="1"/>
  <c r="J295" i="1" s="1"/>
  <c r="B306" i="1" l="1"/>
  <c r="D300" i="1"/>
  <c r="H306" i="1"/>
  <c r="J300" i="1"/>
  <c r="B332" i="1" l="1"/>
  <c r="B337" i="1" s="1"/>
  <c r="D306" i="1"/>
  <c r="D332" i="1" s="1"/>
  <c r="H332" i="1"/>
  <c r="H337" i="1" s="1"/>
  <c r="J306" i="1"/>
  <c r="J332" i="1" s="1"/>
  <c r="H343" i="1" l="1"/>
  <c r="J337" i="1"/>
  <c r="B343" i="1"/>
  <c r="D337" i="1"/>
  <c r="H369" i="1" l="1"/>
  <c r="J343" i="1"/>
  <c r="J369" i="1" s="1"/>
  <c r="D343" i="1"/>
  <c r="D369" i="1" s="1"/>
  <c r="B369" i="1"/>
  <c r="B374" i="1" s="1"/>
  <c r="D374" i="1" l="1"/>
  <c r="B380" i="1"/>
  <c r="B406" i="1" l="1"/>
  <c r="D380" i="1"/>
  <c r="D406" i="1" s="1"/>
</calcChain>
</file>

<file path=xl/sharedStrings.xml><?xml version="1.0" encoding="utf-8"?>
<sst xmlns="http://schemas.openxmlformats.org/spreadsheetml/2006/main" count="641" uniqueCount="124">
  <si>
    <t>計</t>
  </si>
  <si>
    <t>追加</t>
    <rPh sb="0" eb="2">
      <t>ツイカ</t>
    </rPh>
    <phoneticPr fontId="2"/>
  </si>
  <si>
    <t>総数</t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</si>
  <si>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</si>
  <si>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</si>
  <si>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初回</t>
    <rPh sb="0" eb="2">
      <t>ショカイ</t>
    </rPh>
    <phoneticPr fontId="2"/>
  </si>
  <si>
    <t>残在庫</t>
    <rPh sb="0" eb="1">
      <t>ザン</t>
    </rPh>
    <rPh sb="1" eb="3">
      <t>ザイコ</t>
    </rPh>
    <phoneticPr fontId="2"/>
  </si>
  <si>
    <t>ベージュ</t>
    <phoneticPr fontId="7"/>
  </si>
  <si>
    <t>ブラック</t>
    <phoneticPr fontId="7"/>
  </si>
  <si>
    <t>ブラック</t>
    <phoneticPr fontId="7"/>
  </si>
  <si>
    <t>脇サラサラインナー　長袖　夢販在庫</t>
    <rPh sb="0" eb="1">
      <t>ワキ</t>
    </rPh>
    <rPh sb="10" eb="12">
      <t>ナガソデ</t>
    </rPh>
    <rPh sb="13" eb="14">
      <t>ユメ</t>
    </rPh>
    <rPh sb="14" eb="15">
      <t>ハン</t>
    </rPh>
    <rPh sb="15" eb="17">
      <t>ザイコ</t>
    </rPh>
    <phoneticPr fontId="2"/>
  </si>
  <si>
    <t>脇サラサラインナー　長袖　KPORT在庫</t>
    <rPh sb="0" eb="1">
      <t>ワキ</t>
    </rPh>
    <rPh sb="10" eb="12">
      <t>ナガソデ</t>
    </rPh>
    <rPh sb="18" eb="20">
      <t>ザイコ</t>
    </rPh>
    <phoneticPr fontId="2"/>
  </si>
  <si>
    <t>ロイヤルステージ11月号同色4枚組</t>
    <rPh sb="10" eb="12">
      <t>ガツゴウ</t>
    </rPh>
    <rPh sb="12" eb="14">
      <t>ドウショク</t>
    </rPh>
    <rPh sb="15" eb="17">
      <t>マイクミ</t>
    </rPh>
    <phoneticPr fontId="7"/>
  </si>
  <si>
    <t>初回12月中旬</t>
    <rPh sb="0" eb="2">
      <t>ショカイ</t>
    </rPh>
    <rPh sb="4" eb="5">
      <t>ガツ</t>
    </rPh>
    <rPh sb="5" eb="7">
      <t>チュウジュン</t>
    </rPh>
    <phoneticPr fontId="7"/>
  </si>
  <si>
    <t>コープきんき　11月4回差分予測</t>
    <rPh sb="9" eb="10">
      <t>ガツ</t>
    </rPh>
    <rPh sb="11" eb="12">
      <t>カイ</t>
    </rPh>
    <rPh sb="12" eb="14">
      <t>サブン</t>
    </rPh>
    <rPh sb="14" eb="16">
      <t>ヨソク</t>
    </rPh>
    <phoneticPr fontId="7"/>
  </si>
  <si>
    <t>コープきんき　11月4回￥1780</t>
    <rPh sb="9" eb="10">
      <t>ガツ</t>
    </rPh>
    <rPh sb="11" eb="12">
      <t>カイ</t>
    </rPh>
    <phoneticPr fontId="7"/>
  </si>
  <si>
    <t>毎日が発見2月号差分予測</t>
    <rPh sb="0" eb="2">
      <t>マイニチ</t>
    </rPh>
    <rPh sb="3" eb="5">
      <t>ハッケン</t>
    </rPh>
    <rPh sb="6" eb="7">
      <t>ガツ</t>
    </rPh>
    <rPh sb="7" eb="8">
      <t>ゴウ</t>
    </rPh>
    <rPh sb="8" eb="12">
      <t>サブンヨソク</t>
    </rPh>
    <phoneticPr fontId="7"/>
  </si>
  <si>
    <t>毎日が発見2月号2P￥3560</t>
    <rPh sb="0" eb="2">
      <t>マイニチ</t>
    </rPh>
    <rPh sb="3" eb="5">
      <t>ハッケン</t>
    </rPh>
    <rPh sb="6" eb="7">
      <t>ガツ</t>
    </rPh>
    <rPh sb="7" eb="8">
      <t>ゴウ</t>
    </rPh>
    <phoneticPr fontId="7"/>
  </si>
  <si>
    <t>点10/31、アバウト11/19、本11/20～30</t>
    <rPh sb="0" eb="1">
      <t>テン</t>
    </rPh>
    <rPh sb="17" eb="18">
      <t>ホン</t>
    </rPh>
    <phoneticPr fontId="7"/>
  </si>
  <si>
    <t>11/6～</t>
    <phoneticPr fontId="7"/>
  </si>
  <si>
    <t>JODメルシー1106/2色組</t>
    <rPh sb="13" eb="15">
      <t>ショククミ</t>
    </rPh>
    <phoneticPr fontId="7"/>
  </si>
  <si>
    <t>過不足分</t>
    <rPh sb="0" eb="3">
      <t>カブソク</t>
    </rPh>
    <rPh sb="3" eb="4">
      <t>ブン</t>
    </rPh>
    <phoneticPr fontId="2"/>
  </si>
  <si>
    <t>コープきんき　11月4回￥1780①</t>
    <rPh sb="9" eb="10">
      <t>ガツ</t>
    </rPh>
    <rPh sb="11" eb="12">
      <t>カイ</t>
    </rPh>
    <phoneticPr fontId="7"/>
  </si>
  <si>
    <t>夢販</t>
    <rPh sb="0" eb="2">
      <t>ユメハン</t>
    </rPh>
    <phoneticPr fontId="7"/>
  </si>
  <si>
    <t>JOD①</t>
    <phoneticPr fontId="7"/>
  </si>
  <si>
    <t>ネット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</si>
  <si>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</si>
  <si>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</si>
  <si>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</si>
  <si>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</si>
  <si>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JOD⑥</t>
    <phoneticPr fontId="7"/>
  </si>
  <si>
    <t>11/21～</t>
    <phoneticPr fontId="7"/>
  </si>
  <si>
    <t>JOD⑦</t>
    <phoneticPr fontId="7"/>
  </si>
  <si>
    <t>ロイヤルステージ11月号同色4枚組①</t>
    <rPh sb="10" eb="12">
      <t>ガツゴウ</t>
    </rPh>
    <rPh sb="12" eb="14">
      <t>ドウショク</t>
    </rPh>
    <rPh sb="15" eb="17">
      <t>マイクミ</t>
    </rPh>
    <phoneticPr fontId="7"/>
  </si>
  <si>
    <t>きんき11月４回分が余っているので注意、くらし在庫</t>
    <rPh sb="5" eb="6">
      <t>ガツ</t>
    </rPh>
    <rPh sb="7" eb="8">
      <t>カイ</t>
    </rPh>
    <rPh sb="8" eb="9">
      <t>ブン</t>
    </rPh>
    <rPh sb="10" eb="11">
      <t>アマ</t>
    </rPh>
    <rPh sb="17" eb="19">
      <t>チュウイ</t>
    </rPh>
    <rPh sb="23" eb="25">
      <t>ザイコ</t>
    </rPh>
    <phoneticPr fontId="7"/>
  </si>
  <si>
    <t>ロイヤルステージ11月号同色4枚組②</t>
    <rPh sb="10" eb="12">
      <t>ガツゴウ</t>
    </rPh>
    <rPh sb="12" eb="14">
      <t>ドウショク</t>
    </rPh>
    <rPh sb="15" eb="17">
      <t>マイクミ</t>
    </rPh>
    <phoneticPr fontId="7"/>
  </si>
  <si>
    <t>2024/11/7数伝</t>
    <rPh sb="9" eb="10">
      <t>スウ</t>
    </rPh>
    <rPh sb="10" eb="11">
      <t>デン</t>
    </rPh>
    <phoneticPr fontId="7"/>
  </si>
  <si>
    <t>@ 540</t>
    <phoneticPr fontId="7"/>
  </si>
  <si>
    <t>ロイヤルステージ2月号同色4枚組</t>
    <rPh sb="9" eb="11">
      <t>ガツゴウ</t>
    </rPh>
    <rPh sb="11" eb="13">
      <t>ドウショク</t>
    </rPh>
    <rPh sb="14" eb="16">
      <t>マイクミ</t>
    </rPh>
    <phoneticPr fontId="7"/>
  </si>
  <si>
    <t>2/3～3/16</t>
    <phoneticPr fontId="7"/>
  </si>
  <si>
    <t>営業用sample</t>
    <rPh sb="0" eb="2">
      <t>エイギョウ</t>
    </rPh>
    <rPh sb="2" eb="3">
      <t>ヨウ</t>
    </rPh>
    <phoneticPr fontId="7"/>
  </si>
  <si>
    <t>毎日が発見2月号2P￥3560①</t>
    <rPh sb="0" eb="2">
      <t>マイニチ</t>
    </rPh>
    <rPh sb="3" eb="5">
      <t>ハッケン</t>
    </rPh>
    <rPh sb="6" eb="7">
      <t>ガツ</t>
    </rPh>
    <rPh sb="7" eb="8">
      <t>ゴウ</t>
    </rPh>
    <phoneticPr fontId="7"/>
  </si>
  <si>
    <t>くらし返品</t>
    <rPh sb="3" eb="5">
      <t>ヘンピン</t>
    </rPh>
    <phoneticPr fontId="2"/>
  </si>
  <si>
    <t>2/1～</t>
    <phoneticPr fontId="7"/>
  </si>
  <si>
    <t>JOD特別版0202/2色組</t>
    <rPh sb="3" eb="5">
      <t>トクベツ</t>
    </rPh>
    <rPh sb="5" eb="6">
      <t>バン</t>
    </rPh>
    <rPh sb="12" eb="14">
      <t>ショククミ</t>
    </rPh>
    <phoneticPr fontId="7"/>
  </si>
  <si>
    <t>ロイヤルステージ11月号同色4枚組③</t>
    <rPh sb="10" eb="12">
      <t>ガツゴウ</t>
    </rPh>
    <rPh sb="12" eb="14">
      <t>ドウショク</t>
    </rPh>
    <rPh sb="15" eb="17">
      <t>マイクミ</t>
    </rPh>
    <phoneticPr fontId="7"/>
  </si>
  <si>
    <t>JOD⑧</t>
    <phoneticPr fontId="7"/>
  </si>
  <si>
    <t>Amazon</t>
    <phoneticPr fontId="7"/>
  </si>
  <si>
    <t>ロイヤルステージ2月号同色4枚組①</t>
    <rPh sb="9" eb="11">
      <t>ガツゴウ</t>
    </rPh>
    <rPh sb="11" eb="13">
      <t>ドウショク</t>
    </rPh>
    <rPh sb="14" eb="16">
      <t>マイクミ</t>
    </rPh>
    <phoneticPr fontId="7"/>
  </si>
  <si>
    <t>牧野</t>
    <rPh sb="0" eb="2">
      <t>マキノ</t>
    </rPh>
    <phoneticPr fontId="7"/>
  </si>
  <si>
    <t>JOD⑨</t>
    <phoneticPr fontId="7"/>
  </si>
  <si>
    <t>JOD⑩</t>
    <phoneticPr fontId="7"/>
  </si>
  <si>
    <t>JOD⑪</t>
    <phoneticPr fontId="7"/>
  </si>
  <si>
    <t>JOD⑫</t>
    <phoneticPr fontId="7"/>
  </si>
  <si>
    <t>営業用sample</t>
    <rPh sb="0" eb="3">
      <t>エイギョウヨウ</t>
    </rPh>
    <phoneticPr fontId="7"/>
  </si>
  <si>
    <t>JOD⑬</t>
    <phoneticPr fontId="7"/>
  </si>
  <si>
    <t>JOD⑭</t>
    <phoneticPr fontId="7"/>
  </si>
  <si>
    <t>ロイヤルステージ2月号同色4枚組②</t>
    <rPh sb="9" eb="11">
      <t>ガツゴウ</t>
    </rPh>
    <rPh sb="11" eb="13">
      <t>ドウショク</t>
    </rPh>
    <rPh sb="14" eb="16">
      <t>マイクミ</t>
    </rPh>
    <phoneticPr fontId="7"/>
  </si>
  <si>
    <t>ロイヤルステージ2月号同色4枚組③</t>
    <rPh sb="9" eb="11">
      <t>ガツゴウ</t>
    </rPh>
    <rPh sb="11" eb="13">
      <t>ドウショク</t>
    </rPh>
    <rPh sb="14" eb="16">
      <t>マイクミ</t>
    </rPh>
    <phoneticPr fontId="7"/>
  </si>
  <si>
    <t>追加</t>
    <rPh sb="0" eb="2">
      <t>ツイカ</t>
    </rPh>
    <phoneticPr fontId="7"/>
  </si>
  <si>
    <t>ロイヤルステージ2月号同色4枚組④</t>
    <rPh sb="9" eb="11">
      <t>ガツゴウ</t>
    </rPh>
    <rPh sb="11" eb="13">
      <t>ドウショク</t>
    </rPh>
    <rPh sb="14" eb="16">
      <t>マイクミ</t>
    </rPh>
    <phoneticPr fontId="7"/>
  </si>
  <si>
    <t>くらし企画返品</t>
    <rPh sb="3" eb="7">
      <t>キカクヘンピン</t>
    </rPh>
    <phoneticPr fontId="2"/>
  </si>
  <si>
    <t>ロイヤルステージ返品</t>
    <rPh sb="8" eb="10">
      <t>ヘンピン</t>
    </rPh>
    <phoneticPr fontId="2"/>
  </si>
  <si>
    <t>アテニア撮影用sample</t>
    <rPh sb="4" eb="7">
      <t>サツエイヨウ</t>
    </rPh>
    <phoneticPr fontId="7"/>
  </si>
  <si>
    <t>JOD⑮</t>
    <phoneticPr fontId="7"/>
  </si>
  <si>
    <t>K-PORT</t>
    <phoneticPr fontId="7"/>
  </si>
  <si>
    <t>営業用sample返却</t>
    <rPh sb="0" eb="2">
      <t>エイギョウ</t>
    </rPh>
    <rPh sb="2" eb="3">
      <t>ヨウ</t>
    </rPh>
    <rPh sb="9" eb="11">
      <t>ヘンキャク</t>
    </rPh>
    <phoneticPr fontId="7"/>
  </si>
  <si>
    <t>毎日が発見返品</t>
    <rPh sb="0" eb="2">
      <t>マイニチ</t>
    </rPh>
    <rPh sb="3" eb="7">
      <t>ハッケンヘンピン</t>
    </rPh>
    <phoneticPr fontId="2"/>
  </si>
  <si>
    <t>K-PORT</t>
    <phoneticPr fontId="7"/>
  </si>
  <si>
    <t>点8/15、アバウト9/2、本9/2～8</t>
    <rPh sb="0" eb="1">
      <t>テン</t>
    </rPh>
    <rPh sb="14" eb="15">
      <t>ホン</t>
    </rPh>
    <phoneticPr fontId="7"/>
  </si>
  <si>
    <t>←ここまで式確認2025/7/17</t>
    <rPh sb="0" eb="8">
      <t>&lt;-ココマデシキカクニン</t>
    </rPh>
    <phoneticPr fontId="7"/>
  </si>
  <si>
    <t>製品化</t>
    <rPh sb="0" eb="3">
      <t>セイヒンカ</t>
    </rPh>
    <phoneticPr fontId="2"/>
  </si>
  <si>
    <t>きんき9月2回【限定】￥1480①</t>
    <rPh sb="4" eb="5">
      <t>ガツ</t>
    </rPh>
    <rPh sb="6" eb="7">
      <t>カイ</t>
    </rPh>
    <rPh sb="8" eb="10">
      <t>ゲンテイ</t>
    </rPh>
    <phoneticPr fontId="7"/>
  </si>
  <si>
    <t>9/24～</t>
    <phoneticPr fontId="7"/>
  </si>
  <si>
    <t>在庫確認</t>
    <rPh sb="0" eb="4">
      <t>ザイコカクニン</t>
    </rPh>
    <phoneticPr fontId="2"/>
  </si>
  <si>
    <t>JOD特別版0925/2色組</t>
    <rPh sb="3" eb="6">
      <t>トクベツバン</t>
    </rPh>
    <rPh sb="12" eb="14">
      <t>ショククミ</t>
    </rPh>
    <phoneticPr fontId="7"/>
  </si>
  <si>
    <t>きんき9月2回【限定】￥1480（不透明袋）</t>
    <rPh sb="4" eb="5">
      <t>ガツ</t>
    </rPh>
    <rPh sb="6" eb="7">
      <t>カイ</t>
    </rPh>
    <rPh sb="8" eb="10">
      <t>ゲンテイ</t>
    </rPh>
    <phoneticPr fontId="7"/>
  </si>
  <si>
    <t>10/29、11/3</t>
    <phoneticPr fontId="7"/>
  </si>
  <si>
    <t>11/6～12/19</t>
    <phoneticPr fontId="7"/>
  </si>
  <si>
    <t>JOD</t>
    <phoneticPr fontId="7"/>
  </si>
  <si>
    <t>夢販</t>
    <rPh sb="0" eb="2">
      <t>ユメハン</t>
    </rPh>
    <phoneticPr fontId="7"/>
  </si>
  <si>
    <t>ネット</t>
    <phoneticPr fontId="7"/>
  </si>
  <si>
    <t>夢販</t>
    <rPh sb="0" eb="2">
      <t>ユメハン</t>
    </rPh>
    <phoneticPr fontId="7"/>
  </si>
  <si>
    <t>コープさっぽろ11月1回【限定】（不透明袋）①</t>
    <rPh sb="9" eb="10">
      <t>ガツ</t>
    </rPh>
    <rPh sb="11" eb="12">
      <t>カイ</t>
    </rPh>
    <rPh sb="13" eb="15">
      <t>ゲンテイ</t>
    </rPh>
    <rPh sb="17" eb="21">
      <t>フトウメイフクロ</t>
    </rPh>
    <phoneticPr fontId="7"/>
  </si>
  <si>
    <t>コープさっぽろ11月1回【限定】（不透明袋）\1480</t>
    <rPh sb="9" eb="10">
      <t>ガツ</t>
    </rPh>
    <rPh sb="11" eb="12">
      <t>カイ</t>
    </rPh>
    <rPh sb="13" eb="15">
      <t>ゲンテイ</t>
    </rPh>
    <rPh sb="17" eb="21">
      <t>フトウメイフクロ</t>
    </rPh>
    <phoneticPr fontId="7"/>
  </si>
  <si>
    <t>夢販</t>
    <rPh sb="0" eb="2">
      <t>ユメハン</t>
    </rPh>
    <phoneticPr fontId="7"/>
  </si>
  <si>
    <t>ロイヤルステージ1月号同色4枚組</t>
    <rPh sb="9" eb="11">
      <t>ガツゴウ</t>
    </rPh>
    <rPh sb="11" eb="13">
      <t>ドウショク</t>
    </rPh>
    <rPh sb="14" eb="16">
      <t>マイクミ</t>
    </rPh>
    <phoneticPr fontId="7"/>
  </si>
  <si>
    <t>1/8～2/21</t>
    <phoneticPr fontId="7"/>
  </si>
  <si>
    <t>ロイヤルステージ11月号同色4枚組差分予測</t>
    <rPh sb="10" eb="12">
      <t>ガツゴウ</t>
    </rPh>
    <rPh sb="12" eb="14">
      <t>ドウショク</t>
    </rPh>
    <rPh sb="15" eb="17">
      <t>マイクミ</t>
    </rPh>
    <rPh sb="17" eb="21">
      <t>サブンヨソク</t>
    </rPh>
    <phoneticPr fontId="7"/>
  </si>
  <si>
    <t>ロイヤルステージ1月号同色4枚組差分予測</t>
    <rPh sb="9" eb="11">
      <t>ガツゴウ</t>
    </rPh>
    <rPh sb="11" eb="13">
      <t>ドウショク</t>
    </rPh>
    <rPh sb="14" eb="16">
      <t>マイクミ</t>
    </rPh>
    <rPh sb="16" eb="20">
      <t>サブンヨソク</t>
    </rPh>
    <phoneticPr fontId="7"/>
  </si>
  <si>
    <t>コープさっぽろ11月1回【限定】（不透明袋）\1480差分予測</t>
    <rPh sb="9" eb="10">
      <t>ガツ</t>
    </rPh>
    <rPh sb="11" eb="12">
      <t>カイ</t>
    </rPh>
    <rPh sb="13" eb="15">
      <t>ゲンテイ</t>
    </rPh>
    <rPh sb="17" eb="21">
      <t>フトウメイフクロ</t>
    </rPh>
    <rPh sb="27" eb="31">
      <t>サブンヨソク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</si>
  <si>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</si>
  <si>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</si>
  <si>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ロイヤルステージ2月号同色4枚組差分予測</t>
    <rPh sb="9" eb="11">
      <t>ガツゴウ</t>
    </rPh>
    <rPh sb="11" eb="13">
      <t>ドウショク</t>
    </rPh>
    <rPh sb="14" eb="16">
      <t>マイクミ</t>
    </rPh>
    <rPh sb="16" eb="20">
      <t>サブンヨソク</t>
    </rPh>
    <phoneticPr fontId="7"/>
  </si>
  <si>
    <t>2/5～3/4</t>
    <phoneticPr fontId="7"/>
  </si>
  <si>
    <t>JODメルシー0122/2色組</t>
    <rPh sb="13" eb="15">
      <t>ショククミ</t>
    </rPh>
    <phoneticPr fontId="7"/>
  </si>
  <si>
    <t>1/22～</t>
    <phoneticPr fontId="7"/>
  </si>
  <si>
    <t>追加</t>
    <rPh sb="0" eb="2">
      <t>ツイカ</t>
    </rPh>
    <phoneticPr fontId="7"/>
  </si>
  <si>
    <t>ロイヤルステージ返品</t>
    <rPh sb="8" eb="10">
      <t>ヘンピン</t>
    </rPh>
    <phoneticPr fontId="7"/>
  </si>
  <si>
    <t>ゆめはん</t>
    <phoneticPr fontId="7"/>
  </si>
  <si>
    <t>オバタ返品</t>
    <rPh sb="3" eb="5">
      <t>ヘンピン</t>
    </rPh>
    <phoneticPr fontId="2"/>
  </si>
  <si>
    <t>ネット返品</t>
    <rPh sb="3" eb="5">
      <t>ヘンピン</t>
    </rPh>
    <phoneticPr fontId="7"/>
  </si>
  <si>
    <t>ロイヤルステージ1月号同色4枚組①</t>
    <rPh sb="9" eb="11">
      <t>ガツゴウ</t>
    </rPh>
    <rPh sb="11" eb="13">
      <t>ドウショク</t>
    </rPh>
    <rPh sb="14" eb="16">
      <t>マイクミ</t>
    </rPh>
    <phoneticPr fontId="7"/>
  </si>
  <si>
    <t>ゆめはん</t>
    <phoneticPr fontId="7"/>
  </si>
  <si>
    <t>ネット</t>
    <phoneticPr fontId="7"/>
  </si>
  <si>
    <t>夢販</t>
    <rPh sb="0" eb="2">
      <t>y</t>
    </rPh>
    <phoneticPr fontId="7"/>
  </si>
  <si>
    <t>→ここまで在庫確認済2/26</t>
    <rPh sb="0" eb="10">
      <t>ヤジルシココマデザイコカクニンスミ</t>
    </rPh>
    <phoneticPr fontId="7"/>
  </si>
  <si>
    <t>ロイヤルステージ返品</t>
    <rPh sb="8" eb="10">
      <t>ヘンピン</t>
    </rPh>
    <phoneticPr fontId="7"/>
  </si>
  <si>
    <t>JOD返品</t>
    <rPh sb="3" eb="5">
      <t>ヘンピン</t>
    </rPh>
    <phoneticPr fontId="7"/>
  </si>
  <si>
    <t>ディノス提案sample</t>
    <rPh sb="4" eb="6">
      <t>テイアン</t>
    </rPh>
    <phoneticPr fontId="7"/>
  </si>
  <si>
    <t>JOD</t>
    <phoneticPr fontId="7"/>
  </si>
  <si>
    <t>サクラマチsample</t>
    <phoneticPr fontId="7"/>
  </si>
  <si>
    <t>営業sample</t>
    <rPh sb="0" eb="2">
      <t>エイギョウ</t>
    </rPh>
    <phoneticPr fontId="7"/>
  </si>
  <si>
    <t>10/5～3/31</t>
    <phoneticPr fontId="7"/>
  </si>
  <si>
    <t>ストレッチ性検査</t>
    <rPh sb="5" eb="6">
      <t>セイ</t>
    </rPh>
    <rPh sb="6" eb="8">
      <t>ケンサ</t>
    </rPh>
    <phoneticPr fontId="7"/>
  </si>
  <si>
    <t>サクラマチsample（九州）</t>
    <rPh sb="12" eb="14">
      <t>キュウシュウ</t>
    </rPh>
    <phoneticPr fontId="7"/>
  </si>
  <si>
    <t>東北サンネット9月1回差分予測</t>
    <rPh sb="0" eb="2">
      <t>トウホク</t>
    </rPh>
    <rPh sb="8" eb="9">
      <t>ガツ</t>
    </rPh>
    <rPh sb="10" eb="11">
      <t>カイ</t>
    </rPh>
    <rPh sb="11" eb="15">
      <t>サブンヨソク</t>
    </rPh>
    <phoneticPr fontId="7"/>
  </si>
  <si>
    <t>8/19～9/2</t>
    <phoneticPr fontId="7"/>
  </si>
  <si>
    <t>ディノス26年冬号同色2枚組 差分予測</t>
    <rPh sb="6" eb="7">
      <t>ネン</t>
    </rPh>
    <rPh sb="7" eb="9">
      <t>フユゴウ</t>
    </rPh>
    <rPh sb="9" eb="11">
      <t>ドウショク</t>
    </rPh>
    <rPh sb="12" eb="14">
      <t>マイクミ</t>
    </rPh>
    <rPh sb="15" eb="19">
      <t>サブンヨソク</t>
    </rPh>
    <phoneticPr fontId="7"/>
  </si>
  <si>
    <t>決定</t>
    <rPh sb="0" eb="2">
      <t>ケッテイ</t>
    </rPh>
    <phoneticPr fontId="7"/>
  </si>
  <si>
    <t>コープ九州１０月差分予測</t>
    <rPh sb="3" eb="5">
      <t>キュウシュウ</t>
    </rPh>
    <rPh sb="7" eb="8">
      <t>ガツ</t>
    </rPh>
    <rPh sb="8" eb="10">
      <t>サブン</t>
    </rPh>
    <rPh sb="10" eb="12">
      <t>ヨソク</t>
    </rPh>
    <phoneticPr fontId="7"/>
  </si>
  <si>
    <t>コープ九州１０月￥1780</t>
    <rPh sb="3" eb="5">
      <t>キュウシュウ</t>
    </rPh>
    <rPh sb="7" eb="8">
      <t>ガツ</t>
    </rPh>
    <phoneticPr fontId="7"/>
  </si>
  <si>
    <t>ディノス26年冬号同色2枚組￥3560</t>
    <rPh sb="6" eb="7">
      <t>ネン</t>
    </rPh>
    <rPh sb="7" eb="9">
      <t>フユゴウ</t>
    </rPh>
    <rPh sb="9" eb="11">
      <t>ドウショク</t>
    </rPh>
    <rPh sb="12" eb="14">
      <t>マイクミ</t>
    </rPh>
    <phoneticPr fontId="7"/>
  </si>
  <si>
    <t>東北サンネット9月1回（不透明袋）￥1780</t>
    <rPh sb="0" eb="2">
      <t>トウホク</t>
    </rPh>
    <rPh sb="8" eb="9">
      <t>ガツ</t>
    </rPh>
    <rPh sb="10" eb="11">
      <t>カイ</t>
    </rPh>
    <rPh sb="12" eb="16">
      <t>フトウメイフクロ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</si>
</sst>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0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2">
    <xf numFmtId="0" fontId="0" fillId="0" borderId="0" xfId="0">
      <alignment vertic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/>
    <xf numFmtId="0" fontId="1" fillId="2" borderId="3" xfId="1" applyFill="1" applyBorder="1"/>
    <xf numFmtId="0" fontId="1" fillId="0" borderId="3" xfId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1" fillId="2" borderId="9" xfId="1" applyFill="1" applyBorder="1"/>
    <xf numFmtId="0" fontId="1" fillId="2" borderId="1" xfId="1" applyFill="1" applyBorder="1"/>
    <xf numFmtId="0" fontId="6" fillId="0" borderId="1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2" borderId="2" xfId="1" applyFont="1" applyFill="1" applyBorder="1"/>
    <xf numFmtId="0" fontId="1" fillId="0" borderId="16" xfId="1" applyBorder="1"/>
    <xf numFmtId="0" fontId="5" fillId="2" borderId="12" xfId="1" applyFont="1" applyFill="1" applyBorder="1"/>
    <xf numFmtId="0" fontId="1" fillId="2" borderId="4" xfId="1" applyFill="1" applyBorder="1"/>
    <xf numFmtId="0" fontId="9" fillId="0" borderId="13" xfId="1" applyFont="1" applyBorder="1"/>
    <xf numFmtId="0" fontId="1" fillId="0" borderId="5" xfId="1" applyBorder="1" applyAlignment="1">
      <alignment horizontal="center" vertical="center" shrinkToFit="1"/>
    </xf>
    <xf numFmtId="0" fontId="1" fillId="0" borderId="3" xfId="1" applyBorder="1"/>
    <xf numFmtId="0" fontId="4" fillId="0" borderId="0" xfId="1" applyFont="1"/>
    <xf numFmtId="0" fontId="1" fillId="0" borderId="14" xfId="1" applyBorder="1"/>
    <xf numFmtId="0" fontId="1" fillId="0" borderId="15" xfId="1" applyBorder="1"/>
    <xf numFmtId="0" fontId="11" fillId="0" borderId="5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/>
    </xf>
    <xf numFmtId="0" fontId="1" fillId="0" borderId="17" xfId="1" applyBorder="1"/>
    <xf numFmtId="0" fontId="9" fillId="2" borderId="11" xfId="1" applyFont="1" applyFill="1" applyBorder="1"/>
    <xf numFmtId="0" fontId="9" fillId="0" borderId="11" xfId="1" applyFont="1" applyBorder="1"/>
    <xf numFmtId="0" fontId="5" fillId="2" borderId="1" xfId="1" applyFont="1" applyFill="1" applyBorder="1"/>
    <xf numFmtId="0" fontId="11" fillId="0" borderId="3" xfId="1" applyFont="1" applyBorder="1" applyAlignment="1">
      <alignment horizontal="center" vertical="center"/>
    </xf>
    <xf numFmtId="0" fontId="5" fillId="2" borderId="19" xfId="1" applyFont="1" applyFill="1" applyBorder="1"/>
    <xf numFmtId="0" fontId="1" fillId="2" borderId="8" xfId="1" applyFill="1" applyBorder="1"/>
    <xf numFmtId="0" fontId="1" fillId="0" borderId="4" xfId="1" applyBorder="1"/>
    <xf numFmtId="0" fontId="5" fillId="2" borderId="18" xfId="1" applyFont="1" applyFill="1" applyBorder="1"/>
    <xf numFmtId="0" fontId="1" fillId="0" borderId="5" xfId="1" applyBorder="1"/>
    <xf numFmtId="0" fontId="1" fillId="0" borderId="10" xfId="1" applyBorder="1"/>
    <xf numFmtId="0" fontId="9" fillId="0" borderId="22" xfId="1" applyFont="1" applyBorder="1"/>
    <xf numFmtId="0" fontId="1" fillId="0" borderId="23" xfId="1" applyBorder="1"/>
    <xf numFmtId="0" fontId="1" fillId="0" borderId="20" xfId="1" applyBorder="1"/>
    <xf numFmtId="0" fontId="1" fillId="0" borderId="24" xfId="1" applyBorder="1"/>
    <xf numFmtId="0" fontId="1" fillId="0" borderId="7" xfId="1" applyBorder="1"/>
    <xf numFmtId="0" fontId="0" fillId="0" borderId="0" xfId="0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6" fontId="1" fillId="0" borderId="0" xfId="1" applyNumberFormat="1"/>
    <xf numFmtId="0" fontId="3" fillId="3" borderId="1" xfId="1" applyFont="1" applyFill="1" applyBorder="1" applyAlignment="1">
      <alignment horizontal="center" vertical="center"/>
    </xf>
    <xf numFmtId="0" fontId="13" fillId="4" borderId="21" xfId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3" fillId="0" borderId="11" xfId="1" applyFont="1" applyBorder="1" applyAlignment="1">
      <alignment horizontal="center" vertical="center"/>
    </xf>
    <xf numFmtId="0" fontId="1" fillId="0" borderId="11" xfId="1" applyBorder="1"/>
    <xf numFmtId="0" fontId="1" fillId="0" borderId="22" xfId="1" applyBorder="1"/>
    <xf numFmtId="0" fontId="1" fillId="2" borderId="11" xfId="1" applyFill="1" applyBorder="1"/>
    <xf numFmtId="0" fontId="10" fillId="0" borderId="0" xfId="0" applyFont="1">
      <alignment vertical="center"/>
    </xf>
    <xf numFmtId="0" fontId="1" fillId="0" borderId="0" xfId="1" applyAlignment="1">
      <alignment horizontal="left"/>
    </xf>
    <xf numFmtId="0" fontId="3" fillId="0" borderId="0" xfId="1" applyFont="1" applyAlignment="1">
      <alignment horizontal="left" vertical="center"/>
    </xf>
    <xf numFmtId="56" fontId="1" fillId="0" borderId="0" xfId="1" applyNumberFormat="1" applyAlignment="1">
      <alignment horizontal="left"/>
    </xf>
    <xf numFmtId="0" fontId="5" fillId="0" borderId="0" xfId="1" applyFont="1" applyAlignment="1">
      <alignment horizontal="left"/>
    </xf>
    <xf numFmtId="0" fontId="3" fillId="0" borderId="6" xfId="1" applyFont="1" applyBorder="1"/>
    <xf numFmtId="0" fontId="3" fillId="0" borderId="14" xfId="1" applyFont="1" applyBorder="1"/>
    <xf numFmtId="0" fontId="3" fillId="2" borderId="3" xfId="1" applyFont="1" applyFill="1" applyBorder="1"/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0" fillId="0" borderId="19" xfId="0" applyBorder="1">
      <alignment vertical="center"/>
    </xf>
    <xf numFmtId="0" fontId="1" fillId="0" borderId="13" xfId="1" applyBorder="1"/>
    <xf numFmtId="49" fontId="1" fillId="0" borderId="3" xfId="1" applyNumberFormat="1" applyBorder="1" applyAlignment="1">
      <alignment horizontal="center" vertical="center" shrinkToFit="1"/>
    </xf>
    <xf numFmtId="56" fontId="0" fillId="0" borderId="0" xfId="0" applyNumberFormat="1" applyAlignment="1">
      <alignment horizontal="left" vertical="center"/>
    </xf>
    <xf numFmtId="0" fontId="16" fillId="0" borderId="3" xfId="1" applyFont="1" applyBorder="1" applyAlignment="1">
      <alignment horizontal="center" vertical="center"/>
    </xf>
    <xf numFmtId="0" fontId="17" fillId="0" borderId="7" xfId="1" applyFont="1" applyBorder="1"/>
    <xf numFmtId="0" fontId="17" fillId="0" borderId="16" xfId="1" applyFont="1" applyBorder="1"/>
    <xf numFmtId="0" fontId="17" fillId="2" borderId="4" xfId="1" applyFont="1" applyFill="1" applyBorder="1"/>
    <xf numFmtId="56" fontId="17" fillId="0" borderId="0" xfId="1" applyNumberFormat="1" applyFont="1" applyAlignment="1">
      <alignment horizontal="left"/>
    </xf>
    <xf numFmtId="0" fontId="6" fillId="0" borderId="12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7" fillId="0" borderId="6" xfId="1" applyFont="1" applyBorder="1"/>
    <xf numFmtId="0" fontId="17" fillId="0" borderId="14" xfId="1" applyFont="1" applyBorder="1"/>
    <xf numFmtId="0" fontId="17" fillId="2" borderId="3" xfId="1" applyFont="1" applyFill="1" applyBorder="1"/>
    <xf numFmtId="56" fontId="18" fillId="0" borderId="0" xfId="0" applyNumberFormat="1" applyFont="1" applyAlignment="1">
      <alignment horizontal="left" vertical="center"/>
    </xf>
    <xf numFmtId="0" fontId="17" fillId="0" borderId="3" xfId="1" applyFont="1" applyBorder="1" applyAlignment="1">
      <alignment horizontal="center" vertical="center" shrinkToFit="1"/>
    </xf>
    <xf numFmtId="0" fontId="17" fillId="0" borderId="4" xfId="1" applyFont="1" applyBorder="1"/>
    <xf numFmtId="0" fontId="17" fillId="0" borderId="24" xfId="1" applyFont="1" applyBorder="1"/>
    <xf numFmtId="0" fontId="3" fillId="0" borderId="7" xfId="1" applyFont="1" applyBorder="1" applyAlignment="1">
      <alignment horizontal="center" vertical="center"/>
    </xf>
    <xf numFmtId="0" fontId="1" fillId="2" borderId="7" xfId="1" applyFill="1" applyBorder="1"/>
    <xf numFmtId="0" fontId="12" fillId="0" borderId="0" xfId="0" applyFont="1" applyAlignment="1">
      <alignment horizontal="left" vertical="center"/>
    </xf>
    <xf numFmtId="0" fontId="17" fillId="0" borderId="5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7" fillId="2" borderId="7" xfId="1" applyFont="1" applyFill="1" applyBorder="1"/>
    <xf numFmtId="0" fontId="11" fillId="0" borderId="5" xfId="1" applyFont="1" applyBorder="1" applyAlignment="1">
      <alignment horizontal="center" vertical="center" shrinkToFit="1"/>
    </xf>
    <xf numFmtId="0" fontId="16" fillId="0" borderId="5" xfId="1" applyFont="1" applyBorder="1" applyAlignment="1">
      <alignment horizontal="center" vertical="center"/>
    </xf>
    <xf numFmtId="0" fontId="17" fillId="0" borderId="10" xfId="1" applyFont="1" applyBorder="1"/>
    <xf numFmtId="0" fontId="17" fillId="0" borderId="0" xfId="1" applyFont="1"/>
    <xf numFmtId="0" fontId="17" fillId="2" borderId="5" xfId="1" applyFont="1" applyFill="1" applyBorder="1"/>
    <xf numFmtId="0" fontId="8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26" xfId="1" applyFont="1" applyBorder="1"/>
    <xf numFmtId="0" fontId="9" fillId="2" borderId="1" xfId="1" applyFont="1" applyFill="1" applyBorder="1"/>
    <xf numFmtId="0" fontId="3" fillId="0" borderId="10" xfId="1" applyFont="1" applyBorder="1" applyAlignment="1">
      <alignment horizontal="center" vertical="center"/>
    </xf>
    <xf numFmtId="0" fontId="1" fillId="2" borderId="10" xfId="1" applyFill="1" applyBorder="1"/>
    <xf numFmtId="0" fontId="9" fillId="0" borderId="18" xfId="1" applyFont="1" applyBorder="1"/>
    <xf numFmtId="0" fontId="3" fillId="0" borderId="5" xfId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9" fillId="0" borderId="3" xfId="1" applyFont="1" applyBorder="1" applyAlignment="1">
      <alignment horizontal="center" vertical="center"/>
    </xf>
    <xf numFmtId="0" fontId="9" fillId="0" borderId="6" xfId="1" applyFont="1" applyBorder="1"/>
    <xf numFmtId="0" fontId="9" fillId="0" borderId="14" xfId="1" applyFont="1" applyBorder="1"/>
    <xf numFmtId="0" fontId="9" fillId="2" borderId="3" xfId="1" applyFont="1" applyFill="1" applyBorder="1"/>
    <xf numFmtId="0" fontId="19" fillId="0" borderId="0" xfId="0" applyFont="1" applyAlignment="1">
      <alignment horizontal="left" vertical="center"/>
    </xf>
    <xf numFmtId="0" fontId="8" fillId="0" borderId="3" xfId="1" applyFont="1" applyBorder="1" applyAlignment="1">
      <alignment horizontal="center" vertical="center"/>
    </xf>
    <xf numFmtId="0" fontId="8" fillId="0" borderId="6" xfId="1" applyFont="1" applyBorder="1"/>
    <xf numFmtId="0" fontId="8" fillId="0" borderId="14" xfId="1" applyFont="1" applyBorder="1"/>
    <xf numFmtId="0" fontId="8" fillId="2" borderId="3" xfId="1" applyFon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6"/>
  <sheetViews>
    <sheetView tabSelected="1" topLeftCell="A381" zoomScaleNormal="100" workbookViewId="0">
      <selection activeCell="H410" sqref="H410"/>
    </sheetView>
  </sheetViews>
  <sheetFormatPr defaultRowHeight="13.5" x14ac:dyDescent="0.15"/>
  <cols>
    <col min="1" max="1" width="24.75" customWidth="1"/>
    <col min="2" max="4" width="10.75" customWidth="1"/>
    <col min="5" max="5" width="10.75" style="43" customWidth="1"/>
    <col min="7" max="7" width="53.25" customWidth="1"/>
    <col min="8" max="8" width="12.25" customWidth="1"/>
    <col min="9" max="10" width="10.25" customWidth="1"/>
    <col min="11" max="11" width="9.25" style="43" bestFit="1" customWidth="1"/>
  </cols>
  <sheetData>
    <row r="1" spans="1:12" ht="18.75" x14ac:dyDescent="0.2">
      <c r="A1" s="21" t="s">
        <v>10</v>
      </c>
      <c r="B1" s="1"/>
      <c r="C1" s="1"/>
      <c r="D1" s="1"/>
      <c r="E1" s="55"/>
      <c r="F1" s="1"/>
      <c r="G1" s="21" t="s">
        <v>11</v>
      </c>
      <c r="H1" s="1"/>
      <c r="I1" s="1"/>
      <c r="J1" s="1"/>
    </row>
    <row r="2" spans="1:12" ht="14.25" thickBot="1" x14ac:dyDescent="0.2">
      <c r="A2" s="1"/>
      <c r="B2" s="1"/>
      <c r="C2" s="1"/>
      <c r="D2" s="1"/>
      <c r="E2" s="55"/>
      <c r="F2" s="1"/>
      <c r="G2" s="1"/>
      <c r="H2" s="1"/>
      <c r="I2" s="49" t="s">
        <v>37</v>
      </c>
      <c r="J2" s="46">
        <v>1780</v>
      </c>
    </row>
    <row r="3" spans="1:12" ht="14.25" thickBot="1" x14ac:dyDescent="0.2">
      <c r="A3" s="2"/>
      <c r="B3" s="47" t="s">
        <v>7</v>
      </c>
      <c r="C3" s="48" t="s">
        <v>9</v>
      </c>
      <c r="D3" s="2" t="s">
        <v>0</v>
      </c>
      <c r="E3" s="56"/>
      <c r="F3" s="1"/>
      <c r="G3" s="2"/>
      <c r="H3" s="47" t="s">
        <v>7</v>
      </c>
      <c r="I3" s="48" t="s">
        <v>8</v>
      </c>
      <c r="J3" s="2" t="s">
        <v>0</v>
      </c>
    </row>
    <row r="4" spans="1:12" x14ac:dyDescent="0.15">
      <c r="A4" s="50" t="s">
        <v>5</v>
      </c>
      <c r="B4" s="51">
        <v>15</v>
      </c>
      <c r="C4" s="52">
        <v>25</v>
      </c>
      <c r="D4" s="53">
        <f>B4+C4</f>
        <v>40</v>
      </c>
      <c r="E4" s="57">
        <v>45604</v>
      </c>
      <c r="F4" s="1"/>
      <c r="G4" s="50" t="s">
        <v>5</v>
      </c>
      <c r="H4" s="66">
        <v>1500</v>
      </c>
      <c r="I4" s="66">
        <v>1500</v>
      </c>
      <c r="J4" s="53">
        <f>H4+I4</f>
        <v>3000</v>
      </c>
      <c r="K4" s="44" t="s">
        <v>36</v>
      </c>
    </row>
    <row r="5" spans="1:12" x14ac:dyDescent="0.15">
      <c r="A5" s="3" t="s">
        <v>1</v>
      </c>
      <c r="B5" s="36">
        <v>5</v>
      </c>
      <c r="C5" s="39">
        <v>10</v>
      </c>
      <c r="D5" s="7">
        <f>B5+C5</f>
        <v>15</v>
      </c>
      <c r="E5" s="57">
        <v>45608</v>
      </c>
      <c r="F5" s="1"/>
      <c r="G5" s="4" t="s">
        <v>21</v>
      </c>
      <c r="H5" s="20">
        <v>-156</v>
      </c>
      <c r="I5" s="20">
        <v>5</v>
      </c>
      <c r="J5" s="17">
        <f>H5+I5</f>
        <v>-151</v>
      </c>
      <c r="K5" s="44"/>
    </row>
    <row r="6" spans="1:12" x14ac:dyDescent="0.15">
      <c r="A6" s="3" t="s">
        <v>1</v>
      </c>
      <c r="B6" s="20">
        <v>20</v>
      </c>
      <c r="C6" s="40">
        <v>20</v>
      </c>
      <c r="D6" s="7">
        <f>B6+C6</f>
        <v>40</v>
      </c>
      <c r="E6" s="57">
        <v>45615</v>
      </c>
      <c r="F6" s="1"/>
      <c r="G6" s="4" t="s">
        <v>1</v>
      </c>
      <c r="H6" s="22"/>
      <c r="I6" s="22"/>
      <c r="J6" s="17">
        <f t="shared" ref="J6" si="0">H6+I6</f>
        <v>0</v>
      </c>
      <c r="K6" s="44"/>
    </row>
    <row r="7" spans="1:12" x14ac:dyDescent="0.15">
      <c r="A7" s="3" t="s">
        <v>1</v>
      </c>
      <c r="B7" s="37"/>
      <c r="C7" s="1">
        <v>15</v>
      </c>
      <c r="D7" s="7">
        <f t="shared" ref="D7:D9" si="1">B7+C7</f>
        <v>15</v>
      </c>
      <c r="E7" s="57">
        <v>45622</v>
      </c>
      <c r="F7" s="1"/>
      <c r="G7" s="4" t="s">
        <v>1</v>
      </c>
      <c r="H7" s="22"/>
      <c r="I7" s="22"/>
      <c r="J7" s="17">
        <f t="shared" ref="J7" si="2">H7+I7</f>
        <v>0</v>
      </c>
      <c r="K7" s="44"/>
    </row>
    <row r="8" spans="1:12" x14ac:dyDescent="0.15">
      <c r="A8" s="3" t="s">
        <v>1</v>
      </c>
      <c r="B8" s="34">
        <v>20</v>
      </c>
      <c r="C8" s="41">
        <v>20</v>
      </c>
      <c r="D8" s="7">
        <f t="shared" si="1"/>
        <v>40</v>
      </c>
      <c r="E8" s="57">
        <v>45623</v>
      </c>
      <c r="F8" s="1"/>
      <c r="G8" s="4" t="s">
        <v>1</v>
      </c>
      <c r="H8" s="27"/>
      <c r="I8" s="27"/>
      <c r="J8" s="17">
        <f t="shared" ref="J8" si="3">H8+I8</f>
        <v>0</v>
      </c>
      <c r="K8" s="44"/>
    </row>
    <row r="9" spans="1:12" ht="14.25" thickBot="1" x14ac:dyDescent="0.2">
      <c r="A9" s="3" t="s">
        <v>1</v>
      </c>
      <c r="B9" s="42">
        <v>10</v>
      </c>
      <c r="C9" s="15">
        <v>5</v>
      </c>
      <c r="D9" s="17">
        <f t="shared" si="1"/>
        <v>15</v>
      </c>
      <c r="E9" s="57">
        <v>45629</v>
      </c>
      <c r="F9" s="1"/>
      <c r="G9" s="4" t="s">
        <v>1</v>
      </c>
      <c r="H9" s="23"/>
      <c r="I9" s="23"/>
      <c r="J9" s="17">
        <f t="shared" ref="J9" si="4">H9+I9</f>
        <v>0</v>
      </c>
      <c r="K9" s="45"/>
    </row>
    <row r="10" spans="1:12" ht="14.25" thickBot="1" x14ac:dyDescent="0.2">
      <c r="A10" s="13" t="s">
        <v>2</v>
      </c>
      <c r="B10" s="16">
        <f>SUM(B4:B9)</f>
        <v>70</v>
      </c>
      <c r="C10" s="32">
        <f>SUM(C4:C9)</f>
        <v>95</v>
      </c>
      <c r="D10" s="30">
        <f>B10+C10</f>
        <v>165</v>
      </c>
      <c r="E10" s="58"/>
      <c r="F10" s="1"/>
      <c r="G10" s="13" t="s">
        <v>2</v>
      </c>
      <c r="H10" s="14">
        <f>SUM(H4:H9)</f>
        <v>1344</v>
      </c>
      <c r="I10" s="35">
        <f>SUM(I4:I9)</f>
        <v>1505</v>
      </c>
      <c r="J10" s="30">
        <f>H10+I10</f>
        <v>2849</v>
      </c>
    </row>
    <row r="11" spans="1:12" x14ac:dyDescent="0.15">
      <c r="A11" s="19" t="s">
        <v>25</v>
      </c>
      <c r="B11" s="6">
        <v>1</v>
      </c>
      <c r="C11" s="22">
        <v>13</v>
      </c>
      <c r="D11" s="7">
        <f>B11+C11</f>
        <v>14</v>
      </c>
      <c r="E11" s="57">
        <v>45604</v>
      </c>
      <c r="F11" s="1"/>
      <c r="G11" s="8" t="s">
        <v>22</v>
      </c>
      <c r="H11" s="6">
        <v>100</v>
      </c>
      <c r="I11" s="22">
        <v>70</v>
      </c>
      <c r="J11" s="7">
        <f>H11+I11</f>
        <v>170</v>
      </c>
      <c r="K11" s="44">
        <v>45607</v>
      </c>
      <c r="L11" s="54"/>
    </row>
    <row r="12" spans="1:12" x14ac:dyDescent="0.15">
      <c r="A12" s="19" t="s">
        <v>25</v>
      </c>
      <c r="B12" s="6">
        <v>2</v>
      </c>
      <c r="C12" s="22">
        <f>2+2</f>
        <v>4</v>
      </c>
      <c r="D12" s="7">
        <f>B12+C12</f>
        <v>6</v>
      </c>
      <c r="E12" s="57">
        <v>45607</v>
      </c>
      <c r="F12" s="1"/>
      <c r="G12" s="8" t="s">
        <v>23</v>
      </c>
      <c r="H12" s="6">
        <v>15</v>
      </c>
      <c r="I12" s="22">
        <v>25</v>
      </c>
      <c r="J12" s="7">
        <f>H12+I12</f>
        <v>40</v>
      </c>
      <c r="K12" s="44">
        <v>45604</v>
      </c>
      <c r="L12" s="54"/>
    </row>
    <row r="13" spans="1:12" x14ac:dyDescent="0.15">
      <c r="A13" s="19" t="s">
        <v>25</v>
      </c>
      <c r="B13" s="6"/>
      <c r="C13" s="22">
        <v>2</v>
      </c>
      <c r="D13" s="7">
        <f t="shared" ref="D13:D34" si="5">B13+C13</f>
        <v>2</v>
      </c>
      <c r="E13" s="57">
        <v>45608</v>
      </c>
      <c r="F13" s="1"/>
      <c r="G13" s="8" t="s">
        <v>24</v>
      </c>
      <c r="H13" s="6">
        <v>5</v>
      </c>
      <c r="I13" s="22">
        <v>5</v>
      </c>
      <c r="J13" s="7">
        <f t="shared" ref="J13:J32" si="6">H13+I13</f>
        <v>10</v>
      </c>
      <c r="K13" s="44">
        <v>45607</v>
      </c>
    </row>
    <row r="14" spans="1:12" x14ac:dyDescent="0.15">
      <c r="A14" s="19" t="s">
        <v>25</v>
      </c>
      <c r="B14" s="6"/>
      <c r="C14" s="22">
        <v>1</v>
      </c>
      <c r="D14" s="7">
        <f t="shared" si="5"/>
        <v>1</v>
      </c>
      <c r="E14" s="57">
        <v>45609</v>
      </c>
      <c r="F14" s="1"/>
      <c r="G14" s="8" t="s">
        <v>23</v>
      </c>
      <c r="H14" s="6">
        <v>5</v>
      </c>
      <c r="I14" s="22">
        <v>10</v>
      </c>
      <c r="J14" s="7">
        <f>H14+I14</f>
        <v>15</v>
      </c>
      <c r="K14" s="44">
        <v>45608</v>
      </c>
      <c r="L14" s="54"/>
    </row>
    <row r="15" spans="1:12" x14ac:dyDescent="0.15">
      <c r="A15" s="19" t="s">
        <v>27</v>
      </c>
      <c r="B15" s="6">
        <v>2</v>
      </c>
      <c r="C15" s="22">
        <v>2</v>
      </c>
      <c r="D15" s="7">
        <f t="shared" si="5"/>
        <v>4</v>
      </c>
      <c r="E15" s="57">
        <v>45614</v>
      </c>
      <c r="F15" s="1"/>
      <c r="G15" s="8" t="s">
        <v>26</v>
      </c>
      <c r="H15" s="6">
        <v>5</v>
      </c>
      <c r="I15" s="22">
        <v>5</v>
      </c>
      <c r="J15" s="7">
        <f t="shared" si="6"/>
        <v>10</v>
      </c>
      <c r="K15" s="44">
        <v>45611</v>
      </c>
      <c r="L15" s="54"/>
    </row>
    <row r="16" spans="1:12" x14ac:dyDescent="0.15">
      <c r="A16" s="19" t="s">
        <v>25</v>
      </c>
      <c r="B16" s="6">
        <v>3</v>
      </c>
      <c r="C16" s="22">
        <v>4</v>
      </c>
      <c r="D16" s="7">
        <f t="shared" si="5"/>
        <v>7</v>
      </c>
      <c r="E16" s="57">
        <v>45612</v>
      </c>
      <c r="F16" s="1"/>
      <c r="G16" s="19" t="s">
        <v>28</v>
      </c>
      <c r="H16" s="6">
        <v>8</v>
      </c>
      <c r="I16" s="22">
        <v>8</v>
      </c>
      <c r="J16" s="7">
        <f t="shared" si="6"/>
        <v>16</v>
      </c>
      <c r="K16" s="44">
        <v>45616</v>
      </c>
      <c r="L16" s="54"/>
    </row>
    <row r="17" spans="1:12" x14ac:dyDescent="0.15">
      <c r="A17" s="19" t="s">
        <v>25</v>
      </c>
      <c r="B17" s="6">
        <f>2+1</f>
        <v>3</v>
      </c>
      <c r="C17" s="22">
        <v>2</v>
      </c>
      <c r="D17" s="7">
        <f t="shared" si="5"/>
        <v>5</v>
      </c>
      <c r="E17" s="57">
        <v>45614</v>
      </c>
      <c r="F17" s="1"/>
      <c r="G17" s="8" t="s">
        <v>23</v>
      </c>
      <c r="H17" s="6">
        <v>20</v>
      </c>
      <c r="I17" s="22">
        <v>20</v>
      </c>
      <c r="J17" s="7">
        <f>H17+I17</f>
        <v>40</v>
      </c>
      <c r="K17" s="44">
        <v>45615</v>
      </c>
      <c r="L17" s="54"/>
    </row>
    <row r="18" spans="1:12" x14ac:dyDescent="0.15">
      <c r="A18" s="19" t="s">
        <v>29</v>
      </c>
      <c r="B18" s="6">
        <v>1</v>
      </c>
      <c r="C18" s="22">
        <v>1</v>
      </c>
      <c r="D18" s="7">
        <f t="shared" si="5"/>
        <v>2</v>
      </c>
      <c r="E18" s="57">
        <v>45617</v>
      </c>
      <c r="F18" s="1"/>
      <c r="G18" s="8" t="s">
        <v>23</v>
      </c>
      <c r="H18" s="6"/>
      <c r="I18" s="22">
        <v>15</v>
      </c>
      <c r="J18" s="7">
        <f t="shared" ref="J18:J21" si="7">H18+I18</f>
        <v>15</v>
      </c>
      <c r="K18" s="44">
        <v>45622</v>
      </c>
    </row>
    <row r="19" spans="1:12" x14ac:dyDescent="0.15">
      <c r="A19" s="19" t="s">
        <v>25</v>
      </c>
      <c r="B19" s="6"/>
      <c r="C19" s="22">
        <v>2</v>
      </c>
      <c r="D19" s="7">
        <f t="shared" ref="D19:D22" si="8">B19+C19</f>
        <v>2</v>
      </c>
      <c r="E19" s="57">
        <v>45615</v>
      </c>
      <c r="F19" s="1"/>
      <c r="G19" s="8" t="s">
        <v>23</v>
      </c>
      <c r="H19" s="34">
        <v>20</v>
      </c>
      <c r="I19" s="41">
        <v>20</v>
      </c>
      <c r="J19" s="7">
        <f t="shared" si="7"/>
        <v>40</v>
      </c>
      <c r="K19" s="57">
        <v>45623</v>
      </c>
    </row>
    <row r="20" spans="1:12" x14ac:dyDescent="0.15">
      <c r="A20" s="19" t="s">
        <v>30</v>
      </c>
      <c r="B20" s="6">
        <v>2</v>
      </c>
      <c r="C20" s="22">
        <v>2</v>
      </c>
      <c r="D20" s="7">
        <f t="shared" si="8"/>
        <v>4</v>
      </c>
      <c r="E20" s="57">
        <v>45618</v>
      </c>
      <c r="F20" s="1"/>
      <c r="G20" s="25" t="s">
        <v>35</v>
      </c>
      <c r="H20" s="6">
        <v>20</v>
      </c>
      <c r="I20" s="22"/>
      <c r="J20" s="7">
        <f t="shared" si="7"/>
        <v>20</v>
      </c>
      <c r="K20" s="44">
        <v>45630</v>
      </c>
    </row>
    <row r="21" spans="1:12" x14ac:dyDescent="0.15">
      <c r="A21" s="19" t="s">
        <v>32</v>
      </c>
      <c r="B21" s="6">
        <v>4</v>
      </c>
      <c r="C21" s="22">
        <v>4</v>
      </c>
      <c r="D21" s="7">
        <f t="shared" si="8"/>
        <v>8</v>
      </c>
      <c r="E21" s="57">
        <v>45621</v>
      </c>
      <c r="F21" s="1"/>
      <c r="G21" s="8" t="s">
        <v>23</v>
      </c>
      <c r="H21" s="6">
        <v>10</v>
      </c>
      <c r="I21" s="22">
        <v>5</v>
      </c>
      <c r="J21" s="7">
        <f t="shared" si="7"/>
        <v>15</v>
      </c>
      <c r="K21" s="44">
        <v>45629</v>
      </c>
      <c r="L21" s="54"/>
    </row>
    <row r="22" spans="1:12" x14ac:dyDescent="0.15">
      <c r="A22" s="19" t="s">
        <v>25</v>
      </c>
      <c r="B22" s="6">
        <v>1</v>
      </c>
      <c r="C22" s="22"/>
      <c r="D22" s="7">
        <f t="shared" si="8"/>
        <v>1</v>
      </c>
      <c r="E22" s="57">
        <v>45618</v>
      </c>
      <c r="F22" s="1"/>
      <c r="G22" s="8" t="s">
        <v>23</v>
      </c>
      <c r="H22" s="6">
        <v>5</v>
      </c>
      <c r="I22" s="22">
        <v>10</v>
      </c>
      <c r="J22" s="7">
        <f>H22+I22</f>
        <v>15</v>
      </c>
      <c r="K22" s="44">
        <v>45642</v>
      </c>
      <c r="L22" s="54"/>
    </row>
    <row r="23" spans="1:12" x14ac:dyDescent="0.15">
      <c r="A23" s="19" t="s">
        <v>25</v>
      </c>
      <c r="B23" s="6">
        <f>1+3</f>
        <v>4</v>
      </c>
      <c r="C23" s="22">
        <f>1+1+7</f>
        <v>9</v>
      </c>
      <c r="D23" s="7">
        <f t="shared" si="5"/>
        <v>13</v>
      </c>
      <c r="E23" s="57">
        <v>45621</v>
      </c>
      <c r="F23" s="1"/>
      <c r="G23" s="8"/>
      <c r="H23" s="6"/>
      <c r="I23" s="22"/>
      <c r="J23" s="7">
        <f t="shared" si="6"/>
        <v>0</v>
      </c>
      <c r="K23" s="45"/>
      <c r="L23" s="54"/>
    </row>
    <row r="24" spans="1:12" x14ac:dyDescent="0.15">
      <c r="A24" s="25" t="s">
        <v>33</v>
      </c>
      <c r="B24" s="6">
        <v>20</v>
      </c>
      <c r="C24" s="22">
        <v>20</v>
      </c>
      <c r="D24" s="7">
        <f t="shared" si="5"/>
        <v>40</v>
      </c>
      <c r="E24" s="44">
        <v>45624</v>
      </c>
      <c r="F24" s="1"/>
      <c r="G24" s="5"/>
      <c r="H24" s="6"/>
      <c r="I24" s="22"/>
      <c r="J24" s="7">
        <f t="shared" si="6"/>
        <v>0</v>
      </c>
      <c r="K24" s="45"/>
      <c r="L24" s="54"/>
    </row>
    <row r="25" spans="1:12" x14ac:dyDescent="0.15">
      <c r="A25" s="19" t="s">
        <v>25</v>
      </c>
      <c r="B25" s="6">
        <v>2</v>
      </c>
      <c r="C25" s="22">
        <f>1+3</f>
        <v>4</v>
      </c>
      <c r="D25" s="7">
        <f t="shared" si="5"/>
        <v>6</v>
      </c>
      <c r="E25" s="57">
        <v>45622</v>
      </c>
      <c r="F25" s="1"/>
      <c r="G25" s="8"/>
      <c r="H25" s="6"/>
      <c r="I25" s="22"/>
      <c r="J25" s="7">
        <f t="shared" si="6"/>
        <v>0</v>
      </c>
    </row>
    <row r="26" spans="1:12" x14ac:dyDescent="0.15">
      <c r="A26" s="19" t="s">
        <v>25</v>
      </c>
      <c r="B26" s="6">
        <v>1</v>
      </c>
      <c r="C26" s="22">
        <v>1</v>
      </c>
      <c r="D26" s="7">
        <f t="shared" si="5"/>
        <v>2</v>
      </c>
      <c r="E26" s="57">
        <v>45623</v>
      </c>
      <c r="F26" s="1"/>
      <c r="G26" s="8"/>
      <c r="H26" s="6"/>
      <c r="I26" s="22"/>
      <c r="J26" s="7">
        <f t="shared" si="6"/>
        <v>0</v>
      </c>
      <c r="K26" s="45"/>
    </row>
    <row r="27" spans="1:12" x14ac:dyDescent="0.15">
      <c r="A27" s="19" t="s">
        <v>25</v>
      </c>
      <c r="B27" s="6"/>
      <c r="C27" s="22">
        <v>1</v>
      </c>
      <c r="D27" s="7">
        <f t="shared" si="5"/>
        <v>1</v>
      </c>
      <c r="E27" s="57">
        <v>45624</v>
      </c>
      <c r="F27" s="1"/>
      <c r="G27" s="31"/>
      <c r="H27" s="6"/>
      <c r="I27" s="22"/>
      <c r="J27" s="7">
        <f t="shared" si="6"/>
        <v>0</v>
      </c>
      <c r="K27" s="44"/>
    </row>
    <row r="28" spans="1:12" x14ac:dyDescent="0.15">
      <c r="A28" s="19" t="s">
        <v>25</v>
      </c>
      <c r="B28" s="6">
        <v>1</v>
      </c>
      <c r="C28" s="22"/>
      <c r="D28" s="7">
        <f t="shared" si="5"/>
        <v>1</v>
      </c>
      <c r="E28" s="57">
        <v>45625</v>
      </c>
      <c r="F28" s="1"/>
      <c r="G28" s="5"/>
      <c r="H28" s="6"/>
      <c r="I28" s="22"/>
      <c r="J28" s="7">
        <f t="shared" si="6"/>
        <v>0</v>
      </c>
      <c r="K28" s="45"/>
    </row>
    <row r="29" spans="1:12" x14ac:dyDescent="0.15">
      <c r="A29" s="19" t="s">
        <v>25</v>
      </c>
      <c r="B29" s="6">
        <v>2</v>
      </c>
      <c r="C29" s="22">
        <v>1</v>
      </c>
      <c r="D29" s="7">
        <f t="shared" si="5"/>
        <v>3</v>
      </c>
      <c r="E29" s="57">
        <v>45628</v>
      </c>
      <c r="F29" s="1"/>
      <c r="G29" s="5"/>
      <c r="H29" s="6"/>
      <c r="I29" s="22"/>
      <c r="J29" s="7">
        <f t="shared" ref="J29:J30" si="9">H29+I29</f>
        <v>0</v>
      </c>
      <c r="K29" s="45"/>
    </row>
    <row r="30" spans="1:12" x14ac:dyDescent="0.15">
      <c r="A30" s="19" t="s">
        <v>25</v>
      </c>
      <c r="B30" s="6">
        <f>2+1</f>
        <v>3</v>
      </c>
      <c r="C30" s="22"/>
      <c r="D30" s="7">
        <f t="shared" si="5"/>
        <v>3</v>
      </c>
      <c r="E30" s="57">
        <v>45631</v>
      </c>
      <c r="F30" s="1"/>
      <c r="G30" s="5"/>
      <c r="H30" s="6"/>
      <c r="I30" s="22"/>
      <c r="J30" s="7">
        <f t="shared" si="9"/>
        <v>0</v>
      </c>
      <c r="K30" s="45"/>
    </row>
    <row r="31" spans="1:12" x14ac:dyDescent="0.15">
      <c r="A31" s="19" t="s">
        <v>25</v>
      </c>
      <c r="B31" s="6"/>
      <c r="C31" s="22">
        <v>2</v>
      </c>
      <c r="D31" s="7">
        <f t="shared" si="5"/>
        <v>2</v>
      </c>
      <c r="E31" s="57">
        <v>45632</v>
      </c>
      <c r="F31" s="1"/>
      <c r="G31" s="5" t="s">
        <v>20</v>
      </c>
      <c r="H31" s="6"/>
      <c r="I31" s="22"/>
      <c r="J31" s="7">
        <f t="shared" ref="J31" si="10">H31+I31</f>
        <v>0</v>
      </c>
      <c r="K31" s="45" t="s">
        <v>19</v>
      </c>
    </row>
    <row r="32" spans="1:12" x14ac:dyDescent="0.15">
      <c r="A32" s="19" t="s">
        <v>25</v>
      </c>
      <c r="B32" s="6"/>
      <c r="C32" s="22">
        <v>3</v>
      </c>
      <c r="D32" s="7">
        <f t="shared" si="5"/>
        <v>3</v>
      </c>
      <c r="E32" s="57">
        <v>45635</v>
      </c>
      <c r="F32" s="1"/>
      <c r="G32" s="8" t="s">
        <v>12</v>
      </c>
      <c r="H32" s="6"/>
      <c r="I32" s="22"/>
      <c r="J32" s="7">
        <f t="shared" si="6"/>
        <v>0</v>
      </c>
      <c r="K32" s="45" t="s">
        <v>31</v>
      </c>
    </row>
    <row r="33" spans="1:15" x14ac:dyDescent="0.15">
      <c r="A33" s="19" t="s">
        <v>25</v>
      </c>
      <c r="B33" s="6">
        <f>1+1</f>
        <v>2</v>
      </c>
      <c r="C33" s="22">
        <f>1+2+1+1</f>
        <v>5</v>
      </c>
      <c r="D33" s="7">
        <f t="shared" si="5"/>
        <v>7</v>
      </c>
      <c r="E33" s="57">
        <v>45637</v>
      </c>
      <c r="F33" s="1"/>
      <c r="G33" s="3" t="s">
        <v>14</v>
      </c>
      <c r="H33" s="59"/>
      <c r="I33" s="60"/>
      <c r="J33" s="61">
        <f t="shared" ref="J33" si="11">H33+I33</f>
        <v>0</v>
      </c>
      <c r="K33" s="62"/>
    </row>
    <row r="34" spans="1:15" ht="14.25" thickBot="1" x14ac:dyDescent="0.2">
      <c r="A34" s="19" t="s">
        <v>25</v>
      </c>
      <c r="B34" s="6"/>
      <c r="C34" s="22">
        <v>1</v>
      </c>
      <c r="D34" s="7">
        <f t="shared" si="5"/>
        <v>1</v>
      </c>
      <c r="E34" s="57">
        <v>45638</v>
      </c>
      <c r="F34" s="1"/>
      <c r="G34" s="8" t="s">
        <v>15</v>
      </c>
      <c r="H34" s="6"/>
      <c r="I34" s="22"/>
      <c r="J34" s="7">
        <f t="shared" ref="J34" si="12">H34+I34</f>
        <v>0</v>
      </c>
      <c r="K34" s="45" t="s">
        <v>18</v>
      </c>
    </row>
    <row r="35" spans="1:15" ht="14.25" thickBot="1" x14ac:dyDescent="0.2">
      <c r="A35" s="9" t="s">
        <v>3</v>
      </c>
      <c r="B35" s="10">
        <f>SUM(B11:B34)</f>
        <v>54</v>
      </c>
      <c r="C35" s="33">
        <f>SUM(C11:C34)</f>
        <v>84</v>
      </c>
      <c r="D35" s="11">
        <f>SUM(D11:D34)</f>
        <v>138</v>
      </c>
      <c r="E35" s="55"/>
      <c r="F35" s="1"/>
      <c r="G35" s="9" t="s">
        <v>3</v>
      </c>
      <c r="H35" s="10">
        <f>SUM(H11:H34)</f>
        <v>213</v>
      </c>
      <c r="I35" s="33">
        <f>SUM(I11:I34)</f>
        <v>193</v>
      </c>
      <c r="J35" s="11">
        <f>SUM(J11:J34)</f>
        <v>406</v>
      </c>
      <c r="K35" s="64" t="s">
        <v>34</v>
      </c>
      <c r="L35" s="65"/>
      <c r="M35" s="65"/>
      <c r="N35" s="65"/>
      <c r="O35" s="65"/>
    </row>
    <row r="36" spans="1:15" ht="14.25" thickBot="1" x14ac:dyDescent="0.2">
      <c r="A36" s="13" t="s">
        <v>4</v>
      </c>
      <c r="B36" s="14">
        <f>B10-B35</f>
        <v>16</v>
      </c>
      <c r="C36" s="14">
        <f>C10-C35</f>
        <v>11</v>
      </c>
      <c r="D36" s="14">
        <f>D10-D35</f>
        <v>27</v>
      </c>
      <c r="E36" s="58"/>
      <c r="F36" s="1"/>
      <c r="G36" s="13" t="s">
        <v>4</v>
      </c>
      <c r="H36" s="14">
        <f>H10-H35</f>
        <v>1131</v>
      </c>
      <c r="I36" s="14">
        <f>I10-I35</f>
        <v>1312</v>
      </c>
      <c r="J36" s="14">
        <f>J10-J35</f>
        <v>2443</v>
      </c>
      <c r="K36" s="63"/>
    </row>
    <row r="38" spans="1:15" x14ac:dyDescent="0.15">
      <c r="H38" s="1"/>
      <c r="I38" s="1"/>
      <c r="J38" s="1"/>
    </row>
    <row r="39" spans="1:15" ht="19.5" thickBot="1" x14ac:dyDescent="0.25">
      <c r="A39" s="21" t="s">
        <v>10</v>
      </c>
      <c r="B39" s="1"/>
      <c r="C39" s="1"/>
      <c r="D39" s="1"/>
      <c r="E39" s="55"/>
      <c r="F39" s="1"/>
      <c r="G39" s="21" t="s">
        <v>11</v>
      </c>
      <c r="H39" s="1"/>
      <c r="I39" s="49" t="s">
        <v>37</v>
      </c>
      <c r="J39" s="46">
        <v>1780</v>
      </c>
    </row>
    <row r="40" spans="1:15" ht="14.25" thickBot="1" x14ac:dyDescent="0.2">
      <c r="A40" s="2"/>
      <c r="B40" s="47" t="s">
        <v>7</v>
      </c>
      <c r="C40" s="48" t="s">
        <v>8</v>
      </c>
      <c r="D40" s="2" t="s">
        <v>0</v>
      </c>
      <c r="E40" s="56"/>
      <c r="F40" s="1"/>
      <c r="G40" s="2"/>
      <c r="H40" s="47" t="s">
        <v>7</v>
      </c>
      <c r="I40" s="48" t="s">
        <v>8</v>
      </c>
      <c r="J40" s="2" t="s">
        <v>0</v>
      </c>
    </row>
    <row r="41" spans="1:15" x14ac:dyDescent="0.15">
      <c r="A41" s="26" t="s">
        <v>4</v>
      </c>
      <c r="B41" s="29">
        <f>B36</f>
        <v>16</v>
      </c>
      <c r="C41" s="38">
        <f>C36</f>
        <v>11</v>
      </c>
      <c r="D41" s="28">
        <f>B41+C41</f>
        <v>27</v>
      </c>
      <c r="E41" s="55"/>
      <c r="F41" s="1"/>
      <c r="G41" s="12" t="s">
        <v>6</v>
      </c>
      <c r="H41" s="18">
        <f>H36</f>
        <v>1131</v>
      </c>
      <c r="I41" s="18">
        <f>I36</f>
        <v>1312</v>
      </c>
      <c r="J41" s="28">
        <f>H41+I41</f>
        <v>2443</v>
      </c>
    </row>
    <row r="42" spans="1:15" x14ac:dyDescent="0.15">
      <c r="A42" s="3" t="s">
        <v>1</v>
      </c>
      <c r="B42" s="36">
        <v>5</v>
      </c>
      <c r="C42" s="39">
        <v>10</v>
      </c>
      <c r="D42" s="7">
        <f>B42+C42</f>
        <v>15</v>
      </c>
      <c r="E42" s="57">
        <v>45642</v>
      </c>
      <c r="F42" s="1"/>
      <c r="G42" s="4" t="s">
        <v>1</v>
      </c>
      <c r="H42" s="20"/>
      <c r="I42" s="20"/>
      <c r="J42" s="17">
        <f>H42+I42</f>
        <v>0</v>
      </c>
      <c r="K42" s="45"/>
    </row>
    <row r="43" spans="1:15" x14ac:dyDescent="0.15">
      <c r="A43" s="3" t="s">
        <v>1</v>
      </c>
      <c r="B43" s="20">
        <v>5</v>
      </c>
      <c r="C43" s="40">
        <v>15</v>
      </c>
      <c r="D43" s="7">
        <f>B43+C43</f>
        <v>20</v>
      </c>
      <c r="E43" s="57">
        <v>45647</v>
      </c>
      <c r="F43" s="1"/>
      <c r="G43" s="4" t="s">
        <v>42</v>
      </c>
      <c r="H43" s="27">
        <v>67</v>
      </c>
      <c r="I43" s="27">
        <v>37</v>
      </c>
      <c r="J43" s="17">
        <f t="shared" ref="J43:J46" si="13">H43+I43</f>
        <v>104</v>
      </c>
      <c r="K43" s="44">
        <v>45301</v>
      </c>
    </row>
    <row r="44" spans="1:15" x14ac:dyDescent="0.15">
      <c r="A44" s="3" t="s">
        <v>1</v>
      </c>
      <c r="B44" s="37">
        <v>5</v>
      </c>
      <c r="C44" s="1">
        <v>10</v>
      </c>
      <c r="D44" s="7">
        <f t="shared" ref="D44:D46" si="14">B44+C44</f>
        <v>15</v>
      </c>
      <c r="E44" s="57">
        <v>45650</v>
      </c>
      <c r="F44" s="1"/>
      <c r="G44" s="4" t="s">
        <v>1</v>
      </c>
      <c r="H44" s="22"/>
      <c r="I44" s="22"/>
      <c r="J44" s="17">
        <f t="shared" si="13"/>
        <v>0</v>
      </c>
      <c r="K44" s="44"/>
    </row>
    <row r="45" spans="1:15" x14ac:dyDescent="0.15">
      <c r="A45" s="3" t="s">
        <v>1</v>
      </c>
      <c r="B45" s="34"/>
      <c r="C45" s="41">
        <v>10</v>
      </c>
      <c r="D45" s="7">
        <f t="shared" si="14"/>
        <v>10</v>
      </c>
      <c r="E45" s="57">
        <v>45664</v>
      </c>
      <c r="F45" s="1"/>
      <c r="G45" s="4" t="s">
        <v>1</v>
      </c>
      <c r="H45" s="23"/>
      <c r="I45" s="23"/>
      <c r="J45" s="17">
        <f t="shared" si="13"/>
        <v>0</v>
      </c>
      <c r="K45" s="45"/>
    </row>
    <row r="46" spans="1:15" ht="14.25" thickBot="1" x14ac:dyDescent="0.2">
      <c r="A46" s="3" t="s">
        <v>1</v>
      </c>
      <c r="B46" s="42">
        <v>10</v>
      </c>
      <c r="C46" s="15">
        <v>10</v>
      </c>
      <c r="D46" s="17">
        <f t="shared" si="14"/>
        <v>20</v>
      </c>
      <c r="E46" s="57">
        <v>45668</v>
      </c>
      <c r="F46" s="1"/>
      <c r="G46" s="4" t="s">
        <v>1</v>
      </c>
      <c r="H46" s="23"/>
      <c r="I46" s="23"/>
      <c r="J46" s="17">
        <f t="shared" si="13"/>
        <v>0</v>
      </c>
      <c r="K46" s="44"/>
    </row>
    <row r="47" spans="1:15" ht="14.25" thickBot="1" x14ac:dyDescent="0.2">
      <c r="A47" s="13" t="s">
        <v>2</v>
      </c>
      <c r="B47" s="16">
        <f>SUM(B41:B46)</f>
        <v>41</v>
      </c>
      <c r="C47" s="32">
        <f>SUM(C41:C46)</f>
        <v>66</v>
      </c>
      <c r="D47" s="30">
        <f>B47+C47</f>
        <v>107</v>
      </c>
      <c r="E47" s="58"/>
      <c r="F47" s="1"/>
      <c r="G47" s="13" t="s">
        <v>2</v>
      </c>
      <c r="H47" s="14">
        <f>SUM(H41:H46)</f>
        <v>1198</v>
      </c>
      <c r="I47" s="35">
        <f>SUM(I41:I46)</f>
        <v>1349</v>
      </c>
      <c r="J47" s="30">
        <f>H47+I47</f>
        <v>2547</v>
      </c>
      <c r="K47" s="45"/>
    </row>
    <row r="48" spans="1:15" x14ac:dyDescent="0.15">
      <c r="A48" s="19" t="s">
        <v>25</v>
      </c>
      <c r="B48" s="6"/>
      <c r="C48" s="22">
        <v>1</v>
      </c>
      <c r="D48" s="7">
        <f t="shared" ref="D48:D67" si="15">B48+C48</f>
        <v>1</v>
      </c>
      <c r="E48" s="57">
        <v>45639</v>
      </c>
      <c r="F48" s="1"/>
      <c r="G48" s="8" t="s">
        <v>41</v>
      </c>
      <c r="H48" s="6">
        <v>100</v>
      </c>
      <c r="I48" s="22">
        <v>40</v>
      </c>
      <c r="J48" s="7">
        <f>H48+I48</f>
        <v>140</v>
      </c>
      <c r="K48" s="44">
        <v>45645</v>
      </c>
    </row>
    <row r="49" spans="1:13" x14ac:dyDescent="0.15">
      <c r="A49" s="8" t="s">
        <v>40</v>
      </c>
      <c r="B49" s="6">
        <v>1</v>
      </c>
      <c r="C49" s="22">
        <v>1</v>
      </c>
      <c r="D49" s="7">
        <f t="shared" si="15"/>
        <v>2</v>
      </c>
      <c r="E49" s="57">
        <v>45642</v>
      </c>
      <c r="F49" s="1"/>
      <c r="G49" s="25" t="s">
        <v>45</v>
      </c>
      <c r="H49" s="6">
        <v>20</v>
      </c>
      <c r="I49" s="22"/>
      <c r="J49" s="7">
        <f>H49+I49</f>
        <v>20</v>
      </c>
      <c r="K49" s="44">
        <v>45646</v>
      </c>
    </row>
    <row r="50" spans="1:13" x14ac:dyDescent="0.15">
      <c r="A50" s="19" t="s">
        <v>25</v>
      </c>
      <c r="B50" s="6">
        <v>2</v>
      </c>
      <c r="C50" s="22">
        <v>4</v>
      </c>
      <c r="D50" s="7">
        <f t="shared" si="15"/>
        <v>6</v>
      </c>
      <c r="E50" s="57">
        <v>45642</v>
      </c>
      <c r="F50" s="1"/>
      <c r="G50" s="8" t="s">
        <v>23</v>
      </c>
      <c r="H50" s="6">
        <v>5</v>
      </c>
      <c r="I50" s="22">
        <v>15</v>
      </c>
      <c r="J50" s="7">
        <f>H50+I50</f>
        <v>20</v>
      </c>
      <c r="K50" s="44">
        <v>45647</v>
      </c>
      <c r="L50" s="54"/>
      <c r="M50" s="54"/>
    </row>
    <row r="51" spans="1:13" x14ac:dyDescent="0.15">
      <c r="A51" s="19" t="s">
        <v>25</v>
      </c>
      <c r="B51" s="6">
        <v>1</v>
      </c>
      <c r="C51" s="22">
        <v>2</v>
      </c>
      <c r="D51" s="7">
        <f t="shared" si="15"/>
        <v>3</v>
      </c>
      <c r="E51" s="57">
        <v>45644</v>
      </c>
      <c r="F51" s="1"/>
      <c r="G51" s="8" t="s">
        <v>23</v>
      </c>
      <c r="H51" s="6">
        <v>5</v>
      </c>
      <c r="I51" s="22">
        <v>10</v>
      </c>
      <c r="J51" s="7">
        <f t="shared" ref="J51:J53" si="16">H51+I51</f>
        <v>15</v>
      </c>
      <c r="K51" s="44">
        <v>45650</v>
      </c>
      <c r="L51" s="54"/>
      <c r="M51" s="54"/>
    </row>
    <row r="52" spans="1:13" x14ac:dyDescent="0.15">
      <c r="A52" s="19" t="s">
        <v>25</v>
      </c>
      <c r="B52" s="6"/>
      <c r="C52" s="22">
        <v>3</v>
      </c>
      <c r="D52" s="7">
        <f t="shared" si="15"/>
        <v>3</v>
      </c>
      <c r="E52" s="57">
        <v>45645</v>
      </c>
      <c r="F52" s="1"/>
      <c r="G52" s="8" t="s">
        <v>23</v>
      </c>
      <c r="H52" s="6"/>
      <c r="I52" s="22">
        <v>10</v>
      </c>
      <c r="J52" s="7">
        <f t="shared" si="16"/>
        <v>10</v>
      </c>
      <c r="K52" s="44">
        <v>45664</v>
      </c>
      <c r="L52" s="54"/>
      <c r="M52" s="54"/>
    </row>
    <row r="53" spans="1:13" x14ac:dyDescent="0.15">
      <c r="A53" s="19" t="s">
        <v>25</v>
      </c>
      <c r="B53" s="6">
        <f>2+1</f>
        <v>3</v>
      </c>
      <c r="C53" s="22">
        <f>5+1</f>
        <v>6</v>
      </c>
      <c r="D53" s="7">
        <f t="shared" si="15"/>
        <v>9</v>
      </c>
      <c r="E53" s="57">
        <v>45646</v>
      </c>
      <c r="F53" s="1"/>
      <c r="G53" s="8" t="s">
        <v>23</v>
      </c>
      <c r="H53" s="6">
        <v>10</v>
      </c>
      <c r="I53" s="22">
        <v>10</v>
      </c>
      <c r="J53" s="7">
        <f t="shared" si="16"/>
        <v>20</v>
      </c>
      <c r="K53" s="44">
        <v>45668</v>
      </c>
      <c r="L53" s="54"/>
      <c r="M53" s="54"/>
    </row>
    <row r="54" spans="1:13" x14ac:dyDescent="0.15">
      <c r="A54" s="19" t="s">
        <v>25</v>
      </c>
      <c r="B54" s="6"/>
      <c r="C54" s="22">
        <v>2</v>
      </c>
      <c r="D54" s="7">
        <f t="shared" si="15"/>
        <v>2</v>
      </c>
      <c r="E54" s="57">
        <v>45647</v>
      </c>
      <c r="F54" s="1"/>
      <c r="G54" s="8" t="s">
        <v>23</v>
      </c>
      <c r="H54" s="6">
        <v>5</v>
      </c>
      <c r="I54" s="22">
        <v>15</v>
      </c>
      <c r="J54" s="7">
        <f>H54+I54</f>
        <v>20</v>
      </c>
      <c r="K54" s="44">
        <v>45681</v>
      </c>
      <c r="L54" s="54"/>
    </row>
    <row r="55" spans="1:13" x14ac:dyDescent="0.15">
      <c r="A55" s="19" t="s">
        <v>25</v>
      </c>
      <c r="B55" s="6">
        <f>1+2+1</f>
        <v>4</v>
      </c>
      <c r="C55" s="22">
        <f>3+2+1</f>
        <v>6</v>
      </c>
      <c r="D55" s="7">
        <f t="shared" si="15"/>
        <v>10</v>
      </c>
      <c r="E55" s="57">
        <v>45649</v>
      </c>
      <c r="F55" s="1"/>
      <c r="G55" s="8"/>
      <c r="H55" s="6"/>
      <c r="I55" s="22"/>
      <c r="J55" s="7">
        <f t="shared" ref="J55" si="17">H55+I55</f>
        <v>0</v>
      </c>
      <c r="K55" s="44"/>
    </row>
    <row r="56" spans="1:13" x14ac:dyDescent="0.15">
      <c r="A56" s="19" t="s">
        <v>25</v>
      </c>
      <c r="B56" s="6">
        <v>1</v>
      </c>
      <c r="C56" s="22">
        <v>1</v>
      </c>
      <c r="D56" s="7">
        <f t="shared" si="15"/>
        <v>2</v>
      </c>
      <c r="E56" s="57">
        <v>45651</v>
      </c>
      <c r="F56" s="1"/>
      <c r="G56" s="8"/>
      <c r="H56" s="6"/>
      <c r="I56" s="22"/>
      <c r="J56" s="7">
        <f t="shared" ref="J56:J66" si="18">H56+I56</f>
        <v>0</v>
      </c>
      <c r="K56" s="44"/>
    </row>
    <row r="57" spans="1:13" x14ac:dyDescent="0.15">
      <c r="A57" s="19" t="s">
        <v>25</v>
      </c>
      <c r="B57" s="6">
        <v>1</v>
      </c>
      <c r="C57" s="22">
        <v>2</v>
      </c>
      <c r="D57" s="7">
        <f t="shared" si="15"/>
        <v>3</v>
      </c>
      <c r="E57" s="57">
        <v>45652</v>
      </c>
      <c r="F57" s="1"/>
      <c r="G57" s="5"/>
      <c r="H57" s="6"/>
      <c r="I57" s="22"/>
      <c r="J57" s="7">
        <f t="shared" si="18"/>
        <v>0</v>
      </c>
      <c r="K57" s="44"/>
    </row>
    <row r="58" spans="1:13" x14ac:dyDescent="0.15">
      <c r="A58" s="19" t="s">
        <v>25</v>
      </c>
      <c r="B58" s="6"/>
      <c r="C58" s="22">
        <v>1</v>
      </c>
      <c r="D58" s="7">
        <f t="shared" si="15"/>
        <v>1</v>
      </c>
      <c r="E58" s="57">
        <v>45653</v>
      </c>
      <c r="F58" s="1"/>
      <c r="G58" s="5"/>
      <c r="H58" s="6"/>
      <c r="I58" s="22"/>
      <c r="J58" s="7">
        <f t="shared" si="18"/>
        <v>0</v>
      </c>
      <c r="K58" s="44"/>
    </row>
    <row r="59" spans="1:13" x14ac:dyDescent="0.15">
      <c r="A59" s="19" t="s">
        <v>25</v>
      </c>
      <c r="B59" s="6">
        <v>2</v>
      </c>
      <c r="C59" s="22">
        <f>1+7</f>
        <v>8</v>
      </c>
      <c r="D59" s="7">
        <f t="shared" si="15"/>
        <v>10</v>
      </c>
      <c r="E59" s="57">
        <v>45663</v>
      </c>
      <c r="F59" s="1"/>
      <c r="G59" s="5"/>
      <c r="H59" s="6"/>
      <c r="I59" s="22"/>
      <c r="J59" s="7">
        <f t="shared" si="18"/>
        <v>0</v>
      </c>
    </row>
    <row r="60" spans="1:13" x14ac:dyDescent="0.15">
      <c r="A60" s="19" t="s">
        <v>46</v>
      </c>
      <c r="B60" s="6">
        <v>3</v>
      </c>
      <c r="C60" s="22">
        <v>3</v>
      </c>
      <c r="D60" s="7">
        <f t="shared" si="15"/>
        <v>6</v>
      </c>
      <c r="E60" s="57">
        <v>45666</v>
      </c>
      <c r="F60" s="1"/>
      <c r="G60" s="8"/>
      <c r="H60" s="6"/>
      <c r="I60" s="22"/>
      <c r="J60" s="7">
        <f t="shared" si="18"/>
        <v>0</v>
      </c>
    </row>
    <row r="61" spans="1:13" x14ac:dyDescent="0.15">
      <c r="A61" s="8" t="s">
        <v>47</v>
      </c>
      <c r="B61" s="6">
        <v>3</v>
      </c>
      <c r="C61" s="22">
        <v>3</v>
      </c>
      <c r="D61" s="7">
        <f t="shared" si="15"/>
        <v>6</v>
      </c>
      <c r="E61" s="57">
        <v>45668</v>
      </c>
      <c r="F61" s="1"/>
      <c r="G61" s="5"/>
      <c r="H61" s="6"/>
      <c r="I61" s="22"/>
      <c r="J61" s="7">
        <f t="shared" si="18"/>
        <v>0</v>
      </c>
    </row>
    <row r="62" spans="1:13" x14ac:dyDescent="0.15">
      <c r="A62" s="19" t="s">
        <v>25</v>
      </c>
      <c r="B62" s="6">
        <v>1</v>
      </c>
      <c r="C62" s="22">
        <f>1+1</f>
        <v>2</v>
      </c>
      <c r="D62" s="7">
        <f t="shared" si="15"/>
        <v>3</v>
      </c>
      <c r="E62" s="57">
        <v>45667</v>
      </c>
      <c r="F62" s="1"/>
      <c r="G62" s="8"/>
      <c r="H62" s="6"/>
      <c r="I62" s="22"/>
      <c r="J62" s="7">
        <f t="shared" si="18"/>
        <v>0</v>
      </c>
    </row>
    <row r="63" spans="1:13" x14ac:dyDescent="0.15">
      <c r="A63" s="19" t="s">
        <v>25</v>
      </c>
      <c r="B63" s="6">
        <v>1</v>
      </c>
      <c r="C63" s="22">
        <v>2</v>
      </c>
      <c r="D63" s="7">
        <f t="shared" si="15"/>
        <v>3</v>
      </c>
      <c r="E63" s="57">
        <v>45668</v>
      </c>
      <c r="F63" s="1"/>
      <c r="G63" s="8"/>
      <c r="H63" s="6"/>
      <c r="I63" s="22"/>
      <c r="J63" s="7">
        <f t="shared" si="18"/>
        <v>0</v>
      </c>
    </row>
    <row r="64" spans="1:13" x14ac:dyDescent="0.15">
      <c r="A64" s="19" t="s">
        <v>25</v>
      </c>
      <c r="B64" s="6"/>
      <c r="C64" s="22">
        <v>1</v>
      </c>
      <c r="D64" s="7">
        <f t="shared" si="15"/>
        <v>1</v>
      </c>
      <c r="E64" s="57">
        <v>45673</v>
      </c>
      <c r="F64" s="1"/>
      <c r="G64" s="31"/>
      <c r="H64" s="6"/>
      <c r="I64" s="22"/>
      <c r="J64" s="7">
        <f t="shared" si="18"/>
        <v>0</v>
      </c>
      <c r="K64" s="45"/>
    </row>
    <row r="65" spans="1:11" x14ac:dyDescent="0.15">
      <c r="A65" s="19" t="s">
        <v>25</v>
      </c>
      <c r="B65" s="6">
        <v>1</v>
      </c>
      <c r="C65" s="22"/>
      <c r="D65" s="7">
        <f t="shared" si="15"/>
        <v>1</v>
      </c>
      <c r="E65" s="57">
        <v>45674</v>
      </c>
      <c r="F65" s="1"/>
      <c r="G65" s="5"/>
      <c r="H65" s="6"/>
      <c r="I65" s="22"/>
      <c r="J65" s="7">
        <f t="shared" si="18"/>
        <v>0</v>
      </c>
      <c r="K65" s="44"/>
    </row>
    <row r="66" spans="1:11" x14ac:dyDescent="0.15">
      <c r="A66" s="19" t="s">
        <v>25</v>
      </c>
      <c r="B66" s="6">
        <v>1</v>
      </c>
      <c r="C66" s="22">
        <v>2</v>
      </c>
      <c r="D66" s="7">
        <f t="shared" si="15"/>
        <v>3</v>
      </c>
      <c r="E66" s="57">
        <v>45677</v>
      </c>
      <c r="F66" s="1"/>
      <c r="G66" s="8"/>
      <c r="H66" s="6"/>
      <c r="I66" s="22"/>
      <c r="J66" s="7">
        <f t="shared" si="18"/>
        <v>0</v>
      </c>
      <c r="K66" s="45"/>
    </row>
    <row r="67" spans="1:11" x14ac:dyDescent="0.15">
      <c r="A67" s="8" t="s">
        <v>47</v>
      </c>
      <c r="B67" s="6"/>
      <c r="C67" s="22">
        <v>3</v>
      </c>
      <c r="D67" s="7">
        <f t="shared" si="15"/>
        <v>3</v>
      </c>
      <c r="E67" s="57">
        <v>45678</v>
      </c>
      <c r="F67" s="1"/>
      <c r="G67" s="8"/>
      <c r="H67" s="6"/>
      <c r="I67" s="22"/>
      <c r="J67" s="7">
        <f t="shared" ref="J67:J71" si="19">H67+I67</f>
        <v>0</v>
      </c>
      <c r="K67" s="45"/>
    </row>
    <row r="68" spans="1:11" x14ac:dyDescent="0.15">
      <c r="A68" s="19" t="s">
        <v>25</v>
      </c>
      <c r="B68" s="6">
        <v>1</v>
      </c>
      <c r="C68" s="22">
        <v>6</v>
      </c>
      <c r="D68" s="7">
        <f t="shared" ref="D68:D71" si="20">B68+C68</f>
        <v>7</v>
      </c>
      <c r="E68" s="57">
        <v>45680</v>
      </c>
      <c r="F68" s="1"/>
      <c r="G68" s="8"/>
      <c r="H68" s="6"/>
      <c r="I68" s="22"/>
      <c r="J68" s="7">
        <f t="shared" si="19"/>
        <v>0</v>
      </c>
      <c r="K68" s="45"/>
    </row>
    <row r="69" spans="1:11" x14ac:dyDescent="0.15">
      <c r="A69" s="19" t="s">
        <v>25</v>
      </c>
      <c r="B69" s="6">
        <v>1</v>
      </c>
      <c r="C69" s="22"/>
      <c r="D69" s="7">
        <f t="shared" si="20"/>
        <v>1</v>
      </c>
      <c r="E69" s="57">
        <v>45681</v>
      </c>
      <c r="F69" s="1"/>
      <c r="G69" s="8"/>
      <c r="H69" s="6"/>
      <c r="I69" s="22"/>
      <c r="J69" s="7">
        <f t="shared" si="19"/>
        <v>0</v>
      </c>
      <c r="K69" s="45"/>
    </row>
    <row r="70" spans="1:11" x14ac:dyDescent="0.15">
      <c r="A70" s="19" t="s">
        <v>25</v>
      </c>
      <c r="B70" s="6">
        <f>2+2</f>
        <v>4</v>
      </c>
      <c r="C70" s="22">
        <v>1</v>
      </c>
      <c r="D70" s="7">
        <f t="shared" si="20"/>
        <v>5</v>
      </c>
      <c r="E70" s="57">
        <v>45684</v>
      </c>
      <c r="F70" s="1"/>
      <c r="G70" s="8"/>
      <c r="H70" s="6"/>
      <c r="I70" s="22"/>
      <c r="J70" s="7">
        <f t="shared" si="19"/>
        <v>0</v>
      </c>
      <c r="K70" s="45"/>
    </row>
    <row r="71" spans="1:11" ht="14.25" thickBot="1" x14ac:dyDescent="0.2">
      <c r="A71" s="19" t="s">
        <v>25</v>
      </c>
      <c r="B71" s="6"/>
      <c r="C71" s="22">
        <v>3</v>
      </c>
      <c r="D71" s="7">
        <f t="shared" si="20"/>
        <v>3</v>
      </c>
      <c r="E71" s="57">
        <v>45687</v>
      </c>
      <c r="F71" s="1"/>
      <c r="G71" s="8"/>
      <c r="H71" s="6"/>
      <c r="I71" s="22"/>
      <c r="J71" s="7">
        <f t="shared" si="19"/>
        <v>0</v>
      </c>
      <c r="K71" s="45"/>
    </row>
    <row r="72" spans="1:11" ht="14.25" thickBot="1" x14ac:dyDescent="0.2">
      <c r="A72" s="9" t="s">
        <v>3</v>
      </c>
      <c r="B72" s="10">
        <f>SUM(B48:B71)</f>
        <v>31</v>
      </c>
      <c r="C72" s="33">
        <f>SUM(C48:C71)</f>
        <v>63</v>
      </c>
      <c r="D72" s="11">
        <f>SUM(D48:D71)</f>
        <v>94</v>
      </c>
      <c r="E72" s="55"/>
      <c r="F72" s="1"/>
      <c r="G72" s="9" t="s">
        <v>3</v>
      </c>
      <c r="H72" s="10">
        <f>SUM(H48:H71)</f>
        <v>145</v>
      </c>
      <c r="I72" s="33">
        <f>SUM(I48:I71)</f>
        <v>100</v>
      </c>
      <c r="J72" s="11">
        <f>SUM(J48:J71)</f>
        <v>245</v>
      </c>
    </row>
    <row r="73" spans="1:11" ht="14.25" thickBot="1" x14ac:dyDescent="0.2">
      <c r="A73" s="13" t="s">
        <v>4</v>
      </c>
      <c r="B73" s="14">
        <f>B47-B72</f>
        <v>10</v>
      </c>
      <c r="C73" s="14">
        <f>C47-C72</f>
        <v>3</v>
      </c>
      <c r="D73" s="14">
        <f>D47-D72</f>
        <v>13</v>
      </c>
      <c r="E73" s="58"/>
      <c r="F73" s="1"/>
      <c r="G73" s="13" t="s">
        <v>4</v>
      </c>
      <c r="H73" s="14">
        <f>H47-H72</f>
        <v>1053</v>
      </c>
      <c r="I73" s="14">
        <f>I47-I72</f>
        <v>1249</v>
      </c>
      <c r="J73" s="30">
        <f>J47-J72</f>
        <v>2302</v>
      </c>
    </row>
    <row r="76" spans="1:11" ht="19.5" thickBot="1" x14ac:dyDescent="0.25">
      <c r="A76" s="21" t="s">
        <v>10</v>
      </c>
      <c r="B76" s="1"/>
      <c r="C76" s="1"/>
      <c r="D76" s="1"/>
      <c r="E76" s="55"/>
      <c r="F76" s="1"/>
      <c r="G76" s="21" t="s">
        <v>11</v>
      </c>
      <c r="H76" s="1"/>
      <c r="I76" s="49" t="s">
        <v>37</v>
      </c>
      <c r="J76" s="46">
        <v>1780</v>
      </c>
    </row>
    <row r="77" spans="1:11" ht="14.25" thickBot="1" x14ac:dyDescent="0.2">
      <c r="A77" s="2"/>
      <c r="B77" s="47" t="s">
        <v>7</v>
      </c>
      <c r="C77" s="48" t="s">
        <v>8</v>
      </c>
      <c r="D77" s="2" t="s">
        <v>0</v>
      </c>
      <c r="E77" s="56"/>
      <c r="F77" s="1"/>
      <c r="G77" s="2"/>
      <c r="H77" s="47" t="s">
        <v>7</v>
      </c>
      <c r="I77" s="48" t="s">
        <v>8</v>
      </c>
      <c r="J77" s="2" t="s">
        <v>0</v>
      </c>
    </row>
    <row r="78" spans="1:11" x14ac:dyDescent="0.15">
      <c r="A78" s="26" t="s">
        <v>4</v>
      </c>
      <c r="B78" s="29">
        <f>B73</f>
        <v>10</v>
      </c>
      <c r="C78" s="38">
        <f>C73</f>
        <v>3</v>
      </c>
      <c r="D78" s="28">
        <f>B78+C78</f>
        <v>13</v>
      </c>
      <c r="E78" s="55"/>
      <c r="F78" s="1"/>
      <c r="G78" s="12" t="s">
        <v>6</v>
      </c>
      <c r="H78" s="18">
        <f>H73</f>
        <v>1053</v>
      </c>
      <c r="I78" s="18">
        <f>I73</f>
        <v>1249</v>
      </c>
      <c r="J78" s="28">
        <f>H78+I78</f>
        <v>2302</v>
      </c>
    </row>
    <row r="79" spans="1:11" x14ac:dyDescent="0.15">
      <c r="A79" s="3" t="s">
        <v>1</v>
      </c>
      <c r="B79" s="36">
        <v>5</v>
      </c>
      <c r="C79" s="39">
        <v>15</v>
      </c>
      <c r="D79" s="7">
        <f>B79+C79</f>
        <v>20</v>
      </c>
      <c r="E79" s="57">
        <v>45681</v>
      </c>
      <c r="F79" s="1"/>
      <c r="G79" s="4" t="s">
        <v>1</v>
      </c>
      <c r="H79" s="20"/>
      <c r="I79" s="20"/>
      <c r="J79" s="17">
        <f>H79+I79</f>
        <v>0</v>
      </c>
    </row>
    <row r="80" spans="1:11" x14ac:dyDescent="0.15">
      <c r="A80" s="3" t="s">
        <v>1</v>
      </c>
      <c r="B80" s="20">
        <v>15</v>
      </c>
      <c r="C80" s="40">
        <v>10</v>
      </c>
      <c r="D80" s="7">
        <f>B80+C80</f>
        <v>25</v>
      </c>
      <c r="E80" s="57">
        <v>45686</v>
      </c>
      <c r="F80" s="1"/>
      <c r="G80" s="4" t="s">
        <v>1</v>
      </c>
      <c r="H80" s="27"/>
      <c r="I80" s="27"/>
      <c r="J80" s="17">
        <f t="shared" ref="J80:J83" si="21">H80+I80</f>
        <v>0</v>
      </c>
    </row>
    <row r="81" spans="1:12" x14ac:dyDescent="0.15">
      <c r="A81" s="3" t="s">
        <v>1</v>
      </c>
      <c r="B81" s="37">
        <v>20</v>
      </c>
      <c r="C81" s="1">
        <v>20</v>
      </c>
      <c r="D81" s="7">
        <f t="shared" ref="D81:D83" si="22">B81+C81</f>
        <v>40</v>
      </c>
      <c r="E81" s="57">
        <v>45692</v>
      </c>
      <c r="F81" s="1"/>
      <c r="G81" s="4" t="s">
        <v>1</v>
      </c>
      <c r="H81" s="22"/>
      <c r="I81" s="22"/>
      <c r="J81" s="17">
        <f t="shared" si="21"/>
        <v>0</v>
      </c>
    </row>
    <row r="82" spans="1:12" x14ac:dyDescent="0.15">
      <c r="A82" s="3" t="s">
        <v>1</v>
      </c>
      <c r="B82" s="34">
        <v>5</v>
      </c>
      <c r="C82" s="41">
        <v>5</v>
      </c>
      <c r="D82" s="7">
        <f t="shared" si="22"/>
        <v>10</v>
      </c>
      <c r="E82" s="57">
        <v>45693</v>
      </c>
      <c r="F82" s="1"/>
      <c r="G82" s="4" t="s">
        <v>1</v>
      </c>
      <c r="H82" s="23"/>
      <c r="I82" s="23"/>
      <c r="J82" s="17">
        <f t="shared" si="21"/>
        <v>0</v>
      </c>
    </row>
    <row r="83" spans="1:12" ht="14.25" thickBot="1" x14ac:dyDescent="0.2">
      <c r="A83" s="3" t="s">
        <v>1</v>
      </c>
      <c r="B83" s="42">
        <v>5</v>
      </c>
      <c r="C83" s="15">
        <v>10</v>
      </c>
      <c r="D83" s="17">
        <f t="shared" si="22"/>
        <v>15</v>
      </c>
      <c r="E83" s="57">
        <v>45707</v>
      </c>
      <c r="F83" s="1"/>
      <c r="G83" s="4" t="s">
        <v>1</v>
      </c>
      <c r="H83" s="23"/>
      <c r="I83" s="23"/>
      <c r="J83" s="17">
        <f t="shared" si="21"/>
        <v>0</v>
      </c>
    </row>
    <row r="84" spans="1:12" ht="14.25" thickBot="1" x14ac:dyDescent="0.2">
      <c r="A84" s="13" t="s">
        <v>2</v>
      </c>
      <c r="B84" s="16">
        <f>SUM(B78:B83)</f>
        <v>60</v>
      </c>
      <c r="C84" s="32">
        <f>SUM(C78:C83)</f>
        <v>63</v>
      </c>
      <c r="D84" s="30">
        <f>B84+C84</f>
        <v>123</v>
      </c>
      <c r="E84" s="58"/>
      <c r="F84" s="1"/>
      <c r="G84" s="13" t="s">
        <v>2</v>
      </c>
      <c r="H84" s="14">
        <f>SUM(H78:H83)</f>
        <v>1053</v>
      </c>
      <c r="I84" s="35">
        <f>SUM(I78:I83)</f>
        <v>1249</v>
      </c>
      <c r="J84" s="30">
        <f>H84+I84</f>
        <v>2302</v>
      </c>
    </row>
    <row r="85" spans="1:12" x14ac:dyDescent="0.15">
      <c r="A85" s="5" t="s">
        <v>47</v>
      </c>
      <c r="B85" s="6">
        <v>10</v>
      </c>
      <c r="C85" s="22">
        <v>10</v>
      </c>
      <c r="D85" s="7">
        <f t="shared" ref="D85" si="23">B85+C85</f>
        <v>20</v>
      </c>
      <c r="E85" s="57">
        <v>45686</v>
      </c>
      <c r="F85" s="1"/>
      <c r="G85" s="8" t="s">
        <v>23</v>
      </c>
      <c r="H85" s="6">
        <v>15</v>
      </c>
      <c r="I85" s="22">
        <v>10</v>
      </c>
      <c r="J85" s="7">
        <f>H85+I85</f>
        <v>25</v>
      </c>
      <c r="K85" s="44">
        <v>45686</v>
      </c>
    </row>
    <row r="86" spans="1:12" x14ac:dyDescent="0.15">
      <c r="A86" s="8" t="s">
        <v>63</v>
      </c>
      <c r="B86" s="6">
        <v>1</v>
      </c>
      <c r="C86" s="22">
        <v>1</v>
      </c>
      <c r="D86" s="7">
        <f t="shared" ref="D86:D108" si="24">B86+C86</f>
        <v>2</v>
      </c>
      <c r="E86" s="57">
        <v>45678</v>
      </c>
      <c r="F86" s="1"/>
      <c r="G86" s="8" t="s">
        <v>23</v>
      </c>
      <c r="H86" s="6">
        <v>20</v>
      </c>
      <c r="I86" s="22">
        <v>20</v>
      </c>
      <c r="J86" s="7">
        <f>H86+I86</f>
        <v>40</v>
      </c>
      <c r="K86" s="44">
        <v>45692</v>
      </c>
      <c r="L86" s="54"/>
    </row>
    <row r="87" spans="1:12" x14ac:dyDescent="0.15">
      <c r="A87" s="67" t="s">
        <v>48</v>
      </c>
      <c r="B87" s="6">
        <v>20</v>
      </c>
      <c r="C87" s="22">
        <v>20</v>
      </c>
      <c r="D87" s="7">
        <f t="shared" si="24"/>
        <v>40</v>
      </c>
      <c r="E87" s="57">
        <v>45693</v>
      </c>
      <c r="F87" s="1"/>
      <c r="G87" s="19" t="s">
        <v>50</v>
      </c>
      <c r="H87" s="6">
        <v>7</v>
      </c>
      <c r="I87" s="22">
        <v>7</v>
      </c>
      <c r="J87" s="7">
        <f t="shared" ref="J87:J103" si="25">H87+I87</f>
        <v>14</v>
      </c>
      <c r="K87" s="44">
        <v>45695</v>
      </c>
      <c r="L87" s="54"/>
    </row>
    <row r="88" spans="1:12" x14ac:dyDescent="0.15">
      <c r="A88" s="19" t="s">
        <v>25</v>
      </c>
      <c r="B88" s="6"/>
      <c r="C88" s="22">
        <v>1</v>
      </c>
      <c r="D88" s="7">
        <f t="shared" si="24"/>
        <v>1</v>
      </c>
      <c r="E88" s="57">
        <v>45692</v>
      </c>
      <c r="F88" s="1"/>
      <c r="G88" s="19" t="s">
        <v>51</v>
      </c>
      <c r="H88" s="6">
        <v>4</v>
      </c>
      <c r="I88" s="22">
        <v>4</v>
      </c>
      <c r="J88" s="7">
        <f t="shared" si="25"/>
        <v>8</v>
      </c>
      <c r="K88" s="44">
        <v>45700</v>
      </c>
      <c r="L88" s="54"/>
    </row>
    <row r="89" spans="1:12" x14ac:dyDescent="0.15">
      <c r="A89" s="19" t="s">
        <v>49</v>
      </c>
      <c r="B89" s="6">
        <v>1</v>
      </c>
      <c r="C89" s="22">
        <v>1</v>
      </c>
      <c r="D89" s="7">
        <f t="shared" si="24"/>
        <v>2</v>
      </c>
      <c r="E89" s="57">
        <v>45693</v>
      </c>
      <c r="F89" s="1"/>
      <c r="G89" s="8" t="s">
        <v>23</v>
      </c>
      <c r="H89" s="6">
        <v>5</v>
      </c>
      <c r="I89" s="22">
        <v>5</v>
      </c>
      <c r="J89" s="7">
        <f t="shared" si="25"/>
        <v>10</v>
      </c>
      <c r="K89" s="44">
        <v>45693</v>
      </c>
      <c r="L89" s="54"/>
    </row>
    <row r="90" spans="1:12" x14ac:dyDescent="0.15">
      <c r="A90" s="19" t="s">
        <v>25</v>
      </c>
      <c r="B90" s="6"/>
      <c r="C90" s="22">
        <v>1</v>
      </c>
      <c r="D90" s="7">
        <f t="shared" si="24"/>
        <v>1</v>
      </c>
      <c r="E90" s="57">
        <v>45693</v>
      </c>
      <c r="F90" s="1"/>
      <c r="G90" s="8" t="s">
        <v>23</v>
      </c>
      <c r="H90" s="6">
        <v>5</v>
      </c>
      <c r="I90" s="22">
        <v>10</v>
      </c>
      <c r="J90" s="7">
        <f t="shared" si="25"/>
        <v>15</v>
      </c>
      <c r="K90" s="44">
        <v>45707</v>
      </c>
      <c r="L90" s="54"/>
    </row>
    <row r="91" spans="1:12" x14ac:dyDescent="0.15">
      <c r="A91" s="19" t="s">
        <v>25</v>
      </c>
      <c r="B91" s="6">
        <f>1+1</f>
        <v>2</v>
      </c>
      <c r="C91" s="22"/>
      <c r="D91" s="7">
        <f t="shared" si="24"/>
        <v>2</v>
      </c>
      <c r="E91" s="57">
        <v>45694</v>
      </c>
      <c r="F91" s="1"/>
      <c r="G91" s="8" t="s">
        <v>23</v>
      </c>
      <c r="H91" s="6">
        <v>40</v>
      </c>
      <c r="I91" s="22">
        <v>10</v>
      </c>
      <c r="J91" s="7">
        <f t="shared" si="25"/>
        <v>50</v>
      </c>
      <c r="K91" s="44">
        <v>45715</v>
      </c>
      <c r="L91" s="54"/>
    </row>
    <row r="92" spans="1:12" x14ac:dyDescent="0.15">
      <c r="A92" s="19" t="s">
        <v>25</v>
      </c>
      <c r="B92" s="6">
        <v>1</v>
      </c>
      <c r="C92" s="22"/>
      <c r="D92" s="7">
        <f t="shared" si="24"/>
        <v>1</v>
      </c>
      <c r="E92" s="57">
        <v>45700</v>
      </c>
      <c r="F92" s="1"/>
      <c r="G92" s="8" t="s">
        <v>23</v>
      </c>
      <c r="H92" s="6"/>
      <c r="I92" s="22">
        <v>10</v>
      </c>
      <c r="J92" s="7">
        <f t="shared" si="25"/>
        <v>10</v>
      </c>
      <c r="K92" s="44">
        <v>45722</v>
      </c>
      <c r="L92" s="54"/>
    </row>
    <row r="93" spans="1:12" x14ac:dyDescent="0.15">
      <c r="A93" s="19" t="s">
        <v>52</v>
      </c>
      <c r="B93" s="6">
        <v>1</v>
      </c>
      <c r="C93" s="22">
        <v>1</v>
      </c>
      <c r="D93" s="7">
        <f t="shared" si="24"/>
        <v>2</v>
      </c>
      <c r="E93" s="57">
        <v>45702</v>
      </c>
      <c r="F93" s="1"/>
      <c r="G93" s="8"/>
      <c r="H93" s="6"/>
      <c r="I93" s="22"/>
      <c r="J93" s="7">
        <f t="shared" si="25"/>
        <v>0</v>
      </c>
      <c r="K93" s="45"/>
      <c r="L93" s="54"/>
    </row>
    <row r="94" spans="1:12" x14ac:dyDescent="0.15">
      <c r="A94" s="19" t="s">
        <v>53</v>
      </c>
      <c r="B94" s="6">
        <v>1</v>
      </c>
      <c r="C94" s="22">
        <v>1</v>
      </c>
      <c r="D94" s="7">
        <f t="shared" si="24"/>
        <v>2</v>
      </c>
      <c r="E94" s="57">
        <v>45705</v>
      </c>
      <c r="F94" s="1"/>
      <c r="G94" s="5"/>
      <c r="H94" s="6"/>
      <c r="I94" s="22"/>
      <c r="J94" s="7">
        <f t="shared" si="25"/>
        <v>0</v>
      </c>
    </row>
    <row r="95" spans="1:12" x14ac:dyDescent="0.15">
      <c r="A95" s="8" t="s">
        <v>47</v>
      </c>
      <c r="B95" s="6"/>
      <c r="C95" s="22">
        <v>5</v>
      </c>
      <c r="D95" s="7">
        <f t="shared" si="24"/>
        <v>5</v>
      </c>
      <c r="E95" s="57">
        <v>45703</v>
      </c>
      <c r="F95" s="1"/>
      <c r="G95" s="5"/>
      <c r="H95" s="6"/>
      <c r="I95" s="22"/>
      <c r="J95" s="7">
        <f t="shared" si="25"/>
        <v>0</v>
      </c>
    </row>
    <row r="96" spans="1:12" x14ac:dyDescent="0.15">
      <c r="A96" s="8" t="s">
        <v>54</v>
      </c>
      <c r="B96" s="6">
        <v>1</v>
      </c>
      <c r="C96" s="22">
        <v>1</v>
      </c>
      <c r="D96" s="7">
        <f t="shared" si="24"/>
        <v>2</v>
      </c>
      <c r="E96" s="57">
        <v>45705</v>
      </c>
      <c r="F96" s="1"/>
      <c r="G96" s="5"/>
      <c r="H96" s="6"/>
      <c r="I96" s="22"/>
      <c r="J96" s="7">
        <f t="shared" si="25"/>
        <v>0</v>
      </c>
    </row>
    <row r="97" spans="1:10" x14ac:dyDescent="0.15">
      <c r="A97" s="19" t="s">
        <v>25</v>
      </c>
      <c r="B97" s="6">
        <v>1</v>
      </c>
      <c r="C97" s="22"/>
      <c r="D97" s="7">
        <f t="shared" si="24"/>
        <v>1</v>
      </c>
      <c r="E97" s="57">
        <v>45706</v>
      </c>
      <c r="F97" s="1"/>
      <c r="G97" s="8"/>
      <c r="H97" s="6"/>
      <c r="I97" s="22"/>
      <c r="J97" s="7">
        <f t="shared" si="25"/>
        <v>0</v>
      </c>
    </row>
    <row r="98" spans="1:10" x14ac:dyDescent="0.15">
      <c r="A98" s="19" t="s">
        <v>55</v>
      </c>
      <c r="B98" s="6">
        <v>1</v>
      </c>
      <c r="C98" s="22">
        <v>1</v>
      </c>
      <c r="D98" s="7">
        <f t="shared" si="24"/>
        <v>2</v>
      </c>
      <c r="E98" s="57">
        <v>45709</v>
      </c>
      <c r="F98" s="1"/>
      <c r="G98" s="5"/>
      <c r="H98" s="6"/>
      <c r="I98" s="22"/>
      <c r="J98" s="7">
        <f t="shared" si="25"/>
        <v>0</v>
      </c>
    </row>
    <row r="99" spans="1:10" x14ac:dyDescent="0.15">
      <c r="A99" s="19" t="s">
        <v>56</v>
      </c>
      <c r="B99" s="6">
        <v>1</v>
      </c>
      <c r="C99" s="22">
        <v>1</v>
      </c>
      <c r="D99" s="7">
        <f t="shared" si="24"/>
        <v>2</v>
      </c>
      <c r="E99" s="57">
        <v>45709</v>
      </c>
      <c r="F99" s="1"/>
      <c r="G99" s="8"/>
      <c r="H99" s="6"/>
      <c r="I99" s="22"/>
      <c r="J99" s="7">
        <f t="shared" si="25"/>
        <v>0</v>
      </c>
    </row>
    <row r="100" spans="1:10" x14ac:dyDescent="0.15">
      <c r="A100" s="19" t="s">
        <v>25</v>
      </c>
      <c r="B100" s="6"/>
      <c r="C100" s="22">
        <v>2</v>
      </c>
      <c r="D100" s="7">
        <f t="shared" si="24"/>
        <v>2</v>
      </c>
      <c r="E100" s="57">
        <v>45708</v>
      </c>
      <c r="F100" s="1"/>
      <c r="G100" s="8"/>
      <c r="H100" s="6"/>
      <c r="I100" s="22"/>
      <c r="J100" s="7">
        <f t="shared" si="25"/>
        <v>0</v>
      </c>
    </row>
    <row r="101" spans="1:10" x14ac:dyDescent="0.15">
      <c r="A101" s="67" t="s">
        <v>57</v>
      </c>
      <c r="B101" s="6">
        <v>4</v>
      </c>
      <c r="C101" s="22"/>
      <c r="D101" s="7">
        <f t="shared" si="24"/>
        <v>4</v>
      </c>
      <c r="E101" s="57">
        <v>45713</v>
      </c>
      <c r="F101" s="1"/>
      <c r="G101" s="31"/>
      <c r="H101" s="6"/>
      <c r="I101" s="22"/>
      <c r="J101" s="7">
        <f t="shared" si="25"/>
        <v>0</v>
      </c>
    </row>
    <row r="102" spans="1:10" x14ac:dyDescent="0.15">
      <c r="A102" s="19" t="s">
        <v>25</v>
      </c>
      <c r="B102" s="6">
        <v>1</v>
      </c>
      <c r="C102" s="22">
        <f>2+2</f>
        <v>4</v>
      </c>
      <c r="D102" s="7">
        <f t="shared" si="24"/>
        <v>5</v>
      </c>
      <c r="E102" s="57">
        <v>45713</v>
      </c>
      <c r="F102" s="1"/>
      <c r="G102" s="5"/>
      <c r="H102" s="6"/>
      <c r="I102" s="22"/>
      <c r="J102" s="7">
        <f t="shared" si="25"/>
        <v>0</v>
      </c>
    </row>
    <row r="103" spans="1:10" x14ac:dyDescent="0.15">
      <c r="A103" s="19" t="s">
        <v>25</v>
      </c>
      <c r="B103" s="6">
        <v>1</v>
      </c>
      <c r="C103" s="22">
        <v>1</v>
      </c>
      <c r="D103" s="7">
        <f t="shared" si="24"/>
        <v>2</v>
      </c>
      <c r="E103" s="57">
        <v>45714</v>
      </c>
      <c r="F103" s="1"/>
      <c r="G103" s="8"/>
      <c r="H103" s="6"/>
      <c r="I103" s="22"/>
      <c r="J103" s="7">
        <f t="shared" si="25"/>
        <v>0</v>
      </c>
    </row>
    <row r="104" spans="1:10" x14ac:dyDescent="0.15">
      <c r="A104" s="67" t="s">
        <v>58</v>
      </c>
      <c r="B104" s="6">
        <v>32</v>
      </c>
      <c r="C104" s="22">
        <v>8</v>
      </c>
      <c r="D104" s="7">
        <f t="shared" si="24"/>
        <v>40</v>
      </c>
      <c r="E104" s="57">
        <v>45716</v>
      </c>
      <c r="F104" s="1"/>
      <c r="G104" s="8"/>
      <c r="H104" s="6"/>
      <c r="I104" s="22"/>
      <c r="J104" s="7">
        <f t="shared" ref="J104:J108" si="26">H104+I104</f>
        <v>0</v>
      </c>
    </row>
    <row r="105" spans="1:10" x14ac:dyDescent="0.15">
      <c r="A105" s="8" t="s">
        <v>59</v>
      </c>
      <c r="B105" s="6">
        <v>-40</v>
      </c>
      <c r="C105" s="22">
        <v>-10</v>
      </c>
      <c r="D105" s="7">
        <f t="shared" si="24"/>
        <v>-50</v>
      </c>
      <c r="E105" s="57">
        <v>45715</v>
      </c>
      <c r="F105" s="1"/>
      <c r="G105" s="8"/>
      <c r="H105" s="6"/>
      <c r="I105" s="22"/>
      <c r="J105" s="7">
        <f t="shared" si="26"/>
        <v>0</v>
      </c>
    </row>
    <row r="106" spans="1:10" x14ac:dyDescent="0.15">
      <c r="A106" s="19" t="s">
        <v>25</v>
      </c>
      <c r="B106" s="6">
        <v>1</v>
      </c>
      <c r="C106" s="22">
        <v>1</v>
      </c>
      <c r="D106" s="7">
        <f t="shared" si="24"/>
        <v>2</v>
      </c>
      <c r="E106" s="57">
        <v>45719</v>
      </c>
      <c r="F106" s="1"/>
      <c r="G106" s="8"/>
      <c r="H106" s="6"/>
      <c r="I106" s="22"/>
      <c r="J106" s="7">
        <f t="shared" si="26"/>
        <v>0</v>
      </c>
    </row>
    <row r="107" spans="1:10" x14ac:dyDescent="0.15">
      <c r="A107" s="8" t="s">
        <v>59</v>
      </c>
      <c r="B107" s="6"/>
      <c r="C107" s="22">
        <v>-10</v>
      </c>
      <c r="D107" s="7">
        <f t="shared" si="24"/>
        <v>-10</v>
      </c>
      <c r="E107" s="57">
        <v>45722</v>
      </c>
      <c r="F107" s="1"/>
      <c r="G107" s="8"/>
      <c r="H107" s="6"/>
      <c r="I107" s="22"/>
      <c r="J107" s="7">
        <f t="shared" si="26"/>
        <v>0</v>
      </c>
    </row>
    <row r="108" spans="1:10" ht="14.25" thickBot="1" x14ac:dyDescent="0.2">
      <c r="A108" s="67" t="s">
        <v>60</v>
      </c>
      <c r="B108" s="6"/>
      <c r="C108" s="22">
        <v>8</v>
      </c>
      <c r="D108" s="7">
        <f t="shared" si="24"/>
        <v>8</v>
      </c>
      <c r="E108" s="57">
        <v>45723</v>
      </c>
      <c r="F108" s="1"/>
      <c r="G108" s="8"/>
      <c r="H108" s="6"/>
      <c r="I108" s="22"/>
      <c r="J108" s="7">
        <f t="shared" si="26"/>
        <v>0</v>
      </c>
    </row>
    <row r="109" spans="1:10" ht="14.25" thickBot="1" x14ac:dyDescent="0.2">
      <c r="A109" s="9" t="s">
        <v>3</v>
      </c>
      <c r="B109" s="10">
        <f>SUM(B85:B108)</f>
        <v>40</v>
      </c>
      <c r="C109" s="33">
        <f>SUM(C85:C108)</f>
        <v>48</v>
      </c>
      <c r="D109" s="11">
        <f>SUM(D85:D108)</f>
        <v>88</v>
      </c>
      <c r="E109" s="55"/>
      <c r="F109" s="1"/>
      <c r="G109" s="9" t="s">
        <v>3</v>
      </c>
      <c r="H109" s="10">
        <f>SUM(H85:H108)</f>
        <v>96</v>
      </c>
      <c r="I109" s="33">
        <f>SUM(I85:I108)</f>
        <v>76</v>
      </c>
      <c r="J109" s="11">
        <f>SUM(J85:J108)</f>
        <v>172</v>
      </c>
    </row>
    <row r="110" spans="1:10" ht="14.25" thickBot="1" x14ac:dyDescent="0.2">
      <c r="A110" s="13" t="s">
        <v>4</v>
      </c>
      <c r="B110" s="14">
        <f>B84-B109</f>
        <v>20</v>
      </c>
      <c r="C110" s="14">
        <f>C84-C109</f>
        <v>15</v>
      </c>
      <c r="D110" s="14">
        <f>D84-D109</f>
        <v>35</v>
      </c>
      <c r="E110" s="58"/>
      <c r="F110" s="1"/>
      <c r="G110" s="13" t="s">
        <v>4</v>
      </c>
      <c r="H110" s="14">
        <f>H84-H109</f>
        <v>957</v>
      </c>
      <c r="I110" s="14">
        <f>I84-I109</f>
        <v>1173</v>
      </c>
      <c r="J110" s="30">
        <f>J84-J109</f>
        <v>2130</v>
      </c>
    </row>
    <row r="113" spans="1:11" ht="19.5" thickBot="1" x14ac:dyDescent="0.25">
      <c r="A113" s="21" t="s">
        <v>10</v>
      </c>
      <c r="B113" s="1"/>
      <c r="C113" s="1"/>
      <c r="D113" s="1"/>
      <c r="E113" s="55"/>
      <c r="F113" s="1"/>
      <c r="G113" s="21" t="s">
        <v>11</v>
      </c>
      <c r="H113" s="1"/>
      <c r="I113" s="49" t="s">
        <v>37</v>
      </c>
      <c r="J113" s="46">
        <v>1780</v>
      </c>
    </row>
    <row r="114" spans="1:11" ht="14.25" thickBot="1" x14ac:dyDescent="0.2">
      <c r="A114" s="2"/>
      <c r="B114" s="47" t="s">
        <v>7</v>
      </c>
      <c r="C114" s="48" t="s">
        <v>8</v>
      </c>
      <c r="D114" s="2" t="s">
        <v>0</v>
      </c>
      <c r="E114" s="56"/>
      <c r="F114" s="1"/>
      <c r="G114" s="2"/>
      <c r="H114" s="47" t="s">
        <v>7</v>
      </c>
      <c r="I114" s="48" t="s">
        <v>8</v>
      </c>
      <c r="J114" s="2" t="s">
        <v>0</v>
      </c>
    </row>
    <row r="115" spans="1:11" x14ac:dyDescent="0.15">
      <c r="A115" s="26" t="s">
        <v>4</v>
      </c>
      <c r="B115" s="29">
        <f>B110</f>
        <v>20</v>
      </c>
      <c r="C115" s="38">
        <f>C110</f>
        <v>15</v>
      </c>
      <c r="D115" s="28">
        <f>B115+C115</f>
        <v>35</v>
      </c>
      <c r="E115" s="55"/>
      <c r="F115" s="1"/>
      <c r="G115" s="12" t="s">
        <v>6</v>
      </c>
      <c r="H115" s="18">
        <f>H110</f>
        <v>957</v>
      </c>
      <c r="I115" s="18">
        <f>I110</f>
        <v>1173</v>
      </c>
      <c r="J115" s="28">
        <f>H115+I115</f>
        <v>2130</v>
      </c>
    </row>
    <row r="116" spans="1:11" x14ac:dyDescent="0.15">
      <c r="A116" s="3" t="s">
        <v>61</v>
      </c>
      <c r="B116" s="37">
        <v>1</v>
      </c>
      <c r="C116" s="1"/>
      <c r="D116" s="7">
        <f t="shared" ref="D116:D117" si="27">B116+C116</f>
        <v>1</v>
      </c>
      <c r="E116" s="57">
        <v>45729</v>
      </c>
      <c r="F116" s="1"/>
      <c r="G116" s="4" t="s">
        <v>1</v>
      </c>
      <c r="H116" s="20">
        <v>28</v>
      </c>
      <c r="I116" s="20">
        <v>12</v>
      </c>
      <c r="J116" s="17">
        <f t="shared" ref="J116" si="28">H116+I116</f>
        <v>40</v>
      </c>
      <c r="K116" s="68">
        <v>45766</v>
      </c>
    </row>
    <row r="117" spans="1:11" x14ac:dyDescent="0.15">
      <c r="A117" s="3" t="s">
        <v>1</v>
      </c>
      <c r="B117" s="20">
        <v>5</v>
      </c>
      <c r="C117" s="40">
        <v>10</v>
      </c>
      <c r="D117" s="7">
        <f t="shared" si="27"/>
        <v>15</v>
      </c>
      <c r="E117" s="57">
        <v>45726</v>
      </c>
      <c r="F117" s="1"/>
      <c r="G117" s="4" t="s">
        <v>1</v>
      </c>
      <c r="H117" s="27"/>
      <c r="I117" s="27"/>
      <c r="J117" s="17">
        <f t="shared" ref="J117:J120" si="29">H117+I117</f>
        <v>0</v>
      </c>
    </row>
    <row r="118" spans="1:11" x14ac:dyDescent="0.15">
      <c r="A118" s="3" t="s">
        <v>62</v>
      </c>
      <c r="B118" s="37">
        <v>8</v>
      </c>
      <c r="C118" s="1"/>
      <c r="D118" s="7">
        <f t="shared" ref="D118:D120" si="30">B118+C118</f>
        <v>8</v>
      </c>
      <c r="E118" s="57">
        <v>45726</v>
      </c>
      <c r="F118" s="1"/>
      <c r="G118" s="4" t="s">
        <v>1</v>
      </c>
      <c r="H118" s="22"/>
      <c r="I118" s="22"/>
      <c r="J118" s="17">
        <f t="shared" si="29"/>
        <v>0</v>
      </c>
    </row>
    <row r="119" spans="1:11" x14ac:dyDescent="0.15">
      <c r="A119" s="3" t="s">
        <v>62</v>
      </c>
      <c r="B119" s="34">
        <f>7*4</f>
        <v>28</v>
      </c>
      <c r="C119" s="41">
        <f>7*4</f>
        <v>28</v>
      </c>
      <c r="D119" s="7">
        <f t="shared" si="30"/>
        <v>56</v>
      </c>
      <c r="E119" s="57">
        <v>45755</v>
      </c>
      <c r="F119" s="1"/>
      <c r="G119" s="4" t="s">
        <v>1</v>
      </c>
      <c r="H119" s="23"/>
      <c r="I119" s="23"/>
      <c r="J119" s="17">
        <f t="shared" si="29"/>
        <v>0</v>
      </c>
    </row>
    <row r="120" spans="1:11" ht="14.25" thickBot="1" x14ac:dyDescent="0.2">
      <c r="A120" s="3" t="s">
        <v>1</v>
      </c>
      <c r="B120" s="42"/>
      <c r="C120" s="15"/>
      <c r="D120" s="17">
        <f t="shared" si="30"/>
        <v>0</v>
      </c>
      <c r="E120" s="57"/>
      <c r="F120" s="1"/>
      <c r="G120" s="4" t="s">
        <v>1</v>
      </c>
      <c r="H120" s="23"/>
      <c r="I120" s="23"/>
      <c r="J120" s="17">
        <f t="shared" si="29"/>
        <v>0</v>
      </c>
    </row>
    <row r="121" spans="1:11" ht="14.25" thickBot="1" x14ac:dyDescent="0.2">
      <c r="A121" s="13" t="s">
        <v>2</v>
      </c>
      <c r="B121" s="16">
        <f>SUM(B115:B120)</f>
        <v>62</v>
      </c>
      <c r="C121" s="32">
        <f>SUM(C115:C120)</f>
        <v>53</v>
      </c>
      <c r="D121" s="30">
        <f>B121+C121</f>
        <v>115</v>
      </c>
      <c r="E121" s="58"/>
      <c r="F121" s="1"/>
      <c r="G121" s="13" t="s">
        <v>2</v>
      </c>
      <c r="H121" s="14">
        <f>SUM(H115:H120)</f>
        <v>985</v>
      </c>
      <c r="I121" s="35">
        <f>SUM(I115:I120)</f>
        <v>1185</v>
      </c>
      <c r="J121" s="30">
        <f>H121+I121</f>
        <v>2170</v>
      </c>
    </row>
    <row r="122" spans="1:11" x14ac:dyDescent="0.15">
      <c r="A122" s="19" t="s">
        <v>25</v>
      </c>
      <c r="B122" s="6">
        <v>1</v>
      </c>
      <c r="C122" s="22">
        <v>1</v>
      </c>
      <c r="D122" s="7">
        <f t="shared" ref="D122" si="31">B122+C122</f>
        <v>2</v>
      </c>
      <c r="E122" s="57">
        <v>45721</v>
      </c>
      <c r="F122" s="1"/>
      <c r="G122" s="8" t="s">
        <v>23</v>
      </c>
      <c r="H122" s="6">
        <v>5</v>
      </c>
      <c r="I122" s="22">
        <v>10</v>
      </c>
      <c r="J122" s="7">
        <f t="shared" ref="J122:J123" si="32">H122+I122</f>
        <v>15</v>
      </c>
      <c r="K122" s="68">
        <v>45726</v>
      </c>
    </row>
    <row r="123" spans="1:11" x14ac:dyDescent="0.15">
      <c r="A123" s="19" t="s">
        <v>25</v>
      </c>
      <c r="B123" s="6">
        <f>1+3</f>
        <v>4</v>
      </c>
      <c r="C123" s="22">
        <v>1</v>
      </c>
      <c r="D123" s="7">
        <f t="shared" ref="D123:D145" si="33">B123+C123</f>
        <v>5</v>
      </c>
      <c r="E123" s="57">
        <v>45722</v>
      </c>
      <c r="F123" s="1"/>
      <c r="G123" s="8" t="s">
        <v>23</v>
      </c>
      <c r="H123" s="6">
        <v>5</v>
      </c>
      <c r="I123" s="22">
        <v>10</v>
      </c>
      <c r="J123" s="7">
        <f t="shared" si="32"/>
        <v>15</v>
      </c>
      <c r="K123" s="44">
        <v>45833</v>
      </c>
    </row>
    <row r="124" spans="1:11" x14ac:dyDescent="0.15">
      <c r="A124" s="19" t="s">
        <v>25</v>
      </c>
      <c r="B124" s="6">
        <v>1</v>
      </c>
      <c r="C124" s="22">
        <v>1</v>
      </c>
      <c r="D124" s="7">
        <f t="shared" si="33"/>
        <v>2</v>
      </c>
      <c r="E124" s="57">
        <v>45726</v>
      </c>
      <c r="F124" s="1"/>
      <c r="G124" s="8"/>
      <c r="H124" s="6"/>
      <c r="I124" s="22"/>
      <c r="J124" s="7">
        <f t="shared" ref="J124:J137" si="34">H124+I124</f>
        <v>0</v>
      </c>
    </row>
    <row r="125" spans="1:11" x14ac:dyDescent="0.15">
      <c r="A125" s="19" t="s">
        <v>25</v>
      </c>
      <c r="B125" s="6">
        <v>1</v>
      </c>
      <c r="C125" s="22"/>
      <c r="D125" s="7">
        <f t="shared" si="33"/>
        <v>1</v>
      </c>
      <c r="E125" s="57">
        <v>45729</v>
      </c>
      <c r="F125" s="1"/>
      <c r="G125" s="25"/>
      <c r="H125" s="6"/>
      <c r="I125" s="22"/>
      <c r="J125" s="7">
        <f t="shared" si="34"/>
        <v>0</v>
      </c>
    </row>
    <row r="126" spans="1:11" x14ac:dyDescent="0.15">
      <c r="A126" s="19" t="s">
        <v>25</v>
      </c>
      <c r="B126" s="6">
        <v>1</v>
      </c>
      <c r="C126" s="22"/>
      <c r="D126" s="7">
        <f t="shared" si="33"/>
        <v>1</v>
      </c>
      <c r="E126" s="57">
        <v>45731</v>
      </c>
      <c r="F126" s="1"/>
      <c r="G126" s="8"/>
      <c r="H126" s="6"/>
      <c r="I126" s="22"/>
      <c r="J126" s="7">
        <f t="shared" si="34"/>
        <v>0</v>
      </c>
    </row>
    <row r="127" spans="1:11" x14ac:dyDescent="0.15">
      <c r="A127" s="19" t="s">
        <v>25</v>
      </c>
      <c r="B127" s="6"/>
      <c r="C127" s="22">
        <v>2</v>
      </c>
      <c r="D127" s="7">
        <f t="shared" si="33"/>
        <v>2</v>
      </c>
      <c r="E127" s="57">
        <v>45733</v>
      </c>
      <c r="F127" s="1"/>
      <c r="G127" s="24"/>
      <c r="H127" s="6"/>
      <c r="I127" s="22"/>
      <c r="J127" s="7">
        <f t="shared" si="34"/>
        <v>0</v>
      </c>
    </row>
    <row r="128" spans="1:11" x14ac:dyDescent="0.15">
      <c r="A128" s="19" t="s">
        <v>25</v>
      </c>
      <c r="B128" s="6">
        <v>1</v>
      </c>
      <c r="C128" s="22"/>
      <c r="D128" s="7">
        <f t="shared" si="33"/>
        <v>1</v>
      </c>
      <c r="E128" s="57">
        <v>45735</v>
      </c>
      <c r="F128" s="1"/>
      <c r="G128" s="8"/>
      <c r="H128" s="6"/>
      <c r="I128" s="22"/>
      <c r="J128" s="7">
        <f t="shared" si="34"/>
        <v>0</v>
      </c>
    </row>
    <row r="129" spans="1:11" x14ac:dyDescent="0.15">
      <c r="A129" s="19" t="s">
        <v>25</v>
      </c>
      <c r="B129" s="6">
        <v>1</v>
      </c>
      <c r="C129" s="22"/>
      <c r="D129" s="7">
        <f t="shared" si="33"/>
        <v>1</v>
      </c>
      <c r="E129" s="57">
        <v>45737</v>
      </c>
      <c r="F129" s="1"/>
      <c r="G129" s="24"/>
      <c r="H129" s="6"/>
      <c r="I129" s="22"/>
      <c r="J129" s="7">
        <f t="shared" si="34"/>
        <v>0</v>
      </c>
    </row>
    <row r="130" spans="1:11" x14ac:dyDescent="0.15">
      <c r="A130" s="19" t="s">
        <v>25</v>
      </c>
      <c r="B130" s="6"/>
      <c r="C130" s="22">
        <v>3</v>
      </c>
      <c r="D130" s="7">
        <f t="shared" si="33"/>
        <v>3</v>
      </c>
      <c r="E130" s="57">
        <v>45740</v>
      </c>
      <c r="F130" s="1"/>
      <c r="G130" s="8"/>
      <c r="H130" s="6"/>
      <c r="I130" s="22"/>
      <c r="J130" s="7">
        <f t="shared" si="34"/>
        <v>0</v>
      </c>
    </row>
    <row r="131" spans="1:11" x14ac:dyDescent="0.15">
      <c r="A131" s="19" t="s">
        <v>25</v>
      </c>
      <c r="B131" s="6">
        <v>1</v>
      </c>
      <c r="C131" s="22">
        <v>1</v>
      </c>
      <c r="D131" s="7">
        <f t="shared" si="33"/>
        <v>2</v>
      </c>
      <c r="E131" s="57">
        <v>45742</v>
      </c>
      <c r="F131" s="1"/>
      <c r="G131" s="5"/>
      <c r="H131" s="6"/>
      <c r="I131" s="22"/>
      <c r="J131" s="7">
        <f t="shared" si="34"/>
        <v>0</v>
      </c>
    </row>
    <row r="132" spans="1:11" x14ac:dyDescent="0.15">
      <c r="A132" s="19" t="s">
        <v>25</v>
      </c>
      <c r="B132" s="6"/>
      <c r="C132" s="22">
        <v>1</v>
      </c>
      <c r="D132" s="7">
        <f t="shared" si="33"/>
        <v>1</v>
      </c>
      <c r="E132" s="57">
        <v>45743</v>
      </c>
      <c r="F132" s="1"/>
      <c r="G132" s="5"/>
      <c r="H132" s="6"/>
      <c r="I132" s="22"/>
      <c r="J132" s="7">
        <f t="shared" si="34"/>
        <v>0</v>
      </c>
    </row>
    <row r="133" spans="1:11" x14ac:dyDescent="0.15">
      <c r="A133" s="19" t="s">
        <v>25</v>
      </c>
      <c r="B133" s="6"/>
      <c r="C133" s="22">
        <v>1</v>
      </c>
      <c r="D133" s="7">
        <f t="shared" si="33"/>
        <v>1</v>
      </c>
      <c r="E133" s="57">
        <v>45747</v>
      </c>
      <c r="F133" s="1"/>
      <c r="G133" s="5"/>
      <c r="H133" s="6"/>
      <c r="I133" s="22"/>
      <c r="J133" s="7">
        <f t="shared" si="34"/>
        <v>0</v>
      </c>
    </row>
    <row r="134" spans="1:11" x14ac:dyDescent="0.15">
      <c r="A134" s="19" t="s">
        <v>25</v>
      </c>
      <c r="B134" s="6">
        <v>1</v>
      </c>
      <c r="C134" s="22">
        <f>1+3</f>
        <v>4</v>
      </c>
      <c r="D134" s="7">
        <f t="shared" si="33"/>
        <v>5</v>
      </c>
      <c r="E134" s="57">
        <v>45754</v>
      </c>
      <c r="F134" s="1"/>
      <c r="G134" s="8"/>
      <c r="H134" s="6"/>
      <c r="I134" s="22"/>
      <c r="J134" s="7">
        <f t="shared" si="34"/>
        <v>0</v>
      </c>
    </row>
    <row r="135" spans="1:11" x14ac:dyDescent="0.15">
      <c r="A135" s="19" t="s">
        <v>25</v>
      </c>
      <c r="B135" s="6"/>
      <c r="C135" s="22">
        <v>1</v>
      </c>
      <c r="D135" s="7">
        <f t="shared" si="33"/>
        <v>1</v>
      </c>
      <c r="E135" s="57">
        <v>45758</v>
      </c>
      <c r="F135" s="1"/>
      <c r="G135" s="5"/>
      <c r="H135" s="6"/>
      <c r="I135" s="22"/>
      <c r="J135" s="7">
        <f t="shared" si="34"/>
        <v>0</v>
      </c>
    </row>
    <row r="136" spans="1:11" x14ac:dyDescent="0.15">
      <c r="A136" s="19" t="s">
        <v>25</v>
      </c>
      <c r="B136" s="6"/>
      <c r="C136" s="22">
        <v>3</v>
      </c>
      <c r="D136" s="7">
        <f t="shared" si="33"/>
        <v>3</v>
      </c>
      <c r="E136" s="57">
        <v>45761</v>
      </c>
      <c r="F136" s="1"/>
      <c r="G136" s="8"/>
      <c r="H136" s="6"/>
      <c r="I136" s="22"/>
      <c r="J136" s="7">
        <f t="shared" si="34"/>
        <v>0</v>
      </c>
    </row>
    <row r="137" spans="1:11" x14ac:dyDescent="0.15">
      <c r="A137" s="19" t="s">
        <v>64</v>
      </c>
      <c r="B137" s="6">
        <v>2</v>
      </c>
      <c r="C137" s="22">
        <v>2</v>
      </c>
      <c r="D137" s="7">
        <f t="shared" si="33"/>
        <v>4</v>
      </c>
      <c r="E137" s="57">
        <v>45764</v>
      </c>
      <c r="F137" s="1"/>
      <c r="G137" s="8"/>
      <c r="H137" s="6"/>
      <c r="I137" s="22"/>
      <c r="J137" s="7">
        <f t="shared" si="34"/>
        <v>0</v>
      </c>
    </row>
    <row r="138" spans="1:11" x14ac:dyDescent="0.15">
      <c r="A138" s="19" t="s">
        <v>25</v>
      </c>
      <c r="B138" s="6">
        <v>1</v>
      </c>
      <c r="C138" s="22">
        <v>3</v>
      </c>
      <c r="D138" s="7">
        <f t="shared" si="33"/>
        <v>4</v>
      </c>
      <c r="E138" s="57">
        <v>45763</v>
      </c>
      <c r="F138" s="1"/>
      <c r="G138" s="8"/>
      <c r="H138" s="6"/>
      <c r="I138" s="22"/>
      <c r="J138" s="7">
        <f t="shared" ref="J138:J145" si="35">H138+I138</f>
        <v>0</v>
      </c>
    </row>
    <row r="139" spans="1:11" x14ac:dyDescent="0.15">
      <c r="A139" s="8" t="s">
        <v>40</v>
      </c>
      <c r="B139" s="6">
        <v>1</v>
      </c>
      <c r="C139" s="22">
        <v>1</v>
      </c>
      <c r="D139" s="7">
        <f t="shared" si="33"/>
        <v>2</v>
      </c>
      <c r="E139" s="57">
        <v>45771</v>
      </c>
      <c r="F139" s="1"/>
      <c r="G139" s="8"/>
      <c r="H139" s="6"/>
      <c r="I139" s="22"/>
      <c r="J139" s="7">
        <f t="shared" si="35"/>
        <v>0</v>
      </c>
    </row>
    <row r="140" spans="1:11" x14ac:dyDescent="0.15">
      <c r="A140" s="8" t="s">
        <v>65</v>
      </c>
      <c r="B140" s="6">
        <v>28</v>
      </c>
      <c r="C140" s="22">
        <v>12</v>
      </c>
      <c r="D140" s="7">
        <f t="shared" si="33"/>
        <v>40</v>
      </c>
      <c r="E140" s="57">
        <v>45766</v>
      </c>
      <c r="F140" s="1"/>
      <c r="G140" s="8"/>
      <c r="H140" s="6"/>
      <c r="I140" s="22"/>
      <c r="J140" s="7">
        <f t="shared" si="35"/>
        <v>0</v>
      </c>
    </row>
    <row r="141" spans="1:11" x14ac:dyDescent="0.15">
      <c r="A141" s="19" t="s">
        <v>25</v>
      </c>
      <c r="B141" s="6">
        <v>3</v>
      </c>
      <c r="C141" s="22">
        <v>1</v>
      </c>
      <c r="D141" s="7">
        <f t="shared" si="33"/>
        <v>4</v>
      </c>
      <c r="E141" s="57">
        <v>45775</v>
      </c>
      <c r="F141" s="1"/>
      <c r="G141" s="8"/>
      <c r="H141" s="6"/>
      <c r="I141" s="22"/>
      <c r="J141" s="7">
        <f t="shared" si="35"/>
        <v>0</v>
      </c>
    </row>
    <row r="142" spans="1:11" x14ac:dyDescent="0.15">
      <c r="A142" s="19" t="s">
        <v>25</v>
      </c>
      <c r="B142" s="6">
        <v>1</v>
      </c>
      <c r="C142" s="22"/>
      <c r="D142" s="7">
        <f t="shared" si="33"/>
        <v>1</v>
      </c>
      <c r="E142" s="57">
        <v>45779</v>
      </c>
      <c r="F142" s="1"/>
      <c r="G142" s="8" t="s">
        <v>44</v>
      </c>
      <c r="H142" s="6"/>
      <c r="I142" s="22"/>
      <c r="J142" s="7">
        <f t="shared" si="35"/>
        <v>0</v>
      </c>
      <c r="K142" s="45" t="s">
        <v>43</v>
      </c>
    </row>
    <row r="143" spans="1:11" x14ac:dyDescent="0.15">
      <c r="A143" s="19" t="s">
        <v>25</v>
      </c>
      <c r="B143" s="6"/>
      <c r="C143" s="22">
        <v>1</v>
      </c>
      <c r="D143" s="7">
        <f t="shared" si="33"/>
        <v>1</v>
      </c>
      <c r="E143" s="57">
        <v>45784</v>
      </c>
      <c r="F143" s="1"/>
      <c r="G143" s="8" t="s">
        <v>38</v>
      </c>
      <c r="H143" s="6"/>
      <c r="I143" s="22"/>
      <c r="J143" s="7">
        <f t="shared" si="35"/>
        <v>0</v>
      </c>
      <c r="K143" s="44" t="s">
        <v>39</v>
      </c>
    </row>
    <row r="144" spans="1:11" x14ac:dyDescent="0.15">
      <c r="A144" s="8" t="s">
        <v>66</v>
      </c>
      <c r="B144" s="6">
        <v>-1</v>
      </c>
      <c r="C144" s="22">
        <v>-1</v>
      </c>
      <c r="D144" s="7">
        <f t="shared" ref="D144" si="36">B144+C144</f>
        <v>-2</v>
      </c>
      <c r="E144" s="57">
        <v>45786</v>
      </c>
      <c r="F144" s="1"/>
      <c r="G144" s="3" t="s">
        <v>16</v>
      </c>
      <c r="H144" s="59"/>
      <c r="I144" s="60"/>
      <c r="J144" s="61">
        <f t="shared" si="35"/>
        <v>0</v>
      </c>
      <c r="K144" s="45"/>
    </row>
    <row r="145" spans="1:15" ht="14.25" thickBot="1" x14ac:dyDescent="0.2">
      <c r="A145" s="19" t="s">
        <v>25</v>
      </c>
      <c r="B145" s="6">
        <v>2</v>
      </c>
      <c r="C145" s="22"/>
      <c r="D145" s="7">
        <f t="shared" si="33"/>
        <v>2</v>
      </c>
      <c r="E145" s="57">
        <v>45786</v>
      </c>
      <c r="F145" s="1"/>
      <c r="G145" s="8" t="s">
        <v>17</v>
      </c>
      <c r="H145" s="6"/>
      <c r="I145" s="22"/>
      <c r="J145" s="7">
        <f t="shared" si="35"/>
        <v>0</v>
      </c>
      <c r="K145" s="45" t="s">
        <v>13</v>
      </c>
    </row>
    <row r="146" spans="1:15" ht="14.25" thickBot="1" x14ac:dyDescent="0.2">
      <c r="A146" s="9" t="s">
        <v>3</v>
      </c>
      <c r="B146" s="10">
        <f>SUM(B122:B145)</f>
        <v>49</v>
      </c>
      <c r="C146" s="33">
        <f>SUM(C122:C145)</f>
        <v>38</v>
      </c>
      <c r="D146" s="11">
        <f>SUM(D122:D145)</f>
        <v>87</v>
      </c>
      <c r="E146" s="55"/>
      <c r="F146" s="1"/>
      <c r="G146" s="9" t="s">
        <v>3</v>
      </c>
      <c r="H146" s="10">
        <f>SUM(H122:H145)</f>
        <v>10</v>
      </c>
      <c r="I146" s="33">
        <f>SUM(I122:I145)</f>
        <v>20</v>
      </c>
      <c r="J146" s="11">
        <f>SUM(J122:J145)</f>
        <v>30</v>
      </c>
    </row>
    <row r="147" spans="1:15" ht="14.25" thickBot="1" x14ac:dyDescent="0.2">
      <c r="A147" s="13" t="s">
        <v>4</v>
      </c>
      <c r="B147" s="14">
        <f>B121-B146</f>
        <v>13</v>
      </c>
      <c r="C147" s="14">
        <f>C121-C146</f>
        <v>15</v>
      </c>
      <c r="D147" s="30">
        <f>D121-D146</f>
        <v>28</v>
      </c>
      <c r="E147" s="58"/>
      <c r="F147" s="1"/>
      <c r="G147" s="13" t="s">
        <v>4</v>
      </c>
      <c r="H147" s="14">
        <f>H121-H146</f>
        <v>975</v>
      </c>
      <c r="I147" s="14">
        <f>I121-I146</f>
        <v>1165</v>
      </c>
      <c r="J147" s="30">
        <f>J121-J146</f>
        <v>2140</v>
      </c>
    </row>
    <row r="150" spans="1:15" ht="19.5" thickBot="1" x14ac:dyDescent="0.25">
      <c r="A150" s="21" t="s">
        <v>10</v>
      </c>
      <c r="B150" s="1"/>
      <c r="C150" s="1"/>
      <c r="D150" s="1"/>
      <c r="E150" s="55"/>
      <c r="F150" s="1"/>
      <c r="G150" s="21" t="s">
        <v>11</v>
      </c>
      <c r="H150" s="1"/>
      <c r="I150" s="49" t="s">
        <v>37</v>
      </c>
      <c r="J150" s="46">
        <v>1780</v>
      </c>
    </row>
    <row r="151" spans="1:15" ht="14.25" thickBot="1" x14ac:dyDescent="0.2">
      <c r="A151" s="2"/>
      <c r="B151" s="47" t="s">
        <v>7</v>
      </c>
      <c r="C151" s="48" t="s">
        <v>8</v>
      </c>
      <c r="D151" s="2" t="s">
        <v>0</v>
      </c>
      <c r="E151" s="56"/>
      <c r="F151" s="1"/>
      <c r="G151" s="2"/>
      <c r="H151" s="47" t="s">
        <v>7</v>
      </c>
      <c r="I151" s="48" t="s">
        <v>8</v>
      </c>
      <c r="J151" s="2" t="s">
        <v>0</v>
      </c>
    </row>
    <row r="152" spans="1:15" x14ac:dyDescent="0.15">
      <c r="A152" s="26" t="s">
        <v>4</v>
      </c>
      <c r="B152" s="29">
        <f>B147</f>
        <v>13</v>
      </c>
      <c r="C152" s="38">
        <f>C147</f>
        <v>15</v>
      </c>
      <c r="D152" s="28">
        <f>B152+C152</f>
        <v>28</v>
      </c>
      <c r="E152" s="55"/>
      <c r="F152" s="1"/>
      <c r="G152" s="12" t="s">
        <v>6</v>
      </c>
      <c r="H152" s="18">
        <f>H147</f>
        <v>975</v>
      </c>
      <c r="I152" s="18">
        <f>I147</f>
        <v>1165</v>
      </c>
      <c r="J152" s="28">
        <f>H152+I152</f>
        <v>2140</v>
      </c>
    </row>
    <row r="153" spans="1:15" x14ac:dyDescent="0.15">
      <c r="A153" s="3" t="s">
        <v>67</v>
      </c>
      <c r="B153" s="37">
        <v>72</v>
      </c>
      <c r="C153" s="1">
        <v>30</v>
      </c>
      <c r="D153" s="7">
        <f t="shared" ref="D153:D155" si="37">B153+C153</f>
        <v>102</v>
      </c>
      <c r="E153" s="57">
        <v>45797</v>
      </c>
      <c r="F153" s="1"/>
      <c r="G153" s="4" t="s">
        <v>1</v>
      </c>
      <c r="H153" s="20">
        <v>72</v>
      </c>
      <c r="I153" s="20">
        <v>30</v>
      </c>
      <c r="J153" s="17">
        <f t="shared" ref="J153" si="38">H153+I153</f>
        <v>102</v>
      </c>
      <c r="K153" s="68">
        <v>45808</v>
      </c>
    </row>
    <row r="154" spans="1:15" x14ac:dyDescent="0.15">
      <c r="A154" s="3" t="s">
        <v>1</v>
      </c>
      <c r="B154" s="34">
        <v>5</v>
      </c>
      <c r="C154" s="41">
        <v>10</v>
      </c>
      <c r="D154" s="7">
        <f t="shared" si="37"/>
        <v>15</v>
      </c>
      <c r="E154" s="57">
        <v>45833</v>
      </c>
      <c r="F154" s="1"/>
      <c r="G154" s="4" t="s">
        <v>1</v>
      </c>
      <c r="H154" s="27"/>
      <c r="I154" s="27"/>
      <c r="J154" s="17">
        <f t="shared" ref="J154:J157" si="39">H154+I154</f>
        <v>0</v>
      </c>
    </row>
    <row r="155" spans="1:15" x14ac:dyDescent="0.15">
      <c r="A155" s="3" t="s">
        <v>71</v>
      </c>
      <c r="B155" s="34">
        <v>2</v>
      </c>
      <c r="C155" s="41">
        <v>1</v>
      </c>
      <c r="D155" s="7">
        <f t="shared" si="37"/>
        <v>3</v>
      </c>
      <c r="E155" s="57">
        <v>45874</v>
      </c>
      <c r="F155" s="1"/>
      <c r="G155" s="4" t="s">
        <v>1</v>
      </c>
      <c r="H155" s="22"/>
      <c r="I155" s="22"/>
      <c r="J155" s="17">
        <f t="shared" si="39"/>
        <v>0</v>
      </c>
    </row>
    <row r="156" spans="1:15" x14ac:dyDescent="0.15">
      <c r="A156" s="3" t="s">
        <v>74</v>
      </c>
      <c r="B156" s="34">
        <v>0</v>
      </c>
      <c r="C156" s="41">
        <v>0</v>
      </c>
      <c r="D156" s="7">
        <f t="shared" ref="D156:D157" si="40">B156+C156</f>
        <v>0</v>
      </c>
      <c r="E156" s="57">
        <v>45890</v>
      </c>
      <c r="F156" s="1"/>
      <c r="G156" s="4" t="s">
        <v>1</v>
      </c>
      <c r="H156" s="23"/>
      <c r="I156" s="23"/>
      <c r="J156" s="17">
        <f t="shared" si="39"/>
        <v>0</v>
      </c>
    </row>
    <row r="157" spans="1:15" ht="14.25" thickBot="1" x14ac:dyDescent="0.2">
      <c r="A157" s="69" t="s">
        <v>1</v>
      </c>
      <c r="B157" s="70">
        <v>5</v>
      </c>
      <c r="C157" s="71">
        <v>10</v>
      </c>
      <c r="D157" s="72">
        <f t="shared" si="40"/>
        <v>15</v>
      </c>
      <c r="E157" s="73">
        <v>45932</v>
      </c>
      <c r="F157" s="1"/>
      <c r="G157" s="4" t="s">
        <v>1</v>
      </c>
      <c r="H157" s="23"/>
      <c r="I157" s="23"/>
      <c r="J157" s="17">
        <f t="shared" si="39"/>
        <v>0</v>
      </c>
    </row>
    <row r="158" spans="1:15" ht="14.25" thickBot="1" x14ac:dyDescent="0.2">
      <c r="A158" s="13" t="s">
        <v>2</v>
      </c>
      <c r="B158" s="16">
        <f>SUM(B152:B157)</f>
        <v>97</v>
      </c>
      <c r="C158" s="32">
        <f>SUM(C152:C157)</f>
        <v>66</v>
      </c>
      <c r="D158" s="30">
        <f>B158+C158</f>
        <v>163</v>
      </c>
      <c r="E158" s="58"/>
      <c r="F158" s="1"/>
      <c r="G158" s="13" t="s">
        <v>2</v>
      </c>
      <c r="H158" s="14">
        <f>SUM(H152:H157)</f>
        <v>1047</v>
      </c>
      <c r="I158" s="35">
        <f>SUM(I152:I157)</f>
        <v>1195</v>
      </c>
      <c r="J158" s="30">
        <f>H158+I158</f>
        <v>2242</v>
      </c>
    </row>
    <row r="159" spans="1:15" x14ac:dyDescent="0.15">
      <c r="A159" s="19" t="s">
        <v>25</v>
      </c>
      <c r="B159" s="6">
        <v>1</v>
      </c>
      <c r="C159" s="22">
        <v>1</v>
      </c>
      <c r="D159" s="7">
        <f t="shared" ref="D159:D161" si="41">B159+C159</f>
        <v>2</v>
      </c>
      <c r="E159" s="57">
        <v>45790</v>
      </c>
      <c r="F159" s="1"/>
      <c r="G159" s="8" t="s">
        <v>72</v>
      </c>
      <c r="H159" s="6">
        <v>70</v>
      </c>
      <c r="I159" s="22">
        <v>120</v>
      </c>
      <c r="J159" s="7">
        <f>H159+I159</f>
        <v>190</v>
      </c>
      <c r="K159" s="44">
        <v>45890</v>
      </c>
      <c r="L159" s="54"/>
      <c r="M159" s="54"/>
      <c r="N159" s="54"/>
      <c r="O159" s="54"/>
    </row>
    <row r="160" spans="1:15" x14ac:dyDescent="0.15">
      <c r="A160" s="8" t="s">
        <v>68</v>
      </c>
      <c r="B160" s="6">
        <v>72</v>
      </c>
      <c r="C160" s="22">
        <v>30</v>
      </c>
      <c r="D160" s="7">
        <f t="shared" si="41"/>
        <v>102</v>
      </c>
      <c r="E160" s="57">
        <v>45808</v>
      </c>
      <c r="F160" s="1"/>
      <c r="G160" s="8" t="s">
        <v>80</v>
      </c>
      <c r="H160" s="6">
        <v>5</v>
      </c>
      <c r="I160" s="22">
        <v>10</v>
      </c>
      <c r="J160" s="7">
        <f>H160+I160</f>
        <v>15</v>
      </c>
      <c r="K160" s="44">
        <v>45932</v>
      </c>
      <c r="L160" s="54"/>
      <c r="M160" s="54"/>
      <c r="N160" s="54"/>
      <c r="O160" s="54"/>
    </row>
    <row r="161" spans="1:15" x14ac:dyDescent="0.15">
      <c r="A161" s="19" t="s">
        <v>25</v>
      </c>
      <c r="B161" s="6"/>
      <c r="C161" s="22">
        <v>2</v>
      </c>
      <c r="D161" s="7">
        <f t="shared" si="41"/>
        <v>2</v>
      </c>
      <c r="E161" s="57">
        <v>45813</v>
      </c>
      <c r="F161" s="1"/>
      <c r="G161" s="8" t="s">
        <v>23</v>
      </c>
      <c r="H161" s="6">
        <v>5</v>
      </c>
      <c r="I161" s="22">
        <v>10</v>
      </c>
      <c r="J161" s="7">
        <f t="shared" ref="J161:J174" si="42">H161+I161</f>
        <v>15</v>
      </c>
      <c r="K161" s="44">
        <v>45934</v>
      </c>
      <c r="L161" s="54"/>
      <c r="M161" s="54"/>
      <c r="N161" s="54"/>
      <c r="O161" s="54"/>
    </row>
    <row r="162" spans="1:15" x14ac:dyDescent="0.15">
      <c r="A162" s="19" t="s">
        <v>25</v>
      </c>
      <c r="B162" s="6"/>
      <c r="C162" s="22">
        <v>1</v>
      </c>
      <c r="D162" s="7">
        <f t="shared" ref="D162:D182" si="43">B162+C162</f>
        <v>1</v>
      </c>
      <c r="E162" s="57">
        <v>45818</v>
      </c>
      <c r="F162" s="1"/>
      <c r="G162" s="75" t="s">
        <v>23</v>
      </c>
      <c r="H162" s="76">
        <v>10</v>
      </c>
      <c r="I162" s="77">
        <v>5</v>
      </c>
      <c r="J162" s="78">
        <f t="shared" si="42"/>
        <v>15</v>
      </c>
      <c r="K162" s="79">
        <v>45939</v>
      </c>
      <c r="L162" s="54"/>
      <c r="M162" s="54"/>
      <c r="N162" s="54"/>
      <c r="O162" s="54"/>
    </row>
    <row r="163" spans="1:15" x14ac:dyDescent="0.15">
      <c r="A163" s="19" t="s">
        <v>25</v>
      </c>
      <c r="B163" s="6"/>
      <c r="C163" s="22">
        <v>1</v>
      </c>
      <c r="D163" s="7">
        <f t="shared" si="43"/>
        <v>1</v>
      </c>
      <c r="E163" s="57">
        <v>45824</v>
      </c>
      <c r="F163" s="1"/>
      <c r="G163" s="8"/>
      <c r="H163" s="6"/>
      <c r="I163" s="22"/>
      <c r="J163" s="7">
        <f t="shared" si="42"/>
        <v>0</v>
      </c>
    </row>
    <row r="164" spans="1:15" x14ac:dyDescent="0.15">
      <c r="A164" s="19" t="s">
        <v>25</v>
      </c>
      <c r="B164" s="6"/>
      <c r="C164" s="22">
        <f>1+2</f>
        <v>3</v>
      </c>
      <c r="D164" s="7">
        <f t="shared" si="43"/>
        <v>3</v>
      </c>
      <c r="E164" s="57">
        <v>45831</v>
      </c>
      <c r="F164" s="1"/>
      <c r="G164" s="24"/>
      <c r="H164" s="6"/>
      <c r="I164" s="22"/>
      <c r="J164" s="7">
        <f t="shared" si="42"/>
        <v>0</v>
      </c>
    </row>
    <row r="165" spans="1:15" x14ac:dyDescent="0.15">
      <c r="A165" s="19" t="s">
        <v>25</v>
      </c>
      <c r="B165" s="6"/>
      <c r="C165" s="22">
        <v>1</v>
      </c>
      <c r="D165" s="7">
        <f t="shared" si="43"/>
        <v>1</v>
      </c>
      <c r="E165" s="57">
        <v>45839</v>
      </c>
      <c r="F165" s="1"/>
      <c r="G165" s="8"/>
      <c r="H165" s="6"/>
      <c r="I165" s="22"/>
      <c r="J165" s="7">
        <f t="shared" si="42"/>
        <v>0</v>
      </c>
    </row>
    <row r="166" spans="1:15" x14ac:dyDescent="0.15">
      <c r="A166" s="19" t="s">
        <v>25</v>
      </c>
      <c r="B166" s="6">
        <v>1</v>
      </c>
      <c r="C166" s="22">
        <v>2</v>
      </c>
      <c r="D166" s="7">
        <f t="shared" si="43"/>
        <v>3</v>
      </c>
      <c r="E166" s="57">
        <v>45843</v>
      </c>
      <c r="F166" s="1"/>
      <c r="G166" s="24"/>
      <c r="H166" s="6"/>
      <c r="I166" s="22"/>
      <c r="J166" s="7">
        <f t="shared" si="42"/>
        <v>0</v>
      </c>
    </row>
    <row r="167" spans="1:15" x14ac:dyDescent="0.15">
      <c r="A167" s="19" t="s">
        <v>25</v>
      </c>
      <c r="B167" s="6"/>
      <c r="C167" s="22">
        <v>1</v>
      </c>
      <c r="D167" s="7">
        <f t="shared" si="43"/>
        <v>1</v>
      </c>
      <c r="E167" s="57">
        <v>45853</v>
      </c>
      <c r="F167" s="1"/>
      <c r="G167" s="8"/>
      <c r="H167" s="6"/>
      <c r="I167" s="22"/>
      <c r="J167" s="7">
        <f t="shared" si="42"/>
        <v>0</v>
      </c>
    </row>
    <row r="168" spans="1:15" x14ac:dyDescent="0.15">
      <c r="A168" s="19" t="s">
        <v>25</v>
      </c>
      <c r="B168" s="6"/>
      <c r="C168" s="22">
        <v>5</v>
      </c>
      <c r="D168" s="7">
        <f t="shared" si="43"/>
        <v>5</v>
      </c>
      <c r="E168" s="57">
        <v>45860</v>
      </c>
      <c r="F168" s="1"/>
      <c r="G168" s="5"/>
      <c r="H168" s="6"/>
      <c r="I168" s="22"/>
      <c r="J168" s="7">
        <f t="shared" si="42"/>
        <v>0</v>
      </c>
    </row>
    <row r="169" spans="1:15" x14ac:dyDescent="0.15">
      <c r="A169" s="19" t="s">
        <v>25</v>
      </c>
      <c r="B169" s="6">
        <v>1</v>
      </c>
      <c r="C169" s="22"/>
      <c r="D169" s="7">
        <f t="shared" si="43"/>
        <v>1</v>
      </c>
      <c r="E169" s="57">
        <v>45887</v>
      </c>
      <c r="F169" s="1"/>
      <c r="G169" s="5"/>
      <c r="H169" s="6"/>
      <c r="I169" s="22"/>
      <c r="J169" s="7">
        <f t="shared" si="42"/>
        <v>0</v>
      </c>
    </row>
    <row r="170" spans="1:15" x14ac:dyDescent="0.15">
      <c r="A170" s="19" t="s">
        <v>25</v>
      </c>
      <c r="B170" s="6">
        <v>2</v>
      </c>
      <c r="C170" s="22"/>
      <c r="D170" s="7">
        <f t="shared" si="43"/>
        <v>2</v>
      </c>
      <c r="E170" s="57">
        <v>45910</v>
      </c>
      <c r="F170" s="1"/>
      <c r="G170" s="5"/>
      <c r="H170" s="6"/>
      <c r="I170" s="22"/>
      <c r="J170" s="7">
        <f t="shared" si="42"/>
        <v>0</v>
      </c>
    </row>
    <row r="171" spans="1:15" x14ac:dyDescent="0.15">
      <c r="A171" s="19" t="s">
        <v>25</v>
      </c>
      <c r="B171" s="6"/>
      <c r="C171" s="22">
        <v>1</v>
      </c>
      <c r="D171" s="7">
        <f t="shared" si="43"/>
        <v>1</v>
      </c>
      <c r="E171" s="57">
        <v>45918</v>
      </c>
      <c r="F171" s="1"/>
      <c r="G171" s="8"/>
      <c r="H171" s="6"/>
      <c r="I171" s="22"/>
      <c r="J171" s="7">
        <f t="shared" si="42"/>
        <v>0</v>
      </c>
    </row>
    <row r="172" spans="1:15" x14ac:dyDescent="0.15">
      <c r="A172" s="19" t="s">
        <v>25</v>
      </c>
      <c r="B172" s="6"/>
      <c r="C172" s="22">
        <v>1</v>
      </c>
      <c r="D172" s="7">
        <f t="shared" si="43"/>
        <v>1</v>
      </c>
      <c r="E172" s="57">
        <v>45926</v>
      </c>
      <c r="F172" s="1"/>
      <c r="G172" s="5"/>
      <c r="H172" s="6"/>
      <c r="I172" s="22"/>
      <c r="J172" s="7">
        <f t="shared" si="42"/>
        <v>0</v>
      </c>
    </row>
    <row r="173" spans="1:15" x14ac:dyDescent="0.15">
      <c r="A173" s="8" t="s">
        <v>79</v>
      </c>
      <c r="B173" s="6">
        <v>1</v>
      </c>
      <c r="C173" s="22">
        <v>1</v>
      </c>
      <c r="D173" s="7">
        <f t="shared" si="43"/>
        <v>2</v>
      </c>
      <c r="E173" s="57">
        <v>45931</v>
      </c>
      <c r="F173" s="1"/>
      <c r="G173" s="8"/>
      <c r="H173" s="6"/>
      <c r="I173" s="22"/>
      <c r="J173" s="7">
        <f t="shared" si="42"/>
        <v>0</v>
      </c>
    </row>
    <row r="174" spans="1:15" x14ac:dyDescent="0.15">
      <c r="A174" s="8" t="s">
        <v>79</v>
      </c>
      <c r="B174" s="6">
        <v>5</v>
      </c>
      <c r="C174" s="22">
        <v>5</v>
      </c>
      <c r="D174" s="7">
        <f t="shared" si="43"/>
        <v>10</v>
      </c>
      <c r="E174" s="57">
        <v>45933</v>
      </c>
      <c r="F174" s="1"/>
      <c r="G174" s="8"/>
      <c r="H174" s="6"/>
      <c r="I174" s="22"/>
      <c r="J174" s="7">
        <f t="shared" si="42"/>
        <v>0</v>
      </c>
    </row>
    <row r="175" spans="1:15" x14ac:dyDescent="0.15">
      <c r="A175" s="8" t="s">
        <v>25</v>
      </c>
      <c r="B175" s="6">
        <v>1</v>
      </c>
      <c r="C175" s="22">
        <v>1</v>
      </c>
      <c r="D175" s="7">
        <f t="shared" si="43"/>
        <v>2</v>
      </c>
      <c r="E175" s="57">
        <v>45931</v>
      </c>
      <c r="F175" s="1"/>
      <c r="G175" s="8"/>
      <c r="H175" s="6"/>
      <c r="I175" s="22"/>
      <c r="J175" s="7">
        <f t="shared" ref="J175:J176" si="44">H175+I175</f>
        <v>0</v>
      </c>
    </row>
    <row r="176" spans="1:15" x14ac:dyDescent="0.15">
      <c r="A176" s="8" t="s">
        <v>79</v>
      </c>
      <c r="B176" s="6">
        <v>5</v>
      </c>
      <c r="C176" s="22">
        <v>5</v>
      </c>
      <c r="D176" s="7">
        <f t="shared" si="43"/>
        <v>10</v>
      </c>
      <c r="E176" s="57">
        <v>45933</v>
      </c>
      <c r="F176" s="1"/>
      <c r="G176" s="8"/>
      <c r="H176" s="6"/>
      <c r="I176" s="22"/>
      <c r="J176" s="7">
        <f t="shared" si="44"/>
        <v>0</v>
      </c>
    </row>
    <row r="177" spans="1:14" x14ac:dyDescent="0.15">
      <c r="A177" s="8" t="s">
        <v>1</v>
      </c>
      <c r="B177" s="6">
        <v>-5</v>
      </c>
      <c r="C177" s="22">
        <v>-10</v>
      </c>
      <c r="D177" s="7">
        <f t="shared" si="43"/>
        <v>-15</v>
      </c>
      <c r="E177" s="57">
        <v>45934</v>
      </c>
      <c r="F177" s="1"/>
      <c r="G177" s="8"/>
      <c r="H177" s="6"/>
      <c r="I177" s="22"/>
      <c r="J177" s="7">
        <f t="shared" ref="J177" si="45">H177+I177</f>
        <v>0</v>
      </c>
    </row>
    <row r="178" spans="1:14" x14ac:dyDescent="0.15">
      <c r="A178" s="8" t="s">
        <v>79</v>
      </c>
      <c r="B178" s="6">
        <v>2</v>
      </c>
      <c r="C178" s="22">
        <v>2</v>
      </c>
      <c r="D178" s="7">
        <f t="shared" si="43"/>
        <v>4</v>
      </c>
      <c r="E178" s="57">
        <v>45936</v>
      </c>
      <c r="F178" s="1"/>
      <c r="G178" s="8"/>
      <c r="H178" s="6"/>
      <c r="I178" s="22"/>
      <c r="J178" s="7">
        <f t="shared" ref="J178:J179" si="46">H178+I178</f>
        <v>0</v>
      </c>
    </row>
    <row r="179" spans="1:14" x14ac:dyDescent="0.15">
      <c r="A179" s="8" t="s">
        <v>25</v>
      </c>
      <c r="B179" s="6">
        <f>1+1</f>
        <v>2</v>
      </c>
      <c r="C179" s="22">
        <v>2</v>
      </c>
      <c r="D179" s="7">
        <f t="shared" si="43"/>
        <v>4</v>
      </c>
      <c r="E179" s="57">
        <v>45936</v>
      </c>
      <c r="F179" s="1"/>
      <c r="G179" s="8"/>
      <c r="H179" s="6"/>
      <c r="I179" s="22"/>
      <c r="J179" s="7">
        <f t="shared" si="46"/>
        <v>0</v>
      </c>
    </row>
    <row r="180" spans="1:14" x14ac:dyDescent="0.15">
      <c r="A180" s="8" t="s">
        <v>79</v>
      </c>
      <c r="B180" s="6">
        <v>1</v>
      </c>
      <c r="C180" s="22">
        <v>1</v>
      </c>
      <c r="D180" s="7">
        <f t="shared" si="43"/>
        <v>2</v>
      </c>
      <c r="E180" s="57">
        <v>45939</v>
      </c>
      <c r="F180" s="1"/>
      <c r="G180" s="8" t="s">
        <v>76</v>
      </c>
      <c r="H180" s="6"/>
      <c r="I180" s="22"/>
      <c r="J180" s="7">
        <f t="shared" ref="J180" si="47">H180+I180</f>
        <v>0</v>
      </c>
      <c r="K180" s="45" t="s">
        <v>69</v>
      </c>
    </row>
    <row r="181" spans="1:14" x14ac:dyDescent="0.15">
      <c r="A181" s="8" t="s">
        <v>25</v>
      </c>
      <c r="B181" s="6">
        <v>2</v>
      </c>
      <c r="C181" s="22"/>
      <c r="D181" s="7">
        <f t="shared" si="43"/>
        <v>2</v>
      </c>
      <c r="E181" s="57">
        <v>45937</v>
      </c>
      <c r="F181" s="1"/>
      <c r="G181" s="8" t="s">
        <v>75</v>
      </c>
      <c r="H181" s="6"/>
      <c r="I181" s="22"/>
      <c r="J181" s="7">
        <f t="shared" ref="J181" si="48">H181+I181</f>
        <v>0</v>
      </c>
      <c r="K181" s="45" t="s">
        <v>73</v>
      </c>
    </row>
    <row r="182" spans="1:14" ht="14.25" thickBot="1" x14ac:dyDescent="0.2">
      <c r="A182" s="75" t="s">
        <v>1</v>
      </c>
      <c r="B182" s="76">
        <v>-10</v>
      </c>
      <c r="C182" s="77">
        <v>-5</v>
      </c>
      <c r="D182" s="78">
        <f t="shared" si="43"/>
        <v>-15</v>
      </c>
      <c r="E182" s="73">
        <v>45939</v>
      </c>
      <c r="F182" s="1"/>
      <c r="G182" s="8"/>
      <c r="H182" s="6"/>
      <c r="I182" s="22"/>
      <c r="J182" s="7">
        <f t="shared" ref="J182" si="49">H182+I182</f>
        <v>0</v>
      </c>
      <c r="K182" s="45"/>
    </row>
    <row r="183" spans="1:14" ht="14.25" thickBot="1" x14ac:dyDescent="0.2">
      <c r="A183" s="9" t="s">
        <v>3</v>
      </c>
      <c r="B183" s="10">
        <f>SUM(B159:B182)</f>
        <v>81</v>
      </c>
      <c r="C183" s="33">
        <f>SUM(C159:C182)</f>
        <v>51</v>
      </c>
      <c r="D183" s="11">
        <f>SUM(D159:D182)</f>
        <v>132</v>
      </c>
      <c r="E183" s="55"/>
      <c r="F183" s="1"/>
      <c r="G183" s="9" t="s">
        <v>3</v>
      </c>
      <c r="H183" s="10">
        <f>SUM(H159:H182)</f>
        <v>90</v>
      </c>
      <c r="I183" s="33">
        <f>SUM(I159:I182)</f>
        <v>145</v>
      </c>
      <c r="J183" s="11">
        <f>SUM(J159:J182)</f>
        <v>235</v>
      </c>
    </row>
    <row r="184" spans="1:14" ht="14.25" thickBot="1" x14ac:dyDescent="0.2">
      <c r="A184" s="13" t="s">
        <v>4</v>
      </c>
      <c r="B184" s="14">
        <f>B158-B183</f>
        <v>16</v>
      </c>
      <c r="C184" s="14">
        <f>C158-C183</f>
        <v>15</v>
      </c>
      <c r="D184" s="30">
        <f>D158-D183</f>
        <v>31</v>
      </c>
      <c r="E184" s="58"/>
      <c r="F184" s="1"/>
      <c r="G184" s="13" t="s">
        <v>4</v>
      </c>
      <c r="H184" s="14">
        <f>H158-H183</f>
        <v>957</v>
      </c>
      <c r="I184" s="14">
        <f>I158-I183</f>
        <v>1050</v>
      </c>
      <c r="J184" s="30">
        <f>J158-J183</f>
        <v>2007</v>
      </c>
      <c r="N184" t="s">
        <v>70</v>
      </c>
    </row>
    <row r="187" spans="1:14" ht="19.5" thickBot="1" x14ac:dyDescent="0.25">
      <c r="A187" s="21" t="s">
        <v>10</v>
      </c>
      <c r="B187" s="1"/>
      <c r="C187" s="1"/>
      <c r="D187" s="1"/>
      <c r="E187" s="55"/>
      <c r="F187" s="1"/>
      <c r="G187" s="21" t="s">
        <v>11</v>
      </c>
      <c r="H187" s="1"/>
      <c r="I187" s="49" t="s">
        <v>37</v>
      </c>
      <c r="J187" s="46">
        <v>1780</v>
      </c>
    </row>
    <row r="188" spans="1:14" ht="14.25" thickBot="1" x14ac:dyDescent="0.2">
      <c r="A188" s="2"/>
      <c r="B188" s="47" t="s">
        <v>7</v>
      </c>
      <c r="C188" s="48" t="s">
        <v>8</v>
      </c>
      <c r="D188" s="2" t="s">
        <v>0</v>
      </c>
      <c r="E188" s="56"/>
      <c r="F188" s="1"/>
      <c r="G188" s="2"/>
      <c r="H188" s="47" t="s">
        <v>7</v>
      </c>
      <c r="I188" s="48" t="s">
        <v>8</v>
      </c>
      <c r="J188" s="2" t="s">
        <v>0</v>
      </c>
    </row>
    <row r="189" spans="1:14" x14ac:dyDescent="0.15">
      <c r="A189" s="26" t="s">
        <v>4</v>
      </c>
      <c r="B189" s="29">
        <f>B184</f>
        <v>16</v>
      </c>
      <c r="C189" s="38">
        <f>C184</f>
        <v>15</v>
      </c>
      <c r="D189" s="28">
        <f>B189+C189</f>
        <v>31</v>
      </c>
      <c r="E189" s="55"/>
      <c r="F189" s="1"/>
      <c r="G189" s="12" t="s">
        <v>6</v>
      </c>
      <c r="H189" s="18">
        <f>H184</f>
        <v>957</v>
      </c>
      <c r="I189" s="18">
        <f>I184</f>
        <v>1050</v>
      </c>
      <c r="J189" s="28">
        <f>H189+I189</f>
        <v>2007</v>
      </c>
    </row>
    <row r="190" spans="1:14" x14ac:dyDescent="0.15">
      <c r="A190" s="3" t="s">
        <v>1</v>
      </c>
      <c r="B190" s="34"/>
      <c r="C190" s="41">
        <v>5</v>
      </c>
      <c r="D190" s="7">
        <f t="shared" ref="D190" si="50">B190+C190</f>
        <v>5</v>
      </c>
      <c r="E190" s="57">
        <v>45947</v>
      </c>
      <c r="F190" s="1"/>
      <c r="G190" s="4" t="s">
        <v>1</v>
      </c>
      <c r="H190" s="27"/>
      <c r="I190" s="27"/>
      <c r="J190" s="17">
        <f t="shared" ref="J190" si="51">H190+I190</f>
        <v>0</v>
      </c>
    </row>
    <row r="191" spans="1:14" x14ac:dyDescent="0.15">
      <c r="A191" s="69" t="s">
        <v>1</v>
      </c>
      <c r="B191" s="81">
        <v>15</v>
      </c>
      <c r="C191" s="82">
        <v>15</v>
      </c>
      <c r="D191" s="78">
        <f t="shared" ref="D191" si="52">B191+C191</f>
        <v>30</v>
      </c>
      <c r="E191" s="73">
        <v>45959</v>
      </c>
      <c r="F191" s="1"/>
      <c r="G191" s="4" t="s">
        <v>42</v>
      </c>
      <c r="H191" s="27">
        <v>31</v>
      </c>
      <c r="I191" s="27">
        <v>79</v>
      </c>
      <c r="J191" s="17">
        <f t="shared" ref="J191:J194" si="53">H191+I191</f>
        <v>110</v>
      </c>
      <c r="K191" s="44">
        <v>45975</v>
      </c>
    </row>
    <row r="192" spans="1:14" x14ac:dyDescent="0.15">
      <c r="A192" s="3" t="s">
        <v>1</v>
      </c>
      <c r="B192" s="34"/>
      <c r="C192" s="41">
        <v>5</v>
      </c>
      <c r="D192" s="7">
        <f t="shared" ref="D192:D194" si="54">B192+C192</f>
        <v>5</v>
      </c>
      <c r="E192" s="57">
        <v>45962</v>
      </c>
      <c r="F192" s="1"/>
      <c r="G192" s="4" t="s">
        <v>1</v>
      </c>
      <c r="H192" s="22"/>
      <c r="I192" s="22"/>
      <c r="J192" s="17">
        <f t="shared" si="53"/>
        <v>0</v>
      </c>
    </row>
    <row r="193" spans="1:12" x14ac:dyDescent="0.15">
      <c r="A193" s="3" t="s">
        <v>1</v>
      </c>
      <c r="B193" s="34"/>
      <c r="C193" s="41">
        <v>10</v>
      </c>
      <c r="D193" s="7">
        <f t="shared" si="54"/>
        <v>10</v>
      </c>
      <c r="E193" s="57">
        <v>45966</v>
      </c>
      <c r="F193" s="1"/>
      <c r="G193" s="4" t="s">
        <v>1</v>
      </c>
      <c r="H193" s="23"/>
      <c r="I193" s="23"/>
      <c r="J193" s="17">
        <f t="shared" si="53"/>
        <v>0</v>
      </c>
    </row>
    <row r="194" spans="1:12" ht="14.25" thickBot="1" x14ac:dyDescent="0.2">
      <c r="A194" s="83" t="s">
        <v>1</v>
      </c>
      <c r="B194" s="42">
        <v>10</v>
      </c>
      <c r="C194" s="15">
        <v>10</v>
      </c>
      <c r="D194" s="84">
        <f t="shared" si="54"/>
        <v>20</v>
      </c>
      <c r="E194" s="57">
        <v>45971</v>
      </c>
      <c r="F194" s="1"/>
      <c r="G194" s="4" t="s">
        <v>1</v>
      </c>
      <c r="H194" s="23"/>
      <c r="I194" s="23"/>
      <c r="J194" s="17">
        <f t="shared" si="53"/>
        <v>0</v>
      </c>
    </row>
    <row r="195" spans="1:12" ht="14.25" thickBot="1" x14ac:dyDescent="0.2">
      <c r="A195" s="74" t="s">
        <v>2</v>
      </c>
      <c r="B195" s="16">
        <f>SUM(B189:B194)</f>
        <v>41</v>
      </c>
      <c r="C195" s="32">
        <f>SUM(C189:C194)</f>
        <v>60</v>
      </c>
      <c r="D195" s="16">
        <f>B195+C195</f>
        <v>101</v>
      </c>
      <c r="E195" s="58"/>
      <c r="F195" s="1"/>
      <c r="G195" s="13" t="s">
        <v>2</v>
      </c>
      <c r="H195" s="14">
        <f>SUM(H189:H194)</f>
        <v>988</v>
      </c>
      <c r="I195" s="35">
        <f>SUM(I189:I194)</f>
        <v>1129</v>
      </c>
      <c r="J195" s="30">
        <f>H195+I195</f>
        <v>2117</v>
      </c>
    </row>
    <row r="196" spans="1:12" x14ac:dyDescent="0.15">
      <c r="A196" s="8" t="s">
        <v>79</v>
      </c>
      <c r="B196" s="6">
        <v>1</v>
      </c>
      <c r="C196" s="22">
        <v>1</v>
      </c>
      <c r="D196" s="7">
        <f t="shared" ref="D196:D215" si="55">B196+C196</f>
        <v>2</v>
      </c>
      <c r="E196" s="57">
        <v>45940</v>
      </c>
      <c r="F196" s="1"/>
      <c r="G196" s="25" t="s">
        <v>82</v>
      </c>
      <c r="H196" s="6"/>
      <c r="I196" s="22">
        <v>5</v>
      </c>
      <c r="J196" s="7">
        <f t="shared" ref="J196:J198" si="56">H196+I196</f>
        <v>5</v>
      </c>
      <c r="K196" s="44">
        <v>45947</v>
      </c>
    </row>
    <row r="197" spans="1:12" x14ac:dyDescent="0.15">
      <c r="A197" s="8" t="s">
        <v>81</v>
      </c>
      <c r="B197" s="6"/>
      <c r="C197" s="22">
        <f>3+1</f>
        <v>4</v>
      </c>
      <c r="D197" s="7">
        <f t="shared" si="55"/>
        <v>4</v>
      </c>
      <c r="E197" s="57">
        <v>45940</v>
      </c>
      <c r="F197" s="1"/>
      <c r="G197" s="80" t="s">
        <v>23</v>
      </c>
      <c r="H197" s="76">
        <v>15</v>
      </c>
      <c r="I197" s="77">
        <v>15</v>
      </c>
      <c r="J197" s="78">
        <f t="shared" si="56"/>
        <v>30</v>
      </c>
      <c r="K197" s="79">
        <v>45959</v>
      </c>
    </row>
    <row r="198" spans="1:12" x14ac:dyDescent="0.15">
      <c r="A198" s="8" t="s">
        <v>25</v>
      </c>
      <c r="B198" s="6">
        <v>2</v>
      </c>
      <c r="C198" s="22">
        <v>1</v>
      </c>
      <c r="D198" s="7">
        <f t="shared" si="55"/>
        <v>3</v>
      </c>
      <c r="E198" s="57">
        <v>45946</v>
      </c>
      <c r="F198" s="1"/>
      <c r="G198" s="8" t="s">
        <v>83</v>
      </c>
      <c r="H198" s="6">
        <v>60</v>
      </c>
      <c r="I198" s="22">
        <v>30</v>
      </c>
      <c r="J198" s="7">
        <f t="shared" si="56"/>
        <v>90</v>
      </c>
      <c r="K198" s="44">
        <v>45961</v>
      </c>
    </row>
    <row r="199" spans="1:12" x14ac:dyDescent="0.15">
      <c r="A199" s="8" t="s">
        <v>25</v>
      </c>
      <c r="B199" s="6">
        <v>2</v>
      </c>
      <c r="C199" s="22"/>
      <c r="D199" s="7">
        <f t="shared" si="55"/>
        <v>2</v>
      </c>
      <c r="E199" s="57">
        <v>45947</v>
      </c>
      <c r="F199" s="1"/>
      <c r="G199" s="25" t="s">
        <v>85</v>
      </c>
      <c r="H199" s="6"/>
      <c r="I199" s="22">
        <v>5</v>
      </c>
      <c r="J199" s="7">
        <f t="shared" ref="J199:J213" si="57">H199+I199</f>
        <v>5</v>
      </c>
      <c r="K199" s="44">
        <v>45962</v>
      </c>
      <c r="L199" s="54"/>
    </row>
    <row r="200" spans="1:12" x14ac:dyDescent="0.15">
      <c r="A200" s="8" t="s">
        <v>25</v>
      </c>
      <c r="B200" s="6">
        <v>1</v>
      </c>
      <c r="C200" s="22">
        <v>1</v>
      </c>
      <c r="D200" s="7">
        <f t="shared" si="55"/>
        <v>2</v>
      </c>
      <c r="E200" s="57">
        <v>45948</v>
      </c>
      <c r="F200" s="1"/>
      <c r="G200" s="25" t="s">
        <v>23</v>
      </c>
      <c r="H200" s="6"/>
      <c r="I200" s="22">
        <v>10</v>
      </c>
      <c r="J200" s="7">
        <f t="shared" si="57"/>
        <v>10</v>
      </c>
      <c r="K200" s="44">
        <v>45966</v>
      </c>
      <c r="L200" s="54"/>
    </row>
    <row r="201" spans="1:12" x14ac:dyDescent="0.15">
      <c r="A201" s="8" t="s">
        <v>25</v>
      </c>
      <c r="B201" s="6"/>
      <c r="C201" s="22">
        <v>1</v>
      </c>
      <c r="D201" s="7">
        <f t="shared" si="55"/>
        <v>1</v>
      </c>
      <c r="E201" s="57">
        <v>45950</v>
      </c>
      <c r="F201" s="1"/>
      <c r="G201" s="25" t="s">
        <v>23</v>
      </c>
      <c r="H201" s="6">
        <v>10</v>
      </c>
      <c r="I201" s="22">
        <v>10</v>
      </c>
      <c r="J201" s="7">
        <f t="shared" si="57"/>
        <v>20</v>
      </c>
      <c r="K201" s="44">
        <v>45971</v>
      </c>
    </row>
    <row r="202" spans="1:12" x14ac:dyDescent="0.15">
      <c r="A202" s="8" t="s">
        <v>25</v>
      </c>
      <c r="B202" s="6">
        <v>2</v>
      </c>
      <c r="C202" s="22">
        <v>3</v>
      </c>
      <c r="D202" s="7">
        <f t="shared" si="55"/>
        <v>5</v>
      </c>
      <c r="E202" s="57">
        <v>45953</v>
      </c>
      <c r="F202" s="1"/>
      <c r="G202" s="80" t="s">
        <v>23</v>
      </c>
      <c r="H202" s="76">
        <v>10</v>
      </c>
      <c r="I202" s="77">
        <v>10</v>
      </c>
      <c r="J202" s="78">
        <f t="shared" si="57"/>
        <v>20</v>
      </c>
      <c r="K202" s="79">
        <v>45974</v>
      </c>
    </row>
    <row r="203" spans="1:12" x14ac:dyDescent="0.15">
      <c r="A203" s="8" t="s">
        <v>25</v>
      </c>
      <c r="B203" s="6">
        <v>5</v>
      </c>
      <c r="C203" s="22">
        <v>8</v>
      </c>
      <c r="D203" s="7">
        <f t="shared" si="55"/>
        <v>13</v>
      </c>
      <c r="E203" s="57">
        <v>45957</v>
      </c>
      <c r="F203" s="1"/>
      <c r="G203" s="24" t="s">
        <v>33</v>
      </c>
      <c r="H203" s="6">
        <v>20</v>
      </c>
      <c r="I203" s="22">
        <v>28</v>
      </c>
      <c r="J203" s="7">
        <f t="shared" si="57"/>
        <v>48</v>
      </c>
      <c r="K203" s="44">
        <v>45975</v>
      </c>
    </row>
    <row r="204" spans="1:12" x14ac:dyDescent="0.15">
      <c r="A204" s="8" t="s">
        <v>25</v>
      </c>
      <c r="B204" s="6"/>
      <c r="C204" s="22">
        <v>3</v>
      </c>
      <c r="D204" s="7">
        <f t="shared" si="55"/>
        <v>3</v>
      </c>
      <c r="E204" s="57">
        <v>45959</v>
      </c>
      <c r="F204" s="1"/>
      <c r="G204" s="24" t="s">
        <v>35</v>
      </c>
      <c r="H204" s="6">
        <v>40</v>
      </c>
      <c r="I204" s="22">
        <v>8</v>
      </c>
      <c r="J204" s="7">
        <f t="shared" si="57"/>
        <v>48</v>
      </c>
      <c r="K204" s="44">
        <v>45980</v>
      </c>
    </row>
    <row r="205" spans="1:12" x14ac:dyDescent="0.15">
      <c r="A205" s="8" t="s">
        <v>25</v>
      </c>
      <c r="B205" s="6">
        <v>1</v>
      </c>
      <c r="C205" s="22">
        <v>3</v>
      </c>
      <c r="D205" s="7">
        <f t="shared" si="55"/>
        <v>4</v>
      </c>
      <c r="E205" s="57">
        <v>45960</v>
      </c>
      <c r="F205" s="1"/>
      <c r="G205" s="5"/>
      <c r="H205" s="6"/>
      <c r="I205" s="22"/>
      <c r="J205" s="7">
        <f t="shared" si="57"/>
        <v>0</v>
      </c>
    </row>
    <row r="206" spans="1:12" x14ac:dyDescent="0.15">
      <c r="A206" s="8" t="s">
        <v>25</v>
      </c>
      <c r="B206" s="6">
        <v>2</v>
      </c>
      <c r="C206" s="22">
        <v>8</v>
      </c>
      <c r="D206" s="7">
        <f t="shared" si="55"/>
        <v>10</v>
      </c>
      <c r="E206" s="57">
        <v>45965</v>
      </c>
      <c r="F206" s="1"/>
      <c r="G206" s="5"/>
      <c r="H206" s="6"/>
      <c r="I206" s="22"/>
      <c r="J206" s="7">
        <f t="shared" si="57"/>
        <v>0</v>
      </c>
    </row>
    <row r="207" spans="1:12" x14ac:dyDescent="0.15">
      <c r="A207" s="8" t="s">
        <v>25</v>
      </c>
      <c r="B207" s="6">
        <v>3</v>
      </c>
      <c r="C207" s="22">
        <v>2</v>
      </c>
      <c r="D207" s="7">
        <f t="shared" si="55"/>
        <v>5</v>
      </c>
      <c r="E207" s="57">
        <v>45966</v>
      </c>
      <c r="F207" s="1"/>
      <c r="G207" s="5"/>
      <c r="H207" s="6"/>
      <c r="I207" s="22"/>
      <c r="J207" s="7">
        <f t="shared" si="57"/>
        <v>0</v>
      </c>
    </row>
    <row r="208" spans="1:12" x14ac:dyDescent="0.15">
      <c r="A208" s="8" t="s">
        <v>25</v>
      </c>
      <c r="B208" s="6"/>
      <c r="C208" s="22">
        <v>3</v>
      </c>
      <c r="D208" s="7">
        <f t="shared" si="55"/>
        <v>3</v>
      </c>
      <c r="E208" s="57">
        <v>45967</v>
      </c>
      <c r="F208" s="1"/>
      <c r="G208" s="8"/>
      <c r="H208" s="6"/>
      <c r="I208" s="22"/>
      <c r="J208" s="7">
        <f t="shared" si="57"/>
        <v>0</v>
      </c>
    </row>
    <row r="209" spans="1:12" x14ac:dyDescent="0.15">
      <c r="A209" s="8" t="s">
        <v>25</v>
      </c>
      <c r="B209" s="6">
        <f>1+2</f>
        <v>3</v>
      </c>
      <c r="C209" s="22">
        <v>1</v>
      </c>
      <c r="D209" s="7">
        <f t="shared" si="55"/>
        <v>4</v>
      </c>
      <c r="E209" s="57">
        <v>45968</v>
      </c>
      <c r="F209" s="1"/>
      <c r="G209" s="5"/>
      <c r="H209" s="6"/>
      <c r="I209" s="22"/>
      <c r="J209" s="7">
        <f t="shared" si="57"/>
        <v>0</v>
      </c>
    </row>
    <row r="210" spans="1:12" x14ac:dyDescent="0.15">
      <c r="A210" s="8" t="s">
        <v>25</v>
      </c>
      <c r="B210" s="6">
        <v>1</v>
      </c>
      <c r="C210" s="22">
        <v>6</v>
      </c>
      <c r="D210" s="7">
        <f t="shared" si="55"/>
        <v>7</v>
      </c>
      <c r="E210" s="57">
        <v>45971</v>
      </c>
      <c r="F210" s="1"/>
      <c r="G210" s="8"/>
      <c r="H210" s="6"/>
      <c r="I210" s="22"/>
      <c r="J210" s="7">
        <f t="shared" si="57"/>
        <v>0</v>
      </c>
    </row>
    <row r="211" spans="1:12" x14ac:dyDescent="0.15">
      <c r="A211" s="8" t="s">
        <v>25</v>
      </c>
      <c r="B211" s="6">
        <v>5</v>
      </c>
      <c r="C211" s="22">
        <v>4</v>
      </c>
      <c r="D211" s="7">
        <f t="shared" si="55"/>
        <v>9</v>
      </c>
      <c r="E211" s="57">
        <v>45972</v>
      </c>
      <c r="F211" s="1"/>
      <c r="G211" s="8"/>
      <c r="H211" s="6"/>
      <c r="I211" s="22"/>
      <c r="J211" s="7">
        <f t="shared" si="57"/>
        <v>0</v>
      </c>
    </row>
    <row r="212" spans="1:12" x14ac:dyDescent="0.15">
      <c r="A212" s="8" t="s">
        <v>25</v>
      </c>
      <c r="B212" s="6">
        <v>2</v>
      </c>
      <c r="C212" s="22"/>
      <c r="D212" s="7">
        <f t="shared" si="55"/>
        <v>2</v>
      </c>
      <c r="E212" s="57">
        <v>45973</v>
      </c>
      <c r="F212" s="1"/>
      <c r="G212" s="8"/>
      <c r="H212" s="6"/>
      <c r="I212" s="22"/>
      <c r="J212" s="7">
        <f t="shared" si="57"/>
        <v>0</v>
      </c>
    </row>
    <row r="213" spans="1:12" x14ac:dyDescent="0.15">
      <c r="A213" s="75" t="s">
        <v>91</v>
      </c>
      <c r="B213" s="76">
        <v>-10</v>
      </c>
      <c r="C213" s="77">
        <v>-10</v>
      </c>
      <c r="D213" s="78">
        <f t="shared" si="55"/>
        <v>-20</v>
      </c>
      <c r="E213" s="73">
        <v>45974</v>
      </c>
      <c r="F213" s="1"/>
      <c r="G213" s="8"/>
      <c r="H213" s="6"/>
      <c r="I213" s="22"/>
      <c r="J213" s="7">
        <f t="shared" si="57"/>
        <v>0</v>
      </c>
    </row>
    <row r="214" spans="1:12" x14ac:dyDescent="0.15">
      <c r="A214" s="8" t="s">
        <v>25</v>
      </c>
      <c r="B214" s="6"/>
      <c r="C214" s="22">
        <v>3</v>
      </c>
      <c r="D214" s="7">
        <f t="shared" si="55"/>
        <v>3</v>
      </c>
      <c r="E214" s="57">
        <v>45974</v>
      </c>
      <c r="F214" s="1"/>
      <c r="G214" s="8"/>
      <c r="H214" s="6"/>
      <c r="I214" s="22"/>
      <c r="J214" s="7">
        <f t="shared" ref="J214:J215" si="58">H214+I214</f>
        <v>0</v>
      </c>
      <c r="L214" s="54"/>
    </row>
    <row r="215" spans="1:12" x14ac:dyDescent="0.15">
      <c r="A215" s="8" t="s">
        <v>25</v>
      </c>
      <c r="B215" s="6">
        <v>2</v>
      </c>
      <c r="C215" s="22">
        <v>2</v>
      </c>
      <c r="D215" s="7">
        <f t="shared" si="55"/>
        <v>4</v>
      </c>
      <c r="E215" s="57">
        <v>45975</v>
      </c>
      <c r="F215" s="1"/>
      <c r="G215" s="8"/>
      <c r="H215" s="6"/>
      <c r="I215" s="22"/>
      <c r="J215" s="7">
        <f t="shared" si="58"/>
        <v>0</v>
      </c>
      <c r="L215" s="54"/>
    </row>
    <row r="216" spans="1:12" x14ac:dyDescent="0.15">
      <c r="A216" s="8" t="s">
        <v>25</v>
      </c>
      <c r="B216" s="6">
        <v>1</v>
      </c>
      <c r="C216" s="22">
        <v>4</v>
      </c>
      <c r="D216" s="7">
        <f t="shared" ref="D216:D219" si="59">B216+C216</f>
        <v>5</v>
      </c>
      <c r="E216" s="57">
        <v>45978</v>
      </c>
      <c r="F216" s="1"/>
      <c r="G216" s="3" t="s">
        <v>90</v>
      </c>
      <c r="H216" s="59"/>
      <c r="I216" s="60"/>
      <c r="J216" s="61">
        <f t="shared" ref="J216:J219" si="60">H216+I216</f>
        <v>0</v>
      </c>
      <c r="K216" s="62" t="s">
        <v>77</v>
      </c>
    </row>
    <row r="217" spans="1:12" x14ac:dyDescent="0.15">
      <c r="A217" s="8" t="s">
        <v>25</v>
      </c>
      <c r="B217" s="6"/>
      <c r="C217" s="22">
        <v>1</v>
      </c>
      <c r="D217" s="7">
        <f t="shared" si="59"/>
        <v>1</v>
      </c>
      <c r="E217" s="57">
        <v>45979</v>
      </c>
      <c r="F217" s="1"/>
      <c r="G217" s="8" t="s">
        <v>84</v>
      </c>
      <c r="H217" s="6"/>
      <c r="I217" s="22"/>
      <c r="J217" s="7">
        <f t="shared" si="60"/>
        <v>0</v>
      </c>
      <c r="K217" s="45" t="s">
        <v>77</v>
      </c>
    </row>
    <row r="218" spans="1:12" x14ac:dyDescent="0.15">
      <c r="A218" s="8" t="s">
        <v>25</v>
      </c>
      <c r="B218" s="6">
        <v>2</v>
      </c>
      <c r="C218" s="22">
        <v>2</v>
      </c>
      <c r="D218" s="7">
        <f t="shared" si="59"/>
        <v>4</v>
      </c>
      <c r="E218" s="57">
        <v>45980</v>
      </c>
      <c r="F218" s="1"/>
      <c r="G218" s="3" t="s">
        <v>88</v>
      </c>
      <c r="H218" s="59"/>
      <c r="I218" s="60"/>
      <c r="J218" s="61">
        <f t="shared" si="60"/>
        <v>0</v>
      </c>
      <c r="K218" s="62"/>
    </row>
    <row r="219" spans="1:12" ht="14.25" thickBot="1" x14ac:dyDescent="0.2">
      <c r="A219" s="8" t="s">
        <v>25</v>
      </c>
      <c r="B219" s="6">
        <v>1</v>
      </c>
      <c r="C219" s="22"/>
      <c r="D219" s="7">
        <f t="shared" si="59"/>
        <v>1</v>
      </c>
      <c r="E219" s="57">
        <v>45981</v>
      </c>
      <c r="F219" s="1"/>
      <c r="G219" s="8" t="s">
        <v>12</v>
      </c>
      <c r="H219" s="6"/>
      <c r="I219" s="22"/>
      <c r="J219" s="7">
        <f t="shared" si="60"/>
        <v>0</v>
      </c>
      <c r="K219" s="45" t="s">
        <v>78</v>
      </c>
    </row>
    <row r="220" spans="1:12" ht="14.25" thickBot="1" x14ac:dyDescent="0.2">
      <c r="A220" s="9" t="s">
        <v>3</v>
      </c>
      <c r="B220" s="10">
        <f>SUM(B196:B219)</f>
        <v>26</v>
      </c>
      <c r="C220" s="33">
        <f>SUM(C196:C219)</f>
        <v>51</v>
      </c>
      <c r="D220" s="11">
        <f>SUM(D196:D219)</f>
        <v>77</v>
      </c>
      <c r="E220" s="55"/>
      <c r="F220" s="1"/>
      <c r="G220" s="9" t="s">
        <v>3</v>
      </c>
      <c r="H220" s="10">
        <f>SUM(H196:H219)</f>
        <v>155</v>
      </c>
      <c r="I220" s="33">
        <f>SUM(I196:I219)</f>
        <v>121</v>
      </c>
      <c r="J220" s="11">
        <f>SUM(J196:J219)</f>
        <v>276</v>
      </c>
    </row>
    <row r="221" spans="1:12" ht="14.25" thickBot="1" x14ac:dyDescent="0.2">
      <c r="A221" s="13" t="s">
        <v>4</v>
      </c>
      <c r="B221" s="14">
        <f>B195-B220</f>
        <v>15</v>
      </c>
      <c r="C221" s="14">
        <f>C195-C220</f>
        <v>9</v>
      </c>
      <c r="D221" s="30">
        <f>D195-D220</f>
        <v>24</v>
      </c>
      <c r="E221" s="58"/>
      <c r="F221" s="1"/>
      <c r="G221" s="13" t="s">
        <v>4</v>
      </c>
      <c r="H221" s="14">
        <f>H195-H220</f>
        <v>833</v>
      </c>
      <c r="I221" s="14">
        <f>I195-I220</f>
        <v>1008</v>
      </c>
      <c r="J221" s="30">
        <f>J195-J220</f>
        <v>1841</v>
      </c>
    </row>
    <row r="224" spans="1:12" ht="19.5" thickBot="1" x14ac:dyDescent="0.25">
      <c r="A224" s="21" t="s">
        <v>10</v>
      </c>
      <c r="B224" s="1"/>
      <c r="C224" s="1"/>
      <c r="D224" s="1"/>
      <c r="E224" s="55"/>
      <c r="F224" s="1"/>
      <c r="G224" s="21" t="s">
        <v>11</v>
      </c>
      <c r="H224" s="1"/>
      <c r="I224" s="49" t="s">
        <v>37</v>
      </c>
      <c r="J224" s="46">
        <v>1780</v>
      </c>
    </row>
    <row r="225" spans="1:14" ht="14.25" thickBot="1" x14ac:dyDescent="0.2">
      <c r="A225" s="2"/>
      <c r="B225" s="47" t="s">
        <v>7</v>
      </c>
      <c r="C225" s="48" t="s">
        <v>8</v>
      </c>
      <c r="D225" s="2" t="s">
        <v>0</v>
      </c>
      <c r="E225" s="56"/>
      <c r="F225" s="1"/>
      <c r="G225" s="2"/>
      <c r="H225" s="47" t="s">
        <v>7</v>
      </c>
      <c r="I225" s="48" t="s">
        <v>8</v>
      </c>
      <c r="J225" s="2" t="s">
        <v>0</v>
      </c>
    </row>
    <row r="226" spans="1:14" x14ac:dyDescent="0.15">
      <c r="A226" s="26" t="s">
        <v>4</v>
      </c>
      <c r="B226" s="29">
        <f>B221</f>
        <v>15</v>
      </c>
      <c r="C226" s="38">
        <f>C221</f>
        <v>9</v>
      </c>
      <c r="D226" s="28">
        <f>B226+C226</f>
        <v>24</v>
      </c>
      <c r="E226" s="55"/>
      <c r="F226" s="1"/>
      <c r="G226" s="12" t="s">
        <v>6</v>
      </c>
      <c r="H226" s="18">
        <f>H221</f>
        <v>833</v>
      </c>
      <c r="I226" s="18">
        <f>I221</f>
        <v>1008</v>
      </c>
      <c r="J226" s="28">
        <f>H226+I226</f>
        <v>1841</v>
      </c>
    </row>
    <row r="227" spans="1:14" x14ac:dyDescent="0.15">
      <c r="A227" s="69" t="s">
        <v>1</v>
      </c>
      <c r="B227" s="81">
        <v>10</v>
      </c>
      <c r="C227" s="82">
        <v>20</v>
      </c>
      <c r="D227" s="78">
        <f t="shared" ref="D227:D231" si="61">B227+C227</f>
        <v>30</v>
      </c>
      <c r="E227" s="73">
        <v>45986</v>
      </c>
      <c r="F227" s="1"/>
      <c r="G227" s="4" t="s">
        <v>1</v>
      </c>
      <c r="H227" s="27"/>
      <c r="I227" s="27"/>
      <c r="J227" s="17">
        <f t="shared" ref="J227:J231" si="62">H227+I227</f>
        <v>0</v>
      </c>
    </row>
    <row r="228" spans="1:14" x14ac:dyDescent="0.15">
      <c r="A228" s="3" t="s">
        <v>1</v>
      </c>
      <c r="B228" s="34"/>
      <c r="C228" s="41">
        <v>10</v>
      </c>
      <c r="D228" s="7">
        <f t="shared" si="61"/>
        <v>10</v>
      </c>
      <c r="E228" s="57">
        <v>45988</v>
      </c>
      <c r="F228" s="1"/>
      <c r="G228" s="4" t="s">
        <v>1</v>
      </c>
      <c r="H228" s="22"/>
      <c r="I228" s="22"/>
      <c r="J228" s="17">
        <f t="shared" ref="J228" si="63">H228+I228</f>
        <v>0</v>
      </c>
    </row>
    <row r="229" spans="1:14" x14ac:dyDescent="0.15">
      <c r="A229" s="3" t="s">
        <v>1</v>
      </c>
      <c r="B229" s="34">
        <v>15</v>
      </c>
      <c r="C229" s="41">
        <v>15</v>
      </c>
      <c r="D229" s="7">
        <f t="shared" si="61"/>
        <v>30</v>
      </c>
      <c r="E229" s="57">
        <v>45989</v>
      </c>
      <c r="F229" s="1"/>
      <c r="G229" s="4" t="s">
        <v>1</v>
      </c>
      <c r="H229" s="22"/>
      <c r="I229" s="22"/>
      <c r="J229" s="17">
        <f t="shared" si="62"/>
        <v>0</v>
      </c>
    </row>
    <row r="230" spans="1:14" x14ac:dyDescent="0.15">
      <c r="A230" s="3" t="s">
        <v>1</v>
      </c>
      <c r="B230" s="34"/>
      <c r="C230" s="41">
        <v>15</v>
      </c>
      <c r="D230" s="7">
        <f t="shared" si="61"/>
        <v>15</v>
      </c>
      <c r="E230" s="57">
        <v>45990</v>
      </c>
      <c r="F230" s="1"/>
      <c r="G230" s="4" t="s">
        <v>1</v>
      </c>
      <c r="H230" s="23"/>
      <c r="I230" s="23"/>
      <c r="J230" s="17">
        <f t="shared" si="62"/>
        <v>0</v>
      </c>
    </row>
    <row r="231" spans="1:14" ht="14.25" thickBot="1" x14ac:dyDescent="0.2">
      <c r="A231" s="87" t="s">
        <v>1</v>
      </c>
      <c r="B231" s="70">
        <v>20</v>
      </c>
      <c r="C231" s="71">
        <v>25</v>
      </c>
      <c r="D231" s="88">
        <f t="shared" si="61"/>
        <v>45</v>
      </c>
      <c r="E231" s="73">
        <v>45993</v>
      </c>
      <c r="F231" s="1"/>
      <c r="G231" s="4" t="s">
        <v>1</v>
      </c>
      <c r="H231" s="23"/>
      <c r="I231" s="23"/>
      <c r="J231" s="17">
        <f t="shared" si="62"/>
        <v>0</v>
      </c>
    </row>
    <row r="232" spans="1:14" ht="14.25" thickBot="1" x14ac:dyDescent="0.2">
      <c r="A232" s="74" t="s">
        <v>2</v>
      </c>
      <c r="B232" s="16">
        <f>SUM(B226:B231)</f>
        <v>60</v>
      </c>
      <c r="C232" s="32">
        <f>SUM(C226:C231)</f>
        <v>94</v>
      </c>
      <c r="D232" s="16">
        <f>B232+C232</f>
        <v>154</v>
      </c>
      <c r="E232" s="58"/>
      <c r="F232" s="1"/>
      <c r="G232" s="13" t="s">
        <v>2</v>
      </c>
      <c r="H232" s="14">
        <f>SUM(H226:H231)</f>
        <v>833</v>
      </c>
      <c r="I232" s="35">
        <f>SUM(I226:I231)</f>
        <v>1008</v>
      </c>
      <c r="J232" s="30">
        <f>H232+I232</f>
        <v>1841</v>
      </c>
    </row>
    <row r="233" spans="1:14" x14ac:dyDescent="0.15">
      <c r="A233" s="8" t="s">
        <v>25</v>
      </c>
      <c r="B233" s="6">
        <f>1+1</f>
        <v>2</v>
      </c>
      <c r="C233" s="22">
        <v>3</v>
      </c>
      <c r="D233" s="7">
        <f t="shared" ref="D233:D254" si="64">B233+C233</f>
        <v>5</v>
      </c>
      <c r="E233" s="57">
        <v>45982</v>
      </c>
      <c r="F233" s="1"/>
      <c r="G233" s="86" t="s">
        <v>92</v>
      </c>
      <c r="H233" s="76">
        <v>10</v>
      </c>
      <c r="I233" s="77">
        <v>20</v>
      </c>
      <c r="J233" s="78">
        <f t="shared" ref="J233:J241" si="65">H233+I233</f>
        <v>30</v>
      </c>
      <c r="K233" s="79">
        <v>45986</v>
      </c>
    </row>
    <row r="234" spans="1:14" x14ac:dyDescent="0.15">
      <c r="A234" s="8" t="s">
        <v>25</v>
      </c>
      <c r="B234" s="6">
        <v>5</v>
      </c>
      <c r="C234" s="22">
        <v>12</v>
      </c>
      <c r="D234" s="7">
        <f t="shared" si="64"/>
        <v>17</v>
      </c>
      <c r="E234" s="57">
        <v>45986</v>
      </c>
      <c r="F234" s="1"/>
      <c r="G234" s="5" t="s">
        <v>23</v>
      </c>
      <c r="H234" s="6"/>
      <c r="I234" s="22">
        <v>10</v>
      </c>
      <c r="J234" s="7">
        <f t="shared" si="65"/>
        <v>10</v>
      </c>
      <c r="K234" s="44">
        <v>45988</v>
      </c>
    </row>
    <row r="235" spans="1:14" x14ac:dyDescent="0.15">
      <c r="A235" s="8" t="s">
        <v>25</v>
      </c>
      <c r="B235" s="6">
        <v>3</v>
      </c>
      <c r="C235" s="22">
        <v>9</v>
      </c>
      <c r="D235" s="7">
        <f t="shared" si="64"/>
        <v>12</v>
      </c>
      <c r="E235" s="57">
        <v>45987</v>
      </c>
      <c r="F235" s="1"/>
      <c r="G235" s="5" t="s">
        <v>23</v>
      </c>
      <c r="H235" s="6">
        <v>15</v>
      </c>
      <c r="I235" s="22">
        <v>15</v>
      </c>
      <c r="J235" s="7">
        <f t="shared" si="65"/>
        <v>30</v>
      </c>
      <c r="K235" s="44">
        <v>45989</v>
      </c>
      <c r="L235" s="54"/>
      <c r="M235" s="54"/>
      <c r="N235" s="54"/>
    </row>
    <row r="236" spans="1:14" x14ac:dyDescent="0.15">
      <c r="A236" s="8" t="s">
        <v>25</v>
      </c>
      <c r="B236" s="6"/>
      <c r="C236" s="22">
        <v>10</v>
      </c>
      <c r="D236" s="7">
        <f t="shared" si="64"/>
        <v>10</v>
      </c>
      <c r="E236" s="57">
        <v>45988</v>
      </c>
      <c r="F236" s="1"/>
      <c r="G236" s="5" t="s">
        <v>23</v>
      </c>
      <c r="H236" s="6"/>
      <c r="I236" s="22">
        <v>15</v>
      </c>
      <c r="J236" s="7">
        <f t="shared" si="65"/>
        <v>15</v>
      </c>
      <c r="K236" s="68">
        <v>45990</v>
      </c>
    </row>
    <row r="237" spans="1:14" x14ac:dyDescent="0.15">
      <c r="A237" s="8" t="s">
        <v>25</v>
      </c>
      <c r="B237" s="6">
        <v>1</v>
      </c>
      <c r="C237" s="22">
        <f>1+1</f>
        <v>2</v>
      </c>
      <c r="D237" s="7">
        <f t="shared" si="64"/>
        <v>3</v>
      </c>
      <c r="E237" s="57">
        <v>45989</v>
      </c>
      <c r="F237" s="1"/>
      <c r="G237" s="86" t="s">
        <v>23</v>
      </c>
      <c r="H237" s="76">
        <v>20</v>
      </c>
      <c r="I237" s="77">
        <v>25</v>
      </c>
      <c r="J237" s="78">
        <f t="shared" si="65"/>
        <v>45</v>
      </c>
      <c r="K237" s="79">
        <v>45993</v>
      </c>
    </row>
    <row r="238" spans="1:14" x14ac:dyDescent="0.15">
      <c r="A238" s="8" t="s">
        <v>25</v>
      </c>
      <c r="B238" s="6"/>
      <c r="C238" s="22">
        <v>9</v>
      </c>
      <c r="D238" s="7">
        <f t="shared" si="64"/>
        <v>9</v>
      </c>
      <c r="E238" s="57">
        <v>45990</v>
      </c>
      <c r="F238" s="1"/>
      <c r="G238" s="5" t="s">
        <v>23</v>
      </c>
      <c r="H238" s="6"/>
      <c r="I238" s="22">
        <v>5</v>
      </c>
      <c r="J238" s="7">
        <f t="shared" ref="J238" si="66">H238+I238</f>
        <v>5</v>
      </c>
      <c r="K238" s="44">
        <v>45996</v>
      </c>
    </row>
    <row r="239" spans="1:14" x14ac:dyDescent="0.15">
      <c r="A239" s="8" t="s">
        <v>25</v>
      </c>
      <c r="B239" s="6">
        <v>11</v>
      </c>
      <c r="C239" s="22">
        <v>20</v>
      </c>
      <c r="D239" s="7">
        <f t="shared" si="64"/>
        <v>31</v>
      </c>
      <c r="E239" s="57">
        <v>45992</v>
      </c>
      <c r="F239" s="1"/>
      <c r="G239" s="5" t="s">
        <v>23</v>
      </c>
      <c r="H239" s="6">
        <v>15</v>
      </c>
      <c r="I239" s="22">
        <v>20</v>
      </c>
      <c r="J239" s="7">
        <f t="shared" si="65"/>
        <v>35</v>
      </c>
      <c r="K239" s="68">
        <v>45997</v>
      </c>
    </row>
    <row r="240" spans="1:14" x14ac:dyDescent="0.15">
      <c r="A240" s="89" t="s">
        <v>45</v>
      </c>
      <c r="B240" s="6">
        <v>20</v>
      </c>
      <c r="C240" s="22">
        <v>12</v>
      </c>
      <c r="D240" s="7">
        <f t="shared" si="64"/>
        <v>32</v>
      </c>
      <c r="E240" s="44">
        <v>45994</v>
      </c>
      <c r="F240" s="1"/>
      <c r="G240" s="5" t="s">
        <v>23</v>
      </c>
      <c r="H240" s="6">
        <v>10</v>
      </c>
      <c r="I240" s="22">
        <v>15</v>
      </c>
      <c r="J240" s="7">
        <f t="shared" si="65"/>
        <v>25</v>
      </c>
      <c r="K240" s="68">
        <v>46000</v>
      </c>
    </row>
    <row r="241" spans="1:10" x14ac:dyDescent="0.15">
      <c r="A241" s="5" t="s">
        <v>25</v>
      </c>
      <c r="B241" s="6">
        <v>1</v>
      </c>
      <c r="C241" s="22">
        <v>2</v>
      </c>
      <c r="D241" s="7">
        <f t="shared" si="64"/>
        <v>3</v>
      </c>
      <c r="E241" s="57">
        <v>45993</v>
      </c>
      <c r="F241" s="1"/>
      <c r="G241" s="5"/>
      <c r="H241" s="6"/>
      <c r="I241" s="22"/>
      <c r="J241" s="7">
        <f t="shared" si="65"/>
        <v>0</v>
      </c>
    </row>
    <row r="242" spans="1:10" x14ac:dyDescent="0.15">
      <c r="A242" s="5" t="s">
        <v>25</v>
      </c>
      <c r="B242" s="6"/>
      <c r="C242" s="22">
        <v>2</v>
      </c>
      <c r="D242" s="7">
        <f t="shared" si="64"/>
        <v>2</v>
      </c>
      <c r="E242" s="57">
        <v>45994</v>
      </c>
      <c r="F242" s="1"/>
      <c r="G242" s="5"/>
      <c r="H242" s="6"/>
      <c r="I242" s="22"/>
      <c r="J242" s="7">
        <f t="shared" ref="J242:J250" si="67">H242+I242</f>
        <v>0</v>
      </c>
    </row>
    <row r="243" spans="1:10" x14ac:dyDescent="0.15">
      <c r="A243" s="5" t="s">
        <v>25</v>
      </c>
      <c r="B243" s="6">
        <v>3</v>
      </c>
      <c r="C243" s="22">
        <v>4</v>
      </c>
      <c r="D243" s="7">
        <f t="shared" si="64"/>
        <v>7</v>
      </c>
      <c r="E243" s="57">
        <v>45995</v>
      </c>
      <c r="F243" s="1"/>
      <c r="G243" s="5"/>
      <c r="H243" s="6"/>
      <c r="I243" s="22"/>
      <c r="J243" s="7">
        <f t="shared" si="67"/>
        <v>0</v>
      </c>
    </row>
    <row r="244" spans="1:10" x14ac:dyDescent="0.15">
      <c r="A244" s="5" t="s">
        <v>59</v>
      </c>
      <c r="B244" s="6"/>
      <c r="C244" s="22">
        <v>-5</v>
      </c>
      <c r="D244" s="7">
        <f t="shared" si="64"/>
        <v>-5</v>
      </c>
      <c r="E244" s="57">
        <v>45996</v>
      </c>
      <c r="F244" s="1"/>
      <c r="G244" s="5"/>
      <c r="H244" s="6"/>
      <c r="I244" s="22"/>
      <c r="J244" s="7">
        <f t="shared" si="67"/>
        <v>0</v>
      </c>
    </row>
    <row r="245" spans="1:10" x14ac:dyDescent="0.15">
      <c r="A245" s="5" t="s">
        <v>25</v>
      </c>
      <c r="B245" s="6">
        <v>2</v>
      </c>
      <c r="C245" s="22">
        <f>1+5</f>
        <v>6</v>
      </c>
      <c r="D245" s="7">
        <f t="shared" si="64"/>
        <v>8</v>
      </c>
      <c r="E245" s="57">
        <v>45996</v>
      </c>
      <c r="F245" s="1"/>
      <c r="G245" s="8"/>
      <c r="H245" s="6"/>
      <c r="I245" s="22"/>
      <c r="J245" s="7">
        <f t="shared" si="67"/>
        <v>0</v>
      </c>
    </row>
    <row r="246" spans="1:10" x14ac:dyDescent="0.15">
      <c r="A246" s="5" t="s">
        <v>59</v>
      </c>
      <c r="B246" s="6">
        <v>-15</v>
      </c>
      <c r="C246" s="22">
        <v>-20</v>
      </c>
      <c r="D246" s="7">
        <f t="shared" si="64"/>
        <v>-35</v>
      </c>
      <c r="E246" s="57">
        <v>45997</v>
      </c>
      <c r="F246" s="1"/>
      <c r="G246" s="5"/>
      <c r="H246" s="6"/>
      <c r="I246" s="22"/>
      <c r="J246" s="7">
        <f t="shared" si="67"/>
        <v>0</v>
      </c>
    </row>
    <row r="247" spans="1:10" x14ac:dyDescent="0.15">
      <c r="A247" s="5" t="s">
        <v>25</v>
      </c>
      <c r="B247" s="6">
        <v>4</v>
      </c>
      <c r="C247" s="22">
        <v>2</v>
      </c>
      <c r="D247" s="7">
        <f t="shared" si="64"/>
        <v>6</v>
      </c>
      <c r="E247" s="57">
        <v>45997</v>
      </c>
      <c r="F247" s="1"/>
      <c r="G247" s="8"/>
      <c r="H247" s="6"/>
      <c r="I247" s="22"/>
      <c r="J247" s="7">
        <f t="shared" si="67"/>
        <v>0</v>
      </c>
    </row>
    <row r="248" spans="1:10" x14ac:dyDescent="0.15">
      <c r="A248" s="5" t="s">
        <v>25</v>
      </c>
      <c r="B248" s="6">
        <v>2</v>
      </c>
      <c r="C248" s="22">
        <v>9</v>
      </c>
      <c r="D248" s="7">
        <f t="shared" si="64"/>
        <v>11</v>
      </c>
      <c r="E248" s="57">
        <v>45999</v>
      </c>
      <c r="F248" s="1"/>
      <c r="G248" s="8"/>
      <c r="H248" s="6"/>
      <c r="I248" s="22"/>
      <c r="J248" s="7">
        <f t="shared" si="67"/>
        <v>0</v>
      </c>
    </row>
    <row r="249" spans="1:10" x14ac:dyDescent="0.15">
      <c r="A249" s="86" t="s">
        <v>97</v>
      </c>
      <c r="B249" s="76">
        <v>-10</v>
      </c>
      <c r="C249" s="77">
        <v>-15</v>
      </c>
      <c r="D249" s="78">
        <f t="shared" si="64"/>
        <v>-25</v>
      </c>
      <c r="E249" s="73">
        <v>46000</v>
      </c>
      <c r="F249" s="1"/>
      <c r="G249" s="8"/>
      <c r="H249" s="6"/>
      <c r="I249" s="22"/>
      <c r="J249" s="7">
        <f t="shared" si="67"/>
        <v>0</v>
      </c>
    </row>
    <row r="250" spans="1:10" x14ac:dyDescent="0.15">
      <c r="A250" s="5" t="s">
        <v>98</v>
      </c>
      <c r="B250" s="6">
        <v>-4</v>
      </c>
      <c r="C250" s="22"/>
      <c r="D250" s="7">
        <f t="shared" si="64"/>
        <v>-4</v>
      </c>
      <c r="E250" s="57">
        <v>45995</v>
      </c>
      <c r="F250" s="1"/>
      <c r="G250" s="8"/>
      <c r="H250" s="6"/>
      <c r="I250" s="22"/>
      <c r="J250" s="7">
        <f t="shared" si="67"/>
        <v>0</v>
      </c>
    </row>
    <row r="251" spans="1:10" x14ac:dyDescent="0.15">
      <c r="A251" s="5" t="s">
        <v>25</v>
      </c>
      <c r="B251" s="6">
        <v>2</v>
      </c>
      <c r="C251" s="22">
        <v>7</v>
      </c>
      <c r="D251" s="7">
        <f t="shared" si="64"/>
        <v>9</v>
      </c>
      <c r="E251" s="57">
        <v>46000</v>
      </c>
      <c r="F251" s="1"/>
      <c r="G251" s="8"/>
      <c r="H251" s="6"/>
      <c r="I251" s="22"/>
      <c r="J251" s="7">
        <f t="shared" ref="J251:J256" si="68">H251+I251</f>
        <v>0</v>
      </c>
    </row>
    <row r="252" spans="1:10" x14ac:dyDescent="0.15">
      <c r="A252" s="5" t="s">
        <v>25</v>
      </c>
      <c r="B252" s="6">
        <v>2</v>
      </c>
      <c r="C252" s="22">
        <v>4</v>
      </c>
      <c r="D252" s="7">
        <f t="shared" si="64"/>
        <v>6</v>
      </c>
      <c r="E252" s="57">
        <v>46001</v>
      </c>
      <c r="F252" s="1"/>
      <c r="G252" s="8"/>
      <c r="H252" s="6"/>
      <c r="I252" s="22"/>
      <c r="J252" s="7">
        <f t="shared" si="68"/>
        <v>0</v>
      </c>
    </row>
    <row r="253" spans="1:10" x14ac:dyDescent="0.15">
      <c r="A253" s="5" t="s">
        <v>25</v>
      </c>
      <c r="B253" s="6">
        <v>1</v>
      </c>
      <c r="C253" s="22"/>
      <c r="D253" s="7">
        <f t="shared" si="64"/>
        <v>1</v>
      </c>
      <c r="E253" s="57">
        <v>46002</v>
      </c>
      <c r="F253" s="1"/>
      <c r="G253" s="8"/>
      <c r="H253" s="6"/>
      <c r="I253" s="22"/>
      <c r="J253" s="7">
        <f t="shared" si="68"/>
        <v>0</v>
      </c>
    </row>
    <row r="254" spans="1:10" x14ac:dyDescent="0.15">
      <c r="A254" s="5" t="s">
        <v>25</v>
      </c>
      <c r="B254" s="6">
        <v>1</v>
      </c>
      <c r="C254" s="22">
        <v>7</v>
      </c>
      <c r="D254" s="7">
        <f t="shared" si="64"/>
        <v>8</v>
      </c>
      <c r="E254" s="57">
        <v>46006</v>
      </c>
      <c r="F254" s="1"/>
      <c r="G254" s="8"/>
      <c r="H254" s="6"/>
      <c r="I254" s="22"/>
      <c r="J254" s="7">
        <f t="shared" si="68"/>
        <v>0</v>
      </c>
    </row>
    <row r="255" spans="1:10" x14ac:dyDescent="0.15">
      <c r="A255" s="5" t="s">
        <v>98</v>
      </c>
      <c r="B255" s="6">
        <v>-8</v>
      </c>
      <c r="C255" s="22">
        <v>-4</v>
      </c>
      <c r="D255" s="7">
        <f t="shared" ref="D255:D256" si="69">B255+C255</f>
        <v>-12</v>
      </c>
      <c r="E255" s="57">
        <v>46002</v>
      </c>
      <c r="F255" s="1"/>
      <c r="G255" s="8"/>
      <c r="H255" s="6"/>
      <c r="I255" s="22"/>
      <c r="J255" s="7">
        <f t="shared" si="68"/>
        <v>0</v>
      </c>
    </row>
    <row r="256" spans="1:10" ht="14.25" thickBot="1" x14ac:dyDescent="0.2">
      <c r="A256" s="5" t="s">
        <v>25</v>
      </c>
      <c r="B256" s="6"/>
      <c r="C256" s="22">
        <v>4</v>
      </c>
      <c r="D256" s="7">
        <f t="shared" si="69"/>
        <v>4</v>
      </c>
      <c r="E256" s="57">
        <v>46007</v>
      </c>
      <c r="F256" s="1"/>
      <c r="G256" s="8"/>
      <c r="H256" s="6"/>
      <c r="I256" s="22"/>
      <c r="J256" s="7">
        <f t="shared" si="68"/>
        <v>0</v>
      </c>
    </row>
    <row r="257" spans="1:11" ht="14.25" thickBot="1" x14ac:dyDescent="0.2">
      <c r="A257" s="9" t="s">
        <v>3</v>
      </c>
      <c r="B257" s="10">
        <f>SUM(B233:B256)</f>
        <v>23</v>
      </c>
      <c r="C257" s="33">
        <f>SUM(C233:C256)</f>
        <v>80</v>
      </c>
      <c r="D257" s="11">
        <f>SUM(D233:D256)</f>
        <v>103</v>
      </c>
      <c r="E257" s="55"/>
      <c r="F257" s="1"/>
      <c r="G257" s="9" t="s">
        <v>3</v>
      </c>
      <c r="H257" s="10">
        <f>SUM(H233:H256)</f>
        <v>70</v>
      </c>
      <c r="I257" s="33">
        <f>SUM(I233:I256)</f>
        <v>125</v>
      </c>
      <c r="J257" s="11">
        <f>SUM(J233:J256)</f>
        <v>195</v>
      </c>
    </row>
    <row r="258" spans="1:11" ht="14.25" thickBot="1" x14ac:dyDescent="0.2">
      <c r="A258" s="13" t="s">
        <v>4</v>
      </c>
      <c r="B258" s="14">
        <f>B232-B257</f>
        <v>37</v>
      </c>
      <c r="C258" s="14">
        <f>C232-C257</f>
        <v>14</v>
      </c>
      <c r="D258" s="30">
        <f>D232-D257</f>
        <v>51</v>
      </c>
      <c r="E258" s="58"/>
      <c r="F258" s="1"/>
      <c r="G258" s="13" t="s">
        <v>4</v>
      </c>
      <c r="H258" s="14">
        <f>H232-H257</f>
        <v>763</v>
      </c>
      <c r="I258" s="14">
        <f>I232-I257</f>
        <v>883</v>
      </c>
      <c r="J258" s="30">
        <f>J232-J257</f>
        <v>1646</v>
      </c>
    </row>
    <row r="261" spans="1:11" ht="19.5" thickBot="1" x14ac:dyDescent="0.25">
      <c r="A261" s="21" t="s">
        <v>10</v>
      </c>
      <c r="B261" s="1"/>
      <c r="C261" s="1"/>
      <c r="D261" s="1"/>
      <c r="E261" s="55"/>
      <c r="F261" s="1"/>
      <c r="G261" s="21" t="s">
        <v>11</v>
      </c>
      <c r="H261" s="1"/>
      <c r="I261" s="49" t="s">
        <v>37</v>
      </c>
      <c r="J261" s="46">
        <v>1780</v>
      </c>
    </row>
    <row r="262" spans="1:11" ht="14.25" thickBot="1" x14ac:dyDescent="0.2">
      <c r="A262" s="2"/>
      <c r="B262" s="47" t="s">
        <v>7</v>
      </c>
      <c r="C262" s="48" t="s">
        <v>8</v>
      </c>
      <c r="D262" s="2" t="s">
        <v>0</v>
      </c>
      <c r="E262" s="56"/>
      <c r="F262" s="1"/>
      <c r="G262" s="2"/>
      <c r="H262" s="47" t="s">
        <v>7</v>
      </c>
      <c r="I262" s="48" t="s">
        <v>8</v>
      </c>
      <c r="J262" s="2" t="s">
        <v>0</v>
      </c>
    </row>
    <row r="263" spans="1:11" ht="14.25" thickBot="1" x14ac:dyDescent="0.2">
      <c r="A263" s="94" t="s">
        <v>4</v>
      </c>
      <c r="B263" s="95">
        <f>B258</f>
        <v>37</v>
      </c>
      <c r="C263" s="96">
        <f>C258</f>
        <v>14</v>
      </c>
      <c r="D263" s="97">
        <f>B263+C263</f>
        <v>51</v>
      </c>
      <c r="E263" s="55"/>
      <c r="F263" s="1"/>
      <c r="G263" s="13" t="s">
        <v>6</v>
      </c>
      <c r="H263" s="100">
        <f>H258</f>
        <v>763</v>
      </c>
      <c r="I263" s="100">
        <f>I258</f>
        <v>883</v>
      </c>
      <c r="J263" s="97">
        <f>H263+I263</f>
        <v>1646</v>
      </c>
    </row>
    <row r="264" spans="1:11" x14ac:dyDescent="0.15">
      <c r="A264" s="90" t="s">
        <v>42</v>
      </c>
      <c r="B264" s="91">
        <v>1</v>
      </c>
      <c r="C264" s="92">
        <v>1</v>
      </c>
      <c r="D264" s="93">
        <f t="shared" ref="D264:D268" si="70">B264+C264</f>
        <v>2</v>
      </c>
      <c r="E264" s="73">
        <v>46008</v>
      </c>
      <c r="F264" s="1"/>
      <c r="G264" s="98" t="s">
        <v>1</v>
      </c>
      <c r="H264" s="27"/>
      <c r="I264" s="27"/>
      <c r="J264" s="99">
        <f t="shared" ref="J264:J268" si="71">H264+I264</f>
        <v>0</v>
      </c>
    </row>
    <row r="265" spans="1:11" x14ac:dyDescent="0.15">
      <c r="A265" s="3" t="s">
        <v>1</v>
      </c>
      <c r="B265" s="34"/>
      <c r="C265" s="41">
        <v>20</v>
      </c>
      <c r="D265" s="7">
        <f t="shared" si="70"/>
        <v>20</v>
      </c>
      <c r="E265" s="57">
        <v>46011</v>
      </c>
      <c r="F265" s="1"/>
      <c r="G265" s="4" t="s">
        <v>1</v>
      </c>
      <c r="H265" s="22"/>
      <c r="I265" s="22"/>
      <c r="J265" s="17">
        <f t="shared" si="71"/>
        <v>0</v>
      </c>
    </row>
    <row r="266" spans="1:11" x14ac:dyDescent="0.15">
      <c r="A266" s="3" t="s">
        <v>100</v>
      </c>
      <c r="B266" s="34">
        <v>25</v>
      </c>
      <c r="C266" s="41">
        <v>15</v>
      </c>
      <c r="D266" s="7">
        <f t="shared" si="70"/>
        <v>40</v>
      </c>
      <c r="E266" s="57">
        <v>46008</v>
      </c>
      <c r="F266" s="1"/>
      <c r="G266" s="4" t="s">
        <v>1</v>
      </c>
      <c r="H266" s="22"/>
      <c r="I266" s="22"/>
      <c r="J266" s="17">
        <f t="shared" si="71"/>
        <v>0</v>
      </c>
    </row>
    <row r="267" spans="1:11" x14ac:dyDescent="0.15">
      <c r="A267" s="3" t="s">
        <v>1</v>
      </c>
      <c r="B267" s="34"/>
      <c r="C267" s="41">
        <v>20</v>
      </c>
      <c r="D267" s="7">
        <f t="shared" si="70"/>
        <v>20</v>
      </c>
      <c r="E267" s="57">
        <v>46039</v>
      </c>
      <c r="F267" s="1"/>
      <c r="G267" s="4" t="s">
        <v>1</v>
      </c>
      <c r="H267" s="23"/>
      <c r="I267" s="23"/>
      <c r="J267" s="17">
        <f t="shared" si="71"/>
        <v>0</v>
      </c>
    </row>
    <row r="268" spans="1:11" ht="14.25" thickBot="1" x14ac:dyDescent="0.2">
      <c r="A268" s="83" t="s">
        <v>1</v>
      </c>
      <c r="B268" s="42"/>
      <c r="C268" s="15">
        <v>15</v>
      </c>
      <c r="D268" s="84">
        <f t="shared" si="70"/>
        <v>15</v>
      </c>
      <c r="E268" s="57">
        <v>46048</v>
      </c>
      <c r="F268" s="1"/>
      <c r="G268" s="4" t="s">
        <v>1</v>
      </c>
      <c r="H268" s="23"/>
      <c r="I268" s="23"/>
      <c r="J268" s="17">
        <f t="shared" si="71"/>
        <v>0</v>
      </c>
    </row>
    <row r="269" spans="1:11" ht="14.25" thickBot="1" x14ac:dyDescent="0.2">
      <c r="A269" s="74" t="s">
        <v>2</v>
      </c>
      <c r="B269" s="16">
        <f>SUM(B263:B268)</f>
        <v>63</v>
      </c>
      <c r="C269" s="32">
        <f>SUM(C263:C268)</f>
        <v>85</v>
      </c>
      <c r="D269" s="16">
        <f>B269+C269</f>
        <v>148</v>
      </c>
      <c r="E269" s="58"/>
      <c r="F269" s="1"/>
      <c r="G269" s="13" t="s">
        <v>2</v>
      </c>
      <c r="H269" s="14">
        <f>SUM(H263:H268)</f>
        <v>763</v>
      </c>
      <c r="I269" s="35">
        <f>SUM(I263:I268)</f>
        <v>883</v>
      </c>
      <c r="J269" s="30">
        <f>H269+I269</f>
        <v>1646</v>
      </c>
    </row>
    <row r="270" spans="1:11" x14ac:dyDescent="0.15">
      <c r="A270" s="8" t="s">
        <v>25</v>
      </c>
      <c r="B270" s="6"/>
      <c r="C270" s="22">
        <v>1</v>
      </c>
      <c r="D270" s="7">
        <f t="shared" ref="D270:D293" si="72">B270+C270</f>
        <v>1</v>
      </c>
      <c r="E270" s="57">
        <v>46008</v>
      </c>
      <c r="F270" s="1"/>
      <c r="G270" s="5" t="s">
        <v>99</v>
      </c>
      <c r="H270" s="6"/>
      <c r="I270" s="22">
        <v>20</v>
      </c>
      <c r="J270" s="7">
        <f t="shared" ref="J270:J277" si="73">H270+I270</f>
        <v>20</v>
      </c>
      <c r="K270" s="68">
        <v>46011</v>
      </c>
    </row>
    <row r="271" spans="1:11" x14ac:dyDescent="0.15">
      <c r="A271" s="8" t="s">
        <v>25</v>
      </c>
      <c r="B271" s="6"/>
      <c r="C271" s="22">
        <v>6</v>
      </c>
      <c r="D271" s="7">
        <f t="shared" si="72"/>
        <v>6</v>
      </c>
      <c r="E271" s="57">
        <v>46010</v>
      </c>
      <c r="F271" s="1"/>
      <c r="G271" s="5" t="s">
        <v>99</v>
      </c>
      <c r="H271" s="6"/>
      <c r="I271" s="22">
        <v>20</v>
      </c>
      <c r="J271" s="7">
        <f t="shared" si="73"/>
        <v>20</v>
      </c>
      <c r="K271" s="44">
        <v>46039</v>
      </c>
    </row>
    <row r="272" spans="1:11" x14ac:dyDescent="0.15">
      <c r="A272" s="8" t="s">
        <v>25</v>
      </c>
      <c r="B272" s="6">
        <v>1</v>
      </c>
      <c r="C272" s="22"/>
      <c r="D272" s="7">
        <f t="shared" si="72"/>
        <v>1</v>
      </c>
      <c r="E272" s="57">
        <v>46011</v>
      </c>
      <c r="F272" s="1"/>
      <c r="G272" s="5" t="s">
        <v>99</v>
      </c>
      <c r="H272" s="6"/>
      <c r="I272" s="22">
        <v>15</v>
      </c>
      <c r="J272" s="7">
        <f t="shared" si="73"/>
        <v>15</v>
      </c>
      <c r="K272" s="44">
        <v>46048</v>
      </c>
    </row>
    <row r="273" spans="1:11" x14ac:dyDescent="0.15">
      <c r="A273" s="8" t="s">
        <v>25</v>
      </c>
      <c r="B273" s="6"/>
      <c r="C273" s="22">
        <v>4</v>
      </c>
      <c r="D273" s="7">
        <f t="shared" si="72"/>
        <v>4</v>
      </c>
      <c r="E273" s="57">
        <v>46013</v>
      </c>
      <c r="F273" s="1"/>
      <c r="G273" s="8" t="s">
        <v>102</v>
      </c>
      <c r="H273" s="6">
        <v>40</v>
      </c>
      <c r="I273" s="22"/>
      <c r="J273" s="7">
        <f t="shared" si="73"/>
        <v>40</v>
      </c>
      <c r="K273" s="44">
        <v>46052</v>
      </c>
    </row>
    <row r="274" spans="1:11" x14ac:dyDescent="0.15">
      <c r="A274" s="8" t="s">
        <v>25</v>
      </c>
      <c r="B274" s="6"/>
      <c r="C274" s="22">
        <v>1</v>
      </c>
      <c r="D274" s="7">
        <f t="shared" si="72"/>
        <v>1</v>
      </c>
      <c r="E274" s="57">
        <v>46015</v>
      </c>
      <c r="F274" s="1"/>
      <c r="G274" s="5"/>
      <c r="H274" s="6"/>
      <c r="I274" s="22"/>
      <c r="J274" s="7">
        <f t="shared" si="73"/>
        <v>0</v>
      </c>
    </row>
    <row r="275" spans="1:11" x14ac:dyDescent="0.15">
      <c r="A275" s="8" t="s">
        <v>101</v>
      </c>
      <c r="B275" s="6">
        <v>-2</v>
      </c>
      <c r="C275" s="22"/>
      <c r="D275" s="7">
        <f t="shared" si="72"/>
        <v>-2</v>
      </c>
      <c r="E275" s="57">
        <v>46027</v>
      </c>
      <c r="F275" s="1"/>
      <c r="G275" s="5"/>
      <c r="H275" s="6"/>
      <c r="I275" s="22"/>
      <c r="J275" s="7">
        <f t="shared" si="73"/>
        <v>0</v>
      </c>
    </row>
    <row r="276" spans="1:11" x14ac:dyDescent="0.15">
      <c r="A276" s="8" t="s">
        <v>25</v>
      </c>
      <c r="B276" s="6">
        <v>2</v>
      </c>
      <c r="C276" s="22">
        <v>7</v>
      </c>
      <c r="D276" s="7">
        <f t="shared" si="72"/>
        <v>9</v>
      </c>
      <c r="E276" s="57">
        <v>46027</v>
      </c>
      <c r="F276" s="1"/>
      <c r="G276" s="5"/>
      <c r="H276" s="6"/>
      <c r="I276" s="22"/>
      <c r="J276" s="7">
        <f t="shared" si="73"/>
        <v>0</v>
      </c>
    </row>
    <row r="277" spans="1:11" x14ac:dyDescent="0.15">
      <c r="A277" s="8" t="s">
        <v>25</v>
      </c>
      <c r="B277" s="6"/>
      <c r="C277" s="22">
        <v>1</v>
      </c>
      <c r="D277" s="7">
        <f t="shared" si="72"/>
        <v>1</v>
      </c>
      <c r="E277" s="57">
        <v>46028</v>
      </c>
      <c r="F277" s="1"/>
      <c r="G277" s="5"/>
      <c r="H277" s="6"/>
      <c r="I277" s="22"/>
      <c r="J277" s="7">
        <f t="shared" si="73"/>
        <v>0</v>
      </c>
    </row>
    <row r="278" spans="1:11" x14ac:dyDescent="0.15">
      <c r="A278" s="8" t="s">
        <v>25</v>
      </c>
      <c r="B278" s="6">
        <v>2</v>
      </c>
      <c r="C278" s="22">
        <v>1</v>
      </c>
      <c r="D278" s="7">
        <f t="shared" si="72"/>
        <v>3</v>
      </c>
      <c r="E278" s="57">
        <v>46029</v>
      </c>
      <c r="F278" s="1"/>
      <c r="G278" s="5"/>
      <c r="H278" s="6"/>
      <c r="I278" s="22"/>
      <c r="J278" s="7">
        <f t="shared" ref="J278:J288" si="74">H278+I278</f>
        <v>0</v>
      </c>
    </row>
    <row r="279" spans="1:11" x14ac:dyDescent="0.15">
      <c r="A279" s="8" t="s">
        <v>25</v>
      </c>
      <c r="B279" s="6"/>
      <c r="C279" s="22">
        <v>1</v>
      </c>
      <c r="D279" s="7">
        <f t="shared" si="72"/>
        <v>1</v>
      </c>
      <c r="E279" s="57">
        <v>46030</v>
      </c>
      <c r="F279" s="1"/>
      <c r="G279" s="5"/>
      <c r="H279" s="6"/>
      <c r="I279" s="22"/>
      <c r="J279" s="7">
        <f t="shared" si="74"/>
        <v>0</v>
      </c>
    </row>
    <row r="280" spans="1:11" x14ac:dyDescent="0.15">
      <c r="A280" s="8" t="s">
        <v>25</v>
      </c>
      <c r="B280" s="6">
        <v>1</v>
      </c>
      <c r="C280" s="22">
        <v>4</v>
      </c>
      <c r="D280" s="7">
        <f t="shared" si="72"/>
        <v>5</v>
      </c>
      <c r="E280" s="57">
        <v>46031</v>
      </c>
      <c r="F280" s="1"/>
      <c r="G280" s="5"/>
      <c r="H280" s="6"/>
      <c r="I280" s="22"/>
      <c r="J280" s="7">
        <f t="shared" si="74"/>
        <v>0</v>
      </c>
    </row>
    <row r="281" spans="1:11" x14ac:dyDescent="0.15">
      <c r="A281" s="8" t="s">
        <v>25</v>
      </c>
      <c r="B281" s="6">
        <v>1</v>
      </c>
      <c r="C281" s="22">
        <v>11</v>
      </c>
      <c r="D281" s="7">
        <f t="shared" si="72"/>
        <v>12</v>
      </c>
      <c r="E281" s="57">
        <v>46035</v>
      </c>
      <c r="F281" s="1"/>
      <c r="G281" s="5"/>
      <c r="H281" s="6"/>
      <c r="I281" s="22"/>
      <c r="J281" s="7">
        <f t="shared" si="74"/>
        <v>0</v>
      </c>
    </row>
    <row r="282" spans="1:11" x14ac:dyDescent="0.15">
      <c r="A282" s="8" t="s">
        <v>25</v>
      </c>
      <c r="B282" s="6"/>
      <c r="C282" s="22">
        <v>2</v>
      </c>
      <c r="D282" s="7">
        <f t="shared" si="72"/>
        <v>2</v>
      </c>
      <c r="E282" s="57">
        <v>46037</v>
      </c>
      <c r="F282" s="1"/>
      <c r="G282" s="8"/>
      <c r="H282" s="6"/>
      <c r="I282" s="22"/>
      <c r="J282" s="7">
        <f t="shared" si="74"/>
        <v>0</v>
      </c>
    </row>
    <row r="283" spans="1:11" x14ac:dyDescent="0.15">
      <c r="A283" s="8" t="s">
        <v>25</v>
      </c>
      <c r="B283" s="6">
        <v>1</v>
      </c>
      <c r="C283" s="22">
        <v>1</v>
      </c>
      <c r="D283" s="7">
        <f t="shared" si="72"/>
        <v>2</v>
      </c>
      <c r="E283" s="57">
        <v>46038</v>
      </c>
      <c r="F283" s="1"/>
      <c r="G283" s="5"/>
      <c r="H283" s="6"/>
      <c r="I283" s="22"/>
      <c r="J283" s="7">
        <f t="shared" si="74"/>
        <v>0</v>
      </c>
    </row>
    <row r="284" spans="1:11" x14ac:dyDescent="0.15">
      <c r="A284" s="8" t="s">
        <v>25</v>
      </c>
      <c r="B284" s="6"/>
      <c r="C284" s="22">
        <v>2</v>
      </c>
      <c r="D284" s="7">
        <f t="shared" si="72"/>
        <v>2</v>
      </c>
      <c r="E284" s="57">
        <v>46039</v>
      </c>
      <c r="F284" s="1"/>
      <c r="G284" s="8"/>
      <c r="H284" s="6"/>
      <c r="I284" s="22"/>
      <c r="J284" s="7">
        <f t="shared" si="74"/>
        <v>0</v>
      </c>
    </row>
    <row r="285" spans="1:11" x14ac:dyDescent="0.15">
      <c r="A285" s="8" t="s">
        <v>25</v>
      </c>
      <c r="B285" s="6">
        <v>3</v>
      </c>
      <c r="C285" s="22">
        <v>4</v>
      </c>
      <c r="D285" s="7">
        <f t="shared" si="72"/>
        <v>7</v>
      </c>
      <c r="E285" s="57">
        <v>46041</v>
      </c>
      <c r="F285" s="1"/>
      <c r="G285" s="8"/>
      <c r="H285" s="6"/>
      <c r="I285" s="22"/>
      <c r="J285" s="7">
        <f t="shared" si="74"/>
        <v>0</v>
      </c>
    </row>
    <row r="286" spans="1:11" x14ac:dyDescent="0.15">
      <c r="A286" s="8" t="s">
        <v>25</v>
      </c>
      <c r="B286" s="76">
        <v>3</v>
      </c>
      <c r="C286" s="77">
        <v>2</v>
      </c>
      <c r="D286" s="78">
        <f t="shared" si="72"/>
        <v>5</v>
      </c>
      <c r="E286" s="57">
        <v>46042</v>
      </c>
      <c r="F286" s="1"/>
      <c r="G286" s="8"/>
      <c r="H286" s="6"/>
      <c r="I286" s="22"/>
      <c r="J286" s="7">
        <f t="shared" si="74"/>
        <v>0</v>
      </c>
    </row>
    <row r="287" spans="1:11" x14ac:dyDescent="0.15">
      <c r="A287" s="8" t="s">
        <v>25</v>
      </c>
      <c r="B287" s="6">
        <v>1</v>
      </c>
      <c r="C287" s="22"/>
      <c r="D287" s="7">
        <f t="shared" si="72"/>
        <v>1</v>
      </c>
      <c r="E287" s="57">
        <v>46043</v>
      </c>
      <c r="F287" s="1"/>
      <c r="G287" s="8"/>
      <c r="H287" s="6"/>
      <c r="I287" s="22"/>
      <c r="J287" s="7">
        <f t="shared" si="74"/>
        <v>0</v>
      </c>
    </row>
    <row r="288" spans="1:11" x14ac:dyDescent="0.15">
      <c r="A288" s="8" t="s">
        <v>25</v>
      </c>
      <c r="B288" s="6">
        <v>2</v>
      </c>
      <c r="C288" s="22">
        <v>4</v>
      </c>
      <c r="D288" s="7">
        <f t="shared" si="72"/>
        <v>6</v>
      </c>
      <c r="E288" s="57">
        <v>46044</v>
      </c>
      <c r="F288" s="1"/>
      <c r="G288" s="8"/>
      <c r="H288" s="6"/>
      <c r="I288" s="22"/>
      <c r="J288" s="7">
        <f t="shared" si="74"/>
        <v>0</v>
      </c>
    </row>
    <row r="289" spans="1:11" x14ac:dyDescent="0.15">
      <c r="A289" s="8" t="s">
        <v>25</v>
      </c>
      <c r="B289" s="6"/>
      <c r="C289" s="22">
        <v>2</v>
      </c>
      <c r="D289" s="7">
        <f t="shared" si="72"/>
        <v>2</v>
      </c>
      <c r="E289" s="57">
        <v>46045</v>
      </c>
      <c r="F289" s="1"/>
      <c r="G289" s="8"/>
      <c r="H289" s="6"/>
      <c r="I289" s="22"/>
      <c r="J289" s="7">
        <f t="shared" ref="J289:J290" si="75">H289+I289</f>
        <v>0</v>
      </c>
    </row>
    <row r="290" spans="1:11" x14ac:dyDescent="0.15">
      <c r="A290" s="8" t="s">
        <v>79</v>
      </c>
      <c r="B290" s="6">
        <v>4</v>
      </c>
      <c r="C290" s="22">
        <v>4</v>
      </c>
      <c r="D290" s="7">
        <f t="shared" si="72"/>
        <v>8</v>
      </c>
      <c r="E290" s="57">
        <v>46050</v>
      </c>
      <c r="F290" s="1"/>
      <c r="G290" s="8"/>
      <c r="H290" s="6"/>
      <c r="I290" s="22"/>
      <c r="J290" s="7">
        <f t="shared" si="75"/>
        <v>0</v>
      </c>
    </row>
    <row r="291" spans="1:11" x14ac:dyDescent="0.15">
      <c r="A291" s="8" t="s">
        <v>25</v>
      </c>
      <c r="B291" s="6">
        <v>3</v>
      </c>
      <c r="C291" s="22">
        <v>4</v>
      </c>
      <c r="D291" s="7">
        <f t="shared" si="72"/>
        <v>7</v>
      </c>
      <c r="E291" s="57">
        <v>46048</v>
      </c>
      <c r="F291" s="1"/>
      <c r="G291" s="8" t="s">
        <v>95</v>
      </c>
      <c r="H291" s="6"/>
      <c r="I291" s="22"/>
      <c r="J291" s="7">
        <f t="shared" ref="J291:J293" si="76">H291+I291</f>
        <v>0</v>
      </c>
      <c r="K291" s="45" t="s">
        <v>96</v>
      </c>
    </row>
    <row r="292" spans="1:11" x14ac:dyDescent="0.15">
      <c r="A292" s="8" t="s">
        <v>25</v>
      </c>
      <c r="B292" s="6">
        <v>2</v>
      </c>
      <c r="C292" s="22">
        <v>3</v>
      </c>
      <c r="D292" s="7">
        <f t="shared" si="72"/>
        <v>5</v>
      </c>
      <c r="E292" s="57">
        <v>46049</v>
      </c>
      <c r="F292" s="1"/>
      <c r="G292" s="3" t="s">
        <v>89</v>
      </c>
      <c r="H292" s="59"/>
      <c r="I292" s="60"/>
      <c r="J292" s="61">
        <f t="shared" si="76"/>
        <v>0</v>
      </c>
      <c r="K292" s="62"/>
    </row>
    <row r="293" spans="1:11" ht="14.25" thickBot="1" x14ac:dyDescent="0.2">
      <c r="A293" s="8" t="s">
        <v>79</v>
      </c>
      <c r="B293" s="6">
        <v>5</v>
      </c>
      <c r="C293" s="22">
        <v>5</v>
      </c>
      <c r="D293" s="7">
        <f t="shared" si="72"/>
        <v>10</v>
      </c>
      <c r="E293" s="57">
        <v>46052</v>
      </c>
      <c r="F293" s="1"/>
      <c r="G293" s="8" t="s">
        <v>86</v>
      </c>
      <c r="H293" s="6"/>
      <c r="I293" s="22"/>
      <c r="J293" s="7">
        <f t="shared" si="76"/>
        <v>0</v>
      </c>
      <c r="K293" s="45" t="s">
        <v>87</v>
      </c>
    </row>
    <row r="294" spans="1:11" ht="14.25" thickBot="1" x14ac:dyDescent="0.2">
      <c r="A294" s="9" t="s">
        <v>3</v>
      </c>
      <c r="B294" s="10">
        <f>SUM(B270:B293)</f>
        <v>29</v>
      </c>
      <c r="C294" s="33">
        <f>SUM(C270:C293)</f>
        <v>70</v>
      </c>
      <c r="D294" s="11">
        <f>SUM(D270:D293)</f>
        <v>99</v>
      </c>
      <c r="E294" s="55"/>
      <c r="F294" s="1"/>
      <c r="G294" s="9" t="s">
        <v>3</v>
      </c>
      <c r="H294" s="10">
        <f>SUM(H270:H293)</f>
        <v>40</v>
      </c>
      <c r="I294" s="33">
        <f>SUM(I270:I293)</f>
        <v>55</v>
      </c>
      <c r="J294" s="11">
        <f>SUM(J270:J293)</f>
        <v>95</v>
      </c>
    </row>
    <row r="295" spans="1:11" ht="14.25" thickBot="1" x14ac:dyDescent="0.2">
      <c r="A295" s="13" t="s">
        <v>4</v>
      </c>
      <c r="B295" s="14">
        <f>B269-B294</f>
        <v>34</v>
      </c>
      <c r="C295" s="14">
        <f>C269-C294</f>
        <v>15</v>
      </c>
      <c r="D295" s="30">
        <f>D269-D294</f>
        <v>49</v>
      </c>
      <c r="E295" s="58"/>
      <c r="F295" s="1"/>
      <c r="G295" s="13" t="s">
        <v>4</v>
      </c>
      <c r="H295" s="14">
        <f>H269-H294</f>
        <v>723</v>
      </c>
      <c r="I295" s="14">
        <f>I269-I294</f>
        <v>828</v>
      </c>
      <c r="J295" s="30">
        <f>J269-J294</f>
        <v>1551</v>
      </c>
    </row>
    <row r="298" spans="1:11" ht="19.5" thickBot="1" x14ac:dyDescent="0.25">
      <c r="A298" s="21" t="s">
        <v>10</v>
      </c>
      <c r="B298" s="1"/>
      <c r="C298" s="1"/>
      <c r="D298" s="1"/>
      <c r="E298" s="55"/>
      <c r="F298" s="1"/>
      <c r="G298" s="21" t="s">
        <v>11</v>
      </c>
      <c r="H298" s="1"/>
      <c r="I298" s="49" t="s">
        <v>37</v>
      </c>
      <c r="J298" s="46">
        <v>1780</v>
      </c>
    </row>
    <row r="299" spans="1:11" ht="14.25" thickBot="1" x14ac:dyDescent="0.2">
      <c r="A299" s="2"/>
      <c r="B299" s="47" t="s">
        <v>7</v>
      </c>
      <c r="C299" s="48" t="s">
        <v>8</v>
      </c>
      <c r="D299" s="2" t="s">
        <v>0</v>
      </c>
      <c r="E299" s="56"/>
      <c r="F299" s="1"/>
      <c r="G299" s="2"/>
      <c r="H299" s="47" t="s">
        <v>7</v>
      </c>
      <c r="I299" s="48" t="s">
        <v>8</v>
      </c>
      <c r="J299" s="2" t="s">
        <v>0</v>
      </c>
    </row>
    <row r="300" spans="1:11" ht="14.25" thickBot="1" x14ac:dyDescent="0.2">
      <c r="A300" s="94" t="s">
        <v>4</v>
      </c>
      <c r="B300" s="95">
        <f>B295</f>
        <v>34</v>
      </c>
      <c r="C300" s="96">
        <f>C295</f>
        <v>15</v>
      </c>
      <c r="D300" s="97">
        <f>B300+C300</f>
        <v>49</v>
      </c>
      <c r="E300" s="55"/>
      <c r="F300" s="1"/>
      <c r="G300" s="50" t="s">
        <v>6</v>
      </c>
      <c r="H300" s="66">
        <f>H295</f>
        <v>723</v>
      </c>
      <c r="I300" s="66">
        <f>I295</f>
        <v>828</v>
      </c>
      <c r="J300" s="53">
        <f>H300+I300</f>
        <v>1551</v>
      </c>
    </row>
    <row r="301" spans="1:11" x14ac:dyDescent="0.15">
      <c r="A301" s="101" t="s">
        <v>100</v>
      </c>
      <c r="B301" s="91">
        <v>1</v>
      </c>
      <c r="C301" s="92">
        <v>1</v>
      </c>
      <c r="D301" s="93">
        <f t="shared" ref="D301:D305" si="77">B301+C301</f>
        <v>2</v>
      </c>
      <c r="E301" s="73">
        <v>46052</v>
      </c>
      <c r="F301" s="1"/>
      <c r="G301" s="4" t="s">
        <v>1</v>
      </c>
      <c r="H301" s="27"/>
      <c r="I301" s="27"/>
      <c r="J301" s="17">
        <f t="shared" ref="J301:J305" si="78">H301+I301</f>
        <v>0</v>
      </c>
    </row>
    <row r="302" spans="1:11" x14ac:dyDescent="0.15">
      <c r="A302" s="3" t="s">
        <v>1</v>
      </c>
      <c r="B302" s="34"/>
      <c r="C302" s="41">
        <v>20</v>
      </c>
      <c r="D302" s="7">
        <f t="shared" si="77"/>
        <v>20</v>
      </c>
      <c r="E302" s="57">
        <v>46053</v>
      </c>
      <c r="F302" s="1"/>
      <c r="G302" s="4" t="s">
        <v>1</v>
      </c>
      <c r="H302" s="22"/>
      <c r="I302" s="22"/>
      <c r="J302" s="17">
        <f t="shared" si="78"/>
        <v>0</v>
      </c>
    </row>
    <row r="303" spans="1:11" x14ac:dyDescent="0.15">
      <c r="A303" s="3" t="s">
        <v>1</v>
      </c>
      <c r="B303" s="34"/>
      <c r="C303" s="41">
        <v>10</v>
      </c>
      <c r="D303" s="7">
        <f t="shared" si="77"/>
        <v>10</v>
      </c>
      <c r="E303" s="57">
        <v>46059</v>
      </c>
      <c r="F303" s="1"/>
      <c r="G303" s="4" t="s">
        <v>1</v>
      </c>
      <c r="H303" s="22"/>
      <c r="I303" s="22"/>
      <c r="J303" s="17">
        <f t="shared" si="78"/>
        <v>0</v>
      </c>
    </row>
    <row r="304" spans="1:11" x14ac:dyDescent="0.15">
      <c r="A304" s="3" t="s">
        <v>1</v>
      </c>
      <c r="B304" s="34">
        <v>10</v>
      </c>
      <c r="C304" s="41">
        <v>15</v>
      </c>
      <c r="D304" s="7">
        <f t="shared" si="77"/>
        <v>25</v>
      </c>
      <c r="E304" s="57">
        <v>46060</v>
      </c>
      <c r="F304" s="1"/>
      <c r="G304" s="4" t="s">
        <v>1</v>
      </c>
      <c r="H304" s="23"/>
      <c r="I304" s="23"/>
      <c r="J304" s="17">
        <f t="shared" si="78"/>
        <v>0</v>
      </c>
    </row>
    <row r="305" spans="1:12" ht="14.25" thickBot="1" x14ac:dyDescent="0.2">
      <c r="A305" s="83" t="s">
        <v>74</v>
      </c>
      <c r="B305" s="42">
        <v>1</v>
      </c>
      <c r="C305" s="15">
        <v>7</v>
      </c>
      <c r="D305" s="84">
        <f t="shared" si="77"/>
        <v>8</v>
      </c>
      <c r="E305" s="57">
        <v>46085</v>
      </c>
      <c r="F305" s="1"/>
      <c r="G305" s="4" t="s">
        <v>1</v>
      </c>
      <c r="H305" s="23"/>
      <c r="I305" s="23"/>
      <c r="J305" s="17">
        <f t="shared" si="78"/>
        <v>0</v>
      </c>
    </row>
    <row r="306" spans="1:12" ht="14.25" thickBot="1" x14ac:dyDescent="0.2">
      <c r="A306" s="74" t="s">
        <v>2</v>
      </c>
      <c r="B306" s="16">
        <f>SUM(B300:B305)</f>
        <v>46</v>
      </c>
      <c r="C306" s="32">
        <f>SUM(C300:C305)</f>
        <v>68</v>
      </c>
      <c r="D306" s="16">
        <f>B306+C306</f>
        <v>114</v>
      </c>
      <c r="E306" s="58"/>
      <c r="F306" s="1"/>
      <c r="G306" s="13" t="s">
        <v>2</v>
      </c>
      <c r="H306" s="14">
        <f>SUM(H300:H305)</f>
        <v>723</v>
      </c>
      <c r="I306" s="35">
        <f>SUM(I300:I305)</f>
        <v>828</v>
      </c>
      <c r="J306" s="30">
        <f>H306+I306</f>
        <v>1551</v>
      </c>
    </row>
    <row r="307" spans="1:12" x14ac:dyDescent="0.15">
      <c r="A307" s="8" t="s">
        <v>79</v>
      </c>
      <c r="B307" s="6">
        <v>1</v>
      </c>
      <c r="C307" s="22">
        <v>1</v>
      </c>
      <c r="D307" s="7">
        <f t="shared" ref="D307:D330" si="79">B307+C307</f>
        <v>2</v>
      </c>
      <c r="E307" s="57">
        <v>46055</v>
      </c>
      <c r="F307" s="1"/>
      <c r="G307" s="5" t="s">
        <v>103</v>
      </c>
      <c r="H307" s="6"/>
      <c r="I307" s="22">
        <v>20</v>
      </c>
      <c r="J307" s="7">
        <f t="shared" ref="J307:J310" si="80">H307+I307</f>
        <v>20</v>
      </c>
      <c r="K307" s="68">
        <v>46053</v>
      </c>
    </row>
    <row r="308" spans="1:12" x14ac:dyDescent="0.15">
      <c r="A308" s="8" t="s">
        <v>104</v>
      </c>
      <c r="B308" s="6">
        <v>4</v>
      </c>
      <c r="C308" s="22"/>
      <c r="D308" s="7">
        <f t="shared" si="79"/>
        <v>4</v>
      </c>
      <c r="E308" s="57">
        <v>46053</v>
      </c>
      <c r="F308" s="1"/>
      <c r="G308" s="5" t="s">
        <v>105</v>
      </c>
      <c r="H308" s="6"/>
      <c r="I308" s="22">
        <v>10</v>
      </c>
      <c r="J308" s="7">
        <f t="shared" si="80"/>
        <v>10</v>
      </c>
      <c r="K308" s="44">
        <v>46059</v>
      </c>
    </row>
    <row r="309" spans="1:12" x14ac:dyDescent="0.15">
      <c r="A309" s="8" t="s">
        <v>25</v>
      </c>
      <c r="B309" s="6">
        <v>2</v>
      </c>
      <c r="C309" s="22">
        <v>14</v>
      </c>
      <c r="D309" s="7">
        <f t="shared" si="79"/>
        <v>16</v>
      </c>
      <c r="E309" s="57">
        <v>46055</v>
      </c>
      <c r="F309" s="1"/>
      <c r="G309" s="5" t="s">
        <v>105</v>
      </c>
      <c r="H309" s="6">
        <v>10</v>
      </c>
      <c r="I309" s="22">
        <v>15</v>
      </c>
      <c r="J309" s="7">
        <f t="shared" si="80"/>
        <v>25</v>
      </c>
      <c r="K309" s="44">
        <v>46060</v>
      </c>
      <c r="L309" s="54"/>
    </row>
    <row r="310" spans="1:12" x14ac:dyDescent="0.15">
      <c r="A310" s="8" t="s">
        <v>25</v>
      </c>
      <c r="B310" s="6"/>
      <c r="C310" s="22">
        <v>2</v>
      </c>
      <c r="D310" s="7">
        <f t="shared" si="79"/>
        <v>2</v>
      </c>
      <c r="E310" s="57">
        <v>46057</v>
      </c>
      <c r="F310" s="1"/>
      <c r="G310" s="8" t="s">
        <v>48</v>
      </c>
      <c r="H310" s="6">
        <v>40</v>
      </c>
      <c r="I310" s="22"/>
      <c r="J310" s="7">
        <f t="shared" si="80"/>
        <v>40</v>
      </c>
      <c r="K310" s="44">
        <v>46069</v>
      </c>
      <c r="L310" s="54"/>
    </row>
    <row r="311" spans="1:12" x14ac:dyDescent="0.15">
      <c r="A311" s="8" t="s">
        <v>25</v>
      </c>
      <c r="B311" s="6">
        <v>2</v>
      </c>
      <c r="C311" s="22">
        <v>7</v>
      </c>
      <c r="D311" s="7">
        <f t="shared" si="79"/>
        <v>9</v>
      </c>
      <c r="E311" s="57">
        <v>46058</v>
      </c>
      <c r="F311" s="1"/>
      <c r="G311" s="8" t="s">
        <v>57</v>
      </c>
      <c r="H311" s="6">
        <v>4</v>
      </c>
      <c r="I311" s="22"/>
      <c r="J311" s="7">
        <f t="shared" ref="J311:J330" si="81">H311+I311</f>
        <v>4</v>
      </c>
      <c r="K311" s="44">
        <v>46108</v>
      </c>
      <c r="L311" s="54"/>
    </row>
    <row r="312" spans="1:12" x14ac:dyDescent="0.15">
      <c r="A312" s="8" t="s">
        <v>25</v>
      </c>
      <c r="B312" s="6"/>
      <c r="C312" s="22">
        <v>1</v>
      </c>
      <c r="D312" s="7">
        <f t="shared" si="79"/>
        <v>1</v>
      </c>
      <c r="E312" s="57">
        <v>46059</v>
      </c>
      <c r="F312" s="1"/>
      <c r="G312" s="5"/>
      <c r="H312" s="6"/>
      <c r="I312" s="22"/>
      <c r="J312" s="7">
        <f t="shared" si="81"/>
        <v>0</v>
      </c>
    </row>
    <row r="313" spans="1:12" x14ac:dyDescent="0.15">
      <c r="A313" s="8" t="s">
        <v>25</v>
      </c>
      <c r="B313" s="6"/>
      <c r="C313" s="22">
        <v>2</v>
      </c>
      <c r="D313" s="7">
        <f t="shared" si="79"/>
        <v>2</v>
      </c>
      <c r="E313" s="57">
        <v>46062</v>
      </c>
      <c r="F313" s="1"/>
      <c r="G313" s="5"/>
      <c r="H313" s="6"/>
      <c r="I313" s="22"/>
      <c r="J313" s="7">
        <f t="shared" si="81"/>
        <v>0</v>
      </c>
    </row>
    <row r="314" spans="1:12" x14ac:dyDescent="0.15">
      <c r="A314" s="8" t="s">
        <v>25</v>
      </c>
      <c r="B314" s="6"/>
      <c r="C314" s="22">
        <v>4</v>
      </c>
      <c r="D314" s="7">
        <f t="shared" si="79"/>
        <v>4</v>
      </c>
      <c r="E314" s="57">
        <v>46063</v>
      </c>
      <c r="F314" s="1"/>
      <c r="G314" s="5"/>
      <c r="H314" s="6"/>
      <c r="I314" s="22"/>
      <c r="J314" s="7">
        <f t="shared" si="81"/>
        <v>0</v>
      </c>
    </row>
    <row r="315" spans="1:12" x14ac:dyDescent="0.15">
      <c r="A315" s="8" t="s">
        <v>25</v>
      </c>
      <c r="B315" s="6">
        <v>5</v>
      </c>
      <c r="C315" s="22"/>
      <c r="D315" s="7">
        <f t="shared" si="79"/>
        <v>5</v>
      </c>
      <c r="E315" s="57">
        <v>46065</v>
      </c>
      <c r="F315" s="1"/>
      <c r="G315" s="5"/>
      <c r="H315" s="6"/>
      <c r="I315" s="22"/>
      <c r="J315" s="7">
        <f t="shared" si="81"/>
        <v>0</v>
      </c>
    </row>
    <row r="316" spans="1:12" x14ac:dyDescent="0.15">
      <c r="A316" s="8" t="s">
        <v>25</v>
      </c>
      <c r="B316" s="6"/>
      <c r="C316" s="22">
        <v>2</v>
      </c>
      <c r="D316" s="7">
        <f t="shared" si="79"/>
        <v>2</v>
      </c>
      <c r="E316" s="57">
        <v>46066</v>
      </c>
      <c r="F316" s="1"/>
      <c r="G316" s="5"/>
      <c r="H316" s="6"/>
      <c r="I316" s="22"/>
      <c r="J316" s="7">
        <f t="shared" si="81"/>
        <v>0</v>
      </c>
    </row>
    <row r="317" spans="1:12" x14ac:dyDescent="0.15">
      <c r="A317" s="8" t="s">
        <v>25</v>
      </c>
      <c r="B317" s="6">
        <v>1</v>
      </c>
      <c r="C317" s="22">
        <v>1</v>
      </c>
      <c r="D317" s="7">
        <f t="shared" si="79"/>
        <v>2</v>
      </c>
      <c r="E317" s="57">
        <v>46069</v>
      </c>
      <c r="F317" s="1"/>
      <c r="G317" s="5"/>
      <c r="H317" s="6"/>
      <c r="I317" s="22"/>
      <c r="J317" s="7">
        <f t="shared" si="81"/>
        <v>0</v>
      </c>
    </row>
    <row r="318" spans="1:12" x14ac:dyDescent="0.15">
      <c r="A318" s="8" t="s">
        <v>25</v>
      </c>
      <c r="B318" s="6">
        <v>1</v>
      </c>
      <c r="C318" s="22">
        <v>3</v>
      </c>
      <c r="D318" s="7">
        <f t="shared" si="79"/>
        <v>4</v>
      </c>
      <c r="E318" s="57">
        <v>46073</v>
      </c>
      <c r="F318" s="1"/>
      <c r="G318" s="5"/>
      <c r="H318" s="6"/>
      <c r="I318" s="22"/>
      <c r="J318" s="7">
        <f t="shared" si="81"/>
        <v>0</v>
      </c>
    </row>
    <row r="319" spans="1:12" x14ac:dyDescent="0.15">
      <c r="A319" s="8" t="s">
        <v>25</v>
      </c>
      <c r="B319" s="6">
        <v>1</v>
      </c>
      <c r="C319" s="22"/>
      <c r="D319" s="7">
        <f t="shared" si="79"/>
        <v>1</v>
      </c>
      <c r="E319" s="57">
        <v>46078</v>
      </c>
      <c r="F319" s="1"/>
      <c r="G319" s="8"/>
      <c r="H319" s="6"/>
      <c r="I319" s="22"/>
      <c r="J319" s="7">
        <f t="shared" si="81"/>
        <v>0</v>
      </c>
    </row>
    <row r="320" spans="1:12" x14ac:dyDescent="0.15">
      <c r="A320" s="8" t="s">
        <v>25</v>
      </c>
      <c r="B320" s="6">
        <v>2</v>
      </c>
      <c r="C320" s="22">
        <v>2</v>
      </c>
      <c r="D320" s="7">
        <f t="shared" si="79"/>
        <v>4</v>
      </c>
      <c r="E320" s="57">
        <v>46083</v>
      </c>
      <c r="F320" s="1"/>
      <c r="G320" s="5"/>
      <c r="H320" s="6"/>
      <c r="I320" s="22"/>
      <c r="J320" s="7">
        <f t="shared" si="81"/>
        <v>0</v>
      </c>
    </row>
    <row r="321" spans="1:11" x14ac:dyDescent="0.15">
      <c r="A321" s="8" t="s">
        <v>25</v>
      </c>
      <c r="B321" s="6"/>
      <c r="C321" s="22">
        <v>1</v>
      </c>
      <c r="D321" s="7">
        <f t="shared" si="79"/>
        <v>1</v>
      </c>
      <c r="E321" s="57">
        <v>46084</v>
      </c>
      <c r="F321" s="1"/>
      <c r="G321" s="8"/>
      <c r="H321" s="6"/>
      <c r="I321" s="22"/>
      <c r="J321" s="7">
        <f t="shared" si="81"/>
        <v>0</v>
      </c>
    </row>
    <row r="322" spans="1:11" x14ac:dyDescent="0.15">
      <c r="A322" s="8" t="s">
        <v>25</v>
      </c>
      <c r="B322" s="6">
        <v>1</v>
      </c>
      <c r="C322" s="22"/>
      <c r="D322" s="7">
        <f t="shared" si="79"/>
        <v>1</v>
      </c>
      <c r="E322" s="57">
        <v>46086</v>
      </c>
      <c r="F322" s="1"/>
      <c r="G322" s="8"/>
      <c r="H322" s="6"/>
      <c r="I322" s="22"/>
      <c r="J322" s="7">
        <f t="shared" si="81"/>
        <v>0</v>
      </c>
    </row>
    <row r="323" spans="1:11" x14ac:dyDescent="0.15">
      <c r="A323" s="8" t="s">
        <v>25</v>
      </c>
      <c r="B323" s="76">
        <v>1</v>
      </c>
      <c r="C323" s="77"/>
      <c r="D323" s="78">
        <f t="shared" si="79"/>
        <v>1</v>
      </c>
      <c r="E323" s="57">
        <v>46087</v>
      </c>
      <c r="F323" s="1"/>
      <c r="G323" s="8"/>
      <c r="H323" s="6"/>
      <c r="I323" s="22"/>
      <c r="J323" s="7">
        <f t="shared" si="81"/>
        <v>0</v>
      </c>
    </row>
    <row r="324" spans="1:11" x14ac:dyDescent="0.15">
      <c r="A324" s="8" t="s">
        <v>25</v>
      </c>
      <c r="B324" s="6">
        <v>1</v>
      </c>
      <c r="C324" s="22">
        <v>1</v>
      </c>
      <c r="D324" s="7">
        <f t="shared" si="79"/>
        <v>2</v>
      </c>
      <c r="E324" s="57">
        <v>46090</v>
      </c>
      <c r="F324" s="1"/>
      <c r="G324" s="8"/>
      <c r="H324" s="6"/>
      <c r="I324" s="22"/>
      <c r="J324" s="7">
        <f t="shared" si="81"/>
        <v>0</v>
      </c>
    </row>
    <row r="325" spans="1:11" x14ac:dyDescent="0.15">
      <c r="A325" s="8" t="s">
        <v>107</v>
      </c>
      <c r="B325" s="6">
        <v>-4</v>
      </c>
      <c r="C325" s="22"/>
      <c r="D325" s="7">
        <f t="shared" si="79"/>
        <v>-4</v>
      </c>
      <c r="E325" s="57">
        <v>46086</v>
      </c>
      <c r="F325" s="1"/>
      <c r="G325" s="8"/>
      <c r="H325" s="6"/>
      <c r="I325" s="22"/>
      <c r="J325" s="7">
        <f t="shared" si="81"/>
        <v>0</v>
      </c>
    </row>
    <row r="326" spans="1:11" x14ac:dyDescent="0.15">
      <c r="A326" s="8" t="s">
        <v>25</v>
      </c>
      <c r="B326" s="6"/>
      <c r="C326" s="22">
        <v>1</v>
      </c>
      <c r="D326" s="7">
        <f t="shared" si="79"/>
        <v>1</v>
      </c>
      <c r="E326" s="57">
        <v>46092</v>
      </c>
      <c r="F326" s="1"/>
      <c r="G326" s="8"/>
      <c r="H326" s="6"/>
      <c r="I326" s="22"/>
      <c r="J326" s="7">
        <f t="shared" ref="J326:J328" si="82">H326+I326</f>
        <v>0</v>
      </c>
    </row>
    <row r="327" spans="1:11" x14ac:dyDescent="0.15">
      <c r="A327" s="8" t="s">
        <v>108</v>
      </c>
      <c r="B327" s="6">
        <v>-3</v>
      </c>
      <c r="C327" s="22">
        <v>-3</v>
      </c>
      <c r="D327" s="7">
        <f t="shared" si="79"/>
        <v>-6</v>
      </c>
      <c r="E327" s="57">
        <v>46091</v>
      </c>
      <c r="F327" s="1"/>
      <c r="G327" s="8"/>
      <c r="H327" s="6"/>
      <c r="I327" s="22"/>
      <c r="J327" s="7">
        <f t="shared" si="82"/>
        <v>0</v>
      </c>
    </row>
    <row r="328" spans="1:11" x14ac:dyDescent="0.15">
      <c r="A328" s="8" t="s">
        <v>25</v>
      </c>
      <c r="B328" s="6">
        <v>1</v>
      </c>
      <c r="C328" s="22"/>
      <c r="D328" s="7">
        <f t="shared" si="79"/>
        <v>1</v>
      </c>
      <c r="E328" s="57">
        <v>46104</v>
      </c>
      <c r="F328" s="1"/>
      <c r="G328" s="8"/>
      <c r="H328" s="6"/>
      <c r="I328" s="22"/>
      <c r="J328" s="7">
        <f t="shared" si="82"/>
        <v>0</v>
      </c>
    </row>
    <row r="329" spans="1:11" x14ac:dyDescent="0.15">
      <c r="A329" s="8" t="s">
        <v>25</v>
      </c>
      <c r="B329" s="6"/>
      <c r="C329" s="22">
        <v>1</v>
      </c>
      <c r="D329" s="7">
        <f t="shared" si="79"/>
        <v>1</v>
      </c>
      <c r="E329" s="57">
        <v>46107</v>
      </c>
      <c r="F329" s="1"/>
      <c r="G329" s="3" t="s">
        <v>93</v>
      </c>
      <c r="H329" s="59"/>
      <c r="I329" s="60"/>
      <c r="J329" s="61">
        <f t="shared" si="81"/>
        <v>0</v>
      </c>
      <c r="K329" s="62"/>
    </row>
    <row r="330" spans="1:11" ht="14.25" thickBot="1" x14ac:dyDescent="0.2">
      <c r="A330" s="8" t="s">
        <v>25</v>
      </c>
      <c r="B330" s="6"/>
      <c r="C330" s="22">
        <v>1</v>
      </c>
      <c r="D330" s="7">
        <f t="shared" si="79"/>
        <v>1</v>
      </c>
      <c r="E330" s="57">
        <v>46111</v>
      </c>
      <c r="F330" s="1"/>
      <c r="G330" s="8" t="s">
        <v>38</v>
      </c>
      <c r="H330" s="6"/>
      <c r="I330" s="22"/>
      <c r="J330" s="7">
        <f t="shared" si="81"/>
        <v>0</v>
      </c>
      <c r="K330" s="45" t="s">
        <v>94</v>
      </c>
    </row>
    <row r="331" spans="1:11" ht="14.25" thickBot="1" x14ac:dyDescent="0.2">
      <c r="A331" s="9" t="s">
        <v>3</v>
      </c>
      <c r="B331" s="10">
        <f>SUM(B307:B330)</f>
        <v>16</v>
      </c>
      <c r="C331" s="33">
        <f>SUM(C307:C330)</f>
        <v>41</v>
      </c>
      <c r="D331" s="11">
        <f>SUM(D307:D330)</f>
        <v>57</v>
      </c>
      <c r="E331" s="55"/>
      <c r="F331" s="1"/>
      <c r="G331" s="9" t="s">
        <v>3</v>
      </c>
      <c r="H331" s="10">
        <f>SUM(H307:H330)</f>
        <v>54</v>
      </c>
      <c r="I331" s="33">
        <f>SUM(I307:I330)</f>
        <v>45</v>
      </c>
      <c r="J331" s="11">
        <f>SUM(J307:J330)</f>
        <v>99</v>
      </c>
    </row>
    <row r="332" spans="1:11" ht="14.25" thickBot="1" x14ac:dyDescent="0.2">
      <c r="A332" s="13" t="s">
        <v>4</v>
      </c>
      <c r="B332" s="14">
        <f>B306-B331</f>
        <v>30</v>
      </c>
      <c r="C332" s="14">
        <f>C306-C331</f>
        <v>27</v>
      </c>
      <c r="D332" s="30">
        <f>D306-D331</f>
        <v>57</v>
      </c>
      <c r="E332" s="58"/>
      <c r="F332" s="1"/>
      <c r="G332" s="13" t="s">
        <v>4</v>
      </c>
      <c r="H332" s="14">
        <f>H306-H331</f>
        <v>669</v>
      </c>
      <c r="I332" s="14">
        <f>I306-I331</f>
        <v>783</v>
      </c>
      <c r="J332" s="30">
        <f>J306-J331</f>
        <v>1452</v>
      </c>
      <c r="K332" s="85" t="s">
        <v>106</v>
      </c>
    </row>
    <row r="335" spans="1:11" ht="19.5" thickBot="1" x14ac:dyDescent="0.25">
      <c r="A335" s="21" t="s">
        <v>10</v>
      </c>
      <c r="B335" s="1"/>
      <c r="C335" s="1"/>
      <c r="D335" s="1"/>
      <c r="E335" s="55"/>
      <c r="F335" s="1"/>
      <c r="G335" s="21" t="s">
        <v>11</v>
      </c>
      <c r="H335" s="1"/>
      <c r="I335" s="49" t="s">
        <v>37</v>
      </c>
      <c r="J335" s="46">
        <v>1780</v>
      </c>
    </row>
    <row r="336" spans="1:11" ht="14.25" thickBot="1" x14ac:dyDescent="0.2">
      <c r="A336" s="2"/>
      <c r="B336" s="47" t="s">
        <v>7</v>
      </c>
      <c r="C336" s="48" t="s">
        <v>8</v>
      </c>
      <c r="D336" s="2" t="s">
        <v>0</v>
      </c>
      <c r="E336" s="56"/>
      <c r="F336" s="1"/>
      <c r="G336" s="2"/>
      <c r="H336" s="47" t="s">
        <v>7</v>
      </c>
      <c r="I336" s="48" t="s">
        <v>8</v>
      </c>
      <c r="J336" s="2" t="s">
        <v>0</v>
      </c>
    </row>
    <row r="337" spans="1:11" ht="14.25" thickBot="1" x14ac:dyDescent="0.2">
      <c r="A337" s="94" t="s">
        <v>4</v>
      </c>
      <c r="B337" s="95">
        <f>B332</f>
        <v>30</v>
      </c>
      <c r="C337" s="96">
        <f>C332</f>
        <v>27</v>
      </c>
      <c r="D337" s="97">
        <f>B337+C337</f>
        <v>57</v>
      </c>
      <c r="E337" s="55"/>
      <c r="F337" s="1"/>
      <c r="G337" s="50" t="s">
        <v>6</v>
      </c>
      <c r="H337" s="66">
        <f>H332</f>
        <v>669</v>
      </c>
      <c r="I337" s="66">
        <f>I332</f>
        <v>783</v>
      </c>
      <c r="J337" s="53">
        <f>H337+I337</f>
        <v>1452</v>
      </c>
    </row>
    <row r="338" spans="1:11" x14ac:dyDescent="0.15">
      <c r="A338" s="3" t="s">
        <v>1</v>
      </c>
      <c r="B338" s="91">
        <v>20</v>
      </c>
      <c r="C338" s="92">
        <v>20</v>
      </c>
      <c r="D338" s="93">
        <f t="shared" ref="D338:D342" si="83">B338+C338</f>
        <v>40</v>
      </c>
      <c r="E338" s="73">
        <v>46142</v>
      </c>
      <c r="F338" s="1"/>
      <c r="G338" s="4" t="s">
        <v>1</v>
      </c>
      <c r="H338" s="27"/>
      <c r="I338" s="27"/>
      <c r="J338" s="17">
        <f t="shared" ref="J338:J342" si="84">H338+I338</f>
        <v>0</v>
      </c>
    </row>
    <row r="339" spans="1:11" x14ac:dyDescent="0.15">
      <c r="A339" s="3" t="s">
        <v>1</v>
      </c>
      <c r="B339" s="34"/>
      <c r="C339" s="41"/>
      <c r="D339" s="7">
        <f t="shared" si="83"/>
        <v>0</v>
      </c>
      <c r="E339" s="57"/>
      <c r="F339" s="1"/>
      <c r="G339" s="4" t="s">
        <v>1</v>
      </c>
      <c r="H339" s="22"/>
      <c r="I339" s="22"/>
      <c r="J339" s="17">
        <f t="shared" si="84"/>
        <v>0</v>
      </c>
    </row>
    <row r="340" spans="1:11" x14ac:dyDescent="0.15">
      <c r="A340" s="3" t="s">
        <v>1</v>
      </c>
      <c r="B340" s="34"/>
      <c r="C340" s="41"/>
      <c r="D340" s="7">
        <f t="shared" si="83"/>
        <v>0</v>
      </c>
      <c r="E340" s="57"/>
      <c r="F340" s="1"/>
      <c r="G340" s="4" t="s">
        <v>1</v>
      </c>
      <c r="H340" s="22"/>
      <c r="I340" s="22"/>
      <c r="J340" s="17">
        <f t="shared" si="84"/>
        <v>0</v>
      </c>
    </row>
    <row r="341" spans="1:11" x14ac:dyDescent="0.15">
      <c r="A341" s="3" t="s">
        <v>1</v>
      </c>
      <c r="B341" s="34"/>
      <c r="C341" s="41"/>
      <c r="D341" s="7">
        <f t="shared" si="83"/>
        <v>0</v>
      </c>
      <c r="E341" s="57"/>
      <c r="F341" s="1"/>
      <c r="G341" s="4" t="s">
        <v>1</v>
      </c>
      <c r="H341" s="23"/>
      <c r="I341" s="23"/>
      <c r="J341" s="17">
        <f t="shared" si="84"/>
        <v>0</v>
      </c>
    </row>
    <row r="342" spans="1:11" ht="14.25" thickBot="1" x14ac:dyDescent="0.2">
      <c r="A342" s="3" t="s">
        <v>1</v>
      </c>
      <c r="B342" s="42"/>
      <c r="C342" s="15"/>
      <c r="D342" s="84">
        <f t="shared" si="83"/>
        <v>0</v>
      </c>
      <c r="E342" s="57"/>
      <c r="F342" s="1"/>
      <c r="G342" s="4" t="s">
        <v>1</v>
      </c>
      <c r="H342" s="23"/>
      <c r="I342" s="23"/>
      <c r="J342" s="17">
        <f t="shared" si="84"/>
        <v>0</v>
      </c>
    </row>
    <row r="343" spans="1:11" ht="14.25" thickBot="1" x14ac:dyDescent="0.2">
      <c r="A343" s="74" t="s">
        <v>2</v>
      </c>
      <c r="B343" s="16">
        <f>SUM(B337:B342)</f>
        <v>50</v>
      </c>
      <c r="C343" s="32">
        <f>SUM(C337:C342)</f>
        <v>47</v>
      </c>
      <c r="D343" s="16">
        <f>B343+C343</f>
        <v>97</v>
      </c>
      <c r="E343" s="58"/>
      <c r="F343" s="1"/>
      <c r="G343" s="13" t="s">
        <v>2</v>
      </c>
      <c r="H343" s="14">
        <f>SUM(H337:H342)</f>
        <v>669</v>
      </c>
      <c r="I343" s="35">
        <f>SUM(I337:I342)</f>
        <v>783</v>
      </c>
      <c r="J343" s="30">
        <f>H343+I343</f>
        <v>1452</v>
      </c>
    </row>
    <row r="344" spans="1:11" x14ac:dyDescent="0.15">
      <c r="A344" s="8" t="s">
        <v>25</v>
      </c>
      <c r="B344" s="6">
        <v>1</v>
      </c>
      <c r="C344" s="22"/>
      <c r="D344" s="7">
        <f t="shared" ref="D344:D367" si="85">B344+C344</f>
        <v>1</v>
      </c>
      <c r="E344" s="57">
        <v>46112</v>
      </c>
      <c r="F344" s="1"/>
      <c r="G344" s="8" t="s">
        <v>58</v>
      </c>
      <c r="H344" s="6">
        <v>4</v>
      </c>
      <c r="I344" s="22"/>
      <c r="J344" s="7">
        <f t="shared" ref="J344:J348" si="86">H344+I344</f>
        <v>4</v>
      </c>
      <c r="K344" s="44">
        <v>46115</v>
      </c>
    </row>
    <row r="345" spans="1:11" x14ac:dyDescent="0.15">
      <c r="A345" s="8" t="s">
        <v>109</v>
      </c>
      <c r="B345" s="6">
        <v>1</v>
      </c>
      <c r="C345" s="22">
        <v>1</v>
      </c>
      <c r="D345" s="7">
        <f t="shared" si="85"/>
        <v>2</v>
      </c>
      <c r="E345" s="57">
        <v>46115</v>
      </c>
      <c r="F345" s="1"/>
      <c r="G345" s="8" t="s">
        <v>60</v>
      </c>
      <c r="H345" s="6">
        <v>24</v>
      </c>
      <c r="I345" s="22">
        <v>16</v>
      </c>
      <c r="J345" s="7">
        <f t="shared" si="86"/>
        <v>40</v>
      </c>
      <c r="K345" s="44">
        <v>46121</v>
      </c>
    </row>
    <row r="346" spans="1:11" x14ac:dyDescent="0.15">
      <c r="A346" s="8" t="s">
        <v>25</v>
      </c>
      <c r="B346" s="6">
        <v>1</v>
      </c>
      <c r="C346" s="22">
        <v>2</v>
      </c>
      <c r="D346" s="7">
        <f t="shared" si="85"/>
        <v>3</v>
      </c>
      <c r="E346" s="57">
        <v>46118</v>
      </c>
      <c r="F346" s="1"/>
      <c r="G346" s="5"/>
      <c r="H346" s="6"/>
      <c r="I346" s="22"/>
      <c r="J346" s="7">
        <f t="shared" si="86"/>
        <v>0</v>
      </c>
      <c r="K346" s="45"/>
    </row>
    <row r="347" spans="1:11" x14ac:dyDescent="0.15">
      <c r="A347" s="8" t="s">
        <v>110</v>
      </c>
      <c r="B347" s="6">
        <v>2</v>
      </c>
      <c r="C347" s="22">
        <v>2</v>
      </c>
      <c r="D347" s="7">
        <f t="shared" si="85"/>
        <v>4</v>
      </c>
      <c r="E347" s="57">
        <v>46121</v>
      </c>
      <c r="F347" s="1"/>
      <c r="G347" s="5"/>
      <c r="H347" s="6"/>
      <c r="I347" s="22"/>
      <c r="J347" s="7">
        <f t="shared" si="86"/>
        <v>0</v>
      </c>
    </row>
    <row r="348" spans="1:11" x14ac:dyDescent="0.15">
      <c r="A348" s="8" t="s">
        <v>25</v>
      </c>
      <c r="B348" s="6"/>
      <c r="C348" s="22">
        <v>1</v>
      </c>
      <c r="D348" s="7">
        <f t="shared" si="85"/>
        <v>1</v>
      </c>
      <c r="E348" s="57">
        <v>46125</v>
      </c>
      <c r="F348" s="1"/>
      <c r="G348" s="5"/>
      <c r="H348" s="6"/>
      <c r="I348" s="22"/>
      <c r="J348" s="7">
        <f t="shared" si="86"/>
        <v>0</v>
      </c>
    </row>
    <row r="349" spans="1:11" x14ac:dyDescent="0.15">
      <c r="A349" s="8" t="s">
        <v>111</v>
      </c>
      <c r="B349" s="6">
        <v>1</v>
      </c>
      <c r="C349" s="22"/>
      <c r="D349" s="7">
        <f t="shared" si="85"/>
        <v>1</v>
      </c>
      <c r="E349" s="57">
        <v>46128</v>
      </c>
      <c r="F349" s="1"/>
      <c r="G349" s="5"/>
      <c r="H349" s="6"/>
      <c r="I349" s="22"/>
      <c r="J349" s="7">
        <f t="shared" ref="J349:J367" si="87">H349+I349</f>
        <v>0</v>
      </c>
    </row>
    <row r="350" spans="1:11" x14ac:dyDescent="0.15">
      <c r="A350" s="8" t="s">
        <v>25</v>
      </c>
      <c r="B350" s="6"/>
      <c r="C350" s="22">
        <v>2</v>
      </c>
      <c r="D350" s="7">
        <f t="shared" si="85"/>
        <v>2</v>
      </c>
      <c r="E350" s="57">
        <v>46127</v>
      </c>
      <c r="F350" s="1"/>
      <c r="G350" s="5"/>
      <c r="H350" s="6"/>
      <c r="I350" s="22"/>
      <c r="J350" s="7">
        <f t="shared" si="87"/>
        <v>0</v>
      </c>
    </row>
    <row r="351" spans="1:11" x14ac:dyDescent="0.15">
      <c r="A351" s="8" t="s">
        <v>112</v>
      </c>
      <c r="B351" s="6">
        <v>1</v>
      </c>
      <c r="C351" s="22"/>
      <c r="D351" s="7">
        <f t="shared" si="85"/>
        <v>1</v>
      </c>
      <c r="E351" s="57">
        <v>46133</v>
      </c>
      <c r="F351" s="1"/>
      <c r="G351" s="5"/>
      <c r="H351" s="6"/>
      <c r="I351" s="22"/>
      <c r="J351" s="7">
        <f t="shared" si="87"/>
        <v>0</v>
      </c>
    </row>
    <row r="352" spans="1:11" x14ac:dyDescent="0.15">
      <c r="A352" s="8" t="s">
        <v>25</v>
      </c>
      <c r="B352" s="6">
        <v>1</v>
      </c>
      <c r="C352" s="22">
        <v>1</v>
      </c>
      <c r="D352" s="7">
        <f t="shared" si="85"/>
        <v>2</v>
      </c>
      <c r="E352" s="57">
        <v>46133</v>
      </c>
      <c r="F352" s="1"/>
      <c r="G352" s="5"/>
      <c r="H352" s="6"/>
      <c r="I352" s="22"/>
      <c r="J352" s="7">
        <f t="shared" si="87"/>
        <v>0</v>
      </c>
    </row>
    <row r="353" spans="1:11" x14ac:dyDescent="0.15">
      <c r="A353" s="8" t="s">
        <v>25</v>
      </c>
      <c r="B353" s="6">
        <v>1</v>
      </c>
      <c r="C353" s="22"/>
      <c r="D353" s="7">
        <f t="shared" si="85"/>
        <v>1</v>
      </c>
      <c r="E353" s="57">
        <v>46134</v>
      </c>
      <c r="F353" s="1"/>
      <c r="G353" s="5"/>
      <c r="H353" s="6"/>
      <c r="I353" s="22"/>
      <c r="J353" s="7">
        <f t="shared" si="87"/>
        <v>0</v>
      </c>
    </row>
    <row r="354" spans="1:11" x14ac:dyDescent="0.15">
      <c r="A354" s="8" t="s">
        <v>25</v>
      </c>
      <c r="B354" s="6">
        <v>1</v>
      </c>
      <c r="C354" s="22"/>
      <c r="D354" s="7">
        <f t="shared" si="85"/>
        <v>1</v>
      </c>
      <c r="E354" s="57">
        <v>46139</v>
      </c>
      <c r="F354" s="1"/>
      <c r="G354" s="5"/>
      <c r="H354" s="6"/>
      <c r="I354" s="22"/>
      <c r="J354" s="7">
        <f t="shared" si="87"/>
        <v>0</v>
      </c>
    </row>
    <row r="355" spans="1:11" x14ac:dyDescent="0.15">
      <c r="A355" s="8" t="s">
        <v>25</v>
      </c>
      <c r="B355" s="6">
        <v>2</v>
      </c>
      <c r="C355" s="22"/>
      <c r="D355" s="7">
        <f t="shared" si="85"/>
        <v>2</v>
      </c>
      <c r="E355" s="57">
        <v>46139</v>
      </c>
      <c r="F355" s="1"/>
      <c r="G355" s="5"/>
      <c r="H355" s="6"/>
      <c r="I355" s="22"/>
      <c r="J355" s="7">
        <f t="shared" si="87"/>
        <v>0</v>
      </c>
    </row>
    <row r="356" spans="1:11" x14ac:dyDescent="0.15">
      <c r="A356" s="8" t="s">
        <v>25</v>
      </c>
      <c r="B356" s="6"/>
      <c r="C356" s="22">
        <v>3</v>
      </c>
      <c r="D356" s="7">
        <f t="shared" si="85"/>
        <v>3</v>
      </c>
      <c r="E356" s="57">
        <v>46142</v>
      </c>
      <c r="F356" s="1"/>
      <c r="G356" s="8"/>
      <c r="H356" s="6"/>
      <c r="I356" s="22"/>
      <c r="J356" s="7">
        <f t="shared" si="87"/>
        <v>0</v>
      </c>
    </row>
    <row r="357" spans="1:11" x14ac:dyDescent="0.15">
      <c r="A357" s="8" t="s">
        <v>25</v>
      </c>
      <c r="B357" s="6">
        <v>1</v>
      </c>
      <c r="C357" s="22"/>
      <c r="D357" s="7">
        <f t="shared" si="85"/>
        <v>1</v>
      </c>
      <c r="E357" s="57">
        <v>46153</v>
      </c>
      <c r="F357" s="1"/>
      <c r="G357" s="5"/>
      <c r="H357" s="6"/>
      <c r="I357" s="22"/>
      <c r="J357" s="7">
        <f t="shared" si="87"/>
        <v>0</v>
      </c>
    </row>
    <row r="358" spans="1:11" x14ac:dyDescent="0.15">
      <c r="A358" s="8" t="s">
        <v>114</v>
      </c>
      <c r="B358" s="6">
        <v>1</v>
      </c>
      <c r="C358" s="22"/>
      <c r="D358" s="7">
        <f t="shared" si="85"/>
        <v>1</v>
      </c>
      <c r="E358" s="57">
        <v>46154</v>
      </c>
      <c r="F358" s="1"/>
      <c r="G358" s="8"/>
      <c r="H358" s="6"/>
      <c r="I358" s="22"/>
      <c r="J358" s="7">
        <f t="shared" si="87"/>
        <v>0</v>
      </c>
    </row>
    <row r="359" spans="1:11" x14ac:dyDescent="0.15">
      <c r="A359" s="8" t="s">
        <v>25</v>
      </c>
      <c r="B359" s="6"/>
      <c r="C359" s="22">
        <v>2</v>
      </c>
      <c r="D359" s="7">
        <f t="shared" si="85"/>
        <v>2</v>
      </c>
      <c r="E359" s="57">
        <v>46154</v>
      </c>
      <c r="F359" s="1"/>
      <c r="G359" s="8"/>
      <c r="H359" s="6"/>
      <c r="I359" s="22"/>
      <c r="J359" s="7">
        <f t="shared" si="87"/>
        <v>0</v>
      </c>
    </row>
    <row r="360" spans="1:11" x14ac:dyDescent="0.15">
      <c r="A360" s="8" t="s">
        <v>25</v>
      </c>
      <c r="B360" s="76"/>
      <c r="C360" s="77">
        <v>1</v>
      </c>
      <c r="D360" s="78">
        <f t="shared" si="85"/>
        <v>1</v>
      </c>
      <c r="E360" s="57">
        <v>46163</v>
      </c>
      <c r="F360" s="1"/>
      <c r="G360" s="8"/>
      <c r="H360" s="6"/>
      <c r="I360" s="22"/>
      <c r="J360" s="7">
        <f t="shared" si="87"/>
        <v>0</v>
      </c>
    </row>
    <row r="361" spans="1:11" x14ac:dyDescent="0.15">
      <c r="A361" s="8" t="s">
        <v>25</v>
      </c>
      <c r="B361" s="6">
        <v>2</v>
      </c>
      <c r="C361" s="22"/>
      <c r="D361" s="7">
        <f t="shared" si="85"/>
        <v>2</v>
      </c>
      <c r="E361" s="57">
        <v>46169</v>
      </c>
      <c r="F361" s="1"/>
      <c r="G361" s="8"/>
      <c r="H361" s="6"/>
      <c r="I361" s="22"/>
      <c r="J361" s="7">
        <f t="shared" si="87"/>
        <v>0</v>
      </c>
    </row>
    <row r="362" spans="1:11" x14ac:dyDescent="0.15">
      <c r="A362" s="8" t="s">
        <v>25</v>
      </c>
      <c r="B362" s="6">
        <v>1</v>
      </c>
      <c r="C362" s="22"/>
      <c r="D362" s="7">
        <f t="shared" si="85"/>
        <v>1</v>
      </c>
      <c r="E362" s="57">
        <v>46171</v>
      </c>
      <c r="F362" s="1"/>
      <c r="G362" s="8"/>
      <c r="H362" s="6"/>
      <c r="I362" s="22"/>
      <c r="J362" s="7">
        <f t="shared" si="87"/>
        <v>0</v>
      </c>
    </row>
    <row r="363" spans="1:11" x14ac:dyDescent="0.15">
      <c r="A363" s="8" t="s">
        <v>25</v>
      </c>
      <c r="B363" s="6"/>
      <c r="C363" s="22">
        <v>3</v>
      </c>
      <c r="D363" s="7">
        <f t="shared" si="85"/>
        <v>3</v>
      </c>
      <c r="E363" s="57">
        <v>46174</v>
      </c>
      <c r="F363" s="1"/>
      <c r="G363" s="8"/>
      <c r="H363" s="6"/>
      <c r="I363" s="22"/>
      <c r="J363" s="7">
        <f t="shared" si="87"/>
        <v>0</v>
      </c>
    </row>
    <row r="364" spans="1:11" x14ac:dyDescent="0.15">
      <c r="A364" s="8" t="s">
        <v>115</v>
      </c>
      <c r="B364" s="6"/>
      <c r="C364" s="22">
        <v>1</v>
      </c>
      <c r="D364" s="7">
        <f t="shared" si="85"/>
        <v>1</v>
      </c>
      <c r="E364" s="57">
        <v>46176</v>
      </c>
      <c r="F364" s="1"/>
      <c r="G364" s="8"/>
      <c r="H364" s="6"/>
      <c r="I364" s="22"/>
      <c r="J364" s="7">
        <f t="shared" si="87"/>
        <v>0</v>
      </c>
    </row>
    <row r="365" spans="1:11" x14ac:dyDescent="0.15">
      <c r="A365" s="8"/>
      <c r="B365" s="6"/>
      <c r="C365" s="22"/>
      <c r="D365" s="7">
        <f t="shared" si="85"/>
        <v>0</v>
      </c>
      <c r="E365" s="57"/>
      <c r="F365" s="1"/>
      <c r="G365" s="8"/>
      <c r="H365" s="6"/>
      <c r="I365" s="22"/>
      <c r="J365" s="7">
        <f t="shared" si="87"/>
        <v>0</v>
      </c>
      <c r="K365" s="102"/>
    </row>
    <row r="366" spans="1:11" x14ac:dyDescent="0.15">
      <c r="A366" s="5"/>
      <c r="B366" s="6"/>
      <c r="C366" s="22"/>
      <c r="D366" s="7">
        <f t="shared" si="85"/>
        <v>0</v>
      </c>
      <c r="E366" s="55"/>
      <c r="F366" s="1"/>
      <c r="G366" s="8"/>
      <c r="H366" s="6"/>
      <c r="I366" s="22"/>
      <c r="J366" s="7">
        <f t="shared" si="87"/>
        <v>0</v>
      </c>
      <c r="K366" s="102"/>
    </row>
    <row r="367" spans="1:11" ht="14.25" thickBot="1" x14ac:dyDescent="0.2">
      <c r="A367" s="5"/>
      <c r="B367" s="6"/>
      <c r="C367" s="22"/>
      <c r="D367" s="7">
        <f t="shared" si="85"/>
        <v>0</v>
      </c>
      <c r="E367" s="55"/>
      <c r="F367" s="1"/>
      <c r="G367" s="8"/>
      <c r="H367" s="6"/>
      <c r="I367" s="22"/>
      <c r="J367" s="7">
        <f t="shared" si="87"/>
        <v>0</v>
      </c>
    </row>
    <row r="368" spans="1:11" ht="14.25" thickBot="1" x14ac:dyDescent="0.2">
      <c r="A368" s="9" t="s">
        <v>3</v>
      </c>
      <c r="B368" s="10">
        <f>SUM(B344:B367)</f>
        <v>17</v>
      </c>
      <c r="C368" s="33">
        <f>SUM(C344:C367)</f>
        <v>19</v>
      </c>
      <c r="D368" s="11">
        <f>SUM(D344:D367)</f>
        <v>36</v>
      </c>
      <c r="E368" s="55"/>
      <c r="F368" s="1"/>
      <c r="G368" s="9" t="s">
        <v>3</v>
      </c>
      <c r="H368" s="10">
        <f>SUM(H344:H367)</f>
        <v>28</v>
      </c>
      <c r="I368" s="33">
        <f>SUM(I344:I367)</f>
        <v>16</v>
      </c>
      <c r="J368" s="11">
        <f>SUM(J344:J367)</f>
        <v>44</v>
      </c>
    </row>
    <row r="369" spans="1:10" ht="14.25" thickBot="1" x14ac:dyDescent="0.2">
      <c r="A369" s="13" t="s">
        <v>4</v>
      </c>
      <c r="B369" s="14">
        <f>B343-B368</f>
        <v>33</v>
      </c>
      <c r="C369" s="14">
        <f>C343-C368</f>
        <v>28</v>
      </c>
      <c r="D369" s="30">
        <f>D343-D368</f>
        <v>61</v>
      </c>
      <c r="E369" s="58"/>
      <c r="F369" s="1"/>
      <c r="G369" s="13" t="s">
        <v>4</v>
      </c>
      <c r="H369" s="14">
        <f>H343-H368</f>
        <v>641</v>
      </c>
      <c r="I369" s="14">
        <f>I343-I368</f>
        <v>767</v>
      </c>
      <c r="J369" s="30">
        <f>J343-J368</f>
        <v>1408</v>
      </c>
    </row>
    <row r="372" spans="1:10" ht="19.5" thickBot="1" x14ac:dyDescent="0.25">
      <c r="A372" s="21" t="s">
        <v>10</v>
      </c>
      <c r="B372" s="1"/>
      <c r="C372" s="1"/>
      <c r="D372" s="1"/>
      <c r="E372" s="55"/>
      <c r="F372" s="1"/>
      <c r="G372" s="21" t="s">
        <v>11</v>
      </c>
      <c r="H372" s="1"/>
      <c r="I372" s="49" t="s">
        <v>37</v>
      </c>
      <c r="J372" s="46">
        <v>1780</v>
      </c>
    </row>
    <row r="373" spans="1:10" ht="14.25" thickBot="1" x14ac:dyDescent="0.2">
      <c r="A373" s="2"/>
      <c r="B373" s="47" t="s">
        <v>7</v>
      </c>
      <c r="C373" s="48" t="s">
        <v>8</v>
      </c>
      <c r="D373" s="2" t="s">
        <v>0</v>
      </c>
      <c r="E373" s="56"/>
      <c r="F373" s="1"/>
      <c r="G373" s="2"/>
      <c r="H373" s="47" t="s">
        <v>7</v>
      </c>
      <c r="I373" s="48" t="s">
        <v>8</v>
      </c>
      <c r="J373" s="2" t="s">
        <v>0</v>
      </c>
    </row>
    <row r="374" spans="1:10" ht="14.25" thickBot="1" x14ac:dyDescent="0.2">
      <c r="A374" s="94" t="s">
        <v>4</v>
      </c>
      <c r="B374" s="95">
        <f>B369</f>
        <v>33</v>
      </c>
      <c r="C374" s="96">
        <f>C369</f>
        <v>28</v>
      </c>
      <c r="D374" s="97">
        <f>B374+C374</f>
        <v>61</v>
      </c>
      <c r="E374" s="55"/>
      <c r="F374" s="1"/>
      <c r="G374" s="50" t="s">
        <v>6</v>
      </c>
      <c r="H374" s="66">
        <f>H369</f>
        <v>641</v>
      </c>
      <c r="I374" s="66">
        <f>I369</f>
        <v>767</v>
      </c>
      <c r="J374" s="53">
        <f>H374+I374</f>
        <v>1408</v>
      </c>
    </row>
    <row r="375" spans="1:10" x14ac:dyDescent="0.15">
      <c r="A375" s="3" t="s">
        <v>1</v>
      </c>
      <c r="B375" s="91"/>
      <c r="C375" s="92"/>
      <c r="D375" s="93">
        <f t="shared" ref="D375:D379" si="88">B375+C375</f>
        <v>0</v>
      </c>
      <c r="E375" s="73"/>
      <c r="F375" s="1"/>
      <c r="G375" s="4" t="s">
        <v>1</v>
      </c>
      <c r="H375" s="27"/>
      <c r="I375" s="27"/>
      <c r="J375" s="17">
        <f t="shared" ref="J375:J379" si="89">H375+I375</f>
        <v>0</v>
      </c>
    </row>
    <row r="376" spans="1:10" x14ac:dyDescent="0.15">
      <c r="A376" s="3" t="s">
        <v>1</v>
      </c>
      <c r="B376" s="34"/>
      <c r="C376" s="41"/>
      <c r="D376" s="7">
        <f t="shared" si="88"/>
        <v>0</v>
      </c>
      <c r="E376" s="57"/>
      <c r="F376" s="1"/>
      <c r="G376" s="4" t="s">
        <v>1</v>
      </c>
      <c r="H376" s="22"/>
      <c r="I376" s="22"/>
      <c r="J376" s="17">
        <f t="shared" si="89"/>
        <v>0</v>
      </c>
    </row>
    <row r="377" spans="1:10" x14ac:dyDescent="0.15">
      <c r="A377" s="3" t="s">
        <v>1</v>
      </c>
      <c r="B377" s="34"/>
      <c r="C377" s="41"/>
      <c r="D377" s="7">
        <f t="shared" si="88"/>
        <v>0</v>
      </c>
      <c r="E377" s="57"/>
      <c r="F377" s="1"/>
      <c r="G377" s="4" t="s">
        <v>1</v>
      </c>
      <c r="H377" s="22"/>
      <c r="I377" s="22"/>
      <c r="J377" s="17">
        <f t="shared" si="89"/>
        <v>0</v>
      </c>
    </row>
    <row r="378" spans="1:10" x14ac:dyDescent="0.15">
      <c r="A378" s="3" t="s">
        <v>1</v>
      </c>
      <c r="B378" s="34"/>
      <c r="C378" s="41"/>
      <c r="D378" s="7">
        <f t="shared" si="88"/>
        <v>0</v>
      </c>
      <c r="E378" s="57"/>
      <c r="F378" s="1"/>
      <c r="G378" s="4" t="s">
        <v>1</v>
      </c>
      <c r="H378" s="23"/>
      <c r="I378" s="23"/>
      <c r="J378" s="17">
        <f t="shared" si="89"/>
        <v>0</v>
      </c>
    </row>
    <row r="379" spans="1:10" ht="14.25" thickBot="1" x14ac:dyDescent="0.2">
      <c r="A379" s="83" t="s">
        <v>1</v>
      </c>
      <c r="B379" s="42"/>
      <c r="C379" s="15"/>
      <c r="D379" s="84">
        <f t="shared" si="88"/>
        <v>0</v>
      </c>
      <c r="E379" s="57"/>
      <c r="F379" s="1"/>
      <c r="G379" s="4" t="s">
        <v>1</v>
      </c>
      <c r="H379" s="23"/>
      <c r="I379" s="23"/>
      <c r="J379" s="17">
        <f t="shared" si="89"/>
        <v>0</v>
      </c>
    </row>
    <row r="380" spans="1:10" ht="14.25" thickBot="1" x14ac:dyDescent="0.2">
      <c r="A380" s="74" t="s">
        <v>2</v>
      </c>
      <c r="B380" s="16">
        <f>SUM(B374:B379)</f>
        <v>33</v>
      </c>
      <c r="C380" s="32">
        <f>SUM(C374:C379)</f>
        <v>28</v>
      </c>
      <c r="D380" s="16">
        <f>B380+C380</f>
        <v>61</v>
      </c>
      <c r="E380" s="58"/>
      <c r="F380" s="1"/>
      <c r="G380" s="13" t="s">
        <v>2</v>
      </c>
      <c r="H380" s="14">
        <f>SUM(H374:H379)</f>
        <v>641</v>
      </c>
      <c r="I380" s="35">
        <f>SUM(I374:I379)</f>
        <v>767</v>
      </c>
      <c r="J380" s="30">
        <f>H380+I380</f>
        <v>1408</v>
      </c>
    </row>
    <row r="381" spans="1:10" x14ac:dyDescent="0.15">
      <c r="A381" s="8"/>
      <c r="B381" s="6"/>
      <c r="C381" s="22"/>
      <c r="D381" s="7">
        <f t="shared" ref="D381:D393" si="90">B381+C381</f>
        <v>0</v>
      </c>
      <c r="E381" s="57"/>
      <c r="F381" s="1"/>
      <c r="G381" s="5"/>
      <c r="H381" s="6"/>
      <c r="I381" s="22"/>
      <c r="J381" s="7">
        <f t="shared" ref="J381:J382" si="91">H381+I381</f>
        <v>0</v>
      </c>
    </row>
    <row r="382" spans="1:10" x14ac:dyDescent="0.15">
      <c r="A382" s="8"/>
      <c r="B382" s="6"/>
      <c r="C382" s="22"/>
      <c r="D382" s="7">
        <f t="shared" si="90"/>
        <v>0</v>
      </c>
      <c r="E382" s="57"/>
      <c r="F382" s="1"/>
      <c r="G382" s="5"/>
      <c r="H382" s="6"/>
      <c r="I382" s="22"/>
      <c r="J382" s="7">
        <f t="shared" si="91"/>
        <v>0</v>
      </c>
    </row>
    <row r="383" spans="1:10" x14ac:dyDescent="0.15">
      <c r="A383" s="8"/>
      <c r="B383" s="6"/>
      <c r="C383" s="22"/>
      <c r="D383" s="7">
        <f t="shared" si="90"/>
        <v>0</v>
      </c>
      <c r="E383" s="57"/>
      <c r="F383" s="1"/>
      <c r="G383" s="5"/>
      <c r="H383" s="6"/>
      <c r="I383" s="22"/>
      <c r="J383" s="7">
        <f t="shared" ref="J383:J404" si="92">H383+I383</f>
        <v>0</v>
      </c>
    </row>
    <row r="384" spans="1:10" x14ac:dyDescent="0.15">
      <c r="A384" s="8"/>
      <c r="B384" s="6"/>
      <c r="C384" s="22"/>
      <c r="D384" s="7">
        <f t="shared" si="90"/>
        <v>0</v>
      </c>
      <c r="E384" s="57"/>
      <c r="F384" s="1"/>
      <c r="G384" s="5"/>
      <c r="H384" s="6"/>
      <c r="I384" s="22"/>
      <c r="J384" s="7">
        <f t="shared" si="92"/>
        <v>0</v>
      </c>
    </row>
    <row r="385" spans="1:11" x14ac:dyDescent="0.15">
      <c r="A385" s="8"/>
      <c r="B385" s="6"/>
      <c r="C385" s="22"/>
      <c r="D385" s="7">
        <f t="shared" si="90"/>
        <v>0</v>
      </c>
      <c r="E385" s="57"/>
      <c r="F385" s="1"/>
      <c r="G385" s="5"/>
      <c r="H385" s="6"/>
      <c r="I385" s="22"/>
      <c r="J385" s="7">
        <f t="shared" si="92"/>
        <v>0</v>
      </c>
    </row>
    <row r="386" spans="1:11" x14ac:dyDescent="0.15">
      <c r="A386" s="8"/>
      <c r="B386" s="6"/>
      <c r="C386" s="22"/>
      <c r="D386" s="7">
        <f t="shared" si="90"/>
        <v>0</v>
      </c>
      <c r="E386" s="57"/>
      <c r="F386" s="1"/>
      <c r="G386" s="5"/>
      <c r="H386" s="6"/>
      <c r="I386" s="22"/>
      <c r="J386" s="7">
        <f t="shared" si="92"/>
        <v>0</v>
      </c>
    </row>
    <row r="387" spans="1:11" x14ac:dyDescent="0.15">
      <c r="A387" s="8"/>
      <c r="B387" s="6"/>
      <c r="C387" s="22"/>
      <c r="D387" s="7">
        <f t="shared" si="90"/>
        <v>0</v>
      </c>
      <c r="E387" s="57"/>
      <c r="F387" s="1"/>
      <c r="G387" s="5"/>
      <c r="H387" s="6"/>
      <c r="I387" s="22"/>
      <c r="J387" s="7">
        <f t="shared" si="92"/>
        <v>0</v>
      </c>
    </row>
    <row r="388" spans="1:11" x14ac:dyDescent="0.15">
      <c r="A388" s="8"/>
      <c r="B388" s="6"/>
      <c r="C388" s="22"/>
      <c r="D388" s="7">
        <f t="shared" si="90"/>
        <v>0</v>
      </c>
      <c r="E388" s="57"/>
      <c r="F388" s="1"/>
      <c r="G388" s="5"/>
      <c r="H388" s="6"/>
      <c r="I388" s="22"/>
      <c r="J388" s="7">
        <f t="shared" si="92"/>
        <v>0</v>
      </c>
    </row>
    <row r="389" spans="1:11" x14ac:dyDescent="0.15">
      <c r="A389" s="8"/>
      <c r="B389" s="6"/>
      <c r="C389" s="22"/>
      <c r="D389" s="7">
        <f t="shared" si="90"/>
        <v>0</v>
      </c>
      <c r="E389" s="57"/>
      <c r="F389" s="1"/>
      <c r="G389" s="5"/>
      <c r="H389" s="6"/>
      <c r="I389" s="22"/>
      <c r="J389" s="7">
        <f t="shared" si="92"/>
        <v>0</v>
      </c>
    </row>
    <row r="390" spans="1:11" x14ac:dyDescent="0.15">
      <c r="A390" s="8"/>
      <c r="B390" s="6"/>
      <c r="C390" s="22"/>
      <c r="D390" s="7">
        <f t="shared" si="90"/>
        <v>0</v>
      </c>
      <c r="E390" s="57"/>
      <c r="F390" s="1"/>
      <c r="G390" s="5"/>
      <c r="H390" s="6"/>
      <c r="I390" s="22"/>
      <c r="J390" s="7">
        <f t="shared" si="92"/>
        <v>0</v>
      </c>
    </row>
    <row r="391" spans="1:11" x14ac:dyDescent="0.15">
      <c r="A391" s="8"/>
      <c r="B391" s="6"/>
      <c r="C391" s="22"/>
      <c r="D391" s="7">
        <f t="shared" si="90"/>
        <v>0</v>
      </c>
      <c r="E391" s="57"/>
      <c r="F391" s="1"/>
      <c r="G391" s="5"/>
      <c r="H391" s="6"/>
      <c r="I391" s="22"/>
      <c r="J391" s="7">
        <f t="shared" si="92"/>
        <v>0</v>
      </c>
    </row>
    <row r="392" spans="1:11" x14ac:dyDescent="0.15">
      <c r="A392" s="8"/>
      <c r="B392" s="6"/>
      <c r="C392" s="22"/>
      <c r="D392" s="7">
        <f t="shared" si="90"/>
        <v>0</v>
      </c>
      <c r="E392" s="57"/>
      <c r="F392" s="1"/>
      <c r="G392" s="5"/>
      <c r="H392" s="6"/>
      <c r="I392" s="22"/>
      <c r="J392" s="7">
        <f t="shared" si="92"/>
        <v>0</v>
      </c>
    </row>
    <row r="393" spans="1:11" x14ac:dyDescent="0.15">
      <c r="A393" s="8"/>
      <c r="B393" s="6"/>
      <c r="C393" s="22"/>
      <c r="D393" s="7">
        <f t="shared" si="90"/>
        <v>0</v>
      </c>
      <c r="E393" s="57"/>
      <c r="F393" s="1"/>
      <c r="G393" s="8"/>
      <c r="H393" s="6"/>
      <c r="I393" s="22"/>
      <c r="J393" s="7">
        <f t="shared" si="92"/>
        <v>0</v>
      </c>
    </row>
    <row r="394" spans="1:11" x14ac:dyDescent="0.15">
      <c r="A394" s="8"/>
      <c r="B394" s="6"/>
      <c r="C394" s="22"/>
      <c r="D394" s="7">
        <f t="shared" ref="D394:D404" si="93">B394+C394</f>
        <v>0</v>
      </c>
      <c r="E394" s="57"/>
      <c r="F394" s="1"/>
      <c r="G394" s="5"/>
      <c r="H394" s="6"/>
      <c r="I394" s="22"/>
      <c r="J394" s="7">
        <f t="shared" si="92"/>
        <v>0</v>
      </c>
    </row>
    <row r="395" spans="1:11" x14ac:dyDescent="0.15">
      <c r="A395" s="8"/>
      <c r="B395" s="6"/>
      <c r="C395" s="22"/>
      <c r="D395" s="7">
        <f t="shared" si="93"/>
        <v>0</v>
      </c>
      <c r="E395" s="57"/>
      <c r="F395" s="1"/>
      <c r="G395" s="8"/>
      <c r="H395" s="6"/>
      <c r="I395" s="22"/>
      <c r="J395" s="7">
        <f t="shared" si="92"/>
        <v>0</v>
      </c>
    </row>
    <row r="396" spans="1:11" x14ac:dyDescent="0.15">
      <c r="A396" s="8"/>
      <c r="B396" s="6"/>
      <c r="C396" s="22"/>
      <c r="D396" s="7">
        <f t="shared" si="93"/>
        <v>0</v>
      </c>
      <c r="E396" s="57"/>
      <c r="F396" s="1"/>
      <c r="G396" s="8"/>
      <c r="H396" s="6"/>
      <c r="I396" s="22"/>
      <c r="J396" s="7">
        <f t="shared" si="92"/>
        <v>0</v>
      </c>
    </row>
    <row r="397" spans="1:11" x14ac:dyDescent="0.15">
      <c r="A397" s="8"/>
      <c r="B397" s="76"/>
      <c r="C397" s="77"/>
      <c r="D397" s="78">
        <f t="shared" si="93"/>
        <v>0</v>
      </c>
      <c r="E397" s="57"/>
      <c r="F397" s="1"/>
      <c r="G397" s="8"/>
      <c r="H397" s="6"/>
      <c r="I397" s="22"/>
      <c r="J397" s="7">
        <f t="shared" si="92"/>
        <v>0</v>
      </c>
    </row>
    <row r="398" spans="1:11" x14ac:dyDescent="0.15">
      <c r="A398" s="8"/>
      <c r="B398" s="6"/>
      <c r="C398" s="22"/>
      <c r="D398" s="7">
        <f t="shared" si="93"/>
        <v>0</v>
      </c>
      <c r="E398" s="57"/>
      <c r="F398" s="1"/>
      <c r="G398" s="8"/>
      <c r="H398" s="6"/>
      <c r="I398" s="22"/>
      <c r="J398" s="7">
        <f t="shared" si="92"/>
        <v>0</v>
      </c>
    </row>
    <row r="399" spans="1:11" x14ac:dyDescent="0.15">
      <c r="A399" s="8"/>
      <c r="B399" s="6"/>
      <c r="C399" s="22"/>
      <c r="D399" s="7">
        <f t="shared" si="93"/>
        <v>0</v>
      </c>
      <c r="E399" s="57"/>
      <c r="F399" s="1"/>
      <c r="G399" s="3" t="s">
        <v>120</v>
      </c>
      <c r="H399" s="59">
        <v>-30</v>
      </c>
      <c r="I399" s="60">
        <v>-30</v>
      </c>
      <c r="J399" s="61">
        <f t="shared" si="92"/>
        <v>-60</v>
      </c>
    </row>
    <row r="400" spans="1:11" x14ac:dyDescent="0.15">
      <c r="A400" s="8"/>
      <c r="B400" s="6"/>
      <c r="C400" s="22"/>
      <c r="D400" s="7">
        <f t="shared" si="93"/>
        <v>0</v>
      </c>
      <c r="E400" s="57"/>
      <c r="F400" s="1"/>
      <c r="G400" s="8" t="s">
        <v>121</v>
      </c>
      <c r="H400" s="6">
        <v>190</v>
      </c>
      <c r="I400" s="22">
        <v>150</v>
      </c>
      <c r="J400" s="7">
        <f t="shared" si="92"/>
        <v>340</v>
      </c>
      <c r="K400" s="43" t="s">
        <v>119</v>
      </c>
    </row>
    <row r="401" spans="1:11" x14ac:dyDescent="0.15">
      <c r="A401" s="8"/>
      <c r="B401" s="6"/>
      <c r="C401" s="22"/>
      <c r="D401" s="7">
        <f t="shared" si="93"/>
        <v>0</v>
      </c>
      <c r="E401" s="57"/>
      <c r="F401" s="1"/>
      <c r="G401" s="108" t="s">
        <v>116</v>
      </c>
      <c r="H401" s="109">
        <v>-40</v>
      </c>
      <c r="I401" s="110">
        <v>-20</v>
      </c>
      <c r="J401" s="111">
        <f t="shared" ref="J401:J402" si="94">H401+I401</f>
        <v>-60</v>
      </c>
      <c r="K401" s="107"/>
    </row>
    <row r="402" spans="1:11" x14ac:dyDescent="0.15">
      <c r="A402" s="8"/>
      <c r="B402" s="6"/>
      <c r="C402" s="22"/>
      <c r="D402" s="7">
        <f t="shared" si="93"/>
        <v>0</v>
      </c>
      <c r="E402" s="57"/>
      <c r="F402" s="1"/>
      <c r="G402" s="103" t="s">
        <v>123</v>
      </c>
      <c r="H402" s="104">
        <v>90</v>
      </c>
      <c r="I402" s="105">
        <v>70</v>
      </c>
      <c r="J402" s="106">
        <f t="shared" si="94"/>
        <v>160</v>
      </c>
      <c r="K402" s="107" t="s">
        <v>117</v>
      </c>
    </row>
    <row r="403" spans="1:11" x14ac:dyDescent="0.15">
      <c r="A403" s="5"/>
      <c r="B403" s="6"/>
      <c r="C403" s="22"/>
      <c r="D403" s="7">
        <f t="shared" si="93"/>
        <v>0</v>
      </c>
      <c r="E403" s="55"/>
      <c r="F403" s="1"/>
      <c r="G403" s="108" t="s">
        <v>118</v>
      </c>
      <c r="H403" s="109">
        <v>-30</v>
      </c>
      <c r="I403" s="110">
        <v>-30</v>
      </c>
      <c r="J403" s="111">
        <f t="shared" si="92"/>
        <v>-60</v>
      </c>
      <c r="K403" s="85"/>
    </row>
    <row r="404" spans="1:11" ht="14.25" thickBot="1" x14ac:dyDescent="0.2">
      <c r="A404" s="5"/>
      <c r="B404" s="6"/>
      <c r="C404" s="22"/>
      <c r="D404" s="7">
        <f t="shared" si="93"/>
        <v>0</v>
      </c>
      <c r="E404" s="55"/>
      <c r="F404" s="1"/>
      <c r="G404" s="103" t="s">
        <v>122</v>
      </c>
      <c r="H404" s="104">
        <v>100</v>
      </c>
      <c r="I404" s="105">
        <v>100</v>
      </c>
      <c r="J404" s="106">
        <f t="shared" si="92"/>
        <v>200</v>
      </c>
      <c r="K404" s="107" t="s">
        <v>113</v>
      </c>
    </row>
    <row r="405" spans="1:11" ht="14.25" thickBot="1" x14ac:dyDescent="0.2">
      <c r="A405" s="9" t="s">
        <v>3</v>
      </c>
      <c r="B405" s="10">
        <f>SUM(B381:B404)</f>
        <v>0</v>
      </c>
      <c r="C405" s="33">
        <f>SUM(C381:C404)</f>
        <v>0</v>
      </c>
      <c r="D405" s="11">
        <f>SUM(D381:D404)</f>
        <v>0</v>
      </c>
      <c r="E405" s="55"/>
      <c r="F405" s="1"/>
      <c r="G405" s="9" t="s">
        <v>3</v>
      </c>
      <c r="H405" s="10">
        <f>SUM(H381:H404)</f>
        <v>280</v>
      </c>
      <c r="I405" s="33">
        <f>SUM(I381:I404)</f>
        <v>240</v>
      </c>
      <c r="J405" s="11">
        <f>SUM(J381:J404)</f>
        <v>520</v>
      </c>
    </row>
    <row r="406" spans="1:11" ht="14.25" thickBot="1" x14ac:dyDescent="0.2">
      <c r="A406" s="13" t="s">
        <v>4</v>
      </c>
      <c r="B406" s="14">
        <f>B380-B405</f>
        <v>33</v>
      </c>
      <c r="C406" s="14">
        <f>C380-C405</f>
        <v>28</v>
      </c>
      <c r="D406" s="30">
        <f>D380-D405</f>
        <v>61</v>
      </c>
      <c r="E406" s="58"/>
      <c r="F406" s="1"/>
      <c r="G406" s="13" t="s">
        <v>4</v>
      </c>
      <c r="H406" s="14">
        <f>H380-H405</f>
        <v>361</v>
      </c>
      <c r="I406" s="14">
        <f>I380-I405</f>
        <v>527</v>
      </c>
      <c r="J406" s="30">
        <f>J380-J405</f>
        <v>888</v>
      </c>
    </row>
  </sheetData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長袖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2019-05-14T05:55:55Z</cp:lastPrinted>
  <dcterms:created xsi:type="dcterms:W3CDTF">2014-01-28T06:53:42Z</dcterms:created>
  <dcterms:modified xsi:type="dcterms:W3CDTF">2026-06-11T02:08:02Z</dcterms:modified>
</cp:coreProperties>
</file>