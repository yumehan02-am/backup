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スガノ工房\"/>
    </mc:Choice>
  </mc:AlternateContent>
  <xr:revisionPtr revIDLastSave="0" documentId="13_ncr:1_{09858FFC-AEEE-4131-88F7-D4046118A0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マスク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92" i="1" l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J2117" i="1"/>
  <c r="I2117" i="1"/>
  <c r="H2117" i="1"/>
  <c r="D2117" i="1"/>
  <c r="C2117" i="1"/>
  <c r="E2117" i="1" s="1"/>
  <c r="J2116" i="1"/>
  <c r="E2116" i="1"/>
  <c r="J2115" i="1"/>
  <c r="E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118" i="1" s="1"/>
  <c r="I2091" i="1"/>
  <c r="I2118" i="1" s="1"/>
  <c r="H2091" i="1"/>
  <c r="H2118" i="1" s="1"/>
  <c r="J2090" i="1"/>
  <c r="E2090" i="1"/>
  <c r="J2089" i="1"/>
  <c r="E2089" i="1"/>
  <c r="J2088" i="1"/>
  <c r="E2088" i="1"/>
  <c r="J2087" i="1"/>
  <c r="E2087" i="1"/>
  <c r="J2086" i="1"/>
  <c r="E2086" i="1"/>
  <c r="J2085" i="1"/>
  <c r="I2085" i="1"/>
  <c r="H2085" i="1"/>
  <c r="I2077" i="1"/>
  <c r="H2077" i="1"/>
  <c r="J2077" i="1" s="1"/>
  <c r="D2077" i="1"/>
  <c r="C2077" i="1"/>
  <c r="J2076" i="1"/>
  <c r="E2076" i="1"/>
  <c r="J2075" i="1"/>
  <c r="E2075" i="1"/>
  <c r="J2074" i="1"/>
  <c r="E2074" i="1"/>
  <c r="J2073" i="1"/>
  <c r="E2073" i="1"/>
  <c r="J2072" i="1"/>
  <c r="E2072" i="1"/>
  <c r="J2071" i="1"/>
  <c r="E2071" i="1"/>
  <c r="J2070" i="1"/>
  <c r="E2070" i="1"/>
  <c r="J2069" i="1"/>
  <c r="E2069" i="1"/>
  <c r="J2068" i="1"/>
  <c r="E2068" i="1"/>
  <c r="J2067" i="1"/>
  <c r="E2067" i="1"/>
  <c r="J2066" i="1"/>
  <c r="E2066" i="1"/>
  <c r="J2065" i="1"/>
  <c r="E2065" i="1"/>
  <c r="J2064" i="1"/>
  <c r="E2064" i="1"/>
  <c r="J2063" i="1"/>
  <c r="E2063" i="1"/>
  <c r="J2062" i="1"/>
  <c r="E2062" i="1"/>
  <c r="J2061" i="1"/>
  <c r="E2061" i="1"/>
  <c r="J2060" i="1"/>
  <c r="E2060" i="1"/>
  <c r="J2059" i="1"/>
  <c r="E2059" i="1"/>
  <c r="J2058" i="1"/>
  <c r="E2058" i="1"/>
  <c r="J2057" i="1"/>
  <c r="E2057" i="1"/>
  <c r="J2056" i="1"/>
  <c r="E2056" i="1"/>
  <c r="J2055" i="1"/>
  <c r="E2055" i="1"/>
  <c r="J2054" i="1"/>
  <c r="E2054" i="1"/>
  <c r="J2053" i="1"/>
  <c r="E2053" i="1"/>
  <c r="J2052" i="1"/>
  <c r="E2052" i="1"/>
  <c r="J2050" i="1"/>
  <c r="E2050" i="1"/>
  <c r="J2049" i="1"/>
  <c r="E2049" i="1"/>
  <c r="J2048" i="1"/>
  <c r="E2048" i="1"/>
  <c r="J2047" i="1"/>
  <c r="E2047" i="1"/>
  <c r="J2046" i="1"/>
  <c r="E2046" i="1"/>
  <c r="J2045" i="1"/>
  <c r="J2051" i="1" s="1"/>
  <c r="J2078" i="1" s="1"/>
  <c r="I2045" i="1"/>
  <c r="I2051" i="1" s="1"/>
  <c r="I2078" i="1" s="1"/>
  <c r="H2045" i="1"/>
  <c r="H2051" i="1" s="1"/>
  <c r="H2078" i="1" s="1"/>
  <c r="D2045" i="1"/>
  <c r="D2051" i="1" s="1"/>
  <c r="C2024" i="1"/>
  <c r="I2037" i="1"/>
  <c r="H2037" i="1"/>
  <c r="J2037" i="1" s="1"/>
  <c r="D2037" i="1"/>
  <c r="C2037" i="1"/>
  <c r="J2036" i="1"/>
  <c r="E2036" i="1"/>
  <c r="J2035" i="1"/>
  <c r="E2035" i="1"/>
  <c r="J2034" i="1"/>
  <c r="E2034" i="1"/>
  <c r="J2033" i="1"/>
  <c r="E2033" i="1"/>
  <c r="J2032" i="1"/>
  <c r="E2032" i="1"/>
  <c r="J2031" i="1"/>
  <c r="E2031" i="1"/>
  <c r="J2030" i="1"/>
  <c r="E2030" i="1"/>
  <c r="J2029" i="1"/>
  <c r="E2029" i="1"/>
  <c r="J2028" i="1"/>
  <c r="E2028" i="1"/>
  <c r="J2027" i="1"/>
  <c r="E2027" i="1"/>
  <c r="J2026" i="1"/>
  <c r="E2026" i="1"/>
  <c r="J2025" i="1"/>
  <c r="E2025" i="1"/>
  <c r="J2024" i="1"/>
  <c r="E2024" i="1"/>
  <c r="J2023" i="1"/>
  <c r="E2023" i="1"/>
  <c r="J2022" i="1"/>
  <c r="E2022" i="1"/>
  <c r="J2021" i="1"/>
  <c r="E2021" i="1"/>
  <c r="J2020" i="1"/>
  <c r="E2020" i="1"/>
  <c r="J2019" i="1"/>
  <c r="E2019" i="1"/>
  <c r="J2018" i="1"/>
  <c r="E2018" i="1"/>
  <c r="J2017" i="1"/>
  <c r="E2017" i="1"/>
  <c r="J2016" i="1"/>
  <c r="E2016" i="1"/>
  <c r="J2015" i="1"/>
  <c r="E2015" i="1"/>
  <c r="J2014" i="1"/>
  <c r="E2014" i="1"/>
  <c r="J2013" i="1"/>
  <c r="E2013" i="1"/>
  <c r="J2012" i="1"/>
  <c r="E2012" i="1"/>
  <c r="J2010" i="1"/>
  <c r="E2010" i="1"/>
  <c r="J2009" i="1"/>
  <c r="E2009" i="1"/>
  <c r="J2008" i="1"/>
  <c r="E2008" i="1"/>
  <c r="J2007" i="1"/>
  <c r="E2007" i="1"/>
  <c r="J2006" i="1"/>
  <c r="E2006" i="1"/>
  <c r="J2005" i="1"/>
  <c r="J2011" i="1" s="1"/>
  <c r="I2005" i="1"/>
  <c r="I2011" i="1" s="1"/>
  <c r="I2038" i="1" s="1"/>
  <c r="H2005" i="1"/>
  <c r="H2011" i="1" s="1"/>
  <c r="H2038" i="1" s="1"/>
  <c r="D2005" i="1"/>
  <c r="D2011" i="1" s="1"/>
  <c r="I1998" i="1"/>
  <c r="J1997" i="1"/>
  <c r="I1997" i="1"/>
  <c r="H1997" i="1"/>
  <c r="D1997" i="1"/>
  <c r="C1997" i="1"/>
  <c r="J1996" i="1"/>
  <c r="E1996" i="1"/>
  <c r="J1995" i="1"/>
  <c r="E1995" i="1"/>
  <c r="J1994" i="1"/>
  <c r="E1994" i="1"/>
  <c r="J1993" i="1"/>
  <c r="E1993" i="1"/>
  <c r="J1992" i="1"/>
  <c r="E1992" i="1"/>
  <c r="J1991" i="1"/>
  <c r="E1991" i="1"/>
  <c r="J1990" i="1"/>
  <c r="E1990" i="1"/>
  <c r="J1989" i="1"/>
  <c r="E1989" i="1"/>
  <c r="J1988" i="1"/>
  <c r="E1988" i="1"/>
  <c r="J1987" i="1"/>
  <c r="E1987" i="1"/>
  <c r="J1986" i="1"/>
  <c r="E1986" i="1"/>
  <c r="J1985" i="1"/>
  <c r="E1985" i="1"/>
  <c r="J1984" i="1"/>
  <c r="E1984" i="1"/>
  <c r="J1983" i="1"/>
  <c r="E1983" i="1"/>
  <c r="J1982" i="1"/>
  <c r="E1982" i="1"/>
  <c r="J1981" i="1"/>
  <c r="E1981" i="1"/>
  <c r="J1980" i="1"/>
  <c r="E1980" i="1"/>
  <c r="J1979" i="1"/>
  <c r="E1979" i="1"/>
  <c r="J1978" i="1"/>
  <c r="E1978" i="1"/>
  <c r="J1977" i="1"/>
  <c r="E1977" i="1"/>
  <c r="J1976" i="1"/>
  <c r="E1976" i="1"/>
  <c r="J1975" i="1"/>
  <c r="E1975" i="1"/>
  <c r="J1974" i="1"/>
  <c r="E1974" i="1"/>
  <c r="J1973" i="1"/>
  <c r="E1973" i="1"/>
  <c r="J1972" i="1"/>
  <c r="E1972" i="1"/>
  <c r="J1971" i="1"/>
  <c r="J1998" i="1" s="1"/>
  <c r="I1971" i="1"/>
  <c r="H1971" i="1"/>
  <c r="H1998" i="1" s="1"/>
  <c r="D1971" i="1"/>
  <c r="D1998" i="1" s="1"/>
  <c r="J1970" i="1"/>
  <c r="E1970" i="1"/>
  <c r="J1969" i="1"/>
  <c r="E1969" i="1"/>
  <c r="J1968" i="1"/>
  <c r="E1968" i="1"/>
  <c r="J1967" i="1"/>
  <c r="E1967" i="1"/>
  <c r="J1966" i="1"/>
  <c r="E1966" i="1"/>
  <c r="J1965" i="1"/>
  <c r="I1965" i="1"/>
  <c r="H1965" i="1"/>
  <c r="D1965" i="1"/>
  <c r="C1934" i="1"/>
  <c r="J1932" i="1"/>
  <c r="E1926" i="1"/>
  <c r="I1957" i="1"/>
  <c r="H1957" i="1"/>
  <c r="D1957" i="1"/>
  <c r="C1957" i="1"/>
  <c r="J1956" i="1"/>
  <c r="E1956" i="1"/>
  <c r="J1955" i="1"/>
  <c r="E1955" i="1"/>
  <c r="J1954" i="1"/>
  <c r="E1954" i="1"/>
  <c r="J1953" i="1"/>
  <c r="E1953" i="1"/>
  <c r="J1952" i="1"/>
  <c r="E1952" i="1"/>
  <c r="J1951" i="1"/>
  <c r="E1951" i="1"/>
  <c r="J1950" i="1"/>
  <c r="E1950" i="1"/>
  <c r="J1949" i="1"/>
  <c r="E1949" i="1"/>
  <c r="J1948" i="1"/>
  <c r="E1948" i="1"/>
  <c r="J1947" i="1"/>
  <c r="E1947" i="1"/>
  <c r="J1946" i="1"/>
  <c r="E1946" i="1"/>
  <c r="J1945" i="1"/>
  <c r="E1945" i="1"/>
  <c r="J1944" i="1"/>
  <c r="E1944" i="1"/>
  <c r="J1943" i="1"/>
  <c r="E1943" i="1"/>
  <c r="J1942" i="1"/>
  <c r="E1942" i="1"/>
  <c r="J1941" i="1"/>
  <c r="E1941" i="1"/>
  <c r="J1940" i="1"/>
  <c r="E1940" i="1"/>
  <c r="J1939" i="1"/>
  <c r="E1939" i="1"/>
  <c r="J1938" i="1"/>
  <c r="E1938" i="1"/>
  <c r="J1937" i="1"/>
  <c r="E1937" i="1"/>
  <c r="J1936" i="1"/>
  <c r="E1936" i="1"/>
  <c r="J1935" i="1"/>
  <c r="E1935" i="1"/>
  <c r="J1934" i="1"/>
  <c r="E1934" i="1"/>
  <c r="J1933" i="1"/>
  <c r="E1933" i="1"/>
  <c r="E1932" i="1"/>
  <c r="J1930" i="1"/>
  <c r="E1930" i="1"/>
  <c r="J1929" i="1"/>
  <c r="E1929" i="1"/>
  <c r="J1928" i="1"/>
  <c r="E1928" i="1"/>
  <c r="J1927" i="1"/>
  <c r="E1927" i="1"/>
  <c r="J1926" i="1"/>
  <c r="C1906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I1917" i="1"/>
  <c r="I1918" i="1" s="1"/>
  <c r="I1925" i="1" s="1"/>
  <c r="I1931" i="1" s="1"/>
  <c r="H1917" i="1"/>
  <c r="D1917" i="1"/>
  <c r="C1917" i="1"/>
  <c r="J1916" i="1"/>
  <c r="E1916" i="1"/>
  <c r="J1915" i="1"/>
  <c r="E1915" i="1"/>
  <c r="J1914" i="1"/>
  <c r="E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I1891" i="1"/>
  <c r="H1891" i="1"/>
  <c r="J1890" i="1"/>
  <c r="E1890" i="1"/>
  <c r="J1889" i="1"/>
  <c r="E1889" i="1"/>
  <c r="J1888" i="1"/>
  <c r="E1888" i="1"/>
  <c r="J1887" i="1"/>
  <c r="E1887" i="1"/>
  <c r="J1886" i="1"/>
  <c r="E1886" i="1"/>
  <c r="J1885" i="1"/>
  <c r="I1885" i="1"/>
  <c r="H1885" i="1"/>
  <c r="C1870" i="1"/>
  <c r="C1857" i="1"/>
  <c r="D1857" i="1"/>
  <c r="C1877" i="1"/>
  <c r="E1846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6" i="1"/>
  <c r="E1855" i="1"/>
  <c r="E1854" i="1"/>
  <c r="E1853" i="1"/>
  <c r="E1852" i="1"/>
  <c r="I1877" i="1"/>
  <c r="H1877" i="1"/>
  <c r="J1877" i="1" s="1"/>
  <c r="D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H1851" i="1"/>
  <c r="H1878" i="1" s="1"/>
  <c r="C1851" i="1"/>
  <c r="J1850" i="1"/>
  <c r="E1850" i="1"/>
  <c r="J1849" i="1"/>
  <c r="E1849" i="1"/>
  <c r="J1848" i="1"/>
  <c r="E1848" i="1"/>
  <c r="J1847" i="1"/>
  <c r="E1847" i="1"/>
  <c r="J1846" i="1"/>
  <c r="J1845" i="1"/>
  <c r="J1851" i="1" s="1"/>
  <c r="J1878" i="1" s="1"/>
  <c r="I1845" i="1"/>
  <c r="I1851" i="1" s="1"/>
  <c r="I1878" i="1" s="1"/>
  <c r="H1845" i="1"/>
  <c r="C1845" i="1"/>
  <c r="C1825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I1837" i="1"/>
  <c r="H1837" i="1"/>
  <c r="J1837" i="1" s="1"/>
  <c r="J1836" i="1"/>
  <c r="J1835" i="1"/>
  <c r="D1837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0" i="1"/>
  <c r="E1810" i="1"/>
  <c r="J1809" i="1"/>
  <c r="E1809" i="1"/>
  <c r="J1808" i="1"/>
  <c r="E1808" i="1"/>
  <c r="J1807" i="1"/>
  <c r="E1807" i="1"/>
  <c r="J1806" i="1"/>
  <c r="E1806" i="1"/>
  <c r="D1795" i="1"/>
  <c r="C1780" i="1"/>
  <c r="E1780" i="1" s="1"/>
  <c r="C1773" i="1"/>
  <c r="E1773" i="1" s="1"/>
  <c r="C1755" i="1"/>
  <c r="I1797" i="1"/>
  <c r="H1797" i="1"/>
  <c r="D1797" i="1"/>
  <c r="J1796" i="1"/>
  <c r="E1796" i="1"/>
  <c r="J1795" i="1"/>
  <c r="E1795" i="1"/>
  <c r="J1794" i="1"/>
  <c r="E1794" i="1"/>
  <c r="J1793" i="1"/>
  <c r="E1793" i="1"/>
  <c r="J1792" i="1"/>
  <c r="E1792" i="1"/>
  <c r="J1791" i="1"/>
  <c r="E1791" i="1"/>
  <c r="J1790" i="1"/>
  <c r="E1790" i="1"/>
  <c r="J1789" i="1"/>
  <c r="E1789" i="1"/>
  <c r="J1788" i="1"/>
  <c r="E1788" i="1"/>
  <c r="J1787" i="1"/>
  <c r="E1787" i="1"/>
  <c r="J1786" i="1"/>
  <c r="E1786" i="1"/>
  <c r="J1785" i="1"/>
  <c r="E1785" i="1"/>
  <c r="J1784" i="1"/>
  <c r="E1784" i="1"/>
  <c r="J1783" i="1"/>
  <c r="E1783" i="1"/>
  <c r="J1782" i="1"/>
  <c r="E1782" i="1"/>
  <c r="J1781" i="1"/>
  <c r="E1781" i="1"/>
  <c r="J1780" i="1"/>
  <c r="J1779" i="1"/>
  <c r="E1779" i="1"/>
  <c r="J1778" i="1"/>
  <c r="E1778" i="1"/>
  <c r="J1777" i="1"/>
  <c r="E1777" i="1"/>
  <c r="J1776" i="1"/>
  <c r="E1776" i="1"/>
  <c r="J1775" i="1"/>
  <c r="E1775" i="1"/>
  <c r="J1774" i="1"/>
  <c r="E1774" i="1"/>
  <c r="J1773" i="1"/>
  <c r="J1772" i="1"/>
  <c r="E1772" i="1"/>
  <c r="J1770" i="1"/>
  <c r="E1770" i="1"/>
  <c r="J1769" i="1"/>
  <c r="E1769" i="1"/>
  <c r="J1768" i="1"/>
  <c r="E1768" i="1"/>
  <c r="J1767" i="1"/>
  <c r="E1767" i="1"/>
  <c r="J1766" i="1"/>
  <c r="E1766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J1750" i="1"/>
  <c r="J1751" i="1"/>
  <c r="J1752" i="1"/>
  <c r="J1753" i="1"/>
  <c r="J1754" i="1"/>
  <c r="J1755" i="1"/>
  <c r="J1756" i="1"/>
  <c r="I1757" i="1"/>
  <c r="J1757" i="1" s="1"/>
  <c r="H1757" i="1"/>
  <c r="D1757" i="1"/>
  <c r="C1757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0" i="1"/>
  <c r="E1730" i="1"/>
  <c r="J1729" i="1"/>
  <c r="E1729" i="1"/>
  <c r="J1728" i="1"/>
  <c r="E1728" i="1"/>
  <c r="J1727" i="1"/>
  <c r="E1727" i="1"/>
  <c r="J1726" i="1"/>
  <c r="E1726" i="1"/>
  <c r="C1703" i="1"/>
  <c r="E1703" i="1" s="1"/>
  <c r="C1701" i="1"/>
  <c r="E1701" i="1" s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2" i="1"/>
  <c r="E1700" i="1"/>
  <c r="E1699" i="1"/>
  <c r="E1698" i="1"/>
  <c r="E1697" i="1"/>
  <c r="E1696" i="1"/>
  <c r="E1695" i="1"/>
  <c r="E1694" i="1"/>
  <c r="E1693" i="1"/>
  <c r="E1692" i="1"/>
  <c r="E1690" i="1"/>
  <c r="E1689" i="1"/>
  <c r="E1688" i="1"/>
  <c r="E1687" i="1"/>
  <c r="E1686" i="1"/>
  <c r="J1674" i="1"/>
  <c r="J1675" i="1"/>
  <c r="J1676" i="1"/>
  <c r="J1692" i="1"/>
  <c r="I1717" i="1"/>
  <c r="H1717" i="1"/>
  <c r="D1717" i="1"/>
  <c r="J1716" i="1"/>
  <c r="E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0" i="1"/>
  <c r="J1689" i="1"/>
  <c r="J1688" i="1"/>
  <c r="J1687" i="1"/>
  <c r="J1686" i="1"/>
  <c r="C1671" i="1"/>
  <c r="E1671" i="1" s="1"/>
  <c r="C1670" i="1"/>
  <c r="E1670" i="1" s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I1677" i="1"/>
  <c r="H1677" i="1"/>
  <c r="J1677" i="1" s="1"/>
  <c r="E1676" i="1"/>
  <c r="E1675" i="1"/>
  <c r="E1674" i="1"/>
  <c r="J1673" i="1"/>
  <c r="E1673" i="1"/>
  <c r="J1672" i="1"/>
  <c r="E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D1677" i="1"/>
  <c r="J1653" i="1"/>
  <c r="J1652" i="1"/>
  <c r="J1650" i="1"/>
  <c r="E1650" i="1"/>
  <c r="J1649" i="1"/>
  <c r="E1649" i="1"/>
  <c r="J1648" i="1"/>
  <c r="E1648" i="1"/>
  <c r="J1647" i="1"/>
  <c r="E1647" i="1"/>
  <c r="J1646" i="1"/>
  <c r="E1646" i="1"/>
  <c r="E1623" i="1"/>
  <c r="J1612" i="1"/>
  <c r="D1614" i="1"/>
  <c r="D1637" i="1" s="1"/>
  <c r="C1614" i="1"/>
  <c r="E1610" i="1"/>
  <c r="E1609" i="1"/>
  <c r="E1608" i="1"/>
  <c r="E1607" i="1"/>
  <c r="E1606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2" i="1"/>
  <c r="E1621" i="1"/>
  <c r="E1620" i="1"/>
  <c r="E1619" i="1"/>
  <c r="E1618" i="1"/>
  <c r="E1617" i="1"/>
  <c r="E1616" i="1"/>
  <c r="E1615" i="1"/>
  <c r="E1613" i="1"/>
  <c r="E1612" i="1"/>
  <c r="I1637" i="1"/>
  <c r="H1637" i="1"/>
  <c r="C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0" i="1"/>
  <c r="J1609" i="1"/>
  <c r="J1608" i="1"/>
  <c r="J1607" i="1"/>
  <c r="J1606" i="1"/>
  <c r="E1566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I1597" i="1"/>
  <c r="H1597" i="1"/>
  <c r="J1596" i="1"/>
  <c r="E1596" i="1"/>
  <c r="J1595" i="1"/>
  <c r="E1595" i="1"/>
  <c r="J1594" i="1"/>
  <c r="E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D1597" i="1"/>
  <c r="C1597" i="1"/>
  <c r="J1581" i="1"/>
  <c r="J1580" i="1"/>
  <c r="J1579" i="1"/>
  <c r="J1578" i="1"/>
  <c r="J1577" i="1"/>
  <c r="J1576" i="1"/>
  <c r="J1575" i="1"/>
  <c r="J1574" i="1"/>
  <c r="J1573" i="1"/>
  <c r="J1572" i="1"/>
  <c r="J1570" i="1"/>
  <c r="E1570" i="1"/>
  <c r="J1569" i="1"/>
  <c r="E1569" i="1"/>
  <c r="J1568" i="1"/>
  <c r="E1568" i="1"/>
  <c r="J1567" i="1"/>
  <c r="E1567" i="1"/>
  <c r="J1566" i="1"/>
  <c r="C1550" i="1"/>
  <c r="E1550" i="1" s="1"/>
  <c r="C1549" i="1"/>
  <c r="E1549" i="1" s="1"/>
  <c r="C1546" i="1"/>
  <c r="E1546" i="1" s="1"/>
  <c r="C1544" i="1"/>
  <c r="E1544" i="1" s="1"/>
  <c r="D1542" i="1"/>
  <c r="D1557" i="1" s="1"/>
  <c r="C1542" i="1"/>
  <c r="E1532" i="1"/>
  <c r="E1533" i="1"/>
  <c r="E1534" i="1"/>
  <c r="E1535" i="1"/>
  <c r="E1536" i="1"/>
  <c r="E1537" i="1"/>
  <c r="E1538" i="1"/>
  <c r="E1539" i="1"/>
  <c r="E1540" i="1"/>
  <c r="E1541" i="1"/>
  <c r="E1543" i="1"/>
  <c r="E1545" i="1"/>
  <c r="E1547" i="1"/>
  <c r="E1548" i="1"/>
  <c r="E1551" i="1"/>
  <c r="E1552" i="1"/>
  <c r="E1553" i="1"/>
  <c r="E1554" i="1"/>
  <c r="I1557" i="1"/>
  <c r="H1557" i="1"/>
  <c r="J1556" i="1"/>
  <c r="E1556" i="1"/>
  <c r="J1555" i="1"/>
  <c r="E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0" i="1"/>
  <c r="E1530" i="1"/>
  <c r="J1529" i="1"/>
  <c r="E1529" i="1"/>
  <c r="J1528" i="1"/>
  <c r="E1528" i="1"/>
  <c r="J1527" i="1"/>
  <c r="E1527" i="1"/>
  <c r="J1526" i="1"/>
  <c r="E1526" i="1"/>
  <c r="C1514" i="1"/>
  <c r="E1514" i="1" s="1"/>
  <c r="C1492" i="1"/>
  <c r="J1492" i="1"/>
  <c r="J1493" i="1"/>
  <c r="J1494" i="1"/>
  <c r="J1495" i="1"/>
  <c r="J1496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486" i="1"/>
  <c r="E1487" i="1"/>
  <c r="E1488" i="1"/>
  <c r="I1517" i="1"/>
  <c r="H1517" i="1"/>
  <c r="D1517" i="1"/>
  <c r="J1516" i="1"/>
  <c r="E1516" i="1"/>
  <c r="J1515" i="1"/>
  <c r="E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0" i="1"/>
  <c r="E1490" i="1"/>
  <c r="J1489" i="1"/>
  <c r="E1489" i="1"/>
  <c r="J1488" i="1"/>
  <c r="J1487" i="1"/>
  <c r="J1486" i="1"/>
  <c r="C1471" i="1"/>
  <c r="E1471" i="1" s="1"/>
  <c r="C1468" i="1"/>
  <c r="E1468" i="1" s="1"/>
  <c r="C1467" i="1"/>
  <c r="E1467" i="1" s="1"/>
  <c r="C1460" i="1"/>
  <c r="C1459" i="1"/>
  <c r="E1459" i="1" s="1"/>
  <c r="E1452" i="1"/>
  <c r="E1453" i="1"/>
  <c r="E1454" i="1"/>
  <c r="E1455" i="1"/>
  <c r="E1456" i="1"/>
  <c r="E1457" i="1"/>
  <c r="E1458" i="1"/>
  <c r="E1461" i="1"/>
  <c r="E1462" i="1"/>
  <c r="E1463" i="1"/>
  <c r="E1464" i="1"/>
  <c r="E1465" i="1"/>
  <c r="E1466" i="1"/>
  <c r="E1469" i="1"/>
  <c r="E1470" i="1"/>
  <c r="E1472" i="1"/>
  <c r="E1473" i="1"/>
  <c r="E1474" i="1"/>
  <c r="J1452" i="1"/>
  <c r="E1446" i="1"/>
  <c r="I1477" i="1"/>
  <c r="H1477" i="1"/>
  <c r="D1477" i="1"/>
  <c r="J1476" i="1"/>
  <c r="E1476" i="1"/>
  <c r="J1475" i="1"/>
  <c r="E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0" i="1"/>
  <c r="E1450" i="1"/>
  <c r="J1449" i="1"/>
  <c r="E1449" i="1"/>
  <c r="J1448" i="1"/>
  <c r="E1448" i="1"/>
  <c r="J1447" i="1"/>
  <c r="E1447" i="1"/>
  <c r="J1446" i="1"/>
  <c r="D2078" i="1" l="1"/>
  <c r="D2085" i="1" s="1"/>
  <c r="D2091" i="1" s="1"/>
  <c r="D2118" i="1" s="1"/>
  <c r="E2077" i="1"/>
  <c r="D2038" i="1"/>
  <c r="E2037" i="1"/>
  <c r="J2038" i="1"/>
  <c r="E1997" i="1"/>
  <c r="I1958" i="1"/>
  <c r="J1957" i="1"/>
  <c r="E1957" i="1"/>
  <c r="J1917" i="1"/>
  <c r="J1918" i="1" s="1"/>
  <c r="J1925" i="1" s="1"/>
  <c r="J1931" i="1" s="1"/>
  <c r="H1918" i="1"/>
  <c r="H1925" i="1" s="1"/>
  <c r="H1931" i="1" s="1"/>
  <c r="H1958" i="1" s="1"/>
  <c r="E1917" i="1"/>
  <c r="E1877" i="1"/>
  <c r="E1857" i="1"/>
  <c r="C1878" i="1"/>
  <c r="C1885" i="1" s="1"/>
  <c r="J1717" i="1"/>
  <c r="E1542" i="1"/>
  <c r="J1797" i="1"/>
  <c r="C1837" i="1"/>
  <c r="E1837" i="1" s="1"/>
  <c r="C1797" i="1"/>
  <c r="E1797" i="1" s="1"/>
  <c r="E1757" i="1"/>
  <c r="C1717" i="1"/>
  <c r="E1717" i="1" s="1"/>
  <c r="C1677" i="1"/>
  <c r="E1677" i="1" s="1"/>
  <c r="J1557" i="1"/>
  <c r="J1517" i="1"/>
  <c r="C1517" i="1"/>
  <c r="E1517" i="1" s="1"/>
  <c r="J1597" i="1"/>
  <c r="J1637" i="1"/>
  <c r="E1614" i="1"/>
  <c r="E1637" i="1"/>
  <c r="E1597" i="1"/>
  <c r="C1557" i="1"/>
  <c r="E1557" i="1" s="1"/>
  <c r="C1477" i="1"/>
  <c r="E1477" i="1" s="1"/>
  <c r="E1460" i="1"/>
  <c r="J1477" i="1"/>
  <c r="E1406" i="1"/>
  <c r="E1407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I1437" i="1"/>
  <c r="H1437" i="1"/>
  <c r="J1437" i="1" s="1"/>
  <c r="J1436" i="1"/>
  <c r="E1436" i="1"/>
  <c r="J1435" i="1"/>
  <c r="E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D1437" i="1"/>
  <c r="J1419" i="1"/>
  <c r="J1418" i="1"/>
  <c r="J1417" i="1"/>
  <c r="J1416" i="1"/>
  <c r="J1415" i="1"/>
  <c r="J1414" i="1"/>
  <c r="J1413" i="1"/>
  <c r="J1412" i="1"/>
  <c r="J1410" i="1"/>
  <c r="E1410" i="1"/>
  <c r="J1409" i="1"/>
  <c r="E1409" i="1"/>
  <c r="J1408" i="1"/>
  <c r="E1408" i="1"/>
  <c r="J1407" i="1"/>
  <c r="J1406" i="1"/>
  <c r="D1380" i="1"/>
  <c r="D1397" i="1" s="1"/>
  <c r="C1380" i="1"/>
  <c r="C1397" i="1" s="1"/>
  <c r="E1378" i="1"/>
  <c r="J1378" i="1"/>
  <c r="E1379" i="1"/>
  <c r="J1379" i="1"/>
  <c r="J1380" i="1"/>
  <c r="E1381" i="1"/>
  <c r="J1381" i="1"/>
  <c r="E1382" i="1"/>
  <c r="J1382" i="1"/>
  <c r="E1383" i="1"/>
  <c r="J1383" i="1"/>
  <c r="E1384" i="1"/>
  <c r="J1384" i="1"/>
  <c r="E1385" i="1"/>
  <c r="J1385" i="1"/>
  <c r="E1386" i="1"/>
  <c r="J1386" i="1"/>
  <c r="E1387" i="1"/>
  <c r="J1387" i="1"/>
  <c r="E1388" i="1"/>
  <c r="J1388" i="1"/>
  <c r="E1389" i="1"/>
  <c r="J1389" i="1"/>
  <c r="E1390" i="1"/>
  <c r="J1390" i="1"/>
  <c r="E1391" i="1"/>
  <c r="J1391" i="1"/>
  <c r="E1392" i="1"/>
  <c r="J1392" i="1"/>
  <c r="E1393" i="1"/>
  <c r="J1393" i="1"/>
  <c r="E1394" i="1"/>
  <c r="J1394" i="1"/>
  <c r="E1395" i="1"/>
  <c r="J1395" i="1"/>
  <c r="E1396" i="1"/>
  <c r="J1396" i="1"/>
  <c r="E1372" i="1"/>
  <c r="J1372" i="1"/>
  <c r="E1373" i="1"/>
  <c r="J1373" i="1"/>
  <c r="E1374" i="1"/>
  <c r="J1374" i="1"/>
  <c r="E1375" i="1"/>
  <c r="J1375" i="1"/>
  <c r="E1376" i="1"/>
  <c r="J1376" i="1"/>
  <c r="E1377" i="1"/>
  <c r="J1377" i="1"/>
  <c r="I1397" i="1"/>
  <c r="H1397" i="1"/>
  <c r="J1370" i="1"/>
  <c r="E1370" i="1"/>
  <c r="J1369" i="1"/>
  <c r="E1369" i="1"/>
  <c r="J1368" i="1"/>
  <c r="E1368" i="1"/>
  <c r="J1367" i="1"/>
  <c r="E1367" i="1"/>
  <c r="J1366" i="1"/>
  <c r="E1366" i="1"/>
  <c r="J1958" i="1" l="1"/>
  <c r="C1891" i="1"/>
  <c r="C1437" i="1"/>
  <c r="J1397" i="1"/>
  <c r="E1380" i="1"/>
  <c r="E1397" i="1"/>
  <c r="E1344" i="1"/>
  <c r="E1345" i="1"/>
  <c r="E1346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7" i="1"/>
  <c r="E1348" i="1"/>
  <c r="E1349" i="1"/>
  <c r="E1350" i="1"/>
  <c r="E1351" i="1"/>
  <c r="E1352" i="1"/>
  <c r="E1353" i="1"/>
  <c r="E1354" i="1"/>
  <c r="J1316" i="1"/>
  <c r="I1357" i="1"/>
  <c r="H1357" i="1"/>
  <c r="D1357" i="1"/>
  <c r="C1357" i="1"/>
  <c r="J1356" i="1"/>
  <c r="E1356" i="1"/>
  <c r="J1355" i="1"/>
  <c r="E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0" i="1"/>
  <c r="E1330" i="1"/>
  <c r="J1329" i="1"/>
  <c r="E1329" i="1"/>
  <c r="J1328" i="1"/>
  <c r="E1328" i="1"/>
  <c r="J1327" i="1"/>
  <c r="E1327" i="1"/>
  <c r="J1326" i="1"/>
  <c r="E1326" i="1"/>
  <c r="C1918" i="1" l="1"/>
  <c r="C1925" i="1" s="1"/>
  <c r="E1437" i="1"/>
  <c r="J1357" i="1"/>
  <c r="E1357" i="1"/>
  <c r="E1287" i="1"/>
  <c r="E1288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J1292" i="1"/>
  <c r="J1293" i="1"/>
  <c r="J1294" i="1"/>
  <c r="J1295" i="1"/>
  <c r="I1317" i="1"/>
  <c r="H1317" i="1"/>
  <c r="E1316" i="1"/>
  <c r="J1315" i="1"/>
  <c r="E1315" i="1"/>
  <c r="J1314" i="1"/>
  <c r="E1314" i="1"/>
  <c r="J1313" i="1"/>
  <c r="J1312" i="1"/>
  <c r="J1311" i="1"/>
  <c r="J1310" i="1"/>
  <c r="J1309" i="1"/>
  <c r="J1308" i="1"/>
  <c r="J1307" i="1"/>
  <c r="J1306" i="1"/>
  <c r="J1305" i="1"/>
  <c r="J1304" i="1"/>
  <c r="J1303" i="1"/>
  <c r="D1317" i="1"/>
  <c r="J1302" i="1"/>
  <c r="J1301" i="1"/>
  <c r="J1300" i="1"/>
  <c r="C1317" i="1"/>
  <c r="J1299" i="1"/>
  <c r="J1298" i="1"/>
  <c r="J1297" i="1"/>
  <c r="J1296" i="1"/>
  <c r="J1290" i="1"/>
  <c r="E1290" i="1"/>
  <c r="J1289" i="1"/>
  <c r="E1289" i="1"/>
  <c r="J1288" i="1"/>
  <c r="J1287" i="1"/>
  <c r="J1286" i="1"/>
  <c r="E1286" i="1"/>
  <c r="C1931" i="1" l="1"/>
  <c r="J1317" i="1"/>
  <c r="E1317" i="1"/>
  <c r="D1263" i="1"/>
  <c r="D1277" i="1" s="1"/>
  <c r="C1263" i="1"/>
  <c r="C1260" i="1"/>
  <c r="E1260" i="1" s="1"/>
  <c r="J1252" i="1"/>
  <c r="E1246" i="1"/>
  <c r="I1277" i="1"/>
  <c r="H1277" i="1"/>
  <c r="J1276" i="1"/>
  <c r="E1276" i="1"/>
  <c r="J1275" i="1"/>
  <c r="E1275" i="1"/>
  <c r="J1274" i="1"/>
  <c r="E1274" i="1"/>
  <c r="J1273" i="1"/>
  <c r="E1273" i="1"/>
  <c r="J1272" i="1"/>
  <c r="E1272" i="1"/>
  <c r="J1271" i="1"/>
  <c r="E1271" i="1"/>
  <c r="J1270" i="1"/>
  <c r="E1270" i="1"/>
  <c r="J1269" i="1"/>
  <c r="E1269" i="1"/>
  <c r="J1268" i="1"/>
  <c r="E1268" i="1"/>
  <c r="J1267" i="1"/>
  <c r="E1267" i="1"/>
  <c r="J1266" i="1"/>
  <c r="E1266" i="1"/>
  <c r="J1265" i="1"/>
  <c r="E1265" i="1"/>
  <c r="J1264" i="1"/>
  <c r="E1264" i="1"/>
  <c r="J1263" i="1"/>
  <c r="J1262" i="1"/>
  <c r="E1262" i="1"/>
  <c r="J1261" i="1"/>
  <c r="E1261" i="1"/>
  <c r="J1260" i="1"/>
  <c r="J1259" i="1"/>
  <c r="E1259" i="1"/>
  <c r="J1258" i="1"/>
  <c r="E1258" i="1"/>
  <c r="J1257" i="1"/>
  <c r="E1257" i="1"/>
  <c r="J1256" i="1"/>
  <c r="E1256" i="1"/>
  <c r="J1255" i="1"/>
  <c r="E1255" i="1"/>
  <c r="J1254" i="1"/>
  <c r="E1254" i="1"/>
  <c r="J1253" i="1"/>
  <c r="E1253" i="1"/>
  <c r="E1252" i="1"/>
  <c r="J1250" i="1"/>
  <c r="E1250" i="1"/>
  <c r="J1249" i="1"/>
  <c r="E1249" i="1"/>
  <c r="J1248" i="1"/>
  <c r="E1248" i="1"/>
  <c r="J1247" i="1"/>
  <c r="E1247" i="1"/>
  <c r="J1246" i="1"/>
  <c r="C1958" i="1" l="1"/>
  <c r="C1965" i="1" s="1"/>
  <c r="E1263" i="1"/>
  <c r="C1277" i="1"/>
  <c r="E1277" i="1" s="1"/>
  <c r="J1277" i="1"/>
  <c r="C1233" i="1"/>
  <c r="E1233" i="1" s="1"/>
  <c r="C1225" i="1"/>
  <c r="E1225" i="1" s="1"/>
  <c r="I1237" i="1"/>
  <c r="H1237" i="1"/>
  <c r="D1237" i="1"/>
  <c r="J1236" i="1"/>
  <c r="E1236" i="1"/>
  <c r="J1235" i="1"/>
  <c r="E1235" i="1"/>
  <c r="J1234" i="1"/>
  <c r="E1234" i="1"/>
  <c r="J1233" i="1"/>
  <c r="J1232" i="1"/>
  <c r="E1232" i="1"/>
  <c r="J1231" i="1"/>
  <c r="E1231" i="1"/>
  <c r="J1230" i="1"/>
  <c r="E1230" i="1"/>
  <c r="J1229" i="1"/>
  <c r="E1229" i="1"/>
  <c r="J1228" i="1"/>
  <c r="E1228" i="1"/>
  <c r="J1227" i="1"/>
  <c r="E1227" i="1"/>
  <c r="J1226" i="1"/>
  <c r="E1226" i="1"/>
  <c r="J1225" i="1"/>
  <c r="J1224" i="1"/>
  <c r="E1224" i="1"/>
  <c r="J1223" i="1"/>
  <c r="E1223" i="1"/>
  <c r="J1222" i="1"/>
  <c r="E1222" i="1"/>
  <c r="J1221" i="1"/>
  <c r="E1221" i="1"/>
  <c r="J1220" i="1"/>
  <c r="E1220" i="1"/>
  <c r="J1219" i="1"/>
  <c r="E1219" i="1"/>
  <c r="J1218" i="1"/>
  <c r="E1218" i="1"/>
  <c r="J1217" i="1"/>
  <c r="E1217" i="1"/>
  <c r="J1216" i="1"/>
  <c r="E1216" i="1"/>
  <c r="J1215" i="1"/>
  <c r="E1215" i="1"/>
  <c r="J1214" i="1"/>
  <c r="E1214" i="1"/>
  <c r="J1213" i="1"/>
  <c r="E1213" i="1"/>
  <c r="J1212" i="1"/>
  <c r="E1212" i="1"/>
  <c r="J1210" i="1"/>
  <c r="E1210" i="1"/>
  <c r="J1209" i="1"/>
  <c r="E1209" i="1"/>
  <c r="J1208" i="1"/>
  <c r="E1208" i="1"/>
  <c r="J1207" i="1"/>
  <c r="E1207" i="1"/>
  <c r="J1206" i="1"/>
  <c r="E1206" i="1"/>
  <c r="C1971" i="1" l="1"/>
  <c r="E1965" i="1"/>
  <c r="C1237" i="1"/>
  <c r="E1237" i="1" s="1"/>
  <c r="J1237" i="1"/>
  <c r="J1173" i="1"/>
  <c r="J1166" i="1"/>
  <c r="J1167" i="1"/>
  <c r="J1172" i="1"/>
  <c r="J1174" i="1"/>
  <c r="E1167" i="1"/>
  <c r="E1168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D1197" i="1"/>
  <c r="J1196" i="1"/>
  <c r="E1196" i="1"/>
  <c r="J1195" i="1"/>
  <c r="E1195" i="1"/>
  <c r="J1194" i="1"/>
  <c r="J1193" i="1"/>
  <c r="J1192" i="1"/>
  <c r="C1197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I1197" i="1"/>
  <c r="H1197" i="1"/>
  <c r="E1172" i="1"/>
  <c r="J1170" i="1"/>
  <c r="E1170" i="1"/>
  <c r="J1169" i="1"/>
  <c r="E1169" i="1"/>
  <c r="J1168" i="1"/>
  <c r="E1166" i="1"/>
  <c r="E1971" i="1" l="1"/>
  <c r="C1998" i="1"/>
  <c r="J1197" i="1"/>
  <c r="E1197" i="1"/>
  <c r="C1152" i="1"/>
  <c r="E1152" i="1" s="1"/>
  <c r="I1134" i="1"/>
  <c r="H1134" i="1"/>
  <c r="E1998" i="1" l="1"/>
  <c r="C2005" i="1"/>
  <c r="J1134" i="1"/>
  <c r="J1132" i="1"/>
  <c r="J1127" i="1"/>
  <c r="E1137" i="1"/>
  <c r="I1157" i="1"/>
  <c r="H1157" i="1"/>
  <c r="D1157" i="1"/>
  <c r="J1156" i="1"/>
  <c r="E1156" i="1"/>
  <c r="J1155" i="1"/>
  <c r="E1155" i="1"/>
  <c r="J1154" i="1"/>
  <c r="E1154" i="1"/>
  <c r="J1153" i="1"/>
  <c r="E1153" i="1"/>
  <c r="J1152" i="1"/>
  <c r="J1151" i="1"/>
  <c r="E1151" i="1"/>
  <c r="J1150" i="1"/>
  <c r="E1150" i="1"/>
  <c r="J1149" i="1"/>
  <c r="E1149" i="1"/>
  <c r="J1148" i="1"/>
  <c r="E1148" i="1"/>
  <c r="J1147" i="1"/>
  <c r="E1147" i="1"/>
  <c r="J1146" i="1"/>
  <c r="E1146" i="1"/>
  <c r="J1145" i="1"/>
  <c r="E1145" i="1"/>
  <c r="J1144" i="1"/>
  <c r="E1144" i="1"/>
  <c r="J1143" i="1"/>
  <c r="E1143" i="1"/>
  <c r="J1142" i="1"/>
  <c r="E1142" i="1"/>
  <c r="J1141" i="1"/>
  <c r="E1141" i="1"/>
  <c r="J1140" i="1"/>
  <c r="E1140" i="1"/>
  <c r="J1139" i="1"/>
  <c r="E1139" i="1"/>
  <c r="J1138" i="1"/>
  <c r="E1138" i="1"/>
  <c r="J1137" i="1"/>
  <c r="J1136" i="1"/>
  <c r="E1136" i="1"/>
  <c r="J1135" i="1"/>
  <c r="E1135" i="1"/>
  <c r="E1134" i="1"/>
  <c r="J1133" i="1"/>
  <c r="E1133" i="1"/>
  <c r="E1132" i="1"/>
  <c r="J1130" i="1"/>
  <c r="E1130" i="1"/>
  <c r="J1129" i="1"/>
  <c r="E1129" i="1"/>
  <c r="J1128" i="1"/>
  <c r="E1128" i="1"/>
  <c r="E1127" i="1"/>
  <c r="J1126" i="1"/>
  <c r="E1126" i="1"/>
  <c r="C1114" i="1"/>
  <c r="C1094" i="1"/>
  <c r="J1095" i="1"/>
  <c r="C1103" i="1"/>
  <c r="C1102" i="1"/>
  <c r="C2011" i="1" l="1"/>
  <c r="E2005" i="1"/>
  <c r="J1157" i="1"/>
  <c r="C1157" i="1"/>
  <c r="E1157" i="1" s="1"/>
  <c r="I1117" i="1"/>
  <c r="H1117" i="1"/>
  <c r="D1117" i="1"/>
  <c r="C1117" i="1"/>
  <c r="J1116" i="1"/>
  <c r="E1116" i="1"/>
  <c r="J1115" i="1"/>
  <c r="E1115" i="1"/>
  <c r="J1114" i="1"/>
  <c r="E1114" i="1"/>
  <c r="J1113" i="1"/>
  <c r="E1113" i="1"/>
  <c r="J1112" i="1"/>
  <c r="E1112" i="1"/>
  <c r="J1111" i="1"/>
  <c r="E1111" i="1"/>
  <c r="J1110" i="1"/>
  <c r="E1110" i="1"/>
  <c r="J1109" i="1"/>
  <c r="E1109" i="1"/>
  <c r="J1108" i="1"/>
  <c r="E1108" i="1"/>
  <c r="J1107" i="1"/>
  <c r="E1107" i="1"/>
  <c r="J1106" i="1"/>
  <c r="E1106" i="1"/>
  <c r="J1105" i="1"/>
  <c r="E1105" i="1"/>
  <c r="J1104" i="1"/>
  <c r="E1104" i="1"/>
  <c r="J1103" i="1"/>
  <c r="E1103" i="1"/>
  <c r="J1102" i="1"/>
  <c r="E1102" i="1"/>
  <c r="J1101" i="1"/>
  <c r="E1101" i="1"/>
  <c r="J1100" i="1"/>
  <c r="E1100" i="1"/>
  <c r="J1099" i="1"/>
  <c r="E1099" i="1"/>
  <c r="J1098" i="1"/>
  <c r="E1098" i="1"/>
  <c r="J1097" i="1"/>
  <c r="E1097" i="1"/>
  <c r="J1096" i="1"/>
  <c r="E1096" i="1"/>
  <c r="E1095" i="1"/>
  <c r="J1094" i="1"/>
  <c r="E1094" i="1"/>
  <c r="J1093" i="1"/>
  <c r="E1093" i="1"/>
  <c r="J1092" i="1"/>
  <c r="E1092" i="1"/>
  <c r="J1090" i="1"/>
  <c r="E1090" i="1"/>
  <c r="J1089" i="1"/>
  <c r="E1089" i="1"/>
  <c r="J1088" i="1"/>
  <c r="E1088" i="1"/>
  <c r="J1087" i="1"/>
  <c r="E1087" i="1"/>
  <c r="J1086" i="1"/>
  <c r="E1086" i="1"/>
  <c r="C2038" i="1" l="1"/>
  <c r="E2011" i="1"/>
  <c r="J1117" i="1"/>
  <c r="E1117" i="1"/>
  <c r="C1059" i="1"/>
  <c r="C1077" i="1" s="1"/>
  <c r="J1058" i="1"/>
  <c r="J1052" i="1"/>
  <c r="I1077" i="1"/>
  <c r="H1077" i="1"/>
  <c r="J1076" i="1"/>
  <c r="E1076" i="1"/>
  <c r="J1075" i="1"/>
  <c r="E1075" i="1"/>
  <c r="J1074" i="1"/>
  <c r="E1074" i="1"/>
  <c r="J1073" i="1"/>
  <c r="E1073" i="1"/>
  <c r="J1072" i="1"/>
  <c r="E1072" i="1"/>
  <c r="J1071" i="1"/>
  <c r="E1071" i="1"/>
  <c r="J1070" i="1"/>
  <c r="E1070" i="1"/>
  <c r="J1069" i="1"/>
  <c r="E1069" i="1"/>
  <c r="J1068" i="1"/>
  <c r="E1068" i="1"/>
  <c r="J1067" i="1"/>
  <c r="E1067" i="1"/>
  <c r="J1066" i="1"/>
  <c r="E1066" i="1"/>
  <c r="J1065" i="1"/>
  <c r="E1065" i="1"/>
  <c r="J1064" i="1"/>
  <c r="E1064" i="1"/>
  <c r="J1063" i="1"/>
  <c r="E1063" i="1"/>
  <c r="J1062" i="1"/>
  <c r="E1062" i="1"/>
  <c r="J1061" i="1"/>
  <c r="E1061" i="1"/>
  <c r="J1060" i="1"/>
  <c r="E1060" i="1"/>
  <c r="J1059" i="1"/>
  <c r="D1077" i="1"/>
  <c r="E1058" i="1"/>
  <c r="J1057" i="1"/>
  <c r="E1057" i="1"/>
  <c r="J1056" i="1"/>
  <c r="E1056" i="1"/>
  <c r="J1055" i="1"/>
  <c r="E1055" i="1"/>
  <c r="J1054" i="1"/>
  <c r="E1054" i="1"/>
  <c r="J1053" i="1"/>
  <c r="E1053" i="1"/>
  <c r="E1052" i="1"/>
  <c r="J1050" i="1"/>
  <c r="E1050" i="1"/>
  <c r="J1049" i="1"/>
  <c r="E1049" i="1"/>
  <c r="J1048" i="1"/>
  <c r="E1048" i="1"/>
  <c r="J1047" i="1"/>
  <c r="E1047" i="1"/>
  <c r="J1046" i="1"/>
  <c r="E1046" i="1"/>
  <c r="E2038" i="1" l="1"/>
  <c r="C2045" i="1"/>
  <c r="E1059" i="1"/>
  <c r="J1077" i="1"/>
  <c r="E1077" i="1"/>
  <c r="C1022" i="1"/>
  <c r="C1019" i="1"/>
  <c r="D1019" i="1"/>
  <c r="C993" i="1"/>
  <c r="C992" i="1"/>
  <c r="E967" i="1"/>
  <c r="C2051" i="1" l="1"/>
  <c r="E2045" i="1"/>
  <c r="C988" i="1"/>
  <c r="E2051" i="1" l="1"/>
  <c r="C2078" i="1"/>
  <c r="C987" i="1"/>
  <c r="E987" i="1" s="1"/>
  <c r="E983" i="1"/>
  <c r="C981" i="1"/>
  <c r="E981" i="1" s="1"/>
  <c r="D977" i="1"/>
  <c r="D997" i="1" s="1"/>
  <c r="C977" i="1"/>
  <c r="C976" i="1"/>
  <c r="E976" i="1" s="1"/>
  <c r="I1037" i="1"/>
  <c r="H1037" i="1"/>
  <c r="D1037" i="1"/>
  <c r="C1037" i="1"/>
  <c r="J1036" i="1"/>
  <c r="E1036" i="1"/>
  <c r="J1035" i="1"/>
  <c r="E1035" i="1"/>
  <c r="J1034" i="1"/>
  <c r="E1034" i="1"/>
  <c r="J1033" i="1"/>
  <c r="E1033" i="1"/>
  <c r="J1032" i="1"/>
  <c r="E1032" i="1"/>
  <c r="J1031" i="1"/>
  <c r="E1031" i="1"/>
  <c r="J1030" i="1"/>
  <c r="E1030" i="1"/>
  <c r="J1029" i="1"/>
  <c r="E1029" i="1"/>
  <c r="J1028" i="1"/>
  <c r="E1028" i="1"/>
  <c r="J1027" i="1"/>
  <c r="E1027" i="1"/>
  <c r="J1026" i="1"/>
  <c r="E1026" i="1"/>
  <c r="J1025" i="1"/>
  <c r="E1025" i="1"/>
  <c r="J1024" i="1"/>
  <c r="E1024" i="1"/>
  <c r="J1023" i="1"/>
  <c r="E1023" i="1"/>
  <c r="J1022" i="1"/>
  <c r="E1022" i="1"/>
  <c r="J1021" i="1"/>
  <c r="E1021" i="1"/>
  <c r="J1020" i="1"/>
  <c r="E1020" i="1"/>
  <c r="J1019" i="1"/>
  <c r="E1019" i="1"/>
  <c r="J1018" i="1"/>
  <c r="E1018" i="1"/>
  <c r="J1017" i="1"/>
  <c r="E1017" i="1"/>
  <c r="J1016" i="1"/>
  <c r="E1016" i="1"/>
  <c r="J1015" i="1"/>
  <c r="E1015" i="1"/>
  <c r="J1014" i="1"/>
  <c r="E1014" i="1"/>
  <c r="J1013" i="1"/>
  <c r="E1013" i="1"/>
  <c r="J1012" i="1"/>
  <c r="E1012" i="1"/>
  <c r="J1010" i="1"/>
  <c r="E1010" i="1"/>
  <c r="J1009" i="1"/>
  <c r="E1009" i="1"/>
  <c r="J1008" i="1"/>
  <c r="E1008" i="1"/>
  <c r="J1007" i="1"/>
  <c r="E1007" i="1"/>
  <c r="J1006" i="1"/>
  <c r="E1006" i="1"/>
  <c r="E952" i="1"/>
  <c r="E953" i="1"/>
  <c r="C951" i="1"/>
  <c r="I997" i="1"/>
  <c r="H997" i="1"/>
  <c r="J996" i="1"/>
  <c r="E996" i="1"/>
  <c r="J995" i="1"/>
  <c r="E995" i="1"/>
  <c r="J994" i="1"/>
  <c r="E994" i="1"/>
  <c r="J993" i="1"/>
  <c r="E993" i="1"/>
  <c r="J992" i="1"/>
  <c r="E992" i="1"/>
  <c r="J991" i="1"/>
  <c r="E991" i="1"/>
  <c r="J990" i="1"/>
  <c r="E990" i="1"/>
  <c r="J989" i="1"/>
  <c r="E989" i="1"/>
  <c r="J988" i="1"/>
  <c r="E988" i="1"/>
  <c r="J987" i="1"/>
  <c r="J986" i="1"/>
  <c r="E986" i="1"/>
  <c r="J985" i="1"/>
  <c r="E985" i="1"/>
  <c r="J984" i="1"/>
  <c r="E984" i="1"/>
  <c r="J983" i="1"/>
  <c r="J982" i="1"/>
  <c r="J981" i="1"/>
  <c r="J980" i="1"/>
  <c r="E980" i="1"/>
  <c r="J979" i="1"/>
  <c r="E979" i="1"/>
  <c r="J978" i="1"/>
  <c r="E978" i="1"/>
  <c r="J977" i="1"/>
  <c r="J976" i="1"/>
  <c r="J975" i="1"/>
  <c r="E975" i="1"/>
  <c r="J974" i="1"/>
  <c r="E974" i="1"/>
  <c r="J973" i="1"/>
  <c r="E973" i="1"/>
  <c r="J972" i="1"/>
  <c r="E972" i="1"/>
  <c r="J970" i="1"/>
  <c r="E970" i="1"/>
  <c r="J969" i="1"/>
  <c r="E969" i="1"/>
  <c r="J968" i="1"/>
  <c r="E968" i="1"/>
  <c r="J967" i="1"/>
  <c r="J966" i="1"/>
  <c r="E966" i="1"/>
  <c r="E2078" i="1" l="1"/>
  <c r="C2085" i="1"/>
  <c r="C997" i="1"/>
  <c r="E997" i="1" s="1"/>
  <c r="E977" i="1"/>
  <c r="E1037" i="1"/>
  <c r="J997" i="1"/>
  <c r="J1037" i="1"/>
  <c r="E982" i="1"/>
  <c r="C942" i="1"/>
  <c r="D915" i="1"/>
  <c r="J916" i="1"/>
  <c r="C2091" i="1" l="1"/>
  <c r="E2085" i="1"/>
  <c r="C909" i="1"/>
  <c r="J956" i="1"/>
  <c r="I957" i="1"/>
  <c r="H957" i="1"/>
  <c r="E956" i="1"/>
  <c r="J955" i="1"/>
  <c r="E955" i="1"/>
  <c r="J954" i="1"/>
  <c r="E954" i="1"/>
  <c r="J953" i="1"/>
  <c r="J952" i="1"/>
  <c r="J951" i="1"/>
  <c r="E951" i="1"/>
  <c r="J950" i="1"/>
  <c r="E950" i="1"/>
  <c r="J949" i="1"/>
  <c r="E949" i="1"/>
  <c r="J948" i="1"/>
  <c r="E948" i="1"/>
  <c r="J947" i="1"/>
  <c r="E947" i="1"/>
  <c r="J946" i="1"/>
  <c r="E946" i="1"/>
  <c r="J945" i="1"/>
  <c r="E945" i="1"/>
  <c r="J944" i="1"/>
  <c r="E944" i="1"/>
  <c r="J943" i="1"/>
  <c r="E943" i="1"/>
  <c r="J942" i="1"/>
  <c r="E942" i="1"/>
  <c r="J941" i="1"/>
  <c r="E941" i="1"/>
  <c r="J940" i="1"/>
  <c r="E940" i="1"/>
  <c r="J939" i="1"/>
  <c r="E939" i="1"/>
  <c r="J938" i="1"/>
  <c r="E938" i="1"/>
  <c r="J937" i="1"/>
  <c r="E937" i="1"/>
  <c r="J936" i="1"/>
  <c r="E936" i="1"/>
  <c r="J935" i="1"/>
  <c r="E935" i="1"/>
  <c r="J934" i="1"/>
  <c r="E934" i="1"/>
  <c r="J933" i="1"/>
  <c r="D957" i="1"/>
  <c r="E933" i="1"/>
  <c r="J932" i="1"/>
  <c r="E932" i="1"/>
  <c r="J930" i="1"/>
  <c r="E930" i="1"/>
  <c r="J929" i="1"/>
  <c r="E929" i="1"/>
  <c r="J928" i="1"/>
  <c r="E928" i="1"/>
  <c r="J927" i="1"/>
  <c r="E927" i="1"/>
  <c r="J926" i="1"/>
  <c r="E926" i="1"/>
  <c r="C2118" i="1" l="1"/>
  <c r="E2118" i="1" s="1"/>
  <c r="E2091" i="1"/>
  <c r="J957" i="1"/>
  <c r="C957" i="1"/>
  <c r="E957" i="1" s="1"/>
  <c r="C905" i="1"/>
  <c r="J893" i="1"/>
  <c r="J914" i="1" l="1"/>
  <c r="J875" i="1" l="1"/>
  <c r="J915" i="1"/>
  <c r="J876" i="1" l="1"/>
  <c r="D893" i="1"/>
  <c r="C893" i="1"/>
  <c r="E916" i="1"/>
  <c r="C892" i="1" l="1"/>
  <c r="C917" i="1" s="1"/>
  <c r="C874" i="1"/>
  <c r="E874" i="1" s="1"/>
  <c r="H917" i="1"/>
  <c r="E915" i="1"/>
  <c r="E914" i="1"/>
  <c r="E913" i="1"/>
  <c r="J912" i="1"/>
  <c r="E912" i="1"/>
  <c r="J911" i="1"/>
  <c r="E911" i="1"/>
  <c r="J910" i="1"/>
  <c r="E910" i="1"/>
  <c r="J909" i="1"/>
  <c r="E909" i="1"/>
  <c r="J908" i="1"/>
  <c r="E908" i="1"/>
  <c r="J907" i="1"/>
  <c r="E907" i="1"/>
  <c r="J906" i="1"/>
  <c r="E906" i="1"/>
  <c r="J905" i="1"/>
  <c r="E905" i="1"/>
  <c r="J904" i="1"/>
  <c r="E904" i="1"/>
  <c r="J903" i="1"/>
  <c r="E903" i="1"/>
  <c r="J902" i="1"/>
  <c r="E902" i="1"/>
  <c r="J901" i="1"/>
  <c r="E901" i="1"/>
  <c r="J900" i="1"/>
  <c r="E900" i="1"/>
  <c r="J899" i="1"/>
  <c r="E899" i="1"/>
  <c r="J898" i="1"/>
  <c r="E898" i="1"/>
  <c r="J897" i="1"/>
  <c r="E897" i="1"/>
  <c r="J896" i="1"/>
  <c r="E896" i="1"/>
  <c r="J895" i="1"/>
  <c r="E895" i="1"/>
  <c r="J894" i="1"/>
  <c r="E894" i="1"/>
  <c r="E893" i="1"/>
  <c r="J892" i="1"/>
  <c r="J890" i="1"/>
  <c r="E890" i="1"/>
  <c r="J889" i="1"/>
  <c r="E889" i="1"/>
  <c r="J888" i="1"/>
  <c r="E888" i="1"/>
  <c r="J887" i="1"/>
  <c r="E887" i="1"/>
  <c r="J886" i="1"/>
  <c r="E886" i="1"/>
  <c r="J854" i="1"/>
  <c r="D867" i="1"/>
  <c r="C867" i="1"/>
  <c r="I877" i="1"/>
  <c r="J874" i="1"/>
  <c r="C861" i="1"/>
  <c r="E861" i="1" s="1"/>
  <c r="D855" i="1"/>
  <c r="E855" i="1" s="1"/>
  <c r="C852" i="1"/>
  <c r="E852" i="1" s="1"/>
  <c r="E876" i="1"/>
  <c r="E875" i="1"/>
  <c r="C814" i="1"/>
  <c r="C820" i="1"/>
  <c r="E820" i="1" s="1"/>
  <c r="C829" i="1"/>
  <c r="E829" i="1" s="1"/>
  <c r="C830" i="1"/>
  <c r="C11" i="1"/>
  <c r="C37" i="1"/>
  <c r="C77" i="1"/>
  <c r="C117" i="1"/>
  <c r="C157" i="1"/>
  <c r="C197" i="1"/>
  <c r="C237" i="1"/>
  <c r="C277" i="1"/>
  <c r="C317" i="1"/>
  <c r="C357" i="1"/>
  <c r="C397" i="1"/>
  <c r="C437" i="1"/>
  <c r="C477" i="1"/>
  <c r="C517" i="1"/>
  <c r="C537" i="1"/>
  <c r="C538" i="1"/>
  <c r="C539" i="1"/>
  <c r="C541" i="1"/>
  <c r="E541" i="1" s="1"/>
  <c r="C545" i="1"/>
  <c r="C547" i="1"/>
  <c r="E547" i="1" s="1"/>
  <c r="C551" i="1"/>
  <c r="E551" i="1" s="1"/>
  <c r="C584" i="1"/>
  <c r="C597" i="1" s="1"/>
  <c r="C618" i="1"/>
  <c r="C630" i="1"/>
  <c r="E630" i="1" s="1"/>
  <c r="C635" i="1"/>
  <c r="E635" i="1" s="1"/>
  <c r="C652" i="1"/>
  <c r="C654" i="1"/>
  <c r="E654" i="1" s="1"/>
  <c r="C671" i="1"/>
  <c r="E671" i="1" s="1"/>
  <c r="C692" i="1"/>
  <c r="E692" i="1" s="1"/>
  <c r="C696" i="1"/>
  <c r="C701" i="1"/>
  <c r="C702" i="1"/>
  <c r="E702" i="1" s="1"/>
  <c r="C708" i="1"/>
  <c r="C713" i="1"/>
  <c r="E713" i="1" s="1"/>
  <c r="C736" i="1"/>
  <c r="E736" i="1" s="1"/>
  <c r="C738" i="1"/>
  <c r="E738" i="1" s="1"/>
  <c r="C739" i="1"/>
  <c r="E739" i="1" s="1"/>
  <c r="C743" i="1"/>
  <c r="E743" i="1" s="1"/>
  <c r="C751" i="1"/>
  <c r="E751" i="1" s="1"/>
  <c r="C776" i="1"/>
  <c r="C779" i="1"/>
  <c r="C783" i="1"/>
  <c r="E783" i="1" s="1"/>
  <c r="D814" i="1"/>
  <c r="D830" i="1"/>
  <c r="D11" i="1"/>
  <c r="D37" i="1"/>
  <c r="D77" i="1"/>
  <c r="D117" i="1"/>
  <c r="D157" i="1"/>
  <c r="D197" i="1"/>
  <c r="E197" i="1" s="1"/>
  <c r="D237" i="1"/>
  <c r="D277" i="1"/>
  <c r="D317" i="1"/>
  <c r="D357" i="1"/>
  <c r="D397" i="1"/>
  <c r="D437" i="1"/>
  <c r="D477" i="1"/>
  <c r="D517" i="1"/>
  <c r="D537" i="1"/>
  <c r="D538" i="1"/>
  <c r="D539" i="1"/>
  <c r="D543" i="1"/>
  <c r="E543" i="1" s="1"/>
  <c r="D545" i="1"/>
  <c r="D573" i="1"/>
  <c r="E573" i="1" s="1"/>
  <c r="D575" i="1"/>
  <c r="E575" i="1" s="1"/>
  <c r="D584" i="1"/>
  <c r="D614" i="1"/>
  <c r="E614" i="1" s="1"/>
  <c r="D618" i="1"/>
  <c r="D628" i="1"/>
  <c r="E628" i="1" s="1"/>
  <c r="D652" i="1"/>
  <c r="D677" i="1" s="1"/>
  <c r="D696" i="1"/>
  <c r="D708" i="1"/>
  <c r="D757" i="1"/>
  <c r="D776" i="1"/>
  <c r="D797" i="1" s="1"/>
  <c r="E873" i="1"/>
  <c r="E872" i="1"/>
  <c r="E871" i="1"/>
  <c r="E870" i="1"/>
  <c r="E869" i="1"/>
  <c r="E868" i="1"/>
  <c r="E866" i="1"/>
  <c r="E865" i="1"/>
  <c r="E864" i="1"/>
  <c r="E863" i="1"/>
  <c r="E862" i="1"/>
  <c r="E860" i="1"/>
  <c r="E859" i="1"/>
  <c r="E858" i="1"/>
  <c r="E857" i="1"/>
  <c r="E856" i="1"/>
  <c r="E854" i="1"/>
  <c r="E853" i="1"/>
  <c r="E850" i="1"/>
  <c r="E849" i="1"/>
  <c r="E848" i="1"/>
  <c r="E847" i="1"/>
  <c r="E846" i="1"/>
  <c r="J835" i="1"/>
  <c r="J834" i="1"/>
  <c r="H331" i="1"/>
  <c r="H357" i="1"/>
  <c r="H397" i="1"/>
  <c r="H437" i="1"/>
  <c r="H477" i="1"/>
  <c r="H517" i="1"/>
  <c r="H557" i="1"/>
  <c r="H597" i="1"/>
  <c r="I85" i="1"/>
  <c r="I91" i="1" s="1"/>
  <c r="I117" i="1"/>
  <c r="I157" i="1"/>
  <c r="I197" i="1"/>
  <c r="I237" i="1"/>
  <c r="I277" i="1"/>
  <c r="I317" i="1"/>
  <c r="I357" i="1"/>
  <c r="I397" i="1"/>
  <c r="I437" i="1"/>
  <c r="I477" i="1"/>
  <c r="I517" i="1"/>
  <c r="I557" i="1"/>
  <c r="I597" i="1"/>
  <c r="H637" i="1"/>
  <c r="I637" i="1"/>
  <c r="J646" i="1"/>
  <c r="J647" i="1"/>
  <c r="J648" i="1"/>
  <c r="J649" i="1"/>
  <c r="J650" i="1"/>
  <c r="H677" i="1"/>
  <c r="I677" i="1"/>
  <c r="J686" i="1"/>
  <c r="J687" i="1"/>
  <c r="J688" i="1"/>
  <c r="J689" i="1"/>
  <c r="J690" i="1"/>
  <c r="H717" i="1"/>
  <c r="I717" i="1"/>
  <c r="J726" i="1"/>
  <c r="J727" i="1"/>
  <c r="J728" i="1"/>
  <c r="J729" i="1"/>
  <c r="J730" i="1"/>
  <c r="H757" i="1"/>
  <c r="I757" i="1"/>
  <c r="J766" i="1"/>
  <c r="J767" i="1"/>
  <c r="J768" i="1"/>
  <c r="J769" i="1"/>
  <c r="J770" i="1"/>
  <c r="H797" i="1"/>
  <c r="I797" i="1"/>
  <c r="J806" i="1"/>
  <c r="J807" i="1"/>
  <c r="J808" i="1"/>
  <c r="J809" i="1"/>
  <c r="J810" i="1"/>
  <c r="H837" i="1"/>
  <c r="I837" i="1"/>
  <c r="J846" i="1"/>
  <c r="J847" i="1"/>
  <c r="J848" i="1"/>
  <c r="J849" i="1"/>
  <c r="J850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3" i="1"/>
  <c r="J852" i="1"/>
  <c r="E756" i="1"/>
  <c r="E755" i="1"/>
  <c r="E754" i="1"/>
  <c r="E795" i="1"/>
  <c r="E794" i="1"/>
  <c r="E793" i="1"/>
  <c r="N837" i="1"/>
  <c r="M837" i="1"/>
  <c r="O836" i="1"/>
  <c r="J836" i="1"/>
  <c r="E836" i="1"/>
  <c r="O835" i="1"/>
  <c r="E835" i="1"/>
  <c r="O834" i="1"/>
  <c r="E834" i="1"/>
  <c r="O833" i="1"/>
  <c r="J833" i="1"/>
  <c r="E833" i="1"/>
  <c r="O832" i="1"/>
  <c r="J832" i="1"/>
  <c r="E832" i="1"/>
  <c r="O831" i="1"/>
  <c r="J831" i="1"/>
  <c r="E831" i="1"/>
  <c r="O830" i="1"/>
  <c r="J830" i="1"/>
  <c r="O829" i="1"/>
  <c r="J829" i="1"/>
  <c r="O828" i="1"/>
  <c r="J828" i="1"/>
  <c r="E828" i="1"/>
  <c r="O827" i="1"/>
  <c r="J827" i="1"/>
  <c r="E827" i="1"/>
  <c r="O826" i="1"/>
  <c r="J826" i="1"/>
  <c r="E826" i="1"/>
  <c r="O825" i="1"/>
  <c r="J825" i="1"/>
  <c r="E825" i="1"/>
  <c r="O824" i="1"/>
  <c r="J824" i="1"/>
  <c r="E824" i="1"/>
  <c r="O823" i="1"/>
  <c r="J823" i="1"/>
  <c r="E823" i="1"/>
  <c r="O822" i="1"/>
  <c r="J822" i="1"/>
  <c r="E822" i="1"/>
  <c r="O821" i="1"/>
  <c r="J821" i="1"/>
  <c r="E821" i="1"/>
  <c r="O820" i="1"/>
  <c r="J820" i="1"/>
  <c r="O819" i="1"/>
  <c r="J819" i="1"/>
  <c r="E819" i="1"/>
  <c r="O818" i="1"/>
  <c r="J818" i="1"/>
  <c r="E818" i="1"/>
  <c r="O817" i="1"/>
  <c r="J817" i="1"/>
  <c r="E817" i="1"/>
  <c r="O816" i="1"/>
  <c r="J816" i="1"/>
  <c r="E816" i="1"/>
  <c r="O815" i="1"/>
  <c r="J815" i="1"/>
  <c r="E815" i="1"/>
  <c r="O814" i="1"/>
  <c r="J814" i="1"/>
  <c r="O813" i="1"/>
  <c r="J813" i="1"/>
  <c r="E813" i="1"/>
  <c r="O812" i="1"/>
  <c r="J812" i="1"/>
  <c r="E812" i="1"/>
  <c r="O810" i="1"/>
  <c r="E810" i="1"/>
  <c r="O809" i="1"/>
  <c r="E809" i="1"/>
  <c r="O808" i="1"/>
  <c r="E808" i="1"/>
  <c r="O807" i="1"/>
  <c r="E807" i="1"/>
  <c r="O806" i="1"/>
  <c r="E806" i="1"/>
  <c r="J756" i="1"/>
  <c r="E695" i="1"/>
  <c r="J796" i="1"/>
  <c r="E796" i="1"/>
  <c r="J795" i="1"/>
  <c r="J794" i="1"/>
  <c r="J793" i="1"/>
  <c r="J792" i="1"/>
  <c r="E792" i="1"/>
  <c r="J791" i="1"/>
  <c r="E791" i="1"/>
  <c r="J790" i="1"/>
  <c r="E790" i="1"/>
  <c r="J789" i="1"/>
  <c r="E789" i="1"/>
  <c r="J788" i="1"/>
  <c r="E788" i="1"/>
  <c r="J787" i="1"/>
  <c r="E787" i="1"/>
  <c r="J786" i="1"/>
  <c r="E786" i="1"/>
  <c r="J785" i="1"/>
  <c r="E785" i="1"/>
  <c r="J784" i="1"/>
  <c r="E784" i="1"/>
  <c r="J783" i="1"/>
  <c r="J782" i="1"/>
  <c r="E782" i="1"/>
  <c r="J781" i="1"/>
  <c r="E781" i="1"/>
  <c r="J780" i="1"/>
  <c r="E780" i="1"/>
  <c r="J779" i="1"/>
  <c r="J778" i="1"/>
  <c r="E778" i="1"/>
  <c r="J777" i="1"/>
  <c r="E777" i="1"/>
  <c r="J776" i="1"/>
  <c r="J775" i="1"/>
  <c r="E775" i="1"/>
  <c r="J774" i="1"/>
  <c r="E774" i="1"/>
  <c r="J773" i="1"/>
  <c r="E773" i="1"/>
  <c r="J772" i="1"/>
  <c r="E772" i="1"/>
  <c r="E770" i="1"/>
  <c r="E769" i="1"/>
  <c r="E768" i="1"/>
  <c r="E767" i="1"/>
  <c r="E766" i="1"/>
  <c r="M331" i="1"/>
  <c r="M357" i="1"/>
  <c r="M397" i="1"/>
  <c r="M437" i="1"/>
  <c r="M477" i="1"/>
  <c r="M517" i="1"/>
  <c r="M557" i="1"/>
  <c r="M597" i="1"/>
  <c r="M637" i="1"/>
  <c r="M677" i="1"/>
  <c r="M717" i="1"/>
  <c r="M757" i="1"/>
  <c r="M797" i="1"/>
  <c r="N325" i="1"/>
  <c r="N331" i="1" s="1"/>
  <c r="N357" i="1"/>
  <c r="N397" i="1"/>
  <c r="N437" i="1"/>
  <c r="N477" i="1"/>
  <c r="N517" i="1"/>
  <c r="N557" i="1"/>
  <c r="N597" i="1"/>
  <c r="N637" i="1"/>
  <c r="N677" i="1"/>
  <c r="N717" i="1"/>
  <c r="N757" i="1"/>
  <c r="N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0" i="1"/>
  <c r="O769" i="1"/>
  <c r="O768" i="1"/>
  <c r="O767" i="1"/>
  <c r="O766" i="1"/>
  <c r="J755" i="1"/>
  <c r="E714" i="1"/>
  <c r="E715" i="1"/>
  <c r="O756" i="1"/>
  <c r="O755" i="1"/>
  <c r="O754" i="1"/>
  <c r="J754" i="1"/>
  <c r="O753" i="1"/>
  <c r="J753" i="1"/>
  <c r="E753" i="1"/>
  <c r="O752" i="1"/>
  <c r="J752" i="1"/>
  <c r="E752" i="1"/>
  <c r="O751" i="1"/>
  <c r="J751" i="1"/>
  <c r="O750" i="1"/>
  <c r="J750" i="1"/>
  <c r="E750" i="1"/>
  <c r="O749" i="1"/>
  <c r="J749" i="1"/>
  <c r="E749" i="1"/>
  <c r="O748" i="1"/>
  <c r="J748" i="1"/>
  <c r="E748" i="1"/>
  <c r="O747" i="1"/>
  <c r="J747" i="1"/>
  <c r="E747" i="1"/>
  <c r="O746" i="1"/>
  <c r="J746" i="1"/>
  <c r="E746" i="1"/>
  <c r="O745" i="1"/>
  <c r="J745" i="1"/>
  <c r="E745" i="1"/>
  <c r="O744" i="1"/>
  <c r="J744" i="1"/>
  <c r="E744" i="1"/>
  <c r="O743" i="1"/>
  <c r="J743" i="1"/>
  <c r="O742" i="1"/>
  <c r="J742" i="1"/>
  <c r="E742" i="1"/>
  <c r="O741" i="1"/>
  <c r="J741" i="1"/>
  <c r="E741" i="1"/>
  <c r="O740" i="1"/>
  <c r="J740" i="1"/>
  <c r="E740" i="1"/>
  <c r="O739" i="1"/>
  <c r="J739" i="1"/>
  <c r="O738" i="1"/>
  <c r="J738" i="1"/>
  <c r="O737" i="1"/>
  <c r="J737" i="1"/>
  <c r="E737" i="1"/>
  <c r="O736" i="1"/>
  <c r="J736" i="1"/>
  <c r="O735" i="1"/>
  <c r="J735" i="1"/>
  <c r="E735" i="1"/>
  <c r="O734" i="1"/>
  <c r="J734" i="1"/>
  <c r="E734" i="1"/>
  <c r="O733" i="1"/>
  <c r="J733" i="1"/>
  <c r="E733" i="1"/>
  <c r="O732" i="1"/>
  <c r="J732" i="1"/>
  <c r="E732" i="1"/>
  <c r="O730" i="1"/>
  <c r="E730" i="1"/>
  <c r="O729" i="1"/>
  <c r="E729" i="1"/>
  <c r="O728" i="1"/>
  <c r="E728" i="1"/>
  <c r="O727" i="1"/>
  <c r="E727" i="1"/>
  <c r="O726" i="1"/>
  <c r="E726" i="1"/>
  <c r="J713" i="1"/>
  <c r="E662" i="1"/>
  <c r="E663" i="1"/>
  <c r="E664" i="1"/>
  <c r="E634" i="1"/>
  <c r="E673" i="1"/>
  <c r="E672" i="1"/>
  <c r="E676" i="1"/>
  <c r="E675" i="1"/>
  <c r="E674" i="1"/>
  <c r="E627" i="1"/>
  <c r="J715" i="1"/>
  <c r="J636" i="1"/>
  <c r="J675" i="1"/>
  <c r="J634" i="1"/>
  <c r="O576" i="1"/>
  <c r="O575" i="1"/>
  <c r="O574" i="1"/>
  <c r="O573" i="1"/>
  <c r="J569" i="1"/>
  <c r="J568" i="1"/>
  <c r="J567" i="1"/>
  <c r="E591" i="1"/>
  <c r="J574" i="1"/>
  <c r="J556" i="1"/>
  <c r="J595" i="1"/>
  <c r="J676" i="1"/>
  <c r="O716" i="1"/>
  <c r="J716" i="1"/>
  <c r="E716" i="1"/>
  <c r="O715" i="1"/>
  <c r="O714" i="1"/>
  <c r="J714" i="1"/>
  <c r="O713" i="1"/>
  <c r="O712" i="1"/>
  <c r="J712" i="1"/>
  <c r="E712" i="1"/>
  <c r="O711" i="1"/>
  <c r="J711" i="1"/>
  <c r="E711" i="1"/>
  <c r="O710" i="1"/>
  <c r="J710" i="1"/>
  <c r="E710" i="1"/>
  <c r="O709" i="1"/>
  <c r="J709" i="1"/>
  <c r="E709" i="1"/>
  <c r="O708" i="1"/>
  <c r="J708" i="1"/>
  <c r="O707" i="1"/>
  <c r="J707" i="1"/>
  <c r="E707" i="1"/>
  <c r="O706" i="1"/>
  <c r="J706" i="1"/>
  <c r="E706" i="1"/>
  <c r="O705" i="1"/>
  <c r="J705" i="1"/>
  <c r="E705" i="1"/>
  <c r="O704" i="1"/>
  <c r="J704" i="1"/>
  <c r="E704" i="1"/>
  <c r="O703" i="1"/>
  <c r="J703" i="1"/>
  <c r="E703" i="1"/>
  <c r="O702" i="1"/>
  <c r="J702" i="1"/>
  <c r="O701" i="1"/>
  <c r="J701" i="1"/>
  <c r="O700" i="1"/>
  <c r="J700" i="1"/>
  <c r="E700" i="1"/>
  <c r="O699" i="1"/>
  <c r="J699" i="1"/>
  <c r="E699" i="1"/>
  <c r="O698" i="1"/>
  <c r="J698" i="1"/>
  <c r="E698" i="1"/>
  <c r="O697" i="1"/>
  <c r="J697" i="1"/>
  <c r="E697" i="1"/>
  <c r="O696" i="1"/>
  <c r="J696" i="1"/>
  <c r="O695" i="1"/>
  <c r="J695" i="1"/>
  <c r="O694" i="1"/>
  <c r="J694" i="1"/>
  <c r="E694" i="1"/>
  <c r="O693" i="1"/>
  <c r="J693" i="1"/>
  <c r="E693" i="1"/>
  <c r="O692" i="1"/>
  <c r="J692" i="1"/>
  <c r="O690" i="1"/>
  <c r="E690" i="1"/>
  <c r="O689" i="1"/>
  <c r="E689" i="1"/>
  <c r="O688" i="1"/>
  <c r="E688" i="1"/>
  <c r="O687" i="1"/>
  <c r="E687" i="1"/>
  <c r="O686" i="1"/>
  <c r="E686" i="1"/>
  <c r="J533" i="1"/>
  <c r="E572" i="1"/>
  <c r="E556" i="1"/>
  <c r="E555" i="1"/>
  <c r="E554" i="1"/>
  <c r="E636" i="1"/>
  <c r="E633" i="1"/>
  <c r="E670" i="1"/>
  <c r="E669" i="1"/>
  <c r="E668" i="1"/>
  <c r="E667" i="1"/>
  <c r="E666" i="1"/>
  <c r="E665" i="1"/>
  <c r="E661" i="1"/>
  <c r="E660" i="1"/>
  <c r="E659" i="1"/>
  <c r="E658" i="1"/>
  <c r="E657" i="1"/>
  <c r="E656" i="1"/>
  <c r="E655" i="1"/>
  <c r="E653" i="1"/>
  <c r="E650" i="1"/>
  <c r="E649" i="1"/>
  <c r="E648" i="1"/>
  <c r="E647" i="1"/>
  <c r="E646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594" i="1"/>
  <c r="J596" i="1"/>
  <c r="J633" i="1"/>
  <c r="J516" i="1"/>
  <c r="J555" i="1"/>
  <c r="O526" i="1"/>
  <c r="O527" i="1"/>
  <c r="O528" i="1"/>
  <c r="O529" i="1"/>
  <c r="O530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66" i="1"/>
  <c r="O567" i="1"/>
  <c r="O568" i="1"/>
  <c r="O569" i="1"/>
  <c r="O570" i="1"/>
  <c r="O572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606" i="1"/>
  <c r="O607" i="1"/>
  <c r="O608" i="1"/>
  <c r="O609" i="1"/>
  <c r="O610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46" i="1"/>
  <c r="O647" i="1"/>
  <c r="O648" i="1"/>
  <c r="O649" i="1"/>
  <c r="O650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E514" i="1"/>
  <c r="E488" i="1"/>
  <c r="J593" i="1"/>
  <c r="E632" i="1"/>
  <c r="E631" i="1"/>
  <c r="E629" i="1"/>
  <c r="E626" i="1"/>
  <c r="E625" i="1"/>
  <c r="E624" i="1"/>
  <c r="E623" i="1"/>
  <c r="E622" i="1"/>
  <c r="E621" i="1"/>
  <c r="E620" i="1"/>
  <c r="E619" i="1"/>
  <c r="E617" i="1"/>
  <c r="E616" i="1"/>
  <c r="E615" i="1"/>
  <c r="E613" i="1"/>
  <c r="E612" i="1"/>
  <c r="E610" i="1"/>
  <c r="E609" i="1"/>
  <c r="E608" i="1"/>
  <c r="E607" i="1"/>
  <c r="E606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0" i="1"/>
  <c r="J609" i="1"/>
  <c r="J608" i="1"/>
  <c r="J607" i="1"/>
  <c r="J606" i="1"/>
  <c r="E532" i="1"/>
  <c r="O488" i="1"/>
  <c r="J515" i="1"/>
  <c r="E596" i="1"/>
  <c r="E595" i="1"/>
  <c r="J592" i="1"/>
  <c r="E449" i="1"/>
  <c r="E448" i="1"/>
  <c r="E447" i="1"/>
  <c r="E446" i="1"/>
  <c r="E486" i="1"/>
  <c r="J447" i="1"/>
  <c r="E493" i="1"/>
  <c r="E492" i="1"/>
  <c r="E510" i="1"/>
  <c r="E474" i="1"/>
  <c r="E473" i="1"/>
  <c r="O448" i="1"/>
  <c r="O447" i="1"/>
  <c r="O450" i="1"/>
  <c r="E516" i="1"/>
  <c r="E515" i="1"/>
  <c r="E472" i="1"/>
  <c r="E471" i="1"/>
  <c r="E594" i="1"/>
  <c r="E593" i="1"/>
  <c r="E592" i="1"/>
  <c r="J591" i="1"/>
  <c r="J590" i="1"/>
  <c r="E590" i="1"/>
  <c r="J589" i="1"/>
  <c r="E589" i="1"/>
  <c r="J588" i="1"/>
  <c r="E588" i="1"/>
  <c r="J587" i="1"/>
  <c r="E587" i="1"/>
  <c r="J586" i="1"/>
  <c r="E586" i="1"/>
  <c r="J585" i="1"/>
  <c r="E585" i="1"/>
  <c r="J584" i="1"/>
  <c r="J583" i="1"/>
  <c r="E583" i="1"/>
  <c r="J582" i="1"/>
  <c r="E582" i="1"/>
  <c r="J581" i="1"/>
  <c r="E581" i="1"/>
  <c r="J580" i="1"/>
  <c r="E580" i="1"/>
  <c r="J579" i="1"/>
  <c r="E579" i="1"/>
  <c r="J578" i="1"/>
  <c r="E578" i="1"/>
  <c r="J577" i="1"/>
  <c r="E577" i="1"/>
  <c r="J576" i="1"/>
  <c r="E576" i="1"/>
  <c r="J575" i="1"/>
  <c r="E574" i="1"/>
  <c r="J573" i="1"/>
  <c r="J572" i="1"/>
  <c r="J570" i="1"/>
  <c r="E570" i="1"/>
  <c r="E569" i="1"/>
  <c r="E568" i="1"/>
  <c r="E567" i="1"/>
  <c r="J566" i="1"/>
  <c r="E566" i="1"/>
  <c r="E467" i="1"/>
  <c r="E466" i="1"/>
  <c r="E465" i="1"/>
  <c r="E452" i="1"/>
  <c r="E433" i="1"/>
  <c r="J475" i="1"/>
  <c r="J476" i="1"/>
  <c r="J436" i="1"/>
  <c r="E476" i="1"/>
  <c r="E475" i="1"/>
  <c r="O375" i="1"/>
  <c r="E387" i="1"/>
  <c r="E413" i="1"/>
  <c r="E412" i="1"/>
  <c r="E396" i="1"/>
  <c r="E395" i="1"/>
  <c r="E393" i="1"/>
  <c r="E394" i="1"/>
  <c r="E436" i="1"/>
  <c r="E435" i="1"/>
  <c r="J356" i="1"/>
  <c r="J395" i="1"/>
  <c r="J386" i="1"/>
  <c r="J385" i="1"/>
  <c r="J333" i="1"/>
  <c r="E381" i="1"/>
  <c r="E380" i="1"/>
  <c r="E378" i="1"/>
  <c r="E377" i="1"/>
  <c r="J554" i="1"/>
  <c r="J553" i="1"/>
  <c r="E553" i="1"/>
  <c r="J552" i="1"/>
  <c r="E552" i="1"/>
  <c r="J551" i="1"/>
  <c r="J550" i="1"/>
  <c r="E550" i="1"/>
  <c r="J549" i="1"/>
  <c r="E549" i="1"/>
  <c r="J548" i="1"/>
  <c r="E548" i="1"/>
  <c r="J547" i="1"/>
  <c r="J546" i="1"/>
  <c r="E546" i="1"/>
  <c r="J545" i="1"/>
  <c r="J544" i="1"/>
  <c r="E544" i="1"/>
  <c r="J543" i="1"/>
  <c r="J542" i="1"/>
  <c r="E542" i="1"/>
  <c r="J541" i="1"/>
  <c r="J540" i="1"/>
  <c r="E540" i="1"/>
  <c r="J539" i="1"/>
  <c r="J538" i="1"/>
  <c r="J537" i="1"/>
  <c r="J536" i="1"/>
  <c r="E536" i="1"/>
  <c r="J535" i="1"/>
  <c r="E535" i="1"/>
  <c r="J534" i="1"/>
  <c r="E534" i="1"/>
  <c r="E533" i="1"/>
  <c r="J532" i="1"/>
  <c r="J530" i="1"/>
  <c r="E530" i="1"/>
  <c r="J529" i="1"/>
  <c r="E529" i="1"/>
  <c r="J528" i="1"/>
  <c r="E528" i="1"/>
  <c r="J527" i="1"/>
  <c r="E527" i="1"/>
  <c r="J526" i="1"/>
  <c r="E526" i="1"/>
  <c r="O368" i="1"/>
  <c r="O367" i="1"/>
  <c r="O366" i="1"/>
  <c r="O406" i="1"/>
  <c r="O407" i="1"/>
  <c r="O408" i="1"/>
  <c r="O409" i="1"/>
  <c r="O410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46" i="1"/>
  <c r="O449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86" i="1"/>
  <c r="O487" i="1"/>
  <c r="O489" i="1"/>
  <c r="O490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J332" i="1"/>
  <c r="E356" i="1"/>
  <c r="E373" i="1"/>
  <c r="E372" i="1"/>
  <c r="E355" i="1"/>
  <c r="E354" i="1"/>
  <c r="E351" i="1"/>
  <c r="E352" i="1"/>
  <c r="E353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4" i="1"/>
  <c r="O373" i="1"/>
  <c r="O372" i="1"/>
  <c r="O370" i="1"/>
  <c r="O369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0" i="1"/>
  <c r="O329" i="1"/>
  <c r="O328" i="1"/>
  <c r="O327" i="1"/>
  <c r="O326" i="1"/>
  <c r="J329" i="1"/>
  <c r="E349" i="1"/>
  <c r="E332" i="1"/>
  <c r="E313" i="1"/>
  <c r="E314" i="1"/>
  <c r="J396" i="1"/>
  <c r="J355" i="1"/>
  <c r="J407" i="1"/>
  <c r="J446" i="1"/>
  <c r="J448" i="1"/>
  <c r="J449" i="1"/>
  <c r="E450" i="1"/>
  <c r="J450" i="1"/>
  <c r="J452" i="1"/>
  <c r="E453" i="1"/>
  <c r="J453" i="1"/>
  <c r="E454" i="1"/>
  <c r="J454" i="1"/>
  <c r="E455" i="1"/>
  <c r="J455" i="1"/>
  <c r="E456" i="1"/>
  <c r="J456" i="1"/>
  <c r="E457" i="1"/>
  <c r="J457" i="1"/>
  <c r="E458" i="1"/>
  <c r="J458" i="1"/>
  <c r="E459" i="1"/>
  <c r="J459" i="1"/>
  <c r="E460" i="1"/>
  <c r="J460" i="1"/>
  <c r="E461" i="1"/>
  <c r="J461" i="1"/>
  <c r="E462" i="1"/>
  <c r="J462" i="1"/>
  <c r="E463" i="1"/>
  <c r="J463" i="1"/>
  <c r="E464" i="1"/>
  <c r="J464" i="1"/>
  <c r="J465" i="1"/>
  <c r="J466" i="1"/>
  <c r="J467" i="1"/>
  <c r="E468" i="1"/>
  <c r="J468" i="1"/>
  <c r="E469" i="1"/>
  <c r="J469" i="1"/>
  <c r="E470" i="1"/>
  <c r="J470" i="1"/>
  <c r="J471" i="1"/>
  <c r="J472" i="1"/>
  <c r="J473" i="1"/>
  <c r="J474" i="1"/>
  <c r="J486" i="1"/>
  <c r="E487" i="1"/>
  <c r="J487" i="1"/>
  <c r="J488" i="1"/>
  <c r="E489" i="1"/>
  <c r="J489" i="1"/>
  <c r="E490" i="1"/>
  <c r="J490" i="1"/>
  <c r="J492" i="1"/>
  <c r="J493" i="1"/>
  <c r="E494" i="1"/>
  <c r="J494" i="1"/>
  <c r="E495" i="1"/>
  <c r="J495" i="1"/>
  <c r="E496" i="1"/>
  <c r="J496" i="1"/>
  <c r="E497" i="1"/>
  <c r="J497" i="1"/>
  <c r="E498" i="1"/>
  <c r="J498" i="1"/>
  <c r="E499" i="1"/>
  <c r="J499" i="1"/>
  <c r="E500" i="1"/>
  <c r="J500" i="1"/>
  <c r="E501" i="1"/>
  <c r="J501" i="1"/>
  <c r="E502" i="1"/>
  <c r="J502" i="1"/>
  <c r="E503" i="1"/>
  <c r="J503" i="1"/>
  <c r="E504" i="1"/>
  <c r="J504" i="1"/>
  <c r="E505" i="1"/>
  <c r="J505" i="1"/>
  <c r="E506" i="1"/>
  <c r="J506" i="1"/>
  <c r="E507" i="1"/>
  <c r="J507" i="1"/>
  <c r="E508" i="1"/>
  <c r="J508" i="1"/>
  <c r="E509" i="1"/>
  <c r="J509" i="1"/>
  <c r="J510" i="1"/>
  <c r="E511" i="1"/>
  <c r="J511" i="1"/>
  <c r="E512" i="1"/>
  <c r="J512" i="1"/>
  <c r="E513" i="1"/>
  <c r="J513" i="1"/>
  <c r="J514" i="1"/>
  <c r="J327" i="1"/>
  <c r="E366" i="1"/>
  <c r="J366" i="1"/>
  <c r="E367" i="1"/>
  <c r="J367" i="1"/>
  <c r="E368" i="1"/>
  <c r="J368" i="1"/>
  <c r="E369" i="1"/>
  <c r="J369" i="1"/>
  <c r="E370" i="1"/>
  <c r="J370" i="1"/>
  <c r="J372" i="1"/>
  <c r="J373" i="1"/>
  <c r="E374" i="1"/>
  <c r="J374" i="1"/>
  <c r="E375" i="1"/>
  <c r="J375" i="1"/>
  <c r="E376" i="1"/>
  <c r="J376" i="1"/>
  <c r="J377" i="1"/>
  <c r="J378" i="1"/>
  <c r="E379" i="1"/>
  <c r="J379" i="1"/>
  <c r="J380" i="1"/>
  <c r="J381" i="1"/>
  <c r="E382" i="1"/>
  <c r="J382" i="1"/>
  <c r="E383" i="1"/>
  <c r="J383" i="1"/>
  <c r="E384" i="1"/>
  <c r="J384" i="1"/>
  <c r="E385" i="1"/>
  <c r="E386" i="1"/>
  <c r="J387" i="1"/>
  <c r="E388" i="1"/>
  <c r="J388" i="1"/>
  <c r="E389" i="1"/>
  <c r="J389" i="1"/>
  <c r="E390" i="1"/>
  <c r="J390" i="1"/>
  <c r="E391" i="1"/>
  <c r="J391" i="1"/>
  <c r="E392" i="1"/>
  <c r="J392" i="1"/>
  <c r="J393" i="1"/>
  <c r="J394" i="1"/>
  <c r="E406" i="1"/>
  <c r="J406" i="1"/>
  <c r="E407" i="1"/>
  <c r="E408" i="1"/>
  <c r="J408" i="1"/>
  <c r="E409" i="1"/>
  <c r="J409" i="1"/>
  <c r="E410" i="1"/>
  <c r="J410" i="1"/>
  <c r="J412" i="1"/>
  <c r="J413" i="1"/>
  <c r="E414" i="1"/>
  <c r="J414" i="1"/>
  <c r="E415" i="1"/>
  <c r="J415" i="1"/>
  <c r="E416" i="1"/>
  <c r="J416" i="1"/>
  <c r="E417" i="1"/>
  <c r="J417" i="1"/>
  <c r="E418" i="1"/>
  <c r="J418" i="1"/>
  <c r="E419" i="1"/>
  <c r="J419" i="1"/>
  <c r="E420" i="1"/>
  <c r="J420" i="1"/>
  <c r="E421" i="1"/>
  <c r="J421" i="1"/>
  <c r="E422" i="1"/>
  <c r="J422" i="1"/>
  <c r="E423" i="1"/>
  <c r="J423" i="1"/>
  <c r="E424" i="1"/>
  <c r="J424" i="1"/>
  <c r="E425" i="1"/>
  <c r="J425" i="1"/>
  <c r="E426" i="1"/>
  <c r="J426" i="1"/>
  <c r="E427" i="1"/>
  <c r="J427" i="1"/>
  <c r="E428" i="1"/>
  <c r="J428" i="1"/>
  <c r="E429" i="1"/>
  <c r="J429" i="1"/>
  <c r="E430" i="1"/>
  <c r="J430" i="1"/>
  <c r="E431" i="1"/>
  <c r="J431" i="1"/>
  <c r="E432" i="1"/>
  <c r="J432" i="1"/>
  <c r="J433" i="1"/>
  <c r="E434" i="1"/>
  <c r="J434" i="1"/>
  <c r="J435" i="1"/>
  <c r="E316" i="1"/>
  <c r="J286" i="1"/>
  <c r="E305" i="1"/>
  <c r="E304" i="1"/>
  <c r="E309" i="1"/>
  <c r="E308" i="1"/>
  <c r="J289" i="1"/>
  <c r="E302" i="1"/>
  <c r="E298" i="1"/>
  <c r="E297" i="1"/>
  <c r="E293" i="1"/>
  <c r="E292" i="1"/>
  <c r="E294" i="1"/>
  <c r="E295" i="1"/>
  <c r="J287" i="1"/>
  <c r="E273" i="1"/>
  <c r="E274" i="1"/>
  <c r="J247" i="1"/>
  <c r="J246" i="1"/>
  <c r="E328" i="1"/>
  <c r="E327" i="1"/>
  <c r="J315" i="1"/>
  <c r="E233" i="1"/>
  <c r="E252" i="1"/>
  <c r="E227" i="1"/>
  <c r="E226" i="1"/>
  <c r="E326" i="1"/>
  <c r="E329" i="1"/>
  <c r="E330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50" i="1"/>
  <c r="J288" i="1"/>
  <c r="J290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6" i="1"/>
  <c r="H317" i="1"/>
  <c r="J326" i="1"/>
  <c r="J328" i="1"/>
  <c r="J330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E236" i="1"/>
  <c r="E276" i="1"/>
  <c r="E315" i="1"/>
  <c r="E231" i="1"/>
  <c r="E235" i="1"/>
  <c r="E234" i="1"/>
  <c r="E312" i="1"/>
  <c r="E311" i="1"/>
  <c r="E310" i="1"/>
  <c r="E307" i="1"/>
  <c r="E306" i="1"/>
  <c r="E303" i="1"/>
  <c r="E301" i="1"/>
  <c r="E300" i="1"/>
  <c r="E299" i="1"/>
  <c r="E296" i="1"/>
  <c r="E290" i="1"/>
  <c r="E289" i="1"/>
  <c r="E288" i="1"/>
  <c r="E287" i="1"/>
  <c r="E286" i="1"/>
  <c r="J206" i="1"/>
  <c r="J207" i="1"/>
  <c r="J208" i="1"/>
  <c r="J209" i="1"/>
  <c r="J210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H237" i="1"/>
  <c r="J248" i="1"/>
  <c r="J249" i="1"/>
  <c r="J250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H277" i="1"/>
  <c r="E187" i="1"/>
  <c r="E185" i="1"/>
  <c r="E181" i="1"/>
  <c r="E182" i="1"/>
  <c r="E275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0" i="1"/>
  <c r="E249" i="1"/>
  <c r="E248" i="1"/>
  <c r="E247" i="1"/>
  <c r="E246" i="1"/>
  <c r="E195" i="1"/>
  <c r="E196" i="1"/>
  <c r="E139" i="1"/>
  <c r="E140" i="1"/>
  <c r="E138" i="1"/>
  <c r="E90" i="1"/>
  <c r="E89" i="1"/>
  <c r="J167" i="1"/>
  <c r="J196" i="1"/>
  <c r="E167" i="1"/>
  <c r="E166" i="1"/>
  <c r="E232" i="1"/>
  <c r="E230" i="1"/>
  <c r="E229" i="1"/>
  <c r="E228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0" i="1"/>
  <c r="E209" i="1"/>
  <c r="E208" i="1"/>
  <c r="E207" i="1"/>
  <c r="E206" i="1"/>
  <c r="E135" i="1"/>
  <c r="E136" i="1"/>
  <c r="E100" i="1"/>
  <c r="E99" i="1"/>
  <c r="E98" i="1"/>
  <c r="E97" i="1"/>
  <c r="E96" i="1"/>
  <c r="E95" i="1"/>
  <c r="E94" i="1"/>
  <c r="E93" i="1"/>
  <c r="E127" i="1"/>
  <c r="E128" i="1"/>
  <c r="E143" i="1"/>
  <c r="E130" i="1"/>
  <c r="E129" i="1"/>
  <c r="E133" i="1"/>
  <c r="E132" i="1"/>
  <c r="E114" i="1"/>
  <c r="J127" i="1"/>
  <c r="J156" i="1"/>
  <c r="H197" i="1"/>
  <c r="J195" i="1"/>
  <c r="J194" i="1"/>
  <c r="E194" i="1"/>
  <c r="J193" i="1"/>
  <c r="E193" i="1"/>
  <c r="J192" i="1"/>
  <c r="E192" i="1"/>
  <c r="J191" i="1"/>
  <c r="E191" i="1"/>
  <c r="J190" i="1"/>
  <c r="E190" i="1"/>
  <c r="J189" i="1"/>
  <c r="E189" i="1"/>
  <c r="J188" i="1"/>
  <c r="E188" i="1"/>
  <c r="J187" i="1"/>
  <c r="J186" i="1"/>
  <c r="E186" i="1"/>
  <c r="J185" i="1"/>
  <c r="J184" i="1"/>
  <c r="E184" i="1"/>
  <c r="J183" i="1"/>
  <c r="E183" i="1"/>
  <c r="J182" i="1"/>
  <c r="J181" i="1"/>
  <c r="J180" i="1"/>
  <c r="E180" i="1"/>
  <c r="J179" i="1"/>
  <c r="E179" i="1"/>
  <c r="J178" i="1"/>
  <c r="E178" i="1"/>
  <c r="J177" i="1"/>
  <c r="E177" i="1"/>
  <c r="J176" i="1"/>
  <c r="E176" i="1"/>
  <c r="J175" i="1"/>
  <c r="E175" i="1"/>
  <c r="J174" i="1"/>
  <c r="E174" i="1"/>
  <c r="J173" i="1"/>
  <c r="E173" i="1"/>
  <c r="J172" i="1"/>
  <c r="E172" i="1"/>
  <c r="J170" i="1"/>
  <c r="E170" i="1"/>
  <c r="J169" i="1"/>
  <c r="E169" i="1"/>
  <c r="J168" i="1"/>
  <c r="E168" i="1"/>
  <c r="J166" i="1"/>
  <c r="E92" i="1"/>
  <c r="E111" i="1"/>
  <c r="E101" i="1"/>
  <c r="J114" i="1"/>
  <c r="J115" i="1"/>
  <c r="J116" i="1"/>
  <c r="E102" i="1"/>
  <c r="E34" i="1"/>
  <c r="E33" i="1"/>
  <c r="E32" i="1"/>
  <c r="E52" i="1"/>
  <c r="E53" i="1"/>
  <c r="E50" i="1"/>
  <c r="E49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2" i="1"/>
  <c r="E141" i="1"/>
  <c r="E137" i="1"/>
  <c r="E134" i="1"/>
  <c r="E126" i="1"/>
  <c r="H157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0" i="1"/>
  <c r="J129" i="1"/>
  <c r="J128" i="1"/>
  <c r="J126" i="1"/>
  <c r="H117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0" i="1"/>
  <c r="J89" i="1"/>
  <c r="J88" i="1"/>
  <c r="J87" i="1"/>
  <c r="J86" i="1"/>
  <c r="H85" i="1"/>
  <c r="E27" i="1"/>
  <c r="E26" i="1"/>
  <c r="E22" i="1"/>
  <c r="E23" i="1"/>
  <c r="E24" i="1"/>
  <c r="E25" i="1"/>
  <c r="E116" i="1"/>
  <c r="E115" i="1"/>
  <c r="E113" i="1"/>
  <c r="E112" i="1"/>
  <c r="E110" i="1"/>
  <c r="E109" i="1"/>
  <c r="E108" i="1"/>
  <c r="E107" i="1"/>
  <c r="E106" i="1"/>
  <c r="E105" i="1"/>
  <c r="E104" i="1"/>
  <c r="E103" i="1"/>
  <c r="E88" i="1"/>
  <c r="E87" i="1"/>
  <c r="E86" i="1"/>
  <c r="E21" i="1"/>
  <c r="E47" i="1"/>
  <c r="E46" i="1"/>
  <c r="E48" i="1"/>
  <c r="E76" i="1"/>
  <c r="E75" i="1"/>
  <c r="E29" i="1"/>
  <c r="E28" i="1"/>
  <c r="E20" i="1"/>
  <c r="E19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14" i="1"/>
  <c r="E15" i="1"/>
  <c r="E16" i="1"/>
  <c r="E17" i="1"/>
  <c r="E18" i="1"/>
  <c r="E30" i="1"/>
  <c r="E31" i="1"/>
  <c r="E35" i="1"/>
  <c r="E36" i="1"/>
  <c r="E13" i="1"/>
  <c r="E12" i="1"/>
  <c r="E6" i="1"/>
  <c r="E7" i="1"/>
  <c r="E8" i="1"/>
  <c r="E9" i="1"/>
  <c r="E10" i="1"/>
  <c r="E5" i="1"/>
  <c r="J635" i="1"/>
  <c r="O325" i="1"/>
  <c r="E867" i="1" l="1"/>
  <c r="O437" i="1"/>
  <c r="E397" i="1"/>
  <c r="E157" i="1"/>
  <c r="E652" i="1"/>
  <c r="J397" i="1"/>
  <c r="E545" i="1"/>
  <c r="E477" i="1"/>
  <c r="E237" i="1"/>
  <c r="E11" i="1"/>
  <c r="J197" i="1"/>
  <c r="E708" i="1"/>
  <c r="E584" i="1"/>
  <c r="E538" i="1"/>
  <c r="E357" i="1"/>
  <c r="E117" i="1"/>
  <c r="E277" i="1"/>
  <c r="E537" i="1"/>
  <c r="E317" i="1"/>
  <c r="E77" i="1"/>
  <c r="O477" i="1"/>
  <c r="D837" i="1"/>
  <c r="O837" i="1"/>
  <c r="J517" i="1"/>
  <c r="J317" i="1"/>
  <c r="J277" i="1"/>
  <c r="C677" i="1"/>
  <c r="E677" i="1" s="1"/>
  <c r="E517" i="1"/>
  <c r="J757" i="1"/>
  <c r="J557" i="1"/>
  <c r="D38" i="1"/>
  <c r="D45" i="1" s="1"/>
  <c r="D51" i="1" s="1"/>
  <c r="D78" i="1" s="1"/>
  <c r="D85" i="1" s="1"/>
  <c r="D91" i="1" s="1"/>
  <c r="D118" i="1" s="1"/>
  <c r="D125" i="1" s="1"/>
  <c r="D131" i="1" s="1"/>
  <c r="D158" i="1" s="1"/>
  <c r="D165" i="1" s="1"/>
  <c r="D171" i="1" s="1"/>
  <c r="D198" i="1" s="1"/>
  <c r="D205" i="1" s="1"/>
  <c r="D211" i="1" s="1"/>
  <c r="D238" i="1" s="1"/>
  <c r="D245" i="1" s="1"/>
  <c r="D251" i="1" s="1"/>
  <c r="D278" i="1" s="1"/>
  <c r="D285" i="1" s="1"/>
  <c r="D291" i="1" s="1"/>
  <c r="D318" i="1" s="1"/>
  <c r="D325" i="1" s="1"/>
  <c r="D331" i="1" s="1"/>
  <c r="D358" i="1" s="1"/>
  <c r="D365" i="1" s="1"/>
  <c r="D371" i="1" s="1"/>
  <c r="D398" i="1" s="1"/>
  <c r="D405" i="1" s="1"/>
  <c r="D411" i="1" s="1"/>
  <c r="D438" i="1" s="1"/>
  <c r="D445" i="1" s="1"/>
  <c r="D451" i="1" s="1"/>
  <c r="D478" i="1" s="1"/>
  <c r="D485" i="1" s="1"/>
  <c r="D491" i="1" s="1"/>
  <c r="D518" i="1" s="1"/>
  <c r="D525" i="1" s="1"/>
  <c r="D531" i="1" s="1"/>
  <c r="N358" i="1"/>
  <c r="N365" i="1" s="1"/>
  <c r="N371" i="1" s="1"/>
  <c r="N398" i="1" s="1"/>
  <c r="N405" i="1" s="1"/>
  <c r="N411" i="1" s="1"/>
  <c r="N438" i="1" s="1"/>
  <c r="N445" i="1" s="1"/>
  <c r="N451" i="1" s="1"/>
  <c r="N478" i="1" s="1"/>
  <c r="N485" i="1" s="1"/>
  <c r="N491" i="1" s="1"/>
  <c r="N518" i="1" s="1"/>
  <c r="N525" i="1" s="1"/>
  <c r="N531" i="1" s="1"/>
  <c r="N558" i="1" s="1"/>
  <c r="N565" i="1" s="1"/>
  <c r="N571" i="1" s="1"/>
  <c r="N598" i="1" s="1"/>
  <c r="N605" i="1" s="1"/>
  <c r="N611" i="1" s="1"/>
  <c r="N638" i="1" s="1"/>
  <c r="N645" i="1" s="1"/>
  <c r="N651" i="1" s="1"/>
  <c r="N678" i="1" s="1"/>
  <c r="N685" i="1" s="1"/>
  <c r="N691" i="1" s="1"/>
  <c r="N718" i="1" s="1"/>
  <c r="N725" i="1" s="1"/>
  <c r="N731" i="1" s="1"/>
  <c r="N758" i="1" s="1"/>
  <c r="N765" i="1" s="1"/>
  <c r="N771" i="1" s="1"/>
  <c r="N798" i="1" s="1"/>
  <c r="N805" i="1" s="1"/>
  <c r="N811" i="1" s="1"/>
  <c r="N838" i="1" s="1"/>
  <c r="D717" i="1"/>
  <c r="O757" i="1"/>
  <c r="J837" i="1"/>
  <c r="D877" i="1"/>
  <c r="J237" i="1"/>
  <c r="E776" i="1"/>
  <c r="J597" i="1"/>
  <c r="J357" i="1"/>
  <c r="J437" i="1"/>
  <c r="E437" i="1"/>
  <c r="O637" i="1"/>
  <c r="O397" i="1"/>
  <c r="O597" i="1"/>
  <c r="E830" i="1"/>
  <c r="C877" i="1"/>
  <c r="O517" i="1"/>
  <c r="O797" i="1"/>
  <c r="O557" i="1"/>
  <c r="O677" i="1"/>
  <c r="O717" i="1"/>
  <c r="J677" i="1"/>
  <c r="J157" i="1"/>
  <c r="J477" i="1"/>
  <c r="C637" i="1"/>
  <c r="E618" i="1"/>
  <c r="J717" i="1"/>
  <c r="E696" i="1"/>
  <c r="D597" i="1"/>
  <c r="E597" i="1" s="1"/>
  <c r="E539" i="1"/>
  <c r="J797" i="1"/>
  <c r="J117" i="1"/>
  <c r="H358" i="1"/>
  <c r="H365" i="1" s="1"/>
  <c r="H371" i="1" s="1"/>
  <c r="H398" i="1" s="1"/>
  <c r="H405" i="1" s="1"/>
  <c r="H411" i="1" s="1"/>
  <c r="H438" i="1" s="1"/>
  <c r="H445" i="1" s="1"/>
  <c r="H451" i="1" s="1"/>
  <c r="H478" i="1" s="1"/>
  <c r="H485" i="1" s="1"/>
  <c r="H491" i="1" s="1"/>
  <c r="H518" i="1" s="1"/>
  <c r="H525" i="1" s="1"/>
  <c r="H531" i="1" s="1"/>
  <c r="H558" i="1" s="1"/>
  <c r="H565" i="1" s="1"/>
  <c r="H571" i="1" s="1"/>
  <c r="J873" i="1"/>
  <c r="I118" i="1"/>
  <c r="I125" i="1" s="1"/>
  <c r="I131" i="1" s="1"/>
  <c r="I158" i="1" s="1"/>
  <c r="I165" i="1" s="1"/>
  <c r="I171" i="1" s="1"/>
  <c r="I198" i="1" s="1"/>
  <c r="I205" i="1" s="1"/>
  <c r="I211" i="1" s="1"/>
  <c r="I238" i="1" s="1"/>
  <c r="I245" i="1" s="1"/>
  <c r="I251" i="1" s="1"/>
  <c r="I278" i="1" s="1"/>
  <c r="I285" i="1" s="1"/>
  <c r="I291" i="1" s="1"/>
  <c r="I318" i="1" s="1"/>
  <c r="I325" i="1" s="1"/>
  <c r="I331" i="1" s="1"/>
  <c r="O331" i="1"/>
  <c r="J637" i="1"/>
  <c r="D557" i="1"/>
  <c r="C557" i="1"/>
  <c r="E892" i="1"/>
  <c r="H91" i="1"/>
  <c r="J85" i="1"/>
  <c r="C797" i="1"/>
  <c r="E797" i="1" s="1"/>
  <c r="E779" i="1"/>
  <c r="C757" i="1"/>
  <c r="E757" i="1" s="1"/>
  <c r="E814" i="1"/>
  <c r="C837" i="1"/>
  <c r="D637" i="1"/>
  <c r="C38" i="1"/>
  <c r="E37" i="1"/>
  <c r="I917" i="1"/>
  <c r="J917" i="1" s="1"/>
  <c r="M358" i="1"/>
  <c r="O357" i="1"/>
  <c r="C717" i="1"/>
  <c r="E701" i="1"/>
  <c r="D917" i="1"/>
  <c r="E917" i="1" s="1"/>
  <c r="J913" i="1"/>
  <c r="H877" i="1"/>
  <c r="E837" i="1" l="1"/>
  <c r="E637" i="1"/>
  <c r="E557" i="1"/>
  <c r="E877" i="1"/>
  <c r="E717" i="1"/>
  <c r="J325" i="1"/>
  <c r="D558" i="1"/>
  <c r="D565" i="1" s="1"/>
  <c r="D571" i="1" s="1"/>
  <c r="D598" i="1" s="1"/>
  <c r="D605" i="1" s="1"/>
  <c r="D611" i="1" s="1"/>
  <c r="D638" i="1" s="1"/>
  <c r="D645" i="1" s="1"/>
  <c r="D651" i="1" s="1"/>
  <c r="D678" i="1" s="1"/>
  <c r="D685" i="1" s="1"/>
  <c r="D691" i="1" s="1"/>
  <c r="D718" i="1" s="1"/>
  <c r="D725" i="1" s="1"/>
  <c r="D731" i="1" s="1"/>
  <c r="D758" i="1" s="1"/>
  <c r="D765" i="1" s="1"/>
  <c r="D771" i="1" s="1"/>
  <c r="D798" i="1" s="1"/>
  <c r="D805" i="1" s="1"/>
  <c r="D811" i="1" s="1"/>
  <c r="D838" i="1" s="1"/>
  <c r="D845" i="1" s="1"/>
  <c r="D851" i="1" s="1"/>
  <c r="D878" i="1" s="1"/>
  <c r="D885" i="1" s="1"/>
  <c r="D891" i="1" s="1"/>
  <c r="D918" i="1" s="1"/>
  <c r="D925" i="1" s="1"/>
  <c r="D931" i="1" s="1"/>
  <c r="D958" i="1" s="1"/>
  <c r="D965" i="1" s="1"/>
  <c r="D971" i="1" s="1"/>
  <c r="D998" i="1" s="1"/>
  <c r="D1005" i="1" s="1"/>
  <c r="D1011" i="1" s="1"/>
  <c r="D1038" i="1" s="1"/>
  <c r="D1045" i="1" s="1"/>
  <c r="D1051" i="1" s="1"/>
  <c r="D1078" i="1" s="1"/>
  <c r="D1085" i="1" s="1"/>
  <c r="D1091" i="1" s="1"/>
  <c r="D1118" i="1" s="1"/>
  <c r="D1125" i="1" s="1"/>
  <c r="E38" i="1"/>
  <c r="C45" i="1"/>
  <c r="M365" i="1"/>
  <c r="O358" i="1"/>
  <c r="I358" i="1"/>
  <c r="J331" i="1"/>
  <c r="H118" i="1"/>
  <c r="J91" i="1"/>
  <c r="H598" i="1"/>
  <c r="J877" i="1"/>
  <c r="D1131" i="1" l="1"/>
  <c r="D1158" i="1" s="1"/>
  <c r="D1165" i="1" s="1"/>
  <c r="D1171" i="1" s="1"/>
  <c r="D1198" i="1" s="1"/>
  <c r="D1205" i="1" s="1"/>
  <c r="D1211" i="1" s="1"/>
  <c r="D1238" i="1" s="1"/>
  <c r="D1245" i="1" s="1"/>
  <c r="I365" i="1"/>
  <c r="J358" i="1"/>
  <c r="O365" i="1"/>
  <c r="M371" i="1"/>
  <c r="H605" i="1"/>
  <c r="H125" i="1"/>
  <c r="J118" i="1"/>
  <c r="C51" i="1"/>
  <c r="E45" i="1"/>
  <c r="D1251" i="1" l="1"/>
  <c r="H611" i="1"/>
  <c r="O371" i="1"/>
  <c r="M398" i="1"/>
  <c r="C78" i="1"/>
  <c r="E51" i="1"/>
  <c r="H131" i="1"/>
  <c r="J125" i="1"/>
  <c r="I371" i="1"/>
  <c r="J365" i="1"/>
  <c r="D1278" i="1" l="1"/>
  <c r="D1285" i="1" s="1"/>
  <c r="D1291" i="1" s="1"/>
  <c r="D1318" i="1" s="1"/>
  <c r="D1325" i="1" s="1"/>
  <c r="D1331" i="1" s="1"/>
  <c r="D1358" i="1" s="1"/>
  <c r="D1365" i="1" s="1"/>
  <c r="D1371" i="1" s="1"/>
  <c r="D1398" i="1" s="1"/>
  <c r="D1405" i="1" s="1"/>
  <c r="D1411" i="1" s="1"/>
  <c r="D1438" i="1" s="1"/>
  <c r="D1445" i="1" s="1"/>
  <c r="D1451" i="1" s="1"/>
  <c r="D1478" i="1" s="1"/>
  <c r="D1485" i="1" s="1"/>
  <c r="D1491" i="1" s="1"/>
  <c r="D1518" i="1" s="1"/>
  <c r="D1525" i="1" s="1"/>
  <c r="D1531" i="1" s="1"/>
  <c r="D1558" i="1" s="1"/>
  <c r="D1565" i="1" s="1"/>
  <c r="D1571" i="1" s="1"/>
  <c r="D1598" i="1" s="1"/>
  <c r="D1605" i="1" s="1"/>
  <c r="D1611" i="1" s="1"/>
  <c r="D1638" i="1" s="1"/>
  <c r="D1645" i="1" s="1"/>
  <c r="D1651" i="1" s="1"/>
  <c r="D1678" i="1" s="1"/>
  <c r="D1685" i="1" s="1"/>
  <c r="D1691" i="1" s="1"/>
  <c r="D1718" i="1" s="1"/>
  <c r="D1725" i="1" s="1"/>
  <c r="D1731" i="1" s="1"/>
  <c r="D1758" i="1" s="1"/>
  <c r="D1765" i="1" s="1"/>
  <c r="D1771" i="1" s="1"/>
  <c r="D1798" i="1" s="1"/>
  <c r="D1805" i="1" s="1"/>
  <c r="D1811" i="1" s="1"/>
  <c r="D1838" i="1" s="1"/>
  <c r="D1845" i="1" s="1"/>
  <c r="I398" i="1"/>
  <c r="J371" i="1"/>
  <c r="C85" i="1"/>
  <c r="E78" i="1"/>
  <c r="O398" i="1"/>
  <c r="M405" i="1"/>
  <c r="H158" i="1"/>
  <c r="J131" i="1"/>
  <c r="H638" i="1"/>
  <c r="H645" i="1" s="1"/>
  <c r="H651" i="1" s="1"/>
  <c r="H678" i="1" s="1"/>
  <c r="H685" i="1" s="1"/>
  <c r="H691" i="1" s="1"/>
  <c r="H718" i="1" s="1"/>
  <c r="H725" i="1" s="1"/>
  <c r="H731" i="1" s="1"/>
  <c r="H758" i="1" s="1"/>
  <c r="H765" i="1" s="1"/>
  <c r="H771" i="1" s="1"/>
  <c r="H798" i="1" s="1"/>
  <c r="H805" i="1" s="1"/>
  <c r="H811" i="1" s="1"/>
  <c r="H838" i="1" s="1"/>
  <c r="H845" i="1" s="1"/>
  <c r="H851" i="1" s="1"/>
  <c r="H878" i="1" s="1"/>
  <c r="H885" i="1" s="1"/>
  <c r="H891" i="1" s="1"/>
  <c r="H918" i="1" s="1"/>
  <c r="H925" i="1" s="1"/>
  <c r="H931" i="1" s="1"/>
  <c r="H958" i="1" s="1"/>
  <c r="H965" i="1" s="1"/>
  <c r="H971" i="1" s="1"/>
  <c r="H998" i="1" s="1"/>
  <c r="H1005" i="1" s="1"/>
  <c r="H1011" i="1" s="1"/>
  <c r="H1038" i="1" s="1"/>
  <c r="H1045" i="1" s="1"/>
  <c r="H1051" i="1" s="1"/>
  <c r="H1078" i="1" s="1"/>
  <c r="H1085" i="1" s="1"/>
  <c r="H1091" i="1" s="1"/>
  <c r="H1118" i="1" s="1"/>
  <c r="H1125" i="1" s="1"/>
  <c r="H1131" i="1" s="1"/>
  <c r="H1158" i="1" s="1"/>
  <c r="H1165" i="1" s="1"/>
  <c r="H1171" i="1" s="1"/>
  <c r="H1198" i="1" s="1"/>
  <c r="H1205" i="1" s="1"/>
  <c r="H1211" i="1" s="1"/>
  <c r="H1238" i="1" s="1"/>
  <c r="H1245" i="1" s="1"/>
  <c r="H1251" i="1" s="1"/>
  <c r="H1278" i="1" s="1"/>
  <c r="H1285" i="1" s="1"/>
  <c r="H1291" i="1" s="1"/>
  <c r="H1318" i="1" s="1"/>
  <c r="H1325" i="1" s="1"/>
  <c r="H1331" i="1" s="1"/>
  <c r="H1358" i="1" s="1"/>
  <c r="H1365" i="1" s="1"/>
  <c r="H1371" i="1" s="1"/>
  <c r="H1398" i="1" s="1"/>
  <c r="H1405" i="1" s="1"/>
  <c r="H1411" i="1" s="1"/>
  <c r="H1438" i="1" s="1"/>
  <c r="H1445" i="1" s="1"/>
  <c r="H1451" i="1" s="1"/>
  <c r="H1478" i="1" s="1"/>
  <c r="H1485" i="1" s="1"/>
  <c r="H1491" i="1" s="1"/>
  <c r="H1518" i="1" s="1"/>
  <c r="H1525" i="1" s="1"/>
  <c r="H1531" i="1" s="1"/>
  <c r="H1558" i="1" s="1"/>
  <c r="H1565" i="1" s="1"/>
  <c r="H1571" i="1" s="1"/>
  <c r="H1598" i="1" s="1"/>
  <c r="H1605" i="1" s="1"/>
  <c r="H1611" i="1" s="1"/>
  <c r="H1638" i="1" s="1"/>
  <c r="H1645" i="1" s="1"/>
  <c r="H1651" i="1" s="1"/>
  <c r="H1678" i="1" s="1"/>
  <c r="H1685" i="1" s="1"/>
  <c r="H1691" i="1" s="1"/>
  <c r="H1718" i="1" s="1"/>
  <c r="H1725" i="1" s="1"/>
  <c r="H1731" i="1" s="1"/>
  <c r="H1758" i="1" s="1"/>
  <c r="H1765" i="1" s="1"/>
  <c r="H1771" i="1" s="1"/>
  <c r="H1798" i="1" s="1"/>
  <c r="H1805" i="1" s="1"/>
  <c r="H1811" i="1" s="1"/>
  <c r="H1838" i="1" s="1"/>
  <c r="D1851" i="1" l="1"/>
  <c r="E1845" i="1"/>
  <c r="C91" i="1"/>
  <c r="E85" i="1"/>
  <c r="J158" i="1"/>
  <c r="H165" i="1"/>
  <c r="I405" i="1"/>
  <c r="J398" i="1"/>
  <c r="O405" i="1"/>
  <c r="M411" i="1"/>
  <c r="D1878" i="1" l="1"/>
  <c r="E1851" i="1"/>
  <c r="H171" i="1"/>
  <c r="J165" i="1"/>
  <c r="O411" i="1"/>
  <c r="M438" i="1"/>
  <c r="C118" i="1"/>
  <c r="E91" i="1"/>
  <c r="I411" i="1"/>
  <c r="J405" i="1"/>
  <c r="E1878" i="1" l="1"/>
  <c r="D1885" i="1"/>
  <c r="I438" i="1"/>
  <c r="J411" i="1"/>
  <c r="H198" i="1"/>
  <c r="J171" i="1"/>
  <c r="C125" i="1"/>
  <c r="E118" i="1"/>
  <c r="M445" i="1"/>
  <c r="O438" i="1"/>
  <c r="D1891" i="1" l="1"/>
  <c r="E1885" i="1"/>
  <c r="C131" i="1"/>
  <c r="E125" i="1"/>
  <c r="J198" i="1"/>
  <c r="H205" i="1"/>
  <c r="O445" i="1"/>
  <c r="M451" i="1"/>
  <c r="I445" i="1"/>
  <c r="J438" i="1"/>
  <c r="D1918" i="1" l="1"/>
  <c r="E1891" i="1"/>
  <c r="I451" i="1"/>
  <c r="J445" i="1"/>
  <c r="C158" i="1"/>
  <c r="E131" i="1"/>
  <c r="M478" i="1"/>
  <c r="O451" i="1"/>
  <c r="J205" i="1"/>
  <c r="H211" i="1"/>
  <c r="E1918" i="1" l="1"/>
  <c r="D1925" i="1"/>
  <c r="C165" i="1"/>
  <c r="E158" i="1"/>
  <c r="H238" i="1"/>
  <c r="J211" i="1"/>
  <c r="I478" i="1"/>
  <c r="J451" i="1"/>
  <c r="O478" i="1"/>
  <c r="M485" i="1"/>
  <c r="D1931" i="1" l="1"/>
  <c r="E1925" i="1"/>
  <c r="H245" i="1"/>
  <c r="J238" i="1"/>
  <c r="O485" i="1"/>
  <c r="M491" i="1"/>
  <c r="C171" i="1"/>
  <c r="E165" i="1"/>
  <c r="I485" i="1"/>
  <c r="J478" i="1"/>
  <c r="D1958" i="1" l="1"/>
  <c r="E1958" i="1" s="1"/>
  <c r="E1931" i="1"/>
  <c r="I491" i="1"/>
  <c r="J485" i="1"/>
  <c r="H251" i="1"/>
  <c r="J245" i="1"/>
  <c r="C198" i="1"/>
  <c r="E171" i="1"/>
  <c r="M518" i="1"/>
  <c r="O491" i="1"/>
  <c r="I518" i="1" l="1"/>
  <c r="J491" i="1"/>
  <c r="O518" i="1"/>
  <c r="M525" i="1"/>
  <c r="E198" i="1"/>
  <c r="C205" i="1"/>
  <c r="J251" i="1"/>
  <c r="H278" i="1"/>
  <c r="C211" i="1" l="1"/>
  <c r="E205" i="1"/>
  <c r="H285" i="1"/>
  <c r="J278" i="1"/>
  <c r="M531" i="1"/>
  <c r="O525" i="1"/>
  <c r="I525" i="1"/>
  <c r="J518" i="1"/>
  <c r="O531" i="1" l="1"/>
  <c r="M558" i="1"/>
  <c r="H291" i="1"/>
  <c r="J285" i="1"/>
  <c r="I531" i="1"/>
  <c r="J525" i="1"/>
  <c r="C238" i="1"/>
  <c r="E211" i="1"/>
  <c r="I558" i="1" l="1"/>
  <c r="J531" i="1"/>
  <c r="J291" i="1"/>
  <c r="H318" i="1"/>
  <c r="J318" i="1" s="1"/>
  <c r="O558" i="1"/>
  <c r="M565" i="1"/>
  <c r="C245" i="1"/>
  <c r="E238" i="1"/>
  <c r="M571" i="1" l="1"/>
  <c r="O565" i="1"/>
  <c r="C251" i="1"/>
  <c r="E245" i="1"/>
  <c r="I565" i="1"/>
  <c r="J558" i="1"/>
  <c r="I571" i="1" l="1"/>
  <c r="J565" i="1"/>
  <c r="C278" i="1"/>
  <c r="E251" i="1"/>
  <c r="O571" i="1"/>
  <c r="M598" i="1"/>
  <c r="O598" i="1" l="1"/>
  <c r="M605" i="1"/>
  <c r="C285" i="1"/>
  <c r="E278" i="1"/>
  <c r="I598" i="1"/>
  <c r="J571" i="1"/>
  <c r="I605" i="1" l="1"/>
  <c r="J598" i="1"/>
  <c r="C291" i="1"/>
  <c r="E285" i="1"/>
  <c r="O605" i="1"/>
  <c r="M611" i="1"/>
  <c r="O611" i="1" l="1"/>
  <c r="M638" i="1"/>
  <c r="C318" i="1"/>
  <c r="E291" i="1"/>
  <c r="I611" i="1"/>
  <c r="J605" i="1"/>
  <c r="I638" i="1" l="1"/>
  <c r="I645" i="1" s="1"/>
  <c r="I651" i="1" s="1"/>
  <c r="I678" i="1" s="1"/>
  <c r="I685" i="1" s="1"/>
  <c r="I691" i="1" s="1"/>
  <c r="I718" i="1" s="1"/>
  <c r="I725" i="1" s="1"/>
  <c r="I731" i="1" s="1"/>
  <c r="I758" i="1" s="1"/>
  <c r="I765" i="1" s="1"/>
  <c r="I771" i="1" s="1"/>
  <c r="I798" i="1" s="1"/>
  <c r="I805" i="1" s="1"/>
  <c r="I811" i="1" s="1"/>
  <c r="I838" i="1" s="1"/>
  <c r="I845" i="1" s="1"/>
  <c r="I851" i="1" s="1"/>
  <c r="I878" i="1" s="1"/>
  <c r="I885" i="1" s="1"/>
  <c r="I891" i="1" s="1"/>
  <c r="I918" i="1" s="1"/>
  <c r="I925" i="1" s="1"/>
  <c r="I931" i="1" s="1"/>
  <c r="I958" i="1" s="1"/>
  <c r="I965" i="1" s="1"/>
  <c r="I971" i="1" s="1"/>
  <c r="I998" i="1" s="1"/>
  <c r="I1005" i="1" s="1"/>
  <c r="I1011" i="1" s="1"/>
  <c r="I1038" i="1" s="1"/>
  <c r="I1045" i="1" s="1"/>
  <c r="I1051" i="1" s="1"/>
  <c r="I1078" i="1" s="1"/>
  <c r="I1085" i="1" s="1"/>
  <c r="I1091" i="1" s="1"/>
  <c r="I1118" i="1" s="1"/>
  <c r="I1125" i="1" s="1"/>
  <c r="I1131" i="1" s="1"/>
  <c r="I1158" i="1" s="1"/>
  <c r="I1165" i="1" s="1"/>
  <c r="I1171" i="1" s="1"/>
  <c r="I1198" i="1" s="1"/>
  <c r="I1205" i="1" s="1"/>
  <c r="I1211" i="1" s="1"/>
  <c r="I1238" i="1" s="1"/>
  <c r="I1245" i="1" s="1"/>
  <c r="I1251" i="1" s="1"/>
  <c r="I1278" i="1" s="1"/>
  <c r="I1285" i="1" s="1"/>
  <c r="I1291" i="1" s="1"/>
  <c r="I1318" i="1" s="1"/>
  <c r="I1325" i="1" s="1"/>
  <c r="I1331" i="1" s="1"/>
  <c r="I1358" i="1" s="1"/>
  <c r="I1365" i="1" s="1"/>
  <c r="I1371" i="1" s="1"/>
  <c r="I1398" i="1" s="1"/>
  <c r="I1405" i="1" s="1"/>
  <c r="I1411" i="1" s="1"/>
  <c r="I1438" i="1" s="1"/>
  <c r="I1445" i="1" s="1"/>
  <c r="I1451" i="1" s="1"/>
  <c r="I1478" i="1" s="1"/>
  <c r="I1485" i="1" s="1"/>
  <c r="I1491" i="1" s="1"/>
  <c r="I1518" i="1" s="1"/>
  <c r="I1525" i="1" s="1"/>
  <c r="I1531" i="1" s="1"/>
  <c r="I1558" i="1" s="1"/>
  <c r="I1565" i="1" s="1"/>
  <c r="I1571" i="1" s="1"/>
  <c r="I1598" i="1" s="1"/>
  <c r="I1605" i="1" s="1"/>
  <c r="I1611" i="1" s="1"/>
  <c r="I1638" i="1" s="1"/>
  <c r="I1645" i="1" s="1"/>
  <c r="I1651" i="1" s="1"/>
  <c r="I1678" i="1" s="1"/>
  <c r="I1685" i="1" s="1"/>
  <c r="I1691" i="1" s="1"/>
  <c r="I1718" i="1" s="1"/>
  <c r="I1725" i="1" s="1"/>
  <c r="I1731" i="1" s="1"/>
  <c r="I1758" i="1" s="1"/>
  <c r="I1765" i="1" s="1"/>
  <c r="I1771" i="1" s="1"/>
  <c r="I1798" i="1" s="1"/>
  <c r="I1805" i="1" s="1"/>
  <c r="I1811" i="1" s="1"/>
  <c r="I1838" i="1" s="1"/>
  <c r="J611" i="1"/>
  <c r="J638" i="1" s="1"/>
  <c r="J645" i="1" s="1"/>
  <c r="J651" i="1" s="1"/>
  <c r="J678" i="1" s="1"/>
  <c r="J685" i="1" s="1"/>
  <c r="J691" i="1" s="1"/>
  <c r="J718" i="1" s="1"/>
  <c r="J725" i="1" s="1"/>
  <c r="J731" i="1" s="1"/>
  <c r="J758" i="1" s="1"/>
  <c r="J765" i="1" s="1"/>
  <c r="J771" i="1" s="1"/>
  <c r="J798" i="1" s="1"/>
  <c r="J805" i="1" s="1"/>
  <c r="J811" i="1" s="1"/>
  <c r="J838" i="1" s="1"/>
  <c r="J845" i="1" s="1"/>
  <c r="J851" i="1" s="1"/>
  <c r="J878" i="1" s="1"/>
  <c r="J885" i="1" s="1"/>
  <c r="J891" i="1" s="1"/>
  <c r="J918" i="1" s="1"/>
  <c r="J925" i="1" s="1"/>
  <c r="J931" i="1" s="1"/>
  <c r="J958" i="1" s="1"/>
  <c r="J965" i="1" s="1"/>
  <c r="J971" i="1" s="1"/>
  <c r="J998" i="1" s="1"/>
  <c r="J1005" i="1" s="1"/>
  <c r="J1011" i="1" s="1"/>
  <c r="J1038" i="1" s="1"/>
  <c r="J1045" i="1" s="1"/>
  <c r="J1051" i="1" s="1"/>
  <c r="J1078" i="1" s="1"/>
  <c r="J1085" i="1" s="1"/>
  <c r="J1091" i="1" s="1"/>
  <c r="J1118" i="1" s="1"/>
  <c r="J1125" i="1" s="1"/>
  <c r="J1131" i="1" s="1"/>
  <c r="J1158" i="1" s="1"/>
  <c r="J1165" i="1" s="1"/>
  <c r="J1171" i="1" s="1"/>
  <c r="J1198" i="1" s="1"/>
  <c r="J1205" i="1" s="1"/>
  <c r="J1211" i="1" s="1"/>
  <c r="J1238" i="1" s="1"/>
  <c r="J1245" i="1" s="1"/>
  <c r="J1251" i="1" s="1"/>
  <c r="J1278" i="1" s="1"/>
  <c r="J1285" i="1" s="1"/>
  <c r="J1291" i="1" s="1"/>
  <c r="J1318" i="1" s="1"/>
  <c r="J1325" i="1" s="1"/>
  <c r="J1331" i="1" s="1"/>
  <c r="J1358" i="1" s="1"/>
  <c r="J1365" i="1" s="1"/>
  <c r="J1371" i="1" s="1"/>
  <c r="J1398" i="1" s="1"/>
  <c r="J1405" i="1" s="1"/>
  <c r="J1411" i="1" s="1"/>
  <c r="J1438" i="1" s="1"/>
  <c r="J1445" i="1" s="1"/>
  <c r="J1451" i="1" s="1"/>
  <c r="J1478" i="1" s="1"/>
  <c r="J1485" i="1" s="1"/>
  <c r="J1491" i="1" s="1"/>
  <c r="J1518" i="1" s="1"/>
  <c r="J1525" i="1" s="1"/>
  <c r="J1531" i="1" s="1"/>
  <c r="J1558" i="1" s="1"/>
  <c r="J1565" i="1" s="1"/>
  <c r="J1571" i="1" s="1"/>
  <c r="J1598" i="1" s="1"/>
  <c r="J1605" i="1" s="1"/>
  <c r="J1611" i="1" s="1"/>
  <c r="J1638" i="1" s="1"/>
  <c r="J1645" i="1" s="1"/>
  <c r="J1651" i="1" s="1"/>
  <c r="J1678" i="1" s="1"/>
  <c r="J1685" i="1" s="1"/>
  <c r="J1691" i="1" s="1"/>
  <c r="J1718" i="1" s="1"/>
  <c r="J1725" i="1" s="1"/>
  <c r="J1731" i="1" s="1"/>
  <c r="J1758" i="1" s="1"/>
  <c r="J1765" i="1" s="1"/>
  <c r="J1771" i="1" s="1"/>
  <c r="J1798" i="1" s="1"/>
  <c r="J1805" i="1" s="1"/>
  <c r="J1811" i="1" s="1"/>
  <c r="J1838" i="1" s="1"/>
  <c r="C325" i="1"/>
  <c r="E318" i="1"/>
  <c r="O638" i="1"/>
  <c r="M645" i="1"/>
  <c r="M651" i="1" l="1"/>
  <c r="O645" i="1"/>
  <c r="C331" i="1"/>
  <c r="E325" i="1"/>
  <c r="C358" i="1" l="1"/>
  <c r="E331" i="1"/>
  <c r="O651" i="1"/>
  <c r="M678" i="1"/>
  <c r="M685" i="1" l="1"/>
  <c r="O678" i="1"/>
  <c r="C365" i="1"/>
  <c r="E358" i="1"/>
  <c r="C371" i="1" l="1"/>
  <c r="E365" i="1"/>
  <c r="O685" i="1"/>
  <c r="M691" i="1"/>
  <c r="O691" i="1" l="1"/>
  <c r="M718" i="1"/>
  <c r="C398" i="1"/>
  <c r="E371" i="1"/>
  <c r="C405" i="1" l="1"/>
  <c r="E398" i="1"/>
  <c r="M725" i="1"/>
  <c r="O718" i="1"/>
  <c r="O725" i="1" l="1"/>
  <c r="M731" i="1"/>
  <c r="C411" i="1"/>
  <c r="E405" i="1"/>
  <c r="O731" i="1" l="1"/>
  <c r="M758" i="1"/>
  <c r="C438" i="1"/>
  <c r="E411" i="1"/>
  <c r="C445" i="1" l="1"/>
  <c r="E438" i="1"/>
  <c r="M765" i="1"/>
  <c r="O758" i="1"/>
  <c r="O765" i="1" l="1"/>
  <c r="M771" i="1"/>
  <c r="C451" i="1"/>
  <c r="E445" i="1"/>
  <c r="C478" i="1" l="1"/>
  <c r="E451" i="1"/>
  <c r="O771" i="1"/>
  <c r="M798" i="1"/>
  <c r="M805" i="1" l="1"/>
  <c r="O798" i="1"/>
  <c r="C485" i="1"/>
  <c r="E478" i="1"/>
  <c r="C491" i="1" l="1"/>
  <c r="E485" i="1"/>
  <c r="M811" i="1"/>
  <c r="O805" i="1"/>
  <c r="M838" i="1" l="1"/>
  <c r="O838" i="1" s="1"/>
  <c r="O811" i="1"/>
  <c r="C518" i="1"/>
  <c r="E491" i="1"/>
  <c r="C525" i="1" l="1"/>
  <c r="E518" i="1"/>
  <c r="C531" i="1" l="1"/>
  <c r="E525" i="1"/>
  <c r="C558" i="1" l="1"/>
  <c r="E531" i="1"/>
  <c r="C565" i="1" l="1"/>
  <c r="E558" i="1"/>
  <c r="C571" i="1" l="1"/>
  <c r="E565" i="1"/>
  <c r="C598" i="1" l="1"/>
  <c r="E571" i="1"/>
  <c r="C605" i="1" l="1"/>
  <c r="E598" i="1"/>
  <c r="C611" i="1" l="1"/>
  <c r="E605" i="1"/>
  <c r="C638" i="1" l="1"/>
  <c r="E611" i="1"/>
  <c r="C645" i="1" l="1"/>
  <c r="E638" i="1"/>
  <c r="C651" i="1" l="1"/>
  <c r="E645" i="1"/>
  <c r="C678" i="1" l="1"/>
  <c r="E651" i="1"/>
  <c r="C685" i="1" l="1"/>
  <c r="E678" i="1"/>
  <c r="C691" i="1" l="1"/>
  <c r="E685" i="1"/>
  <c r="C718" i="1" l="1"/>
  <c r="E691" i="1"/>
  <c r="C725" i="1" l="1"/>
  <c r="E718" i="1"/>
  <c r="C731" i="1" l="1"/>
  <c r="E725" i="1"/>
  <c r="C758" i="1" l="1"/>
  <c r="E731" i="1"/>
  <c r="C765" i="1" l="1"/>
  <c r="E758" i="1"/>
  <c r="C771" i="1" l="1"/>
  <c r="E765" i="1"/>
  <c r="C798" i="1" l="1"/>
  <c r="E771" i="1"/>
  <c r="C805" i="1" l="1"/>
  <c r="E798" i="1"/>
  <c r="C811" i="1" l="1"/>
  <c r="E805" i="1"/>
  <c r="C838" i="1" l="1"/>
  <c r="E811" i="1"/>
  <c r="C845" i="1" l="1"/>
  <c r="E838" i="1"/>
  <c r="C851" i="1" l="1"/>
  <c r="E845" i="1"/>
  <c r="E851" i="1" l="1"/>
  <c r="C878" i="1"/>
  <c r="E878" i="1" l="1"/>
  <c r="C885" i="1"/>
  <c r="E885" i="1" l="1"/>
  <c r="C891" i="1"/>
  <c r="E891" i="1" l="1"/>
  <c r="C918" i="1"/>
  <c r="E918" i="1" l="1"/>
  <c r="C925" i="1"/>
  <c r="C931" i="1" l="1"/>
  <c r="E925" i="1"/>
  <c r="E931" i="1" l="1"/>
  <c r="C958" i="1"/>
  <c r="E958" i="1" l="1"/>
  <c r="C965" i="1"/>
  <c r="C971" i="1" l="1"/>
  <c r="E965" i="1"/>
  <c r="E971" i="1" l="1"/>
  <c r="C998" i="1"/>
  <c r="E998" i="1" l="1"/>
  <c r="C1005" i="1"/>
  <c r="C1011" i="1" l="1"/>
  <c r="E1005" i="1"/>
  <c r="E1011" i="1" l="1"/>
  <c r="C1038" i="1"/>
  <c r="E1038" i="1" l="1"/>
  <c r="C1045" i="1"/>
  <c r="C1051" i="1" l="1"/>
  <c r="E1045" i="1"/>
  <c r="E1051" i="1" l="1"/>
  <c r="C1078" i="1"/>
  <c r="E1078" i="1" l="1"/>
  <c r="C1085" i="1"/>
  <c r="E1085" i="1" l="1"/>
  <c r="C1091" i="1"/>
  <c r="E1091" i="1" l="1"/>
  <c r="C1118" i="1"/>
  <c r="E1118" i="1" l="1"/>
  <c r="C1125" i="1"/>
  <c r="C1131" i="1" l="1"/>
  <c r="E1125" i="1"/>
  <c r="E1131" i="1" l="1"/>
  <c r="C1158" i="1"/>
  <c r="E1158" i="1" l="1"/>
  <c r="C1165" i="1"/>
  <c r="C1171" i="1" l="1"/>
  <c r="E1165" i="1"/>
  <c r="C1198" i="1" l="1"/>
  <c r="E1171" i="1"/>
  <c r="E1198" i="1" l="1"/>
  <c r="C1205" i="1"/>
  <c r="C1211" i="1" l="1"/>
  <c r="E1205" i="1"/>
  <c r="C1238" i="1" l="1"/>
  <c r="E1211" i="1"/>
  <c r="E1238" i="1" l="1"/>
  <c r="C1245" i="1"/>
  <c r="C1251" i="1" l="1"/>
  <c r="E1245" i="1"/>
  <c r="C1278" i="1" l="1"/>
  <c r="E1251" i="1"/>
  <c r="E1278" i="1" l="1"/>
  <c r="C1285" i="1"/>
  <c r="C1291" i="1" l="1"/>
  <c r="E1285" i="1"/>
  <c r="E1291" i="1" l="1"/>
  <c r="C1318" i="1"/>
  <c r="E1318" i="1" l="1"/>
  <c r="C1325" i="1"/>
  <c r="C1331" i="1" l="1"/>
  <c r="E1325" i="1"/>
  <c r="C1358" i="1" l="1"/>
  <c r="E1331" i="1"/>
  <c r="E1358" i="1" l="1"/>
  <c r="C1365" i="1"/>
  <c r="E1365" i="1" l="1"/>
  <c r="C1371" i="1"/>
  <c r="C1398" i="1" l="1"/>
  <c r="E1371" i="1"/>
  <c r="E1398" i="1" l="1"/>
  <c r="C1405" i="1"/>
  <c r="C1411" i="1" l="1"/>
  <c r="E1405" i="1"/>
  <c r="E1411" i="1" l="1"/>
  <c r="C1438" i="1"/>
  <c r="E1438" i="1" l="1"/>
  <c r="C1445" i="1"/>
  <c r="C1451" i="1" l="1"/>
  <c r="E1445" i="1"/>
  <c r="C1478" i="1" l="1"/>
  <c r="E1451" i="1"/>
  <c r="E1478" i="1" l="1"/>
  <c r="C1485" i="1"/>
  <c r="C1491" i="1" l="1"/>
  <c r="E1485" i="1"/>
  <c r="C1518" i="1" l="1"/>
  <c r="E1491" i="1"/>
  <c r="E1518" i="1" l="1"/>
  <c r="C1525" i="1"/>
  <c r="C1531" i="1" l="1"/>
  <c r="E1525" i="1"/>
  <c r="C1558" i="1" l="1"/>
  <c r="E1531" i="1"/>
  <c r="E1558" i="1" l="1"/>
  <c r="C1565" i="1"/>
  <c r="C1571" i="1" l="1"/>
  <c r="E1565" i="1"/>
  <c r="C1598" i="1" l="1"/>
  <c r="E1571" i="1"/>
  <c r="E1598" i="1" l="1"/>
  <c r="C1605" i="1"/>
  <c r="E1605" i="1" l="1"/>
  <c r="C1611" i="1"/>
  <c r="E1611" i="1" l="1"/>
  <c r="C1638" i="1"/>
  <c r="C1645" i="1" l="1"/>
  <c r="E1638" i="1"/>
  <c r="C1651" i="1" l="1"/>
  <c r="E1645" i="1"/>
  <c r="C1678" i="1" l="1"/>
  <c r="E1651" i="1"/>
  <c r="E1678" i="1" l="1"/>
  <c r="C1685" i="1"/>
  <c r="E1685" i="1" l="1"/>
  <c r="C1691" i="1"/>
  <c r="E1691" i="1" l="1"/>
  <c r="C1718" i="1"/>
  <c r="E1718" i="1" l="1"/>
  <c r="C1725" i="1"/>
  <c r="C1731" i="1" l="1"/>
  <c r="E1725" i="1"/>
  <c r="E1731" i="1" l="1"/>
  <c r="C1758" i="1"/>
  <c r="C1765" i="1" l="1"/>
  <c r="E1758" i="1"/>
  <c r="C1771" i="1" l="1"/>
  <c r="E1765" i="1"/>
  <c r="E1771" i="1" l="1"/>
  <c r="C1798" i="1"/>
  <c r="E1798" i="1" l="1"/>
  <c r="C1805" i="1"/>
  <c r="E1805" i="1" l="1"/>
  <c r="C1811" i="1"/>
  <c r="E1811" i="1" l="1"/>
  <c r="C1838" i="1"/>
  <c r="E1838" i="1" s="1"/>
</calcChain>
</file>

<file path=xl/sharedStrings.xml><?xml version="1.0" encoding="utf-8"?>
<sst xmlns="http://schemas.openxmlformats.org/spreadsheetml/2006/main" count="3068" uniqueCount="567">
  <si>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</si>
  <si>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</si>
  <si>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</si>
  <si>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</si>
  <si>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在庫</t>
    <rPh sb="0" eb="2">
      <t>ザイコ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</si>
  <si>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</si>
  <si>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</si>
  <si>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ナチュラルホワイト</t>
  </si>
  <si>
    <t>ナチュラルホワイト</t>
    <phoneticPr fontId="1"/>
  </si>
  <si>
    <t>ブラウン</t>
  </si>
  <si>
    <t>ブラウン</t>
    <phoneticPr fontId="1"/>
  </si>
  <si>
    <t>オリジナルオーガニックマスク</t>
    <phoneticPr fontId="1"/>
  </si>
  <si>
    <t>サンプル</t>
    <phoneticPr fontId="1"/>
  </si>
  <si>
    <t>ゆめはんネット</t>
    <phoneticPr fontId="1"/>
  </si>
  <si>
    <t>資材残　白1000、茶1500</t>
    <rPh sb="0" eb="2">
      <t>シザイ</t>
    </rPh>
    <rPh sb="2" eb="3">
      <t>ザン</t>
    </rPh>
    <rPh sb="4" eb="5">
      <t>シロ</t>
    </rPh>
    <rPh sb="10" eb="11">
      <t>チャ</t>
    </rPh>
    <phoneticPr fontId="1"/>
  </si>
  <si>
    <t>資材各2000投入</t>
    <rPh sb="0" eb="2">
      <t>シザイ</t>
    </rPh>
    <rPh sb="2" eb="3">
      <t>カク</t>
    </rPh>
    <rPh sb="7" eb="9">
      <t>トウニュウ</t>
    </rPh>
    <phoneticPr fontId="1"/>
  </si>
  <si>
    <t>くらし(コープデリ)sample</t>
    <phoneticPr fontId="1"/>
  </si>
  <si>
    <t>くらし(亀崎さん)sample</t>
    <rPh sb="4" eb="6">
      <t>カメサキ</t>
    </rPh>
    <phoneticPr fontId="1"/>
  </si>
  <si>
    <t>&lt;カタログ分＞</t>
    <rPh sb="5" eb="6">
      <t>ブン</t>
    </rPh>
    <phoneticPr fontId="1"/>
  </si>
  <si>
    <t>&lt;生協分＞</t>
    <rPh sb="1" eb="3">
      <t>セイキョウ</t>
    </rPh>
    <rPh sb="3" eb="4">
      <t>ブン</t>
    </rPh>
    <phoneticPr fontId="1"/>
  </si>
  <si>
    <t>ディノスsample</t>
    <phoneticPr fontId="1"/>
  </si>
  <si>
    <t>酒井</t>
    <rPh sb="0" eb="2">
      <t>サカイ</t>
    </rPh>
    <phoneticPr fontId="1"/>
  </si>
  <si>
    <t>かりん①</t>
    <phoneticPr fontId="1"/>
  </si>
  <si>
    <t>かりん②</t>
    <phoneticPr fontId="1"/>
  </si>
  <si>
    <t>かりん③</t>
    <phoneticPr fontId="1"/>
  </si>
  <si>
    <t>かりん④</t>
    <phoneticPr fontId="1"/>
  </si>
  <si>
    <t>かりん⑤</t>
    <phoneticPr fontId="1"/>
  </si>
  <si>
    <t>かりん⑥</t>
    <phoneticPr fontId="1"/>
  </si>
  <si>
    <t>かりん⑦</t>
    <phoneticPr fontId="1"/>
  </si>
  <si>
    <t>千趣会①</t>
    <rPh sb="0" eb="3">
      <t>センシュカイ</t>
    </rPh>
    <phoneticPr fontId="1"/>
  </si>
  <si>
    <t>セシール1P①</t>
    <phoneticPr fontId="1"/>
  </si>
  <si>
    <t>セシール2色組①</t>
    <rPh sb="5" eb="6">
      <t>ショク</t>
    </rPh>
    <rPh sb="6" eb="7">
      <t>グミ</t>
    </rPh>
    <phoneticPr fontId="1"/>
  </si>
  <si>
    <t>ニッセン①</t>
    <phoneticPr fontId="1"/>
  </si>
  <si>
    <t>セシール1P②</t>
    <phoneticPr fontId="1"/>
  </si>
  <si>
    <t>セシール1P③</t>
    <phoneticPr fontId="1"/>
  </si>
  <si>
    <t>セシール2色組②</t>
    <rPh sb="5" eb="6">
      <t>ショク</t>
    </rPh>
    <rPh sb="6" eb="7">
      <t>グミ</t>
    </rPh>
    <phoneticPr fontId="1"/>
  </si>
  <si>
    <t>千趣会②</t>
    <rPh sb="0" eb="3">
      <t>センシュカイ</t>
    </rPh>
    <phoneticPr fontId="1"/>
  </si>
  <si>
    <t>千趣会③</t>
    <rPh sb="0" eb="3">
      <t>センシュカイ</t>
    </rPh>
    <phoneticPr fontId="1"/>
  </si>
  <si>
    <t>JODサンプル</t>
    <phoneticPr fontId="1"/>
  </si>
  <si>
    <t>コープデリ10-1ｗ（限定）</t>
    <rPh sb="11" eb="13">
      <t>ゲンテイ</t>
    </rPh>
    <phoneticPr fontId="1"/>
  </si>
  <si>
    <t>ニッセン②</t>
    <phoneticPr fontId="1"/>
  </si>
  <si>
    <t>セシール1P④</t>
    <phoneticPr fontId="1"/>
  </si>
  <si>
    <t>セシール2色組③</t>
    <rPh sb="5" eb="6">
      <t>ショク</t>
    </rPh>
    <rPh sb="6" eb="7">
      <t>グミ</t>
    </rPh>
    <phoneticPr fontId="1"/>
  </si>
  <si>
    <t>千趣会④</t>
    <rPh sb="0" eb="3">
      <t>センシュカイ</t>
    </rPh>
    <phoneticPr fontId="1"/>
  </si>
  <si>
    <t>千趣会⑤</t>
    <rPh sb="0" eb="3">
      <t>センシュカイ</t>
    </rPh>
    <phoneticPr fontId="1"/>
  </si>
  <si>
    <t>千趣会⑥</t>
    <rPh sb="0" eb="3">
      <t>センシュカイ</t>
    </rPh>
    <phoneticPr fontId="1"/>
  </si>
  <si>
    <t>ゆめはんネット</t>
  </si>
  <si>
    <t>ニッセン③</t>
    <phoneticPr fontId="1"/>
  </si>
  <si>
    <t>西本さん</t>
    <rPh sb="0" eb="2">
      <t>ニシモト</t>
    </rPh>
    <phoneticPr fontId="1"/>
  </si>
  <si>
    <t>ディノスselect8（同色2枚）</t>
    <rPh sb="12" eb="14">
      <t>ドウショク</t>
    </rPh>
    <rPh sb="15" eb="16">
      <t>マイ</t>
    </rPh>
    <phoneticPr fontId="1"/>
  </si>
  <si>
    <t>オバタsample</t>
    <phoneticPr fontId="1"/>
  </si>
  <si>
    <t>セシール1P⑤</t>
    <phoneticPr fontId="1"/>
  </si>
  <si>
    <t>くらし企画（大阪）sample</t>
    <rPh sb="3" eb="5">
      <t>キカク</t>
    </rPh>
    <rPh sb="6" eb="8">
      <t>オオサカ</t>
    </rPh>
    <phoneticPr fontId="1"/>
  </si>
  <si>
    <t>JOD特別版0903</t>
    <rPh sb="3" eb="5">
      <t>トクベツ</t>
    </rPh>
    <rPh sb="5" eb="6">
      <t>バン</t>
    </rPh>
    <phoneticPr fontId="1"/>
  </si>
  <si>
    <t>9/2～</t>
    <phoneticPr fontId="1"/>
  </si>
  <si>
    <t>かりん⑧</t>
    <phoneticPr fontId="1"/>
  </si>
  <si>
    <t>かりん⑨</t>
    <phoneticPr fontId="1"/>
  </si>
  <si>
    <t>セシール1P⑥</t>
    <phoneticPr fontId="1"/>
  </si>
  <si>
    <t>セシール2色組④</t>
    <rPh sb="5" eb="6">
      <t>ショク</t>
    </rPh>
    <rPh sb="6" eb="7">
      <t>グミ</t>
    </rPh>
    <phoneticPr fontId="1"/>
  </si>
  <si>
    <t>アバウト9/30、初回10/1～7</t>
    <rPh sb="9" eb="11">
      <t>ショカイ</t>
    </rPh>
    <phoneticPr fontId="1"/>
  </si>
  <si>
    <t>セシール1P⑦</t>
    <phoneticPr fontId="1"/>
  </si>
  <si>
    <t>ネット不良交換</t>
    <rPh sb="3" eb="5">
      <t>フリョウ</t>
    </rPh>
    <rPh sb="5" eb="7">
      <t>コウカン</t>
    </rPh>
    <phoneticPr fontId="1"/>
  </si>
  <si>
    <t>かりん⑩</t>
    <phoneticPr fontId="1"/>
  </si>
  <si>
    <t>丸藤sample</t>
    <rPh sb="0" eb="2">
      <t>マルフジ</t>
    </rPh>
    <phoneticPr fontId="1"/>
  </si>
  <si>
    <t>スガノ交換品</t>
    <rPh sb="3" eb="5">
      <t>コウカン</t>
    </rPh>
    <rPh sb="5" eb="6">
      <t>ヒン</t>
    </rPh>
    <phoneticPr fontId="1"/>
  </si>
  <si>
    <t>かりん⑪</t>
    <phoneticPr fontId="1"/>
  </si>
  <si>
    <t>くらし（金澤さん）サンプル</t>
    <rPh sb="4" eb="6">
      <t>カナザワ</t>
    </rPh>
    <phoneticPr fontId="1"/>
  </si>
  <si>
    <t>セシール1P⑧</t>
    <phoneticPr fontId="1"/>
  </si>
  <si>
    <t>かりん⑫</t>
    <phoneticPr fontId="1"/>
  </si>
  <si>
    <t>2020/9/30～2021/9/30</t>
    <phoneticPr fontId="1"/>
  </si>
  <si>
    <t>かりん⑬</t>
    <phoneticPr fontId="1"/>
  </si>
  <si>
    <t>グリーンコープ12-4ｗ（限定）</t>
    <rPh sb="13" eb="15">
      <t>ゲンテイ</t>
    </rPh>
    <phoneticPr fontId="1"/>
  </si>
  <si>
    <t>コープさっぽろ11-2W</t>
    <phoneticPr fontId="1"/>
  </si>
  <si>
    <t>11/6、11/10</t>
    <phoneticPr fontId="1"/>
  </si>
  <si>
    <t>セシール2色組⑤</t>
    <rPh sb="5" eb="6">
      <t>ショク</t>
    </rPh>
    <rPh sb="6" eb="7">
      <t>グミ</t>
    </rPh>
    <phoneticPr fontId="1"/>
  </si>
  <si>
    <t>かりん⑭</t>
    <phoneticPr fontId="1"/>
  </si>
  <si>
    <t>かりん⑮</t>
    <phoneticPr fontId="1"/>
  </si>
  <si>
    <t>ニッセン④</t>
    <phoneticPr fontId="1"/>
  </si>
  <si>
    <t>製品検査（ディノス基準）</t>
    <rPh sb="0" eb="2">
      <t>セイヒン</t>
    </rPh>
    <rPh sb="2" eb="4">
      <t>ケンサ</t>
    </rPh>
    <rPh sb="9" eb="11">
      <t>キジュン</t>
    </rPh>
    <phoneticPr fontId="1"/>
  </si>
  <si>
    <t>JOD①</t>
    <phoneticPr fontId="1"/>
  </si>
  <si>
    <t>JOD②</t>
  </si>
  <si>
    <t>コープデリ10-1ｗ（限定）①</t>
    <rPh sb="11" eb="13">
      <t>ゲンテイ</t>
    </rPh>
    <phoneticPr fontId="1"/>
  </si>
  <si>
    <t>ニッセン⑤</t>
    <phoneticPr fontId="1"/>
  </si>
  <si>
    <t>JOD③</t>
    <phoneticPr fontId="1"/>
  </si>
  <si>
    <t>かりん⑯</t>
    <phoneticPr fontId="1"/>
  </si>
  <si>
    <t>JOD④</t>
    <phoneticPr fontId="1"/>
  </si>
  <si>
    <t>セシール返品</t>
    <rPh sb="4" eb="6">
      <t>ヘンピン</t>
    </rPh>
    <phoneticPr fontId="1"/>
  </si>
  <si>
    <t>JOD⑤</t>
    <phoneticPr fontId="1"/>
  </si>
  <si>
    <t>JOD⑥</t>
    <phoneticPr fontId="1"/>
  </si>
  <si>
    <t>コープきんき1月3回</t>
    <rPh sb="7" eb="8">
      <t>ガツ</t>
    </rPh>
    <rPh sb="9" eb="10">
      <t>カイ</t>
    </rPh>
    <phoneticPr fontId="1"/>
  </si>
  <si>
    <t>かりん⑰</t>
    <phoneticPr fontId="1"/>
  </si>
  <si>
    <t>2020/9/15数伝</t>
    <rPh sb="9" eb="10">
      <t>スウ</t>
    </rPh>
    <rPh sb="10" eb="11">
      <t>デン</t>
    </rPh>
    <phoneticPr fontId="1"/>
  </si>
  <si>
    <t>JOD⑦</t>
    <phoneticPr fontId="1"/>
  </si>
  <si>
    <t>ディノスselect8（同色2枚）①</t>
    <rPh sb="12" eb="14">
      <t>ドウショク</t>
    </rPh>
    <rPh sb="15" eb="16">
      <t>マイ</t>
    </rPh>
    <phoneticPr fontId="1"/>
  </si>
  <si>
    <t>ニッセン⑥</t>
    <phoneticPr fontId="1"/>
  </si>
  <si>
    <t>JOD⑧</t>
    <phoneticPr fontId="1"/>
  </si>
  <si>
    <t>JOD⑨</t>
    <phoneticPr fontId="1"/>
  </si>
  <si>
    <t>かりん⑱</t>
    <phoneticPr fontId="1"/>
  </si>
  <si>
    <t>JOD⑩</t>
    <phoneticPr fontId="1"/>
  </si>
  <si>
    <t>かりん⑲</t>
    <phoneticPr fontId="1"/>
  </si>
  <si>
    <t>セシール12月トキメキデイズ裏表紙２色組</t>
    <rPh sb="6" eb="7">
      <t>ガツ</t>
    </rPh>
    <rPh sb="14" eb="15">
      <t>ウラ</t>
    </rPh>
    <rPh sb="15" eb="17">
      <t>ヒョウシ</t>
    </rPh>
    <rPh sb="18" eb="19">
      <t>ショク</t>
    </rPh>
    <rPh sb="19" eb="20">
      <t>グミ</t>
    </rPh>
    <phoneticPr fontId="1"/>
  </si>
  <si>
    <t>セシール12月トキメキデイズ1P裏表紙</t>
    <rPh sb="6" eb="7">
      <t>ガツ</t>
    </rPh>
    <rPh sb="16" eb="17">
      <t>ウラ</t>
    </rPh>
    <rPh sb="17" eb="19">
      <t>ヒョウシ</t>
    </rPh>
    <phoneticPr fontId="1"/>
  </si>
  <si>
    <t>ニッセン21年初春号</t>
    <rPh sb="6" eb="7">
      <t>ネン</t>
    </rPh>
    <rPh sb="7" eb="9">
      <t>ショシュン</t>
    </rPh>
    <rPh sb="9" eb="10">
      <t>ゴウ</t>
    </rPh>
    <phoneticPr fontId="1"/>
  </si>
  <si>
    <t>11月中旬</t>
    <rPh sb="2" eb="3">
      <t>ガツ</t>
    </rPh>
    <rPh sb="3" eb="5">
      <t>チュウジュン</t>
    </rPh>
    <phoneticPr fontId="1"/>
  </si>
  <si>
    <t>JOD⑪</t>
    <phoneticPr fontId="1"/>
  </si>
  <si>
    <t>かりん⑳</t>
    <phoneticPr fontId="1"/>
  </si>
  <si>
    <t>点12/8、アバウト12/15、本発注12/21、23</t>
    <rPh sb="0" eb="1">
      <t>テン</t>
    </rPh>
    <rPh sb="16" eb="19">
      <t>ホンハッチュウ</t>
    </rPh>
    <phoneticPr fontId="1"/>
  </si>
  <si>
    <t>コープデリ11-4ｗ（限定）分</t>
    <rPh sb="11" eb="13">
      <t>ゲンテイ</t>
    </rPh>
    <rPh sb="14" eb="15">
      <t>ブン</t>
    </rPh>
    <phoneticPr fontId="1"/>
  </si>
  <si>
    <t>かりん㉑</t>
    <phoneticPr fontId="1"/>
  </si>
  <si>
    <t>初回11/4、アバウト11/18、最終11/25</t>
    <rPh sb="0" eb="2">
      <t>ショカイ</t>
    </rPh>
    <rPh sb="17" eb="19">
      <t>サイシュウ</t>
    </rPh>
    <phoneticPr fontId="1"/>
  </si>
  <si>
    <t>JOD⑫</t>
    <phoneticPr fontId="1"/>
  </si>
  <si>
    <t>ゆめはん(セシール分）①</t>
    <rPh sb="9" eb="10">
      <t>ブン</t>
    </rPh>
    <phoneticPr fontId="1"/>
  </si>
  <si>
    <t>生活クラブ山形11-4w（オバタ）</t>
    <rPh sb="0" eb="2">
      <t>セイカツ</t>
    </rPh>
    <rPh sb="5" eb="7">
      <t>ヤマガタ</t>
    </rPh>
    <phoneticPr fontId="1"/>
  </si>
  <si>
    <t>JOD⑬</t>
    <phoneticPr fontId="1"/>
  </si>
  <si>
    <t>かりん㉒</t>
    <phoneticPr fontId="1"/>
  </si>
  <si>
    <t>JOD⑭</t>
    <phoneticPr fontId="1"/>
  </si>
  <si>
    <t>素数sample</t>
    <rPh sb="0" eb="2">
      <t>ソスウ</t>
    </rPh>
    <phoneticPr fontId="1"/>
  </si>
  <si>
    <t>JOD⑮</t>
    <phoneticPr fontId="1"/>
  </si>
  <si>
    <t>コープデリ10-1ｗ（限定）②-1</t>
    <rPh sb="11" eb="13">
      <t>ゲンテイ</t>
    </rPh>
    <phoneticPr fontId="1"/>
  </si>
  <si>
    <t>コープデリ10-1ｗ（限定）②-2</t>
    <rPh sb="11" eb="13">
      <t>ゲンテイ</t>
    </rPh>
    <phoneticPr fontId="1"/>
  </si>
  <si>
    <t>夢販</t>
    <rPh sb="0" eb="2">
      <t>ユメハン</t>
    </rPh>
    <phoneticPr fontId="1"/>
  </si>
  <si>
    <t>コープデリ10-1ｗ（限定）③</t>
    <rPh sb="11" eb="13">
      <t>ゲンテイ</t>
    </rPh>
    <phoneticPr fontId="1"/>
  </si>
  <si>
    <t>JOD⑯</t>
    <phoneticPr fontId="1"/>
  </si>
  <si>
    <t>ニッセン⑦</t>
    <phoneticPr fontId="1"/>
  </si>
  <si>
    <t>1/20まで</t>
    <phoneticPr fontId="1"/>
  </si>
  <si>
    <t>JOD1⑰</t>
    <phoneticPr fontId="1"/>
  </si>
  <si>
    <t>1/11まで</t>
    <phoneticPr fontId="1"/>
  </si>
  <si>
    <t>10/1～末まで</t>
    <rPh sb="5" eb="6">
      <t>マツ</t>
    </rPh>
    <phoneticPr fontId="1"/>
  </si>
  <si>
    <t>11/21～12/15まで</t>
    <phoneticPr fontId="1"/>
  </si>
  <si>
    <t>かりん㉓</t>
    <phoneticPr fontId="1"/>
  </si>
  <si>
    <t>かりん㉓注残</t>
    <rPh sb="4" eb="6">
      <t>チュウザン</t>
    </rPh>
    <phoneticPr fontId="1"/>
  </si>
  <si>
    <t>JOD⑱</t>
    <phoneticPr fontId="1"/>
  </si>
  <si>
    <t>かりん㉔</t>
    <phoneticPr fontId="1"/>
  </si>
  <si>
    <t>かりん㉔注残</t>
    <rPh sb="4" eb="6">
      <t>チュウザン</t>
    </rPh>
    <phoneticPr fontId="1"/>
  </si>
  <si>
    <t>千趣会⑦</t>
    <rPh sb="0" eb="3">
      <t>センシュカイ</t>
    </rPh>
    <phoneticPr fontId="1"/>
  </si>
  <si>
    <t>ニッセン⑧</t>
    <phoneticPr fontId="1"/>
  </si>
  <si>
    <t>JOD⑲</t>
    <phoneticPr fontId="1"/>
  </si>
  <si>
    <t>JOD⑳</t>
    <phoneticPr fontId="1"/>
  </si>
  <si>
    <t>JODメルシー1106</t>
    <phoneticPr fontId="1"/>
  </si>
  <si>
    <t>11/6～</t>
    <phoneticPr fontId="1"/>
  </si>
  <si>
    <t>かりん㉕</t>
    <phoneticPr fontId="1"/>
  </si>
  <si>
    <t>かりん㉕注残</t>
    <rPh sb="4" eb="6">
      <t>チュウザン</t>
    </rPh>
    <phoneticPr fontId="1"/>
  </si>
  <si>
    <t>かりん㉖</t>
    <phoneticPr fontId="1"/>
  </si>
  <si>
    <t>ネット返品</t>
    <rPh sb="3" eb="5">
      <t>ヘンピン</t>
    </rPh>
    <phoneticPr fontId="1"/>
  </si>
  <si>
    <t>237個あり(くらし）</t>
    <rPh sb="3" eb="4">
      <t>コ</t>
    </rPh>
    <phoneticPr fontId="1"/>
  </si>
  <si>
    <t>JOD㉑</t>
    <phoneticPr fontId="1"/>
  </si>
  <si>
    <t>かりん㉗</t>
    <phoneticPr fontId="1"/>
  </si>
  <si>
    <t>セシール色合わせ用サンプル</t>
    <rPh sb="4" eb="6">
      <t>イロア</t>
    </rPh>
    <rPh sb="8" eb="9">
      <t>ヨウ</t>
    </rPh>
    <phoneticPr fontId="1"/>
  </si>
  <si>
    <t>ディノスselect8（同色2枚）②</t>
    <rPh sb="12" eb="14">
      <t>ドウショク</t>
    </rPh>
    <rPh sb="15" eb="16">
      <t>マイ</t>
    </rPh>
    <phoneticPr fontId="1"/>
  </si>
  <si>
    <t>KPORT在庫</t>
    <rPh sb="5" eb="7">
      <t>ザイコ</t>
    </rPh>
    <phoneticPr fontId="1"/>
  </si>
  <si>
    <t>夢販在庫</t>
    <rPh sb="0" eb="2">
      <t>ユメハン</t>
    </rPh>
    <rPh sb="2" eb="4">
      <t>ザイコ</t>
    </rPh>
    <phoneticPr fontId="1"/>
  </si>
  <si>
    <t>スガノ在庫</t>
    <rPh sb="3" eb="5">
      <t>ザイコ</t>
    </rPh>
    <phoneticPr fontId="1"/>
  </si>
  <si>
    <t>JOD㉒</t>
    <phoneticPr fontId="1"/>
  </si>
  <si>
    <t>セシール2色組⑥</t>
    <rPh sb="5" eb="6">
      <t>ショク</t>
    </rPh>
    <rPh sb="6" eb="7">
      <t>グミ</t>
    </rPh>
    <phoneticPr fontId="1"/>
  </si>
  <si>
    <t>ディノスselect8（同色2枚）③</t>
    <rPh sb="12" eb="14">
      <t>ドウショク</t>
    </rPh>
    <rPh sb="15" eb="16">
      <t>マイ</t>
    </rPh>
    <phoneticPr fontId="1"/>
  </si>
  <si>
    <t>発注</t>
    <rPh sb="0" eb="2">
      <t>ハッチュウ</t>
    </rPh>
    <phoneticPr fontId="1"/>
  </si>
  <si>
    <t>10月～末まで</t>
    <rPh sb="2" eb="3">
      <t>ガツ</t>
    </rPh>
    <rPh sb="4" eb="5">
      <t>マツ</t>
    </rPh>
    <phoneticPr fontId="1"/>
  </si>
  <si>
    <t>KPORT</t>
    <phoneticPr fontId="1"/>
  </si>
  <si>
    <t>KPORT</t>
    <phoneticPr fontId="1"/>
  </si>
  <si>
    <t>JOD㉓</t>
    <phoneticPr fontId="1"/>
  </si>
  <si>
    <t>ディノスselect8（同色2枚）④</t>
    <rPh sb="12" eb="14">
      <t>ドウショク</t>
    </rPh>
    <rPh sb="15" eb="16">
      <t>マイ</t>
    </rPh>
    <phoneticPr fontId="1"/>
  </si>
  <si>
    <t>コープさっぽろ1-1ｗ</t>
    <phoneticPr fontId="1"/>
  </si>
  <si>
    <t>11/14まで</t>
    <phoneticPr fontId="1"/>
  </si>
  <si>
    <t>ニッセン⑨</t>
    <phoneticPr fontId="1"/>
  </si>
  <si>
    <t>はぴねすくらぶsample</t>
    <phoneticPr fontId="1"/>
  </si>
  <si>
    <t>かりん㉘</t>
    <phoneticPr fontId="1"/>
  </si>
  <si>
    <t>JOD㉔</t>
    <phoneticPr fontId="1"/>
  </si>
  <si>
    <t>点12/31、アバウト1/12、本1/13～23</t>
    <rPh sb="0" eb="1">
      <t>テン</t>
    </rPh>
    <rPh sb="16" eb="17">
      <t>ホン</t>
    </rPh>
    <phoneticPr fontId="1"/>
  </si>
  <si>
    <t>12/1～15</t>
    <phoneticPr fontId="1"/>
  </si>
  <si>
    <t>コープさっぽろ11-2W①</t>
    <phoneticPr fontId="1"/>
  </si>
  <si>
    <t>ニッセン⑩</t>
    <phoneticPr fontId="1"/>
  </si>
  <si>
    <t>JOD㉕</t>
    <phoneticPr fontId="1"/>
  </si>
  <si>
    <t>かりん㉙</t>
    <phoneticPr fontId="1"/>
  </si>
  <si>
    <t>JOD㉖</t>
    <phoneticPr fontId="1"/>
  </si>
  <si>
    <t>11/2,  5</t>
    <phoneticPr fontId="1"/>
  </si>
  <si>
    <t>JOD㉗</t>
    <phoneticPr fontId="1"/>
  </si>
  <si>
    <t>セシール12月トキメキデイズ1P裏表紙①</t>
    <rPh sb="6" eb="7">
      <t>ガツ</t>
    </rPh>
    <rPh sb="16" eb="17">
      <t>ウラ</t>
    </rPh>
    <rPh sb="17" eb="19">
      <t>ヒョウシ</t>
    </rPh>
    <phoneticPr fontId="1"/>
  </si>
  <si>
    <t>セシール12月トキメキデイズ裏表紙２色組①</t>
    <rPh sb="6" eb="7">
      <t>ガツ</t>
    </rPh>
    <rPh sb="14" eb="15">
      <t>ウラ</t>
    </rPh>
    <rPh sb="15" eb="17">
      <t>ヒョウシ</t>
    </rPh>
    <rPh sb="18" eb="19">
      <t>ショク</t>
    </rPh>
    <rPh sb="19" eb="20">
      <t>グミ</t>
    </rPh>
    <phoneticPr fontId="1"/>
  </si>
  <si>
    <t>マイジール（米川さん）sample</t>
    <rPh sb="6" eb="8">
      <t>ヨネカワ</t>
    </rPh>
    <phoneticPr fontId="1"/>
  </si>
  <si>
    <t>ニッセン⑪</t>
    <phoneticPr fontId="1"/>
  </si>
  <si>
    <t>コープデリ3-1ｗ（限定）分</t>
    <rPh sb="10" eb="12">
      <t>ゲンテイ</t>
    </rPh>
    <rPh sb="13" eb="14">
      <t>ブン</t>
    </rPh>
    <phoneticPr fontId="1"/>
  </si>
  <si>
    <t>ディノス返品</t>
    <rPh sb="4" eb="6">
      <t>ヘンピン</t>
    </rPh>
    <phoneticPr fontId="1"/>
  </si>
  <si>
    <t>ディノスselect8（同色2枚）⑤</t>
    <rPh sb="12" eb="14">
      <t>ドウショク</t>
    </rPh>
    <rPh sb="15" eb="16">
      <t>マイ</t>
    </rPh>
    <phoneticPr fontId="1"/>
  </si>
  <si>
    <t>ディノスselect8（同色2枚）⑥</t>
    <rPh sb="12" eb="14">
      <t>ドウショク</t>
    </rPh>
    <rPh sb="15" eb="16">
      <t>マイ</t>
    </rPh>
    <phoneticPr fontId="1"/>
  </si>
  <si>
    <t>コープデリ11-4ｗ（限定）①</t>
    <rPh sb="11" eb="13">
      <t>ゲンテイ</t>
    </rPh>
    <phoneticPr fontId="1"/>
  </si>
  <si>
    <t>かりん㉚</t>
    <phoneticPr fontId="1"/>
  </si>
  <si>
    <t>12/15～25</t>
    <phoneticPr fontId="1"/>
  </si>
  <si>
    <t>千趣会⑧</t>
    <rPh sb="0" eb="3">
      <t>センシュカイ</t>
    </rPh>
    <phoneticPr fontId="1"/>
  </si>
  <si>
    <t>ディノスselect8（同色2枚）⑦</t>
    <rPh sb="12" eb="14">
      <t>ドウショク</t>
    </rPh>
    <rPh sb="15" eb="16">
      <t>マイ</t>
    </rPh>
    <phoneticPr fontId="1"/>
  </si>
  <si>
    <t>コープデリ11-4ｗ（限定）②</t>
    <rPh sb="11" eb="13">
      <t>ゲンテイ</t>
    </rPh>
    <phoneticPr fontId="1"/>
  </si>
  <si>
    <t>ニッセン⑫</t>
    <phoneticPr fontId="1"/>
  </si>
  <si>
    <t>JOD㉘</t>
    <phoneticPr fontId="1"/>
  </si>
  <si>
    <t>かりん㉛</t>
    <phoneticPr fontId="1"/>
  </si>
  <si>
    <t>コープデリ11-4ｗ（限定）③</t>
    <rPh sb="11" eb="13">
      <t>ゲンテイ</t>
    </rPh>
    <phoneticPr fontId="1"/>
  </si>
  <si>
    <t>ディノスselect8（同色2枚）⑧</t>
    <rPh sb="12" eb="14">
      <t>ドウショク</t>
    </rPh>
    <rPh sb="15" eb="16">
      <t>マイ</t>
    </rPh>
    <phoneticPr fontId="1"/>
  </si>
  <si>
    <t>JOD㉙</t>
    <phoneticPr fontId="1"/>
  </si>
  <si>
    <t>東北サンネット2-1ｗ</t>
    <rPh sb="0" eb="2">
      <t>トウホク</t>
    </rPh>
    <phoneticPr fontId="1"/>
  </si>
  <si>
    <t>JOD㉚</t>
    <phoneticPr fontId="1"/>
  </si>
  <si>
    <t>ディノスselect8（同色2枚）継続</t>
    <rPh sb="12" eb="14">
      <t>ドウショク</t>
    </rPh>
    <rPh sb="15" eb="16">
      <t>マイ</t>
    </rPh>
    <rPh sb="17" eb="19">
      <t>ケイゾク</t>
    </rPh>
    <phoneticPr fontId="1"/>
  </si>
  <si>
    <t>2/中旬～10/7</t>
    <rPh sb="2" eb="4">
      <t>チュウジュン</t>
    </rPh>
    <phoneticPr fontId="1"/>
  </si>
  <si>
    <t>生活クラブ山形11-4w（オバタ）①</t>
    <rPh sb="0" eb="2">
      <t>セイカツ</t>
    </rPh>
    <rPh sb="5" eb="7">
      <t>ヤマガタ</t>
    </rPh>
    <phoneticPr fontId="1"/>
  </si>
  <si>
    <t>JOD㉛</t>
    <phoneticPr fontId="1"/>
  </si>
  <si>
    <t>ニッセン⑬</t>
    <phoneticPr fontId="1"/>
  </si>
  <si>
    <t>JOD㉜</t>
    <phoneticPr fontId="1"/>
  </si>
  <si>
    <t>JOD　BEAUTY通信1228</t>
    <rPh sb="10" eb="12">
      <t>ツウシン</t>
    </rPh>
    <phoneticPr fontId="1"/>
  </si>
  <si>
    <t>12/24～</t>
    <phoneticPr fontId="1"/>
  </si>
  <si>
    <t>コープさっぽろ11-2W②</t>
    <phoneticPr fontId="1"/>
  </si>
  <si>
    <t>JOD㉝</t>
    <phoneticPr fontId="1"/>
  </si>
  <si>
    <t>電話注文</t>
    <rPh sb="0" eb="2">
      <t>デンワ</t>
    </rPh>
    <rPh sb="2" eb="4">
      <t>チュウモン</t>
    </rPh>
    <phoneticPr fontId="1"/>
  </si>
  <si>
    <t>JOD㉞</t>
    <phoneticPr fontId="1"/>
  </si>
  <si>
    <t>ディノス</t>
    <phoneticPr fontId="1"/>
  </si>
  <si>
    <t>コープさっぽろ2-3ｗ</t>
    <phoneticPr fontId="1"/>
  </si>
  <si>
    <t>2/12、2/16</t>
    <phoneticPr fontId="1"/>
  </si>
  <si>
    <t>ディノスselect8（同色2枚）⑨</t>
    <rPh sb="12" eb="14">
      <t>ドウショク</t>
    </rPh>
    <rPh sb="15" eb="16">
      <t>マイ</t>
    </rPh>
    <phoneticPr fontId="1"/>
  </si>
  <si>
    <t>ニッセン⑭</t>
    <phoneticPr fontId="1"/>
  </si>
  <si>
    <t>JOD㉟</t>
    <phoneticPr fontId="1"/>
  </si>
  <si>
    <t>JOD㊱</t>
    <phoneticPr fontId="1"/>
  </si>
  <si>
    <t>JOD㊲</t>
    <phoneticPr fontId="1"/>
  </si>
  <si>
    <t>JOD㊳</t>
    <phoneticPr fontId="1"/>
  </si>
  <si>
    <t>千趣会⑨</t>
    <rPh sb="0" eb="3">
      <t>センシュカイ</t>
    </rPh>
    <phoneticPr fontId="1"/>
  </si>
  <si>
    <t>グリーンコープ12-4ｗ（限定）①</t>
    <rPh sb="13" eb="15">
      <t>ゲンテイ</t>
    </rPh>
    <phoneticPr fontId="1"/>
  </si>
  <si>
    <t>セシール12月トキメキデイズ1P裏表紙②</t>
    <rPh sb="6" eb="7">
      <t>ガツ</t>
    </rPh>
    <rPh sb="16" eb="17">
      <t>ウラ</t>
    </rPh>
    <rPh sb="17" eb="19">
      <t>ヒョウシ</t>
    </rPh>
    <phoneticPr fontId="1"/>
  </si>
  <si>
    <t>セシール12月トキメキデイズ裏表紙２色組②</t>
    <rPh sb="6" eb="7">
      <t>ガツ</t>
    </rPh>
    <rPh sb="14" eb="15">
      <t>ウラ</t>
    </rPh>
    <rPh sb="15" eb="17">
      <t>ヒョウシ</t>
    </rPh>
    <rPh sb="18" eb="19">
      <t>ショク</t>
    </rPh>
    <rPh sb="19" eb="20">
      <t>グミ</t>
    </rPh>
    <phoneticPr fontId="1"/>
  </si>
  <si>
    <t>ニッセン⑮</t>
    <phoneticPr fontId="1"/>
  </si>
  <si>
    <t>JOD㊴</t>
    <phoneticPr fontId="1"/>
  </si>
  <si>
    <t>ディノスselect8（同色2枚）⑩</t>
    <rPh sb="12" eb="14">
      <t>ドウショク</t>
    </rPh>
    <rPh sb="15" eb="16">
      <t>マイ</t>
    </rPh>
    <phoneticPr fontId="1"/>
  </si>
  <si>
    <t>Kport</t>
    <phoneticPr fontId="1"/>
  </si>
  <si>
    <t>セシール12月トキメキデイズ1P裏表紙③</t>
    <rPh sb="6" eb="7">
      <t>ガツ</t>
    </rPh>
    <rPh sb="16" eb="17">
      <t>ウラ</t>
    </rPh>
    <rPh sb="17" eb="19">
      <t>ヒョウシ</t>
    </rPh>
    <phoneticPr fontId="1"/>
  </si>
  <si>
    <t>セシール12月トキメキデイズ裏表紙２色組③</t>
    <rPh sb="6" eb="7">
      <t>ガツ</t>
    </rPh>
    <rPh sb="14" eb="15">
      <t>ウラ</t>
    </rPh>
    <rPh sb="15" eb="17">
      <t>ヒョウシ</t>
    </rPh>
    <rPh sb="18" eb="19">
      <t>ショク</t>
    </rPh>
    <rPh sb="19" eb="20">
      <t>グミ</t>
    </rPh>
    <phoneticPr fontId="1"/>
  </si>
  <si>
    <t>千趣会⑩</t>
    <rPh sb="0" eb="3">
      <t>センシュカイ</t>
    </rPh>
    <phoneticPr fontId="1"/>
  </si>
  <si>
    <t>コープきんき2月4回【限定】</t>
    <rPh sb="7" eb="8">
      <t>ガツ</t>
    </rPh>
    <rPh sb="9" eb="10">
      <t>カイ</t>
    </rPh>
    <rPh sb="11" eb="13">
      <t>ゲンテイ</t>
    </rPh>
    <phoneticPr fontId="1"/>
  </si>
  <si>
    <t>点1/28、アバウト2/16、本2/17～27</t>
    <rPh sb="0" eb="1">
      <t>テン</t>
    </rPh>
    <rPh sb="15" eb="16">
      <t>ホン</t>
    </rPh>
    <phoneticPr fontId="1"/>
  </si>
  <si>
    <t>12/18.</t>
    <phoneticPr fontId="1"/>
  </si>
  <si>
    <t>くらし（尾沼さん）パルsample</t>
    <rPh sb="4" eb="6">
      <t>オヌマ</t>
    </rPh>
    <phoneticPr fontId="1"/>
  </si>
  <si>
    <t>セシール12月トキメキデイズ1P裏表紙④</t>
    <rPh sb="6" eb="7">
      <t>ガツ</t>
    </rPh>
    <rPh sb="16" eb="17">
      <t>ウラ</t>
    </rPh>
    <rPh sb="17" eb="19">
      <t>ヒョウシ</t>
    </rPh>
    <phoneticPr fontId="1"/>
  </si>
  <si>
    <t>セシール12月トキメキデイズ裏表紙２色組④</t>
    <rPh sb="6" eb="7">
      <t>ガツ</t>
    </rPh>
    <rPh sb="14" eb="15">
      <t>ウラ</t>
    </rPh>
    <rPh sb="15" eb="17">
      <t>ヒョウシ</t>
    </rPh>
    <rPh sb="18" eb="19">
      <t>ショク</t>
    </rPh>
    <rPh sb="19" eb="20">
      <t>グミ</t>
    </rPh>
    <phoneticPr fontId="1"/>
  </si>
  <si>
    <t>JOD㊵</t>
    <phoneticPr fontId="1"/>
  </si>
  <si>
    <t>ディノスselect8（同色2枚）⑪</t>
    <rPh sb="12" eb="14">
      <t>ドウショク</t>
    </rPh>
    <rPh sb="15" eb="16">
      <t>マイ</t>
    </rPh>
    <phoneticPr fontId="1"/>
  </si>
  <si>
    <t>東北サンネット3-3ｗ</t>
    <rPh sb="0" eb="2">
      <t>トウホク</t>
    </rPh>
    <phoneticPr fontId="1"/>
  </si>
  <si>
    <t>3/12、13、15、16、17</t>
    <phoneticPr fontId="1"/>
  </si>
  <si>
    <t>1/29、30、2/1、2、3</t>
    <phoneticPr fontId="1"/>
  </si>
  <si>
    <t>グリーンコープ12-4ｗ（限定）②</t>
    <rPh sb="13" eb="15">
      <t>ゲンテイ</t>
    </rPh>
    <phoneticPr fontId="1"/>
  </si>
  <si>
    <t>JOD㊶</t>
    <phoneticPr fontId="1"/>
  </si>
  <si>
    <t>ニッセン⑯</t>
    <phoneticPr fontId="1"/>
  </si>
  <si>
    <t>くらし返品</t>
    <rPh sb="3" eb="5">
      <t>ヘンピン</t>
    </rPh>
    <phoneticPr fontId="1"/>
  </si>
  <si>
    <t>JOD㊷</t>
    <phoneticPr fontId="1"/>
  </si>
  <si>
    <t>JOD㊸</t>
    <phoneticPr fontId="1"/>
  </si>
  <si>
    <t>セシール12月トキメキデイズ1P裏表紙⑤</t>
    <rPh sb="6" eb="7">
      <t>ガツ</t>
    </rPh>
    <rPh sb="16" eb="17">
      <t>ウラ</t>
    </rPh>
    <rPh sb="17" eb="19">
      <t>ヒョウシ</t>
    </rPh>
    <phoneticPr fontId="1"/>
  </si>
  <si>
    <t>コープきんき1月3回①</t>
    <rPh sb="7" eb="8">
      <t>ガツ</t>
    </rPh>
    <rPh sb="9" eb="10">
      <t>カイ</t>
    </rPh>
    <phoneticPr fontId="1"/>
  </si>
  <si>
    <t>2/末まで＋α？？？？</t>
    <rPh sb="2" eb="3">
      <t>マツ</t>
    </rPh>
    <phoneticPr fontId="1"/>
  </si>
  <si>
    <t>2末まで2000</t>
    <rPh sb="1" eb="2">
      <t>マツ</t>
    </rPh>
    <phoneticPr fontId="1"/>
  </si>
  <si>
    <t>2/10まで3000</t>
    <phoneticPr fontId="1"/>
  </si>
  <si>
    <t>牧野さん</t>
    <rPh sb="0" eb="2">
      <t>マキノ</t>
    </rPh>
    <phoneticPr fontId="1"/>
  </si>
  <si>
    <t>セシール3月トキメキデイズ1P</t>
    <rPh sb="5" eb="6">
      <t>ガツ</t>
    </rPh>
    <phoneticPr fontId="1"/>
  </si>
  <si>
    <t>セシール3月トキメキデイズ２色組</t>
    <rPh sb="5" eb="6">
      <t>ガツ</t>
    </rPh>
    <rPh sb="14" eb="15">
      <t>ショク</t>
    </rPh>
    <rPh sb="15" eb="16">
      <t>グミ</t>
    </rPh>
    <phoneticPr fontId="1"/>
  </si>
  <si>
    <t>2/中旬～</t>
    <rPh sb="2" eb="4">
      <t>チュウジュン</t>
    </rPh>
    <phoneticPr fontId="1"/>
  </si>
  <si>
    <t>JOD㊹</t>
    <phoneticPr fontId="1"/>
  </si>
  <si>
    <t>セシール12月トキメキデイズ1P裏表紙⑥</t>
    <rPh sb="6" eb="7">
      <t>ガツ</t>
    </rPh>
    <rPh sb="16" eb="17">
      <t>ウラ</t>
    </rPh>
    <rPh sb="17" eb="19">
      <t>ヒョウシ</t>
    </rPh>
    <phoneticPr fontId="1"/>
  </si>
  <si>
    <t>ＩＥＩサンプル</t>
    <phoneticPr fontId="1"/>
  </si>
  <si>
    <t>JOD㊺</t>
    <phoneticPr fontId="1"/>
  </si>
  <si>
    <t>JODサンプル返却</t>
    <rPh sb="7" eb="9">
      <t>ヘンキャク</t>
    </rPh>
    <phoneticPr fontId="1"/>
  </si>
  <si>
    <t>コープさっぽろ1-1ｗ①</t>
    <phoneticPr fontId="1"/>
  </si>
  <si>
    <t>千趣会⑪</t>
    <rPh sb="0" eb="3">
      <t>センシュカイ</t>
    </rPh>
    <phoneticPr fontId="1"/>
  </si>
  <si>
    <t>ネット</t>
    <phoneticPr fontId="1"/>
  </si>
  <si>
    <t>JOD㊻</t>
    <phoneticPr fontId="1"/>
  </si>
  <si>
    <t>初回2/10、アバウト2/24、最終3/3</t>
    <rPh sb="0" eb="2">
      <t>ショカイ</t>
    </rPh>
    <rPh sb="16" eb="18">
      <t>サイシュウ</t>
    </rPh>
    <phoneticPr fontId="1"/>
  </si>
  <si>
    <t>JOD㊼</t>
    <phoneticPr fontId="1"/>
  </si>
  <si>
    <t>かりん㉜</t>
    <phoneticPr fontId="1"/>
  </si>
  <si>
    <t>JOD㊽</t>
    <phoneticPr fontId="1"/>
  </si>
  <si>
    <t>KPORT</t>
    <phoneticPr fontId="1"/>
  </si>
  <si>
    <t>JOD㊾</t>
    <phoneticPr fontId="1"/>
  </si>
  <si>
    <t>きなり4月3回</t>
    <rPh sb="4" eb="5">
      <t>ガツ</t>
    </rPh>
    <rPh sb="6" eb="7">
      <t>カイ</t>
    </rPh>
    <phoneticPr fontId="1"/>
  </si>
  <si>
    <t>アバウト・初回4/14、最終4/20</t>
    <rPh sb="5" eb="7">
      <t>ショカイ</t>
    </rPh>
    <rPh sb="12" eb="14">
      <t>サイシュウ</t>
    </rPh>
    <phoneticPr fontId="1"/>
  </si>
  <si>
    <t>コープきんき1月3回②</t>
    <rPh sb="7" eb="8">
      <t>ガツ</t>
    </rPh>
    <rPh sb="9" eb="10">
      <t>カイ</t>
    </rPh>
    <phoneticPr fontId="1"/>
  </si>
  <si>
    <t>JOD50</t>
    <phoneticPr fontId="1"/>
  </si>
  <si>
    <t>丸藤sample返却</t>
    <rPh sb="0" eb="2">
      <t>マルフジ</t>
    </rPh>
    <rPh sb="8" eb="10">
      <t>ヘンキャク</t>
    </rPh>
    <phoneticPr fontId="1"/>
  </si>
  <si>
    <t>ニッセン⑰</t>
    <phoneticPr fontId="1"/>
  </si>
  <si>
    <t>JOD51</t>
    <phoneticPr fontId="1"/>
  </si>
  <si>
    <t>グリーンコープ2号</t>
    <rPh sb="8" eb="9">
      <t>ゴウ</t>
    </rPh>
    <phoneticPr fontId="1"/>
  </si>
  <si>
    <t>ディノス撮影用sample</t>
    <rPh sb="4" eb="6">
      <t>サツエイ</t>
    </rPh>
    <rPh sb="6" eb="7">
      <t>ヨウ</t>
    </rPh>
    <phoneticPr fontId="1"/>
  </si>
  <si>
    <t>2/12発刊</t>
    <rPh sb="4" eb="6">
      <t>ハッカン</t>
    </rPh>
    <phoneticPr fontId="1"/>
  </si>
  <si>
    <t>ディノスUP　PLUS（ブラウンのみ）</t>
    <phoneticPr fontId="1"/>
  </si>
  <si>
    <t>JOD52</t>
    <phoneticPr fontId="1"/>
  </si>
  <si>
    <t>コープきんき1月3回③</t>
    <rPh sb="7" eb="8">
      <t>ガツ</t>
    </rPh>
    <rPh sb="9" eb="10">
      <t>カイ</t>
    </rPh>
    <phoneticPr fontId="1"/>
  </si>
  <si>
    <t>くらし企画（事前点検用）</t>
    <rPh sb="3" eb="5">
      <t>キカク</t>
    </rPh>
    <rPh sb="6" eb="11">
      <t>ジゼンテンケンヨウ</t>
    </rPh>
    <phoneticPr fontId="1"/>
  </si>
  <si>
    <t>JOD53</t>
    <phoneticPr fontId="1"/>
  </si>
  <si>
    <t>ニッセン⑱</t>
    <phoneticPr fontId="1"/>
  </si>
  <si>
    <t>セシール色合わせ用サンプル返却</t>
    <rPh sb="4" eb="6">
      <t>イロア</t>
    </rPh>
    <rPh sb="8" eb="9">
      <t>ヨウ</t>
    </rPh>
    <rPh sb="13" eb="15">
      <t>ヘンキャク</t>
    </rPh>
    <phoneticPr fontId="1"/>
  </si>
  <si>
    <t>JOD54</t>
    <phoneticPr fontId="1"/>
  </si>
  <si>
    <t>点3/23、アバウト3/30、本4/2、5</t>
    <rPh sb="0" eb="1">
      <t>テン</t>
    </rPh>
    <rPh sb="15" eb="16">
      <t>ホン</t>
    </rPh>
    <phoneticPr fontId="1"/>
  </si>
  <si>
    <t>2/1まで</t>
    <phoneticPr fontId="1"/>
  </si>
  <si>
    <t>ニッセン⑲</t>
    <phoneticPr fontId="1"/>
  </si>
  <si>
    <t>4/12～</t>
    <phoneticPr fontId="1"/>
  </si>
  <si>
    <t>IEI　2色組2セット　4月号</t>
    <rPh sb="5" eb="6">
      <t>ショク</t>
    </rPh>
    <rPh sb="6" eb="7">
      <t>クミ</t>
    </rPh>
    <rPh sb="13" eb="15">
      <t>ガツゴウ</t>
    </rPh>
    <phoneticPr fontId="1"/>
  </si>
  <si>
    <t>オバタ返品</t>
    <rPh sb="3" eb="5">
      <t>ヘンピン</t>
    </rPh>
    <phoneticPr fontId="1"/>
  </si>
  <si>
    <t>JOD55</t>
    <phoneticPr fontId="1"/>
  </si>
  <si>
    <t>コープきんき2月4回【限定】①</t>
    <rPh sb="7" eb="8">
      <t>ガツ</t>
    </rPh>
    <rPh sb="9" eb="10">
      <t>カイ</t>
    </rPh>
    <rPh sb="11" eb="13">
      <t>ゲンテイ</t>
    </rPh>
    <phoneticPr fontId="1"/>
  </si>
  <si>
    <t>JOD56</t>
    <phoneticPr fontId="1"/>
  </si>
  <si>
    <t>コープデリ3-1ｗ（限定）分①</t>
    <rPh sb="10" eb="12">
      <t>ゲンテイ</t>
    </rPh>
    <rPh sb="13" eb="14">
      <t>ブン</t>
    </rPh>
    <phoneticPr fontId="1"/>
  </si>
  <si>
    <t>ニッセン⑳</t>
    <phoneticPr fontId="1"/>
  </si>
  <si>
    <t>ディノスselect8（同色2枚）⑫</t>
    <rPh sb="12" eb="14">
      <t>ドウショク</t>
    </rPh>
    <rPh sb="15" eb="16">
      <t>マイ</t>
    </rPh>
    <phoneticPr fontId="1"/>
  </si>
  <si>
    <t>かりん㉝</t>
    <phoneticPr fontId="1"/>
  </si>
  <si>
    <t>夢販</t>
    <rPh sb="0" eb="2">
      <t>ユメハン</t>
    </rPh>
    <phoneticPr fontId="1"/>
  </si>
  <si>
    <t>JOD57</t>
    <phoneticPr fontId="1"/>
  </si>
  <si>
    <t>KPORT</t>
    <phoneticPr fontId="1"/>
  </si>
  <si>
    <t>ディノスselect9（同色2枚）継続</t>
    <rPh sb="12" eb="14">
      <t>ドウショク</t>
    </rPh>
    <rPh sb="15" eb="16">
      <t>マイ</t>
    </rPh>
    <rPh sb="17" eb="19">
      <t>ケイゾク</t>
    </rPh>
    <phoneticPr fontId="1"/>
  </si>
  <si>
    <t>5/10～2022/3/31</t>
    <phoneticPr fontId="1"/>
  </si>
  <si>
    <t>コープさっぽろ4-4ｗ</t>
    <phoneticPr fontId="1"/>
  </si>
  <si>
    <t>コープさっぽろ2-3ｗ①</t>
    <phoneticPr fontId="1"/>
  </si>
  <si>
    <t>かりん㉞</t>
    <phoneticPr fontId="1"/>
  </si>
  <si>
    <t>コープデリ3-1ｗ（限定）分②</t>
    <rPh sb="10" eb="12">
      <t>ゲンテイ</t>
    </rPh>
    <rPh sb="13" eb="14">
      <t>ブン</t>
    </rPh>
    <phoneticPr fontId="1"/>
  </si>
  <si>
    <t>ニッセン㉑</t>
    <phoneticPr fontId="1"/>
  </si>
  <si>
    <t>セシール5月トキメキデイズ1P</t>
    <rPh sb="5" eb="6">
      <t>ガツ</t>
    </rPh>
    <phoneticPr fontId="1"/>
  </si>
  <si>
    <t>セシール5月トキメキデイズ２色組</t>
    <rPh sb="5" eb="6">
      <t>ガツ</t>
    </rPh>
    <rPh sb="14" eb="15">
      <t>ショク</t>
    </rPh>
    <rPh sb="15" eb="16">
      <t>グミ</t>
    </rPh>
    <phoneticPr fontId="1"/>
  </si>
  <si>
    <t>4月中旬～</t>
    <rPh sb="1" eb="2">
      <t>ガツ</t>
    </rPh>
    <rPh sb="2" eb="4">
      <t>チュウジュン</t>
    </rPh>
    <phoneticPr fontId="1"/>
  </si>
  <si>
    <t>JOD58</t>
    <phoneticPr fontId="1"/>
  </si>
  <si>
    <t>JOD59</t>
    <phoneticPr fontId="1"/>
  </si>
  <si>
    <t>コープきんき2月4回【限定】②</t>
    <rPh sb="7" eb="8">
      <t>ガツ</t>
    </rPh>
    <rPh sb="9" eb="10">
      <t>カイ</t>
    </rPh>
    <rPh sb="11" eb="13">
      <t>ゲンテイ</t>
    </rPh>
    <phoneticPr fontId="1"/>
  </si>
  <si>
    <t>かりん㉟</t>
    <phoneticPr fontId="1"/>
  </si>
  <si>
    <t>コープきんき5-4ｗ</t>
    <phoneticPr fontId="1"/>
  </si>
  <si>
    <t>コープデリ3-1ｗ（限定）分③</t>
    <rPh sb="10" eb="12">
      <t>ゲンテイ</t>
    </rPh>
    <rPh sb="13" eb="14">
      <t>ブン</t>
    </rPh>
    <phoneticPr fontId="1"/>
  </si>
  <si>
    <t>JOD60</t>
    <phoneticPr fontId="1"/>
  </si>
  <si>
    <t>JOD61</t>
    <phoneticPr fontId="1"/>
  </si>
  <si>
    <t>JOD62</t>
    <phoneticPr fontId="1"/>
  </si>
  <si>
    <t>東北サンネット3-3ｗ①</t>
    <rPh sb="0" eb="2">
      <t>トウホク</t>
    </rPh>
    <phoneticPr fontId="1"/>
  </si>
  <si>
    <t>再納品分東北サンネット3-3ｗ①</t>
    <rPh sb="0" eb="3">
      <t>サイノウヒン</t>
    </rPh>
    <rPh sb="3" eb="4">
      <t>ブン</t>
    </rPh>
    <rPh sb="4" eb="6">
      <t>トウホク</t>
    </rPh>
    <phoneticPr fontId="1"/>
  </si>
  <si>
    <t>誤送分返品</t>
    <rPh sb="0" eb="3">
      <t>ゴソウブン</t>
    </rPh>
    <rPh sb="3" eb="5">
      <t>ヘンピン</t>
    </rPh>
    <phoneticPr fontId="1"/>
  </si>
  <si>
    <t>東北サンネット3-3ｗ②</t>
    <rPh sb="0" eb="2">
      <t>トウホク</t>
    </rPh>
    <phoneticPr fontId="1"/>
  </si>
  <si>
    <t>くらしサンプル返却</t>
    <rPh sb="7" eb="9">
      <t>ヘンキャク</t>
    </rPh>
    <phoneticPr fontId="1"/>
  </si>
  <si>
    <t>点5/6、アバウト5/18、本5/19～29</t>
    <rPh sb="0" eb="1">
      <t>テン</t>
    </rPh>
    <rPh sb="14" eb="15">
      <t>ホン</t>
    </rPh>
    <phoneticPr fontId="1"/>
  </si>
  <si>
    <t>セシール3月トキメキデイズ1P①</t>
    <rPh sb="5" eb="6">
      <t>ガツ</t>
    </rPh>
    <phoneticPr fontId="1"/>
  </si>
  <si>
    <t>きなり4月3回①</t>
    <rPh sb="4" eb="5">
      <t>ガツ</t>
    </rPh>
    <rPh sb="6" eb="7">
      <t>カイ</t>
    </rPh>
    <phoneticPr fontId="1"/>
  </si>
  <si>
    <t>グリーンコープ2号①</t>
    <rPh sb="8" eb="9">
      <t>ゴウ</t>
    </rPh>
    <phoneticPr fontId="1"/>
  </si>
  <si>
    <t>KPORT</t>
    <phoneticPr fontId="1"/>
  </si>
  <si>
    <t>コープさっぽろ6-3ｗ</t>
    <phoneticPr fontId="1"/>
  </si>
  <si>
    <t>6/11、6/15</t>
    <phoneticPr fontId="1"/>
  </si>
  <si>
    <t>4/16、/4/20</t>
    <phoneticPr fontId="1"/>
  </si>
  <si>
    <t>かりん㊱</t>
    <phoneticPr fontId="1"/>
  </si>
  <si>
    <t>グリーンコープ2号②</t>
    <rPh sb="8" eb="9">
      <t>ゴウ</t>
    </rPh>
    <phoneticPr fontId="1"/>
  </si>
  <si>
    <t>グリーンコープ2号③</t>
    <rPh sb="8" eb="9">
      <t>ゴウ</t>
    </rPh>
    <phoneticPr fontId="1"/>
  </si>
  <si>
    <t>IEI　2色組2セット　4月号①</t>
    <rPh sb="5" eb="6">
      <t>ショク</t>
    </rPh>
    <rPh sb="6" eb="7">
      <t>クミ</t>
    </rPh>
    <rPh sb="13" eb="15">
      <t>ガツゴウ</t>
    </rPh>
    <phoneticPr fontId="1"/>
  </si>
  <si>
    <t>ＩＥＩサンプル返却</t>
    <rPh sb="7" eb="9">
      <t>ヘンキャク</t>
    </rPh>
    <phoneticPr fontId="1"/>
  </si>
  <si>
    <t>かりん㊲</t>
    <phoneticPr fontId="1"/>
  </si>
  <si>
    <t>夢販</t>
    <rPh sb="0" eb="2">
      <t>ユメハン</t>
    </rPh>
    <phoneticPr fontId="1"/>
  </si>
  <si>
    <t>きなり4月3回②</t>
    <rPh sb="4" eb="5">
      <t>ガツ</t>
    </rPh>
    <rPh sb="6" eb="7">
      <t>カイ</t>
    </rPh>
    <phoneticPr fontId="1"/>
  </si>
  <si>
    <t>コープさっぽろ4-4ｗ①</t>
    <phoneticPr fontId="1"/>
  </si>
  <si>
    <t>サクラマチ（高田さん）sample</t>
    <rPh sb="6" eb="8">
      <t>タカダ</t>
    </rPh>
    <phoneticPr fontId="1"/>
  </si>
  <si>
    <t>大阪いずみ生協6-5ｗ</t>
    <rPh sb="0" eb="2">
      <t>オオサカ</t>
    </rPh>
    <rPh sb="5" eb="7">
      <t>セイキョウ</t>
    </rPh>
    <phoneticPr fontId="1"/>
  </si>
  <si>
    <t>きなり4月3回③</t>
    <rPh sb="4" eb="5">
      <t>ガツ</t>
    </rPh>
    <rPh sb="6" eb="7">
      <t>カイ</t>
    </rPh>
    <phoneticPr fontId="1"/>
  </si>
  <si>
    <t>コープさっぽろ4-4ｗ②</t>
    <phoneticPr fontId="1"/>
  </si>
  <si>
    <t>セシール5月トキメキデイズ1P①</t>
    <rPh sb="5" eb="6">
      <t>ガツ</t>
    </rPh>
    <phoneticPr fontId="1"/>
  </si>
  <si>
    <t>セシール5月トキメキデイズ２色組①</t>
    <rPh sb="5" eb="6">
      <t>ガツ</t>
    </rPh>
    <rPh sb="14" eb="15">
      <t>ショク</t>
    </rPh>
    <rPh sb="15" eb="16">
      <t>グミ</t>
    </rPh>
    <phoneticPr fontId="1"/>
  </si>
  <si>
    <t>IEI　2色組2セット　4月号②</t>
    <rPh sb="5" eb="6">
      <t>ショク</t>
    </rPh>
    <rPh sb="6" eb="7">
      <t>クミ</t>
    </rPh>
    <rPh sb="13" eb="15">
      <t>ガツゴウ</t>
    </rPh>
    <phoneticPr fontId="1"/>
  </si>
  <si>
    <t>コープきんき5-4ｗ①</t>
    <phoneticPr fontId="1"/>
  </si>
  <si>
    <t>セシール5月トキメキデイズ1P②</t>
    <rPh sb="5" eb="6">
      <t>ガツ</t>
    </rPh>
    <phoneticPr fontId="1"/>
  </si>
  <si>
    <t>セシール5月トキメキデイズ２色組②</t>
    <rPh sb="5" eb="6">
      <t>ガツ</t>
    </rPh>
    <rPh sb="14" eb="15">
      <t>ショク</t>
    </rPh>
    <rPh sb="15" eb="16">
      <t>グミ</t>
    </rPh>
    <phoneticPr fontId="1"/>
  </si>
  <si>
    <t>かりん㊳</t>
    <phoneticPr fontId="1"/>
  </si>
  <si>
    <t>夢販</t>
    <rPh sb="0" eb="2">
      <t>ユメハン</t>
    </rPh>
    <phoneticPr fontId="1"/>
  </si>
  <si>
    <t>かりん㊴</t>
    <phoneticPr fontId="1"/>
  </si>
  <si>
    <t>かりん㊵</t>
    <phoneticPr fontId="1"/>
  </si>
  <si>
    <t>ディノスselect9（同色2枚）継続⑬</t>
    <rPh sb="12" eb="14">
      <t>ドウショク</t>
    </rPh>
    <rPh sb="15" eb="16">
      <t>マイ</t>
    </rPh>
    <rPh sb="17" eb="19">
      <t>ケイゾク</t>
    </rPh>
    <phoneticPr fontId="1"/>
  </si>
  <si>
    <t>千趣会⑫</t>
    <rPh sb="0" eb="3">
      <t>センシュカイ</t>
    </rPh>
    <phoneticPr fontId="1"/>
  </si>
  <si>
    <t>コープきんき5-4ｗ②</t>
    <phoneticPr fontId="1"/>
  </si>
  <si>
    <t>6/24～7/15（1～20回）</t>
    <rPh sb="14" eb="15">
      <t>カイ</t>
    </rPh>
    <phoneticPr fontId="1"/>
  </si>
  <si>
    <t>コープきんき9-3ｗ</t>
    <phoneticPr fontId="1"/>
  </si>
  <si>
    <t>ニッセン㉒</t>
    <phoneticPr fontId="1"/>
  </si>
  <si>
    <t>かりん㊶</t>
    <phoneticPr fontId="1"/>
  </si>
  <si>
    <t>かりん㊷</t>
    <phoneticPr fontId="1"/>
  </si>
  <si>
    <t>かりん㊸</t>
    <phoneticPr fontId="1"/>
  </si>
  <si>
    <t>コープさっぽろ6-3ｗ①</t>
    <phoneticPr fontId="1"/>
  </si>
  <si>
    <t>セシール</t>
    <phoneticPr fontId="1"/>
  </si>
  <si>
    <t>コープさっぽろ6-3ｗ②</t>
    <phoneticPr fontId="1"/>
  </si>
  <si>
    <t>コープさっぽろ9-1ｗ</t>
    <phoneticPr fontId="1"/>
  </si>
  <si>
    <t>8/27、8/31</t>
    <phoneticPr fontId="1"/>
  </si>
  <si>
    <t>JOD</t>
    <phoneticPr fontId="1"/>
  </si>
  <si>
    <t>大阪いずみ生協6-5ｗ①</t>
    <rPh sb="0" eb="2">
      <t>オオサカ</t>
    </rPh>
    <rPh sb="5" eb="7">
      <t>セイキョウ</t>
    </rPh>
    <phoneticPr fontId="1"/>
  </si>
  <si>
    <t>かりん㊹</t>
    <phoneticPr fontId="1"/>
  </si>
  <si>
    <t>大阪いずみ生協6-5ｗ②</t>
    <rPh sb="0" eb="2">
      <t>オオサカ</t>
    </rPh>
    <rPh sb="5" eb="7">
      <t>セイキョウ</t>
    </rPh>
    <phoneticPr fontId="1"/>
  </si>
  <si>
    <t>かりん㊺</t>
    <phoneticPr fontId="1"/>
  </si>
  <si>
    <t>電話注文</t>
    <rPh sb="0" eb="2">
      <t>デンワ</t>
    </rPh>
    <rPh sb="2" eb="4">
      <t>チュウモン</t>
    </rPh>
    <phoneticPr fontId="1"/>
  </si>
  <si>
    <t>点8/26、アバウト9/7、本9/8～9/18</t>
    <rPh sb="0" eb="1">
      <t>テン</t>
    </rPh>
    <rPh sb="14" eb="15">
      <t>ホン</t>
    </rPh>
    <phoneticPr fontId="1"/>
  </si>
  <si>
    <t>ネット</t>
  </si>
  <si>
    <t>大阪いずみ生協6-5ｗ③</t>
    <rPh sb="0" eb="2">
      <t>オオサカ</t>
    </rPh>
    <rPh sb="5" eb="7">
      <t>セイキョウ</t>
    </rPh>
    <phoneticPr fontId="1"/>
  </si>
  <si>
    <t>ディノスselect9（同色2枚）継続⑭</t>
    <rPh sb="12" eb="14">
      <t>ドウショク</t>
    </rPh>
    <rPh sb="15" eb="16">
      <t>マイ</t>
    </rPh>
    <rPh sb="17" eb="19">
      <t>ケイゾク</t>
    </rPh>
    <phoneticPr fontId="1"/>
  </si>
  <si>
    <t>ディノスselect9（同色2枚）継続⑮</t>
    <rPh sb="12" eb="14">
      <t>ドウショク</t>
    </rPh>
    <rPh sb="15" eb="16">
      <t>マイ</t>
    </rPh>
    <rPh sb="17" eb="19">
      <t>ケイゾク</t>
    </rPh>
    <phoneticPr fontId="1"/>
  </si>
  <si>
    <t>大阪いずみ生協6-5ｗ④</t>
    <rPh sb="0" eb="2">
      <t>オオサカ</t>
    </rPh>
    <rPh sb="5" eb="7">
      <t>セイキョウ</t>
    </rPh>
    <phoneticPr fontId="1"/>
  </si>
  <si>
    <t>ディノスselect10（同色2枚）継続</t>
    <rPh sb="13" eb="15">
      <t>ドウショク</t>
    </rPh>
    <rPh sb="16" eb="17">
      <t>マイ</t>
    </rPh>
    <rPh sb="18" eb="20">
      <t>ケイゾク</t>
    </rPh>
    <phoneticPr fontId="1"/>
  </si>
  <si>
    <t>ディノスselect9秋冬（同色2枚）継続</t>
    <rPh sb="11" eb="13">
      <t>アキフユ</t>
    </rPh>
    <rPh sb="14" eb="16">
      <t>ドウショク</t>
    </rPh>
    <rPh sb="17" eb="18">
      <t>マイ</t>
    </rPh>
    <rPh sb="19" eb="21">
      <t>ケイゾク</t>
    </rPh>
    <phoneticPr fontId="1"/>
  </si>
  <si>
    <t>10/10～</t>
    <phoneticPr fontId="1"/>
  </si>
  <si>
    <t>8/中～</t>
    <rPh sb="2" eb="3">
      <t>ナカ</t>
    </rPh>
    <phoneticPr fontId="1"/>
  </si>
  <si>
    <t>夢販</t>
    <rPh sb="0" eb="2">
      <t>ユメハン</t>
    </rPh>
    <phoneticPr fontId="1"/>
  </si>
  <si>
    <t>コープデリ10-4ｗ【限定】</t>
    <rPh sb="11" eb="13">
      <t>ゲンテイ</t>
    </rPh>
    <phoneticPr fontId="1"/>
  </si>
  <si>
    <t>かりん㊻</t>
    <phoneticPr fontId="1"/>
  </si>
  <si>
    <t>IEI返品</t>
    <rPh sb="3" eb="5">
      <t>ヘンピン</t>
    </rPh>
    <phoneticPr fontId="1"/>
  </si>
  <si>
    <t>ニッセン㉓</t>
    <phoneticPr fontId="1"/>
  </si>
  <si>
    <t>ディノスselect9（同色2枚）継続⑯</t>
    <rPh sb="12" eb="14">
      <t>ドウショク</t>
    </rPh>
    <rPh sb="15" eb="16">
      <t>マイ</t>
    </rPh>
    <rPh sb="17" eb="19">
      <t>ケイゾク</t>
    </rPh>
    <phoneticPr fontId="1"/>
  </si>
  <si>
    <t>ディノスselect9（同色2枚）継続⑰</t>
    <rPh sb="12" eb="14">
      <t>ドウショク</t>
    </rPh>
    <rPh sb="15" eb="16">
      <t>マイ</t>
    </rPh>
    <rPh sb="17" eb="19">
      <t>ケイゾク</t>
    </rPh>
    <phoneticPr fontId="1"/>
  </si>
  <si>
    <t>かりん㊼</t>
    <phoneticPr fontId="1"/>
  </si>
  <si>
    <t>コープきんき9-3ｗ①</t>
    <phoneticPr fontId="1"/>
  </si>
  <si>
    <t>かりん㊽</t>
    <phoneticPr fontId="1"/>
  </si>
  <si>
    <t>ディノスselect9（同色2枚）継続⑱</t>
    <rPh sb="12" eb="14">
      <t>ドウショク</t>
    </rPh>
    <rPh sb="15" eb="16">
      <t>マイ</t>
    </rPh>
    <rPh sb="17" eb="19">
      <t>ケイゾク</t>
    </rPh>
    <phoneticPr fontId="1"/>
  </si>
  <si>
    <t>コープさっぽろ9-1ｗ①</t>
    <phoneticPr fontId="1"/>
  </si>
  <si>
    <t>初回10/6、アバウト10/19、本10/20～25</t>
    <rPh sb="0" eb="2">
      <t>ショカイ</t>
    </rPh>
    <rPh sb="17" eb="18">
      <t>ホン</t>
    </rPh>
    <phoneticPr fontId="1"/>
  </si>
  <si>
    <t>ディノスselect9（同色2枚）継続⑲</t>
    <rPh sb="12" eb="14">
      <t>ドウショク</t>
    </rPh>
    <rPh sb="15" eb="16">
      <t>マイ</t>
    </rPh>
    <rPh sb="17" eb="19">
      <t>ケイゾク</t>
    </rPh>
    <phoneticPr fontId="1"/>
  </si>
  <si>
    <t>夢販</t>
    <rPh sb="0" eb="2">
      <t>ユメハン</t>
    </rPh>
    <phoneticPr fontId="1"/>
  </si>
  <si>
    <t>ノースモール10月号</t>
    <rPh sb="8" eb="10">
      <t>ガツゴウ</t>
    </rPh>
    <phoneticPr fontId="1"/>
  </si>
  <si>
    <t>かりん㊾</t>
    <phoneticPr fontId="1"/>
  </si>
  <si>
    <t>かりん50</t>
    <phoneticPr fontId="1"/>
  </si>
  <si>
    <t>かりん51</t>
    <phoneticPr fontId="1"/>
  </si>
  <si>
    <t>コープデリ10-4ｗ【限定】①</t>
    <rPh sb="11" eb="13">
      <t>ゲンテイ</t>
    </rPh>
    <phoneticPr fontId="1"/>
  </si>
  <si>
    <t>グリーンコープ39号（丸藤）</t>
    <rPh sb="9" eb="10">
      <t>ゴウ</t>
    </rPh>
    <rPh sb="11" eb="13">
      <t>マルフジ</t>
    </rPh>
    <phoneticPr fontId="1"/>
  </si>
  <si>
    <t>点12/7、アバウト12/14、本12/16、20</t>
    <rPh sb="0" eb="1">
      <t>テン</t>
    </rPh>
    <rPh sb="16" eb="17">
      <t>ホン</t>
    </rPh>
    <phoneticPr fontId="1"/>
  </si>
  <si>
    <t>ディノスselect9（同色2枚）継続⑳</t>
    <rPh sb="12" eb="14">
      <t>ドウショク</t>
    </rPh>
    <rPh sb="15" eb="16">
      <t>マイ</t>
    </rPh>
    <rPh sb="17" eb="19">
      <t>ケイゾク</t>
    </rPh>
    <phoneticPr fontId="1"/>
  </si>
  <si>
    <t>夢販</t>
    <rPh sb="0" eb="2">
      <t>ユメハン</t>
    </rPh>
    <phoneticPr fontId="1"/>
  </si>
  <si>
    <t>かりん52</t>
    <phoneticPr fontId="1"/>
  </si>
  <si>
    <t>夢販</t>
    <rPh sb="0" eb="2">
      <t>ユメハン</t>
    </rPh>
    <phoneticPr fontId="1"/>
  </si>
  <si>
    <t>コープデリ10-4ｗ【限定】②</t>
    <rPh sb="11" eb="13">
      <t>ゲンテイ</t>
    </rPh>
    <phoneticPr fontId="1"/>
  </si>
  <si>
    <t>コープデリ10-4ｗ【限定】③</t>
    <rPh sb="11" eb="13">
      <t>ゲンテイ</t>
    </rPh>
    <phoneticPr fontId="1"/>
  </si>
  <si>
    <t>コープデリ10-4ｗ【限定】④</t>
    <rPh sb="11" eb="13">
      <t>ゲンテイ</t>
    </rPh>
    <phoneticPr fontId="1"/>
  </si>
  <si>
    <t>丸藤返品</t>
    <rPh sb="0" eb="4">
      <t>マルフジヘンピン</t>
    </rPh>
    <phoneticPr fontId="1"/>
  </si>
  <si>
    <t>コープデリ10-4ｗ【限定】⑤直送</t>
    <rPh sb="11" eb="13">
      <t>ゲンテイ</t>
    </rPh>
    <rPh sb="15" eb="17">
      <t>チョクソウ</t>
    </rPh>
    <phoneticPr fontId="1"/>
  </si>
  <si>
    <t>かりん53</t>
    <phoneticPr fontId="1"/>
  </si>
  <si>
    <t>かりん54</t>
    <phoneticPr fontId="1"/>
  </si>
  <si>
    <t>ニッセン返品</t>
    <rPh sb="4" eb="6">
      <t>ヘンピン</t>
    </rPh>
    <phoneticPr fontId="1"/>
  </si>
  <si>
    <t>かりん55</t>
    <phoneticPr fontId="1"/>
  </si>
  <si>
    <t>グリーンコープ39号（丸藤）①</t>
    <rPh sb="9" eb="10">
      <t>ゴウ</t>
    </rPh>
    <rPh sb="11" eb="13">
      <t>マルフジ</t>
    </rPh>
    <phoneticPr fontId="1"/>
  </si>
  <si>
    <t>かりん56</t>
    <phoneticPr fontId="1"/>
  </si>
  <si>
    <t>ディノスselect10春（同色2枚）継続</t>
    <rPh sb="12" eb="13">
      <t>ハル</t>
    </rPh>
    <rPh sb="14" eb="16">
      <t>ドウショク</t>
    </rPh>
    <rPh sb="17" eb="18">
      <t>マイ</t>
    </rPh>
    <rPh sb="19" eb="21">
      <t>ケイゾク</t>
    </rPh>
    <phoneticPr fontId="1"/>
  </si>
  <si>
    <t>グリーンコープ39号（丸藤）②</t>
    <rPh sb="9" eb="10">
      <t>ゴウ</t>
    </rPh>
    <rPh sb="11" eb="13">
      <t>マルフジ</t>
    </rPh>
    <phoneticPr fontId="1"/>
  </si>
  <si>
    <t>Amazon</t>
    <phoneticPr fontId="1"/>
  </si>
  <si>
    <t>グリーンコープ39号（丸藤）③</t>
    <rPh sb="9" eb="10">
      <t>ゴウ</t>
    </rPh>
    <rPh sb="11" eb="13">
      <t>マルフジ</t>
    </rPh>
    <phoneticPr fontId="1"/>
  </si>
  <si>
    <t>在庫確認</t>
    <rPh sb="0" eb="4">
      <t>ザイコカクニン</t>
    </rPh>
    <phoneticPr fontId="1"/>
  </si>
  <si>
    <t>夢販</t>
    <rPh sb="0" eb="2">
      <t>ユメハン</t>
    </rPh>
    <phoneticPr fontId="1"/>
  </si>
  <si>
    <t>Amazon</t>
    <phoneticPr fontId="1"/>
  </si>
  <si>
    <t>グリーンコープ39号（丸藤）④</t>
    <rPh sb="9" eb="10">
      <t>ゴウ</t>
    </rPh>
    <rPh sb="11" eb="13">
      <t>マルフジ</t>
    </rPh>
    <phoneticPr fontId="1"/>
  </si>
  <si>
    <t>かりん57</t>
    <phoneticPr fontId="1"/>
  </si>
  <si>
    <t>かりん58</t>
    <phoneticPr fontId="1"/>
  </si>
  <si>
    <t>Amazon</t>
    <phoneticPr fontId="1"/>
  </si>
  <si>
    <t>Amazon</t>
    <phoneticPr fontId="1"/>
  </si>
  <si>
    <t>かりん59</t>
    <phoneticPr fontId="1"/>
  </si>
  <si>
    <t>グリーンコープ直送</t>
    <rPh sb="7" eb="9">
      <t>チョクソウ</t>
    </rPh>
    <phoneticPr fontId="1"/>
  </si>
  <si>
    <t>かりん60</t>
    <phoneticPr fontId="1"/>
  </si>
  <si>
    <t>Amazon</t>
    <phoneticPr fontId="1"/>
  </si>
  <si>
    <t>かりん61</t>
    <phoneticPr fontId="1"/>
  </si>
  <si>
    <t>かりん62</t>
    <phoneticPr fontId="1"/>
  </si>
  <si>
    <t>大阪いずみ5-3ｗ</t>
    <rPh sb="0" eb="2">
      <t>オオサカ</t>
    </rPh>
    <phoneticPr fontId="1"/>
  </si>
  <si>
    <t>5/9～6/1（1～10回）</t>
    <rPh sb="12" eb="13">
      <t>カイ</t>
    </rPh>
    <phoneticPr fontId="1"/>
  </si>
  <si>
    <t>かりん63</t>
    <phoneticPr fontId="1"/>
  </si>
  <si>
    <t>Amazon</t>
    <phoneticPr fontId="1"/>
  </si>
  <si>
    <t>かりん64</t>
    <phoneticPr fontId="1"/>
  </si>
  <si>
    <t>大阪いずみ5-3ｗ①</t>
    <rPh sb="0" eb="2">
      <t>オオサカ</t>
    </rPh>
    <phoneticPr fontId="1"/>
  </si>
  <si>
    <t>大阪いずみ5-3ｗ②</t>
    <rPh sb="0" eb="2">
      <t>オオサカ</t>
    </rPh>
    <phoneticPr fontId="1"/>
  </si>
  <si>
    <t>かりん65</t>
    <phoneticPr fontId="1"/>
  </si>
  <si>
    <t>大阪いずみ5-3ｗ③</t>
    <rPh sb="0" eb="2">
      <t>オオサカ</t>
    </rPh>
    <phoneticPr fontId="1"/>
  </si>
  <si>
    <t>Amazon</t>
    <phoneticPr fontId="1"/>
  </si>
  <si>
    <t>大阪いずみ5-3ｗ④</t>
    <rPh sb="0" eb="2">
      <t>オオサカ</t>
    </rPh>
    <phoneticPr fontId="1"/>
  </si>
  <si>
    <t>かりん66</t>
    <phoneticPr fontId="1"/>
  </si>
  <si>
    <t>かりん66</t>
  </si>
  <si>
    <t>Amazon</t>
    <phoneticPr fontId="1"/>
  </si>
  <si>
    <t>夢販</t>
    <rPh sb="0" eb="2">
      <t>ユメハン</t>
    </rPh>
    <phoneticPr fontId="1"/>
  </si>
  <si>
    <t>かりん67</t>
    <phoneticPr fontId="1"/>
  </si>
  <si>
    <t>かりん68</t>
    <phoneticPr fontId="1"/>
  </si>
  <si>
    <t>オバタ直送</t>
    <rPh sb="3" eb="5">
      <t>チョクソウ</t>
    </rPh>
    <phoneticPr fontId="1"/>
  </si>
  <si>
    <t>ノースモール返品</t>
    <rPh sb="6" eb="8">
      <t>ヘンピン</t>
    </rPh>
    <phoneticPr fontId="1"/>
  </si>
  <si>
    <t>千趣会返品</t>
    <rPh sb="0" eb="3">
      <t>センシュカイ</t>
    </rPh>
    <rPh sb="3" eb="5">
      <t>ヘンピン</t>
    </rPh>
    <phoneticPr fontId="1"/>
  </si>
  <si>
    <t>K-PORT</t>
    <phoneticPr fontId="1"/>
  </si>
  <si>
    <t>夢販(千趣会シール分)</t>
    <rPh sb="0" eb="2">
      <t>ユメハン</t>
    </rPh>
    <rPh sb="3" eb="6">
      <t>センシュカイ</t>
    </rPh>
    <rPh sb="9" eb="10">
      <t>ブン</t>
    </rPh>
    <phoneticPr fontId="1"/>
  </si>
  <si>
    <t>不良品</t>
    <rPh sb="0" eb="3">
      <t>フリョウヒン</t>
    </rPh>
    <phoneticPr fontId="1"/>
  </si>
  <si>
    <t>かりん69</t>
    <phoneticPr fontId="1"/>
  </si>
  <si>
    <t>棚卸</t>
    <rPh sb="0" eb="2">
      <t>タナオロシ</t>
    </rPh>
    <phoneticPr fontId="1"/>
  </si>
  <si>
    <t>かりん70</t>
    <phoneticPr fontId="1"/>
  </si>
  <si>
    <t>夢販</t>
    <rPh sb="0" eb="2">
      <t>ユメハン</t>
    </rPh>
    <phoneticPr fontId="1"/>
  </si>
  <si>
    <t>Amazon</t>
    <phoneticPr fontId="1"/>
  </si>
  <si>
    <t>かりん71</t>
    <phoneticPr fontId="1"/>
  </si>
  <si>
    <t>かりん72</t>
    <phoneticPr fontId="1"/>
  </si>
  <si>
    <t>かりん73</t>
    <phoneticPr fontId="1"/>
  </si>
  <si>
    <t>かりん74</t>
    <phoneticPr fontId="1"/>
  </si>
  <si>
    <t>Amazon</t>
    <phoneticPr fontId="1"/>
  </si>
  <si>
    <t>アグライア</t>
    <phoneticPr fontId="1"/>
  </si>
  <si>
    <t>かりん75</t>
    <phoneticPr fontId="1"/>
  </si>
  <si>
    <t>Amazon</t>
    <phoneticPr fontId="1"/>
  </si>
  <si>
    <t>かりん76</t>
    <phoneticPr fontId="1"/>
  </si>
  <si>
    <t>Amazon</t>
    <phoneticPr fontId="1"/>
  </si>
  <si>
    <t>かりん77</t>
    <phoneticPr fontId="1"/>
  </si>
  <si>
    <t>Amazon</t>
    <phoneticPr fontId="1"/>
  </si>
  <si>
    <t>Amazon</t>
    <phoneticPr fontId="1"/>
  </si>
  <si>
    <t>かりん78</t>
    <phoneticPr fontId="1"/>
  </si>
  <si>
    <t>かりん79</t>
    <phoneticPr fontId="1"/>
  </si>
  <si>
    <t>Amazon</t>
    <phoneticPr fontId="1"/>
  </si>
  <si>
    <t>かりん80</t>
    <phoneticPr fontId="1"/>
  </si>
  <si>
    <t>アグライア京都みやこメッセ</t>
    <rPh sb="5" eb="7">
      <t>キョウト</t>
    </rPh>
    <phoneticPr fontId="1"/>
  </si>
  <si>
    <t>Amazon</t>
    <phoneticPr fontId="1"/>
  </si>
  <si>
    <t>かりん81</t>
    <phoneticPr fontId="1"/>
  </si>
  <si>
    <t>アグライア京都みやこメッセ返却</t>
    <rPh sb="5" eb="7">
      <t>キョウト</t>
    </rPh>
    <rPh sb="13" eb="15">
      <t>ヘンキャク</t>
    </rPh>
    <phoneticPr fontId="1"/>
  </si>
  <si>
    <t>オバタ直送</t>
    <rPh sb="3" eb="5">
      <t>チョクソウ</t>
    </rPh>
    <phoneticPr fontId="1"/>
  </si>
  <si>
    <t>かりん82</t>
    <phoneticPr fontId="1"/>
  </si>
  <si>
    <t>かりん83</t>
    <phoneticPr fontId="1"/>
  </si>
  <si>
    <t>Amazon</t>
    <phoneticPr fontId="1"/>
  </si>
  <si>
    <t>かりん84</t>
    <phoneticPr fontId="1"/>
  </si>
  <si>
    <t>Amazon</t>
    <phoneticPr fontId="1"/>
  </si>
  <si>
    <t>かりん85</t>
    <phoneticPr fontId="1"/>
  </si>
  <si>
    <t>かりん86</t>
  </si>
  <si>
    <t>Amazon</t>
    <phoneticPr fontId="1"/>
  </si>
  <si>
    <t>追加(ﾉｰｽﾓｰﾙｼｰﾙ分)</t>
    <rPh sb="0" eb="2">
      <t>ツイカ</t>
    </rPh>
    <phoneticPr fontId="1"/>
  </si>
  <si>
    <t>夢販(ﾉｰｽﾓｰﾙｼｰﾙ分)</t>
    <rPh sb="0" eb="2">
      <t>ユメハン</t>
    </rPh>
    <phoneticPr fontId="1"/>
  </si>
  <si>
    <t>かりん87</t>
    <phoneticPr fontId="1"/>
  </si>
  <si>
    <t>Amazon</t>
    <phoneticPr fontId="1"/>
  </si>
  <si>
    <t>かりん88</t>
    <phoneticPr fontId="1"/>
  </si>
  <si>
    <t>Amazon</t>
    <phoneticPr fontId="1"/>
  </si>
  <si>
    <t>かりん89</t>
    <phoneticPr fontId="1"/>
  </si>
  <si>
    <t>かりん90</t>
  </si>
  <si>
    <t>かりん91</t>
    <phoneticPr fontId="1"/>
  </si>
  <si>
    <t>かりん92</t>
    <phoneticPr fontId="1"/>
  </si>
  <si>
    <t>かりん93</t>
  </si>
  <si>
    <t>Amazon</t>
    <phoneticPr fontId="1"/>
  </si>
  <si>
    <t>Amazon</t>
    <phoneticPr fontId="1"/>
  </si>
  <si>
    <t>グリーンコープ17号</t>
    <rPh sb="9" eb="10">
      <t>ゴウ</t>
    </rPh>
    <phoneticPr fontId="1"/>
  </si>
  <si>
    <t>点7/4、アバウト7/11、本7/13、17</t>
    <rPh sb="0" eb="1">
      <t>テン</t>
    </rPh>
    <rPh sb="14" eb="15">
      <t>ホン</t>
    </rPh>
    <phoneticPr fontId="1"/>
  </si>
  <si>
    <t>かりん94</t>
    <phoneticPr fontId="1"/>
  </si>
  <si>
    <t>かりん95</t>
    <phoneticPr fontId="1"/>
  </si>
  <si>
    <t>オバタ直送</t>
    <rPh sb="3" eb="5">
      <t>チョクソウ</t>
    </rPh>
    <phoneticPr fontId="1"/>
  </si>
  <si>
    <t>Amazon</t>
    <phoneticPr fontId="1"/>
  </si>
  <si>
    <t>Amazon</t>
    <phoneticPr fontId="1"/>
  </si>
  <si>
    <t>Amazon</t>
    <phoneticPr fontId="1"/>
  </si>
  <si>
    <t>かりん96</t>
    <phoneticPr fontId="1"/>
  </si>
  <si>
    <t>Amazon</t>
    <phoneticPr fontId="1"/>
  </si>
  <si>
    <t>Amazon</t>
    <phoneticPr fontId="1"/>
  </si>
  <si>
    <t>グリーンコープ17号①</t>
    <rPh sb="9" eb="10">
      <t>ゴウ</t>
    </rPh>
    <phoneticPr fontId="1"/>
  </si>
  <si>
    <t>かりん97</t>
    <phoneticPr fontId="1"/>
  </si>
  <si>
    <t>グリーンコープ17号②</t>
    <rPh sb="9" eb="10">
      <t>ゴウ</t>
    </rPh>
    <phoneticPr fontId="1"/>
  </si>
  <si>
    <t>Amazon</t>
    <phoneticPr fontId="1"/>
  </si>
  <si>
    <t>グリーンコープ17号③</t>
    <rPh sb="9" eb="10">
      <t>ゴウ</t>
    </rPh>
    <phoneticPr fontId="1"/>
  </si>
  <si>
    <t>グリーンコープ17号④</t>
    <rPh sb="9" eb="10">
      <t>ゴウ</t>
    </rPh>
    <phoneticPr fontId="1"/>
  </si>
  <si>
    <t>かりん98</t>
    <phoneticPr fontId="1"/>
  </si>
  <si>
    <t>Amazon</t>
    <phoneticPr fontId="1"/>
  </si>
  <si>
    <t>かりん99</t>
    <phoneticPr fontId="1"/>
  </si>
  <si>
    <t>かりん100</t>
    <phoneticPr fontId="1"/>
  </si>
  <si>
    <t>丸藤返品</t>
    <rPh sb="0" eb="2">
      <t>マルフジ</t>
    </rPh>
    <rPh sb="2" eb="4">
      <t>ヘンピン</t>
    </rPh>
    <phoneticPr fontId="1"/>
  </si>
  <si>
    <t>電話注文品</t>
    <rPh sb="0" eb="5">
      <t>デンワチュウモンヒン</t>
    </rPh>
    <phoneticPr fontId="1"/>
  </si>
  <si>
    <t>Amazon</t>
    <phoneticPr fontId="1"/>
  </si>
  <si>
    <t>かりん</t>
    <phoneticPr fontId="1"/>
  </si>
  <si>
    <t>ネット</t>
    <phoneticPr fontId="1"/>
  </si>
  <si>
    <t>Amazon</t>
    <phoneticPr fontId="1"/>
  </si>
  <si>
    <t>かりん101</t>
    <phoneticPr fontId="1"/>
  </si>
  <si>
    <t>追加(千趣会ｼｰﾙ分)</t>
    <rPh sb="0" eb="2">
      <t>ツイカ</t>
    </rPh>
    <rPh sb="3" eb="6">
      <t>センシュカイ</t>
    </rPh>
    <rPh sb="9" eb="10">
      <t>ブン</t>
    </rPh>
    <phoneticPr fontId="1"/>
  </si>
  <si>
    <t>夢販(千趣会ｼｰﾙ分)</t>
    <rPh sb="0" eb="2">
      <t>ユメハン</t>
    </rPh>
    <phoneticPr fontId="1"/>
  </si>
  <si>
    <t>かりん102</t>
    <phoneticPr fontId="1"/>
  </si>
  <si>
    <t>かりん103</t>
  </si>
  <si>
    <t>Amazon</t>
    <phoneticPr fontId="1"/>
  </si>
  <si>
    <t>かりん104</t>
    <phoneticPr fontId="1"/>
  </si>
  <si>
    <t>電話注文</t>
    <rPh sb="0" eb="4">
      <t>デンワチュウモン</t>
    </rPh>
    <phoneticPr fontId="1"/>
  </si>
  <si>
    <t>Amazon</t>
    <phoneticPr fontId="1"/>
  </si>
  <si>
    <t>Amazon</t>
    <phoneticPr fontId="1"/>
  </si>
  <si>
    <t>夢販</t>
    <rPh sb="0" eb="2">
      <t>ユメハン</t>
    </rPh>
    <phoneticPr fontId="1"/>
  </si>
  <si>
    <t>Amazon</t>
    <phoneticPr fontId="1"/>
  </si>
  <si>
    <t>電話注文</t>
    <rPh sb="0" eb="4">
      <t>デンワチュウモン</t>
    </rPh>
    <phoneticPr fontId="1"/>
  </si>
  <si>
    <t>Amazon</t>
    <phoneticPr fontId="1"/>
  </si>
  <si>
    <t>Amazon</t>
    <phoneticPr fontId="1"/>
  </si>
  <si>
    <t>かりん</t>
    <phoneticPr fontId="1"/>
  </si>
  <si>
    <t>Amazon</t>
    <phoneticPr fontId="1"/>
  </si>
  <si>
    <t>夢販</t>
    <rPh sb="0" eb="2">
      <t>ユメハン</t>
    </rPh>
    <phoneticPr fontId="1"/>
  </si>
  <si>
    <t>かりん</t>
    <phoneticPr fontId="1"/>
  </si>
  <si>
    <t>かりん</t>
    <phoneticPr fontId="1"/>
  </si>
  <si>
    <t>ネット</t>
    <phoneticPr fontId="1"/>
  </si>
  <si>
    <t>夢販</t>
    <rPh sb="0" eb="2">
      <t>ユメハン</t>
    </rPh>
    <phoneticPr fontId="1"/>
  </si>
  <si>
    <t>かりん</t>
    <phoneticPr fontId="1"/>
  </si>
  <si>
    <t>ネット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</si>
</sst>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2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2" fillId="0" borderId="0" xfId="0" applyFont="1"/>
    <xf numFmtId="0" fontId="3" fillId="0" borderId="2" xfId="0" applyFont="1" applyBorder="1"/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7" xfId="0" applyBorder="1"/>
    <xf numFmtId="56" fontId="3" fillId="0" borderId="9" xfId="0" applyNumberFormat="1" applyFont="1" applyBorder="1" applyAlignment="1">
      <alignment horizontal="center"/>
    </xf>
    <xf numFmtId="56" fontId="0" fillId="0" borderId="9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56" fontId="5" fillId="0" borderId="4" xfId="0" applyNumberFormat="1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10" fillId="0" borderId="12" xfId="0" applyFont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3" fillId="0" borderId="21" xfId="0" applyFont="1" applyBorder="1"/>
    <xf numFmtId="0" fontId="10" fillId="0" borderId="22" xfId="0" applyFont="1" applyBorder="1"/>
    <xf numFmtId="0" fontId="5" fillId="0" borderId="20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6" fillId="0" borderId="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/>
    <xf numFmtId="0" fontId="10" fillId="0" borderId="21" xfId="0" applyFont="1" applyBorder="1"/>
    <xf numFmtId="56" fontId="0" fillId="0" borderId="4" xfId="0" applyNumberForma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56" fontId="0" fillId="0" borderId="27" xfId="0" applyNumberFormat="1" applyBorder="1" applyAlignment="1">
      <alignment horizontal="center"/>
    </xf>
    <xf numFmtId="0" fontId="10" fillId="0" borderId="17" xfId="0" applyFont="1" applyBorder="1"/>
    <xf numFmtId="0" fontId="10" fillId="0" borderId="23" xfId="0" applyFont="1" applyBorder="1"/>
    <xf numFmtId="0" fontId="10" fillId="0" borderId="18" xfId="0" applyFont="1" applyBorder="1"/>
    <xf numFmtId="56" fontId="0" fillId="0" borderId="28" xfId="0" applyNumberForma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56" fontId="10" fillId="0" borderId="9" xfId="0" applyNumberFormat="1" applyFont="1" applyBorder="1" applyAlignment="1">
      <alignment horizontal="center"/>
    </xf>
    <xf numFmtId="0" fontId="10" fillId="0" borderId="2" xfId="0" applyFont="1" applyBorder="1"/>
    <xf numFmtId="0" fontId="8" fillId="0" borderId="0" xfId="0" applyFont="1" applyAlignment="1">
      <alignment horizontal="center"/>
    </xf>
    <xf numFmtId="56" fontId="0" fillId="0" borderId="33" xfId="0" applyNumberFormat="1" applyBorder="1" applyAlignment="1">
      <alignment horizontal="center"/>
    </xf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56" fontId="3" fillId="0" borderId="0" xfId="0" applyNumberFormat="1" applyFont="1" applyAlignment="1">
      <alignment horizontal="left"/>
    </xf>
    <xf numFmtId="56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3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56" fontId="12" fillId="0" borderId="9" xfId="0" applyNumberFormat="1" applyFont="1" applyBorder="1" applyAlignment="1">
      <alignment horizontal="center"/>
    </xf>
    <xf numFmtId="0" fontId="7" fillId="0" borderId="0" xfId="0" applyFont="1"/>
    <xf numFmtId="56" fontId="0" fillId="0" borderId="9" xfId="0" applyNumberFormat="1" applyBorder="1" applyAlignment="1">
      <alignment horizontal="center" shrinkToFit="1"/>
    </xf>
    <xf numFmtId="56" fontId="4" fillId="0" borderId="9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56" fontId="0" fillId="0" borderId="0" xfId="0" applyNumberFormat="1"/>
    <xf numFmtId="56" fontId="10" fillId="0" borderId="4" xfId="0" applyNumberFormat="1" applyFont="1" applyBorder="1" applyAlignment="1">
      <alignment horizontal="center"/>
    </xf>
    <xf numFmtId="0" fontId="10" fillId="0" borderId="10" xfId="0" applyFont="1" applyBorder="1"/>
    <xf numFmtId="0" fontId="10" fillId="0" borderId="20" xfId="0" applyFont="1" applyBorder="1"/>
    <xf numFmtId="0" fontId="10" fillId="0" borderId="11" xfId="0" applyFont="1" applyBorder="1"/>
    <xf numFmtId="56" fontId="6" fillId="0" borderId="9" xfId="0" applyNumberFormat="1" applyFont="1" applyBorder="1" applyAlignment="1">
      <alignment horizontal="center"/>
    </xf>
    <xf numFmtId="56" fontId="6" fillId="0" borderId="9" xfId="0" applyNumberFormat="1" applyFont="1" applyBorder="1" applyAlignment="1">
      <alignment horizontal="center" shrinkToFit="1"/>
    </xf>
    <xf numFmtId="0" fontId="0" fillId="0" borderId="36" xfId="0" applyBorder="1"/>
    <xf numFmtId="0" fontId="0" fillId="0" borderId="34" xfId="0" applyBorder="1"/>
    <xf numFmtId="0" fontId="0" fillId="0" borderId="35" xfId="0" applyBorder="1"/>
    <xf numFmtId="0" fontId="10" fillId="0" borderId="8" xfId="0" applyFont="1" applyBorder="1"/>
    <xf numFmtId="0" fontId="10" fillId="0" borderId="7" xfId="0" applyFont="1" applyBorder="1"/>
    <xf numFmtId="0" fontId="5" fillId="0" borderId="25" xfId="0" applyFont="1" applyBorder="1"/>
    <xf numFmtId="0" fontId="5" fillId="0" borderId="37" xfId="0" applyFont="1" applyBorder="1"/>
    <xf numFmtId="0" fontId="5" fillId="0" borderId="15" xfId="0" applyFont="1" applyBorder="1"/>
    <xf numFmtId="0" fontId="0" fillId="0" borderId="13" xfId="0" applyBorder="1"/>
    <xf numFmtId="0" fontId="0" fillId="0" borderId="22" xfId="0" applyBorder="1"/>
    <xf numFmtId="0" fontId="0" fillId="0" borderId="14" xfId="0" applyBorder="1"/>
    <xf numFmtId="0" fontId="10" fillId="0" borderId="38" xfId="0" applyFont="1" applyBorder="1"/>
    <xf numFmtId="0" fontId="5" fillId="0" borderId="39" xfId="0" applyFont="1" applyBorder="1"/>
    <xf numFmtId="0" fontId="10" fillId="0" borderId="40" xfId="0" applyFont="1" applyBorder="1"/>
    <xf numFmtId="0" fontId="10" fillId="0" borderId="42" xfId="0" applyFont="1" applyBorder="1"/>
    <xf numFmtId="0" fontId="10" fillId="0" borderId="41" xfId="0" applyFont="1" applyBorder="1" applyAlignment="1">
      <alignment horizontal="center"/>
    </xf>
    <xf numFmtId="0" fontId="0" fillId="0" borderId="3" xfId="0" applyBorder="1" applyAlignment="1">
      <alignment horizontal="center" shrinkToFit="1"/>
    </xf>
    <xf numFmtId="56" fontId="7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/>
    <xf numFmtId="0" fontId="13" fillId="0" borderId="23" xfId="0" applyFont="1" applyBorder="1"/>
    <xf numFmtId="0" fontId="13" fillId="0" borderId="18" xfId="0" applyFont="1" applyBorder="1"/>
    <xf numFmtId="56" fontId="13" fillId="0" borderId="0" xfId="0" applyNumberFormat="1" applyFont="1" applyAlignment="1">
      <alignment horizontal="left"/>
    </xf>
    <xf numFmtId="0" fontId="14" fillId="0" borderId="4" xfId="1" applyFont="1" applyBorder="1" applyAlignment="1">
      <alignment horizontal="center" vertical="center"/>
    </xf>
    <xf numFmtId="0" fontId="14" fillId="0" borderId="1" xfId="0" applyFont="1" applyBorder="1"/>
    <xf numFmtId="0" fontId="14" fillId="0" borderId="21" xfId="0" applyFont="1" applyBorder="1"/>
    <xf numFmtId="0" fontId="14" fillId="0" borderId="2" xfId="0" applyFont="1" applyBorder="1"/>
    <xf numFmtId="56" fontId="14" fillId="0" borderId="0" xfId="0" applyNumberFormat="1" applyFont="1" applyAlignment="1">
      <alignment horizontal="left"/>
    </xf>
    <xf numFmtId="0" fontId="15" fillId="0" borderId="3" xfId="0" applyFont="1" applyBorder="1" applyAlignment="1">
      <alignment horizontal="center"/>
    </xf>
    <xf numFmtId="0" fontId="15" fillId="0" borderId="1" xfId="0" applyFont="1" applyBorder="1"/>
    <xf numFmtId="0" fontId="15" fillId="0" borderId="21" xfId="0" applyFont="1" applyBorder="1"/>
    <xf numFmtId="0" fontId="15" fillId="0" borderId="2" xfId="0" applyFont="1" applyBorder="1"/>
    <xf numFmtId="56" fontId="15" fillId="0" borderId="0" xfId="0" applyNumberFormat="1" applyFont="1" applyAlignment="1">
      <alignment horizontal="left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/>
    <xf numFmtId="0" fontId="0" fillId="0" borderId="21" xfId="0" applyFont="1" applyBorder="1"/>
    <xf numFmtId="0" fontId="0" fillId="0" borderId="2" xfId="0" applyFont="1" applyBorder="1"/>
    <xf numFmtId="56" fontId="0" fillId="0" borderId="0" xfId="0" applyNumberFormat="1" applyFont="1" applyAlignment="1">
      <alignment horizontal="left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118"/>
  <sheetViews>
    <sheetView tabSelected="1" topLeftCell="A2068" zoomScale="90" zoomScaleNormal="90" workbookViewId="0">
      <selection activeCell="F2081" sqref="F2081"/>
    </sheetView>
  </sheetViews>
  <sheetFormatPr defaultRowHeight="13.5" x14ac:dyDescent="0.15"/>
  <cols>
    <col min="2" max="2" width="25.875" style="1" customWidth="1"/>
    <col min="3" max="3" width="13.125" customWidth="1"/>
    <col min="4" max="4" width="11.75" customWidth="1"/>
    <col min="5" max="5" width="11.375" customWidth="1"/>
    <col min="6" max="6" width="14.125" style="60" customWidth="1"/>
    <col min="7" max="7" width="23.875" customWidth="1"/>
    <col min="8" max="10" width="13.125" customWidth="1"/>
    <col min="11" max="11" width="14.125" style="60" customWidth="1"/>
    <col min="12" max="12" width="17.5" customWidth="1"/>
    <col min="13" max="14" width="11.5" customWidth="1"/>
    <col min="16" max="16" width="9.25" bestFit="1" customWidth="1"/>
  </cols>
  <sheetData>
    <row r="1" spans="2:11" ht="18.75" x14ac:dyDescent="0.2">
      <c r="B1" s="3" t="s">
        <v>11</v>
      </c>
    </row>
    <row r="2" spans="2:11" ht="14.25" thickBot="1" x14ac:dyDescent="0.2"/>
    <row r="3" spans="2:11" ht="14.25" thickBot="1" x14ac:dyDescent="0.2">
      <c r="B3" s="7"/>
      <c r="C3" s="118"/>
      <c r="D3" s="119"/>
      <c r="E3" s="120"/>
    </row>
    <row r="4" spans="2:11" s="1" customFormat="1" ht="14.25" thickBot="1" x14ac:dyDescent="0.2">
      <c r="B4" s="8"/>
      <c r="C4" s="46" t="s">
        <v>8</v>
      </c>
      <c r="D4" s="45" t="s">
        <v>10</v>
      </c>
      <c r="E4" s="9" t="s">
        <v>0</v>
      </c>
      <c r="F4" s="60"/>
      <c r="K4" s="60"/>
    </row>
    <row r="5" spans="2:11" ht="14.25" customHeight="1" x14ac:dyDescent="0.15">
      <c r="B5" s="44" t="s">
        <v>6</v>
      </c>
      <c r="C5" s="22">
        <v>150</v>
      </c>
      <c r="D5" s="30"/>
      <c r="E5" s="23">
        <f>C5+D5</f>
        <v>150</v>
      </c>
      <c r="F5" s="61">
        <v>44004</v>
      </c>
    </row>
    <row r="6" spans="2:11" x14ac:dyDescent="0.15">
      <c r="B6" s="25" t="s">
        <v>5</v>
      </c>
      <c r="C6" s="14">
        <v>150</v>
      </c>
      <c r="D6" s="31">
        <v>100</v>
      </c>
      <c r="E6" s="23">
        <f t="shared" ref="E6:E38" si="0">C6+D6</f>
        <v>250</v>
      </c>
      <c r="F6" s="61">
        <v>44006</v>
      </c>
    </row>
    <row r="7" spans="2:11" x14ac:dyDescent="0.15">
      <c r="B7" s="25" t="s">
        <v>5</v>
      </c>
      <c r="C7" s="14"/>
      <c r="D7" s="31">
        <v>50</v>
      </c>
      <c r="E7" s="23">
        <f t="shared" si="0"/>
        <v>50</v>
      </c>
      <c r="F7" s="61">
        <v>44008</v>
      </c>
    </row>
    <row r="8" spans="2:11" x14ac:dyDescent="0.15">
      <c r="B8" s="26" t="s">
        <v>5</v>
      </c>
      <c r="C8" s="14"/>
      <c r="D8" s="31">
        <v>100</v>
      </c>
      <c r="E8" s="23">
        <f t="shared" si="0"/>
        <v>100</v>
      </c>
      <c r="F8" s="61">
        <v>44011</v>
      </c>
    </row>
    <row r="9" spans="2:11" x14ac:dyDescent="0.15">
      <c r="B9" s="25" t="s">
        <v>5</v>
      </c>
      <c r="C9" s="14">
        <v>100</v>
      </c>
      <c r="D9" s="31"/>
      <c r="E9" s="23">
        <f t="shared" si="0"/>
        <v>100</v>
      </c>
      <c r="F9" s="61">
        <v>44014</v>
      </c>
    </row>
    <row r="10" spans="2:11" ht="14.25" thickBot="1" x14ac:dyDescent="0.2">
      <c r="B10" s="26" t="s">
        <v>5</v>
      </c>
      <c r="C10" s="27">
        <v>150</v>
      </c>
      <c r="D10" s="36">
        <v>100</v>
      </c>
      <c r="E10" s="37">
        <f t="shared" si="0"/>
        <v>250</v>
      </c>
      <c r="F10" s="61">
        <v>44015</v>
      </c>
    </row>
    <row r="11" spans="2:11" ht="14.25" thickBot="1" x14ac:dyDescent="0.2">
      <c r="B11" s="8" t="s">
        <v>1</v>
      </c>
      <c r="C11" s="10">
        <f>SUM(C5:C10)</f>
        <v>550</v>
      </c>
      <c r="D11" s="32">
        <f>SUM(D5:D10)</f>
        <v>350</v>
      </c>
      <c r="E11" s="11">
        <f t="shared" si="0"/>
        <v>900</v>
      </c>
    </row>
    <row r="12" spans="2:11" x14ac:dyDescent="0.15">
      <c r="B12" s="47" t="s">
        <v>22</v>
      </c>
      <c r="C12" s="38">
        <v>100</v>
      </c>
      <c r="D12" s="39"/>
      <c r="E12" s="24">
        <f t="shared" si="0"/>
        <v>100</v>
      </c>
      <c r="F12" s="61">
        <v>44006</v>
      </c>
    </row>
    <row r="13" spans="2:11" x14ac:dyDescent="0.15">
      <c r="B13" s="51" t="s">
        <v>23</v>
      </c>
      <c r="C13" s="14"/>
      <c r="D13" s="31">
        <v>30</v>
      </c>
      <c r="E13" s="15">
        <f t="shared" si="0"/>
        <v>30</v>
      </c>
      <c r="F13" s="61">
        <v>44007</v>
      </c>
    </row>
    <row r="14" spans="2:11" x14ac:dyDescent="0.15">
      <c r="B14" s="13" t="s">
        <v>13</v>
      </c>
      <c r="C14" s="14">
        <v>2</v>
      </c>
      <c r="D14" s="31">
        <v>5</v>
      </c>
      <c r="E14" s="15">
        <f t="shared" si="0"/>
        <v>7</v>
      </c>
      <c r="F14" s="61">
        <v>44006</v>
      </c>
    </row>
    <row r="15" spans="2:11" x14ac:dyDescent="0.15">
      <c r="B15" s="13" t="s">
        <v>12</v>
      </c>
      <c r="C15" s="14"/>
      <c r="D15" s="31">
        <v>1</v>
      </c>
      <c r="E15" s="15">
        <f t="shared" si="0"/>
        <v>1</v>
      </c>
      <c r="F15" s="61">
        <v>44006</v>
      </c>
    </row>
    <row r="16" spans="2:11" x14ac:dyDescent="0.15">
      <c r="B16" s="13" t="s">
        <v>24</v>
      </c>
      <c r="C16" s="14">
        <v>70</v>
      </c>
      <c r="D16" s="31">
        <v>70</v>
      </c>
      <c r="E16" s="15">
        <f t="shared" si="0"/>
        <v>140</v>
      </c>
      <c r="F16" s="61">
        <v>44012</v>
      </c>
    </row>
    <row r="17" spans="2:6" x14ac:dyDescent="0.15">
      <c r="B17" s="13" t="s">
        <v>13</v>
      </c>
      <c r="C17" s="2">
        <v>2</v>
      </c>
      <c r="D17" s="33">
        <v>1</v>
      </c>
      <c r="E17" s="15">
        <f t="shared" si="0"/>
        <v>3</v>
      </c>
      <c r="F17" s="61">
        <v>44007</v>
      </c>
    </row>
    <row r="18" spans="2:6" x14ac:dyDescent="0.15">
      <c r="B18" s="13" t="s">
        <v>13</v>
      </c>
      <c r="C18" s="14">
        <v>2</v>
      </c>
      <c r="D18" s="31"/>
      <c r="E18" s="15">
        <f t="shared" si="0"/>
        <v>2</v>
      </c>
      <c r="F18" s="61">
        <v>44008</v>
      </c>
    </row>
    <row r="19" spans="2:6" x14ac:dyDescent="0.15">
      <c r="B19" s="13" t="s">
        <v>13</v>
      </c>
      <c r="C19" s="14">
        <v>4</v>
      </c>
      <c r="D19" s="31">
        <v>4</v>
      </c>
      <c r="E19" s="15">
        <f t="shared" ref="E19:E29" si="1">C19+D19</f>
        <v>8</v>
      </c>
      <c r="F19" s="61">
        <v>44011</v>
      </c>
    </row>
    <row r="20" spans="2:6" x14ac:dyDescent="0.15">
      <c r="B20" s="13" t="s">
        <v>13</v>
      </c>
      <c r="C20" s="14">
        <v>7</v>
      </c>
      <c r="D20" s="31">
        <v>1</v>
      </c>
      <c r="E20" s="15">
        <f t="shared" si="1"/>
        <v>8</v>
      </c>
      <c r="F20" s="61">
        <v>44012</v>
      </c>
    </row>
    <row r="21" spans="2:6" x14ac:dyDescent="0.15">
      <c r="B21" s="13" t="s">
        <v>13</v>
      </c>
      <c r="C21" s="14">
        <v>3</v>
      </c>
      <c r="D21" s="31">
        <v>1</v>
      </c>
      <c r="E21" s="15">
        <f t="shared" si="1"/>
        <v>4</v>
      </c>
      <c r="F21" s="61">
        <v>44013</v>
      </c>
    </row>
    <row r="22" spans="2:6" x14ac:dyDescent="0.15">
      <c r="B22" s="13" t="s">
        <v>29</v>
      </c>
      <c r="C22" s="14">
        <v>100</v>
      </c>
      <c r="D22" s="31">
        <v>50</v>
      </c>
      <c r="E22" s="15">
        <f t="shared" si="1"/>
        <v>150</v>
      </c>
      <c r="F22" s="61">
        <v>44018</v>
      </c>
    </row>
    <row r="23" spans="2:6" x14ac:dyDescent="0.15">
      <c r="B23" s="13" t="s">
        <v>30</v>
      </c>
      <c r="C23" s="14">
        <v>30</v>
      </c>
      <c r="D23" s="31">
        <v>30</v>
      </c>
      <c r="E23" s="15">
        <f t="shared" si="1"/>
        <v>60</v>
      </c>
      <c r="F23" s="61">
        <v>44014</v>
      </c>
    </row>
    <row r="24" spans="2:6" x14ac:dyDescent="0.15">
      <c r="B24" s="13" t="s">
        <v>31</v>
      </c>
      <c r="C24" s="14">
        <v>15</v>
      </c>
      <c r="D24" s="31">
        <v>15</v>
      </c>
      <c r="E24" s="23">
        <f t="shared" si="1"/>
        <v>30</v>
      </c>
      <c r="F24" s="61">
        <v>44014</v>
      </c>
    </row>
    <row r="25" spans="2:6" x14ac:dyDescent="0.15">
      <c r="B25" s="13" t="s">
        <v>32</v>
      </c>
      <c r="C25" s="14">
        <v>40</v>
      </c>
      <c r="D25" s="31">
        <v>20</v>
      </c>
      <c r="E25" s="15">
        <f t="shared" si="1"/>
        <v>60</v>
      </c>
      <c r="F25" s="61">
        <v>44019</v>
      </c>
    </row>
    <row r="26" spans="2:6" x14ac:dyDescent="0.15">
      <c r="B26" s="13" t="s">
        <v>13</v>
      </c>
      <c r="C26" s="2">
        <v>1</v>
      </c>
      <c r="D26" s="33"/>
      <c r="E26" s="15">
        <f>C26+D26</f>
        <v>1</v>
      </c>
      <c r="F26" s="62">
        <v>44014</v>
      </c>
    </row>
    <row r="27" spans="2:6" x14ac:dyDescent="0.15">
      <c r="B27" s="13" t="s">
        <v>16</v>
      </c>
      <c r="C27" s="2">
        <v>1</v>
      </c>
      <c r="D27" s="33"/>
      <c r="E27" s="15">
        <f>C27+D27</f>
        <v>1</v>
      </c>
      <c r="F27" s="62">
        <v>44015</v>
      </c>
    </row>
    <row r="28" spans="2:6" x14ac:dyDescent="0.15">
      <c r="B28" s="13" t="s">
        <v>25</v>
      </c>
      <c r="C28" s="14"/>
      <c r="D28" s="31">
        <v>50</v>
      </c>
      <c r="E28" s="15">
        <f t="shared" si="1"/>
        <v>50</v>
      </c>
      <c r="F28" s="61">
        <v>44016</v>
      </c>
    </row>
    <row r="29" spans="2:6" x14ac:dyDescent="0.15">
      <c r="B29" s="13" t="s">
        <v>13</v>
      </c>
      <c r="C29" s="14">
        <v>5</v>
      </c>
      <c r="D29" s="31">
        <v>5</v>
      </c>
      <c r="E29" s="15">
        <f t="shared" si="1"/>
        <v>10</v>
      </c>
      <c r="F29" s="62">
        <v>44015</v>
      </c>
    </row>
    <row r="30" spans="2:6" x14ac:dyDescent="0.15">
      <c r="B30" s="13" t="s">
        <v>17</v>
      </c>
      <c r="C30" s="2">
        <v>1</v>
      </c>
      <c r="D30" s="33"/>
      <c r="E30" s="15">
        <f t="shared" si="0"/>
        <v>1</v>
      </c>
      <c r="F30" s="62">
        <v>44018</v>
      </c>
    </row>
    <row r="31" spans="2:6" x14ac:dyDescent="0.15">
      <c r="B31" s="13" t="s">
        <v>13</v>
      </c>
      <c r="C31" s="14">
        <v>1</v>
      </c>
      <c r="D31" s="31"/>
      <c r="E31" s="15">
        <f t="shared" si="0"/>
        <v>1</v>
      </c>
      <c r="F31" s="61">
        <v>44016</v>
      </c>
    </row>
    <row r="32" spans="2:6" x14ac:dyDescent="0.15">
      <c r="B32" s="25" t="s">
        <v>20</v>
      </c>
      <c r="C32" s="14">
        <v>1</v>
      </c>
      <c r="D32" s="31">
        <v>1</v>
      </c>
      <c r="E32" s="15">
        <f>C32+D32</f>
        <v>2</v>
      </c>
      <c r="F32" s="61">
        <v>44019</v>
      </c>
    </row>
    <row r="33" spans="2:6" x14ac:dyDescent="0.15">
      <c r="B33" s="13" t="s">
        <v>13</v>
      </c>
      <c r="C33" s="14">
        <v>16</v>
      </c>
      <c r="D33" s="31">
        <v>8</v>
      </c>
      <c r="E33" s="15">
        <f>C33+D33</f>
        <v>24</v>
      </c>
      <c r="F33" s="61">
        <v>44018</v>
      </c>
    </row>
    <row r="34" spans="2:6" x14ac:dyDescent="0.15">
      <c r="B34" s="13" t="s">
        <v>13</v>
      </c>
      <c r="C34" s="14">
        <v>3</v>
      </c>
      <c r="D34" s="31"/>
      <c r="E34" s="15">
        <f>C34+D34</f>
        <v>3</v>
      </c>
      <c r="F34" s="61">
        <v>44019</v>
      </c>
    </row>
    <row r="35" spans="2:6" x14ac:dyDescent="0.15">
      <c r="B35" s="13" t="s">
        <v>13</v>
      </c>
      <c r="C35" s="14">
        <v>5</v>
      </c>
      <c r="D35" s="31">
        <v>1</v>
      </c>
      <c r="E35" s="15">
        <f t="shared" si="0"/>
        <v>6</v>
      </c>
      <c r="F35" s="61">
        <v>44020</v>
      </c>
    </row>
    <row r="36" spans="2:6" ht="14.25" thickBot="1" x14ac:dyDescent="0.2">
      <c r="B36" s="59" t="s">
        <v>13</v>
      </c>
      <c r="C36" s="27">
        <v>4</v>
      </c>
      <c r="D36" s="36">
        <v>2</v>
      </c>
      <c r="E36" s="28">
        <f t="shared" si="0"/>
        <v>6</v>
      </c>
      <c r="F36" s="61">
        <v>44021</v>
      </c>
    </row>
    <row r="37" spans="2:6" x14ac:dyDescent="0.15">
      <c r="B37" s="6" t="s">
        <v>2</v>
      </c>
      <c r="C37" s="38">
        <f>SUM(C12:C36)</f>
        <v>413</v>
      </c>
      <c r="D37" s="39">
        <f>SUM(D12:D36)</f>
        <v>295</v>
      </c>
      <c r="E37" s="24">
        <f t="shared" si="0"/>
        <v>708</v>
      </c>
    </row>
    <row r="38" spans="2:6" ht="14.25" thickBot="1" x14ac:dyDescent="0.2">
      <c r="B38" s="19" t="s">
        <v>3</v>
      </c>
      <c r="C38" s="20">
        <f>+C11-C37</f>
        <v>137</v>
      </c>
      <c r="D38" s="34">
        <f>+D11-D37</f>
        <v>55</v>
      </c>
      <c r="E38" s="21">
        <f t="shared" si="0"/>
        <v>192</v>
      </c>
    </row>
    <row r="41" spans="2:6" ht="18.75" x14ac:dyDescent="0.2">
      <c r="B41" s="3" t="s">
        <v>11</v>
      </c>
    </row>
    <row r="42" spans="2:6" ht="14.25" thickBot="1" x14ac:dyDescent="0.2"/>
    <row r="43" spans="2:6" ht="14.25" thickBot="1" x14ac:dyDescent="0.2">
      <c r="B43" s="7"/>
      <c r="C43" s="118"/>
      <c r="D43" s="119"/>
      <c r="E43" s="120"/>
    </row>
    <row r="44" spans="2:6" ht="14.25" thickBot="1" x14ac:dyDescent="0.2">
      <c r="B44" s="8"/>
      <c r="C44" s="40" t="s">
        <v>7</v>
      </c>
      <c r="D44" s="29" t="s">
        <v>9</v>
      </c>
      <c r="E44" s="9" t="s">
        <v>0</v>
      </c>
    </row>
    <row r="45" spans="2:6" x14ac:dyDescent="0.15">
      <c r="B45" s="16" t="s">
        <v>4</v>
      </c>
      <c r="C45" s="17">
        <f>C38</f>
        <v>137</v>
      </c>
      <c r="D45" s="35">
        <f>D38</f>
        <v>55</v>
      </c>
      <c r="E45" s="18">
        <f t="shared" ref="E45:E50" si="2">C45+D45</f>
        <v>192</v>
      </c>
    </row>
    <row r="46" spans="2:6" x14ac:dyDescent="0.15">
      <c r="B46" s="25" t="s">
        <v>5</v>
      </c>
      <c r="C46" s="14">
        <v>150</v>
      </c>
      <c r="D46" s="31"/>
      <c r="E46" s="23">
        <f t="shared" si="2"/>
        <v>150</v>
      </c>
      <c r="F46" s="61">
        <v>44019</v>
      </c>
    </row>
    <row r="47" spans="2:6" x14ac:dyDescent="0.15">
      <c r="B47" s="26" t="s">
        <v>5</v>
      </c>
      <c r="C47" s="27">
        <v>100</v>
      </c>
      <c r="D47" s="36">
        <v>500</v>
      </c>
      <c r="E47" s="28">
        <f t="shared" si="2"/>
        <v>600</v>
      </c>
      <c r="F47" s="61">
        <v>44021</v>
      </c>
    </row>
    <row r="48" spans="2:6" x14ac:dyDescent="0.15">
      <c r="B48" s="26" t="s">
        <v>5</v>
      </c>
      <c r="C48" s="27">
        <v>100</v>
      </c>
      <c r="D48" s="36"/>
      <c r="E48" s="15">
        <f t="shared" si="2"/>
        <v>100</v>
      </c>
      <c r="F48" s="61">
        <v>44022</v>
      </c>
    </row>
    <row r="49" spans="2:6" x14ac:dyDescent="0.15">
      <c r="B49" s="25" t="s">
        <v>5</v>
      </c>
      <c r="C49" s="14">
        <v>100</v>
      </c>
      <c r="D49" s="31"/>
      <c r="E49" s="23">
        <f t="shared" si="2"/>
        <v>100</v>
      </c>
      <c r="F49" s="61">
        <v>44027</v>
      </c>
    </row>
    <row r="50" spans="2:6" ht="14.25" thickBot="1" x14ac:dyDescent="0.2">
      <c r="B50" s="26" t="s">
        <v>5</v>
      </c>
      <c r="C50" s="48">
        <v>-2</v>
      </c>
      <c r="D50" s="36">
        <v>150</v>
      </c>
      <c r="E50" s="28">
        <f t="shared" si="2"/>
        <v>148</v>
      </c>
      <c r="F50" s="61">
        <v>44027</v>
      </c>
    </row>
    <row r="51" spans="2:6" ht="14.25" thickBot="1" x14ac:dyDescent="0.2">
      <c r="B51" s="8" t="s">
        <v>1</v>
      </c>
      <c r="C51" s="10">
        <f>SUM(C45:C50)</f>
        <v>585</v>
      </c>
      <c r="D51" s="32">
        <f>SUM(D45:D50)</f>
        <v>705</v>
      </c>
      <c r="E51" s="11">
        <f t="shared" ref="E51:E78" si="3">C51+D51</f>
        <v>1290</v>
      </c>
    </row>
    <row r="52" spans="2:6" x14ac:dyDescent="0.15">
      <c r="B52" s="13" t="s">
        <v>33</v>
      </c>
      <c r="C52" s="14">
        <v>50</v>
      </c>
      <c r="D52" s="31">
        <v>30</v>
      </c>
      <c r="E52" s="15">
        <f t="shared" si="3"/>
        <v>80</v>
      </c>
      <c r="F52" s="61">
        <v>44022</v>
      </c>
    </row>
    <row r="53" spans="2:6" x14ac:dyDescent="0.15">
      <c r="B53" s="13" t="s">
        <v>26</v>
      </c>
      <c r="C53" s="14">
        <v>150</v>
      </c>
      <c r="D53" s="31">
        <v>0</v>
      </c>
      <c r="E53" s="15">
        <f>C53+D53</f>
        <v>150</v>
      </c>
      <c r="F53" s="61">
        <v>44027</v>
      </c>
    </row>
    <row r="54" spans="2:6" x14ac:dyDescent="0.15">
      <c r="B54" s="13" t="s">
        <v>34</v>
      </c>
      <c r="C54" s="14">
        <v>80</v>
      </c>
      <c r="D54" s="31">
        <v>80</v>
      </c>
      <c r="E54" s="15">
        <f t="shared" si="3"/>
        <v>160</v>
      </c>
      <c r="F54" s="61">
        <v>44027</v>
      </c>
    </row>
    <row r="55" spans="2:6" x14ac:dyDescent="0.15">
      <c r="B55" s="13" t="s">
        <v>35</v>
      </c>
      <c r="C55" s="14">
        <v>70</v>
      </c>
      <c r="D55" s="31">
        <v>70</v>
      </c>
      <c r="E55" s="15">
        <f t="shared" si="3"/>
        <v>140</v>
      </c>
      <c r="F55" s="61">
        <v>44027</v>
      </c>
    </row>
    <row r="56" spans="2:6" x14ac:dyDescent="0.15">
      <c r="B56" s="13" t="s">
        <v>21</v>
      </c>
      <c r="C56" s="2"/>
      <c r="D56" s="33">
        <v>1</v>
      </c>
      <c r="E56" s="4">
        <f t="shared" si="3"/>
        <v>1</v>
      </c>
      <c r="F56" s="61">
        <v>44021</v>
      </c>
    </row>
    <row r="57" spans="2:6" x14ac:dyDescent="0.15">
      <c r="B57" s="13" t="s">
        <v>13</v>
      </c>
      <c r="C57" s="14">
        <v>3</v>
      </c>
      <c r="D57" s="31">
        <v>2</v>
      </c>
      <c r="E57" s="15">
        <f t="shared" si="3"/>
        <v>5</v>
      </c>
      <c r="F57" s="61">
        <v>44022</v>
      </c>
    </row>
    <row r="58" spans="2:6" x14ac:dyDescent="0.15">
      <c r="B58" s="13" t="s">
        <v>36</v>
      </c>
      <c r="C58" s="14">
        <v>200</v>
      </c>
      <c r="D58" s="31">
        <v>208</v>
      </c>
      <c r="E58" s="15">
        <f t="shared" si="3"/>
        <v>408</v>
      </c>
      <c r="F58" s="61">
        <v>44029</v>
      </c>
    </row>
    <row r="59" spans="2:6" x14ac:dyDescent="0.15">
      <c r="B59" s="13" t="s">
        <v>38</v>
      </c>
      <c r="C59" s="14">
        <v>1</v>
      </c>
      <c r="D59" s="31">
        <v>1</v>
      </c>
      <c r="E59" s="15">
        <f t="shared" si="3"/>
        <v>2</v>
      </c>
      <c r="F59" s="61">
        <v>44026</v>
      </c>
    </row>
    <row r="60" spans="2:6" x14ac:dyDescent="0.15">
      <c r="B60" s="13" t="s">
        <v>13</v>
      </c>
      <c r="C60" s="2">
        <v>16</v>
      </c>
      <c r="D60" s="33">
        <v>6</v>
      </c>
      <c r="E60" s="4">
        <f t="shared" si="3"/>
        <v>22</v>
      </c>
      <c r="F60" s="62">
        <v>44025</v>
      </c>
    </row>
    <row r="61" spans="2:6" x14ac:dyDescent="0.15">
      <c r="B61" s="13" t="s">
        <v>13</v>
      </c>
      <c r="C61" s="2">
        <v>4</v>
      </c>
      <c r="D61" s="33"/>
      <c r="E61" s="4">
        <f t="shared" si="3"/>
        <v>4</v>
      </c>
      <c r="F61" s="61">
        <v>44026</v>
      </c>
    </row>
    <row r="62" spans="2:6" x14ac:dyDescent="0.15">
      <c r="B62" s="13" t="s">
        <v>13</v>
      </c>
      <c r="C62" s="2">
        <v>6</v>
      </c>
      <c r="D62" s="33">
        <v>3</v>
      </c>
      <c r="E62" s="4">
        <f t="shared" si="3"/>
        <v>9</v>
      </c>
      <c r="F62" s="61">
        <v>44027</v>
      </c>
    </row>
    <row r="63" spans="2:6" x14ac:dyDescent="0.15">
      <c r="B63" s="13" t="s">
        <v>13</v>
      </c>
      <c r="C63" s="2">
        <v>3</v>
      </c>
      <c r="D63" s="33">
        <v>1</v>
      </c>
      <c r="E63" s="4">
        <f t="shared" si="3"/>
        <v>4</v>
      </c>
      <c r="F63" s="61">
        <v>44028</v>
      </c>
    </row>
    <row r="64" spans="2:6" x14ac:dyDescent="0.15">
      <c r="B64" s="13" t="s">
        <v>13</v>
      </c>
      <c r="C64" s="2">
        <v>2</v>
      </c>
      <c r="D64" s="33">
        <v>3</v>
      </c>
      <c r="E64" s="4">
        <f t="shared" si="3"/>
        <v>5</v>
      </c>
      <c r="F64" s="61">
        <v>44029</v>
      </c>
    </row>
    <row r="65" spans="2:7" x14ac:dyDescent="0.15">
      <c r="B65" s="25"/>
      <c r="C65" s="2"/>
      <c r="D65" s="33"/>
      <c r="E65" s="4">
        <f t="shared" si="3"/>
        <v>0</v>
      </c>
      <c r="F65" s="61"/>
    </row>
    <row r="66" spans="2:7" x14ac:dyDescent="0.15">
      <c r="B66" s="25"/>
      <c r="C66" s="2"/>
      <c r="D66" s="33"/>
      <c r="E66" s="4">
        <f t="shared" si="3"/>
        <v>0</v>
      </c>
      <c r="F66" s="61"/>
    </row>
    <row r="67" spans="2:7" x14ac:dyDescent="0.15">
      <c r="B67" s="25"/>
      <c r="C67" s="2"/>
      <c r="D67" s="33"/>
      <c r="E67" s="4">
        <f t="shared" si="3"/>
        <v>0</v>
      </c>
      <c r="F67" s="61"/>
    </row>
    <row r="68" spans="2:7" x14ac:dyDescent="0.15">
      <c r="B68" s="25"/>
      <c r="C68" s="2"/>
      <c r="D68" s="33"/>
      <c r="E68" s="4">
        <f t="shared" si="3"/>
        <v>0</v>
      </c>
      <c r="F68" s="61"/>
    </row>
    <row r="69" spans="2:7" x14ac:dyDescent="0.15">
      <c r="B69" s="13"/>
      <c r="C69" s="2"/>
      <c r="D69" s="33"/>
      <c r="E69" s="4">
        <f t="shared" si="3"/>
        <v>0</v>
      </c>
      <c r="F69" s="61"/>
    </row>
    <row r="70" spans="2:7" x14ac:dyDescent="0.15">
      <c r="B70" s="25"/>
      <c r="C70" s="2"/>
      <c r="D70" s="33"/>
      <c r="E70" s="4">
        <f t="shared" si="3"/>
        <v>0</v>
      </c>
      <c r="F70" s="62"/>
    </row>
    <row r="71" spans="2:7" x14ac:dyDescent="0.15">
      <c r="B71" s="25"/>
      <c r="C71" s="14"/>
      <c r="D71" s="31"/>
      <c r="E71" s="15">
        <f t="shared" si="3"/>
        <v>0</v>
      </c>
      <c r="F71" s="61"/>
    </row>
    <row r="72" spans="2:7" x14ac:dyDescent="0.15">
      <c r="B72" s="25"/>
      <c r="C72" s="14"/>
      <c r="D72" s="31"/>
      <c r="E72" s="15">
        <f t="shared" si="3"/>
        <v>0</v>
      </c>
      <c r="F72" s="61"/>
    </row>
    <row r="73" spans="2:7" x14ac:dyDescent="0.15">
      <c r="B73" s="13"/>
      <c r="C73" s="2"/>
      <c r="D73" s="33"/>
      <c r="E73" s="15">
        <f t="shared" si="3"/>
        <v>0</v>
      </c>
      <c r="F73" s="61"/>
    </row>
    <row r="74" spans="2:7" x14ac:dyDescent="0.15">
      <c r="B74" s="25"/>
      <c r="C74" s="14"/>
      <c r="D74" s="31"/>
      <c r="E74" s="23">
        <f t="shared" si="3"/>
        <v>0</v>
      </c>
      <c r="F74" s="61"/>
    </row>
    <row r="75" spans="2:7" x14ac:dyDescent="0.15">
      <c r="B75" s="25"/>
      <c r="C75" s="14"/>
      <c r="D75" s="31"/>
      <c r="E75" s="15">
        <f>C75+D75</f>
        <v>0</v>
      </c>
      <c r="F75" s="61"/>
    </row>
    <row r="76" spans="2:7" ht="14.25" thickBot="1" x14ac:dyDescent="0.2">
      <c r="B76" s="25"/>
      <c r="C76" s="27"/>
      <c r="D76" s="36"/>
      <c r="E76" s="28">
        <f>C76+D76</f>
        <v>0</v>
      </c>
      <c r="F76" s="61"/>
    </row>
    <row r="77" spans="2:7" ht="14.25" thickBot="1" x14ac:dyDescent="0.2">
      <c r="B77" s="8" t="s">
        <v>2</v>
      </c>
      <c r="C77" s="10">
        <f>SUM(C52:C76)</f>
        <v>585</v>
      </c>
      <c r="D77" s="32">
        <f>SUM(D52:D76)</f>
        <v>405</v>
      </c>
      <c r="E77" s="11">
        <f t="shared" si="3"/>
        <v>990</v>
      </c>
    </row>
    <row r="78" spans="2:7" ht="14.25" thickBot="1" x14ac:dyDescent="0.2">
      <c r="B78" s="52" t="s">
        <v>3</v>
      </c>
      <c r="C78" s="53">
        <f>+C51-C77</f>
        <v>0</v>
      </c>
      <c r="D78" s="54">
        <f>+D51-D77</f>
        <v>300</v>
      </c>
      <c r="E78" s="55">
        <f t="shared" si="3"/>
        <v>300</v>
      </c>
    </row>
    <row r="79" spans="2:7" x14ac:dyDescent="0.15">
      <c r="G79" s="1"/>
    </row>
    <row r="80" spans="2:7" ht="29.25" customHeight="1" x14ac:dyDescent="0.25">
      <c r="B80" s="58" t="s">
        <v>18</v>
      </c>
      <c r="G80" s="58" t="s">
        <v>19</v>
      </c>
    </row>
    <row r="81" spans="2:10" ht="18.75" x14ac:dyDescent="0.2">
      <c r="B81" s="3" t="s">
        <v>11</v>
      </c>
      <c r="E81" t="s">
        <v>15</v>
      </c>
      <c r="G81" s="3" t="s">
        <v>11</v>
      </c>
    </row>
    <row r="82" spans="2:10" ht="14.25" thickBot="1" x14ac:dyDescent="0.2">
      <c r="E82" t="s">
        <v>14</v>
      </c>
      <c r="G82" s="1"/>
    </row>
    <row r="83" spans="2:10" ht="14.25" thickBot="1" x14ac:dyDescent="0.2">
      <c r="B83" s="7"/>
      <c r="C83" s="118"/>
      <c r="D83" s="119"/>
      <c r="E83" s="120"/>
      <c r="G83" s="7"/>
      <c r="H83" s="118"/>
      <c r="I83" s="119"/>
      <c r="J83" s="120"/>
    </row>
    <row r="84" spans="2:10" ht="14.25" thickBot="1" x14ac:dyDescent="0.2">
      <c r="B84" s="8"/>
      <c r="C84" s="46" t="s">
        <v>7</v>
      </c>
      <c r="D84" s="29" t="s">
        <v>9</v>
      </c>
      <c r="E84" s="9" t="s">
        <v>0</v>
      </c>
      <c r="G84" s="8"/>
      <c r="H84" s="40" t="s">
        <v>7</v>
      </c>
      <c r="I84" s="29" t="s">
        <v>9</v>
      </c>
      <c r="J84" s="9" t="s">
        <v>0</v>
      </c>
    </row>
    <row r="85" spans="2:10" x14ac:dyDescent="0.15">
      <c r="B85" s="16" t="s">
        <v>4</v>
      </c>
      <c r="C85" s="17">
        <f>C78</f>
        <v>0</v>
      </c>
      <c r="D85" s="35">
        <f>D78</f>
        <v>300</v>
      </c>
      <c r="E85" s="18">
        <f t="shared" ref="E85:E99" si="4">C85+D85</f>
        <v>300</v>
      </c>
      <c r="G85" s="16" t="s">
        <v>4</v>
      </c>
      <c r="H85" s="17">
        <f>H78</f>
        <v>0</v>
      </c>
      <c r="I85" s="35">
        <f>I78</f>
        <v>0</v>
      </c>
      <c r="J85" s="18">
        <f t="shared" ref="J85:J92" si="5">H85+I85</f>
        <v>0</v>
      </c>
    </row>
    <row r="86" spans="2:10" x14ac:dyDescent="0.15">
      <c r="B86" s="25" t="s">
        <v>5</v>
      </c>
      <c r="C86" s="14">
        <v>200</v>
      </c>
      <c r="D86" s="31"/>
      <c r="E86" s="23">
        <f t="shared" si="4"/>
        <v>200</v>
      </c>
      <c r="F86" s="61">
        <v>44029</v>
      </c>
      <c r="G86" s="25" t="s">
        <v>5</v>
      </c>
      <c r="H86" s="14"/>
      <c r="I86" s="31"/>
      <c r="J86" s="23">
        <f t="shared" si="5"/>
        <v>0</v>
      </c>
    </row>
    <row r="87" spans="2:10" x14ac:dyDescent="0.15">
      <c r="B87" s="26" t="s">
        <v>5</v>
      </c>
      <c r="C87" s="14">
        <v>440</v>
      </c>
      <c r="D87" s="31"/>
      <c r="E87" s="28">
        <f t="shared" si="4"/>
        <v>440</v>
      </c>
      <c r="F87" s="61">
        <v>44033</v>
      </c>
      <c r="G87" s="26" t="s">
        <v>5</v>
      </c>
      <c r="H87" s="27"/>
      <c r="I87" s="36"/>
      <c r="J87" s="28">
        <f t="shared" si="5"/>
        <v>0</v>
      </c>
    </row>
    <row r="88" spans="2:10" x14ac:dyDescent="0.15">
      <c r="B88" s="26" t="s">
        <v>5</v>
      </c>
      <c r="C88" s="27">
        <v>460</v>
      </c>
      <c r="D88" s="36">
        <v>80</v>
      </c>
      <c r="E88" s="28">
        <f t="shared" si="4"/>
        <v>540</v>
      </c>
      <c r="F88" s="61">
        <v>44039</v>
      </c>
      <c r="G88" s="26" t="s">
        <v>5</v>
      </c>
      <c r="H88" s="27"/>
      <c r="I88" s="36"/>
      <c r="J88" s="28">
        <f t="shared" si="5"/>
        <v>0</v>
      </c>
    </row>
    <row r="89" spans="2:10" x14ac:dyDescent="0.15">
      <c r="B89" s="26" t="s">
        <v>5</v>
      </c>
      <c r="C89" s="14">
        <v>150</v>
      </c>
      <c r="D89" s="31">
        <v>420</v>
      </c>
      <c r="E89" s="15">
        <f>C89+D89</f>
        <v>570</v>
      </c>
      <c r="F89" s="61">
        <v>44040</v>
      </c>
      <c r="G89" s="26" t="s">
        <v>5</v>
      </c>
      <c r="H89" s="27"/>
      <c r="I89" s="36"/>
      <c r="J89" s="28">
        <f t="shared" si="5"/>
        <v>0</v>
      </c>
    </row>
    <row r="90" spans="2:10" ht="14.25" thickBot="1" x14ac:dyDescent="0.2">
      <c r="B90" s="25" t="s">
        <v>5</v>
      </c>
      <c r="C90" s="14">
        <v>600</v>
      </c>
      <c r="D90" s="31"/>
      <c r="E90" s="23">
        <f>C90+D90</f>
        <v>600</v>
      </c>
      <c r="F90" s="61">
        <v>44043</v>
      </c>
      <c r="G90" s="26" t="s">
        <v>5</v>
      </c>
      <c r="H90" s="14"/>
      <c r="I90" s="31"/>
      <c r="J90" s="15">
        <f t="shared" si="5"/>
        <v>0</v>
      </c>
    </row>
    <row r="91" spans="2:10" ht="14.25" thickBot="1" x14ac:dyDescent="0.2">
      <c r="B91" s="8" t="s">
        <v>1</v>
      </c>
      <c r="C91" s="10">
        <f>SUM(C85:C90)</f>
        <v>1850</v>
      </c>
      <c r="D91" s="32">
        <f>SUM(D85:D90)</f>
        <v>800</v>
      </c>
      <c r="E91" s="11">
        <f t="shared" si="4"/>
        <v>2650</v>
      </c>
      <c r="G91" s="8" t="s">
        <v>1</v>
      </c>
      <c r="H91" s="10">
        <f>SUM(H85:H90)</f>
        <v>0</v>
      </c>
      <c r="I91" s="32">
        <f>SUM(I85:I90)</f>
        <v>0</v>
      </c>
      <c r="J91" s="11">
        <f t="shared" si="5"/>
        <v>0</v>
      </c>
    </row>
    <row r="92" spans="2:10" x14ac:dyDescent="0.15">
      <c r="B92" s="13" t="s">
        <v>40</v>
      </c>
      <c r="C92" s="14"/>
      <c r="D92" s="31">
        <v>20</v>
      </c>
      <c r="E92" s="15">
        <f t="shared" si="4"/>
        <v>20</v>
      </c>
      <c r="F92" s="61">
        <v>44034</v>
      </c>
      <c r="G92" s="13"/>
      <c r="H92" s="14"/>
      <c r="I92" s="31"/>
      <c r="J92" s="15">
        <f t="shared" si="5"/>
        <v>0</v>
      </c>
    </row>
    <row r="93" spans="2:10" x14ac:dyDescent="0.15">
      <c r="B93" s="13" t="s">
        <v>41</v>
      </c>
      <c r="C93" s="14">
        <v>50</v>
      </c>
      <c r="D93" s="31"/>
      <c r="E93" s="15">
        <f t="shared" si="4"/>
        <v>50</v>
      </c>
      <c r="F93" s="61">
        <v>44040</v>
      </c>
      <c r="G93" s="13"/>
      <c r="H93" s="14"/>
      <c r="I93" s="31"/>
      <c r="J93" s="15">
        <f t="shared" ref="J93:J115" si="6">H93+I93</f>
        <v>0</v>
      </c>
    </row>
    <row r="94" spans="2:10" x14ac:dyDescent="0.15">
      <c r="B94" s="13" t="s">
        <v>42</v>
      </c>
      <c r="C94" s="14">
        <v>75</v>
      </c>
      <c r="D94" s="31">
        <v>75</v>
      </c>
      <c r="E94" s="15">
        <f t="shared" si="4"/>
        <v>150</v>
      </c>
      <c r="F94" s="61">
        <v>44040</v>
      </c>
      <c r="G94" s="13"/>
      <c r="H94" s="14"/>
      <c r="I94" s="31"/>
      <c r="J94" s="15">
        <f t="shared" si="6"/>
        <v>0</v>
      </c>
    </row>
    <row r="95" spans="2:10" x14ac:dyDescent="0.15">
      <c r="B95" s="13" t="s">
        <v>37</v>
      </c>
      <c r="C95" s="14">
        <v>204</v>
      </c>
      <c r="D95" s="31"/>
      <c r="E95" s="15">
        <f t="shared" si="4"/>
        <v>204</v>
      </c>
      <c r="F95" s="61">
        <v>44040</v>
      </c>
      <c r="G95" s="13"/>
      <c r="H95" s="14"/>
      <c r="I95" s="31"/>
      <c r="J95" s="15">
        <f t="shared" si="6"/>
        <v>0</v>
      </c>
    </row>
    <row r="96" spans="2:10" x14ac:dyDescent="0.15">
      <c r="B96" s="13" t="s">
        <v>27</v>
      </c>
      <c r="C96" s="14">
        <v>250</v>
      </c>
      <c r="D96" s="31">
        <v>100</v>
      </c>
      <c r="E96" s="15">
        <f t="shared" si="4"/>
        <v>350</v>
      </c>
      <c r="F96" s="61">
        <v>44040</v>
      </c>
      <c r="G96" s="13"/>
      <c r="H96" s="14"/>
      <c r="I96" s="31"/>
      <c r="J96" s="15">
        <f t="shared" si="6"/>
        <v>0</v>
      </c>
    </row>
    <row r="97" spans="2:10" x14ac:dyDescent="0.15">
      <c r="B97" s="13" t="s">
        <v>46</v>
      </c>
      <c r="C97" s="14">
        <v>24</v>
      </c>
      <c r="D97" s="31">
        <v>5</v>
      </c>
      <c r="E97" s="15">
        <f t="shared" si="4"/>
        <v>29</v>
      </c>
      <c r="F97" s="61">
        <v>44032</v>
      </c>
      <c r="G97" s="13"/>
      <c r="H97" s="14"/>
      <c r="I97" s="31"/>
      <c r="J97" s="15">
        <f t="shared" si="6"/>
        <v>0</v>
      </c>
    </row>
    <row r="98" spans="2:10" x14ac:dyDescent="0.15">
      <c r="B98" s="13" t="s">
        <v>46</v>
      </c>
      <c r="C98" s="14"/>
      <c r="D98" s="31">
        <v>2</v>
      </c>
      <c r="E98" s="15">
        <f t="shared" si="4"/>
        <v>2</v>
      </c>
      <c r="F98" s="61">
        <v>44033</v>
      </c>
      <c r="G98" s="13"/>
      <c r="H98" s="14"/>
      <c r="I98" s="31"/>
      <c r="J98" s="15">
        <f t="shared" si="6"/>
        <v>0</v>
      </c>
    </row>
    <row r="99" spans="2:10" x14ac:dyDescent="0.15">
      <c r="B99" s="13" t="s">
        <v>48</v>
      </c>
      <c r="C99" s="14"/>
      <c r="D99" s="31">
        <v>1</v>
      </c>
      <c r="E99" s="15">
        <f t="shared" si="4"/>
        <v>1</v>
      </c>
      <c r="F99" s="61">
        <v>44033</v>
      </c>
      <c r="G99" s="13"/>
      <c r="H99" s="14"/>
      <c r="I99" s="31"/>
      <c r="J99" s="15">
        <f t="shared" si="6"/>
        <v>0</v>
      </c>
    </row>
    <row r="100" spans="2:10" x14ac:dyDescent="0.15">
      <c r="B100" s="13" t="s">
        <v>46</v>
      </c>
      <c r="C100" s="14">
        <v>8</v>
      </c>
      <c r="D100" s="31">
        <v>3</v>
      </c>
      <c r="E100" s="15">
        <f>C100+D100</f>
        <v>11</v>
      </c>
      <c r="F100" s="61">
        <v>44034</v>
      </c>
      <c r="G100" s="13"/>
      <c r="H100" s="14"/>
      <c r="I100" s="31"/>
      <c r="J100" s="15">
        <f t="shared" si="6"/>
        <v>0</v>
      </c>
    </row>
    <row r="101" spans="2:10" x14ac:dyDescent="0.15">
      <c r="B101" s="13" t="s">
        <v>46</v>
      </c>
      <c r="C101" s="14">
        <v>12</v>
      </c>
      <c r="D101" s="31">
        <v>4</v>
      </c>
      <c r="E101" s="15">
        <f>C101+D101</f>
        <v>16</v>
      </c>
      <c r="F101" s="61">
        <v>44039</v>
      </c>
      <c r="G101" s="13"/>
      <c r="H101" s="14"/>
      <c r="I101" s="31"/>
      <c r="J101" s="15">
        <f t="shared" si="6"/>
        <v>0</v>
      </c>
    </row>
    <row r="102" spans="2:10" x14ac:dyDescent="0.15">
      <c r="B102" s="13" t="s">
        <v>46</v>
      </c>
      <c r="C102" s="14">
        <v>3</v>
      </c>
      <c r="D102" s="31">
        <v>1</v>
      </c>
      <c r="E102" s="15">
        <f>C102+D102</f>
        <v>4</v>
      </c>
      <c r="F102" s="61">
        <v>44040</v>
      </c>
      <c r="G102" s="13"/>
      <c r="H102" s="14"/>
      <c r="I102" s="31"/>
      <c r="J102" s="15">
        <f t="shared" si="6"/>
        <v>0</v>
      </c>
    </row>
    <row r="103" spans="2:10" x14ac:dyDescent="0.15">
      <c r="B103" s="13" t="s">
        <v>50</v>
      </c>
      <c r="C103" s="2">
        <v>2</v>
      </c>
      <c r="D103" s="33">
        <v>1</v>
      </c>
      <c r="E103" s="4">
        <f t="shared" ref="E103:E113" si="7">C103+D103</f>
        <v>3</v>
      </c>
      <c r="F103" s="61">
        <v>44041</v>
      </c>
      <c r="G103" s="13"/>
      <c r="H103" s="14"/>
      <c r="I103" s="31"/>
      <c r="J103" s="15">
        <f t="shared" si="6"/>
        <v>0</v>
      </c>
    </row>
    <row r="104" spans="2:10" x14ac:dyDescent="0.15">
      <c r="B104" s="13" t="s">
        <v>46</v>
      </c>
      <c r="C104" s="2">
        <v>2</v>
      </c>
      <c r="D104" s="33">
        <v>3</v>
      </c>
      <c r="E104" s="4">
        <f t="shared" si="7"/>
        <v>5</v>
      </c>
      <c r="F104" s="61">
        <v>44041</v>
      </c>
      <c r="G104" s="13"/>
      <c r="H104" s="2"/>
      <c r="I104" s="33"/>
      <c r="J104" s="4">
        <f t="shared" si="6"/>
        <v>0</v>
      </c>
    </row>
    <row r="105" spans="2:10" x14ac:dyDescent="0.15">
      <c r="B105" s="13" t="s">
        <v>46</v>
      </c>
      <c r="C105" s="2">
        <v>9</v>
      </c>
      <c r="D105" s="33">
        <v>3</v>
      </c>
      <c r="E105" s="4">
        <f t="shared" si="7"/>
        <v>12</v>
      </c>
      <c r="F105" s="61">
        <v>44042</v>
      </c>
      <c r="G105" s="25"/>
      <c r="H105" s="2"/>
      <c r="I105" s="33"/>
      <c r="J105" s="4">
        <f t="shared" si="6"/>
        <v>0</v>
      </c>
    </row>
    <row r="106" spans="2:10" x14ac:dyDescent="0.15">
      <c r="B106" s="13" t="s">
        <v>46</v>
      </c>
      <c r="C106" s="2">
        <v>4</v>
      </c>
      <c r="D106" s="33">
        <v>1</v>
      </c>
      <c r="E106" s="4">
        <f t="shared" si="7"/>
        <v>5</v>
      </c>
      <c r="F106" s="61">
        <v>44043</v>
      </c>
      <c r="G106" s="25"/>
      <c r="H106" s="2"/>
      <c r="I106" s="33"/>
      <c r="J106" s="4">
        <f t="shared" si="6"/>
        <v>0</v>
      </c>
    </row>
    <row r="107" spans="2:10" x14ac:dyDescent="0.15">
      <c r="B107" s="25"/>
      <c r="C107" s="14"/>
      <c r="D107" s="31"/>
      <c r="E107" s="15">
        <f t="shared" si="7"/>
        <v>0</v>
      </c>
      <c r="G107" s="25"/>
      <c r="H107" s="2"/>
      <c r="I107" s="33"/>
      <c r="J107" s="4">
        <f t="shared" si="6"/>
        <v>0</v>
      </c>
    </row>
    <row r="108" spans="2:10" x14ac:dyDescent="0.15">
      <c r="B108" s="25"/>
      <c r="C108" s="14"/>
      <c r="D108" s="31"/>
      <c r="E108" s="15">
        <f t="shared" si="7"/>
        <v>0</v>
      </c>
      <c r="G108" s="25"/>
      <c r="H108" s="2"/>
      <c r="I108" s="33"/>
      <c r="J108" s="4">
        <f t="shared" si="6"/>
        <v>0</v>
      </c>
    </row>
    <row r="109" spans="2:10" x14ac:dyDescent="0.15">
      <c r="B109" s="13"/>
      <c r="C109" s="14"/>
      <c r="D109" s="31"/>
      <c r="E109" s="15">
        <f t="shared" si="7"/>
        <v>0</v>
      </c>
      <c r="G109" s="13"/>
      <c r="H109" s="2"/>
      <c r="I109" s="33"/>
      <c r="J109" s="4">
        <f t="shared" si="6"/>
        <v>0</v>
      </c>
    </row>
    <row r="110" spans="2:10" x14ac:dyDescent="0.15">
      <c r="B110" s="13"/>
      <c r="C110" s="14"/>
      <c r="D110" s="31"/>
      <c r="E110" s="15">
        <f t="shared" si="7"/>
        <v>0</v>
      </c>
      <c r="G110" s="25"/>
      <c r="H110" s="2"/>
      <c r="I110" s="33"/>
      <c r="J110" s="4">
        <f t="shared" si="6"/>
        <v>0</v>
      </c>
    </row>
    <row r="111" spans="2:10" x14ac:dyDescent="0.15">
      <c r="B111" s="13"/>
      <c r="C111" s="14"/>
      <c r="D111" s="31"/>
      <c r="E111" s="15">
        <f>C111+D111</f>
        <v>0</v>
      </c>
      <c r="F111" s="61"/>
      <c r="G111" s="25"/>
      <c r="H111" s="14"/>
      <c r="I111" s="31"/>
      <c r="J111" s="15">
        <f t="shared" si="6"/>
        <v>0</v>
      </c>
    </row>
    <row r="112" spans="2:10" x14ac:dyDescent="0.15">
      <c r="B112" s="25"/>
      <c r="C112" s="14"/>
      <c r="D112" s="31"/>
      <c r="E112" s="15">
        <f t="shared" si="7"/>
        <v>0</v>
      </c>
      <c r="G112" s="25"/>
      <c r="H112" s="14"/>
      <c r="I112" s="31"/>
      <c r="J112" s="15">
        <f t="shared" si="6"/>
        <v>0</v>
      </c>
    </row>
    <row r="113" spans="2:10" x14ac:dyDescent="0.15">
      <c r="B113" s="13"/>
      <c r="C113" s="2"/>
      <c r="D113" s="33"/>
      <c r="E113" s="15">
        <f t="shared" si="7"/>
        <v>0</v>
      </c>
      <c r="G113" s="13"/>
      <c r="H113" s="2"/>
      <c r="I113" s="33"/>
      <c r="J113" s="15">
        <f t="shared" si="6"/>
        <v>0</v>
      </c>
    </row>
    <row r="114" spans="2:10" x14ac:dyDescent="0.15">
      <c r="B114" s="13"/>
      <c r="C114" s="14"/>
      <c r="D114" s="31"/>
      <c r="E114" s="15">
        <f>C114+D114</f>
        <v>0</v>
      </c>
      <c r="F114" s="61"/>
      <c r="G114" s="25"/>
      <c r="H114" s="14"/>
      <c r="I114" s="31"/>
      <c r="J114" s="15">
        <f>H114+I114</f>
        <v>0</v>
      </c>
    </row>
    <row r="115" spans="2:10" x14ac:dyDescent="0.15">
      <c r="B115" s="25"/>
      <c r="C115" s="14"/>
      <c r="D115" s="31"/>
      <c r="E115" s="15">
        <f>C115+D115</f>
        <v>0</v>
      </c>
      <c r="G115" s="25"/>
      <c r="H115" s="2"/>
      <c r="I115" s="33"/>
      <c r="J115" s="15">
        <f t="shared" si="6"/>
        <v>0</v>
      </c>
    </row>
    <row r="116" spans="2:10" ht="14.25" thickBot="1" x14ac:dyDescent="0.2">
      <c r="B116" s="25"/>
      <c r="C116" s="27"/>
      <c r="D116" s="36"/>
      <c r="E116" s="28">
        <f>C116+D116</f>
        <v>0</v>
      </c>
      <c r="G116" s="13"/>
      <c r="H116" s="14"/>
      <c r="I116" s="31"/>
      <c r="J116" s="15">
        <f>H116+I116</f>
        <v>0</v>
      </c>
    </row>
    <row r="117" spans="2:10" ht="14.25" thickBot="1" x14ac:dyDescent="0.2">
      <c r="B117" s="8" t="s">
        <v>2</v>
      </c>
      <c r="C117" s="10">
        <f>SUM(C92:C116)</f>
        <v>643</v>
      </c>
      <c r="D117" s="32">
        <f>SUM(D92:D116)</f>
        <v>219</v>
      </c>
      <c r="E117" s="11">
        <f>C117+D117</f>
        <v>862</v>
      </c>
      <c r="G117" s="8" t="s">
        <v>2</v>
      </c>
      <c r="H117" s="10">
        <f>SUM(H92:H116)</f>
        <v>0</v>
      </c>
      <c r="I117" s="32">
        <f>SUM(I92:I116)</f>
        <v>0</v>
      </c>
      <c r="J117" s="11">
        <f>H117+I117</f>
        <v>0</v>
      </c>
    </row>
    <row r="118" spans="2:10" ht="14.25" thickBot="1" x14ac:dyDescent="0.2">
      <c r="B118" s="52" t="s">
        <v>3</v>
      </c>
      <c r="C118" s="53">
        <f>+C91-C117</f>
        <v>1207</v>
      </c>
      <c r="D118" s="54">
        <f>+D91-D117</f>
        <v>581</v>
      </c>
      <c r="E118" s="55">
        <f>C118+D118</f>
        <v>1788</v>
      </c>
      <c r="G118" s="52" t="s">
        <v>3</v>
      </c>
      <c r="H118" s="53">
        <f>+H91-H117</f>
        <v>0</v>
      </c>
      <c r="I118" s="54">
        <f>+I91-I117</f>
        <v>0</v>
      </c>
      <c r="J118" s="55">
        <f>H118+I118</f>
        <v>0</v>
      </c>
    </row>
    <row r="119" spans="2:10" x14ac:dyDescent="0.15">
      <c r="G119" s="1"/>
    </row>
    <row r="120" spans="2:10" ht="25.5" x14ac:dyDescent="0.25">
      <c r="B120" s="58" t="s">
        <v>18</v>
      </c>
      <c r="G120" s="58" t="s">
        <v>19</v>
      </c>
    </row>
    <row r="121" spans="2:10" ht="18.75" x14ac:dyDescent="0.2">
      <c r="B121" s="3" t="s">
        <v>11</v>
      </c>
      <c r="G121" s="3" t="s">
        <v>11</v>
      </c>
    </row>
    <row r="122" spans="2:10" ht="14.25" thickBot="1" x14ac:dyDescent="0.2">
      <c r="G122" s="1"/>
    </row>
    <row r="123" spans="2:10" ht="14.25" thickBot="1" x14ac:dyDescent="0.2">
      <c r="B123" s="7"/>
      <c r="C123" s="118"/>
      <c r="D123" s="119"/>
      <c r="E123" s="120"/>
      <c r="G123" s="7"/>
      <c r="H123" s="118"/>
      <c r="I123" s="119"/>
      <c r="J123" s="120"/>
    </row>
    <row r="124" spans="2:10" ht="14.25" thickBot="1" x14ac:dyDescent="0.2">
      <c r="B124" s="8"/>
      <c r="C124" s="40" t="s">
        <v>7</v>
      </c>
      <c r="D124" s="29" t="s">
        <v>9</v>
      </c>
      <c r="E124" s="9" t="s">
        <v>0</v>
      </c>
      <c r="G124" s="8"/>
      <c r="H124" s="40" t="s">
        <v>7</v>
      </c>
      <c r="I124" s="29" t="s">
        <v>9</v>
      </c>
      <c r="J124" s="9" t="s">
        <v>0</v>
      </c>
    </row>
    <row r="125" spans="2:10" x14ac:dyDescent="0.15">
      <c r="B125" s="16" t="s">
        <v>4</v>
      </c>
      <c r="C125" s="17">
        <f>C118</f>
        <v>1207</v>
      </c>
      <c r="D125" s="35">
        <f>D118</f>
        <v>581</v>
      </c>
      <c r="E125" s="18">
        <f t="shared" ref="E125:E131" si="8">C125+D125</f>
        <v>1788</v>
      </c>
      <c r="G125" s="16" t="s">
        <v>4</v>
      </c>
      <c r="H125" s="17">
        <f>H118</f>
        <v>0</v>
      </c>
      <c r="I125" s="35">
        <f>I118</f>
        <v>0</v>
      </c>
      <c r="J125" s="18">
        <f t="shared" ref="J125:J131" si="9">H125+I125</f>
        <v>0</v>
      </c>
    </row>
    <row r="126" spans="2:10" x14ac:dyDescent="0.15">
      <c r="B126" s="25" t="s">
        <v>5</v>
      </c>
      <c r="C126" s="14">
        <v>400</v>
      </c>
      <c r="D126" s="31">
        <v>110</v>
      </c>
      <c r="E126" s="23">
        <f t="shared" si="8"/>
        <v>510</v>
      </c>
      <c r="F126" s="61">
        <v>44047</v>
      </c>
      <c r="G126" s="25" t="s">
        <v>5</v>
      </c>
      <c r="H126" s="14"/>
      <c r="I126" s="31"/>
      <c r="J126" s="23">
        <f t="shared" si="9"/>
        <v>0</v>
      </c>
    </row>
    <row r="127" spans="2:10" x14ac:dyDescent="0.15">
      <c r="B127" s="26" t="s">
        <v>5</v>
      </c>
      <c r="C127" s="14">
        <v>325</v>
      </c>
      <c r="D127" s="31">
        <v>90</v>
      </c>
      <c r="E127" s="15">
        <f>C127+D127</f>
        <v>415</v>
      </c>
      <c r="F127" s="61">
        <v>44048</v>
      </c>
      <c r="G127" s="25" t="s">
        <v>5</v>
      </c>
      <c r="H127" s="14"/>
      <c r="I127" s="31"/>
      <c r="J127" s="23">
        <f t="shared" si="9"/>
        <v>0</v>
      </c>
    </row>
    <row r="128" spans="2:10" x14ac:dyDescent="0.15">
      <c r="B128" s="26" t="s">
        <v>5</v>
      </c>
      <c r="C128" s="14">
        <v>425</v>
      </c>
      <c r="D128" s="31">
        <v>300</v>
      </c>
      <c r="E128" s="15">
        <f t="shared" si="8"/>
        <v>725</v>
      </c>
      <c r="F128" s="61">
        <v>44050</v>
      </c>
      <c r="G128" s="26" t="s">
        <v>5</v>
      </c>
      <c r="H128" s="27"/>
      <c r="I128" s="36"/>
      <c r="J128" s="28">
        <f t="shared" si="9"/>
        <v>0</v>
      </c>
    </row>
    <row r="129" spans="2:10" x14ac:dyDescent="0.15">
      <c r="B129" s="25" t="s">
        <v>5</v>
      </c>
      <c r="C129" s="14"/>
      <c r="D129" s="31"/>
      <c r="E129" s="15">
        <f>C129+D129</f>
        <v>0</v>
      </c>
      <c r="G129" s="26" t="s">
        <v>5</v>
      </c>
      <c r="H129" s="27"/>
      <c r="I129" s="36"/>
      <c r="J129" s="28">
        <f t="shared" si="9"/>
        <v>0</v>
      </c>
    </row>
    <row r="130" spans="2:10" ht="14.25" thickBot="1" x14ac:dyDescent="0.2">
      <c r="B130" s="26" t="s">
        <v>5</v>
      </c>
      <c r="C130" s="27"/>
      <c r="D130" s="36"/>
      <c r="E130" s="28">
        <f>C130+D130</f>
        <v>0</v>
      </c>
      <c r="G130" s="26" t="s">
        <v>5</v>
      </c>
      <c r="H130" s="14"/>
      <c r="I130" s="31"/>
      <c r="J130" s="15">
        <f t="shared" si="9"/>
        <v>0</v>
      </c>
    </row>
    <row r="131" spans="2:10" ht="14.25" thickBot="1" x14ac:dyDescent="0.2">
      <c r="B131" s="8" t="s">
        <v>1</v>
      </c>
      <c r="C131" s="10">
        <f>SUM(C125:C130)</f>
        <v>2357</v>
      </c>
      <c r="D131" s="32">
        <f>SUM(D125:D130)</f>
        <v>1081</v>
      </c>
      <c r="E131" s="11">
        <f t="shared" si="8"/>
        <v>3438</v>
      </c>
      <c r="G131" s="8" t="s">
        <v>1</v>
      </c>
      <c r="H131" s="10">
        <f>SUM(H125:H130)</f>
        <v>0</v>
      </c>
      <c r="I131" s="32">
        <f>SUM(I125:I130)</f>
        <v>0</v>
      </c>
      <c r="J131" s="11">
        <f t="shared" si="9"/>
        <v>0</v>
      </c>
    </row>
    <row r="132" spans="2:10" x14ac:dyDescent="0.15">
      <c r="B132" s="13" t="s">
        <v>43</v>
      </c>
      <c r="C132" s="14">
        <v>200</v>
      </c>
      <c r="D132" s="31">
        <v>200</v>
      </c>
      <c r="E132" s="15">
        <f>C132+D132</f>
        <v>400</v>
      </c>
      <c r="F132" s="61">
        <v>44046</v>
      </c>
      <c r="G132" s="13"/>
      <c r="H132" s="14"/>
      <c r="I132" s="31"/>
      <c r="J132" s="15">
        <f>H132+I132</f>
        <v>0</v>
      </c>
    </row>
    <row r="133" spans="2:10" x14ac:dyDescent="0.15">
      <c r="B133" s="13" t="s">
        <v>44</v>
      </c>
      <c r="C133" s="14">
        <v>300</v>
      </c>
      <c r="D133" s="31"/>
      <c r="E133" s="15">
        <f>C133+D133</f>
        <v>300</v>
      </c>
      <c r="F133" s="61">
        <v>44050</v>
      </c>
      <c r="G133" s="13"/>
      <c r="H133" s="14"/>
      <c r="I133" s="31"/>
      <c r="J133" s="15">
        <f t="shared" ref="J133:J154" si="10">H133+I133</f>
        <v>0</v>
      </c>
    </row>
    <row r="134" spans="2:10" x14ac:dyDescent="0.15">
      <c r="B134" s="13" t="s">
        <v>45</v>
      </c>
      <c r="C134" s="14">
        <v>300</v>
      </c>
      <c r="D134" s="31">
        <v>200</v>
      </c>
      <c r="E134" s="15">
        <f t="shared" ref="E134:E154" si="11">C134+D134</f>
        <v>500</v>
      </c>
      <c r="F134" s="61">
        <v>44055</v>
      </c>
      <c r="G134" s="5"/>
      <c r="H134" s="14"/>
      <c r="I134" s="31"/>
      <c r="J134" s="15">
        <f t="shared" si="10"/>
        <v>0</v>
      </c>
    </row>
    <row r="135" spans="2:10" x14ac:dyDescent="0.15">
      <c r="B135" s="13" t="s">
        <v>40</v>
      </c>
      <c r="C135" s="14">
        <v>60</v>
      </c>
      <c r="D135" s="31"/>
      <c r="E135" s="15">
        <f t="shared" si="11"/>
        <v>60</v>
      </c>
      <c r="F135" s="61">
        <v>44046</v>
      </c>
      <c r="G135" s="13"/>
      <c r="H135" s="14"/>
      <c r="I135" s="31"/>
      <c r="J135" s="15">
        <f t="shared" si="10"/>
        <v>0</v>
      </c>
    </row>
    <row r="136" spans="2:10" x14ac:dyDescent="0.15">
      <c r="B136" s="13" t="s">
        <v>47</v>
      </c>
      <c r="C136" s="14">
        <v>90</v>
      </c>
      <c r="D136" s="31">
        <v>50</v>
      </c>
      <c r="E136" s="15">
        <f>C136+D136</f>
        <v>140</v>
      </c>
      <c r="F136" s="61">
        <v>44050</v>
      </c>
      <c r="G136" s="12"/>
      <c r="H136" s="2"/>
      <c r="I136" s="33"/>
      <c r="J136" s="4">
        <f t="shared" si="10"/>
        <v>0</v>
      </c>
    </row>
    <row r="137" spans="2:10" x14ac:dyDescent="0.15">
      <c r="B137" s="13" t="s">
        <v>51</v>
      </c>
      <c r="C137" s="14">
        <v>50</v>
      </c>
      <c r="D137" s="31"/>
      <c r="E137" s="15">
        <f t="shared" si="11"/>
        <v>50</v>
      </c>
      <c r="F137" s="61">
        <v>44049</v>
      </c>
      <c r="G137" s="12"/>
      <c r="H137" s="14"/>
      <c r="I137" s="31"/>
      <c r="J137" s="15">
        <f t="shared" si="10"/>
        <v>0</v>
      </c>
    </row>
    <row r="138" spans="2:10" x14ac:dyDescent="0.15">
      <c r="B138" s="13" t="s">
        <v>52</v>
      </c>
      <c r="C138" s="14">
        <v>1</v>
      </c>
      <c r="D138" s="31"/>
      <c r="E138" s="15">
        <f>C138+D138</f>
        <v>1</v>
      </c>
      <c r="F138" s="61">
        <v>44046</v>
      </c>
      <c r="G138" s="13"/>
      <c r="H138" s="2"/>
      <c r="I138" s="33"/>
      <c r="J138" s="4">
        <f t="shared" si="10"/>
        <v>0</v>
      </c>
    </row>
    <row r="139" spans="2:10" x14ac:dyDescent="0.15">
      <c r="B139" s="13" t="s">
        <v>28</v>
      </c>
      <c r="C139" s="14">
        <v>250</v>
      </c>
      <c r="D139" s="31">
        <v>100</v>
      </c>
      <c r="E139" s="15">
        <f>C139+D139</f>
        <v>350</v>
      </c>
      <c r="F139" s="61">
        <v>44050</v>
      </c>
      <c r="G139" s="13"/>
      <c r="H139" s="2"/>
      <c r="I139" s="33"/>
      <c r="J139" s="4">
        <f t="shared" si="10"/>
        <v>0</v>
      </c>
    </row>
    <row r="140" spans="2:10" x14ac:dyDescent="0.15">
      <c r="B140" s="13"/>
      <c r="C140" s="14"/>
      <c r="D140" s="31"/>
      <c r="E140" s="15">
        <f>C140+D140</f>
        <v>0</v>
      </c>
      <c r="F140" s="61"/>
      <c r="G140" s="13"/>
      <c r="H140" s="2"/>
      <c r="I140" s="33"/>
      <c r="J140" s="4">
        <f t="shared" si="10"/>
        <v>0</v>
      </c>
    </row>
    <row r="141" spans="2:10" x14ac:dyDescent="0.15">
      <c r="B141" s="13" t="s">
        <v>46</v>
      </c>
      <c r="C141" s="2">
        <v>1</v>
      </c>
      <c r="D141" s="33"/>
      <c r="E141" s="4">
        <f t="shared" si="11"/>
        <v>1</v>
      </c>
      <c r="F141" s="61">
        <v>44044</v>
      </c>
      <c r="G141" s="13"/>
      <c r="H141" s="2"/>
      <c r="I141" s="33"/>
      <c r="J141" s="4">
        <f t="shared" si="10"/>
        <v>0</v>
      </c>
    </row>
    <row r="142" spans="2:10" x14ac:dyDescent="0.15">
      <c r="B142" s="13" t="s">
        <v>46</v>
      </c>
      <c r="C142" s="2">
        <v>8</v>
      </c>
      <c r="D142" s="33">
        <v>1</v>
      </c>
      <c r="E142" s="4">
        <f t="shared" si="11"/>
        <v>9</v>
      </c>
      <c r="F142" s="61">
        <v>44046</v>
      </c>
      <c r="G142" s="13"/>
      <c r="H142" s="2"/>
      <c r="I142" s="33"/>
      <c r="J142" s="4">
        <f t="shared" si="10"/>
        <v>0</v>
      </c>
    </row>
    <row r="143" spans="2:10" x14ac:dyDescent="0.15">
      <c r="B143" s="13" t="s">
        <v>46</v>
      </c>
      <c r="C143" s="14">
        <v>7</v>
      </c>
      <c r="D143" s="31">
        <v>1</v>
      </c>
      <c r="E143" s="15">
        <f>C143+D143</f>
        <v>8</v>
      </c>
      <c r="F143" s="61">
        <v>44047</v>
      </c>
      <c r="G143" s="13"/>
      <c r="H143" s="2"/>
      <c r="I143" s="33"/>
      <c r="J143" s="4">
        <f t="shared" si="10"/>
        <v>0</v>
      </c>
    </row>
    <row r="144" spans="2:10" x14ac:dyDescent="0.15">
      <c r="B144" s="13" t="s">
        <v>46</v>
      </c>
      <c r="C144" s="2">
        <v>11</v>
      </c>
      <c r="D144" s="33">
        <v>4</v>
      </c>
      <c r="E144" s="4">
        <f t="shared" si="11"/>
        <v>15</v>
      </c>
      <c r="F144" s="61">
        <v>44048</v>
      </c>
      <c r="G144" s="13"/>
      <c r="H144" s="2"/>
      <c r="I144" s="33"/>
      <c r="J144" s="4">
        <f t="shared" si="10"/>
        <v>0</v>
      </c>
    </row>
    <row r="145" spans="2:10" x14ac:dyDescent="0.15">
      <c r="B145" s="13" t="s">
        <v>46</v>
      </c>
      <c r="C145" s="2">
        <v>6</v>
      </c>
      <c r="D145" s="33"/>
      <c r="E145" s="4">
        <f t="shared" si="11"/>
        <v>6</v>
      </c>
      <c r="F145" s="61">
        <v>44049</v>
      </c>
      <c r="G145" s="25"/>
      <c r="H145" s="2"/>
      <c r="I145" s="33"/>
      <c r="J145" s="4">
        <f t="shared" si="10"/>
        <v>0</v>
      </c>
    </row>
    <row r="146" spans="2:10" x14ac:dyDescent="0.15">
      <c r="B146" s="13" t="s">
        <v>46</v>
      </c>
      <c r="C146" s="2">
        <v>5</v>
      </c>
      <c r="D146" s="33">
        <v>3</v>
      </c>
      <c r="E146" s="4">
        <f t="shared" si="11"/>
        <v>8</v>
      </c>
      <c r="F146" s="61">
        <v>44050</v>
      </c>
      <c r="G146" s="25"/>
      <c r="H146" s="2"/>
      <c r="I146" s="33"/>
      <c r="J146" s="4">
        <f t="shared" si="10"/>
        <v>0</v>
      </c>
    </row>
    <row r="147" spans="2:10" x14ac:dyDescent="0.15">
      <c r="B147" s="13" t="s">
        <v>55</v>
      </c>
      <c r="C147" s="14">
        <v>50</v>
      </c>
      <c r="D147" s="31"/>
      <c r="E147" s="15">
        <f t="shared" si="11"/>
        <v>50</v>
      </c>
      <c r="F147" s="61">
        <v>44055</v>
      </c>
      <c r="G147" s="25"/>
      <c r="H147" s="2"/>
      <c r="I147" s="33"/>
      <c r="J147" s="4">
        <f t="shared" si="10"/>
        <v>0</v>
      </c>
    </row>
    <row r="148" spans="2:10" x14ac:dyDescent="0.15">
      <c r="B148" s="25" t="s">
        <v>46</v>
      </c>
      <c r="C148" s="2">
        <v>14</v>
      </c>
      <c r="D148" s="33">
        <v>6</v>
      </c>
      <c r="E148" s="4">
        <f t="shared" si="11"/>
        <v>20</v>
      </c>
      <c r="F148" s="61">
        <v>44054</v>
      </c>
      <c r="G148" s="25"/>
      <c r="H148" s="2"/>
      <c r="I148" s="33"/>
      <c r="J148" s="4">
        <f t="shared" si="10"/>
        <v>0</v>
      </c>
    </row>
    <row r="149" spans="2:10" x14ac:dyDescent="0.15">
      <c r="B149" s="13" t="s">
        <v>56</v>
      </c>
      <c r="C149" s="14"/>
      <c r="D149" s="31">
        <v>10</v>
      </c>
      <c r="E149" s="15">
        <f t="shared" si="11"/>
        <v>10</v>
      </c>
      <c r="F149" s="61">
        <v>44056</v>
      </c>
      <c r="G149" s="13"/>
      <c r="H149" s="2"/>
      <c r="I149" s="33"/>
      <c r="J149" s="4">
        <f t="shared" si="10"/>
        <v>0</v>
      </c>
    </row>
    <row r="150" spans="2:10" x14ac:dyDescent="0.15">
      <c r="B150" s="25" t="s">
        <v>46</v>
      </c>
      <c r="C150" s="2">
        <v>1</v>
      </c>
      <c r="D150" s="33">
        <v>2</v>
      </c>
      <c r="E150" s="4">
        <f t="shared" si="11"/>
        <v>3</v>
      </c>
      <c r="F150" s="61">
        <v>44055</v>
      </c>
      <c r="G150" s="25"/>
      <c r="H150" s="2"/>
      <c r="I150" s="33"/>
      <c r="J150" s="4">
        <f t="shared" si="10"/>
        <v>0</v>
      </c>
    </row>
    <row r="151" spans="2:10" x14ac:dyDescent="0.15">
      <c r="B151" s="13" t="s">
        <v>57</v>
      </c>
      <c r="C151" s="14">
        <v>50</v>
      </c>
      <c r="D151" s="31"/>
      <c r="E151" s="15">
        <f t="shared" si="11"/>
        <v>50</v>
      </c>
      <c r="F151" s="61">
        <v>44064</v>
      </c>
      <c r="G151" s="25"/>
      <c r="H151" s="14"/>
      <c r="I151" s="31"/>
      <c r="J151" s="15">
        <f t="shared" si="10"/>
        <v>0</v>
      </c>
    </row>
    <row r="152" spans="2:10" x14ac:dyDescent="0.15">
      <c r="B152" s="13" t="s">
        <v>58</v>
      </c>
      <c r="C152" s="14">
        <v>25</v>
      </c>
      <c r="D152" s="31">
        <v>25</v>
      </c>
      <c r="E152" s="15">
        <f t="shared" si="11"/>
        <v>50</v>
      </c>
      <c r="F152" s="61">
        <v>44064</v>
      </c>
      <c r="G152" s="25"/>
      <c r="H152" s="14"/>
      <c r="I152" s="31"/>
      <c r="J152" s="15">
        <f t="shared" si="10"/>
        <v>0</v>
      </c>
    </row>
    <row r="153" spans="2:10" x14ac:dyDescent="0.15">
      <c r="B153" s="25" t="s">
        <v>46</v>
      </c>
      <c r="C153" s="2">
        <v>7</v>
      </c>
      <c r="D153" s="33">
        <v>4</v>
      </c>
      <c r="E153" s="15">
        <f t="shared" si="11"/>
        <v>11</v>
      </c>
      <c r="F153" s="61">
        <v>44060</v>
      </c>
      <c r="G153" s="13"/>
      <c r="H153" s="2"/>
      <c r="I153" s="33"/>
      <c r="J153" s="15">
        <f t="shared" si="10"/>
        <v>0</v>
      </c>
    </row>
    <row r="154" spans="2:10" x14ac:dyDescent="0.15">
      <c r="B154" s="25" t="s">
        <v>60</v>
      </c>
      <c r="C154" s="14"/>
      <c r="D154" s="31">
        <v>100</v>
      </c>
      <c r="E154" s="23">
        <f t="shared" si="11"/>
        <v>100</v>
      </c>
      <c r="F154" s="61">
        <v>44067</v>
      </c>
      <c r="G154" s="25"/>
      <c r="H154" s="14"/>
      <c r="I154" s="31"/>
      <c r="J154" s="23">
        <f t="shared" si="10"/>
        <v>0</v>
      </c>
    </row>
    <row r="155" spans="2:10" x14ac:dyDescent="0.15">
      <c r="B155" s="25" t="s">
        <v>61</v>
      </c>
      <c r="C155" s="14">
        <v>1</v>
      </c>
      <c r="D155" s="31"/>
      <c r="E155" s="15">
        <f>C155+D155</f>
        <v>1</v>
      </c>
      <c r="F155" s="61">
        <v>44062</v>
      </c>
      <c r="G155" s="25"/>
      <c r="H155" s="14"/>
      <c r="I155" s="31"/>
      <c r="J155" s="15">
        <f>H155+I155</f>
        <v>0</v>
      </c>
    </row>
    <row r="156" spans="2:10" ht="14.25" thickBot="1" x14ac:dyDescent="0.2">
      <c r="B156" s="13" t="s">
        <v>62</v>
      </c>
      <c r="C156" s="27">
        <v>20</v>
      </c>
      <c r="D156" s="36">
        <v>20</v>
      </c>
      <c r="E156" s="28">
        <f>C156+D156</f>
        <v>40</v>
      </c>
      <c r="F156" s="61">
        <v>44063</v>
      </c>
      <c r="G156" s="13"/>
      <c r="H156" s="14"/>
      <c r="I156" s="31"/>
      <c r="J156" s="15">
        <f>H156+I156</f>
        <v>0</v>
      </c>
    </row>
    <row r="157" spans="2:10" ht="14.25" thickBot="1" x14ac:dyDescent="0.2">
      <c r="B157" s="8" t="s">
        <v>2</v>
      </c>
      <c r="C157" s="10">
        <f>SUM(C132:C156)</f>
        <v>1457</v>
      </c>
      <c r="D157" s="32">
        <f>SUM(D132:D156)</f>
        <v>726</v>
      </c>
      <c r="E157" s="11">
        <f>C157+D157</f>
        <v>2183</v>
      </c>
      <c r="G157" s="8" t="s">
        <v>2</v>
      </c>
      <c r="H157" s="10">
        <f>SUM(H132:H156)</f>
        <v>0</v>
      </c>
      <c r="I157" s="32">
        <f>SUM(I132:I156)</f>
        <v>0</v>
      </c>
      <c r="J157" s="11">
        <f>H157+I157</f>
        <v>0</v>
      </c>
    </row>
    <row r="158" spans="2:10" ht="14.25" thickBot="1" x14ac:dyDescent="0.2">
      <c r="B158" s="52" t="s">
        <v>3</v>
      </c>
      <c r="C158" s="53">
        <f>+C131-C157</f>
        <v>900</v>
      </c>
      <c r="D158" s="54">
        <f>+D131-D157</f>
        <v>355</v>
      </c>
      <c r="E158" s="55">
        <f>C158+D158</f>
        <v>1255</v>
      </c>
      <c r="G158" s="52" t="s">
        <v>3</v>
      </c>
      <c r="H158" s="53">
        <f>+H131-H157</f>
        <v>0</v>
      </c>
      <c r="I158" s="54">
        <f>+I131-I157</f>
        <v>0</v>
      </c>
      <c r="J158" s="55">
        <f>H158+I158</f>
        <v>0</v>
      </c>
    </row>
    <row r="159" spans="2:10" x14ac:dyDescent="0.15">
      <c r="G159" s="1"/>
    </row>
    <row r="160" spans="2:10" ht="25.5" x14ac:dyDescent="0.25">
      <c r="B160" s="58" t="s">
        <v>18</v>
      </c>
      <c r="G160" s="58" t="s">
        <v>19</v>
      </c>
    </row>
    <row r="161" spans="2:10" ht="18.75" x14ac:dyDescent="0.2">
      <c r="B161" s="3" t="s">
        <v>11</v>
      </c>
      <c r="G161" s="3" t="s">
        <v>11</v>
      </c>
    </row>
    <row r="162" spans="2:10" ht="14.25" thickBot="1" x14ac:dyDescent="0.2">
      <c r="G162" s="1"/>
    </row>
    <row r="163" spans="2:10" ht="14.25" thickBot="1" x14ac:dyDescent="0.2">
      <c r="B163" s="7"/>
      <c r="C163" s="118"/>
      <c r="D163" s="119"/>
      <c r="E163" s="120"/>
      <c r="G163" s="7"/>
      <c r="H163" s="118"/>
      <c r="I163" s="119"/>
      <c r="J163" s="120"/>
    </row>
    <row r="164" spans="2:10" ht="14.25" thickBot="1" x14ac:dyDescent="0.2">
      <c r="B164" s="8"/>
      <c r="C164" s="40" t="s">
        <v>7</v>
      </c>
      <c r="D164" s="29" t="s">
        <v>9</v>
      </c>
      <c r="E164" s="9" t="s">
        <v>0</v>
      </c>
      <c r="G164" s="8"/>
      <c r="H164" s="40" t="s">
        <v>7</v>
      </c>
      <c r="I164" s="29" t="s">
        <v>9</v>
      </c>
      <c r="J164" s="9" t="s">
        <v>0</v>
      </c>
    </row>
    <row r="165" spans="2:10" x14ac:dyDescent="0.15">
      <c r="B165" s="16" t="s">
        <v>4</v>
      </c>
      <c r="C165" s="17">
        <f>C158</f>
        <v>900</v>
      </c>
      <c r="D165" s="35">
        <f>D158</f>
        <v>355</v>
      </c>
      <c r="E165" s="18">
        <f t="shared" ref="E165:E171" si="12">C165+D165</f>
        <v>1255</v>
      </c>
      <c r="G165" s="16" t="s">
        <v>4</v>
      </c>
      <c r="H165" s="17">
        <f>H158</f>
        <v>0</v>
      </c>
      <c r="I165" s="35">
        <f>I158</f>
        <v>0</v>
      </c>
      <c r="J165" s="18">
        <f t="shared" ref="J165:J171" si="13">H165+I165</f>
        <v>0</v>
      </c>
    </row>
    <row r="166" spans="2:10" x14ac:dyDescent="0.15">
      <c r="B166" s="25" t="s">
        <v>5</v>
      </c>
      <c r="C166" s="14">
        <v>450</v>
      </c>
      <c r="D166" s="31">
        <v>690</v>
      </c>
      <c r="E166" s="15">
        <f>C166+D166</f>
        <v>1140</v>
      </c>
      <c r="F166" s="61">
        <v>44060</v>
      </c>
      <c r="G166" s="25" t="s">
        <v>5</v>
      </c>
      <c r="H166" s="14"/>
      <c r="I166" s="31"/>
      <c r="J166" s="23">
        <f t="shared" si="13"/>
        <v>0</v>
      </c>
    </row>
    <row r="167" spans="2:10" x14ac:dyDescent="0.15">
      <c r="B167" s="26" t="s">
        <v>5</v>
      </c>
      <c r="C167" s="27">
        <v>300</v>
      </c>
      <c r="D167" s="36">
        <v>400</v>
      </c>
      <c r="E167" s="28">
        <f>C167+D167</f>
        <v>700</v>
      </c>
      <c r="F167" s="61">
        <v>44061</v>
      </c>
      <c r="G167" s="25" t="s">
        <v>5</v>
      </c>
      <c r="H167" s="14"/>
      <c r="I167" s="31"/>
      <c r="J167" s="23">
        <f t="shared" si="13"/>
        <v>0</v>
      </c>
    </row>
    <row r="168" spans="2:10" x14ac:dyDescent="0.15">
      <c r="B168" s="26" t="s">
        <v>5</v>
      </c>
      <c r="C168" s="27">
        <v>250</v>
      </c>
      <c r="D168" s="36">
        <v>410</v>
      </c>
      <c r="E168" s="28">
        <f t="shared" si="12"/>
        <v>660</v>
      </c>
      <c r="F168" s="61">
        <v>44063</v>
      </c>
      <c r="G168" s="26" t="s">
        <v>5</v>
      </c>
      <c r="H168" s="27"/>
      <c r="I168" s="36"/>
      <c r="J168" s="28">
        <f t="shared" si="13"/>
        <v>0</v>
      </c>
    </row>
    <row r="169" spans="2:10" x14ac:dyDescent="0.15">
      <c r="B169" s="26" t="s">
        <v>64</v>
      </c>
      <c r="C169" s="27">
        <v>1</v>
      </c>
      <c r="D169" s="36"/>
      <c r="E169" s="28">
        <f t="shared" si="12"/>
        <v>1</v>
      </c>
      <c r="F169" s="61">
        <v>44063</v>
      </c>
      <c r="G169" s="26" t="s">
        <v>5</v>
      </c>
      <c r="H169" s="27"/>
      <c r="I169" s="36"/>
      <c r="J169" s="28">
        <f t="shared" si="13"/>
        <v>0</v>
      </c>
    </row>
    <row r="170" spans="2:10" ht="14.25" thickBot="1" x14ac:dyDescent="0.2">
      <c r="B170" s="26" t="s">
        <v>5</v>
      </c>
      <c r="C170" s="14"/>
      <c r="D170" s="31"/>
      <c r="E170" s="15">
        <f t="shared" si="12"/>
        <v>0</v>
      </c>
      <c r="G170" s="26" t="s">
        <v>5</v>
      </c>
      <c r="H170" s="14"/>
      <c r="I170" s="31"/>
      <c r="J170" s="15">
        <f t="shared" si="13"/>
        <v>0</v>
      </c>
    </row>
    <row r="171" spans="2:10" ht="14.25" thickBot="1" x14ac:dyDescent="0.2">
      <c r="B171" s="8" t="s">
        <v>1</v>
      </c>
      <c r="C171" s="10">
        <f>SUM(C165:C170)</f>
        <v>1901</v>
      </c>
      <c r="D171" s="32">
        <f>SUM(D165:D170)</f>
        <v>1855</v>
      </c>
      <c r="E171" s="11">
        <f t="shared" si="12"/>
        <v>3756</v>
      </c>
      <c r="G171" s="8" t="s">
        <v>1</v>
      </c>
      <c r="H171" s="10">
        <f>SUM(H165:H170)</f>
        <v>0</v>
      </c>
      <c r="I171" s="32">
        <f>SUM(I165:I170)</f>
        <v>0</v>
      </c>
      <c r="J171" s="11">
        <f t="shared" si="13"/>
        <v>0</v>
      </c>
    </row>
    <row r="172" spans="2:10" x14ac:dyDescent="0.15">
      <c r="B172" s="25" t="s">
        <v>46</v>
      </c>
      <c r="C172" s="14">
        <v>3</v>
      </c>
      <c r="D172" s="31">
        <v>3</v>
      </c>
      <c r="E172" s="15">
        <f>C172+D172</f>
        <v>6</v>
      </c>
      <c r="F172" s="61">
        <v>44062</v>
      </c>
      <c r="G172" s="13"/>
      <c r="H172" s="14"/>
      <c r="I172" s="31"/>
      <c r="J172" s="15">
        <f>H172+I172</f>
        <v>0</v>
      </c>
    </row>
    <row r="173" spans="2:10" x14ac:dyDescent="0.15">
      <c r="B173" s="13" t="s">
        <v>63</v>
      </c>
      <c r="C173" s="2">
        <v>1</v>
      </c>
      <c r="D173" s="33"/>
      <c r="E173" s="4">
        <f t="shared" ref="E173:E194" si="14">C173+D173</f>
        <v>1</v>
      </c>
      <c r="F173" s="61">
        <v>44063</v>
      </c>
      <c r="G173" s="13"/>
      <c r="H173" s="14"/>
      <c r="I173" s="31"/>
      <c r="J173" s="15">
        <f t="shared" ref="J173:J194" si="15">H173+I173</f>
        <v>0</v>
      </c>
    </row>
    <row r="174" spans="2:10" x14ac:dyDescent="0.15">
      <c r="B174" s="25" t="s">
        <v>46</v>
      </c>
      <c r="C174" s="14">
        <v>1</v>
      </c>
      <c r="D174" s="31"/>
      <c r="E174" s="15">
        <f t="shared" si="14"/>
        <v>1</v>
      </c>
      <c r="F174" s="61">
        <v>44063</v>
      </c>
      <c r="G174" s="5"/>
      <c r="H174" s="14"/>
      <c r="I174" s="31"/>
      <c r="J174" s="15">
        <f t="shared" si="15"/>
        <v>0</v>
      </c>
    </row>
    <row r="175" spans="2:10" x14ac:dyDescent="0.15">
      <c r="B175" s="13" t="s">
        <v>65</v>
      </c>
      <c r="C175" s="14">
        <v>15</v>
      </c>
      <c r="D175" s="31">
        <v>15</v>
      </c>
      <c r="E175" s="15">
        <f t="shared" si="14"/>
        <v>30</v>
      </c>
      <c r="F175" s="61">
        <v>44065</v>
      </c>
      <c r="G175" s="13"/>
      <c r="H175" s="14"/>
      <c r="I175" s="31"/>
      <c r="J175" s="15">
        <f t="shared" si="15"/>
        <v>0</v>
      </c>
    </row>
    <row r="176" spans="2:10" x14ac:dyDescent="0.15">
      <c r="B176" s="25" t="s">
        <v>46</v>
      </c>
      <c r="C176" s="2">
        <v>6</v>
      </c>
      <c r="D176" s="33"/>
      <c r="E176" s="4">
        <f t="shared" si="14"/>
        <v>6</v>
      </c>
      <c r="F176" s="61">
        <v>44067</v>
      </c>
      <c r="G176" s="12"/>
      <c r="H176" s="2"/>
      <c r="I176" s="33"/>
      <c r="J176" s="4">
        <f t="shared" si="15"/>
        <v>0</v>
      </c>
    </row>
    <row r="177" spans="2:10" x14ac:dyDescent="0.15">
      <c r="B177" s="13" t="s">
        <v>66</v>
      </c>
      <c r="C177" s="14">
        <v>1</v>
      </c>
      <c r="D177" s="31"/>
      <c r="E177" s="15">
        <f t="shared" si="14"/>
        <v>1</v>
      </c>
      <c r="F177" s="61">
        <v>44067</v>
      </c>
      <c r="G177" s="12"/>
      <c r="H177" s="14"/>
      <c r="I177" s="31"/>
      <c r="J177" s="15">
        <f t="shared" si="15"/>
        <v>0</v>
      </c>
    </row>
    <row r="178" spans="2:10" x14ac:dyDescent="0.15">
      <c r="B178" s="25" t="s">
        <v>67</v>
      </c>
      <c r="C178" s="14">
        <v>100</v>
      </c>
      <c r="D178" s="31"/>
      <c r="E178" s="15">
        <f t="shared" si="14"/>
        <v>100</v>
      </c>
      <c r="F178" s="61">
        <v>44075</v>
      </c>
      <c r="G178" s="13"/>
      <c r="H178" s="2"/>
      <c r="I178" s="33"/>
      <c r="J178" s="4">
        <f t="shared" si="15"/>
        <v>0</v>
      </c>
    </row>
    <row r="179" spans="2:10" x14ac:dyDescent="0.15">
      <c r="B179" s="13" t="s">
        <v>68</v>
      </c>
      <c r="C179" s="14">
        <v>30</v>
      </c>
      <c r="D179" s="31">
        <v>15</v>
      </c>
      <c r="E179" s="15">
        <f t="shared" si="14"/>
        <v>45</v>
      </c>
      <c r="F179" s="61">
        <v>44069</v>
      </c>
      <c r="G179" s="13"/>
      <c r="H179" s="2"/>
      <c r="I179" s="33"/>
      <c r="J179" s="4">
        <f t="shared" si="15"/>
        <v>0</v>
      </c>
    </row>
    <row r="180" spans="2:10" x14ac:dyDescent="0.15">
      <c r="B180" s="25" t="s">
        <v>46</v>
      </c>
      <c r="C180" s="2">
        <v>1</v>
      </c>
      <c r="D180" s="33"/>
      <c r="E180" s="4">
        <f t="shared" si="14"/>
        <v>1</v>
      </c>
      <c r="F180" s="61">
        <v>44068</v>
      </c>
      <c r="G180" s="13"/>
      <c r="H180" s="2"/>
      <c r="I180" s="33"/>
      <c r="J180" s="4">
        <f t="shared" si="15"/>
        <v>0</v>
      </c>
    </row>
    <row r="181" spans="2:10" x14ac:dyDescent="0.15">
      <c r="B181" s="13" t="s">
        <v>70</v>
      </c>
      <c r="C181" s="14">
        <v>100</v>
      </c>
      <c r="D181" s="31">
        <v>20</v>
      </c>
      <c r="E181" s="15">
        <f t="shared" si="14"/>
        <v>120</v>
      </c>
      <c r="F181" s="61">
        <v>44070</v>
      </c>
      <c r="G181" s="13"/>
      <c r="H181" s="2"/>
      <c r="I181" s="33"/>
      <c r="J181" s="4">
        <f t="shared" si="15"/>
        <v>0</v>
      </c>
    </row>
    <row r="182" spans="2:10" x14ac:dyDescent="0.15">
      <c r="B182" s="25" t="s">
        <v>46</v>
      </c>
      <c r="C182" s="14">
        <v>2</v>
      </c>
      <c r="D182" s="31"/>
      <c r="E182" s="15">
        <f>C182+D182</f>
        <v>2</v>
      </c>
      <c r="F182" s="61">
        <v>44069</v>
      </c>
      <c r="G182" s="13"/>
      <c r="H182" s="2"/>
      <c r="I182" s="33"/>
      <c r="J182" s="4">
        <f t="shared" si="15"/>
        <v>0</v>
      </c>
    </row>
    <row r="183" spans="2:10" x14ac:dyDescent="0.15">
      <c r="B183" s="25" t="s">
        <v>46</v>
      </c>
      <c r="C183" s="14">
        <v>2</v>
      </c>
      <c r="D183" s="31"/>
      <c r="E183" s="15">
        <f t="shared" si="14"/>
        <v>2</v>
      </c>
      <c r="F183" s="61">
        <v>44070</v>
      </c>
      <c r="G183" s="13"/>
      <c r="H183" s="2"/>
      <c r="I183" s="33"/>
      <c r="J183" s="4">
        <f t="shared" si="15"/>
        <v>0</v>
      </c>
    </row>
    <row r="184" spans="2:10" x14ac:dyDescent="0.15">
      <c r="B184" s="25" t="s">
        <v>46</v>
      </c>
      <c r="C184" s="2">
        <v>1</v>
      </c>
      <c r="D184" s="33">
        <v>1</v>
      </c>
      <c r="E184" s="4">
        <f t="shared" si="14"/>
        <v>2</v>
      </c>
      <c r="F184" s="61">
        <v>44072</v>
      </c>
      <c r="G184" s="13"/>
      <c r="H184" s="2"/>
      <c r="I184" s="33"/>
      <c r="J184" s="4">
        <f t="shared" si="15"/>
        <v>0</v>
      </c>
    </row>
    <row r="185" spans="2:10" x14ac:dyDescent="0.15">
      <c r="B185" s="25" t="s">
        <v>46</v>
      </c>
      <c r="C185" s="2"/>
      <c r="D185" s="33">
        <v>2</v>
      </c>
      <c r="E185" s="4">
        <f>C185+D185</f>
        <v>2</v>
      </c>
      <c r="F185" s="61">
        <v>44074</v>
      </c>
      <c r="G185" s="25"/>
      <c r="H185" s="2"/>
      <c r="I185" s="33"/>
      <c r="J185" s="4">
        <f t="shared" si="15"/>
        <v>0</v>
      </c>
    </row>
    <row r="186" spans="2:10" x14ac:dyDescent="0.15">
      <c r="B186" s="13" t="s">
        <v>75</v>
      </c>
      <c r="C186" s="14"/>
      <c r="D186" s="31">
        <v>10</v>
      </c>
      <c r="E186" s="15">
        <f t="shared" si="14"/>
        <v>10</v>
      </c>
      <c r="F186" s="61">
        <v>44075</v>
      </c>
      <c r="G186" s="25"/>
      <c r="H186" s="2"/>
      <c r="I186" s="33"/>
      <c r="J186" s="4">
        <f t="shared" si="15"/>
        <v>0</v>
      </c>
    </row>
    <row r="187" spans="2:10" x14ac:dyDescent="0.15">
      <c r="B187" s="13" t="s">
        <v>74</v>
      </c>
      <c r="C187" s="14">
        <v>50</v>
      </c>
      <c r="D187" s="31">
        <v>50</v>
      </c>
      <c r="E187" s="15">
        <f>C187+D187</f>
        <v>100</v>
      </c>
      <c r="F187" s="61">
        <v>44078</v>
      </c>
      <c r="G187" s="25"/>
      <c r="H187" s="2"/>
      <c r="I187" s="33"/>
      <c r="J187" s="4">
        <f t="shared" si="15"/>
        <v>0</v>
      </c>
    </row>
    <row r="188" spans="2:10" x14ac:dyDescent="0.15">
      <c r="B188" s="25" t="s">
        <v>46</v>
      </c>
      <c r="C188" s="2">
        <v>2</v>
      </c>
      <c r="D188" s="33"/>
      <c r="E188" s="4">
        <f t="shared" si="14"/>
        <v>2</v>
      </c>
      <c r="F188" s="61">
        <v>44075</v>
      </c>
      <c r="G188" s="25"/>
      <c r="H188" s="2"/>
      <c r="I188" s="33"/>
      <c r="J188" s="4">
        <f t="shared" si="15"/>
        <v>0</v>
      </c>
    </row>
    <row r="189" spans="2:10" x14ac:dyDescent="0.15">
      <c r="B189" s="13" t="s">
        <v>77</v>
      </c>
      <c r="C189" s="14">
        <v>20</v>
      </c>
      <c r="D189" s="31">
        <v>10</v>
      </c>
      <c r="E189" s="15">
        <f t="shared" si="14"/>
        <v>30</v>
      </c>
      <c r="F189" s="61">
        <v>44082</v>
      </c>
      <c r="G189" s="13"/>
      <c r="H189" s="2"/>
      <c r="I189" s="33"/>
      <c r="J189" s="4">
        <f t="shared" si="15"/>
        <v>0</v>
      </c>
    </row>
    <row r="190" spans="2:10" x14ac:dyDescent="0.15">
      <c r="B190" s="13" t="s">
        <v>76</v>
      </c>
      <c r="C190" s="14">
        <v>100</v>
      </c>
      <c r="D190" s="31">
        <v>50</v>
      </c>
      <c r="E190" s="15">
        <f t="shared" si="14"/>
        <v>150</v>
      </c>
      <c r="F190" s="61">
        <v>44077</v>
      </c>
      <c r="G190" s="25"/>
      <c r="H190" s="2"/>
      <c r="I190" s="33"/>
      <c r="J190" s="4">
        <f t="shared" si="15"/>
        <v>0</v>
      </c>
    </row>
    <row r="191" spans="2:10" x14ac:dyDescent="0.15">
      <c r="B191" s="25" t="s">
        <v>46</v>
      </c>
      <c r="C191" s="14">
        <v>1</v>
      </c>
      <c r="D191" s="31"/>
      <c r="E191" s="15">
        <f t="shared" si="14"/>
        <v>1</v>
      </c>
      <c r="F191" s="61">
        <v>44076</v>
      </c>
      <c r="G191" s="25"/>
      <c r="H191" s="14"/>
      <c r="I191" s="31"/>
      <c r="J191" s="15">
        <f t="shared" si="15"/>
        <v>0</v>
      </c>
    </row>
    <row r="192" spans="2:10" x14ac:dyDescent="0.15">
      <c r="B192" s="25" t="s">
        <v>46</v>
      </c>
      <c r="C192" s="14">
        <v>1</v>
      </c>
      <c r="D192" s="31"/>
      <c r="E192" s="15">
        <f t="shared" si="14"/>
        <v>1</v>
      </c>
      <c r="F192" s="61">
        <v>44077</v>
      </c>
      <c r="G192" s="25"/>
      <c r="H192" s="14"/>
      <c r="I192" s="31"/>
      <c r="J192" s="15">
        <f t="shared" si="15"/>
        <v>0</v>
      </c>
    </row>
    <row r="193" spans="2:11" x14ac:dyDescent="0.15">
      <c r="B193" s="25" t="s">
        <v>78</v>
      </c>
      <c r="C193" s="2">
        <v>1</v>
      </c>
      <c r="D193" s="33"/>
      <c r="E193" s="15">
        <f t="shared" si="14"/>
        <v>1</v>
      </c>
      <c r="F193" s="61">
        <v>44078</v>
      </c>
      <c r="G193" s="13"/>
      <c r="H193" s="2"/>
      <c r="I193" s="33"/>
      <c r="J193" s="15">
        <f t="shared" si="15"/>
        <v>0</v>
      </c>
    </row>
    <row r="194" spans="2:11" x14ac:dyDescent="0.15">
      <c r="B194" s="25" t="s">
        <v>46</v>
      </c>
      <c r="C194" s="14">
        <v>2</v>
      </c>
      <c r="D194" s="31">
        <v>1</v>
      </c>
      <c r="E194" s="23">
        <f t="shared" si="14"/>
        <v>3</v>
      </c>
      <c r="F194" s="61">
        <v>44078</v>
      </c>
      <c r="G194" s="25"/>
      <c r="H194" s="14"/>
      <c r="I194" s="31"/>
      <c r="J194" s="23">
        <f t="shared" si="15"/>
        <v>0</v>
      </c>
    </row>
    <row r="195" spans="2:11" x14ac:dyDescent="0.15">
      <c r="B195" s="25" t="s">
        <v>79</v>
      </c>
      <c r="C195" s="27">
        <v>1</v>
      </c>
      <c r="D195" s="36">
        <v>2</v>
      </c>
      <c r="E195" s="28">
        <f>C195+D195</f>
        <v>3</v>
      </c>
      <c r="F195" s="61">
        <v>44081</v>
      </c>
      <c r="G195" s="25"/>
      <c r="H195" s="14"/>
      <c r="I195" s="31"/>
      <c r="J195" s="15">
        <f>H195+I195</f>
        <v>0</v>
      </c>
    </row>
    <row r="196" spans="2:11" ht="14.25" thickBot="1" x14ac:dyDescent="0.2">
      <c r="B196" s="25" t="s">
        <v>46</v>
      </c>
      <c r="C196" s="27">
        <v>6</v>
      </c>
      <c r="D196" s="36">
        <v>1</v>
      </c>
      <c r="E196" s="28">
        <f>C196+D196</f>
        <v>7</v>
      </c>
      <c r="F196" s="61">
        <v>44079</v>
      </c>
      <c r="G196" s="13"/>
      <c r="H196" s="14"/>
      <c r="I196" s="31">
        <v>0</v>
      </c>
      <c r="J196" s="15">
        <f>H196+I196</f>
        <v>0</v>
      </c>
    </row>
    <row r="197" spans="2:11" ht="14.25" thickBot="1" x14ac:dyDescent="0.2">
      <c r="B197" s="8" t="s">
        <v>2</v>
      </c>
      <c r="C197" s="10">
        <f>SUM(C172:C196)</f>
        <v>447</v>
      </c>
      <c r="D197" s="32">
        <f>SUM(D172:D196)</f>
        <v>180</v>
      </c>
      <c r="E197" s="11">
        <f>C197+D197</f>
        <v>627</v>
      </c>
      <c r="G197" s="8" t="s">
        <v>2</v>
      </c>
      <c r="H197" s="10">
        <f>SUM(H172:H196)</f>
        <v>0</v>
      </c>
      <c r="I197" s="32">
        <f>SUM(I172:I196)</f>
        <v>0</v>
      </c>
      <c r="J197" s="11">
        <f>H197+I197</f>
        <v>0</v>
      </c>
    </row>
    <row r="198" spans="2:11" ht="14.25" thickBot="1" x14ac:dyDescent="0.2">
      <c r="B198" s="52" t="s">
        <v>3</v>
      </c>
      <c r="C198" s="53">
        <f>+C171-C197</f>
        <v>1454</v>
      </c>
      <c r="D198" s="54">
        <f>+D171-D197</f>
        <v>1675</v>
      </c>
      <c r="E198" s="55">
        <f>C198+D198</f>
        <v>3129</v>
      </c>
      <c r="G198" s="52" t="s">
        <v>3</v>
      </c>
      <c r="H198" s="53">
        <f>+H171-H197</f>
        <v>0</v>
      </c>
      <c r="I198" s="54">
        <f>+I171-I197</f>
        <v>0</v>
      </c>
      <c r="J198" s="55">
        <f>H198+I198</f>
        <v>0</v>
      </c>
    </row>
    <row r="200" spans="2:11" ht="25.5" x14ac:dyDescent="0.25">
      <c r="B200" s="58" t="s">
        <v>18</v>
      </c>
      <c r="G200" s="58" t="s">
        <v>19</v>
      </c>
    </row>
    <row r="201" spans="2:11" ht="18.75" x14ac:dyDescent="0.2">
      <c r="B201" s="3" t="s">
        <v>11</v>
      </c>
      <c r="G201" s="3" t="s">
        <v>11</v>
      </c>
    </row>
    <row r="202" spans="2:11" ht="14.25" thickBot="1" x14ac:dyDescent="0.2">
      <c r="G202" s="1"/>
    </row>
    <row r="203" spans="2:11" ht="14.25" thickBot="1" x14ac:dyDescent="0.2">
      <c r="B203" s="7"/>
      <c r="C203" s="118"/>
      <c r="D203" s="119"/>
      <c r="E203" s="120"/>
      <c r="G203" s="7"/>
      <c r="H203" s="118"/>
      <c r="I203" s="119"/>
      <c r="J203" s="120"/>
    </row>
    <row r="204" spans="2:11" ht="14.25" thickBot="1" x14ac:dyDescent="0.2">
      <c r="B204" s="8"/>
      <c r="C204" s="40" t="s">
        <v>7</v>
      </c>
      <c r="D204" s="29" t="s">
        <v>9</v>
      </c>
      <c r="E204" s="9" t="s">
        <v>0</v>
      </c>
      <c r="G204" s="8"/>
      <c r="H204" s="40" t="s">
        <v>7</v>
      </c>
      <c r="I204" s="29" t="s">
        <v>9</v>
      </c>
      <c r="J204" s="9" t="s">
        <v>0</v>
      </c>
    </row>
    <row r="205" spans="2:11" x14ac:dyDescent="0.15">
      <c r="B205" s="16" t="s">
        <v>4</v>
      </c>
      <c r="C205" s="17">
        <f>C198</f>
        <v>1454</v>
      </c>
      <c r="D205" s="35">
        <f>D198</f>
        <v>1675</v>
      </c>
      <c r="E205" s="18">
        <f t="shared" ref="E205:E211" si="16">C205+D205</f>
        <v>3129</v>
      </c>
      <c r="G205" s="16" t="s">
        <v>4</v>
      </c>
      <c r="H205" s="17">
        <f>H198</f>
        <v>0</v>
      </c>
      <c r="I205" s="35">
        <f>I198</f>
        <v>0</v>
      </c>
      <c r="J205" s="18">
        <f t="shared" ref="J205:J211" si="17">H205+I205</f>
        <v>0</v>
      </c>
    </row>
    <row r="206" spans="2:11" x14ac:dyDescent="0.15">
      <c r="B206" s="25" t="s">
        <v>86</v>
      </c>
      <c r="C206" s="14">
        <v>1</v>
      </c>
      <c r="D206" s="31"/>
      <c r="E206" s="23">
        <f t="shared" si="16"/>
        <v>1</v>
      </c>
      <c r="F206" s="61">
        <v>44084</v>
      </c>
      <c r="G206" s="25" t="s">
        <v>5</v>
      </c>
      <c r="H206" s="14"/>
      <c r="I206" s="31"/>
      <c r="J206" s="23">
        <f t="shared" si="17"/>
        <v>0</v>
      </c>
    </row>
    <row r="207" spans="2:11" x14ac:dyDescent="0.15">
      <c r="B207" s="26" t="s">
        <v>5</v>
      </c>
      <c r="C207" s="27">
        <v>37</v>
      </c>
      <c r="D207" s="36"/>
      <c r="E207" s="28">
        <f t="shared" si="16"/>
        <v>37</v>
      </c>
      <c r="F207" s="61">
        <v>44110</v>
      </c>
      <c r="G207" s="25" t="s">
        <v>5</v>
      </c>
      <c r="H207" s="14">
        <v>2000</v>
      </c>
      <c r="I207" s="31"/>
      <c r="J207" s="23">
        <f t="shared" si="17"/>
        <v>2000</v>
      </c>
      <c r="K207" s="61" t="s">
        <v>91</v>
      </c>
    </row>
    <row r="208" spans="2:11" x14ac:dyDescent="0.15">
      <c r="B208" s="26" t="s">
        <v>5</v>
      </c>
      <c r="C208" s="27"/>
      <c r="D208" s="36"/>
      <c r="E208" s="28">
        <f t="shared" si="16"/>
        <v>0</v>
      </c>
      <c r="G208" s="26" t="s">
        <v>5</v>
      </c>
      <c r="H208" s="27"/>
      <c r="I208" s="36"/>
      <c r="J208" s="28">
        <f t="shared" si="17"/>
        <v>0</v>
      </c>
    </row>
    <row r="209" spans="2:11" x14ac:dyDescent="0.15">
      <c r="B209" s="26" t="s">
        <v>5</v>
      </c>
      <c r="C209" s="27"/>
      <c r="D209" s="36"/>
      <c r="E209" s="28">
        <f t="shared" si="16"/>
        <v>0</v>
      </c>
      <c r="G209" s="26" t="s">
        <v>5</v>
      </c>
      <c r="H209" s="27"/>
      <c r="I209" s="36"/>
      <c r="J209" s="28">
        <f t="shared" si="17"/>
        <v>0</v>
      </c>
    </row>
    <row r="210" spans="2:11" ht="14.25" thickBot="1" x14ac:dyDescent="0.2">
      <c r="B210" s="26" t="s">
        <v>5</v>
      </c>
      <c r="C210" s="14"/>
      <c r="D210" s="31"/>
      <c r="E210" s="15">
        <f t="shared" si="16"/>
        <v>0</v>
      </c>
      <c r="G210" s="26" t="s">
        <v>5</v>
      </c>
      <c r="H210" s="14"/>
      <c r="I210" s="31"/>
      <c r="J210" s="15">
        <f t="shared" si="17"/>
        <v>0</v>
      </c>
    </row>
    <row r="211" spans="2:11" ht="14.25" thickBot="1" x14ac:dyDescent="0.2">
      <c r="B211" s="8" t="s">
        <v>1</v>
      </c>
      <c r="C211" s="10">
        <f>SUM(C205:C210)</f>
        <v>1492</v>
      </c>
      <c r="D211" s="32">
        <f>SUM(D205:D210)</f>
        <v>1675</v>
      </c>
      <c r="E211" s="11">
        <f t="shared" si="16"/>
        <v>3167</v>
      </c>
      <c r="G211" s="8" t="s">
        <v>1</v>
      </c>
      <c r="H211" s="10">
        <f>SUM(H205:H210)</f>
        <v>2000</v>
      </c>
      <c r="I211" s="32">
        <f>SUM(I205:I210)</f>
        <v>0</v>
      </c>
      <c r="J211" s="11">
        <f t="shared" si="17"/>
        <v>2000</v>
      </c>
    </row>
    <row r="212" spans="2:11" x14ac:dyDescent="0.15">
      <c r="B212" s="25" t="s">
        <v>80</v>
      </c>
      <c r="C212" s="14">
        <v>18</v>
      </c>
      <c r="D212" s="31">
        <v>9</v>
      </c>
      <c r="E212" s="15">
        <v>11</v>
      </c>
      <c r="F212" s="61">
        <v>44083</v>
      </c>
      <c r="G212" s="72" t="s">
        <v>81</v>
      </c>
      <c r="H212" s="14">
        <v>400</v>
      </c>
      <c r="I212" s="31"/>
      <c r="J212" s="15">
        <f>H212+I212</f>
        <v>400</v>
      </c>
      <c r="K212" s="61">
        <v>44091</v>
      </c>
    </row>
    <row r="213" spans="2:11" x14ac:dyDescent="0.15">
      <c r="B213" s="25" t="s">
        <v>46</v>
      </c>
      <c r="C213" s="14">
        <v>5</v>
      </c>
      <c r="D213" s="31">
        <v>3</v>
      </c>
      <c r="E213" s="15">
        <f t="shared" ref="E213:E233" si="18">C213+D213</f>
        <v>8</v>
      </c>
      <c r="F213" s="61">
        <v>44081</v>
      </c>
      <c r="G213" s="72" t="s">
        <v>118</v>
      </c>
      <c r="H213" s="14">
        <v>1563</v>
      </c>
      <c r="I213" s="31"/>
      <c r="J213" s="15">
        <f t="shared" ref="J213:J234" si="19">H213+I213</f>
        <v>1563</v>
      </c>
      <c r="K213" s="61">
        <v>44105</v>
      </c>
    </row>
    <row r="214" spans="2:11" x14ac:dyDescent="0.15">
      <c r="B214" s="25" t="s">
        <v>46</v>
      </c>
      <c r="C214" s="14">
        <v>2</v>
      </c>
      <c r="D214" s="31">
        <v>2</v>
      </c>
      <c r="E214" s="15">
        <f t="shared" si="18"/>
        <v>4</v>
      </c>
      <c r="F214" s="61">
        <v>44082</v>
      </c>
      <c r="G214" s="5" t="s">
        <v>120</v>
      </c>
      <c r="H214" s="14">
        <v>37</v>
      </c>
      <c r="I214" s="31"/>
      <c r="J214" s="15">
        <f t="shared" si="19"/>
        <v>37</v>
      </c>
      <c r="K214" s="61">
        <v>44110</v>
      </c>
    </row>
    <row r="215" spans="2:11" x14ac:dyDescent="0.15">
      <c r="B215" s="13" t="s">
        <v>82</v>
      </c>
      <c r="C215" s="14">
        <v>50</v>
      </c>
      <c r="D215" s="31">
        <v>10</v>
      </c>
      <c r="E215" s="15">
        <f t="shared" si="18"/>
        <v>60</v>
      </c>
      <c r="F215" s="61">
        <v>44088</v>
      </c>
      <c r="G215" s="13"/>
      <c r="H215" s="14"/>
      <c r="I215" s="31"/>
      <c r="J215" s="15">
        <f t="shared" si="19"/>
        <v>0</v>
      </c>
    </row>
    <row r="216" spans="2:11" x14ac:dyDescent="0.15">
      <c r="B216" s="13" t="s">
        <v>83</v>
      </c>
      <c r="C216" s="14">
        <v>25</v>
      </c>
      <c r="D216" s="31">
        <v>10</v>
      </c>
      <c r="E216" s="15">
        <f t="shared" si="18"/>
        <v>35</v>
      </c>
      <c r="F216" s="61">
        <v>44084</v>
      </c>
      <c r="G216" s="12"/>
      <c r="H216" s="2"/>
      <c r="I216" s="33"/>
      <c r="J216" s="4">
        <f t="shared" si="19"/>
        <v>0</v>
      </c>
    </row>
    <row r="217" spans="2:11" x14ac:dyDescent="0.15">
      <c r="B217" s="13" t="s">
        <v>84</v>
      </c>
      <c r="C217" s="14">
        <v>30</v>
      </c>
      <c r="D217" s="31">
        <v>20</v>
      </c>
      <c r="E217" s="15">
        <f t="shared" si="18"/>
        <v>50</v>
      </c>
      <c r="F217" s="61">
        <v>44084</v>
      </c>
      <c r="G217" s="12"/>
      <c r="H217" s="14"/>
      <c r="I217" s="31"/>
      <c r="J217" s="15">
        <f t="shared" si="19"/>
        <v>0</v>
      </c>
    </row>
    <row r="218" spans="2:11" x14ac:dyDescent="0.15">
      <c r="B218" s="13" t="s">
        <v>46</v>
      </c>
      <c r="C218" s="2">
        <v>6</v>
      </c>
      <c r="D218" s="33">
        <v>1</v>
      </c>
      <c r="E218" s="4">
        <f t="shared" si="18"/>
        <v>7</v>
      </c>
      <c r="F218" s="61">
        <v>44083</v>
      </c>
      <c r="G218" s="13"/>
      <c r="H218" s="2"/>
      <c r="I218" s="33"/>
      <c r="J218" s="4">
        <f t="shared" si="19"/>
        <v>0</v>
      </c>
    </row>
    <row r="219" spans="2:11" x14ac:dyDescent="0.15">
      <c r="B219" s="13" t="s">
        <v>85</v>
      </c>
      <c r="C219" s="14">
        <v>24</v>
      </c>
      <c r="D219" s="31">
        <v>13</v>
      </c>
      <c r="E219" s="15">
        <f t="shared" si="18"/>
        <v>37</v>
      </c>
      <c r="F219" s="61">
        <v>44085</v>
      </c>
      <c r="G219" s="13"/>
      <c r="H219" s="2"/>
      <c r="I219" s="33"/>
      <c r="J219" s="4">
        <f t="shared" si="19"/>
        <v>0</v>
      </c>
    </row>
    <row r="220" spans="2:11" x14ac:dyDescent="0.15">
      <c r="B220" s="13" t="s">
        <v>87</v>
      </c>
      <c r="C220" s="14">
        <v>14</v>
      </c>
      <c r="D220" s="31">
        <v>8</v>
      </c>
      <c r="E220" s="15">
        <f t="shared" si="18"/>
        <v>22</v>
      </c>
      <c r="F220" s="61">
        <v>44086</v>
      </c>
      <c r="G220" s="13"/>
      <c r="H220" s="2"/>
      <c r="I220" s="33"/>
      <c r="J220" s="4">
        <f t="shared" si="19"/>
        <v>0</v>
      </c>
    </row>
    <row r="221" spans="2:11" x14ac:dyDescent="0.15">
      <c r="B221" s="13" t="s">
        <v>46</v>
      </c>
      <c r="C221" s="2">
        <v>1</v>
      </c>
      <c r="D221" s="33">
        <v>2</v>
      </c>
      <c r="E221" s="4">
        <f t="shared" si="18"/>
        <v>3</v>
      </c>
      <c r="F221" s="61">
        <v>44085</v>
      </c>
      <c r="G221" s="13"/>
      <c r="H221" s="2"/>
      <c r="I221" s="33"/>
      <c r="J221" s="4">
        <f t="shared" si="19"/>
        <v>0</v>
      </c>
    </row>
    <row r="222" spans="2:11" x14ac:dyDescent="0.15">
      <c r="B222" s="13" t="s">
        <v>88</v>
      </c>
      <c r="C222" s="14">
        <v>46</v>
      </c>
      <c r="D222" s="31">
        <v>15</v>
      </c>
      <c r="E222" s="15">
        <f t="shared" si="18"/>
        <v>61</v>
      </c>
      <c r="F222" s="61">
        <v>44089</v>
      </c>
      <c r="G222" s="13"/>
      <c r="H222" s="2"/>
      <c r="I222" s="33"/>
      <c r="J222" s="4">
        <f t="shared" si="19"/>
        <v>0</v>
      </c>
    </row>
    <row r="223" spans="2:11" x14ac:dyDescent="0.15">
      <c r="B223" s="13" t="s">
        <v>90</v>
      </c>
      <c r="C223" s="14">
        <v>60</v>
      </c>
      <c r="D223" s="31">
        <v>30</v>
      </c>
      <c r="E223" s="15">
        <f t="shared" si="18"/>
        <v>90</v>
      </c>
      <c r="F223" s="61">
        <v>44089</v>
      </c>
      <c r="G223" s="13"/>
      <c r="H223" s="2"/>
      <c r="I223" s="33"/>
      <c r="J223" s="4">
        <f t="shared" si="19"/>
        <v>0</v>
      </c>
    </row>
    <row r="224" spans="2:11" x14ac:dyDescent="0.15">
      <c r="B224" s="13" t="s">
        <v>46</v>
      </c>
      <c r="C224" s="2">
        <v>5</v>
      </c>
      <c r="D224" s="33">
        <v>6</v>
      </c>
      <c r="E224" s="4">
        <f t="shared" si="18"/>
        <v>11</v>
      </c>
      <c r="F224" s="61">
        <v>44088</v>
      </c>
      <c r="G224" s="13"/>
      <c r="H224" s="2"/>
      <c r="I224" s="33"/>
      <c r="J224" s="4">
        <f t="shared" si="19"/>
        <v>0</v>
      </c>
    </row>
    <row r="225" spans="2:12" x14ac:dyDescent="0.15">
      <c r="B225" s="25" t="s">
        <v>92</v>
      </c>
      <c r="C225" s="14"/>
      <c r="D225" s="31">
        <v>4</v>
      </c>
      <c r="E225" s="15">
        <f t="shared" si="18"/>
        <v>4</v>
      </c>
      <c r="F225" s="61">
        <v>44090</v>
      </c>
      <c r="G225" s="25"/>
      <c r="H225" s="2"/>
      <c r="I225" s="33"/>
      <c r="J225" s="4">
        <f t="shared" si="19"/>
        <v>0</v>
      </c>
    </row>
    <row r="226" spans="2:12" x14ac:dyDescent="0.15">
      <c r="B226" s="25" t="s">
        <v>46</v>
      </c>
      <c r="C226" s="14">
        <v>2</v>
      </c>
      <c r="D226" s="31"/>
      <c r="E226" s="15">
        <f>C226+D226</f>
        <v>2</v>
      </c>
      <c r="F226" s="61">
        <v>44089</v>
      </c>
      <c r="G226" s="25"/>
      <c r="H226" s="2"/>
      <c r="I226" s="33"/>
      <c r="J226" s="4">
        <f t="shared" si="19"/>
        <v>0</v>
      </c>
    </row>
    <row r="227" spans="2:12" x14ac:dyDescent="0.15">
      <c r="B227" s="25" t="s">
        <v>94</v>
      </c>
      <c r="C227" s="14">
        <v>25</v>
      </c>
      <c r="D227" s="31">
        <v>20</v>
      </c>
      <c r="E227" s="15">
        <f t="shared" si="18"/>
        <v>45</v>
      </c>
      <c r="F227" s="61">
        <v>44099</v>
      </c>
      <c r="G227" s="25"/>
      <c r="H227" s="2"/>
      <c r="I227" s="33"/>
      <c r="J227" s="4">
        <f t="shared" si="19"/>
        <v>0</v>
      </c>
    </row>
    <row r="228" spans="2:12" x14ac:dyDescent="0.15">
      <c r="B228" s="25" t="s">
        <v>95</v>
      </c>
      <c r="C228" s="14">
        <v>1</v>
      </c>
      <c r="D228" s="31">
        <v>2</v>
      </c>
      <c r="E228" s="15">
        <f t="shared" si="18"/>
        <v>3</v>
      </c>
      <c r="F228" s="61">
        <v>44091</v>
      </c>
      <c r="G228" s="25"/>
      <c r="H228" s="2"/>
      <c r="I228" s="33"/>
      <c r="J228" s="4">
        <f t="shared" si="19"/>
        <v>0</v>
      </c>
    </row>
    <row r="229" spans="2:12" x14ac:dyDescent="0.15">
      <c r="B229" s="13" t="s">
        <v>46</v>
      </c>
      <c r="C229" s="2">
        <v>4</v>
      </c>
      <c r="D229" s="33">
        <v>2</v>
      </c>
      <c r="E229" s="4">
        <f t="shared" si="18"/>
        <v>6</v>
      </c>
      <c r="F229" s="61">
        <v>44090</v>
      </c>
      <c r="G229" s="13"/>
      <c r="H229" s="2"/>
      <c r="I229" s="33"/>
      <c r="J229" s="4">
        <f t="shared" si="19"/>
        <v>0</v>
      </c>
    </row>
    <row r="230" spans="2:12" x14ac:dyDescent="0.15">
      <c r="B230" s="25" t="s">
        <v>96</v>
      </c>
      <c r="C230" s="14">
        <v>3</v>
      </c>
      <c r="D230" s="31">
        <v>3</v>
      </c>
      <c r="E230" s="15">
        <f t="shared" si="18"/>
        <v>6</v>
      </c>
      <c r="F230" s="61">
        <v>44092</v>
      </c>
      <c r="G230" s="25"/>
      <c r="H230" s="2"/>
      <c r="I230" s="33"/>
      <c r="J230" s="4">
        <f t="shared" si="19"/>
        <v>0</v>
      </c>
    </row>
    <row r="231" spans="2:12" x14ac:dyDescent="0.15">
      <c r="B231" s="13" t="s">
        <v>97</v>
      </c>
      <c r="C231" s="14">
        <v>30</v>
      </c>
      <c r="D231" s="31">
        <v>20</v>
      </c>
      <c r="E231" s="15">
        <f>C231+D231</f>
        <v>50</v>
      </c>
      <c r="F231" s="61">
        <v>44092</v>
      </c>
      <c r="G231" s="25"/>
      <c r="H231" s="14"/>
      <c r="I231" s="31"/>
      <c r="J231" s="15">
        <f t="shared" si="19"/>
        <v>0</v>
      </c>
    </row>
    <row r="232" spans="2:12" x14ac:dyDescent="0.15">
      <c r="B232" s="13" t="s">
        <v>46</v>
      </c>
      <c r="C232" s="14">
        <v>5</v>
      </c>
      <c r="D232" s="31">
        <v>1</v>
      </c>
      <c r="E232" s="15">
        <f t="shared" si="18"/>
        <v>6</v>
      </c>
      <c r="F232" s="61">
        <v>44091</v>
      </c>
      <c r="G232" s="25"/>
      <c r="H232" s="14"/>
      <c r="I232" s="31"/>
      <c r="J232" s="15">
        <f t="shared" si="19"/>
        <v>0</v>
      </c>
    </row>
    <row r="233" spans="2:12" x14ac:dyDescent="0.15">
      <c r="B233" s="25" t="s">
        <v>98</v>
      </c>
      <c r="C233" s="14">
        <v>2</v>
      </c>
      <c r="D233" s="31">
        <v>1</v>
      </c>
      <c r="E233" s="15">
        <f t="shared" si="18"/>
        <v>3</v>
      </c>
      <c r="F233" s="61">
        <v>44093</v>
      </c>
      <c r="G233" s="13"/>
      <c r="H233" s="2"/>
      <c r="I233" s="33"/>
      <c r="J233" s="15">
        <f t="shared" si="19"/>
        <v>0</v>
      </c>
    </row>
    <row r="234" spans="2:12" x14ac:dyDescent="0.15">
      <c r="B234" s="13" t="s">
        <v>99</v>
      </c>
      <c r="C234" s="14"/>
      <c r="D234" s="31">
        <v>20</v>
      </c>
      <c r="E234" s="15">
        <f>C234+D234</f>
        <v>20</v>
      </c>
      <c r="F234" s="61">
        <v>44093</v>
      </c>
      <c r="G234" s="25"/>
      <c r="H234" s="14"/>
      <c r="I234" s="31"/>
      <c r="J234" s="23">
        <f t="shared" si="19"/>
        <v>0</v>
      </c>
    </row>
    <row r="235" spans="2:12" x14ac:dyDescent="0.15">
      <c r="B235" s="25"/>
      <c r="C235" s="27"/>
      <c r="D235" s="36"/>
      <c r="E235" s="28">
        <f>C235+D235</f>
        <v>0</v>
      </c>
      <c r="G235" s="25"/>
      <c r="H235" s="14"/>
      <c r="I235" s="31"/>
      <c r="J235" s="15">
        <f>H235+I235</f>
        <v>0</v>
      </c>
    </row>
    <row r="236" spans="2:12" ht="14.25" thickBot="1" x14ac:dyDescent="0.2">
      <c r="B236" s="25" t="s">
        <v>53</v>
      </c>
      <c r="C236" s="27"/>
      <c r="D236" s="36"/>
      <c r="E236" s="28">
        <f>C236+D236</f>
        <v>0</v>
      </c>
      <c r="F236" s="60" t="s">
        <v>54</v>
      </c>
      <c r="G236" s="13" t="s">
        <v>39</v>
      </c>
      <c r="H236" s="14">
        <v>0</v>
      </c>
      <c r="I236" s="31">
        <v>0</v>
      </c>
      <c r="J236" s="15">
        <f>H236+I236</f>
        <v>0</v>
      </c>
      <c r="K236" s="60" t="s">
        <v>59</v>
      </c>
      <c r="L236" s="65"/>
    </row>
    <row r="237" spans="2:12" ht="14.25" thickBot="1" x14ac:dyDescent="0.2">
      <c r="B237" s="8" t="s">
        <v>2</v>
      </c>
      <c r="C237" s="10">
        <f>SUM(C212:C236)</f>
        <v>358</v>
      </c>
      <c r="D237" s="32">
        <f>SUM(D212:D236)</f>
        <v>202</v>
      </c>
      <c r="E237" s="11">
        <f>C237+D237</f>
        <v>560</v>
      </c>
      <c r="G237" s="8" t="s">
        <v>2</v>
      </c>
      <c r="H237" s="10">
        <f>SUM(H212:H236)</f>
        <v>2000</v>
      </c>
      <c r="I237" s="32">
        <f>SUM(I212:I236)</f>
        <v>0</v>
      </c>
      <c r="J237" s="11">
        <f>H237+I237</f>
        <v>2000</v>
      </c>
    </row>
    <row r="238" spans="2:12" ht="14.25" thickBot="1" x14ac:dyDescent="0.2">
      <c r="B238" s="52" t="s">
        <v>3</v>
      </c>
      <c r="C238" s="53">
        <f>+C211-C237</f>
        <v>1134</v>
      </c>
      <c r="D238" s="54">
        <f>+D211-D237</f>
        <v>1473</v>
      </c>
      <c r="E238" s="55">
        <f>C238+D238</f>
        <v>2607</v>
      </c>
      <c r="G238" s="52" t="s">
        <v>3</v>
      </c>
      <c r="H238" s="53">
        <f>+H211-H237</f>
        <v>0</v>
      </c>
      <c r="I238" s="54">
        <f>+I211-I237</f>
        <v>0</v>
      </c>
      <c r="J238" s="55">
        <f>H238+I238</f>
        <v>0</v>
      </c>
    </row>
    <row r="240" spans="2:12" ht="25.5" x14ac:dyDescent="0.25">
      <c r="B240" s="58" t="s">
        <v>18</v>
      </c>
      <c r="G240" s="58" t="s">
        <v>19</v>
      </c>
    </row>
    <row r="241" spans="2:11" ht="18.75" x14ac:dyDescent="0.2">
      <c r="B241" s="3" t="s">
        <v>11</v>
      </c>
      <c r="G241" s="3" t="s">
        <v>11</v>
      </c>
    </row>
    <row r="242" spans="2:11" ht="14.25" thickBot="1" x14ac:dyDescent="0.2">
      <c r="G242" s="1"/>
    </row>
    <row r="243" spans="2:11" ht="14.25" thickBot="1" x14ac:dyDescent="0.2">
      <c r="B243" s="7"/>
      <c r="C243" s="118"/>
      <c r="D243" s="119"/>
      <c r="E243" s="120"/>
      <c r="G243" s="7"/>
      <c r="H243" s="67"/>
      <c r="I243" s="68"/>
      <c r="J243" s="69"/>
    </row>
    <row r="244" spans="2:11" ht="14.25" thickBot="1" x14ac:dyDescent="0.2">
      <c r="B244" s="8"/>
      <c r="C244" s="40" t="s">
        <v>7</v>
      </c>
      <c r="D244" s="29" t="s">
        <v>9</v>
      </c>
      <c r="E244" s="9" t="s">
        <v>0</v>
      </c>
      <c r="G244" s="8"/>
      <c r="H244" s="40" t="s">
        <v>7</v>
      </c>
      <c r="I244" s="29" t="s">
        <v>9</v>
      </c>
      <c r="J244" s="9" t="s">
        <v>0</v>
      </c>
    </row>
    <row r="245" spans="2:11" x14ac:dyDescent="0.15">
      <c r="B245" s="16" t="s">
        <v>4</v>
      </c>
      <c r="C245" s="17">
        <f>C238</f>
        <v>1134</v>
      </c>
      <c r="D245" s="35">
        <f>D238</f>
        <v>1473</v>
      </c>
      <c r="E245" s="18">
        <f t="shared" ref="E245:E252" si="20">C245+D245</f>
        <v>2607</v>
      </c>
      <c r="G245" s="16" t="s">
        <v>4</v>
      </c>
      <c r="H245" s="17">
        <f>H238</f>
        <v>0</v>
      </c>
      <c r="I245" s="35">
        <f>I238</f>
        <v>0</v>
      </c>
      <c r="J245" s="18">
        <f t="shared" ref="J245:J252" si="21">H245+I245</f>
        <v>0</v>
      </c>
    </row>
    <row r="246" spans="2:11" x14ac:dyDescent="0.15">
      <c r="B246" s="25" t="s">
        <v>5</v>
      </c>
      <c r="C246" s="14">
        <v>200</v>
      </c>
      <c r="D246" s="31">
        <v>200</v>
      </c>
      <c r="E246" s="23">
        <f t="shared" si="20"/>
        <v>400</v>
      </c>
      <c r="F246" s="61">
        <v>44106</v>
      </c>
      <c r="G246" s="25" t="s">
        <v>5</v>
      </c>
      <c r="H246" s="14"/>
      <c r="I246" s="31">
        <v>0</v>
      </c>
      <c r="J246" s="23">
        <f t="shared" si="21"/>
        <v>0</v>
      </c>
      <c r="K246" s="61"/>
    </row>
    <row r="247" spans="2:11" x14ac:dyDescent="0.15">
      <c r="B247" s="26" t="s">
        <v>5</v>
      </c>
      <c r="C247" s="27"/>
      <c r="D247" s="36"/>
      <c r="E247" s="28">
        <f t="shared" si="20"/>
        <v>0</v>
      </c>
      <c r="F247" s="64"/>
      <c r="G247" s="26" t="s">
        <v>5</v>
      </c>
      <c r="H247" s="27">
        <v>200</v>
      </c>
      <c r="I247" s="36">
        <v>200</v>
      </c>
      <c r="J247" s="28">
        <f t="shared" si="21"/>
        <v>400</v>
      </c>
      <c r="K247" s="61">
        <v>44106</v>
      </c>
    </row>
    <row r="248" spans="2:11" x14ac:dyDescent="0.15">
      <c r="B248" s="26" t="s">
        <v>5</v>
      </c>
      <c r="C248" s="27"/>
      <c r="D248" s="36"/>
      <c r="E248" s="28">
        <f t="shared" si="20"/>
        <v>0</v>
      </c>
      <c r="G248" s="25" t="s">
        <v>5</v>
      </c>
      <c r="H248" s="14"/>
      <c r="I248" s="31"/>
      <c r="J248" s="15">
        <f t="shared" si="21"/>
        <v>0</v>
      </c>
      <c r="K248" s="61"/>
    </row>
    <row r="249" spans="2:11" x14ac:dyDescent="0.15">
      <c r="B249" s="26" t="s">
        <v>5</v>
      </c>
      <c r="C249" s="27"/>
      <c r="D249" s="36"/>
      <c r="E249" s="28">
        <f t="shared" si="20"/>
        <v>0</v>
      </c>
      <c r="G249" s="25" t="s">
        <v>5</v>
      </c>
      <c r="H249" s="14"/>
      <c r="I249" s="31"/>
      <c r="J249" s="15">
        <f t="shared" si="21"/>
        <v>0</v>
      </c>
      <c r="K249" s="61"/>
    </row>
    <row r="250" spans="2:11" ht="14.25" thickBot="1" x14ac:dyDescent="0.2">
      <c r="B250" s="26" t="s">
        <v>5</v>
      </c>
      <c r="C250" s="14"/>
      <c r="D250" s="31"/>
      <c r="E250" s="15">
        <f t="shared" si="20"/>
        <v>0</v>
      </c>
      <c r="G250" s="25" t="s">
        <v>5</v>
      </c>
      <c r="H250" s="14"/>
      <c r="I250" s="31"/>
      <c r="J250" s="15">
        <f t="shared" si="21"/>
        <v>0</v>
      </c>
      <c r="K250" s="61"/>
    </row>
    <row r="251" spans="2:11" ht="14.25" thickBot="1" x14ac:dyDescent="0.2">
      <c r="B251" s="8" t="s">
        <v>1</v>
      </c>
      <c r="C251" s="10">
        <f>SUM(C245:C250)</f>
        <v>1334</v>
      </c>
      <c r="D251" s="32">
        <f>SUM(D245:D250)</f>
        <v>1673</v>
      </c>
      <c r="E251" s="11">
        <f t="shared" si="20"/>
        <v>3007</v>
      </c>
      <c r="G251" s="8" t="s">
        <v>1</v>
      </c>
      <c r="H251" s="10">
        <f>SUM(H245:H250)</f>
        <v>200</v>
      </c>
      <c r="I251" s="32">
        <f>SUM(I245:I250)</f>
        <v>200</v>
      </c>
      <c r="J251" s="11">
        <f t="shared" si="21"/>
        <v>400</v>
      </c>
    </row>
    <row r="252" spans="2:11" x14ac:dyDescent="0.15">
      <c r="B252" s="5" t="s">
        <v>93</v>
      </c>
      <c r="C252" s="14">
        <v>60</v>
      </c>
      <c r="D252" s="31">
        <v>60</v>
      </c>
      <c r="E252" s="15">
        <f t="shared" si="20"/>
        <v>120</v>
      </c>
      <c r="F252" s="61">
        <v>44104</v>
      </c>
      <c r="G252" s="13" t="s">
        <v>120</v>
      </c>
      <c r="H252" s="14">
        <v>200</v>
      </c>
      <c r="I252" s="31">
        <v>200</v>
      </c>
      <c r="J252" s="15">
        <f t="shared" si="21"/>
        <v>400</v>
      </c>
      <c r="K252" s="61">
        <v>44106</v>
      </c>
    </row>
    <row r="253" spans="2:11" x14ac:dyDescent="0.15">
      <c r="B253" s="13" t="s">
        <v>46</v>
      </c>
      <c r="C253" s="14">
        <v>1</v>
      </c>
      <c r="D253" s="31">
        <v>1</v>
      </c>
      <c r="E253" s="15">
        <f t="shared" ref="E253:E272" si="22">C253+D253</f>
        <v>2</v>
      </c>
      <c r="F253" s="61">
        <v>44092</v>
      </c>
      <c r="G253" s="13"/>
      <c r="H253" s="14"/>
      <c r="I253" s="31"/>
      <c r="J253" s="15">
        <f t="shared" ref="J253:J273" si="23">H253+I253</f>
        <v>0</v>
      </c>
    </row>
    <row r="254" spans="2:11" x14ac:dyDescent="0.15">
      <c r="B254" s="25" t="s">
        <v>104</v>
      </c>
      <c r="C254" s="14">
        <v>9</v>
      </c>
      <c r="D254" s="31">
        <v>3</v>
      </c>
      <c r="E254" s="15">
        <f t="shared" si="22"/>
        <v>12</v>
      </c>
      <c r="F254" s="61">
        <v>44098</v>
      </c>
      <c r="G254" s="5"/>
      <c r="H254" s="14"/>
      <c r="I254" s="31"/>
      <c r="J254" s="15">
        <f t="shared" si="23"/>
        <v>0</v>
      </c>
    </row>
    <row r="255" spans="2:11" x14ac:dyDescent="0.15">
      <c r="B255" s="13" t="s">
        <v>105</v>
      </c>
      <c r="C255" s="14">
        <v>50</v>
      </c>
      <c r="D255" s="31">
        <v>20</v>
      </c>
      <c r="E255" s="15">
        <f t="shared" si="22"/>
        <v>70</v>
      </c>
      <c r="F255" s="61">
        <v>44098</v>
      </c>
      <c r="G255" s="13"/>
      <c r="H255" s="14"/>
      <c r="I255" s="31"/>
      <c r="J255" s="15">
        <f t="shared" si="23"/>
        <v>0</v>
      </c>
    </row>
    <row r="256" spans="2:11" x14ac:dyDescent="0.15">
      <c r="B256" s="13" t="s">
        <v>108</v>
      </c>
      <c r="C256" s="14">
        <v>20</v>
      </c>
      <c r="D256" s="31">
        <v>20</v>
      </c>
      <c r="E256" s="15">
        <f t="shared" si="22"/>
        <v>40</v>
      </c>
      <c r="F256" s="61">
        <v>44098</v>
      </c>
      <c r="G256" s="12"/>
      <c r="H256" s="2"/>
      <c r="I256" s="33"/>
      <c r="J256" s="4">
        <f t="shared" si="23"/>
        <v>0</v>
      </c>
    </row>
    <row r="257" spans="2:10" x14ac:dyDescent="0.15">
      <c r="B257" s="13" t="s">
        <v>46</v>
      </c>
      <c r="C257" s="14">
        <v>11</v>
      </c>
      <c r="D257" s="31">
        <v>8</v>
      </c>
      <c r="E257" s="15">
        <f t="shared" si="22"/>
        <v>19</v>
      </c>
      <c r="F257" s="61">
        <v>44097</v>
      </c>
      <c r="G257" s="12"/>
      <c r="H257" s="14"/>
      <c r="I257" s="31"/>
      <c r="J257" s="15">
        <f t="shared" si="23"/>
        <v>0</v>
      </c>
    </row>
    <row r="258" spans="2:10" x14ac:dyDescent="0.15">
      <c r="B258" s="13" t="s">
        <v>110</v>
      </c>
      <c r="C258" s="14">
        <v>1</v>
      </c>
      <c r="D258" s="31"/>
      <c r="E258" s="15">
        <f t="shared" si="22"/>
        <v>1</v>
      </c>
      <c r="F258" s="61">
        <v>44099</v>
      </c>
      <c r="G258" s="13"/>
      <c r="H258" s="2"/>
      <c r="I258" s="33"/>
      <c r="J258" s="4">
        <f t="shared" si="23"/>
        <v>0</v>
      </c>
    </row>
    <row r="259" spans="2:10" x14ac:dyDescent="0.15">
      <c r="B259" s="13" t="s">
        <v>46</v>
      </c>
      <c r="C259" s="2">
        <v>2</v>
      </c>
      <c r="D259" s="33"/>
      <c r="E259" s="4">
        <f t="shared" si="22"/>
        <v>2</v>
      </c>
      <c r="F259" s="61">
        <v>44098</v>
      </c>
      <c r="G259" s="13"/>
      <c r="H259" s="2"/>
      <c r="I259" s="33"/>
      <c r="J259" s="4">
        <f t="shared" si="23"/>
        <v>0</v>
      </c>
    </row>
    <row r="260" spans="2:10" x14ac:dyDescent="0.15">
      <c r="B260" s="13" t="s">
        <v>113</v>
      </c>
      <c r="C260" s="14">
        <v>2</v>
      </c>
      <c r="D260" s="31"/>
      <c r="E260" s="15">
        <f t="shared" si="22"/>
        <v>2</v>
      </c>
      <c r="F260" s="61">
        <v>44100</v>
      </c>
      <c r="G260" s="13"/>
      <c r="H260" s="2"/>
      <c r="I260" s="33"/>
      <c r="J260" s="4">
        <f t="shared" si="23"/>
        <v>0</v>
      </c>
    </row>
    <row r="261" spans="2:10" x14ac:dyDescent="0.15">
      <c r="B261" s="13" t="s">
        <v>114</v>
      </c>
      <c r="C261" s="14">
        <v>25</v>
      </c>
      <c r="D261" s="31">
        <v>15</v>
      </c>
      <c r="E261" s="15">
        <f t="shared" si="22"/>
        <v>40</v>
      </c>
      <c r="F261" s="61">
        <v>44100</v>
      </c>
      <c r="G261" s="13"/>
      <c r="H261" s="2"/>
      <c r="I261" s="33"/>
      <c r="J261" s="4">
        <f t="shared" si="23"/>
        <v>0</v>
      </c>
    </row>
    <row r="262" spans="2:10" x14ac:dyDescent="0.15">
      <c r="B262" s="13" t="s">
        <v>46</v>
      </c>
      <c r="C262" s="2">
        <v>2</v>
      </c>
      <c r="D262" s="33">
        <v>3</v>
      </c>
      <c r="E262" s="4">
        <f t="shared" si="22"/>
        <v>5</v>
      </c>
      <c r="F262" s="61">
        <v>44099</v>
      </c>
      <c r="G262" s="13"/>
      <c r="H262" s="2"/>
      <c r="I262" s="33"/>
      <c r="J262" s="4">
        <f t="shared" si="23"/>
        <v>0</v>
      </c>
    </row>
    <row r="263" spans="2:10" x14ac:dyDescent="0.15">
      <c r="B263" s="13" t="s">
        <v>115</v>
      </c>
      <c r="C263" s="14">
        <v>5</v>
      </c>
      <c r="D263" s="31"/>
      <c r="E263" s="15">
        <f t="shared" si="22"/>
        <v>5</v>
      </c>
      <c r="F263" s="61">
        <v>44103</v>
      </c>
      <c r="G263" s="13"/>
      <c r="H263" s="2"/>
      <c r="I263" s="33"/>
      <c r="J263" s="4">
        <f t="shared" si="23"/>
        <v>0</v>
      </c>
    </row>
    <row r="264" spans="2:10" x14ac:dyDescent="0.15">
      <c r="B264" s="13" t="s">
        <v>46</v>
      </c>
      <c r="C264" s="2">
        <v>4</v>
      </c>
      <c r="D264" s="33">
        <v>4</v>
      </c>
      <c r="E264" s="4">
        <f t="shared" si="22"/>
        <v>8</v>
      </c>
      <c r="F264" s="61">
        <v>44100</v>
      </c>
      <c r="G264" s="13"/>
      <c r="H264" s="2"/>
      <c r="I264" s="33"/>
      <c r="J264" s="4">
        <f t="shared" si="23"/>
        <v>0</v>
      </c>
    </row>
    <row r="265" spans="2:10" x14ac:dyDescent="0.15">
      <c r="B265" s="25" t="s">
        <v>116</v>
      </c>
      <c r="C265" s="2">
        <v>1</v>
      </c>
      <c r="D265" s="33"/>
      <c r="E265" s="4">
        <f t="shared" si="22"/>
        <v>1</v>
      </c>
      <c r="F265" s="61">
        <v>44103</v>
      </c>
      <c r="G265" s="25"/>
      <c r="H265" s="2"/>
      <c r="I265" s="33"/>
      <c r="J265" s="4">
        <f t="shared" si="23"/>
        <v>0</v>
      </c>
    </row>
    <row r="266" spans="2:10" x14ac:dyDescent="0.15">
      <c r="B266" s="13" t="s">
        <v>46</v>
      </c>
      <c r="C266" s="2">
        <v>3</v>
      </c>
      <c r="D266" s="33">
        <v>4</v>
      </c>
      <c r="E266" s="4">
        <f t="shared" si="22"/>
        <v>7</v>
      </c>
      <c r="F266" s="61">
        <v>44102</v>
      </c>
      <c r="G266" s="25"/>
      <c r="H266" s="2"/>
      <c r="I266" s="33"/>
      <c r="J266" s="4">
        <f t="shared" si="23"/>
        <v>0</v>
      </c>
    </row>
    <row r="267" spans="2:10" x14ac:dyDescent="0.15">
      <c r="B267" s="25" t="s">
        <v>117</v>
      </c>
      <c r="C267" s="14">
        <v>1</v>
      </c>
      <c r="D267" s="31">
        <v>1</v>
      </c>
      <c r="E267" s="15">
        <f t="shared" si="22"/>
        <v>2</v>
      </c>
      <c r="F267" s="61">
        <v>44104</v>
      </c>
      <c r="G267" s="25"/>
      <c r="H267" s="2"/>
      <c r="I267" s="33"/>
      <c r="J267" s="4">
        <f t="shared" si="23"/>
        <v>0</v>
      </c>
    </row>
    <row r="268" spans="2:10" x14ac:dyDescent="0.15">
      <c r="B268" s="25" t="s">
        <v>46</v>
      </c>
      <c r="C268" s="14">
        <v>2</v>
      </c>
      <c r="D268" s="31"/>
      <c r="E268" s="15">
        <f t="shared" si="22"/>
        <v>2</v>
      </c>
      <c r="F268" s="61">
        <v>44103</v>
      </c>
      <c r="G268" s="25"/>
      <c r="H268" s="2"/>
      <c r="I268" s="33"/>
      <c r="J268" s="4">
        <f t="shared" si="23"/>
        <v>0</v>
      </c>
    </row>
    <row r="269" spans="2:10" x14ac:dyDescent="0.15">
      <c r="B269" s="72" t="s">
        <v>119</v>
      </c>
      <c r="C269" s="14">
        <v>800</v>
      </c>
      <c r="D269" s="31"/>
      <c r="E269" s="15">
        <f t="shared" si="22"/>
        <v>800</v>
      </c>
      <c r="F269" s="61">
        <v>44105</v>
      </c>
      <c r="G269" s="13"/>
      <c r="H269" s="2"/>
      <c r="I269" s="33"/>
      <c r="J269" s="4">
        <f t="shared" si="23"/>
        <v>0</v>
      </c>
    </row>
    <row r="270" spans="2:10" x14ac:dyDescent="0.15">
      <c r="B270" s="72" t="s">
        <v>121</v>
      </c>
      <c r="C270" s="14">
        <v>200</v>
      </c>
      <c r="D270" s="31"/>
      <c r="E270" s="15">
        <f t="shared" si="22"/>
        <v>200</v>
      </c>
      <c r="F270" s="61">
        <v>44107</v>
      </c>
      <c r="G270" s="25"/>
      <c r="H270" s="2"/>
      <c r="I270" s="33"/>
      <c r="J270" s="4">
        <f t="shared" si="23"/>
        <v>0</v>
      </c>
    </row>
    <row r="271" spans="2:10" x14ac:dyDescent="0.15">
      <c r="B271" s="25" t="s">
        <v>122</v>
      </c>
      <c r="C271" s="14">
        <v>1</v>
      </c>
      <c r="D271" s="31"/>
      <c r="E271" s="15">
        <f t="shared" si="22"/>
        <v>1</v>
      </c>
      <c r="F271" s="61">
        <v>44105</v>
      </c>
      <c r="G271" s="25"/>
      <c r="H271" s="14"/>
      <c r="I271" s="31"/>
      <c r="J271" s="15">
        <f t="shared" si="23"/>
        <v>0</v>
      </c>
    </row>
    <row r="272" spans="2:10" x14ac:dyDescent="0.15">
      <c r="B272" s="13" t="s">
        <v>123</v>
      </c>
      <c r="C272" s="14"/>
      <c r="D272" s="31">
        <v>3</v>
      </c>
      <c r="E272" s="15">
        <f t="shared" si="22"/>
        <v>3</v>
      </c>
      <c r="F272" s="61">
        <v>44109</v>
      </c>
      <c r="G272" s="25"/>
      <c r="H272" s="14"/>
      <c r="I272" s="31"/>
      <c r="J272" s="15">
        <f t="shared" si="23"/>
        <v>0</v>
      </c>
    </row>
    <row r="273" spans="2:11" x14ac:dyDescent="0.15">
      <c r="B273" s="25" t="s">
        <v>46</v>
      </c>
      <c r="C273" s="14">
        <v>4</v>
      </c>
      <c r="D273" s="31">
        <v>2</v>
      </c>
      <c r="E273" s="15">
        <f t="shared" ref="E273:E278" si="24">C273+D273</f>
        <v>6</v>
      </c>
      <c r="F273" s="61">
        <v>44105</v>
      </c>
      <c r="G273" s="13"/>
      <c r="H273" s="2"/>
      <c r="I273" s="33"/>
      <c r="J273" s="15">
        <f t="shared" si="23"/>
        <v>0</v>
      </c>
    </row>
    <row r="274" spans="2:11" x14ac:dyDescent="0.15">
      <c r="B274" s="25" t="s">
        <v>125</v>
      </c>
      <c r="C274" s="14">
        <v>1</v>
      </c>
      <c r="D274" s="31"/>
      <c r="E274" s="15">
        <f t="shared" si="24"/>
        <v>1</v>
      </c>
      <c r="F274" s="61">
        <v>44107</v>
      </c>
      <c r="G274" s="13"/>
      <c r="H274" s="27"/>
      <c r="I274" s="36"/>
      <c r="J274" s="28">
        <f>H274+I274</f>
        <v>0</v>
      </c>
    </row>
    <row r="275" spans="2:11" x14ac:dyDescent="0.15">
      <c r="B275" s="25" t="s">
        <v>46</v>
      </c>
      <c r="C275" s="14">
        <v>1</v>
      </c>
      <c r="D275" s="31"/>
      <c r="E275" s="15">
        <f t="shared" si="24"/>
        <v>1</v>
      </c>
      <c r="F275" s="61">
        <v>44106</v>
      </c>
      <c r="G275" s="25"/>
      <c r="H275" s="14"/>
      <c r="I275" s="31"/>
      <c r="J275" s="15">
        <f>H275+I275</f>
        <v>0</v>
      </c>
    </row>
    <row r="276" spans="2:11" ht="14.25" thickBot="1" x14ac:dyDescent="0.2">
      <c r="B276" s="5" t="s">
        <v>129</v>
      </c>
      <c r="C276" s="27"/>
      <c r="D276" s="36">
        <v>10</v>
      </c>
      <c r="E276" s="28">
        <f t="shared" si="24"/>
        <v>10</v>
      </c>
      <c r="F276" s="61">
        <v>44107</v>
      </c>
      <c r="G276" s="13"/>
      <c r="H276" s="27"/>
      <c r="I276" s="36"/>
      <c r="J276" s="28">
        <f>H276+I276</f>
        <v>0</v>
      </c>
    </row>
    <row r="277" spans="2:11" ht="14.25" thickBot="1" x14ac:dyDescent="0.2">
      <c r="B277" s="8" t="s">
        <v>2</v>
      </c>
      <c r="C277" s="10">
        <f>SUM(C252:C276)</f>
        <v>1206</v>
      </c>
      <c r="D277" s="32">
        <f>SUM(D252:D276)</f>
        <v>154</v>
      </c>
      <c r="E277" s="11">
        <f t="shared" si="24"/>
        <v>1360</v>
      </c>
      <c r="G277" s="8" t="s">
        <v>2</v>
      </c>
      <c r="H277" s="10">
        <f>SUM(H252:H276)</f>
        <v>200</v>
      </c>
      <c r="I277" s="32">
        <f>SUM(I252:I276)</f>
        <v>200</v>
      </c>
      <c r="J277" s="11">
        <f>H277+I277</f>
        <v>400</v>
      </c>
    </row>
    <row r="278" spans="2:11" ht="14.25" thickBot="1" x14ac:dyDescent="0.2">
      <c r="B278" s="52" t="s">
        <v>3</v>
      </c>
      <c r="C278" s="53">
        <f>+C251-C277</f>
        <v>128</v>
      </c>
      <c r="D278" s="54">
        <f>+D251-D277</f>
        <v>1519</v>
      </c>
      <c r="E278" s="55">
        <f t="shared" si="24"/>
        <v>1647</v>
      </c>
      <c r="G278" s="52" t="s">
        <v>3</v>
      </c>
      <c r="H278" s="53">
        <f>+H251-H277</f>
        <v>0</v>
      </c>
      <c r="I278" s="54">
        <f>+I251-I277</f>
        <v>0</v>
      </c>
      <c r="J278" s="55">
        <f>H278+I278</f>
        <v>0</v>
      </c>
    </row>
    <row r="280" spans="2:11" ht="25.5" x14ac:dyDescent="0.25">
      <c r="B280" s="58" t="s">
        <v>18</v>
      </c>
      <c r="G280" s="58" t="s">
        <v>19</v>
      </c>
    </row>
    <row r="281" spans="2:11" ht="18.75" x14ac:dyDescent="0.2">
      <c r="B281" s="3" t="s">
        <v>11</v>
      </c>
      <c r="G281" s="3" t="s">
        <v>11</v>
      </c>
    </row>
    <row r="282" spans="2:11" ht="14.25" thickBot="1" x14ac:dyDescent="0.2">
      <c r="G282" s="1"/>
    </row>
    <row r="283" spans="2:11" ht="14.25" thickBot="1" x14ac:dyDescent="0.2">
      <c r="B283" s="7"/>
      <c r="C283" s="118"/>
      <c r="D283" s="119"/>
      <c r="E283" s="120"/>
      <c r="G283" s="7"/>
      <c r="H283" s="67"/>
      <c r="I283" s="68"/>
      <c r="J283" s="69"/>
    </row>
    <row r="284" spans="2:11" ht="14.25" thickBot="1" x14ac:dyDescent="0.2">
      <c r="B284" s="8"/>
      <c r="C284" s="40" t="s">
        <v>7</v>
      </c>
      <c r="D284" s="29" t="s">
        <v>9</v>
      </c>
      <c r="E284" s="9" t="s">
        <v>0</v>
      </c>
      <c r="G284" s="8"/>
      <c r="H284" s="40" t="s">
        <v>7</v>
      </c>
      <c r="I284" s="29" t="s">
        <v>9</v>
      </c>
      <c r="J284" s="9" t="s">
        <v>0</v>
      </c>
    </row>
    <row r="285" spans="2:11" x14ac:dyDescent="0.15">
      <c r="B285" s="16" t="s">
        <v>4</v>
      </c>
      <c r="C285" s="17">
        <f>C278</f>
        <v>128</v>
      </c>
      <c r="D285" s="35">
        <f>D278</f>
        <v>1519</v>
      </c>
      <c r="E285" s="18">
        <f t="shared" ref="E285:E291" si="25">C285+D285</f>
        <v>1647</v>
      </c>
      <c r="G285" s="16" t="s">
        <v>4</v>
      </c>
      <c r="H285" s="17">
        <f>H278</f>
        <v>0</v>
      </c>
      <c r="I285" s="35">
        <f>I278</f>
        <v>0</v>
      </c>
      <c r="J285" s="18">
        <f t="shared" ref="J285:J313" si="26">H285+I285</f>
        <v>0</v>
      </c>
    </row>
    <row r="286" spans="2:11" x14ac:dyDescent="0.15">
      <c r="B286" s="25" t="s">
        <v>5</v>
      </c>
      <c r="C286" s="14">
        <v>100</v>
      </c>
      <c r="D286" s="31"/>
      <c r="E286" s="23">
        <f t="shared" si="25"/>
        <v>100</v>
      </c>
      <c r="F286" s="61">
        <v>44116</v>
      </c>
      <c r="G286" s="41" t="s">
        <v>5</v>
      </c>
      <c r="H286" s="42">
        <v>3300</v>
      </c>
      <c r="I286" s="43">
        <v>0</v>
      </c>
      <c r="J286" s="81">
        <f t="shared" si="26"/>
        <v>3300</v>
      </c>
      <c r="K286" s="63" t="s">
        <v>127</v>
      </c>
    </row>
    <row r="287" spans="2:11" x14ac:dyDescent="0.15">
      <c r="B287" s="25" t="s">
        <v>5</v>
      </c>
      <c r="C287" s="27">
        <v>400</v>
      </c>
      <c r="D287" s="36"/>
      <c r="E287" s="28">
        <f t="shared" si="25"/>
        <v>400</v>
      </c>
      <c r="F287" s="61">
        <v>44120</v>
      </c>
      <c r="G287" s="25" t="s">
        <v>5</v>
      </c>
      <c r="H287" s="14"/>
      <c r="I287" s="31"/>
      <c r="J287" s="15">
        <f t="shared" si="26"/>
        <v>0</v>
      </c>
      <c r="K287" s="61"/>
    </row>
    <row r="288" spans="2:11" x14ac:dyDescent="0.15">
      <c r="B288" s="26" t="s">
        <v>143</v>
      </c>
      <c r="C288" s="27">
        <v>1</v>
      </c>
      <c r="D288" s="36"/>
      <c r="E288" s="28">
        <f t="shared" si="25"/>
        <v>1</v>
      </c>
      <c r="F288" s="61">
        <v>44120</v>
      </c>
      <c r="G288" s="25" t="s">
        <v>5</v>
      </c>
      <c r="H288" s="14"/>
      <c r="I288" s="31"/>
      <c r="J288" s="15">
        <f t="shared" si="26"/>
        <v>0</v>
      </c>
      <c r="K288" s="61"/>
    </row>
    <row r="289" spans="2:11" x14ac:dyDescent="0.15">
      <c r="B289" s="26" t="s">
        <v>143</v>
      </c>
      <c r="C289" s="27">
        <v>1</v>
      </c>
      <c r="D289" s="36"/>
      <c r="E289" s="28">
        <f t="shared" si="25"/>
        <v>1</v>
      </c>
      <c r="F289" s="61">
        <v>44123</v>
      </c>
      <c r="G289" s="25" t="s">
        <v>5</v>
      </c>
      <c r="H289" s="14"/>
      <c r="I289" s="31"/>
      <c r="J289" s="15">
        <f t="shared" si="26"/>
        <v>0</v>
      </c>
      <c r="K289" s="61"/>
    </row>
    <row r="290" spans="2:11" ht="14.25" thickBot="1" x14ac:dyDescent="0.2">
      <c r="B290" s="26" t="s">
        <v>5</v>
      </c>
      <c r="C290" s="14"/>
      <c r="D290" s="31"/>
      <c r="E290" s="15">
        <f t="shared" si="25"/>
        <v>0</v>
      </c>
      <c r="G290" s="25" t="s">
        <v>5</v>
      </c>
      <c r="H290" s="14"/>
      <c r="I290" s="31"/>
      <c r="J290" s="15">
        <f t="shared" si="26"/>
        <v>0</v>
      </c>
      <c r="K290" s="61"/>
    </row>
    <row r="291" spans="2:11" ht="14.25" thickBot="1" x14ac:dyDescent="0.2">
      <c r="B291" s="8" t="s">
        <v>1</v>
      </c>
      <c r="C291" s="10">
        <f>SUM(C285:C290)</f>
        <v>630</v>
      </c>
      <c r="D291" s="32">
        <f>SUM(D285:D290)</f>
        <v>1519</v>
      </c>
      <c r="E291" s="11">
        <f t="shared" si="25"/>
        <v>2149</v>
      </c>
      <c r="G291" s="8" t="s">
        <v>1</v>
      </c>
      <c r="H291" s="10">
        <f>SUM(H285:H290)</f>
        <v>3300</v>
      </c>
      <c r="I291" s="32">
        <f>SUM(I285:I290)</f>
        <v>0</v>
      </c>
      <c r="J291" s="11">
        <f t="shared" si="26"/>
        <v>3300</v>
      </c>
    </row>
    <row r="292" spans="2:11" x14ac:dyDescent="0.15">
      <c r="B292" s="25" t="s">
        <v>46</v>
      </c>
      <c r="C292" s="14"/>
      <c r="D292" s="31">
        <v>2</v>
      </c>
      <c r="E292" s="15">
        <f>C292+D292</f>
        <v>2</v>
      </c>
      <c r="F292" s="61">
        <v>44107</v>
      </c>
      <c r="G292" s="13" t="s">
        <v>120</v>
      </c>
      <c r="H292" s="14">
        <v>100</v>
      </c>
      <c r="I292" s="31"/>
      <c r="J292" s="15">
        <f t="shared" si="26"/>
        <v>100</v>
      </c>
      <c r="K292" s="61">
        <v>44116</v>
      </c>
    </row>
    <row r="293" spans="2:11" x14ac:dyDescent="0.15">
      <c r="B293" s="25" t="s">
        <v>131</v>
      </c>
      <c r="C293" s="14">
        <v>2</v>
      </c>
      <c r="D293" s="31">
        <v>1</v>
      </c>
      <c r="E293" s="15">
        <f>C293+D293</f>
        <v>3</v>
      </c>
      <c r="F293" s="61">
        <v>44110</v>
      </c>
      <c r="G293" s="13" t="s">
        <v>120</v>
      </c>
      <c r="H293" s="14">
        <v>400</v>
      </c>
      <c r="I293" s="31"/>
      <c r="J293" s="15">
        <f t="shared" si="26"/>
        <v>400</v>
      </c>
      <c r="K293" s="61">
        <v>44120</v>
      </c>
    </row>
    <row r="294" spans="2:11" x14ac:dyDescent="0.15">
      <c r="B294" s="25" t="s">
        <v>132</v>
      </c>
      <c r="C294" s="14"/>
      <c r="D294" s="31">
        <v>30</v>
      </c>
      <c r="E294" s="15">
        <f>C294+D294</f>
        <v>30</v>
      </c>
      <c r="F294" s="61">
        <v>44110</v>
      </c>
      <c r="G294" s="5"/>
      <c r="H294" s="14"/>
      <c r="I294" s="31"/>
      <c r="J294" s="15">
        <f t="shared" si="26"/>
        <v>0</v>
      </c>
    </row>
    <row r="295" spans="2:11" x14ac:dyDescent="0.15">
      <c r="B295" s="25" t="s">
        <v>134</v>
      </c>
      <c r="C295" s="14"/>
      <c r="D295" s="31">
        <v>43</v>
      </c>
      <c r="E295" s="15">
        <f>C295+D295</f>
        <v>43</v>
      </c>
      <c r="F295" s="61">
        <v>44112</v>
      </c>
      <c r="G295" s="13"/>
      <c r="H295" s="14"/>
      <c r="I295" s="31"/>
      <c r="J295" s="15">
        <f t="shared" si="26"/>
        <v>0</v>
      </c>
    </row>
    <row r="296" spans="2:11" x14ac:dyDescent="0.15">
      <c r="B296" s="25" t="s">
        <v>46</v>
      </c>
      <c r="C296" s="14">
        <v>7</v>
      </c>
      <c r="D296" s="31">
        <v>5</v>
      </c>
      <c r="E296" s="15">
        <f t="shared" ref="E296:E312" si="27">C296+D296</f>
        <v>12</v>
      </c>
      <c r="F296" s="61">
        <v>44109</v>
      </c>
      <c r="G296" s="12"/>
      <c r="H296" s="2"/>
      <c r="I296" s="33"/>
      <c r="J296" s="4">
        <f t="shared" si="26"/>
        <v>0</v>
      </c>
    </row>
    <row r="297" spans="2:11" x14ac:dyDescent="0.15">
      <c r="B297" s="13" t="s">
        <v>135</v>
      </c>
      <c r="C297" s="14"/>
      <c r="D297" s="31">
        <v>5</v>
      </c>
      <c r="E297" s="15">
        <f>C297+D297</f>
        <v>5</v>
      </c>
      <c r="F297" s="61">
        <v>44116</v>
      </c>
      <c r="G297" s="12"/>
      <c r="H297" s="14"/>
      <c r="I297" s="31"/>
      <c r="J297" s="15">
        <f t="shared" si="26"/>
        <v>0</v>
      </c>
    </row>
    <row r="298" spans="2:11" x14ac:dyDescent="0.15">
      <c r="B298" s="25" t="s">
        <v>46</v>
      </c>
      <c r="C298" s="2">
        <v>6</v>
      </c>
      <c r="D298" s="33">
        <v>1</v>
      </c>
      <c r="E298" s="4">
        <f>C298+D298</f>
        <v>7</v>
      </c>
      <c r="F298" s="61">
        <v>44110</v>
      </c>
      <c r="G298" s="13"/>
      <c r="H298" s="2"/>
      <c r="I298" s="33"/>
      <c r="J298" s="4">
        <f t="shared" si="26"/>
        <v>0</v>
      </c>
    </row>
    <row r="299" spans="2:11" x14ac:dyDescent="0.15">
      <c r="B299" s="25" t="s">
        <v>136</v>
      </c>
      <c r="C299" s="14">
        <v>1</v>
      </c>
      <c r="D299" s="31">
        <v>3</v>
      </c>
      <c r="E299" s="15">
        <f t="shared" si="27"/>
        <v>4</v>
      </c>
      <c r="F299" s="61">
        <v>44112</v>
      </c>
      <c r="G299" s="13"/>
      <c r="H299" s="2"/>
      <c r="I299" s="33"/>
      <c r="J299" s="4">
        <f t="shared" si="26"/>
        <v>0</v>
      </c>
    </row>
    <row r="300" spans="2:11" x14ac:dyDescent="0.15">
      <c r="B300" s="25" t="s">
        <v>46</v>
      </c>
      <c r="C300" s="14">
        <v>1</v>
      </c>
      <c r="D300" s="31">
        <v>1</v>
      </c>
      <c r="E300" s="15">
        <f t="shared" si="27"/>
        <v>2</v>
      </c>
      <c r="F300" s="61">
        <v>44111</v>
      </c>
      <c r="G300" s="13"/>
      <c r="H300" s="2"/>
      <c r="I300" s="33"/>
      <c r="J300" s="4">
        <f t="shared" si="26"/>
        <v>0</v>
      </c>
    </row>
    <row r="301" spans="2:11" x14ac:dyDescent="0.15">
      <c r="B301" s="25" t="s">
        <v>46</v>
      </c>
      <c r="C301" s="14">
        <v>2</v>
      </c>
      <c r="D301" s="31">
        <v>3</v>
      </c>
      <c r="E301" s="15">
        <f t="shared" si="27"/>
        <v>5</v>
      </c>
      <c r="F301" s="61">
        <v>44112</v>
      </c>
      <c r="G301" s="13"/>
      <c r="H301" s="2"/>
      <c r="I301" s="33"/>
      <c r="J301" s="4">
        <f t="shared" si="26"/>
        <v>0</v>
      </c>
    </row>
    <row r="302" spans="2:11" x14ac:dyDescent="0.15">
      <c r="B302" s="25" t="s">
        <v>137</v>
      </c>
      <c r="C302" s="14"/>
      <c r="D302" s="31">
        <v>1</v>
      </c>
      <c r="E302" s="15">
        <f>C302+D302</f>
        <v>1</v>
      </c>
      <c r="F302" s="61">
        <v>44114</v>
      </c>
      <c r="G302" s="13"/>
      <c r="H302" s="2"/>
      <c r="I302" s="33"/>
      <c r="J302" s="4">
        <f t="shared" si="26"/>
        <v>0</v>
      </c>
    </row>
    <row r="303" spans="2:11" x14ac:dyDescent="0.15">
      <c r="B303" s="25" t="s">
        <v>46</v>
      </c>
      <c r="C303" s="14">
        <v>5</v>
      </c>
      <c r="D303" s="31">
        <v>3</v>
      </c>
      <c r="E303" s="15">
        <f t="shared" si="27"/>
        <v>8</v>
      </c>
      <c r="F303" s="61">
        <v>44113</v>
      </c>
      <c r="G303" s="13"/>
      <c r="H303" s="2"/>
      <c r="I303" s="33"/>
      <c r="J303" s="4">
        <f t="shared" si="26"/>
        <v>0</v>
      </c>
    </row>
    <row r="304" spans="2:11" x14ac:dyDescent="0.15">
      <c r="B304" s="25" t="s">
        <v>130</v>
      </c>
      <c r="C304" s="14">
        <v>40</v>
      </c>
      <c r="D304" s="31"/>
      <c r="E304" s="15">
        <f>C304+D304</f>
        <v>40</v>
      </c>
      <c r="F304" s="61">
        <v>44118</v>
      </c>
      <c r="G304" s="13"/>
      <c r="H304" s="2"/>
      <c r="I304" s="33"/>
      <c r="J304" s="4">
        <f t="shared" si="26"/>
        <v>0</v>
      </c>
    </row>
    <row r="305" spans="2:12" x14ac:dyDescent="0.15">
      <c r="B305" s="25" t="s">
        <v>133</v>
      </c>
      <c r="C305" s="14">
        <v>40</v>
      </c>
      <c r="D305" s="31"/>
      <c r="E305" s="15">
        <f>C305+D305</f>
        <v>40</v>
      </c>
      <c r="F305" s="61">
        <v>44120</v>
      </c>
      <c r="G305" s="25"/>
      <c r="H305" s="2"/>
      <c r="I305" s="33"/>
      <c r="J305" s="4">
        <f t="shared" si="26"/>
        <v>0</v>
      </c>
    </row>
    <row r="306" spans="2:12" x14ac:dyDescent="0.15">
      <c r="B306" s="25" t="s">
        <v>140</v>
      </c>
      <c r="C306" s="14"/>
      <c r="D306" s="31">
        <v>10</v>
      </c>
      <c r="E306" s="15">
        <f t="shared" si="27"/>
        <v>10</v>
      </c>
      <c r="F306" s="61">
        <v>44117</v>
      </c>
      <c r="G306" s="25"/>
      <c r="H306" s="2"/>
      <c r="I306" s="33"/>
      <c r="J306" s="4">
        <f t="shared" si="26"/>
        <v>0</v>
      </c>
    </row>
    <row r="307" spans="2:12" x14ac:dyDescent="0.15">
      <c r="B307" s="25" t="s">
        <v>46</v>
      </c>
      <c r="C307" s="14">
        <v>9</v>
      </c>
      <c r="D307" s="31">
        <v>4</v>
      </c>
      <c r="E307" s="15">
        <f t="shared" si="27"/>
        <v>13</v>
      </c>
      <c r="F307" s="61">
        <v>44116</v>
      </c>
      <c r="G307" s="25"/>
      <c r="H307" s="2"/>
      <c r="I307" s="33"/>
      <c r="J307" s="4">
        <f t="shared" si="26"/>
        <v>0</v>
      </c>
    </row>
    <row r="308" spans="2:12" x14ac:dyDescent="0.15">
      <c r="B308" s="25" t="s">
        <v>46</v>
      </c>
      <c r="C308" s="14">
        <v>2</v>
      </c>
      <c r="D308" s="31">
        <v>4</v>
      </c>
      <c r="E308" s="15">
        <f>C308+D308</f>
        <v>6</v>
      </c>
      <c r="F308" s="61">
        <v>44117</v>
      </c>
      <c r="G308" s="25"/>
      <c r="H308" s="2"/>
      <c r="I308" s="33"/>
      <c r="J308" s="4">
        <f t="shared" si="26"/>
        <v>0</v>
      </c>
    </row>
    <row r="309" spans="2:12" x14ac:dyDescent="0.15">
      <c r="B309" s="25" t="s">
        <v>142</v>
      </c>
      <c r="C309" s="14"/>
      <c r="D309" s="31">
        <v>40</v>
      </c>
      <c r="E309" s="15">
        <f>C309+D309</f>
        <v>40</v>
      </c>
      <c r="F309" s="61">
        <v>44119</v>
      </c>
      <c r="G309" s="13"/>
      <c r="H309" s="2"/>
      <c r="I309" s="33"/>
      <c r="J309" s="4">
        <f t="shared" si="26"/>
        <v>0</v>
      </c>
    </row>
    <row r="310" spans="2:12" x14ac:dyDescent="0.15">
      <c r="B310" s="25" t="s">
        <v>46</v>
      </c>
      <c r="C310" s="2">
        <v>1</v>
      </c>
      <c r="D310" s="33">
        <v>1</v>
      </c>
      <c r="E310" s="4">
        <f t="shared" si="27"/>
        <v>2</v>
      </c>
      <c r="F310" s="61">
        <v>44118</v>
      </c>
      <c r="G310" s="25"/>
      <c r="H310" s="2"/>
      <c r="I310" s="33"/>
      <c r="J310" s="4">
        <f t="shared" si="26"/>
        <v>0</v>
      </c>
    </row>
    <row r="311" spans="2:12" x14ac:dyDescent="0.15">
      <c r="B311" s="25" t="s">
        <v>46</v>
      </c>
      <c r="C311" s="14">
        <v>1</v>
      </c>
      <c r="D311" s="31">
        <v>3</v>
      </c>
      <c r="E311" s="15">
        <f t="shared" si="27"/>
        <v>4</v>
      </c>
      <c r="F311" s="61">
        <v>44119</v>
      </c>
      <c r="G311" s="25"/>
      <c r="H311" s="14"/>
      <c r="I311" s="31"/>
      <c r="J311" s="15">
        <f t="shared" si="26"/>
        <v>0</v>
      </c>
    </row>
    <row r="312" spans="2:12" x14ac:dyDescent="0.15">
      <c r="B312" s="25" t="s">
        <v>46</v>
      </c>
      <c r="C312" s="14">
        <v>1</v>
      </c>
      <c r="D312" s="31">
        <v>2</v>
      </c>
      <c r="E312" s="15">
        <f t="shared" si="27"/>
        <v>3</v>
      </c>
      <c r="F312" s="61">
        <v>44120</v>
      </c>
      <c r="G312" s="25"/>
      <c r="H312" s="14"/>
      <c r="I312" s="31"/>
      <c r="J312" s="15">
        <f t="shared" si="26"/>
        <v>0</v>
      </c>
    </row>
    <row r="313" spans="2:12" x14ac:dyDescent="0.15">
      <c r="B313" s="25" t="s">
        <v>141</v>
      </c>
      <c r="C313" s="14">
        <v>40</v>
      </c>
      <c r="D313" s="31"/>
      <c r="E313" s="15">
        <f t="shared" ref="E313:E318" si="28">C313+D313</f>
        <v>40</v>
      </c>
      <c r="F313" s="61">
        <v>44124</v>
      </c>
      <c r="G313" s="13"/>
      <c r="H313" s="2"/>
      <c r="I313" s="33"/>
      <c r="J313" s="15">
        <f t="shared" si="26"/>
        <v>0</v>
      </c>
    </row>
    <row r="314" spans="2:12" x14ac:dyDescent="0.15">
      <c r="B314" s="25" t="s">
        <v>145</v>
      </c>
      <c r="C314" s="14">
        <v>7</v>
      </c>
      <c r="D314" s="31">
        <v>2</v>
      </c>
      <c r="E314" s="15">
        <f t="shared" si="28"/>
        <v>9</v>
      </c>
      <c r="F314" s="61">
        <v>44124</v>
      </c>
      <c r="G314" s="73"/>
      <c r="H314" s="27"/>
      <c r="I314" s="36"/>
      <c r="J314" s="28">
        <f>H314+I314</f>
        <v>0</v>
      </c>
      <c r="K314" s="61"/>
    </row>
    <row r="315" spans="2:12" x14ac:dyDescent="0.15">
      <c r="B315" s="25" t="s">
        <v>46</v>
      </c>
      <c r="C315" s="14">
        <v>4</v>
      </c>
      <c r="D315" s="31">
        <v>4</v>
      </c>
      <c r="E315" s="15">
        <f t="shared" si="28"/>
        <v>8</v>
      </c>
      <c r="F315" s="61">
        <v>44123</v>
      </c>
      <c r="G315" s="13"/>
      <c r="H315" s="14"/>
      <c r="I315" s="31"/>
      <c r="J315" s="15">
        <f>H315+I315</f>
        <v>0</v>
      </c>
      <c r="K315" s="61"/>
    </row>
    <row r="316" spans="2:12" ht="14.25" thickBot="1" x14ac:dyDescent="0.2">
      <c r="B316" s="25"/>
      <c r="C316" s="14"/>
      <c r="D316" s="31"/>
      <c r="E316" s="15">
        <f t="shared" si="28"/>
        <v>0</v>
      </c>
      <c r="F316" s="61"/>
      <c r="G316" s="13"/>
      <c r="H316" s="27"/>
      <c r="I316" s="36"/>
      <c r="J316" s="28">
        <f>H316+I316</f>
        <v>0</v>
      </c>
    </row>
    <row r="317" spans="2:12" ht="14.25" thickBot="1" x14ac:dyDescent="0.2">
      <c r="B317" s="8" t="s">
        <v>2</v>
      </c>
      <c r="C317" s="10">
        <f>SUM(C292:C316)</f>
        <v>169</v>
      </c>
      <c r="D317" s="32">
        <f>SUM(D292:D316)</f>
        <v>168</v>
      </c>
      <c r="E317" s="11">
        <f t="shared" si="28"/>
        <v>337</v>
      </c>
      <c r="G317" s="8" t="s">
        <v>2</v>
      </c>
      <c r="H317" s="10">
        <f>SUM(H292:H316)</f>
        <v>500</v>
      </c>
      <c r="I317" s="32">
        <f>SUM(I292:I316)</f>
        <v>0</v>
      </c>
      <c r="J317" s="11">
        <f>H317+I317</f>
        <v>500</v>
      </c>
    </row>
    <row r="318" spans="2:12" ht="14.25" thickBot="1" x14ac:dyDescent="0.2">
      <c r="B318" s="52" t="s">
        <v>3</v>
      </c>
      <c r="C318" s="53">
        <f>+C291-C317</f>
        <v>461</v>
      </c>
      <c r="D318" s="54">
        <f>+D291-D317</f>
        <v>1351</v>
      </c>
      <c r="E318" s="55">
        <f t="shared" si="28"/>
        <v>1812</v>
      </c>
      <c r="G318" s="52" t="s">
        <v>3</v>
      </c>
      <c r="H318" s="53">
        <f>+H291-H317</f>
        <v>2800</v>
      </c>
      <c r="I318" s="54">
        <f>+I291-I317</f>
        <v>0</v>
      </c>
      <c r="J318" s="55">
        <f>H318+I318</f>
        <v>2800</v>
      </c>
    </row>
    <row r="320" spans="2:12" ht="21" x14ac:dyDescent="0.2">
      <c r="B320" s="76" t="s">
        <v>150</v>
      </c>
      <c r="G320" s="75" t="s">
        <v>149</v>
      </c>
      <c r="L320" s="75" t="s">
        <v>151</v>
      </c>
    </row>
    <row r="321" spans="2:16" ht="18.75" x14ac:dyDescent="0.2">
      <c r="B321" s="3" t="s">
        <v>11</v>
      </c>
      <c r="G321" s="3" t="s">
        <v>11</v>
      </c>
      <c r="L321" s="3" t="s">
        <v>11</v>
      </c>
    </row>
    <row r="322" spans="2:16" ht="14.25" thickBot="1" x14ac:dyDescent="0.2">
      <c r="G322" s="1"/>
      <c r="L322" s="1"/>
    </row>
    <row r="323" spans="2:16" ht="14.25" thickBot="1" x14ac:dyDescent="0.2">
      <c r="B323" s="7"/>
      <c r="C323" s="118"/>
      <c r="D323" s="119"/>
      <c r="E323" s="120"/>
      <c r="G323" s="7"/>
      <c r="H323" s="67"/>
      <c r="I323" s="68"/>
      <c r="J323" s="69"/>
      <c r="L323" s="7"/>
      <c r="M323" s="67"/>
      <c r="N323" s="68"/>
      <c r="O323" s="69"/>
    </row>
    <row r="324" spans="2:16" ht="14.25" thickBot="1" x14ac:dyDescent="0.2">
      <c r="B324" s="8"/>
      <c r="C324" s="40" t="s">
        <v>7</v>
      </c>
      <c r="D324" s="29" t="s">
        <v>9</v>
      </c>
      <c r="E324" s="9" t="s">
        <v>0</v>
      </c>
      <c r="G324" s="8"/>
      <c r="H324" s="40" t="s">
        <v>7</v>
      </c>
      <c r="I324" s="29" t="s">
        <v>9</v>
      </c>
      <c r="J324" s="9" t="s">
        <v>0</v>
      </c>
      <c r="L324" s="8"/>
      <c r="M324" s="40" t="s">
        <v>7</v>
      </c>
      <c r="N324" s="29" t="s">
        <v>9</v>
      </c>
      <c r="O324" s="9" t="s">
        <v>0</v>
      </c>
    </row>
    <row r="325" spans="2:16" x14ac:dyDescent="0.15">
      <c r="B325" s="16" t="s">
        <v>4</v>
      </c>
      <c r="C325" s="17">
        <f>C318</f>
        <v>461</v>
      </c>
      <c r="D325" s="35">
        <f>D318</f>
        <v>1351</v>
      </c>
      <c r="E325" s="18">
        <f t="shared" ref="E325:E332" si="29">C325+D325</f>
        <v>1812</v>
      </c>
      <c r="G325" s="78" t="s">
        <v>4</v>
      </c>
      <c r="H325" s="79">
        <v>0</v>
      </c>
      <c r="I325" s="80">
        <f>I318</f>
        <v>0</v>
      </c>
      <c r="J325" s="81">
        <f t="shared" ref="J325:J353" si="30">H325+I325</f>
        <v>0</v>
      </c>
      <c r="K325" s="63"/>
      <c r="L325" s="16" t="s">
        <v>155</v>
      </c>
      <c r="M325" s="17">
        <v>2800</v>
      </c>
      <c r="N325" s="35">
        <f>N318</f>
        <v>0</v>
      </c>
      <c r="O325" s="18">
        <f>M325+N325</f>
        <v>2800</v>
      </c>
      <c r="P325" s="65" t="s">
        <v>156</v>
      </c>
    </row>
    <row r="326" spans="2:16" x14ac:dyDescent="0.15">
      <c r="B326" s="25" t="s">
        <v>5</v>
      </c>
      <c r="C326" s="14">
        <v>300</v>
      </c>
      <c r="D326" s="31"/>
      <c r="E326" s="23">
        <f t="shared" si="29"/>
        <v>300</v>
      </c>
      <c r="F326" s="61">
        <v>44141</v>
      </c>
      <c r="G326" s="25" t="s">
        <v>5</v>
      </c>
      <c r="H326" s="14">
        <v>400</v>
      </c>
      <c r="I326" s="31"/>
      <c r="J326" s="23">
        <f t="shared" si="30"/>
        <v>400</v>
      </c>
      <c r="K326" s="61">
        <v>44125</v>
      </c>
      <c r="L326" s="25" t="s">
        <v>5</v>
      </c>
      <c r="M326" s="14"/>
      <c r="N326" s="31"/>
      <c r="O326" s="23">
        <f>M326+N326</f>
        <v>0</v>
      </c>
    </row>
    <row r="327" spans="2:16" x14ac:dyDescent="0.15">
      <c r="B327" s="25" t="s">
        <v>5</v>
      </c>
      <c r="C327" s="27"/>
      <c r="D327" s="36"/>
      <c r="E327" s="28">
        <f t="shared" si="29"/>
        <v>0</v>
      </c>
      <c r="F327" s="61"/>
      <c r="G327" s="25" t="s">
        <v>5</v>
      </c>
      <c r="H327" s="14">
        <v>450</v>
      </c>
      <c r="I327" s="31"/>
      <c r="J327" s="15">
        <f t="shared" si="30"/>
        <v>450</v>
      </c>
      <c r="K327" s="61">
        <v>44127</v>
      </c>
      <c r="L327" s="25" t="s">
        <v>5</v>
      </c>
      <c r="M327" s="14"/>
      <c r="N327" s="31"/>
      <c r="O327" s="15">
        <f>M327+N327</f>
        <v>0</v>
      </c>
    </row>
    <row r="328" spans="2:16" x14ac:dyDescent="0.15">
      <c r="B328" s="25" t="s">
        <v>5</v>
      </c>
      <c r="C328" s="14"/>
      <c r="D328" s="31"/>
      <c r="E328" s="15">
        <f t="shared" si="29"/>
        <v>0</v>
      </c>
      <c r="F328" s="61"/>
      <c r="G328" s="25" t="s">
        <v>5</v>
      </c>
      <c r="H328" s="14">
        <v>650</v>
      </c>
      <c r="I328" s="31"/>
      <c r="J328" s="15">
        <f t="shared" si="30"/>
        <v>650</v>
      </c>
      <c r="K328" s="61">
        <v>44131</v>
      </c>
      <c r="L328" s="25" t="s">
        <v>5</v>
      </c>
      <c r="M328" s="14"/>
      <c r="N328" s="31"/>
      <c r="O328" s="15">
        <f>M328+N328</f>
        <v>0</v>
      </c>
    </row>
    <row r="329" spans="2:16" x14ac:dyDescent="0.15">
      <c r="B329" s="26" t="s">
        <v>5</v>
      </c>
      <c r="C329" s="27"/>
      <c r="D329" s="36"/>
      <c r="E329" s="28">
        <f t="shared" si="29"/>
        <v>0</v>
      </c>
      <c r="G329" s="25" t="s">
        <v>5</v>
      </c>
      <c r="H329" s="14">
        <v>250</v>
      </c>
      <c r="I329" s="31"/>
      <c r="J329" s="15">
        <f>H329+I329</f>
        <v>250</v>
      </c>
      <c r="K329" s="61">
        <v>44134</v>
      </c>
      <c r="L329" s="25" t="s">
        <v>5</v>
      </c>
      <c r="M329" s="14"/>
      <c r="N329" s="31"/>
      <c r="O329" s="15">
        <f>M329+N329</f>
        <v>0</v>
      </c>
      <c r="P329" s="61"/>
    </row>
    <row r="330" spans="2:16" ht="14.25" thickBot="1" x14ac:dyDescent="0.2">
      <c r="B330" s="26" t="s">
        <v>5</v>
      </c>
      <c r="C330" s="14"/>
      <c r="D330" s="31"/>
      <c r="E330" s="15">
        <f t="shared" si="29"/>
        <v>0</v>
      </c>
      <c r="G330" s="25" t="s">
        <v>5</v>
      </c>
      <c r="H330" s="14">
        <v>1050</v>
      </c>
      <c r="I330" s="31"/>
      <c r="J330" s="15">
        <f t="shared" si="30"/>
        <v>1050</v>
      </c>
      <c r="K330" s="61" t="s">
        <v>174</v>
      </c>
      <c r="L330" s="25" t="s">
        <v>5</v>
      </c>
      <c r="M330" s="14"/>
      <c r="N330" s="31"/>
      <c r="O330" s="15">
        <f t="shared" ref="O330:O353" si="31">M330+N330</f>
        <v>0</v>
      </c>
    </row>
    <row r="331" spans="2:16" ht="14.25" thickBot="1" x14ac:dyDescent="0.2">
      <c r="B331" s="8" t="s">
        <v>1</v>
      </c>
      <c r="C331" s="10">
        <f>SUM(C325:C330)</f>
        <v>761</v>
      </c>
      <c r="D331" s="32">
        <f>SUM(D325:D330)</f>
        <v>1351</v>
      </c>
      <c r="E331" s="11">
        <f t="shared" si="29"/>
        <v>2112</v>
      </c>
      <c r="G331" s="8" t="s">
        <v>1</v>
      </c>
      <c r="H331" s="10">
        <f>SUM(H325:H330)</f>
        <v>2800</v>
      </c>
      <c r="I331" s="32">
        <f>SUM(I325:I330)</f>
        <v>0</v>
      </c>
      <c r="J331" s="11">
        <f t="shared" si="30"/>
        <v>2800</v>
      </c>
      <c r="L331" s="8" t="s">
        <v>1</v>
      </c>
      <c r="M331" s="10">
        <f>SUM(M325:M330)</f>
        <v>2800</v>
      </c>
      <c r="N331" s="32">
        <f>SUM(N325:N330)</f>
        <v>0</v>
      </c>
      <c r="O331" s="11">
        <f t="shared" si="31"/>
        <v>2800</v>
      </c>
    </row>
    <row r="332" spans="2:16" x14ac:dyDescent="0.15">
      <c r="B332" s="25" t="s">
        <v>146</v>
      </c>
      <c r="C332" s="14"/>
      <c r="D332" s="31">
        <v>40</v>
      </c>
      <c r="E332" s="15">
        <f t="shared" si="29"/>
        <v>40</v>
      </c>
      <c r="F332" s="61">
        <v>44125</v>
      </c>
      <c r="G332" s="13" t="s">
        <v>169</v>
      </c>
      <c r="H332" s="27">
        <v>500</v>
      </c>
      <c r="I332" s="36">
        <v>0</v>
      </c>
      <c r="J332" s="28">
        <f>H332+I332</f>
        <v>500</v>
      </c>
      <c r="K332" s="61">
        <v>44141</v>
      </c>
      <c r="L332" s="25" t="s">
        <v>158</v>
      </c>
      <c r="M332" s="27">
        <v>400</v>
      </c>
      <c r="N332" s="36"/>
      <c r="O332" s="28">
        <f t="shared" si="31"/>
        <v>400</v>
      </c>
      <c r="P332" s="77">
        <v>44125</v>
      </c>
    </row>
    <row r="333" spans="2:16" x14ac:dyDescent="0.15">
      <c r="B333" s="25" t="s">
        <v>46</v>
      </c>
      <c r="C333" s="14">
        <v>6</v>
      </c>
      <c r="D333" s="31">
        <v>5</v>
      </c>
      <c r="E333" s="15">
        <f t="shared" ref="E333:E350" si="32">C333+D333</f>
        <v>11</v>
      </c>
      <c r="F333" s="61">
        <v>44124</v>
      </c>
      <c r="G333" s="5" t="s">
        <v>120</v>
      </c>
      <c r="H333" s="14">
        <v>300</v>
      </c>
      <c r="I333" s="31"/>
      <c r="J333" s="15">
        <f>H333+I333</f>
        <v>300</v>
      </c>
      <c r="K333" s="61">
        <v>44141</v>
      </c>
      <c r="L333" s="25" t="s">
        <v>157</v>
      </c>
      <c r="M333" s="14">
        <v>450</v>
      </c>
      <c r="N333" s="31"/>
      <c r="O333" s="15">
        <f t="shared" si="31"/>
        <v>450</v>
      </c>
      <c r="P333" s="77">
        <v>44127</v>
      </c>
    </row>
    <row r="334" spans="2:16" x14ac:dyDescent="0.15">
      <c r="B334" s="25" t="s">
        <v>147</v>
      </c>
      <c r="C334" s="14">
        <v>1</v>
      </c>
      <c r="D334" s="31">
        <v>1</v>
      </c>
      <c r="E334" s="15">
        <f t="shared" si="32"/>
        <v>2</v>
      </c>
      <c r="F334" s="61">
        <v>44125</v>
      </c>
      <c r="G334" s="5"/>
      <c r="H334" s="14"/>
      <c r="I334" s="31"/>
      <c r="J334" s="15">
        <f t="shared" si="30"/>
        <v>0</v>
      </c>
      <c r="K334" s="61"/>
      <c r="L334" s="25" t="s">
        <v>157</v>
      </c>
      <c r="M334" s="14">
        <v>650</v>
      </c>
      <c r="N334" s="31"/>
      <c r="O334" s="15">
        <f t="shared" si="31"/>
        <v>650</v>
      </c>
      <c r="P334" s="77">
        <v>44131</v>
      </c>
    </row>
    <row r="335" spans="2:16" x14ac:dyDescent="0.15">
      <c r="B335" s="5" t="s">
        <v>148</v>
      </c>
      <c r="C335" s="14">
        <v>60</v>
      </c>
      <c r="D335" s="31">
        <v>100</v>
      </c>
      <c r="E335" s="15">
        <f t="shared" si="32"/>
        <v>160</v>
      </c>
      <c r="F335" s="61">
        <v>44126</v>
      </c>
      <c r="G335" s="13"/>
      <c r="H335" s="14"/>
      <c r="I335" s="31"/>
      <c r="J335" s="15">
        <f t="shared" si="30"/>
        <v>0</v>
      </c>
      <c r="L335" s="25" t="s">
        <v>157</v>
      </c>
      <c r="M335" s="14">
        <v>250</v>
      </c>
      <c r="N335" s="31"/>
      <c r="O335" s="15">
        <f t="shared" si="31"/>
        <v>250</v>
      </c>
      <c r="P335" s="77">
        <v>44134</v>
      </c>
    </row>
    <row r="336" spans="2:16" x14ac:dyDescent="0.15">
      <c r="B336" s="25" t="s">
        <v>46</v>
      </c>
      <c r="C336" s="2">
        <v>1</v>
      </c>
      <c r="D336" s="33">
        <v>2</v>
      </c>
      <c r="E336" s="4">
        <f t="shared" si="32"/>
        <v>3</v>
      </c>
      <c r="F336" s="61">
        <v>44125</v>
      </c>
      <c r="G336" s="12"/>
      <c r="H336" s="2"/>
      <c r="I336" s="33"/>
      <c r="J336" s="4">
        <f t="shared" si="30"/>
        <v>0</v>
      </c>
      <c r="L336" s="25" t="s">
        <v>157</v>
      </c>
      <c r="M336" s="14">
        <v>350</v>
      </c>
      <c r="N336" s="31"/>
      <c r="O336" s="15">
        <f t="shared" si="31"/>
        <v>350</v>
      </c>
      <c r="P336" s="77">
        <v>44137</v>
      </c>
    </row>
    <row r="337" spans="2:16" x14ac:dyDescent="0.15">
      <c r="B337" s="25" t="s">
        <v>152</v>
      </c>
      <c r="C337" s="14">
        <v>5</v>
      </c>
      <c r="D337" s="31">
        <v>1</v>
      </c>
      <c r="E337" s="15">
        <f t="shared" si="32"/>
        <v>6</v>
      </c>
      <c r="F337" s="61">
        <v>44127</v>
      </c>
      <c r="G337" s="13"/>
      <c r="H337" s="14"/>
      <c r="I337" s="31"/>
      <c r="J337" s="15">
        <f t="shared" si="30"/>
        <v>0</v>
      </c>
      <c r="L337" s="25" t="s">
        <v>157</v>
      </c>
      <c r="M337" s="14">
        <v>300</v>
      </c>
      <c r="N337" s="31"/>
      <c r="O337" s="15">
        <f t="shared" si="31"/>
        <v>300</v>
      </c>
      <c r="P337" s="77">
        <v>44137</v>
      </c>
    </row>
    <row r="338" spans="2:16" x14ac:dyDescent="0.15">
      <c r="B338" s="25" t="s">
        <v>46</v>
      </c>
      <c r="C338" s="2">
        <v>5</v>
      </c>
      <c r="D338" s="33">
        <v>6</v>
      </c>
      <c r="E338" s="4">
        <f t="shared" si="32"/>
        <v>11</v>
      </c>
      <c r="F338" s="61">
        <v>44126</v>
      </c>
      <c r="G338" s="13"/>
      <c r="H338" s="2"/>
      <c r="I338" s="33"/>
      <c r="J338" s="4">
        <f t="shared" si="30"/>
        <v>0</v>
      </c>
      <c r="L338" s="25" t="s">
        <v>157</v>
      </c>
      <c r="M338" s="14">
        <v>400</v>
      </c>
      <c r="N338" s="31"/>
      <c r="O338" s="15">
        <f t="shared" si="31"/>
        <v>400</v>
      </c>
      <c r="P338" s="77">
        <v>44140</v>
      </c>
    </row>
    <row r="339" spans="2:16" x14ac:dyDescent="0.15">
      <c r="B339" s="13" t="s">
        <v>153</v>
      </c>
      <c r="C339" s="14">
        <v>25</v>
      </c>
      <c r="D339" s="31">
        <v>25</v>
      </c>
      <c r="E339" s="15">
        <f t="shared" si="32"/>
        <v>50</v>
      </c>
      <c r="F339" s="61">
        <v>44133</v>
      </c>
      <c r="G339" s="13"/>
      <c r="H339" s="2"/>
      <c r="I339" s="33"/>
      <c r="J339" s="4">
        <f t="shared" si="30"/>
        <v>0</v>
      </c>
      <c r="L339" s="13"/>
      <c r="M339" s="2"/>
      <c r="N339" s="33"/>
      <c r="O339" s="4">
        <f t="shared" si="31"/>
        <v>0</v>
      </c>
    </row>
    <row r="340" spans="2:16" x14ac:dyDescent="0.15">
      <c r="B340" s="5" t="s">
        <v>154</v>
      </c>
      <c r="C340" s="14"/>
      <c r="D340" s="31">
        <v>100</v>
      </c>
      <c r="E340" s="15">
        <f t="shared" si="32"/>
        <v>100</v>
      </c>
      <c r="F340" s="61">
        <v>44130</v>
      </c>
      <c r="G340" s="13"/>
      <c r="H340" s="2"/>
      <c r="I340" s="33"/>
      <c r="J340" s="4">
        <f t="shared" si="30"/>
        <v>0</v>
      </c>
      <c r="L340" s="13"/>
      <c r="M340" s="2"/>
      <c r="N340" s="33"/>
      <c r="O340" s="4">
        <f t="shared" si="31"/>
        <v>0</v>
      </c>
    </row>
    <row r="341" spans="2:16" x14ac:dyDescent="0.15">
      <c r="B341" s="25" t="s">
        <v>46</v>
      </c>
      <c r="C341" s="2">
        <v>8</v>
      </c>
      <c r="D341" s="33">
        <v>7</v>
      </c>
      <c r="E341" s="4">
        <f t="shared" si="32"/>
        <v>15</v>
      </c>
      <c r="F341" s="61">
        <v>44127</v>
      </c>
      <c r="G341" s="13"/>
      <c r="H341" s="2"/>
      <c r="I341" s="33"/>
      <c r="J341" s="4">
        <f t="shared" si="30"/>
        <v>0</v>
      </c>
      <c r="L341" s="13"/>
      <c r="M341" s="2"/>
      <c r="N341" s="33"/>
      <c r="O341" s="4">
        <f t="shared" si="31"/>
        <v>0</v>
      </c>
    </row>
    <row r="342" spans="2:16" x14ac:dyDescent="0.15">
      <c r="B342" s="25" t="s">
        <v>159</v>
      </c>
      <c r="C342" s="14">
        <v>2</v>
      </c>
      <c r="D342" s="31"/>
      <c r="E342" s="15">
        <f t="shared" si="32"/>
        <v>2</v>
      </c>
      <c r="F342" s="61">
        <v>44131</v>
      </c>
      <c r="G342" s="13"/>
      <c r="H342" s="2"/>
      <c r="I342" s="33"/>
      <c r="J342" s="4">
        <f t="shared" si="30"/>
        <v>0</v>
      </c>
      <c r="L342" s="13"/>
      <c r="M342" s="2"/>
      <c r="N342" s="33"/>
      <c r="O342" s="4">
        <f t="shared" si="31"/>
        <v>0</v>
      </c>
    </row>
    <row r="343" spans="2:16" x14ac:dyDescent="0.15">
      <c r="B343" s="5" t="s">
        <v>160</v>
      </c>
      <c r="C343" s="14">
        <v>60</v>
      </c>
      <c r="D343" s="31">
        <v>60</v>
      </c>
      <c r="E343" s="15">
        <f t="shared" si="32"/>
        <v>120</v>
      </c>
      <c r="F343" s="61">
        <v>44132</v>
      </c>
      <c r="G343" s="13"/>
      <c r="H343" s="2"/>
      <c r="I343" s="33"/>
      <c r="J343" s="4">
        <f t="shared" si="30"/>
        <v>0</v>
      </c>
      <c r="L343" s="13"/>
      <c r="M343" s="2"/>
      <c r="N343" s="33"/>
      <c r="O343" s="4">
        <f t="shared" si="31"/>
        <v>0</v>
      </c>
    </row>
    <row r="344" spans="2:16" x14ac:dyDescent="0.15">
      <c r="B344" s="25" t="s">
        <v>46</v>
      </c>
      <c r="C344" s="2">
        <v>12</v>
      </c>
      <c r="D344" s="33">
        <v>8</v>
      </c>
      <c r="E344" s="4">
        <f t="shared" si="32"/>
        <v>20</v>
      </c>
      <c r="F344" s="61">
        <v>44130</v>
      </c>
      <c r="G344" s="13"/>
      <c r="H344" s="2"/>
      <c r="I344" s="33"/>
      <c r="J344" s="4">
        <f t="shared" si="30"/>
        <v>0</v>
      </c>
      <c r="L344" s="13"/>
      <c r="M344" s="2"/>
      <c r="N344" s="33"/>
      <c r="O344" s="4">
        <f t="shared" si="31"/>
        <v>0</v>
      </c>
    </row>
    <row r="345" spans="2:16" x14ac:dyDescent="0.15">
      <c r="B345" s="25" t="s">
        <v>46</v>
      </c>
      <c r="C345" s="2">
        <v>3</v>
      </c>
      <c r="D345" s="33">
        <v>1</v>
      </c>
      <c r="E345" s="4">
        <f t="shared" si="32"/>
        <v>4</v>
      </c>
      <c r="F345" s="61">
        <v>44131</v>
      </c>
      <c r="G345" s="25"/>
      <c r="H345" s="2"/>
      <c r="I345" s="33"/>
      <c r="J345" s="4">
        <f t="shared" si="30"/>
        <v>0</v>
      </c>
      <c r="L345" s="25"/>
      <c r="M345" s="2"/>
      <c r="N345" s="33"/>
      <c r="O345" s="4">
        <f t="shared" si="31"/>
        <v>0</v>
      </c>
    </row>
    <row r="346" spans="2:16" x14ac:dyDescent="0.15">
      <c r="B346" s="13" t="s">
        <v>163</v>
      </c>
      <c r="C346" s="14"/>
      <c r="D346" s="31">
        <v>5</v>
      </c>
      <c r="E346" s="15">
        <f t="shared" si="32"/>
        <v>5</v>
      </c>
      <c r="F346" s="61">
        <v>44137</v>
      </c>
      <c r="G346" s="25"/>
      <c r="H346" s="2"/>
      <c r="I346" s="33"/>
      <c r="J346" s="4">
        <f t="shared" si="30"/>
        <v>0</v>
      </c>
      <c r="L346" s="25"/>
      <c r="M346" s="2"/>
      <c r="N346" s="33"/>
      <c r="O346" s="4">
        <f t="shared" si="31"/>
        <v>0</v>
      </c>
    </row>
    <row r="347" spans="2:16" x14ac:dyDescent="0.15">
      <c r="B347" s="25" t="s">
        <v>164</v>
      </c>
      <c r="C347" s="2">
        <v>1</v>
      </c>
      <c r="D347" s="33"/>
      <c r="E347" s="4">
        <f t="shared" si="32"/>
        <v>1</v>
      </c>
      <c r="F347" s="61">
        <v>44132</v>
      </c>
      <c r="G347" s="25"/>
      <c r="H347" s="2"/>
      <c r="I347" s="33"/>
      <c r="J347" s="4">
        <f t="shared" si="30"/>
        <v>0</v>
      </c>
      <c r="L347" s="25"/>
      <c r="M347" s="2"/>
      <c r="N347" s="33"/>
      <c r="O347" s="4">
        <f t="shared" si="31"/>
        <v>0</v>
      </c>
    </row>
    <row r="348" spans="2:16" x14ac:dyDescent="0.15">
      <c r="B348" s="25" t="s">
        <v>46</v>
      </c>
      <c r="C348" s="2">
        <v>7</v>
      </c>
      <c r="D348" s="33">
        <v>9</v>
      </c>
      <c r="E348" s="4">
        <f t="shared" si="32"/>
        <v>16</v>
      </c>
      <c r="F348" s="61">
        <v>44132</v>
      </c>
      <c r="G348" s="25"/>
      <c r="H348" s="2"/>
      <c r="I348" s="33"/>
      <c r="J348" s="4">
        <f t="shared" si="30"/>
        <v>0</v>
      </c>
      <c r="L348" s="25"/>
      <c r="M348" s="2"/>
      <c r="N348" s="33"/>
      <c r="O348" s="4">
        <f t="shared" si="31"/>
        <v>0</v>
      </c>
    </row>
    <row r="349" spans="2:16" x14ac:dyDescent="0.15">
      <c r="B349" s="25" t="s">
        <v>46</v>
      </c>
      <c r="C349" s="14">
        <v>14</v>
      </c>
      <c r="D349" s="31">
        <v>10</v>
      </c>
      <c r="E349" s="15">
        <f t="shared" si="32"/>
        <v>24</v>
      </c>
      <c r="F349" s="61">
        <v>44133</v>
      </c>
      <c r="G349" s="13"/>
      <c r="H349" s="2"/>
      <c r="I349" s="33"/>
      <c r="J349" s="4">
        <f t="shared" si="30"/>
        <v>0</v>
      </c>
      <c r="L349" s="13"/>
      <c r="M349" s="2"/>
      <c r="N349" s="33"/>
      <c r="O349" s="4">
        <f t="shared" si="31"/>
        <v>0</v>
      </c>
    </row>
    <row r="350" spans="2:16" x14ac:dyDescent="0.15">
      <c r="B350" s="25" t="s">
        <v>166</v>
      </c>
      <c r="C350" s="14">
        <v>4</v>
      </c>
      <c r="D350" s="31"/>
      <c r="E350" s="15">
        <f t="shared" si="32"/>
        <v>4</v>
      </c>
      <c r="F350" s="61">
        <v>44135</v>
      </c>
      <c r="G350" s="25"/>
      <c r="H350" s="2"/>
      <c r="I350" s="33"/>
      <c r="J350" s="4">
        <f t="shared" si="30"/>
        <v>0</v>
      </c>
      <c r="L350" s="25"/>
      <c r="M350" s="2"/>
      <c r="N350" s="33"/>
      <c r="O350" s="4">
        <f t="shared" si="31"/>
        <v>0</v>
      </c>
    </row>
    <row r="351" spans="2:16" x14ac:dyDescent="0.15">
      <c r="B351" s="25" t="s">
        <v>46</v>
      </c>
      <c r="C351" s="14">
        <v>21</v>
      </c>
      <c r="D351" s="31">
        <v>9</v>
      </c>
      <c r="E351" s="15">
        <f t="shared" ref="E351:E358" si="33">C351+D351</f>
        <v>30</v>
      </c>
      <c r="F351" s="61">
        <v>44134</v>
      </c>
      <c r="G351" s="25"/>
      <c r="H351" s="14"/>
      <c r="I351" s="31"/>
      <c r="J351" s="15">
        <f t="shared" si="30"/>
        <v>0</v>
      </c>
      <c r="L351" s="25"/>
      <c r="M351" s="14"/>
      <c r="N351" s="31"/>
      <c r="O351" s="15">
        <f t="shared" si="31"/>
        <v>0</v>
      </c>
    </row>
    <row r="352" spans="2:16" x14ac:dyDescent="0.15">
      <c r="B352" s="25" t="s">
        <v>46</v>
      </c>
      <c r="C352" s="14">
        <v>52</v>
      </c>
      <c r="D352" s="31">
        <v>21</v>
      </c>
      <c r="E352" s="15">
        <f t="shared" si="33"/>
        <v>73</v>
      </c>
      <c r="F352" s="61">
        <v>44137</v>
      </c>
      <c r="G352" s="25"/>
      <c r="H352" s="14"/>
      <c r="I352" s="31"/>
      <c r="J352" s="15">
        <f t="shared" si="30"/>
        <v>0</v>
      </c>
      <c r="L352" s="25"/>
      <c r="M352" s="14"/>
      <c r="N352" s="31"/>
      <c r="O352" s="15">
        <f t="shared" si="31"/>
        <v>0</v>
      </c>
    </row>
    <row r="353" spans="2:16" x14ac:dyDescent="0.15">
      <c r="B353" s="13" t="s">
        <v>169</v>
      </c>
      <c r="C353" s="14"/>
      <c r="D353" s="31">
        <v>300</v>
      </c>
      <c r="E353" s="15">
        <f t="shared" si="33"/>
        <v>300</v>
      </c>
      <c r="F353" s="61">
        <v>44141</v>
      </c>
      <c r="G353" s="13"/>
      <c r="H353" s="2"/>
      <c r="I353" s="33"/>
      <c r="J353" s="15">
        <f t="shared" si="30"/>
        <v>0</v>
      </c>
      <c r="L353" s="13"/>
      <c r="M353" s="2"/>
      <c r="N353" s="33"/>
      <c r="O353" s="15">
        <f t="shared" si="31"/>
        <v>0</v>
      </c>
    </row>
    <row r="354" spans="2:16" x14ac:dyDescent="0.15">
      <c r="B354" s="25" t="s">
        <v>46</v>
      </c>
      <c r="C354" s="14">
        <v>24</v>
      </c>
      <c r="D354" s="31">
        <v>7</v>
      </c>
      <c r="E354" s="15">
        <f>C354+D354</f>
        <v>31</v>
      </c>
      <c r="F354" s="61">
        <v>44139</v>
      </c>
      <c r="G354" s="13"/>
      <c r="H354" s="2"/>
      <c r="I354" s="33"/>
      <c r="J354" s="15">
        <f>H354+I354</f>
        <v>0</v>
      </c>
      <c r="L354" s="13"/>
      <c r="M354" s="2"/>
      <c r="N354" s="33"/>
      <c r="O354" s="15">
        <f>M354+N354</f>
        <v>0</v>
      </c>
    </row>
    <row r="355" spans="2:16" x14ac:dyDescent="0.15">
      <c r="B355" s="13" t="s">
        <v>170</v>
      </c>
      <c r="C355" s="14">
        <v>20</v>
      </c>
      <c r="D355" s="31">
        <v>20</v>
      </c>
      <c r="E355" s="15">
        <f>C355+D355</f>
        <v>40</v>
      </c>
      <c r="F355" s="61">
        <v>44144</v>
      </c>
      <c r="G355" s="13"/>
      <c r="H355" s="27"/>
      <c r="I355" s="36"/>
      <c r="J355" s="28">
        <f>H355+I355</f>
        <v>0</v>
      </c>
      <c r="L355" s="56"/>
      <c r="M355" s="48"/>
      <c r="N355" s="49"/>
      <c r="O355" s="50">
        <f>M355+N355</f>
        <v>0</v>
      </c>
    </row>
    <row r="356" spans="2:16" ht="14.25" thickBot="1" x14ac:dyDescent="0.2">
      <c r="B356" s="25" t="s">
        <v>142</v>
      </c>
      <c r="C356" s="14">
        <v>80</v>
      </c>
      <c r="D356" s="31">
        <v>11</v>
      </c>
      <c r="E356" s="15">
        <f>C356+D356</f>
        <v>91</v>
      </c>
      <c r="F356" s="61">
        <v>44141</v>
      </c>
      <c r="G356" s="13" t="s">
        <v>72</v>
      </c>
      <c r="H356" s="27"/>
      <c r="I356" s="36"/>
      <c r="J356" s="28">
        <f>H356+I356</f>
        <v>0</v>
      </c>
      <c r="K356" s="60" t="s">
        <v>73</v>
      </c>
      <c r="L356" s="56"/>
      <c r="M356" s="42"/>
      <c r="N356" s="43"/>
      <c r="O356" s="57">
        <f>M356+N356</f>
        <v>0</v>
      </c>
    </row>
    <row r="357" spans="2:16" ht="14.25" thickBot="1" x14ac:dyDescent="0.2">
      <c r="B357" s="8" t="s">
        <v>2</v>
      </c>
      <c r="C357" s="10">
        <f>SUM(C332:C356)</f>
        <v>411</v>
      </c>
      <c r="D357" s="32">
        <f>SUM(D332:D356)</f>
        <v>748</v>
      </c>
      <c r="E357" s="11">
        <f t="shared" si="33"/>
        <v>1159</v>
      </c>
      <c r="G357" s="8" t="s">
        <v>2</v>
      </c>
      <c r="H357" s="10">
        <f>SUM(H332:H356)</f>
        <v>800</v>
      </c>
      <c r="I357" s="32">
        <f>SUM(I332:I356)</f>
        <v>0</v>
      </c>
      <c r="J357" s="11">
        <f>H357+I357</f>
        <v>800</v>
      </c>
      <c r="L357" s="8" t="s">
        <v>2</v>
      </c>
      <c r="M357" s="10">
        <f>SUM(M332:M356)</f>
        <v>2800</v>
      </c>
      <c r="N357" s="32">
        <f>SUM(N332:N356)</f>
        <v>0</v>
      </c>
      <c r="O357" s="11">
        <f>M357+N357</f>
        <v>2800</v>
      </c>
    </row>
    <row r="358" spans="2:16" ht="14.25" thickBot="1" x14ac:dyDescent="0.2">
      <c r="B358" s="52" t="s">
        <v>3</v>
      </c>
      <c r="C358" s="53">
        <f>+C331-C357</f>
        <v>350</v>
      </c>
      <c r="D358" s="54">
        <f>+D331-D357</f>
        <v>603</v>
      </c>
      <c r="E358" s="55">
        <f t="shared" si="33"/>
        <v>953</v>
      </c>
      <c r="G358" s="52" t="s">
        <v>3</v>
      </c>
      <c r="H358" s="53">
        <f>+H331-H357</f>
        <v>2000</v>
      </c>
      <c r="I358" s="54">
        <f>+I331-I357</f>
        <v>0</v>
      </c>
      <c r="J358" s="55">
        <f>H358+I358</f>
        <v>2000</v>
      </c>
      <c r="L358" s="52" t="s">
        <v>3</v>
      </c>
      <c r="M358" s="53">
        <f>+M331-M357</f>
        <v>0</v>
      </c>
      <c r="N358" s="54">
        <f>+N331-N357</f>
        <v>0</v>
      </c>
      <c r="O358" s="55">
        <f>M358+N358</f>
        <v>0</v>
      </c>
    </row>
    <row r="360" spans="2:16" ht="21" x14ac:dyDescent="0.2">
      <c r="B360" s="76" t="s">
        <v>150</v>
      </c>
      <c r="G360" s="75" t="s">
        <v>149</v>
      </c>
      <c r="L360" s="75" t="s">
        <v>151</v>
      </c>
    </row>
    <row r="361" spans="2:16" ht="18.75" x14ac:dyDescent="0.2">
      <c r="B361" s="3" t="s">
        <v>11</v>
      </c>
      <c r="G361" s="3" t="s">
        <v>11</v>
      </c>
      <c r="L361" s="3" t="s">
        <v>11</v>
      </c>
    </row>
    <row r="362" spans="2:16" ht="14.25" thickBot="1" x14ac:dyDescent="0.2">
      <c r="G362" s="1"/>
      <c r="L362" s="1"/>
    </row>
    <row r="363" spans="2:16" ht="14.25" thickBot="1" x14ac:dyDescent="0.2">
      <c r="B363" s="7"/>
      <c r="C363" s="118"/>
      <c r="D363" s="119"/>
      <c r="E363" s="120"/>
      <c r="G363" s="7"/>
      <c r="H363" s="67"/>
      <c r="I363" s="68"/>
      <c r="J363" s="69"/>
      <c r="L363" s="7"/>
      <c r="M363" s="67"/>
      <c r="N363" s="68"/>
      <c r="O363" s="69"/>
    </row>
    <row r="364" spans="2:16" ht="14.25" thickBot="1" x14ac:dyDescent="0.2">
      <c r="B364" s="8"/>
      <c r="C364" s="40" t="s">
        <v>7</v>
      </c>
      <c r="D364" s="29" t="s">
        <v>9</v>
      </c>
      <c r="E364" s="9" t="s">
        <v>0</v>
      </c>
      <c r="G364" s="8"/>
      <c r="H364" s="40" t="s">
        <v>7</v>
      </c>
      <c r="I364" s="29" t="s">
        <v>9</v>
      </c>
      <c r="J364" s="9" t="s">
        <v>0</v>
      </c>
      <c r="L364" s="8"/>
      <c r="M364" s="40" t="s">
        <v>7</v>
      </c>
      <c r="N364" s="29" t="s">
        <v>9</v>
      </c>
      <c r="O364" s="9" t="s">
        <v>0</v>
      </c>
    </row>
    <row r="365" spans="2:16" x14ac:dyDescent="0.15">
      <c r="B365" s="16" t="s">
        <v>4</v>
      </c>
      <c r="C365" s="17">
        <f>C358</f>
        <v>350</v>
      </c>
      <c r="D365" s="35">
        <f>D358</f>
        <v>603</v>
      </c>
      <c r="E365" s="18">
        <f t="shared" ref="E365:E371" si="34">C365+D365</f>
        <v>953</v>
      </c>
      <c r="G365" s="16" t="s">
        <v>4</v>
      </c>
      <c r="H365" s="17">
        <f>H358</f>
        <v>2000</v>
      </c>
      <c r="I365" s="35">
        <f>I358</f>
        <v>0</v>
      </c>
      <c r="J365" s="18">
        <f t="shared" ref="J365:J393" si="35">H365+I365</f>
        <v>2000</v>
      </c>
      <c r="L365" s="16" t="s">
        <v>4</v>
      </c>
      <c r="M365" s="17">
        <f>M358</f>
        <v>0</v>
      </c>
      <c r="N365" s="35">
        <f>N358</f>
        <v>0</v>
      </c>
      <c r="O365" s="18">
        <f t="shared" ref="O365:O393" si="36">M365+N365</f>
        <v>0</v>
      </c>
    </row>
    <row r="366" spans="2:16" x14ac:dyDescent="0.15">
      <c r="B366" s="25" t="s">
        <v>181</v>
      </c>
      <c r="C366" s="14">
        <v>2</v>
      </c>
      <c r="D366" s="31"/>
      <c r="E366" s="23">
        <f t="shared" si="34"/>
        <v>2</v>
      </c>
      <c r="F366" s="61">
        <v>44146</v>
      </c>
      <c r="G366" s="25" t="s">
        <v>5</v>
      </c>
      <c r="H366" s="14">
        <v>400</v>
      </c>
      <c r="I366" s="31"/>
      <c r="J366" s="23">
        <f t="shared" si="35"/>
        <v>400</v>
      </c>
      <c r="K366" s="61">
        <v>44141</v>
      </c>
      <c r="L366" s="25" t="s">
        <v>5</v>
      </c>
      <c r="M366" s="14">
        <v>1000</v>
      </c>
      <c r="N366" s="31"/>
      <c r="O366" s="15">
        <f>M366+N366</f>
        <v>1000</v>
      </c>
      <c r="P366" t="s">
        <v>162</v>
      </c>
    </row>
    <row r="367" spans="2:16" x14ac:dyDescent="0.15">
      <c r="B367" s="73" t="s">
        <v>111</v>
      </c>
      <c r="C367" s="27">
        <v>200</v>
      </c>
      <c r="D367" s="36"/>
      <c r="E367" s="28">
        <f t="shared" si="34"/>
        <v>200</v>
      </c>
      <c r="F367" s="61">
        <v>44146</v>
      </c>
      <c r="G367" s="25" t="s">
        <v>5</v>
      </c>
      <c r="H367" s="27">
        <v>150</v>
      </c>
      <c r="I367" s="36"/>
      <c r="J367" s="28">
        <f t="shared" si="35"/>
        <v>150</v>
      </c>
      <c r="K367" s="61">
        <v>44146</v>
      </c>
      <c r="L367" s="25" t="s">
        <v>5</v>
      </c>
      <c r="M367" s="14"/>
      <c r="N367" s="31"/>
      <c r="O367" s="15">
        <f>M367+N367</f>
        <v>0</v>
      </c>
    </row>
    <row r="368" spans="2:16" x14ac:dyDescent="0.15">
      <c r="B368" s="26" t="s">
        <v>5</v>
      </c>
      <c r="C368" s="14">
        <v>190</v>
      </c>
      <c r="D368" s="31"/>
      <c r="E368" s="15">
        <f t="shared" si="34"/>
        <v>190</v>
      </c>
      <c r="F368" s="61">
        <v>44147</v>
      </c>
      <c r="G368" s="25" t="s">
        <v>5</v>
      </c>
      <c r="H368" s="14">
        <v>450</v>
      </c>
      <c r="I368" s="31"/>
      <c r="J368" s="15">
        <f t="shared" si="35"/>
        <v>450</v>
      </c>
      <c r="K368" s="61">
        <v>44147</v>
      </c>
      <c r="L368" s="25" t="s">
        <v>5</v>
      </c>
      <c r="M368" s="14"/>
      <c r="N368" s="31">
        <v>600</v>
      </c>
      <c r="O368" s="15">
        <f>M368+N368</f>
        <v>600</v>
      </c>
      <c r="P368" s="61">
        <v>44164</v>
      </c>
    </row>
    <row r="369" spans="2:16" x14ac:dyDescent="0.15">
      <c r="B369" s="26" t="s">
        <v>143</v>
      </c>
      <c r="C369" s="27"/>
      <c r="D369" s="36">
        <v>1</v>
      </c>
      <c r="E369" s="28">
        <f t="shared" si="34"/>
        <v>1</v>
      </c>
      <c r="F369" s="61">
        <v>44146</v>
      </c>
      <c r="G369" s="25" t="s">
        <v>5</v>
      </c>
      <c r="H369" s="14"/>
      <c r="I369" s="31">
        <v>600</v>
      </c>
      <c r="J369" s="15">
        <f t="shared" si="35"/>
        <v>600</v>
      </c>
      <c r="K369" s="61">
        <v>44164</v>
      </c>
      <c r="L369" s="25" t="s">
        <v>5</v>
      </c>
      <c r="M369" s="14"/>
      <c r="N369" s="31"/>
      <c r="O369" s="15">
        <f t="shared" si="36"/>
        <v>0</v>
      </c>
    </row>
    <row r="370" spans="2:16" ht="14.25" thickBot="1" x14ac:dyDescent="0.2">
      <c r="B370" s="26" t="s">
        <v>5</v>
      </c>
      <c r="C370" s="14">
        <v>200</v>
      </c>
      <c r="D370" s="31"/>
      <c r="E370" s="15">
        <f t="shared" si="34"/>
        <v>200</v>
      </c>
      <c r="F370" s="61">
        <v>44153</v>
      </c>
      <c r="G370" s="25" t="s">
        <v>5</v>
      </c>
      <c r="H370" s="14"/>
      <c r="I370" s="31"/>
      <c r="J370" s="15">
        <f t="shared" si="35"/>
        <v>0</v>
      </c>
      <c r="K370" s="61"/>
      <c r="L370" s="25" t="s">
        <v>5</v>
      </c>
      <c r="M370" s="14"/>
      <c r="N370" s="31"/>
      <c r="O370" s="15">
        <f t="shared" si="36"/>
        <v>0</v>
      </c>
    </row>
    <row r="371" spans="2:16" ht="14.25" thickBot="1" x14ac:dyDescent="0.2">
      <c r="B371" s="8" t="s">
        <v>1</v>
      </c>
      <c r="C371" s="10">
        <f>SUM(C365:C370)</f>
        <v>942</v>
      </c>
      <c r="D371" s="32">
        <f>SUM(D365:D370)</f>
        <v>604</v>
      </c>
      <c r="E371" s="11">
        <f t="shared" si="34"/>
        <v>1546</v>
      </c>
      <c r="G371" s="8" t="s">
        <v>1</v>
      </c>
      <c r="H371" s="10">
        <f>SUM(H365:H370)</f>
        <v>3000</v>
      </c>
      <c r="I371" s="32">
        <f>SUM(I365:I370)</f>
        <v>600</v>
      </c>
      <c r="J371" s="11">
        <f t="shared" si="35"/>
        <v>3600</v>
      </c>
      <c r="L371" s="8" t="s">
        <v>1</v>
      </c>
      <c r="M371" s="10">
        <f>SUM(M365:M370)</f>
        <v>1000</v>
      </c>
      <c r="N371" s="32">
        <f>SUM(N365:N370)</f>
        <v>600</v>
      </c>
      <c r="O371" s="11">
        <f t="shared" si="36"/>
        <v>1600</v>
      </c>
    </row>
    <row r="372" spans="2:16" x14ac:dyDescent="0.15">
      <c r="B372" s="25" t="s">
        <v>171</v>
      </c>
      <c r="C372" s="14">
        <v>1</v>
      </c>
      <c r="D372" s="31"/>
      <c r="E372" s="15">
        <f>C372+D372</f>
        <v>1</v>
      </c>
      <c r="F372" s="61">
        <v>44141</v>
      </c>
      <c r="G372" s="73" t="s">
        <v>120</v>
      </c>
      <c r="H372" s="27">
        <v>200</v>
      </c>
      <c r="I372" s="36"/>
      <c r="J372" s="28">
        <f t="shared" si="35"/>
        <v>200</v>
      </c>
      <c r="K372" s="61">
        <v>44146</v>
      </c>
      <c r="L372" s="25" t="s">
        <v>157</v>
      </c>
      <c r="M372" s="27">
        <v>400</v>
      </c>
      <c r="N372" s="36"/>
      <c r="O372" s="28">
        <f t="shared" si="36"/>
        <v>400</v>
      </c>
      <c r="P372" s="77">
        <v>44141</v>
      </c>
    </row>
    <row r="373" spans="2:16" x14ac:dyDescent="0.15">
      <c r="B373" s="25" t="s">
        <v>46</v>
      </c>
      <c r="C373" s="14">
        <v>33</v>
      </c>
      <c r="D373" s="31">
        <v>14</v>
      </c>
      <c r="E373" s="15">
        <f>C373+D373</f>
        <v>47</v>
      </c>
      <c r="F373" s="61">
        <v>44140</v>
      </c>
      <c r="G373" s="73" t="s">
        <v>120</v>
      </c>
      <c r="H373" s="14">
        <v>190</v>
      </c>
      <c r="I373" s="31"/>
      <c r="J373" s="15">
        <f t="shared" si="35"/>
        <v>190</v>
      </c>
      <c r="K373" s="61">
        <v>44147</v>
      </c>
      <c r="L373" s="25" t="s">
        <v>157</v>
      </c>
      <c r="M373" s="14">
        <v>150</v>
      </c>
      <c r="N373" s="31"/>
      <c r="O373" s="15">
        <f t="shared" si="36"/>
        <v>150</v>
      </c>
      <c r="P373" s="77">
        <v>44146</v>
      </c>
    </row>
    <row r="374" spans="2:16" x14ac:dyDescent="0.15">
      <c r="B374" s="5" t="s">
        <v>143</v>
      </c>
      <c r="C374" s="14">
        <v>-3</v>
      </c>
      <c r="D374" s="31"/>
      <c r="E374" s="15">
        <f t="shared" ref="E374:E398" si="37">C374+D374</f>
        <v>-3</v>
      </c>
      <c r="F374" s="61">
        <v>44140</v>
      </c>
      <c r="G374" s="13" t="s">
        <v>184</v>
      </c>
      <c r="H374" s="14">
        <v>300</v>
      </c>
      <c r="I374" s="31"/>
      <c r="J374" s="15">
        <f t="shared" si="35"/>
        <v>300</v>
      </c>
      <c r="K374" s="61">
        <v>44153</v>
      </c>
      <c r="L374" s="25" t="s">
        <v>157</v>
      </c>
      <c r="M374" s="14">
        <v>450</v>
      </c>
      <c r="N374" s="31"/>
      <c r="O374" s="15">
        <f t="shared" si="36"/>
        <v>450</v>
      </c>
      <c r="P374" s="77">
        <v>44147</v>
      </c>
    </row>
    <row r="375" spans="2:16" x14ac:dyDescent="0.15">
      <c r="B375" s="25" t="s">
        <v>173</v>
      </c>
      <c r="C375" s="14">
        <v>1</v>
      </c>
      <c r="D375" s="31"/>
      <c r="E375" s="15">
        <f t="shared" si="37"/>
        <v>1</v>
      </c>
      <c r="F375" s="61">
        <v>44142</v>
      </c>
      <c r="G375" s="73" t="s">
        <v>120</v>
      </c>
      <c r="H375" s="14">
        <v>200</v>
      </c>
      <c r="I375" s="31"/>
      <c r="J375" s="15">
        <f t="shared" si="35"/>
        <v>200</v>
      </c>
      <c r="K375" s="61">
        <v>44153</v>
      </c>
      <c r="L375" s="25" t="s">
        <v>157</v>
      </c>
      <c r="M375" s="14"/>
      <c r="N375" s="31">
        <v>600</v>
      </c>
      <c r="O375" s="15">
        <f>M375+N375</f>
        <v>600</v>
      </c>
      <c r="P375" s="77">
        <v>44164</v>
      </c>
    </row>
    <row r="376" spans="2:16" x14ac:dyDescent="0.15">
      <c r="B376" s="25" t="s">
        <v>46</v>
      </c>
      <c r="C376" s="14">
        <v>18</v>
      </c>
      <c r="D376" s="31">
        <v>11</v>
      </c>
      <c r="E376" s="15">
        <f t="shared" si="37"/>
        <v>29</v>
      </c>
      <c r="F376" s="61">
        <v>44141</v>
      </c>
      <c r="G376" s="13" t="s">
        <v>189</v>
      </c>
      <c r="H376" s="14">
        <v>1500</v>
      </c>
      <c r="I376" s="31"/>
      <c r="J376" s="15">
        <f t="shared" si="35"/>
        <v>1500</v>
      </c>
      <c r="K376" s="61">
        <v>44155</v>
      </c>
      <c r="L376" s="13"/>
      <c r="M376" s="2"/>
      <c r="N376" s="33"/>
      <c r="O376" s="4">
        <f t="shared" si="36"/>
        <v>0</v>
      </c>
    </row>
    <row r="377" spans="2:16" x14ac:dyDescent="0.15">
      <c r="B377" s="25" t="s">
        <v>175</v>
      </c>
      <c r="C377" s="14">
        <v>45</v>
      </c>
      <c r="D377" s="31">
        <v>26</v>
      </c>
      <c r="E377" s="15">
        <f>C377+D377</f>
        <v>71</v>
      </c>
      <c r="F377" s="61">
        <v>44145</v>
      </c>
      <c r="G377" s="13" t="s">
        <v>193</v>
      </c>
      <c r="H377" s="14">
        <v>100</v>
      </c>
      <c r="I377" s="31"/>
      <c r="J377" s="15">
        <f t="shared" si="35"/>
        <v>100</v>
      </c>
      <c r="K377" s="61">
        <v>44156</v>
      </c>
      <c r="L377" s="13"/>
      <c r="M377" s="14"/>
      <c r="N377" s="31"/>
      <c r="O377" s="15">
        <f t="shared" si="36"/>
        <v>0</v>
      </c>
    </row>
    <row r="378" spans="2:16" x14ac:dyDescent="0.15">
      <c r="B378" s="25" t="s">
        <v>46</v>
      </c>
      <c r="C378" s="14">
        <v>38</v>
      </c>
      <c r="D378" s="31">
        <v>25</v>
      </c>
      <c r="E378" s="15">
        <f>C378+D378</f>
        <v>63</v>
      </c>
      <c r="F378" s="61">
        <v>44144</v>
      </c>
      <c r="G378" s="73" t="s">
        <v>200</v>
      </c>
      <c r="H378" s="14">
        <v>10</v>
      </c>
      <c r="I378" s="31">
        <v>0</v>
      </c>
      <c r="J378" s="15">
        <f t="shared" si="35"/>
        <v>10</v>
      </c>
      <c r="K378" s="61">
        <v>44160</v>
      </c>
      <c r="L378" s="13"/>
      <c r="M378" s="2"/>
      <c r="N378" s="33"/>
      <c r="O378" s="4">
        <f t="shared" si="36"/>
        <v>0</v>
      </c>
    </row>
    <row r="379" spans="2:16" x14ac:dyDescent="0.15">
      <c r="B379" s="13" t="s">
        <v>143</v>
      </c>
      <c r="C379" s="2"/>
      <c r="D379" s="33">
        <v>-1</v>
      </c>
      <c r="E379" s="4">
        <f t="shared" si="37"/>
        <v>-1</v>
      </c>
      <c r="F379" s="61">
        <v>44144</v>
      </c>
      <c r="G379" s="13"/>
      <c r="H379" s="14"/>
      <c r="I379" s="31"/>
      <c r="J379" s="15">
        <f t="shared" si="35"/>
        <v>0</v>
      </c>
      <c r="L379" s="13"/>
      <c r="M379" s="2"/>
      <c r="N379" s="33"/>
      <c r="O379" s="4">
        <f t="shared" si="36"/>
        <v>0</v>
      </c>
    </row>
    <row r="380" spans="2:16" x14ac:dyDescent="0.15">
      <c r="B380" s="25" t="s">
        <v>146</v>
      </c>
      <c r="C380" s="14">
        <v>40</v>
      </c>
      <c r="D380" s="31">
        <v>20</v>
      </c>
      <c r="E380" s="15">
        <f>C380+D380</f>
        <v>60</v>
      </c>
      <c r="F380" s="61">
        <v>44148</v>
      </c>
      <c r="G380" s="13"/>
      <c r="H380" s="14"/>
      <c r="I380" s="31"/>
      <c r="J380" s="15">
        <f t="shared" si="35"/>
        <v>0</v>
      </c>
      <c r="L380" s="13"/>
      <c r="M380" s="2"/>
      <c r="N380" s="33"/>
      <c r="O380" s="4">
        <f t="shared" si="36"/>
        <v>0</v>
      </c>
    </row>
    <row r="381" spans="2:16" x14ac:dyDescent="0.15">
      <c r="B381" s="25" t="s">
        <v>165</v>
      </c>
      <c r="C381" s="14">
        <v>40</v>
      </c>
      <c r="D381" s="31">
        <v>20</v>
      </c>
      <c r="E381" s="15">
        <f>C381+D381</f>
        <v>60</v>
      </c>
      <c r="F381" s="61">
        <v>44148</v>
      </c>
      <c r="G381" s="13"/>
      <c r="H381" s="14"/>
      <c r="I381" s="31"/>
      <c r="J381" s="15">
        <f t="shared" si="35"/>
        <v>0</v>
      </c>
      <c r="L381" s="13"/>
      <c r="M381" s="2"/>
      <c r="N381" s="33"/>
      <c r="O381" s="4">
        <f t="shared" si="36"/>
        <v>0</v>
      </c>
    </row>
    <row r="382" spans="2:16" x14ac:dyDescent="0.15">
      <c r="B382" s="82" t="s">
        <v>176</v>
      </c>
      <c r="C382" s="14">
        <v>100</v>
      </c>
      <c r="D382" s="31"/>
      <c r="E382" s="15">
        <f t="shared" si="37"/>
        <v>100</v>
      </c>
      <c r="F382" s="61">
        <v>44148</v>
      </c>
      <c r="G382" s="13"/>
      <c r="H382" s="14"/>
      <c r="I382" s="31"/>
      <c r="J382" s="15">
        <f t="shared" si="35"/>
        <v>0</v>
      </c>
      <c r="L382" s="13"/>
      <c r="M382" s="2"/>
      <c r="N382" s="33"/>
      <c r="O382" s="4">
        <f t="shared" si="36"/>
        <v>0</v>
      </c>
    </row>
    <row r="383" spans="2:16" x14ac:dyDescent="0.15">
      <c r="B383" s="83" t="s">
        <v>177</v>
      </c>
      <c r="C383" s="14">
        <v>100</v>
      </c>
      <c r="D383" s="31">
        <v>100</v>
      </c>
      <c r="E383" s="15">
        <f t="shared" si="37"/>
        <v>200</v>
      </c>
      <c r="F383" s="61">
        <v>44148</v>
      </c>
      <c r="G383" s="13"/>
      <c r="H383" s="14"/>
      <c r="I383" s="31"/>
      <c r="J383" s="15">
        <f t="shared" si="35"/>
        <v>0</v>
      </c>
      <c r="L383" s="13"/>
      <c r="M383" s="2"/>
      <c r="N383" s="33"/>
      <c r="O383" s="4">
        <f t="shared" si="36"/>
        <v>0</v>
      </c>
    </row>
    <row r="384" spans="2:16" x14ac:dyDescent="0.15">
      <c r="B384" s="25" t="s">
        <v>46</v>
      </c>
      <c r="C384" s="2">
        <v>23</v>
      </c>
      <c r="D384" s="33">
        <v>9</v>
      </c>
      <c r="E384" s="4">
        <f t="shared" si="37"/>
        <v>32</v>
      </c>
      <c r="F384" s="61">
        <v>44145</v>
      </c>
      <c r="G384" s="13"/>
      <c r="H384" s="14"/>
      <c r="I384" s="31"/>
      <c r="J384" s="15">
        <f t="shared" si="35"/>
        <v>0</v>
      </c>
      <c r="L384" s="13"/>
      <c r="M384" s="2"/>
      <c r="N384" s="33"/>
      <c r="O384" s="4">
        <f t="shared" si="36"/>
        <v>0</v>
      </c>
    </row>
    <row r="385" spans="2:15" x14ac:dyDescent="0.15">
      <c r="B385" s="13" t="s">
        <v>179</v>
      </c>
      <c r="C385" s="14">
        <v>15</v>
      </c>
      <c r="D385" s="31">
        <v>20</v>
      </c>
      <c r="E385" s="15">
        <f t="shared" si="37"/>
        <v>35</v>
      </c>
      <c r="F385" s="61">
        <v>44151</v>
      </c>
      <c r="G385" s="73"/>
      <c r="H385" s="27"/>
      <c r="I385" s="36"/>
      <c r="J385" s="28">
        <f>H385+I385</f>
        <v>0</v>
      </c>
      <c r="K385" s="61"/>
      <c r="L385" s="25"/>
      <c r="M385" s="2"/>
      <c r="N385" s="33"/>
      <c r="O385" s="4">
        <f t="shared" si="36"/>
        <v>0</v>
      </c>
    </row>
    <row r="386" spans="2:15" x14ac:dyDescent="0.15">
      <c r="B386" s="25" t="s">
        <v>46</v>
      </c>
      <c r="C386" s="2">
        <v>27</v>
      </c>
      <c r="D386" s="33">
        <v>9</v>
      </c>
      <c r="E386" s="4">
        <f t="shared" si="37"/>
        <v>36</v>
      </c>
      <c r="F386" s="61">
        <v>44146</v>
      </c>
      <c r="G386" s="73"/>
      <c r="H386" s="14"/>
      <c r="I386" s="31"/>
      <c r="J386" s="15">
        <f>H386+I386</f>
        <v>0</v>
      </c>
      <c r="K386" s="61"/>
      <c r="L386" s="25"/>
      <c r="M386" s="2"/>
      <c r="N386" s="33"/>
      <c r="O386" s="4">
        <f t="shared" si="36"/>
        <v>0</v>
      </c>
    </row>
    <row r="387" spans="2:15" x14ac:dyDescent="0.15">
      <c r="B387" s="13" t="s">
        <v>178</v>
      </c>
      <c r="C387" s="2">
        <v>1</v>
      </c>
      <c r="D387" s="33">
        <v>1</v>
      </c>
      <c r="E387" s="4">
        <f t="shared" si="37"/>
        <v>2</v>
      </c>
      <c r="F387" s="61">
        <v>44146</v>
      </c>
      <c r="G387" s="25"/>
      <c r="H387" s="14"/>
      <c r="I387" s="31"/>
      <c r="J387" s="15">
        <f t="shared" si="35"/>
        <v>0</v>
      </c>
      <c r="L387" s="25"/>
      <c r="M387" s="2"/>
      <c r="N387" s="33"/>
      <c r="O387" s="4">
        <f t="shared" si="36"/>
        <v>0</v>
      </c>
    </row>
    <row r="388" spans="2:15" x14ac:dyDescent="0.15">
      <c r="B388" s="25" t="s">
        <v>46</v>
      </c>
      <c r="C388" s="2">
        <v>7</v>
      </c>
      <c r="D388" s="33">
        <v>5</v>
      </c>
      <c r="E388" s="4">
        <f t="shared" si="37"/>
        <v>12</v>
      </c>
      <c r="F388" s="61">
        <v>44147</v>
      </c>
      <c r="G388" s="25"/>
      <c r="H388" s="14"/>
      <c r="I388" s="31"/>
      <c r="J388" s="15">
        <f t="shared" si="35"/>
        <v>0</v>
      </c>
      <c r="L388" s="25"/>
      <c r="M388" s="2"/>
      <c r="N388" s="33"/>
      <c r="O388" s="4">
        <f t="shared" si="36"/>
        <v>0</v>
      </c>
    </row>
    <row r="389" spans="2:15" x14ac:dyDescent="0.15">
      <c r="B389" s="5" t="s">
        <v>182</v>
      </c>
      <c r="C389" s="14">
        <v>40</v>
      </c>
      <c r="D389" s="31"/>
      <c r="E389" s="15">
        <f t="shared" si="37"/>
        <v>40</v>
      </c>
      <c r="F389" s="61">
        <v>44151</v>
      </c>
      <c r="G389" s="13"/>
      <c r="H389" s="14"/>
      <c r="I389" s="31"/>
      <c r="J389" s="15">
        <f t="shared" si="35"/>
        <v>0</v>
      </c>
      <c r="L389" s="13"/>
      <c r="M389" s="2"/>
      <c r="N389" s="33"/>
      <c r="O389" s="4">
        <f t="shared" si="36"/>
        <v>0</v>
      </c>
    </row>
    <row r="390" spans="2:15" x14ac:dyDescent="0.15">
      <c r="B390" s="25" t="s">
        <v>46</v>
      </c>
      <c r="C390" s="2">
        <v>4</v>
      </c>
      <c r="D390" s="33">
        <v>4</v>
      </c>
      <c r="E390" s="4">
        <f t="shared" si="37"/>
        <v>8</v>
      </c>
      <c r="F390" s="61">
        <v>44148</v>
      </c>
      <c r="G390" s="25"/>
      <c r="H390" s="2"/>
      <c r="I390" s="33"/>
      <c r="J390" s="4">
        <f t="shared" si="35"/>
        <v>0</v>
      </c>
      <c r="L390" s="25"/>
      <c r="M390" s="2"/>
      <c r="N390" s="33"/>
      <c r="O390" s="4">
        <f t="shared" si="36"/>
        <v>0</v>
      </c>
    </row>
    <row r="391" spans="2:15" x14ac:dyDescent="0.15">
      <c r="B391" s="5" t="s">
        <v>183</v>
      </c>
      <c r="C391" s="14"/>
      <c r="D391" s="31">
        <v>60</v>
      </c>
      <c r="E391" s="15">
        <f t="shared" si="37"/>
        <v>60</v>
      </c>
      <c r="F391" s="61">
        <v>44152</v>
      </c>
      <c r="G391" s="25"/>
      <c r="H391" s="14"/>
      <c r="I391" s="31"/>
      <c r="J391" s="15">
        <f t="shared" si="35"/>
        <v>0</v>
      </c>
      <c r="L391" s="25"/>
      <c r="M391" s="14"/>
      <c r="N391" s="31"/>
      <c r="O391" s="15">
        <f t="shared" si="36"/>
        <v>0</v>
      </c>
    </row>
    <row r="392" spans="2:15" x14ac:dyDescent="0.15">
      <c r="B392" s="25" t="s">
        <v>187</v>
      </c>
      <c r="C392" s="14">
        <v>50</v>
      </c>
      <c r="D392" s="31">
        <v>50</v>
      </c>
      <c r="E392" s="15">
        <f t="shared" si="37"/>
        <v>100</v>
      </c>
      <c r="F392" s="61">
        <v>44155</v>
      </c>
      <c r="G392" s="25"/>
      <c r="H392" s="14"/>
      <c r="I392" s="31"/>
      <c r="J392" s="15">
        <f t="shared" si="35"/>
        <v>0</v>
      </c>
      <c r="L392" s="25"/>
      <c r="M392" s="14"/>
      <c r="N392" s="31"/>
      <c r="O392" s="15">
        <f t="shared" si="36"/>
        <v>0</v>
      </c>
    </row>
    <row r="393" spans="2:15" x14ac:dyDescent="0.15">
      <c r="B393" s="25" t="s">
        <v>46</v>
      </c>
      <c r="C393" s="27">
        <v>22</v>
      </c>
      <c r="D393" s="36">
        <v>9</v>
      </c>
      <c r="E393" s="28">
        <f>C393+D393</f>
        <v>31</v>
      </c>
      <c r="F393" s="61">
        <v>44151</v>
      </c>
      <c r="G393" s="13"/>
      <c r="H393" s="2"/>
      <c r="I393" s="33"/>
      <c r="J393" s="15">
        <f t="shared" si="35"/>
        <v>0</v>
      </c>
      <c r="L393" s="13"/>
      <c r="M393" s="2"/>
      <c r="N393" s="33"/>
      <c r="O393" s="15">
        <f t="shared" si="36"/>
        <v>0</v>
      </c>
    </row>
    <row r="394" spans="2:15" x14ac:dyDescent="0.15">
      <c r="B394" s="13"/>
      <c r="C394" s="14"/>
      <c r="D394" s="31"/>
      <c r="E394" s="15">
        <f t="shared" si="37"/>
        <v>0</v>
      </c>
      <c r="G394" s="13"/>
      <c r="H394" s="2"/>
      <c r="I394" s="33"/>
      <c r="J394" s="15">
        <f>H394+I394</f>
        <v>0</v>
      </c>
      <c r="K394" s="60" t="s">
        <v>144</v>
      </c>
      <c r="L394" s="13"/>
      <c r="M394" s="2"/>
      <c r="N394" s="33"/>
      <c r="O394" s="15">
        <f>M394+N394</f>
        <v>0</v>
      </c>
    </row>
    <row r="395" spans="2:15" x14ac:dyDescent="0.15">
      <c r="B395" s="5" t="s">
        <v>49</v>
      </c>
      <c r="C395" s="27"/>
      <c r="D395" s="36"/>
      <c r="E395" s="28">
        <f>C395+D395</f>
        <v>0</v>
      </c>
      <c r="F395" s="60" t="s">
        <v>69</v>
      </c>
      <c r="G395" s="13" t="s">
        <v>107</v>
      </c>
      <c r="H395" s="14"/>
      <c r="I395" s="31"/>
      <c r="J395" s="15">
        <f>H395+I395</f>
        <v>0</v>
      </c>
      <c r="K395" s="61" t="s">
        <v>109</v>
      </c>
      <c r="L395" s="73"/>
      <c r="M395" s="27"/>
      <c r="N395" s="36"/>
      <c r="O395" s="28">
        <f>M395+N395</f>
        <v>0</v>
      </c>
    </row>
    <row r="396" spans="2:15" ht="14.25" thickBot="1" x14ac:dyDescent="0.2">
      <c r="B396" s="13" t="s">
        <v>138</v>
      </c>
      <c r="C396" s="14"/>
      <c r="D396" s="31"/>
      <c r="E396" s="15">
        <f>C396+D396</f>
        <v>0</v>
      </c>
      <c r="F396" s="60" t="s">
        <v>139</v>
      </c>
      <c r="G396" s="73" t="s">
        <v>112</v>
      </c>
      <c r="H396" s="27"/>
      <c r="I396" s="36"/>
      <c r="J396" s="28">
        <f>H396+I396</f>
        <v>0</v>
      </c>
      <c r="K396" s="61">
        <v>44161</v>
      </c>
      <c r="L396" s="70"/>
      <c r="M396" s="48"/>
      <c r="N396" s="49"/>
      <c r="O396" s="50">
        <f>M396+N396</f>
        <v>0</v>
      </c>
    </row>
    <row r="397" spans="2:15" ht="14.25" thickBot="1" x14ac:dyDescent="0.2">
      <c r="B397" s="8" t="s">
        <v>2</v>
      </c>
      <c r="C397" s="10">
        <f>SUM(C372:C396)</f>
        <v>602</v>
      </c>
      <c r="D397" s="32">
        <f>SUM(D372:D396)</f>
        <v>382</v>
      </c>
      <c r="E397" s="11">
        <f t="shared" si="37"/>
        <v>984</v>
      </c>
      <c r="G397" s="8" t="s">
        <v>2</v>
      </c>
      <c r="H397" s="10">
        <f>SUM(H372:H396)</f>
        <v>2500</v>
      </c>
      <c r="I397" s="32">
        <f>SUM(I372:I396)</f>
        <v>0</v>
      </c>
      <c r="J397" s="11">
        <f>H397+I397</f>
        <v>2500</v>
      </c>
      <c r="L397" s="8" t="s">
        <v>2</v>
      </c>
      <c r="M397" s="10">
        <f>SUM(M372:M396)</f>
        <v>1000</v>
      </c>
      <c r="N397" s="32">
        <f>SUM(N372:N396)</f>
        <v>600</v>
      </c>
      <c r="O397" s="11">
        <f>M397+N397</f>
        <v>1600</v>
      </c>
    </row>
    <row r="398" spans="2:15" ht="14.25" thickBot="1" x14ac:dyDescent="0.2">
      <c r="B398" s="52" t="s">
        <v>3</v>
      </c>
      <c r="C398" s="53">
        <f>+C371-C397</f>
        <v>340</v>
      </c>
      <c r="D398" s="54">
        <f>+D371-D397</f>
        <v>222</v>
      </c>
      <c r="E398" s="55">
        <f t="shared" si="37"/>
        <v>562</v>
      </c>
      <c r="G398" s="52" t="s">
        <v>3</v>
      </c>
      <c r="H398" s="53">
        <f>+H371-H397</f>
        <v>500</v>
      </c>
      <c r="I398" s="54">
        <f>+I371-I397</f>
        <v>600</v>
      </c>
      <c r="J398" s="55">
        <f>H398+I398</f>
        <v>1100</v>
      </c>
      <c r="L398" s="52" t="s">
        <v>3</v>
      </c>
      <c r="M398" s="53">
        <f>+M371-M397</f>
        <v>0</v>
      </c>
      <c r="N398" s="54">
        <f>+N371-N397</f>
        <v>0</v>
      </c>
      <c r="O398" s="55">
        <f>M398+N398</f>
        <v>0</v>
      </c>
    </row>
    <row r="400" spans="2:15" ht="21" x14ac:dyDescent="0.2">
      <c r="B400" s="76" t="s">
        <v>150</v>
      </c>
      <c r="G400" s="75" t="s">
        <v>149</v>
      </c>
      <c r="L400" s="75" t="s">
        <v>151</v>
      </c>
    </row>
    <row r="401" spans="2:16" ht="18.75" x14ac:dyDescent="0.2">
      <c r="B401" s="3" t="s">
        <v>11</v>
      </c>
      <c r="E401" s="71"/>
      <c r="G401" s="3" t="s">
        <v>11</v>
      </c>
      <c r="L401" s="3" t="s">
        <v>11</v>
      </c>
    </row>
    <row r="402" spans="2:16" ht="14.25" thickBot="1" x14ac:dyDescent="0.2">
      <c r="G402" s="1"/>
      <c r="L402" s="1"/>
    </row>
    <row r="403" spans="2:16" ht="14.25" thickBot="1" x14ac:dyDescent="0.2">
      <c r="B403" s="7"/>
      <c r="C403" s="67"/>
      <c r="D403" s="68"/>
      <c r="E403" s="69"/>
      <c r="G403" s="7"/>
      <c r="H403" s="67"/>
      <c r="I403" s="68"/>
      <c r="J403" s="69"/>
      <c r="L403" s="7"/>
      <c r="M403" s="67"/>
      <c r="N403" s="68"/>
      <c r="O403" s="69"/>
    </row>
    <row r="404" spans="2:16" ht="14.25" thickBot="1" x14ac:dyDescent="0.2">
      <c r="B404" s="8"/>
      <c r="C404" s="40" t="s">
        <v>7</v>
      </c>
      <c r="D404" s="29" t="s">
        <v>9</v>
      </c>
      <c r="E404" s="9" t="s">
        <v>0</v>
      </c>
      <c r="G404" s="8"/>
      <c r="H404" s="40" t="s">
        <v>7</v>
      </c>
      <c r="I404" s="29" t="s">
        <v>9</v>
      </c>
      <c r="J404" s="9" t="s">
        <v>0</v>
      </c>
      <c r="L404" s="8"/>
      <c r="M404" s="40" t="s">
        <v>7</v>
      </c>
      <c r="N404" s="29" t="s">
        <v>9</v>
      </c>
      <c r="O404" s="9" t="s">
        <v>0</v>
      </c>
    </row>
    <row r="405" spans="2:16" x14ac:dyDescent="0.15">
      <c r="B405" s="16" t="s">
        <v>4</v>
      </c>
      <c r="C405" s="17">
        <f>C398</f>
        <v>340</v>
      </c>
      <c r="D405" s="35">
        <f>D398</f>
        <v>222</v>
      </c>
      <c r="E405" s="18">
        <f t="shared" ref="E405:E413" si="38">C405+D405</f>
        <v>562</v>
      </c>
      <c r="G405" s="16" t="s">
        <v>4</v>
      </c>
      <c r="H405" s="17">
        <f>H398</f>
        <v>500</v>
      </c>
      <c r="I405" s="35">
        <f>I398</f>
        <v>600</v>
      </c>
      <c r="J405" s="18">
        <f t="shared" ref="J405:J433" si="39">H405+I405</f>
        <v>1100</v>
      </c>
      <c r="L405" s="16" t="s">
        <v>4</v>
      </c>
      <c r="M405" s="17">
        <f>M398</f>
        <v>0</v>
      </c>
      <c r="N405" s="35">
        <f>N398</f>
        <v>0</v>
      </c>
      <c r="O405" s="18">
        <f t="shared" ref="O405:O433" si="40">M405+N405</f>
        <v>0</v>
      </c>
    </row>
    <row r="406" spans="2:16" x14ac:dyDescent="0.15">
      <c r="B406" s="25" t="s">
        <v>5</v>
      </c>
      <c r="C406" s="14">
        <v>200</v>
      </c>
      <c r="D406" s="31">
        <v>300</v>
      </c>
      <c r="E406" s="23">
        <f t="shared" si="38"/>
        <v>500</v>
      </c>
      <c r="F406" s="61">
        <v>44166</v>
      </c>
      <c r="G406" s="25" t="s">
        <v>5</v>
      </c>
      <c r="H406" s="14"/>
      <c r="I406" s="31"/>
      <c r="J406" s="23">
        <f t="shared" si="39"/>
        <v>0</v>
      </c>
      <c r="L406" s="25" t="s">
        <v>5</v>
      </c>
      <c r="M406" s="14"/>
      <c r="N406" s="31"/>
      <c r="O406" s="23">
        <f t="shared" si="40"/>
        <v>0</v>
      </c>
    </row>
    <row r="407" spans="2:16" x14ac:dyDescent="0.15">
      <c r="B407" s="26" t="s">
        <v>5</v>
      </c>
      <c r="C407" s="27"/>
      <c r="D407" s="36"/>
      <c r="E407" s="28">
        <f t="shared" si="38"/>
        <v>0</v>
      </c>
      <c r="G407" s="25" t="s">
        <v>5</v>
      </c>
      <c r="H407" s="14"/>
      <c r="I407" s="31"/>
      <c r="J407" s="15">
        <f t="shared" si="39"/>
        <v>0</v>
      </c>
      <c r="K407" s="61"/>
      <c r="L407" s="25" t="s">
        <v>5</v>
      </c>
      <c r="M407" s="27"/>
      <c r="N407" s="36"/>
      <c r="O407" s="28">
        <f t="shared" si="40"/>
        <v>0</v>
      </c>
      <c r="P407" s="77"/>
    </row>
    <row r="408" spans="2:16" x14ac:dyDescent="0.15">
      <c r="B408" s="26" t="s">
        <v>5</v>
      </c>
      <c r="C408" s="27"/>
      <c r="D408" s="36"/>
      <c r="E408" s="28">
        <f t="shared" si="38"/>
        <v>0</v>
      </c>
      <c r="G408" s="25" t="s">
        <v>5</v>
      </c>
      <c r="H408" s="14"/>
      <c r="I408" s="31"/>
      <c r="J408" s="15">
        <f t="shared" si="39"/>
        <v>0</v>
      </c>
      <c r="K408" s="61"/>
      <c r="L408" s="25" t="s">
        <v>5</v>
      </c>
      <c r="M408" s="14"/>
      <c r="N408" s="31"/>
      <c r="O408" s="15">
        <f t="shared" si="40"/>
        <v>0</v>
      </c>
    </row>
    <row r="409" spans="2:16" x14ac:dyDescent="0.15">
      <c r="B409" s="26" t="s">
        <v>5</v>
      </c>
      <c r="C409" s="27"/>
      <c r="D409" s="36"/>
      <c r="E409" s="28">
        <f t="shared" si="38"/>
        <v>0</v>
      </c>
      <c r="G409" s="25" t="s">
        <v>5</v>
      </c>
      <c r="H409" s="14"/>
      <c r="I409" s="31"/>
      <c r="J409" s="15">
        <f t="shared" si="39"/>
        <v>0</v>
      </c>
      <c r="K409" s="61"/>
      <c r="L409" s="25" t="s">
        <v>5</v>
      </c>
      <c r="M409" s="14"/>
      <c r="N409" s="31"/>
      <c r="O409" s="15">
        <f t="shared" si="40"/>
        <v>0</v>
      </c>
    </row>
    <row r="410" spans="2:16" ht="14.25" thickBot="1" x14ac:dyDescent="0.2">
      <c r="B410" s="26" t="s">
        <v>5</v>
      </c>
      <c r="C410" s="14"/>
      <c r="D410" s="31"/>
      <c r="E410" s="15">
        <f t="shared" si="38"/>
        <v>0</v>
      </c>
      <c r="G410" s="25" t="s">
        <v>5</v>
      </c>
      <c r="H410" s="14"/>
      <c r="I410" s="31"/>
      <c r="J410" s="15">
        <f t="shared" si="39"/>
        <v>0</v>
      </c>
      <c r="K410" s="61"/>
      <c r="L410" s="25" t="s">
        <v>5</v>
      </c>
      <c r="M410" s="14"/>
      <c r="N410" s="31"/>
      <c r="O410" s="15">
        <f t="shared" si="40"/>
        <v>0</v>
      </c>
    </row>
    <row r="411" spans="2:16" ht="14.25" thickBot="1" x14ac:dyDescent="0.2">
      <c r="B411" s="8" t="s">
        <v>1</v>
      </c>
      <c r="C411" s="10">
        <f>SUM(C405:C410)</f>
        <v>540</v>
      </c>
      <c r="D411" s="32">
        <f>SUM(D405:D410)</f>
        <v>522</v>
      </c>
      <c r="E411" s="11">
        <f t="shared" si="38"/>
        <v>1062</v>
      </c>
      <c r="G411" s="8" t="s">
        <v>1</v>
      </c>
      <c r="H411" s="10">
        <f>SUM(H405:H410)</f>
        <v>500</v>
      </c>
      <c r="I411" s="32">
        <f>SUM(I405:I410)</f>
        <v>600</v>
      </c>
      <c r="J411" s="11">
        <f t="shared" si="39"/>
        <v>1100</v>
      </c>
      <c r="L411" s="8" t="s">
        <v>1</v>
      </c>
      <c r="M411" s="10">
        <f>SUM(M405:M410)</f>
        <v>0</v>
      </c>
      <c r="N411" s="32">
        <f>SUM(N405:N410)</f>
        <v>0</v>
      </c>
      <c r="O411" s="11">
        <f t="shared" si="40"/>
        <v>0</v>
      </c>
    </row>
    <row r="412" spans="2:16" x14ac:dyDescent="0.15">
      <c r="B412" s="5" t="s">
        <v>188</v>
      </c>
      <c r="C412" s="14">
        <v>40</v>
      </c>
      <c r="D412" s="31">
        <v>40</v>
      </c>
      <c r="E412" s="15">
        <f t="shared" si="38"/>
        <v>80</v>
      </c>
      <c r="F412" s="61">
        <v>44155</v>
      </c>
      <c r="G412" s="13" t="s">
        <v>120</v>
      </c>
      <c r="H412" s="14">
        <v>200</v>
      </c>
      <c r="I412" s="31">
        <v>300</v>
      </c>
      <c r="J412" s="15">
        <f t="shared" si="39"/>
        <v>500</v>
      </c>
      <c r="K412" s="61">
        <v>44166</v>
      </c>
      <c r="L412" s="70"/>
      <c r="M412" s="48"/>
      <c r="N412" s="49"/>
      <c r="O412" s="50">
        <f t="shared" si="40"/>
        <v>0</v>
      </c>
    </row>
    <row r="413" spans="2:16" x14ac:dyDescent="0.15">
      <c r="B413" s="25" t="s">
        <v>46</v>
      </c>
      <c r="C413" s="14">
        <v>9</v>
      </c>
      <c r="D413" s="31">
        <v>5</v>
      </c>
      <c r="E413" s="15">
        <f t="shared" si="38"/>
        <v>14</v>
      </c>
      <c r="F413" s="61">
        <v>44152</v>
      </c>
      <c r="G413" s="13"/>
      <c r="H413" s="14"/>
      <c r="I413" s="31"/>
      <c r="J413" s="15">
        <f t="shared" si="39"/>
        <v>0</v>
      </c>
      <c r="L413" s="70"/>
      <c r="M413" s="42"/>
      <c r="N413" s="43"/>
      <c r="O413" s="57">
        <f t="shared" si="40"/>
        <v>0</v>
      </c>
    </row>
    <row r="414" spans="2:16" x14ac:dyDescent="0.15">
      <c r="B414" s="5" t="s">
        <v>190</v>
      </c>
      <c r="C414" s="14">
        <v>8</v>
      </c>
      <c r="D414" s="31">
        <v>15</v>
      </c>
      <c r="E414" s="15">
        <f t="shared" ref="E414:E432" si="41">C414+D414</f>
        <v>23</v>
      </c>
      <c r="F414" s="61">
        <v>44155</v>
      </c>
      <c r="G414" s="5"/>
      <c r="H414" s="14"/>
      <c r="I414" s="31"/>
      <c r="J414" s="15">
        <f t="shared" si="39"/>
        <v>0</v>
      </c>
      <c r="L414" s="5"/>
      <c r="M414" s="14"/>
      <c r="N414" s="31"/>
      <c r="O414" s="15">
        <f t="shared" si="40"/>
        <v>0</v>
      </c>
    </row>
    <row r="415" spans="2:16" x14ac:dyDescent="0.15">
      <c r="B415" s="25" t="s">
        <v>191</v>
      </c>
      <c r="C415" s="14">
        <v>13</v>
      </c>
      <c r="D415" s="31"/>
      <c r="E415" s="15">
        <f t="shared" si="41"/>
        <v>13</v>
      </c>
      <c r="F415" s="61">
        <v>44154</v>
      </c>
      <c r="G415" s="13"/>
      <c r="H415" s="14"/>
      <c r="I415" s="31"/>
      <c r="J415" s="15">
        <f t="shared" si="39"/>
        <v>0</v>
      </c>
      <c r="L415" s="13"/>
      <c r="M415" s="14"/>
      <c r="N415" s="31"/>
      <c r="O415" s="15">
        <f t="shared" si="40"/>
        <v>0</v>
      </c>
    </row>
    <row r="416" spans="2:16" x14ac:dyDescent="0.15">
      <c r="B416" s="25" t="s">
        <v>46</v>
      </c>
      <c r="C416" s="2">
        <v>2</v>
      </c>
      <c r="D416" s="33">
        <v>3</v>
      </c>
      <c r="E416" s="4">
        <f t="shared" si="41"/>
        <v>5</v>
      </c>
      <c r="F416" s="61">
        <v>44153</v>
      </c>
      <c r="G416" s="12"/>
      <c r="H416" s="2"/>
      <c r="I416" s="33"/>
      <c r="J416" s="4">
        <f t="shared" si="39"/>
        <v>0</v>
      </c>
      <c r="L416" s="12"/>
      <c r="M416" s="2"/>
      <c r="N416" s="33"/>
      <c r="O416" s="4">
        <f t="shared" si="40"/>
        <v>0</v>
      </c>
    </row>
    <row r="417" spans="2:15" x14ac:dyDescent="0.15">
      <c r="B417" s="5" t="s">
        <v>194</v>
      </c>
      <c r="C417" s="14"/>
      <c r="D417" s="31">
        <v>40</v>
      </c>
      <c r="E417" s="15">
        <f t="shared" si="41"/>
        <v>40</v>
      </c>
      <c r="F417" s="61">
        <v>44161</v>
      </c>
      <c r="G417" s="12"/>
      <c r="H417" s="14"/>
      <c r="I417" s="31"/>
      <c r="J417" s="15">
        <f t="shared" si="39"/>
        <v>0</v>
      </c>
      <c r="L417" s="12"/>
      <c r="M417" s="14"/>
      <c r="N417" s="31"/>
      <c r="O417" s="15">
        <f t="shared" si="40"/>
        <v>0</v>
      </c>
    </row>
    <row r="418" spans="2:15" x14ac:dyDescent="0.15">
      <c r="B418" s="25" t="s">
        <v>46</v>
      </c>
      <c r="C418" s="2">
        <v>6</v>
      </c>
      <c r="D418" s="33">
        <v>3</v>
      </c>
      <c r="E418" s="4">
        <f t="shared" si="41"/>
        <v>9</v>
      </c>
      <c r="F418" s="61">
        <v>44154</v>
      </c>
      <c r="G418" s="13"/>
      <c r="H418" s="2"/>
      <c r="I418" s="33"/>
      <c r="J418" s="4">
        <f t="shared" si="39"/>
        <v>0</v>
      </c>
      <c r="L418" s="13"/>
      <c r="M418" s="2"/>
      <c r="N418" s="33"/>
      <c r="O418" s="4">
        <f t="shared" si="40"/>
        <v>0</v>
      </c>
    </row>
    <row r="419" spans="2:15" x14ac:dyDescent="0.15">
      <c r="B419" s="25" t="s">
        <v>195</v>
      </c>
      <c r="C419" s="14">
        <v>9</v>
      </c>
      <c r="D419" s="31"/>
      <c r="E419" s="15">
        <f t="shared" si="41"/>
        <v>9</v>
      </c>
      <c r="F419" s="61">
        <v>44156</v>
      </c>
      <c r="G419" s="13"/>
      <c r="H419" s="2"/>
      <c r="I419" s="33"/>
      <c r="J419" s="4">
        <f t="shared" si="39"/>
        <v>0</v>
      </c>
      <c r="L419" s="13"/>
      <c r="M419" s="2"/>
      <c r="N419" s="33"/>
      <c r="O419" s="4">
        <f t="shared" si="40"/>
        <v>0</v>
      </c>
    </row>
    <row r="420" spans="2:15" x14ac:dyDescent="0.15">
      <c r="B420" s="25" t="s">
        <v>46</v>
      </c>
      <c r="C420" s="2">
        <v>6</v>
      </c>
      <c r="D420" s="33">
        <v>6</v>
      </c>
      <c r="E420" s="4">
        <f t="shared" si="41"/>
        <v>12</v>
      </c>
      <c r="F420" s="61">
        <v>44155</v>
      </c>
      <c r="G420" s="13"/>
      <c r="H420" s="2"/>
      <c r="I420" s="33"/>
      <c r="J420" s="4">
        <f t="shared" si="39"/>
        <v>0</v>
      </c>
      <c r="L420" s="13"/>
      <c r="M420" s="2"/>
      <c r="N420" s="33"/>
      <c r="O420" s="4">
        <f t="shared" si="40"/>
        <v>0</v>
      </c>
    </row>
    <row r="421" spans="2:15" x14ac:dyDescent="0.15">
      <c r="B421" s="25" t="s">
        <v>197</v>
      </c>
      <c r="C421" s="14">
        <v>2</v>
      </c>
      <c r="D421" s="31">
        <v>4</v>
      </c>
      <c r="E421" s="15">
        <f t="shared" si="41"/>
        <v>6</v>
      </c>
      <c r="F421" s="61">
        <v>44160</v>
      </c>
      <c r="G421" s="13"/>
      <c r="H421" s="2"/>
      <c r="I421" s="33"/>
      <c r="J421" s="4">
        <f t="shared" si="39"/>
        <v>0</v>
      </c>
      <c r="L421" s="13"/>
      <c r="M421" s="2"/>
      <c r="N421" s="33"/>
      <c r="O421" s="4">
        <f t="shared" si="40"/>
        <v>0</v>
      </c>
    </row>
    <row r="422" spans="2:15" x14ac:dyDescent="0.15">
      <c r="B422" s="25" t="s">
        <v>46</v>
      </c>
      <c r="C422" s="2">
        <v>7</v>
      </c>
      <c r="D422" s="33">
        <v>9</v>
      </c>
      <c r="E422" s="4">
        <f t="shared" si="41"/>
        <v>16</v>
      </c>
      <c r="F422" s="61">
        <v>44156</v>
      </c>
      <c r="G422" s="13"/>
      <c r="H422" s="2"/>
      <c r="I422" s="33"/>
      <c r="J422" s="4">
        <f t="shared" si="39"/>
        <v>0</v>
      </c>
      <c r="L422" s="13"/>
      <c r="M422" s="2"/>
      <c r="N422" s="33"/>
      <c r="O422" s="4">
        <f t="shared" si="40"/>
        <v>0</v>
      </c>
    </row>
    <row r="423" spans="2:15" x14ac:dyDescent="0.15">
      <c r="B423" s="25" t="s">
        <v>46</v>
      </c>
      <c r="C423" s="2">
        <v>49</v>
      </c>
      <c r="D423" s="33">
        <v>8</v>
      </c>
      <c r="E423" s="4">
        <f t="shared" si="41"/>
        <v>57</v>
      </c>
      <c r="F423" s="61">
        <v>44159</v>
      </c>
      <c r="G423" s="13"/>
      <c r="H423" s="2"/>
      <c r="I423" s="33"/>
      <c r="J423" s="4">
        <f t="shared" si="39"/>
        <v>0</v>
      </c>
      <c r="L423" s="13"/>
      <c r="M423" s="2"/>
      <c r="N423" s="33"/>
      <c r="O423" s="4">
        <f t="shared" si="40"/>
        <v>0</v>
      </c>
    </row>
    <row r="424" spans="2:15" x14ac:dyDescent="0.15">
      <c r="B424" s="25" t="s">
        <v>201</v>
      </c>
      <c r="C424" s="14">
        <v>7</v>
      </c>
      <c r="D424" s="31"/>
      <c r="E424" s="15">
        <f t="shared" si="41"/>
        <v>7</v>
      </c>
      <c r="F424" s="61">
        <v>44161</v>
      </c>
      <c r="G424" s="13"/>
      <c r="H424" s="2"/>
      <c r="I424" s="33"/>
      <c r="J424" s="4">
        <f t="shared" si="39"/>
        <v>0</v>
      </c>
      <c r="L424" s="13"/>
      <c r="M424" s="2"/>
      <c r="N424" s="33"/>
      <c r="O424" s="4">
        <f t="shared" si="40"/>
        <v>0</v>
      </c>
    </row>
    <row r="425" spans="2:15" x14ac:dyDescent="0.15">
      <c r="B425" s="25" t="s">
        <v>46</v>
      </c>
      <c r="C425" s="14">
        <v>11</v>
      </c>
      <c r="D425" s="31">
        <v>3</v>
      </c>
      <c r="E425" s="15">
        <f t="shared" si="41"/>
        <v>14</v>
      </c>
      <c r="F425" s="61">
        <v>44160</v>
      </c>
      <c r="G425" s="25"/>
      <c r="H425" s="2"/>
      <c r="I425" s="33"/>
      <c r="J425" s="4">
        <f t="shared" si="39"/>
        <v>0</v>
      </c>
      <c r="L425" s="25"/>
      <c r="M425" s="2"/>
      <c r="N425" s="33"/>
      <c r="O425" s="4">
        <f t="shared" si="40"/>
        <v>0</v>
      </c>
    </row>
    <row r="426" spans="2:15" x14ac:dyDescent="0.15">
      <c r="B426" s="5" t="s">
        <v>202</v>
      </c>
      <c r="C426" s="14"/>
      <c r="D426" s="31">
        <v>5</v>
      </c>
      <c r="E426" s="15">
        <f t="shared" si="41"/>
        <v>5</v>
      </c>
      <c r="F426" s="61">
        <v>44166</v>
      </c>
      <c r="G426" s="25"/>
      <c r="H426" s="2"/>
      <c r="I426" s="33"/>
      <c r="J426" s="4">
        <f t="shared" si="39"/>
        <v>0</v>
      </c>
      <c r="L426" s="25"/>
      <c r="M426" s="2"/>
      <c r="N426" s="33"/>
      <c r="O426" s="4">
        <f t="shared" si="40"/>
        <v>0</v>
      </c>
    </row>
    <row r="427" spans="2:15" x14ac:dyDescent="0.15">
      <c r="B427" s="25" t="s">
        <v>203</v>
      </c>
      <c r="C427" s="14">
        <v>4</v>
      </c>
      <c r="D427" s="31">
        <v>3</v>
      </c>
      <c r="E427" s="15">
        <f t="shared" si="41"/>
        <v>7</v>
      </c>
      <c r="F427" s="61">
        <v>44162</v>
      </c>
      <c r="G427" s="25"/>
      <c r="H427" s="2"/>
      <c r="I427" s="33"/>
      <c r="J427" s="4">
        <f t="shared" si="39"/>
        <v>0</v>
      </c>
      <c r="L427" s="25"/>
      <c r="M427" s="2"/>
      <c r="N427" s="33"/>
      <c r="O427" s="4">
        <f t="shared" si="40"/>
        <v>0</v>
      </c>
    </row>
    <row r="428" spans="2:15" x14ac:dyDescent="0.15">
      <c r="B428" s="25" t="s">
        <v>46</v>
      </c>
      <c r="C428" s="2">
        <v>10</v>
      </c>
      <c r="D428" s="33">
        <v>4</v>
      </c>
      <c r="E428" s="4">
        <f t="shared" si="41"/>
        <v>14</v>
      </c>
      <c r="F428" s="61">
        <v>44161</v>
      </c>
      <c r="G428" s="25"/>
      <c r="H428" s="2"/>
      <c r="I428" s="33"/>
      <c r="J428" s="4">
        <f t="shared" si="39"/>
        <v>0</v>
      </c>
      <c r="L428" s="25"/>
      <c r="M428" s="2"/>
      <c r="N428" s="33"/>
      <c r="O428" s="4">
        <f t="shared" si="40"/>
        <v>0</v>
      </c>
    </row>
    <row r="429" spans="2:15" x14ac:dyDescent="0.15">
      <c r="B429" s="25" t="s">
        <v>46</v>
      </c>
      <c r="C429" s="14">
        <v>2</v>
      </c>
      <c r="D429" s="31">
        <v>4</v>
      </c>
      <c r="E429" s="15">
        <f t="shared" si="41"/>
        <v>6</v>
      </c>
      <c r="F429" s="61">
        <v>44162</v>
      </c>
      <c r="G429" s="13"/>
      <c r="H429" s="2"/>
      <c r="I429" s="33"/>
      <c r="J429" s="4">
        <f t="shared" si="39"/>
        <v>0</v>
      </c>
      <c r="L429" s="13"/>
      <c r="M429" s="2"/>
      <c r="N429" s="33"/>
      <c r="O429" s="4">
        <f t="shared" si="40"/>
        <v>0</v>
      </c>
    </row>
    <row r="430" spans="2:15" x14ac:dyDescent="0.15">
      <c r="B430" s="13" t="s">
        <v>206</v>
      </c>
      <c r="C430" s="14"/>
      <c r="D430" s="31">
        <v>1</v>
      </c>
      <c r="E430" s="15">
        <f t="shared" si="41"/>
        <v>1</v>
      </c>
      <c r="F430" s="61">
        <v>44165</v>
      </c>
      <c r="G430" s="25"/>
      <c r="H430" s="2"/>
      <c r="I430" s="33"/>
      <c r="J430" s="4">
        <f t="shared" si="39"/>
        <v>0</v>
      </c>
      <c r="L430" s="25"/>
      <c r="M430" s="2"/>
      <c r="N430" s="33"/>
      <c r="O430" s="4">
        <f t="shared" si="40"/>
        <v>0</v>
      </c>
    </row>
    <row r="431" spans="2:15" x14ac:dyDescent="0.15">
      <c r="B431" s="25" t="s">
        <v>207</v>
      </c>
      <c r="C431" s="14">
        <v>2</v>
      </c>
      <c r="D431" s="31">
        <v>3</v>
      </c>
      <c r="E431" s="15">
        <f t="shared" si="41"/>
        <v>5</v>
      </c>
      <c r="F431" s="61">
        <v>44166</v>
      </c>
      <c r="G431" s="25"/>
      <c r="H431" s="14"/>
      <c r="I431" s="31"/>
      <c r="J431" s="15">
        <f t="shared" si="39"/>
        <v>0</v>
      </c>
      <c r="L431" s="25"/>
      <c r="M431" s="14"/>
      <c r="N431" s="31"/>
      <c r="O431" s="15">
        <f t="shared" si="40"/>
        <v>0</v>
      </c>
    </row>
    <row r="432" spans="2:15" x14ac:dyDescent="0.15">
      <c r="B432" s="13" t="s">
        <v>208</v>
      </c>
      <c r="C432" s="14">
        <v>2</v>
      </c>
      <c r="D432" s="31">
        <v>2</v>
      </c>
      <c r="E432" s="15">
        <f t="shared" si="41"/>
        <v>4</v>
      </c>
      <c r="F432" s="61">
        <v>44165</v>
      </c>
      <c r="G432" s="25"/>
      <c r="H432" s="14"/>
      <c r="I432" s="31"/>
      <c r="J432" s="15">
        <f t="shared" si="39"/>
        <v>0</v>
      </c>
      <c r="L432" s="25"/>
      <c r="M432" s="14"/>
      <c r="N432" s="31"/>
      <c r="O432" s="15">
        <f t="shared" si="40"/>
        <v>0</v>
      </c>
    </row>
    <row r="433" spans="2:16" x14ac:dyDescent="0.15">
      <c r="B433" s="25" t="s">
        <v>172</v>
      </c>
      <c r="C433" s="14">
        <v>40</v>
      </c>
      <c r="D433" s="31">
        <v>30</v>
      </c>
      <c r="E433" s="15">
        <f t="shared" ref="E433:E438" si="42">C433+D433</f>
        <v>70</v>
      </c>
      <c r="F433" s="61">
        <v>44167</v>
      </c>
      <c r="G433" s="13"/>
      <c r="H433" s="2"/>
      <c r="I433" s="33"/>
      <c r="J433" s="15">
        <f t="shared" si="39"/>
        <v>0</v>
      </c>
      <c r="L433" s="13"/>
      <c r="M433" s="2"/>
      <c r="N433" s="33"/>
      <c r="O433" s="15">
        <f t="shared" si="40"/>
        <v>0</v>
      </c>
    </row>
    <row r="434" spans="2:16" x14ac:dyDescent="0.15">
      <c r="B434" s="25" t="s">
        <v>46</v>
      </c>
      <c r="C434" s="14">
        <v>22</v>
      </c>
      <c r="D434" s="31">
        <v>5</v>
      </c>
      <c r="E434" s="15">
        <f t="shared" si="42"/>
        <v>27</v>
      </c>
      <c r="F434" s="61">
        <v>44165</v>
      </c>
      <c r="G434" s="74"/>
      <c r="H434" s="14"/>
      <c r="I434" s="31"/>
      <c r="J434" s="15">
        <f>H434+I434</f>
        <v>0</v>
      </c>
      <c r="L434" s="13"/>
      <c r="M434" s="2"/>
      <c r="N434" s="33"/>
      <c r="O434" s="15">
        <f>M434+N434</f>
        <v>0</v>
      </c>
    </row>
    <row r="435" spans="2:16" x14ac:dyDescent="0.15">
      <c r="B435" s="13" t="s">
        <v>208</v>
      </c>
      <c r="C435" s="14">
        <v>1</v>
      </c>
      <c r="D435" s="31"/>
      <c r="E435" s="15">
        <f t="shared" si="42"/>
        <v>1</v>
      </c>
      <c r="F435" s="61">
        <v>44165</v>
      </c>
      <c r="G435" s="25"/>
      <c r="H435" s="14"/>
      <c r="I435" s="31"/>
      <c r="J435" s="15">
        <f>H435+I435</f>
        <v>0</v>
      </c>
      <c r="K435" s="61"/>
      <c r="L435" s="73"/>
      <c r="M435" s="27"/>
      <c r="N435" s="36"/>
      <c r="O435" s="28">
        <f>M435+N435</f>
        <v>0</v>
      </c>
    </row>
    <row r="436" spans="2:16" ht="14.25" thickBot="1" x14ac:dyDescent="0.2">
      <c r="B436" s="25" t="s">
        <v>210</v>
      </c>
      <c r="C436" s="14">
        <v>1</v>
      </c>
      <c r="D436" s="31"/>
      <c r="E436" s="15">
        <f t="shared" si="42"/>
        <v>1</v>
      </c>
      <c r="F436" s="61">
        <v>44166</v>
      </c>
      <c r="G436" s="74"/>
      <c r="H436" s="14"/>
      <c r="I436" s="31"/>
      <c r="J436" s="15">
        <f>H436+I436</f>
        <v>0</v>
      </c>
      <c r="L436" s="70"/>
      <c r="M436" s="48"/>
      <c r="N436" s="49"/>
      <c r="O436" s="50">
        <f>M436+N436</f>
        <v>0</v>
      </c>
    </row>
    <row r="437" spans="2:16" ht="14.25" thickBot="1" x14ac:dyDescent="0.2">
      <c r="B437" s="8" t="s">
        <v>2</v>
      </c>
      <c r="C437" s="10">
        <f>SUM(C412:C436)</f>
        <v>253</v>
      </c>
      <c r="D437" s="32">
        <f>SUM(D412:D436)</f>
        <v>193</v>
      </c>
      <c r="E437" s="11">
        <f t="shared" si="42"/>
        <v>446</v>
      </c>
      <c r="G437" s="8" t="s">
        <v>2</v>
      </c>
      <c r="H437" s="10">
        <f>SUM(H412:H436)</f>
        <v>200</v>
      </c>
      <c r="I437" s="32">
        <f>SUM(I412:I436)</f>
        <v>300</v>
      </c>
      <c r="J437" s="11">
        <f>H437+I437</f>
        <v>500</v>
      </c>
      <c r="L437" s="8" t="s">
        <v>2</v>
      </c>
      <c r="M437" s="10">
        <f>SUM(M412:M436)</f>
        <v>0</v>
      </c>
      <c r="N437" s="32">
        <f>SUM(N412:N436)</f>
        <v>0</v>
      </c>
      <c r="O437" s="11">
        <f>M437+N437</f>
        <v>0</v>
      </c>
    </row>
    <row r="438" spans="2:16" ht="14.25" thickBot="1" x14ac:dyDescent="0.2">
      <c r="B438" s="52" t="s">
        <v>3</v>
      </c>
      <c r="C438" s="53">
        <f>+C411-C437</f>
        <v>287</v>
      </c>
      <c r="D438" s="54">
        <f>+D411-D437</f>
        <v>329</v>
      </c>
      <c r="E438" s="55">
        <f t="shared" si="42"/>
        <v>616</v>
      </c>
      <c r="G438" s="52" t="s">
        <v>3</v>
      </c>
      <c r="H438" s="53">
        <f>+H411-H437</f>
        <v>300</v>
      </c>
      <c r="I438" s="54">
        <f>+I411-I437</f>
        <v>300</v>
      </c>
      <c r="J438" s="55">
        <f>H438+I438</f>
        <v>600</v>
      </c>
      <c r="L438" s="52" t="s">
        <v>3</v>
      </c>
      <c r="M438" s="53">
        <f>+M411-M437</f>
        <v>0</v>
      </c>
      <c r="N438" s="54">
        <f>+N411-N437</f>
        <v>0</v>
      </c>
      <c r="O438" s="55">
        <f>M438+N438</f>
        <v>0</v>
      </c>
    </row>
    <row r="440" spans="2:16" ht="21" x14ac:dyDescent="0.2">
      <c r="B440" s="76" t="s">
        <v>150</v>
      </c>
      <c r="G440" s="75" t="s">
        <v>149</v>
      </c>
      <c r="L440" s="75" t="s">
        <v>151</v>
      </c>
    </row>
    <row r="441" spans="2:16" ht="18.75" x14ac:dyDescent="0.2">
      <c r="B441" s="3" t="s">
        <v>11</v>
      </c>
      <c r="E441" s="71"/>
      <c r="G441" s="3" t="s">
        <v>11</v>
      </c>
      <c r="L441" s="3" t="s">
        <v>11</v>
      </c>
    </row>
    <row r="442" spans="2:16" ht="14.25" thickBot="1" x14ac:dyDescent="0.2">
      <c r="G442" s="1"/>
      <c r="L442" s="1"/>
    </row>
    <row r="443" spans="2:16" ht="14.25" thickBot="1" x14ac:dyDescent="0.2">
      <c r="B443" s="7"/>
      <c r="C443" s="67"/>
      <c r="D443" s="68"/>
      <c r="E443" s="69"/>
      <c r="G443" s="7"/>
      <c r="H443" s="67"/>
      <c r="I443" s="68"/>
      <c r="J443" s="69"/>
      <c r="L443" s="7"/>
      <c r="M443" s="67"/>
      <c r="N443" s="68"/>
      <c r="O443" s="69"/>
    </row>
    <row r="444" spans="2:16" ht="14.25" thickBot="1" x14ac:dyDescent="0.2">
      <c r="B444" s="8"/>
      <c r="C444" s="40" t="s">
        <v>7</v>
      </c>
      <c r="D444" s="29" t="s">
        <v>9</v>
      </c>
      <c r="E444" s="9" t="s">
        <v>0</v>
      </c>
      <c r="G444" s="8"/>
      <c r="H444" s="40" t="s">
        <v>7</v>
      </c>
      <c r="I444" s="29" t="s">
        <v>9</v>
      </c>
      <c r="J444" s="9" t="s">
        <v>0</v>
      </c>
      <c r="L444" s="8"/>
      <c r="M444" s="40" t="s">
        <v>7</v>
      </c>
      <c r="N444" s="29" t="s">
        <v>9</v>
      </c>
      <c r="O444" s="9" t="s">
        <v>0</v>
      </c>
    </row>
    <row r="445" spans="2:16" x14ac:dyDescent="0.15">
      <c r="B445" s="16" t="s">
        <v>4</v>
      </c>
      <c r="C445" s="17">
        <f>C438</f>
        <v>287</v>
      </c>
      <c r="D445" s="35">
        <f>D438</f>
        <v>329</v>
      </c>
      <c r="E445" s="18">
        <f t="shared" ref="E445:E478" si="43">C445+D445</f>
        <v>616</v>
      </c>
      <c r="G445" s="16" t="s">
        <v>4</v>
      </c>
      <c r="H445" s="17">
        <f>H438</f>
        <v>300</v>
      </c>
      <c r="I445" s="35">
        <f>I438</f>
        <v>300</v>
      </c>
      <c r="J445" s="18">
        <f t="shared" ref="J445:J478" si="44">H445+I445</f>
        <v>600</v>
      </c>
      <c r="L445" s="16" t="s">
        <v>4</v>
      </c>
      <c r="M445" s="17">
        <f>M438</f>
        <v>0</v>
      </c>
      <c r="N445" s="35">
        <f>N438</f>
        <v>0</v>
      </c>
      <c r="O445" s="18">
        <f t="shared" ref="O445:O473" si="45">M445+N445</f>
        <v>0</v>
      </c>
    </row>
    <row r="446" spans="2:16" x14ac:dyDescent="0.15">
      <c r="B446" s="26" t="s">
        <v>5</v>
      </c>
      <c r="C446" s="27"/>
      <c r="D446" s="36">
        <v>100</v>
      </c>
      <c r="E446" s="28">
        <f>C446+D446</f>
        <v>100</v>
      </c>
      <c r="F446" s="61">
        <v>44174</v>
      </c>
      <c r="G446" s="25" t="s">
        <v>5</v>
      </c>
      <c r="H446" s="14"/>
      <c r="I446" s="31"/>
      <c r="J446" s="23">
        <f t="shared" si="44"/>
        <v>0</v>
      </c>
      <c r="L446" s="25" t="s">
        <v>5</v>
      </c>
      <c r="M446" s="14"/>
      <c r="N446" s="31"/>
      <c r="O446" s="23">
        <f t="shared" si="45"/>
        <v>0</v>
      </c>
    </row>
    <row r="447" spans="2:16" x14ac:dyDescent="0.15">
      <c r="B447" s="26" t="s">
        <v>5</v>
      </c>
      <c r="C447" s="27">
        <v>600</v>
      </c>
      <c r="D447" s="36"/>
      <c r="E447" s="28">
        <f>C447+D447</f>
        <v>600</v>
      </c>
      <c r="F447" s="61">
        <v>44175</v>
      </c>
      <c r="G447" s="25" t="s">
        <v>226</v>
      </c>
      <c r="H447" s="14">
        <v>600</v>
      </c>
      <c r="I447" s="31">
        <v>600</v>
      </c>
      <c r="J447" s="15">
        <f t="shared" si="44"/>
        <v>1200</v>
      </c>
      <c r="K447" s="61">
        <v>44179</v>
      </c>
      <c r="L447" s="25" t="s">
        <v>5</v>
      </c>
      <c r="M447" s="14"/>
      <c r="N447" s="31">
        <v>1200</v>
      </c>
      <c r="O447" s="23">
        <f t="shared" si="45"/>
        <v>1200</v>
      </c>
      <c r="P447" t="s">
        <v>168</v>
      </c>
    </row>
    <row r="448" spans="2:16" x14ac:dyDescent="0.15">
      <c r="B448" s="26" t="s">
        <v>181</v>
      </c>
      <c r="C448" s="27">
        <v>2</v>
      </c>
      <c r="D448" s="36">
        <v>4</v>
      </c>
      <c r="E448" s="28">
        <f>C448+D448</f>
        <v>6</v>
      </c>
      <c r="F448" s="61">
        <v>44176</v>
      </c>
      <c r="G448" s="25" t="s">
        <v>5</v>
      </c>
      <c r="H448" s="14"/>
      <c r="I448" s="31"/>
      <c r="J448" s="15">
        <f t="shared" si="44"/>
        <v>0</v>
      </c>
      <c r="K448" s="61"/>
      <c r="L448" s="25" t="s">
        <v>5</v>
      </c>
      <c r="M448" s="27">
        <v>2000</v>
      </c>
      <c r="N448" s="36"/>
      <c r="O448" s="28">
        <f t="shared" si="45"/>
        <v>2000</v>
      </c>
      <c r="P448" s="77" t="s">
        <v>128</v>
      </c>
    </row>
    <row r="449" spans="2:16" x14ac:dyDescent="0.15">
      <c r="B449" s="26" t="s">
        <v>5</v>
      </c>
      <c r="C449" s="14">
        <v>650</v>
      </c>
      <c r="D449" s="31">
        <v>600</v>
      </c>
      <c r="E449" s="15">
        <f>C449+D449</f>
        <v>1250</v>
      </c>
      <c r="F449" s="61">
        <v>44179</v>
      </c>
      <c r="G449" s="25" t="s">
        <v>5</v>
      </c>
      <c r="H449" s="14"/>
      <c r="I449" s="31"/>
      <c r="J449" s="15">
        <f t="shared" si="44"/>
        <v>0</v>
      </c>
      <c r="K449" s="61"/>
      <c r="L449" s="25" t="s">
        <v>5</v>
      </c>
      <c r="M449" s="14"/>
      <c r="N449" s="31"/>
      <c r="O449" s="15">
        <f t="shared" si="45"/>
        <v>0</v>
      </c>
    </row>
    <row r="450" spans="2:16" ht="14.25" thickBot="1" x14ac:dyDescent="0.2">
      <c r="B450" s="26" t="s">
        <v>5</v>
      </c>
      <c r="C450" s="14"/>
      <c r="D450" s="31"/>
      <c r="E450" s="15">
        <f t="shared" si="43"/>
        <v>0</v>
      </c>
      <c r="F450" s="61"/>
      <c r="G450" s="25" t="s">
        <v>5</v>
      </c>
      <c r="H450" s="14"/>
      <c r="I450" s="31"/>
      <c r="J450" s="15">
        <f t="shared" si="44"/>
        <v>0</v>
      </c>
      <c r="K450" s="61"/>
      <c r="L450" s="25" t="s">
        <v>5</v>
      </c>
      <c r="M450" s="14"/>
      <c r="N450" s="31"/>
      <c r="O450" s="15">
        <f>M450+N450</f>
        <v>0</v>
      </c>
      <c r="P450" s="61"/>
    </row>
    <row r="451" spans="2:16" ht="14.25" thickBot="1" x14ac:dyDescent="0.2">
      <c r="B451" s="8" t="s">
        <v>1</v>
      </c>
      <c r="C451" s="10">
        <f>SUM(C445:C450)</f>
        <v>1539</v>
      </c>
      <c r="D451" s="32">
        <f>SUM(D445:D450)</f>
        <v>1033</v>
      </c>
      <c r="E451" s="11">
        <f t="shared" si="43"/>
        <v>2572</v>
      </c>
      <c r="G451" s="8" t="s">
        <v>1</v>
      </c>
      <c r="H451" s="10">
        <f>SUM(H445:H450)</f>
        <v>900</v>
      </c>
      <c r="I451" s="32">
        <f>SUM(I445:I450)</f>
        <v>900</v>
      </c>
      <c r="J451" s="11">
        <f t="shared" si="44"/>
        <v>1800</v>
      </c>
      <c r="L451" s="8" t="s">
        <v>1</v>
      </c>
      <c r="M451" s="10">
        <f>SUM(M445:M450)</f>
        <v>2000</v>
      </c>
      <c r="N451" s="32">
        <f>SUM(N445:N450)</f>
        <v>1200</v>
      </c>
      <c r="O451" s="11">
        <f t="shared" si="45"/>
        <v>3200</v>
      </c>
    </row>
    <row r="452" spans="2:16" x14ac:dyDescent="0.15">
      <c r="B452" s="25" t="s">
        <v>209</v>
      </c>
      <c r="C452" s="14">
        <v>2</v>
      </c>
      <c r="D452" s="31"/>
      <c r="E452" s="15">
        <f t="shared" si="43"/>
        <v>2</v>
      </c>
      <c r="F452" s="61">
        <v>44167</v>
      </c>
      <c r="G452" s="74" t="s">
        <v>220</v>
      </c>
      <c r="H452" s="14">
        <v>10</v>
      </c>
      <c r="I452" s="31"/>
      <c r="J452" s="15">
        <f t="shared" si="44"/>
        <v>10</v>
      </c>
      <c r="K452" s="61">
        <v>44176</v>
      </c>
      <c r="L452" s="13" t="s">
        <v>120</v>
      </c>
      <c r="M452" s="14">
        <v>600</v>
      </c>
      <c r="N452" s="31"/>
      <c r="O452" s="15">
        <f t="shared" si="45"/>
        <v>600</v>
      </c>
      <c r="P452" s="77">
        <v>44175</v>
      </c>
    </row>
    <row r="453" spans="2:16" x14ac:dyDescent="0.15">
      <c r="B453" s="25" t="s">
        <v>46</v>
      </c>
      <c r="C453" s="2">
        <v>5</v>
      </c>
      <c r="D453" s="33">
        <v>2</v>
      </c>
      <c r="E453" s="4">
        <f t="shared" si="43"/>
        <v>7</v>
      </c>
      <c r="F453" s="61">
        <v>44166</v>
      </c>
      <c r="G453" s="13" t="s">
        <v>120</v>
      </c>
      <c r="H453" s="14"/>
      <c r="I453" s="31">
        <v>100</v>
      </c>
      <c r="J453" s="15">
        <f t="shared" si="44"/>
        <v>100</v>
      </c>
      <c r="K453" s="61">
        <v>44174</v>
      </c>
      <c r="L453" s="13"/>
      <c r="M453" s="14"/>
      <c r="N453" s="31"/>
      <c r="O453" s="15">
        <f t="shared" si="45"/>
        <v>0</v>
      </c>
    </row>
    <row r="454" spans="2:16" x14ac:dyDescent="0.15">
      <c r="B454" s="5" t="s">
        <v>213</v>
      </c>
      <c r="C454" s="14"/>
      <c r="D454" s="31">
        <v>40</v>
      </c>
      <c r="E454" s="15">
        <f t="shared" si="43"/>
        <v>40</v>
      </c>
      <c r="F454" s="61">
        <v>44172</v>
      </c>
      <c r="G454" s="5"/>
      <c r="H454" s="14"/>
      <c r="I454" s="31"/>
      <c r="J454" s="15">
        <f t="shared" si="44"/>
        <v>0</v>
      </c>
      <c r="L454" s="25" t="s">
        <v>226</v>
      </c>
      <c r="M454" s="14">
        <v>600</v>
      </c>
      <c r="N454" s="31">
        <v>600</v>
      </c>
      <c r="O454" s="15">
        <f t="shared" si="45"/>
        <v>1200</v>
      </c>
      <c r="P454" s="77">
        <v>44179</v>
      </c>
    </row>
    <row r="455" spans="2:16" x14ac:dyDescent="0.15">
      <c r="B455" s="25" t="s">
        <v>215</v>
      </c>
      <c r="C455" s="14">
        <v>2</v>
      </c>
      <c r="D455" s="31"/>
      <c r="E455" s="15">
        <f t="shared" si="43"/>
        <v>2</v>
      </c>
      <c r="F455" s="61">
        <v>44168</v>
      </c>
      <c r="G455" s="13"/>
      <c r="H455" s="14"/>
      <c r="I455" s="31"/>
      <c r="J455" s="15">
        <f t="shared" si="44"/>
        <v>0</v>
      </c>
      <c r="L455" s="13"/>
      <c r="M455" s="14"/>
      <c r="N455" s="31"/>
      <c r="O455" s="15">
        <f t="shared" si="45"/>
        <v>0</v>
      </c>
    </row>
    <row r="456" spans="2:16" x14ac:dyDescent="0.15">
      <c r="B456" s="25" t="s">
        <v>214</v>
      </c>
      <c r="C456" s="14">
        <v>5</v>
      </c>
      <c r="D456" s="31"/>
      <c r="E456" s="15">
        <f t="shared" si="43"/>
        <v>5</v>
      </c>
      <c r="F456" s="61">
        <v>44169</v>
      </c>
      <c r="G456" s="12"/>
      <c r="H456" s="2"/>
      <c r="I456" s="33"/>
      <c r="J456" s="4">
        <f t="shared" si="44"/>
        <v>0</v>
      </c>
      <c r="L456" s="13" t="s">
        <v>120</v>
      </c>
      <c r="M456" s="14">
        <v>650</v>
      </c>
      <c r="N456" s="31">
        <v>600</v>
      </c>
      <c r="O456" s="15">
        <f t="shared" si="45"/>
        <v>1250</v>
      </c>
      <c r="P456" s="77">
        <v>44179</v>
      </c>
    </row>
    <row r="457" spans="2:16" x14ac:dyDescent="0.15">
      <c r="B457" s="25" t="s">
        <v>46</v>
      </c>
      <c r="C457" s="14">
        <v>6</v>
      </c>
      <c r="D457" s="31">
        <v>1</v>
      </c>
      <c r="E457" s="15">
        <f t="shared" si="43"/>
        <v>7</v>
      </c>
      <c r="F457" s="61">
        <v>44167</v>
      </c>
      <c r="G457" s="12"/>
      <c r="H457" s="14"/>
      <c r="I457" s="31"/>
      <c r="J457" s="15">
        <f t="shared" si="44"/>
        <v>0</v>
      </c>
      <c r="L457" s="13" t="s">
        <v>120</v>
      </c>
      <c r="M457" s="14">
        <v>150</v>
      </c>
      <c r="N457" s="31"/>
      <c r="O457" s="15">
        <f t="shared" si="45"/>
        <v>150</v>
      </c>
      <c r="P457" s="77">
        <v>44182</v>
      </c>
    </row>
    <row r="458" spans="2:16" x14ac:dyDescent="0.15">
      <c r="B458" s="25" t="s">
        <v>216</v>
      </c>
      <c r="C458" s="14">
        <v>2</v>
      </c>
      <c r="D458" s="31"/>
      <c r="E458" s="15">
        <f t="shared" si="43"/>
        <v>2</v>
      </c>
      <c r="F458" s="61">
        <v>44169</v>
      </c>
      <c r="G458" s="13"/>
      <c r="H458" s="2"/>
      <c r="I458" s="33"/>
      <c r="J458" s="4">
        <f t="shared" si="44"/>
        <v>0</v>
      </c>
      <c r="L458" s="13"/>
      <c r="M458" s="2"/>
      <c r="N458" s="33"/>
      <c r="O458" s="4">
        <f t="shared" si="45"/>
        <v>0</v>
      </c>
    </row>
    <row r="459" spans="2:16" x14ac:dyDescent="0.15">
      <c r="B459" s="25" t="s">
        <v>46</v>
      </c>
      <c r="C459" s="14">
        <v>11</v>
      </c>
      <c r="D459" s="31">
        <v>2</v>
      </c>
      <c r="E459" s="15">
        <f t="shared" si="43"/>
        <v>13</v>
      </c>
      <c r="F459" s="61">
        <v>44168</v>
      </c>
      <c r="G459" s="13"/>
      <c r="H459" s="2"/>
      <c r="I459" s="33"/>
      <c r="J459" s="4">
        <f t="shared" si="44"/>
        <v>0</v>
      </c>
      <c r="L459" s="13"/>
      <c r="M459" s="2"/>
      <c r="N459" s="33"/>
      <c r="O459" s="4">
        <f t="shared" si="45"/>
        <v>0</v>
      </c>
    </row>
    <row r="460" spans="2:16" x14ac:dyDescent="0.15">
      <c r="B460" s="25" t="s">
        <v>217</v>
      </c>
      <c r="C460" s="14">
        <v>2</v>
      </c>
      <c r="D460" s="31">
        <v>4</v>
      </c>
      <c r="E460" s="15">
        <f t="shared" si="43"/>
        <v>6</v>
      </c>
      <c r="F460" s="61">
        <v>44170</v>
      </c>
      <c r="G460" s="13"/>
      <c r="H460" s="2"/>
      <c r="I460" s="33"/>
      <c r="J460" s="4">
        <f t="shared" si="44"/>
        <v>0</v>
      </c>
      <c r="L460" s="13"/>
      <c r="M460" s="2"/>
      <c r="N460" s="33"/>
      <c r="O460" s="4">
        <f t="shared" si="45"/>
        <v>0</v>
      </c>
    </row>
    <row r="461" spans="2:16" x14ac:dyDescent="0.15">
      <c r="B461" s="25" t="s">
        <v>46</v>
      </c>
      <c r="C461" s="2">
        <v>5</v>
      </c>
      <c r="D461" s="33">
        <v>2</v>
      </c>
      <c r="E461" s="4">
        <f t="shared" si="43"/>
        <v>7</v>
      </c>
      <c r="F461" s="61">
        <v>44169</v>
      </c>
      <c r="G461" s="13"/>
      <c r="H461" s="2"/>
      <c r="I461" s="33"/>
      <c r="J461" s="4">
        <f t="shared" si="44"/>
        <v>0</v>
      </c>
      <c r="L461" s="13"/>
      <c r="M461" s="2"/>
      <c r="N461" s="33"/>
      <c r="O461" s="4">
        <f t="shared" si="45"/>
        <v>0</v>
      </c>
    </row>
    <row r="462" spans="2:16" x14ac:dyDescent="0.15">
      <c r="B462" s="25" t="s">
        <v>218</v>
      </c>
      <c r="C462" s="14">
        <v>3</v>
      </c>
      <c r="D462" s="31">
        <v>4</v>
      </c>
      <c r="E462" s="15">
        <f t="shared" si="43"/>
        <v>7</v>
      </c>
      <c r="F462" s="61">
        <v>44173</v>
      </c>
      <c r="G462" s="13"/>
      <c r="H462" s="2"/>
      <c r="I462" s="33"/>
      <c r="J462" s="4">
        <f t="shared" si="44"/>
        <v>0</v>
      </c>
      <c r="L462" s="13"/>
      <c r="M462" s="2"/>
      <c r="N462" s="33"/>
      <c r="O462" s="4">
        <f t="shared" si="45"/>
        <v>0</v>
      </c>
    </row>
    <row r="463" spans="2:16" x14ac:dyDescent="0.15">
      <c r="B463" s="25" t="s">
        <v>219</v>
      </c>
      <c r="C463" s="14">
        <v>50</v>
      </c>
      <c r="D463" s="31">
        <v>100</v>
      </c>
      <c r="E463" s="15">
        <f t="shared" si="43"/>
        <v>150</v>
      </c>
      <c r="F463" s="61">
        <v>44180</v>
      </c>
      <c r="G463" s="13"/>
      <c r="H463" s="2"/>
      <c r="I463" s="33"/>
      <c r="J463" s="4">
        <f t="shared" si="44"/>
        <v>0</v>
      </c>
      <c r="L463" s="13"/>
      <c r="M463" s="2"/>
      <c r="N463" s="33"/>
      <c r="O463" s="4">
        <f t="shared" si="45"/>
        <v>0</v>
      </c>
    </row>
    <row r="464" spans="2:16" x14ac:dyDescent="0.15">
      <c r="B464" s="25" t="s">
        <v>46</v>
      </c>
      <c r="C464" s="2">
        <v>13</v>
      </c>
      <c r="D464" s="33">
        <v>9</v>
      </c>
      <c r="E464" s="4">
        <f t="shared" si="43"/>
        <v>22</v>
      </c>
      <c r="F464" s="61">
        <v>44172</v>
      </c>
      <c r="G464" s="13"/>
      <c r="H464" s="2"/>
      <c r="I464" s="33"/>
      <c r="J464" s="4">
        <f t="shared" si="44"/>
        <v>0</v>
      </c>
      <c r="L464" s="13"/>
      <c r="M464" s="2"/>
      <c r="N464" s="33"/>
      <c r="O464" s="4">
        <f t="shared" si="45"/>
        <v>0</v>
      </c>
    </row>
    <row r="465" spans="2:15" x14ac:dyDescent="0.15">
      <c r="B465" s="25" t="s">
        <v>46</v>
      </c>
      <c r="C465" s="14">
        <v>1</v>
      </c>
      <c r="D465" s="31">
        <v>1</v>
      </c>
      <c r="E465" s="15">
        <f>C465+D465</f>
        <v>2</v>
      </c>
      <c r="F465" s="61">
        <v>44173</v>
      </c>
      <c r="G465" s="25"/>
      <c r="H465" s="2"/>
      <c r="I465" s="33"/>
      <c r="J465" s="4">
        <f t="shared" si="44"/>
        <v>0</v>
      </c>
      <c r="L465" s="25"/>
      <c r="M465" s="2"/>
      <c r="N465" s="33"/>
      <c r="O465" s="4">
        <f t="shared" si="45"/>
        <v>0</v>
      </c>
    </row>
    <row r="466" spans="2:15" x14ac:dyDescent="0.15">
      <c r="B466" s="82" t="s">
        <v>221</v>
      </c>
      <c r="C466" s="14">
        <v>250</v>
      </c>
      <c r="D466" s="31">
        <v>50</v>
      </c>
      <c r="E466" s="15">
        <f>C466+D466</f>
        <v>300</v>
      </c>
      <c r="F466" s="61">
        <v>44176</v>
      </c>
      <c r="G466" s="25"/>
      <c r="H466" s="2"/>
      <c r="I466" s="33"/>
      <c r="J466" s="4">
        <f t="shared" si="44"/>
        <v>0</v>
      </c>
      <c r="L466" s="25"/>
      <c r="M466" s="2"/>
      <c r="N466" s="33"/>
      <c r="O466" s="4">
        <f t="shared" si="45"/>
        <v>0</v>
      </c>
    </row>
    <row r="467" spans="2:15" x14ac:dyDescent="0.15">
      <c r="B467" s="83" t="s">
        <v>222</v>
      </c>
      <c r="C467" s="14">
        <v>150</v>
      </c>
      <c r="D467" s="31">
        <v>150</v>
      </c>
      <c r="E467" s="15">
        <f>C467+D467</f>
        <v>300</v>
      </c>
      <c r="F467" s="61">
        <v>44176</v>
      </c>
      <c r="G467" s="25"/>
      <c r="H467" s="2"/>
      <c r="I467" s="33"/>
      <c r="J467" s="4">
        <f t="shared" si="44"/>
        <v>0</v>
      </c>
      <c r="L467" s="25"/>
      <c r="M467" s="2"/>
      <c r="N467" s="33"/>
      <c r="O467" s="4">
        <f t="shared" si="45"/>
        <v>0</v>
      </c>
    </row>
    <row r="468" spans="2:15" x14ac:dyDescent="0.15">
      <c r="B468" s="25" t="s">
        <v>223</v>
      </c>
      <c r="C468" s="14">
        <v>45</v>
      </c>
      <c r="D468" s="31">
        <v>6</v>
      </c>
      <c r="E468" s="15">
        <f t="shared" si="43"/>
        <v>51</v>
      </c>
      <c r="F468" s="61">
        <v>44179</v>
      </c>
      <c r="G468" s="25"/>
      <c r="H468" s="2"/>
      <c r="I468" s="33"/>
      <c r="J468" s="4">
        <f t="shared" si="44"/>
        <v>0</v>
      </c>
      <c r="L468" s="25"/>
      <c r="M468" s="2"/>
      <c r="N468" s="33"/>
      <c r="O468" s="4">
        <f t="shared" si="45"/>
        <v>0</v>
      </c>
    </row>
    <row r="469" spans="2:15" x14ac:dyDescent="0.15">
      <c r="B469" s="25" t="s">
        <v>46</v>
      </c>
      <c r="C469" s="2">
        <v>1</v>
      </c>
      <c r="D469" s="33">
        <v>3</v>
      </c>
      <c r="E469" s="4">
        <f t="shared" si="43"/>
        <v>4</v>
      </c>
      <c r="F469" s="61">
        <v>44174</v>
      </c>
      <c r="G469" s="13"/>
      <c r="H469" s="2"/>
      <c r="I469" s="33"/>
      <c r="J469" s="4">
        <f t="shared" si="44"/>
        <v>0</v>
      </c>
      <c r="L469" s="13"/>
      <c r="M469" s="2"/>
      <c r="N469" s="33"/>
      <c r="O469" s="4">
        <f t="shared" si="45"/>
        <v>0</v>
      </c>
    </row>
    <row r="470" spans="2:15" x14ac:dyDescent="0.15">
      <c r="B470" s="25" t="s">
        <v>224</v>
      </c>
      <c r="C470" s="14"/>
      <c r="D470" s="31">
        <v>1</v>
      </c>
      <c r="E470" s="15">
        <f t="shared" si="43"/>
        <v>1</v>
      </c>
      <c r="F470" s="61">
        <v>44176</v>
      </c>
      <c r="G470" s="25"/>
      <c r="H470" s="2"/>
      <c r="I470" s="33"/>
      <c r="J470" s="4">
        <f t="shared" si="44"/>
        <v>0</v>
      </c>
      <c r="L470" s="25"/>
      <c r="M470" s="2"/>
      <c r="N470" s="33"/>
      <c r="O470" s="4">
        <f t="shared" si="45"/>
        <v>0</v>
      </c>
    </row>
    <row r="471" spans="2:15" x14ac:dyDescent="0.15">
      <c r="B471" s="5" t="s">
        <v>225</v>
      </c>
      <c r="C471" s="14">
        <v>60</v>
      </c>
      <c r="D471" s="31"/>
      <c r="E471" s="15">
        <f t="shared" ref="E471:E476" si="46">C471+D471</f>
        <v>60</v>
      </c>
      <c r="F471" s="61">
        <v>44179</v>
      </c>
      <c r="G471" s="25"/>
      <c r="H471" s="14"/>
      <c r="I471" s="31"/>
      <c r="J471" s="15">
        <f t="shared" si="44"/>
        <v>0</v>
      </c>
      <c r="L471" s="25"/>
      <c r="M471" s="14"/>
      <c r="N471" s="31"/>
      <c r="O471" s="15">
        <f t="shared" si="45"/>
        <v>0</v>
      </c>
    </row>
    <row r="472" spans="2:15" x14ac:dyDescent="0.15">
      <c r="B472" s="25" t="s">
        <v>46</v>
      </c>
      <c r="C472" s="14">
        <v>3</v>
      </c>
      <c r="D472" s="31">
        <v>2</v>
      </c>
      <c r="E472" s="15">
        <f t="shared" si="46"/>
        <v>5</v>
      </c>
      <c r="F472" s="61">
        <v>44175</v>
      </c>
      <c r="G472" s="25"/>
      <c r="H472" s="14"/>
      <c r="I472" s="31"/>
      <c r="J472" s="15">
        <f t="shared" si="44"/>
        <v>0</v>
      </c>
      <c r="L472" s="25"/>
      <c r="M472" s="14"/>
      <c r="N472" s="31"/>
      <c r="O472" s="15">
        <f t="shared" si="45"/>
        <v>0</v>
      </c>
    </row>
    <row r="473" spans="2:15" x14ac:dyDescent="0.15">
      <c r="B473" s="25" t="s">
        <v>46</v>
      </c>
      <c r="C473" s="14">
        <v>3</v>
      </c>
      <c r="D473" s="31">
        <v>4</v>
      </c>
      <c r="E473" s="15">
        <f>C473+D473</f>
        <v>7</v>
      </c>
      <c r="F473" s="61">
        <v>44176</v>
      </c>
      <c r="G473" s="13"/>
      <c r="H473" s="2"/>
      <c r="I473" s="33"/>
      <c r="J473" s="15">
        <f t="shared" si="44"/>
        <v>0</v>
      </c>
      <c r="L473" s="13"/>
      <c r="M473" s="2"/>
      <c r="N473" s="33"/>
      <c r="O473" s="15">
        <f t="shared" si="45"/>
        <v>0</v>
      </c>
    </row>
    <row r="474" spans="2:15" x14ac:dyDescent="0.15">
      <c r="B474" s="82" t="s">
        <v>227</v>
      </c>
      <c r="C474" s="14">
        <v>250</v>
      </c>
      <c r="D474" s="31">
        <v>100</v>
      </c>
      <c r="E474" s="15">
        <f>C474+D474</f>
        <v>350</v>
      </c>
      <c r="F474" s="61">
        <v>44182</v>
      </c>
      <c r="G474" s="74"/>
      <c r="H474" s="14"/>
      <c r="I474" s="31"/>
      <c r="J474" s="15">
        <f t="shared" si="44"/>
        <v>0</v>
      </c>
      <c r="L474" s="74"/>
      <c r="M474" s="14"/>
      <c r="N474" s="31"/>
      <c r="O474" s="15">
        <f>M474+N474</f>
        <v>0</v>
      </c>
    </row>
    <row r="475" spans="2:15" x14ac:dyDescent="0.15">
      <c r="B475" s="83" t="s">
        <v>228</v>
      </c>
      <c r="C475" s="14">
        <v>250</v>
      </c>
      <c r="D475" s="31">
        <v>250</v>
      </c>
      <c r="E475" s="15">
        <f t="shared" si="46"/>
        <v>500</v>
      </c>
      <c r="F475" s="61">
        <v>44182</v>
      </c>
      <c r="G475" s="74"/>
      <c r="H475" s="14"/>
      <c r="I475" s="31"/>
      <c r="J475" s="15">
        <f>H475+I475</f>
        <v>0</v>
      </c>
      <c r="L475" s="25"/>
      <c r="M475" s="14"/>
      <c r="N475" s="31"/>
      <c r="O475" s="15">
        <f>M475+N475</f>
        <v>0</v>
      </c>
    </row>
    <row r="476" spans="2:15" ht="14.25" thickBot="1" x14ac:dyDescent="0.2">
      <c r="B476" s="82"/>
      <c r="C476" s="14"/>
      <c r="D476" s="31"/>
      <c r="E476" s="15">
        <f t="shared" si="46"/>
        <v>0</v>
      </c>
      <c r="G476" s="25"/>
      <c r="H476" s="14"/>
      <c r="I476" s="31"/>
      <c r="J476" s="15">
        <f>H476+I476</f>
        <v>0</v>
      </c>
      <c r="K476" s="61"/>
      <c r="L476" s="66"/>
      <c r="M476" s="42"/>
      <c r="N476" s="43"/>
      <c r="O476" s="57">
        <f>M476+N476</f>
        <v>0</v>
      </c>
    </row>
    <row r="477" spans="2:15" ht="14.25" thickBot="1" x14ac:dyDescent="0.2">
      <c r="B477" s="8" t="s">
        <v>2</v>
      </c>
      <c r="C477" s="10">
        <f>SUM(C452:C476)</f>
        <v>1119</v>
      </c>
      <c r="D477" s="32">
        <f>SUM(D452:D476)</f>
        <v>731</v>
      </c>
      <c r="E477" s="11">
        <f t="shared" si="43"/>
        <v>1850</v>
      </c>
      <c r="G477" s="8" t="s">
        <v>2</v>
      </c>
      <c r="H477" s="10">
        <f>SUM(H452:H476)</f>
        <v>10</v>
      </c>
      <c r="I477" s="32">
        <f>SUM(I452:I476)</f>
        <v>100</v>
      </c>
      <c r="J477" s="11">
        <f t="shared" si="44"/>
        <v>110</v>
      </c>
      <c r="L477" s="8" t="s">
        <v>2</v>
      </c>
      <c r="M477" s="10">
        <f>SUM(M452:M476)</f>
        <v>2000</v>
      </c>
      <c r="N477" s="32">
        <f>SUM(N452:N476)</f>
        <v>1200</v>
      </c>
      <c r="O477" s="11">
        <f>M477+N477</f>
        <v>3200</v>
      </c>
    </row>
    <row r="478" spans="2:15" ht="14.25" thickBot="1" x14ac:dyDescent="0.2">
      <c r="B478" s="52" t="s">
        <v>3</v>
      </c>
      <c r="C478" s="53">
        <f>+C451-C477</f>
        <v>420</v>
      </c>
      <c r="D478" s="54">
        <f>+D451-D477</f>
        <v>302</v>
      </c>
      <c r="E478" s="55">
        <f t="shared" si="43"/>
        <v>722</v>
      </c>
      <c r="G478" s="52" t="s">
        <v>3</v>
      </c>
      <c r="H478" s="53">
        <f>+H451-H477</f>
        <v>890</v>
      </c>
      <c r="I478" s="54">
        <f>+I451-I477</f>
        <v>800</v>
      </c>
      <c r="J478" s="55">
        <f t="shared" si="44"/>
        <v>1690</v>
      </c>
      <c r="L478" s="52" t="s">
        <v>3</v>
      </c>
      <c r="M478" s="53">
        <f>+M451-M477</f>
        <v>0</v>
      </c>
      <c r="N478" s="54">
        <f>+N451-N477</f>
        <v>0</v>
      </c>
      <c r="O478" s="55">
        <f>M478+N478</f>
        <v>0</v>
      </c>
    </row>
    <row r="480" spans="2:15" ht="21" x14ac:dyDescent="0.2">
      <c r="B480" s="76" t="s">
        <v>150</v>
      </c>
      <c r="G480" s="75" t="s">
        <v>149</v>
      </c>
      <c r="L480" s="75" t="s">
        <v>151</v>
      </c>
    </row>
    <row r="481" spans="2:16" ht="18.75" x14ac:dyDescent="0.2">
      <c r="B481" s="3" t="s">
        <v>11</v>
      </c>
      <c r="E481" s="71"/>
      <c r="G481" s="3" t="s">
        <v>11</v>
      </c>
      <c r="L481" s="3" t="s">
        <v>11</v>
      </c>
    </row>
    <row r="482" spans="2:16" ht="14.25" thickBot="1" x14ac:dyDescent="0.2">
      <c r="G482" s="1"/>
      <c r="L482" s="1"/>
    </row>
    <row r="483" spans="2:16" ht="14.25" thickBot="1" x14ac:dyDescent="0.2">
      <c r="B483" s="7"/>
      <c r="C483" s="67"/>
      <c r="D483" s="68"/>
      <c r="E483" s="69"/>
      <c r="G483" s="7"/>
      <c r="H483" s="67"/>
      <c r="I483" s="68"/>
      <c r="J483" s="69"/>
      <c r="L483" s="7"/>
      <c r="M483" s="67"/>
      <c r="N483" s="68"/>
      <c r="O483" s="69"/>
    </row>
    <row r="484" spans="2:16" ht="14.25" thickBot="1" x14ac:dyDescent="0.2">
      <c r="B484" s="8"/>
      <c r="C484" s="40" t="s">
        <v>7</v>
      </c>
      <c r="D484" s="29" t="s">
        <v>9</v>
      </c>
      <c r="E484" s="9" t="s">
        <v>0</v>
      </c>
      <c r="G484" s="8"/>
      <c r="H484" s="40" t="s">
        <v>7</v>
      </c>
      <c r="I484" s="29" t="s">
        <v>9</v>
      </c>
      <c r="J484" s="9" t="s">
        <v>0</v>
      </c>
      <c r="L484" s="8"/>
      <c r="M484" s="40" t="s">
        <v>7</v>
      </c>
      <c r="N484" s="29" t="s">
        <v>9</v>
      </c>
      <c r="O484" s="9" t="s">
        <v>0</v>
      </c>
    </row>
    <row r="485" spans="2:16" x14ac:dyDescent="0.15">
      <c r="B485" s="16" t="s">
        <v>4</v>
      </c>
      <c r="C485" s="17">
        <f>C478</f>
        <v>420</v>
      </c>
      <c r="D485" s="35">
        <f>D478</f>
        <v>302</v>
      </c>
      <c r="E485" s="18">
        <f t="shared" ref="E485:E491" si="47">C485+D485</f>
        <v>722</v>
      </c>
      <c r="G485" s="16" t="s">
        <v>4</v>
      </c>
      <c r="H485" s="17">
        <f>H478</f>
        <v>890</v>
      </c>
      <c r="I485" s="35">
        <f>I478</f>
        <v>800</v>
      </c>
      <c r="J485" s="18">
        <f t="shared" ref="J485:J513" si="48">H485+I485</f>
        <v>1690</v>
      </c>
      <c r="L485" s="16" t="s">
        <v>4</v>
      </c>
      <c r="M485" s="17">
        <f>M478</f>
        <v>0</v>
      </c>
      <c r="N485" s="35">
        <f>N478</f>
        <v>0</v>
      </c>
      <c r="O485" s="18">
        <f t="shared" ref="O485:O518" si="49">M485+N485</f>
        <v>0</v>
      </c>
    </row>
    <row r="486" spans="2:16" x14ac:dyDescent="0.15">
      <c r="B486" s="25" t="s">
        <v>244</v>
      </c>
      <c r="C486" s="14">
        <v>1</v>
      </c>
      <c r="D486" s="31"/>
      <c r="E486" s="23">
        <f t="shared" si="47"/>
        <v>1</v>
      </c>
      <c r="F486" s="61">
        <v>44181</v>
      </c>
      <c r="G486" s="25" t="s">
        <v>5</v>
      </c>
      <c r="H486" s="14"/>
      <c r="I486" s="31"/>
      <c r="J486" s="23">
        <f t="shared" si="48"/>
        <v>0</v>
      </c>
      <c r="L486" s="25" t="s">
        <v>5</v>
      </c>
      <c r="M486" s="14"/>
      <c r="N486" s="31"/>
      <c r="O486" s="23">
        <f t="shared" si="49"/>
        <v>0</v>
      </c>
    </row>
    <row r="487" spans="2:16" x14ac:dyDescent="0.15">
      <c r="B487" s="26" t="s">
        <v>5</v>
      </c>
      <c r="C487" s="27">
        <v>200</v>
      </c>
      <c r="D487" s="36">
        <v>200</v>
      </c>
      <c r="E487" s="28">
        <f t="shared" si="47"/>
        <v>400</v>
      </c>
      <c r="F487" s="61">
        <v>44181</v>
      </c>
      <c r="G487" s="25" t="s">
        <v>5</v>
      </c>
      <c r="H487" s="27"/>
      <c r="I487" s="36"/>
      <c r="J487" s="28">
        <f t="shared" si="48"/>
        <v>0</v>
      </c>
      <c r="L487" s="25" t="s">
        <v>5</v>
      </c>
      <c r="M487" s="27"/>
      <c r="N487" s="36"/>
      <c r="O487" s="28">
        <f t="shared" si="49"/>
        <v>0</v>
      </c>
      <c r="P487" s="77"/>
    </row>
    <row r="488" spans="2:16" x14ac:dyDescent="0.15">
      <c r="B488" s="26" t="s">
        <v>5</v>
      </c>
      <c r="C488" s="14">
        <v>150</v>
      </c>
      <c r="D488" s="31"/>
      <c r="E488" s="15">
        <f t="shared" si="47"/>
        <v>150</v>
      </c>
      <c r="F488" s="61">
        <v>44182</v>
      </c>
      <c r="G488" s="25" t="s">
        <v>5</v>
      </c>
      <c r="H488" s="14"/>
      <c r="I488" s="31"/>
      <c r="J488" s="15">
        <f t="shared" si="48"/>
        <v>0</v>
      </c>
      <c r="K488" s="61"/>
      <c r="L488" s="25" t="s">
        <v>5</v>
      </c>
      <c r="M488" s="14"/>
      <c r="N488" s="31"/>
      <c r="O488" s="15">
        <f>M488+N488</f>
        <v>0</v>
      </c>
      <c r="P488" s="61"/>
    </row>
    <row r="489" spans="2:16" x14ac:dyDescent="0.15">
      <c r="B489" s="26" t="s">
        <v>5</v>
      </c>
      <c r="C489" s="27"/>
      <c r="D489" s="36"/>
      <c r="E489" s="28">
        <f t="shared" si="47"/>
        <v>0</v>
      </c>
      <c r="G489" s="25" t="s">
        <v>5</v>
      </c>
      <c r="H489" s="14"/>
      <c r="I489" s="31"/>
      <c r="J489" s="15">
        <f t="shared" si="48"/>
        <v>0</v>
      </c>
      <c r="K489" s="61"/>
      <c r="L489" s="25" t="s">
        <v>5</v>
      </c>
      <c r="M489" s="14"/>
      <c r="N489" s="31"/>
      <c r="O489" s="15">
        <f t="shared" si="49"/>
        <v>0</v>
      </c>
      <c r="P489" s="61"/>
    </row>
    <row r="490" spans="2:16" ht="14.25" thickBot="1" x14ac:dyDescent="0.2">
      <c r="B490" s="26" t="s">
        <v>5</v>
      </c>
      <c r="C490" s="14"/>
      <c r="D490" s="31"/>
      <c r="E490" s="15">
        <f t="shared" si="47"/>
        <v>0</v>
      </c>
      <c r="G490" s="25" t="s">
        <v>5</v>
      </c>
      <c r="H490" s="14"/>
      <c r="I490" s="31"/>
      <c r="J490" s="15">
        <f t="shared" si="48"/>
        <v>0</v>
      </c>
      <c r="L490" s="25" t="s">
        <v>5</v>
      </c>
      <c r="M490" s="14"/>
      <c r="N490" s="31"/>
      <c r="O490" s="15">
        <f t="shared" si="49"/>
        <v>0</v>
      </c>
      <c r="P490" s="61"/>
    </row>
    <row r="491" spans="2:16" ht="14.25" thickBot="1" x14ac:dyDescent="0.2">
      <c r="B491" s="8" t="s">
        <v>1</v>
      </c>
      <c r="C491" s="10">
        <f>SUM(C485:C490)</f>
        <v>771</v>
      </c>
      <c r="D491" s="32">
        <f>SUM(D485:D490)</f>
        <v>502</v>
      </c>
      <c r="E491" s="11">
        <f t="shared" si="47"/>
        <v>1273</v>
      </c>
      <c r="G491" s="8" t="s">
        <v>1</v>
      </c>
      <c r="H491" s="10">
        <f>SUM(H485:H490)</f>
        <v>890</v>
      </c>
      <c r="I491" s="32">
        <f>SUM(I485:I490)</f>
        <v>800</v>
      </c>
      <c r="J491" s="11">
        <f t="shared" si="48"/>
        <v>1690</v>
      </c>
      <c r="L491" s="8" t="s">
        <v>1</v>
      </c>
      <c r="M491" s="10">
        <f>SUM(M485:M490)</f>
        <v>0</v>
      </c>
      <c r="N491" s="32">
        <f>SUM(N485:N490)</f>
        <v>0</v>
      </c>
      <c r="O491" s="11">
        <f t="shared" si="49"/>
        <v>0</v>
      </c>
    </row>
    <row r="492" spans="2:16" x14ac:dyDescent="0.15">
      <c r="B492" s="25" t="s">
        <v>185</v>
      </c>
      <c r="C492" s="14">
        <v>100</v>
      </c>
      <c r="D492" s="31">
        <v>50</v>
      </c>
      <c r="E492" s="15">
        <f>C492+D492</f>
        <v>150</v>
      </c>
      <c r="F492" s="60" t="s">
        <v>186</v>
      </c>
      <c r="G492" s="13" t="s">
        <v>120</v>
      </c>
      <c r="H492" s="14">
        <v>200</v>
      </c>
      <c r="I492" s="31">
        <v>200</v>
      </c>
      <c r="J492" s="15">
        <f t="shared" si="48"/>
        <v>400</v>
      </c>
      <c r="K492" s="61">
        <v>44181</v>
      </c>
      <c r="L492" s="13"/>
      <c r="M492" s="14"/>
      <c r="N492" s="31"/>
      <c r="O492" s="15">
        <f t="shared" si="49"/>
        <v>0</v>
      </c>
    </row>
    <row r="493" spans="2:16" x14ac:dyDescent="0.15">
      <c r="B493" s="25" t="s">
        <v>192</v>
      </c>
      <c r="C493" s="14">
        <v>100</v>
      </c>
      <c r="D493" s="31">
        <v>50</v>
      </c>
      <c r="E493" s="15">
        <f>C493+D493</f>
        <v>150</v>
      </c>
      <c r="F493" s="60" t="s">
        <v>186</v>
      </c>
      <c r="G493" s="74" t="s">
        <v>241</v>
      </c>
      <c r="H493" s="14">
        <v>300</v>
      </c>
      <c r="I493" s="31"/>
      <c r="J493" s="15">
        <f t="shared" si="48"/>
        <v>300</v>
      </c>
      <c r="K493" s="61">
        <v>44184</v>
      </c>
      <c r="L493" s="13"/>
      <c r="M493" s="14"/>
      <c r="N493" s="31"/>
      <c r="O493" s="15">
        <f t="shared" si="49"/>
        <v>0</v>
      </c>
    </row>
    <row r="494" spans="2:16" x14ac:dyDescent="0.15">
      <c r="B494" s="25" t="s">
        <v>229</v>
      </c>
      <c r="C494" s="14">
        <v>30</v>
      </c>
      <c r="D494" s="31"/>
      <c r="E494" s="15">
        <f t="shared" ref="E494:E516" si="50">C494+D494</f>
        <v>30</v>
      </c>
      <c r="F494" s="61" t="s">
        <v>232</v>
      </c>
      <c r="G494" s="5"/>
      <c r="H494" s="14"/>
      <c r="I494" s="31"/>
      <c r="J494" s="15">
        <f t="shared" si="48"/>
        <v>0</v>
      </c>
      <c r="L494" s="5"/>
      <c r="M494" s="14"/>
      <c r="N494" s="31"/>
      <c r="O494" s="15">
        <f t="shared" si="49"/>
        <v>0</v>
      </c>
    </row>
    <row r="495" spans="2:16" x14ac:dyDescent="0.15">
      <c r="B495" s="25" t="s">
        <v>46</v>
      </c>
      <c r="C495" s="2">
        <v>9</v>
      </c>
      <c r="D495" s="33">
        <v>5</v>
      </c>
      <c r="E495" s="4">
        <f t="shared" si="50"/>
        <v>14</v>
      </c>
      <c r="F495" s="61">
        <v>44179</v>
      </c>
      <c r="G495" s="13"/>
      <c r="H495" s="14"/>
      <c r="I495" s="31"/>
      <c r="J495" s="15">
        <f t="shared" si="48"/>
        <v>0</v>
      </c>
      <c r="L495" s="13"/>
      <c r="M495" s="14"/>
      <c r="N495" s="31"/>
      <c r="O495" s="15">
        <f t="shared" si="49"/>
        <v>0</v>
      </c>
    </row>
    <row r="496" spans="2:16" x14ac:dyDescent="0.15">
      <c r="B496" s="13" t="s">
        <v>233</v>
      </c>
      <c r="C496" s="2"/>
      <c r="D496" s="33">
        <v>1</v>
      </c>
      <c r="E496" s="4">
        <f t="shared" si="50"/>
        <v>1</v>
      </c>
      <c r="F496" s="61">
        <v>44180</v>
      </c>
      <c r="G496" s="12"/>
      <c r="H496" s="2"/>
      <c r="I496" s="33"/>
      <c r="J496" s="4">
        <f t="shared" si="48"/>
        <v>0</v>
      </c>
      <c r="L496" s="12"/>
      <c r="M496" s="2"/>
      <c r="N496" s="33"/>
      <c r="O496" s="4">
        <f t="shared" si="49"/>
        <v>0</v>
      </c>
    </row>
    <row r="497" spans="2:15" x14ac:dyDescent="0.15">
      <c r="B497" s="82" t="s">
        <v>234</v>
      </c>
      <c r="C497" s="14">
        <v>150</v>
      </c>
      <c r="D497" s="31">
        <v>50</v>
      </c>
      <c r="E497" s="15">
        <f t="shared" si="50"/>
        <v>200</v>
      </c>
      <c r="F497" s="61">
        <v>44183</v>
      </c>
      <c r="G497" s="12"/>
      <c r="H497" s="14"/>
      <c r="I497" s="31"/>
      <c r="J497" s="15">
        <f t="shared" si="48"/>
        <v>0</v>
      </c>
      <c r="L497" s="12"/>
      <c r="M497" s="14"/>
      <c r="N497" s="31"/>
      <c r="O497" s="15">
        <f t="shared" si="49"/>
        <v>0</v>
      </c>
    </row>
    <row r="498" spans="2:15" x14ac:dyDescent="0.15">
      <c r="B498" s="83" t="s">
        <v>235</v>
      </c>
      <c r="C498" s="14">
        <v>150</v>
      </c>
      <c r="D498" s="31">
        <v>150</v>
      </c>
      <c r="E498" s="15">
        <f t="shared" si="50"/>
        <v>300</v>
      </c>
      <c r="F498" s="61">
        <v>44183</v>
      </c>
      <c r="G498" s="13"/>
      <c r="H498" s="2"/>
      <c r="I498" s="33"/>
      <c r="J498" s="4">
        <f t="shared" si="48"/>
        <v>0</v>
      </c>
      <c r="L498" s="13"/>
      <c r="M498" s="2"/>
      <c r="N498" s="33"/>
      <c r="O498" s="4">
        <f t="shared" si="49"/>
        <v>0</v>
      </c>
    </row>
    <row r="499" spans="2:15" x14ac:dyDescent="0.15">
      <c r="B499" s="25" t="s">
        <v>236</v>
      </c>
      <c r="C499" s="14">
        <v>5</v>
      </c>
      <c r="D499" s="31"/>
      <c r="E499" s="15">
        <f t="shared" si="50"/>
        <v>5</v>
      </c>
      <c r="F499" s="61">
        <v>44181</v>
      </c>
      <c r="G499" s="13"/>
      <c r="H499" s="2"/>
      <c r="I499" s="33"/>
      <c r="J499" s="4">
        <f t="shared" si="48"/>
        <v>0</v>
      </c>
      <c r="L499" s="13"/>
      <c r="M499" s="2"/>
      <c r="N499" s="33"/>
      <c r="O499" s="4">
        <f t="shared" si="49"/>
        <v>0</v>
      </c>
    </row>
    <row r="500" spans="2:15" x14ac:dyDescent="0.15">
      <c r="B500" s="5" t="s">
        <v>237</v>
      </c>
      <c r="C500" s="14"/>
      <c r="D500" s="31">
        <v>40</v>
      </c>
      <c r="E500" s="15">
        <f t="shared" si="50"/>
        <v>40</v>
      </c>
      <c r="F500" s="61">
        <v>44186</v>
      </c>
      <c r="G500" s="13"/>
      <c r="H500" s="2"/>
      <c r="I500" s="33"/>
      <c r="J500" s="4">
        <f t="shared" si="48"/>
        <v>0</v>
      </c>
      <c r="L500" s="13"/>
      <c r="M500" s="2"/>
      <c r="N500" s="33"/>
      <c r="O500" s="4">
        <f t="shared" si="49"/>
        <v>0</v>
      </c>
    </row>
    <row r="501" spans="2:15" x14ac:dyDescent="0.15">
      <c r="B501" s="13" t="s">
        <v>46</v>
      </c>
      <c r="C501" s="2">
        <v>1</v>
      </c>
      <c r="D501" s="33"/>
      <c r="E501" s="4">
        <f t="shared" si="50"/>
        <v>1</v>
      </c>
      <c r="F501" s="61">
        <v>44180</v>
      </c>
      <c r="G501" s="13"/>
      <c r="H501" s="2"/>
      <c r="I501" s="33"/>
      <c r="J501" s="4">
        <f t="shared" si="48"/>
        <v>0</v>
      </c>
      <c r="L501" s="13"/>
      <c r="M501" s="2"/>
      <c r="N501" s="33"/>
      <c r="O501" s="4">
        <f t="shared" si="49"/>
        <v>0</v>
      </c>
    </row>
    <row r="502" spans="2:15" x14ac:dyDescent="0.15">
      <c r="B502" s="25" t="s">
        <v>242</v>
      </c>
      <c r="C502" s="14">
        <v>1</v>
      </c>
      <c r="D502" s="31"/>
      <c r="E502" s="15">
        <f t="shared" si="50"/>
        <v>1</v>
      </c>
      <c r="F502" s="61">
        <v>44182</v>
      </c>
      <c r="G502" s="13"/>
      <c r="H502" s="2"/>
      <c r="I502" s="33"/>
      <c r="J502" s="4">
        <f t="shared" si="48"/>
        <v>0</v>
      </c>
      <c r="L502" s="13"/>
      <c r="M502" s="2"/>
      <c r="N502" s="33"/>
      <c r="O502" s="4">
        <f t="shared" si="49"/>
        <v>0</v>
      </c>
    </row>
    <row r="503" spans="2:15" x14ac:dyDescent="0.15">
      <c r="B503" s="25" t="s">
        <v>243</v>
      </c>
      <c r="C503" s="14">
        <v>12</v>
      </c>
      <c r="D503" s="31"/>
      <c r="E503" s="15">
        <f t="shared" si="50"/>
        <v>12</v>
      </c>
      <c r="F503" s="61">
        <v>44187</v>
      </c>
      <c r="G503" s="13"/>
      <c r="H503" s="2"/>
      <c r="I503" s="33"/>
      <c r="J503" s="4">
        <f t="shared" si="48"/>
        <v>0</v>
      </c>
      <c r="L503" s="13"/>
      <c r="M503" s="2"/>
      <c r="N503" s="33"/>
      <c r="O503" s="4">
        <f t="shared" si="49"/>
        <v>0</v>
      </c>
    </row>
    <row r="504" spans="2:15" x14ac:dyDescent="0.15">
      <c r="B504" s="13" t="s">
        <v>46</v>
      </c>
      <c r="C504" s="2">
        <v>2</v>
      </c>
      <c r="D504" s="33"/>
      <c r="E504" s="4">
        <f t="shared" si="50"/>
        <v>2</v>
      </c>
      <c r="F504" s="61">
        <v>44181</v>
      </c>
      <c r="G504" s="13"/>
      <c r="H504" s="2"/>
      <c r="I504" s="33"/>
      <c r="J504" s="4">
        <f t="shared" si="48"/>
        <v>0</v>
      </c>
      <c r="L504" s="13"/>
      <c r="M504" s="2"/>
      <c r="N504" s="33"/>
      <c r="O504" s="4">
        <f t="shared" si="49"/>
        <v>0</v>
      </c>
    </row>
    <row r="505" spans="2:15" x14ac:dyDescent="0.15">
      <c r="B505" s="25" t="s">
        <v>245</v>
      </c>
      <c r="C505" s="14">
        <v>1</v>
      </c>
      <c r="D505" s="31"/>
      <c r="E505" s="15">
        <f t="shared" si="50"/>
        <v>1</v>
      </c>
      <c r="F505" s="61">
        <v>44183</v>
      </c>
      <c r="G505" s="25"/>
      <c r="H505" s="2"/>
      <c r="I505" s="33"/>
      <c r="J505" s="4">
        <f t="shared" si="48"/>
        <v>0</v>
      </c>
      <c r="L505" s="25"/>
      <c r="M505" s="2"/>
      <c r="N505" s="33"/>
      <c r="O505" s="4">
        <f t="shared" si="49"/>
        <v>0</v>
      </c>
    </row>
    <row r="506" spans="2:15" x14ac:dyDescent="0.15">
      <c r="B506" s="13" t="s">
        <v>233</v>
      </c>
      <c r="C506" s="2">
        <v>1</v>
      </c>
      <c r="D506" s="33"/>
      <c r="E506" s="4">
        <f t="shared" si="50"/>
        <v>1</v>
      </c>
      <c r="F506" s="61">
        <v>44182</v>
      </c>
      <c r="G506" s="25"/>
      <c r="H506" s="2"/>
      <c r="I506" s="33"/>
      <c r="J506" s="4">
        <f t="shared" si="48"/>
        <v>0</v>
      </c>
      <c r="L506" s="25"/>
      <c r="M506" s="2"/>
      <c r="N506" s="33"/>
      <c r="O506" s="4">
        <f t="shared" si="49"/>
        <v>0</v>
      </c>
    </row>
    <row r="507" spans="2:15" x14ac:dyDescent="0.15">
      <c r="B507" s="13" t="s">
        <v>46</v>
      </c>
      <c r="C507" s="14">
        <v>4</v>
      </c>
      <c r="D507" s="31">
        <v>1</v>
      </c>
      <c r="E507" s="15">
        <f t="shared" si="50"/>
        <v>5</v>
      </c>
      <c r="F507" s="61">
        <v>44182</v>
      </c>
      <c r="G507" s="25"/>
      <c r="H507" s="2"/>
      <c r="I507" s="33"/>
      <c r="J507" s="4">
        <f t="shared" si="48"/>
        <v>0</v>
      </c>
      <c r="L507" s="25"/>
      <c r="M507" s="2"/>
      <c r="N507" s="33"/>
      <c r="O507" s="4">
        <f t="shared" si="49"/>
        <v>0</v>
      </c>
    </row>
    <row r="508" spans="2:15" x14ac:dyDescent="0.15">
      <c r="B508" s="25" t="s">
        <v>246</v>
      </c>
      <c r="C508" s="14">
        <v>1</v>
      </c>
      <c r="D508" s="31"/>
      <c r="E508" s="15">
        <f t="shared" si="50"/>
        <v>1</v>
      </c>
      <c r="F508" s="61">
        <v>44184</v>
      </c>
      <c r="G508" s="25"/>
      <c r="H508" s="2"/>
      <c r="I508" s="33"/>
      <c r="J508" s="4">
        <f t="shared" si="48"/>
        <v>0</v>
      </c>
      <c r="L508" s="25"/>
      <c r="M508" s="2"/>
      <c r="N508" s="33"/>
      <c r="O508" s="4">
        <f t="shared" si="49"/>
        <v>0</v>
      </c>
    </row>
    <row r="509" spans="2:15" x14ac:dyDescent="0.15">
      <c r="B509" s="82" t="s">
        <v>247</v>
      </c>
      <c r="C509" s="14">
        <v>100</v>
      </c>
      <c r="D509" s="31"/>
      <c r="E509" s="15">
        <f t="shared" si="50"/>
        <v>100</v>
      </c>
      <c r="F509" s="61">
        <v>44189</v>
      </c>
      <c r="G509" s="13"/>
      <c r="H509" s="2"/>
      <c r="I509" s="33"/>
      <c r="J509" s="4">
        <f t="shared" si="48"/>
        <v>0</v>
      </c>
      <c r="L509" s="13"/>
      <c r="M509" s="2"/>
      <c r="N509" s="33"/>
      <c r="O509" s="4">
        <f t="shared" si="49"/>
        <v>0</v>
      </c>
    </row>
    <row r="510" spans="2:15" x14ac:dyDescent="0.15">
      <c r="B510" s="13" t="s">
        <v>46</v>
      </c>
      <c r="C510" s="14"/>
      <c r="D510" s="31">
        <v>2</v>
      </c>
      <c r="E510" s="15">
        <f>C510+D510</f>
        <v>2</v>
      </c>
      <c r="F510" s="61">
        <v>44183</v>
      </c>
      <c r="G510" s="25"/>
      <c r="H510" s="2"/>
      <c r="I510" s="33"/>
      <c r="J510" s="4">
        <f t="shared" si="48"/>
        <v>0</v>
      </c>
      <c r="L510" s="25"/>
      <c r="M510" s="2"/>
      <c r="N510" s="33"/>
      <c r="O510" s="4">
        <f t="shared" si="49"/>
        <v>0</v>
      </c>
    </row>
    <row r="511" spans="2:15" x14ac:dyDescent="0.15">
      <c r="B511" s="25" t="s">
        <v>252</v>
      </c>
      <c r="C511" s="14">
        <v>1</v>
      </c>
      <c r="D511" s="31"/>
      <c r="E511" s="15">
        <f t="shared" si="50"/>
        <v>1</v>
      </c>
      <c r="F511" s="61">
        <v>44183</v>
      </c>
      <c r="G511" s="25"/>
      <c r="H511" s="14"/>
      <c r="I511" s="31"/>
      <c r="J511" s="15">
        <f t="shared" si="48"/>
        <v>0</v>
      </c>
      <c r="L511" s="25"/>
      <c r="M511" s="14"/>
      <c r="N511" s="31"/>
      <c r="O511" s="15">
        <f t="shared" si="49"/>
        <v>0</v>
      </c>
    </row>
    <row r="512" spans="2:15" x14ac:dyDescent="0.15">
      <c r="B512" s="13" t="s">
        <v>46</v>
      </c>
      <c r="C512" s="14">
        <v>14</v>
      </c>
      <c r="D512" s="31">
        <v>9</v>
      </c>
      <c r="E512" s="15">
        <f t="shared" si="50"/>
        <v>23</v>
      </c>
      <c r="F512" s="61">
        <v>44186</v>
      </c>
      <c r="G512" s="25"/>
      <c r="H512" s="14"/>
      <c r="I512" s="31"/>
      <c r="J512" s="15">
        <f t="shared" si="48"/>
        <v>0</v>
      </c>
      <c r="L512" s="25"/>
      <c r="M512" s="14"/>
      <c r="N512" s="31"/>
      <c r="O512" s="15">
        <f t="shared" si="49"/>
        <v>0</v>
      </c>
    </row>
    <row r="513" spans="2:16" x14ac:dyDescent="0.15">
      <c r="B513" s="25" t="s">
        <v>256</v>
      </c>
      <c r="C513" s="14">
        <v>2</v>
      </c>
      <c r="D513" s="31"/>
      <c r="E513" s="15">
        <f t="shared" si="50"/>
        <v>2</v>
      </c>
      <c r="F513" s="61">
        <v>44188</v>
      </c>
      <c r="G513" s="13"/>
      <c r="H513" s="2"/>
      <c r="I513" s="33"/>
      <c r="J513" s="15">
        <f t="shared" si="48"/>
        <v>0</v>
      </c>
      <c r="L513" s="13"/>
      <c r="M513" s="2"/>
      <c r="N513" s="33"/>
      <c r="O513" s="15">
        <f t="shared" si="49"/>
        <v>0</v>
      </c>
    </row>
    <row r="514" spans="2:16" x14ac:dyDescent="0.15">
      <c r="B514" s="25" t="s">
        <v>258</v>
      </c>
      <c r="C514" s="14">
        <v>1</v>
      </c>
      <c r="D514" s="31">
        <v>1</v>
      </c>
      <c r="E514" s="15">
        <f>C514+D514</f>
        <v>2</v>
      </c>
      <c r="F514" s="61">
        <v>44187</v>
      </c>
      <c r="G514" s="13"/>
      <c r="H514" s="2"/>
      <c r="I514" s="33"/>
      <c r="J514" s="15">
        <f>H514+I514</f>
        <v>0</v>
      </c>
      <c r="L514" s="74"/>
      <c r="M514" s="14"/>
      <c r="N514" s="31"/>
      <c r="O514" s="15">
        <f t="shared" si="49"/>
        <v>0</v>
      </c>
    </row>
    <row r="515" spans="2:16" x14ac:dyDescent="0.15">
      <c r="B515" s="25" t="s">
        <v>259</v>
      </c>
      <c r="C515" s="14">
        <v>1</v>
      </c>
      <c r="D515" s="31"/>
      <c r="E515" s="15">
        <f t="shared" si="50"/>
        <v>1</v>
      </c>
      <c r="F515" s="61">
        <v>44189</v>
      </c>
      <c r="G515" s="74"/>
      <c r="H515" s="14"/>
      <c r="I515" s="31"/>
      <c r="J515" s="15">
        <f>H515+I515</f>
        <v>0</v>
      </c>
      <c r="L515" s="25"/>
      <c r="M515" s="14"/>
      <c r="N515" s="31"/>
      <c r="O515" s="15">
        <f t="shared" si="49"/>
        <v>0</v>
      </c>
    </row>
    <row r="516" spans="2:16" ht="14.25" thickBot="1" x14ac:dyDescent="0.2">
      <c r="B516" s="13" t="s">
        <v>46</v>
      </c>
      <c r="C516" s="14"/>
      <c r="D516" s="31">
        <v>3</v>
      </c>
      <c r="E516" s="15">
        <f t="shared" si="50"/>
        <v>3</v>
      </c>
      <c r="F516" s="61">
        <v>44188</v>
      </c>
      <c r="G516" s="74" t="s">
        <v>71</v>
      </c>
      <c r="H516" s="14"/>
      <c r="I516" s="31"/>
      <c r="J516" s="15">
        <f>H516+I516</f>
        <v>0</v>
      </c>
      <c r="K516" s="60" t="s">
        <v>106</v>
      </c>
      <c r="L516" s="66"/>
      <c r="M516" s="48"/>
      <c r="N516" s="49"/>
      <c r="O516" s="50">
        <f t="shared" si="49"/>
        <v>0</v>
      </c>
    </row>
    <row r="517" spans="2:16" ht="14.25" thickBot="1" x14ac:dyDescent="0.2">
      <c r="B517" s="8" t="s">
        <v>2</v>
      </c>
      <c r="C517" s="10">
        <f>SUM(C492:C516)</f>
        <v>686</v>
      </c>
      <c r="D517" s="32">
        <f>SUM(D492:D516)</f>
        <v>362</v>
      </c>
      <c r="E517" s="11">
        <f>C517+D517</f>
        <v>1048</v>
      </c>
      <c r="G517" s="8" t="s">
        <v>2</v>
      </c>
      <c r="H517" s="10">
        <f>SUM(H492:H516)</f>
        <v>500</v>
      </c>
      <c r="I517" s="32">
        <f>SUM(I492:I516)</f>
        <v>200</v>
      </c>
      <c r="J517" s="11">
        <f>H517+I517</f>
        <v>700</v>
      </c>
      <c r="L517" s="8" t="s">
        <v>2</v>
      </c>
      <c r="M517" s="10">
        <f>SUM(M492:M516)</f>
        <v>0</v>
      </c>
      <c r="N517" s="32">
        <f>SUM(N492:N516)</f>
        <v>0</v>
      </c>
      <c r="O517" s="11">
        <f t="shared" si="49"/>
        <v>0</v>
      </c>
    </row>
    <row r="518" spans="2:16" ht="14.25" thickBot="1" x14ac:dyDescent="0.2">
      <c r="B518" s="52" t="s">
        <v>3</v>
      </c>
      <c r="C518" s="53">
        <f>+C491-C517</f>
        <v>85</v>
      </c>
      <c r="D518" s="54">
        <f>+D491-D517</f>
        <v>140</v>
      </c>
      <c r="E518" s="55">
        <f>C518+D518</f>
        <v>225</v>
      </c>
      <c r="G518" s="52" t="s">
        <v>3</v>
      </c>
      <c r="H518" s="53">
        <f>+H491-H517</f>
        <v>390</v>
      </c>
      <c r="I518" s="54">
        <f>+I491-I517</f>
        <v>600</v>
      </c>
      <c r="J518" s="55">
        <f>H518+I518</f>
        <v>990</v>
      </c>
      <c r="L518" s="52" t="s">
        <v>3</v>
      </c>
      <c r="M518" s="53">
        <f>+M491-M517</f>
        <v>0</v>
      </c>
      <c r="N518" s="54">
        <f>+N491-N517</f>
        <v>0</v>
      </c>
      <c r="O518" s="55">
        <f t="shared" si="49"/>
        <v>0</v>
      </c>
    </row>
    <row r="520" spans="2:16" ht="21" x14ac:dyDescent="0.2">
      <c r="B520" s="76" t="s">
        <v>150</v>
      </c>
      <c r="G520" s="75" t="s">
        <v>149</v>
      </c>
      <c r="L520" s="75" t="s">
        <v>151</v>
      </c>
    </row>
    <row r="521" spans="2:16" ht="18.75" x14ac:dyDescent="0.2">
      <c r="B521" s="3" t="s">
        <v>11</v>
      </c>
      <c r="E521" s="71"/>
      <c r="G521" s="3" t="s">
        <v>11</v>
      </c>
      <c r="L521" s="3" t="s">
        <v>11</v>
      </c>
    </row>
    <row r="522" spans="2:16" ht="14.25" thickBot="1" x14ac:dyDescent="0.2">
      <c r="G522" s="1"/>
      <c r="L522" s="1"/>
    </row>
    <row r="523" spans="2:16" ht="14.25" thickBot="1" x14ac:dyDescent="0.2">
      <c r="B523" s="7"/>
      <c r="C523" s="67"/>
      <c r="D523" s="68"/>
      <c r="E523" s="69"/>
      <c r="G523" s="7"/>
      <c r="H523" s="67"/>
      <c r="I523" s="68"/>
      <c r="J523" s="69"/>
      <c r="L523" s="7"/>
      <c r="M523" s="67"/>
      <c r="N523" s="68"/>
      <c r="O523" s="69"/>
    </row>
    <row r="524" spans="2:16" ht="14.25" thickBot="1" x14ac:dyDescent="0.2">
      <c r="B524" s="8"/>
      <c r="C524" s="40" t="s">
        <v>7</v>
      </c>
      <c r="D524" s="29" t="s">
        <v>9</v>
      </c>
      <c r="E524" s="9" t="s">
        <v>0</v>
      </c>
      <c r="G524" s="8"/>
      <c r="H524" s="40" t="s">
        <v>7</v>
      </c>
      <c r="I524" s="29" t="s">
        <v>9</v>
      </c>
      <c r="J524" s="9" t="s">
        <v>0</v>
      </c>
      <c r="L524" s="8"/>
      <c r="M524" s="40" t="s">
        <v>7</v>
      </c>
      <c r="N524" s="29" t="s">
        <v>9</v>
      </c>
      <c r="O524" s="9" t="s">
        <v>0</v>
      </c>
    </row>
    <row r="525" spans="2:16" x14ac:dyDescent="0.15">
      <c r="B525" s="16" t="s">
        <v>4</v>
      </c>
      <c r="C525" s="17">
        <f>C518</f>
        <v>85</v>
      </c>
      <c r="D525" s="35">
        <f>D518</f>
        <v>140</v>
      </c>
      <c r="E525" s="18">
        <f t="shared" ref="E525:E531" si="51">C525+D525</f>
        <v>225</v>
      </c>
      <c r="G525" s="16" t="s">
        <v>4</v>
      </c>
      <c r="H525" s="17">
        <f>H518</f>
        <v>390</v>
      </c>
      <c r="I525" s="35">
        <f>I518</f>
        <v>600</v>
      </c>
      <c r="J525" s="18">
        <f t="shared" ref="J525:J553" si="52">H525+I525</f>
        <v>990</v>
      </c>
      <c r="L525" s="16" t="s">
        <v>4</v>
      </c>
      <c r="M525" s="17">
        <f>M518</f>
        <v>0</v>
      </c>
      <c r="N525" s="35">
        <f>N518</f>
        <v>0</v>
      </c>
      <c r="O525" s="18">
        <f t="shared" ref="O525:O558" si="53">M525+N525</f>
        <v>0</v>
      </c>
    </row>
    <row r="526" spans="2:16" x14ac:dyDescent="0.15">
      <c r="B526" s="13" t="s">
        <v>260</v>
      </c>
      <c r="C526" s="14">
        <v>1</v>
      </c>
      <c r="D526" s="31">
        <v>1</v>
      </c>
      <c r="E526" s="23">
        <f t="shared" si="51"/>
        <v>2</v>
      </c>
      <c r="F526" s="61">
        <v>44188</v>
      </c>
      <c r="G526" s="25" t="s">
        <v>5</v>
      </c>
      <c r="H526" s="14">
        <v>700</v>
      </c>
      <c r="I526" s="31"/>
      <c r="J526" s="23">
        <f t="shared" si="52"/>
        <v>700</v>
      </c>
      <c r="K526" s="61">
        <v>44187</v>
      </c>
      <c r="L526" s="25" t="s">
        <v>5</v>
      </c>
      <c r="M526" s="14"/>
      <c r="N526" s="31"/>
      <c r="O526" s="23">
        <f t="shared" si="53"/>
        <v>0</v>
      </c>
    </row>
    <row r="527" spans="2:16" x14ac:dyDescent="0.15">
      <c r="B527" s="26" t="s">
        <v>275</v>
      </c>
      <c r="C527" s="27">
        <v>1</v>
      </c>
      <c r="D527" s="36"/>
      <c r="E527" s="28">
        <f t="shared" si="51"/>
        <v>1</v>
      </c>
      <c r="F527" s="61">
        <v>44209</v>
      </c>
      <c r="G527" s="25" t="s">
        <v>5</v>
      </c>
      <c r="H527" s="27">
        <v>650</v>
      </c>
      <c r="I527" s="36"/>
      <c r="J527" s="28">
        <f t="shared" si="52"/>
        <v>650</v>
      </c>
      <c r="K527" s="61">
        <v>44189</v>
      </c>
      <c r="L527" s="25" t="s">
        <v>5</v>
      </c>
      <c r="M527" s="27"/>
      <c r="N527" s="36"/>
      <c r="O527" s="28">
        <f t="shared" si="53"/>
        <v>0</v>
      </c>
      <c r="P527" s="77"/>
    </row>
    <row r="528" spans="2:16" x14ac:dyDescent="0.15">
      <c r="B528" s="26" t="s">
        <v>5</v>
      </c>
      <c r="C528" s="27"/>
      <c r="D528" s="36"/>
      <c r="E528" s="28">
        <f t="shared" si="51"/>
        <v>0</v>
      </c>
      <c r="G528" s="25" t="s">
        <v>5</v>
      </c>
      <c r="H528" s="14">
        <v>650</v>
      </c>
      <c r="I528" s="31"/>
      <c r="J528" s="15">
        <f t="shared" si="52"/>
        <v>650</v>
      </c>
      <c r="K528" s="61">
        <v>44193</v>
      </c>
      <c r="L528" s="25" t="s">
        <v>5</v>
      </c>
      <c r="M528" s="14">
        <v>1800</v>
      </c>
      <c r="N528" s="31"/>
      <c r="O528" s="15">
        <f t="shared" si="53"/>
        <v>1800</v>
      </c>
      <c r="P528" s="61">
        <v>44190</v>
      </c>
    </row>
    <row r="529" spans="2:16" x14ac:dyDescent="0.15">
      <c r="B529" s="26" t="s">
        <v>5</v>
      </c>
      <c r="C529" s="27"/>
      <c r="D529" s="36"/>
      <c r="E529" s="28">
        <f t="shared" si="51"/>
        <v>0</v>
      </c>
      <c r="G529" s="25" t="s">
        <v>5</v>
      </c>
      <c r="H529" s="14"/>
      <c r="I529" s="31"/>
      <c r="J529" s="15">
        <f t="shared" si="52"/>
        <v>0</v>
      </c>
      <c r="K529" s="61"/>
      <c r="L529" s="25" t="s">
        <v>5</v>
      </c>
      <c r="M529" s="14">
        <v>200</v>
      </c>
      <c r="N529" s="31"/>
      <c r="O529" s="15">
        <f t="shared" si="53"/>
        <v>200</v>
      </c>
      <c r="P529" s="61">
        <v>44193</v>
      </c>
    </row>
    <row r="530" spans="2:16" ht="14.25" thickBot="1" x14ac:dyDescent="0.2">
      <c r="B530" s="26" t="s">
        <v>5</v>
      </c>
      <c r="C530" s="14"/>
      <c r="D530" s="31"/>
      <c r="E530" s="15">
        <f t="shared" si="51"/>
        <v>0</v>
      </c>
      <c r="G530" s="25" t="s">
        <v>5</v>
      </c>
      <c r="H530" s="14"/>
      <c r="I530" s="31"/>
      <c r="J530" s="15">
        <f t="shared" si="52"/>
        <v>0</v>
      </c>
      <c r="L530" s="25" t="s">
        <v>5</v>
      </c>
      <c r="M530" s="14"/>
      <c r="N530" s="31"/>
      <c r="O530" s="15">
        <f t="shared" si="53"/>
        <v>0</v>
      </c>
      <c r="P530" s="61"/>
    </row>
    <row r="531" spans="2:16" ht="14.25" thickBot="1" x14ac:dyDescent="0.2">
      <c r="B531" s="8" t="s">
        <v>1</v>
      </c>
      <c r="C531" s="10">
        <f>SUM(C525:C530)</f>
        <v>87</v>
      </c>
      <c r="D531" s="32">
        <f>SUM(D525:D530)</f>
        <v>141</v>
      </c>
      <c r="E531" s="11">
        <f t="shared" si="51"/>
        <v>228</v>
      </c>
      <c r="G531" s="8" t="s">
        <v>1</v>
      </c>
      <c r="H531" s="10">
        <f>SUM(H525:H530)</f>
        <v>2390</v>
      </c>
      <c r="I531" s="32">
        <f>SUM(I525:I530)</f>
        <v>600</v>
      </c>
      <c r="J531" s="11">
        <f t="shared" si="52"/>
        <v>2990</v>
      </c>
      <c r="L531" s="8" t="s">
        <v>1</v>
      </c>
      <c r="M531" s="10">
        <f>SUM(M525:M530)</f>
        <v>2000</v>
      </c>
      <c r="N531" s="32">
        <f>SUM(N525:N530)</f>
        <v>0</v>
      </c>
      <c r="O531" s="11">
        <f t="shared" si="53"/>
        <v>2000</v>
      </c>
    </row>
    <row r="532" spans="2:16" x14ac:dyDescent="0.15">
      <c r="B532" s="82" t="s">
        <v>257</v>
      </c>
      <c r="C532" s="14"/>
      <c r="D532" s="31">
        <v>50</v>
      </c>
      <c r="E532" s="15">
        <f>C532+D532</f>
        <v>50</v>
      </c>
      <c r="F532" s="61">
        <v>43837</v>
      </c>
      <c r="G532" s="13" t="s">
        <v>248</v>
      </c>
      <c r="H532" s="14">
        <v>200</v>
      </c>
      <c r="I532" s="31">
        <v>200</v>
      </c>
      <c r="J532" s="15">
        <f t="shared" si="52"/>
        <v>400</v>
      </c>
      <c r="K532" s="61">
        <v>44189</v>
      </c>
      <c r="L532" s="13" t="s">
        <v>120</v>
      </c>
      <c r="M532" s="14">
        <v>700</v>
      </c>
      <c r="N532" s="31"/>
      <c r="O532" s="15">
        <f t="shared" si="53"/>
        <v>700</v>
      </c>
      <c r="P532" s="77">
        <v>44187</v>
      </c>
    </row>
    <row r="533" spans="2:16" x14ac:dyDescent="0.15">
      <c r="B533" s="13" t="s">
        <v>262</v>
      </c>
      <c r="C533" s="14">
        <v>20</v>
      </c>
      <c r="D533" s="31">
        <v>30</v>
      </c>
      <c r="E533" s="15">
        <f t="shared" ref="E533:E553" si="54">C533+D533</f>
        <v>50</v>
      </c>
      <c r="F533" s="61">
        <v>43837</v>
      </c>
      <c r="G533" s="13" t="s">
        <v>261</v>
      </c>
      <c r="H533" s="14">
        <v>500</v>
      </c>
      <c r="I533" s="31">
        <v>300</v>
      </c>
      <c r="J533" s="15">
        <f>H533+I533</f>
        <v>800</v>
      </c>
      <c r="K533" s="61">
        <v>44191</v>
      </c>
      <c r="L533" s="13" t="s">
        <v>120</v>
      </c>
      <c r="M533" s="14">
        <v>650</v>
      </c>
      <c r="N533" s="31"/>
      <c r="O533" s="15">
        <f t="shared" si="53"/>
        <v>650</v>
      </c>
      <c r="P533" s="77">
        <v>44189</v>
      </c>
    </row>
    <row r="534" spans="2:16" x14ac:dyDescent="0.15">
      <c r="B534" s="5" t="s">
        <v>263</v>
      </c>
      <c r="C534" s="14">
        <v>1</v>
      </c>
      <c r="D534" s="31"/>
      <c r="E534" s="15">
        <f t="shared" si="54"/>
        <v>1</v>
      </c>
      <c r="F534" s="61">
        <v>44189</v>
      </c>
      <c r="G534" s="5"/>
      <c r="H534" s="14"/>
      <c r="I534" s="31"/>
      <c r="J534" s="15">
        <f t="shared" si="52"/>
        <v>0</v>
      </c>
      <c r="L534" s="13" t="s">
        <v>120</v>
      </c>
      <c r="M534" s="14">
        <v>650</v>
      </c>
      <c r="N534" s="31"/>
      <c r="O534" s="15">
        <f t="shared" si="53"/>
        <v>650</v>
      </c>
      <c r="P534" s="77">
        <v>44193</v>
      </c>
    </row>
    <row r="535" spans="2:16" x14ac:dyDescent="0.15">
      <c r="B535" s="25" t="s">
        <v>264</v>
      </c>
      <c r="C535" s="14">
        <v>2</v>
      </c>
      <c r="D535" s="31"/>
      <c r="E535" s="15">
        <f t="shared" si="54"/>
        <v>2</v>
      </c>
      <c r="F535" s="61">
        <v>44191</v>
      </c>
      <c r="G535" s="13"/>
      <c r="H535" s="14"/>
      <c r="I535" s="31"/>
      <c r="J535" s="15">
        <f t="shared" si="52"/>
        <v>0</v>
      </c>
      <c r="L535" s="13"/>
      <c r="M535" s="14"/>
      <c r="N535" s="31"/>
      <c r="O535" s="15">
        <f t="shared" si="53"/>
        <v>0</v>
      </c>
    </row>
    <row r="536" spans="2:16" x14ac:dyDescent="0.15">
      <c r="B536" s="5" t="s">
        <v>263</v>
      </c>
      <c r="C536" s="2">
        <v>3</v>
      </c>
      <c r="D536" s="33">
        <v>1</v>
      </c>
      <c r="E536" s="4">
        <f t="shared" si="54"/>
        <v>4</v>
      </c>
      <c r="F536" s="61">
        <v>44190</v>
      </c>
      <c r="G536" s="12"/>
      <c r="H536" s="2"/>
      <c r="I536" s="33"/>
      <c r="J536" s="4">
        <f t="shared" si="52"/>
        <v>0</v>
      </c>
      <c r="L536" s="12"/>
      <c r="M536" s="2"/>
      <c r="N536" s="33"/>
      <c r="O536" s="4">
        <f t="shared" si="53"/>
        <v>0</v>
      </c>
    </row>
    <row r="537" spans="2:16" x14ac:dyDescent="0.15">
      <c r="B537" s="5" t="s">
        <v>263</v>
      </c>
      <c r="C537" s="14">
        <f>2+1</f>
        <v>3</v>
      </c>
      <c r="D537" s="31">
        <f>2+1</f>
        <v>3</v>
      </c>
      <c r="E537" s="15">
        <f t="shared" si="54"/>
        <v>6</v>
      </c>
      <c r="F537" s="61">
        <v>44193</v>
      </c>
      <c r="G537" s="12"/>
      <c r="H537" s="14"/>
      <c r="I537" s="31"/>
      <c r="J537" s="15">
        <f t="shared" si="52"/>
        <v>0</v>
      </c>
      <c r="L537" s="12"/>
      <c r="M537" s="14"/>
      <c r="N537" s="31"/>
      <c r="O537" s="15">
        <f t="shared" si="53"/>
        <v>0</v>
      </c>
    </row>
    <row r="538" spans="2:16" x14ac:dyDescent="0.15">
      <c r="B538" s="5" t="s">
        <v>263</v>
      </c>
      <c r="C538" s="2">
        <f>3+1+6+1</f>
        <v>11</v>
      </c>
      <c r="D538" s="33">
        <f>3+8+1</f>
        <v>12</v>
      </c>
      <c r="E538" s="4">
        <f t="shared" si="54"/>
        <v>23</v>
      </c>
      <c r="F538" s="61">
        <v>44201</v>
      </c>
      <c r="G538" s="13"/>
      <c r="H538" s="2"/>
      <c r="I538" s="33"/>
      <c r="J538" s="4">
        <f t="shared" si="52"/>
        <v>0</v>
      </c>
      <c r="L538" s="13"/>
      <c r="M538" s="2"/>
      <c r="N538" s="33"/>
      <c r="O538" s="4">
        <f t="shared" si="53"/>
        <v>0</v>
      </c>
    </row>
    <row r="539" spans="2:16" x14ac:dyDescent="0.15">
      <c r="B539" s="5" t="s">
        <v>263</v>
      </c>
      <c r="C539" s="2">
        <f>1+1</f>
        <v>2</v>
      </c>
      <c r="D539" s="33">
        <f>1</f>
        <v>1</v>
      </c>
      <c r="E539" s="4">
        <f t="shared" si="54"/>
        <v>3</v>
      </c>
      <c r="F539" s="61">
        <v>44202</v>
      </c>
      <c r="G539" s="13"/>
      <c r="H539" s="2"/>
      <c r="I539" s="33"/>
      <c r="J539" s="4">
        <f t="shared" si="52"/>
        <v>0</v>
      </c>
      <c r="L539" s="13"/>
      <c r="M539" s="2"/>
      <c r="N539" s="33"/>
      <c r="O539" s="4">
        <f t="shared" si="53"/>
        <v>0</v>
      </c>
    </row>
    <row r="540" spans="2:16" x14ac:dyDescent="0.15">
      <c r="B540" s="13" t="s">
        <v>266</v>
      </c>
      <c r="C540" s="14">
        <v>7</v>
      </c>
      <c r="D540" s="31"/>
      <c r="E540" s="15">
        <f t="shared" si="54"/>
        <v>7</v>
      </c>
      <c r="F540" s="61">
        <v>44204</v>
      </c>
      <c r="G540" s="13"/>
      <c r="H540" s="2"/>
      <c r="I540" s="33"/>
      <c r="J540" s="4">
        <f t="shared" si="52"/>
        <v>0</v>
      </c>
      <c r="L540" s="13"/>
      <c r="M540" s="2"/>
      <c r="N540" s="33"/>
      <c r="O540" s="4">
        <f t="shared" si="53"/>
        <v>0</v>
      </c>
    </row>
    <row r="541" spans="2:16" x14ac:dyDescent="0.15">
      <c r="B541" s="5" t="s">
        <v>263</v>
      </c>
      <c r="C541" s="2">
        <f>1+1</f>
        <v>2</v>
      </c>
      <c r="D541" s="33">
        <v>1</v>
      </c>
      <c r="E541" s="4">
        <f t="shared" si="54"/>
        <v>3</v>
      </c>
      <c r="F541" s="61">
        <v>44203</v>
      </c>
      <c r="G541" s="13"/>
      <c r="H541" s="2"/>
      <c r="I541" s="33"/>
      <c r="J541" s="4">
        <f t="shared" si="52"/>
        <v>0</v>
      </c>
      <c r="L541" s="13"/>
      <c r="M541" s="2"/>
      <c r="N541" s="33"/>
      <c r="O541" s="4">
        <f t="shared" si="53"/>
        <v>0</v>
      </c>
    </row>
    <row r="542" spans="2:16" x14ac:dyDescent="0.15">
      <c r="B542" s="13" t="s">
        <v>268</v>
      </c>
      <c r="C542" s="14">
        <v>4</v>
      </c>
      <c r="D542" s="31">
        <v>4</v>
      </c>
      <c r="E542" s="15">
        <f t="shared" si="54"/>
        <v>8</v>
      </c>
      <c r="F542" s="61">
        <v>44205</v>
      </c>
      <c r="G542" s="13"/>
      <c r="H542" s="2"/>
      <c r="I542" s="33"/>
      <c r="J542" s="4">
        <f t="shared" si="52"/>
        <v>0</v>
      </c>
      <c r="L542" s="13"/>
      <c r="M542" s="2"/>
      <c r="N542" s="33"/>
      <c r="O542" s="4">
        <f t="shared" si="53"/>
        <v>0</v>
      </c>
    </row>
    <row r="543" spans="2:16" x14ac:dyDescent="0.15">
      <c r="B543" s="5" t="s">
        <v>263</v>
      </c>
      <c r="C543" s="2"/>
      <c r="D543" s="33">
        <f>1+1+1</f>
        <v>3</v>
      </c>
      <c r="E543" s="4">
        <f t="shared" si="54"/>
        <v>3</v>
      </c>
      <c r="F543" s="61">
        <v>44204</v>
      </c>
      <c r="G543" s="13"/>
      <c r="H543" s="2"/>
      <c r="I543" s="33"/>
      <c r="J543" s="4">
        <f t="shared" si="52"/>
        <v>0</v>
      </c>
      <c r="L543" s="13"/>
      <c r="M543" s="2"/>
      <c r="N543" s="33"/>
      <c r="O543" s="4">
        <f t="shared" si="53"/>
        <v>0</v>
      </c>
    </row>
    <row r="544" spans="2:16" x14ac:dyDescent="0.15">
      <c r="B544" s="13" t="s">
        <v>270</v>
      </c>
      <c r="C544" s="14">
        <v>3</v>
      </c>
      <c r="D544" s="31">
        <v>1</v>
      </c>
      <c r="E544" s="15">
        <f t="shared" si="54"/>
        <v>4</v>
      </c>
      <c r="F544" s="61">
        <v>44209</v>
      </c>
      <c r="G544" s="13"/>
      <c r="H544" s="2"/>
      <c r="I544" s="33"/>
      <c r="J544" s="4">
        <f t="shared" si="52"/>
        <v>0</v>
      </c>
      <c r="L544" s="13"/>
      <c r="M544" s="2"/>
      <c r="N544" s="33"/>
      <c r="O544" s="4">
        <f t="shared" si="53"/>
        <v>0</v>
      </c>
    </row>
    <row r="545" spans="2:15" x14ac:dyDescent="0.15">
      <c r="B545" s="5" t="s">
        <v>263</v>
      </c>
      <c r="C545" s="14">
        <f>2+5+1+1</f>
        <v>9</v>
      </c>
      <c r="D545" s="31">
        <f>2+3+1</f>
        <v>6</v>
      </c>
      <c r="E545" s="15">
        <f t="shared" si="54"/>
        <v>15</v>
      </c>
      <c r="F545" s="61">
        <v>44208</v>
      </c>
      <c r="G545" s="25"/>
      <c r="H545" s="2"/>
      <c r="I545" s="33"/>
      <c r="J545" s="4">
        <f t="shared" si="52"/>
        <v>0</v>
      </c>
      <c r="L545" s="25"/>
      <c r="M545" s="2"/>
      <c r="N545" s="33"/>
      <c r="O545" s="4">
        <f t="shared" si="53"/>
        <v>0</v>
      </c>
    </row>
    <row r="546" spans="2:15" x14ac:dyDescent="0.15">
      <c r="B546" s="13" t="s">
        <v>274</v>
      </c>
      <c r="C546" s="14"/>
      <c r="D546" s="31">
        <v>2</v>
      </c>
      <c r="E546" s="15">
        <f t="shared" si="54"/>
        <v>2</v>
      </c>
      <c r="F546" s="61">
        <v>44210</v>
      </c>
      <c r="G546" s="25"/>
      <c r="H546" s="2"/>
      <c r="I546" s="33"/>
      <c r="J546" s="4">
        <f t="shared" si="52"/>
        <v>0</v>
      </c>
      <c r="L546" s="25"/>
      <c r="M546" s="2"/>
      <c r="N546" s="33"/>
      <c r="O546" s="4">
        <f t="shared" si="53"/>
        <v>0</v>
      </c>
    </row>
    <row r="547" spans="2:15" x14ac:dyDescent="0.15">
      <c r="B547" s="5" t="s">
        <v>263</v>
      </c>
      <c r="C547" s="14">
        <f>1</f>
        <v>1</v>
      </c>
      <c r="D547" s="31"/>
      <c r="E547" s="15">
        <f t="shared" si="54"/>
        <v>1</v>
      </c>
      <c r="F547" s="61">
        <v>44209</v>
      </c>
      <c r="G547" s="25"/>
      <c r="H547" s="2"/>
      <c r="I547" s="33"/>
      <c r="J547" s="4">
        <f t="shared" si="52"/>
        <v>0</v>
      </c>
      <c r="L547" s="25"/>
      <c r="M547" s="2"/>
      <c r="N547" s="33"/>
      <c r="O547" s="4">
        <f t="shared" si="53"/>
        <v>0</v>
      </c>
    </row>
    <row r="548" spans="2:15" x14ac:dyDescent="0.15">
      <c r="B548" s="25" t="s">
        <v>276</v>
      </c>
      <c r="C548" s="14"/>
      <c r="D548" s="31">
        <v>5</v>
      </c>
      <c r="E548" s="15">
        <f t="shared" si="54"/>
        <v>5</v>
      </c>
      <c r="F548" s="61">
        <v>44214</v>
      </c>
      <c r="G548" s="25"/>
      <c r="H548" s="2"/>
      <c r="I548" s="33"/>
      <c r="J548" s="4">
        <f t="shared" si="52"/>
        <v>0</v>
      </c>
      <c r="L548" s="25"/>
      <c r="M548" s="2"/>
      <c r="N548" s="33"/>
      <c r="O548" s="4">
        <f t="shared" si="53"/>
        <v>0</v>
      </c>
    </row>
    <row r="549" spans="2:15" x14ac:dyDescent="0.15">
      <c r="B549" s="13" t="s">
        <v>277</v>
      </c>
      <c r="C549" s="14"/>
      <c r="D549" s="31">
        <v>1</v>
      </c>
      <c r="E549" s="15">
        <f t="shared" si="54"/>
        <v>1</v>
      </c>
      <c r="F549" s="61">
        <v>44211</v>
      </c>
      <c r="G549" s="13"/>
      <c r="H549" s="2"/>
      <c r="I549" s="33"/>
      <c r="J549" s="4">
        <f t="shared" si="52"/>
        <v>0</v>
      </c>
      <c r="L549" s="13"/>
      <c r="M549" s="2"/>
      <c r="N549" s="33"/>
      <c r="O549" s="4">
        <f t="shared" si="53"/>
        <v>0</v>
      </c>
    </row>
    <row r="550" spans="2:15" x14ac:dyDescent="0.15">
      <c r="B550" s="25" t="s">
        <v>279</v>
      </c>
      <c r="C550" s="2"/>
      <c r="D550" s="33">
        <v>1</v>
      </c>
      <c r="E550" s="4">
        <f t="shared" si="54"/>
        <v>1</v>
      </c>
      <c r="F550" s="61">
        <v>44211</v>
      </c>
      <c r="G550" s="25"/>
      <c r="H550" s="2"/>
      <c r="I550" s="33"/>
      <c r="J550" s="4">
        <f t="shared" si="52"/>
        <v>0</v>
      </c>
      <c r="L550" s="25"/>
      <c r="M550" s="2"/>
      <c r="N550" s="33"/>
      <c r="O550" s="4">
        <f t="shared" si="53"/>
        <v>0</v>
      </c>
    </row>
    <row r="551" spans="2:15" x14ac:dyDescent="0.15">
      <c r="B551" s="5" t="s">
        <v>263</v>
      </c>
      <c r="C551" s="14">
        <f>4</f>
        <v>4</v>
      </c>
      <c r="D551" s="31"/>
      <c r="E551" s="15">
        <f t="shared" si="54"/>
        <v>4</v>
      </c>
      <c r="F551" s="61">
        <v>44210</v>
      </c>
      <c r="G551" s="25"/>
      <c r="H551" s="14"/>
      <c r="I551" s="31"/>
      <c r="J551" s="15">
        <f t="shared" si="52"/>
        <v>0</v>
      </c>
      <c r="L551" s="25"/>
      <c r="M551" s="14"/>
      <c r="N551" s="31"/>
      <c r="O551" s="15">
        <f t="shared" si="53"/>
        <v>0</v>
      </c>
    </row>
    <row r="552" spans="2:15" x14ac:dyDescent="0.15">
      <c r="B552" s="13" t="s">
        <v>282</v>
      </c>
      <c r="C552" s="14">
        <v>2</v>
      </c>
      <c r="D552" s="31"/>
      <c r="E552" s="15">
        <f t="shared" si="54"/>
        <v>2</v>
      </c>
      <c r="F552" s="61">
        <v>44212</v>
      </c>
      <c r="G552" s="25"/>
      <c r="H552" s="14"/>
      <c r="I552" s="31"/>
      <c r="J552" s="15">
        <f t="shared" si="52"/>
        <v>0</v>
      </c>
      <c r="L552" s="25"/>
      <c r="M552" s="14"/>
      <c r="N552" s="31"/>
      <c r="O552" s="15">
        <f t="shared" si="53"/>
        <v>0</v>
      </c>
    </row>
    <row r="553" spans="2:15" x14ac:dyDescent="0.15">
      <c r="B553" s="25"/>
      <c r="C553" s="2"/>
      <c r="D553" s="33"/>
      <c r="E553" s="15">
        <f t="shared" si="54"/>
        <v>0</v>
      </c>
      <c r="G553" s="13"/>
      <c r="H553" s="2"/>
      <c r="I553" s="33"/>
      <c r="J553" s="15">
        <f t="shared" si="52"/>
        <v>0</v>
      </c>
      <c r="L553" s="13"/>
      <c r="M553" s="2"/>
      <c r="N553" s="33"/>
      <c r="O553" s="15">
        <f t="shared" si="53"/>
        <v>0</v>
      </c>
    </row>
    <row r="554" spans="2:15" x14ac:dyDescent="0.15">
      <c r="B554" s="25" t="s">
        <v>204</v>
      </c>
      <c r="C554" s="14"/>
      <c r="D554" s="31"/>
      <c r="E554" s="15">
        <f>C554+D554</f>
        <v>0</v>
      </c>
      <c r="F554" t="s">
        <v>205</v>
      </c>
      <c r="G554" s="13"/>
      <c r="H554" s="14"/>
      <c r="I554" s="31"/>
      <c r="J554" s="15">
        <f>H554+I554</f>
        <v>0</v>
      </c>
      <c r="L554" s="74"/>
      <c r="M554" s="14"/>
      <c r="N554" s="31"/>
      <c r="O554" s="15">
        <f t="shared" si="53"/>
        <v>0</v>
      </c>
    </row>
    <row r="555" spans="2:15" x14ac:dyDescent="0.15">
      <c r="B555" s="82" t="s">
        <v>101</v>
      </c>
      <c r="C555" s="14"/>
      <c r="D555" s="31"/>
      <c r="E555" s="15">
        <f>C555+D555</f>
        <v>0</v>
      </c>
      <c r="F555" s="60" t="s">
        <v>103</v>
      </c>
      <c r="G555" s="25"/>
      <c r="H555" s="14"/>
      <c r="I555" s="31"/>
      <c r="J555" s="15">
        <f>H555+I555</f>
        <v>0</v>
      </c>
      <c r="K555" s="61"/>
      <c r="L555" s="25"/>
      <c r="M555" s="14"/>
      <c r="N555" s="31"/>
      <c r="O555" s="15">
        <f t="shared" si="53"/>
        <v>0</v>
      </c>
    </row>
    <row r="556" spans="2:15" ht="14.25" thickBot="1" x14ac:dyDescent="0.2">
      <c r="B556" s="82" t="s">
        <v>100</v>
      </c>
      <c r="C556" s="14"/>
      <c r="D556" s="31"/>
      <c r="E556" s="15">
        <f>C556+D556</f>
        <v>0</v>
      </c>
      <c r="F556" s="60" t="s">
        <v>103</v>
      </c>
      <c r="G556" s="25" t="s">
        <v>161</v>
      </c>
      <c r="H556" s="14"/>
      <c r="I556" s="31"/>
      <c r="J556" s="15">
        <f>H556+I556</f>
        <v>0</v>
      </c>
      <c r="K556" s="61">
        <v>44190</v>
      </c>
      <c r="L556" s="66"/>
      <c r="M556" s="48"/>
      <c r="N556" s="49"/>
      <c r="O556" s="50">
        <f t="shared" si="53"/>
        <v>0</v>
      </c>
    </row>
    <row r="557" spans="2:15" ht="14.25" thickBot="1" x14ac:dyDescent="0.2">
      <c r="B557" s="8" t="s">
        <v>2</v>
      </c>
      <c r="C557" s="10">
        <f>SUM(C532:C556)</f>
        <v>74</v>
      </c>
      <c r="D557" s="32">
        <f>SUM(D532:D556)</f>
        <v>121</v>
      </c>
      <c r="E557" s="11">
        <f>C557+D557</f>
        <v>195</v>
      </c>
      <c r="G557" s="8" t="s">
        <v>2</v>
      </c>
      <c r="H557" s="10">
        <f>SUM(H532:H556)</f>
        <v>700</v>
      </c>
      <c r="I557" s="32">
        <f>SUM(I532:I556)</f>
        <v>500</v>
      </c>
      <c r="J557" s="11">
        <f>H557+I557</f>
        <v>1200</v>
      </c>
      <c r="L557" s="8" t="s">
        <v>2</v>
      </c>
      <c r="M557" s="10">
        <f>SUM(M532:M556)</f>
        <v>2000</v>
      </c>
      <c r="N557" s="32">
        <f>SUM(N532:N556)</f>
        <v>0</v>
      </c>
      <c r="O557" s="11">
        <f t="shared" si="53"/>
        <v>2000</v>
      </c>
    </row>
    <row r="558" spans="2:15" ht="14.25" thickBot="1" x14ac:dyDescent="0.2">
      <c r="B558" s="52" t="s">
        <v>3</v>
      </c>
      <c r="C558" s="53">
        <f>+C531-C557</f>
        <v>13</v>
      </c>
      <c r="D558" s="54">
        <f>+D531-D557</f>
        <v>20</v>
      </c>
      <c r="E558" s="55">
        <f>C558+D558</f>
        <v>33</v>
      </c>
      <c r="G558" s="52" t="s">
        <v>3</v>
      </c>
      <c r="H558" s="53">
        <f>+H531-H557</f>
        <v>1690</v>
      </c>
      <c r="I558" s="54">
        <f>+I531-I557</f>
        <v>100</v>
      </c>
      <c r="J558" s="55">
        <f>H558+I558</f>
        <v>1790</v>
      </c>
      <c r="L558" s="52" t="s">
        <v>3</v>
      </c>
      <c r="M558" s="53">
        <f>+M531-M557</f>
        <v>0</v>
      </c>
      <c r="N558" s="54">
        <f>+N531-N557</f>
        <v>0</v>
      </c>
      <c r="O558" s="55">
        <f t="shared" si="53"/>
        <v>0</v>
      </c>
    </row>
    <row r="560" spans="2:15" ht="21" x14ac:dyDescent="0.2">
      <c r="B560" s="76" t="s">
        <v>150</v>
      </c>
      <c r="G560" s="75" t="s">
        <v>149</v>
      </c>
      <c r="L560" s="75" t="s">
        <v>151</v>
      </c>
    </row>
    <row r="561" spans="2:16" ht="18.75" x14ac:dyDescent="0.2">
      <c r="B561" s="3" t="s">
        <v>11</v>
      </c>
      <c r="E561" s="71"/>
      <c r="G561" s="3" t="s">
        <v>11</v>
      </c>
      <c r="L561" s="3" t="s">
        <v>11</v>
      </c>
    </row>
    <row r="562" spans="2:16" ht="14.25" thickBot="1" x14ac:dyDescent="0.2">
      <c r="G562" s="1"/>
      <c r="L562" s="1"/>
    </row>
    <row r="563" spans="2:16" ht="14.25" thickBot="1" x14ac:dyDescent="0.2">
      <c r="B563" s="7"/>
      <c r="C563" s="67"/>
      <c r="D563" s="68"/>
      <c r="E563" s="69"/>
      <c r="G563" s="7"/>
      <c r="H563" s="67"/>
      <c r="I563" s="68"/>
      <c r="J563" s="69"/>
      <c r="L563" s="7"/>
      <c r="M563" s="67"/>
      <c r="N563" s="68"/>
      <c r="O563" s="69"/>
    </row>
    <row r="564" spans="2:16" ht="14.25" thickBot="1" x14ac:dyDescent="0.2">
      <c r="B564" s="8"/>
      <c r="C564" s="40" t="s">
        <v>7</v>
      </c>
      <c r="D564" s="29" t="s">
        <v>9</v>
      </c>
      <c r="E564" s="9" t="s">
        <v>0</v>
      </c>
      <c r="G564" s="8"/>
      <c r="H564" s="40" t="s">
        <v>7</v>
      </c>
      <c r="I564" s="29" t="s">
        <v>9</v>
      </c>
      <c r="J564" s="9" t="s">
        <v>0</v>
      </c>
      <c r="L564" s="8"/>
      <c r="M564" s="40" t="s">
        <v>7</v>
      </c>
      <c r="N564" s="29" t="s">
        <v>9</v>
      </c>
      <c r="O564" s="9" t="s">
        <v>0</v>
      </c>
    </row>
    <row r="565" spans="2:16" x14ac:dyDescent="0.15">
      <c r="B565" s="16" t="s">
        <v>4</v>
      </c>
      <c r="C565" s="17">
        <f>C558</f>
        <v>13</v>
      </c>
      <c r="D565" s="35">
        <f>D558</f>
        <v>20</v>
      </c>
      <c r="E565" s="18">
        <f t="shared" ref="E565:E571" si="55">C565+D565</f>
        <v>33</v>
      </c>
      <c r="G565" s="16" t="s">
        <v>4</v>
      </c>
      <c r="H565" s="17">
        <f>H558</f>
        <v>1690</v>
      </c>
      <c r="I565" s="35">
        <f>I558</f>
        <v>100</v>
      </c>
      <c r="J565" s="18">
        <f t="shared" ref="J565:J591" si="56">H565+I565</f>
        <v>1790</v>
      </c>
      <c r="L565" s="16" t="s">
        <v>4</v>
      </c>
      <c r="M565" s="17">
        <f>M558</f>
        <v>0</v>
      </c>
      <c r="N565" s="35">
        <f>N558</f>
        <v>0</v>
      </c>
      <c r="O565" s="18">
        <f t="shared" ref="O565:O598" si="57">M565+N565</f>
        <v>0</v>
      </c>
    </row>
    <row r="566" spans="2:16" x14ac:dyDescent="0.15">
      <c r="B566" s="25" t="s">
        <v>5</v>
      </c>
      <c r="C566" s="14">
        <v>100</v>
      </c>
      <c r="D566" s="31">
        <v>200</v>
      </c>
      <c r="E566" s="23">
        <f t="shared" si="55"/>
        <v>300</v>
      </c>
      <c r="F566" s="61">
        <v>44212</v>
      </c>
      <c r="G566" s="25" t="s">
        <v>5</v>
      </c>
      <c r="H566" s="14"/>
      <c r="I566" s="31">
        <v>1500</v>
      </c>
      <c r="J566" s="23">
        <f t="shared" si="56"/>
        <v>1500</v>
      </c>
      <c r="K566" s="61">
        <v>44204</v>
      </c>
      <c r="L566" s="25" t="s">
        <v>5</v>
      </c>
      <c r="M566" s="14"/>
      <c r="N566" s="31"/>
      <c r="O566" s="23">
        <f t="shared" si="57"/>
        <v>0</v>
      </c>
    </row>
    <row r="567" spans="2:16" x14ac:dyDescent="0.15">
      <c r="B567" s="26" t="s">
        <v>181</v>
      </c>
      <c r="C567" s="27">
        <v>2</v>
      </c>
      <c r="D567" s="36"/>
      <c r="E567" s="28">
        <f t="shared" si="55"/>
        <v>2</v>
      </c>
      <c r="F567" s="61">
        <v>44214</v>
      </c>
      <c r="G567" s="25" t="s">
        <v>5</v>
      </c>
      <c r="H567" s="14">
        <v>850</v>
      </c>
      <c r="I567" s="31"/>
      <c r="J567" s="15">
        <f>H567+I567</f>
        <v>850</v>
      </c>
      <c r="K567" s="61">
        <v>44214</v>
      </c>
      <c r="L567" s="25" t="s">
        <v>5</v>
      </c>
      <c r="M567" s="27"/>
      <c r="N567" s="36">
        <v>1500</v>
      </c>
      <c r="O567" s="28">
        <f t="shared" si="57"/>
        <v>1500</v>
      </c>
      <c r="P567" s="77" t="s">
        <v>126</v>
      </c>
    </row>
    <row r="568" spans="2:16" x14ac:dyDescent="0.15">
      <c r="B568" s="26" t="s">
        <v>86</v>
      </c>
      <c r="C568" s="27"/>
      <c r="D568" s="36">
        <v>1</v>
      </c>
      <c r="E568" s="28">
        <f t="shared" si="55"/>
        <v>1</v>
      </c>
      <c r="F568" s="61">
        <v>44214</v>
      </c>
      <c r="G568" s="25" t="s">
        <v>5</v>
      </c>
      <c r="H568" s="14">
        <v>150</v>
      </c>
      <c r="I568" s="31"/>
      <c r="J568" s="15">
        <f>H568+I568</f>
        <v>150</v>
      </c>
      <c r="K568" s="61">
        <v>44216</v>
      </c>
      <c r="L568" s="25" t="s">
        <v>5</v>
      </c>
      <c r="M568" s="14">
        <v>1000</v>
      </c>
      <c r="N568" s="31"/>
      <c r="O568" s="15">
        <f t="shared" si="57"/>
        <v>1000</v>
      </c>
      <c r="P568" s="61" t="s">
        <v>124</v>
      </c>
    </row>
    <row r="569" spans="2:16" x14ac:dyDescent="0.15">
      <c r="B569" s="5" t="s">
        <v>287</v>
      </c>
      <c r="C569" s="14">
        <v>1</v>
      </c>
      <c r="D569" s="31">
        <v>1</v>
      </c>
      <c r="E569" s="28">
        <f t="shared" si="55"/>
        <v>2</v>
      </c>
      <c r="F569" s="61">
        <v>44215</v>
      </c>
      <c r="G569" s="25" t="s">
        <v>5</v>
      </c>
      <c r="H569" s="14"/>
      <c r="I569" s="31">
        <v>700</v>
      </c>
      <c r="J569" s="15">
        <f>H569+I569</f>
        <v>700</v>
      </c>
      <c r="K569" s="61">
        <v>44224</v>
      </c>
      <c r="L569" s="25" t="s">
        <v>5</v>
      </c>
      <c r="M569" s="14"/>
      <c r="N569" s="31">
        <v>700</v>
      </c>
      <c r="O569" s="15">
        <f t="shared" si="57"/>
        <v>700</v>
      </c>
      <c r="P569" s="61">
        <v>44224</v>
      </c>
    </row>
    <row r="570" spans="2:16" ht="14.25" thickBot="1" x14ac:dyDescent="0.2">
      <c r="B570" s="26" t="s">
        <v>294</v>
      </c>
      <c r="C570" s="14">
        <v>2</v>
      </c>
      <c r="D570" s="31">
        <v>3</v>
      </c>
      <c r="E570" s="15">
        <f t="shared" si="55"/>
        <v>5</v>
      </c>
      <c r="F570" s="61">
        <v>44224</v>
      </c>
      <c r="G570" s="25" t="s">
        <v>5</v>
      </c>
      <c r="H570" s="14"/>
      <c r="I570" s="31">
        <v>800</v>
      </c>
      <c r="J570" s="15">
        <f t="shared" si="56"/>
        <v>800</v>
      </c>
      <c r="K570" s="61">
        <v>44228</v>
      </c>
      <c r="L570" s="25" t="s">
        <v>5</v>
      </c>
      <c r="M570" s="14"/>
      <c r="N570" s="31">
        <v>800</v>
      </c>
      <c r="O570" s="15">
        <f t="shared" si="57"/>
        <v>800</v>
      </c>
      <c r="P570" t="s">
        <v>290</v>
      </c>
    </row>
    <row r="571" spans="2:16" ht="14.25" thickBot="1" x14ac:dyDescent="0.2">
      <c r="B571" s="8" t="s">
        <v>1</v>
      </c>
      <c r="C571" s="10">
        <f>SUM(C565:C570)</f>
        <v>118</v>
      </c>
      <c r="D571" s="32">
        <f>SUM(D565:D570)</f>
        <v>225</v>
      </c>
      <c r="E571" s="11">
        <f t="shared" si="55"/>
        <v>343</v>
      </c>
      <c r="G571" s="8" t="s">
        <v>1</v>
      </c>
      <c r="H571" s="10">
        <f>SUM(H565:H570)</f>
        <v>2690</v>
      </c>
      <c r="I571" s="32">
        <f>SUM(I565:I570)</f>
        <v>3100</v>
      </c>
      <c r="J571" s="11">
        <f t="shared" si="56"/>
        <v>5790</v>
      </c>
      <c r="L571" s="8" t="s">
        <v>1</v>
      </c>
      <c r="M571" s="10">
        <f>SUM(M565:M570)</f>
        <v>1000</v>
      </c>
      <c r="N571" s="32">
        <f>SUM(N565:N570)</f>
        <v>3000</v>
      </c>
      <c r="O571" s="11">
        <f t="shared" si="57"/>
        <v>4000</v>
      </c>
    </row>
    <row r="572" spans="2:16" x14ac:dyDescent="0.15">
      <c r="B572" s="25" t="s">
        <v>267</v>
      </c>
      <c r="C572" s="14"/>
      <c r="D572" s="31">
        <v>50</v>
      </c>
      <c r="E572" s="15">
        <f>C572+D572</f>
        <v>50</v>
      </c>
      <c r="F572" s="61">
        <v>44215</v>
      </c>
      <c r="G572" s="13" t="s">
        <v>273</v>
      </c>
      <c r="H572" s="14">
        <v>800</v>
      </c>
      <c r="I572" s="31">
        <v>300</v>
      </c>
      <c r="J572" s="15">
        <f t="shared" si="56"/>
        <v>1100</v>
      </c>
      <c r="K572" s="61">
        <v>44210</v>
      </c>
      <c r="L572" s="13" t="s">
        <v>269</v>
      </c>
      <c r="M572" s="14"/>
      <c r="N572" s="31">
        <v>1500</v>
      </c>
      <c r="O572" s="15">
        <f t="shared" si="57"/>
        <v>1500</v>
      </c>
      <c r="P572" s="77">
        <v>44204</v>
      </c>
    </row>
    <row r="573" spans="2:16" x14ac:dyDescent="0.15">
      <c r="B573" s="25" t="s">
        <v>263</v>
      </c>
      <c r="C573" s="2">
        <v>2</v>
      </c>
      <c r="D573" s="33">
        <f>2+1</f>
        <v>3</v>
      </c>
      <c r="E573" s="4">
        <f t="shared" ref="E573:E593" si="58">C573+D573</f>
        <v>5</v>
      </c>
      <c r="F573" s="61">
        <v>44211</v>
      </c>
      <c r="G573" s="13" t="s">
        <v>283</v>
      </c>
      <c r="H573" s="14">
        <v>131</v>
      </c>
      <c r="I573" s="31">
        <v>60</v>
      </c>
      <c r="J573" s="15">
        <f t="shared" si="56"/>
        <v>191</v>
      </c>
      <c r="K573" s="61">
        <v>44212</v>
      </c>
      <c r="L573" s="13" t="s">
        <v>157</v>
      </c>
      <c r="M573" s="14">
        <v>850</v>
      </c>
      <c r="N573" s="31"/>
      <c r="O573" s="15">
        <f>M573+N573</f>
        <v>850</v>
      </c>
      <c r="P573" s="77">
        <v>44214</v>
      </c>
    </row>
    <row r="574" spans="2:16" x14ac:dyDescent="0.15">
      <c r="B574" s="13" t="s">
        <v>282</v>
      </c>
      <c r="C574" s="14">
        <v>3</v>
      </c>
      <c r="D574" s="31">
        <v>4</v>
      </c>
      <c r="E574" s="15">
        <f t="shared" si="58"/>
        <v>7</v>
      </c>
      <c r="F574" s="61">
        <v>44215</v>
      </c>
      <c r="G574" s="25" t="s">
        <v>120</v>
      </c>
      <c r="H574" s="14">
        <v>100</v>
      </c>
      <c r="I574" s="31">
        <v>200</v>
      </c>
      <c r="J574" s="23">
        <f t="shared" si="56"/>
        <v>300</v>
      </c>
      <c r="K574" s="61">
        <v>44212</v>
      </c>
      <c r="L574" s="13" t="s">
        <v>157</v>
      </c>
      <c r="M574" s="14">
        <v>150</v>
      </c>
      <c r="N574" s="31"/>
      <c r="O574" s="15">
        <f>M574+N574</f>
        <v>150</v>
      </c>
      <c r="P574" s="77">
        <v>44216</v>
      </c>
    </row>
    <row r="575" spans="2:16" x14ac:dyDescent="0.15">
      <c r="B575" s="25" t="s">
        <v>263</v>
      </c>
      <c r="C575" s="2">
        <v>1</v>
      </c>
      <c r="D575" s="33">
        <f>1+1</f>
        <v>2</v>
      </c>
      <c r="E575" s="4">
        <f t="shared" si="58"/>
        <v>3</v>
      </c>
      <c r="F575" s="61">
        <v>44212</v>
      </c>
      <c r="G575" s="13" t="s">
        <v>296</v>
      </c>
      <c r="H575" s="14">
        <v>200</v>
      </c>
      <c r="I575" s="31">
        <v>100</v>
      </c>
      <c r="J575" s="15">
        <f t="shared" si="56"/>
        <v>300</v>
      </c>
      <c r="K575" s="61">
        <v>44231</v>
      </c>
      <c r="L575" s="13" t="s">
        <v>157</v>
      </c>
      <c r="M575" s="14"/>
      <c r="N575" s="31">
        <v>700</v>
      </c>
      <c r="O575" s="15">
        <f>M575+N575</f>
        <v>700</v>
      </c>
      <c r="P575" s="77">
        <v>44224</v>
      </c>
    </row>
    <row r="576" spans="2:16" x14ac:dyDescent="0.15">
      <c r="B576" s="25" t="s">
        <v>284</v>
      </c>
      <c r="C576" s="2"/>
      <c r="D576" s="33">
        <v>1</v>
      </c>
      <c r="E576" s="4">
        <f t="shared" si="58"/>
        <v>1</v>
      </c>
      <c r="F576" s="61">
        <v>44214</v>
      </c>
      <c r="G576" s="25" t="s">
        <v>120</v>
      </c>
      <c r="H576" s="2">
        <v>100</v>
      </c>
      <c r="I576" s="33"/>
      <c r="J576" s="4">
        <f t="shared" si="56"/>
        <v>100</v>
      </c>
      <c r="K576" s="61">
        <v>44226</v>
      </c>
      <c r="L576" s="13" t="s">
        <v>157</v>
      </c>
      <c r="M576" s="14"/>
      <c r="N576" s="31">
        <v>800</v>
      </c>
      <c r="O576" s="15">
        <f>M576+N576</f>
        <v>800</v>
      </c>
      <c r="P576" s="77">
        <v>44228</v>
      </c>
    </row>
    <row r="577" spans="2:16" x14ac:dyDescent="0.15">
      <c r="B577" s="25" t="s">
        <v>263</v>
      </c>
      <c r="C577" s="14">
        <v>1</v>
      </c>
      <c r="D577" s="31"/>
      <c r="E577" s="15">
        <f t="shared" si="58"/>
        <v>1</v>
      </c>
      <c r="F577" s="61">
        <v>44214</v>
      </c>
      <c r="G577" s="12"/>
      <c r="H577" s="14"/>
      <c r="I577" s="31"/>
      <c r="J577" s="15">
        <f t="shared" si="56"/>
        <v>0</v>
      </c>
      <c r="L577" s="13"/>
      <c r="M577" s="14"/>
      <c r="N577" s="31"/>
      <c r="O577" s="15">
        <f t="shared" si="57"/>
        <v>0</v>
      </c>
      <c r="P577" s="77"/>
    </row>
    <row r="578" spans="2:16" x14ac:dyDescent="0.15">
      <c r="B578" s="13" t="s">
        <v>285</v>
      </c>
      <c r="C578" s="14"/>
      <c r="D578" s="31">
        <v>2</v>
      </c>
      <c r="E578" s="15">
        <f t="shared" si="58"/>
        <v>2</v>
      </c>
      <c r="F578" s="61">
        <v>44216</v>
      </c>
      <c r="G578" s="13"/>
      <c r="H578" s="2"/>
      <c r="I578" s="33"/>
      <c r="J578" s="4">
        <f t="shared" si="56"/>
        <v>0</v>
      </c>
      <c r="L578" s="13"/>
      <c r="M578" s="2"/>
      <c r="N578" s="33"/>
      <c r="O578" s="4">
        <f t="shared" si="57"/>
        <v>0</v>
      </c>
    </row>
    <row r="579" spans="2:16" x14ac:dyDescent="0.15">
      <c r="B579" s="25" t="s">
        <v>263</v>
      </c>
      <c r="C579" s="2">
        <v>1</v>
      </c>
      <c r="D579" s="33"/>
      <c r="E579" s="4">
        <f t="shared" si="58"/>
        <v>1</v>
      </c>
      <c r="F579" s="61">
        <v>44215</v>
      </c>
      <c r="G579" s="13"/>
      <c r="H579" s="2"/>
      <c r="I579" s="33"/>
      <c r="J579" s="4">
        <f t="shared" si="56"/>
        <v>0</v>
      </c>
      <c r="L579" s="13"/>
      <c r="M579" s="2"/>
      <c r="N579" s="33"/>
      <c r="O579" s="4">
        <f t="shared" si="57"/>
        <v>0</v>
      </c>
    </row>
    <row r="580" spans="2:16" x14ac:dyDescent="0.15">
      <c r="B580" s="25" t="s">
        <v>286</v>
      </c>
      <c r="C580" s="14">
        <v>25</v>
      </c>
      <c r="D580" s="31">
        <v>15</v>
      </c>
      <c r="E580" s="15">
        <f t="shared" si="58"/>
        <v>40</v>
      </c>
      <c r="F580" s="61">
        <v>44221</v>
      </c>
      <c r="G580" s="13"/>
      <c r="H580" s="2"/>
      <c r="I580" s="33"/>
      <c r="J580" s="4">
        <f t="shared" si="56"/>
        <v>0</v>
      </c>
      <c r="L580" s="13"/>
      <c r="M580" s="2"/>
      <c r="N580" s="33"/>
      <c r="O580" s="4">
        <f t="shared" si="57"/>
        <v>0</v>
      </c>
    </row>
    <row r="581" spans="2:16" x14ac:dyDescent="0.15">
      <c r="B581" s="25" t="s">
        <v>263</v>
      </c>
      <c r="C581" s="2">
        <v>1</v>
      </c>
      <c r="D581" s="33"/>
      <c r="E581" s="4">
        <f t="shared" si="58"/>
        <v>1</v>
      </c>
      <c r="F581" s="61">
        <v>44216</v>
      </c>
      <c r="G581" s="13"/>
      <c r="H581" s="2"/>
      <c r="I581" s="33"/>
      <c r="J581" s="4">
        <f t="shared" si="56"/>
        <v>0</v>
      </c>
      <c r="L581" s="13"/>
      <c r="M581" s="2"/>
      <c r="N581" s="33"/>
      <c r="O581" s="4">
        <f t="shared" si="57"/>
        <v>0</v>
      </c>
    </row>
    <row r="582" spans="2:16" x14ac:dyDescent="0.15">
      <c r="B582" s="25" t="s">
        <v>263</v>
      </c>
      <c r="C582" s="2">
        <v>1</v>
      </c>
      <c r="D582" s="33"/>
      <c r="E582" s="4">
        <f t="shared" si="58"/>
        <v>1</v>
      </c>
      <c r="F582" s="61">
        <v>44218</v>
      </c>
      <c r="G582" s="13"/>
      <c r="H582" s="2"/>
      <c r="I582" s="33"/>
      <c r="J582" s="4">
        <f t="shared" si="56"/>
        <v>0</v>
      </c>
      <c r="L582" s="13"/>
      <c r="M582" s="2"/>
      <c r="N582" s="33"/>
      <c r="O582" s="4">
        <f t="shared" si="57"/>
        <v>0</v>
      </c>
    </row>
    <row r="583" spans="2:16" x14ac:dyDescent="0.15">
      <c r="B583" s="13" t="s">
        <v>288</v>
      </c>
      <c r="C583" s="14">
        <v>1</v>
      </c>
      <c r="D583" s="31"/>
      <c r="E583" s="15">
        <f t="shared" si="58"/>
        <v>1</v>
      </c>
      <c r="F583" s="61">
        <v>44222</v>
      </c>
      <c r="G583" s="13"/>
      <c r="H583" s="2"/>
      <c r="I583" s="33"/>
      <c r="J583" s="4">
        <f t="shared" si="56"/>
        <v>0</v>
      </c>
      <c r="L583" s="13"/>
      <c r="M583" s="2"/>
      <c r="N583" s="33"/>
      <c r="O583" s="4">
        <f t="shared" si="57"/>
        <v>0</v>
      </c>
    </row>
    <row r="584" spans="2:16" x14ac:dyDescent="0.15">
      <c r="B584" s="25" t="s">
        <v>263</v>
      </c>
      <c r="C584" s="2">
        <f>1+1</f>
        <v>2</v>
      </c>
      <c r="D584" s="33">
        <f>2+1</f>
        <v>3</v>
      </c>
      <c r="E584" s="4">
        <f t="shared" si="58"/>
        <v>5</v>
      </c>
      <c r="F584" s="61">
        <v>44221</v>
      </c>
      <c r="G584" s="13"/>
      <c r="H584" s="2"/>
      <c r="I584" s="33"/>
      <c r="J584" s="4">
        <f t="shared" si="56"/>
        <v>0</v>
      </c>
      <c r="L584" s="13"/>
      <c r="M584" s="2"/>
      <c r="N584" s="33"/>
      <c r="O584" s="4">
        <f t="shared" si="57"/>
        <v>0</v>
      </c>
    </row>
    <row r="585" spans="2:16" x14ac:dyDescent="0.15">
      <c r="B585" s="25" t="s">
        <v>263</v>
      </c>
      <c r="C585" s="2">
        <v>2</v>
      </c>
      <c r="D585" s="33">
        <v>2</v>
      </c>
      <c r="E585" s="4">
        <f t="shared" si="58"/>
        <v>4</v>
      </c>
      <c r="F585" s="61">
        <v>44222</v>
      </c>
      <c r="G585" s="25"/>
      <c r="H585" s="2"/>
      <c r="I585" s="33"/>
      <c r="J585" s="4">
        <f t="shared" si="56"/>
        <v>0</v>
      </c>
      <c r="L585" s="25"/>
      <c r="M585" s="2"/>
      <c r="N585" s="33"/>
      <c r="O585" s="4">
        <f t="shared" si="57"/>
        <v>0</v>
      </c>
    </row>
    <row r="586" spans="2:16" x14ac:dyDescent="0.15">
      <c r="B586" s="25" t="s">
        <v>291</v>
      </c>
      <c r="C586" s="14">
        <v>35</v>
      </c>
      <c r="D586" s="31">
        <v>12</v>
      </c>
      <c r="E586" s="15">
        <f t="shared" si="58"/>
        <v>47</v>
      </c>
      <c r="F586" s="61">
        <v>44228</v>
      </c>
      <c r="G586" s="25"/>
      <c r="H586" s="2"/>
      <c r="I586" s="33"/>
      <c r="J586" s="4">
        <f t="shared" si="56"/>
        <v>0</v>
      </c>
      <c r="L586" s="25"/>
      <c r="M586" s="2"/>
      <c r="N586" s="33"/>
      <c r="O586" s="4">
        <f t="shared" si="57"/>
        <v>0</v>
      </c>
    </row>
    <row r="587" spans="2:16" x14ac:dyDescent="0.15">
      <c r="B587" s="25" t="s">
        <v>263</v>
      </c>
      <c r="C587" s="2">
        <v>1</v>
      </c>
      <c r="D587" s="33">
        <v>1</v>
      </c>
      <c r="E587" s="4">
        <f t="shared" si="58"/>
        <v>2</v>
      </c>
      <c r="F587" s="61">
        <v>44224</v>
      </c>
      <c r="G587" s="25"/>
      <c r="H587" s="2"/>
      <c r="I587" s="33"/>
      <c r="J587" s="4">
        <f t="shared" si="56"/>
        <v>0</v>
      </c>
      <c r="L587" s="25"/>
      <c r="M587" s="2"/>
      <c r="N587" s="33"/>
      <c r="O587" s="4">
        <f t="shared" si="57"/>
        <v>0</v>
      </c>
    </row>
    <row r="588" spans="2:16" x14ac:dyDescent="0.15">
      <c r="B588" s="13" t="s">
        <v>295</v>
      </c>
      <c r="C588" s="14"/>
      <c r="D588" s="31">
        <v>1</v>
      </c>
      <c r="E588" s="15">
        <f t="shared" si="58"/>
        <v>1</v>
      </c>
      <c r="F588" s="61">
        <v>44226</v>
      </c>
      <c r="G588" s="25"/>
      <c r="H588" s="2"/>
      <c r="I588" s="33"/>
      <c r="J588" s="4">
        <f t="shared" si="56"/>
        <v>0</v>
      </c>
      <c r="L588" s="25"/>
      <c r="M588" s="2"/>
      <c r="N588" s="33"/>
      <c r="O588" s="4">
        <f t="shared" si="57"/>
        <v>0</v>
      </c>
    </row>
    <row r="589" spans="2:16" x14ac:dyDescent="0.15">
      <c r="B589" s="25" t="s">
        <v>263</v>
      </c>
      <c r="C589" s="2">
        <v>2</v>
      </c>
      <c r="D589" s="33"/>
      <c r="E589" s="4">
        <f t="shared" si="58"/>
        <v>2</v>
      </c>
      <c r="F589" s="61">
        <v>44225</v>
      </c>
      <c r="G589" s="13"/>
      <c r="H589" s="2"/>
      <c r="I589" s="33"/>
      <c r="J589" s="4">
        <f t="shared" si="56"/>
        <v>0</v>
      </c>
      <c r="L589" s="13"/>
      <c r="M589" s="2"/>
      <c r="N589" s="33"/>
      <c r="O589" s="4">
        <f t="shared" si="57"/>
        <v>0</v>
      </c>
    </row>
    <row r="590" spans="2:16" x14ac:dyDescent="0.15">
      <c r="B590" s="13" t="s">
        <v>5</v>
      </c>
      <c r="C590" s="14">
        <v>-100</v>
      </c>
      <c r="D590" s="31"/>
      <c r="E590" s="15">
        <f t="shared" si="58"/>
        <v>-100</v>
      </c>
      <c r="F590" s="61">
        <v>44226</v>
      </c>
      <c r="G590" s="25"/>
      <c r="H590" s="2"/>
      <c r="I590" s="33"/>
      <c r="J590" s="4">
        <f t="shared" si="56"/>
        <v>0</v>
      </c>
      <c r="L590" s="25"/>
      <c r="M590" s="2"/>
      <c r="N590" s="33"/>
      <c r="O590" s="4">
        <f t="shared" si="57"/>
        <v>0</v>
      </c>
    </row>
    <row r="591" spans="2:16" x14ac:dyDescent="0.15">
      <c r="B591" s="13" t="s">
        <v>297</v>
      </c>
      <c r="C591" s="14">
        <v>1</v>
      </c>
      <c r="D591" s="31"/>
      <c r="E591" s="15">
        <f>C591+D591</f>
        <v>1</v>
      </c>
      <c r="F591" s="61">
        <v>44229</v>
      </c>
      <c r="G591" s="25"/>
      <c r="H591" s="14"/>
      <c r="I591" s="31"/>
      <c r="J591" s="15">
        <f t="shared" si="56"/>
        <v>0</v>
      </c>
      <c r="L591" s="25"/>
      <c r="M591" s="14"/>
      <c r="N591" s="31"/>
      <c r="O591" s="15">
        <f t="shared" si="57"/>
        <v>0</v>
      </c>
    </row>
    <row r="592" spans="2:16" x14ac:dyDescent="0.15">
      <c r="B592" s="25" t="s">
        <v>263</v>
      </c>
      <c r="C592" s="14">
        <v>1</v>
      </c>
      <c r="D592" s="31"/>
      <c r="E592" s="15">
        <f t="shared" si="58"/>
        <v>1</v>
      </c>
      <c r="F592" s="61">
        <v>44228</v>
      </c>
      <c r="G592" s="13"/>
      <c r="H592" s="14"/>
      <c r="I592" s="31"/>
      <c r="J592" s="15">
        <f t="shared" ref="J592:J598" si="59">H592+I592</f>
        <v>0</v>
      </c>
      <c r="L592" s="25"/>
      <c r="M592" s="14"/>
      <c r="N592" s="31"/>
      <c r="O592" s="15">
        <f t="shared" si="57"/>
        <v>0</v>
      </c>
    </row>
    <row r="593" spans="2:16" x14ac:dyDescent="0.15">
      <c r="B593" s="25" t="s">
        <v>299</v>
      </c>
      <c r="C593" s="14">
        <v>5</v>
      </c>
      <c r="D593" s="31"/>
      <c r="E593" s="15">
        <f t="shared" si="58"/>
        <v>5</v>
      </c>
      <c r="F593" s="61">
        <v>44235</v>
      </c>
      <c r="G593" s="13"/>
      <c r="H593" s="14"/>
      <c r="I593" s="31"/>
      <c r="J593" s="15">
        <f>H593+I593</f>
        <v>0</v>
      </c>
      <c r="L593" s="13"/>
      <c r="M593" s="2"/>
      <c r="N593" s="33"/>
      <c r="O593" s="15">
        <f t="shared" si="57"/>
        <v>0</v>
      </c>
    </row>
    <row r="594" spans="2:16" x14ac:dyDescent="0.15">
      <c r="B594" s="25" t="s">
        <v>263</v>
      </c>
      <c r="C594" s="14">
        <v>1</v>
      </c>
      <c r="D594" s="31"/>
      <c r="E594" s="15">
        <f>C594+D594</f>
        <v>1</v>
      </c>
      <c r="F594" s="61">
        <v>44229</v>
      </c>
      <c r="G594" s="13"/>
      <c r="H594" s="14"/>
      <c r="I594" s="31"/>
      <c r="J594" s="15">
        <f>H594+I594</f>
        <v>0</v>
      </c>
      <c r="L594" s="13"/>
      <c r="M594" s="2"/>
      <c r="N594" s="33"/>
      <c r="O594" s="15">
        <f t="shared" si="57"/>
        <v>0</v>
      </c>
    </row>
    <row r="595" spans="2:16" x14ac:dyDescent="0.15">
      <c r="B595" s="5" t="s">
        <v>300</v>
      </c>
      <c r="C595" s="14">
        <v>40</v>
      </c>
      <c r="D595" s="31"/>
      <c r="E595" s="15">
        <f>C595+D595</f>
        <v>40</v>
      </c>
      <c r="F595" s="61">
        <v>44232</v>
      </c>
      <c r="G595" s="13" t="s">
        <v>89</v>
      </c>
      <c r="H595" s="27"/>
      <c r="I595" s="36"/>
      <c r="J595" s="28">
        <f>H595+I595</f>
        <v>0</v>
      </c>
      <c r="K595" s="60" t="s">
        <v>167</v>
      </c>
      <c r="L595" s="25"/>
      <c r="M595" s="14"/>
      <c r="N595" s="31"/>
      <c r="O595" s="15">
        <f t="shared" si="57"/>
        <v>0</v>
      </c>
    </row>
    <row r="596" spans="2:16" ht="14.25" thickBot="1" x14ac:dyDescent="0.2">
      <c r="B596" s="25" t="s">
        <v>263</v>
      </c>
      <c r="C596" s="14">
        <v>2</v>
      </c>
      <c r="D596" s="31"/>
      <c r="E596" s="15">
        <f>C596+D596</f>
        <v>2</v>
      </c>
      <c r="F596" s="61">
        <v>44230</v>
      </c>
      <c r="G596" s="25" t="s">
        <v>196</v>
      </c>
      <c r="H596" s="14"/>
      <c r="I596" s="31"/>
      <c r="J596" s="15">
        <f>H596+I596</f>
        <v>0</v>
      </c>
      <c r="K596" s="61" t="s">
        <v>240</v>
      </c>
      <c r="L596" s="13"/>
      <c r="M596" s="27"/>
      <c r="N596" s="36"/>
      <c r="O596" s="28">
        <f t="shared" si="57"/>
        <v>0</v>
      </c>
    </row>
    <row r="597" spans="2:16" ht="14.25" thickBot="1" x14ac:dyDescent="0.2">
      <c r="B597" s="8" t="s">
        <v>2</v>
      </c>
      <c r="C597" s="10">
        <f>SUM(C572:C596)</f>
        <v>28</v>
      </c>
      <c r="D597" s="32">
        <f>SUM(D572:D596)</f>
        <v>96</v>
      </c>
      <c r="E597" s="11">
        <f>C597+D597</f>
        <v>124</v>
      </c>
      <c r="G597" s="8" t="s">
        <v>2</v>
      </c>
      <c r="H597" s="10">
        <f>SUM(H572:H596)</f>
        <v>1331</v>
      </c>
      <c r="I597" s="32">
        <f>SUM(I572:I596)</f>
        <v>660</v>
      </c>
      <c r="J597" s="11">
        <f t="shared" si="59"/>
        <v>1991</v>
      </c>
      <c r="L597" s="8" t="s">
        <v>2</v>
      </c>
      <c r="M597" s="10">
        <f>SUM(M572:M596)</f>
        <v>1000</v>
      </c>
      <c r="N597" s="32">
        <f>SUM(N572:N596)</f>
        <v>3000</v>
      </c>
      <c r="O597" s="11">
        <f t="shared" si="57"/>
        <v>4000</v>
      </c>
    </row>
    <row r="598" spans="2:16" ht="14.25" thickBot="1" x14ac:dyDescent="0.2">
      <c r="B598" s="52" t="s">
        <v>3</v>
      </c>
      <c r="C598" s="53">
        <f>+C571-C597</f>
        <v>90</v>
      </c>
      <c r="D598" s="54">
        <f>+D571-D597</f>
        <v>129</v>
      </c>
      <c r="E598" s="55">
        <f>C598+D598</f>
        <v>219</v>
      </c>
      <c r="G598" s="52" t="s">
        <v>3</v>
      </c>
      <c r="H598" s="53">
        <f>+H571-H597</f>
        <v>1359</v>
      </c>
      <c r="I598" s="54">
        <f>+I571-I597</f>
        <v>2440</v>
      </c>
      <c r="J598" s="55">
        <f t="shared" si="59"/>
        <v>3799</v>
      </c>
      <c r="L598" s="52" t="s">
        <v>3</v>
      </c>
      <c r="M598" s="53">
        <f>+M571-M597</f>
        <v>0</v>
      </c>
      <c r="N598" s="54">
        <f>+N571-N597</f>
        <v>0</v>
      </c>
      <c r="O598" s="55">
        <f t="shared" si="57"/>
        <v>0</v>
      </c>
    </row>
    <row r="600" spans="2:16" ht="21" x14ac:dyDescent="0.2">
      <c r="B600" s="76" t="s">
        <v>150</v>
      </c>
      <c r="G600" s="75" t="s">
        <v>149</v>
      </c>
      <c r="L600" s="75" t="s">
        <v>151</v>
      </c>
    </row>
    <row r="601" spans="2:16" ht="18.75" x14ac:dyDescent="0.2">
      <c r="B601" s="3" t="s">
        <v>11</v>
      </c>
      <c r="E601" s="71"/>
      <c r="G601" s="3" t="s">
        <v>11</v>
      </c>
      <c r="L601" s="3" t="s">
        <v>11</v>
      </c>
    </row>
    <row r="602" spans="2:16" ht="14.25" thickBot="1" x14ac:dyDescent="0.2">
      <c r="G602" s="1"/>
      <c r="L602" s="1"/>
    </row>
    <row r="603" spans="2:16" ht="14.25" thickBot="1" x14ac:dyDescent="0.2">
      <c r="B603" s="7"/>
      <c r="C603" s="67"/>
      <c r="D603" s="68"/>
      <c r="E603" s="69"/>
      <c r="G603" s="7"/>
      <c r="H603" s="67"/>
      <c r="I603" s="68"/>
      <c r="J603" s="69"/>
      <c r="L603" s="7"/>
      <c r="M603" s="67"/>
      <c r="N603" s="68"/>
      <c r="O603" s="69"/>
    </row>
    <row r="604" spans="2:16" ht="14.25" thickBot="1" x14ac:dyDescent="0.2">
      <c r="B604" s="8"/>
      <c r="C604" s="40" t="s">
        <v>7</v>
      </c>
      <c r="D604" s="29" t="s">
        <v>9</v>
      </c>
      <c r="E604" s="9" t="s">
        <v>0</v>
      </c>
      <c r="G604" s="8"/>
      <c r="H604" s="40" t="s">
        <v>7</v>
      </c>
      <c r="I604" s="29" t="s">
        <v>9</v>
      </c>
      <c r="J604" s="9" t="s">
        <v>0</v>
      </c>
      <c r="L604" s="8"/>
      <c r="M604" s="40" t="s">
        <v>7</v>
      </c>
      <c r="N604" s="29" t="s">
        <v>9</v>
      </c>
      <c r="O604" s="9" t="s">
        <v>0</v>
      </c>
    </row>
    <row r="605" spans="2:16" x14ac:dyDescent="0.15">
      <c r="B605" s="16" t="s">
        <v>4</v>
      </c>
      <c r="C605" s="17">
        <f>C598</f>
        <v>90</v>
      </c>
      <c r="D605" s="35">
        <f>D598</f>
        <v>129</v>
      </c>
      <c r="E605" s="18">
        <f t="shared" ref="E605:E611" si="60">C605+D605</f>
        <v>219</v>
      </c>
      <c r="G605" s="16" t="s">
        <v>4</v>
      </c>
      <c r="H605" s="17">
        <f>H598</f>
        <v>1359</v>
      </c>
      <c r="I605" s="35">
        <f>I598</f>
        <v>2440</v>
      </c>
      <c r="J605" s="18">
        <f t="shared" ref="J605:J637" si="61">H605+I605</f>
        <v>3799</v>
      </c>
      <c r="L605" s="16" t="s">
        <v>4</v>
      </c>
      <c r="M605" s="17">
        <f>M598</f>
        <v>0</v>
      </c>
      <c r="N605" s="35">
        <f>N598</f>
        <v>0</v>
      </c>
      <c r="O605" s="18">
        <f t="shared" ref="O605:O638" si="62">M605+N605</f>
        <v>0</v>
      </c>
    </row>
    <row r="606" spans="2:16" x14ac:dyDescent="0.15">
      <c r="B606" s="25" t="s">
        <v>5</v>
      </c>
      <c r="C606" s="14">
        <v>100</v>
      </c>
      <c r="D606" s="31">
        <v>100</v>
      </c>
      <c r="E606" s="23">
        <f t="shared" si="60"/>
        <v>200</v>
      </c>
      <c r="F606" s="61">
        <v>44232</v>
      </c>
      <c r="G606" s="25" t="s">
        <v>5</v>
      </c>
      <c r="H606" s="14">
        <v>1420</v>
      </c>
      <c r="I606" s="31"/>
      <c r="J606" s="23">
        <f t="shared" si="61"/>
        <v>1420</v>
      </c>
      <c r="K606" s="61">
        <v>44236</v>
      </c>
      <c r="L606" s="25" t="s">
        <v>5</v>
      </c>
      <c r="M606" s="14"/>
      <c r="N606" s="31"/>
      <c r="O606" s="23">
        <f t="shared" si="62"/>
        <v>0</v>
      </c>
    </row>
    <row r="607" spans="2:16" x14ac:dyDescent="0.15">
      <c r="B607" s="26" t="s">
        <v>5</v>
      </c>
      <c r="C607" s="27">
        <v>199</v>
      </c>
      <c r="D607" s="36"/>
      <c r="E607" s="28">
        <f t="shared" si="60"/>
        <v>199</v>
      </c>
      <c r="F607" s="61">
        <v>44243</v>
      </c>
      <c r="G607" s="25" t="s">
        <v>5</v>
      </c>
      <c r="H607" s="27">
        <v>730</v>
      </c>
      <c r="I607" s="36"/>
      <c r="J607" s="28">
        <f t="shared" si="61"/>
        <v>730</v>
      </c>
      <c r="K607" s="61">
        <v>44239</v>
      </c>
      <c r="L607" s="25" t="s">
        <v>5</v>
      </c>
      <c r="M607" s="27">
        <v>3000</v>
      </c>
      <c r="N607" s="36"/>
      <c r="O607" s="28">
        <f t="shared" si="62"/>
        <v>3000</v>
      </c>
      <c r="P607" t="s">
        <v>251</v>
      </c>
    </row>
    <row r="608" spans="2:16" x14ac:dyDescent="0.15">
      <c r="B608" s="26" t="s">
        <v>294</v>
      </c>
      <c r="C608" s="27">
        <v>1</v>
      </c>
      <c r="D608" s="36"/>
      <c r="E608" s="28">
        <f t="shared" si="60"/>
        <v>1</v>
      </c>
      <c r="F608" s="61">
        <v>44251</v>
      </c>
      <c r="G608" s="25" t="s">
        <v>5</v>
      </c>
      <c r="H608" s="14">
        <v>850</v>
      </c>
      <c r="I608" s="31"/>
      <c r="J608" s="15">
        <f t="shared" si="61"/>
        <v>850</v>
      </c>
      <c r="K608" s="61">
        <v>44242</v>
      </c>
      <c r="L608" s="25" t="s">
        <v>5</v>
      </c>
      <c r="M608" s="14">
        <v>2000</v>
      </c>
      <c r="N608" s="31"/>
      <c r="O608" s="15">
        <f t="shared" si="62"/>
        <v>2000</v>
      </c>
      <c r="P608" t="s">
        <v>250</v>
      </c>
    </row>
    <row r="609" spans="2:16" x14ac:dyDescent="0.15">
      <c r="B609" s="26" t="s">
        <v>86</v>
      </c>
      <c r="C609" s="27">
        <v>9</v>
      </c>
      <c r="D609" s="36">
        <v>5</v>
      </c>
      <c r="E609" s="28">
        <f t="shared" si="60"/>
        <v>14</v>
      </c>
      <c r="F609" s="61">
        <v>44251</v>
      </c>
      <c r="G609" s="25" t="s">
        <v>5</v>
      </c>
      <c r="H609" s="14">
        <v>700</v>
      </c>
      <c r="I609" s="31"/>
      <c r="J609" s="15">
        <f t="shared" si="61"/>
        <v>700</v>
      </c>
      <c r="K609" s="61">
        <v>44252</v>
      </c>
      <c r="L609" s="25" t="s">
        <v>5</v>
      </c>
      <c r="M609" s="14"/>
      <c r="N609" s="31">
        <v>500</v>
      </c>
      <c r="O609" s="15">
        <f t="shared" si="62"/>
        <v>500</v>
      </c>
      <c r="P609" t="s">
        <v>249</v>
      </c>
    </row>
    <row r="610" spans="2:16" ht="14.25" thickBot="1" x14ac:dyDescent="0.2">
      <c r="B610" s="26" t="s">
        <v>5</v>
      </c>
      <c r="C610" s="14"/>
      <c r="D610" s="31"/>
      <c r="E610" s="15">
        <f t="shared" si="60"/>
        <v>0</v>
      </c>
      <c r="G610" s="25" t="s">
        <v>5</v>
      </c>
      <c r="H610" s="14">
        <v>1300</v>
      </c>
      <c r="I610" s="31">
        <v>500</v>
      </c>
      <c r="J610" s="15">
        <f t="shared" si="61"/>
        <v>1800</v>
      </c>
      <c r="K610" s="61">
        <v>44256</v>
      </c>
      <c r="L610" s="25" t="s">
        <v>5</v>
      </c>
      <c r="M610" s="14"/>
      <c r="N610" s="31"/>
      <c r="O610" s="15">
        <f t="shared" si="62"/>
        <v>0</v>
      </c>
    </row>
    <row r="611" spans="2:16" ht="14.25" thickBot="1" x14ac:dyDescent="0.2">
      <c r="B611" s="8" t="s">
        <v>1</v>
      </c>
      <c r="C611" s="10">
        <f>SUM(C605:C610)</f>
        <v>399</v>
      </c>
      <c r="D611" s="32">
        <f>SUM(D605:D610)</f>
        <v>234</v>
      </c>
      <c r="E611" s="11">
        <f t="shared" si="60"/>
        <v>633</v>
      </c>
      <c r="G611" s="8" t="s">
        <v>1</v>
      </c>
      <c r="H611" s="10">
        <f>SUM(H605:H610)</f>
        <v>6359</v>
      </c>
      <c r="I611" s="32">
        <f>SUM(I605:I610)</f>
        <v>2940</v>
      </c>
      <c r="J611" s="11">
        <f t="shared" si="61"/>
        <v>9299</v>
      </c>
      <c r="L611" s="8" t="s">
        <v>1</v>
      </c>
      <c r="M611" s="10">
        <f>SUM(M605:M610)</f>
        <v>5000</v>
      </c>
      <c r="N611" s="32">
        <f>SUM(N605:N610)</f>
        <v>500</v>
      </c>
      <c r="O611" s="11">
        <f t="shared" si="62"/>
        <v>5500</v>
      </c>
    </row>
    <row r="612" spans="2:16" x14ac:dyDescent="0.15">
      <c r="B612" s="25" t="s">
        <v>301</v>
      </c>
      <c r="C612" s="14">
        <v>60</v>
      </c>
      <c r="D612" s="31">
        <v>50</v>
      </c>
      <c r="E612" s="15">
        <f>C612+D612</f>
        <v>110</v>
      </c>
      <c r="F612" s="61">
        <v>44232</v>
      </c>
      <c r="G612" s="25" t="s">
        <v>298</v>
      </c>
      <c r="H612" s="14">
        <v>200</v>
      </c>
      <c r="I612" s="31"/>
      <c r="J612" s="15">
        <f t="shared" si="61"/>
        <v>200</v>
      </c>
      <c r="K612" s="61">
        <v>44238</v>
      </c>
      <c r="L612" s="13" t="s">
        <v>304</v>
      </c>
      <c r="M612" s="14">
        <v>1420</v>
      </c>
      <c r="N612" s="31"/>
      <c r="O612" s="15">
        <f t="shared" si="62"/>
        <v>1420</v>
      </c>
      <c r="P612" s="77">
        <v>44236</v>
      </c>
    </row>
    <row r="613" spans="2:16" x14ac:dyDescent="0.15">
      <c r="B613" s="25" t="s">
        <v>263</v>
      </c>
      <c r="C613" s="2">
        <v>1</v>
      </c>
      <c r="D613" s="33">
        <v>3</v>
      </c>
      <c r="E613" s="4">
        <f t="shared" ref="E613:E633" si="63">C613+D613</f>
        <v>4</v>
      </c>
      <c r="F613" s="61">
        <v>44232</v>
      </c>
      <c r="G613" s="13" t="s">
        <v>302</v>
      </c>
      <c r="H613" s="14">
        <v>100</v>
      </c>
      <c r="I613" s="31">
        <v>100</v>
      </c>
      <c r="J613" s="15">
        <f t="shared" si="61"/>
        <v>200</v>
      </c>
      <c r="K613" s="61">
        <v>44232</v>
      </c>
      <c r="L613" s="13" t="s">
        <v>157</v>
      </c>
      <c r="M613" s="14">
        <v>730</v>
      </c>
      <c r="N613" s="31"/>
      <c r="O613" s="15">
        <f t="shared" si="62"/>
        <v>730</v>
      </c>
      <c r="P613" s="77">
        <v>44239</v>
      </c>
    </row>
    <row r="614" spans="2:16" x14ac:dyDescent="0.15">
      <c r="B614" s="25" t="s">
        <v>263</v>
      </c>
      <c r="C614" s="14">
        <v>1</v>
      </c>
      <c r="D614" s="31">
        <f>1+1</f>
        <v>2</v>
      </c>
      <c r="E614" s="15">
        <f t="shared" si="63"/>
        <v>3</v>
      </c>
      <c r="F614" s="61">
        <v>44235</v>
      </c>
      <c r="G614" s="13" t="s">
        <v>303</v>
      </c>
      <c r="H614" s="14">
        <v>1</v>
      </c>
      <c r="I614" s="31"/>
      <c r="J614" s="15">
        <f t="shared" si="61"/>
        <v>1</v>
      </c>
      <c r="K614" s="61">
        <v>44233</v>
      </c>
      <c r="L614" s="13" t="s">
        <v>157</v>
      </c>
      <c r="M614" s="14">
        <v>850</v>
      </c>
      <c r="N614" s="31"/>
      <c r="O614" s="15">
        <f t="shared" si="62"/>
        <v>850</v>
      </c>
      <c r="P614" s="77">
        <v>44242</v>
      </c>
    </row>
    <row r="615" spans="2:16" x14ac:dyDescent="0.15">
      <c r="B615" s="13" t="s">
        <v>315</v>
      </c>
      <c r="C615" s="14"/>
      <c r="D615" s="31">
        <v>1</v>
      </c>
      <c r="E615" s="15">
        <f t="shared" si="63"/>
        <v>1</v>
      </c>
      <c r="F615" s="61">
        <v>44237</v>
      </c>
      <c r="G615" s="13" t="s">
        <v>120</v>
      </c>
      <c r="H615" s="14">
        <v>199</v>
      </c>
      <c r="I615" s="31"/>
      <c r="J615" s="15">
        <f t="shared" si="61"/>
        <v>199</v>
      </c>
      <c r="K615" s="61">
        <v>44243</v>
      </c>
      <c r="L615" s="13" t="s">
        <v>157</v>
      </c>
      <c r="M615" s="14">
        <v>700</v>
      </c>
      <c r="N615" s="31"/>
      <c r="O615" s="15">
        <f t="shared" si="62"/>
        <v>700</v>
      </c>
      <c r="P615" s="77">
        <v>44252</v>
      </c>
    </row>
    <row r="616" spans="2:16" x14ac:dyDescent="0.15">
      <c r="B616" s="25" t="s">
        <v>263</v>
      </c>
      <c r="C616" s="2">
        <v>1</v>
      </c>
      <c r="D616" s="33"/>
      <c r="E616" s="4">
        <f t="shared" si="63"/>
        <v>1</v>
      </c>
      <c r="F616" s="61">
        <v>44236</v>
      </c>
      <c r="G616" s="25" t="s">
        <v>310</v>
      </c>
      <c r="H616" s="14">
        <v>400</v>
      </c>
      <c r="I616" s="31"/>
      <c r="J616" s="15">
        <f t="shared" si="61"/>
        <v>400</v>
      </c>
      <c r="K616" s="61">
        <v>44251</v>
      </c>
      <c r="L616" s="13" t="s">
        <v>157</v>
      </c>
      <c r="M616" s="14">
        <v>1300</v>
      </c>
      <c r="N616" s="31">
        <v>500</v>
      </c>
      <c r="O616" s="15">
        <f t="shared" si="62"/>
        <v>1800</v>
      </c>
      <c r="P616" s="77">
        <v>44256</v>
      </c>
    </row>
    <row r="617" spans="2:16" x14ac:dyDescent="0.15">
      <c r="B617" s="25" t="s">
        <v>263</v>
      </c>
      <c r="C617" s="14"/>
      <c r="D617" s="31">
        <v>1</v>
      </c>
      <c r="E617" s="15">
        <f t="shared" si="63"/>
        <v>1</v>
      </c>
      <c r="F617" s="61">
        <v>44237</v>
      </c>
      <c r="G617" s="25" t="s">
        <v>320</v>
      </c>
      <c r="H617" s="14">
        <v>200</v>
      </c>
      <c r="I617" s="31"/>
      <c r="J617" s="15">
        <f t="shared" si="61"/>
        <v>200</v>
      </c>
      <c r="K617" s="61">
        <v>44253</v>
      </c>
      <c r="L617" s="12"/>
      <c r="M617" s="14"/>
      <c r="N617" s="31"/>
      <c r="O617" s="15">
        <f t="shared" si="62"/>
        <v>0</v>
      </c>
    </row>
    <row r="618" spans="2:16" x14ac:dyDescent="0.15">
      <c r="B618" s="25" t="s">
        <v>263</v>
      </c>
      <c r="C618" s="2">
        <f>1+2</f>
        <v>3</v>
      </c>
      <c r="D618" s="33">
        <f>1+1</f>
        <v>2</v>
      </c>
      <c r="E618" s="4">
        <f t="shared" si="63"/>
        <v>5</v>
      </c>
      <c r="F618" s="61">
        <v>44239</v>
      </c>
      <c r="G618" s="13"/>
      <c r="H618" s="2"/>
      <c r="I618" s="33"/>
      <c r="J618" s="4">
        <f t="shared" si="61"/>
        <v>0</v>
      </c>
      <c r="L618" s="13"/>
      <c r="M618" s="2"/>
      <c r="N618" s="33"/>
      <c r="O618" s="4">
        <f t="shared" si="62"/>
        <v>0</v>
      </c>
    </row>
    <row r="619" spans="2:16" x14ac:dyDescent="0.15">
      <c r="B619" s="13" t="s">
        <v>308</v>
      </c>
      <c r="C619" s="14">
        <v>34</v>
      </c>
      <c r="D619" s="31"/>
      <c r="E619" s="15">
        <f t="shared" si="63"/>
        <v>34</v>
      </c>
      <c r="F619" s="61">
        <v>44243</v>
      </c>
      <c r="G619" s="13"/>
      <c r="H619" s="2"/>
      <c r="I619" s="33"/>
      <c r="J619" s="4">
        <f t="shared" si="61"/>
        <v>0</v>
      </c>
      <c r="L619" s="13"/>
      <c r="M619" s="2"/>
      <c r="N619" s="33"/>
      <c r="O619" s="4">
        <f t="shared" si="62"/>
        <v>0</v>
      </c>
    </row>
    <row r="620" spans="2:16" x14ac:dyDescent="0.15">
      <c r="B620" s="25" t="s">
        <v>309</v>
      </c>
      <c r="C620" s="14">
        <v>50</v>
      </c>
      <c r="D620" s="31"/>
      <c r="E620" s="15">
        <f t="shared" si="63"/>
        <v>50</v>
      </c>
      <c r="F620" s="61">
        <v>44243</v>
      </c>
      <c r="G620" s="13"/>
      <c r="H620" s="2"/>
      <c r="I620" s="33"/>
      <c r="J620" s="4">
        <f t="shared" si="61"/>
        <v>0</v>
      </c>
      <c r="L620" s="13"/>
      <c r="M620" s="2"/>
      <c r="N620" s="33"/>
      <c r="O620" s="4">
        <f t="shared" si="62"/>
        <v>0</v>
      </c>
    </row>
    <row r="621" spans="2:16" x14ac:dyDescent="0.15">
      <c r="B621" s="25" t="s">
        <v>263</v>
      </c>
      <c r="C621" s="2">
        <v>6</v>
      </c>
      <c r="D621" s="33">
        <v>1</v>
      </c>
      <c r="E621" s="4">
        <f t="shared" si="63"/>
        <v>7</v>
      </c>
      <c r="F621" s="61">
        <v>44242</v>
      </c>
      <c r="G621" s="13"/>
      <c r="H621" s="2"/>
      <c r="I621" s="33"/>
      <c r="J621" s="4">
        <f t="shared" si="61"/>
        <v>0</v>
      </c>
      <c r="L621" s="13"/>
      <c r="M621" s="2"/>
      <c r="N621" s="33"/>
      <c r="O621" s="4">
        <f t="shared" si="62"/>
        <v>0</v>
      </c>
    </row>
    <row r="622" spans="2:16" x14ac:dyDescent="0.15">
      <c r="B622" s="25" t="s">
        <v>263</v>
      </c>
      <c r="C622" s="2">
        <v>2</v>
      </c>
      <c r="D622" s="33">
        <v>1</v>
      </c>
      <c r="E622" s="4">
        <f t="shared" si="63"/>
        <v>3</v>
      </c>
      <c r="F622" s="61">
        <v>44243</v>
      </c>
      <c r="G622" s="13"/>
      <c r="H622" s="2"/>
      <c r="I622" s="33"/>
      <c r="J622" s="4">
        <f t="shared" si="61"/>
        <v>0</v>
      </c>
      <c r="L622" s="13"/>
      <c r="M622" s="2"/>
      <c r="N622" s="33"/>
      <c r="O622" s="4">
        <f t="shared" si="62"/>
        <v>0</v>
      </c>
    </row>
    <row r="623" spans="2:16" x14ac:dyDescent="0.15">
      <c r="B623" s="25" t="s">
        <v>311</v>
      </c>
      <c r="C623" s="14"/>
      <c r="D623" s="31">
        <v>5</v>
      </c>
      <c r="E623" s="15">
        <f t="shared" si="63"/>
        <v>5</v>
      </c>
      <c r="F623" s="61">
        <v>44251</v>
      </c>
      <c r="G623" s="13"/>
      <c r="H623" s="2"/>
      <c r="I623" s="33"/>
      <c r="J623" s="4">
        <f t="shared" si="61"/>
        <v>0</v>
      </c>
      <c r="L623" s="13"/>
      <c r="M623" s="2"/>
      <c r="N623" s="33"/>
      <c r="O623" s="4">
        <f t="shared" si="62"/>
        <v>0</v>
      </c>
    </row>
    <row r="624" spans="2:16" x14ac:dyDescent="0.15">
      <c r="B624" s="25" t="s">
        <v>263</v>
      </c>
      <c r="C624" s="2">
        <v>2</v>
      </c>
      <c r="D624" s="33"/>
      <c r="E624" s="4">
        <f t="shared" si="63"/>
        <v>2</v>
      </c>
      <c r="F624" s="61">
        <v>44244</v>
      </c>
      <c r="G624" s="13"/>
      <c r="H624" s="2"/>
      <c r="I624" s="33"/>
      <c r="J624" s="4">
        <f t="shared" si="61"/>
        <v>0</v>
      </c>
      <c r="L624" s="13"/>
      <c r="M624" s="2"/>
      <c r="N624" s="33"/>
      <c r="O624" s="4">
        <f t="shared" si="62"/>
        <v>0</v>
      </c>
    </row>
    <row r="625" spans="2:15" x14ac:dyDescent="0.15">
      <c r="B625" s="25" t="s">
        <v>263</v>
      </c>
      <c r="C625" s="2">
        <v>1</v>
      </c>
      <c r="D625" s="33">
        <v>3</v>
      </c>
      <c r="E625" s="4">
        <f t="shared" si="63"/>
        <v>4</v>
      </c>
      <c r="F625" s="61">
        <v>44245</v>
      </c>
      <c r="G625" s="25"/>
      <c r="H625" s="2"/>
      <c r="I625" s="33"/>
      <c r="J625" s="4">
        <f t="shared" si="61"/>
        <v>0</v>
      </c>
      <c r="L625" s="25"/>
      <c r="M625" s="2"/>
      <c r="N625" s="33"/>
      <c r="O625" s="4">
        <f t="shared" si="62"/>
        <v>0</v>
      </c>
    </row>
    <row r="626" spans="2:15" x14ac:dyDescent="0.15">
      <c r="B626" s="13" t="s">
        <v>316</v>
      </c>
      <c r="C626" s="14">
        <v>1</v>
      </c>
      <c r="D626" s="31"/>
      <c r="E626" s="15">
        <f t="shared" si="63"/>
        <v>1</v>
      </c>
      <c r="F626" s="61">
        <v>44250</v>
      </c>
      <c r="G626" s="25"/>
      <c r="H626" s="2"/>
      <c r="I626" s="33"/>
      <c r="J626" s="4">
        <f t="shared" si="61"/>
        <v>0</v>
      </c>
      <c r="L626" s="25"/>
      <c r="M626" s="2"/>
      <c r="N626" s="33"/>
      <c r="O626" s="4">
        <f t="shared" si="62"/>
        <v>0</v>
      </c>
    </row>
    <row r="627" spans="2:15" x14ac:dyDescent="0.15">
      <c r="B627" s="13" t="s">
        <v>317</v>
      </c>
      <c r="C627" s="14">
        <v>45</v>
      </c>
      <c r="D627" s="31"/>
      <c r="E627" s="15">
        <f t="shared" si="63"/>
        <v>45</v>
      </c>
      <c r="F627" s="61">
        <v>44247</v>
      </c>
      <c r="G627" s="25"/>
      <c r="H627" s="2"/>
      <c r="I627" s="33"/>
      <c r="J627" s="4">
        <f t="shared" si="61"/>
        <v>0</v>
      </c>
      <c r="L627" s="25"/>
      <c r="M627" s="2"/>
      <c r="N627" s="33"/>
      <c r="O627" s="4">
        <f t="shared" si="62"/>
        <v>0</v>
      </c>
    </row>
    <row r="628" spans="2:15" x14ac:dyDescent="0.15">
      <c r="B628" s="25" t="s">
        <v>263</v>
      </c>
      <c r="C628" s="2">
        <v>2</v>
      </c>
      <c r="D628" s="33">
        <f>2+1</f>
        <v>3</v>
      </c>
      <c r="E628" s="4">
        <f t="shared" si="63"/>
        <v>5</v>
      </c>
      <c r="F628" s="61">
        <v>44246</v>
      </c>
      <c r="G628" s="25"/>
      <c r="H628" s="2"/>
      <c r="I628" s="33"/>
      <c r="J628" s="4">
        <f t="shared" si="61"/>
        <v>0</v>
      </c>
      <c r="L628" s="25"/>
      <c r="M628" s="2"/>
      <c r="N628" s="33"/>
      <c r="O628" s="4">
        <f t="shared" si="62"/>
        <v>0</v>
      </c>
    </row>
    <row r="629" spans="2:15" x14ac:dyDescent="0.15">
      <c r="B629" s="25" t="s">
        <v>318</v>
      </c>
      <c r="C629" s="14">
        <v>50</v>
      </c>
      <c r="D629" s="31">
        <v>50</v>
      </c>
      <c r="E629" s="15">
        <f t="shared" si="63"/>
        <v>100</v>
      </c>
      <c r="F629" s="61">
        <v>44251</v>
      </c>
      <c r="G629" s="13"/>
      <c r="H629" s="2"/>
      <c r="I629" s="33"/>
      <c r="J629" s="4">
        <f t="shared" si="61"/>
        <v>0</v>
      </c>
      <c r="L629" s="13"/>
      <c r="M629" s="2"/>
      <c r="N629" s="33"/>
      <c r="O629" s="4">
        <f t="shared" si="62"/>
        <v>0</v>
      </c>
    </row>
    <row r="630" spans="2:15" x14ac:dyDescent="0.15">
      <c r="B630" s="25" t="s">
        <v>263</v>
      </c>
      <c r="C630" s="2">
        <f>1+2</f>
        <v>3</v>
      </c>
      <c r="D630" s="33">
        <v>2</v>
      </c>
      <c r="E630" s="4">
        <f t="shared" si="63"/>
        <v>5</v>
      </c>
      <c r="F630" s="61">
        <v>44249</v>
      </c>
      <c r="G630" s="25"/>
      <c r="H630" s="2"/>
      <c r="I630" s="33"/>
      <c r="J630" s="4">
        <f t="shared" si="61"/>
        <v>0</v>
      </c>
      <c r="L630" s="25"/>
      <c r="M630" s="2"/>
      <c r="N630" s="33"/>
      <c r="O630" s="4">
        <f t="shared" si="62"/>
        <v>0</v>
      </c>
    </row>
    <row r="631" spans="2:15" x14ac:dyDescent="0.15">
      <c r="B631" s="25" t="s">
        <v>263</v>
      </c>
      <c r="C631" s="14">
        <v>3</v>
      </c>
      <c r="D631" s="31">
        <v>1</v>
      </c>
      <c r="E631" s="15">
        <f t="shared" si="63"/>
        <v>4</v>
      </c>
      <c r="F631" s="61">
        <v>44251</v>
      </c>
      <c r="G631" s="25"/>
      <c r="H631" s="14"/>
      <c r="I631" s="31"/>
      <c r="J631" s="15">
        <f t="shared" si="61"/>
        <v>0</v>
      </c>
      <c r="L631" s="25"/>
      <c r="M631" s="14"/>
      <c r="N631" s="31"/>
      <c r="O631" s="15">
        <f t="shared" si="62"/>
        <v>0</v>
      </c>
    </row>
    <row r="632" spans="2:15" x14ac:dyDescent="0.15">
      <c r="B632" s="13" t="s">
        <v>321</v>
      </c>
      <c r="C632" s="14"/>
      <c r="D632" s="31">
        <v>1</v>
      </c>
      <c r="E632" s="15">
        <f t="shared" si="63"/>
        <v>1</v>
      </c>
      <c r="F632" s="61">
        <v>44253</v>
      </c>
      <c r="G632" s="13"/>
      <c r="H632" s="14"/>
      <c r="I632" s="31"/>
      <c r="J632" s="15">
        <f t="shared" si="61"/>
        <v>0</v>
      </c>
      <c r="L632" s="25"/>
      <c r="M632" s="14"/>
      <c r="N632" s="31"/>
      <c r="O632" s="15">
        <f t="shared" si="62"/>
        <v>0</v>
      </c>
    </row>
    <row r="633" spans="2:15" x14ac:dyDescent="0.15">
      <c r="B633" s="25" t="s">
        <v>263</v>
      </c>
      <c r="C633" s="14">
        <v>1</v>
      </c>
      <c r="D633" s="31"/>
      <c r="E633" s="15">
        <f t="shared" si="63"/>
        <v>1</v>
      </c>
      <c r="F633" s="61">
        <v>44252</v>
      </c>
      <c r="G633" s="13"/>
      <c r="H633" s="14"/>
      <c r="I633" s="31"/>
      <c r="J633" s="15">
        <f>H633+I633</f>
        <v>0</v>
      </c>
      <c r="K633" s="61"/>
      <c r="L633" s="13"/>
      <c r="M633" s="2"/>
      <c r="N633" s="33"/>
      <c r="O633" s="15">
        <f t="shared" si="62"/>
        <v>0</v>
      </c>
    </row>
    <row r="634" spans="2:15" x14ac:dyDescent="0.15">
      <c r="B634" s="13" t="s">
        <v>322</v>
      </c>
      <c r="C634" s="14">
        <v>1</v>
      </c>
      <c r="D634" s="31">
        <v>1</v>
      </c>
      <c r="E634" s="15">
        <f>C634+D634</f>
        <v>2</v>
      </c>
      <c r="F634" s="61">
        <v>44254</v>
      </c>
      <c r="G634" s="25" t="s">
        <v>180</v>
      </c>
      <c r="H634" s="14"/>
      <c r="I634" s="31">
        <v>0</v>
      </c>
      <c r="J634" s="15">
        <f>H634+I634</f>
        <v>0</v>
      </c>
      <c r="K634" s="61" t="s">
        <v>265</v>
      </c>
      <c r="L634" s="13"/>
      <c r="M634" s="2"/>
      <c r="N634" s="33"/>
      <c r="O634" s="15">
        <f t="shared" si="62"/>
        <v>0</v>
      </c>
    </row>
    <row r="635" spans="2:15" x14ac:dyDescent="0.15">
      <c r="B635" s="25" t="s">
        <v>263</v>
      </c>
      <c r="C635" s="14">
        <f>1+1</f>
        <v>2</v>
      </c>
      <c r="D635" s="31">
        <v>1</v>
      </c>
      <c r="E635" s="15">
        <f t="shared" ref="E635" si="64">C635+D635</f>
        <v>3</v>
      </c>
      <c r="F635" s="61">
        <v>44253</v>
      </c>
      <c r="G635" s="13" t="s">
        <v>230</v>
      </c>
      <c r="H635" s="14"/>
      <c r="I635" s="31"/>
      <c r="J635" s="15">
        <f>H635+I635</f>
        <v>0</v>
      </c>
      <c r="K635" s="60" t="s">
        <v>231</v>
      </c>
      <c r="L635" s="25"/>
      <c r="M635" s="14"/>
      <c r="N635" s="31"/>
      <c r="O635" s="15">
        <f t="shared" si="62"/>
        <v>0</v>
      </c>
    </row>
    <row r="636" spans="2:15" ht="14.25" thickBot="1" x14ac:dyDescent="0.2">
      <c r="B636" s="13" t="s">
        <v>323</v>
      </c>
      <c r="C636" s="14">
        <v>3</v>
      </c>
      <c r="D636" s="31">
        <v>2</v>
      </c>
      <c r="E636" s="15">
        <f>C636+D636</f>
        <v>5</v>
      </c>
      <c r="F636" s="61">
        <v>44257</v>
      </c>
      <c r="G636" s="13" t="s">
        <v>211</v>
      </c>
      <c r="H636" s="14"/>
      <c r="I636" s="31"/>
      <c r="J636" s="15">
        <f>H636+I636</f>
        <v>0</v>
      </c>
      <c r="K636" s="60" t="s">
        <v>212</v>
      </c>
      <c r="L636" s="13"/>
      <c r="M636" s="27"/>
      <c r="N636" s="36"/>
      <c r="O636" s="28">
        <f t="shared" si="62"/>
        <v>0</v>
      </c>
    </row>
    <row r="637" spans="2:15" ht="14.25" thickBot="1" x14ac:dyDescent="0.2">
      <c r="B637" s="8" t="s">
        <v>2</v>
      </c>
      <c r="C637" s="10">
        <f>SUM(C612:C636)</f>
        <v>272</v>
      </c>
      <c r="D637" s="32">
        <f>SUM(D612:D636)</f>
        <v>130</v>
      </c>
      <c r="E637" s="11">
        <f>C637+D637</f>
        <v>402</v>
      </c>
      <c r="G637" s="7" t="s">
        <v>2</v>
      </c>
      <c r="H637" s="85">
        <f>SUM(H612:H636)</f>
        <v>1100</v>
      </c>
      <c r="I637" s="86">
        <f>SUM(I612:I636)</f>
        <v>100</v>
      </c>
      <c r="J637" s="84">
        <f t="shared" si="61"/>
        <v>1200</v>
      </c>
      <c r="L637" s="8" t="s">
        <v>2</v>
      </c>
      <c r="M637" s="10">
        <f>SUM(M612:M636)</f>
        <v>5000</v>
      </c>
      <c r="N637" s="32">
        <f>SUM(N612:N636)</f>
        <v>500</v>
      </c>
      <c r="O637" s="11">
        <f t="shared" si="62"/>
        <v>5500</v>
      </c>
    </row>
    <row r="638" spans="2:15" ht="14.25" thickBot="1" x14ac:dyDescent="0.2">
      <c r="B638" s="52" t="s">
        <v>3</v>
      </c>
      <c r="C638" s="53">
        <f>+C611-C637</f>
        <v>127</v>
      </c>
      <c r="D638" s="54">
        <f>+D611-D637</f>
        <v>104</v>
      </c>
      <c r="E638" s="55">
        <f>C638+D638</f>
        <v>231</v>
      </c>
      <c r="G638" s="99" t="s">
        <v>3</v>
      </c>
      <c r="H638" s="98">
        <f>H611-H637</f>
        <v>5259</v>
      </c>
      <c r="I638" s="97">
        <f>+I611-I637</f>
        <v>2840</v>
      </c>
      <c r="J638" s="88">
        <f>+J611-J637</f>
        <v>8099</v>
      </c>
      <c r="L638" s="52" t="s">
        <v>3</v>
      </c>
      <c r="M638" s="53">
        <f>+M611-M637</f>
        <v>0</v>
      </c>
      <c r="N638" s="54">
        <f>+N611-N637</f>
        <v>0</v>
      </c>
      <c r="O638" s="55">
        <f t="shared" si="62"/>
        <v>0</v>
      </c>
    </row>
    <row r="640" spans="2:15" ht="21" x14ac:dyDescent="0.2">
      <c r="B640" s="76" t="s">
        <v>150</v>
      </c>
      <c r="G640" s="75" t="s">
        <v>149</v>
      </c>
      <c r="L640" s="75" t="s">
        <v>151</v>
      </c>
    </row>
    <row r="641" spans="2:16" ht="18.75" x14ac:dyDescent="0.2">
      <c r="B641" s="3" t="s">
        <v>11</v>
      </c>
      <c r="E641" s="71"/>
      <c r="G641" s="3" t="s">
        <v>11</v>
      </c>
      <c r="L641" s="3" t="s">
        <v>11</v>
      </c>
    </row>
    <row r="642" spans="2:16" ht="14.25" thickBot="1" x14ac:dyDescent="0.2">
      <c r="G642" s="1"/>
      <c r="L642" s="1"/>
    </row>
    <row r="643" spans="2:16" ht="14.25" thickBot="1" x14ac:dyDescent="0.2">
      <c r="B643" s="7"/>
      <c r="C643" s="67"/>
      <c r="D643" s="68"/>
      <c r="E643" s="69"/>
      <c r="G643" s="7"/>
      <c r="H643" s="67"/>
      <c r="I643" s="68"/>
      <c r="J643" s="69"/>
      <c r="L643" s="7"/>
      <c r="M643" s="67"/>
      <c r="N643" s="68"/>
      <c r="O643" s="69"/>
    </row>
    <row r="644" spans="2:16" ht="14.25" thickBot="1" x14ac:dyDescent="0.2">
      <c r="B644" s="8"/>
      <c r="C644" s="40" t="s">
        <v>7</v>
      </c>
      <c r="D644" s="29" t="s">
        <v>9</v>
      </c>
      <c r="E644" s="9" t="s">
        <v>0</v>
      </c>
      <c r="G644" s="8"/>
      <c r="H644" s="40" t="s">
        <v>7</v>
      </c>
      <c r="I644" s="29" t="s">
        <v>9</v>
      </c>
      <c r="J644" s="9" t="s">
        <v>0</v>
      </c>
      <c r="L644" s="8"/>
      <c r="M644" s="40" t="s">
        <v>7</v>
      </c>
      <c r="N644" s="29" t="s">
        <v>9</v>
      </c>
      <c r="O644" s="9" t="s">
        <v>0</v>
      </c>
    </row>
    <row r="645" spans="2:16" x14ac:dyDescent="0.15">
      <c r="B645" s="16" t="s">
        <v>4</v>
      </c>
      <c r="C645" s="17">
        <f>C638</f>
        <v>127</v>
      </c>
      <c r="D645" s="35">
        <f>D638</f>
        <v>104</v>
      </c>
      <c r="E645" s="18">
        <f t="shared" ref="E645:E651" si="65">C645+D645</f>
        <v>231</v>
      </c>
      <c r="G645" s="16" t="s">
        <v>4</v>
      </c>
      <c r="H645" s="89">
        <f>H638</f>
        <v>5259</v>
      </c>
      <c r="I645" s="90">
        <f>I638</f>
        <v>2840</v>
      </c>
      <c r="J645" s="91">
        <f>J638</f>
        <v>8099</v>
      </c>
      <c r="L645" s="16" t="s">
        <v>4</v>
      </c>
      <c r="M645" s="17">
        <f>M638</f>
        <v>0</v>
      </c>
      <c r="N645" s="35">
        <f>N638</f>
        <v>0</v>
      </c>
      <c r="O645" s="18">
        <f t="shared" ref="O645:O673" si="66">M645+N645</f>
        <v>0</v>
      </c>
    </row>
    <row r="646" spans="2:16" x14ac:dyDescent="0.15">
      <c r="B646" s="25" t="s">
        <v>326</v>
      </c>
      <c r="C646" s="14">
        <v>50</v>
      </c>
      <c r="D646" s="31"/>
      <c r="E646" s="23">
        <f t="shared" si="65"/>
        <v>50</v>
      </c>
      <c r="F646" s="61">
        <v>44265</v>
      </c>
      <c r="G646" s="25" t="s">
        <v>5</v>
      </c>
      <c r="H646" s="14">
        <v>1000</v>
      </c>
      <c r="I646" s="31">
        <v>1000</v>
      </c>
      <c r="J646" s="23">
        <f t="shared" ref="J646:J672" si="67">H646+I646</f>
        <v>2000</v>
      </c>
      <c r="K646" s="61">
        <v>44285</v>
      </c>
      <c r="L646" s="25" t="s">
        <v>5</v>
      </c>
      <c r="M646" s="14"/>
      <c r="N646" s="31"/>
      <c r="O646" s="23">
        <f t="shared" si="66"/>
        <v>0</v>
      </c>
    </row>
    <row r="647" spans="2:16" x14ac:dyDescent="0.15">
      <c r="B647" s="26" t="s">
        <v>244</v>
      </c>
      <c r="C647" s="27">
        <v>5</v>
      </c>
      <c r="D647" s="36">
        <v>3</v>
      </c>
      <c r="E647" s="28">
        <f t="shared" si="65"/>
        <v>8</v>
      </c>
      <c r="F647" s="61">
        <v>44278</v>
      </c>
      <c r="G647" s="25" t="s">
        <v>5</v>
      </c>
      <c r="H647" s="27"/>
      <c r="I647" s="36"/>
      <c r="J647" s="28">
        <f t="shared" si="67"/>
        <v>0</v>
      </c>
      <c r="L647" s="25" t="s">
        <v>5</v>
      </c>
      <c r="M647" s="27">
        <v>1000</v>
      </c>
      <c r="N647" s="36">
        <v>1000</v>
      </c>
      <c r="O647" s="28">
        <f t="shared" si="66"/>
        <v>2000</v>
      </c>
      <c r="P647" s="77">
        <v>44285</v>
      </c>
    </row>
    <row r="648" spans="2:16" x14ac:dyDescent="0.15">
      <c r="B648" s="26" t="s">
        <v>181</v>
      </c>
      <c r="C648" s="27">
        <v>2</v>
      </c>
      <c r="D648" s="36"/>
      <c r="E648" s="28">
        <f t="shared" si="65"/>
        <v>2</v>
      </c>
      <c r="F648" s="61">
        <v>44267</v>
      </c>
      <c r="G648" s="25" t="s">
        <v>5</v>
      </c>
      <c r="H648" s="14"/>
      <c r="I648" s="31"/>
      <c r="J648" s="15">
        <f t="shared" si="67"/>
        <v>0</v>
      </c>
      <c r="L648" s="25" t="s">
        <v>5</v>
      </c>
      <c r="M648" s="14"/>
      <c r="N648" s="31"/>
      <c r="O648" s="15">
        <f t="shared" si="66"/>
        <v>0</v>
      </c>
    </row>
    <row r="649" spans="2:16" x14ac:dyDescent="0.15">
      <c r="B649" s="26" t="s">
        <v>328</v>
      </c>
      <c r="C649" s="27">
        <v>1</v>
      </c>
      <c r="D649" s="36"/>
      <c r="E649" s="28">
        <f t="shared" si="65"/>
        <v>1</v>
      </c>
      <c r="F649" s="61">
        <v>44267</v>
      </c>
      <c r="G649" s="25" t="s">
        <v>5</v>
      </c>
      <c r="H649" s="14"/>
      <c r="I649" s="31"/>
      <c r="J649" s="15">
        <f t="shared" si="67"/>
        <v>0</v>
      </c>
      <c r="L649" s="25" t="s">
        <v>5</v>
      </c>
      <c r="M649" s="14"/>
      <c r="N649" s="31"/>
      <c r="O649" s="15">
        <f t="shared" si="66"/>
        <v>0</v>
      </c>
    </row>
    <row r="650" spans="2:16" ht="14.25" thickBot="1" x14ac:dyDescent="0.2">
      <c r="B650" s="26" t="s">
        <v>294</v>
      </c>
      <c r="C650" s="14">
        <v>1</v>
      </c>
      <c r="D650" s="31">
        <v>5</v>
      </c>
      <c r="E650" s="15">
        <f t="shared" si="65"/>
        <v>6</v>
      </c>
      <c r="F650" s="61">
        <v>44274</v>
      </c>
      <c r="G650" s="25" t="s">
        <v>5</v>
      </c>
      <c r="H650" s="27"/>
      <c r="I650" s="36"/>
      <c r="J650" s="28">
        <f t="shared" si="67"/>
        <v>0</v>
      </c>
      <c r="L650" s="25" t="s">
        <v>5</v>
      </c>
      <c r="M650" s="14"/>
      <c r="N650" s="31"/>
      <c r="O650" s="15">
        <f t="shared" si="66"/>
        <v>0</v>
      </c>
    </row>
    <row r="651" spans="2:16" ht="14.25" thickBot="1" x14ac:dyDescent="0.2">
      <c r="B651" s="8" t="s">
        <v>1</v>
      </c>
      <c r="C651" s="10">
        <f>SUM(C645:C650)</f>
        <v>186</v>
      </c>
      <c r="D651" s="32">
        <f>SUM(D645:D650)</f>
        <v>112</v>
      </c>
      <c r="E651" s="11">
        <f t="shared" si="65"/>
        <v>298</v>
      </c>
      <c r="G651" s="8" t="s">
        <v>1</v>
      </c>
      <c r="H651" s="10">
        <f>SUM(H645:H650)</f>
        <v>6259</v>
      </c>
      <c r="I651" s="32">
        <f>SUM(I645:I650)</f>
        <v>3840</v>
      </c>
      <c r="J651" s="11">
        <f>SUM(J645:J650)</f>
        <v>10099</v>
      </c>
      <c r="L651" s="8" t="s">
        <v>1</v>
      </c>
      <c r="M651" s="10">
        <f>SUM(M645:M650)</f>
        <v>1000</v>
      </c>
      <c r="N651" s="32">
        <f>SUM(N645:N650)</f>
        <v>1000</v>
      </c>
      <c r="O651" s="11">
        <f t="shared" si="66"/>
        <v>2000</v>
      </c>
    </row>
    <row r="652" spans="2:16" x14ac:dyDescent="0.15">
      <c r="B652" s="25" t="s">
        <v>263</v>
      </c>
      <c r="C652" s="14">
        <f>1+1+1</f>
        <v>3</v>
      </c>
      <c r="D652" s="31">
        <f>1+4</f>
        <v>5</v>
      </c>
      <c r="E652" s="15">
        <f>C652+D652</f>
        <v>8</v>
      </c>
      <c r="F652" s="61">
        <v>44256</v>
      </c>
      <c r="G652" s="25" t="s">
        <v>324</v>
      </c>
      <c r="H652" s="22">
        <v>50</v>
      </c>
      <c r="I652" s="30"/>
      <c r="J652" s="23">
        <f t="shared" si="67"/>
        <v>50</v>
      </c>
      <c r="K652" s="61">
        <v>44263</v>
      </c>
      <c r="L652" s="13" t="s">
        <v>333</v>
      </c>
      <c r="M652" s="14">
        <v>1000</v>
      </c>
      <c r="N652" s="31">
        <v>1000</v>
      </c>
      <c r="O652" s="15">
        <f t="shared" si="66"/>
        <v>2000</v>
      </c>
      <c r="P652" s="77">
        <v>44285</v>
      </c>
    </row>
    <row r="653" spans="2:16" x14ac:dyDescent="0.15">
      <c r="B653" s="25" t="s">
        <v>263</v>
      </c>
      <c r="C653" s="2">
        <v>3</v>
      </c>
      <c r="D653" s="33"/>
      <c r="E653" s="4">
        <f t="shared" ref="E653:E674" si="68">C653+D653</f>
        <v>3</v>
      </c>
      <c r="F653" s="61">
        <v>44258</v>
      </c>
      <c r="G653" s="100" t="s">
        <v>325</v>
      </c>
      <c r="H653" s="14">
        <v>50</v>
      </c>
      <c r="I653" s="31"/>
      <c r="J653" s="15">
        <f t="shared" si="67"/>
        <v>50</v>
      </c>
      <c r="K653" s="61">
        <v>44264</v>
      </c>
      <c r="L653" s="13"/>
      <c r="M653" s="14"/>
      <c r="N653" s="31"/>
      <c r="O653" s="15">
        <f t="shared" si="66"/>
        <v>0</v>
      </c>
    </row>
    <row r="654" spans="2:16" x14ac:dyDescent="0.15">
      <c r="B654" s="25" t="s">
        <v>263</v>
      </c>
      <c r="C654" s="14">
        <f>2+1</f>
        <v>3</v>
      </c>
      <c r="D654" s="31">
        <v>1</v>
      </c>
      <c r="E654" s="15">
        <f t="shared" si="68"/>
        <v>4</v>
      </c>
      <c r="F654" s="61">
        <v>44259</v>
      </c>
      <c r="G654" s="25" t="s">
        <v>332</v>
      </c>
      <c r="H654" s="14">
        <v>50</v>
      </c>
      <c r="I654" s="31"/>
      <c r="J654" s="15">
        <f t="shared" si="67"/>
        <v>50</v>
      </c>
      <c r="K654" s="61">
        <v>44280</v>
      </c>
      <c r="L654" s="5"/>
      <c r="M654" s="14"/>
      <c r="N654" s="31"/>
      <c r="O654" s="15">
        <f t="shared" si="66"/>
        <v>0</v>
      </c>
    </row>
    <row r="655" spans="2:16" x14ac:dyDescent="0.15">
      <c r="B655" s="25" t="s">
        <v>263</v>
      </c>
      <c r="C655" s="2">
        <v>3</v>
      </c>
      <c r="D655" s="33">
        <v>1</v>
      </c>
      <c r="E655" s="4">
        <f t="shared" si="68"/>
        <v>4</v>
      </c>
      <c r="F655" s="61">
        <v>44260</v>
      </c>
      <c r="G655" s="25" t="s">
        <v>338</v>
      </c>
      <c r="H655" s="14">
        <v>160</v>
      </c>
      <c r="I655" s="31"/>
      <c r="J655" s="15">
        <f t="shared" si="67"/>
        <v>160</v>
      </c>
      <c r="K655" s="61">
        <v>44289</v>
      </c>
      <c r="L655" s="13"/>
      <c r="M655" s="14"/>
      <c r="N655" s="31"/>
      <c r="O655" s="15">
        <f t="shared" si="66"/>
        <v>0</v>
      </c>
    </row>
    <row r="656" spans="2:16" x14ac:dyDescent="0.15">
      <c r="B656" s="25" t="s">
        <v>263</v>
      </c>
      <c r="C656" s="2"/>
      <c r="D656" s="33">
        <v>1</v>
      </c>
      <c r="E656" s="4">
        <f t="shared" si="68"/>
        <v>1</v>
      </c>
      <c r="F656" s="61">
        <v>44261</v>
      </c>
      <c r="G656" s="25" t="s">
        <v>339</v>
      </c>
      <c r="H656" s="14">
        <v>57</v>
      </c>
      <c r="I656" s="31"/>
      <c r="J656" s="15">
        <f t="shared" si="67"/>
        <v>57</v>
      </c>
      <c r="K656" s="61">
        <v>44292</v>
      </c>
      <c r="L656" s="12"/>
      <c r="M656" s="2"/>
      <c r="N656" s="33"/>
      <c r="O656" s="4">
        <f t="shared" si="66"/>
        <v>0</v>
      </c>
    </row>
    <row r="657" spans="2:15" x14ac:dyDescent="0.15">
      <c r="B657" s="25" t="s">
        <v>263</v>
      </c>
      <c r="C657" s="14">
        <v>1</v>
      </c>
      <c r="D657" s="31">
        <v>1</v>
      </c>
      <c r="E657" s="15">
        <f t="shared" si="68"/>
        <v>2</v>
      </c>
      <c r="F657" s="61">
        <v>44263</v>
      </c>
      <c r="G657" s="12"/>
      <c r="H657" s="14"/>
      <c r="I657" s="31"/>
      <c r="J657" s="15">
        <f t="shared" si="67"/>
        <v>0</v>
      </c>
      <c r="L657" s="12"/>
      <c r="M657" s="14"/>
      <c r="N657" s="31"/>
      <c r="O657" s="15">
        <f t="shared" si="66"/>
        <v>0</v>
      </c>
    </row>
    <row r="658" spans="2:15" x14ac:dyDescent="0.15">
      <c r="B658" s="25" t="s">
        <v>263</v>
      </c>
      <c r="C658" s="2">
        <v>2</v>
      </c>
      <c r="D658" s="33"/>
      <c r="E658" s="4">
        <f t="shared" si="68"/>
        <v>2</v>
      </c>
      <c r="F658" s="61">
        <v>44265</v>
      </c>
      <c r="G658" s="13"/>
      <c r="H658" s="2"/>
      <c r="I658" s="33"/>
      <c r="J658" s="4">
        <f t="shared" si="67"/>
        <v>0</v>
      </c>
      <c r="L658" s="13"/>
      <c r="M658" s="2"/>
      <c r="N658" s="33"/>
      <c r="O658" s="4">
        <f t="shared" si="66"/>
        <v>0</v>
      </c>
    </row>
    <row r="659" spans="2:15" x14ac:dyDescent="0.15">
      <c r="B659" s="100" t="s">
        <v>327</v>
      </c>
      <c r="C659" s="14">
        <v>10</v>
      </c>
      <c r="D659" s="31"/>
      <c r="E659" s="15">
        <f t="shared" si="68"/>
        <v>10</v>
      </c>
      <c r="F659" s="61">
        <v>44267</v>
      </c>
      <c r="G659" s="13"/>
      <c r="H659" s="2"/>
      <c r="I659" s="33"/>
      <c r="J659" s="4">
        <f t="shared" si="67"/>
        <v>0</v>
      </c>
      <c r="L659" s="13"/>
      <c r="M659" s="2"/>
      <c r="N659" s="33"/>
      <c r="O659" s="4">
        <f t="shared" si="66"/>
        <v>0</v>
      </c>
    </row>
    <row r="660" spans="2:15" x14ac:dyDescent="0.15">
      <c r="B660" s="25" t="s">
        <v>263</v>
      </c>
      <c r="C660" s="2">
        <v>3</v>
      </c>
      <c r="D660" s="33">
        <v>1</v>
      </c>
      <c r="E660" s="4">
        <f t="shared" si="68"/>
        <v>4</v>
      </c>
      <c r="F660" s="61">
        <v>44266</v>
      </c>
      <c r="G660" s="13"/>
      <c r="H660" s="2"/>
      <c r="I660" s="33"/>
      <c r="J660" s="4">
        <f t="shared" si="67"/>
        <v>0</v>
      </c>
      <c r="L660" s="13"/>
      <c r="M660" s="2"/>
      <c r="N660" s="33"/>
      <c r="O660" s="4">
        <f t="shared" si="66"/>
        <v>0</v>
      </c>
    </row>
    <row r="661" spans="2:15" x14ac:dyDescent="0.15">
      <c r="B661" s="25" t="s">
        <v>330</v>
      </c>
      <c r="C661" s="2">
        <v>50</v>
      </c>
      <c r="D661" s="33"/>
      <c r="E661" s="4">
        <f t="shared" si="68"/>
        <v>50</v>
      </c>
      <c r="F661" s="61">
        <v>44273</v>
      </c>
      <c r="G661" s="13"/>
      <c r="H661" s="2"/>
      <c r="I661" s="33"/>
      <c r="J661" s="4">
        <f t="shared" si="67"/>
        <v>0</v>
      </c>
      <c r="L661" s="13"/>
      <c r="M661" s="2"/>
      <c r="N661" s="33"/>
      <c r="O661" s="4">
        <f t="shared" si="66"/>
        <v>0</v>
      </c>
    </row>
    <row r="662" spans="2:15" x14ac:dyDescent="0.15">
      <c r="B662" s="25" t="s">
        <v>263</v>
      </c>
      <c r="C662" s="2">
        <v>5</v>
      </c>
      <c r="D662" s="33"/>
      <c r="E662" s="4">
        <f t="shared" ref="E662:E664" si="69">C662+D662</f>
        <v>5</v>
      </c>
      <c r="F662" s="61">
        <v>44267</v>
      </c>
      <c r="G662" s="13"/>
      <c r="H662" s="2"/>
      <c r="I662" s="33"/>
      <c r="J662" s="4">
        <f t="shared" si="67"/>
        <v>0</v>
      </c>
      <c r="L662" s="13"/>
      <c r="M662" s="2"/>
      <c r="N662" s="33"/>
      <c r="O662" s="4">
        <f t="shared" si="66"/>
        <v>0</v>
      </c>
    </row>
    <row r="663" spans="2:15" x14ac:dyDescent="0.15">
      <c r="B663" s="25" t="s">
        <v>263</v>
      </c>
      <c r="C663" s="2"/>
      <c r="D663" s="33">
        <v>1</v>
      </c>
      <c r="E663" s="4">
        <f t="shared" si="69"/>
        <v>1</v>
      </c>
      <c r="F663" s="61">
        <v>44270</v>
      </c>
      <c r="G663" s="13"/>
      <c r="H663" s="2"/>
      <c r="I663" s="33"/>
      <c r="J663" s="4">
        <f t="shared" si="67"/>
        <v>0</v>
      </c>
      <c r="L663" s="13"/>
      <c r="M663" s="2"/>
      <c r="N663" s="33"/>
      <c r="O663" s="4">
        <f t="shared" si="66"/>
        <v>0</v>
      </c>
    </row>
    <row r="664" spans="2:15" x14ac:dyDescent="0.15">
      <c r="B664" s="25" t="s">
        <v>263</v>
      </c>
      <c r="C664" s="2">
        <v>3</v>
      </c>
      <c r="D664" s="33">
        <v>1</v>
      </c>
      <c r="E664" s="4">
        <f t="shared" si="69"/>
        <v>4</v>
      </c>
      <c r="F664" s="61">
        <v>44271</v>
      </c>
      <c r="G664" s="13"/>
      <c r="H664" s="2"/>
      <c r="I664" s="33"/>
      <c r="J664" s="4">
        <f t="shared" si="67"/>
        <v>0</v>
      </c>
      <c r="L664" s="13"/>
      <c r="M664" s="2"/>
      <c r="N664" s="33"/>
      <c r="O664" s="4">
        <f t="shared" si="66"/>
        <v>0</v>
      </c>
    </row>
    <row r="665" spans="2:15" x14ac:dyDescent="0.15">
      <c r="B665" s="25" t="s">
        <v>263</v>
      </c>
      <c r="C665" s="2">
        <v>1</v>
      </c>
      <c r="D665" s="33"/>
      <c r="E665" s="4">
        <f t="shared" si="68"/>
        <v>1</v>
      </c>
      <c r="F665" s="61">
        <v>44272</v>
      </c>
      <c r="G665" s="25"/>
      <c r="H665" s="2"/>
      <c r="I665" s="33"/>
      <c r="J665" s="4">
        <f t="shared" si="67"/>
        <v>0</v>
      </c>
      <c r="L665" s="25"/>
      <c r="M665" s="2"/>
      <c r="N665" s="33"/>
      <c r="O665" s="4">
        <f t="shared" si="66"/>
        <v>0</v>
      </c>
    </row>
    <row r="666" spans="2:15" x14ac:dyDescent="0.15">
      <c r="B666" s="25" t="s">
        <v>263</v>
      </c>
      <c r="C666" s="2">
        <v>2</v>
      </c>
      <c r="D666" s="33">
        <v>1</v>
      </c>
      <c r="E666" s="4">
        <f t="shared" si="68"/>
        <v>3</v>
      </c>
      <c r="F666" s="61">
        <v>44273</v>
      </c>
      <c r="G666" s="25"/>
      <c r="H666" s="2"/>
      <c r="I666" s="33"/>
      <c r="J666" s="4">
        <f t="shared" si="67"/>
        <v>0</v>
      </c>
      <c r="L666" s="25"/>
      <c r="M666" s="2"/>
      <c r="N666" s="33"/>
      <c r="O666" s="4">
        <f t="shared" si="66"/>
        <v>0</v>
      </c>
    </row>
    <row r="667" spans="2:15" x14ac:dyDescent="0.15">
      <c r="B667" s="25" t="s">
        <v>263</v>
      </c>
      <c r="C667" s="2">
        <v>4</v>
      </c>
      <c r="D667" s="33"/>
      <c r="E667" s="4">
        <f t="shared" si="68"/>
        <v>4</v>
      </c>
      <c r="F667" s="61">
        <v>44277</v>
      </c>
      <c r="G667" s="25"/>
      <c r="H667" s="2"/>
      <c r="I667" s="33"/>
      <c r="J667" s="4">
        <f t="shared" si="67"/>
        <v>0</v>
      </c>
      <c r="L667" s="25"/>
      <c r="M667" s="2"/>
      <c r="N667" s="33"/>
      <c r="O667" s="4">
        <f t="shared" si="66"/>
        <v>0</v>
      </c>
    </row>
    <row r="668" spans="2:15" x14ac:dyDescent="0.15">
      <c r="B668" s="25" t="s">
        <v>263</v>
      </c>
      <c r="C668" s="2">
        <v>1</v>
      </c>
      <c r="D668" s="33"/>
      <c r="E668" s="4">
        <f t="shared" si="68"/>
        <v>1</v>
      </c>
      <c r="F668" s="61">
        <v>44278</v>
      </c>
      <c r="G668" s="25"/>
      <c r="H668" s="2"/>
      <c r="I668" s="33"/>
      <c r="J668" s="4">
        <f t="shared" si="67"/>
        <v>0</v>
      </c>
      <c r="L668" s="25"/>
      <c r="M668" s="2"/>
      <c r="N668" s="33"/>
      <c r="O668" s="4">
        <f t="shared" si="66"/>
        <v>0</v>
      </c>
    </row>
    <row r="669" spans="2:15" x14ac:dyDescent="0.15">
      <c r="B669" s="25" t="s">
        <v>263</v>
      </c>
      <c r="C669" s="2">
        <v>1</v>
      </c>
      <c r="D669" s="33">
        <v>1</v>
      </c>
      <c r="E669" s="4">
        <f t="shared" si="68"/>
        <v>2</v>
      </c>
      <c r="F669" s="61">
        <v>44279</v>
      </c>
      <c r="G669" s="13"/>
      <c r="H669" s="2"/>
      <c r="I669" s="33"/>
      <c r="J669" s="4">
        <f t="shared" si="67"/>
        <v>0</v>
      </c>
      <c r="L669" s="13"/>
      <c r="M669" s="2"/>
      <c r="N669" s="33"/>
      <c r="O669" s="4">
        <f t="shared" si="66"/>
        <v>0</v>
      </c>
    </row>
    <row r="670" spans="2:15" x14ac:dyDescent="0.15">
      <c r="B670" s="25" t="s">
        <v>263</v>
      </c>
      <c r="C670" s="2">
        <v>1</v>
      </c>
      <c r="D670" s="33"/>
      <c r="E670" s="4">
        <f t="shared" si="68"/>
        <v>1</v>
      </c>
      <c r="F670" s="61">
        <v>44280</v>
      </c>
      <c r="G670" s="25"/>
      <c r="H670" s="2"/>
      <c r="I670" s="33"/>
      <c r="J670" s="4">
        <f t="shared" si="67"/>
        <v>0</v>
      </c>
      <c r="L670" s="25"/>
      <c r="M670" s="2"/>
      <c r="N670" s="33"/>
      <c r="O670" s="4">
        <f t="shared" si="66"/>
        <v>0</v>
      </c>
    </row>
    <row r="671" spans="2:15" x14ac:dyDescent="0.15">
      <c r="B671" s="25" t="s">
        <v>263</v>
      </c>
      <c r="C671" s="14">
        <f>3+1</f>
        <v>4</v>
      </c>
      <c r="D671" s="31">
        <v>1</v>
      </c>
      <c r="E671" s="15">
        <f t="shared" si="68"/>
        <v>5</v>
      </c>
      <c r="F671" s="61">
        <v>44281</v>
      </c>
      <c r="G671" s="25"/>
      <c r="H671" s="14"/>
      <c r="I671" s="31"/>
      <c r="J671" s="15">
        <f t="shared" si="67"/>
        <v>0</v>
      </c>
      <c r="L671" s="25"/>
      <c r="M671" s="14"/>
      <c r="N671" s="31"/>
      <c r="O671" s="15">
        <f t="shared" si="66"/>
        <v>0</v>
      </c>
    </row>
    <row r="672" spans="2:15" x14ac:dyDescent="0.15">
      <c r="B672" s="101" t="s">
        <v>281</v>
      </c>
      <c r="C672" s="14"/>
      <c r="D672" s="31"/>
      <c r="E672" s="15">
        <f t="shared" si="68"/>
        <v>0</v>
      </c>
      <c r="F672" s="60" t="s">
        <v>280</v>
      </c>
      <c r="G672" s="13"/>
      <c r="H672" s="14"/>
      <c r="I672" s="31"/>
      <c r="J672" s="15">
        <f t="shared" si="67"/>
        <v>0</v>
      </c>
      <c r="L672" s="25"/>
      <c r="M672" s="14"/>
      <c r="N672" s="31"/>
      <c r="O672" s="15">
        <f t="shared" si="66"/>
        <v>0</v>
      </c>
    </row>
    <row r="673" spans="2:15" x14ac:dyDescent="0.15">
      <c r="B673" s="5" t="s">
        <v>198</v>
      </c>
      <c r="C673" s="14"/>
      <c r="D673" s="31"/>
      <c r="E673" s="15">
        <f>C673+D673</f>
        <v>0</v>
      </c>
      <c r="F673" t="s">
        <v>199</v>
      </c>
      <c r="G673" s="13"/>
      <c r="H673" s="14"/>
      <c r="I673" s="31"/>
      <c r="J673" s="15">
        <f t="shared" ref="J673:J677" si="70">H673+I673</f>
        <v>0</v>
      </c>
      <c r="K673" s="61"/>
      <c r="L673" s="13"/>
      <c r="M673" s="2"/>
      <c r="N673" s="33"/>
      <c r="O673" s="15">
        <f t="shared" si="66"/>
        <v>0</v>
      </c>
    </row>
    <row r="674" spans="2:15" x14ac:dyDescent="0.15">
      <c r="B674" s="101" t="s">
        <v>253</v>
      </c>
      <c r="C674" s="14"/>
      <c r="D674" s="31"/>
      <c r="E674" s="15">
        <f t="shared" si="68"/>
        <v>0</v>
      </c>
      <c r="F674" s="60" t="s">
        <v>255</v>
      </c>
      <c r="G674" s="13"/>
      <c r="H674" s="14"/>
      <c r="I674" s="31"/>
      <c r="J674" s="15">
        <f t="shared" si="70"/>
        <v>0</v>
      </c>
      <c r="K674" s="61"/>
      <c r="L674" s="13"/>
      <c r="M674" s="2"/>
      <c r="N674" s="33"/>
      <c r="O674" s="15">
        <f>M674+N674</f>
        <v>0</v>
      </c>
    </row>
    <row r="675" spans="2:15" x14ac:dyDescent="0.15">
      <c r="B675" s="101" t="s">
        <v>254</v>
      </c>
      <c r="C675" s="14"/>
      <c r="D675" s="31"/>
      <c r="E675" s="15">
        <f>C675+D675</f>
        <v>0</v>
      </c>
      <c r="F675" s="60" t="s">
        <v>255</v>
      </c>
      <c r="G675" s="25" t="s">
        <v>278</v>
      </c>
      <c r="H675" s="14"/>
      <c r="I675" s="31"/>
      <c r="J675" s="15">
        <f t="shared" si="70"/>
        <v>0</v>
      </c>
      <c r="K675" s="61" t="s">
        <v>289</v>
      </c>
      <c r="L675" s="25"/>
      <c r="M675" s="14"/>
      <c r="N675" s="31"/>
      <c r="O675" s="15">
        <f>M675+N675</f>
        <v>0</v>
      </c>
    </row>
    <row r="676" spans="2:15" ht="14.25" thickBot="1" x14ac:dyDescent="0.2">
      <c r="B676" s="25" t="s">
        <v>102</v>
      </c>
      <c r="C676" s="14"/>
      <c r="D676" s="31"/>
      <c r="E676" s="15">
        <f>C676+D676</f>
        <v>0</v>
      </c>
      <c r="G676" s="25" t="s">
        <v>238</v>
      </c>
      <c r="H676" s="14"/>
      <c r="I676" s="31"/>
      <c r="J676" s="15">
        <f>H676+I676</f>
        <v>0</v>
      </c>
      <c r="K676" s="61" t="s">
        <v>239</v>
      </c>
      <c r="L676" s="13"/>
      <c r="M676" s="27"/>
      <c r="N676" s="36"/>
      <c r="O676" s="28">
        <f>M676+N676</f>
        <v>0</v>
      </c>
    </row>
    <row r="677" spans="2:15" ht="14.25" thickBot="1" x14ac:dyDescent="0.2">
      <c r="B677" s="8" t="s">
        <v>2</v>
      </c>
      <c r="C677" s="10">
        <f>SUM(C652:C676)</f>
        <v>100</v>
      </c>
      <c r="D677" s="32">
        <f>SUM(D652:D676)</f>
        <v>15</v>
      </c>
      <c r="E677" s="11">
        <f>C677+D677</f>
        <v>115</v>
      </c>
      <c r="G677" s="8" t="s">
        <v>2</v>
      </c>
      <c r="H677" s="10">
        <f>SUM(H652:H676)</f>
        <v>367</v>
      </c>
      <c r="I677" s="32">
        <f>SUM(I652:I676)</f>
        <v>0</v>
      </c>
      <c r="J677" s="11">
        <f t="shared" si="70"/>
        <v>367</v>
      </c>
      <c r="L677" s="8" t="s">
        <v>2</v>
      </c>
      <c r="M677" s="10">
        <f>SUM(M652:M676)</f>
        <v>1000</v>
      </c>
      <c r="N677" s="32">
        <f>SUM(N652:N676)</f>
        <v>1000</v>
      </c>
      <c r="O677" s="11">
        <f>M677+N677</f>
        <v>2000</v>
      </c>
    </row>
    <row r="678" spans="2:15" ht="14.25" thickBot="1" x14ac:dyDescent="0.2">
      <c r="B678" s="52" t="s">
        <v>3</v>
      </c>
      <c r="C678" s="53">
        <f>+C651-C677</f>
        <v>86</v>
      </c>
      <c r="D678" s="54">
        <f>+D651-D677</f>
        <v>97</v>
      </c>
      <c r="E678" s="55">
        <f>C678+D678</f>
        <v>183</v>
      </c>
      <c r="G678" s="52" t="s">
        <v>3</v>
      </c>
      <c r="H678" s="87">
        <f>+H651-H677</f>
        <v>5892</v>
      </c>
      <c r="I678" s="97">
        <f>+I651-I677</f>
        <v>3840</v>
      </c>
      <c r="J678" s="95">
        <f>+J651-J677</f>
        <v>9732</v>
      </c>
      <c r="L678" s="52" t="s">
        <v>3</v>
      </c>
      <c r="M678" s="53">
        <f>+M651-M677</f>
        <v>0</v>
      </c>
      <c r="N678" s="54">
        <f>+N651-N677</f>
        <v>0</v>
      </c>
      <c r="O678" s="55">
        <f>M678+N678</f>
        <v>0</v>
      </c>
    </row>
    <row r="680" spans="2:15" ht="21" x14ac:dyDescent="0.2">
      <c r="B680" s="76" t="s">
        <v>150</v>
      </c>
      <c r="G680" s="75" t="s">
        <v>149</v>
      </c>
      <c r="L680" s="75" t="s">
        <v>151</v>
      </c>
    </row>
    <row r="681" spans="2:15" ht="18.75" x14ac:dyDescent="0.2">
      <c r="B681" s="3" t="s">
        <v>11</v>
      </c>
      <c r="E681" s="71"/>
      <c r="G681" s="3" t="s">
        <v>11</v>
      </c>
      <c r="L681" s="3" t="s">
        <v>11</v>
      </c>
    </row>
    <row r="682" spans="2:15" ht="14.25" thickBot="1" x14ac:dyDescent="0.2">
      <c r="G682" s="1"/>
      <c r="L682" s="1"/>
    </row>
    <row r="683" spans="2:15" ht="14.25" thickBot="1" x14ac:dyDescent="0.2">
      <c r="B683" s="7"/>
      <c r="C683" s="67"/>
      <c r="D683" s="68"/>
      <c r="E683" s="69"/>
      <c r="G683" s="7"/>
      <c r="H683" s="67"/>
      <c r="I683" s="68"/>
      <c r="J683" s="69"/>
      <c r="L683" s="7"/>
      <c r="M683" s="67"/>
      <c r="N683" s="68"/>
      <c r="O683" s="69"/>
    </row>
    <row r="684" spans="2:15" ht="14.25" thickBot="1" x14ac:dyDescent="0.2">
      <c r="B684" s="8"/>
      <c r="C684" s="40" t="s">
        <v>7</v>
      </c>
      <c r="D684" s="29" t="s">
        <v>9</v>
      </c>
      <c r="E684" s="9" t="s">
        <v>0</v>
      </c>
      <c r="G684" s="8"/>
      <c r="H684" s="40" t="s">
        <v>7</v>
      </c>
      <c r="I684" s="29" t="s">
        <v>9</v>
      </c>
      <c r="J684" s="9" t="s">
        <v>0</v>
      </c>
      <c r="L684" s="8"/>
      <c r="M684" s="40" t="s">
        <v>7</v>
      </c>
      <c r="N684" s="29" t="s">
        <v>9</v>
      </c>
      <c r="O684" s="9" t="s">
        <v>0</v>
      </c>
    </row>
    <row r="685" spans="2:15" x14ac:dyDescent="0.15">
      <c r="B685" s="16" t="s">
        <v>4</v>
      </c>
      <c r="C685" s="17">
        <f>C678</f>
        <v>86</v>
      </c>
      <c r="D685" s="35">
        <f>D678</f>
        <v>97</v>
      </c>
      <c r="E685" s="18">
        <f t="shared" ref="E685:E691" si="71">C685+D685</f>
        <v>183</v>
      </c>
      <c r="G685" s="16" t="s">
        <v>4</v>
      </c>
      <c r="H685" s="89">
        <f>H678</f>
        <v>5892</v>
      </c>
      <c r="I685" s="90">
        <f>I678</f>
        <v>3840</v>
      </c>
      <c r="J685" s="96">
        <f>J678</f>
        <v>9732</v>
      </c>
      <c r="L685" s="16" t="s">
        <v>4</v>
      </c>
      <c r="M685" s="17">
        <f>M678</f>
        <v>0</v>
      </c>
      <c r="N685" s="35">
        <f>N678</f>
        <v>0</v>
      </c>
      <c r="O685" s="18">
        <f t="shared" ref="O685:O713" si="72">M685+N685</f>
        <v>0</v>
      </c>
    </row>
    <row r="686" spans="2:15" x14ac:dyDescent="0.15">
      <c r="B686" s="25" t="s">
        <v>341</v>
      </c>
      <c r="C686" s="14">
        <v>1</v>
      </c>
      <c r="D686" s="31">
        <v>1</v>
      </c>
      <c r="E686" s="23">
        <f t="shared" si="71"/>
        <v>2</v>
      </c>
      <c r="F686" s="61">
        <v>44292</v>
      </c>
      <c r="G686" s="25" t="s">
        <v>5</v>
      </c>
      <c r="H686" s="14"/>
      <c r="I686" s="31"/>
      <c r="J686" s="23">
        <f t="shared" ref="J686:J717" si="73">H686+I686</f>
        <v>0</v>
      </c>
      <c r="L686" s="25" t="s">
        <v>5</v>
      </c>
      <c r="M686" s="14"/>
      <c r="N686" s="31"/>
      <c r="O686" s="23">
        <f t="shared" si="72"/>
        <v>0</v>
      </c>
    </row>
    <row r="687" spans="2:15" x14ac:dyDescent="0.15">
      <c r="B687" s="26" t="s">
        <v>5</v>
      </c>
      <c r="C687" s="27">
        <v>300</v>
      </c>
      <c r="D687" s="36">
        <v>200</v>
      </c>
      <c r="E687" s="28">
        <f t="shared" si="71"/>
        <v>500</v>
      </c>
      <c r="F687" s="61">
        <v>44294</v>
      </c>
      <c r="G687" s="25" t="s">
        <v>5</v>
      </c>
      <c r="H687" s="27"/>
      <c r="I687" s="36"/>
      <c r="J687" s="28">
        <f t="shared" si="73"/>
        <v>0</v>
      </c>
      <c r="L687" s="25" t="s">
        <v>5</v>
      </c>
      <c r="M687" s="27"/>
      <c r="N687" s="36"/>
      <c r="O687" s="28">
        <f t="shared" si="72"/>
        <v>0</v>
      </c>
    </row>
    <row r="688" spans="2:15" x14ac:dyDescent="0.15">
      <c r="B688" s="26" t="s">
        <v>5</v>
      </c>
      <c r="C688" s="27"/>
      <c r="D688" s="36"/>
      <c r="E688" s="28">
        <f t="shared" si="71"/>
        <v>0</v>
      </c>
      <c r="G688" s="25" t="s">
        <v>5</v>
      </c>
      <c r="H688" s="14"/>
      <c r="I688" s="31"/>
      <c r="J688" s="15">
        <f t="shared" si="73"/>
        <v>0</v>
      </c>
      <c r="L688" s="25" t="s">
        <v>5</v>
      </c>
      <c r="M688" s="27"/>
      <c r="N688" s="36"/>
      <c r="O688" s="15">
        <f t="shared" si="72"/>
        <v>0</v>
      </c>
    </row>
    <row r="689" spans="2:15" x14ac:dyDescent="0.15">
      <c r="B689" s="26" t="s">
        <v>5</v>
      </c>
      <c r="C689" s="27"/>
      <c r="D689" s="36"/>
      <c r="E689" s="28">
        <f t="shared" si="71"/>
        <v>0</v>
      </c>
      <c r="G689" s="25" t="s">
        <v>5</v>
      </c>
      <c r="H689" s="14"/>
      <c r="I689" s="31"/>
      <c r="J689" s="15">
        <f t="shared" si="73"/>
        <v>0</v>
      </c>
      <c r="L689" s="25" t="s">
        <v>5</v>
      </c>
      <c r="M689" s="27"/>
      <c r="N689" s="31"/>
      <c r="O689" s="15">
        <f t="shared" si="72"/>
        <v>0</v>
      </c>
    </row>
    <row r="690" spans="2:15" ht="14.25" thickBot="1" x14ac:dyDescent="0.2">
      <c r="B690" s="26" t="s">
        <v>5</v>
      </c>
      <c r="C690" s="14"/>
      <c r="D690" s="31"/>
      <c r="E690" s="15">
        <f t="shared" si="71"/>
        <v>0</v>
      </c>
      <c r="G690" s="25" t="s">
        <v>5</v>
      </c>
      <c r="H690" s="92"/>
      <c r="I690" s="93"/>
      <c r="J690" s="94">
        <f t="shared" si="73"/>
        <v>0</v>
      </c>
      <c r="L690" s="25" t="s">
        <v>5</v>
      </c>
      <c r="M690" s="27"/>
      <c r="N690" s="31"/>
      <c r="O690" s="15">
        <f t="shared" si="72"/>
        <v>0</v>
      </c>
    </row>
    <row r="691" spans="2:15" ht="14.25" thickBot="1" x14ac:dyDescent="0.2">
      <c r="B691" s="8" t="s">
        <v>1</v>
      </c>
      <c r="C691" s="10">
        <f>SUM(C685:C690)</f>
        <v>387</v>
      </c>
      <c r="D691" s="32">
        <f>SUM(D685:D690)</f>
        <v>298</v>
      </c>
      <c r="E691" s="11">
        <f t="shared" si="71"/>
        <v>685</v>
      </c>
      <c r="G691" s="8" t="s">
        <v>1</v>
      </c>
      <c r="H691" s="10">
        <f>SUM(H685:H690)</f>
        <v>5892</v>
      </c>
      <c r="I691" s="32">
        <f>SUM(I685:I690)</f>
        <v>3840</v>
      </c>
      <c r="J691" s="11">
        <f>SUM(J685:J690)</f>
        <v>9732</v>
      </c>
      <c r="L691" s="8" t="s">
        <v>1</v>
      </c>
      <c r="M691" s="10">
        <f>SUM(M685:M690)</f>
        <v>0</v>
      </c>
      <c r="N691" s="32">
        <f>SUM(N685:N690)</f>
        <v>0</v>
      </c>
      <c r="O691" s="11">
        <f t="shared" si="72"/>
        <v>0</v>
      </c>
    </row>
    <row r="692" spans="2:15" x14ac:dyDescent="0.15">
      <c r="B692" s="25" t="s">
        <v>263</v>
      </c>
      <c r="C692" s="14">
        <f>3+2</f>
        <v>5</v>
      </c>
      <c r="D692" s="31">
        <v>3</v>
      </c>
      <c r="E692" s="15">
        <f>C692+D692</f>
        <v>8</v>
      </c>
      <c r="F692" s="61">
        <v>44284</v>
      </c>
      <c r="G692" s="25" t="s">
        <v>331</v>
      </c>
      <c r="H692" s="22">
        <v>50</v>
      </c>
      <c r="I692" s="30">
        <v>50</v>
      </c>
      <c r="J692" s="23">
        <f t="shared" si="73"/>
        <v>100</v>
      </c>
      <c r="K692" s="61">
        <v>44287</v>
      </c>
      <c r="L692" s="13"/>
      <c r="M692" s="14"/>
      <c r="N692" s="31"/>
      <c r="O692" s="15">
        <f t="shared" si="72"/>
        <v>0</v>
      </c>
    </row>
    <row r="693" spans="2:15" x14ac:dyDescent="0.15">
      <c r="B693" s="25" t="s">
        <v>263</v>
      </c>
      <c r="C693" s="2">
        <v>1</v>
      </c>
      <c r="D693" s="33"/>
      <c r="E693" s="4">
        <f t="shared" ref="E693:E713" si="74">C693+D693</f>
        <v>1</v>
      </c>
      <c r="F693" s="61">
        <v>44287</v>
      </c>
      <c r="G693" s="25" t="s">
        <v>343</v>
      </c>
      <c r="H693" s="14">
        <v>300</v>
      </c>
      <c r="I693" s="31">
        <v>200</v>
      </c>
      <c r="J693" s="15">
        <f t="shared" si="73"/>
        <v>500</v>
      </c>
      <c r="K693" s="61">
        <v>44294</v>
      </c>
      <c r="L693" s="13"/>
      <c r="M693" s="14"/>
      <c r="N693" s="31"/>
      <c r="O693" s="15">
        <f t="shared" si="72"/>
        <v>0</v>
      </c>
    </row>
    <row r="694" spans="2:15" x14ac:dyDescent="0.15">
      <c r="B694" s="25" t="s">
        <v>337</v>
      </c>
      <c r="C694" s="14">
        <v>20</v>
      </c>
      <c r="D694" s="31"/>
      <c r="E694" s="15">
        <f t="shared" si="74"/>
        <v>20</v>
      </c>
      <c r="F694" s="61">
        <v>44289</v>
      </c>
      <c r="G694" s="25" t="s">
        <v>344</v>
      </c>
      <c r="H694" s="14">
        <v>120</v>
      </c>
      <c r="I694" s="31">
        <v>90</v>
      </c>
      <c r="J694" s="15">
        <f t="shared" si="73"/>
        <v>210</v>
      </c>
      <c r="K694" s="61">
        <v>44301</v>
      </c>
      <c r="L694" s="5"/>
      <c r="M694" s="14"/>
      <c r="N694" s="31"/>
      <c r="O694" s="15">
        <f t="shared" si="72"/>
        <v>0</v>
      </c>
    </row>
    <row r="695" spans="2:15" x14ac:dyDescent="0.15">
      <c r="B695" s="25" t="s">
        <v>340</v>
      </c>
      <c r="C695" s="14">
        <v>22</v>
      </c>
      <c r="D695" s="31">
        <v>22</v>
      </c>
      <c r="E695" s="15">
        <f t="shared" si="74"/>
        <v>44</v>
      </c>
      <c r="F695" s="61">
        <v>44295</v>
      </c>
      <c r="G695" s="13" t="s">
        <v>345</v>
      </c>
      <c r="H695" s="14">
        <v>70</v>
      </c>
      <c r="I695" s="31"/>
      <c r="J695" s="15">
        <f t="shared" si="73"/>
        <v>70</v>
      </c>
      <c r="K695" s="61">
        <v>44302</v>
      </c>
      <c r="L695" s="13"/>
      <c r="M695" s="14"/>
      <c r="N695" s="31"/>
      <c r="O695" s="15">
        <f t="shared" si="72"/>
        <v>0</v>
      </c>
    </row>
    <row r="696" spans="2:15" x14ac:dyDescent="0.15">
      <c r="B696" s="25" t="s">
        <v>263</v>
      </c>
      <c r="C696" s="2">
        <f>1+1</f>
        <v>2</v>
      </c>
      <c r="D696" s="33">
        <f>1+1</f>
        <v>2</v>
      </c>
      <c r="E696" s="4">
        <f t="shared" si="74"/>
        <v>4</v>
      </c>
      <c r="F696" s="61">
        <v>44291</v>
      </c>
      <c r="G696" s="25" t="s">
        <v>348</v>
      </c>
      <c r="H696" s="14"/>
      <c r="I696" s="31">
        <v>87</v>
      </c>
      <c r="J696" s="15">
        <f t="shared" si="73"/>
        <v>87</v>
      </c>
      <c r="K696" s="61">
        <v>44307</v>
      </c>
      <c r="L696" s="12"/>
      <c r="M696" s="2"/>
      <c r="N696" s="33"/>
      <c r="O696" s="4">
        <f t="shared" si="72"/>
        <v>0</v>
      </c>
    </row>
    <row r="697" spans="2:15" x14ac:dyDescent="0.15">
      <c r="B697" s="25" t="s">
        <v>342</v>
      </c>
      <c r="C697" s="14">
        <v>30</v>
      </c>
      <c r="D697" s="31"/>
      <c r="E697" s="15">
        <f t="shared" si="74"/>
        <v>30</v>
      </c>
      <c r="F697" s="61">
        <v>44293</v>
      </c>
      <c r="G697" s="13" t="s">
        <v>349</v>
      </c>
      <c r="H697" s="14">
        <v>30</v>
      </c>
      <c r="I697" s="31">
        <v>1</v>
      </c>
      <c r="J697" s="15">
        <f t="shared" si="73"/>
        <v>31</v>
      </c>
      <c r="K697" s="61">
        <v>44306</v>
      </c>
      <c r="L697" s="12"/>
      <c r="M697" s="14"/>
      <c r="N697" s="31"/>
      <c r="O697" s="15">
        <f t="shared" si="72"/>
        <v>0</v>
      </c>
    </row>
    <row r="698" spans="2:15" x14ac:dyDescent="0.15">
      <c r="B698" s="25" t="s">
        <v>263</v>
      </c>
      <c r="C698" s="2">
        <v>1</v>
      </c>
      <c r="D698" s="33"/>
      <c r="E698" s="4">
        <f t="shared" si="74"/>
        <v>1</v>
      </c>
      <c r="F698" s="61">
        <v>44292</v>
      </c>
      <c r="G698" s="13" t="s">
        <v>353</v>
      </c>
      <c r="H698" s="14">
        <v>60</v>
      </c>
      <c r="I698" s="31">
        <v>40</v>
      </c>
      <c r="J698" s="15">
        <f t="shared" si="73"/>
        <v>100</v>
      </c>
      <c r="K698" s="61">
        <v>44314</v>
      </c>
      <c r="L698" s="13"/>
      <c r="M698" s="2"/>
      <c r="N698" s="33"/>
      <c r="O698" s="4">
        <f t="shared" si="72"/>
        <v>0</v>
      </c>
    </row>
    <row r="699" spans="2:15" x14ac:dyDescent="0.15">
      <c r="B699" s="25" t="s">
        <v>263</v>
      </c>
      <c r="C699" s="2">
        <v>1</v>
      </c>
      <c r="D699" s="33"/>
      <c r="E699" s="4">
        <f t="shared" si="74"/>
        <v>1</v>
      </c>
      <c r="F699" s="61">
        <v>44294</v>
      </c>
      <c r="G699" s="13"/>
      <c r="H699" s="2"/>
      <c r="I699" s="33"/>
      <c r="J699" s="4">
        <f t="shared" si="73"/>
        <v>0</v>
      </c>
      <c r="L699" s="13"/>
      <c r="M699" s="2"/>
      <c r="N699" s="33"/>
      <c r="O699" s="4">
        <f t="shared" si="72"/>
        <v>0</v>
      </c>
    </row>
    <row r="700" spans="2:15" x14ac:dyDescent="0.15">
      <c r="B700" s="25" t="s">
        <v>263</v>
      </c>
      <c r="C700" s="2">
        <v>1</v>
      </c>
      <c r="D700" s="33"/>
      <c r="E700" s="4">
        <f t="shared" si="74"/>
        <v>1</v>
      </c>
      <c r="F700" s="61">
        <v>44295</v>
      </c>
      <c r="G700" s="13"/>
      <c r="H700" s="2"/>
      <c r="I700" s="33"/>
      <c r="J700" s="4">
        <f t="shared" si="73"/>
        <v>0</v>
      </c>
      <c r="L700" s="13"/>
      <c r="M700" s="2"/>
      <c r="N700" s="33"/>
      <c r="O700" s="4">
        <f t="shared" si="72"/>
        <v>0</v>
      </c>
    </row>
    <row r="701" spans="2:15" x14ac:dyDescent="0.15">
      <c r="B701" s="25" t="s">
        <v>263</v>
      </c>
      <c r="C701" s="2">
        <f>1+1</f>
        <v>2</v>
      </c>
      <c r="D701" s="33">
        <v>1</v>
      </c>
      <c r="E701" s="4">
        <f t="shared" si="74"/>
        <v>3</v>
      </c>
      <c r="F701" s="61">
        <v>44298</v>
      </c>
      <c r="G701" s="13"/>
      <c r="H701" s="2"/>
      <c r="I701" s="33"/>
      <c r="J701" s="4">
        <f t="shared" si="73"/>
        <v>0</v>
      </c>
      <c r="L701" s="13"/>
      <c r="M701" s="2"/>
      <c r="N701" s="33"/>
      <c r="O701" s="4">
        <f t="shared" si="72"/>
        <v>0</v>
      </c>
    </row>
    <row r="702" spans="2:15" x14ac:dyDescent="0.15">
      <c r="B702" s="25" t="s">
        <v>263</v>
      </c>
      <c r="C702" s="2">
        <f>2+1</f>
        <v>3</v>
      </c>
      <c r="D702" s="33"/>
      <c r="E702" s="4">
        <f t="shared" si="74"/>
        <v>3</v>
      </c>
      <c r="F702" s="61">
        <v>44299</v>
      </c>
      <c r="G702" s="13"/>
      <c r="H702" s="2"/>
      <c r="I702" s="33"/>
      <c r="J702" s="4">
        <f t="shared" si="73"/>
        <v>0</v>
      </c>
      <c r="L702" s="13"/>
      <c r="M702" s="2"/>
      <c r="N702" s="33"/>
      <c r="O702" s="4">
        <f t="shared" si="72"/>
        <v>0</v>
      </c>
    </row>
    <row r="703" spans="2:15" x14ac:dyDescent="0.15">
      <c r="B703" s="25" t="s">
        <v>263</v>
      </c>
      <c r="C703" s="2">
        <v>1</v>
      </c>
      <c r="D703" s="33"/>
      <c r="E703" s="4">
        <f t="shared" si="74"/>
        <v>1</v>
      </c>
      <c r="F703" s="61">
        <v>44300</v>
      </c>
      <c r="G703" s="13"/>
      <c r="H703" s="2"/>
      <c r="I703" s="33"/>
      <c r="J703" s="4">
        <f t="shared" si="73"/>
        <v>0</v>
      </c>
      <c r="L703" s="13"/>
      <c r="M703" s="2"/>
      <c r="N703" s="33"/>
      <c r="O703" s="4">
        <f t="shared" si="72"/>
        <v>0</v>
      </c>
    </row>
    <row r="704" spans="2:15" x14ac:dyDescent="0.15">
      <c r="B704" s="13" t="s">
        <v>346</v>
      </c>
      <c r="C704" s="2">
        <v>2</v>
      </c>
      <c r="D704" s="33">
        <v>2</v>
      </c>
      <c r="E704" s="4">
        <f t="shared" si="74"/>
        <v>4</v>
      </c>
      <c r="F704" s="61">
        <v>44301</v>
      </c>
      <c r="G704" s="13"/>
      <c r="H704" s="2"/>
      <c r="I704" s="33"/>
      <c r="J704" s="4">
        <f t="shared" si="73"/>
        <v>0</v>
      </c>
      <c r="L704" s="13"/>
      <c r="M704" s="2"/>
      <c r="N704" s="33"/>
      <c r="O704" s="4">
        <f t="shared" si="72"/>
        <v>0</v>
      </c>
    </row>
    <row r="705" spans="2:15" x14ac:dyDescent="0.15">
      <c r="B705" s="25" t="s">
        <v>263</v>
      </c>
      <c r="C705" s="2">
        <v>1</v>
      </c>
      <c r="D705" s="33"/>
      <c r="E705" s="4">
        <f t="shared" si="74"/>
        <v>1</v>
      </c>
      <c r="F705" s="61">
        <v>44301</v>
      </c>
      <c r="G705" s="25"/>
      <c r="H705" s="2"/>
      <c r="I705" s="33"/>
      <c r="J705" s="4">
        <f t="shared" si="73"/>
        <v>0</v>
      </c>
      <c r="L705" s="25"/>
      <c r="M705" s="2"/>
      <c r="N705" s="33"/>
      <c r="O705" s="4">
        <f t="shared" si="72"/>
        <v>0</v>
      </c>
    </row>
    <row r="706" spans="2:15" x14ac:dyDescent="0.15">
      <c r="B706" s="25" t="s">
        <v>263</v>
      </c>
      <c r="C706" s="2">
        <v>1</v>
      </c>
      <c r="D706" s="33"/>
      <c r="E706" s="4">
        <f t="shared" si="74"/>
        <v>1</v>
      </c>
      <c r="F706" s="61">
        <v>44302</v>
      </c>
      <c r="G706" s="25"/>
      <c r="H706" s="2"/>
      <c r="I706" s="33"/>
      <c r="J706" s="4">
        <f t="shared" si="73"/>
        <v>0</v>
      </c>
      <c r="L706" s="25"/>
      <c r="M706" s="2"/>
      <c r="N706" s="33"/>
      <c r="O706" s="4">
        <f t="shared" si="72"/>
        <v>0</v>
      </c>
    </row>
    <row r="707" spans="2:15" x14ac:dyDescent="0.15">
      <c r="B707" s="25" t="s">
        <v>263</v>
      </c>
      <c r="C707" s="2">
        <v>1</v>
      </c>
      <c r="D707" s="33"/>
      <c r="E707" s="4">
        <f t="shared" si="74"/>
        <v>1</v>
      </c>
      <c r="F707" s="61">
        <v>44303</v>
      </c>
      <c r="G707" s="25"/>
      <c r="H707" s="2"/>
      <c r="I707" s="33"/>
      <c r="J707" s="4">
        <f t="shared" si="73"/>
        <v>0</v>
      </c>
      <c r="L707" s="25"/>
      <c r="M707" s="2"/>
      <c r="N707" s="33"/>
      <c r="O707" s="4">
        <f t="shared" si="72"/>
        <v>0</v>
      </c>
    </row>
    <row r="708" spans="2:15" x14ac:dyDescent="0.15">
      <c r="B708" s="25" t="s">
        <v>263</v>
      </c>
      <c r="C708" s="2">
        <f>1+1</f>
        <v>2</v>
      </c>
      <c r="D708" s="33">
        <f>5+1</f>
        <v>6</v>
      </c>
      <c r="E708" s="4">
        <f t="shared" si="74"/>
        <v>8</v>
      </c>
      <c r="F708" s="61">
        <v>44305</v>
      </c>
      <c r="G708" s="25"/>
      <c r="H708" s="2"/>
      <c r="I708" s="33"/>
      <c r="J708" s="4">
        <f t="shared" si="73"/>
        <v>0</v>
      </c>
      <c r="L708" s="25"/>
      <c r="M708" s="2"/>
      <c r="N708" s="33"/>
      <c r="O708" s="4">
        <f t="shared" si="72"/>
        <v>0</v>
      </c>
    </row>
    <row r="709" spans="2:15" x14ac:dyDescent="0.15">
      <c r="B709" s="101" t="s">
        <v>350</v>
      </c>
      <c r="C709" s="14">
        <v>50</v>
      </c>
      <c r="D709" s="31"/>
      <c r="E709" s="15">
        <f t="shared" si="74"/>
        <v>50</v>
      </c>
      <c r="F709" s="61">
        <v>44313</v>
      </c>
      <c r="G709" s="13"/>
      <c r="H709" s="2"/>
      <c r="I709" s="33"/>
      <c r="J709" s="4">
        <f t="shared" si="73"/>
        <v>0</v>
      </c>
      <c r="L709" s="13"/>
      <c r="M709" s="2"/>
      <c r="N709" s="33"/>
      <c r="O709" s="4">
        <f t="shared" si="72"/>
        <v>0</v>
      </c>
    </row>
    <row r="710" spans="2:15" x14ac:dyDescent="0.15">
      <c r="B710" s="101" t="s">
        <v>351</v>
      </c>
      <c r="C710" s="14">
        <v>25</v>
      </c>
      <c r="D710" s="31">
        <v>25</v>
      </c>
      <c r="E710" s="15">
        <f t="shared" si="74"/>
        <v>50</v>
      </c>
      <c r="F710" s="61">
        <v>44313</v>
      </c>
      <c r="G710" s="25"/>
      <c r="H710" s="2"/>
      <c r="I710" s="33"/>
      <c r="J710" s="4">
        <f t="shared" si="73"/>
        <v>0</v>
      </c>
      <c r="L710" s="25"/>
      <c r="M710" s="2"/>
      <c r="N710" s="33"/>
      <c r="O710" s="4">
        <f t="shared" si="72"/>
        <v>0</v>
      </c>
    </row>
    <row r="711" spans="2:15" x14ac:dyDescent="0.15">
      <c r="B711" s="25" t="s">
        <v>263</v>
      </c>
      <c r="C711" s="14">
        <v>1</v>
      </c>
      <c r="D711" s="31"/>
      <c r="E711" s="15">
        <f t="shared" si="74"/>
        <v>1</v>
      </c>
      <c r="F711" s="61">
        <v>44307</v>
      </c>
      <c r="G711" s="25"/>
      <c r="H711" s="14"/>
      <c r="I711" s="31"/>
      <c r="J711" s="15">
        <f t="shared" si="73"/>
        <v>0</v>
      </c>
      <c r="L711" s="25"/>
      <c r="M711" s="14"/>
      <c r="N711" s="31"/>
      <c r="O711" s="15">
        <f t="shared" si="72"/>
        <v>0</v>
      </c>
    </row>
    <row r="712" spans="2:15" x14ac:dyDescent="0.15">
      <c r="B712" s="25" t="s">
        <v>352</v>
      </c>
      <c r="C712" s="14">
        <v>44</v>
      </c>
      <c r="D712" s="31">
        <v>44</v>
      </c>
      <c r="E712" s="15">
        <f t="shared" si="74"/>
        <v>88</v>
      </c>
      <c r="F712" s="61">
        <v>44312</v>
      </c>
      <c r="G712" s="13"/>
      <c r="H712" s="14"/>
      <c r="I712" s="31"/>
      <c r="J712" s="15">
        <f t="shared" si="73"/>
        <v>0</v>
      </c>
      <c r="L712" s="25"/>
      <c r="M712" s="14"/>
      <c r="N712" s="31"/>
      <c r="O712" s="15">
        <f t="shared" si="72"/>
        <v>0</v>
      </c>
    </row>
    <row r="713" spans="2:15" x14ac:dyDescent="0.15">
      <c r="B713" s="25" t="s">
        <v>263</v>
      </c>
      <c r="C713" s="14">
        <f>1+1</f>
        <v>2</v>
      </c>
      <c r="D713" s="31"/>
      <c r="E713" s="15">
        <f t="shared" si="74"/>
        <v>2</v>
      </c>
      <c r="F713" s="61">
        <v>44308</v>
      </c>
      <c r="G713" s="13"/>
      <c r="H713" s="14"/>
      <c r="I713" s="31"/>
      <c r="J713" s="15">
        <f>H713+I713</f>
        <v>0</v>
      </c>
      <c r="L713" s="13"/>
      <c r="M713" s="2"/>
      <c r="N713" s="33"/>
      <c r="O713" s="15">
        <f t="shared" si="72"/>
        <v>0</v>
      </c>
    </row>
    <row r="714" spans="2:15" x14ac:dyDescent="0.15">
      <c r="B714" s="101" t="s">
        <v>354</v>
      </c>
      <c r="C714" s="14">
        <v>50</v>
      </c>
      <c r="D714" s="31"/>
      <c r="E714" s="15">
        <f t="shared" ref="E714" si="75">C714+D714</f>
        <v>50</v>
      </c>
      <c r="F714" s="61">
        <v>44316</v>
      </c>
      <c r="G714" s="13"/>
      <c r="H714" s="14"/>
      <c r="I714" s="31"/>
      <c r="J714" s="15">
        <f t="shared" si="73"/>
        <v>0</v>
      </c>
      <c r="K714" s="61"/>
      <c r="L714" s="13"/>
      <c r="M714" s="2"/>
      <c r="N714" s="33"/>
      <c r="O714" s="15">
        <f>M714+N714</f>
        <v>0</v>
      </c>
    </row>
    <row r="715" spans="2:15" x14ac:dyDescent="0.15">
      <c r="B715" s="101" t="s">
        <v>355</v>
      </c>
      <c r="C715" s="14">
        <v>25</v>
      </c>
      <c r="D715" s="31">
        <v>25</v>
      </c>
      <c r="E715" s="15">
        <f>C715+D715</f>
        <v>50</v>
      </c>
      <c r="F715" s="61">
        <v>44316</v>
      </c>
      <c r="G715" s="13" t="s">
        <v>307</v>
      </c>
      <c r="H715" s="14"/>
      <c r="I715" s="31"/>
      <c r="J715" s="15">
        <f>H715+I715</f>
        <v>0</v>
      </c>
      <c r="K715" s="60" t="s">
        <v>336</v>
      </c>
      <c r="L715" s="25"/>
      <c r="M715" s="14"/>
      <c r="N715" s="31"/>
      <c r="O715" s="15">
        <f>M715+N715</f>
        <v>0</v>
      </c>
    </row>
    <row r="716" spans="2:15" ht="14.25" thickBot="1" x14ac:dyDescent="0.2">
      <c r="B716" s="25" t="s">
        <v>263</v>
      </c>
      <c r="C716" s="14">
        <v>8</v>
      </c>
      <c r="D716" s="31">
        <v>1</v>
      </c>
      <c r="E716" s="15">
        <f>C716+D716</f>
        <v>9</v>
      </c>
      <c r="F716" s="61">
        <v>44312</v>
      </c>
      <c r="G716" s="25" t="s">
        <v>271</v>
      </c>
      <c r="H716" s="14"/>
      <c r="I716" s="31"/>
      <c r="J716" s="15">
        <f t="shared" si="73"/>
        <v>0</v>
      </c>
      <c r="K716" s="61" t="s">
        <v>272</v>
      </c>
      <c r="L716" s="13"/>
      <c r="M716" s="27"/>
      <c r="N716" s="36"/>
      <c r="O716" s="28">
        <f>M716+N716</f>
        <v>0</v>
      </c>
    </row>
    <row r="717" spans="2:15" ht="14.25" thickBot="1" x14ac:dyDescent="0.2">
      <c r="B717" s="8" t="s">
        <v>2</v>
      </c>
      <c r="C717" s="10">
        <f>SUM(C692:C716)</f>
        <v>301</v>
      </c>
      <c r="D717" s="32">
        <f>SUM(D692:D716)</f>
        <v>131</v>
      </c>
      <c r="E717" s="11">
        <f>C717+D717</f>
        <v>432</v>
      </c>
      <c r="G717" s="8" t="s">
        <v>2</v>
      </c>
      <c r="H717" s="10">
        <f>SUM(H692:H716)</f>
        <v>630</v>
      </c>
      <c r="I717" s="32">
        <f>SUM(I692:I716)</f>
        <v>468</v>
      </c>
      <c r="J717" s="11">
        <f t="shared" si="73"/>
        <v>1098</v>
      </c>
      <c r="L717" s="8" t="s">
        <v>2</v>
      </c>
      <c r="M717" s="10">
        <f>SUM(M692:M716)</f>
        <v>0</v>
      </c>
      <c r="N717" s="32">
        <f>SUM(N692:N716)</f>
        <v>0</v>
      </c>
      <c r="O717" s="11">
        <f>M717+N717</f>
        <v>0</v>
      </c>
    </row>
    <row r="718" spans="2:15" ht="14.25" thickBot="1" x14ac:dyDescent="0.2">
      <c r="B718" s="52" t="s">
        <v>3</v>
      </c>
      <c r="C718" s="53">
        <f>+C691-C717</f>
        <v>86</v>
      </c>
      <c r="D718" s="54">
        <f>+D691-D717</f>
        <v>167</v>
      </c>
      <c r="E718" s="55">
        <f>C718+D718</f>
        <v>253</v>
      </c>
      <c r="G718" s="52" t="s">
        <v>3</v>
      </c>
      <c r="H718" s="87">
        <f>+H691-H717</f>
        <v>5262</v>
      </c>
      <c r="I718" s="97">
        <f>+I691-I717</f>
        <v>3372</v>
      </c>
      <c r="J718" s="95">
        <f>+J691-J717</f>
        <v>8634</v>
      </c>
      <c r="L718" s="52" t="s">
        <v>3</v>
      </c>
      <c r="M718" s="53">
        <f>+M691-M717</f>
        <v>0</v>
      </c>
      <c r="N718" s="54">
        <f>+N691-N717</f>
        <v>0</v>
      </c>
      <c r="O718" s="55">
        <f>M718+N718</f>
        <v>0</v>
      </c>
    </row>
    <row r="720" spans="2:15" ht="21" x14ac:dyDescent="0.2">
      <c r="B720" s="76" t="s">
        <v>150</v>
      </c>
      <c r="G720" s="75" t="s">
        <v>149</v>
      </c>
      <c r="L720" s="75" t="s">
        <v>151</v>
      </c>
    </row>
    <row r="721" spans="2:15" ht="18.75" x14ac:dyDescent="0.2">
      <c r="B721" s="3" t="s">
        <v>11</v>
      </c>
      <c r="E721" s="71"/>
      <c r="G721" s="3" t="s">
        <v>11</v>
      </c>
      <c r="L721" s="3" t="s">
        <v>11</v>
      </c>
    </row>
    <row r="722" spans="2:15" ht="14.25" thickBot="1" x14ac:dyDescent="0.2">
      <c r="G722" s="1"/>
      <c r="L722" s="1"/>
    </row>
    <row r="723" spans="2:15" ht="14.25" thickBot="1" x14ac:dyDescent="0.2">
      <c r="B723" s="7"/>
      <c r="C723" s="67"/>
      <c r="D723" s="68"/>
      <c r="E723" s="69"/>
      <c r="G723" s="7"/>
      <c r="H723" s="67"/>
      <c r="I723" s="68"/>
      <c r="J723" s="69"/>
      <c r="L723" s="7"/>
      <c r="M723" s="67"/>
      <c r="N723" s="68"/>
      <c r="O723" s="69"/>
    </row>
    <row r="724" spans="2:15" ht="14.25" thickBot="1" x14ac:dyDescent="0.2">
      <c r="B724" s="8"/>
      <c r="C724" s="40" t="s">
        <v>7</v>
      </c>
      <c r="D724" s="29" t="s">
        <v>9</v>
      </c>
      <c r="E724" s="9" t="s">
        <v>0</v>
      </c>
      <c r="G724" s="8"/>
      <c r="H724" s="40" t="s">
        <v>7</v>
      </c>
      <c r="I724" s="29" t="s">
        <v>9</v>
      </c>
      <c r="J724" s="9" t="s">
        <v>0</v>
      </c>
      <c r="L724" s="8"/>
      <c r="M724" s="40" t="s">
        <v>7</v>
      </c>
      <c r="N724" s="29" t="s">
        <v>9</v>
      </c>
      <c r="O724" s="9" t="s">
        <v>0</v>
      </c>
    </row>
    <row r="725" spans="2:15" x14ac:dyDescent="0.15">
      <c r="B725" s="16" t="s">
        <v>4</v>
      </c>
      <c r="C725" s="17">
        <f>C718</f>
        <v>86</v>
      </c>
      <c r="D725" s="35">
        <f>D718</f>
        <v>167</v>
      </c>
      <c r="E725" s="18">
        <f t="shared" ref="E725:E731" si="76">C725+D725</f>
        <v>253</v>
      </c>
      <c r="G725" s="16" t="s">
        <v>4</v>
      </c>
      <c r="H725" s="89">
        <f>H718</f>
        <v>5262</v>
      </c>
      <c r="I725" s="90">
        <f>I718</f>
        <v>3372</v>
      </c>
      <c r="J725" s="96">
        <f>J718</f>
        <v>8634</v>
      </c>
      <c r="L725" s="16" t="s">
        <v>4</v>
      </c>
      <c r="M725" s="17">
        <f>M718</f>
        <v>0</v>
      </c>
      <c r="N725" s="35">
        <f>N718</f>
        <v>0</v>
      </c>
      <c r="O725" s="18">
        <f t="shared" ref="O725:O753" si="77">M725+N725</f>
        <v>0</v>
      </c>
    </row>
    <row r="726" spans="2:15" x14ac:dyDescent="0.15">
      <c r="B726" s="25" t="s">
        <v>5</v>
      </c>
      <c r="C726" s="14">
        <v>300</v>
      </c>
      <c r="D726" s="31">
        <v>200</v>
      </c>
      <c r="E726" s="23">
        <f t="shared" si="76"/>
        <v>500</v>
      </c>
      <c r="F726" s="61">
        <v>44317</v>
      </c>
      <c r="G726" s="25" t="s">
        <v>5</v>
      </c>
      <c r="H726" s="14"/>
      <c r="I726" s="31"/>
      <c r="J726" s="23">
        <f t="shared" ref="J726:J730" si="78">H726+I726</f>
        <v>0</v>
      </c>
      <c r="L726" s="25" t="s">
        <v>5</v>
      </c>
      <c r="M726" s="14"/>
      <c r="N726" s="31"/>
      <c r="O726" s="23">
        <f t="shared" si="77"/>
        <v>0</v>
      </c>
    </row>
    <row r="727" spans="2:15" x14ac:dyDescent="0.15">
      <c r="B727" s="26" t="s">
        <v>244</v>
      </c>
      <c r="C727" s="27">
        <v>24</v>
      </c>
      <c r="D727" s="36">
        <v>16</v>
      </c>
      <c r="E727" s="28">
        <f t="shared" si="76"/>
        <v>40</v>
      </c>
      <c r="F727" s="61">
        <v>44327</v>
      </c>
      <c r="G727" s="25" t="s">
        <v>5</v>
      </c>
      <c r="H727" s="27"/>
      <c r="I727" s="36"/>
      <c r="J727" s="28">
        <f t="shared" si="78"/>
        <v>0</v>
      </c>
      <c r="L727" s="25" t="s">
        <v>5</v>
      </c>
      <c r="M727" s="27"/>
      <c r="N727" s="36"/>
      <c r="O727" s="28">
        <f t="shared" si="77"/>
        <v>0</v>
      </c>
    </row>
    <row r="728" spans="2:15" x14ac:dyDescent="0.15">
      <c r="B728" s="26" t="s">
        <v>294</v>
      </c>
      <c r="C728" s="27"/>
      <c r="D728" s="36">
        <v>1</v>
      </c>
      <c r="E728" s="28">
        <f t="shared" si="76"/>
        <v>1</v>
      </c>
      <c r="F728" s="61">
        <v>44340</v>
      </c>
      <c r="G728" s="25" t="s">
        <v>5</v>
      </c>
      <c r="H728" s="14"/>
      <c r="I728" s="31"/>
      <c r="J728" s="15">
        <f t="shared" si="78"/>
        <v>0</v>
      </c>
      <c r="L728" s="25" t="s">
        <v>5</v>
      </c>
      <c r="M728" s="27"/>
      <c r="N728" s="36"/>
      <c r="O728" s="15">
        <f t="shared" si="77"/>
        <v>0</v>
      </c>
    </row>
    <row r="729" spans="2:15" x14ac:dyDescent="0.15">
      <c r="B729" s="26" t="s">
        <v>86</v>
      </c>
      <c r="C729" s="27">
        <v>1</v>
      </c>
      <c r="D729" s="36"/>
      <c r="E729" s="28">
        <f t="shared" si="76"/>
        <v>1</v>
      </c>
      <c r="F729" s="61">
        <v>44340</v>
      </c>
      <c r="G729" s="25" t="s">
        <v>5</v>
      </c>
      <c r="H729" s="14"/>
      <c r="I729" s="31"/>
      <c r="J729" s="15">
        <f t="shared" si="78"/>
        <v>0</v>
      </c>
      <c r="L729" s="25" t="s">
        <v>5</v>
      </c>
      <c r="M729" s="27"/>
      <c r="N729" s="31"/>
      <c r="O729" s="15">
        <f t="shared" si="77"/>
        <v>0</v>
      </c>
    </row>
    <row r="730" spans="2:15" ht="14.25" thickBot="1" x14ac:dyDescent="0.2">
      <c r="B730" s="26" t="s">
        <v>5</v>
      </c>
      <c r="C730" s="14"/>
      <c r="D730" s="31"/>
      <c r="E730" s="15">
        <f t="shared" si="76"/>
        <v>0</v>
      </c>
      <c r="G730" s="25" t="s">
        <v>5</v>
      </c>
      <c r="H730" s="92"/>
      <c r="I730" s="93"/>
      <c r="J730" s="94">
        <f t="shared" si="78"/>
        <v>0</v>
      </c>
      <c r="L730" s="25" t="s">
        <v>5</v>
      </c>
      <c r="M730" s="27"/>
      <c r="N730" s="31"/>
      <c r="O730" s="15">
        <f t="shared" si="77"/>
        <v>0</v>
      </c>
    </row>
    <row r="731" spans="2:15" ht="14.25" thickBot="1" x14ac:dyDescent="0.2">
      <c r="B731" s="8" t="s">
        <v>1</v>
      </c>
      <c r="C731" s="10">
        <f>SUM(C725:C730)</f>
        <v>411</v>
      </c>
      <c r="D731" s="32">
        <f>SUM(D725:D730)</f>
        <v>384</v>
      </c>
      <c r="E731" s="11">
        <f t="shared" si="76"/>
        <v>795</v>
      </c>
      <c r="G731" s="8" t="s">
        <v>1</v>
      </c>
      <c r="H731" s="10">
        <f>SUM(H725:H730)</f>
        <v>5262</v>
      </c>
      <c r="I731" s="32">
        <f>SUM(I725:I730)</f>
        <v>3372</v>
      </c>
      <c r="J731" s="11">
        <f>SUM(J725:J730)</f>
        <v>8634</v>
      </c>
      <c r="L731" s="8" t="s">
        <v>1</v>
      </c>
      <c r="M731" s="10">
        <f>SUM(M725:M730)</f>
        <v>0</v>
      </c>
      <c r="N731" s="32">
        <f>SUM(N725:N730)</f>
        <v>0</v>
      </c>
      <c r="O731" s="11">
        <f t="shared" si="77"/>
        <v>0</v>
      </c>
    </row>
    <row r="732" spans="2:15" x14ac:dyDescent="0.15">
      <c r="B732" s="25" t="s">
        <v>356</v>
      </c>
      <c r="C732" s="14">
        <v>10</v>
      </c>
      <c r="D732" s="31"/>
      <c r="E732" s="15">
        <f>C732+D732</f>
        <v>10</v>
      </c>
      <c r="F732" s="61">
        <v>44314</v>
      </c>
      <c r="G732" s="25" t="s">
        <v>357</v>
      </c>
      <c r="H732" s="22">
        <v>300</v>
      </c>
      <c r="I732" s="30">
        <v>200</v>
      </c>
      <c r="J732" s="23">
        <f t="shared" ref="J732:J752" si="79">H732+I732</f>
        <v>500</v>
      </c>
      <c r="K732" s="61">
        <v>44317</v>
      </c>
      <c r="L732" s="13"/>
      <c r="M732" s="14"/>
      <c r="N732" s="31"/>
      <c r="O732" s="15">
        <f t="shared" si="77"/>
        <v>0</v>
      </c>
    </row>
    <row r="733" spans="2:15" x14ac:dyDescent="0.15">
      <c r="B733" s="25" t="s">
        <v>263</v>
      </c>
      <c r="C733" s="14"/>
      <c r="D733" s="31">
        <v>1</v>
      </c>
      <c r="E733" s="15">
        <f t="shared" ref="E733:E754" si="80">C733+D733</f>
        <v>1</v>
      </c>
      <c r="F733" s="61">
        <v>44314</v>
      </c>
      <c r="G733" s="13" t="s">
        <v>362</v>
      </c>
      <c r="H733" s="14">
        <v>120</v>
      </c>
      <c r="I733" s="31">
        <v>60</v>
      </c>
      <c r="J733" s="15">
        <f t="shared" si="79"/>
        <v>180</v>
      </c>
      <c r="K733" s="61">
        <v>44336</v>
      </c>
      <c r="L733" s="13"/>
      <c r="M733" s="14"/>
      <c r="N733" s="31"/>
      <c r="O733" s="15">
        <f t="shared" si="77"/>
        <v>0</v>
      </c>
    </row>
    <row r="734" spans="2:15" x14ac:dyDescent="0.15">
      <c r="B734" s="25" t="s">
        <v>263</v>
      </c>
      <c r="C734" s="14">
        <v>1</v>
      </c>
      <c r="D734" s="31"/>
      <c r="E734" s="15">
        <f t="shared" si="80"/>
        <v>1</v>
      </c>
      <c r="F734" s="61">
        <v>44316</v>
      </c>
      <c r="G734" s="5"/>
      <c r="H734" s="14"/>
      <c r="I734" s="31"/>
      <c r="J734" s="15">
        <f t="shared" si="79"/>
        <v>0</v>
      </c>
      <c r="L734" s="5"/>
      <c r="M734" s="14"/>
      <c r="N734" s="31"/>
      <c r="O734" s="15">
        <f t="shared" si="77"/>
        <v>0</v>
      </c>
    </row>
    <row r="735" spans="2:15" x14ac:dyDescent="0.15">
      <c r="B735" s="25" t="s">
        <v>263</v>
      </c>
      <c r="C735" s="2">
        <v>2</v>
      </c>
      <c r="D735" s="33"/>
      <c r="E735" s="4">
        <f t="shared" si="80"/>
        <v>2</v>
      </c>
      <c r="F735" s="61">
        <v>44317</v>
      </c>
      <c r="G735" s="13"/>
      <c r="H735" s="14"/>
      <c r="I735" s="31"/>
      <c r="J735" s="15">
        <f t="shared" si="79"/>
        <v>0</v>
      </c>
      <c r="L735" s="13"/>
      <c r="M735" s="14"/>
      <c r="N735" s="31"/>
      <c r="O735" s="15">
        <f t="shared" si="77"/>
        <v>0</v>
      </c>
    </row>
    <row r="736" spans="2:15" x14ac:dyDescent="0.15">
      <c r="B736" s="25" t="s">
        <v>263</v>
      </c>
      <c r="C736" s="2">
        <f>2+1+1</f>
        <v>4</v>
      </c>
      <c r="D736" s="33"/>
      <c r="E736" s="4">
        <f t="shared" si="80"/>
        <v>4</v>
      </c>
      <c r="F736" s="61">
        <v>44322</v>
      </c>
      <c r="G736" s="12"/>
      <c r="H736" s="2"/>
      <c r="I736" s="33"/>
      <c r="J736" s="4">
        <f t="shared" si="79"/>
        <v>0</v>
      </c>
      <c r="L736" s="12"/>
      <c r="M736" s="2"/>
      <c r="N736" s="33"/>
      <c r="O736" s="4">
        <f t="shared" si="77"/>
        <v>0</v>
      </c>
    </row>
    <row r="737" spans="2:15" x14ac:dyDescent="0.15">
      <c r="B737" s="25" t="s">
        <v>358</v>
      </c>
      <c r="C737" s="14">
        <v>20</v>
      </c>
      <c r="D737" s="31"/>
      <c r="E737" s="15">
        <f t="shared" si="80"/>
        <v>20</v>
      </c>
      <c r="F737" s="61">
        <v>44324</v>
      </c>
      <c r="G737" s="12"/>
      <c r="H737" s="14"/>
      <c r="I737" s="31"/>
      <c r="J737" s="15">
        <f t="shared" si="79"/>
        <v>0</v>
      </c>
      <c r="L737" s="12"/>
      <c r="M737" s="14"/>
      <c r="N737" s="31"/>
      <c r="O737" s="15">
        <f t="shared" si="77"/>
        <v>0</v>
      </c>
    </row>
    <row r="738" spans="2:15" x14ac:dyDescent="0.15">
      <c r="B738" s="25" t="s">
        <v>263</v>
      </c>
      <c r="C738" s="2">
        <f>1+2</f>
        <v>3</v>
      </c>
      <c r="D738" s="33"/>
      <c r="E738" s="4">
        <f t="shared" si="80"/>
        <v>3</v>
      </c>
      <c r="F738" s="61">
        <v>44323</v>
      </c>
      <c r="G738" s="13"/>
      <c r="H738" s="2"/>
      <c r="I738" s="33"/>
      <c r="J738" s="4">
        <f t="shared" si="79"/>
        <v>0</v>
      </c>
      <c r="L738" s="13"/>
      <c r="M738" s="2"/>
      <c r="N738" s="33"/>
      <c r="O738" s="4">
        <f t="shared" si="77"/>
        <v>0</v>
      </c>
    </row>
    <row r="739" spans="2:15" x14ac:dyDescent="0.15">
      <c r="B739" s="25" t="s">
        <v>263</v>
      </c>
      <c r="C739" s="2">
        <f>1+2</f>
        <v>3</v>
      </c>
      <c r="D739" s="33">
        <v>2</v>
      </c>
      <c r="E739" s="4">
        <f t="shared" si="80"/>
        <v>5</v>
      </c>
      <c r="F739" s="61">
        <v>44326</v>
      </c>
      <c r="G739" s="13"/>
      <c r="H739" s="2"/>
      <c r="I739" s="33"/>
      <c r="J739" s="4">
        <f t="shared" si="79"/>
        <v>0</v>
      </c>
      <c r="L739" s="13"/>
      <c r="M739" s="2"/>
      <c r="N739" s="33"/>
      <c r="O739" s="4">
        <f t="shared" si="77"/>
        <v>0</v>
      </c>
    </row>
    <row r="740" spans="2:15" x14ac:dyDescent="0.15">
      <c r="B740" s="25" t="s">
        <v>263</v>
      </c>
      <c r="C740" s="14">
        <v>3</v>
      </c>
      <c r="D740" s="31"/>
      <c r="E740" s="15">
        <f t="shared" si="80"/>
        <v>3</v>
      </c>
      <c r="F740" s="61">
        <v>44327</v>
      </c>
      <c r="G740" s="13"/>
      <c r="H740" s="2"/>
      <c r="I740" s="33"/>
      <c r="J740" s="4">
        <f t="shared" si="79"/>
        <v>0</v>
      </c>
      <c r="L740" s="13"/>
      <c r="M740" s="2"/>
      <c r="N740" s="33"/>
      <c r="O740" s="4">
        <f t="shared" si="77"/>
        <v>0</v>
      </c>
    </row>
    <row r="741" spans="2:15" x14ac:dyDescent="0.15">
      <c r="B741" s="25" t="s">
        <v>359</v>
      </c>
      <c r="C741" s="14">
        <v>20</v>
      </c>
      <c r="D741" s="31"/>
      <c r="E741" s="15">
        <f t="shared" si="80"/>
        <v>20</v>
      </c>
      <c r="F741" s="61">
        <v>44329</v>
      </c>
      <c r="G741" s="13"/>
      <c r="H741" s="2"/>
      <c r="I741" s="33"/>
      <c r="J741" s="4">
        <f t="shared" si="79"/>
        <v>0</v>
      </c>
      <c r="L741" s="13"/>
      <c r="M741" s="2"/>
      <c r="N741" s="33"/>
      <c r="O741" s="4">
        <f t="shared" si="77"/>
        <v>0</v>
      </c>
    </row>
    <row r="742" spans="2:15" x14ac:dyDescent="0.15">
      <c r="B742" s="25" t="s">
        <v>263</v>
      </c>
      <c r="C742" s="14">
        <v>1</v>
      </c>
      <c r="D742" s="31"/>
      <c r="E742" s="15">
        <f t="shared" si="80"/>
        <v>1</v>
      </c>
      <c r="F742" s="61">
        <v>44329</v>
      </c>
      <c r="G742" s="13"/>
      <c r="H742" s="2"/>
      <c r="I742" s="33"/>
      <c r="J742" s="4">
        <f t="shared" si="79"/>
        <v>0</v>
      </c>
      <c r="L742" s="13"/>
      <c r="M742" s="2"/>
      <c r="N742" s="33"/>
      <c r="O742" s="4">
        <f t="shared" si="77"/>
        <v>0</v>
      </c>
    </row>
    <row r="743" spans="2:15" x14ac:dyDescent="0.15">
      <c r="B743" s="25" t="s">
        <v>263</v>
      </c>
      <c r="C743" s="2">
        <f>1+3</f>
        <v>4</v>
      </c>
      <c r="D743" s="33"/>
      <c r="E743" s="4">
        <f t="shared" si="80"/>
        <v>4</v>
      </c>
      <c r="F743" s="61">
        <v>44330</v>
      </c>
      <c r="G743" s="13"/>
      <c r="H743" s="2"/>
      <c r="I743" s="33"/>
      <c r="J743" s="4">
        <f t="shared" si="79"/>
        <v>0</v>
      </c>
      <c r="L743" s="13"/>
      <c r="M743" s="2"/>
      <c r="N743" s="33"/>
      <c r="O743" s="4">
        <f t="shared" si="77"/>
        <v>0</v>
      </c>
    </row>
    <row r="744" spans="2:15" x14ac:dyDescent="0.15">
      <c r="B744" s="74" t="s">
        <v>360</v>
      </c>
      <c r="C744" s="14"/>
      <c r="D744" s="31">
        <v>40</v>
      </c>
      <c r="E744" s="15">
        <f t="shared" si="80"/>
        <v>40</v>
      </c>
      <c r="F744" s="61">
        <v>44336</v>
      </c>
      <c r="G744" s="13"/>
      <c r="H744" s="2"/>
      <c r="I744" s="33"/>
      <c r="J744" s="4">
        <f t="shared" si="79"/>
        <v>0</v>
      </c>
      <c r="L744" s="13"/>
      <c r="M744" s="2"/>
      <c r="N744" s="33"/>
      <c r="O744" s="4">
        <f t="shared" si="77"/>
        <v>0</v>
      </c>
    </row>
    <row r="745" spans="2:15" x14ac:dyDescent="0.15">
      <c r="B745" s="13" t="s">
        <v>361</v>
      </c>
      <c r="C745" s="14">
        <v>100</v>
      </c>
      <c r="D745" s="31">
        <v>100</v>
      </c>
      <c r="E745" s="15">
        <f t="shared" si="80"/>
        <v>200</v>
      </c>
      <c r="F745" s="61">
        <v>44337</v>
      </c>
      <c r="G745" s="25"/>
      <c r="H745" s="2"/>
      <c r="I745" s="33"/>
      <c r="J745" s="4">
        <f t="shared" si="79"/>
        <v>0</v>
      </c>
      <c r="L745" s="25"/>
      <c r="M745" s="2"/>
      <c r="N745" s="33"/>
      <c r="O745" s="4">
        <f t="shared" si="77"/>
        <v>0</v>
      </c>
    </row>
    <row r="746" spans="2:15" x14ac:dyDescent="0.15">
      <c r="B746" s="25" t="s">
        <v>263</v>
      </c>
      <c r="C746" s="2">
        <v>4</v>
      </c>
      <c r="D746" s="33">
        <v>1</v>
      </c>
      <c r="E746" s="4">
        <f t="shared" si="80"/>
        <v>5</v>
      </c>
      <c r="F746" s="61">
        <v>44333</v>
      </c>
      <c r="G746" s="25"/>
      <c r="H746" s="2"/>
      <c r="I746" s="33"/>
      <c r="J746" s="4">
        <f t="shared" si="79"/>
        <v>0</v>
      </c>
      <c r="L746" s="25"/>
      <c r="M746" s="2"/>
      <c r="N746" s="33"/>
      <c r="O746" s="4">
        <f t="shared" si="77"/>
        <v>0</v>
      </c>
    </row>
    <row r="747" spans="2:15" x14ac:dyDescent="0.15">
      <c r="B747" s="25" t="s">
        <v>263</v>
      </c>
      <c r="C747" s="2">
        <v>2</v>
      </c>
      <c r="D747" s="33"/>
      <c r="E747" s="4">
        <f t="shared" si="80"/>
        <v>2</v>
      </c>
      <c r="F747" s="61">
        <v>44334</v>
      </c>
      <c r="G747" s="25"/>
      <c r="H747" s="2"/>
      <c r="I747" s="33"/>
      <c r="J747" s="4">
        <f t="shared" si="79"/>
        <v>0</v>
      </c>
      <c r="L747" s="25"/>
      <c r="M747" s="2"/>
      <c r="N747" s="33"/>
      <c r="O747" s="4">
        <f t="shared" si="77"/>
        <v>0</v>
      </c>
    </row>
    <row r="748" spans="2:15" x14ac:dyDescent="0.15">
      <c r="B748" s="25" t="s">
        <v>263</v>
      </c>
      <c r="C748" s="2">
        <v>1</v>
      </c>
      <c r="D748" s="33">
        <v>1</v>
      </c>
      <c r="E748" s="4">
        <f t="shared" si="80"/>
        <v>2</v>
      </c>
      <c r="F748" s="61">
        <v>44337</v>
      </c>
      <c r="G748" s="25"/>
      <c r="H748" s="2"/>
      <c r="I748" s="33"/>
      <c r="J748" s="4">
        <f t="shared" si="79"/>
        <v>0</v>
      </c>
      <c r="L748" s="25"/>
      <c r="M748" s="2"/>
      <c r="N748" s="33"/>
      <c r="O748" s="4">
        <f t="shared" si="77"/>
        <v>0</v>
      </c>
    </row>
    <row r="749" spans="2:15" x14ac:dyDescent="0.15">
      <c r="B749" s="25" t="s">
        <v>263</v>
      </c>
      <c r="C749" s="2">
        <v>2</v>
      </c>
      <c r="D749" s="33"/>
      <c r="E749" s="4">
        <f t="shared" si="80"/>
        <v>2</v>
      </c>
      <c r="F749" s="61">
        <v>44340</v>
      </c>
      <c r="G749" s="13"/>
      <c r="H749" s="2"/>
      <c r="I749" s="33"/>
      <c r="J749" s="4">
        <f t="shared" si="79"/>
        <v>0</v>
      </c>
      <c r="L749" s="13"/>
      <c r="M749" s="2"/>
      <c r="N749" s="33"/>
      <c r="O749" s="4">
        <f t="shared" si="77"/>
        <v>0</v>
      </c>
    </row>
    <row r="750" spans="2:15" x14ac:dyDescent="0.15">
      <c r="B750" s="25" t="s">
        <v>263</v>
      </c>
      <c r="C750" s="2">
        <v>2</v>
      </c>
      <c r="D750" s="33"/>
      <c r="E750" s="4">
        <f t="shared" si="80"/>
        <v>2</v>
      </c>
      <c r="F750" s="61">
        <v>44342</v>
      </c>
      <c r="G750" s="25"/>
      <c r="H750" s="2"/>
      <c r="I750" s="33"/>
      <c r="J750" s="4">
        <f t="shared" si="79"/>
        <v>0</v>
      </c>
      <c r="L750" s="25"/>
      <c r="M750" s="2"/>
      <c r="N750" s="33"/>
      <c r="O750" s="4">
        <f t="shared" si="77"/>
        <v>0</v>
      </c>
    </row>
    <row r="751" spans="2:15" x14ac:dyDescent="0.15">
      <c r="B751" s="25" t="s">
        <v>263</v>
      </c>
      <c r="C751" s="14">
        <f>1+2</f>
        <v>3</v>
      </c>
      <c r="D751" s="31">
        <v>2</v>
      </c>
      <c r="E751" s="15">
        <f t="shared" si="80"/>
        <v>5</v>
      </c>
      <c r="F751" s="61">
        <v>44343</v>
      </c>
      <c r="G751" s="25"/>
      <c r="H751" s="14"/>
      <c r="I751" s="31"/>
      <c r="J751" s="15">
        <f t="shared" si="79"/>
        <v>0</v>
      </c>
      <c r="L751" s="25"/>
      <c r="M751" s="14"/>
      <c r="N751" s="31"/>
      <c r="O751" s="15">
        <f t="shared" si="77"/>
        <v>0</v>
      </c>
    </row>
    <row r="752" spans="2:15" x14ac:dyDescent="0.15">
      <c r="B752" s="25" t="s">
        <v>263</v>
      </c>
      <c r="C752" s="14">
        <v>1</v>
      </c>
      <c r="D752" s="31"/>
      <c r="E752" s="15">
        <f t="shared" si="80"/>
        <v>1</v>
      </c>
      <c r="F752" s="61">
        <v>44345</v>
      </c>
      <c r="G752" s="13"/>
      <c r="H752" s="14"/>
      <c r="I752" s="31"/>
      <c r="J752" s="15">
        <f t="shared" si="79"/>
        <v>0</v>
      </c>
      <c r="L752" s="25"/>
      <c r="M752" s="14"/>
      <c r="N752" s="31"/>
      <c r="O752" s="15">
        <f t="shared" si="77"/>
        <v>0</v>
      </c>
    </row>
    <row r="753" spans="2:15" x14ac:dyDescent="0.15">
      <c r="B753" s="25" t="s">
        <v>263</v>
      </c>
      <c r="C753" s="14">
        <v>1</v>
      </c>
      <c r="D753" s="31"/>
      <c r="E753" s="15">
        <f t="shared" si="80"/>
        <v>1</v>
      </c>
      <c r="F753" s="61">
        <v>44347</v>
      </c>
      <c r="G753" s="13"/>
      <c r="H753" s="14"/>
      <c r="I753" s="31"/>
      <c r="J753" s="15">
        <f>H753+I753</f>
        <v>0</v>
      </c>
      <c r="L753" s="13"/>
      <c r="M753" s="2"/>
      <c r="N753" s="33"/>
      <c r="O753" s="15">
        <f t="shared" si="77"/>
        <v>0</v>
      </c>
    </row>
    <row r="754" spans="2:15" x14ac:dyDescent="0.15">
      <c r="B754" s="101" t="s">
        <v>312</v>
      </c>
      <c r="C754" s="14"/>
      <c r="D754" s="31"/>
      <c r="E754" s="15">
        <f t="shared" si="80"/>
        <v>0</v>
      </c>
      <c r="F754" s="60" t="s">
        <v>314</v>
      </c>
      <c r="G754" s="13"/>
      <c r="H754" s="14"/>
      <c r="I754" s="31"/>
      <c r="J754" s="15">
        <f t="shared" ref="J754:J756" si="81">H754+I754</f>
        <v>0</v>
      </c>
      <c r="K754" s="61"/>
      <c r="L754" s="13"/>
      <c r="M754" s="2"/>
      <c r="N754" s="33"/>
      <c r="O754" s="15">
        <f>M754+N754</f>
        <v>0</v>
      </c>
    </row>
    <row r="755" spans="2:15" x14ac:dyDescent="0.15">
      <c r="B755" s="101" t="s">
        <v>313</v>
      </c>
      <c r="C755" s="14"/>
      <c r="D755" s="31"/>
      <c r="E755" s="15">
        <f>C755+D755</f>
        <v>0</v>
      </c>
      <c r="F755" s="60" t="s">
        <v>314</v>
      </c>
      <c r="G755" s="13"/>
      <c r="H755" s="14"/>
      <c r="I755" s="31"/>
      <c r="J755" s="15">
        <f t="shared" si="81"/>
        <v>0</v>
      </c>
      <c r="K755" s="61"/>
      <c r="L755" s="13"/>
      <c r="M755" s="14"/>
      <c r="N755" s="31"/>
      <c r="O755" s="15">
        <f>M755+N755</f>
        <v>0</v>
      </c>
    </row>
    <row r="756" spans="2:15" ht="14.25" thickBot="1" x14ac:dyDescent="0.2">
      <c r="B756" s="25" t="s">
        <v>293</v>
      </c>
      <c r="C756" s="14"/>
      <c r="D756" s="31"/>
      <c r="E756" s="15">
        <f>C756+D756</f>
        <v>0</v>
      </c>
      <c r="F756" t="s">
        <v>292</v>
      </c>
      <c r="G756" s="13" t="s">
        <v>319</v>
      </c>
      <c r="H756" s="14"/>
      <c r="I756" s="31"/>
      <c r="J756" s="15">
        <f t="shared" si="81"/>
        <v>0</v>
      </c>
      <c r="K756" s="61" t="s">
        <v>329</v>
      </c>
      <c r="L756" s="13"/>
      <c r="M756" s="27"/>
      <c r="N756" s="36"/>
      <c r="O756" s="28">
        <f>M756+N756</f>
        <v>0</v>
      </c>
    </row>
    <row r="757" spans="2:15" ht="14.25" thickBot="1" x14ac:dyDescent="0.2">
      <c r="B757" s="8" t="s">
        <v>2</v>
      </c>
      <c r="C757" s="10">
        <f>SUM(C732:C756)</f>
        <v>187</v>
      </c>
      <c r="D757" s="32">
        <f>SUM(D732:D756)</f>
        <v>147</v>
      </c>
      <c r="E757" s="11">
        <f>C757+D757</f>
        <v>334</v>
      </c>
      <c r="G757" s="8" t="s">
        <v>2</v>
      </c>
      <c r="H757" s="10">
        <f>SUM(H732:H756)</f>
        <v>420</v>
      </c>
      <c r="I757" s="32">
        <f>SUM(I732:I756)</f>
        <v>260</v>
      </c>
      <c r="J757" s="11">
        <f t="shared" ref="J757" si="82">H757+I757</f>
        <v>680</v>
      </c>
      <c r="L757" s="8" t="s">
        <v>2</v>
      </c>
      <c r="M757" s="10">
        <f>SUM(M732:M756)</f>
        <v>0</v>
      </c>
      <c r="N757" s="32">
        <f>SUM(N732:N756)</f>
        <v>0</v>
      </c>
      <c r="O757" s="11">
        <f>M757+N757</f>
        <v>0</v>
      </c>
    </row>
    <row r="758" spans="2:15" ht="14.25" thickBot="1" x14ac:dyDescent="0.2">
      <c r="B758" s="52" t="s">
        <v>3</v>
      </c>
      <c r="C758" s="53">
        <f>+C731-C757</f>
        <v>224</v>
      </c>
      <c r="D758" s="54">
        <f>+D731-D757</f>
        <v>237</v>
      </c>
      <c r="E758" s="55">
        <f>C758+D758</f>
        <v>461</v>
      </c>
      <c r="G758" s="52" t="s">
        <v>3</v>
      </c>
      <c r="H758" s="87">
        <f>+H731-H757</f>
        <v>4842</v>
      </c>
      <c r="I758" s="97">
        <f>+I731-I757</f>
        <v>3112</v>
      </c>
      <c r="J758" s="95">
        <f>+J731-J757</f>
        <v>7954</v>
      </c>
      <c r="L758" s="52" t="s">
        <v>3</v>
      </c>
      <c r="M758" s="53">
        <f>+M731-M757</f>
        <v>0</v>
      </c>
      <c r="N758" s="54">
        <f>+N731-N757</f>
        <v>0</v>
      </c>
      <c r="O758" s="55">
        <f>M758+N758</f>
        <v>0</v>
      </c>
    </row>
    <row r="760" spans="2:15" ht="21" x14ac:dyDescent="0.2">
      <c r="B760" s="76" t="s">
        <v>150</v>
      </c>
      <c r="G760" s="75" t="s">
        <v>149</v>
      </c>
      <c r="L760" s="75" t="s">
        <v>151</v>
      </c>
    </row>
    <row r="761" spans="2:15" ht="18.75" x14ac:dyDescent="0.2">
      <c r="B761" s="3" t="s">
        <v>11</v>
      </c>
      <c r="E761" s="71"/>
      <c r="G761" s="3" t="s">
        <v>11</v>
      </c>
      <c r="L761" s="3" t="s">
        <v>11</v>
      </c>
    </row>
    <row r="762" spans="2:15" ht="14.25" thickBot="1" x14ac:dyDescent="0.2">
      <c r="G762" s="1"/>
      <c r="L762" s="1"/>
    </row>
    <row r="763" spans="2:15" ht="14.25" thickBot="1" x14ac:dyDescent="0.2">
      <c r="B763" s="7"/>
      <c r="C763" s="67"/>
      <c r="D763" s="68"/>
      <c r="E763" s="69"/>
      <c r="G763" s="7"/>
      <c r="H763" s="67"/>
      <c r="I763" s="68"/>
      <c r="J763" s="69"/>
      <c r="L763" s="7"/>
      <c r="M763" s="67"/>
      <c r="N763" s="68"/>
      <c r="O763" s="69"/>
    </row>
    <row r="764" spans="2:15" ht="14.25" thickBot="1" x14ac:dyDescent="0.2">
      <c r="B764" s="8"/>
      <c r="C764" s="40" t="s">
        <v>7</v>
      </c>
      <c r="D764" s="29" t="s">
        <v>9</v>
      </c>
      <c r="E764" s="9" t="s">
        <v>0</v>
      </c>
      <c r="G764" s="8"/>
      <c r="H764" s="40" t="s">
        <v>7</v>
      </c>
      <c r="I764" s="29" t="s">
        <v>9</v>
      </c>
      <c r="J764" s="9" t="s">
        <v>0</v>
      </c>
      <c r="L764" s="8"/>
      <c r="M764" s="40" t="s">
        <v>7</v>
      </c>
      <c r="N764" s="29" t="s">
        <v>9</v>
      </c>
      <c r="O764" s="9" t="s">
        <v>0</v>
      </c>
    </row>
    <row r="765" spans="2:15" x14ac:dyDescent="0.15">
      <c r="B765" s="16" t="s">
        <v>4</v>
      </c>
      <c r="C765" s="17">
        <f>C758</f>
        <v>224</v>
      </c>
      <c r="D765" s="35">
        <f>D758</f>
        <v>237</v>
      </c>
      <c r="E765" s="18">
        <f t="shared" ref="E765:E771" si="83">C765+D765</f>
        <v>461</v>
      </c>
      <c r="G765" s="16" t="s">
        <v>4</v>
      </c>
      <c r="H765" s="89">
        <f>H758</f>
        <v>4842</v>
      </c>
      <c r="I765" s="90">
        <f>I758</f>
        <v>3112</v>
      </c>
      <c r="J765" s="96">
        <f>J758</f>
        <v>7954</v>
      </c>
      <c r="L765" s="16" t="s">
        <v>4</v>
      </c>
      <c r="M765" s="17">
        <f>M758</f>
        <v>0</v>
      </c>
      <c r="N765" s="35">
        <f>N758</f>
        <v>0</v>
      </c>
      <c r="O765" s="18">
        <f t="shared" ref="O765:O793" si="84">M765+N765</f>
        <v>0</v>
      </c>
    </row>
    <row r="766" spans="2:15" x14ac:dyDescent="0.15">
      <c r="B766" s="25" t="s">
        <v>244</v>
      </c>
      <c r="C766" s="14">
        <v>2</v>
      </c>
      <c r="D766" s="31">
        <v>5</v>
      </c>
      <c r="E766" s="23">
        <f t="shared" si="83"/>
        <v>7</v>
      </c>
      <c r="F766" s="61">
        <v>44362</v>
      </c>
      <c r="G766" s="25" t="s">
        <v>5</v>
      </c>
      <c r="H766" s="14"/>
      <c r="I766" s="31"/>
      <c r="J766" s="23">
        <f t="shared" ref="J766:J770" si="85">H766+I766</f>
        <v>0</v>
      </c>
      <c r="L766" s="25" t="s">
        <v>5</v>
      </c>
      <c r="M766" s="14"/>
      <c r="N766" s="31"/>
      <c r="O766" s="23">
        <f t="shared" si="84"/>
        <v>0</v>
      </c>
    </row>
    <row r="767" spans="2:15" x14ac:dyDescent="0.15">
      <c r="B767" s="25" t="s">
        <v>244</v>
      </c>
      <c r="C767" s="27">
        <v>2</v>
      </c>
      <c r="D767" s="36"/>
      <c r="E767" s="28">
        <f t="shared" si="83"/>
        <v>2</v>
      </c>
      <c r="F767" s="61">
        <v>44363</v>
      </c>
      <c r="G767" s="25" t="s">
        <v>5</v>
      </c>
      <c r="H767" s="27"/>
      <c r="I767" s="36"/>
      <c r="J767" s="28">
        <f t="shared" si="85"/>
        <v>0</v>
      </c>
      <c r="L767" s="25" t="s">
        <v>5</v>
      </c>
      <c r="M767" s="27"/>
      <c r="N767" s="36"/>
      <c r="O767" s="28">
        <f t="shared" si="84"/>
        <v>0</v>
      </c>
    </row>
    <row r="768" spans="2:15" x14ac:dyDescent="0.15">
      <c r="B768" s="26" t="s">
        <v>5</v>
      </c>
      <c r="C768" s="27"/>
      <c r="D768" s="36"/>
      <c r="E768" s="28">
        <f t="shared" si="83"/>
        <v>0</v>
      </c>
      <c r="G768" s="25" t="s">
        <v>5</v>
      </c>
      <c r="H768" s="14"/>
      <c r="I768" s="31"/>
      <c r="J768" s="15">
        <f t="shared" si="85"/>
        <v>0</v>
      </c>
      <c r="L768" s="25" t="s">
        <v>5</v>
      </c>
      <c r="M768" s="27"/>
      <c r="N768" s="36"/>
      <c r="O768" s="15">
        <f t="shared" si="84"/>
        <v>0</v>
      </c>
    </row>
    <row r="769" spans="2:15" x14ac:dyDescent="0.15">
      <c r="B769" s="26" t="s">
        <v>5</v>
      </c>
      <c r="C769" s="27"/>
      <c r="D769" s="36"/>
      <c r="E769" s="28">
        <f t="shared" si="83"/>
        <v>0</v>
      </c>
      <c r="G769" s="25" t="s">
        <v>5</v>
      </c>
      <c r="H769" s="14"/>
      <c r="I769" s="31"/>
      <c r="J769" s="15">
        <f t="shared" si="85"/>
        <v>0</v>
      </c>
      <c r="L769" s="25" t="s">
        <v>5</v>
      </c>
      <c r="M769" s="27"/>
      <c r="N769" s="31"/>
      <c r="O769" s="15">
        <f t="shared" si="84"/>
        <v>0</v>
      </c>
    </row>
    <row r="770" spans="2:15" ht="14.25" thickBot="1" x14ac:dyDescent="0.2">
      <c r="B770" s="26" t="s">
        <v>5</v>
      </c>
      <c r="C770" s="14"/>
      <c r="D770" s="31"/>
      <c r="E770" s="15">
        <f t="shared" si="83"/>
        <v>0</v>
      </c>
      <c r="G770" s="25" t="s">
        <v>5</v>
      </c>
      <c r="H770" s="92"/>
      <c r="I770" s="93"/>
      <c r="J770" s="94">
        <f t="shared" si="85"/>
        <v>0</v>
      </c>
      <c r="L770" s="25" t="s">
        <v>5</v>
      </c>
      <c r="M770" s="27"/>
      <c r="N770" s="31"/>
      <c r="O770" s="15">
        <f t="shared" si="84"/>
        <v>0</v>
      </c>
    </row>
    <row r="771" spans="2:15" ht="14.25" thickBot="1" x14ac:dyDescent="0.2">
      <c r="B771" s="8" t="s">
        <v>1</v>
      </c>
      <c r="C771" s="10">
        <f>SUM(C765:C770)</f>
        <v>228</v>
      </c>
      <c r="D771" s="32">
        <f>SUM(D765:D770)</f>
        <v>242</v>
      </c>
      <c r="E771" s="11">
        <f t="shared" si="83"/>
        <v>470</v>
      </c>
      <c r="G771" s="8" t="s">
        <v>1</v>
      </c>
      <c r="H771" s="10">
        <f>SUM(H765:H770)</f>
        <v>4842</v>
      </c>
      <c r="I771" s="32">
        <f>SUM(I765:I770)</f>
        <v>3112</v>
      </c>
      <c r="J771" s="11">
        <f>SUM(J765:J770)</f>
        <v>7954</v>
      </c>
      <c r="L771" s="8" t="s">
        <v>1</v>
      </c>
      <c r="M771" s="10">
        <f>SUM(M765:M770)</f>
        <v>0</v>
      </c>
      <c r="N771" s="32">
        <f>SUM(N765:N770)</f>
        <v>0</v>
      </c>
      <c r="O771" s="11">
        <f t="shared" si="84"/>
        <v>0</v>
      </c>
    </row>
    <row r="772" spans="2:15" x14ac:dyDescent="0.15">
      <c r="B772" s="25" t="s">
        <v>263</v>
      </c>
      <c r="C772" s="14">
        <v>3</v>
      </c>
      <c r="D772" s="31"/>
      <c r="E772" s="15">
        <f>C772+D772</f>
        <v>3</v>
      </c>
      <c r="F772" s="61">
        <v>44348</v>
      </c>
      <c r="G772" s="13" t="s">
        <v>369</v>
      </c>
      <c r="H772" s="22">
        <v>20</v>
      </c>
      <c r="I772" s="30">
        <v>8</v>
      </c>
      <c r="J772" s="23">
        <f t="shared" ref="J772:J792" si="86">H772+I772</f>
        <v>28</v>
      </c>
      <c r="K772" s="61">
        <v>44358</v>
      </c>
      <c r="L772" s="13"/>
      <c r="M772" s="14"/>
      <c r="N772" s="31"/>
      <c r="O772" s="15">
        <f t="shared" si="84"/>
        <v>0</v>
      </c>
    </row>
    <row r="773" spans="2:15" x14ac:dyDescent="0.15">
      <c r="B773" s="25" t="s">
        <v>365</v>
      </c>
      <c r="C773" s="14"/>
      <c r="D773" s="31">
        <v>5</v>
      </c>
      <c r="E773" s="15">
        <f t="shared" ref="E773:E793" si="87">C773+D773</f>
        <v>5</v>
      </c>
      <c r="F773" s="61">
        <v>44354</v>
      </c>
      <c r="G773" s="13" t="s">
        <v>375</v>
      </c>
      <c r="H773" s="14">
        <v>30</v>
      </c>
      <c r="I773" s="31">
        <v>20</v>
      </c>
      <c r="J773" s="15">
        <f t="shared" si="86"/>
        <v>50</v>
      </c>
      <c r="K773" s="61">
        <v>44375</v>
      </c>
      <c r="L773" s="13"/>
      <c r="M773" s="14"/>
      <c r="N773" s="31"/>
      <c r="O773" s="15">
        <f t="shared" si="84"/>
        <v>0</v>
      </c>
    </row>
    <row r="774" spans="2:15" x14ac:dyDescent="0.15">
      <c r="B774" s="25" t="s">
        <v>366</v>
      </c>
      <c r="C774" s="14">
        <v>10</v>
      </c>
      <c r="D774" s="31">
        <v>10</v>
      </c>
      <c r="E774" s="15">
        <f t="shared" si="87"/>
        <v>20</v>
      </c>
      <c r="F774" s="61">
        <v>44350</v>
      </c>
      <c r="G774" s="13" t="s">
        <v>377</v>
      </c>
      <c r="H774" s="14">
        <v>58</v>
      </c>
      <c r="I774" s="31">
        <v>7</v>
      </c>
      <c r="J774" s="15">
        <f t="shared" si="86"/>
        <v>65</v>
      </c>
      <c r="K774" s="61">
        <v>44377</v>
      </c>
      <c r="L774" s="5"/>
      <c r="M774" s="14"/>
      <c r="N774" s="31"/>
      <c r="O774" s="15">
        <f t="shared" si="84"/>
        <v>0</v>
      </c>
    </row>
    <row r="775" spans="2:15" x14ac:dyDescent="0.15">
      <c r="B775" s="25" t="s">
        <v>263</v>
      </c>
      <c r="C775" s="2"/>
      <c r="D775" s="33">
        <v>1</v>
      </c>
      <c r="E775" s="4">
        <f t="shared" si="87"/>
        <v>1</v>
      </c>
      <c r="F775" s="61">
        <v>44349</v>
      </c>
      <c r="G775" s="25" t="s">
        <v>378</v>
      </c>
      <c r="H775" s="14">
        <v>30</v>
      </c>
      <c r="I775" s="31">
        <v>10</v>
      </c>
      <c r="J775" s="15">
        <f t="shared" si="86"/>
        <v>40</v>
      </c>
      <c r="K775" s="61">
        <v>44377</v>
      </c>
      <c r="L775" s="13"/>
      <c r="M775" s="14"/>
      <c r="N775" s="31"/>
      <c r="O775" s="15">
        <f t="shared" si="84"/>
        <v>0</v>
      </c>
    </row>
    <row r="776" spans="2:15" x14ac:dyDescent="0.15">
      <c r="B776" s="25" t="s">
        <v>263</v>
      </c>
      <c r="C776" s="2">
        <f>5+4</f>
        <v>9</v>
      </c>
      <c r="D776" s="33">
        <f>1+5</f>
        <v>6</v>
      </c>
      <c r="E776" s="4">
        <f t="shared" si="87"/>
        <v>15</v>
      </c>
      <c r="F776" s="61">
        <v>44350</v>
      </c>
      <c r="G776" s="12"/>
      <c r="H776" s="2"/>
      <c r="I776" s="33"/>
      <c r="J776" s="4">
        <f t="shared" si="86"/>
        <v>0</v>
      </c>
      <c r="L776" s="12"/>
      <c r="M776" s="2"/>
      <c r="N776" s="33"/>
      <c r="O776" s="4">
        <f t="shared" si="84"/>
        <v>0</v>
      </c>
    </row>
    <row r="777" spans="2:15" x14ac:dyDescent="0.15">
      <c r="B777" s="25" t="s">
        <v>367</v>
      </c>
      <c r="C777" s="14">
        <v>10</v>
      </c>
      <c r="D777" s="31">
        <v>20</v>
      </c>
      <c r="E777" s="15">
        <f t="shared" si="87"/>
        <v>30</v>
      </c>
      <c r="F777" s="61">
        <v>44352</v>
      </c>
      <c r="G777" s="12"/>
      <c r="H777" s="14"/>
      <c r="I777" s="31"/>
      <c r="J777" s="15">
        <f t="shared" si="86"/>
        <v>0</v>
      </c>
      <c r="L777" s="12"/>
      <c r="M777" s="14"/>
      <c r="N777" s="31"/>
      <c r="O777" s="15">
        <f t="shared" si="84"/>
        <v>0</v>
      </c>
    </row>
    <row r="778" spans="2:15" x14ac:dyDescent="0.15">
      <c r="B778" s="25" t="s">
        <v>263</v>
      </c>
      <c r="C778" s="2">
        <v>1</v>
      </c>
      <c r="D778" s="33"/>
      <c r="E778" s="4">
        <f t="shared" si="87"/>
        <v>1</v>
      </c>
      <c r="F778" s="61">
        <v>44352</v>
      </c>
      <c r="G778" s="13"/>
      <c r="H778" s="2"/>
      <c r="I778" s="33"/>
      <c r="J778" s="4">
        <f t="shared" si="86"/>
        <v>0</v>
      </c>
      <c r="L778" s="13"/>
      <c r="M778" s="2"/>
      <c r="N778" s="33"/>
      <c r="O778" s="4">
        <f t="shared" si="84"/>
        <v>0</v>
      </c>
    </row>
    <row r="779" spans="2:15" x14ac:dyDescent="0.15">
      <c r="B779" s="25" t="s">
        <v>263</v>
      </c>
      <c r="C779" s="2">
        <f>3+1</f>
        <v>4</v>
      </c>
      <c r="D779" s="33"/>
      <c r="E779" s="4">
        <f t="shared" si="87"/>
        <v>4</v>
      </c>
      <c r="F779" s="61">
        <v>44354</v>
      </c>
      <c r="G779" s="13"/>
      <c r="H779" s="2"/>
      <c r="I779" s="33"/>
      <c r="J779" s="4">
        <f t="shared" si="86"/>
        <v>0</v>
      </c>
      <c r="L779" s="13"/>
      <c r="M779" s="2"/>
      <c r="N779" s="33"/>
      <c r="O779" s="4">
        <f t="shared" si="84"/>
        <v>0</v>
      </c>
    </row>
    <row r="780" spans="2:15" x14ac:dyDescent="0.15">
      <c r="B780" s="25" t="s">
        <v>368</v>
      </c>
      <c r="C780" s="14">
        <v>10</v>
      </c>
      <c r="D780" s="31"/>
      <c r="E780" s="15">
        <f t="shared" si="87"/>
        <v>10</v>
      </c>
      <c r="F780" s="61">
        <v>44356</v>
      </c>
      <c r="G780" s="13"/>
      <c r="H780" s="2"/>
      <c r="I780" s="33"/>
      <c r="J780" s="4">
        <f t="shared" si="86"/>
        <v>0</v>
      </c>
      <c r="L780" s="13"/>
      <c r="M780" s="2"/>
      <c r="N780" s="33"/>
      <c r="O780" s="4">
        <f t="shared" si="84"/>
        <v>0</v>
      </c>
    </row>
    <row r="781" spans="2:15" x14ac:dyDescent="0.15">
      <c r="B781" s="25" t="s">
        <v>263</v>
      </c>
      <c r="C781" s="2">
        <v>1</v>
      </c>
      <c r="D781" s="33"/>
      <c r="E781" s="4">
        <f t="shared" si="87"/>
        <v>1</v>
      </c>
      <c r="F781" s="61">
        <v>44355</v>
      </c>
      <c r="G781" s="13"/>
      <c r="H781" s="2"/>
      <c r="I781" s="33"/>
      <c r="J781" s="4">
        <f t="shared" si="86"/>
        <v>0</v>
      </c>
      <c r="L781" s="13"/>
      <c r="M781" s="2"/>
      <c r="N781" s="33"/>
      <c r="O781" s="4">
        <f t="shared" si="84"/>
        <v>0</v>
      </c>
    </row>
    <row r="782" spans="2:15" x14ac:dyDescent="0.15">
      <c r="B782" s="25" t="s">
        <v>263</v>
      </c>
      <c r="C782" s="2">
        <v>1</v>
      </c>
      <c r="D782" s="33"/>
      <c r="E782" s="4">
        <f t="shared" si="87"/>
        <v>1</v>
      </c>
      <c r="F782" s="61">
        <v>44357</v>
      </c>
      <c r="G782" s="13"/>
      <c r="H782" s="2"/>
      <c r="I782" s="33"/>
      <c r="J782" s="4">
        <f t="shared" si="86"/>
        <v>0</v>
      </c>
      <c r="L782" s="13"/>
      <c r="M782" s="2"/>
      <c r="N782" s="33"/>
      <c r="O782" s="4">
        <f t="shared" si="84"/>
        <v>0</v>
      </c>
    </row>
    <row r="783" spans="2:15" x14ac:dyDescent="0.15">
      <c r="B783" s="25" t="s">
        <v>263</v>
      </c>
      <c r="C783" s="2">
        <f>2</f>
        <v>2</v>
      </c>
      <c r="D783" s="33"/>
      <c r="E783" s="4">
        <f t="shared" si="87"/>
        <v>2</v>
      </c>
      <c r="F783" s="61">
        <v>44358</v>
      </c>
      <c r="G783" s="13"/>
      <c r="H783" s="2"/>
      <c r="I783" s="33"/>
      <c r="J783" s="4">
        <f t="shared" si="86"/>
        <v>0</v>
      </c>
      <c r="L783" s="13"/>
      <c r="M783" s="2"/>
      <c r="N783" s="33"/>
      <c r="O783" s="4">
        <f t="shared" si="84"/>
        <v>0</v>
      </c>
    </row>
    <row r="784" spans="2:15" x14ac:dyDescent="0.15">
      <c r="B784" s="13" t="s">
        <v>370</v>
      </c>
      <c r="C784" s="14">
        <v>25</v>
      </c>
      <c r="D784" s="31"/>
      <c r="E784" s="15">
        <f t="shared" si="87"/>
        <v>25</v>
      </c>
      <c r="F784" s="61">
        <v>44365</v>
      </c>
      <c r="G784" s="13"/>
      <c r="H784" s="2"/>
      <c r="I784" s="33"/>
      <c r="J784" s="4">
        <f t="shared" si="86"/>
        <v>0</v>
      </c>
      <c r="L784" s="13"/>
      <c r="M784" s="2"/>
      <c r="N784" s="33"/>
      <c r="O784" s="4">
        <f t="shared" si="84"/>
        <v>0</v>
      </c>
    </row>
    <row r="785" spans="2:15" x14ac:dyDescent="0.15">
      <c r="B785" s="25" t="s">
        <v>371</v>
      </c>
      <c r="C785" s="14">
        <v>21</v>
      </c>
      <c r="D785" s="31">
        <v>9</v>
      </c>
      <c r="E785" s="15">
        <f t="shared" si="87"/>
        <v>30</v>
      </c>
      <c r="F785" s="61">
        <v>44362</v>
      </c>
      <c r="G785" s="25"/>
      <c r="H785" s="2"/>
      <c r="I785" s="33"/>
      <c r="J785" s="4">
        <f t="shared" si="86"/>
        <v>0</v>
      </c>
      <c r="L785" s="25"/>
      <c r="M785" s="2"/>
      <c r="N785" s="33"/>
      <c r="O785" s="4">
        <f t="shared" si="84"/>
        <v>0</v>
      </c>
    </row>
    <row r="786" spans="2:15" x14ac:dyDescent="0.15">
      <c r="B786" s="25" t="s">
        <v>263</v>
      </c>
      <c r="C786" s="2">
        <v>5</v>
      </c>
      <c r="D786" s="33">
        <v>1</v>
      </c>
      <c r="E786" s="4">
        <f t="shared" si="87"/>
        <v>6</v>
      </c>
      <c r="F786" s="61">
        <v>44361</v>
      </c>
      <c r="G786" s="25"/>
      <c r="H786" s="2"/>
      <c r="I786" s="33"/>
      <c r="J786" s="4">
        <f t="shared" si="86"/>
        <v>0</v>
      </c>
      <c r="L786" s="25"/>
      <c r="M786" s="2"/>
      <c r="N786" s="33"/>
      <c r="O786" s="4">
        <f t="shared" si="84"/>
        <v>0</v>
      </c>
    </row>
    <row r="787" spans="2:15" x14ac:dyDescent="0.15">
      <c r="B787" s="25" t="s">
        <v>263</v>
      </c>
      <c r="C787" s="2">
        <v>1</v>
      </c>
      <c r="D787" s="33"/>
      <c r="E787" s="4">
        <f t="shared" si="87"/>
        <v>1</v>
      </c>
      <c r="F787" s="61">
        <v>44363</v>
      </c>
      <c r="G787" s="25"/>
      <c r="H787" s="2"/>
      <c r="I787" s="33"/>
      <c r="J787" s="4">
        <f t="shared" si="86"/>
        <v>0</v>
      </c>
      <c r="L787" s="25"/>
      <c r="M787" s="2"/>
      <c r="N787" s="33"/>
      <c r="O787" s="4">
        <f t="shared" si="84"/>
        <v>0</v>
      </c>
    </row>
    <row r="788" spans="2:15" x14ac:dyDescent="0.15">
      <c r="B788" s="25" t="s">
        <v>263</v>
      </c>
      <c r="C788" s="2">
        <v>1</v>
      </c>
      <c r="D788" s="33"/>
      <c r="E788" s="4">
        <f t="shared" si="87"/>
        <v>1</v>
      </c>
      <c r="F788" s="61">
        <v>44365</v>
      </c>
      <c r="G788" s="25"/>
      <c r="H788" s="2"/>
      <c r="I788" s="33"/>
      <c r="J788" s="4">
        <f t="shared" si="86"/>
        <v>0</v>
      </c>
      <c r="L788" s="25"/>
      <c r="M788" s="2"/>
      <c r="N788" s="33"/>
      <c r="O788" s="4">
        <f t="shared" si="84"/>
        <v>0</v>
      </c>
    </row>
    <row r="789" spans="2:15" x14ac:dyDescent="0.15">
      <c r="B789" s="25" t="s">
        <v>263</v>
      </c>
      <c r="C789" s="2"/>
      <c r="D789" s="33">
        <v>6</v>
      </c>
      <c r="E789" s="4">
        <f t="shared" si="87"/>
        <v>6</v>
      </c>
      <c r="F789" s="61">
        <v>44368</v>
      </c>
      <c r="G789" s="13"/>
      <c r="H789" s="2"/>
      <c r="I789" s="33"/>
      <c r="J789" s="4">
        <f t="shared" si="86"/>
        <v>0</v>
      </c>
      <c r="L789" s="13"/>
      <c r="M789" s="2"/>
      <c r="N789" s="33"/>
      <c r="O789" s="4">
        <f t="shared" si="84"/>
        <v>0</v>
      </c>
    </row>
    <row r="790" spans="2:15" x14ac:dyDescent="0.15">
      <c r="B790" s="25" t="s">
        <v>263</v>
      </c>
      <c r="C790" s="2">
        <v>3</v>
      </c>
      <c r="D790" s="33"/>
      <c r="E790" s="4">
        <f t="shared" si="87"/>
        <v>3</v>
      </c>
      <c r="F790" s="61">
        <v>44370</v>
      </c>
      <c r="G790" s="25"/>
      <c r="H790" s="2"/>
      <c r="I790" s="33"/>
      <c r="J790" s="4">
        <f t="shared" si="86"/>
        <v>0</v>
      </c>
      <c r="L790" s="25"/>
      <c r="M790" s="2"/>
      <c r="N790" s="33"/>
      <c r="O790" s="4">
        <f t="shared" si="84"/>
        <v>0</v>
      </c>
    </row>
    <row r="791" spans="2:15" x14ac:dyDescent="0.15">
      <c r="B791" s="25" t="s">
        <v>374</v>
      </c>
      <c r="C791" s="14">
        <v>1</v>
      </c>
      <c r="D791" s="31"/>
      <c r="E791" s="15">
        <f t="shared" si="87"/>
        <v>1</v>
      </c>
      <c r="F791" s="61">
        <v>44372</v>
      </c>
      <c r="G791" s="25"/>
      <c r="H791" s="14"/>
      <c r="I791" s="31"/>
      <c r="J791" s="15">
        <f t="shared" si="86"/>
        <v>0</v>
      </c>
      <c r="L791" s="25"/>
      <c r="M791" s="14"/>
      <c r="N791" s="31"/>
      <c r="O791" s="15">
        <f t="shared" si="84"/>
        <v>0</v>
      </c>
    </row>
    <row r="792" spans="2:15" x14ac:dyDescent="0.15">
      <c r="B792" s="25" t="s">
        <v>376</v>
      </c>
      <c r="C792" s="14">
        <v>10</v>
      </c>
      <c r="D792" s="31"/>
      <c r="E792" s="15">
        <f t="shared" si="87"/>
        <v>10</v>
      </c>
      <c r="F792" s="61">
        <v>44372</v>
      </c>
      <c r="G792" s="13"/>
      <c r="H792" s="14"/>
      <c r="I792" s="31"/>
      <c r="J792" s="15">
        <f t="shared" si="86"/>
        <v>0</v>
      </c>
      <c r="L792" s="25"/>
      <c r="M792" s="14"/>
      <c r="N792" s="31"/>
      <c r="O792" s="15">
        <f t="shared" si="84"/>
        <v>0</v>
      </c>
    </row>
    <row r="793" spans="2:15" x14ac:dyDescent="0.15">
      <c r="B793" s="25" t="s">
        <v>263</v>
      </c>
      <c r="C793" s="14">
        <v>2</v>
      </c>
      <c r="D793" s="31"/>
      <c r="E793" s="15">
        <f t="shared" si="87"/>
        <v>2</v>
      </c>
      <c r="F793" s="61">
        <v>44372</v>
      </c>
      <c r="G793" s="13"/>
      <c r="H793" s="14"/>
      <c r="I793" s="31"/>
      <c r="J793" s="15">
        <f>H793+I793</f>
        <v>0</v>
      </c>
      <c r="L793" s="13"/>
      <c r="M793" s="2"/>
      <c r="N793" s="33"/>
      <c r="O793" s="15">
        <f t="shared" si="84"/>
        <v>0</v>
      </c>
    </row>
    <row r="794" spans="2:15" x14ac:dyDescent="0.15">
      <c r="B794" s="25" t="s">
        <v>263</v>
      </c>
      <c r="C794" s="14">
        <v>3</v>
      </c>
      <c r="D794" s="31">
        <v>1</v>
      </c>
      <c r="E794" s="15">
        <f>C794+D794</f>
        <v>4</v>
      </c>
      <c r="F794" s="61">
        <v>44375</v>
      </c>
      <c r="G794" s="13"/>
      <c r="H794" s="14"/>
      <c r="I794" s="31"/>
      <c r="J794" s="15">
        <f t="shared" ref="J794:J795" si="88">H794+I794</f>
        <v>0</v>
      </c>
      <c r="K794" s="61"/>
      <c r="L794" s="13"/>
      <c r="M794" s="2"/>
      <c r="N794" s="33"/>
      <c r="O794" s="15">
        <f>M794+N794</f>
        <v>0</v>
      </c>
    </row>
    <row r="795" spans="2:15" x14ac:dyDescent="0.15">
      <c r="B795" s="25" t="s">
        <v>263</v>
      </c>
      <c r="C795" s="14">
        <v>2</v>
      </c>
      <c r="D795" s="31">
        <v>4</v>
      </c>
      <c r="E795" s="15">
        <f>C795+D795</f>
        <v>6</v>
      </c>
      <c r="F795" s="61">
        <v>44377</v>
      </c>
      <c r="G795" s="13" t="s">
        <v>347</v>
      </c>
      <c r="H795" s="14"/>
      <c r="I795" s="31"/>
      <c r="J795" s="15">
        <f t="shared" si="88"/>
        <v>0</v>
      </c>
      <c r="K795" s="61" t="s">
        <v>363</v>
      </c>
      <c r="L795" s="13"/>
      <c r="M795" s="14"/>
      <c r="N795" s="31"/>
      <c r="O795" s="15">
        <f>M795+N795</f>
        <v>0</v>
      </c>
    </row>
    <row r="796" spans="2:15" ht="14.25" thickBot="1" x14ac:dyDescent="0.2">
      <c r="B796" s="25" t="s">
        <v>305</v>
      </c>
      <c r="C796" s="14"/>
      <c r="D796" s="31"/>
      <c r="E796" s="15">
        <f>C796+D796</f>
        <v>0</v>
      </c>
      <c r="F796" t="s">
        <v>306</v>
      </c>
      <c r="G796" s="13" t="s">
        <v>334</v>
      </c>
      <c r="H796" s="14"/>
      <c r="I796" s="31"/>
      <c r="J796" s="15">
        <f>H796+I796</f>
        <v>0</v>
      </c>
      <c r="K796" s="60" t="s">
        <v>335</v>
      </c>
      <c r="L796" s="13"/>
      <c r="M796" s="27"/>
      <c r="N796" s="36"/>
      <c r="O796" s="28">
        <f>M796+N796</f>
        <v>0</v>
      </c>
    </row>
    <row r="797" spans="2:15" ht="14.25" thickBot="1" x14ac:dyDescent="0.2">
      <c r="B797" s="8" t="s">
        <v>2</v>
      </c>
      <c r="C797" s="10">
        <f>SUM(C772:C796)</f>
        <v>125</v>
      </c>
      <c r="D797" s="32">
        <f>SUM(D772:D796)</f>
        <v>63</v>
      </c>
      <c r="E797" s="11">
        <f>C797+D797</f>
        <v>188</v>
      </c>
      <c r="G797" s="8" t="s">
        <v>2</v>
      </c>
      <c r="H797" s="10">
        <f>SUM(H772:H796)</f>
        <v>138</v>
      </c>
      <c r="I797" s="32">
        <f>SUM(I772:I796)</f>
        <v>45</v>
      </c>
      <c r="J797" s="11">
        <f t="shared" ref="J797" si="89">H797+I797</f>
        <v>183</v>
      </c>
      <c r="L797" s="8" t="s">
        <v>2</v>
      </c>
      <c r="M797" s="10">
        <f>SUM(M772:M796)</f>
        <v>0</v>
      </c>
      <c r="N797" s="32">
        <f>SUM(N772:N796)</f>
        <v>0</v>
      </c>
      <c r="O797" s="11">
        <f>M797+N797</f>
        <v>0</v>
      </c>
    </row>
    <row r="798" spans="2:15" ht="14.25" thickBot="1" x14ac:dyDescent="0.2">
      <c r="B798" s="52" t="s">
        <v>3</v>
      </c>
      <c r="C798" s="53">
        <f>+C771-C797</f>
        <v>103</v>
      </c>
      <c r="D798" s="54">
        <f>+D771-D797</f>
        <v>179</v>
      </c>
      <c r="E798" s="55">
        <f>C798+D798</f>
        <v>282</v>
      </c>
      <c r="G798" s="52" t="s">
        <v>3</v>
      </c>
      <c r="H798" s="87">
        <f>+H771-H797</f>
        <v>4704</v>
      </c>
      <c r="I798" s="97">
        <f>+I771-I797</f>
        <v>3067</v>
      </c>
      <c r="J798" s="95">
        <f>+J771-J797</f>
        <v>7771</v>
      </c>
      <c r="L798" s="52" t="s">
        <v>3</v>
      </c>
      <c r="M798" s="53">
        <f>+M771-M797</f>
        <v>0</v>
      </c>
      <c r="N798" s="54">
        <f>+N771-N797</f>
        <v>0</v>
      </c>
      <c r="O798" s="55">
        <f>M798+N798</f>
        <v>0</v>
      </c>
    </row>
    <row r="800" spans="2:15" ht="21" x14ac:dyDescent="0.2">
      <c r="B800" s="76" t="s">
        <v>150</v>
      </c>
      <c r="G800" s="75" t="s">
        <v>149</v>
      </c>
      <c r="L800" s="75" t="s">
        <v>151</v>
      </c>
    </row>
    <row r="801" spans="2:16" ht="18.75" x14ac:dyDescent="0.2">
      <c r="B801" s="3" t="s">
        <v>11</v>
      </c>
      <c r="E801" s="71"/>
      <c r="G801" s="3" t="s">
        <v>11</v>
      </c>
      <c r="L801" s="3" t="s">
        <v>11</v>
      </c>
    </row>
    <row r="802" spans="2:16" ht="14.25" thickBot="1" x14ac:dyDescent="0.2">
      <c r="G802" s="1"/>
      <c r="L802" s="1"/>
    </row>
    <row r="803" spans="2:16" ht="14.25" thickBot="1" x14ac:dyDescent="0.2">
      <c r="B803" s="7"/>
      <c r="C803" s="67"/>
      <c r="D803" s="68"/>
      <c r="E803" s="69"/>
      <c r="G803" s="7"/>
      <c r="H803" s="67"/>
      <c r="I803" s="68"/>
      <c r="J803" s="69"/>
      <c r="L803" s="7"/>
      <c r="M803" s="67"/>
      <c r="N803" s="68"/>
      <c r="O803" s="69"/>
    </row>
    <row r="804" spans="2:16" ht="14.25" thickBot="1" x14ac:dyDescent="0.2">
      <c r="B804" s="8"/>
      <c r="C804" s="40" t="s">
        <v>7</v>
      </c>
      <c r="D804" s="29" t="s">
        <v>9</v>
      </c>
      <c r="E804" s="9" t="s">
        <v>0</v>
      </c>
      <c r="G804" s="8"/>
      <c r="H804" s="40" t="s">
        <v>7</v>
      </c>
      <c r="I804" s="29" t="s">
        <v>9</v>
      </c>
      <c r="J804" s="9" t="s">
        <v>0</v>
      </c>
      <c r="L804" s="8"/>
      <c r="M804" s="40" t="s">
        <v>7</v>
      </c>
      <c r="N804" s="29" t="s">
        <v>9</v>
      </c>
      <c r="O804" s="9" t="s">
        <v>0</v>
      </c>
    </row>
    <row r="805" spans="2:16" x14ac:dyDescent="0.15">
      <c r="B805" s="16" t="s">
        <v>4</v>
      </c>
      <c r="C805" s="17">
        <f>C798</f>
        <v>103</v>
      </c>
      <c r="D805" s="35">
        <f>D798</f>
        <v>179</v>
      </c>
      <c r="E805" s="18">
        <f t="shared" ref="E805:E811" si="90">C805+D805</f>
        <v>282</v>
      </c>
      <c r="G805" s="16" t="s">
        <v>4</v>
      </c>
      <c r="H805" s="89">
        <f>H798</f>
        <v>4704</v>
      </c>
      <c r="I805" s="90">
        <f>I798</f>
        <v>3067</v>
      </c>
      <c r="J805" s="96">
        <f>J798</f>
        <v>7771</v>
      </c>
      <c r="L805" s="16" t="s">
        <v>4</v>
      </c>
      <c r="M805" s="17">
        <f>M798</f>
        <v>0</v>
      </c>
      <c r="N805" s="35">
        <f>N798</f>
        <v>0</v>
      </c>
      <c r="O805" s="18">
        <f t="shared" ref="O805:O833" si="91">M805+N805</f>
        <v>0</v>
      </c>
    </row>
    <row r="806" spans="2:16" x14ac:dyDescent="0.15">
      <c r="B806" s="25" t="s">
        <v>244</v>
      </c>
      <c r="C806" s="14">
        <v>2</v>
      </c>
      <c r="D806" s="31">
        <v>1</v>
      </c>
      <c r="E806" s="23">
        <f t="shared" si="90"/>
        <v>3</v>
      </c>
      <c r="F806" s="61">
        <v>44391</v>
      </c>
      <c r="G806" s="25" t="s">
        <v>5</v>
      </c>
      <c r="H806" s="14"/>
      <c r="I806" s="31"/>
      <c r="J806" s="23">
        <f t="shared" ref="J806:J810" si="92">H806+I806</f>
        <v>0</v>
      </c>
      <c r="L806" s="25" t="s">
        <v>5</v>
      </c>
      <c r="M806" s="14"/>
      <c r="N806" s="31"/>
      <c r="O806" s="23">
        <f t="shared" si="91"/>
        <v>0</v>
      </c>
    </row>
    <row r="807" spans="2:16" x14ac:dyDescent="0.15">
      <c r="B807" s="26" t="s">
        <v>5</v>
      </c>
      <c r="C807" s="27">
        <v>63</v>
      </c>
      <c r="D807" s="36"/>
      <c r="E807" s="28">
        <f t="shared" si="90"/>
        <v>63</v>
      </c>
      <c r="F807" s="61">
        <v>44394</v>
      </c>
      <c r="G807" s="25" t="s">
        <v>244</v>
      </c>
      <c r="H807" s="27">
        <v>17</v>
      </c>
      <c r="I807" s="36">
        <v>25</v>
      </c>
      <c r="J807" s="28">
        <f t="shared" si="92"/>
        <v>42</v>
      </c>
      <c r="K807" s="61">
        <v>44392</v>
      </c>
      <c r="L807" s="25" t="s">
        <v>5</v>
      </c>
      <c r="M807" s="27"/>
      <c r="N807" s="36"/>
      <c r="O807" s="28">
        <f t="shared" si="91"/>
        <v>0</v>
      </c>
      <c r="P807" s="77"/>
    </row>
    <row r="808" spans="2:16" x14ac:dyDescent="0.15">
      <c r="B808" s="26" t="s">
        <v>5</v>
      </c>
      <c r="C808" s="27">
        <v>17</v>
      </c>
      <c r="D808" s="36">
        <v>25</v>
      </c>
      <c r="E808" s="28">
        <f t="shared" si="90"/>
        <v>42</v>
      </c>
      <c r="F808" s="61">
        <v>44394</v>
      </c>
      <c r="G808" s="25" t="s">
        <v>5</v>
      </c>
      <c r="H808" s="14"/>
      <c r="I808" s="31"/>
      <c r="J808" s="15">
        <f t="shared" si="92"/>
        <v>0</v>
      </c>
      <c r="L808" s="25" t="s">
        <v>5</v>
      </c>
      <c r="M808" s="27"/>
      <c r="N808" s="36"/>
      <c r="O808" s="15">
        <f t="shared" si="91"/>
        <v>0</v>
      </c>
    </row>
    <row r="809" spans="2:16" x14ac:dyDescent="0.15">
      <c r="B809" s="26" t="s">
        <v>393</v>
      </c>
      <c r="C809" s="27">
        <v>8</v>
      </c>
      <c r="D809" s="36">
        <v>8</v>
      </c>
      <c r="E809" s="28">
        <f t="shared" si="90"/>
        <v>16</v>
      </c>
      <c r="F809" s="61">
        <v>44410</v>
      </c>
      <c r="G809" s="25" t="s">
        <v>5</v>
      </c>
      <c r="H809" s="14"/>
      <c r="I809" s="31"/>
      <c r="J809" s="15">
        <f t="shared" si="92"/>
        <v>0</v>
      </c>
      <c r="L809" s="25" t="s">
        <v>5</v>
      </c>
      <c r="M809" s="27"/>
      <c r="N809" s="31"/>
      <c r="O809" s="15">
        <f t="shared" si="91"/>
        <v>0</v>
      </c>
    </row>
    <row r="810" spans="2:16" ht="14.25" thickBot="1" x14ac:dyDescent="0.2">
      <c r="B810" s="26" t="s">
        <v>5</v>
      </c>
      <c r="C810" s="14"/>
      <c r="D810" s="31"/>
      <c r="E810" s="15">
        <f t="shared" si="90"/>
        <v>0</v>
      </c>
      <c r="G810" s="25" t="s">
        <v>5</v>
      </c>
      <c r="H810" s="92"/>
      <c r="I810" s="93"/>
      <c r="J810" s="94">
        <f t="shared" si="92"/>
        <v>0</v>
      </c>
      <c r="L810" s="25" t="s">
        <v>5</v>
      </c>
      <c r="M810" s="27"/>
      <c r="N810" s="31"/>
      <c r="O810" s="15">
        <f t="shared" si="91"/>
        <v>0</v>
      </c>
    </row>
    <row r="811" spans="2:16" ht="14.25" thickBot="1" x14ac:dyDescent="0.2">
      <c r="B811" s="8" t="s">
        <v>1</v>
      </c>
      <c r="C811" s="10">
        <f>SUM(C805:C810)</f>
        <v>193</v>
      </c>
      <c r="D811" s="32">
        <f>SUM(D805:D810)</f>
        <v>213</v>
      </c>
      <c r="E811" s="11">
        <f t="shared" si="90"/>
        <v>406</v>
      </c>
      <c r="G811" s="8" t="s">
        <v>1</v>
      </c>
      <c r="H811" s="10">
        <f>SUM(H805:H810)</f>
        <v>4721</v>
      </c>
      <c r="I811" s="32">
        <f>SUM(I805:I810)</f>
        <v>3092</v>
      </c>
      <c r="J811" s="11">
        <f>SUM(J805:J810)</f>
        <v>7813</v>
      </c>
      <c r="L811" s="8" t="s">
        <v>1</v>
      </c>
      <c r="M811" s="10">
        <f>SUM(M805:M810)</f>
        <v>0</v>
      </c>
      <c r="N811" s="32">
        <f>SUM(N805:N810)</f>
        <v>0</v>
      </c>
      <c r="O811" s="11">
        <f t="shared" si="91"/>
        <v>0</v>
      </c>
    </row>
    <row r="812" spans="2:16" x14ac:dyDescent="0.15">
      <c r="B812" s="25" t="s">
        <v>263</v>
      </c>
      <c r="C812" s="14">
        <v>1</v>
      </c>
      <c r="D812" s="31"/>
      <c r="E812" s="15">
        <f>C812+D812</f>
        <v>1</v>
      </c>
      <c r="F812" s="61">
        <v>44378</v>
      </c>
      <c r="G812" s="25" t="s">
        <v>390</v>
      </c>
      <c r="H812" s="22">
        <v>17</v>
      </c>
      <c r="I812" s="30">
        <v>25</v>
      </c>
      <c r="J812" s="23">
        <f t="shared" ref="J812:J832" si="93">H812+I812</f>
        <v>42</v>
      </c>
      <c r="K812" s="61">
        <v>44394</v>
      </c>
      <c r="L812" s="13"/>
      <c r="M812" s="14"/>
      <c r="N812" s="31"/>
      <c r="O812" s="15">
        <f t="shared" si="91"/>
        <v>0</v>
      </c>
    </row>
    <row r="813" spans="2:16" x14ac:dyDescent="0.15">
      <c r="B813" s="13" t="s">
        <v>379</v>
      </c>
      <c r="C813" s="2">
        <v>1</v>
      </c>
      <c r="D813" s="33">
        <v>2</v>
      </c>
      <c r="E813" s="4">
        <f t="shared" ref="E813:E833" si="94">C813+D813</f>
        <v>3</v>
      </c>
      <c r="F813" s="61">
        <v>44382</v>
      </c>
      <c r="G813" s="13"/>
      <c r="H813" s="14"/>
      <c r="I813" s="31"/>
      <c r="J813" s="15">
        <f t="shared" si="93"/>
        <v>0</v>
      </c>
      <c r="L813" s="13"/>
      <c r="M813" s="14"/>
      <c r="N813" s="31"/>
      <c r="O813" s="15">
        <f t="shared" si="91"/>
        <v>0</v>
      </c>
    </row>
    <row r="814" spans="2:16" x14ac:dyDescent="0.15">
      <c r="B814" s="5" t="s">
        <v>381</v>
      </c>
      <c r="C814" s="14">
        <f>1+3</f>
        <v>4</v>
      </c>
      <c r="D814" s="31">
        <f>2+1</f>
        <v>3</v>
      </c>
      <c r="E814" s="15">
        <f t="shared" si="94"/>
        <v>7</v>
      </c>
      <c r="F814" s="61">
        <v>44382</v>
      </c>
      <c r="G814" s="5"/>
      <c r="H814" s="14"/>
      <c r="I814" s="31"/>
      <c r="J814" s="15">
        <f t="shared" si="93"/>
        <v>0</v>
      </c>
      <c r="L814" s="5"/>
      <c r="M814" s="14"/>
      <c r="N814" s="31"/>
      <c r="O814" s="15">
        <f t="shared" si="91"/>
        <v>0</v>
      </c>
    </row>
    <row r="815" spans="2:16" x14ac:dyDescent="0.15">
      <c r="B815" s="13" t="s">
        <v>382</v>
      </c>
      <c r="C815" s="14">
        <v>5</v>
      </c>
      <c r="D815" s="31">
        <v>1</v>
      </c>
      <c r="E815" s="15">
        <f t="shared" si="94"/>
        <v>6</v>
      </c>
      <c r="F815" s="61">
        <v>44385</v>
      </c>
      <c r="G815" s="13"/>
      <c r="H815" s="14"/>
      <c r="I815" s="31"/>
      <c r="J815" s="15">
        <f t="shared" si="93"/>
        <v>0</v>
      </c>
      <c r="L815" s="13"/>
      <c r="M815" s="14"/>
      <c r="N815" s="31"/>
      <c r="O815" s="15">
        <f t="shared" si="91"/>
        <v>0</v>
      </c>
    </row>
    <row r="816" spans="2:16" x14ac:dyDescent="0.15">
      <c r="B816" s="74" t="s">
        <v>383</v>
      </c>
      <c r="C816" s="14"/>
      <c r="D816" s="31">
        <v>18</v>
      </c>
      <c r="E816" s="15">
        <f t="shared" si="94"/>
        <v>18</v>
      </c>
      <c r="F816" s="61">
        <v>44386</v>
      </c>
      <c r="G816" s="12"/>
      <c r="H816" s="2"/>
      <c r="I816" s="33"/>
      <c r="J816" s="4">
        <f t="shared" si="93"/>
        <v>0</v>
      </c>
      <c r="L816" s="12"/>
      <c r="M816" s="2"/>
      <c r="N816" s="33"/>
      <c r="O816" s="4">
        <f t="shared" si="91"/>
        <v>0</v>
      </c>
    </row>
    <row r="817" spans="2:15" x14ac:dyDescent="0.15">
      <c r="B817" s="5" t="s">
        <v>381</v>
      </c>
      <c r="C817" s="14">
        <v>1</v>
      </c>
      <c r="D817" s="31"/>
      <c r="E817" s="15">
        <f t="shared" si="94"/>
        <v>1</v>
      </c>
      <c r="F817" s="61">
        <v>44383</v>
      </c>
      <c r="G817" s="12"/>
      <c r="H817" s="14"/>
      <c r="I817" s="31"/>
      <c r="J817" s="15">
        <f t="shared" si="93"/>
        <v>0</v>
      </c>
      <c r="L817" s="12"/>
      <c r="M817" s="14"/>
      <c r="N817" s="31"/>
      <c r="O817" s="15">
        <f t="shared" si="91"/>
        <v>0</v>
      </c>
    </row>
    <row r="818" spans="2:15" x14ac:dyDescent="0.15">
      <c r="B818" s="74" t="s">
        <v>384</v>
      </c>
      <c r="C818" s="14">
        <v>10</v>
      </c>
      <c r="D818" s="31">
        <v>2</v>
      </c>
      <c r="E818" s="15">
        <f t="shared" si="94"/>
        <v>12</v>
      </c>
      <c r="F818" s="61">
        <v>44389</v>
      </c>
      <c r="G818" s="13"/>
      <c r="H818" s="2"/>
      <c r="I818" s="33"/>
      <c r="J818" s="4">
        <f t="shared" si="93"/>
        <v>0</v>
      </c>
      <c r="L818" s="13"/>
      <c r="M818" s="2"/>
      <c r="N818" s="33"/>
      <c r="O818" s="4">
        <f t="shared" si="91"/>
        <v>0</v>
      </c>
    </row>
    <row r="819" spans="2:15" x14ac:dyDescent="0.15">
      <c r="B819" s="5" t="s">
        <v>381</v>
      </c>
      <c r="C819" s="2">
        <v>2</v>
      </c>
      <c r="D819" s="33"/>
      <c r="E819" s="4">
        <f t="shared" si="94"/>
        <v>2</v>
      </c>
      <c r="F819" s="61">
        <v>44385</v>
      </c>
      <c r="G819" s="13"/>
      <c r="H819" s="2"/>
      <c r="I819" s="33"/>
      <c r="J819" s="4">
        <f t="shared" si="93"/>
        <v>0</v>
      </c>
      <c r="L819" s="13"/>
      <c r="M819" s="2"/>
      <c r="N819" s="33"/>
      <c r="O819" s="4">
        <f t="shared" si="91"/>
        <v>0</v>
      </c>
    </row>
    <row r="820" spans="2:15" x14ac:dyDescent="0.15">
      <c r="B820" s="5" t="s">
        <v>381</v>
      </c>
      <c r="C820" s="2">
        <f>1+1</f>
        <v>2</v>
      </c>
      <c r="D820" s="33">
        <v>1</v>
      </c>
      <c r="E820" s="4">
        <f t="shared" si="94"/>
        <v>3</v>
      </c>
      <c r="F820" s="61">
        <v>44386</v>
      </c>
      <c r="G820" s="13"/>
      <c r="H820" s="2"/>
      <c r="I820" s="33"/>
      <c r="J820" s="4">
        <f t="shared" si="93"/>
        <v>0</v>
      </c>
      <c r="L820" s="13"/>
      <c r="M820" s="2"/>
      <c r="N820" s="33"/>
      <c r="O820" s="4">
        <f t="shared" si="91"/>
        <v>0</v>
      </c>
    </row>
    <row r="821" spans="2:15" x14ac:dyDescent="0.15">
      <c r="B821" s="13" t="s">
        <v>385</v>
      </c>
      <c r="C821" s="14">
        <v>3</v>
      </c>
      <c r="D821" s="31"/>
      <c r="E821" s="15">
        <f t="shared" si="94"/>
        <v>3</v>
      </c>
      <c r="F821" s="61">
        <v>44391</v>
      </c>
      <c r="G821" s="13"/>
      <c r="H821" s="2"/>
      <c r="I821" s="33"/>
      <c r="J821" s="4">
        <f t="shared" si="93"/>
        <v>0</v>
      </c>
      <c r="L821" s="13"/>
      <c r="M821" s="2"/>
      <c r="N821" s="33"/>
      <c r="O821" s="4">
        <f t="shared" si="91"/>
        <v>0</v>
      </c>
    </row>
    <row r="822" spans="2:15" x14ac:dyDescent="0.15">
      <c r="B822" s="5" t="s">
        <v>381</v>
      </c>
      <c r="C822" s="2">
        <v>2</v>
      </c>
      <c r="D822" s="33"/>
      <c r="E822" s="4">
        <f t="shared" si="94"/>
        <v>2</v>
      </c>
      <c r="F822" s="61">
        <v>44389</v>
      </c>
      <c r="G822" s="13"/>
      <c r="H822" s="2"/>
      <c r="I822" s="33"/>
      <c r="J822" s="4">
        <f t="shared" si="93"/>
        <v>0</v>
      </c>
      <c r="L822" s="13"/>
      <c r="M822" s="2"/>
      <c r="N822" s="33"/>
      <c r="O822" s="4">
        <f t="shared" si="91"/>
        <v>0</v>
      </c>
    </row>
    <row r="823" spans="2:15" x14ac:dyDescent="0.15">
      <c r="B823" s="5" t="s">
        <v>381</v>
      </c>
      <c r="C823" s="2">
        <v>1</v>
      </c>
      <c r="D823" s="33"/>
      <c r="E823" s="4">
        <f t="shared" si="94"/>
        <v>1</v>
      </c>
      <c r="F823" s="61">
        <v>44390</v>
      </c>
      <c r="G823" s="13"/>
      <c r="H823" s="2"/>
      <c r="I823" s="33"/>
      <c r="J823" s="4">
        <f t="shared" si="93"/>
        <v>0</v>
      </c>
      <c r="L823" s="13"/>
      <c r="M823" s="2"/>
      <c r="N823" s="33"/>
      <c r="O823" s="4">
        <f t="shared" si="91"/>
        <v>0</v>
      </c>
    </row>
    <row r="824" spans="2:15" x14ac:dyDescent="0.15">
      <c r="B824" s="25" t="s">
        <v>378</v>
      </c>
      <c r="C824" s="14">
        <v>20</v>
      </c>
      <c r="D824" s="31">
        <v>20</v>
      </c>
      <c r="E824" s="15">
        <f t="shared" si="94"/>
        <v>40</v>
      </c>
      <c r="F824" s="61">
        <v>44392</v>
      </c>
      <c r="G824" s="13"/>
      <c r="H824" s="2"/>
      <c r="I824" s="33"/>
      <c r="J824" s="4">
        <f t="shared" si="93"/>
        <v>0</v>
      </c>
      <c r="L824" s="13"/>
      <c r="M824" s="2"/>
      <c r="N824" s="33"/>
      <c r="O824" s="4">
        <f t="shared" si="91"/>
        <v>0</v>
      </c>
    </row>
    <row r="825" spans="2:15" x14ac:dyDescent="0.15">
      <c r="B825" s="5" t="s">
        <v>381</v>
      </c>
      <c r="C825" s="2"/>
      <c r="D825" s="33">
        <v>1</v>
      </c>
      <c r="E825" s="4">
        <f t="shared" si="94"/>
        <v>1</v>
      </c>
      <c r="F825" s="61">
        <v>44392</v>
      </c>
      <c r="G825" s="25"/>
      <c r="H825" s="2"/>
      <c r="I825" s="33"/>
      <c r="J825" s="4">
        <f t="shared" si="93"/>
        <v>0</v>
      </c>
      <c r="L825" s="25"/>
      <c r="M825" s="2"/>
      <c r="N825" s="33"/>
      <c r="O825" s="4">
        <f t="shared" si="91"/>
        <v>0</v>
      </c>
    </row>
    <row r="826" spans="2:15" x14ac:dyDescent="0.15">
      <c r="B826" s="5" t="s">
        <v>381</v>
      </c>
      <c r="C826" s="2">
        <v>2</v>
      </c>
      <c r="D826" s="33"/>
      <c r="E826" s="4">
        <f t="shared" si="94"/>
        <v>2</v>
      </c>
      <c r="F826" s="61">
        <v>44393</v>
      </c>
      <c r="G826" s="25"/>
      <c r="H826" s="2"/>
      <c r="I826" s="33"/>
      <c r="J826" s="4">
        <f t="shared" si="93"/>
        <v>0</v>
      </c>
      <c r="L826" s="25"/>
      <c r="M826" s="2"/>
      <c r="N826" s="33"/>
      <c r="O826" s="4">
        <f t="shared" si="91"/>
        <v>0</v>
      </c>
    </row>
    <row r="827" spans="2:15" x14ac:dyDescent="0.15">
      <c r="B827" s="5" t="s">
        <v>381</v>
      </c>
      <c r="C827" s="2">
        <v>1</v>
      </c>
      <c r="D827" s="33">
        <v>1</v>
      </c>
      <c r="E827" s="4">
        <f t="shared" si="94"/>
        <v>2</v>
      </c>
      <c r="F827" s="61">
        <v>44396</v>
      </c>
      <c r="G827" s="25"/>
      <c r="H827" s="2"/>
      <c r="I827" s="33"/>
      <c r="J827" s="4">
        <f t="shared" si="93"/>
        <v>0</v>
      </c>
      <c r="L827" s="25"/>
      <c r="M827" s="2"/>
      <c r="N827" s="33"/>
      <c r="O827" s="4">
        <f t="shared" si="91"/>
        <v>0</v>
      </c>
    </row>
    <row r="828" spans="2:15" x14ac:dyDescent="0.15">
      <c r="B828" s="5" t="s">
        <v>381</v>
      </c>
      <c r="C828" s="2">
        <v>1</v>
      </c>
      <c r="D828" s="33"/>
      <c r="E828" s="4">
        <f t="shared" si="94"/>
        <v>1</v>
      </c>
      <c r="F828" s="61">
        <v>44397</v>
      </c>
      <c r="G828" s="25"/>
      <c r="H828" s="2"/>
      <c r="I828" s="33"/>
      <c r="J828" s="4">
        <f t="shared" si="93"/>
        <v>0</v>
      </c>
      <c r="L828" s="25"/>
      <c r="M828" s="2"/>
      <c r="N828" s="33"/>
      <c r="O828" s="4">
        <f t="shared" si="91"/>
        <v>0</v>
      </c>
    </row>
    <row r="829" spans="2:15" x14ac:dyDescent="0.15">
      <c r="B829" s="5" t="s">
        <v>381</v>
      </c>
      <c r="C829" s="2">
        <f>1+1</f>
        <v>2</v>
      </c>
      <c r="D829" s="33"/>
      <c r="E829" s="4">
        <f t="shared" si="94"/>
        <v>2</v>
      </c>
      <c r="F829" s="61">
        <v>44398</v>
      </c>
      <c r="G829" s="13"/>
      <c r="H829" s="2"/>
      <c r="I829" s="33"/>
      <c r="J829" s="4">
        <f t="shared" si="93"/>
        <v>0</v>
      </c>
      <c r="L829" s="13"/>
      <c r="M829" s="2"/>
      <c r="N829" s="33"/>
      <c r="O829" s="4">
        <f t="shared" si="91"/>
        <v>0</v>
      </c>
    </row>
    <row r="830" spans="2:15" x14ac:dyDescent="0.15">
      <c r="B830" s="5" t="s">
        <v>381</v>
      </c>
      <c r="C830" s="2">
        <f>3+1+1</f>
        <v>5</v>
      </c>
      <c r="D830" s="33">
        <f>1+1+1</f>
        <v>3</v>
      </c>
      <c r="E830" s="4">
        <f t="shared" si="94"/>
        <v>8</v>
      </c>
      <c r="F830" s="61">
        <v>44403</v>
      </c>
      <c r="G830" s="25"/>
      <c r="H830" s="2"/>
      <c r="I830" s="33"/>
      <c r="J830" s="4">
        <f t="shared" si="93"/>
        <v>0</v>
      </c>
      <c r="L830" s="25"/>
      <c r="M830" s="2"/>
      <c r="N830" s="33"/>
      <c r="O830" s="4">
        <f t="shared" si="91"/>
        <v>0</v>
      </c>
    </row>
    <row r="831" spans="2:15" x14ac:dyDescent="0.15">
      <c r="B831" s="5" t="s">
        <v>381</v>
      </c>
      <c r="C831" s="14">
        <v>1</v>
      </c>
      <c r="D831" s="31"/>
      <c r="E831" s="15">
        <f t="shared" si="94"/>
        <v>1</v>
      </c>
      <c r="F831" s="61">
        <v>44404</v>
      </c>
      <c r="G831" s="25"/>
      <c r="H831" s="14"/>
      <c r="I831" s="31"/>
      <c r="J831" s="15">
        <f t="shared" si="93"/>
        <v>0</v>
      </c>
      <c r="L831" s="25"/>
      <c r="M831" s="14"/>
      <c r="N831" s="31"/>
      <c r="O831" s="15">
        <f t="shared" si="91"/>
        <v>0</v>
      </c>
    </row>
    <row r="832" spans="2:15" x14ac:dyDescent="0.15">
      <c r="B832" s="5" t="s">
        <v>381</v>
      </c>
      <c r="C832" s="14">
        <v>1</v>
      </c>
      <c r="D832" s="31"/>
      <c r="E832" s="15">
        <f t="shared" si="94"/>
        <v>1</v>
      </c>
      <c r="F832" s="61">
        <v>44405</v>
      </c>
      <c r="G832" s="13"/>
      <c r="H832" s="14"/>
      <c r="I832" s="31"/>
      <c r="J832" s="15">
        <f t="shared" si="93"/>
        <v>0</v>
      </c>
      <c r="L832" s="25"/>
      <c r="M832" s="14"/>
      <c r="N832" s="31"/>
      <c r="O832" s="15">
        <f t="shared" si="91"/>
        <v>0</v>
      </c>
    </row>
    <row r="833" spans="2:15" x14ac:dyDescent="0.15">
      <c r="B833" s="5" t="s">
        <v>381</v>
      </c>
      <c r="C833" s="14">
        <v>1</v>
      </c>
      <c r="D833" s="31">
        <v>1</v>
      </c>
      <c r="E833" s="15">
        <f t="shared" si="94"/>
        <v>2</v>
      </c>
      <c r="F833" s="61">
        <v>44406</v>
      </c>
      <c r="G833" s="13"/>
      <c r="H833" s="14"/>
      <c r="I833" s="31"/>
      <c r="J833" s="15">
        <f>H833+I833</f>
        <v>0</v>
      </c>
      <c r="L833" s="13"/>
      <c r="M833" s="2"/>
      <c r="N833" s="33"/>
      <c r="O833" s="15">
        <f t="shared" si="91"/>
        <v>0</v>
      </c>
    </row>
    <row r="834" spans="2:15" x14ac:dyDescent="0.15">
      <c r="B834" s="25" t="s">
        <v>392</v>
      </c>
      <c r="C834" s="14">
        <v>20</v>
      </c>
      <c r="D834" s="31">
        <v>20</v>
      </c>
      <c r="E834" s="15">
        <f>C834+D834</f>
        <v>40</v>
      </c>
      <c r="F834" s="61">
        <v>44408</v>
      </c>
      <c r="G834" s="13"/>
      <c r="H834" s="14"/>
      <c r="I834" s="31"/>
      <c r="J834" s="15">
        <f t="shared" ref="J834" si="95">H834+I834</f>
        <v>0</v>
      </c>
      <c r="K834" s="61"/>
      <c r="L834" s="13"/>
      <c r="M834" s="2"/>
      <c r="N834" s="33"/>
      <c r="O834" s="15">
        <f>M834+N834</f>
        <v>0</v>
      </c>
    </row>
    <row r="835" spans="2:15" x14ac:dyDescent="0.15">
      <c r="B835" s="5" t="s">
        <v>381</v>
      </c>
      <c r="C835" s="14">
        <v>1</v>
      </c>
      <c r="D835" s="31">
        <v>1</v>
      </c>
      <c r="E835" s="15">
        <f>C835+D835</f>
        <v>2</v>
      </c>
      <c r="F835" s="61">
        <v>44407</v>
      </c>
      <c r="G835" s="13"/>
      <c r="H835" s="14"/>
      <c r="I835" s="31"/>
      <c r="J835" s="15">
        <f>H835+I835</f>
        <v>0</v>
      </c>
      <c r="L835" s="13"/>
      <c r="M835" s="14"/>
      <c r="N835" s="31"/>
      <c r="O835" s="15">
        <f>M835+N835</f>
        <v>0</v>
      </c>
    </row>
    <row r="836" spans="2:15" ht="14.25" thickBot="1" x14ac:dyDescent="0.2">
      <c r="B836" s="74"/>
      <c r="C836" s="14"/>
      <c r="D836" s="31"/>
      <c r="E836" s="15">
        <f>C836+D836</f>
        <v>0</v>
      </c>
      <c r="F836"/>
      <c r="G836" s="13"/>
      <c r="H836" s="14"/>
      <c r="I836" s="31"/>
      <c r="J836" s="15">
        <f>H836+I836</f>
        <v>0</v>
      </c>
      <c r="L836" s="13"/>
      <c r="M836" s="27"/>
      <c r="N836" s="36"/>
      <c r="O836" s="28">
        <f>M836+N836</f>
        <v>0</v>
      </c>
    </row>
    <row r="837" spans="2:15" ht="14.25" thickBot="1" x14ac:dyDescent="0.2">
      <c r="B837" s="8" t="s">
        <v>2</v>
      </c>
      <c r="C837" s="10">
        <f>SUM(C812:C836)</f>
        <v>87</v>
      </c>
      <c r="D837" s="32">
        <f>SUM(D812:D836)</f>
        <v>74</v>
      </c>
      <c r="E837" s="11">
        <f>C837+D837</f>
        <v>161</v>
      </c>
      <c r="G837" s="8" t="s">
        <v>2</v>
      </c>
      <c r="H837" s="10">
        <f>SUM(H812:H836)</f>
        <v>17</v>
      </c>
      <c r="I837" s="32">
        <f>SUM(I812:I836)</f>
        <v>25</v>
      </c>
      <c r="J837" s="11">
        <f t="shared" ref="J837" si="96">H837+I837</f>
        <v>42</v>
      </c>
      <c r="L837" s="8" t="s">
        <v>2</v>
      </c>
      <c r="M837" s="10">
        <f>SUM(M812:M836)</f>
        <v>0</v>
      </c>
      <c r="N837" s="32">
        <f>SUM(N812:N836)</f>
        <v>0</v>
      </c>
      <c r="O837" s="11">
        <f>M837+N837</f>
        <v>0</v>
      </c>
    </row>
    <row r="838" spans="2:15" ht="14.25" thickBot="1" x14ac:dyDescent="0.2">
      <c r="B838" s="52" t="s">
        <v>3</v>
      </c>
      <c r="C838" s="53">
        <f>+C811-C837</f>
        <v>106</v>
      </c>
      <c r="D838" s="54">
        <f>+D811-D837</f>
        <v>139</v>
      </c>
      <c r="E838" s="55">
        <f>C838+D838</f>
        <v>245</v>
      </c>
      <c r="G838" s="52" t="s">
        <v>3</v>
      </c>
      <c r="H838" s="87">
        <f>+H811-H837</f>
        <v>4704</v>
      </c>
      <c r="I838" s="97">
        <f>+I811-I837</f>
        <v>3067</v>
      </c>
      <c r="J838" s="95">
        <f>+J811-J837</f>
        <v>7771</v>
      </c>
      <c r="L838" s="52" t="s">
        <v>3</v>
      </c>
      <c r="M838" s="53">
        <f>+M811-M837</f>
        <v>0</v>
      </c>
      <c r="N838" s="54">
        <f>+N811-N837</f>
        <v>0</v>
      </c>
      <c r="O838" s="55">
        <f>M838+N838</f>
        <v>0</v>
      </c>
    </row>
    <row r="840" spans="2:15" ht="21" x14ac:dyDescent="0.2">
      <c r="B840" s="76" t="s">
        <v>150</v>
      </c>
      <c r="G840" s="75" t="s">
        <v>149</v>
      </c>
    </row>
    <row r="841" spans="2:15" ht="18.75" x14ac:dyDescent="0.2">
      <c r="B841" s="3" t="s">
        <v>11</v>
      </c>
      <c r="E841" s="71"/>
      <c r="G841" s="3" t="s">
        <v>11</v>
      </c>
    </row>
    <row r="842" spans="2:15" ht="14.25" thickBot="1" x14ac:dyDescent="0.2">
      <c r="G842" s="1"/>
    </row>
    <row r="843" spans="2:15" ht="14.25" thickBot="1" x14ac:dyDescent="0.2">
      <c r="B843" s="7"/>
      <c r="C843" s="67"/>
      <c r="D843" s="68"/>
      <c r="E843" s="69"/>
      <c r="G843" s="7"/>
      <c r="H843" s="67"/>
      <c r="I843" s="68"/>
      <c r="J843" s="69"/>
    </row>
    <row r="844" spans="2:15" ht="14.25" thickBot="1" x14ac:dyDescent="0.2">
      <c r="B844" s="8"/>
      <c r="C844" s="40" t="s">
        <v>7</v>
      </c>
      <c r="D844" s="29" t="s">
        <v>9</v>
      </c>
      <c r="E844" s="9" t="s">
        <v>0</v>
      </c>
      <c r="G844" s="8"/>
      <c r="H844" s="40" t="s">
        <v>7</v>
      </c>
      <c r="I844" s="29" t="s">
        <v>9</v>
      </c>
      <c r="J844" s="9" t="s">
        <v>0</v>
      </c>
    </row>
    <row r="845" spans="2:15" x14ac:dyDescent="0.15">
      <c r="B845" s="16" t="s">
        <v>4</v>
      </c>
      <c r="C845" s="17">
        <f>C838</f>
        <v>106</v>
      </c>
      <c r="D845" s="35">
        <f>D838</f>
        <v>139</v>
      </c>
      <c r="E845" s="18">
        <f t="shared" ref="E845:E851" si="97">C845+D845</f>
        <v>245</v>
      </c>
      <c r="G845" s="16" t="s">
        <v>4</v>
      </c>
      <c r="H845" s="89">
        <f>H838</f>
        <v>4704</v>
      </c>
      <c r="I845" s="90">
        <f>I838</f>
        <v>3067</v>
      </c>
      <c r="J845" s="96">
        <f>J838</f>
        <v>7771</v>
      </c>
    </row>
    <row r="846" spans="2:15" x14ac:dyDescent="0.15">
      <c r="B846" s="26" t="s">
        <v>5</v>
      </c>
      <c r="C846" s="14">
        <v>50</v>
      </c>
      <c r="D846" s="31"/>
      <c r="E846" s="23">
        <f t="shared" si="97"/>
        <v>50</v>
      </c>
      <c r="F846" s="61">
        <v>44434</v>
      </c>
      <c r="G846" s="25" t="s">
        <v>244</v>
      </c>
      <c r="H846" s="14">
        <v>1</v>
      </c>
      <c r="I846" s="31"/>
      <c r="J846" s="23">
        <f t="shared" ref="J846:J850" si="98">H846+I846</f>
        <v>1</v>
      </c>
      <c r="K846" s="61">
        <v>44428</v>
      </c>
    </row>
    <row r="847" spans="2:15" x14ac:dyDescent="0.15">
      <c r="B847" s="26" t="s">
        <v>5</v>
      </c>
      <c r="C847" s="27"/>
      <c r="D847" s="36"/>
      <c r="E847" s="28">
        <f t="shared" si="97"/>
        <v>0</v>
      </c>
      <c r="F847" s="61"/>
      <c r="G847" s="25" t="s">
        <v>5</v>
      </c>
      <c r="H847" s="27"/>
      <c r="I847" s="36"/>
      <c r="J847" s="28">
        <f t="shared" si="98"/>
        <v>0</v>
      </c>
      <c r="K847" s="61"/>
    </row>
    <row r="848" spans="2:15" x14ac:dyDescent="0.15">
      <c r="B848" s="26" t="s">
        <v>5</v>
      </c>
      <c r="C848" s="27"/>
      <c r="D848" s="36"/>
      <c r="E848" s="28">
        <f t="shared" si="97"/>
        <v>0</v>
      </c>
      <c r="F848" s="61"/>
      <c r="G848" s="25" t="s">
        <v>5</v>
      </c>
      <c r="H848" s="14"/>
      <c r="I848" s="31"/>
      <c r="J848" s="15">
        <f t="shared" si="98"/>
        <v>0</v>
      </c>
    </row>
    <row r="849" spans="2:11" x14ac:dyDescent="0.15">
      <c r="B849" s="26" t="s">
        <v>5</v>
      </c>
      <c r="C849" s="27"/>
      <c r="D849" s="36"/>
      <c r="E849" s="28">
        <f t="shared" si="97"/>
        <v>0</v>
      </c>
      <c r="G849" s="25" t="s">
        <v>5</v>
      </c>
      <c r="H849" s="14"/>
      <c r="I849" s="31"/>
      <c r="J849" s="15">
        <f t="shared" si="98"/>
        <v>0</v>
      </c>
    </row>
    <row r="850" spans="2:11" ht="14.25" thickBot="1" x14ac:dyDescent="0.2">
      <c r="B850" s="26" t="s">
        <v>5</v>
      </c>
      <c r="C850" s="14"/>
      <c r="D850" s="31"/>
      <c r="E850" s="15">
        <f t="shared" si="97"/>
        <v>0</v>
      </c>
      <c r="G850" s="25" t="s">
        <v>5</v>
      </c>
      <c r="H850" s="92"/>
      <c r="I850" s="93"/>
      <c r="J850" s="94">
        <f t="shared" si="98"/>
        <v>0</v>
      </c>
    </row>
    <row r="851" spans="2:11" ht="14.25" thickBot="1" x14ac:dyDescent="0.2">
      <c r="B851" s="8" t="s">
        <v>1</v>
      </c>
      <c r="C851" s="10">
        <f>SUM(C845:C850)</f>
        <v>156</v>
      </c>
      <c r="D851" s="32">
        <f>SUM(D845:D850)</f>
        <v>139</v>
      </c>
      <c r="E851" s="11">
        <f t="shared" si="97"/>
        <v>295</v>
      </c>
      <c r="G851" s="8" t="s">
        <v>1</v>
      </c>
      <c r="H851" s="10">
        <f>SUM(H845:H850)</f>
        <v>4705</v>
      </c>
      <c r="I851" s="32">
        <f>SUM(I845:I850)</f>
        <v>3067</v>
      </c>
      <c r="J851" s="11">
        <f>SUM(J845:J850)</f>
        <v>7772</v>
      </c>
    </row>
    <row r="852" spans="2:11" x14ac:dyDescent="0.15">
      <c r="B852" s="5" t="s">
        <v>381</v>
      </c>
      <c r="C852" s="14">
        <f>2+3</f>
        <v>5</v>
      </c>
      <c r="D852" s="31"/>
      <c r="E852" s="15">
        <f>C852+D852</f>
        <v>5</v>
      </c>
      <c r="F852" s="61">
        <v>44410</v>
      </c>
      <c r="G852" s="13" t="s">
        <v>398</v>
      </c>
      <c r="H852" s="22">
        <v>50</v>
      </c>
      <c r="I852" s="30">
        <v>50</v>
      </c>
      <c r="J852" s="23">
        <f t="shared" ref="J852:J873" si="99">H852+I852</f>
        <v>100</v>
      </c>
      <c r="K852" s="61">
        <v>44434</v>
      </c>
    </row>
    <row r="853" spans="2:11" x14ac:dyDescent="0.15">
      <c r="B853" s="5" t="s">
        <v>381</v>
      </c>
      <c r="C853" s="14">
        <v>1</v>
      </c>
      <c r="D853" s="31"/>
      <c r="E853" s="15">
        <f t="shared" ref="E853:E873" si="100">C853+D853</f>
        <v>1</v>
      </c>
      <c r="F853" s="61">
        <v>44411</v>
      </c>
      <c r="G853" s="13" t="s">
        <v>401</v>
      </c>
      <c r="H853" s="14">
        <v>16</v>
      </c>
      <c r="I853" s="31">
        <v>16</v>
      </c>
      <c r="J853" s="15">
        <f t="shared" si="99"/>
        <v>32</v>
      </c>
      <c r="K853" s="61">
        <v>44435</v>
      </c>
    </row>
    <row r="854" spans="2:11" x14ac:dyDescent="0.15">
      <c r="B854" s="25" t="s">
        <v>394</v>
      </c>
      <c r="C854" s="14"/>
      <c r="D854" s="31">
        <v>5</v>
      </c>
      <c r="E854" s="15">
        <f t="shared" si="100"/>
        <v>5</v>
      </c>
      <c r="F854" s="61">
        <v>44425</v>
      </c>
      <c r="G854" s="26" t="s">
        <v>120</v>
      </c>
      <c r="H854" s="14">
        <v>50</v>
      </c>
      <c r="I854" s="31"/>
      <c r="J854" s="23">
        <f t="shared" si="99"/>
        <v>50</v>
      </c>
      <c r="K854" s="61">
        <v>44434</v>
      </c>
    </row>
    <row r="855" spans="2:11" x14ac:dyDescent="0.15">
      <c r="B855" s="74" t="s">
        <v>395</v>
      </c>
      <c r="C855" s="14"/>
      <c r="D855" s="31">
        <f>15*2</f>
        <v>30</v>
      </c>
      <c r="E855" s="15">
        <f t="shared" si="100"/>
        <v>30</v>
      </c>
      <c r="F855" s="61">
        <v>44420</v>
      </c>
      <c r="G855" s="13"/>
      <c r="H855" s="14"/>
      <c r="I855" s="31"/>
      <c r="J855" s="15">
        <f t="shared" si="99"/>
        <v>0</v>
      </c>
    </row>
    <row r="856" spans="2:11" x14ac:dyDescent="0.15">
      <c r="B856" s="5" t="s">
        <v>381</v>
      </c>
      <c r="C856" s="14"/>
      <c r="D856" s="31">
        <v>1</v>
      </c>
      <c r="E856" s="15">
        <f t="shared" si="100"/>
        <v>1</v>
      </c>
      <c r="F856" s="61">
        <v>44413</v>
      </c>
      <c r="G856" s="12"/>
      <c r="H856" s="2"/>
      <c r="I856" s="33"/>
      <c r="J856" s="4">
        <f t="shared" si="99"/>
        <v>0</v>
      </c>
    </row>
    <row r="857" spans="2:11" x14ac:dyDescent="0.15">
      <c r="B857" s="5" t="s">
        <v>381</v>
      </c>
      <c r="C857" s="14"/>
      <c r="D857" s="31">
        <v>1</v>
      </c>
      <c r="E857" s="15">
        <f t="shared" si="100"/>
        <v>1</v>
      </c>
      <c r="F857" s="61">
        <v>44415</v>
      </c>
      <c r="G857" s="12"/>
      <c r="H857" s="14"/>
      <c r="I857" s="31"/>
      <c r="J857" s="15">
        <f t="shared" si="99"/>
        <v>0</v>
      </c>
    </row>
    <row r="858" spans="2:11" x14ac:dyDescent="0.15">
      <c r="B858" s="5" t="s">
        <v>381</v>
      </c>
      <c r="C858" s="14">
        <v>2</v>
      </c>
      <c r="D858" s="31"/>
      <c r="E858" s="15">
        <f t="shared" si="100"/>
        <v>2</v>
      </c>
      <c r="F858" s="61">
        <v>44418</v>
      </c>
      <c r="G858" s="13"/>
      <c r="H858" s="2"/>
      <c r="I858" s="33"/>
      <c r="J858" s="4">
        <f t="shared" si="99"/>
        <v>0</v>
      </c>
    </row>
    <row r="859" spans="2:11" x14ac:dyDescent="0.15">
      <c r="B859" s="5" t="s">
        <v>381</v>
      </c>
      <c r="C859" s="14">
        <v>2</v>
      </c>
      <c r="D859" s="31"/>
      <c r="E859" s="15">
        <f t="shared" si="100"/>
        <v>2</v>
      </c>
      <c r="F859" s="61">
        <v>44419</v>
      </c>
      <c r="G859" s="13"/>
      <c r="H859" s="2"/>
      <c r="I859" s="33"/>
      <c r="J859" s="4">
        <f t="shared" si="99"/>
        <v>0</v>
      </c>
    </row>
    <row r="860" spans="2:11" x14ac:dyDescent="0.15">
      <c r="B860" s="74" t="s">
        <v>396</v>
      </c>
      <c r="C860" s="14">
        <v>18</v>
      </c>
      <c r="D860" s="31"/>
      <c r="E860" s="15">
        <f t="shared" si="100"/>
        <v>18</v>
      </c>
      <c r="F860" s="61">
        <v>44428</v>
      </c>
      <c r="G860" s="13"/>
      <c r="H860" s="2"/>
      <c r="I860" s="33"/>
      <c r="J860" s="4">
        <f t="shared" si="99"/>
        <v>0</v>
      </c>
    </row>
    <row r="861" spans="2:11" x14ac:dyDescent="0.15">
      <c r="B861" s="5" t="s">
        <v>381</v>
      </c>
      <c r="C861" s="14">
        <f>2+1</f>
        <v>3</v>
      </c>
      <c r="D861" s="31">
        <v>1</v>
      </c>
      <c r="E861" s="15">
        <f t="shared" si="100"/>
        <v>4</v>
      </c>
      <c r="F861" s="61">
        <v>44424</v>
      </c>
      <c r="G861" s="13"/>
      <c r="H861" s="2"/>
      <c r="I861" s="33"/>
      <c r="J861" s="4">
        <f t="shared" si="99"/>
        <v>0</v>
      </c>
    </row>
    <row r="862" spans="2:11" x14ac:dyDescent="0.15">
      <c r="B862" s="25" t="s">
        <v>397</v>
      </c>
      <c r="C862" s="14">
        <v>10</v>
      </c>
      <c r="D862" s="31"/>
      <c r="E862" s="15">
        <f t="shared" si="100"/>
        <v>10</v>
      </c>
      <c r="F862" s="61">
        <v>44426</v>
      </c>
      <c r="G862" s="13"/>
      <c r="H862" s="2"/>
      <c r="I862" s="33"/>
      <c r="J862" s="4">
        <f t="shared" si="99"/>
        <v>0</v>
      </c>
    </row>
    <row r="863" spans="2:11" x14ac:dyDescent="0.15">
      <c r="B863" s="5" t="s">
        <v>381</v>
      </c>
      <c r="C863" s="14">
        <v>1</v>
      </c>
      <c r="D863" s="31"/>
      <c r="E863" s="15">
        <f t="shared" si="100"/>
        <v>1</v>
      </c>
      <c r="F863" s="61">
        <v>44426</v>
      </c>
      <c r="G863" s="13"/>
      <c r="H863" s="2"/>
      <c r="I863" s="33"/>
      <c r="J863" s="4">
        <f t="shared" si="99"/>
        <v>0</v>
      </c>
    </row>
    <row r="864" spans="2:11" x14ac:dyDescent="0.15">
      <c r="B864" s="5" t="s">
        <v>381</v>
      </c>
      <c r="C864" s="14">
        <v>2</v>
      </c>
      <c r="D864" s="31"/>
      <c r="E864" s="15">
        <f t="shared" si="100"/>
        <v>2</v>
      </c>
      <c r="F864" s="61">
        <v>44427</v>
      </c>
      <c r="G864" s="13"/>
      <c r="H864" s="2"/>
      <c r="I864" s="33"/>
      <c r="J864" s="4">
        <f t="shared" si="99"/>
        <v>0</v>
      </c>
    </row>
    <row r="865" spans="2:11" x14ac:dyDescent="0.15">
      <c r="B865" s="5" t="s">
        <v>381</v>
      </c>
      <c r="C865" s="14">
        <v>2</v>
      </c>
      <c r="D865" s="31"/>
      <c r="E865" s="15">
        <f t="shared" si="100"/>
        <v>2</v>
      </c>
      <c r="F865" s="61">
        <v>44429</v>
      </c>
      <c r="G865" s="25"/>
      <c r="H865" s="2"/>
      <c r="I865" s="33"/>
      <c r="J865" s="4">
        <f t="shared" si="99"/>
        <v>0</v>
      </c>
    </row>
    <row r="866" spans="2:11" x14ac:dyDescent="0.15">
      <c r="B866" s="25" t="s">
        <v>399</v>
      </c>
      <c r="C866" s="14">
        <v>10</v>
      </c>
      <c r="D866" s="31"/>
      <c r="E866" s="15">
        <f t="shared" si="100"/>
        <v>10</v>
      </c>
      <c r="F866" s="61">
        <v>44432</v>
      </c>
      <c r="G866" s="25"/>
      <c r="H866" s="2"/>
      <c r="I866" s="33"/>
      <c r="J866" s="4">
        <f t="shared" si="99"/>
        <v>0</v>
      </c>
    </row>
    <row r="867" spans="2:11" x14ac:dyDescent="0.15">
      <c r="B867" s="5" t="s">
        <v>381</v>
      </c>
      <c r="C867" s="14">
        <f>1+1</f>
        <v>2</v>
      </c>
      <c r="D867" s="31">
        <f>1+1</f>
        <v>2</v>
      </c>
      <c r="E867" s="15">
        <f t="shared" si="100"/>
        <v>4</v>
      </c>
      <c r="F867" s="61">
        <v>44431</v>
      </c>
      <c r="G867" s="25"/>
      <c r="H867" s="2"/>
      <c r="I867" s="33"/>
      <c r="J867" s="4">
        <f t="shared" si="99"/>
        <v>0</v>
      </c>
    </row>
    <row r="868" spans="2:11" x14ac:dyDescent="0.15">
      <c r="B868" s="74" t="s">
        <v>400</v>
      </c>
      <c r="C868" s="14">
        <v>20</v>
      </c>
      <c r="D868" s="31">
        <v>10</v>
      </c>
      <c r="E868" s="15">
        <f t="shared" si="100"/>
        <v>30</v>
      </c>
      <c r="F868" s="61">
        <v>44438</v>
      </c>
      <c r="G868" s="25"/>
      <c r="H868" s="2"/>
      <c r="I868" s="33"/>
      <c r="J868" s="4">
        <f t="shared" si="99"/>
        <v>0</v>
      </c>
    </row>
    <row r="869" spans="2:11" x14ac:dyDescent="0.15">
      <c r="B869" s="13" t="s">
        <v>370</v>
      </c>
      <c r="C869" s="14">
        <v>10</v>
      </c>
      <c r="D869" s="31"/>
      <c r="E869" s="15">
        <f t="shared" si="100"/>
        <v>10</v>
      </c>
      <c r="F869" s="61">
        <v>44438</v>
      </c>
      <c r="G869" s="13"/>
      <c r="H869" s="2"/>
      <c r="I869" s="33"/>
      <c r="J869" s="4">
        <f t="shared" si="99"/>
        <v>0</v>
      </c>
    </row>
    <row r="870" spans="2:11" x14ac:dyDescent="0.15">
      <c r="B870" s="5" t="s">
        <v>381</v>
      </c>
      <c r="C870" s="14">
        <v>1</v>
      </c>
      <c r="D870" s="31"/>
      <c r="E870" s="15">
        <f t="shared" si="100"/>
        <v>1</v>
      </c>
      <c r="F870" s="61">
        <v>44432</v>
      </c>
      <c r="G870" s="25"/>
      <c r="H870" s="2"/>
      <c r="I870" s="33"/>
      <c r="J870" s="4">
        <f t="shared" si="99"/>
        <v>0</v>
      </c>
    </row>
    <row r="871" spans="2:11" x14ac:dyDescent="0.15">
      <c r="B871" s="5" t="s">
        <v>381</v>
      </c>
      <c r="C871" s="14"/>
      <c r="D871" s="31">
        <v>1</v>
      </c>
      <c r="E871" s="15">
        <f t="shared" si="100"/>
        <v>1</v>
      </c>
      <c r="F871" s="61">
        <v>44433</v>
      </c>
      <c r="G871" s="25"/>
      <c r="H871" s="14"/>
      <c r="I871" s="31"/>
      <c r="J871" s="15">
        <f t="shared" si="99"/>
        <v>0</v>
      </c>
    </row>
    <row r="872" spans="2:11" x14ac:dyDescent="0.15">
      <c r="B872" s="5" t="s">
        <v>381</v>
      </c>
      <c r="C872" s="14">
        <v>1</v>
      </c>
      <c r="D872" s="31"/>
      <c r="E872" s="15">
        <f t="shared" si="100"/>
        <v>1</v>
      </c>
      <c r="F872" s="61">
        <v>44435</v>
      </c>
      <c r="G872" s="13"/>
      <c r="H872" s="14"/>
      <c r="I872" s="31"/>
      <c r="J872" s="15">
        <f t="shared" si="99"/>
        <v>0</v>
      </c>
    </row>
    <row r="873" spans="2:11" x14ac:dyDescent="0.15">
      <c r="B873" s="5" t="s">
        <v>381</v>
      </c>
      <c r="C873" s="14">
        <v>7</v>
      </c>
      <c r="D873" s="31">
        <v>2</v>
      </c>
      <c r="E873" s="15">
        <f t="shared" si="100"/>
        <v>9</v>
      </c>
      <c r="F873" s="61">
        <v>44438</v>
      </c>
      <c r="G873" s="13"/>
      <c r="H873" s="14"/>
      <c r="I873" s="31"/>
      <c r="J873" s="15">
        <f t="shared" si="99"/>
        <v>0</v>
      </c>
      <c r="K873" s="61"/>
    </row>
    <row r="874" spans="2:11" x14ac:dyDescent="0.15">
      <c r="B874" s="5" t="s">
        <v>381</v>
      </c>
      <c r="C874" s="14">
        <f>1+1</f>
        <v>2</v>
      </c>
      <c r="D874" s="31"/>
      <c r="E874" s="15">
        <f>C874+D874</f>
        <v>2</v>
      </c>
      <c r="F874" s="61">
        <v>44439</v>
      </c>
      <c r="G874" s="13"/>
      <c r="H874" s="14"/>
      <c r="I874" s="31"/>
      <c r="J874" s="15">
        <f>H874+I874</f>
        <v>0</v>
      </c>
    </row>
    <row r="875" spans="2:11" x14ac:dyDescent="0.15">
      <c r="B875" s="74"/>
      <c r="C875" s="14"/>
      <c r="D875" s="31"/>
      <c r="E875" s="15">
        <f>C875+D875</f>
        <v>0</v>
      </c>
      <c r="F875" s="77"/>
      <c r="G875" s="13" t="s">
        <v>372</v>
      </c>
      <c r="H875" s="14"/>
      <c r="I875" s="31"/>
      <c r="J875" s="15">
        <f t="shared" ref="J875" si="101">H875+I875</f>
        <v>0</v>
      </c>
      <c r="K875" s="61" t="s">
        <v>373</v>
      </c>
    </row>
    <row r="876" spans="2:11" ht="14.25" thickBot="1" x14ac:dyDescent="0.2">
      <c r="B876" s="74" t="s">
        <v>387</v>
      </c>
      <c r="C876" s="14"/>
      <c r="D876" s="31"/>
      <c r="E876" s="15">
        <f>C876+D876</f>
        <v>0</v>
      </c>
      <c r="F876" t="s">
        <v>389</v>
      </c>
      <c r="G876" s="13" t="s">
        <v>364</v>
      </c>
      <c r="H876" s="14"/>
      <c r="I876" s="31"/>
      <c r="J876" s="15">
        <f>H876+I876</f>
        <v>0</v>
      </c>
      <c r="K876" s="60" t="s">
        <v>380</v>
      </c>
    </row>
    <row r="877" spans="2:11" ht="14.25" thickBot="1" x14ac:dyDescent="0.2">
      <c r="B877" s="8" t="s">
        <v>2</v>
      </c>
      <c r="C877" s="10">
        <f>SUM(C852:C876)</f>
        <v>99</v>
      </c>
      <c r="D877" s="32">
        <f>SUM(D852:D876)</f>
        <v>53</v>
      </c>
      <c r="E877" s="11">
        <f>C877+D877</f>
        <v>152</v>
      </c>
      <c r="G877" s="8" t="s">
        <v>2</v>
      </c>
      <c r="H877" s="10">
        <f>SUM(H852:H876)</f>
        <v>116</v>
      </c>
      <c r="I877" s="32">
        <f>SUM(I852:I876)</f>
        <v>66</v>
      </c>
      <c r="J877" s="11">
        <f t="shared" ref="J877" si="102">H877+I877</f>
        <v>182</v>
      </c>
    </row>
    <row r="878" spans="2:11" ht="14.25" thickBot="1" x14ac:dyDescent="0.2">
      <c r="B878" s="52" t="s">
        <v>3</v>
      </c>
      <c r="C878" s="53">
        <f>+C851-C877</f>
        <v>57</v>
      </c>
      <c r="D878" s="54">
        <f>+D851-D877</f>
        <v>86</v>
      </c>
      <c r="E878" s="55">
        <f>C878+D878</f>
        <v>143</v>
      </c>
      <c r="G878" s="52" t="s">
        <v>3</v>
      </c>
      <c r="H878" s="87">
        <f>+H851-H877</f>
        <v>4589</v>
      </c>
      <c r="I878" s="97">
        <f>+I851-I877</f>
        <v>3001</v>
      </c>
      <c r="J878" s="95">
        <f>+J851-J877</f>
        <v>7590</v>
      </c>
    </row>
    <row r="880" spans="2:11" ht="21" x14ac:dyDescent="0.2">
      <c r="B880" s="76" t="s">
        <v>150</v>
      </c>
      <c r="G880" s="75" t="s">
        <v>149</v>
      </c>
    </row>
    <row r="881" spans="2:11" ht="18.75" x14ac:dyDescent="0.2">
      <c r="B881" s="3" t="s">
        <v>11</v>
      </c>
      <c r="E881" s="71"/>
      <c r="G881" s="3" t="s">
        <v>11</v>
      </c>
    </row>
    <row r="882" spans="2:11" ht="14.25" thickBot="1" x14ac:dyDescent="0.2">
      <c r="G882" s="1"/>
    </row>
    <row r="883" spans="2:11" ht="14.25" thickBot="1" x14ac:dyDescent="0.2">
      <c r="B883" s="7"/>
      <c r="C883" s="67"/>
      <c r="D883" s="68"/>
      <c r="E883" s="69"/>
      <c r="G883" s="7"/>
      <c r="H883" s="67"/>
      <c r="I883" s="68"/>
      <c r="J883" s="69"/>
    </row>
    <row r="884" spans="2:11" ht="14.25" thickBot="1" x14ac:dyDescent="0.2">
      <c r="B884" s="8"/>
      <c r="C884" s="40" t="s">
        <v>7</v>
      </c>
      <c r="D884" s="29" t="s">
        <v>9</v>
      </c>
      <c r="E884" s="9" t="s">
        <v>0</v>
      </c>
      <c r="G884" s="8"/>
      <c r="H884" s="40" t="s">
        <v>7</v>
      </c>
      <c r="I884" s="29" t="s">
        <v>9</v>
      </c>
      <c r="J884" s="9" t="s">
        <v>0</v>
      </c>
    </row>
    <row r="885" spans="2:11" x14ac:dyDescent="0.15">
      <c r="B885" s="16" t="s">
        <v>4</v>
      </c>
      <c r="C885" s="17">
        <f>C878</f>
        <v>57</v>
      </c>
      <c r="D885" s="35">
        <f>D878</f>
        <v>86</v>
      </c>
      <c r="E885" s="18">
        <f t="shared" ref="E885:E891" si="103">C885+D885</f>
        <v>143</v>
      </c>
      <c r="G885" s="16" t="s">
        <v>4</v>
      </c>
      <c r="H885" s="89">
        <f>H878</f>
        <v>4589</v>
      </c>
      <c r="I885" s="90">
        <f>I878</f>
        <v>3001</v>
      </c>
      <c r="J885" s="96">
        <f>J878</f>
        <v>7590</v>
      </c>
    </row>
    <row r="886" spans="2:11" x14ac:dyDescent="0.15">
      <c r="B886" s="26" t="s">
        <v>5</v>
      </c>
      <c r="C886" s="14">
        <v>100</v>
      </c>
      <c r="D886" s="31">
        <v>100</v>
      </c>
      <c r="E886" s="23">
        <f t="shared" si="103"/>
        <v>200</v>
      </c>
      <c r="F886" s="61">
        <v>44452</v>
      </c>
      <c r="G886" s="25" t="s">
        <v>5</v>
      </c>
      <c r="H886" s="14"/>
      <c r="I886" s="31"/>
      <c r="J886" s="23">
        <f t="shared" ref="J886:J890" si="104">H886+I886</f>
        <v>0</v>
      </c>
      <c r="K886" s="61"/>
    </row>
    <row r="887" spans="2:11" x14ac:dyDescent="0.15">
      <c r="B887" s="26" t="s">
        <v>5</v>
      </c>
      <c r="C887" s="27">
        <v>50</v>
      </c>
      <c r="D887" s="36">
        <v>100</v>
      </c>
      <c r="E887" s="28">
        <f t="shared" si="103"/>
        <v>150</v>
      </c>
      <c r="F887" s="61">
        <v>44471</v>
      </c>
      <c r="G887" s="25" t="s">
        <v>5</v>
      </c>
      <c r="H887" s="27"/>
      <c r="I887" s="36"/>
      <c r="J887" s="28">
        <f t="shared" si="104"/>
        <v>0</v>
      </c>
      <c r="K887" s="61"/>
    </row>
    <row r="888" spans="2:11" x14ac:dyDescent="0.15">
      <c r="B888" s="26" t="s">
        <v>5</v>
      </c>
      <c r="C888" s="27"/>
      <c r="D888" s="36"/>
      <c r="E888" s="28">
        <f t="shared" si="103"/>
        <v>0</v>
      </c>
      <c r="F888" s="61"/>
      <c r="G888" s="25" t="s">
        <v>5</v>
      </c>
      <c r="H888" s="14"/>
      <c r="I888" s="31"/>
      <c r="J888" s="15">
        <f t="shared" si="104"/>
        <v>0</v>
      </c>
    </row>
    <row r="889" spans="2:11" x14ac:dyDescent="0.15">
      <c r="B889" s="26" t="s">
        <v>5</v>
      </c>
      <c r="C889" s="27"/>
      <c r="D889" s="36"/>
      <c r="E889" s="28">
        <f t="shared" si="103"/>
        <v>0</v>
      </c>
      <c r="G889" s="25" t="s">
        <v>5</v>
      </c>
      <c r="H889" s="14"/>
      <c r="I889" s="31"/>
      <c r="J889" s="15">
        <f t="shared" si="104"/>
        <v>0</v>
      </c>
    </row>
    <row r="890" spans="2:11" ht="14.25" thickBot="1" x14ac:dyDescent="0.2">
      <c r="B890" s="26" t="s">
        <v>5</v>
      </c>
      <c r="C890" s="14"/>
      <c r="D890" s="31"/>
      <c r="E890" s="15">
        <f t="shared" si="103"/>
        <v>0</v>
      </c>
      <c r="G890" s="25" t="s">
        <v>5</v>
      </c>
      <c r="H890" s="92"/>
      <c r="I890" s="93"/>
      <c r="J890" s="94">
        <f t="shared" si="104"/>
        <v>0</v>
      </c>
    </row>
    <row r="891" spans="2:11" ht="14.25" thickBot="1" x14ac:dyDescent="0.2">
      <c r="B891" s="8" t="s">
        <v>1</v>
      </c>
      <c r="C891" s="10">
        <f>SUM(C885:C890)</f>
        <v>207</v>
      </c>
      <c r="D891" s="32">
        <f>SUM(D885:D890)</f>
        <v>286</v>
      </c>
      <c r="E891" s="11">
        <f t="shared" si="103"/>
        <v>493</v>
      </c>
      <c r="G891" s="8" t="s">
        <v>1</v>
      </c>
      <c r="H891" s="10">
        <f>SUM(H885:H890)</f>
        <v>4589</v>
      </c>
      <c r="I891" s="32">
        <f>SUM(I885:I890)</f>
        <v>3001</v>
      </c>
      <c r="J891" s="11">
        <f>SUM(J885:J890)</f>
        <v>7590</v>
      </c>
    </row>
    <row r="892" spans="2:11" x14ac:dyDescent="0.15">
      <c r="B892" s="5" t="s">
        <v>381</v>
      </c>
      <c r="C892" s="14">
        <f>1+2</f>
        <v>3</v>
      </c>
      <c r="D892" s="31">
        <v>1</v>
      </c>
      <c r="E892" s="15">
        <f>C892+D892</f>
        <v>4</v>
      </c>
      <c r="F892" s="61">
        <v>44440</v>
      </c>
      <c r="G892" s="13" t="s">
        <v>404</v>
      </c>
      <c r="H892" s="22">
        <v>100</v>
      </c>
      <c r="I892" s="30">
        <v>100</v>
      </c>
      <c r="J892" s="23">
        <f t="shared" ref="J892:J913" si="105">H892+I892</f>
        <v>200</v>
      </c>
      <c r="K892" s="61">
        <v>44452</v>
      </c>
    </row>
    <row r="893" spans="2:11" x14ac:dyDescent="0.15">
      <c r="B893" s="5" t="s">
        <v>381</v>
      </c>
      <c r="C893" s="14">
        <f>1+1</f>
        <v>2</v>
      </c>
      <c r="D893" s="31">
        <f>1+1</f>
        <v>2</v>
      </c>
      <c r="E893" s="15">
        <f t="shared" ref="E893:E913" si="106">C893+D893</f>
        <v>4</v>
      </c>
      <c r="F893" s="61">
        <v>44441</v>
      </c>
      <c r="G893" s="25" t="s">
        <v>405</v>
      </c>
      <c r="H893" s="14">
        <v>300</v>
      </c>
      <c r="I893" s="31">
        <v>300</v>
      </c>
      <c r="J893" s="15">
        <f>H893+I893</f>
        <v>600</v>
      </c>
      <c r="K893" s="61">
        <v>44466</v>
      </c>
    </row>
    <row r="894" spans="2:11" x14ac:dyDescent="0.15">
      <c r="B894" s="5" t="s">
        <v>381</v>
      </c>
      <c r="C894" s="14">
        <v>1</v>
      </c>
      <c r="D894" s="31"/>
      <c r="E894" s="15">
        <f t="shared" si="106"/>
        <v>1</v>
      </c>
      <c r="F894" s="61">
        <v>44443</v>
      </c>
      <c r="G894" s="13" t="s">
        <v>409</v>
      </c>
      <c r="H894" s="14">
        <v>100</v>
      </c>
      <c r="I894" s="31"/>
      <c r="J894" s="23">
        <f t="shared" si="105"/>
        <v>100</v>
      </c>
      <c r="K894" s="61">
        <v>44476</v>
      </c>
    </row>
    <row r="895" spans="2:11" x14ac:dyDescent="0.15">
      <c r="B895" s="5" t="s">
        <v>381</v>
      </c>
      <c r="C895" s="14">
        <v>6</v>
      </c>
      <c r="D895" s="31">
        <v>9</v>
      </c>
      <c r="E895" s="15">
        <f t="shared" si="106"/>
        <v>15</v>
      </c>
      <c r="F895" s="61">
        <v>44445</v>
      </c>
      <c r="G895" s="13" t="s">
        <v>413</v>
      </c>
      <c r="H895" s="14">
        <v>50</v>
      </c>
      <c r="I895" s="31">
        <v>100</v>
      </c>
      <c r="J895" s="15">
        <f t="shared" si="105"/>
        <v>150</v>
      </c>
      <c r="K895" s="61">
        <v>44471</v>
      </c>
    </row>
    <row r="896" spans="2:11" x14ac:dyDescent="0.15">
      <c r="B896" s="5" t="s">
        <v>381</v>
      </c>
      <c r="C896" s="14"/>
      <c r="D896" s="31">
        <v>1</v>
      </c>
      <c r="E896" s="15">
        <f t="shared" si="106"/>
        <v>1</v>
      </c>
      <c r="F896" s="61">
        <v>44446</v>
      </c>
      <c r="G896" s="13" t="s">
        <v>416</v>
      </c>
      <c r="H896" s="14">
        <v>200</v>
      </c>
      <c r="I896" s="31"/>
      <c r="J896" s="15">
        <f t="shared" si="105"/>
        <v>200</v>
      </c>
      <c r="K896" s="61">
        <v>44489</v>
      </c>
    </row>
    <row r="897" spans="2:11" x14ac:dyDescent="0.15">
      <c r="B897" s="5" t="s">
        <v>381</v>
      </c>
      <c r="C897" s="14">
        <v>1</v>
      </c>
      <c r="D897" s="31"/>
      <c r="E897" s="15">
        <f t="shared" si="106"/>
        <v>1</v>
      </c>
      <c r="F897" s="61">
        <v>44448</v>
      </c>
      <c r="G897" s="13" t="s">
        <v>417</v>
      </c>
      <c r="H897" s="14">
        <v>100</v>
      </c>
      <c r="I897" s="31"/>
      <c r="J897" s="15">
        <f t="shared" si="105"/>
        <v>100</v>
      </c>
      <c r="K897" s="61">
        <v>44491</v>
      </c>
    </row>
    <row r="898" spans="2:11" x14ac:dyDescent="0.15">
      <c r="B898" s="74" t="s">
        <v>403</v>
      </c>
      <c r="C898" s="14">
        <v>80</v>
      </c>
      <c r="D898" s="31">
        <v>80</v>
      </c>
      <c r="E898" s="15">
        <f t="shared" si="106"/>
        <v>160</v>
      </c>
      <c r="F898" s="61">
        <v>44460</v>
      </c>
      <c r="G898" s="13" t="s">
        <v>418</v>
      </c>
      <c r="H898" s="14">
        <v>40</v>
      </c>
      <c r="I898" s="31"/>
      <c r="J898" s="15">
        <f t="shared" si="105"/>
        <v>40</v>
      </c>
      <c r="K898" s="61">
        <v>44492</v>
      </c>
    </row>
    <row r="899" spans="2:11" x14ac:dyDescent="0.15">
      <c r="B899" s="5" t="s">
        <v>381</v>
      </c>
      <c r="C899" s="14"/>
      <c r="D899" s="31">
        <v>1</v>
      </c>
      <c r="E899" s="15">
        <f t="shared" si="106"/>
        <v>1</v>
      </c>
      <c r="F899" s="61">
        <v>44449</v>
      </c>
      <c r="G899" s="13"/>
      <c r="H899" s="14"/>
      <c r="I899" s="31"/>
      <c r="J899" s="15">
        <f t="shared" si="105"/>
        <v>0</v>
      </c>
    </row>
    <row r="900" spans="2:11" x14ac:dyDescent="0.15">
      <c r="B900" s="5" t="s">
        <v>381</v>
      </c>
      <c r="C900" s="14">
        <v>2</v>
      </c>
      <c r="D900" s="31">
        <v>2</v>
      </c>
      <c r="E900" s="15">
        <f t="shared" si="106"/>
        <v>4</v>
      </c>
      <c r="F900" s="61">
        <v>44452</v>
      </c>
      <c r="G900" s="13"/>
      <c r="H900" s="14"/>
      <c r="I900" s="31"/>
      <c r="J900" s="15">
        <f t="shared" si="105"/>
        <v>0</v>
      </c>
    </row>
    <row r="901" spans="2:11" x14ac:dyDescent="0.15">
      <c r="B901" s="5" t="s">
        <v>381</v>
      </c>
      <c r="C901" s="14">
        <v>1</v>
      </c>
      <c r="D901" s="31"/>
      <c r="E901" s="15">
        <f t="shared" si="106"/>
        <v>1</v>
      </c>
      <c r="F901" s="61">
        <v>44453</v>
      </c>
      <c r="G901" s="13"/>
      <c r="H901" s="14"/>
      <c r="I901" s="31"/>
      <c r="J901" s="15">
        <f t="shared" si="105"/>
        <v>0</v>
      </c>
    </row>
    <row r="902" spans="2:11" x14ac:dyDescent="0.15">
      <c r="B902" s="5" t="s">
        <v>381</v>
      </c>
      <c r="C902" s="14">
        <v>10</v>
      </c>
      <c r="D902" s="31">
        <v>10</v>
      </c>
      <c r="E902" s="15">
        <f t="shared" si="106"/>
        <v>20</v>
      </c>
      <c r="F902" s="61">
        <v>44457</v>
      </c>
      <c r="G902" s="13"/>
      <c r="H902" s="14"/>
      <c r="I902" s="31"/>
      <c r="J902" s="15">
        <f t="shared" si="105"/>
        <v>0</v>
      </c>
    </row>
    <row r="903" spans="2:11" x14ac:dyDescent="0.15">
      <c r="B903" s="5" t="s">
        <v>381</v>
      </c>
      <c r="C903" s="14">
        <v>1</v>
      </c>
      <c r="D903" s="31"/>
      <c r="E903" s="15">
        <f t="shared" si="106"/>
        <v>1</v>
      </c>
      <c r="F903" s="61">
        <v>44456</v>
      </c>
      <c r="G903" s="13"/>
      <c r="H903" s="14"/>
      <c r="I903" s="31"/>
      <c r="J903" s="15">
        <f t="shared" si="105"/>
        <v>0</v>
      </c>
    </row>
    <row r="904" spans="2:11" x14ac:dyDescent="0.15">
      <c r="B904" s="5" t="s">
        <v>406</v>
      </c>
      <c r="C904" s="14">
        <v>10</v>
      </c>
      <c r="D904" s="31"/>
      <c r="E904" s="15">
        <f t="shared" si="106"/>
        <v>10</v>
      </c>
      <c r="F904" s="61">
        <v>44461</v>
      </c>
      <c r="G904" s="13"/>
      <c r="H904" s="14"/>
      <c r="I904" s="31"/>
      <c r="J904" s="15">
        <f t="shared" si="105"/>
        <v>0</v>
      </c>
    </row>
    <row r="905" spans="2:11" x14ac:dyDescent="0.15">
      <c r="B905" s="5" t="s">
        <v>381</v>
      </c>
      <c r="C905" s="14">
        <f>1+1+1</f>
        <v>3</v>
      </c>
      <c r="D905" s="31">
        <v>1</v>
      </c>
      <c r="E905" s="15">
        <f t="shared" si="106"/>
        <v>4</v>
      </c>
      <c r="F905" s="61">
        <v>44460</v>
      </c>
      <c r="G905" s="25"/>
      <c r="H905" s="14"/>
      <c r="I905" s="31"/>
      <c r="J905" s="15">
        <f t="shared" si="105"/>
        <v>0</v>
      </c>
    </row>
    <row r="906" spans="2:11" x14ac:dyDescent="0.15">
      <c r="B906" s="5" t="s">
        <v>407</v>
      </c>
      <c r="C906" s="14"/>
      <c r="D906" s="31">
        <v>10</v>
      </c>
      <c r="E906" s="15">
        <f t="shared" si="106"/>
        <v>10</v>
      </c>
      <c r="F906" s="61">
        <v>44462</v>
      </c>
      <c r="G906" s="25"/>
      <c r="H906" s="14"/>
      <c r="I906" s="31"/>
      <c r="J906" s="15">
        <f t="shared" si="105"/>
        <v>0</v>
      </c>
    </row>
    <row r="907" spans="2:11" x14ac:dyDescent="0.15">
      <c r="B907" s="5" t="s">
        <v>381</v>
      </c>
      <c r="C907" s="14">
        <v>1</v>
      </c>
      <c r="D907" s="31">
        <v>1</v>
      </c>
      <c r="E907" s="15">
        <f t="shared" si="106"/>
        <v>2</v>
      </c>
      <c r="F907" s="61">
        <v>44461</v>
      </c>
      <c r="G907" s="25"/>
      <c r="H907" s="14"/>
      <c r="I907" s="31"/>
      <c r="J907" s="15">
        <f t="shared" si="105"/>
        <v>0</v>
      </c>
    </row>
    <row r="908" spans="2:11" x14ac:dyDescent="0.15">
      <c r="B908" s="5" t="s">
        <v>408</v>
      </c>
      <c r="C908" s="14">
        <v>10</v>
      </c>
      <c r="D908" s="31"/>
      <c r="E908" s="15">
        <f t="shared" si="106"/>
        <v>10</v>
      </c>
      <c r="F908" s="61">
        <v>44464</v>
      </c>
      <c r="G908" s="25"/>
      <c r="H908" s="14"/>
      <c r="I908" s="31"/>
      <c r="J908" s="15">
        <f t="shared" si="105"/>
        <v>0</v>
      </c>
    </row>
    <row r="909" spans="2:11" x14ac:dyDescent="0.15">
      <c r="B909" s="5" t="s">
        <v>381</v>
      </c>
      <c r="C909" s="14">
        <f>2+1</f>
        <v>3</v>
      </c>
      <c r="D909" s="31">
        <v>1</v>
      </c>
      <c r="E909" s="15">
        <f t="shared" si="106"/>
        <v>4</v>
      </c>
      <c r="F909" s="61">
        <v>44463</v>
      </c>
      <c r="G909" s="13"/>
      <c r="H909" s="14"/>
      <c r="I909" s="31"/>
      <c r="J909" s="15">
        <f t="shared" si="105"/>
        <v>0</v>
      </c>
    </row>
    <row r="910" spans="2:11" x14ac:dyDescent="0.15">
      <c r="B910" s="5" t="s">
        <v>381</v>
      </c>
      <c r="C910" s="14">
        <v>2</v>
      </c>
      <c r="D910" s="31"/>
      <c r="E910" s="15">
        <f t="shared" si="106"/>
        <v>2</v>
      </c>
      <c r="F910" s="61">
        <v>44466</v>
      </c>
      <c r="G910" s="25"/>
      <c r="H910" s="14"/>
      <c r="I910" s="31"/>
      <c r="J910" s="15">
        <f t="shared" si="105"/>
        <v>0</v>
      </c>
    </row>
    <row r="911" spans="2:11" x14ac:dyDescent="0.15">
      <c r="B911" s="5" t="s">
        <v>381</v>
      </c>
      <c r="C911" s="14">
        <v>1</v>
      </c>
      <c r="D911" s="31">
        <v>1</v>
      </c>
      <c r="E911" s="15">
        <f t="shared" si="106"/>
        <v>2</v>
      </c>
      <c r="F911" s="61">
        <v>44467</v>
      </c>
      <c r="G911" s="25"/>
      <c r="H911" s="14"/>
      <c r="I911" s="31"/>
      <c r="J911" s="15">
        <f t="shared" si="105"/>
        <v>0</v>
      </c>
    </row>
    <row r="912" spans="2:11" x14ac:dyDescent="0.15">
      <c r="B912" s="74" t="s">
        <v>412</v>
      </c>
      <c r="C912" s="14">
        <v>8</v>
      </c>
      <c r="D912" s="31">
        <v>100</v>
      </c>
      <c r="E912" s="15">
        <f t="shared" si="106"/>
        <v>108</v>
      </c>
      <c r="F912" s="61">
        <v>44482</v>
      </c>
      <c r="G912" s="13"/>
      <c r="H912" s="14"/>
      <c r="I912" s="31"/>
      <c r="J912" s="15">
        <f t="shared" si="105"/>
        <v>0</v>
      </c>
    </row>
    <row r="913" spans="2:11" x14ac:dyDescent="0.15">
      <c r="B913" s="5" t="s">
        <v>381</v>
      </c>
      <c r="C913" s="14">
        <v>1</v>
      </c>
      <c r="D913" s="31"/>
      <c r="E913" s="15">
        <f t="shared" si="106"/>
        <v>1</v>
      </c>
      <c r="F913" s="61">
        <v>44469</v>
      </c>
      <c r="G913" s="13"/>
      <c r="H913" s="14"/>
      <c r="I913" s="31"/>
      <c r="J913" s="15">
        <f t="shared" si="105"/>
        <v>0</v>
      </c>
      <c r="K913" s="61"/>
    </row>
    <row r="914" spans="2:11" x14ac:dyDescent="0.15">
      <c r="B914" s="5" t="s">
        <v>381</v>
      </c>
      <c r="C914" s="14">
        <v>1</v>
      </c>
      <c r="D914" s="31">
        <v>1</v>
      </c>
      <c r="E914" s="15">
        <f>C914+D914</f>
        <v>2</v>
      </c>
      <c r="F914" s="61">
        <v>44470</v>
      </c>
      <c r="G914" s="25"/>
      <c r="H914" s="14"/>
      <c r="I914" s="31"/>
      <c r="J914" s="15">
        <f>H914+I914</f>
        <v>0</v>
      </c>
      <c r="K914" s="77"/>
    </row>
    <row r="915" spans="2:11" x14ac:dyDescent="0.15">
      <c r="B915" s="5" t="s">
        <v>381</v>
      </c>
      <c r="C915" s="14">
        <v>5</v>
      </c>
      <c r="D915" s="31">
        <f>1+2</f>
        <v>3</v>
      </c>
      <c r="E915" s="15">
        <f>C915+D915</f>
        <v>8</v>
      </c>
      <c r="F915" s="61">
        <v>44473</v>
      </c>
      <c r="G915" s="13"/>
      <c r="H915" s="14"/>
      <c r="I915" s="31"/>
      <c r="J915" s="15">
        <f>H915+I915</f>
        <v>0</v>
      </c>
    </row>
    <row r="916" spans="2:11" ht="14.25" thickBot="1" x14ac:dyDescent="0.2">
      <c r="B916" s="5" t="s">
        <v>381</v>
      </c>
      <c r="C916" s="14">
        <v>1</v>
      </c>
      <c r="D916" s="31"/>
      <c r="E916" s="15">
        <f>C916+D916</f>
        <v>1</v>
      </c>
      <c r="F916" s="61">
        <v>44474</v>
      </c>
      <c r="G916" s="13" t="s">
        <v>391</v>
      </c>
      <c r="H916" s="14"/>
      <c r="I916" s="31"/>
      <c r="J916" s="15">
        <f>H916+I916</f>
        <v>0</v>
      </c>
      <c r="K916" s="60" t="s">
        <v>402</v>
      </c>
    </row>
    <row r="917" spans="2:11" ht="14.25" thickBot="1" x14ac:dyDescent="0.2">
      <c r="B917" s="8" t="s">
        <v>2</v>
      </c>
      <c r="C917" s="10">
        <f>SUM(C892:C916)</f>
        <v>153</v>
      </c>
      <c r="D917" s="32">
        <f>SUM(D892:D916)</f>
        <v>224</v>
      </c>
      <c r="E917" s="11">
        <f>C917+D917</f>
        <v>377</v>
      </c>
      <c r="G917" s="8" t="s">
        <v>2</v>
      </c>
      <c r="H917" s="10">
        <f>SUM(H892:H916)</f>
        <v>890</v>
      </c>
      <c r="I917" s="32">
        <f>SUM(I892:I916)</f>
        <v>500</v>
      </c>
      <c r="J917" s="11">
        <f t="shared" ref="J917" si="107">H917+I917</f>
        <v>1390</v>
      </c>
    </row>
    <row r="918" spans="2:11" ht="14.25" thickBot="1" x14ac:dyDescent="0.2">
      <c r="B918" s="52" t="s">
        <v>3</v>
      </c>
      <c r="C918" s="53">
        <f>+C891-C917</f>
        <v>54</v>
      </c>
      <c r="D918" s="54">
        <f>+D891-D917</f>
        <v>62</v>
      </c>
      <c r="E918" s="55">
        <f>C918+D918</f>
        <v>116</v>
      </c>
      <c r="G918" s="52" t="s">
        <v>3</v>
      </c>
      <c r="H918" s="87">
        <f>+H891-H917</f>
        <v>3699</v>
      </c>
      <c r="I918" s="97">
        <f>+I891-I917</f>
        <v>2501</v>
      </c>
      <c r="J918" s="95">
        <f>+J891-J917</f>
        <v>6200</v>
      </c>
    </row>
    <row r="920" spans="2:11" ht="21" x14ac:dyDescent="0.2">
      <c r="B920" s="76" t="s">
        <v>150</v>
      </c>
      <c r="G920" s="75" t="s">
        <v>149</v>
      </c>
    </row>
    <row r="921" spans="2:11" ht="18.75" x14ac:dyDescent="0.2">
      <c r="B921" s="3" t="s">
        <v>11</v>
      </c>
      <c r="E921" s="71"/>
      <c r="G921" s="3" t="s">
        <v>11</v>
      </c>
    </row>
    <row r="922" spans="2:11" ht="14.25" thickBot="1" x14ac:dyDescent="0.2">
      <c r="G922" s="1"/>
    </row>
    <row r="923" spans="2:11" ht="14.25" thickBot="1" x14ac:dyDescent="0.2">
      <c r="B923" s="7"/>
      <c r="C923" s="67"/>
      <c r="D923" s="68"/>
      <c r="E923" s="69"/>
      <c r="G923" s="7"/>
      <c r="H923" s="67"/>
      <c r="I923" s="68"/>
      <c r="J923" s="69"/>
    </row>
    <row r="924" spans="2:11" ht="14.25" thickBot="1" x14ac:dyDescent="0.2">
      <c r="B924" s="8"/>
      <c r="C924" s="40" t="s">
        <v>7</v>
      </c>
      <c r="D924" s="29" t="s">
        <v>9</v>
      </c>
      <c r="E924" s="9" t="s">
        <v>0</v>
      </c>
      <c r="G924" s="8"/>
      <c r="H924" s="40" t="s">
        <v>7</v>
      </c>
      <c r="I924" s="29" t="s">
        <v>9</v>
      </c>
      <c r="J924" s="9" t="s">
        <v>0</v>
      </c>
    </row>
    <row r="925" spans="2:11" x14ac:dyDescent="0.15">
      <c r="B925" s="16" t="s">
        <v>4</v>
      </c>
      <c r="C925" s="17">
        <f>C918</f>
        <v>54</v>
      </c>
      <c r="D925" s="35">
        <f>D918</f>
        <v>62</v>
      </c>
      <c r="E925" s="18">
        <f t="shared" ref="E925:E931" si="108">C925+D925</f>
        <v>116</v>
      </c>
      <c r="G925" s="16" t="s">
        <v>4</v>
      </c>
      <c r="H925" s="89">
        <f>H918</f>
        <v>3699</v>
      </c>
      <c r="I925" s="90">
        <f>I918</f>
        <v>2501</v>
      </c>
      <c r="J925" s="96">
        <f>J918</f>
        <v>6200</v>
      </c>
    </row>
    <row r="926" spans="2:11" x14ac:dyDescent="0.15">
      <c r="B926" s="26" t="s">
        <v>181</v>
      </c>
      <c r="C926" s="14"/>
      <c r="D926" s="31">
        <v>2</v>
      </c>
      <c r="E926" s="23">
        <f t="shared" si="108"/>
        <v>2</v>
      </c>
      <c r="F926" s="61">
        <v>44481</v>
      </c>
      <c r="G926" s="25" t="s">
        <v>244</v>
      </c>
      <c r="H926" s="14"/>
      <c r="I926" s="31">
        <v>27</v>
      </c>
      <c r="J926" s="23">
        <f t="shared" ref="J926:J930" si="109">H926+I926</f>
        <v>27</v>
      </c>
      <c r="K926" s="61">
        <v>44498</v>
      </c>
    </row>
    <row r="927" spans="2:11" x14ac:dyDescent="0.15">
      <c r="B927" s="26" t="s">
        <v>5</v>
      </c>
      <c r="C927" s="27">
        <v>100</v>
      </c>
      <c r="D927" s="36">
        <v>50</v>
      </c>
      <c r="E927" s="28">
        <f t="shared" si="108"/>
        <v>150</v>
      </c>
      <c r="F927" s="61">
        <v>44485</v>
      </c>
      <c r="G927" s="25" t="s">
        <v>5</v>
      </c>
      <c r="H927" s="27"/>
      <c r="I927" s="36"/>
      <c r="J927" s="28">
        <f t="shared" si="109"/>
        <v>0</v>
      </c>
      <c r="K927" s="61"/>
    </row>
    <row r="928" spans="2:11" x14ac:dyDescent="0.15">
      <c r="B928" s="26" t="s">
        <v>419</v>
      </c>
      <c r="C928" s="27">
        <v>2</v>
      </c>
      <c r="D928" s="36"/>
      <c r="E928" s="28">
        <f t="shared" si="108"/>
        <v>2</v>
      </c>
      <c r="F928" s="61">
        <v>44491</v>
      </c>
      <c r="G928" s="25" t="s">
        <v>5</v>
      </c>
      <c r="H928" s="14"/>
      <c r="I928" s="31"/>
      <c r="J928" s="15">
        <f t="shared" si="109"/>
        <v>0</v>
      </c>
    </row>
    <row r="929" spans="2:11" x14ac:dyDescent="0.15">
      <c r="B929" s="26" t="s">
        <v>294</v>
      </c>
      <c r="C929" s="27">
        <v>1</v>
      </c>
      <c r="D929" s="36">
        <v>6</v>
      </c>
      <c r="E929" s="28">
        <f t="shared" si="108"/>
        <v>7</v>
      </c>
      <c r="F929" s="61">
        <v>44497</v>
      </c>
      <c r="G929" s="25" t="s">
        <v>5</v>
      </c>
      <c r="H929" s="14"/>
      <c r="I929" s="31"/>
      <c r="J929" s="15">
        <f t="shared" si="109"/>
        <v>0</v>
      </c>
    </row>
    <row r="930" spans="2:11" ht="14.25" thickBot="1" x14ac:dyDescent="0.2">
      <c r="B930" s="26" t="s">
        <v>244</v>
      </c>
      <c r="C930" s="14">
        <v>10</v>
      </c>
      <c r="D930" s="31"/>
      <c r="E930" s="15">
        <f t="shared" si="108"/>
        <v>10</v>
      </c>
      <c r="F930" s="61">
        <v>44505</v>
      </c>
      <c r="G930" s="25" t="s">
        <v>5</v>
      </c>
      <c r="H930" s="92"/>
      <c r="I930" s="93"/>
      <c r="J930" s="94">
        <f t="shared" si="109"/>
        <v>0</v>
      </c>
    </row>
    <row r="931" spans="2:11" ht="14.25" thickBot="1" x14ac:dyDescent="0.2">
      <c r="B931" s="8" t="s">
        <v>1</v>
      </c>
      <c r="C931" s="10">
        <f>SUM(C925:C930)</f>
        <v>167</v>
      </c>
      <c r="D931" s="32">
        <f>SUM(D925:D930)</f>
        <v>120</v>
      </c>
      <c r="E931" s="11">
        <f t="shared" si="108"/>
        <v>287</v>
      </c>
      <c r="G931" s="8" t="s">
        <v>1</v>
      </c>
      <c r="H931" s="10">
        <f>SUM(H925:H930)</f>
        <v>3699</v>
      </c>
      <c r="I931" s="32">
        <f>SUM(I925:I930)</f>
        <v>2528</v>
      </c>
      <c r="J931" s="11">
        <f>SUM(J925:J930)</f>
        <v>6227</v>
      </c>
    </row>
    <row r="932" spans="2:11" x14ac:dyDescent="0.15">
      <c r="B932" s="5" t="s">
        <v>381</v>
      </c>
      <c r="C932" s="14"/>
      <c r="D932" s="31">
        <v>1</v>
      </c>
      <c r="E932" s="15">
        <f>C932+D932</f>
        <v>1</v>
      </c>
      <c r="F932" s="61">
        <v>44476</v>
      </c>
      <c r="G932" s="13" t="s">
        <v>415</v>
      </c>
      <c r="H932" s="22">
        <v>100</v>
      </c>
      <c r="I932" s="30">
        <v>50</v>
      </c>
      <c r="J932" s="23">
        <f t="shared" ref="J932" si="110">H932+I932</f>
        <v>150</v>
      </c>
      <c r="K932" s="61">
        <v>44485</v>
      </c>
    </row>
    <row r="933" spans="2:11" x14ac:dyDescent="0.15">
      <c r="B933" s="5" t="s">
        <v>381</v>
      </c>
      <c r="C933" s="14">
        <v>1</v>
      </c>
      <c r="D933" s="31"/>
      <c r="E933" s="15">
        <f t="shared" ref="E933:E953" si="111">C933+D933</f>
        <v>1</v>
      </c>
      <c r="F933" s="61">
        <v>44480</v>
      </c>
      <c r="G933" s="25"/>
      <c r="H933" s="14"/>
      <c r="I933" s="31"/>
      <c r="J933" s="15">
        <f>H933+I933</f>
        <v>0</v>
      </c>
      <c r="K933" s="61"/>
    </row>
    <row r="934" spans="2:11" x14ac:dyDescent="0.15">
      <c r="B934" s="5" t="s">
        <v>414</v>
      </c>
      <c r="C934" s="14">
        <v>25</v>
      </c>
      <c r="D934" s="31">
        <v>10</v>
      </c>
      <c r="E934" s="15">
        <f t="shared" si="111"/>
        <v>35</v>
      </c>
      <c r="F934" s="61">
        <v>44483</v>
      </c>
      <c r="G934" s="26"/>
      <c r="H934" s="14"/>
      <c r="I934" s="31"/>
      <c r="J934" s="23">
        <f t="shared" ref="J934:J953" si="112">H934+I934</f>
        <v>0</v>
      </c>
      <c r="K934" s="61"/>
    </row>
    <row r="935" spans="2:11" x14ac:dyDescent="0.15">
      <c r="B935" s="5" t="s">
        <v>381</v>
      </c>
      <c r="C935" s="14">
        <v>1</v>
      </c>
      <c r="D935" s="31">
        <v>1</v>
      </c>
      <c r="E935" s="15">
        <f t="shared" si="111"/>
        <v>2</v>
      </c>
      <c r="F935" s="61">
        <v>44482</v>
      </c>
      <c r="G935" s="13"/>
      <c r="H935" s="14"/>
      <c r="I935" s="31"/>
      <c r="J935" s="15">
        <f t="shared" si="112"/>
        <v>0</v>
      </c>
    </row>
    <row r="936" spans="2:11" x14ac:dyDescent="0.15">
      <c r="B936" s="5" t="s">
        <v>381</v>
      </c>
      <c r="C936" s="14"/>
      <c r="D936" s="31">
        <v>1</v>
      </c>
      <c r="E936" s="15">
        <f t="shared" si="111"/>
        <v>1</v>
      </c>
      <c r="F936" s="61">
        <v>44485</v>
      </c>
      <c r="G936" s="12"/>
      <c r="H936" s="2"/>
      <c r="I936" s="33"/>
      <c r="J936" s="4">
        <f t="shared" si="112"/>
        <v>0</v>
      </c>
    </row>
    <row r="937" spans="2:11" x14ac:dyDescent="0.15">
      <c r="B937" s="5" t="s">
        <v>381</v>
      </c>
      <c r="C937" s="14"/>
      <c r="D937" s="31">
        <v>1</v>
      </c>
      <c r="E937" s="15">
        <f t="shared" si="111"/>
        <v>1</v>
      </c>
      <c r="F937" s="61">
        <v>44487</v>
      </c>
      <c r="G937" s="12"/>
      <c r="H937" s="14"/>
      <c r="I937" s="31"/>
      <c r="J937" s="15">
        <f t="shared" si="112"/>
        <v>0</v>
      </c>
    </row>
    <row r="938" spans="2:11" x14ac:dyDescent="0.15">
      <c r="B938" s="5" t="s">
        <v>381</v>
      </c>
      <c r="C938" s="14">
        <v>1</v>
      </c>
      <c r="D938" s="31"/>
      <c r="E938" s="15">
        <f t="shared" si="111"/>
        <v>1</v>
      </c>
      <c r="F938" s="61">
        <v>44489</v>
      </c>
      <c r="G938" s="13"/>
      <c r="H938" s="2"/>
      <c r="I938" s="33"/>
      <c r="J938" s="4">
        <f t="shared" si="112"/>
        <v>0</v>
      </c>
    </row>
    <row r="939" spans="2:11" x14ac:dyDescent="0.15">
      <c r="B939" s="5" t="s">
        <v>381</v>
      </c>
      <c r="C939" s="14">
        <v>1</v>
      </c>
      <c r="D939" s="31"/>
      <c r="E939" s="15">
        <f t="shared" si="111"/>
        <v>1</v>
      </c>
      <c r="F939" s="61">
        <v>44490</v>
      </c>
      <c r="G939" s="13"/>
      <c r="H939" s="14"/>
      <c r="I939" s="31"/>
      <c r="J939" s="15">
        <f t="shared" si="112"/>
        <v>0</v>
      </c>
    </row>
    <row r="940" spans="2:11" x14ac:dyDescent="0.15">
      <c r="B940" s="5" t="s">
        <v>381</v>
      </c>
      <c r="C940" s="14">
        <v>1</v>
      </c>
      <c r="D940" s="31"/>
      <c r="E940" s="15">
        <f t="shared" si="111"/>
        <v>1</v>
      </c>
      <c r="F940" s="61">
        <v>44491</v>
      </c>
      <c r="G940" s="13"/>
      <c r="H940" s="14"/>
      <c r="I940" s="31"/>
      <c r="J940" s="15">
        <f t="shared" si="112"/>
        <v>0</v>
      </c>
    </row>
    <row r="941" spans="2:11" x14ac:dyDescent="0.15">
      <c r="B941" s="13" t="s">
        <v>420</v>
      </c>
      <c r="C941" s="14">
        <v>24</v>
      </c>
      <c r="D941" s="31"/>
      <c r="E941" s="15">
        <f t="shared" si="111"/>
        <v>24</v>
      </c>
      <c r="F941" s="61">
        <v>44496</v>
      </c>
      <c r="G941" s="13"/>
      <c r="H941" s="14"/>
      <c r="I941" s="31"/>
      <c r="J941" s="15">
        <f t="shared" si="112"/>
        <v>0</v>
      </c>
    </row>
    <row r="942" spans="2:11" x14ac:dyDescent="0.15">
      <c r="B942" s="5" t="s">
        <v>381</v>
      </c>
      <c r="C942" s="14">
        <f>2+1</f>
        <v>3</v>
      </c>
      <c r="D942" s="31">
        <v>1</v>
      </c>
      <c r="E942" s="15">
        <f t="shared" si="111"/>
        <v>4</v>
      </c>
      <c r="F942" s="61">
        <v>44494</v>
      </c>
      <c r="G942" s="13"/>
      <c r="H942" s="14"/>
      <c r="I942" s="31"/>
      <c r="J942" s="15">
        <f t="shared" si="112"/>
        <v>0</v>
      </c>
    </row>
    <row r="943" spans="2:11" x14ac:dyDescent="0.15">
      <c r="B943" s="5" t="s">
        <v>381</v>
      </c>
      <c r="C943" s="14">
        <v>4</v>
      </c>
      <c r="D943" s="31">
        <v>3</v>
      </c>
      <c r="E943" s="15">
        <f t="shared" si="111"/>
        <v>7</v>
      </c>
      <c r="F943" s="61">
        <v>44501</v>
      </c>
      <c r="G943" s="13"/>
      <c r="H943" s="14"/>
      <c r="I943" s="31"/>
      <c r="J943" s="15">
        <f t="shared" si="112"/>
        <v>0</v>
      </c>
    </row>
    <row r="944" spans="2:11" x14ac:dyDescent="0.15">
      <c r="B944" s="5" t="s">
        <v>381</v>
      </c>
      <c r="C944" s="14">
        <v>1</v>
      </c>
      <c r="D944" s="31"/>
      <c r="E944" s="15">
        <f t="shared" si="111"/>
        <v>1</v>
      </c>
      <c r="F944" s="61">
        <v>44502</v>
      </c>
      <c r="G944" s="13"/>
      <c r="H944" s="14"/>
      <c r="I944" s="31"/>
      <c r="J944" s="15">
        <f t="shared" si="112"/>
        <v>0</v>
      </c>
    </row>
    <row r="945" spans="2:11" x14ac:dyDescent="0.15">
      <c r="B945" s="5" t="s">
        <v>381</v>
      </c>
      <c r="C945" s="14">
        <v>3</v>
      </c>
      <c r="D945" s="31">
        <v>1</v>
      </c>
      <c r="E945" s="15">
        <f t="shared" si="111"/>
        <v>4</v>
      </c>
      <c r="F945" s="61">
        <v>44504</v>
      </c>
      <c r="G945" s="25"/>
      <c r="H945" s="14"/>
      <c r="I945" s="31"/>
      <c r="J945" s="15">
        <f t="shared" si="112"/>
        <v>0</v>
      </c>
    </row>
    <row r="946" spans="2:11" x14ac:dyDescent="0.15">
      <c r="B946" s="5" t="s">
        <v>381</v>
      </c>
      <c r="C946" s="14">
        <v>1</v>
      </c>
      <c r="D946" s="31"/>
      <c r="E946" s="15">
        <f t="shared" si="111"/>
        <v>1</v>
      </c>
      <c r="F946" s="61">
        <v>44506</v>
      </c>
      <c r="G946" s="25"/>
      <c r="H946" s="14"/>
      <c r="I946" s="31"/>
      <c r="J946" s="15">
        <f t="shared" si="112"/>
        <v>0</v>
      </c>
    </row>
    <row r="947" spans="2:11" x14ac:dyDescent="0.15">
      <c r="B947" s="5" t="s">
        <v>381</v>
      </c>
      <c r="C947" s="14">
        <v>4</v>
      </c>
      <c r="D947" s="31"/>
      <c r="E947" s="15">
        <f t="shared" si="111"/>
        <v>4</v>
      </c>
      <c r="F947" s="61">
        <v>44508</v>
      </c>
      <c r="G947" s="25"/>
      <c r="H947" s="14"/>
      <c r="I947" s="31"/>
      <c r="J947" s="15">
        <f t="shared" si="112"/>
        <v>0</v>
      </c>
    </row>
    <row r="948" spans="2:11" x14ac:dyDescent="0.15">
      <c r="B948" s="5" t="s">
        <v>381</v>
      </c>
      <c r="C948" s="14"/>
      <c r="D948" s="31">
        <v>1</v>
      </c>
      <c r="E948" s="15">
        <f t="shared" si="111"/>
        <v>1</v>
      </c>
      <c r="F948" s="61">
        <v>44509</v>
      </c>
      <c r="G948" s="25"/>
      <c r="H948" s="14"/>
      <c r="I948" s="31"/>
      <c r="J948" s="15">
        <f t="shared" si="112"/>
        <v>0</v>
      </c>
    </row>
    <row r="949" spans="2:11" x14ac:dyDescent="0.15">
      <c r="B949" s="5" t="s">
        <v>421</v>
      </c>
      <c r="C949" s="14">
        <v>5</v>
      </c>
      <c r="D949" s="31"/>
      <c r="E949" s="15">
        <f t="shared" si="111"/>
        <v>5</v>
      </c>
      <c r="F949" s="61">
        <v>44511</v>
      </c>
      <c r="G949" s="13"/>
      <c r="H949" s="14"/>
      <c r="I949" s="31"/>
      <c r="J949" s="15">
        <f t="shared" si="112"/>
        <v>0</v>
      </c>
    </row>
    <row r="950" spans="2:11" x14ac:dyDescent="0.15">
      <c r="B950" s="5" t="s">
        <v>381</v>
      </c>
      <c r="C950" s="14">
        <v>1</v>
      </c>
      <c r="D950" s="31"/>
      <c r="E950" s="15">
        <f t="shared" si="111"/>
        <v>1</v>
      </c>
      <c r="F950" s="61">
        <v>44510</v>
      </c>
      <c r="G950" s="25"/>
      <c r="H950" s="14"/>
      <c r="I950" s="31"/>
      <c r="J950" s="15">
        <f t="shared" si="112"/>
        <v>0</v>
      </c>
    </row>
    <row r="951" spans="2:11" x14ac:dyDescent="0.15">
      <c r="B951" s="5" t="s">
        <v>381</v>
      </c>
      <c r="C951" s="14">
        <f>1+2</f>
        <v>3</v>
      </c>
      <c r="D951" s="31"/>
      <c r="E951" s="15">
        <f t="shared" si="111"/>
        <v>3</v>
      </c>
      <c r="F951" s="61">
        <v>44511</v>
      </c>
      <c r="G951" s="25"/>
      <c r="H951" s="14"/>
      <c r="I951" s="31"/>
      <c r="J951" s="15">
        <f t="shared" si="112"/>
        <v>0</v>
      </c>
    </row>
    <row r="952" spans="2:11" x14ac:dyDescent="0.15">
      <c r="B952" s="5" t="s">
        <v>381</v>
      </c>
      <c r="C952" s="14">
        <v>2</v>
      </c>
      <c r="D952" s="31">
        <v>2</v>
      </c>
      <c r="E952" s="15">
        <f t="shared" si="111"/>
        <v>4</v>
      </c>
      <c r="F952" s="61">
        <v>44515</v>
      </c>
      <c r="G952" s="13"/>
      <c r="H952" s="14"/>
      <c r="I952" s="31"/>
      <c r="J952" s="15">
        <f t="shared" si="112"/>
        <v>0</v>
      </c>
    </row>
    <row r="953" spans="2:11" x14ac:dyDescent="0.15">
      <c r="B953" s="26" t="s">
        <v>244</v>
      </c>
      <c r="C953" s="14"/>
      <c r="D953" s="31">
        <v>-1</v>
      </c>
      <c r="E953" s="15">
        <f t="shared" si="111"/>
        <v>-1</v>
      </c>
      <c r="F953" s="61">
        <v>44516</v>
      </c>
      <c r="G953" s="13"/>
      <c r="H953" s="14"/>
      <c r="I953" s="31"/>
      <c r="J953" s="15">
        <f t="shared" si="112"/>
        <v>0</v>
      </c>
      <c r="K953" s="61"/>
    </row>
    <row r="954" spans="2:11" x14ac:dyDescent="0.15">
      <c r="B954" s="5" t="s">
        <v>381</v>
      </c>
      <c r="C954" s="14">
        <v>1</v>
      </c>
      <c r="D954" s="31">
        <v>1</v>
      </c>
      <c r="E954" s="15">
        <f>C954+D954</f>
        <v>2</v>
      </c>
      <c r="F954" s="61">
        <v>44516</v>
      </c>
      <c r="G954" s="25"/>
      <c r="H954" s="14"/>
      <c r="I954" s="31"/>
      <c r="J954" s="15">
        <f>H954+I954</f>
        <v>0</v>
      </c>
      <c r="K954" s="77"/>
    </row>
    <row r="955" spans="2:11" x14ac:dyDescent="0.15">
      <c r="B955" s="25"/>
      <c r="C955" s="14"/>
      <c r="D955" s="31"/>
      <c r="E955" s="15">
        <f>C955+D955</f>
        <v>0</v>
      </c>
      <c r="F955" s="77"/>
      <c r="G955" s="13"/>
      <c r="H955" s="14"/>
      <c r="I955" s="31"/>
      <c r="J955" s="15">
        <f>H955+I955</f>
        <v>0</v>
      </c>
    </row>
    <row r="956" spans="2:11" ht="14.25" thickBot="1" x14ac:dyDescent="0.2">
      <c r="B956" s="74" t="s">
        <v>386</v>
      </c>
      <c r="C956" s="14"/>
      <c r="D956" s="31"/>
      <c r="E956" s="15">
        <f>C956+D956</f>
        <v>0</v>
      </c>
      <c r="F956" s="77" t="s">
        <v>388</v>
      </c>
      <c r="G956" s="13"/>
      <c r="H956" s="14"/>
      <c r="I956" s="31"/>
      <c r="J956" s="15">
        <f>H956+I956</f>
        <v>0</v>
      </c>
    </row>
    <row r="957" spans="2:11" ht="14.25" thickBot="1" x14ac:dyDescent="0.2">
      <c r="B957" s="8" t="s">
        <v>2</v>
      </c>
      <c r="C957" s="10">
        <f>SUM(C932:C956)</f>
        <v>82</v>
      </c>
      <c r="D957" s="32">
        <f>SUM(D932:D956)</f>
        <v>22</v>
      </c>
      <c r="E957" s="11">
        <f>C957+D957</f>
        <v>104</v>
      </c>
      <c r="G957" s="8" t="s">
        <v>2</v>
      </c>
      <c r="H957" s="10">
        <f>SUM(H932:H956)</f>
        <v>100</v>
      </c>
      <c r="I957" s="32">
        <f>SUM(I932:I956)</f>
        <v>50</v>
      </c>
      <c r="J957" s="11">
        <f t="shared" ref="J957" si="113">H957+I957</f>
        <v>150</v>
      </c>
    </row>
    <row r="958" spans="2:11" ht="14.25" thickBot="1" x14ac:dyDescent="0.2">
      <c r="B958" s="52" t="s">
        <v>3</v>
      </c>
      <c r="C958" s="53">
        <f>+C931-C957</f>
        <v>85</v>
      </c>
      <c r="D958" s="54">
        <f>+D931-D957</f>
        <v>98</v>
      </c>
      <c r="E958" s="55">
        <f>C958+D958</f>
        <v>183</v>
      </c>
      <c r="G958" s="52" t="s">
        <v>3</v>
      </c>
      <c r="H958" s="87">
        <f>+H931-H957</f>
        <v>3599</v>
      </c>
      <c r="I958" s="97">
        <f>+I931-I957</f>
        <v>2478</v>
      </c>
      <c r="J958" s="95">
        <f>+J931-J957</f>
        <v>6077</v>
      </c>
    </row>
    <row r="960" spans="2:11" ht="21" x14ac:dyDescent="0.2">
      <c r="B960" s="76" t="s">
        <v>150</v>
      </c>
      <c r="G960" s="75" t="s">
        <v>149</v>
      </c>
    </row>
    <row r="961" spans="2:11" ht="18.75" x14ac:dyDescent="0.2">
      <c r="B961" s="3" t="s">
        <v>11</v>
      </c>
      <c r="E961" s="71"/>
      <c r="G961" s="3" t="s">
        <v>11</v>
      </c>
    </row>
    <row r="962" spans="2:11" ht="14.25" thickBot="1" x14ac:dyDescent="0.2">
      <c r="G962" s="1"/>
    </row>
    <row r="963" spans="2:11" ht="14.25" thickBot="1" x14ac:dyDescent="0.2">
      <c r="B963" s="7"/>
      <c r="C963" s="67"/>
      <c r="D963" s="68"/>
      <c r="E963" s="69"/>
      <c r="G963" s="7"/>
      <c r="H963" s="67"/>
      <c r="I963" s="68"/>
      <c r="J963" s="69"/>
    </row>
    <row r="964" spans="2:11" ht="14.25" thickBot="1" x14ac:dyDescent="0.2">
      <c r="B964" s="8"/>
      <c r="C964" s="40" t="s">
        <v>7</v>
      </c>
      <c r="D964" s="29" t="s">
        <v>9</v>
      </c>
      <c r="E964" s="9" t="s">
        <v>0</v>
      </c>
      <c r="G964" s="8"/>
      <c r="H964" s="40" t="s">
        <v>7</v>
      </c>
      <c r="I964" s="29" t="s">
        <v>9</v>
      </c>
      <c r="J964" s="9" t="s">
        <v>0</v>
      </c>
    </row>
    <row r="965" spans="2:11" x14ac:dyDescent="0.15">
      <c r="B965" s="16" t="s">
        <v>4</v>
      </c>
      <c r="C965" s="17">
        <f>C958</f>
        <v>85</v>
      </c>
      <c r="D965" s="35">
        <f>D958</f>
        <v>98</v>
      </c>
      <c r="E965" s="18">
        <f t="shared" ref="E965:E971" si="114">C965+D965</f>
        <v>183</v>
      </c>
      <c r="G965" s="16" t="s">
        <v>4</v>
      </c>
      <c r="H965" s="89">
        <f>H958</f>
        <v>3599</v>
      </c>
      <c r="I965" s="90">
        <f>I958</f>
        <v>2478</v>
      </c>
      <c r="J965" s="96">
        <f>J958</f>
        <v>6077</v>
      </c>
    </row>
    <row r="966" spans="2:11" x14ac:dyDescent="0.15">
      <c r="B966" s="26" t="s">
        <v>423</v>
      </c>
      <c r="C966" s="14">
        <v>9</v>
      </c>
      <c r="D966" s="31">
        <v>7</v>
      </c>
      <c r="E966" s="23">
        <f t="shared" si="114"/>
        <v>16</v>
      </c>
      <c r="F966" s="61">
        <v>44525</v>
      </c>
      <c r="G966" s="25"/>
      <c r="H966" s="14"/>
      <c r="I966" s="31"/>
      <c r="J966" s="23">
        <f t="shared" ref="J966:J970" si="115">H966+I966</f>
        <v>0</v>
      </c>
      <c r="K966" s="61"/>
    </row>
    <row r="967" spans="2:11" x14ac:dyDescent="0.15">
      <c r="B967" s="26" t="s">
        <v>86</v>
      </c>
      <c r="C967" s="14">
        <v>24</v>
      </c>
      <c r="D967" s="31">
        <v>33</v>
      </c>
      <c r="E967" s="23">
        <f t="shared" si="114"/>
        <v>57</v>
      </c>
      <c r="F967" s="61">
        <v>44539</v>
      </c>
      <c r="G967" s="25"/>
      <c r="H967" s="27"/>
      <c r="I967" s="36"/>
      <c r="J967" s="28">
        <f t="shared" si="115"/>
        <v>0</v>
      </c>
      <c r="K967" s="61"/>
    </row>
    <row r="968" spans="2:11" x14ac:dyDescent="0.15">
      <c r="B968" s="26" t="s">
        <v>431</v>
      </c>
      <c r="C968" s="27">
        <v>-10</v>
      </c>
      <c r="D968" s="36"/>
      <c r="E968" s="28">
        <f t="shared" si="114"/>
        <v>-10</v>
      </c>
      <c r="F968" s="61">
        <v>44547</v>
      </c>
      <c r="G968" s="25"/>
      <c r="H968" s="14"/>
      <c r="I968" s="31"/>
      <c r="J968" s="15">
        <f t="shared" si="115"/>
        <v>0</v>
      </c>
    </row>
    <row r="969" spans="2:11" x14ac:dyDescent="0.15">
      <c r="B969" s="26" t="s">
        <v>5</v>
      </c>
      <c r="C969" s="27"/>
      <c r="D969" s="36"/>
      <c r="E969" s="28">
        <f t="shared" si="114"/>
        <v>0</v>
      </c>
      <c r="F969" s="61"/>
      <c r="G969" s="25"/>
      <c r="H969" s="14"/>
      <c r="I969" s="31"/>
      <c r="J969" s="15">
        <f t="shared" si="115"/>
        <v>0</v>
      </c>
    </row>
    <row r="970" spans="2:11" ht="14.25" thickBot="1" x14ac:dyDescent="0.2">
      <c r="B970" s="26" t="s">
        <v>5</v>
      </c>
      <c r="C970" s="14"/>
      <c r="D970" s="31"/>
      <c r="E970" s="15">
        <f t="shared" si="114"/>
        <v>0</v>
      </c>
      <c r="F970" s="61"/>
      <c r="G970" s="25" t="s">
        <v>5</v>
      </c>
      <c r="H970" s="92"/>
      <c r="I970" s="93"/>
      <c r="J970" s="94">
        <f t="shared" si="115"/>
        <v>0</v>
      </c>
    </row>
    <row r="971" spans="2:11" ht="14.25" thickBot="1" x14ac:dyDescent="0.2">
      <c r="B971" s="8" t="s">
        <v>1</v>
      </c>
      <c r="C971" s="10">
        <f>SUM(C965:C970)</f>
        <v>108</v>
      </c>
      <c r="D971" s="32">
        <f>SUM(D965:D970)</f>
        <v>138</v>
      </c>
      <c r="E971" s="11">
        <f t="shared" si="114"/>
        <v>246</v>
      </c>
      <c r="G971" s="8" t="s">
        <v>1</v>
      </c>
      <c r="H971" s="10">
        <f>SUM(H965:H970)</f>
        <v>3599</v>
      </c>
      <c r="I971" s="32">
        <f>SUM(I965:I970)</f>
        <v>2478</v>
      </c>
      <c r="J971" s="11">
        <f>SUM(J965:J970)</f>
        <v>6077</v>
      </c>
    </row>
    <row r="972" spans="2:11" x14ac:dyDescent="0.15">
      <c r="B972" s="5" t="s">
        <v>381</v>
      </c>
      <c r="C972" s="14">
        <v>1</v>
      </c>
      <c r="D972" s="31">
        <v>1</v>
      </c>
      <c r="E972" s="15">
        <f>C972+D972</f>
        <v>2</v>
      </c>
      <c r="F972" s="61">
        <v>44517</v>
      </c>
      <c r="G972" s="72" t="s">
        <v>425</v>
      </c>
      <c r="H972" s="22">
        <v>5</v>
      </c>
      <c r="I972" s="30">
        <v>5</v>
      </c>
      <c r="J972" s="23">
        <f t="shared" ref="J972" si="116">H972+I972</f>
        <v>10</v>
      </c>
      <c r="K972" s="61">
        <v>44540</v>
      </c>
    </row>
    <row r="973" spans="2:11" x14ac:dyDescent="0.15">
      <c r="B973" s="5" t="s">
        <v>422</v>
      </c>
      <c r="C973" s="14">
        <v>20</v>
      </c>
      <c r="D973" s="31">
        <v>10</v>
      </c>
      <c r="E973" s="15">
        <f t="shared" ref="E973:E993" si="117">C973+D973</f>
        <v>30</v>
      </c>
      <c r="F973" s="61">
        <v>44519</v>
      </c>
      <c r="G973" s="72" t="s">
        <v>428</v>
      </c>
      <c r="H973" s="14">
        <v>60</v>
      </c>
      <c r="I973" s="31">
        <v>65</v>
      </c>
      <c r="J973" s="15">
        <f>H973+I973</f>
        <v>125</v>
      </c>
      <c r="K973" s="61">
        <v>44547</v>
      </c>
    </row>
    <row r="974" spans="2:11" x14ac:dyDescent="0.15">
      <c r="B974" s="5" t="s">
        <v>381</v>
      </c>
      <c r="C974" s="14">
        <v>3</v>
      </c>
      <c r="D974" s="31"/>
      <c r="E974" s="15">
        <f t="shared" si="117"/>
        <v>3</v>
      </c>
      <c r="F974" s="61">
        <v>44519</v>
      </c>
      <c r="G974" s="72" t="s">
        <v>430</v>
      </c>
      <c r="H974" s="14">
        <v>12</v>
      </c>
      <c r="I974" s="31"/>
      <c r="J974" s="23">
        <f t="shared" ref="J974:J993" si="118">H974+I974</f>
        <v>12</v>
      </c>
      <c r="K974" s="61">
        <v>44550</v>
      </c>
    </row>
    <row r="975" spans="2:11" x14ac:dyDescent="0.15">
      <c r="B975" s="5" t="s">
        <v>381</v>
      </c>
      <c r="C975" s="14">
        <v>1</v>
      </c>
      <c r="D975" s="31"/>
      <c r="E975" s="15">
        <f t="shared" si="117"/>
        <v>1</v>
      </c>
      <c r="F975" s="61">
        <v>44520</v>
      </c>
      <c r="G975" s="72" t="s">
        <v>434</v>
      </c>
      <c r="H975" s="14">
        <v>39</v>
      </c>
      <c r="I975" s="31">
        <v>24</v>
      </c>
      <c r="J975" s="15">
        <f t="shared" si="118"/>
        <v>63</v>
      </c>
      <c r="K975" s="61">
        <v>44551</v>
      </c>
    </row>
    <row r="976" spans="2:11" x14ac:dyDescent="0.15">
      <c r="B976" s="5" t="s">
        <v>381</v>
      </c>
      <c r="C976" s="14">
        <f>1+1</f>
        <v>2</v>
      </c>
      <c r="D976" s="31"/>
      <c r="E976" s="15">
        <f t="shared" si="117"/>
        <v>2</v>
      </c>
      <c r="F976" s="61">
        <v>44522</v>
      </c>
      <c r="G976" s="12"/>
      <c r="H976" s="2"/>
      <c r="I976" s="33"/>
      <c r="J976" s="4">
        <f t="shared" si="118"/>
        <v>0</v>
      </c>
    </row>
    <row r="977" spans="2:10" x14ac:dyDescent="0.15">
      <c r="B977" s="5" t="s">
        <v>381</v>
      </c>
      <c r="C977" s="14">
        <f>1+2</f>
        <v>3</v>
      </c>
      <c r="D977" s="31">
        <f>1+1</f>
        <v>2</v>
      </c>
      <c r="E977" s="15">
        <f t="shared" si="117"/>
        <v>5</v>
      </c>
      <c r="F977" s="61">
        <v>44524</v>
      </c>
      <c r="G977" s="12"/>
      <c r="H977" s="14"/>
      <c r="I977" s="31"/>
      <c r="J977" s="15">
        <f t="shared" si="118"/>
        <v>0</v>
      </c>
    </row>
    <row r="978" spans="2:10" x14ac:dyDescent="0.15">
      <c r="B978" s="5" t="s">
        <v>381</v>
      </c>
      <c r="C978" s="14"/>
      <c r="D978" s="31">
        <v>3</v>
      </c>
      <c r="E978" s="15">
        <f t="shared" si="117"/>
        <v>3</v>
      </c>
      <c r="F978" s="61">
        <v>44525</v>
      </c>
      <c r="G978" s="13"/>
      <c r="H978" s="2"/>
      <c r="I978" s="33"/>
      <c r="J978" s="4">
        <f t="shared" si="118"/>
        <v>0</v>
      </c>
    </row>
    <row r="979" spans="2:10" x14ac:dyDescent="0.15">
      <c r="B979" s="5" t="s">
        <v>381</v>
      </c>
      <c r="C979" s="14">
        <v>2</v>
      </c>
      <c r="D979" s="31"/>
      <c r="E979" s="15">
        <f t="shared" si="117"/>
        <v>2</v>
      </c>
      <c r="F979" s="61">
        <v>44526</v>
      </c>
      <c r="G979" s="13"/>
      <c r="H979" s="14"/>
      <c r="I979" s="31"/>
      <c r="J979" s="15">
        <f t="shared" si="118"/>
        <v>0</v>
      </c>
    </row>
    <row r="980" spans="2:10" x14ac:dyDescent="0.15">
      <c r="B980" s="5" t="s">
        <v>424</v>
      </c>
      <c r="C980" s="14"/>
      <c r="D980" s="31">
        <v>10</v>
      </c>
      <c r="E980" s="15">
        <f t="shared" si="117"/>
        <v>10</v>
      </c>
      <c r="F980" s="61">
        <v>44530</v>
      </c>
      <c r="G980" s="13"/>
      <c r="H980" s="14"/>
      <c r="I980" s="31"/>
      <c r="J980" s="15">
        <f t="shared" si="118"/>
        <v>0</v>
      </c>
    </row>
    <row r="981" spans="2:10" x14ac:dyDescent="0.15">
      <c r="B981" s="5" t="s">
        <v>381</v>
      </c>
      <c r="C981" s="14">
        <f>2+4+1</f>
        <v>7</v>
      </c>
      <c r="D981" s="31">
        <v>1</v>
      </c>
      <c r="E981" s="15">
        <f t="shared" si="117"/>
        <v>8</v>
      </c>
      <c r="F981" s="61">
        <v>44529</v>
      </c>
      <c r="G981" s="13"/>
      <c r="H981" s="14"/>
      <c r="I981" s="31"/>
      <c r="J981" s="15">
        <f t="shared" si="118"/>
        <v>0</v>
      </c>
    </row>
    <row r="982" spans="2:10" x14ac:dyDescent="0.15">
      <c r="B982" s="5" t="s">
        <v>381</v>
      </c>
      <c r="C982" s="14">
        <v>1</v>
      </c>
      <c r="D982" s="31">
        <v>1</v>
      </c>
      <c r="E982" s="15">
        <f t="shared" si="117"/>
        <v>2</v>
      </c>
      <c r="F982" s="61">
        <v>44530</v>
      </c>
      <c r="G982" s="13"/>
      <c r="H982" s="14"/>
      <c r="I982" s="31"/>
      <c r="J982" s="15">
        <f t="shared" si="118"/>
        <v>0</v>
      </c>
    </row>
    <row r="983" spans="2:10" x14ac:dyDescent="0.15">
      <c r="B983" s="5" t="s">
        <v>381</v>
      </c>
      <c r="C983" s="14">
        <v>1</v>
      </c>
      <c r="D983" s="31"/>
      <c r="E983" s="15">
        <f t="shared" si="117"/>
        <v>1</v>
      </c>
      <c r="F983" s="61">
        <v>44531</v>
      </c>
      <c r="G983" s="13"/>
      <c r="H983" s="14"/>
      <c r="I983" s="31"/>
      <c r="J983" s="15">
        <f t="shared" si="118"/>
        <v>0</v>
      </c>
    </row>
    <row r="984" spans="2:10" x14ac:dyDescent="0.15">
      <c r="B984" s="5" t="s">
        <v>381</v>
      </c>
      <c r="C984" s="14">
        <v>2</v>
      </c>
      <c r="D984" s="31"/>
      <c r="E984" s="15">
        <f t="shared" si="117"/>
        <v>2</v>
      </c>
      <c r="F984" s="61">
        <v>44532</v>
      </c>
      <c r="G984" s="13"/>
      <c r="H984" s="14"/>
      <c r="I984" s="31"/>
      <c r="J984" s="15">
        <f t="shared" si="118"/>
        <v>0</v>
      </c>
    </row>
    <row r="985" spans="2:10" x14ac:dyDescent="0.15">
      <c r="B985" s="5" t="s">
        <v>381</v>
      </c>
      <c r="C985" s="14">
        <v>1</v>
      </c>
      <c r="D985" s="31"/>
      <c r="E985" s="15">
        <f t="shared" si="117"/>
        <v>1</v>
      </c>
      <c r="F985" s="61">
        <v>44533</v>
      </c>
      <c r="G985" s="25"/>
      <c r="H985" s="14"/>
      <c r="I985" s="31"/>
      <c r="J985" s="15">
        <f t="shared" si="118"/>
        <v>0</v>
      </c>
    </row>
    <row r="986" spans="2:10" x14ac:dyDescent="0.15">
      <c r="B986" s="5" t="s">
        <v>381</v>
      </c>
      <c r="C986" s="14">
        <v>2</v>
      </c>
      <c r="D986" s="31"/>
      <c r="E986" s="15">
        <f t="shared" si="117"/>
        <v>2</v>
      </c>
      <c r="F986" s="61">
        <v>44534</v>
      </c>
      <c r="G986" s="25"/>
      <c r="H986" s="14"/>
      <c r="I986" s="31"/>
      <c r="J986" s="15">
        <f t="shared" si="118"/>
        <v>0</v>
      </c>
    </row>
    <row r="987" spans="2:10" x14ac:dyDescent="0.15">
      <c r="B987" s="5" t="s">
        <v>381</v>
      </c>
      <c r="C987" s="14">
        <f>2+4</f>
        <v>6</v>
      </c>
      <c r="D987" s="31">
        <v>2</v>
      </c>
      <c r="E987" s="15">
        <f t="shared" si="117"/>
        <v>8</v>
      </c>
      <c r="F987" s="61">
        <v>44536</v>
      </c>
      <c r="G987" s="25"/>
      <c r="H987" s="14"/>
      <c r="I987" s="31"/>
      <c r="J987" s="15">
        <f t="shared" si="118"/>
        <v>0</v>
      </c>
    </row>
    <row r="988" spans="2:10" x14ac:dyDescent="0.15">
      <c r="B988" s="5" t="s">
        <v>381</v>
      </c>
      <c r="C988" s="14">
        <f>1+1</f>
        <v>2</v>
      </c>
      <c r="D988" s="31">
        <v>1</v>
      </c>
      <c r="E988" s="15">
        <f t="shared" si="117"/>
        <v>3</v>
      </c>
      <c r="F988" s="61">
        <v>44537</v>
      </c>
      <c r="G988" s="25"/>
      <c r="H988" s="14"/>
      <c r="I988" s="31"/>
      <c r="J988" s="15">
        <f t="shared" si="118"/>
        <v>0</v>
      </c>
    </row>
    <row r="989" spans="2:10" x14ac:dyDescent="0.15">
      <c r="B989" s="5" t="s">
        <v>381</v>
      </c>
      <c r="C989" s="14">
        <v>2</v>
      </c>
      <c r="D989" s="31">
        <v>2</v>
      </c>
      <c r="E989" s="15">
        <f t="shared" si="117"/>
        <v>4</v>
      </c>
      <c r="F989" s="61">
        <v>44538</v>
      </c>
      <c r="G989" s="13"/>
      <c r="H989" s="14"/>
      <c r="I989" s="31"/>
      <c r="J989" s="15">
        <f t="shared" si="118"/>
        <v>0</v>
      </c>
    </row>
    <row r="990" spans="2:10" x14ac:dyDescent="0.15">
      <c r="B990" s="5" t="s">
        <v>426</v>
      </c>
      <c r="C990" s="14">
        <v>10</v>
      </c>
      <c r="D990" s="31"/>
      <c r="E990" s="15">
        <f t="shared" si="117"/>
        <v>10</v>
      </c>
      <c r="F990" s="61">
        <v>44539</v>
      </c>
      <c r="G990" s="25"/>
      <c r="H990" s="14"/>
      <c r="I990" s="31"/>
      <c r="J990" s="15">
        <f t="shared" si="118"/>
        <v>0</v>
      </c>
    </row>
    <row r="991" spans="2:10" x14ac:dyDescent="0.15">
      <c r="B991" s="5" t="s">
        <v>381</v>
      </c>
      <c r="C991" s="14">
        <v>1</v>
      </c>
      <c r="D991" s="31"/>
      <c r="E991" s="15">
        <f t="shared" si="117"/>
        <v>1</v>
      </c>
      <c r="F991" s="61">
        <v>44539</v>
      </c>
      <c r="G991" s="25"/>
      <c r="H991" s="14"/>
      <c r="I991" s="31"/>
      <c r="J991" s="15">
        <f t="shared" si="118"/>
        <v>0</v>
      </c>
    </row>
    <row r="992" spans="2:10" x14ac:dyDescent="0.15">
      <c r="B992" s="5" t="s">
        <v>381</v>
      </c>
      <c r="C992" s="14">
        <f>1+1</f>
        <v>2</v>
      </c>
      <c r="D992" s="31">
        <v>1</v>
      </c>
      <c r="E992" s="15">
        <f t="shared" si="117"/>
        <v>3</v>
      </c>
      <c r="F992" s="61">
        <v>44540</v>
      </c>
      <c r="G992" s="13"/>
      <c r="H992" s="14"/>
      <c r="I992" s="31"/>
      <c r="J992" s="15">
        <f t="shared" si="118"/>
        <v>0</v>
      </c>
    </row>
    <row r="993" spans="2:11" x14ac:dyDescent="0.15">
      <c r="B993" s="5" t="s">
        <v>381</v>
      </c>
      <c r="C993" s="14">
        <f>1+3+6</f>
        <v>10</v>
      </c>
      <c r="D993" s="31">
        <v>2</v>
      </c>
      <c r="E993" s="15">
        <f t="shared" si="117"/>
        <v>12</v>
      </c>
      <c r="F993" s="61">
        <v>44543</v>
      </c>
      <c r="G993" s="13"/>
      <c r="H993" s="14"/>
      <c r="I993" s="31"/>
      <c r="J993" s="15">
        <f t="shared" si="118"/>
        <v>0</v>
      </c>
      <c r="K993" s="61"/>
    </row>
    <row r="994" spans="2:11" x14ac:dyDescent="0.15">
      <c r="B994" s="5" t="s">
        <v>381</v>
      </c>
      <c r="C994" s="14">
        <v>1</v>
      </c>
      <c r="D994" s="31"/>
      <c r="E994" s="15">
        <f>C994+D994</f>
        <v>1</v>
      </c>
      <c r="F994" s="61">
        <v>44544</v>
      </c>
      <c r="G994" s="25"/>
      <c r="H994" s="14"/>
      <c r="I994" s="31"/>
      <c r="J994" s="15">
        <f>H994+I994</f>
        <v>0</v>
      </c>
      <c r="K994" s="77"/>
    </row>
    <row r="995" spans="2:11" x14ac:dyDescent="0.15">
      <c r="B995" s="25" t="s">
        <v>429</v>
      </c>
      <c r="C995" s="14">
        <v>10</v>
      </c>
      <c r="D995" s="31">
        <v>10</v>
      </c>
      <c r="E995" s="15">
        <f>C995+D995</f>
        <v>20</v>
      </c>
      <c r="F995" s="61">
        <v>44545</v>
      </c>
      <c r="G995" s="13"/>
      <c r="H995" s="14"/>
      <c r="I995" s="31"/>
      <c r="J995" s="15">
        <f>H995+I995</f>
        <v>0</v>
      </c>
    </row>
    <row r="996" spans="2:11" ht="14.25" thickBot="1" x14ac:dyDescent="0.2">
      <c r="B996" s="5" t="s">
        <v>381</v>
      </c>
      <c r="C996" s="14">
        <v>4</v>
      </c>
      <c r="D996" s="31"/>
      <c r="E996" s="15">
        <f>C996+D996</f>
        <v>4</v>
      </c>
      <c r="F996" s="61">
        <v>44545</v>
      </c>
      <c r="G996" s="13" t="s">
        <v>410</v>
      </c>
      <c r="H996" s="14"/>
      <c r="I996" s="31"/>
      <c r="J996" s="15">
        <f>H996+I996</f>
        <v>0</v>
      </c>
      <c r="K996" s="60" t="s">
        <v>411</v>
      </c>
    </row>
    <row r="997" spans="2:11" ht="14.25" thickBot="1" x14ac:dyDescent="0.2">
      <c r="B997" s="8" t="s">
        <v>2</v>
      </c>
      <c r="C997" s="10">
        <f>SUM(C972:C996)</f>
        <v>94</v>
      </c>
      <c r="D997" s="32">
        <f>SUM(D972:D996)</f>
        <v>46</v>
      </c>
      <c r="E997" s="11">
        <f>C997+D997</f>
        <v>140</v>
      </c>
      <c r="G997" s="8" t="s">
        <v>2</v>
      </c>
      <c r="H997" s="10">
        <f>SUM(H972:H996)</f>
        <v>116</v>
      </c>
      <c r="I997" s="32">
        <f>SUM(I972:I996)</f>
        <v>94</v>
      </c>
      <c r="J997" s="11">
        <f t="shared" ref="J997" si="119">H997+I997</f>
        <v>210</v>
      </c>
    </row>
    <row r="998" spans="2:11" ht="14.25" thickBot="1" x14ac:dyDescent="0.2">
      <c r="B998" s="52" t="s">
        <v>3</v>
      </c>
      <c r="C998" s="53">
        <f>+C971-C997</f>
        <v>14</v>
      </c>
      <c r="D998" s="54">
        <f>+D971-D997</f>
        <v>92</v>
      </c>
      <c r="E998" s="55">
        <f>C998+D998</f>
        <v>106</v>
      </c>
      <c r="G998" s="52" t="s">
        <v>3</v>
      </c>
      <c r="H998" s="87">
        <f>+H971-H997</f>
        <v>3483</v>
      </c>
      <c r="I998" s="97">
        <f>+I971-I997</f>
        <v>2384</v>
      </c>
      <c r="J998" s="95">
        <f>+J971-J997</f>
        <v>5867</v>
      </c>
    </row>
    <row r="1000" spans="2:11" ht="21" x14ac:dyDescent="0.2">
      <c r="B1000" s="76" t="s">
        <v>150</v>
      </c>
      <c r="G1000" s="75" t="s">
        <v>149</v>
      </c>
    </row>
    <row r="1001" spans="2:11" ht="18.75" x14ac:dyDescent="0.2">
      <c r="B1001" s="3" t="s">
        <v>11</v>
      </c>
      <c r="E1001" s="71"/>
      <c r="G1001" s="3" t="s">
        <v>11</v>
      </c>
    </row>
    <row r="1002" spans="2:11" ht="14.25" thickBot="1" x14ac:dyDescent="0.2">
      <c r="G1002" s="1"/>
    </row>
    <row r="1003" spans="2:11" ht="14.25" thickBot="1" x14ac:dyDescent="0.2">
      <c r="B1003" s="7"/>
      <c r="C1003" s="67"/>
      <c r="D1003" s="68"/>
      <c r="E1003" s="69"/>
      <c r="G1003" s="7"/>
      <c r="H1003" s="67"/>
      <c r="I1003" s="68"/>
      <c r="J1003" s="69"/>
    </row>
    <row r="1004" spans="2:11" ht="14.25" thickBot="1" x14ac:dyDescent="0.2">
      <c r="B1004" s="8"/>
      <c r="C1004" s="40" t="s">
        <v>7</v>
      </c>
      <c r="D1004" s="29" t="s">
        <v>9</v>
      </c>
      <c r="E1004" s="9" t="s">
        <v>0</v>
      </c>
      <c r="G1004" s="8"/>
      <c r="H1004" s="40" t="s">
        <v>7</v>
      </c>
      <c r="I1004" s="29" t="s">
        <v>9</v>
      </c>
      <c r="J1004" s="9" t="s">
        <v>0</v>
      </c>
    </row>
    <row r="1005" spans="2:11" x14ac:dyDescent="0.15">
      <c r="B1005" s="16" t="s">
        <v>4</v>
      </c>
      <c r="C1005" s="17">
        <f>C998</f>
        <v>14</v>
      </c>
      <c r="D1005" s="35">
        <f>D998</f>
        <v>92</v>
      </c>
      <c r="E1005" s="18">
        <f t="shared" ref="E1005:E1011" si="120">C1005+D1005</f>
        <v>106</v>
      </c>
      <c r="G1005" s="16" t="s">
        <v>4</v>
      </c>
      <c r="H1005" s="89">
        <f>H998</f>
        <v>3483</v>
      </c>
      <c r="I1005" s="90">
        <f>I998</f>
        <v>2384</v>
      </c>
      <c r="J1005" s="96">
        <f>J998</f>
        <v>5867</v>
      </c>
    </row>
    <row r="1006" spans="2:11" x14ac:dyDescent="0.15">
      <c r="B1006" s="26" t="s">
        <v>5</v>
      </c>
      <c r="C1006" s="14">
        <v>100</v>
      </c>
      <c r="D1006" s="31"/>
      <c r="E1006" s="23">
        <f t="shared" si="120"/>
        <v>100</v>
      </c>
      <c r="F1006" s="61">
        <v>44548</v>
      </c>
      <c r="G1006" s="25"/>
      <c r="H1006" s="14"/>
      <c r="I1006" s="31"/>
      <c r="J1006" s="23">
        <f t="shared" ref="J1006:J1010" si="121">H1006+I1006</f>
        <v>0</v>
      </c>
      <c r="K1006" s="61"/>
    </row>
    <row r="1007" spans="2:11" x14ac:dyDescent="0.15">
      <c r="B1007" s="26" t="s">
        <v>5</v>
      </c>
      <c r="C1007" s="27">
        <v>50</v>
      </c>
      <c r="D1007" s="36"/>
      <c r="E1007" s="28">
        <f t="shared" si="120"/>
        <v>50</v>
      </c>
      <c r="F1007" s="61">
        <v>44568</v>
      </c>
      <c r="G1007" s="25"/>
      <c r="H1007" s="27"/>
      <c r="I1007" s="36"/>
      <c r="J1007" s="28">
        <f t="shared" si="121"/>
        <v>0</v>
      </c>
      <c r="K1007" s="61"/>
    </row>
    <row r="1008" spans="2:11" x14ac:dyDescent="0.15">
      <c r="B1008" s="26" t="s">
        <v>5</v>
      </c>
      <c r="C1008" s="27">
        <v>200</v>
      </c>
      <c r="D1008" s="36">
        <v>100</v>
      </c>
      <c r="E1008" s="28">
        <f t="shared" si="120"/>
        <v>300</v>
      </c>
      <c r="F1008" s="61">
        <v>44569</v>
      </c>
      <c r="G1008" s="25"/>
      <c r="H1008" s="14"/>
      <c r="I1008" s="31"/>
      <c r="J1008" s="15">
        <f t="shared" si="121"/>
        <v>0</v>
      </c>
    </row>
    <row r="1009" spans="2:11" x14ac:dyDescent="0.15">
      <c r="B1009" s="26" t="s">
        <v>5</v>
      </c>
      <c r="C1009" s="27"/>
      <c r="D1009" s="36"/>
      <c r="E1009" s="28">
        <f t="shared" si="120"/>
        <v>0</v>
      </c>
      <c r="F1009" s="61"/>
      <c r="G1009" s="25"/>
      <c r="H1009" s="14"/>
      <c r="I1009" s="31"/>
      <c r="J1009" s="15">
        <f t="shared" si="121"/>
        <v>0</v>
      </c>
    </row>
    <row r="1010" spans="2:11" ht="14.25" thickBot="1" x14ac:dyDescent="0.2">
      <c r="B1010" s="26" t="s">
        <v>5</v>
      </c>
      <c r="C1010" s="14"/>
      <c r="D1010" s="31"/>
      <c r="E1010" s="15">
        <f t="shared" si="120"/>
        <v>0</v>
      </c>
      <c r="F1010" s="61"/>
      <c r="G1010" s="25" t="s">
        <v>5</v>
      </c>
      <c r="H1010" s="92"/>
      <c r="I1010" s="93"/>
      <c r="J1010" s="94">
        <f t="shared" si="121"/>
        <v>0</v>
      </c>
    </row>
    <row r="1011" spans="2:11" ht="14.25" thickBot="1" x14ac:dyDescent="0.2">
      <c r="B1011" s="8" t="s">
        <v>1</v>
      </c>
      <c r="C1011" s="10">
        <f>SUM(C1005:C1010)</f>
        <v>364</v>
      </c>
      <c r="D1011" s="32">
        <f>SUM(D1005:D1010)</f>
        <v>192</v>
      </c>
      <c r="E1011" s="11">
        <f t="shared" si="120"/>
        <v>556</v>
      </c>
      <c r="G1011" s="8" t="s">
        <v>1</v>
      </c>
      <c r="H1011" s="10">
        <f>SUM(H1005:H1010)</f>
        <v>3483</v>
      </c>
      <c r="I1011" s="32">
        <f>SUM(I1005:I1010)</f>
        <v>2384</v>
      </c>
      <c r="J1011" s="11">
        <f>SUM(J1005:J1010)</f>
        <v>5867</v>
      </c>
    </row>
    <row r="1012" spans="2:11" x14ac:dyDescent="0.15">
      <c r="B1012" s="5" t="s">
        <v>433</v>
      </c>
      <c r="C1012" s="14">
        <v>14</v>
      </c>
      <c r="D1012" s="31"/>
      <c r="E1012" s="15">
        <f>C1012+D1012</f>
        <v>14</v>
      </c>
      <c r="F1012" s="61">
        <v>44548</v>
      </c>
      <c r="G1012" s="13" t="s">
        <v>432</v>
      </c>
      <c r="H1012" s="22">
        <v>100</v>
      </c>
      <c r="I1012" s="30"/>
      <c r="J1012" s="23">
        <f t="shared" ref="J1012" si="122">H1012+I1012</f>
        <v>100</v>
      </c>
      <c r="K1012" s="61">
        <v>44548</v>
      </c>
    </row>
    <row r="1013" spans="2:11" x14ac:dyDescent="0.15">
      <c r="B1013" s="5" t="s">
        <v>435</v>
      </c>
      <c r="C1013" s="14">
        <v>10</v>
      </c>
      <c r="D1013" s="31">
        <v>10</v>
      </c>
      <c r="E1013" s="15">
        <f t="shared" ref="E1013:E1033" si="123">C1013+D1013</f>
        <v>20</v>
      </c>
      <c r="F1013" s="61">
        <v>44551</v>
      </c>
      <c r="G1013" s="13" t="s">
        <v>120</v>
      </c>
      <c r="H1013" s="14">
        <v>50</v>
      </c>
      <c r="I1013" s="31"/>
      <c r="J1013" s="15">
        <f>H1013+I1013</f>
        <v>50</v>
      </c>
      <c r="K1013" s="61">
        <v>44568</v>
      </c>
    </row>
    <row r="1014" spans="2:11" x14ac:dyDescent="0.15">
      <c r="B1014" s="5" t="s">
        <v>437</v>
      </c>
      <c r="C1014" s="14">
        <v>40</v>
      </c>
      <c r="D1014" s="31">
        <v>10</v>
      </c>
      <c r="E1014" s="15">
        <f t="shared" si="123"/>
        <v>50</v>
      </c>
      <c r="F1014" s="61">
        <v>44551</v>
      </c>
      <c r="G1014" s="13" t="s">
        <v>120</v>
      </c>
      <c r="H1014" s="14">
        <v>200</v>
      </c>
      <c r="I1014" s="31">
        <v>100</v>
      </c>
      <c r="J1014" s="23">
        <f t="shared" ref="J1014:J1033" si="124">H1014+I1014</f>
        <v>300</v>
      </c>
      <c r="K1014" s="61">
        <v>44569</v>
      </c>
    </row>
    <row r="1015" spans="2:11" x14ac:dyDescent="0.15">
      <c r="B1015" s="5" t="s">
        <v>381</v>
      </c>
      <c r="C1015" s="14">
        <v>1</v>
      </c>
      <c r="D1015" s="31"/>
      <c r="E1015" s="15">
        <f t="shared" si="123"/>
        <v>1</v>
      </c>
      <c r="F1015" s="61">
        <v>44552</v>
      </c>
      <c r="G1015" s="13"/>
      <c r="H1015" s="14"/>
      <c r="I1015" s="31"/>
      <c r="J1015" s="15">
        <f t="shared" si="124"/>
        <v>0</v>
      </c>
    </row>
    <row r="1016" spans="2:11" x14ac:dyDescent="0.15">
      <c r="B1016" s="5" t="s">
        <v>436</v>
      </c>
      <c r="C1016" s="14">
        <v>10</v>
      </c>
      <c r="D1016" s="31">
        <v>10</v>
      </c>
      <c r="E1016" s="15">
        <f t="shared" si="123"/>
        <v>20</v>
      </c>
      <c r="F1016" s="61">
        <v>44558</v>
      </c>
      <c r="G1016" s="13"/>
      <c r="H1016" s="14"/>
      <c r="I1016" s="31"/>
      <c r="J1016" s="15">
        <f t="shared" si="124"/>
        <v>0</v>
      </c>
    </row>
    <row r="1017" spans="2:11" x14ac:dyDescent="0.15">
      <c r="B1017" s="5" t="s">
        <v>381</v>
      </c>
      <c r="C1017" s="14">
        <v>1</v>
      </c>
      <c r="D1017" s="31"/>
      <c r="E1017" s="15">
        <f t="shared" si="123"/>
        <v>1</v>
      </c>
      <c r="F1017" s="61">
        <v>44557</v>
      </c>
      <c r="G1017" s="13"/>
      <c r="H1017" s="14"/>
      <c r="I1017" s="31"/>
      <c r="J1017" s="15">
        <f t="shared" si="124"/>
        <v>0</v>
      </c>
    </row>
    <row r="1018" spans="2:11" x14ac:dyDescent="0.15">
      <c r="B1018" s="5" t="s">
        <v>381</v>
      </c>
      <c r="C1018" s="14">
        <v>1</v>
      </c>
      <c r="D1018" s="31"/>
      <c r="E1018" s="15">
        <f t="shared" si="123"/>
        <v>1</v>
      </c>
      <c r="F1018" s="61">
        <v>44558</v>
      </c>
      <c r="G1018" s="13"/>
      <c r="H1018" s="14"/>
      <c r="I1018" s="31"/>
      <c r="J1018" s="15">
        <f t="shared" si="124"/>
        <v>0</v>
      </c>
    </row>
    <row r="1019" spans="2:11" x14ac:dyDescent="0.15">
      <c r="B1019" s="5" t="s">
        <v>381</v>
      </c>
      <c r="C1019" s="14">
        <f>2+4+1+4</f>
        <v>11</v>
      </c>
      <c r="D1019" s="31">
        <f>1+4</f>
        <v>5</v>
      </c>
      <c r="E1019" s="15">
        <f t="shared" si="123"/>
        <v>16</v>
      </c>
      <c r="F1019" s="61">
        <v>44566</v>
      </c>
      <c r="G1019" s="13"/>
      <c r="H1019" s="14"/>
      <c r="I1019" s="31"/>
      <c r="J1019" s="15">
        <f t="shared" si="124"/>
        <v>0</v>
      </c>
    </row>
    <row r="1020" spans="2:11" x14ac:dyDescent="0.15">
      <c r="B1020" s="5" t="s">
        <v>438</v>
      </c>
      <c r="C1020" s="14">
        <v>20</v>
      </c>
      <c r="D1020" s="31"/>
      <c r="E1020" s="15">
        <f t="shared" si="123"/>
        <v>20</v>
      </c>
      <c r="F1020" s="61">
        <v>44568</v>
      </c>
      <c r="G1020" s="13"/>
      <c r="H1020" s="14"/>
      <c r="I1020" s="31"/>
      <c r="J1020" s="15">
        <f t="shared" si="124"/>
        <v>0</v>
      </c>
    </row>
    <row r="1021" spans="2:11" x14ac:dyDescent="0.15">
      <c r="B1021" s="5" t="s">
        <v>429</v>
      </c>
      <c r="C1021" s="14">
        <v>30</v>
      </c>
      <c r="D1021" s="31">
        <v>20</v>
      </c>
      <c r="E1021" s="15">
        <f t="shared" si="123"/>
        <v>50</v>
      </c>
      <c r="F1021" s="61">
        <v>44569</v>
      </c>
      <c r="G1021" s="13"/>
      <c r="H1021" s="14"/>
      <c r="I1021" s="31"/>
      <c r="J1021" s="15">
        <f t="shared" si="124"/>
        <v>0</v>
      </c>
    </row>
    <row r="1022" spans="2:11" x14ac:dyDescent="0.15">
      <c r="B1022" s="5" t="s">
        <v>381</v>
      </c>
      <c r="C1022" s="14">
        <f>1+5+1</f>
        <v>7</v>
      </c>
      <c r="D1022" s="31">
        <v>1</v>
      </c>
      <c r="E1022" s="15">
        <f t="shared" si="123"/>
        <v>8</v>
      </c>
      <c r="F1022" s="61">
        <v>44572</v>
      </c>
      <c r="G1022" s="13"/>
      <c r="H1022" s="14"/>
      <c r="I1022" s="31"/>
      <c r="J1022" s="15">
        <f t="shared" si="124"/>
        <v>0</v>
      </c>
    </row>
    <row r="1023" spans="2:11" x14ac:dyDescent="0.15">
      <c r="B1023" s="5" t="s">
        <v>439</v>
      </c>
      <c r="C1023" s="14">
        <v>10</v>
      </c>
      <c r="D1023" s="31"/>
      <c r="E1023" s="15">
        <f t="shared" si="123"/>
        <v>10</v>
      </c>
      <c r="F1023" s="61">
        <v>44579</v>
      </c>
      <c r="G1023" s="13"/>
      <c r="H1023" s="14"/>
      <c r="I1023" s="31"/>
      <c r="J1023" s="15">
        <f t="shared" si="124"/>
        <v>0</v>
      </c>
    </row>
    <row r="1024" spans="2:11" x14ac:dyDescent="0.15">
      <c r="B1024" s="5" t="s">
        <v>381</v>
      </c>
      <c r="C1024" s="14">
        <v>1</v>
      </c>
      <c r="D1024" s="31">
        <v>3</v>
      </c>
      <c r="E1024" s="15">
        <f t="shared" si="123"/>
        <v>4</v>
      </c>
      <c r="F1024" s="61">
        <v>44578</v>
      </c>
      <c r="G1024" s="13"/>
      <c r="H1024" s="14"/>
      <c r="I1024" s="31"/>
      <c r="J1024" s="15">
        <f t="shared" si="124"/>
        <v>0</v>
      </c>
    </row>
    <row r="1025" spans="2:11" x14ac:dyDescent="0.15">
      <c r="B1025" s="5" t="s">
        <v>381</v>
      </c>
      <c r="C1025" s="14"/>
      <c r="D1025" s="31">
        <v>1</v>
      </c>
      <c r="E1025" s="15">
        <f t="shared" si="123"/>
        <v>1</v>
      </c>
      <c r="F1025" s="61">
        <v>44579</v>
      </c>
      <c r="G1025" s="25"/>
      <c r="H1025" s="14"/>
      <c r="I1025" s="31"/>
      <c r="J1025" s="15">
        <f t="shared" si="124"/>
        <v>0</v>
      </c>
    </row>
    <row r="1026" spans="2:11" x14ac:dyDescent="0.15">
      <c r="B1026" s="5" t="s">
        <v>381</v>
      </c>
      <c r="C1026" s="14"/>
      <c r="D1026" s="31">
        <v>2</v>
      </c>
      <c r="E1026" s="15">
        <f t="shared" si="123"/>
        <v>2</v>
      </c>
      <c r="F1026" s="61">
        <v>44580</v>
      </c>
      <c r="G1026" s="25"/>
      <c r="H1026" s="14"/>
      <c r="I1026" s="31"/>
      <c r="J1026" s="15">
        <f t="shared" si="124"/>
        <v>0</v>
      </c>
    </row>
    <row r="1027" spans="2:11" x14ac:dyDescent="0.15">
      <c r="B1027" s="5" t="s">
        <v>381</v>
      </c>
      <c r="C1027" s="14">
        <v>2</v>
      </c>
      <c r="D1027" s="31"/>
      <c r="E1027" s="15">
        <f t="shared" si="123"/>
        <v>2</v>
      </c>
      <c r="F1027" s="61">
        <v>44586</v>
      </c>
      <c r="G1027" s="25"/>
      <c r="H1027" s="14"/>
      <c r="I1027" s="31"/>
      <c r="J1027" s="15">
        <f t="shared" si="124"/>
        <v>0</v>
      </c>
    </row>
    <row r="1028" spans="2:11" x14ac:dyDescent="0.15">
      <c r="B1028" s="74" t="s">
        <v>440</v>
      </c>
      <c r="C1028" s="14">
        <v>1</v>
      </c>
      <c r="D1028" s="31"/>
      <c r="E1028" s="15">
        <f t="shared" si="123"/>
        <v>1</v>
      </c>
      <c r="F1028" s="61">
        <v>44590</v>
      </c>
      <c r="G1028" s="25"/>
      <c r="H1028" s="14"/>
      <c r="I1028" s="31"/>
      <c r="J1028" s="15">
        <f t="shared" si="124"/>
        <v>0</v>
      </c>
    </row>
    <row r="1029" spans="2:11" x14ac:dyDescent="0.15">
      <c r="B1029" s="5" t="s">
        <v>441</v>
      </c>
      <c r="C1029" s="14">
        <v>10</v>
      </c>
      <c r="D1029" s="31"/>
      <c r="E1029" s="15">
        <f t="shared" si="123"/>
        <v>10</v>
      </c>
      <c r="F1029" s="61">
        <v>44593</v>
      </c>
      <c r="G1029" s="13"/>
      <c r="H1029" s="14"/>
      <c r="I1029" s="31"/>
      <c r="J1029" s="15">
        <f t="shared" si="124"/>
        <v>0</v>
      </c>
    </row>
    <row r="1030" spans="2:11" x14ac:dyDescent="0.15">
      <c r="B1030" s="5" t="s">
        <v>381</v>
      </c>
      <c r="C1030" s="14"/>
      <c r="D1030" s="31">
        <v>1</v>
      </c>
      <c r="E1030" s="15">
        <f t="shared" si="123"/>
        <v>1</v>
      </c>
      <c r="F1030" s="61">
        <v>44593</v>
      </c>
      <c r="G1030" s="25"/>
      <c r="H1030" s="14"/>
      <c r="I1030" s="31"/>
      <c r="J1030" s="15">
        <f t="shared" si="124"/>
        <v>0</v>
      </c>
    </row>
    <row r="1031" spans="2:11" x14ac:dyDescent="0.15">
      <c r="B1031" s="5" t="s">
        <v>442</v>
      </c>
      <c r="C1031" s="14"/>
      <c r="D1031" s="31">
        <v>5</v>
      </c>
      <c r="E1031" s="15">
        <f t="shared" si="123"/>
        <v>5</v>
      </c>
      <c r="F1031" s="61">
        <v>44594</v>
      </c>
      <c r="G1031" s="25"/>
      <c r="H1031" s="14"/>
      <c r="I1031" s="31"/>
      <c r="J1031" s="15">
        <f t="shared" si="124"/>
        <v>0</v>
      </c>
    </row>
    <row r="1032" spans="2:11" x14ac:dyDescent="0.15">
      <c r="B1032" s="5" t="s">
        <v>381</v>
      </c>
      <c r="C1032" s="14">
        <v>1</v>
      </c>
      <c r="D1032" s="31">
        <v>1</v>
      </c>
      <c r="E1032" s="15">
        <f t="shared" si="123"/>
        <v>2</v>
      </c>
      <c r="F1032" s="61">
        <v>44595</v>
      </c>
      <c r="G1032" s="13"/>
      <c r="H1032" s="14"/>
      <c r="I1032" s="31"/>
      <c r="J1032" s="15">
        <f t="shared" si="124"/>
        <v>0</v>
      </c>
    </row>
    <row r="1033" spans="2:11" x14ac:dyDescent="0.15">
      <c r="B1033" s="5" t="s">
        <v>381</v>
      </c>
      <c r="C1033" s="14">
        <v>1</v>
      </c>
      <c r="D1033" s="31"/>
      <c r="E1033" s="15">
        <f t="shared" si="123"/>
        <v>1</v>
      </c>
      <c r="F1033" s="61">
        <v>44596</v>
      </c>
      <c r="G1033" s="13"/>
      <c r="H1033" s="14"/>
      <c r="I1033" s="31"/>
      <c r="J1033" s="15">
        <f t="shared" si="124"/>
        <v>0</v>
      </c>
      <c r="K1033" s="61"/>
    </row>
    <row r="1034" spans="2:11" x14ac:dyDescent="0.15">
      <c r="B1034" s="5" t="s">
        <v>381</v>
      </c>
      <c r="C1034" s="14">
        <v>1</v>
      </c>
      <c r="D1034" s="31">
        <v>1</v>
      </c>
      <c r="E1034" s="15">
        <f>C1034+D1034</f>
        <v>2</v>
      </c>
      <c r="F1034" s="61">
        <v>44599</v>
      </c>
      <c r="G1034" s="25"/>
      <c r="H1034" s="14"/>
      <c r="I1034" s="31"/>
      <c r="J1034" s="15">
        <f>H1034+I1034</f>
        <v>0</v>
      </c>
      <c r="K1034" s="77"/>
    </row>
    <row r="1035" spans="2:11" x14ac:dyDescent="0.15">
      <c r="B1035" s="5" t="s">
        <v>381</v>
      </c>
      <c r="C1035" s="14">
        <v>1</v>
      </c>
      <c r="D1035" s="31"/>
      <c r="E1035" s="15">
        <f>C1035+D1035</f>
        <v>1</v>
      </c>
      <c r="F1035" s="61">
        <v>44600</v>
      </c>
      <c r="G1035" s="13"/>
      <c r="H1035" s="14"/>
      <c r="I1035" s="31"/>
      <c r="J1035" s="15">
        <f>H1035+I1035</f>
        <v>0</v>
      </c>
    </row>
    <row r="1036" spans="2:11" ht="14.25" thickBot="1" x14ac:dyDescent="0.2">
      <c r="B1036" s="74" t="s">
        <v>427</v>
      </c>
      <c r="C1036" s="14"/>
      <c r="D1036" s="31"/>
      <c r="E1036" s="15">
        <f>C1036+D1036</f>
        <v>0</v>
      </c>
      <c r="F1036" s="77"/>
      <c r="G1036" s="13"/>
      <c r="H1036" s="14"/>
      <c r="I1036" s="31"/>
      <c r="J1036" s="15">
        <f>H1036+I1036</f>
        <v>0</v>
      </c>
    </row>
    <row r="1037" spans="2:11" ht="14.25" thickBot="1" x14ac:dyDescent="0.2">
      <c r="B1037" s="8" t="s">
        <v>2</v>
      </c>
      <c r="C1037" s="10">
        <f>SUM(C1012:C1036)</f>
        <v>173</v>
      </c>
      <c r="D1037" s="32">
        <f>SUM(D1012:D1036)</f>
        <v>70</v>
      </c>
      <c r="E1037" s="11">
        <f>C1037+D1037</f>
        <v>243</v>
      </c>
      <c r="G1037" s="8" t="s">
        <v>2</v>
      </c>
      <c r="H1037" s="10">
        <f>SUM(H1012:H1036)</f>
        <v>350</v>
      </c>
      <c r="I1037" s="32">
        <f>SUM(I1012:I1036)</f>
        <v>100</v>
      </c>
      <c r="J1037" s="11">
        <f t="shared" ref="J1037" si="125">H1037+I1037</f>
        <v>450</v>
      </c>
    </row>
    <row r="1038" spans="2:11" ht="14.25" thickBot="1" x14ac:dyDescent="0.2">
      <c r="B1038" s="52" t="s">
        <v>3</v>
      </c>
      <c r="C1038" s="53">
        <f>+C1011-C1037</f>
        <v>191</v>
      </c>
      <c r="D1038" s="54">
        <f>+D1011-D1037</f>
        <v>122</v>
      </c>
      <c r="E1038" s="55">
        <f>C1038+D1038</f>
        <v>313</v>
      </c>
      <c r="G1038" s="52" t="s">
        <v>3</v>
      </c>
      <c r="H1038" s="87">
        <f>+H1011-H1037</f>
        <v>3133</v>
      </c>
      <c r="I1038" s="97">
        <f>+I1011-I1037</f>
        <v>2284</v>
      </c>
      <c r="J1038" s="95">
        <f>+J1011-J1037</f>
        <v>5417</v>
      </c>
    </row>
    <row r="1040" spans="2:11" ht="21" x14ac:dyDescent="0.2">
      <c r="B1040" s="76" t="s">
        <v>150</v>
      </c>
      <c r="G1040" s="75" t="s">
        <v>149</v>
      </c>
    </row>
    <row r="1041" spans="2:11" ht="18.75" x14ac:dyDescent="0.2">
      <c r="B1041" s="3" t="s">
        <v>11</v>
      </c>
      <c r="E1041" s="71"/>
      <c r="G1041" s="3" t="s">
        <v>11</v>
      </c>
    </row>
    <row r="1042" spans="2:11" ht="14.25" thickBot="1" x14ac:dyDescent="0.2">
      <c r="G1042" s="1"/>
    </row>
    <row r="1043" spans="2:11" ht="14.25" thickBot="1" x14ac:dyDescent="0.2">
      <c r="B1043" s="7"/>
      <c r="C1043" s="67"/>
      <c r="D1043" s="68"/>
      <c r="E1043" s="69"/>
      <c r="G1043" s="7"/>
      <c r="H1043" s="67"/>
      <c r="I1043" s="68"/>
      <c r="J1043" s="69"/>
    </row>
    <row r="1044" spans="2:11" ht="14.25" thickBot="1" x14ac:dyDescent="0.2">
      <c r="B1044" s="8"/>
      <c r="C1044" s="40" t="s">
        <v>7</v>
      </c>
      <c r="D1044" s="29" t="s">
        <v>9</v>
      </c>
      <c r="E1044" s="9" t="s">
        <v>0</v>
      </c>
      <c r="G1044" s="8"/>
      <c r="H1044" s="40" t="s">
        <v>7</v>
      </c>
      <c r="I1044" s="29" t="s">
        <v>9</v>
      </c>
      <c r="J1044" s="9" t="s">
        <v>0</v>
      </c>
    </row>
    <row r="1045" spans="2:11" x14ac:dyDescent="0.15">
      <c r="B1045" s="16" t="s">
        <v>4</v>
      </c>
      <c r="C1045" s="17">
        <f>C1038</f>
        <v>191</v>
      </c>
      <c r="D1045" s="35">
        <f>D1038</f>
        <v>122</v>
      </c>
      <c r="E1045" s="18">
        <f t="shared" ref="E1045:E1051" si="126">C1045+D1045</f>
        <v>313</v>
      </c>
      <c r="G1045" s="16" t="s">
        <v>4</v>
      </c>
      <c r="H1045" s="89">
        <f>H1038</f>
        <v>3133</v>
      </c>
      <c r="I1045" s="90">
        <f>I1038</f>
        <v>2284</v>
      </c>
      <c r="J1045" s="96">
        <f>J1038</f>
        <v>5417</v>
      </c>
    </row>
    <row r="1046" spans="2:11" x14ac:dyDescent="0.15">
      <c r="B1046" s="26" t="s">
        <v>5</v>
      </c>
      <c r="C1046" s="14"/>
      <c r="D1046" s="31"/>
      <c r="E1046" s="23">
        <f t="shared" si="126"/>
        <v>0</v>
      </c>
      <c r="F1046" s="61"/>
      <c r="G1046" s="25"/>
      <c r="H1046" s="14"/>
      <c r="I1046" s="31"/>
      <c r="J1046" s="23">
        <f t="shared" ref="J1046:J1050" si="127">H1046+I1046</f>
        <v>0</v>
      </c>
    </row>
    <row r="1047" spans="2:11" x14ac:dyDescent="0.15">
      <c r="B1047" s="26" t="s">
        <v>5</v>
      </c>
      <c r="C1047" s="27"/>
      <c r="D1047" s="36"/>
      <c r="E1047" s="28">
        <f t="shared" si="126"/>
        <v>0</v>
      </c>
      <c r="F1047" s="61"/>
      <c r="G1047" s="25"/>
      <c r="H1047" s="27"/>
      <c r="I1047" s="36"/>
      <c r="J1047" s="28">
        <f t="shared" si="127"/>
        <v>0</v>
      </c>
    </row>
    <row r="1048" spans="2:11" x14ac:dyDescent="0.15">
      <c r="B1048" s="26" t="s">
        <v>5</v>
      </c>
      <c r="C1048" s="27"/>
      <c r="D1048" s="36"/>
      <c r="E1048" s="28">
        <f t="shared" si="126"/>
        <v>0</v>
      </c>
      <c r="F1048" s="61"/>
      <c r="G1048" s="25"/>
      <c r="H1048" s="14"/>
      <c r="I1048" s="31"/>
      <c r="J1048" s="15">
        <f t="shared" si="127"/>
        <v>0</v>
      </c>
    </row>
    <row r="1049" spans="2:11" x14ac:dyDescent="0.15">
      <c r="B1049" s="26" t="s">
        <v>5</v>
      </c>
      <c r="C1049" s="27"/>
      <c r="D1049" s="36"/>
      <c r="E1049" s="28">
        <f t="shared" si="126"/>
        <v>0</v>
      </c>
      <c r="F1049" s="61"/>
      <c r="G1049" s="25"/>
      <c r="H1049" s="14"/>
      <c r="I1049" s="31"/>
      <c r="J1049" s="15">
        <f t="shared" si="127"/>
        <v>0</v>
      </c>
    </row>
    <row r="1050" spans="2:11" ht="14.25" thickBot="1" x14ac:dyDescent="0.2">
      <c r="B1050" s="26" t="s">
        <v>5</v>
      </c>
      <c r="C1050" s="14"/>
      <c r="D1050" s="31"/>
      <c r="E1050" s="15">
        <f t="shared" si="126"/>
        <v>0</v>
      </c>
      <c r="F1050" s="61"/>
      <c r="G1050" s="25" t="s">
        <v>5</v>
      </c>
      <c r="H1050" s="92"/>
      <c r="I1050" s="93"/>
      <c r="J1050" s="94">
        <f t="shared" si="127"/>
        <v>0</v>
      </c>
    </row>
    <row r="1051" spans="2:11" ht="14.25" thickBot="1" x14ac:dyDescent="0.2">
      <c r="B1051" s="8" t="s">
        <v>1</v>
      </c>
      <c r="C1051" s="10">
        <f>SUM(C1045:C1050)</f>
        <v>191</v>
      </c>
      <c r="D1051" s="32">
        <f>SUM(D1045:D1050)</f>
        <v>122</v>
      </c>
      <c r="E1051" s="11">
        <f t="shared" si="126"/>
        <v>313</v>
      </c>
      <c r="G1051" s="8" t="s">
        <v>1</v>
      </c>
      <c r="H1051" s="10">
        <f>SUM(H1045:H1050)</f>
        <v>3133</v>
      </c>
      <c r="I1051" s="32">
        <f>SUM(I1045:I1050)</f>
        <v>2284</v>
      </c>
      <c r="J1051" s="11">
        <f>SUM(J1045:J1050)</f>
        <v>5417</v>
      </c>
    </row>
    <row r="1052" spans="2:11" x14ac:dyDescent="0.15">
      <c r="B1052" s="5" t="s">
        <v>381</v>
      </c>
      <c r="C1052" s="14">
        <v>1</v>
      </c>
      <c r="D1052" s="31"/>
      <c r="E1052" s="15">
        <f>C1052+D1052</f>
        <v>1</v>
      </c>
      <c r="F1052" s="61">
        <v>44601</v>
      </c>
      <c r="G1052" s="5" t="s">
        <v>444</v>
      </c>
      <c r="H1052" s="14">
        <v>10</v>
      </c>
      <c r="I1052" s="31"/>
      <c r="J1052" s="15">
        <f t="shared" ref="J1052" si="128">H1052+I1052</f>
        <v>10</v>
      </c>
      <c r="K1052" s="61">
        <v>44628</v>
      </c>
    </row>
    <row r="1053" spans="2:11" x14ac:dyDescent="0.15">
      <c r="B1053" s="5" t="s">
        <v>381</v>
      </c>
      <c r="C1053" s="14">
        <v>1</v>
      </c>
      <c r="D1053" s="31">
        <v>1</v>
      </c>
      <c r="E1053" s="15">
        <f t="shared" ref="E1053:E1073" si="129">C1053+D1053</f>
        <v>2</v>
      </c>
      <c r="F1053" s="61">
        <v>44602</v>
      </c>
      <c r="G1053" s="13"/>
      <c r="H1053" s="14"/>
      <c r="I1053" s="31"/>
      <c r="J1053" s="15">
        <f>H1053+I1053</f>
        <v>0</v>
      </c>
    </row>
    <row r="1054" spans="2:11" x14ac:dyDescent="0.15">
      <c r="B1054" s="5" t="s">
        <v>381</v>
      </c>
      <c r="C1054" s="14"/>
      <c r="D1054" s="31">
        <v>3</v>
      </c>
      <c r="E1054" s="15">
        <f t="shared" si="129"/>
        <v>3</v>
      </c>
      <c r="F1054" s="61">
        <v>44606</v>
      </c>
      <c r="G1054" s="13"/>
      <c r="H1054" s="14"/>
      <c r="I1054" s="31"/>
      <c r="J1054" s="23">
        <f t="shared" ref="J1054:J1073" si="130">H1054+I1054</f>
        <v>0</v>
      </c>
    </row>
    <row r="1055" spans="2:11" x14ac:dyDescent="0.15">
      <c r="B1055" s="5" t="s">
        <v>381</v>
      </c>
      <c r="C1055" s="14">
        <v>1</v>
      </c>
      <c r="D1055" s="31"/>
      <c r="E1055" s="15">
        <f t="shared" si="129"/>
        <v>1</v>
      </c>
      <c r="F1055" s="61">
        <v>44613</v>
      </c>
      <c r="G1055" s="13"/>
      <c r="H1055" s="14"/>
      <c r="I1055" s="31"/>
      <c r="J1055" s="15">
        <f t="shared" si="130"/>
        <v>0</v>
      </c>
    </row>
    <row r="1056" spans="2:11" x14ac:dyDescent="0.15">
      <c r="B1056" s="5" t="s">
        <v>443</v>
      </c>
      <c r="C1056" s="14">
        <v>10</v>
      </c>
      <c r="D1056" s="31">
        <v>10</v>
      </c>
      <c r="E1056" s="15">
        <f t="shared" si="129"/>
        <v>20</v>
      </c>
      <c r="F1056" s="61">
        <v>44615</v>
      </c>
      <c r="G1056" s="13"/>
      <c r="H1056" s="14"/>
      <c r="I1056" s="31"/>
      <c r="J1056" s="15">
        <f t="shared" si="130"/>
        <v>0</v>
      </c>
    </row>
    <row r="1057" spans="2:10" x14ac:dyDescent="0.15">
      <c r="B1057" s="5" t="s">
        <v>381</v>
      </c>
      <c r="C1057" s="14">
        <v>4</v>
      </c>
      <c r="D1057" s="31"/>
      <c r="E1057" s="15">
        <f t="shared" si="129"/>
        <v>4</v>
      </c>
      <c r="F1057" s="61">
        <v>44625</v>
      </c>
      <c r="G1057" s="13"/>
      <c r="H1057" s="14"/>
      <c r="I1057" s="31"/>
      <c r="J1057" s="15">
        <f t="shared" si="130"/>
        <v>0</v>
      </c>
    </row>
    <row r="1058" spans="2:10" x14ac:dyDescent="0.15">
      <c r="B1058" s="5" t="s">
        <v>381</v>
      </c>
      <c r="C1058" s="14">
        <v>3</v>
      </c>
      <c r="D1058" s="31"/>
      <c r="E1058" s="15">
        <f t="shared" si="129"/>
        <v>3</v>
      </c>
      <c r="F1058" s="61">
        <v>44627</v>
      </c>
      <c r="G1058" s="13"/>
      <c r="H1058" s="14"/>
      <c r="I1058" s="31"/>
      <c r="J1058" s="15">
        <f t="shared" si="130"/>
        <v>0</v>
      </c>
    </row>
    <row r="1059" spans="2:10" x14ac:dyDescent="0.15">
      <c r="B1059" s="5" t="s">
        <v>381</v>
      </c>
      <c r="C1059" s="14">
        <f>1+3</f>
        <v>4</v>
      </c>
      <c r="D1059" s="31">
        <v>2</v>
      </c>
      <c r="E1059" s="15">
        <f t="shared" si="129"/>
        <v>6</v>
      </c>
      <c r="F1059" s="61">
        <v>44630</v>
      </c>
      <c r="G1059" s="13"/>
      <c r="H1059" s="14"/>
      <c r="I1059" s="31"/>
      <c r="J1059" s="15">
        <f t="shared" si="130"/>
        <v>0</v>
      </c>
    </row>
    <row r="1060" spans="2:10" x14ac:dyDescent="0.15">
      <c r="B1060" s="5" t="s">
        <v>381</v>
      </c>
      <c r="C1060" s="14">
        <v>1</v>
      </c>
      <c r="D1060" s="31"/>
      <c r="E1060" s="15">
        <f t="shared" si="129"/>
        <v>1</v>
      </c>
      <c r="F1060" s="61">
        <v>44631</v>
      </c>
      <c r="G1060" s="13"/>
      <c r="H1060" s="14"/>
      <c r="I1060" s="31"/>
      <c r="J1060" s="15">
        <f t="shared" si="130"/>
        <v>0</v>
      </c>
    </row>
    <row r="1061" spans="2:10" x14ac:dyDescent="0.15">
      <c r="B1061" s="5" t="s">
        <v>381</v>
      </c>
      <c r="C1061" s="14">
        <v>1</v>
      </c>
      <c r="D1061" s="31"/>
      <c r="E1061" s="15">
        <f t="shared" si="129"/>
        <v>1</v>
      </c>
      <c r="F1061" s="61">
        <v>44634</v>
      </c>
      <c r="G1061" s="13"/>
      <c r="H1061" s="14"/>
      <c r="I1061" s="31"/>
      <c r="J1061" s="15">
        <f t="shared" si="130"/>
        <v>0</v>
      </c>
    </row>
    <row r="1062" spans="2:10" x14ac:dyDescent="0.15">
      <c r="B1062" s="5" t="s">
        <v>381</v>
      </c>
      <c r="C1062" s="14">
        <v>1</v>
      </c>
      <c r="D1062" s="31">
        <v>2</v>
      </c>
      <c r="E1062" s="15">
        <f t="shared" si="129"/>
        <v>3</v>
      </c>
      <c r="F1062" s="61">
        <v>44639</v>
      </c>
      <c r="G1062" s="13"/>
      <c r="H1062" s="14"/>
      <c r="I1062" s="31"/>
      <c r="J1062" s="15">
        <f t="shared" si="130"/>
        <v>0</v>
      </c>
    </row>
    <row r="1063" spans="2:10" x14ac:dyDescent="0.15">
      <c r="B1063" s="5" t="s">
        <v>381</v>
      </c>
      <c r="C1063" s="14">
        <v>5</v>
      </c>
      <c r="D1063" s="31">
        <v>3</v>
      </c>
      <c r="E1063" s="15">
        <f t="shared" si="129"/>
        <v>8</v>
      </c>
      <c r="F1063" s="61">
        <v>44642</v>
      </c>
      <c r="G1063" s="13"/>
      <c r="H1063" s="14"/>
      <c r="I1063" s="31"/>
      <c r="J1063" s="15">
        <f t="shared" si="130"/>
        <v>0</v>
      </c>
    </row>
    <row r="1064" spans="2:10" x14ac:dyDescent="0.15">
      <c r="B1064" s="5" t="s">
        <v>444</v>
      </c>
      <c r="C1064" s="14">
        <v>30</v>
      </c>
      <c r="D1064" s="31">
        <v>10</v>
      </c>
      <c r="E1064" s="15">
        <f t="shared" si="129"/>
        <v>40</v>
      </c>
      <c r="F1064" s="61">
        <v>44649</v>
      </c>
      <c r="G1064" s="13"/>
      <c r="H1064" s="14"/>
      <c r="I1064" s="31"/>
      <c r="J1064" s="15">
        <f t="shared" si="130"/>
        <v>0</v>
      </c>
    </row>
    <row r="1065" spans="2:10" x14ac:dyDescent="0.15">
      <c r="B1065" s="5" t="s">
        <v>381</v>
      </c>
      <c r="C1065" s="14"/>
      <c r="D1065" s="31">
        <v>1</v>
      </c>
      <c r="E1065" s="15">
        <f t="shared" si="129"/>
        <v>1</v>
      </c>
      <c r="F1065" s="61">
        <v>44648</v>
      </c>
      <c r="G1065" s="25"/>
      <c r="H1065" s="14"/>
      <c r="I1065" s="31"/>
      <c r="J1065" s="15">
        <f t="shared" si="130"/>
        <v>0</v>
      </c>
    </row>
    <row r="1066" spans="2:10" x14ac:dyDescent="0.15">
      <c r="B1066" s="5" t="s">
        <v>447</v>
      </c>
      <c r="C1066" s="14">
        <v>5</v>
      </c>
      <c r="D1066" s="31"/>
      <c r="E1066" s="15">
        <f t="shared" si="129"/>
        <v>5</v>
      </c>
      <c r="F1066" s="61">
        <v>44653</v>
      </c>
      <c r="G1066" s="25"/>
      <c r="H1066" s="14"/>
      <c r="I1066" s="31"/>
      <c r="J1066" s="15">
        <f t="shared" si="130"/>
        <v>0</v>
      </c>
    </row>
    <row r="1067" spans="2:10" x14ac:dyDescent="0.15">
      <c r="B1067" s="5" t="s">
        <v>381</v>
      </c>
      <c r="C1067" s="14">
        <v>2</v>
      </c>
      <c r="D1067" s="31"/>
      <c r="E1067" s="15">
        <f t="shared" si="129"/>
        <v>2</v>
      </c>
      <c r="F1067" s="61">
        <v>44656</v>
      </c>
      <c r="G1067" s="25"/>
      <c r="H1067" s="14"/>
      <c r="I1067" s="31"/>
      <c r="J1067" s="15">
        <f t="shared" si="130"/>
        <v>0</v>
      </c>
    </row>
    <row r="1068" spans="2:10" x14ac:dyDescent="0.15">
      <c r="B1068" s="5" t="s">
        <v>381</v>
      </c>
      <c r="C1068" s="14">
        <v>1</v>
      </c>
      <c r="D1068" s="31"/>
      <c r="E1068" s="15">
        <f t="shared" si="129"/>
        <v>1</v>
      </c>
      <c r="F1068" s="61">
        <v>44664</v>
      </c>
      <c r="G1068" s="25"/>
      <c r="H1068" s="14"/>
      <c r="I1068" s="31"/>
      <c r="J1068" s="15">
        <f t="shared" si="130"/>
        <v>0</v>
      </c>
    </row>
    <row r="1069" spans="2:10" x14ac:dyDescent="0.15">
      <c r="B1069" s="5" t="s">
        <v>381</v>
      </c>
      <c r="C1069" s="14">
        <v>1</v>
      </c>
      <c r="D1069" s="31"/>
      <c r="E1069" s="15">
        <f t="shared" si="129"/>
        <v>1</v>
      </c>
      <c r="F1069" s="61">
        <v>44671</v>
      </c>
      <c r="G1069" s="13"/>
      <c r="H1069" s="14"/>
      <c r="I1069" s="31"/>
      <c r="J1069" s="15">
        <f t="shared" si="130"/>
        <v>0</v>
      </c>
    </row>
    <row r="1070" spans="2:10" x14ac:dyDescent="0.15">
      <c r="B1070" s="5" t="s">
        <v>381</v>
      </c>
      <c r="C1070" s="14">
        <v>1</v>
      </c>
      <c r="D1070" s="31"/>
      <c r="E1070" s="15">
        <f t="shared" si="129"/>
        <v>1</v>
      </c>
      <c r="F1070" s="61">
        <v>44679</v>
      </c>
      <c r="G1070" s="25"/>
      <c r="H1070" s="14"/>
      <c r="I1070" s="31"/>
      <c r="J1070" s="15">
        <f t="shared" si="130"/>
        <v>0</v>
      </c>
    </row>
    <row r="1071" spans="2:10" x14ac:dyDescent="0.15">
      <c r="B1071" s="5" t="s">
        <v>381</v>
      </c>
      <c r="C1071" s="14">
        <v>1</v>
      </c>
      <c r="D1071" s="31"/>
      <c r="E1071" s="15">
        <f t="shared" si="129"/>
        <v>1</v>
      </c>
      <c r="F1071" s="61">
        <v>44681</v>
      </c>
      <c r="G1071" s="25"/>
      <c r="H1071" s="14"/>
      <c r="I1071" s="31"/>
      <c r="J1071" s="15">
        <f t="shared" si="130"/>
        <v>0</v>
      </c>
    </row>
    <row r="1072" spans="2:10" x14ac:dyDescent="0.15">
      <c r="B1072" s="5" t="s">
        <v>448</v>
      </c>
      <c r="C1072" s="14">
        <v>10</v>
      </c>
      <c r="D1072" s="31"/>
      <c r="E1072" s="15">
        <f t="shared" si="129"/>
        <v>10</v>
      </c>
      <c r="F1072" s="61">
        <v>44682</v>
      </c>
      <c r="G1072" s="13"/>
      <c r="H1072" s="14"/>
      <c r="I1072" s="31"/>
      <c r="J1072" s="15">
        <f t="shared" si="130"/>
        <v>0</v>
      </c>
    </row>
    <row r="1073" spans="2:10" x14ac:dyDescent="0.15">
      <c r="B1073" s="5" t="s">
        <v>449</v>
      </c>
      <c r="C1073" s="14">
        <v>10</v>
      </c>
      <c r="D1073" s="31">
        <v>5</v>
      </c>
      <c r="E1073" s="15">
        <f t="shared" si="129"/>
        <v>15</v>
      </c>
      <c r="F1073" s="61">
        <v>44684</v>
      </c>
      <c r="G1073" s="13"/>
      <c r="H1073" s="14"/>
      <c r="I1073" s="31"/>
      <c r="J1073" s="15">
        <f t="shared" si="130"/>
        <v>0</v>
      </c>
    </row>
    <row r="1074" spans="2:10" x14ac:dyDescent="0.15">
      <c r="B1074" s="5" t="s">
        <v>381</v>
      </c>
      <c r="C1074" s="14">
        <v>1</v>
      </c>
      <c r="D1074" s="31">
        <v>1</v>
      </c>
      <c r="E1074" s="15">
        <f>C1074+D1074</f>
        <v>2</v>
      </c>
      <c r="F1074" s="61">
        <v>44683</v>
      </c>
      <c r="G1074" s="25"/>
      <c r="H1074" s="14"/>
      <c r="I1074" s="31"/>
      <c r="J1074" s="15">
        <f>H1074+I1074</f>
        <v>0</v>
      </c>
    </row>
    <row r="1075" spans="2:10" x14ac:dyDescent="0.15">
      <c r="B1075" s="5" t="s">
        <v>381</v>
      </c>
      <c r="C1075" s="14"/>
      <c r="D1075" s="31">
        <v>1</v>
      </c>
      <c r="E1075" s="15">
        <f>C1075+D1075</f>
        <v>1</v>
      </c>
      <c r="F1075" s="61">
        <v>44687</v>
      </c>
      <c r="G1075" s="13"/>
      <c r="H1075" s="14"/>
      <c r="I1075" s="31"/>
      <c r="J1075" s="15">
        <f>H1075+I1075</f>
        <v>0</v>
      </c>
    </row>
    <row r="1076" spans="2:10" ht="14.25" thickBot="1" x14ac:dyDescent="0.2">
      <c r="B1076" s="5" t="s">
        <v>381</v>
      </c>
      <c r="C1076" s="14">
        <v>1</v>
      </c>
      <c r="D1076" s="31">
        <v>1</v>
      </c>
      <c r="E1076" s="15">
        <f>C1076+D1076</f>
        <v>2</v>
      </c>
      <c r="F1076" s="61">
        <v>44690</v>
      </c>
      <c r="G1076" s="13"/>
      <c r="H1076" s="14"/>
      <c r="I1076" s="31"/>
      <c r="J1076" s="15">
        <f>H1076+I1076</f>
        <v>0</v>
      </c>
    </row>
    <row r="1077" spans="2:10" ht="14.25" thickBot="1" x14ac:dyDescent="0.2">
      <c r="B1077" s="8" t="s">
        <v>2</v>
      </c>
      <c r="C1077" s="10">
        <f>SUM(C1052:C1076)</f>
        <v>95</v>
      </c>
      <c r="D1077" s="32">
        <f>SUM(D1052:D1076)</f>
        <v>40</v>
      </c>
      <c r="E1077" s="11">
        <f>C1077+D1077</f>
        <v>135</v>
      </c>
      <c r="G1077" s="8" t="s">
        <v>2</v>
      </c>
      <c r="H1077" s="10">
        <f>SUM(H1052:H1076)</f>
        <v>10</v>
      </c>
      <c r="I1077" s="32">
        <f>SUM(I1052:I1076)</f>
        <v>0</v>
      </c>
      <c r="J1077" s="11">
        <f t="shared" ref="J1077" si="131">H1077+I1077</f>
        <v>10</v>
      </c>
    </row>
    <row r="1078" spans="2:10" ht="14.25" thickBot="1" x14ac:dyDescent="0.2">
      <c r="B1078" s="52" t="s">
        <v>3</v>
      </c>
      <c r="C1078" s="53">
        <f>+C1051-C1077</f>
        <v>96</v>
      </c>
      <c r="D1078" s="54">
        <f>+D1051-D1077</f>
        <v>82</v>
      </c>
      <c r="E1078" s="55">
        <f>C1078+D1078</f>
        <v>178</v>
      </c>
      <c r="G1078" s="52" t="s">
        <v>3</v>
      </c>
      <c r="H1078" s="87">
        <f>+H1051-H1077</f>
        <v>3123</v>
      </c>
      <c r="I1078" s="97">
        <f>+I1051-I1077</f>
        <v>2284</v>
      </c>
      <c r="J1078" s="95">
        <f>+J1051-J1077</f>
        <v>5407</v>
      </c>
    </row>
    <row r="1080" spans="2:10" ht="21" x14ac:dyDescent="0.2">
      <c r="B1080" s="76" t="s">
        <v>150</v>
      </c>
      <c r="G1080" s="75" t="s">
        <v>149</v>
      </c>
    </row>
    <row r="1081" spans="2:10" ht="18.75" x14ac:dyDescent="0.2">
      <c r="B1081" s="3" t="s">
        <v>11</v>
      </c>
      <c r="E1081" s="71"/>
      <c r="G1081" s="3" t="s">
        <v>11</v>
      </c>
    </row>
    <row r="1082" spans="2:10" ht="14.25" thickBot="1" x14ac:dyDescent="0.2">
      <c r="G1082" s="1"/>
    </row>
    <row r="1083" spans="2:10" ht="14.25" thickBot="1" x14ac:dyDescent="0.2">
      <c r="B1083" s="7"/>
      <c r="C1083" s="67"/>
      <c r="D1083" s="68"/>
      <c r="E1083" s="69"/>
      <c r="G1083" s="7"/>
      <c r="H1083" s="67"/>
      <c r="I1083" s="68"/>
      <c r="J1083" s="69"/>
    </row>
    <row r="1084" spans="2:10" ht="14.25" thickBot="1" x14ac:dyDescent="0.2">
      <c r="B1084" s="8"/>
      <c r="C1084" s="40" t="s">
        <v>7</v>
      </c>
      <c r="D1084" s="29" t="s">
        <v>9</v>
      </c>
      <c r="E1084" s="9" t="s">
        <v>0</v>
      </c>
      <c r="G1084" s="8"/>
      <c r="H1084" s="40" t="s">
        <v>7</v>
      </c>
      <c r="I1084" s="29" t="s">
        <v>9</v>
      </c>
      <c r="J1084" s="9" t="s">
        <v>0</v>
      </c>
    </row>
    <row r="1085" spans="2:10" x14ac:dyDescent="0.15">
      <c r="B1085" s="16" t="s">
        <v>4</v>
      </c>
      <c r="C1085" s="17">
        <f>C1078</f>
        <v>96</v>
      </c>
      <c r="D1085" s="35">
        <f>D1078</f>
        <v>82</v>
      </c>
      <c r="E1085" s="18">
        <f t="shared" ref="E1085:E1091" si="132">C1085+D1085</f>
        <v>178</v>
      </c>
      <c r="G1085" s="16" t="s">
        <v>4</v>
      </c>
      <c r="H1085" s="89">
        <f>H1078</f>
        <v>3123</v>
      </c>
      <c r="I1085" s="90">
        <f>I1078</f>
        <v>2284</v>
      </c>
      <c r="J1085" s="96">
        <f>J1078</f>
        <v>5407</v>
      </c>
    </row>
    <row r="1086" spans="2:10" x14ac:dyDescent="0.15">
      <c r="B1086" s="26" t="s">
        <v>181</v>
      </c>
      <c r="C1086" s="14">
        <v>2</v>
      </c>
      <c r="D1086" s="31"/>
      <c r="E1086" s="23">
        <f t="shared" si="132"/>
        <v>2</v>
      </c>
      <c r="F1086" s="61">
        <v>44699</v>
      </c>
      <c r="G1086" s="25"/>
      <c r="H1086" s="14"/>
      <c r="I1086" s="31"/>
      <c r="J1086" s="23">
        <f t="shared" ref="J1086:J1090" si="133">H1086+I1086</f>
        <v>0</v>
      </c>
    </row>
    <row r="1087" spans="2:10" x14ac:dyDescent="0.15">
      <c r="B1087" s="26" t="s">
        <v>5</v>
      </c>
      <c r="C1087" s="27">
        <v>20</v>
      </c>
      <c r="D1087" s="36"/>
      <c r="E1087" s="28">
        <f t="shared" si="132"/>
        <v>20</v>
      </c>
      <c r="F1087" s="61">
        <v>44734</v>
      </c>
      <c r="G1087" s="25"/>
      <c r="H1087" s="27"/>
      <c r="I1087" s="36"/>
      <c r="J1087" s="28">
        <f t="shared" si="133"/>
        <v>0</v>
      </c>
    </row>
    <row r="1088" spans="2:10" x14ac:dyDescent="0.15">
      <c r="B1088" s="26" t="s">
        <v>5</v>
      </c>
      <c r="C1088" s="27">
        <v>51</v>
      </c>
      <c r="D1088" s="36">
        <v>50</v>
      </c>
      <c r="E1088" s="28">
        <f t="shared" si="132"/>
        <v>101</v>
      </c>
      <c r="F1088" s="61">
        <v>44744</v>
      </c>
      <c r="G1088" s="25"/>
      <c r="H1088" s="14"/>
      <c r="I1088" s="31"/>
      <c r="J1088" s="15">
        <f t="shared" si="133"/>
        <v>0</v>
      </c>
    </row>
    <row r="1089" spans="2:11" x14ac:dyDescent="0.15">
      <c r="B1089" s="26" t="s">
        <v>5</v>
      </c>
      <c r="C1089" s="27"/>
      <c r="D1089" s="36"/>
      <c r="E1089" s="28">
        <f t="shared" si="132"/>
        <v>0</v>
      </c>
      <c r="F1089" s="61"/>
      <c r="G1089" s="25"/>
      <c r="H1089" s="14"/>
      <c r="I1089" s="31"/>
      <c r="J1089" s="15">
        <f t="shared" si="133"/>
        <v>0</v>
      </c>
    </row>
    <row r="1090" spans="2:11" ht="14.25" thickBot="1" x14ac:dyDescent="0.2">
      <c r="B1090" s="26" t="s">
        <v>5</v>
      </c>
      <c r="C1090" s="14"/>
      <c r="D1090" s="31"/>
      <c r="E1090" s="15">
        <f t="shared" si="132"/>
        <v>0</v>
      </c>
      <c r="F1090" s="61"/>
      <c r="G1090" s="25" t="s">
        <v>5</v>
      </c>
      <c r="H1090" s="92"/>
      <c r="I1090" s="93"/>
      <c r="J1090" s="94">
        <f t="shared" si="133"/>
        <v>0</v>
      </c>
    </row>
    <row r="1091" spans="2:11" ht="14.25" thickBot="1" x14ac:dyDescent="0.2">
      <c r="B1091" s="8" t="s">
        <v>1</v>
      </c>
      <c r="C1091" s="10">
        <f>SUM(C1085:C1090)</f>
        <v>169</v>
      </c>
      <c r="D1091" s="32">
        <f>SUM(D1085:D1090)</f>
        <v>132</v>
      </c>
      <c r="E1091" s="11">
        <f t="shared" si="132"/>
        <v>301</v>
      </c>
      <c r="G1091" s="8" t="s">
        <v>1</v>
      </c>
      <c r="H1091" s="10">
        <f>SUM(H1085:H1090)</f>
        <v>3123</v>
      </c>
      <c r="I1091" s="32">
        <f>SUM(I1085:I1090)</f>
        <v>2284</v>
      </c>
      <c r="J1091" s="11">
        <f>SUM(J1085:J1090)</f>
        <v>5407</v>
      </c>
    </row>
    <row r="1092" spans="2:11" x14ac:dyDescent="0.15">
      <c r="B1092" s="13" t="s">
        <v>450</v>
      </c>
      <c r="C1092" s="14">
        <v>20</v>
      </c>
      <c r="D1092" s="31">
        <v>20</v>
      </c>
      <c r="E1092" s="15">
        <f>C1092+D1092</f>
        <v>40</v>
      </c>
      <c r="F1092" s="61">
        <v>44692</v>
      </c>
      <c r="G1092" s="13" t="s">
        <v>451</v>
      </c>
      <c r="H1092" s="14">
        <v>60</v>
      </c>
      <c r="I1092" s="31">
        <v>30</v>
      </c>
      <c r="J1092" s="15">
        <f t="shared" ref="J1092" si="134">H1092+I1092</f>
        <v>90</v>
      </c>
      <c r="K1092" s="61">
        <v>44694</v>
      </c>
    </row>
    <row r="1093" spans="2:11" x14ac:dyDescent="0.15">
      <c r="B1093" s="5" t="s">
        <v>429</v>
      </c>
      <c r="C1093" s="14">
        <v>10</v>
      </c>
      <c r="D1093" s="31"/>
      <c r="E1093" s="15">
        <f t="shared" ref="E1093:E1113" si="135">C1093+D1093</f>
        <v>10</v>
      </c>
      <c r="F1093" s="61">
        <v>44692</v>
      </c>
      <c r="G1093" s="13" t="s">
        <v>453</v>
      </c>
      <c r="H1093" s="14">
        <v>8</v>
      </c>
      <c r="I1093" s="31"/>
      <c r="J1093" s="15">
        <f>H1093+I1093</f>
        <v>8</v>
      </c>
      <c r="K1093" s="61">
        <v>44704</v>
      </c>
    </row>
    <row r="1094" spans="2:11" x14ac:dyDescent="0.15">
      <c r="B1094" s="5" t="s">
        <v>381</v>
      </c>
      <c r="C1094" s="14">
        <f>3+1+1</f>
        <v>5</v>
      </c>
      <c r="D1094" s="31">
        <v>1</v>
      </c>
      <c r="E1094" s="15">
        <f t="shared" si="135"/>
        <v>6</v>
      </c>
      <c r="F1094" s="61">
        <v>44697</v>
      </c>
      <c r="G1094" s="5" t="s">
        <v>456</v>
      </c>
      <c r="H1094" s="14">
        <v>5</v>
      </c>
      <c r="I1094" s="31"/>
      <c r="J1094" s="23">
        <f t="shared" ref="J1094:J1113" si="136">H1094+I1094</f>
        <v>5</v>
      </c>
      <c r="K1094" s="61">
        <v>44716</v>
      </c>
    </row>
    <row r="1095" spans="2:11" x14ac:dyDescent="0.15">
      <c r="B1095" s="5" t="s">
        <v>452</v>
      </c>
      <c r="C1095" s="14">
        <v>5</v>
      </c>
      <c r="D1095" s="31">
        <v>5</v>
      </c>
      <c r="E1095" s="15">
        <f t="shared" si="135"/>
        <v>10</v>
      </c>
      <c r="F1095" s="61">
        <v>44700</v>
      </c>
      <c r="G1095" s="102" t="s">
        <v>459</v>
      </c>
      <c r="H1095" s="14">
        <v>20</v>
      </c>
      <c r="I1095" s="31"/>
      <c r="J1095" s="15">
        <f t="shared" si="136"/>
        <v>20</v>
      </c>
      <c r="K1095" s="61">
        <v>44734</v>
      </c>
    </row>
    <row r="1096" spans="2:11" x14ac:dyDescent="0.15">
      <c r="B1096" s="5" t="s">
        <v>381</v>
      </c>
      <c r="C1096" s="14">
        <v>1</v>
      </c>
      <c r="D1096" s="31"/>
      <c r="E1096" s="15">
        <f t="shared" si="135"/>
        <v>1</v>
      </c>
      <c r="F1096" s="61">
        <v>44701</v>
      </c>
      <c r="G1096" s="102" t="s">
        <v>120</v>
      </c>
      <c r="H1096" s="14">
        <v>51</v>
      </c>
      <c r="I1096" s="31">
        <v>50</v>
      </c>
      <c r="J1096" s="15">
        <f t="shared" si="136"/>
        <v>101</v>
      </c>
      <c r="K1096" s="61">
        <v>44744</v>
      </c>
    </row>
    <row r="1097" spans="2:11" x14ac:dyDescent="0.15">
      <c r="B1097" s="5" t="s">
        <v>454</v>
      </c>
      <c r="C1097" s="14">
        <v>20</v>
      </c>
      <c r="D1097" s="31">
        <v>5</v>
      </c>
      <c r="E1097" s="15">
        <f t="shared" si="135"/>
        <v>25</v>
      </c>
      <c r="F1097" s="61">
        <v>44702</v>
      </c>
      <c r="G1097" s="5" t="s">
        <v>461</v>
      </c>
      <c r="H1097" s="14">
        <v>3</v>
      </c>
      <c r="I1097" s="31">
        <v>3</v>
      </c>
      <c r="J1097" s="15">
        <f t="shared" si="136"/>
        <v>6</v>
      </c>
      <c r="K1097" s="61">
        <v>44764</v>
      </c>
    </row>
    <row r="1098" spans="2:11" x14ac:dyDescent="0.15">
      <c r="B1098" s="5" t="s">
        <v>381</v>
      </c>
      <c r="C1098" s="14">
        <v>1</v>
      </c>
      <c r="D1098" s="31"/>
      <c r="E1098" s="15">
        <f t="shared" si="135"/>
        <v>1</v>
      </c>
      <c r="F1098" s="61">
        <v>44706</v>
      </c>
      <c r="G1098" s="13"/>
      <c r="H1098" s="14"/>
      <c r="I1098" s="31"/>
      <c r="J1098" s="15">
        <f t="shared" si="136"/>
        <v>0</v>
      </c>
    </row>
    <row r="1099" spans="2:11" x14ac:dyDescent="0.15">
      <c r="B1099" s="13" t="s">
        <v>455</v>
      </c>
      <c r="C1099" s="14">
        <v>4</v>
      </c>
      <c r="D1099" s="31"/>
      <c r="E1099" s="15">
        <f t="shared" si="135"/>
        <v>4</v>
      </c>
      <c r="F1099" s="61">
        <v>44708</v>
      </c>
      <c r="G1099" s="13"/>
      <c r="H1099" s="14"/>
      <c r="I1099" s="31"/>
      <c r="J1099" s="15">
        <f t="shared" si="136"/>
        <v>0</v>
      </c>
    </row>
    <row r="1100" spans="2:11" x14ac:dyDescent="0.15">
      <c r="B1100" s="5" t="s">
        <v>381</v>
      </c>
      <c r="C1100" s="14">
        <v>1</v>
      </c>
      <c r="D1100" s="31"/>
      <c r="E1100" s="15">
        <f t="shared" si="135"/>
        <v>1</v>
      </c>
      <c r="F1100" s="61">
        <v>44707</v>
      </c>
      <c r="G1100" s="13"/>
      <c r="H1100" s="14"/>
      <c r="I1100" s="31"/>
      <c r="J1100" s="15">
        <f t="shared" si="136"/>
        <v>0</v>
      </c>
    </row>
    <row r="1101" spans="2:11" x14ac:dyDescent="0.15">
      <c r="B1101" s="5" t="s">
        <v>381</v>
      </c>
      <c r="C1101" s="14"/>
      <c r="D1101" s="31">
        <v>3</v>
      </c>
      <c r="E1101" s="15">
        <f t="shared" si="135"/>
        <v>3</v>
      </c>
      <c r="F1101" s="61">
        <v>44713</v>
      </c>
      <c r="G1101" s="13"/>
      <c r="H1101" s="14"/>
      <c r="I1101" s="31"/>
      <c r="J1101" s="15">
        <f t="shared" si="136"/>
        <v>0</v>
      </c>
    </row>
    <row r="1102" spans="2:11" x14ac:dyDescent="0.15">
      <c r="B1102" s="5" t="s">
        <v>381</v>
      </c>
      <c r="C1102" s="14">
        <f>1+2</f>
        <v>3</v>
      </c>
      <c r="D1102" s="31">
        <v>2</v>
      </c>
      <c r="E1102" s="15">
        <f t="shared" si="135"/>
        <v>5</v>
      </c>
      <c r="F1102" s="61">
        <v>44715</v>
      </c>
      <c r="G1102" s="13"/>
      <c r="H1102" s="14"/>
      <c r="I1102" s="31"/>
      <c r="J1102" s="15">
        <f t="shared" si="136"/>
        <v>0</v>
      </c>
    </row>
    <row r="1103" spans="2:11" x14ac:dyDescent="0.15">
      <c r="B1103" s="5" t="s">
        <v>381</v>
      </c>
      <c r="C1103" s="14">
        <f>1+1+1</f>
        <v>3</v>
      </c>
      <c r="D1103" s="31">
        <v>1</v>
      </c>
      <c r="E1103" s="15">
        <f t="shared" si="135"/>
        <v>4</v>
      </c>
      <c r="F1103" s="61">
        <v>44718</v>
      </c>
      <c r="G1103" s="13"/>
      <c r="H1103" s="14"/>
      <c r="I1103" s="31"/>
      <c r="J1103" s="15">
        <f t="shared" si="136"/>
        <v>0</v>
      </c>
    </row>
    <row r="1104" spans="2:11" x14ac:dyDescent="0.15">
      <c r="B1104" s="5" t="s">
        <v>381</v>
      </c>
      <c r="C1104" s="14"/>
      <c r="D1104" s="31">
        <v>1</v>
      </c>
      <c r="E1104" s="15">
        <f t="shared" si="135"/>
        <v>1</v>
      </c>
      <c r="F1104" s="61">
        <v>44719</v>
      </c>
      <c r="G1104" s="13"/>
      <c r="H1104" s="14"/>
      <c r="I1104" s="31"/>
      <c r="J1104" s="15">
        <f t="shared" si="136"/>
        <v>0</v>
      </c>
    </row>
    <row r="1105" spans="2:11" x14ac:dyDescent="0.15">
      <c r="B1105" s="5" t="s">
        <v>452</v>
      </c>
      <c r="C1105" s="14">
        <v>5</v>
      </c>
      <c r="D1105" s="31"/>
      <c r="E1105" s="15">
        <f t="shared" si="135"/>
        <v>5</v>
      </c>
      <c r="F1105" s="61">
        <v>44722</v>
      </c>
      <c r="G1105" s="25"/>
      <c r="H1105" s="14"/>
      <c r="I1105" s="31"/>
      <c r="J1105" s="15">
        <f t="shared" si="136"/>
        <v>0</v>
      </c>
    </row>
    <row r="1106" spans="2:11" x14ac:dyDescent="0.15">
      <c r="B1106" s="5" t="s">
        <v>457</v>
      </c>
      <c r="C1106" s="14">
        <v>5</v>
      </c>
      <c r="D1106" s="31">
        <v>5</v>
      </c>
      <c r="E1106" s="15">
        <f t="shared" si="135"/>
        <v>10</v>
      </c>
      <c r="F1106" s="61">
        <v>44723</v>
      </c>
      <c r="G1106" s="25"/>
      <c r="H1106" s="14"/>
      <c r="I1106" s="31"/>
      <c r="J1106" s="15">
        <f t="shared" si="136"/>
        <v>0</v>
      </c>
    </row>
    <row r="1107" spans="2:11" x14ac:dyDescent="0.15">
      <c r="B1107" s="5" t="s">
        <v>381</v>
      </c>
      <c r="C1107" s="14">
        <v>1</v>
      </c>
      <c r="D1107" s="31"/>
      <c r="E1107" s="15">
        <f t="shared" si="135"/>
        <v>1</v>
      </c>
      <c r="F1107" s="61">
        <v>44725</v>
      </c>
      <c r="G1107" s="25"/>
      <c r="H1107" s="14"/>
      <c r="I1107" s="31"/>
      <c r="J1107" s="15">
        <f t="shared" si="136"/>
        <v>0</v>
      </c>
    </row>
    <row r="1108" spans="2:11" x14ac:dyDescent="0.15">
      <c r="B1108" s="5" t="s">
        <v>458</v>
      </c>
      <c r="C1108" s="14">
        <v>10</v>
      </c>
      <c r="D1108" s="31">
        <v>10</v>
      </c>
      <c r="E1108" s="15">
        <f t="shared" si="135"/>
        <v>20</v>
      </c>
      <c r="F1108" s="61">
        <v>44733</v>
      </c>
      <c r="G1108" s="25"/>
      <c r="H1108" s="14"/>
      <c r="I1108" s="31"/>
      <c r="J1108" s="15">
        <f t="shared" si="136"/>
        <v>0</v>
      </c>
    </row>
    <row r="1109" spans="2:11" x14ac:dyDescent="0.15">
      <c r="B1109" s="5" t="s">
        <v>429</v>
      </c>
      <c r="C1109" s="14">
        <v>10</v>
      </c>
      <c r="D1109" s="31"/>
      <c r="E1109" s="15">
        <f t="shared" si="135"/>
        <v>10</v>
      </c>
      <c r="F1109" s="61">
        <v>44734</v>
      </c>
      <c r="G1109" s="13"/>
      <c r="H1109" s="14"/>
      <c r="I1109" s="31"/>
      <c r="J1109" s="15">
        <f t="shared" si="136"/>
        <v>0</v>
      </c>
    </row>
    <row r="1110" spans="2:11" x14ac:dyDescent="0.15">
      <c r="B1110" s="5" t="s">
        <v>381</v>
      </c>
      <c r="C1110" s="14">
        <v>3</v>
      </c>
      <c r="D1110" s="31"/>
      <c r="E1110" s="15">
        <f t="shared" si="135"/>
        <v>3</v>
      </c>
      <c r="F1110" s="61">
        <v>44746</v>
      </c>
      <c r="G1110" s="25"/>
      <c r="H1110" s="14"/>
      <c r="I1110" s="31"/>
      <c r="J1110" s="15">
        <f t="shared" si="136"/>
        <v>0</v>
      </c>
    </row>
    <row r="1111" spans="2:11" x14ac:dyDescent="0.15">
      <c r="B1111" s="5" t="s">
        <v>381</v>
      </c>
      <c r="C1111" s="14">
        <v>1</v>
      </c>
      <c r="D1111" s="31"/>
      <c r="E1111" s="15">
        <f t="shared" si="135"/>
        <v>1</v>
      </c>
      <c r="F1111" s="61">
        <v>44749</v>
      </c>
      <c r="G1111" s="25"/>
      <c r="H1111" s="14"/>
      <c r="I1111" s="31"/>
      <c r="J1111" s="15">
        <f t="shared" si="136"/>
        <v>0</v>
      </c>
    </row>
    <row r="1112" spans="2:11" x14ac:dyDescent="0.15">
      <c r="B1112" s="5" t="s">
        <v>381</v>
      </c>
      <c r="C1112" s="14">
        <v>2</v>
      </c>
      <c r="D1112" s="31"/>
      <c r="E1112" s="15">
        <f t="shared" si="135"/>
        <v>2</v>
      </c>
      <c r="F1112" s="61">
        <v>44756</v>
      </c>
      <c r="G1112" s="13"/>
      <c r="H1112" s="14"/>
      <c r="I1112" s="31"/>
      <c r="J1112" s="15">
        <f t="shared" si="136"/>
        <v>0</v>
      </c>
    </row>
    <row r="1113" spans="2:11" x14ac:dyDescent="0.15">
      <c r="B1113" s="5" t="s">
        <v>460</v>
      </c>
      <c r="C1113" s="14">
        <v>3</v>
      </c>
      <c r="D1113" s="31"/>
      <c r="E1113" s="15">
        <f t="shared" si="135"/>
        <v>3</v>
      </c>
      <c r="F1113" s="61">
        <v>44758</v>
      </c>
      <c r="G1113" s="13"/>
      <c r="H1113" s="14"/>
      <c r="I1113" s="31"/>
      <c r="J1113" s="15">
        <f t="shared" si="136"/>
        <v>0</v>
      </c>
    </row>
    <row r="1114" spans="2:11" x14ac:dyDescent="0.15">
      <c r="B1114" s="5" t="s">
        <v>381</v>
      </c>
      <c r="C1114" s="14">
        <f>1+1</f>
        <v>2</v>
      </c>
      <c r="D1114" s="31">
        <v>1</v>
      </c>
      <c r="E1114" s="15">
        <f>C1114+D1114</f>
        <v>3</v>
      </c>
      <c r="F1114" s="61">
        <v>44761</v>
      </c>
      <c r="G1114" s="25"/>
      <c r="H1114" s="14"/>
      <c r="I1114" s="31"/>
      <c r="J1114" s="15">
        <f>H1114+I1114</f>
        <v>0</v>
      </c>
    </row>
    <row r="1115" spans="2:11" x14ac:dyDescent="0.15">
      <c r="B1115" s="5" t="s">
        <v>381</v>
      </c>
      <c r="C1115" s="14">
        <v>4</v>
      </c>
      <c r="D1115" s="31">
        <v>1</v>
      </c>
      <c r="E1115" s="15">
        <f>C1115+D1115</f>
        <v>5</v>
      </c>
      <c r="F1115" s="61">
        <v>44764</v>
      </c>
      <c r="G1115" s="13"/>
      <c r="H1115" s="14"/>
      <c r="I1115" s="31"/>
      <c r="J1115" s="15">
        <f>H1115+I1115</f>
        <v>0</v>
      </c>
    </row>
    <row r="1116" spans="2:11" ht="14.25" thickBot="1" x14ac:dyDescent="0.2">
      <c r="B1116" s="5" t="s">
        <v>429</v>
      </c>
      <c r="C1116" s="14">
        <v>10</v>
      </c>
      <c r="D1116" s="31">
        <v>5</v>
      </c>
      <c r="E1116" s="15">
        <f>C1116+D1116</f>
        <v>15</v>
      </c>
      <c r="F1116" s="61">
        <v>44775</v>
      </c>
      <c r="G1116" s="13" t="s">
        <v>445</v>
      </c>
      <c r="H1116" s="14"/>
      <c r="I1116" s="31"/>
      <c r="J1116" s="15">
        <f>H1116+I1116</f>
        <v>0</v>
      </c>
      <c r="K1116" s="60" t="s">
        <v>446</v>
      </c>
    </row>
    <row r="1117" spans="2:11" ht="14.25" thickBot="1" x14ac:dyDescent="0.2">
      <c r="B1117" s="8" t="s">
        <v>2</v>
      </c>
      <c r="C1117" s="10">
        <f>SUM(C1092:C1116)</f>
        <v>129</v>
      </c>
      <c r="D1117" s="32">
        <f>SUM(D1092:D1116)</f>
        <v>60</v>
      </c>
      <c r="E1117" s="11">
        <f>C1117+D1117</f>
        <v>189</v>
      </c>
      <c r="G1117" s="8" t="s">
        <v>2</v>
      </c>
      <c r="H1117" s="10">
        <f>SUM(H1092:H1116)</f>
        <v>147</v>
      </c>
      <c r="I1117" s="32">
        <f>SUM(I1092:I1116)</f>
        <v>83</v>
      </c>
      <c r="J1117" s="11">
        <f t="shared" ref="J1117" si="137">H1117+I1117</f>
        <v>230</v>
      </c>
    </row>
    <row r="1118" spans="2:11" ht="14.25" thickBot="1" x14ac:dyDescent="0.2">
      <c r="B1118" s="52" t="s">
        <v>3</v>
      </c>
      <c r="C1118" s="53">
        <f>+C1091-C1117</f>
        <v>40</v>
      </c>
      <c r="D1118" s="54">
        <f>+D1091-D1117</f>
        <v>72</v>
      </c>
      <c r="E1118" s="55">
        <f>C1118+D1118</f>
        <v>112</v>
      </c>
      <c r="G1118" s="52" t="s">
        <v>3</v>
      </c>
      <c r="H1118" s="87">
        <f>+H1091-H1117</f>
        <v>2976</v>
      </c>
      <c r="I1118" s="97">
        <f>+I1091-I1117</f>
        <v>2201</v>
      </c>
      <c r="J1118" s="95">
        <f>+J1091-J1117</f>
        <v>5177</v>
      </c>
    </row>
    <row r="1120" spans="2:11" ht="21" x14ac:dyDescent="0.2">
      <c r="B1120" s="76" t="s">
        <v>150</v>
      </c>
      <c r="G1120" s="75" t="s">
        <v>149</v>
      </c>
    </row>
    <row r="1121" spans="2:11" ht="18.75" x14ac:dyDescent="0.2">
      <c r="B1121" s="3" t="s">
        <v>11</v>
      </c>
      <c r="E1121" s="71"/>
      <c r="G1121" s="3" t="s">
        <v>11</v>
      </c>
    </row>
    <row r="1122" spans="2:11" ht="14.25" thickBot="1" x14ac:dyDescent="0.2">
      <c r="G1122" s="1"/>
    </row>
    <row r="1123" spans="2:11" ht="14.25" thickBot="1" x14ac:dyDescent="0.2">
      <c r="B1123" s="7"/>
      <c r="C1123" s="67"/>
      <c r="D1123" s="68"/>
      <c r="E1123" s="69"/>
      <c r="G1123" s="7"/>
      <c r="H1123" s="67"/>
      <c r="I1123" s="68"/>
      <c r="J1123" s="69"/>
    </row>
    <row r="1124" spans="2:11" ht="14.25" thickBot="1" x14ac:dyDescent="0.2">
      <c r="B1124" s="8"/>
      <c r="C1124" s="40" t="s">
        <v>7</v>
      </c>
      <c r="D1124" s="29" t="s">
        <v>9</v>
      </c>
      <c r="E1124" s="9" t="s">
        <v>0</v>
      </c>
      <c r="G1124" s="8"/>
      <c r="H1124" s="40" t="s">
        <v>7</v>
      </c>
      <c r="I1124" s="29" t="s">
        <v>9</v>
      </c>
      <c r="J1124" s="9" t="s">
        <v>0</v>
      </c>
    </row>
    <row r="1125" spans="2:11" x14ac:dyDescent="0.15">
      <c r="B1125" s="16" t="s">
        <v>4</v>
      </c>
      <c r="C1125" s="17">
        <f>C1118</f>
        <v>40</v>
      </c>
      <c r="D1125" s="35">
        <f>D1118</f>
        <v>72</v>
      </c>
      <c r="E1125" s="18">
        <f t="shared" ref="E1125:E1131" si="138">C1125+D1125</f>
        <v>112</v>
      </c>
      <c r="G1125" s="16" t="s">
        <v>4</v>
      </c>
      <c r="H1125" s="89">
        <f>H1118</f>
        <v>2976</v>
      </c>
      <c r="I1125" s="90">
        <f>I1118</f>
        <v>2201</v>
      </c>
      <c r="J1125" s="96">
        <f>J1118</f>
        <v>5177</v>
      </c>
    </row>
    <row r="1126" spans="2:11" x14ac:dyDescent="0.15">
      <c r="B1126" s="26" t="s">
        <v>464</v>
      </c>
      <c r="C1126" s="14">
        <v>87</v>
      </c>
      <c r="D1126" s="31">
        <v>79</v>
      </c>
      <c r="E1126" s="23">
        <f t="shared" si="138"/>
        <v>166</v>
      </c>
      <c r="F1126" s="61">
        <v>44776</v>
      </c>
      <c r="G1126" s="25" t="s">
        <v>463</v>
      </c>
      <c r="H1126" s="14">
        <v>200</v>
      </c>
      <c r="I1126" s="31">
        <v>200</v>
      </c>
      <c r="J1126" s="23">
        <f t="shared" ref="J1126:J1130" si="139">H1126+I1126</f>
        <v>400</v>
      </c>
      <c r="K1126" s="61">
        <v>44761</v>
      </c>
    </row>
    <row r="1127" spans="2:11" x14ac:dyDescent="0.15">
      <c r="B1127" s="26" t="s">
        <v>419</v>
      </c>
      <c r="C1127" s="27">
        <v>1</v>
      </c>
      <c r="D1127" s="36"/>
      <c r="E1127" s="28">
        <f t="shared" si="138"/>
        <v>1</v>
      </c>
      <c r="F1127" s="61">
        <v>44781</v>
      </c>
      <c r="G1127" s="25" t="s">
        <v>466</v>
      </c>
      <c r="H1127" s="14">
        <v>87</v>
      </c>
      <c r="I1127" s="31">
        <v>79</v>
      </c>
      <c r="J1127" s="23">
        <f t="shared" si="139"/>
        <v>166</v>
      </c>
      <c r="K1127" s="61">
        <v>44779</v>
      </c>
    </row>
    <row r="1128" spans="2:11" x14ac:dyDescent="0.15">
      <c r="B1128" s="103" t="s">
        <v>469</v>
      </c>
      <c r="C1128" s="104">
        <v>0</v>
      </c>
      <c r="D1128" s="105">
        <v>1</v>
      </c>
      <c r="E1128" s="106">
        <f t="shared" si="138"/>
        <v>1</v>
      </c>
      <c r="F1128" s="107">
        <v>44798</v>
      </c>
      <c r="G1128" s="25"/>
      <c r="H1128" s="14"/>
      <c r="I1128" s="31"/>
      <c r="J1128" s="15">
        <f t="shared" si="139"/>
        <v>0</v>
      </c>
    </row>
    <row r="1129" spans="2:11" x14ac:dyDescent="0.15">
      <c r="B1129" s="26" t="s">
        <v>5</v>
      </c>
      <c r="C1129" s="27">
        <v>20</v>
      </c>
      <c r="D1129" s="36"/>
      <c r="E1129" s="28">
        <f t="shared" si="138"/>
        <v>20</v>
      </c>
      <c r="F1129" s="61">
        <v>44806</v>
      </c>
      <c r="G1129" s="25"/>
      <c r="H1129" s="14"/>
      <c r="I1129" s="31"/>
      <c r="J1129" s="15">
        <f t="shared" si="139"/>
        <v>0</v>
      </c>
    </row>
    <row r="1130" spans="2:11" ht="14.25" thickBot="1" x14ac:dyDescent="0.2">
      <c r="B1130" s="26" t="s">
        <v>5</v>
      </c>
      <c r="C1130" s="14">
        <v>20</v>
      </c>
      <c r="D1130" s="31"/>
      <c r="E1130" s="15">
        <f t="shared" si="138"/>
        <v>20</v>
      </c>
      <c r="F1130" s="61">
        <v>44812</v>
      </c>
      <c r="G1130" s="25" t="s">
        <v>5</v>
      </c>
      <c r="H1130" s="92"/>
      <c r="I1130" s="93"/>
      <c r="J1130" s="94">
        <f t="shared" si="139"/>
        <v>0</v>
      </c>
    </row>
    <row r="1131" spans="2:11" ht="14.25" thickBot="1" x14ac:dyDescent="0.2">
      <c r="B1131" s="8" t="s">
        <v>1</v>
      </c>
      <c r="C1131" s="10">
        <f>SUM(C1125:C1130)</f>
        <v>168</v>
      </c>
      <c r="D1131" s="32">
        <f>SUM(D1125:D1130)</f>
        <v>152</v>
      </c>
      <c r="E1131" s="11">
        <f t="shared" si="138"/>
        <v>320</v>
      </c>
      <c r="G1131" s="8" t="s">
        <v>1</v>
      </c>
      <c r="H1131" s="10">
        <f>SUM(H1125:H1130)</f>
        <v>3263</v>
      </c>
      <c r="I1131" s="32">
        <f>SUM(I1125:I1130)</f>
        <v>2480</v>
      </c>
      <c r="J1131" s="11">
        <f>SUM(J1125:J1130)</f>
        <v>5743</v>
      </c>
    </row>
    <row r="1132" spans="2:11" x14ac:dyDescent="0.15">
      <c r="B1132" s="5" t="s">
        <v>381</v>
      </c>
      <c r="C1132" s="14"/>
      <c r="D1132" s="31">
        <v>3</v>
      </c>
      <c r="E1132" s="15">
        <f>C1132+D1132</f>
        <v>3</v>
      </c>
      <c r="F1132" s="61">
        <v>44774</v>
      </c>
      <c r="G1132" s="102" t="s">
        <v>471</v>
      </c>
      <c r="H1132" s="14">
        <v>20</v>
      </c>
      <c r="I1132" s="31"/>
      <c r="J1132" s="15">
        <f t="shared" ref="J1132" si="140">H1132+I1132</f>
        <v>20</v>
      </c>
      <c r="K1132" s="61">
        <v>44806</v>
      </c>
    </row>
    <row r="1133" spans="2:11" x14ac:dyDescent="0.15">
      <c r="B1133" s="5" t="s">
        <v>462</v>
      </c>
      <c r="C1133" s="14"/>
      <c r="D1133" s="31">
        <v>10</v>
      </c>
      <c r="E1133" s="15">
        <f t="shared" ref="E1133:E1153" si="141">C1133+D1133</f>
        <v>10</v>
      </c>
      <c r="F1133" s="61">
        <v>44778</v>
      </c>
      <c r="G1133" s="102" t="s">
        <v>120</v>
      </c>
      <c r="H1133" s="14">
        <v>20</v>
      </c>
      <c r="I1133" s="31"/>
      <c r="J1133" s="15">
        <f>H1133+I1133</f>
        <v>20</v>
      </c>
      <c r="K1133" s="61">
        <v>44812</v>
      </c>
    </row>
    <row r="1134" spans="2:11" x14ac:dyDescent="0.15">
      <c r="B1134" s="5" t="s">
        <v>381</v>
      </c>
      <c r="C1134" s="14">
        <v>1</v>
      </c>
      <c r="D1134" s="31"/>
      <c r="E1134" s="15">
        <f t="shared" si="141"/>
        <v>1</v>
      </c>
      <c r="F1134" s="61">
        <v>44776</v>
      </c>
      <c r="G1134" s="5" t="s">
        <v>473</v>
      </c>
      <c r="H1134" s="14">
        <f>2-1</f>
        <v>1</v>
      </c>
      <c r="I1134" s="31">
        <f>3-2</f>
        <v>1</v>
      </c>
      <c r="J1134" s="15">
        <f t="shared" ref="J1134" si="142">H1134+I1134</f>
        <v>2</v>
      </c>
      <c r="K1134" s="61">
        <v>44814</v>
      </c>
    </row>
    <row r="1135" spans="2:11" x14ac:dyDescent="0.15">
      <c r="B1135" s="5" t="s">
        <v>381</v>
      </c>
      <c r="C1135" s="14">
        <v>1</v>
      </c>
      <c r="D1135" s="31"/>
      <c r="E1135" s="15">
        <f t="shared" si="141"/>
        <v>1</v>
      </c>
      <c r="F1135" s="61">
        <v>44777</v>
      </c>
      <c r="G1135" s="102"/>
      <c r="H1135" s="14"/>
      <c r="I1135" s="31"/>
      <c r="J1135" s="15">
        <f t="shared" ref="J1135:J1153" si="143">H1135+I1135</f>
        <v>0</v>
      </c>
      <c r="K1135" s="61"/>
    </row>
    <row r="1136" spans="2:11" x14ac:dyDescent="0.15">
      <c r="B1136" s="5" t="s">
        <v>381</v>
      </c>
      <c r="C1136" s="14">
        <v>1</v>
      </c>
      <c r="D1136" s="31"/>
      <c r="E1136" s="15">
        <f t="shared" si="141"/>
        <v>1</v>
      </c>
      <c r="F1136" s="61">
        <v>44778</v>
      </c>
      <c r="G1136" s="102"/>
      <c r="H1136" s="14"/>
      <c r="I1136" s="31"/>
      <c r="J1136" s="15">
        <f t="shared" si="143"/>
        <v>0</v>
      </c>
      <c r="K1136" s="61"/>
    </row>
    <row r="1137" spans="2:11" x14ac:dyDescent="0.15">
      <c r="B1137" s="5" t="s">
        <v>465</v>
      </c>
      <c r="C1137" s="14">
        <v>87</v>
      </c>
      <c r="D1137" s="31">
        <v>79</v>
      </c>
      <c r="E1137" s="23">
        <f t="shared" si="141"/>
        <v>166</v>
      </c>
      <c r="F1137" s="61">
        <v>44779</v>
      </c>
      <c r="G1137" s="5"/>
      <c r="H1137" s="14"/>
      <c r="I1137" s="31"/>
      <c r="J1137" s="15">
        <f t="shared" si="143"/>
        <v>0</v>
      </c>
      <c r="K1137" s="61"/>
    </row>
    <row r="1138" spans="2:11" x14ac:dyDescent="0.15">
      <c r="B1138" s="5" t="s">
        <v>381</v>
      </c>
      <c r="C1138" s="14">
        <v>2</v>
      </c>
      <c r="D1138" s="31"/>
      <c r="E1138" s="15">
        <f t="shared" si="141"/>
        <v>2</v>
      </c>
      <c r="F1138" s="61">
        <v>44781</v>
      </c>
      <c r="G1138" s="13"/>
      <c r="H1138" s="14"/>
      <c r="I1138" s="31"/>
      <c r="J1138" s="15">
        <f t="shared" si="143"/>
        <v>0</v>
      </c>
    </row>
    <row r="1139" spans="2:11" x14ac:dyDescent="0.15">
      <c r="B1139" s="13" t="s">
        <v>467</v>
      </c>
      <c r="C1139" s="14">
        <v>1</v>
      </c>
      <c r="D1139" s="31"/>
      <c r="E1139" s="15">
        <f t="shared" si="141"/>
        <v>1</v>
      </c>
      <c r="F1139" s="61">
        <v>44781</v>
      </c>
      <c r="G1139" s="13"/>
      <c r="H1139" s="14"/>
      <c r="I1139" s="31"/>
      <c r="J1139" s="15">
        <f t="shared" si="143"/>
        <v>0</v>
      </c>
    </row>
    <row r="1140" spans="2:11" x14ac:dyDescent="0.15">
      <c r="B1140" s="5" t="s">
        <v>461</v>
      </c>
      <c r="C1140" s="14">
        <v>3</v>
      </c>
      <c r="D1140" s="31">
        <v>2</v>
      </c>
      <c r="E1140" s="15">
        <f t="shared" si="141"/>
        <v>5</v>
      </c>
      <c r="F1140" s="61">
        <v>44783</v>
      </c>
      <c r="G1140" s="13"/>
      <c r="H1140" s="14"/>
      <c r="I1140" s="31"/>
      <c r="J1140" s="15">
        <f t="shared" si="143"/>
        <v>0</v>
      </c>
    </row>
    <row r="1141" spans="2:11" x14ac:dyDescent="0.15">
      <c r="B1141" s="5" t="s">
        <v>381</v>
      </c>
      <c r="C1141" s="14">
        <v>1</v>
      </c>
      <c r="D1141" s="31">
        <v>1</v>
      </c>
      <c r="E1141" s="15">
        <f t="shared" si="141"/>
        <v>2</v>
      </c>
      <c r="F1141" s="61">
        <v>44784</v>
      </c>
      <c r="G1141" s="13"/>
      <c r="H1141" s="14"/>
      <c r="I1141" s="31"/>
      <c r="J1141" s="15">
        <f t="shared" si="143"/>
        <v>0</v>
      </c>
    </row>
    <row r="1142" spans="2:11" x14ac:dyDescent="0.15">
      <c r="B1142" s="5" t="s">
        <v>381</v>
      </c>
      <c r="C1142" s="14">
        <v>2</v>
      </c>
      <c r="D1142" s="31">
        <v>1</v>
      </c>
      <c r="E1142" s="15">
        <f t="shared" si="141"/>
        <v>3</v>
      </c>
      <c r="F1142" s="61">
        <v>44790</v>
      </c>
      <c r="G1142" s="13"/>
      <c r="H1142" s="14"/>
      <c r="I1142" s="31"/>
      <c r="J1142" s="15">
        <f t="shared" si="143"/>
        <v>0</v>
      </c>
    </row>
    <row r="1143" spans="2:11" x14ac:dyDescent="0.15">
      <c r="B1143" s="5" t="s">
        <v>468</v>
      </c>
      <c r="C1143" s="14">
        <v>5</v>
      </c>
      <c r="D1143" s="31"/>
      <c r="E1143" s="15">
        <f t="shared" si="141"/>
        <v>5</v>
      </c>
      <c r="F1143" s="61">
        <v>44796</v>
      </c>
      <c r="G1143" s="13"/>
      <c r="H1143" s="14"/>
      <c r="I1143" s="31"/>
      <c r="J1143" s="15">
        <f t="shared" si="143"/>
        <v>0</v>
      </c>
    </row>
    <row r="1144" spans="2:11" x14ac:dyDescent="0.15">
      <c r="B1144" s="5" t="s">
        <v>381</v>
      </c>
      <c r="C1144" s="14">
        <v>5</v>
      </c>
      <c r="D1144" s="31"/>
      <c r="E1144" s="15">
        <f t="shared" si="141"/>
        <v>5</v>
      </c>
      <c r="F1144" s="61">
        <v>44795</v>
      </c>
      <c r="G1144" s="13"/>
      <c r="H1144" s="14"/>
      <c r="I1144" s="31"/>
      <c r="J1144" s="15">
        <f t="shared" si="143"/>
        <v>0</v>
      </c>
    </row>
    <row r="1145" spans="2:11" x14ac:dyDescent="0.15">
      <c r="B1145" s="5" t="s">
        <v>381</v>
      </c>
      <c r="C1145" s="14">
        <v>2</v>
      </c>
      <c r="D1145" s="31">
        <v>3</v>
      </c>
      <c r="E1145" s="15">
        <f t="shared" si="141"/>
        <v>5</v>
      </c>
      <c r="F1145" s="61">
        <v>44797</v>
      </c>
      <c r="G1145" s="25"/>
      <c r="H1145" s="14"/>
      <c r="I1145" s="31"/>
      <c r="J1145" s="15">
        <f t="shared" si="143"/>
        <v>0</v>
      </c>
    </row>
    <row r="1146" spans="2:11" x14ac:dyDescent="0.15">
      <c r="B1146" s="5" t="s">
        <v>429</v>
      </c>
      <c r="C1146" s="14">
        <v>10</v>
      </c>
      <c r="D1146" s="31">
        <v>5</v>
      </c>
      <c r="E1146" s="15">
        <f t="shared" si="141"/>
        <v>15</v>
      </c>
      <c r="F1146" s="61">
        <v>44800</v>
      </c>
      <c r="G1146" s="25"/>
      <c r="H1146" s="14"/>
      <c r="I1146" s="31"/>
      <c r="J1146" s="15">
        <f t="shared" si="143"/>
        <v>0</v>
      </c>
    </row>
    <row r="1147" spans="2:11" x14ac:dyDescent="0.15">
      <c r="B1147" s="5" t="s">
        <v>381</v>
      </c>
      <c r="C1147" s="14"/>
      <c r="D1147" s="31">
        <v>1</v>
      </c>
      <c r="E1147" s="15">
        <f t="shared" si="141"/>
        <v>1</v>
      </c>
      <c r="F1147" s="61">
        <v>44799</v>
      </c>
      <c r="G1147" s="25"/>
      <c r="H1147" s="14"/>
      <c r="I1147" s="31"/>
      <c r="J1147" s="15">
        <f t="shared" si="143"/>
        <v>0</v>
      </c>
    </row>
    <row r="1148" spans="2:11" x14ac:dyDescent="0.15">
      <c r="B1148" s="5" t="s">
        <v>470</v>
      </c>
      <c r="C1148" s="14">
        <v>4</v>
      </c>
      <c r="D1148" s="31"/>
      <c r="E1148" s="15">
        <f t="shared" si="141"/>
        <v>4</v>
      </c>
      <c r="F1148" s="61">
        <v>44806</v>
      </c>
      <c r="G1148" s="25"/>
      <c r="H1148" s="14"/>
      <c r="I1148" s="31"/>
      <c r="J1148" s="15">
        <f t="shared" si="143"/>
        <v>0</v>
      </c>
    </row>
    <row r="1149" spans="2:11" x14ac:dyDescent="0.15">
      <c r="B1149" s="5" t="s">
        <v>381</v>
      </c>
      <c r="C1149" s="14">
        <v>1</v>
      </c>
      <c r="D1149" s="31">
        <v>1</v>
      </c>
      <c r="E1149" s="15">
        <f t="shared" si="141"/>
        <v>2</v>
      </c>
      <c r="F1149" s="61">
        <v>44809</v>
      </c>
      <c r="G1149" s="13"/>
      <c r="H1149" s="14"/>
      <c r="I1149" s="31"/>
      <c r="J1149" s="15">
        <f t="shared" si="143"/>
        <v>0</v>
      </c>
    </row>
    <row r="1150" spans="2:11" x14ac:dyDescent="0.15">
      <c r="B1150" s="5" t="s">
        <v>472</v>
      </c>
      <c r="C1150" s="14">
        <v>10</v>
      </c>
      <c r="D1150" s="31"/>
      <c r="E1150" s="15">
        <f t="shared" si="141"/>
        <v>10</v>
      </c>
      <c r="F1150" s="61">
        <v>44811</v>
      </c>
      <c r="G1150" s="25"/>
      <c r="H1150" s="14"/>
      <c r="I1150" s="31"/>
      <c r="J1150" s="15">
        <f t="shared" si="143"/>
        <v>0</v>
      </c>
    </row>
    <row r="1151" spans="2:11" x14ac:dyDescent="0.15">
      <c r="B1151" s="5" t="s">
        <v>381</v>
      </c>
      <c r="C1151" s="14">
        <v>1</v>
      </c>
      <c r="D1151" s="31"/>
      <c r="E1151" s="15">
        <f t="shared" si="141"/>
        <v>1</v>
      </c>
      <c r="F1151" s="61">
        <v>44812</v>
      </c>
      <c r="G1151" s="25"/>
      <c r="H1151" s="14"/>
      <c r="I1151" s="31"/>
      <c r="J1151" s="15">
        <f t="shared" si="143"/>
        <v>0</v>
      </c>
    </row>
    <row r="1152" spans="2:11" x14ac:dyDescent="0.15">
      <c r="B1152" s="5" t="s">
        <v>474</v>
      </c>
      <c r="C1152" s="14">
        <f>1+2</f>
        <v>3</v>
      </c>
      <c r="D1152" s="31">
        <v>2</v>
      </c>
      <c r="E1152" s="15">
        <f t="shared" ref="E1152" si="144">C1152+D1152</f>
        <v>5</v>
      </c>
      <c r="F1152" s="61">
        <v>44817</v>
      </c>
      <c r="G1152" s="13"/>
      <c r="H1152" s="14"/>
      <c r="I1152" s="31"/>
      <c r="J1152" s="15">
        <f t="shared" si="143"/>
        <v>0</v>
      </c>
    </row>
    <row r="1153" spans="2:10" x14ac:dyDescent="0.15">
      <c r="B1153" s="5" t="s">
        <v>381</v>
      </c>
      <c r="C1153" s="14"/>
      <c r="D1153" s="31">
        <v>1</v>
      </c>
      <c r="E1153" s="15">
        <f t="shared" si="141"/>
        <v>1</v>
      </c>
      <c r="F1153" s="61">
        <v>44816</v>
      </c>
      <c r="G1153" s="13"/>
      <c r="H1153" s="14"/>
      <c r="I1153" s="31"/>
      <c r="J1153" s="15">
        <f t="shared" si="143"/>
        <v>0</v>
      </c>
    </row>
    <row r="1154" spans="2:10" x14ac:dyDescent="0.15">
      <c r="B1154" s="5" t="s">
        <v>381</v>
      </c>
      <c r="C1154" s="14">
        <v>1</v>
      </c>
      <c r="D1154" s="31"/>
      <c r="E1154" s="15">
        <f>C1154+D1154</f>
        <v>1</v>
      </c>
      <c r="F1154" s="61">
        <v>44821</v>
      </c>
      <c r="G1154" s="25"/>
      <c r="H1154" s="14"/>
      <c r="I1154" s="31"/>
      <c r="J1154" s="15">
        <f>H1154+I1154</f>
        <v>0</v>
      </c>
    </row>
    <row r="1155" spans="2:10" x14ac:dyDescent="0.15">
      <c r="B1155" s="5" t="s">
        <v>475</v>
      </c>
      <c r="C1155" s="14">
        <v>2</v>
      </c>
      <c r="D1155" s="31"/>
      <c r="E1155" s="15">
        <f>C1155+D1155</f>
        <v>2</v>
      </c>
      <c r="F1155" s="61">
        <v>44825</v>
      </c>
      <c r="G1155" s="13"/>
      <c r="H1155" s="14"/>
      <c r="I1155" s="31"/>
      <c r="J1155" s="15">
        <f>H1155+I1155</f>
        <v>0</v>
      </c>
    </row>
    <row r="1156" spans="2:10" ht="14.25" thickBot="1" x14ac:dyDescent="0.2">
      <c r="B1156" s="5" t="s">
        <v>381</v>
      </c>
      <c r="C1156" s="14">
        <v>2</v>
      </c>
      <c r="D1156" s="31"/>
      <c r="E1156" s="15">
        <f>C1156+D1156</f>
        <v>2</v>
      </c>
      <c r="F1156" s="61">
        <v>44824</v>
      </c>
      <c r="G1156" s="13"/>
      <c r="H1156" s="14"/>
      <c r="I1156" s="31"/>
      <c r="J1156" s="15">
        <f>H1156+I1156</f>
        <v>0</v>
      </c>
    </row>
    <row r="1157" spans="2:10" ht="14.25" thickBot="1" x14ac:dyDescent="0.2">
      <c r="B1157" s="8" t="s">
        <v>2</v>
      </c>
      <c r="C1157" s="10">
        <f>SUM(C1132:C1156)</f>
        <v>145</v>
      </c>
      <c r="D1157" s="32">
        <f>SUM(D1132:D1156)</f>
        <v>109</v>
      </c>
      <c r="E1157" s="11">
        <f>C1157+D1157</f>
        <v>254</v>
      </c>
      <c r="G1157" s="8" t="s">
        <v>2</v>
      </c>
      <c r="H1157" s="10">
        <f>SUM(H1132:H1156)</f>
        <v>41</v>
      </c>
      <c r="I1157" s="32">
        <f>SUM(I1132:I1156)</f>
        <v>1</v>
      </c>
      <c r="J1157" s="11">
        <f t="shared" ref="J1157" si="145">H1157+I1157</f>
        <v>42</v>
      </c>
    </row>
    <row r="1158" spans="2:10" ht="14.25" thickBot="1" x14ac:dyDescent="0.2">
      <c r="B1158" s="52" t="s">
        <v>3</v>
      </c>
      <c r="C1158" s="53">
        <f>+C1131-C1157</f>
        <v>23</v>
      </c>
      <c r="D1158" s="54">
        <f>+D1131-D1157</f>
        <v>43</v>
      </c>
      <c r="E1158" s="55">
        <f>C1158+D1158</f>
        <v>66</v>
      </c>
      <c r="G1158" s="52" t="s">
        <v>3</v>
      </c>
      <c r="H1158" s="87">
        <f>+H1131-H1157</f>
        <v>3222</v>
      </c>
      <c r="I1158" s="97">
        <f>+I1131-I1157</f>
        <v>2479</v>
      </c>
      <c r="J1158" s="95">
        <f>+J1131-J1157</f>
        <v>5701</v>
      </c>
    </row>
    <row r="1160" spans="2:10" ht="21" x14ac:dyDescent="0.2">
      <c r="B1160" s="76" t="s">
        <v>150</v>
      </c>
      <c r="G1160" s="75" t="s">
        <v>149</v>
      </c>
    </row>
    <row r="1161" spans="2:10" ht="18.75" x14ac:dyDescent="0.2">
      <c r="B1161" s="3" t="s">
        <v>11</v>
      </c>
      <c r="E1161" s="71"/>
      <c r="G1161" s="3" t="s">
        <v>11</v>
      </c>
    </row>
    <row r="1162" spans="2:10" ht="14.25" thickBot="1" x14ac:dyDescent="0.2">
      <c r="G1162" s="1"/>
    </row>
    <row r="1163" spans="2:10" ht="14.25" thickBot="1" x14ac:dyDescent="0.2">
      <c r="B1163" s="7"/>
      <c r="C1163" s="67"/>
      <c r="D1163" s="68"/>
      <c r="E1163" s="69"/>
      <c r="G1163" s="7"/>
      <c r="H1163" s="67"/>
      <c r="I1163" s="68"/>
      <c r="J1163" s="69"/>
    </row>
    <row r="1164" spans="2:10" ht="14.25" thickBot="1" x14ac:dyDescent="0.2">
      <c r="B1164" s="8"/>
      <c r="C1164" s="40" t="s">
        <v>7</v>
      </c>
      <c r="D1164" s="29" t="s">
        <v>9</v>
      </c>
      <c r="E1164" s="9" t="s">
        <v>0</v>
      </c>
      <c r="G1164" s="8"/>
      <c r="H1164" s="40" t="s">
        <v>7</v>
      </c>
      <c r="I1164" s="29" t="s">
        <v>9</v>
      </c>
      <c r="J1164" s="9" t="s">
        <v>0</v>
      </c>
    </row>
    <row r="1165" spans="2:10" x14ac:dyDescent="0.15">
      <c r="B1165" s="16" t="s">
        <v>4</v>
      </c>
      <c r="C1165" s="17">
        <f>C1158</f>
        <v>23</v>
      </c>
      <c r="D1165" s="35">
        <f>D1158</f>
        <v>43</v>
      </c>
      <c r="E1165" s="18">
        <f t="shared" ref="E1165:E1171" si="146">C1165+D1165</f>
        <v>66</v>
      </c>
      <c r="G1165" s="16" t="s">
        <v>4</v>
      </c>
      <c r="H1165" s="89">
        <f>H1158</f>
        <v>3222</v>
      </c>
      <c r="I1165" s="90">
        <f>I1158</f>
        <v>2479</v>
      </c>
      <c r="J1165" s="96">
        <f>J1158</f>
        <v>5701</v>
      </c>
    </row>
    <row r="1166" spans="2:10" x14ac:dyDescent="0.15">
      <c r="B1166" s="26" t="s">
        <v>5</v>
      </c>
      <c r="C1166" s="14">
        <v>20</v>
      </c>
      <c r="D1166" s="31"/>
      <c r="E1166" s="23">
        <f t="shared" si="146"/>
        <v>20</v>
      </c>
      <c r="F1166" s="61">
        <v>44838</v>
      </c>
      <c r="G1166" s="25"/>
      <c r="H1166" s="14"/>
      <c r="I1166" s="31"/>
      <c r="J1166" s="15">
        <f t="shared" ref="J1166:J1167" si="147">H1166+I1166</f>
        <v>0</v>
      </c>
    </row>
    <row r="1167" spans="2:10" x14ac:dyDescent="0.15">
      <c r="B1167" s="26" t="s">
        <v>5</v>
      </c>
      <c r="C1167" s="27">
        <v>30</v>
      </c>
      <c r="D1167" s="36"/>
      <c r="E1167" s="28">
        <f t="shared" ref="E1167:E1168" si="148">C1167+D1167</f>
        <v>30</v>
      </c>
      <c r="F1167" s="61">
        <v>44845</v>
      </c>
      <c r="G1167" s="25"/>
      <c r="H1167" s="14"/>
      <c r="I1167" s="31"/>
      <c r="J1167" s="15">
        <f t="shared" si="147"/>
        <v>0</v>
      </c>
    </row>
    <row r="1168" spans="2:10" x14ac:dyDescent="0.15">
      <c r="B1168" s="26" t="s">
        <v>5</v>
      </c>
      <c r="C1168" s="27">
        <v>61</v>
      </c>
      <c r="D1168" s="36">
        <v>264</v>
      </c>
      <c r="E1168" s="28">
        <f t="shared" si="148"/>
        <v>325</v>
      </c>
      <c r="F1168" s="61">
        <v>44848</v>
      </c>
      <c r="G1168" s="25"/>
      <c r="H1168" s="14"/>
      <c r="I1168" s="31"/>
      <c r="J1168" s="15">
        <f t="shared" ref="J1168:J1170" si="149">H1168+I1168</f>
        <v>0</v>
      </c>
    </row>
    <row r="1169" spans="2:11" x14ac:dyDescent="0.15">
      <c r="B1169" s="26" t="s">
        <v>181</v>
      </c>
      <c r="C1169" s="27">
        <v>46</v>
      </c>
      <c r="D1169" s="36">
        <v>106</v>
      </c>
      <c r="E1169" s="28">
        <f t="shared" si="146"/>
        <v>152</v>
      </c>
      <c r="F1169" s="61">
        <v>44869</v>
      </c>
      <c r="G1169" s="25"/>
      <c r="H1169" s="14"/>
      <c r="I1169" s="31"/>
      <c r="J1169" s="15">
        <f t="shared" si="149"/>
        <v>0</v>
      </c>
    </row>
    <row r="1170" spans="2:11" ht="14.25" thickBot="1" x14ac:dyDescent="0.2">
      <c r="B1170" s="26" t="s">
        <v>5</v>
      </c>
      <c r="C1170" s="14"/>
      <c r="D1170" s="31"/>
      <c r="E1170" s="15">
        <f t="shared" si="146"/>
        <v>0</v>
      </c>
      <c r="F1170" s="61"/>
      <c r="G1170" s="25" t="s">
        <v>5</v>
      </c>
      <c r="H1170" s="92"/>
      <c r="I1170" s="93"/>
      <c r="J1170" s="94">
        <f t="shared" si="149"/>
        <v>0</v>
      </c>
    </row>
    <row r="1171" spans="2:11" ht="14.25" thickBot="1" x14ac:dyDescent="0.2">
      <c r="B1171" s="8" t="s">
        <v>1</v>
      </c>
      <c r="C1171" s="10">
        <f>SUM(C1165:C1170)</f>
        <v>180</v>
      </c>
      <c r="D1171" s="32">
        <f>SUM(D1165:D1170)</f>
        <v>413</v>
      </c>
      <c r="E1171" s="11">
        <f t="shared" si="146"/>
        <v>593</v>
      </c>
      <c r="G1171" s="8" t="s">
        <v>1</v>
      </c>
      <c r="H1171" s="10">
        <f>SUM(H1165:H1170)</f>
        <v>3222</v>
      </c>
      <c r="I1171" s="32">
        <f>SUM(I1165:I1170)</f>
        <v>2479</v>
      </c>
      <c r="J1171" s="11">
        <f>SUM(J1165:J1170)</f>
        <v>5701</v>
      </c>
    </row>
    <row r="1172" spans="2:11" x14ac:dyDescent="0.15">
      <c r="B1172" s="5" t="s">
        <v>381</v>
      </c>
      <c r="C1172" s="14"/>
      <c r="D1172" s="31">
        <v>2</v>
      </c>
      <c r="E1172" s="15">
        <f>C1172+D1172</f>
        <v>2</v>
      </c>
      <c r="F1172" s="61">
        <v>44825</v>
      </c>
      <c r="G1172" s="102" t="s">
        <v>120</v>
      </c>
      <c r="H1172" s="14">
        <v>20</v>
      </c>
      <c r="I1172" s="31"/>
      <c r="J1172" s="15">
        <f t="shared" ref="J1172:J1174" si="150">H1172+I1172</f>
        <v>20</v>
      </c>
      <c r="K1172" s="61">
        <v>44838</v>
      </c>
    </row>
    <row r="1173" spans="2:11" x14ac:dyDescent="0.15">
      <c r="B1173" s="5" t="s">
        <v>381</v>
      </c>
      <c r="C1173" s="14">
        <v>2</v>
      </c>
      <c r="D1173" s="31">
        <v>1</v>
      </c>
      <c r="E1173" s="15">
        <f t="shared" ref="E1173:E1194" si="151">C1173+D1173</f>
        <v>3</v>
      </c>
      <c r="F1173" s="61">
        <v>44826</v>
      </c>
      <c r="G1173" s="102" t="s">
        <v>120</v>
      </c>
      <c r="H1173" s="14">
        <v>30</v>
      </c>
      <c r="I1173" s="31"/>
      <c r="J1173" s="15">
        <f t="shared" si="150"/>
        <v>30</v>
      </c>
      <c r="K1173" s="61">
        <v>44845</v>
      </c>
    </row>
    <row r="1174" spans="2:11" x14ac:dyDescent="0.15">
      <c r="B1174" s="5" t="s">
        <v>476</v>
      </c>
      <c r="C1174" s="14">
        <v>3</v>
      </c>
      <c r="D1174" s="31">
        <v>2</v>
      </c>
      <c r="E1174" s="15">
        <f t="shared" si="151"/>
        <v>5</v>
      </c>
      <c r="F1174" s="61">
        <v>44831</v>
      </c>
      <c r="G1174" s="102" t="s">
        <v>120</v>
      </c>
      <c r="H1174" s="14">
        <v>61</v>
      </c>
      <c r="I1174" s="31">
        <v>266</v>
      </c>
      <c r="J1174" s="15">
        <f t="shared" si="150"/>
        <v>327</v>
      </c>
      <c r="K1174" s="61">
        <v>44848</v>
      </c>
    </row>
    <row r="1175" spans="2:11" x14ac:dyDescent="0.15">
      <c r="B1175" s="5" t="s">
        <v>381</v>
      </c>
      <c r="C1175" s="14">
        <v>3</v>
      </c>
      <c r="D1175" s="31">
        <v>3</v>
      </c>
      <c r="E1175" s="15">
        <f t="shared" si="151"/>
        <v>6</v>
      </c>
      <c r="F1175" s="61">
        <v>44830</v>
      </c>
      <c r="G1175" s="102"/>
      <c r="H1175" s="14"/>
      <c r="I1175" s="31"/>
      <c r="J1175" s="15">
        <f t="shared" ref="J1175:J1193" si="152">H1175+I1175</f>
        <v>0</v>
      </c>
    </row>
    <row r="1176" spans="2:11" x14ac:dyDescent="0.15">
      <c r="B1176" s="5" t="s">
        <v>477</v>
      </c>
      <c r="C1176" s="14">
        <v>5</v>
      </c>
      <c r="D1176" s="31"/>
      <c r="E1176" s="15">
        <f t="shared" si="151"/>
        <v>5</v>
      </c>
      <c r="F1176" s="61">
        <v>44832</v>
      </c>
      <c r="G1176" s="102"/>
      <c r="H1176" s="14"/>
      <c r="I1176" s="31"/>
      <c r="J1176" s="15">
        <f t="shared" si="152"/>
        <v>0</v>
      </c>
    </row>
    <row r="1177" spans="2:11" x14ac:dyDescent="0.15">
      <c r="B1177" s="5" t="s">
        <v>381</v>
      </c>
      <c r="C1177" s="14">
        <v>1</v>
      </c>
      <c r="D1177" s="31"/>
      <c r="E1177" s="15">
        <f t="shared" si="151"/>
        <v>1</v>
      </c>
      <c r="F1177" s="61">
        <v>44832</v>
      </c>
      <c r="G1177" s="5"/>
      <c r="H1177" s="14"/>
      <c r="I1177" s="31"/>
      <c r="J1177" s="15">
        <f t="shared" si="152"/>
        <v>0</v>
      </c>
    </row>
    <row r="1178" spans="2:11" x14ac:dyDescent="0.15">
      <c r="B1178" s="5" t="s">
        <v>478</v>
      </c>
      <c r="C1178" s="14">
        <v>1</v>
      </c>
      <c r="D1178" s="31">
        <v>1</v>
      </c>
      <c r="E1178" s="15">
        <f t="shared" si="151"/>
        <v>2</v>
      </c>
      <c r="F1178" s="61">
        <v>44834</v>
      </c>
      <c r="G1178" s="13"/>
      <c r="H1178" s="14"/>
      <c r="I1178" s="31"/>
      <c r="J1178" s="15">
        <f t="shared" si="152"/>
        <v>0</v>
      </c>
    </row>
    <row r="1179" spans="2:11" x14ac:dyDescent="0.15">
      <c r="B1179" s="5" t="s">
        <v>381</v>
      </c>
      <c r="C1179" s="14">
        <v>1</v>
      </c>
      <c r="D1179" s="31"/>
      <c r="E1179" s="15">
        <f t="shared" si="151"/>
        <v>1</v>
      </c>
      <c r="F1179" s="61">
        <v>44835</v>
      </c>
      <c r="G1179" s="13"/>
      <c r="H1179" s="14"/>
      <c r="I1179" s="31"/>
      <c r="J1179" s="15">
        <f t="shared" si="152"/>
        <v>0</v>
      </c>
    </row>
    <row r="1180" spans="2:11" x14ac:dyDescent="0.15">
      <c r="B1180" s="5" t="s">
        <v>479</v>
      </c>
      <c r="C1180" s="14">
        <v>3</v>
      </c>
      <c r="D1180" s="31"/>
      <c r="E1180" s="15">
        <f t="shared" si="151"/>
        <v>3</v>
      </c>
      <c r="F1180" s="61">
        <v>44838</v>
      </c>
      <c r="G1180" s="13"/>
      <c r="H1180" s="14"/>
      <c r="I1180" s="31"/>
      <c r="J1180" s="15">
        <f t="shared" si="152"/>
        <v>0</v>
      </c>
    </row>
    <row r="1181" spans="2:11" x14ac:dyDescent="0.15">
      <c r="B1181" s="5" t="s">
        <v>381</v>
      </c>
      <c r="C1181" s="14">
        <v>1</v>
      </c>
      <c r="D1181" s="31">
        <v>2</v>
      </c>
      <c r="E1181" s="15">
        <f t="shared" si="151"/>
        <v>3</v>
      </c>
      <c r="F1181" s="61">
        <v>44837</v>
      </c>
      <c r="G1181" s="13"/>
      <c r="H1181" s="14"/>
      <c r="I1181" s="31"/>
      <c r="J1181" s="15">
        <f t="shared" si="152"/>
        <v>0</v>
      </c>
    </row>
    <row r="1182" spans="2:11" x14ac:dyDescent="0.15">
      <c r="B1182" s="5" t="s">
        <v>429</v>
      </c>
      <c r="C1182" s="14">
        <v>10</v>
      </c>
      <c r="D1182" s="31"/>
      <c r="E1182" s="15">
        <f t="shared" si="151"/>
        <v>10</v>
      </c>
      <c r="F1182" s="61">
        <v>44838</v>
      </c>
      <c r="G1182" s="13"/>
      <c r="H1182" s="14"/>
      <c r="I1182" s="31"/>
      <c r="J1182" s="15">
        <f t="shared" si="152"/>
        <v>0</v>
      </c>
    </row>
    <row r="1183" spans="2:11" x14ac:dyDescent="0.15">
      <c r="B1183" s="5" t="s">
        <v>381</v>
      </c>
      <c r="C1183" s="14"/>
      <c r="D1183" s="31">
        <v>1</v>
      </c>
      <c r="E1183" s="15">
        <f t="shared" si="151"/>
        <v>1</v>
      </c>
      <c r="F1183" s="61">
        <v>44839</v>
      </c>
      <c r="G1183" s="13"/>
      <c r="H1183" s="14"/>
      <c r="I1183" s="31"/>
      <c r="J1183" s="15">
        <f t="shared" si="152"/>
        <v>0</v>
      </c>
    </row>
    <row r="1184" spans="2:11" x14ac:dyDescent="0.15">
      <c r="B1184" s="5" t="s">
        <v>381</v>
      </c>
      <c r="C1184" s="14">
        <v>3</v>
      </c>
      <c r="D1184" s="31">
        <v>3</v>
      </c>
      <c r="E1184" s="15">
        <f t="shared" si="151"/>
        <v>6</v>
      </c>
      <c r="F1184" s="61">
        <v>44840</v>
      </c>
      <c r="G1184" s="13"/>
      <c r="H1184" s="14"/>
      <c r="I1184" s="31"/>
      <c r="J1184" s="15">
        <f t="shared" si="152"/>
        <v>0</v>
      </c>
    </row>
    <row r="1185" spans="2:10" x14ac:dyDescent="0.15">
      <c r="B1185" s="5" t="s">
        <v>480</v>
      </c>
      <c r="C1185" s="14">
        <v>5</v>
      </c>
      <c r="D1185" s="31"/>
      <c r="E1185" s="15">
        <f t="shared" si="151"/>
        <v>5</v>
      </c>
      <c r="F1185" s="61">
        <v>44842</v>
      </c>
      <c r="G1185" s="25"/>
      <c r="H1185" s="14"/>
      <c r="I1185" s="31"/>
      <c r="J1185" s="15">
        <f t="shared" si="152"/>
        <v>0</v>
      </c>
    </row>
    <row r="1186" spans="2:10" x14ac:dyDescent="0.15">
      <c r="B1186" s="5" t="s">
        <v>481</v>
      </c>
      <c r="C1186" s="14"/>
      <c r="D1186" s="31">
        <v>6</v>
      </c>
      <c r="E1186" s="15">
        <f t="shared" si="151"/>
        <v>6</v>
      </c>
      <c r="F1186" s="61">
        <v>44846</v>
      </c>
      <c r="G1186" s="25"/>
      <c r="H1186" s="14"/>
      <c r="I1186" s="31"/>
      <c r="J1186" s="15">
        <f t="shared" si="152"/>
        <v>0</v>
      </c>
    </row>
    <row r="1187" spans="2:10" x14ac:dyDescent="0.15">
      <c r="B1187" s="5" t="s">
        <v>381</v>
      </c>
      <c r="C1187" s="14">
        <v>1</v>
      </c>
      <c r="D1187" s="31"/>
      <c r="E1187" s="15">
        <f t="shared" si="151"/>
        <v>1</v>
      </c>
      <c r="F1187" s="61">
        <v>44845</v>
      </c>
      <c r="G1187" s="25"/>
      <c r="H1187" s="14"/>
      <c r="I1187" s="31"/>
      <c r="J1187" s="15">
        <f t="shared" si="152"/>
        <v>0</v>
      </c>
    </row>
    <row r="1188" spans="2:10" x14ac:dyDescent="0.15">
      <c r="B1188" s="5" t="s">
        <v>482</v>
      </c>
      <c r="C1188" s="14">
        <v>10</v>
      </c>
      <c r="D1188" s="31"/>
      <c r="E1188" s="15">
        <f t="shared" si="151"/>
        <v>10</v>
      </c>
      <c r="F1188" s="61">
        <v>44847</v>
      </c>
      <c r="G1188" s="25"/>
      <c r="H1188" s="14"/>
      <c r="I1188" s="31"/>
      <c r="J1188" s="15">
        <f t="shared" si="152"/>
        <v>0</v>
      </c>
    </row>
    <row r="1189" spans="2:10" x14ac:dyDescent="0.15">
      <c r="B1189" s="5" t="s">
        <v>381</v>
      </c>
      <c r="C1189" s="14">
        <v>2</v>
      </c>
      <c r="D1189" s="31"/>
      <c r="E1189" s="15">
        <f t="shared" si="151"/>
        <v>2</v>
      </c>
      <c r="F1189" s="61">
        <v>44849</v>
      </c>
      <c r="G1189" s="13"/>
      <c r="H1189" s="14"/>
      <c r="I1189" s="31"/>
      <c r="J1189" s="15">
        <f t="shared" si="152"/>
        <v>0</v>
      </c>
    </row>
    <row r="1190" spans="2:10" x14ac:dyDescent="0.15">
      <c r="B1190" s="5" t="s">
        <v>483</v>
      </c>
      <c r="C1190" s="14">
        <v>3</v>
      </c>
      <c r="D1190" s="31">
        <v>2</v>
      </c>
      <c r="E1190" s="15">
        <f t="shared" si="151"/>
        <v>5</v>
      </c>
      <c r="F1190" s="61">
        <v>44852</v>
      </c>
      <c r="G1190" s="25"/>
      <c r="H1190" s="14"/>
      <c r="I1190" s="31"/>
      <c r="J1190" s="15">
        <f t="shared" si="152"/>
        <v>0</v>
      </c>
    </row>
    <row r="1191" spans="2:10" x14ac:dyDescent="0.15">
      <c r="B1191" s="5" t="s">
        <v>381</v>
      </c>
      <c r="C1191" s="14">
        <v>3</v>
      </c>
      <c r="D1191" s="31"/>
      <c r="E1191" s="15">
        <f t="shared" si="151"/>
        <v>3</v>
      </c>
      <c r="F1191" s="61">
        <v>44853</v>
      </c>
      <c r="G1191" s="25"/>
      <c r="H1191" s="14"/>
      <c r="I1191" s="31"/>
      <c r="J1191" s="15">
        <f t="shared" si="152"/>
        <v>0</v>
      </c>
    </row>
    <row r="1192" spans="2:10" x14ac:dyDescent="0.15">
      <c r="B1192" s="5" t="s">
        <v>381</v>
      </c>
      <c r="C1192" s="14"/>
      <c r="D1192" s="31">
        <v>2</v>
      </c>
      <c r="E1192" s="15">
        <f t="shared" si="151"/>
        <v>2</v>
      </c>
      <c r="F1192" s="61">
        <v>44861</v>
      </c>
      <c r="G1192" s="13"/>
      <c r="H1192" s="14"/>
      <c r="I1192" s="31"/>
      <c r="J1192" s="15">
        <f t="shared" si="152"/>
        <v>0</v>
      </c>
    </row>
    <row r="1193" spans="2:10" x14ac:dyDescent="0.15">
      <c r="B1193" s="5" t="s">
        <v>429</v>
      </c>
      <c r="C1193" s="14"/>
      <c r="D1193" s="31">
        <v>5</v>
      </c>
      <c r="E1193" s="15">
        <f t="shared" si="151"/>
        <v>5</v>
      </c>
      <c r="F1193" s="61">
        <v>44863</v>
      </c>
      <c r="G1193" s="13"/>
      <c r="H1193" s="14"/>
      <c r="I1193" s="31"/>
      <c r="J1193" s="15">
        <f t="shared" si="152"/>
        <v>0</v>
      </c>
    </row>
    <row r="1194" spans="2:10" x14ac:dyDescent="0.15">
      <c r="B1194" s="5" t="s">
        <v>381</v>
      </c>
      <c r="C1194" s="14">
        <v>1</v>
      </c>
      <c r="D1194" s="31"/>
      <c r="E1194" s="15">
        <f t="shared" si="151"/>
        <v>1</v>
      </c>
      <c r="F1194" s="61">
        <v>44866</v>
      </c>
      <c r="G1194" s="25"/>
      <c r="H1194" s="14"/>
      <c r="I1194" s="31"/>
      <c r="J1194" s="15">
        <f>H1194+I1194</f>
        <v>0</v>
      </c>
    </row>
    <row r="1195" spans="2:10" x14ac:dyDescent="0.15">
      <c r="B1195" s="5" t="s">
        <v>381</v>
      </c>
      <c r="C1195" s="14">
        <v>1</v>
      </c>
      <c r="D1195" s="31"/>
      <c r="E1195" s="15">
        <f>C1195+D1195</f>
        <v>1</v>
      </c>
      <c r="F1195" s="61">
        <v>44867</v>
      </c>
      <c r="G1195" s="13"/>
      <c r="H1195" s="14"/>
      <c r="I1195" s="31"/>
      <c r="J1195" s="15">
        <f>H1195+I1195</f>
        <v>0</v>
      </c>
    </row>
    <row r="1196" spans="2:10" ht="14.25" thickBot="1" x14ac:dyDescent="0.2">
      <c r="B1196" s="5" t="s">
        <v>484</v>
      </c>
      <c r="C1196" s="14">
        <v>10</v>
      </c>
      <c r="D1196" s="31"/>
      <c r="E1196" s="15">
        <f>C1196+D1196</f>
        <v>10</v>
      </c>
      <c r="F1196" s="61">
        <v>44870</v>
      </c>
      <c r="G1196" s="13"/>
      <c r="H1196" s="14"/>
      <c r="I1196" s="31"/>
      <c r="J1196" s="15">
        <f>H1196+I1196</f>
        <v>0</v>
      </c>
    </row>
    <row r="1197" spans="2:10" ht="14.25" thickBot="1" x14ac:dyDescent="0.2">
      <c r="B1197" s="8" t="s">
        <v>2</v>
      </c>
      <c r="C1197" s="10">
        <f>SUM(C1172:C1196)</f>
        <v>69</v>
      </c>
      <c r="D1197" s="32">
        <f>SUM(D1172:D1196)</f>
        <v>30</v>
      </c>
      <c r="E1197" s="11">
        <f>C1197+D1197</f>
        <v>99</v>
      </c>
      <c r="G1197" s="8" t="s">
        <v>2</v>
      </c>
      <c r="H1197" s="10">
        <f>SUM(H1172:H1196)</f>
        <v>111</v>
      </c>
      <c r="I1197" s="32">
        <f>SUM(I1172:I1196)</f>
        <v>266</v>
      </c>
      <c r="J1197" s="11">
        <f t="shared" ref="J1197" si="153">H1197+I1197</f>
        <v>377</v>
      </c>
    </row>
    <row r="1198" spans="2:10" ht="14.25" thickBot="1" x14ac:dyDescent="0.2">
      <c r="B1198" s="52" t="s">
        <v>3</v>
      </c>
      <c r="C1198" s="53">
        <f>+C1171-C1197</f>
        <v>111</v>
      </c>
      <c r="D1198" s="54">
        <f>+D1171-D1197</f>
        <v>383</v>
      </c>
      <c r="E1198" s="55">
        <f>C1198+D1198</f>
        <v>494</v>
      </c>
      <c r="G1198" s="52" t="s">
        <v>3</v>
      </c>
      <c r="H1198" s="87">
        <f>+H1171-H1197</f>
        <v>3111</v>
      </c>
      <c r="I1198" s="97">
        <f>+I1171-I1197</f>
        <v>2213</v>
      </c>
      <c r="J1198" s="95">
        <f>+J1171-J1197</f>
        <v>5324</v>
      </c>
    </row>
    <row r="1200" spans="2:10" ht="21" x14ac:dyDescent="0.2">
      <c r="B1200" s="76" t="s">
        <v>150</v>
      </c>
      <c r="G1200" s="75" t="s">
        <v>149</v>
      </c>
    </row>
    <row r="1201" spans="2:10" ht="18.75" x14ac:dyDescent="0.2">
      <c r="B1201" s="3" t="s">
        <v>11</v>
      </c>
      <c r="E1201" s="71"/>
      <c r="G1201" s="3" t="s">
        <v>11</v>
      </c>
    </row>
    <row r="1202" spans="2:10" ht="14.25" thickBot="1" x14ac:dyDescent="0.2">
      <c r="G1202" s="1"/>
    </row>
    <row r="1203" spans="2:10" ht="14.25" thickBot="1" x14ac:dyDescent="0.2">
      <c r="B1203" s="7"/>
      <c r="C1203" s="67"/>
      <c r="D1203" s="68"/>
      <c r="E1203" s="69"/>
      <c r="G1203" s="7"/>
      <c r="H1203" s="67"/>
      <c r="I1203" s="68"/>
      <c r="J1203" s="69"/>
    </row>
    <row r="1204" spans="2:10" ht="14.25" thickBot="1" x14ac:dyDescent="0.2">
      <c r="B1204" s="8"/>
      <c r="C1204" s="40" t="s">
        <v>7</v>
      </c>
      <c r="D1204" s="29" t="s">
        <v>9</v>
      </c>
      <c r="E1204" s="9" t="s">
        <v>0</v>
      </c>
      <c r="G1204" s="8"/>
      <c r="H1204" s="40" t="s">
        <v>7</v>
      </c>
      <c r="I1204" s="29" t="s">
        <v>9</v>
      </c>
      <c r="J1204" s="9" t="s">
        <v>0</v>
      </c>
    </row>
    <row r="1205" spans="2:10" x14ac:dyDescent="0.15">
      <c r="B1205" s="16" t="s">
        <v>4</v>
      </c>
      <c r="C1205" s="17">
        <f>C1198</f>
        <v>111</v>
      </c>
      <c r="D1205" s="35">
        <f>D1198</f>
        <v>383</v>
      </c>
      <c r="E1205" s="18">
        <f t="shared" ref="E1205:E1211" si="154">C1205+D1205</f>
        <v>494</v>
      </c>
      <c r="G1205" s="16" t="s">
        <v>4</v>
      </c>
      <c r="H1205" s="89">
        <f>H1198</f>
        <v>3111</v>
      </c>
      <c r="I1205" s="90">
        <f>I1198</f>
        <v>2213</v>
      </c>
      <c r="J1205" s="96">
        <f>J1198</f>
        <v>5324</v>
      </c>
    </row>
    <row r="1206" spans="2:10" x14ac:dyDescent="0.15">
      <c r="B1206" s="5" t="s">
        <v>493</v>
      </c>
      <c r="C1206" s="14">
        <v>15</v>
      </c>
      <c r="D1206" s="31">
        <v>10</v>
      </c>
      <c r="E1206" s="23">
        <f t="shared" si="154"/>
        <v>25</v>
      </c>
      <c r="F1206" s="61">
        <v>44903</v>
      </c>
      <c r="G1206" s="25"/>
      <c r="H1206" s="14"/>
      <c r="I1206" s="31"/>
      <c r="J1206" s="15">
        <f t="shared" ref="J1206:J1210" si="155">H1206+I1206</f>
        <v>0</v>
      </c>
    </row>
    <row r="1207" spans="2:10" x14ac:dyDescent="0.15">
      <c r="B1207" s="26" t="s">
        <v>5</v>
      </c>
      <c r="C1207" s="27"/>
      <c r="D1207" s="36"/>
      <c r="E1207" s="28">
        <f t="shared" si="154"/>
        <v>0</v>
      </c>
      <c r="F1207" s="61"/>
      <c r="G1207" s="25"/>
      <c r="H1207" s="14"/>
      <c r="I1207" s="31"/>
      <c r="J1207" s="15">
        <f t="shared" si="155"/>
        <v>0</v>
      </c>
    </row>
    <row r="1208" spans="2:10" x14ac:dyDescent="0.15">
      <c r="B1208" s="26" t="s">
        <v>5</v>
      </c>
      <c r="C1208" s="27"/>
      <c r="D1208" s="36"/>
      <c r="E1208" s="28">
        <f t="shared" si="154"/>
        <v>0</v>
      </c>
      <c r="F1208" s="61"/>
      <c r="G1208" s="25"/>
      <c r="H1208" s="14"/>
      <c r="I1208" s="31"/>
      <c r="J1208" s="15">
        <f t="shared" si="155"/>
        <v>0</v>
      </c>
    </row>
    <row r="1209" spans="2:10" x14ac:dyDescent="0.15">
      <c r="B1209" s="26" t="s">
        <v>5</v>
      </c>
      <c r="C1209" s="27"/>
      <c r="D1209" s="36"/>
      <c r="E1209" s="28">
        <f t="shared" si="154"/>
        <v>0</v>
      </c>
      <c r="F1209" s="61"/>
      <c r="G1209" s="25"/>
      <c r="H1209" s="14"/>
      <c r="I1209" s="31"/>
      <c r="J1209" s="15">
        <f t="shared" si="155"/>
        <v>0</v>
      </c>
    </row>
    <row r="1210" spans="2:10" ht="14.25" thickBot="1" x14ac:dyDescent="0.2">
      <c r="B1210" s="26" t="s">
        <v>5</v>
      </c>
      <c r="C1210" s="14"/>
      <c r="D1210" s="31"/>
      <c r="E1210" s="15">
        <f t="shared" si="154"/>
        <v>0</v>
      </c>
      <c r="F1210" s="61"/>
      <c r="G1210" s="25" t="s">
        <v>5</v>
      </c>
      <c r="H1210" s="92"/>
      <c r="I1210" s="93"/>
      <c r="J1210" s="94">
        <f t="shared" si="155"/>
        <v>0</v>
      </c>
    </row>
    <row r="1211" spans="2:10" ht="14.25" thickBot="1" x14ac:dyDescent="0.2">
      <c r="B1211" s="8" t="s">
        <v>1</v>
      </c>
      <c r="C1211" s="10">
        <f>SUM(C1205:C1210)</f>
        <v>126</v>
      </c>
      <c r="D1211" s="32">
        <f>SUM(D1205:D1210)</f>
        <v>393</v>
      </c>
      <c r="E1211" s="11">
        <f t="shared" si="154"/>
        <v>519</v>
      </c>
      <c r="G1211" s="8" t="s">
        <v>1</v>
      </c>
      <c r="H1211" s="10">
        <f>SUM(H1205:H1210)</f>
        <v>3111</v>
      </c>
      <c r="I1211" s="32">
        <f>SUM(I1205:I1210)</f>
        <v>2213</v>
      </c>
      <c r="J1211" s="11">
        <f>SUM(J1205:J1210)</f>
        <v>5324</v>
      </c>
    </row>
    <row r="1212" spans="2:10" x14ac:dyDescent="0.15">
      <c r="B1212" s="5" t="s">
        <v>381</v>
      </c>
      <c r="C1212" s="14"/>
      <c r="D1212" s="31">
        <v>1</v>
      </c>
      <c r="E1212" s="15">
        <f>C1212+D1212</f>
        <v>1</v>
      </c>
      <c r="F1212" s="61">
        <v>44869</v>
      </c>
      <c r="G1212" s="102"/>
      <c r="H1212" s="14"/>
      <c r="I1212" s="31"/>
      <c r="J1212" s="15">
        <f t="shared" ref="J1212:J1233" si="156">H1212+I1212</f>
        <v>0</v>
      </c>
    </row>
    <row r="1213" spans="2:10" x14ac:dyDescent="0.15">
      <c r="B1213" s="5" t="s">
        <v>485</v>
      </c>
      <c r="C1213" s="14"/>
      <c r="D1213" s="31">
        <v>5</v>
      </c>
      <c r="E1213" s="15">
        <f t="shared" ref="E1213:E1234" si="157">C1213+D1213</f>
        <v>5</v>
      </c>
      <c r="F1213" s="61">
        <v>44874</v>
      </c>
      <c r="G1213" s="102"/>
      <c r="H1213" s="14"/>
      <c r="I1213" s="31"/>
      <c r="J1213" s="15">
        <f t="shared" si="156"/>
        <v>0</v>
      </c>
    </row>
    <row r="1214" spans="2:10" x14ac:dyDescent="0.15">
      <c r="B1214" s="5" t="s">
        <v>381</v>
      </c>
      <c r="C1214" s="14">
        <v>1</v>
      </c>
      <c r="D1214" s="31"/>
      <c r="E1214" s="15">
        <f t="shared" si="157"/>
        <v>1</v>
      </c>
      <c r="F1214" s="61">
        <v>44874</v>
      </c>
      <c r="G1214" s="102"/>
      <c r="H1214" s="14"/>
      <c r="I1214" s="31"/>
      <c r="J1214" s="15">
        <f t="shared" si="156"/>
        <v>0</v>
      </c>
    </row>
    <row r="1215" spans="2:10" x14ac:dyDescent="0.15">
      <c r="B1215" s="5" t="s">
        <v>486</v>
      </c>
      <c r="C1215" s="14">
        <v>5</v>
      </c>
      <c r="D1215" s="31"/>
      <c r="E1215" s="15">
        <f t="shared" si="157"/>
        <v>5</v>
      </c>
      <c r="F1215" s="61">
        <v>44877</v>
      </c>
      <c r="G1215" s="102"/>
      <c r="H1215" s="14"/>
      <c r="I1215" s="31"/>
      <c r="J1215" s="15">
        <f t="shared" si="156"/>
        <v>0</v>
      </c>
    </row>
    <row r="1216" spans="2:10" x14ac:dyDescent="0.15">
      <c r="B1216" s="5" t="s">
        <v>381</v>
      </c>
      <c r="C1216" s="14">
        <v>5</v>
      </c>
      <c r="D1216" s="31"/>
      <c r="E1216" s="15">
        <f t="shared" si="157"/>
        <v>5</v>
      </c>
      <c r="F1216" s="61">
        <v>44876</v>
      </c>
      <c r="G1216" s="102"/>
      <c r="H1216" s="14"/>
      <c r="I1216" s="31"/>
      <c r="J1216" s="15">
        <f t="shared" si="156"/>
        <v>0</v>
      </c>
    </row>
    <row r="1217" spans="2:10" x14ac:dyDescent="0.15">
      <c r="B1217" s="5" t="s">
        <v>381</v>
      </c>
      <c r="C1217" s="14">
        <v>1</v>
      </c>
      <c r="D1217" s="31"/>
      <c r="E1217" s="15">
        <f t="shared" si="157"/>
        <v>1</v>
      </c>
      <c r="F1217" s="61">
        <v>44879</v>
      </c>
      <c r="G1217" s="5"/>
      <c r="H1217" s="14"/>
      <c r="I1217" s="31"/>
      <c r="J1217" s="15">
        <f t="shared" si="156"/>
        <v>0</v>
      </c>
    </row>
    <row r="1218" spans="2:10" x14ac:dyDescent="0.15">
      <c r="B1218" s="5" t="s">
        <v>487</v>
      </c>
      <c r="C1218" s="14"/>
      <c r="D1218" s="31">
        <v>4</v>
      </c>
      <c r="E1218" s="15">
        <f t="shared" si="157"/>
        <v>4</v>
      </c>
      <c r="F1218" s="61">
        <v>44881</v>
      </c>
      <c r="G1218" s="13"/>
      <c r="H1218" s="14"/>
      <c r="I1218" s="31"/>
      <c r="J1218" s="15">
        <f t="shared" si="156"/>
        <v>0</v>
      </c>
    </row>
    <row r="1219" spans="2:10" x14ac:dyDescent="0.15">
      <c r="B1219" s="5" t="s">
        <v>381</v>
      </c>
      <c r="C1219" s="14">
        <v>1</v>
      </c>
      <c r="D1219" s="31">
        <v>1</v>
      </c>
      <c r="E1219" s="15">
        <f t="shared" si="157"/>
        <v>2</v>
      </c>
      <c r="F1219" s="61">
        <v>44881</v>
      </c>
      <c r="G1219" s="13"/>
      <c r="H1219" s="14"/>
      <c r="I1219" s="31"/>
      <c r="J1219" s="15">
        <f t="shared" si="156"/>
        <v>0</v>
      </c>
    </row>
    <row r="1220" spans="2:10" x14ac:dyDescent="0.15">
      <c r="B1220" s="5" t="s">
        <v>488</v>
      </c>
      <c r="C1220" s="14">
        <v>10</v>
      </c>
      <c r="D1220" s="31"/>
      <c r="E1220" s="15">
        <f t="shared" si="157"/>
        <v>10</v>
      </c>
      <c r="F1220" s="61">
        <v>44884</v>
      </c>
      <c r="G1220" s="13"/>
      <c r="H1220" s="14"/>
      <c r="I1220" s="31"/>
      <c r="J1220" s="15">
        <f t="shared" si="156"/>
        <v>0</v>
      </c>
    </row>
    <row r="1221" spans="2:10" x14ac:dyDescent="0.15">
      <c r="B1221" s="5" t="s">
        <v>489</v>
      </c>
      <c r="C1221" s="14">
        <v>5</v>
      </c>
      <c r="D1221" s="31"/>
      <c r="E1221" s="15">
        <f t="shared" si="157"/>
        <v>5</v>
      </c>
      <c r="F1221" s="61">
        <v>44887</v>
      </c>
      <c r="G1221" s="13"/>
      <c r="H1221" s="14"/>
      <c r="I1221" s="31"/>
      <c r="J1221" s="15">
        <f t="shared" si="156"/>
        <v>0</v>
      </c>
    </row>
    <row r="1222" spans="2:10" x14ac:dyDescent="0.15">
      <c r="B1222" s="5" t="s">
        <v>381</v>
      </c>
      <c r="C1222" s="14">
        <v>1</v>
      </c>
      <c r="D1222" s="31"/>
      <c r="E1222" s="15">
        <f t="shared" si="157"/>
        <v>1</v>
      </c>
      <c r="F1222" s="61">
        <v>44887</v>
      </c>
      <c r="G1222" s="13"/>
      <c r="H1222" s="14"/>
      <c r="I1222" s="31"/>
      <c r="J1222" s="15">
        <f t="shared" si="156"/>
        <v>0</v>
      </c>
    </row>
    <row r="1223" spans="2:10" x14ac:dyDescent="0.15">
      <c r="B1223" s="5" t="s">
        <v>381</v>
      </c>
      <c r="C1223" s="14">
        <v>1</v>
      </c>
      <c r="D1223" s="31">
        <v>1</v>
      </c>
      <c r="E1223" s="15">
        <f t="shared" si="157"/>
        <v>2</v>
      </c>
      <c r="F1223" s="61">
        <v>44889</v>
      </c>
      <c r="G1223" s="13"/>
      <c r="H1223" s="14"/>
      <c r="I1223" s="31"/>
      <c r="J1223" s="15">
        <f t="shared" si="156"/>
        <v>0</v>
      </c>
    </row>
    <row r="1224" spans="2:10" x14ac:dyDescent="0.15">
      <c r="B1224" s="5" t="s">
        <v>381</v>
      </c>
      <c r="C1224" s="14">
        <v>1</v>
      </c>
      <c r="D1224" s="31">
        <v>2</v>
      </c>
      <c r="E1224" s="15">
        <f t="shared" si="157"/>
        <v>3</v>
      </c>
      <c r="F1224" s="61">
        <v>44890</v>
      </c>
      <c r="G1224" s="13"/>
      <c r="H1224" s="14"/>
      <c r="I1224" s="31"/>
      <c r="J1224" s="15">
        <f t="shared" si="156"/>
        <v>0</v>
      </c>
    </row>
    <row r="1225" spans="2:10" x14ac:dyDescent="0.15">
      <c r="B1225" s="5" t="s">
        <v>381</v>
      </c>
      <c r="C1225" s="14">
        <f>2+1</f>
        <v>3</v>
      </c>
      <c r="D1225" s="31">
        <v>1</v>
      </c>
      <c r="E1225" s="15">
        <f t="shared" si="157"/>
        <v>4</v>
      </c>
      <c r="F1225" s="61">
        <v>44893</v>
      </c>
      <c r="G1225" s="25"/>
      <c r="H1225" s="14"/>
      <c r="I1225" s="31"/>
      <c r="J1225" s="15">
        <f t="shared" si="156"/>
        <v>0</v>
      </c>
    </row>
    <row r="1226" spans="2:10" x14ac:dyDescent="0.15">
      <c r="B1226" s="5" t="s">
        <v>429</v>
      </c>
      <c r="C1226" s="14">
        <v>10</v>
      </c>
      <c r="D1226" s="31"/>
      <c r="E1226" s="15">
        <f t="shared" si="157"/>
        <v>10</v>
      </c>
      <c r="F1226" s="61">
        <v>44895</v>
      </c>
      <c r="G1226" s="25"/>
      <c r="H1226" s="14"/>
      <c r="I1226" s="31"/>
      <c r="J1226" s="15">
        <f t="shared" si="156"/>
        <v>0</v>
      </c>
    </row>
    <row r="1227" spans="2:10" x14ac:dyDescent="0.15">
      <c r="B1227" s="5" t="s">
        <v>381</v>
      </c>
      <c r="C1227" s="14">
        <v>3</v>
      </c>
      <c r="D1227" s="31">
        <v>3</v>
      </c>
      <c r="E1227" s="15">
        <f t="shared" si="157"/>
        <v>6</v>
      </c>
      <c r="F1227" s="61">
        <v>44895</v>
      </c>
      <c r="G1227" s="25"/>
      <c r="H1227" s="14"/>
      <c r="I1227" s="31"/>
      <c r="J1227" s="15">
        <f t="shared" si="156"/>
        <v>0</v>
      </c>
    </row>
    <row r="1228" spans="2:10" x14ac:dyDescent="0.15">
      <c r="B1228" s="5" t="s">
        <v>490</v>
      </c>
      <c r="C1228" s="14">
        <v>15</v>
      </c>
      <c r="D1228" s="31">
        <v>10</v>
      </c>
      <c r="E1228" s="15">
        <f t="shared" si="157"/>
        <v>25</v>
      </c>
      <c r="F1228" s="61">
        <v>44898</v>
      </c>
      <c r="G1228" s="25"/>
      <c r="H1228" s="14"/>
      <c r="I1228" s="31"/>
      <c r="J1228" s="15">
        <f t="shared" si="156"/>
        <v>0</v>
      </c>
    </row>
    <row r="1229" spans="2:10" x14ac:dyDescent="0.15">
      <c r="B1229" s="5" t="s">
        <v>381</v>
      </c>
      <c r="C1229" s="14">
        <v>1</v>
      </c>
      <c r="D1229" s="31"/>
      <c r="E1229" s="15">
        <f t="shared" si="157"/>
        <v>1</v>
      </c>
      <c r="F1229" s="61">
        <v>44896</v>
      </c>
      <c r="G1229" s="13"/>
      <c r="H1229" s="14"/>
      <c r="I1229" s="31"/>
      <c r="J1229" s="15">
        <f t="shared" si="156"/>
        <v>0</v>
      </c>
    </row>
    <row r="1230" spans="2:10" x14ac:dyDescent="0.15">
      <c r="B1230" s="5" t="s">
        <v>491</v>
      </c>
      <c r="C1230" s="14">
        <v>10</v>
      </c>
      <c r="D1230" s="31"/>
      <c r="E1230" s="15">
        <f t="shared" si="157"/>
        <v>10</v>
      </c>
      <c r="F1230" s="61">
        <v>44898</v>
      </c>
      <c r="G1230" s="25"/>
      <c r="H1230" s="14"/>
      <c r="I1230" s="31"/>
      <c r="J1230" s="15">
        <f t="shared" si="156"/>
        <v>0</v>
      </c>
    </row>
    <row r="1231" spans="2:10" x14ac:dyDescent="0.15">
      <c r="B1231" s="5" t="s">
        <v>381</v>
      </c>
      <c r="C1231" s="14">
        <v>1</v>
      </c>
      <c r="D1231" s="31"/>
      <c r="E1231" s="15">
        <f t="shared" si="157"/>
        <v>1</v>
      </c>
      <c r="F1231" s="61">
        <v>44898</v>
      </c>
      <c r="G1231" s="25"/>
      <c r="H1231" s="14"/>
      <c r="I1231" s="31"/>
      <c r="J1231" s="15">
        <f t="shared" si="156"/>
        <v>0</v>
      </c>
    </row>
    <row r="1232" spans="2:10" x14ac:dyDescent="0.15">
      <c r="B1232" s="5" t="s">
        <v>492</v>
      </c>
      <c r="C1232" s="14">
        <v>2</v>
      </c>
      <c r="D1232" s="31">
        <v>2</v>
      </c>
      <c r="E1232" s="15">
        <f t="shared" si="157"/>
        <v>4</v>
      </c>
      <c r="F1232" s="61">
        <v>44901</v>
      </c>
      <c r="G1232" s="13"/>
      <c r="H1232" s="14"/>
      <c r="I1232" s="31"/>
      <c r="J1232" s="15">
        <f t="shared" si="156"/>
        <v>0</v>
      </c>
    </row>
    <row r="1233" spans="2:10" x14ac:dyDescent="0.15">
      <c r="B1233" s="5" t="s">
        <v>381</v>
      </c>
      <c r="C1233" s="14">
        <f>3+2</f>
        <v>5</v>
      </c>
      <c r="D1233" s="31"/>
      <c r="E1233" s="15">
        <f t="shared" si="157"/>
        <v>5</v>
      </c>
      <c r="F1233" s="61">
        <v>44900</v>
      </c>
      <c r="G1233" s="13"/>
      <c r="H1233" s="14"/>
      <c r="I1233" s="31"/>
      <c r="J1233" s="15">
        <f t="shared" si="156"/>
        <v>0</v>
      </c>
    </row>
    <row r="1234" spans="2:10" x14ac:dyDescent="0.15">
      <c r="B1234" s="5" t="s">
        <v>381</v>
      </c>
      <c r="C1234" s="14">
        <v>1</v>
      </c>
      <c r="D1234" s="31"/>
      <c r="E1234" s="15">
        <f t="shared" si="157"/>
        <v>1</v>
      </c>
      <c r="F1234" s="61">
        <v>44901</v>
      </c>
      <c r="G1234" s="25"/>
      <c r="H1234" s="14"/>
      <c r="I1234" s="31"/>
      <c r="J1234" s="15">
        <f>H1234+I1234</f>
        <v>0</v>
      </c>
    </row>
    <row r="1235" spans="2:10" x14ac:dyDescent="0.15">
      <c r="B1235" s="5" t="s">
        <v>381</v>
      </c>
      <c r="C1235" s="14">
        <v>1</v>
      </c>
      <c r="D1235" s="31"/>
      <c r="E1235" s="15">
        <f>C1235+D1235</f>
        <v>1</v>
      </c>
      <c r="F1235" s="61">
        <v>44907</v>
      </c>
      <c r="G1235" s="13"/>
      <c r="H1235" s="14"/>
      <c r="I1235" s="31"/>
      <c r="J1235" s="15">
        <f>H1235+I1235</f>
        <v>0</v>
      </c>
    </row>
    <row r="1236" spans="2:10" ht="14.25" thickBot="1" x14ac:dyDescent="0.2">
      <c r="B1236" s="5" t="s">
        <v>494</v>
      </c>
      <c r="C1236" s="14"/>
      <c r="D1236" s="31">
        <v>1</v>
      </c>
      <c r="E1236" s="15">
        <f>C1236+D1236</f>
        <v>1</v>
      </c>
      <c r="F1236" s="61">
        <v>44911</v>
      </c>
      <c r="G1236" s="13"/>
      <c r="H1236" s="14"/>
      <c r="I1236" s="31"/>
      <c r="J1236" s="15">
        <f>H1236+I1236</f>
        <v>0</v>
      </c>
    </row>
    <row r="1237" spans="2:10" ht="14.25" thickBot="1" x14ac:dyDescent="0.2">
      <c r="B1237" s="8" t="s">
        <v>2</v>
      </c>
      <c r="C1237" s="10">
        <f>SUM(C1212:C1236)</f>
        <v>83</v>
      </c>
      <c r="D1237" s="32">
        <f>SUM(D1212:D1236)</f>
        <v>31</v>
      </c>
      <c r="E1237" s="11">
        <f>C1237+D1237</f>
        <v>114</v>
      </c>
      <c r="G1237" s="8" t="s">
        <v>2</v>
      </c>
      <c r="H1237" s="10">
        <f>SUM(H1212:H1236)</f>
        <v>0</v>
      </c>
      <c r="I1237" s="32">
        <f>SUM(I1212:I1236)</f>
        <v>0</v>
      </c>
      <c r="J1237" s="11">
        <f t="shared" ref="J1237" si="158">H1237+I1237</f>
        <v>0</v>
      </c>
    </row>
    <row r="1238" spans="2:10" ht="14.25" thickBot="1" x14ac:dyDescent="0.2">
      <c r="B1238" s="52" t="s">
        <v>3</v>
      </c>
      <c r="C1238" s="53">
        <f>+C1211-C1237</f>
        <v>43</v>
      </c>
      <c r="D1238" s="54">
        <f>+D1211-D1237</f>
        <v>362</v>
      </c>
      <c r="E1238" s="55">
        <f>C1238+D1238</f>
        <v>405</v>
      </c>
      <c r="G1238" s="52" t="s">
        <v>3</v>
      </c>
      <c r="H1238" s="87">
        <f>+H1211-H1237</f>
        <v>3111</v>
      </c>
      <c r="I1238" s="97">
        <f>+I1211-I1237</f>
        <v>2213</v>
      </c>
      <c r="J1238" s="95">
        <f>+J1211-J1237</f>
        <v>5324</v>
      </c>
    </row>
    <row r="1240" spans="2:10" ht="21" x14ac:dyDescent="0.2">
      <c r="B1240" s="76" t="s">
        <v>150</v>
      </c>
      <c r="G1240" s="75" t="s">
        <v>149</v>
      </c>
    </row>
    <row r="1241" spans="2:10" ht="18.75" x14ac:dyDescent="0.2">
      <c r="B1241" s="3" t="s">
        <v>11</v>
      </c>
      <c r="E1241" s="71"/>
      <c r="G1241" s="3" t="s">
        <v>11</v>
      </c>
    </row>
    <row r="1242" spans="2:10" ht="14.25" thickBot="1" x14ac:dyDescent="0.2">
      <c r="G1242" s="1"/>
    </row>
    <row r="1243" spans="2:10" ht="14.25" thickBot="1" x14ac:dyDescent="0.2">
      <c r="B1243" s="7"/>
      <c r="C1243" s="67"/>
      <c r="D1243" s="68"/>
      <c r="E1243" s="69"/>
      <c r="G1243" s="7"/>
      <c r="H1243" s="67"/>
      <c r="I1243" s="68"/>
      <c r="J1243" s="69"/>
    </row>
    <row r="1244" spans="2:10" ht="14.25" thickBot="1" x14ac:dyDescent="0.2">
      <c r="B1244" s="8"/>
      <c r="C1244" s="40" t="s">
        <v>7</v>
      </c>
      <c r="D1244" s="29" t="s">
        <v>9</v>
      </c>
      <c r="E1244" s="9" t="s">
        <v>0</v>
      </c>
      <c r="G1244" s="8"/>
      <c r="H1244" s="40" t="s">
        <v>7</v>
      </c>
      <c r="I1244" s="29" t="s">
        <v>9</v>
      </c>
      <c r="J1244" s="9" t="s">
        <v>0</v>
      </c>
    </row>
    <row r="1245" spans="2:10" x14ac:dyDescent="0.15">
      <c r="B1245" s="16" t="s">
        <v>4</v>
      </c>
      <c r="C1245" s="17">
        <f>C1238</f>
        <v>43</v>
      </c>
      <c r="D1245" s="35">
        <f>D1238</f>
        <v>362</v>
      </c>
      <c r="E1245" s="18">
        <f t="shared" ref="E1245:E1251" si="159">C1245+D1245</f>
        <v>405</v>
      </c>
      <c r="G1245" s="16" t="s">
        <v>4</v>
      </c>
      <c r="H1245" s="89">
        <f>H1238</f>
        <v>3111</v>
      </c>
      <c r="I1245" s="90">
        <f>I1238</f>
        <v>2213</v>
      </c>
      <c r="J1245" s="96">
        <f>J1238</f>
        <v>5324</v>
      </c>
    </row>
    <row r="1246" spans="2:10" x14ac:dyDescent="0.15">
      <c r="B1246" s="26" t="s">
        <v>5</v>
      </c>
      <c r="C1246" s="27">
        <v>30</v>
      </c>
      <c r="D1246" s="36"/>
      <c r="E1246" s="28">
        <f t="shared" ref="E1246" si="160">C1246+D1246</f>
        <v>30</v>
      </c>
      <c r="F1246" s="61">
        <v>44917</v>
      </c>
      <c r="G1246" s="25" t="s">
        <v>5</v>
      </c>
      <c r="H1246" s="14"/>
      <c r="I1246" s="31"/>
      <c r="J1246" s="15">
        <f t="shared" ref="J1246:J1250" si="161">H1246+I1246</f>
        <v>0</v>
      </c>
    </row>
    <row r="1247" spans="2:10" x14ac:dyDescent="0.15">
      <c r="B1247" s="26" t="s">
        <v>503</v>
      </c>
      <c r="C1247" s="27">
        <v>200</v>
      </c>
      <c r="D1247" s="36"/>
      <c r="E1247" s="28">
        <f t="shared" si="159"/>
        <v>200</v>
      </c>
      <c r="F1247" s="61">
        <v>44933</v>
      </c>
      <c r="G1247" s="25" t="s">
        <v>5</v>
      </c>
      <c r="H1247" s="14"/>
      <c r="I1247" s="31"/>
      <c r="J1247" s="15">
        <f t="shared" si="161"/>
        <v>0</v>
      </c>
    </row>
    <row r="1248" spans="2:10" x14ac:dyDescent="0.15">
      <c r="B1248" s="26" t="s">
        <v>5</v>
      </c>
      <c r="C1248" s="27">
        <v>21</v>
      </c>
      <c r="D1248" s="36"/>
      <c r="E1248" s="28">
        <f t="shared" si="159"/>
        <v>21</v>
      </c>
      <c r="F1248" s="61">
        <v>44943</v>
      </c>
      <c r="G1248" s="25" t="s">
        <v>5</v>
      </c>
      <c r="H1248" s="14"/>
      <c r="I1248" s="31"/>
      <c r="J1248" s="15">
        <f t="shared" si="161"/>
        <v>0</v>
      </c>
    </row>
    <row r="1249" spans="2:11" x14ac:dyDescent="0.15">
      <c r="B1249" s="26" t="s">
        <v>5</v>
      </c>
      <c r="C1249" s="27">
        <v>350</v>
      </c>
      <c r="D1249" s="36"/>
      <c r="E1249" s="28">
        <f t="shared" si="159"/>
        <v>350</v>
      </c>
      <c r="F1249" s="61">
        <v>44947</v>
      </c>
      <c r="G1249" s="25" t="s">
        <v>5</v>
      </c>
      <c r="H1249" s="14"/>
      <c r="I1249" s="31"/>
      <c r="J1249" s="15">
        <f t="shared" si="161"/>
        <v>0</v>
      </c>
    </row>
    <row r="1250" spans="2:11" ht="14.25" thickBot="1" x14ac:dyDescent="0.2">
      <c r="B1250" s="26" t="s">
        <v>5</v>
      </c>
      <c r="C1250" s="14"/>
      <c r="D1250" s="31"/>
      <c r="E1250" s="15">
        <f t="shared" si="159"/>
        <v>0</v>
      </c>
      <c r="F1250" s="61"/>
      <c r="G1250" s="25" t="s">
        <v>5</v>
      </c>
      <c r="H1250" s="92"/>
      <c r="I1250" s="93"/>
      <c r="J1250" s="94">
        <f t="shared" si="161"/>
        <v>0</v>
      </c>
    </row>
    <row r="1251" spans="2:11" ht="14.25" thickBot="1" x14ac:dyDescent="0.2">
      <c r="B1251" s="8" t="s">
        <v>1</v>
      </c>
      <c r="C1251" s="10">
        <f>SUM(C1245:C1250)</f>
        <v>644</v>
      </c>
      <c r="D1251" s="32">
        <f>SUM(D1245:D1250)</f>
        <v>362</v>
      </c>
      <c r="E1251" s="11">
        <f t="shared" si="159"/>
        <v>1006</v>
      </c>
      <c r="G1251" s="8" t="s">
        <v>1</v>
      </c>
      <c r="H1251" s="10">
        <f>SUM(H1245:H1250)</f>
        <v>3111</v>
      </c>
      <c r="I1251" s="32">
        <f>SUM(I1245:I1250)</f>
        <v>2213</v>
      </c>
      <c r="J1251" s="11">
        <f>SUM(J1245:J1250)</f>
        <v>5324</v>
      </c>
    </row>
    <row r="1252" spans="2:11" x14ac:dyDescent="0.15">
      <c r="B1252" s="5" t="s">
        <v>381</v>
      </c>
      <c r="C1252" s="14">
        <v>1</v>
      </c>
      <c r="D1252" s="31">
        <v>1</v>
      </c>
      <c r="E1252" s="15">
        <f>C1252+D1252</f>
        <v>2</v>
      </c>
      <c r="F1252" s="61">
        <v>44908</v>
      </c>
      <c r="G1252" s="102" t="s">
        <v>120</v>
      </c>
      <c r="H1252" s="14">
        <v>30</v>
      </c>
      <c r="I1252" s="31"/>
      <c r="J1252" s="15">
        <f t="shared" ref="J1252" si="162">H1252+I1252</f>
        <v>30</v>
      </c>
      <c r="K1252" s="61">
        <v>44917</v>
      </c>
    </row>
    <row r="1253" spans="2:11" x14ac:dyDescent="0.15">
      <c r="B1253" s="5" t="s">
        <v>495</v>
      </c>
      <c r="C1253" s="14">
        <v>5</v>
      </c>
      <c r="D1253" s="31">
        <v>5</v>
      </c>
      <c r="E1253" s="15">
        <f t="shared" ref="E1253:E1274" si="163">C1253+D1253</f>
        <v>10</v>
      </c>
      <c r="F1253" s="61">
        <v>44910</v>
      </c>
      <c r="G1253" s="102" t="s">
        <v>504</v>
      </c>
      <c r="H1253" s="14">
        <v>200</v>
      </c>
      <c r="I1253" s="31"/>
      <c r="J1253" s="15">
        <f t="shared" ref="J1253:J1273" si="164">H1253+I1253</f>
        <v>200</v>
      </c>
      <c r="K1253" s="61">
        <v>44933</v>
      </c>
    </row>
    <row r="1254" spans="2:11" x14ac:dyDescent="0.15">
      <c r="B1254" s="5" t="s">
        <v>381</v>
      </c>
      <c r="C1254" s="14">
        <v>1</v>
      </c>
      <c r="D1254" s="31"/>
      <c r="E1254" s="15">
        <f t="shared" si="163"/>
        <v>1</v>
      </c>
      <c r="F1254" s="61">
        <v>44910</v>
      </c>
      <c r="G1254" s="102" t="s">
        <v>120</v>
      </c>
      <c r="H1254" s="14">
        <v>21</v>
      </c>
      <c r="I1254" s="31"/>
      <c r="J1254" s="15">
        <f t="shared" si="164"/>
        <v>21</v>
      </c>
      <c r="K1254" s="61">
        <v>44943</v>
      </c>
    </row>
    <row r="1255" spans="2:11" x14ac:dyDescent="0.15">
      <c r="B1255" s="5" t="s">
        <v>496</v>
      </c>
      <c r="C1255" s="14">
        <v>3</v>
      </c>
      <c r="D1255" s="31">
        <v>5</v>
      </c>
      <c r="E1255" s="15">
        <f t="shared" si="163"/>
        <v>8</v>
      </c>
      <c r="F1255" s="61">
        <v>44915</v>
      </c>
      <c r="G1255" s="102" t="s">
        <v>120</v>
      </c>
      <c r="H1255" s="14">
        <v>350</v>
      </c>
      <c r="I1255" s="31"/>
      <c r="J1255" s="15">
        <f t="shared" si="164"/>
        <v>350</v>
      </c>
      <c r="K1255" s="61">
        <v>44947</v>
      </c>
    </row>
    <row r="1256" spans="2:11" x14ac:dyDescent="0.15">
      <c r="B1256" s="5" t="s">
        <v>497</v>
      </c>
      <c r="C1256" s="14">
        <v>10</v>
      </c>
      <c r="D1256" s="31">
        <v>10</v>
      </c>
      <c r="E1256" s="15">
        <f t="shared" si="163"/>
        <v>20</v>
      </c>
      <c r="F1256" s="61">
        <v>44916</v>
      </c>
      <c r="G1256" s="102"/>
      <c r="H1256" s="14"/>
      <c r="I1256" s="31"/>
      <c r="J1256" s="15">
        <f t="shared" si="164"/>
        <v>0</v>
      </c>
    </row>
    <row r="1257" spans="2:11" x14ac:dyDescent="0.15">
      <c r="B1257" s="5" t="s">
        <v>381</v>
      </c>
      <c r="C1257" s="14">
        <v>3</v>
      </c>
      <c r="D1257" s="31">
        <v>2</v>
      </c>
      <c r="E1257" s="15">
        <f t="shared" si="163"/>
        <v>5</v>
      </c>
      <c r="F1257" s="61">
        <v>44915</v>
      </c>
      <c r="G1257" s="5"/>
      <c r="H1257" s="14"/>
      <c r="I1257" s="31"/>
      <c r="J1257" s="15">
        <f t="shared" si="164"/>
        <v>0</v>
      </c>
    </row>
    <row r="1258" spans="2:11" x14ac:dyDescent="0.15">
      <c r="B1258" s="5" t="s">
        <v>381</v>
      </c>
      <c r="C1258" s="14"/>
      <c r="D1258" s="31">
        <v>5</v>
      </c>
      <c r="E1258" s="15">
        <f t="shared" si="163"/>
        <v>5</v>
      </c>
      <c r="F1258" s="61">
        <v>44917</v>
      </c>
      <c r="G1258" s="13"/>
      <c r="H1258" s="14"/>
      <c r="I1258" s="31"/>
      <c r="J1258" s="15">
        <f t="shared" si="164"/>
        <v>0</v>
      </c>
    </row>
    <row r="1259" spans="2:11" x14ac:dyDescent="0.15">
      <c r="B1259" s="5" t="s">
        <v>462</v>
      </c>
      <c r="C1259" s="14"/>
      <c r="D1259" s="31">
        <v>9</v>
      </c>
      <c r="E1259" s="15">
        <f t="shared" si="163"/>
        <v>9</v>
      </c>
      <c r="F1259" s="61">
        <v>44922</v>
      </c>
      <c r="G1259" s="13"/>
      <c r="H1259" s="14"/>
      <c r="I1259" s="31"/>
      <c r="J1259" s="15">
        <f t="shared" si="164"/>
        <v>0</v>
      </c>
    </row>
    <row r="1260" spans="2:11" x14ac:dyDescent="0.15">
      <c r="B1260" s="5" t="s">
        <v>381</v>
      </c>
      <c r="C1260" s="14">
        <f>2+1+5</f>
        <v>8</v>
      </c>
      <c r="D1260" s="31">
        <v>1</v>
      </c>
      <c r="E1260" s="15">
        <f t="shared" si="163"/>
        <v>9</v>
      </c>
      <c r="F1260" s="61">
        <v>44921</v>
      </c>
      <c r="G1260" s="13"/>
      <c r="H1260" s="14"/>
      <c r="I1260" s="31"/>
      <c r="J1260" s="15">
        <f t="shared" si="164"/>
        <v>0</v>
      </c>
    </row>
    <row r="1261" spans="2:11" x14ac:dyDescent="0.15">
      <c r="B1261" s="5" t="s">
        <v>498</v>
      </c>
      <c r="C1261" s="14">
        <v>3</v>
      </c>
      <c r="D1261" s="31"/>
      <c r="E1261" s="15">
        <f t="shared" si="163"/>
        <v>3</v>
      </c>
      <c r="F1261" s="61">
        <v>44932</v>
      </c>
      <c r="G1261" s="13"/>
      <c r="H1261" s="14"/>
      <c r="I1261" s="31"/>
      <c r="J1261" s="15">
        <f t="shared" si="164"/>
        <v>0</v>
      </c>
    </row>
    <row r="1262" spans="2:11" x14ac:dyDescent="0.15">
      <c r="B1262" s="5" t="s">
        <v>499</v>
      </c>
      <c r="C1262" s="14"/>
      <c r="D1262" s="31">
        <v>10</v>
      </c>
      <c r="E1262" s="15">
        <f t="shared" si="163"/>
        <v>10</v>
      </c>
      <c r="F1262" s="61">
        <v>44932</v>
      </c>
      <c r="G1262" s="13"/>
      <c r="H1262" s="14"/>
      <c r="I1262" s="31"/>
      <c r="J1262" s="15">
        <f t="shared" si="164"/>
        <v>0</v>
      </c>
    </row>
    <row r="1263" spans="2:11" x14ac:dyDescent="0.15">
      <c r="B1263" s="5" t="s">
        <v>381</v>
      </c>
      <c r="C1263" s="14">
        <f>2+2+1</f>
        <v>5</v>
      </c>
      <c r="D1263" s="31">
        <f>1+2</f>
        <v>3</v>
      </c>
      <c r="E1263" s="15">
        <f t="shared" si="163"/>
        <v>8</v>
      </c>
      <c r="F1263" s="61">
        <v>44931</v>
      </c>
      <c r="G1263" s="13"/>
      <c r="H1263" s="14"/>
      <c r="I1263" s="31"/>
      <c r="J1263" s="15">
        <f t="shared" si="164"/>
        <v>0</v>
      </c>
    </row>
    <row r="1264" spans="2:11" x14ac:dyDescent="0.15">
      <c r="B1264" s="5" t="s">
        <v>500</v>
      </c>
      <c r="C1264" s="14">
        <v>3</v>
      </c>
      <c r="D1264" s="31">
        <v>8</v>
      </c>
      <c r="E1264" s="15">
        <f t="shared" si="163"/>
        <v>11</v>
      </c>
      <c r="F1264" s="61">
        <v>44937</v>
      </c>
      <c r="G1264" s="13"/>
      <c r="H1264" s="14"/>
      <c r="I1264" s="31"/>
      <c r="J1264" s="15">
        <f t="shared" si="164"/>
        <v>0</v>
      </c>
    </row>
    <row r="1265" spans="2:10" x14ac:dyDescent="0.15">
      <c r="B1265" s="5" t="s">
        <v>501</v>
      </c>
      <c r="C1265" s="14">
        <v>10</v>
      </c>
      <c r="D1265" s="31">
        <v>5</v>
      </c>
      <c r="E1265" s="15">
        <f t="shared" si="163"/>
        <v>15</v>
      </c>
      <c r="F1265" s="61">
        <v>44938</v>
      </c>
      <c r="G1265" s="25"/>
      <c r="H1265" s="14"/>
      <c r="I1265" s="31"/>
      <c r="J1265" s="15">
        <f t="shared" si="164"/>
        <v>0</v>
      </c>
    </row>
    <row r="1266" spans="2:10" x14ac:dyDescent="0.15">
      <c r="B1266" s="5" t="s">
        <v>502</v>
      </c>
      <c r="C1266" s="14">
        <v>20</v>
      </c>
      <c r="D1266" s="31">
        <v>10</v>
      </c>
      <c r="E1266" s="15">
        <f t="shared" si="163"/>
        <v>30</v>
      </c>
      <c r="F1266" s="61">
        <v>44939</v>
      </c>
      <c r="G1266" s="25"/>
      <c r="H1266" s="14"/>
      <c r="I1266" s="31"/>
      <c r="J1266" s="15">
        <f t="shared" si="164"/>
        <v>0</v>
      </c>
    </row>
    <row r="1267" spans="2:10" x14ac:dyDescent="0.15">
      <c r="B1267" s="5" t="s">
        <v>505</v>
      </c>
      <c r="C1267" s="14">
        <v>3</v>
      </c>
      <c r="D1267" s="31"/>
      <c r="E1267" s="15">
        <f t="shared" si="163"/>
        <v>3</v>
      </c>
      <c r="F1267" s="61">
        <v>44943</v>
      </c>
      <c r="G1267" s="25"/>
      <c r="H1267" s="14"/>
      <c r="I1267" s="31"/>
      <c r="J1267" s="15">
        <f t="shared" si="164"/>
        <v>0</v>
      </c>
    </row>
    <row r="1268" spans="2:10" x14ac:dyDescent="0.15">
      <c r="B1268" s="5" t="s">
        <v>381</v>
      </c>
      <c r="C1268" s="14">
        <v>2</v>
      </c>
      <c r="D1268" s="31"/>
      <c r="E1268" s="15">
        <f t="shared" si="163"/>
        <v>2</v>
      </c>
      <c r="F1268" s="61">
        <v>44943</v>
      </c>
      <c r="G1268" s="25"/>
      <c r="H1268" s="14"/>
      <c r="I1268" s="31"/>
      <c r="J1268" s="15">
        <f t="shared" si="164"/>
        <v>0</v>
      </c>
    </row>
    <row r="1269" spans="2:10" x14ac:dyDescent="0.15">
      <c r="B1269" s="5" t="s">
        <v>506</v>
      </c>
      <c r="C1269" s="14">
        <v>10</v>
      </c>
      <c r="D1269" s="31"/>
      <c r="E1269" s="15">
        <f t="shared" si="163"/>
        <v>10</v>
      </c>
      <c r="F1269" s="61">
        <v>44947</v>
      </c>
      <c r="G1269" s="13"/>
      <c r="H1269" s="14"/>
      <c r="I1269" s="31"/>
      <c r="J1269" s="15">
        <f t="shared" si="164"/>
        <v>0</v>
      </c>
    </row>
    <row r="1270" spans="2:10" x14ac:dyDescent="0.15">
      <c r="B1270" s="5" t="s">
        <v>381</v>
      </c>
      <c r="C1270" s="14">
        <v>1</v>
      </c>
      <c r="D1270" s="31"/>
      <c r="E1270" s="15">
        <f t="shared" si="163"/>
        <v>1</v>
      </c>
      <c r="F1270" s="61">
        <v>44947</v>
      </c>
      <c r="G1270" s="25"/>
      <c r="H1270" s="14"/>
      <c r="I1270" s="31"/>
      <c r="J1270" s="15">
        <f t="shared" si="164"/>
        <v>0</v>
      </c>
    </row>
    <row r="1271" spans="2:10" x14ac:dyDescent="0.15">
      <c r="B1271" s="5" t="s">
        <v>507</v>
      </c>
      <c r="C1271" s="14">
        <v>3</v>
      </c>
      <c r="D1271" s="31"/>
      <c r="E1271" s="15">
        <f t="shared" si="163"/>
        <v>3</v>
      </c>
      <c r="F1271" s="61">
        <v>44952</v>
      </c>
      <c r="G1271" s="25"/>
      <c r="H1271" s="14"/>
      <c r="I1271" s="31"/>
      <c r="J1271" s="15">
        <f t="shared" si="164"/>
        <v>0</v>
      </c>
    </row>
    <row r="1272" spans="2:10" x14ac:dyDescent="0.15">
      <c r="B1272" s="5" t="s">
        <v>381</v>
      </c>
      <c r="C1272" s="14">
        <v>2</v>
      </c>
      <c r="D1272" s="31">
        <v>1</v>
      </c>
      <c r="E1272" s="15">
        <f t="shared" si="163"/>
        <v>3</v>
      </c>
      <c r="F1272" s="61">
        <v>44951</v>
      </c>
      <c r="G1272" s="13"/>
      <c r="H1272" s="14"/>
      <c r="I1272" s="31"/>
      <c r="J1272" s="15">
        <f t="shared" si="164"/>
        <v>0</v>
      </c>
    </row>
    <row r="1273" spans="2:10" x14ac:dyDescent="0.15">
      <c r="B1273" s="5" t="s">
        <v>508</v>
      </c>
      <c r="C1273" s="14">
        <v>20</v>
      </c>
      <c r="D1273" s="31"/>
      <c r="E1273" s="15">
        <f t="shared" si="163"/>
        <v>20</v>
      </c>
      <c r="F1273" s="61">
        <v>44959</v>
      </c>
      <c r="G1273" s="13"/>
      <c r="H1273" s="14"/>
      <c r="I1273" s="31"/>
      <c r="J1273" s="15">
        <f t="shared" si="164"/>
        <v>0</v>
      </c>
    </row>
    <row r="1274" spans="2:10" x14ac:dyDescent="0.15">
      <c r="B1274" s="5" t="s">
        <v>509</v>
      </c>
      <c r="C1274" s="14">
        <v>5</v>
      </c>
      <c r="D1274" s="31"/>
      <c r="E1274" s="15">
        <f t="shared" si="163"/>
        <v>5</v>
      </c>
      <c r="F1274" s="61">
        <v>44960</v>
      </c>
      <c r="G1274" s="25"/>
      <c r="H1274" s="14"/>
      <c r="I1274" s="31"/>
      <c r="J1274" s="15">
        <f>H1274+I1274</f>
        <v>0</v>
      </c>
    </row>
    <row r="1275" spans="2:10" x14ac:dyDescent="0.15">
      <c r="B1275" s="5" t="s">
        <v>510</v>
      </c>
      <c r="C1275" s="14">
        <v>5</v>
      </c>
      <c r="D1275" s="31"/>
      <c r="E1275" s="15">
        <f>C1275+D1275</f>
        <v>5</v>
      </c>
      <c r="F1275" s="61">
        <v>44964</v>
      </c>
      <c r="G1275" s="13"/>
      <c r="H1275" s="14"/>
      <c r="I1275" s="31"/>
      <c r="J1275" s="15">
        <f>H1275+I1275</f>
        <v>0</v>
      </c>
    </row>
    <row r="1276" spans="2:10" ht="14.25" thickBot="1" x14ac:dyDescent="0.2">
      <c r="B1276" s="5"/>
      <c r="C1276" s="14"/>
      <c r="D1276" s="31"/>
      <c r="E1276" s="15">
        <f>C1276+D1276</f>
        <v>0</v>
      </c>
      <c r="F1276" s="61"/>
      <c r="G1276" s="13"/>
      <c r="H1276" s="14"/>
      <c r="I1276" s="31"/>
      <c r="J1276" s="15">
        <f>H1276+I1276</f>
        <v>0</v>
      </c>
    </row>
    <row r="1277" spans="2:10" ht="14.25" thickBot="1" x14ac:dyDescent="0.2">
      <c r="B1277" s="8" t="s">
        <v>2</v>
      </c>
      <c r="C1277" s="10">
        <f>SUM(C1252:C1276)</f>
        <v>123</v>
      </c>
      <c r="D1277" s="32">
        <f>SUM(D1252:D1276)</f>
        <v>75</v>
      </c>
      <c r="E1277" s="11">
        <f>C1277+D1277</f>
        <v>198</v>
      </c>
      <c r="G1277" s="8" t="s">
        <v>2</v>
      </c>
      <c r="H1277" s="10">
        <f>SUM(H1252:H1276)</f>
        <v>601</v>
      </c>
      <c r="I1277" s="32">
        <f>SUM(I1252:I1276)</f>
        <v>0</v>
      </c>
      <c r="J1277" s="11">
        <f t="shared" ref="J1277" si="165">H1277+I1277</f>
        <v>601</v>
      </c>
    </row>
    <row r="1278" spans="2:10" ht="14.25" thickBot="1" x14ac:dyDescent="0.2">
      <c r="B1278" s="52" t="s">
        <v>3</v>
      </c>
      <c r="C1278" s="53">
        <f>+C1251-C1277</f>
        <v>521</v>
      </c>
      <c r="D1278" s="54">
        <f>+D1251-D1277</f>
        <v>287</v>
      </c>
      <c r="E1278" s="55">
        <f>C1278+D1278</f>
        <v>808</v>
      </c>
      <c r="G1278" s="52" t="s">
        <v>3</v>
      </c>
      <c r="H1278" s="87">
        <f>+H1251-H1277</f>
        <v>2510</v>
      </c>
      <c r="I1278" s="97">
        <f>+I1251-I1277</f>
        <v>2213</v>
      </c>
      <c r="J1278" s="95">
        <f>+J1251-J1277</f>
        <v>4723</v>
      </c>
    </row>
    <row r="1280" spans="2:10" ht="21" x14ac:dyDescent="0.2">
      <c r="B1280" s="76" t="s">
        <v>150</v>
      </c>
      <c r="G1280" s="75" t="s">
        <v>149</v>
      </c>
    </row>
    <row r="1281" spans="2:10" ht="18.75" x14ac:dyDescent="0.2">
      <c r="B1281" s="3" t="s">
        <v>11</v>
      </c>
      <c r="E1281" s="71"/>
      <c r="G1281" s="3" t="s">
        <v>11</v>
      </c>
    </row>
    <row r="1282" spans="2:10" ht="14.25" thickBot="1" x14ac:dyDescent="0.2">
      <c r="G1282" s="1"/>
    </row>
    <row r="1283" spans="2:10" ht="14.25" thickBot="1" x14ac:dyDescent="0.2">
      <c r="B1283" s="7"/>
      <c r="C1283" s="67"/>
      <c r="D1283" s="68"/>
      <c r="E1283" s="69"/>
      <c r="G1283" s="7"/>
      <c r="H1283" s="67"/>
      <c r="I1283" s="68"/>
      <c r="J1283" s="69"/>
    </row>
    <row r="1284" spans="2:10" ht="14.25" thickBot="1" x14ac:dyDescent="0.2">
      <c r="B1284" s="8"/>
      <c r="C1284" s="40" t="s">
        <v>7</v>
      </c>
      <c r="D1284" s="29" t="s">
        <v>9</v>
      </c>
      <c r="E1284" s="9" t="s">
        <v>0</v>
      </c>
      <c r="G1284" s="8"/>
      <c r="H1284" s="40" t="s">
        <v>7</v>
      </c>
      <c r="I1284" s="29" t="s">
        <v>9</v>
      </c>
      <c r="J1284" s="9" t="s">
        <v>0</v>
      </c>
    </row>
    <row r="1285" spans="2:10" x14ac:dyDescent="0.15">
      <c r="B1285" s="16" t="s">
        <v>4</v>
      </c>
      <c r="C1285" s="17">
        <f>C1278</f>
        <v>521</v>
      </c>
      <c r="D1285" s="35">
        <f>D1278</f>
        <v>287</v>
      </c>
      <c r="E1285" s="18">
        <f t="shared" ref="E1285:E1313" si="166">C1285+D1285</f>
        <v>808</v>
      </c>
      <c r="G1285" s="16" t="s">
        <v>4</v>
      </c>
      <c r="H1285" s="89">
        <f>H1278</f>
        <v>2510</v>
      </c>
      <c r="I1285" s="90">
        <f>I1278</f>
        <v>2213</v>
      </c>
      <c r="J1285" s="96">
        <f>J1278</f>
        <v>4723</v>
      </c>
    </row>
    <row r="1286" spans="2:10" x14ac:dyDescent="0.15">
      <c r="B1286" s="26" t="s">
        <v>5</v>
      </c>
      <c r="C1286" s="27"/>
      <c r="D1286" s="36"/>
      <c r="E1286" s="28">
        <f t="shared" si="166"/>
        <v>0</v>
      </c>
      <c r="F1286" s="61"/>
      <c r="G1286" s="25" t="s">
        <v>5</v>
      </c>
      <c r="H1286" s="14"/>
      <c r="I1286" s="31"/>
      <c r="J1286" s="15">
        <f t="shared" ref="J1286:J1290" si="167">H1286+I1286</f>
        <v>0</v>
      </c>
    </row>
    <row r="1287" spans="2:10" x14ac:dyDescent="0.15">
      <c r="B1287" s="26" t="s">
        <v>5</v>
      </c>
      <c r="C1287" s="27"/>
      <c r="D1287" s="36"/>
      <c r="E1287" s="28">
        <f t="shared" ref="E1287:E1288" si="168">C1287+D1287</f>
        <v>0</v>
      </c>
      <c r="F1287" s="61"/>
      <c r="G1287" s="25" t="s">
        <v>5</v>
      </c>
      <c r="H1287" s="14"/>
      <c r="I1287" s="31"/>
      <c r="J1287" s="15">
        <f t="shared" si="167"/>
        <v>0</v>
      </c>
    </row>
    <row r="1288" spans="2:10" x14ac:dyDescent="0.15">
      <c r="B1288" s="26" t="s">
        <v>5</v>
      </c>
      <c r="C1288" s="27"/>
      <c r="D1288" s="36"/>
      <c r="E1288" s="28">
        <f t="shared" si="168"/>
        <v>0</v>
      </c>
      <c r="F1288" s="61"/>
      <c r="G1288" s="25" t="s">
        <v>5</v>
      </c>
      <c r="H1288" s="14"/>
      <c r="I1288" s="31"/>
      <c r="J1288" s="15">
        <f t="shared" si="167"/>
        <v>0</v>
      </c>
    </row>
    <row r="1289" spans="2:10" x14ac:dyDescent="0.15">
      <c r="B1289" s="26" t="s">
        <v>5</v>
      </c>
      <c r="C1289" s="27"/>
      <c r="D1289" s="36"/>
      <c r="E1289" s="28">
        <f t="shared" si="166"/>
        <v>0</v>
      </c>
      <c r="F1289" s="61"/>
      <c r="G1289" s="25" t="s">
        <v>5</v>
      </c>
      <c r="H1289" s="14"/>
      <c r="I1289" s="31"/>
      <c r="J1289" s="15">
        <f t="shared" si="167"/>
        <v>0</v>
      </c>
    </row>
    <row r="1290" spans="2:10" ht="14.25" thickBot="1" x14ac:dyDescent="0.2">
      <c r="B1290" s="26" t="s">
        <v>5</v>
      </c>
      <c r="C1290" s="14"/>
      <c r="D1290" s="31"/>
      <c r="E1290" s="15">
        <f t="shared" si="166"/>
        <v>0</v>
      </c>
      <c r="F1290" s="61"/>
      <c r="G1290" s="25" t="s">
        <v>5</v>
      </c>
      <c r="H1290" s="92"/>
      <c r="I1290" s="93"/>
      <c r="J1290" s="94">
        <f t="shared" si="167"/>
        <v>0</v>
      </c>
    </row>
    <row r="1291" spans="2:10" ht="14.25" thickBot="1" x14ac:dyDescent="0.2">
      <c r="B1291" s="8" t="s">
        <v>1</v>
      </c>
      <c r="C1291" s="10">
        <f>SUM(C1285:C1290)</f>
        <v>521</v>
      </c>
      <c r="D1291" s="32">
        <f>SUM(D1285:D1290)</f>
        <v>287</v>
      </c>
      <c r="E1291" s="11">
        <f t="shared" si="166"/>
        <v>808</v>
      </c>
      <c r="G1291" s="8" t="s">
        <v>1</v>
      </c>
      <c r="H1291" s="10">
        <f>SUM(H1285:H1290)</f>
        <v>2510</v>
      </c>
      <c r="I1291" s="32">
        <f>SUM(I1285:I1290)</f>
        <v>2213</v>
      </c>
      <c r="J1291" s="11">
        <f>SUM(J1285:J1290)</f>
        <v>4723</v>
      </c>
    </row>
    <row r="1292" spans="2:10" x14ac:dyDescent="0.15">
      <c r="B1292" s="5" t="s">
        <v>381</v>
      </c>
      <c r="C1292" s="14"/>
      <c r="D1292" s="31">
        <v>1</v>
      </c>
      <c r="E1292" s="15">
        <f t="shared" si="166"/>
        <v>1</v>
      </c>
      <c r="F1292" s="61">
        <v>44963</v>
      </c>
      <c r="G1292" s="102"/>
      <c r="H1292" s="14"/>
      <c r="I1292" s="31"/>
      <c r="J1292" s="15">
        <f t="shared" ref="J1292:J1295" si="169">H1292+I1292</f>
        <v>0</v>
      </c>
    </row>
    <row r="1293" spans="2:10" x14ac:dyDescent="0.15">
      <c r="B1293" s="5" t="s">
        <v>511</v>
      </c>
      <c r="C1293" s="14">
        <v>5</v>
      </c>
      <c r="D1293" s="31">
        <v>5</v>
      </c>
      <c r="E1293" s="15">
        <f t="shared" si="166"/>
        <v>10</v>
      </c>
      <c r="F1293" s="61">
        <v>44974</v>
      </c>
      <c r="G1293" s="102"/>
      <c r="H1293" s="14"/>
      <c r="I1293" s="31"/>
      <c r="J1293" s="15">
        <f t="shared" si="169"/>
        <v>0</v>
      </c>
    </row>
    <row r="1294" spans="2:10" x14ac:dyDescent="0.15">
      <c r="B1294" s="5" t="s">
        <v>381</v>
      </c>
      <c r="C1294" s="14">
        <v>1</v>
      </c>
      <c r="D1294" s="31">
        <v>1</v>
      </c>
      <c r="E1294" s="15">
        <f t="shared" si="166"/>
        <v>2</v>
      </c>
      <c r="F1294" s="61">
        <v>44974</v>
      </c>
      <c r="G1294" s="102"/>
      <c r="H1294" s="14"/>
      <c r="I1294" s="31"/>
      <c r="J1294" s="15">
        <f t="shared" si="169"/>
        <v>0</v>
      </c>
    </row>
    <row r="1295" spans="2:10" x14ac:dyDescent="0.15">
      <c r="B1295" s="5" t="s">
        <v>381</v>
      </c>
      <c r="C1295" s="14">
        <v>2</v>
      </c>
      <c r="D1295" s="31">
        <v>1</v>
      </c>
      <c r="E1295" s="15">
        <f t="shared" si="166"/>
        <v>3</v>
      </c>
      <c r="F1295" s="61">
        <v>44978</v>
      </c>
      <c r="G1295" s="102"/>
      <c r="H1295" s="14"/>
      <c r="I1295" s="31"/>
      <c r="J1295" s="15">
        <f t="shared" si="169"/>
        <v>0</v>
      </c>
    </row>
    <row r="1296" spans="2:10" x14ac:dyDescent="0.15">
      <c r="B1296" s="5" t="s">
        <v>512</v>
      </c>
      <c r="C1296" s="14">
        <v>5</v>
      </c>
      <c r="D1296" s="31"/>
      <c r="E1296" s="15">
        <f t="shared" si="166"/>
        <v>5</v>
      </c>
      <c r="F1296" s="61">
        <v>44987</v>
      </c>
      <c r="G1296" s="102"/>
      <c r="H1296" s="14"/>
      <c r="I1296" s="31"/>
      <c r="J1296" s="15">
        <f t="shared" ref="J1296:J1313" si="170">H1296+I1296</f>
        <v>0</v>
      </c>
    </row>
    <row r="1297" spans="2:10" x14ac:dyDescent="0.15">
      <c r="B1297" s="5" t="s">
        <v>513</v>
      </c>
      <c r="C1297" s="14">
        <v>7</v>
      </c>
      <c r="D1297" s="31"/>
      <c r="E1297" s="15">
        <f t="shared" si="166"/>
        <v>7</v>
      </c>
      <c r="F1297" s="61">
        <v>44992</v>
      </c>
      <c r="G1297" s="5"/>
      <c r="H1297" s="14"/>
      <c r="I1297" s="31"/>
      <c r="J1297" s="15">
        <f t="shared" si="170"/>
        <v>0</v>
      </c>
    </row>
    <row r="1298" spans="2:10" x14ac:dyDescent="0.15">
      <c r="B1298" s="5" t="s">
        <v>381</v>
      </c>
      <c r="C1298" s="14">
        <v>1</v>
      </c>
      <c r="D1298" s="31"/>
      <c r="E1298" s="15">
        <f t="shared" si="166"/>
        <v>1</v>
      </c>
      <c r="F1298" s="61">
        <v>45000</v>
      </c>
      <c r="G1298" s="13"/>
      <c r="H1298" s="14"/>
      <c r="I1298" s="31"/>
      <c r="J1298" s="15">
        <f t="shared" si="170"/>
        <v>0</v>
      </c>
    </row>
    <row r="1299" spans="2:10" x14ac:dyDescent="0.15">
      <c r="B1299" s="5" t="s">
        <v>429</v>
      </c>
      <c r="C1299" s="14"/>
      <c r="D1299" s="31">
        <v>5</v>
      </c>
      <c r="E1299" s="15">
        <f t="shared" si="166"/>
        <v>5</v>
      </c>
      <c r="F1299" s="61">
        <v>45007</v>
      </c>
      <c r="G1299" s="13"/>
      <c r="H1299" s="14"/>
      <c r="I1299" s="31"/>
      <c r="J1299" s="15">
        <f t="shared" si="170"/>
        <v>0</v>
      </c>
    </row>
    <row r="1300" spans="2:10" x14ac:dyDescent="0.15">
      <c r="B1300" s="5" t="s">
        <v>381</v>
      </c>
      <c r="C1300" s="14"/>
      <c r="D1300" s="31">
        <v>1</v>
      </c>
      <c r="E1300" s="15">
        <f t="shared" si="166"/>
        <v>1</v>
      </c>
      <c r="F1300" s="61">
        <v>45009</v>
      </c>
      <c r="G1300" s="13"/>
      <c r="H1300" s="14"/>
      <c r="I1300" s="31"/>
      <c r="J1300" s="15">
        <f t="shared" si="170"/>
        <v>0</v>
      </c>
    </row>
    <row r="1301" spans="2:10" x14ac:dyDescent="0.15">
      <c r="B1301" s="5" t="s">
        <v>381</v>
      </c>
      <c r="C1301" s="14">
        <v>2</v>
      </c>
      <c r="D1301" s="31">
        <v>1</v>
      </c>
      <c r="E1301" s="15">
        <f t="shared" si="166"/>
        <v>3</v>
      </c>
      <c r="F1301" s="61">
        <v>45012</v>
      </c>
      <c r="G1301" s="13"/>
      <c r="H1301" s="14"/>
      <c r="I1301" s="31"/>
      <c r="J1301" s="15">
        <f t="shared" si="170"/>
        <v>0</v>
      </c>
    </row>
    <row r="1302" spans="2:10" x14ac:dyDescent="0.15">
      <c r="B1302" s="5" t="s">
        <v>381</v>
      </c>
      <c r="C1302" s="14">
        <v>1</v>
      </c>
      <c r="D1302" s="31"/>
      <c r="E1302" s="15">
        <f t="shared" si="166"/>
        <v>1</v>
      </c>
      <c r="F1302" s="61">
        <v>45016</v>
      </c>
      <c r="G1302" s="13"/>
      <c r="H1302" s="14"/>
      <c r="I1302" s="31"/>
      <c r="J1302" s="15">
        <f t="shared" si="170"/>
        <v>0</v>
      </c>
    </row>
    <row r="1303" spans="2:10" x14ac:dyDescent="0.15">
      <c r="B1303" s="25" t="s">
        <v>63</v>
      </c>
      <c r="C1303" s="14">
        <v>1</v>
      </c>
      <c r="D1303" s="31">
        <v>1</v>
      </c>
      <c r="E1303" s="15">
        <f t="shared" si="166"/>
        <v>2</v>
      </c>
      <c r="F1303" s="61">
        <v>45022</v>
      </c>
      <c r="G1303" s="13"/>
      <c r="H1303" s="14"/>
      <c r="I1303" s="31"/>
      <c r="J1303" s="15">
        <f t="shared" si="170"/>
        <v>0</v>
      </c>
    </row>
    <row r="1304" spans="2:10" x14ac:dyDescent="0.15">
      <c r="B1304" s="5" t="s">
        <v>381</v>
      </c>
      <c r="C1304" s="14">
        <v>3</v>
      </c>
      <c r="D1304" s="31"/>
      <c r="E1304" s="15">
        <f t="shared" si="166"/>
        <v>3</v>
      </c>
      <c r="F1304" s="61">
        <v>45021</v>
      </c>
      <c r="G1304" s="13"/>
      <c r="H1304" s="14"/>
      <c r="I1304" s="31"/>
      <c r="J1304" s="15">
        <f t="shared" si="170"/>
        <v>0</v>
      </c>
    </row>
    <row r="1305" spans="2:10" x14ac:dyDescent="0.15">
      <c r="B1305" s="5" t="s">
        <v>514</v>
      </c>
      <c r="C1305" s="14">
        <v>10</v>
      </c>
      <c r="D1305" s="31"/>
      <c r="E1305" s="15">
        <f t="shared" si="166"/>
        <v>10</v>
      </c>
      <c r="F1305" s="61">
        <v>45027</v>
      </c>
      <c r="G1305" s="25"/>
      <c r="H1305" s="14"/>
      <c r="I1305" s="31"/>
      <c r="J1305" s="15">
        <f t="shared" si="170"/>
        <v>0</v>
      </c>
    </row>
    <row r="1306" spans="2:10" x14ac:dyDescent="0.15">
      <c r="B1306" s="5" t="s">
        <v>381</v>
      </c>
      <c r="C1306" s="14">
        <v>5</v>
      </c>
      <c r="D1306" s="31"/>
      <c r="E1306" s="15">
        <f t="shared" si="166"/>
        <v>5</v>
      </c>
      <c r="F1306" s="61">
        <v>45028</v>
      </c>
      <c r="G1306" s="25"/>
      <c r="H1306" s="14"/>
      <c r="I1306" s="31"/>
      <c r="J1306" s="15">
        <f t="shared" si="170"/>
        <v>0</v>
      </c>
    </row>
    <row r="1307" spans="2:10" x14ac:dyDescent="0.15">
      <c r="B1307" s="5" t="s">
        <v>381</v>
      </c>
      <c r="C1307" s="14">
        <v>3</v>
      </c>
      <c r="D1307" s="31">
        <v>3</v>
      </c>
      <c r="E1307" s="15">
        <f t="shared" si="166"/>
        <v>6</v>
      </c>
      <c r="F1307" s="61">
        <v>45031</v>
      </c>
      <c r="G1307" s="25"/>
      <c r="H1307" s="14"/>
      <c r="I1307" s="31"/>
      <c r="J1307" s="15">
        <f t="shared" si="170"/>
        <v>0</v>
      </c>
    </row>
    <row r="1308" spans="2:10" x14ac:dyDescent="0.15">
      <c r="B1308" s="5" t="s">
        <v>381</v>
      </c>
      <c r="C1308" s="14">
        <v>3</v>
      </c>
      <c r="D1308" s="31">
        <v>1</v>
      </c>
      <c r="E1308" s="15">
        <f t="shared" si="166"/>
        <v>4</v>
      </c>
      <c r="F1308" s="61">
        <v>45033</v>
      </c>
      <c r="G1308" s="25"/>
      <c r="H1308" s="14"/>
      <c r="I1308" s="31"/>
      <c r="J1308" s="15">
        <f t="shared" si="170"/>
        <v>0</v>
      </c>
    </row>
    <row r="1309" spans="2:10" x14ac:dyDescent="0.15">
      <c r="B1309" s="5" t="s">
        <v>515</v>
      </c>
      <c r="C1309" s="14">
        <v>15</v>
      </c>
      <c r="D1309" s="31">
        <v>5</v>
      </c>
      <c r="E1309" s="15">
        <f t="shared" si="166"/>
        <v>20</v>
      </c>
      <c r="F1309" s="61">
        <v>45034</v>
      </c>
      <c r="G1309" s="13"/>
      <c r="H1309" s="14"/>
      <c r="I1309" s="31"/>
      <c r="J1309" s="15">
        <f t="shared" si="170"/>
        <v>0</v>
      </c>
    </row>
    <row r="1310" spans="2:10" x14ac:dyDescent="0.15">
      <c r="B1310" s="5" t="s">
        <v>429</v>
      </c>
      <c r="C1310" s="14">
        <v>10</v>
      </c>
      <c r="D1310" s="31">
        <v>10</v>
      </c>
      <c r="E1310" s="15">
        <f t="shared" si="166"/>
        <v>20</v>
      </c>
      <c r="F1310" s="61">
        <v>45035</v>
      </c>
      <c r="G1310" s="25"/>
      <c r="H1310" s="14"/>
      <c r="I1310" s="31"/>
      <c r="J1310" s="15">
        <f t="shared" si="170"/>
        <v>0</v>
      </c>
    </row>
    <row r="1311" spans="2:10" x14ac:dyDescent="0.15">
      <c r="B1311" s="5" t="s">
        <v>381</v>
      </c>
      <c r="C1311" s="14"/>
      <c r="D1311" s="31">
        <v>3</v>
      </c>
      <c r="E1311" s="15">
        <f t="shared" si="166"/>
        <v>3</v>
      </c>
      <c r="F1311" s="61">
        <v>45036</v>
      </c>
      <c r="G1311" s="25"/>
      <c r="H1311" s="14"/>
      <c r="I1311" s="31"/>
      <c r="J1311" s="15">
        <f t="shared" si="170"/>
        <v>0</v>
      </c>
    </row>
    <row r="1312" spans="2:10" x14ac:dyDescent="0.15">
      <c r="B1312" s="5" t="s">
        <v>381</v>
      </c>
      <c r="C1312" s="14">
        <v>2</v>
      </c>
      <c r="D1312" s="31"/>
      <c r="E1312" s="15">
        <f t="shared" si="166"/>
        <v>2</v>
      </c>
      <c r="F1312" s="61">
        <v>45037</v>
      </c>
      <c r="G1312" s="13"/>
      <c r="H1312" s="14"/>
      <c r="I1312" s="31"/>
      <c r="J1312" s="15">
        <f t="shared" si="170"/>
        <v>0</v>
      </c>
    </row>
    <row r="1313" spans="2:10" x14ac:dyDescent="0.15">
      <c r="B1313" s="5" t="s">
        <v>381</v>
      </c>
      <c r="C1313" s="14">
        <v>1</v>
      </c>
      <c r="D1313" s="31"/>
      <c r="E1313" s="15">
        <f t="shared" si="166"/>
        <v>1</v>
      </c>
      <c r="F1313" s="61">
        <v>45042</v>
      </c>
      <c r="G1313" s="13"/>
      <c r="H1313" s="14"/>
      <c r="I1313" s="31"/>
      <c r="J1313" s="15">
        <f t="shared" si="170"/>
        <v>0</v>
      </c>
    </row>
    <row r="1314" spans="2:10" x14ac:dyDescent="0.15">
      <c r="B1314" s="5" t="s">
        <v>381</v>
      </c>
      <c r="C1314" s="14">
        <v>2</v>
      </c>
      <c r="D1314" s="31"/>
      <c r="E1314" s="15">
        <f t="shared" ref="E1314" si="171">C1314+D1314</f>
        <v>2</v>
      </c>
      <c r="F1314" s="61">
        <v>45043</v>
      </c>
      <c r="G1314" s="25"/>
      <c r="H1314" s="14"/>
      <c r="I1314" s="31"/>
      <c r="J1314" s="15">
        <f>H1314+I1314</f>
        <v>0</v>
      </c>
    </row>
    <row r="1315" spans="2:10" x14ac:dyDescent="0.15">
      <c r="B1315" s="5" t="s">
        <v>518</v>
      </c>
      <c r="C1315" s="14">
        <v>1</v>
      </c>
      <c r="D1315" s="31">
        <v>1</v>
      </c>
      <c r="E1315" s="15">
        <f>C1315+D1315</f>
        <v>2</v>
      </c>
      <c r="F1315" s="61">
        <v>45052</v>
      </c>
      <c r="G1315" s="13"/>
      <c r="H1315" s="14"/>
      <c r="I1315" s="31"/>
      <c r="J1315" s="15">
        <f>H1315+I1315</f>
        <v>0</v>
      </c>
    </row>
    <row r="1316" spans="2:10" ht="14.25" thickBot="1" x14ac:dyDescent="0.2">
      <c r="B1316" s="5" t="s">
        <v>519</v>
      </c>
      <c r="C1316" s="14">
        <v>2</v>
      </c>
      <c r="D1316" s="31">
        <v>1</v>
      </c>
      <c r="E1316" s="15">
        <f>C1316+D1316</f>
        <v>3</v>
      </c>
      <c r="F1316" s="61">
        <v>45055</v>
      </c>
      <c r="G1316" s="13"/>
      <c r="H1316" s="14"/>
      <c r="I1316" s="31"/>
      <c r="J1316" s="15">
        <f>H1316+I1316</f>
        <v>0</v>
      </c>
    </row>
    <row r="1317" spans="2:10" ht="14.25" thickBot="1" x14ac:dyDescent="0.2">
      <c r="B1317" s="8" t="s">
        <v>2</v>
      </c>
      <c r="C1317" s="10">
        <f>SUM(C1292:C1316)</f>
        <v>82</v>
      </c>
      <c r="D1317" s="32">
        <f>SUM(D1292:D1316)</f>
        <v>40</v>
      </c>
      <c r="E1317" s="11">
        <f>C1317+D1317</f>
        <v>122</v>
      </c>
      <c r="G1317" s="8" t="s">
        <v>2</v>
      </c>
      <c r="H1317" s="10">
        <f>SUM(H1292:H1316)</f>
        <v>0</v>
      </c>
      <c r="I1317" s="32">
        <f>SUM(I1292:I1316)</f>
        <v>0</v>
      </c>
      <c r="J1317" s="11">
        <f t="shared" ref="J1317" si="172">H1317+I1317</f>
        <v>0</v>
      </c>
    </row>
    <row r="1318" spans="2:10" ht="14.25" thickBot="1" x14ac:dyDescent="0.2">
      <c r="B1318" s="52" t="s">
        <v>3</v>
      </c>
      <c r="C1318" s="53">
        <f>+C1291-C1317</f>
        <v>439</v>
      </c>
      <c r="D1318" s="54">
        <f>+D1291-D1317</f>
        <v>247</v>
      </c>
      <c r="E1318" s="55">
        <f>C1318+D1318</f>
        <v>686</v>
      </c>
      <c r="G1318" s="52" t="s">
        <v>3</v>
      </c>
      <c r="H1318" s="87">
        <f>+H1291-H1317</f>
        <v>2510</v>
      </c>
      <c r="I1318" s="97">
        <f>+I1291-I1317</f>
        <v>2213</v>
      </c>
      <c r="J1318" s="95">
        <f>+J1291-J1317</f>
        <v>4723</v>
      </c>
    </row>
    <row r="1320" spans="2:10" ht="21" x14ac:dyDescent="0.2">
      <c r="B1320" s="76" t="s">
        <v>150</v>
      </c>
      <c r="G1320" s="75" t="s">
        <v>149</v>
      </c>
    </row>
    <row r="1321" spans="2:10" ht="18.75" x14ac:dyDescent="0.2">
      <c r="B1321" s="3" t="s">
        <v>11</v>
      </c>
      <c r="E1321" s="71"/>
      <c r="G1321" s="3" t="s">
        <v>11</v>
      </c>
    </row>
    <row r="1322" spans="2:10" ht="14.25" thickBot="1" x14ac:dyDescent="0.2">
      <c r="G1322" s="1"/>
    </row>
    <row r="1323" spans="2:10" ht="14.25" thickBot="1" x14ac:dyDescent="0.2">
      <c r="B1323" s="7"/>
      <c r="C1323" s="67"/>
      <c r="D1323" s="68"/>
      <c r="E1323" s="69"/>
      <c r="G1323" s="7"/>
      <c r="H1323" s="67"/>
      <c r="I1323" s="68"/>
      <c r="J1323" s="69"/>
    </row>
    <row r="1324" spans="2:10" ht="14.25" thickBot="1" x14ac:dyDescent="0.2">
      <c r="B1324" s="8"/>
      <c r="C1324" s="40" t="s">
        <v>7</v>
      </c>
      <c r="D1324" s="29" t="s">
        <v>9</v>
      </c>
      <c r="E1324" s="9" t="s">
        <v>0</v>
      </c>
      <c r="G1324" s="8"/>
      <c r="H1324" s="40" t="s">
        <v>7</v>
      </c>
      <c r="I1324" s="29" t="s">
        <v>9</v>
      </c>
      <c r="J1324" s="9" t="s">
        <v>0</v>
      </c>
    </row>
    <row r="1325" spans="2:10" x14ac:dyDescent="0.15">
      <c r="B1325" s="16" t="s">
        <v>4</v>
      </c>
      <c r="C1325" s="17">
        <f>C1318</f>
        <v>439</v>
      </c>
      <c r="D1325" s="35">
        <f>D1318</f>
        <v>247</v>
      </c>
      <c r="E1325" s="18">
        <f t="shared" ref="E1325:E1354" si="173">C1325+D1325</f>
        <v>686</v>
      </c>
      <c r="G1325" s="16" t="s">
        <v>4</v>
      </c>
      <c r="H1325" s="89">
        <f>H1318</f>
        <v>2510</v>
      </c>
      <c r="I1325" s="90">
        <f>I1318</f>
        <v>2213</v>
      </c>
      <c r="J1325" s="96">
        <f>J1318</f>
        <v>4723</v>
      </c>
    </row>
    <row r="1326" spans="2:10" x14ac:dyDescent="0.15">
      <c r="B1326" s="26" t="s">
        <v>5</v>
      </c>
      <c r="C1326" s="27"/>
      <c r="D1326" s="36"/>
      <c r="E1326" s="28">
        <f t="shared" si="173"/>
        <v>0</v>
      </c>
      <c r="F1326" s="61"/>
      <c r="G1326" s="25" t="s">
        <v>5</v>
      </c>
      <c r="H1326" s="14"/>
      <c r="I1326" s="31"/>
      <c r="J1326" s="15">
        <f t="shared" ref="J1326:J1330" si="174">H1326+I1326</f>
        <v>0</v>
      </c>
    </row>
    <row r="1327" spans="2:10" x14ac:dyDescent="0.15">
      <c r="B1327" s="26" t="s">
        <v>5</v>
      </c>
      <c r="C1327" s="27"/>
      <c r="D1327" s="36"/>
      <c r="E1327" s="28">
        <f t="shared" si="173"/>
        <v>0</v>
      </c>
      <c r="F1327" s="61"/>
      <c r="G1327" s="25" t="s">
        <v>5</v>
      </c>
      <c r="H1327" s="14"/>
      <c r="I1327" s="31"/>
      <c r="J1327" s="15">
        <f t="shared" si="174"/>
        <v>0</v>
      </c>
    </row>
    <row r="1328" spans="2:10" x14ac:dyDescent="0.15">
      <c r="B1328" s="26" t="s">
        <v>5</v>
      </c>
      <c r="C1328" s="27"/>
      <c r="D1328" s="36"/>
      <c r="E1328" s="28">
        <f t="shared" si="173"/>
        <v>0</v>
      </c>
      <c r="F1328" s="61"/>
      <c r="G1328" s="25" t="s">
        <v>5</v>
      </c>
      <c r="H1328" s="14"/>
      <c r="I1328" s="31"/>
      <c r="J1328" s="15">
        <f t="shared" si="174"/>
        <v>0</v>
      </c>
    </row>
    <row r="1329" spans="2:10" x14ac:dyDescent="0.15">
      <c r="B1329" s="26" t="s">
        <v>5</v>
      </c>
      <c r="C1329" s="27"/>
      <c r="D1329" s="36"/>
      <c r="E1329" s="28">
        <f t="shared" si="173"/>
        <v>0</v>
      </c>
      <c r="F1329" s="61"/>
      <c r="G1329" s="25" t="s">
        <v>5</v>
      </c>
      <c r="H1329" s="14"/>
      <c r="I1329" s="31"/>
      <c r="J1329" s="15">
        <f t="shared" si="174"/>
        <v>0</v>
      </c>
    </row>
    <row r="1330" spans="2:10" ht="14.25" thickBot="1" x14ac:dyDescent="0.2">
      <c r="B1330" s="26" t="s">
        <v>5</v>
      </c>
      <c r="C1330" s="14"/>
      <c r="D1330" s="31"/>
      <c r="E1330" s="15">
        <f t="shared" si="173"/>
        <v>0</v>
      </c>
      <c r="F1330" s="61"/>
      <c r="G1330" s="25" t="s">
        <v>5</v>
      </c>
      <c r="H1330" s="92"/>
      <c r="I1330" s="93"/>
      <c r="J1330" s="94">
        <f t="shared" si="174"/>
        <v>0</v>
      </c>
    </row>
    <row r="1331" spans="2:10" ht="14.25" thickBot="1" x14ac:dyDescent="0.2">
      <c r="B1331" s="8" t="s">
        <v>1</v>
      </c>
      <c r="C1331" s="10">
        <f>SUM(C1325:C1330)</f>
        <v>439</v>
      </c>
      <c r="D1331" s="32">
        <f>SUM(D1325:D1330)</f>
        <v>247</v>
      </c>
      <c r="E1331" s="11">
        <f t="shared" si="173"/>
        <v>686</v>
      </c>
      <c r="G1331" s="8" t="s">
        <v>1</v>
      </c>
      <c r="H1331" s="10">
        <f>SUM(H1325:H1330)</f>
        <v>2510</v>
      </c>
      <c r="I1331" s="32">
        <f>SUM(I1325:I1330)</f>
        <v>2213</v>
      </c>
      <c r="J1331" s="11">
        <f>SUM(J1325:J1330)</f>
        <v>4723</v>
      </c>
    </row>
    <row r="1332" spans="2:10" x14ac:dyDescent="0.15">
      <c r="B1332" s="5" t="s">
        <v>381</v>
      </c>
      <c r="C1332" s="14">
        <v>3</v>
      </c>
      <c r="D1332" s="31"/>
      <c r="E1332" s="15">
        <f t="shared" si="173"/>
        <v>3</v>
      </c>
      <c r="F1332" s="61">
        <v>45056</v>
      </c>
      <c r="G1332" s="102"/>
      <c r="H1332" s="14"/>
      <c r="I1332" s="31"/>
      <c r="J1332" s="15">
        <f t="shared" ref="J1332:J1353" si="175">H1332+I1332</f>
        <v>0</v>
      </c>
    </row>
    <row r="1333" spans="2:10" x14ac:dyDescent="0.15">
      <c r="B1333" s="5" t="s">
        <v>520</v>
      </c>
      <c r="C1333" s="14"/>
      <c r="D1333" s="31">
        <v>10</v>
      </c>
      <c r="E1333" s="15">
        <f t="shared" si="173"/>
        <v>10</v>
      </c>
      <c r="F1333" s="61">
        <v>45062</v>
      </c>
      <c r="G1333" s="102"/>
      <c r="H1333" s="14"/>
      <c r="I1333" s="31"/>
      <c r="J1333" s="15">
        <f t="shared" si="175"/>
        <v>0</v>
      </c>
    </row>
    <row r="1334" spans="2:10" x14ac:dyDescent="0.15">
      <c r="B1334" s="5" t="s">
        <v>381</v>
      </c>
      <c r="C1334" s="14"/>
      <c r="D1334" s="31">
        <v>1</v>
      </c>
      <c r="E1334" s="15">
        <f t="shared" si="173"/>
        <v>1</v>
      </c>
      <c r="F1334" s="61">
        <v>45059</v>
      </c>
      <c r="G1334" s="102"/>
      <c r="H1334" s="14"/>
      <c r="I1334" s="31"/>
      <c r="J1334" s="15">
        <f t="shared" si="175"/>
        <v>0</v>
      </c>
    </row>
    <row r="1335" spans="2:10" x14ac:dyDescent="0.15">
      <c r="B1335" s="5" t="s">
        <v>381</v>
      </c>
      <c r="C1335" s="14">
        <v>1</v>
      </c>
      <c r="D1335" s="31">
        <v>1</v>
      </c>
      <c r="E1335" s="15">
        <f t="shared" si="173"/>
        <v>2</v>
      </c>
      <c r="F1335" s="61">
        <v>45062</v>
      </c>
      <c r="G1335" s="102"/>
      <c r="H1335" s="14"/>
      <c r="I1335" s="31"/>
      <c r="J1335" s="15">
        <f t="shared" si="175"/>
        <v>0</v>
      </c>
    </row>
    <row r="1336" spans="2:10" x14ac:dyDescent="0.15">
      <c r="B1336" s="5" t="s">
        <v>521</v>
      </c>
      <c r="C1336" s="14">
        <v>10</v>
      </c>
      <c r="D1336" s="31"/>
      <c r="E1336" s="15">
        <f t="shared" si="173"/>
        <v>10</v>
      </c>
      <c r="F1336" s="61">
        <v>45065</v>
      </c>
      <c r="G1336" s="102"/>
      <c r="H1336" s="14"/>
      <c r="I1336" s="31"/>
      <c r="J1336" s="15">
        <f t="shared" si="175"/>
        <v>0</v>
      </c>
    </row>
    <row r="1337" spans="2:10" x14ac:dyDescent="0.15">
      <c r="B1337" s="5" t="s">
        <v>429</v>
      </c>
      <c r="C1337" s="14">
        <v>10</v>
      </c>
      <c r="D1337" s="31"/>
      <c r="E1337" s="15">
        <f t="shared" si="173"/>
        <v>10</v>
      </c>
      <c r="F1337" s="61">
        <v>45070</v>
      </c>
      <c r="G1337" s="5"/>
      <c r="H1337" s="14"/>
      <c r="I1337" s="31"/>
      <c r="J1337" s="15">
        <f t="shared" si="175"/>
        <v>0</v>
      </c>
    </row>
    <row r="1338" spans="2:10" x14ac:dyDescent="0.15">
      <c r="B1338" s="5" t="s">
        <v>381</v>
      </c>
      <c r="C1338" s="14">
        <v>1</v>
      </c>
      <c r="D1338" s="31">
        <v>2</v>
      </c>
      <c r="E1338" s="15">
        <f t="shared" si="173"/>
        <v>3</v>
      </c>
      <c r="F1338" s="61">
        <v>45071</v>
      </c>
      <c r="G1338" s="13"/>
      <c r="H1338" s="14"/>
      <c r="I1338" s="31"/>
      <c r="J1338" s="15">
        <f t="shared" si="175"/>
        <v>0</v>
      </c>
    </row>
    <row r="1339" spans="2:10" x14ac:dyDescent="0.15">
      <c r="B1339" s="5" t="s">
        <v>522</v>
      </c>
      <c r="C1339" s="14">
        <v>10</v>
      </c>
      <c r="D1339" s="31"/>
      <c r="E1339" s="15">
        <f t="shared" si="173"/>
        <v>10</v>
      </c>
      <c r="F1339" s="61">
        <v>45072</v>
      </c>
      <c r="G1339" s="13"/>
      <c r="H1339" s="14"/>
      <c r="I1339" s="31"/>
      <c r="J1339" s="15">
        <f t="shared" si="175"/>
        <v>0</v>
      </c>
    </row>
    <row r="1340" spans="2:10" x14ac:dyDescent="0.15">
      <c r="B1340" s="5" t="s">
        <v>381</v>
      </c>
      <c r="C1340" s="14">
        <v>1</v>
      </c>
      <c r="D1340" s="31">
        <v>1</v>
      </c>
      <c r="E1340" s="15">
        <f t="shared" si="173"/>
        <v>2</v>
      </c>
      <c r="F1340" s="61">
        <v>45075</v>
      </c>
      <c r="G1340" s="13"/>
      <c r="H1340" s="14"/>
      <c r="I1340" s="31"/>
      <c r="J1340" s="15">
        <f t="shared" si="175"/>
        <v>0</v>
      </c>
    </row>
    <row r="1341" spans="2:10" x14ac:dyDescent="0.15">
      <c r="B1341" s="5" t="s">
        <v>381</v>
      </c>
      <c r="C1341" s="14">
        <v>1</v>
      </c>
      <c r="D1341" s="31"/>
      <c r="E1341" s="15">
        <f t="shared" si="173"/>
        <v>1</v>
      </c>
      <c r="F1341" s="61">
        <v>45082</v>
      </c>
      <c r="G1341" s="13"/>
      <c r="H1341" s="14"/>
      <c r="I1341" s="31"/>
      <c r="J1341" s="15">
        <f t="shared" si="175"/>
        <v>0</v>
      </c>
    </row>
    <row r="1342" spans="2:10" x14ac:dyDescent="0.15">
      <c r="B1342" s="5" t="s">
        <v>523</v>
      </c>
      <c r="C1342" s="14"/>
      <c r="D1342" s="31">
        <v>5</v>
      </c>
      <c r="E1342" s="15">
        <f t="shared" si="173"/>
        <v>5</v>
      </c>
      <c r="F1342" s="61">
        <v>45083</v>
      </c>
      <c r="G1342" s="13"/>
      <c r="H1342" s="14"/>
      <c r="I1342" s="31"/>
      <c r="J1342" s="15">
        <f t="shared" si="175"/>
        <v>0</v>
      </c>
    </row>
    <row r="1343" spans="2:10" x14ac:dyDescent="0.15">
      <c r="B1343" s="5" t="s">
        <v>381</v>
      </c>
      <c r="C1343" s="14">
        <v>1</v>
      </c>
      <c r="D1343" s="31"/>
      <c r="E1343" s="15">
        <f t="shared" si="173"/>
        <v>1</v>
      </c>
      <c r="F1343" s="61">
        <v>45083</v>
      </c>
      <c r="G1343" s="13"/>
      <c r="H1343" s="14"/>
      <c r="I1343" s="31"/>
      <c r="J1343" s="15">
        <f t="shared" si="175"/>
        <v>0</v>
      </c>
    </row>
    <row r="1344" spans="2:10" x14ac:dyDescent="0.15">
      <c r="B1344" s="5" t="s">
        <v>381</v>
      </c>
      <c r="C1344" s="14">
        <v>1</v>
      </c>
      <c r="D1344" s="31"/>
      <c r="E1344" s="15">
        <f t="shared" si="173"/>
        <v>1</v>
      </c>
      <c r="F1344" s="61">
        <v>45085</v>
      </c>
      <c r="G1344" s="13"/>
      <c r="H1344" s="14"/>
      <c r="I1344" s="31"/>
      <c r="J1344" s="15">
        <f t="shared" si="175"/>
        <v>0</v>
      </c>
    </row>
    <row r="1345" spans="2:11" x14ac:dyDescent="0.15">
      <c r="B1345" s="5" t="s">
        <v>381</v>
      </c>
      <c r="C1345" s="14">
        <v>1</v>
      </c>
      <c r="D1345" s="31">
        <v>1</v>
      </c>
      <c r="E1345" s="15">
        <f t="shared" si="173"/>
        <v>2</v>
      </c>
      <c r="F1345" s="61">
        <v>45086</v>
      </c>
      <c r="G1345" s="25"/>
      <c r="H1345" s="14"/>
      <c r="I1345" s="31"/>
      <c r="J1345" s="15">
        <f t="shared" si="175"/>
        <v>0</v>
      </c>
    </row>
    <row r="1346" spans="2:11" x14ac:dyDescent="0.15">
      <c r="B1346" s="5" t="s">
        <v>524</v>
      </c>
      <c r="C1346" s="14">
        <v>2</v>
      </c>
      <c r="D1346" s="31">
        <v>1</v>
      </c>
      <c r="E1346" s="15">
        <f t="shared" si="173"/>
        <v>3</v>
      </c>
      <c r="F1346" s="61">
        <v>45093</v>
      </c>
      <c r="G1346" s="25"/>
      <c r="H1346" s="14"/>
      <c r="I1346" s="31"/>
      <c r="J1346" s="15">
        <f t="shared" si="175"/>
        <v>0</v>
      </c>
    </row>
    <row r="1347" spans="2:11" x14ac:dyDescent="0.15">
      <c r="B1347" s="5" t="s">
        <v>525</v>
      </c>
      <c r="C1347" s="14"/>
      <c r="D1347" s="31">
        <v>5</v>
      </c>
      <c r="E1347" s="15">
        <f t="shared" si="173"/>
        <v>5</v>
      </c>
      <c r="F1347" s="61">
        <v>45096</v>
      </c>
      <c r="G1347" s="25"/>
      <c r="H1347" s="14"/>
      <c r="I1347" s="31"/>
      <c r="J1347" s="15">
        <f t="shared" si="175"/>
        <v>0</v>
      </c>
    </row>
    <row r="1348" spans="2:11" x14ac:dyDescent="0.15">
      <c r="B1348" s="5" t="s">
        <v>381</v>
      </c>
      <c r="C1348" s="14">
        <v>1</v>
      </c>
      <c r="D1348" s="31"/>
      <c r="E1348" s="15">
        <f t="shared" si="173"/>
        <v>1</v>
      </c>
      <c r="F1348" s="61">
        <v>45096</v>
      </c>
      <c r="G1348" s="25"/>
      <c r="H1348" s="14"/>
      <c r="I1348" s="31"/>
      <c r="J1348" s="15">
        <f t="shared" si="175"/>
        <v>0</v>
      </c>
    </row>
    <row r="1349" spans="2:11" x14ac:dyDescent="0.15">
      <c r="B1349" s="5" t="s">
        <v>526</v>
      </c>
      <c r="C1349" s="14"/>
      <c r="D1349" s="31">
        <v>5</v>
      </c>
      <c r="E1349" s="15">
        <f t="shared" si="173"/>
        <v>5</v>
      </c>
      <c r="F1349" s="61">
        <v>45105</v>
      </c>
      <c r="G1349" s="13"/>
      <c r="H1349" s="14"/>
      <c r="I1349" s="31"/>
      <c r="J1349" s="15">
        <f t="shared" si="175"/>
        <v>0</v>
      </c>
    </row>
    <row r="1350" spans="2:11" x14ac:dyDescent="0.15">
      <c r="B1350" s="13" t="s">
        <v>527</v>
      </c>
      <c r="C1350" s="14">
        <v>20</v>
      </c>
      <c r="D1350" s="31">
        <v>20</v>
      </c>
      <c r="E1350" s="15">
        <f t="shared" si="173"/>
        <v>40</v>
      </c>
      <c r="F1350" s="61">
        <v>45113</v>
      </c>
      <c r="G1350" s="25"/>
      <c r="H1350" s="14"/>
      <c r="I1350" s="31"/>
      <c r="J1350" s="15">
        <f t="shared" si="175"/>
        <v>0</v>
      </c>
    </row>
    <row r="1351" spans="2:11" x14ac:dyDescent="0.15">
      <c r="B1351" s="5" t="s">
        <v>528</v>
      </c>
      <c r="C1351" s="14">
        <v>6</v>
      </c>
      <c r="D1351" s="31"/>
      <c r="E1351" s="15">
        <f t="shared" si="173"/>
        <v>6</v>
      </c>
      <c r="F1351" s="61">
        <v>45114</v>
      </c>
      <c r="G1351" s="25"/>
      <c r="H1351" s="14"/>
      <c r="I1351" s="31"/>
      <c r="J1351" s="15">
        <f t="shared" si="175"/>
        <v>0</v>
      </c>
    </row>
    <row r="1352" spans="2:11" x14ac:dyDescent="0.15">
      <c r="B1352" s="5" t="s">
        <v>381</v>
      </c>
      <c r="C1352" s="14">
        <v>1</v>
      </c>
      <c r="D1352" s="31"/>
      <c r="E1352" s="15">
        <f t="shared" si="173"/>
        <v>1</v>
      </c>
      <c r="F1352" s="61">
        <v>45118</v>
      </c>
      <c r="G1352" s="13"/>
      <c r="H1352" s="14"/>
      <c r="I1352" s="31"/>
      <c r="J1352" s="15">
        <f t="shared" si="175"/>
        <v>0</v>
      </c>
    </row>
    <row r="1353" spans="2:11" x14ac:dyDescent="0.15">
      <c r="B1353" s="13" t="s">
        <v>529</v>
      </c>
      <c r="C1353" s="14">
        <v>40</v>
      </c>
      <c r="D1353" s="31">
        <v>40</v>
      </c>
      <c r="E1353" s="15">
        <f t="shared" si="173"/>
        <v>80</v>
      </c>
      <c r="F1353" s="61">
        <v>45120</v>
      </c>
      <c r="G1353" s="13"/>
      <c r="H1353" s="14"/>
      <c r="I1353" s="31"/>
      <c r="J1353" s="15">
        <f t="shared" si="175"/>
        <v>0</v>
      </c>
    </row>
    <row r="1354" spans="2:11" x14ac:dyDescent="0.15">
      <c r="B1354" s="5" t="s">
        <v>530</v>
      </c>
      <c r="C1354" s="14">
        <v>10</v>
      </c>
      <c r="D1354" s="31"/>
      <c r="E1354" s="15">
        <f t="shared" si="173"/>
        <v>10</v>
      </c>
      <c r="F1354" s="61">
        <v>45121</v>
      </c>
      <c r="G1354" s="25"/>
      <c r="H1354" s="14"/>
      <c r="I1354" s="31"/>
      <c r="J1354" s="15">
        <f>H1354+I1354</f>
        <v>0</v>
      </c>
    </row>
    <row r="1355" spans="2:11" x14ac:dyDescent="0.15">
      <c r="B1355" s="13" t="s">
        <v>531</v>
      </c>
      <c r="C1355" s="14">
        <v>30</v>
      </c>
      <c r="D1355" s="31"/>
      <c r="E1355" s="15">
        <f>C1355+D1355</f>
        <v>30</v>
      </c>
      <c r="F1355" s="61">
        <v>45124</v>
      </c>
      <c r="G1355" s="13"/>
      <c r="H1355" s="14"/>
      <c r="I1355" s="31"/>
      <c r="J1355" s="15">
        <f>H1355+I1355</f>
        <v>0</v>
      </c>
    </row>
    <row r="1356" spans="2:11" ht="14.25" thickBot="1" x14ac:dyDescent="0.2">
      <c r="B1356" s="13" t="s">
        <v>532</v>
      </c>
      <c r="C1356" s="14">
        <v>10</v>
      </c>
      <c r="D1356" s="31"/>
      <c r="E1356" s="15">
        <f>C1356+D1356</f>
        <v>10</v>
      </c>
      <c r="F1356" s="61">
        <v>45126</v>
      </c>
      <c r="G1356" s="13" t="s">
        <v>516</v>
      </c>
      <c r="H1356" s="14"/>
      <c r="I1356" s="31"/>
      <c r="J1356" s="15">
        <f>H1356+I1356</f>
        <v>0</v>
      </c>
      <c r="K1356" s="60" t="s">
        <v>517</v>
      </c>
    </row>
    <row r="1357" spans="2:11" ht="14.25" thickBot="1" x14ac:dyDescent="0.2">
      <c r="B1357" s="8" t="s">
        <v>2</v>
      </c>
      <c r="C1357" s="10">
        <f>SUM(C1332:C1356)</f>
        <v>160</v>
      </c>
      <c r="D1357" s="32">
        <f>SUM(D1332:D1356)</f>
        <v>92</v>
      </c>
      <c r="E1357" s="11">
        <f>C1357+D1357</f>
        <v>252</v>
      </c>
      <c r="G1357" s="8" t="s">
        <v>2</v>
      </c>
      <c r="H1357" s="10">
        <f>SUM(H1332:H1356)</f>
        <v>0</v>
      </c>
      <c r="I1357" s="32">
        <f>SUM(I1332:I1356)</f>
        <v>0</v>
      </c>
      <c r="J1357" s="11">
        <f t="shared" ref="J1357" si="176">H1357+I1357</f>
        <v>0</v>
      </c>
    </row>
    <row r="1358" spans="2:11" ht="14.25" thickBot="1" x14ac:dyDescent="0.2">
      <c r="B1358" s="52" t="s">
        <v>3</v>
      </c>
      <c r="C1358" s="53">
        <f>+C1331-C1357</f>
        <v>279</v>
      </c>
      <c r="D1358" s="54">
        <f>+D1331-D1357</f>
        <v>155</v>
      </c>
      <c r="E1358" s="55">
        <f>C1358+D1358</f>
        <v>434</v>
      </c>
      <c r="G1358" s="52" t="s">
        <v>3</v>
      </c>
      <c r="H1358" s="87">
        <f>+H1331-H1357</f>
        <v>2510</v>
      </c>
      <c r="I1358" s="97">
        <f>+I1331-I1357</f>
        <v>2213</v>
      </c>
      <c r="J1358" s="95">
        <f>+J1331-J1357</f>
        <v>4723</v>
      </c>
    </row>
    <row r="1360" spans="2:11" ht="21" x14ac:dyDescent="0.2">
      <c r="B1360" s="76" t="s">
        <v>150</v>
      </c>
      <c r="G1360" s="75" t="s">
        <v>149</v>
      </c>
    </row>
    <row r="1361" spans="2:10" ht="18.75" x14ac:dyDescent="0.2">
      <c r="B1361" s="3" t="s">
        <v>11</v>
      </c>
      <c r="E1361" s="71"/>
      <c r="G1361" s="3" t="s">
        <v>11</v>
      </c>
    </row>
    <row r="1362" spans="2:10" ht="14.25" thickBot="1" x14ac:dyDescent="0.2">
      <c r="G1362" s="1"/>
    </row>
    <row r="1363" spans="2:10" ht="14.25" thickBot="1" x14ac:dyDescent="0.2">
      <c r="B1363" s="7"/>
      <c r="C1363" s="67"/>
      <c r="D1363" s="68"/>
      <c r="E1363" s="69"/>
      <c r="G1363" s="7"/>
      <c r="H1363" s="67"/>
      <c r="I1363" s="68"/>
      <c r="J1363" s="69"/>
    </row>
    <row r="1364" spans="2:10" ht="14.25" thickBot="1" x14ac:dyDescent="0.2">
      <c r="B1364" s="8"/>
      <c r="C1364" s="40" t="s">
        <v>7</v>
      </c>
      <c r="D1364" s="29" t="s">
        <v>9</v>
      </c>
      <c r="E1364" s="9" t="s">
        <v>0</v>
      </c>
      <c r="G1364" s="8"/>
      <c r="H1364" s="40" t="s">
        <v>7</v>
      </c>
      <c r="I1364" s="29" t="s">
        <v>9</v>
      </c>
      <c r="J1364" s="9" t="s">
        <v>0</v>
      </c>
    </row>
    <row r="1365" spans="2:10" x14ac:dyDescent="0.15">
      <c r="B1365" s="16" t="s">
        <v>4</v>
      </c>
      <c r="C1365" s="17">
        <f>C1358</f>
        <v>279</v>
      </c>
      <c r="D1365" s="35">
        <f>D1358</f>
        <v>155</v>
      </c>
      <c r="E1365" s="18">
        <f t="shared" ref="E1365:E1371" si="177">C1365+D1365</f>
        <v>434</v>
      </c>
      <c r="G1365" s="16" t="s">
        <v>4</v>
      </c>
      <c r="H1365" s="89">
        <f>H1358</f>
        <v>2510</v>
      </c>
      <c r="I1365" s="90">
        <f>I1358</f>
        <v>2213</v>
      </c>
      <c r="J1365" s="96">
        <f>J1358</f>
        <v>4723</v>
      </c>
    </row>
    <row r="1366" spans="2:10" x14ac:dyDescent="0.15">
      <c r="B1366" s="26" t="s">
        <v>537</v>
      </c>
      <c r="C1366" s="27"/>
      <c r="D1366" s="36">
        <v>4</v>
      </c>
      <c r="E1366" s="28">
        <f t="shared" si="177"/>
        <v>4</v>
      </c>
      <c r="F1366" s="61">
        <v>45166</v>
      </c>
      <c r="G1366" s="25" t="s">
        <v>5</v>
      </c>
      <c r="H1366" s="14"/>
      <c r="I1366" s="31"/>
      <c r="J1366" s="15">
        <f t="shared" ref="J1366:J1370" si="178">H1366+I1366</f>
        <v>0</v>
      </c>
    </row>
    <row r="1367" spans="2:10" x14ac:dyDescent="0.15">
      <c r="B1367" s="26" t="s">
        <v>5</v>
      </c>
      <c r="C1367" s="27"/>
      <c r="D1367" s="36"/>
      <c r="E1367" s="28">
        <f t="shared" si="177"/>
        <v>0</v>
      </c>
      <c r="F1367" s="61"/>
      <c r="G1367" s="25" t="s">
        <v>5</v>
      </c>
      <c r="H1367" s="14"/>
      <c r="I1367" s="31"/>
      <c r="J1367" s="15">
        <f t="shared" si="178"/>
        <v>0</v>
      </c>
    </row>
    <row r="1368" spans="2:10" x14ac:dyDescent="0.15">
      <c r="B1368" s="26" t="s">
        <v>5</v>
      </c>
      <c r="C1368" s="27"/>
      <c r="D1368" s="36"/>
      <c r="E1368" s="28">
        <f t="shared" si="177"/>
        <v>0</v>
      </c>
      <c r="F1368" s="61"/>
      <c r="G1368" s="25" t="s">
        <v>5</v>
      </c>
      <c r="H1368" s="14"/>
      <c r="I1368" s="31"/>
      <c r="J1368" s="15">
        <f t="shared" si="178"/>
        <v>0</v>
      </c>
    </row>
    <row r="1369" spans="2:10" x14ac:dyDescent="0.15">
      <c r="B1369" s="26" t="s">
        <v>5</v>
      </c>
      <c r="C1369" s="27"/>
      <c r="D1369" s="36"/>
      <c r="E1369" s="28">
        <f t="shared" si="177"/>
        <v>0</v>
      </c>
      <c r="F1369" s="61"/>
      <c r="G1369" s="25" t="s">
        <v>5</v>
      </c>
      <c r="H1369" s="14"/>
      <c r="I1369" s="31"/>
      <c r="J1369" s="15">
        <f t="shared" si="178"/>
        <v>0</v>
      </c>
    </row>
    <row r="1370" spans="2:10" ht="14.25" thickBot="1" x14ac:dyDescent="0.2">
      <c r="B1370" s="26" t="s">
        <v>5</v>
      </c>
      <c r="C1370" s="14"/>
      <c r="D1370" s="31"/>
      <c r="E1370" s="15">
        <f t="shared" si="177"/>
        <v>0</v>
      </c>
      <c r="F1370" s="61"/>
      <c r="G1370" s="25" t="s">
        <v>5</v>
      </c>
      <c r="H1370" s="92"/>
      <c r="I1370" s="93"/>
      <c r="J1370" s="94">
        <f t="shared" si="178"/>
        <v>0</v>
      </c>
    </row>
    <row r="1371" spans="2:10" ht="14.25" thickBot="1" x14ac:dyDescent="0.2">
      <c r="B1371" s="8" t="s">
        <v>1</v>
      </c>
      <c r="C1371" s="10">
        <f>SUM(C1365:C1370)</f>
        <v>279</v>
      </c>
      <c r="D1371" s="32">
        <f>SUM(D1365:D1370)</f>
        <v>159</v>
      </c>
      <c r="E1371" s="11">
        <f t="shared" si="177"/>
        <v>438</v>
      </c>
      <c r="G1371" s="8" t="s">
        <v>1</v>
      </c>
      <c r="H1371" s="10">
        <f>SUM(H1365:H1370)</f>
        <v>2510</v>
      </c>
      <c r="I1371" s="32">
        <f>SUM(I1365:I1370)</f>
        <v>2213</v>
      </c>
      <c r="J1371" s="11">
        <f>SUM(J1365:J1370)</f>
        <v>4723</v>
      </c>
    </row>
    <row r="1372" spans="2:10" x14ac:dyDescent="0.15">
      <c r="B1372" s="5" t="s">
        <v>533</v>
      </c>
      <c r="C1372" s="14">
        <v>1</v>
      </c>
      <c r="D1372" s="31">
        <v>1</v>
      </c>
      <c r="E1372" s="15">
        <f t="shared" ref="E1372:E1377" si="179">C1372+D1372</f>
        <v>2</v>
      </c>
      <c r="F1372" s="61">
        <v>45133</v>
      </c>
      <c r="G1372" s="25"/>
      <c r="H1372" s="14"/>
      <c r="I1372" s="31"/>
      <c r="J1372" s="15">
        <f t="shared" ref="J1372:J1377" si="180">H1372+I1372</f>
        <v>0</v>
      </c>
    </row>
    <row r="1373" spans="2:10" x14ac:dyDescent="0.15">
      <c r="B1373" s="5" t="s">
        <v>381</v>
      </c>
      <c r="C1373" s="14">
        <v>1</v>
      </c>
      <c r="D1373" s="31">
        <v>1</v>
      </c>
      <c r="E1373" s="15">
        <f t="shared" si="179"/>
        <v>2</v>
      </c>
      <c r="F1373" s="61">
        <v>45133</v>
      </c>
      <c r="G1373" s="25"/>
      <c r="H1373" s="14"/>
      <c r="I1373" s="31"/>
      <c r="J1373" s="15">
        <f t="shared" si="180"/>
        <v>0</v>
      </c>
    </row>
    <row r="1374" spans="2:10" x14ac:dyDescent="0.15">
      <c r="B1374" s="5" t="s">
        <v>381</v>
      </c>
      <c r="C1374" s="14">
        <v>1</v>
      </c>
      <c r="D1374" s="31"/>
      <c r="E1374" s="15">
        <f t="shared" si="179"/>
        <v>1</v>
      </c>
      <c r="F1374" s="61">
        <v>45136</v>
      </c>
      <c r="G1374" s="25"/>
      <c r="H1374" s="14"/>
      <c r="I1374" s="31"/>
      <c r="J1374" s="15">
        <f t="shared" si="180"/>
        <v>0</v>
      </c>
    </row>
    <row r="1375" spans="2:10" x14ac:dyDescent="0.15">
      <c r="B1375" s="108" t="s">
        <v>431</v>
      </c>
      <c r="C1375" s="109">
        <v>0</v>
      </c>
      <c r="D1375" s="110">
        <v>0</v>
      </c>
      <c r="E1375" s="111">
        <f t="shared" si="179"/>
        <v>0</v>
      </c>
      <c r="F1375" s="112">
        <v>45142</v>
      </c>
      <c r="G1375" s="25"/>
      <c r="H1375" s="14"/>
      <c r="I1375" s="31"/>
      <c r="J1375" s="15">
        <f t="shared" si="180"/>
        <v>0</v>
      </c>
    </row>
    <row r="1376" spans="2:10" x14ac:dyDescent="0.15">
      <c r="B1376" s="5" t="s">
        <v>381</v>
      </c>
      <c r="C1376" s="14">
        <v>4</v>
      </c>
      <c r="D1376" s="31"/>
      <c r="E1376" s="15">
        <f t="shared" si="179"/>
        <v>4</v>
      </c>
      <c r="F1376" s="61">
        <v>45143</v>
      </c>
      <c r="G1376" s="25"/>
      <c r="H1376" s="14"/>
      <c r="I1376" s="31"/>
      <c r="J1376" s="15">
        <f t="shared" si="180"/>
        <v>0</v>
      </c>
    </row>
    <row r="1377" spans="2:10" x14ac:dyDescent="0.15">
      <c r="B1377" s="5" t="s">
        <v>381</v>
      </c>
      <c r="C1377" s="14">
        <v>2</v>
      </c>
      <c r="D1377" s="31">
        <v>1</v>
      </c>
      <c r="E1377" s="15">
        <f t="shared" si="179"/>
        <v>3</v>
      </c>
      <c r="F1377" s="61">
        <v>45145</v>
      </c>
      <c r="G1377" s="25"/>
      <c r="H1377" s="14"/>
      <c r="I1377" s="31"/>
      <c r="J1377" s="15">
        <f t="shared" si="180"/>
        <v>0</v>
      </c>
    </row>
    <row r="1378" spans="2:10" x14ac:dyDescent="0.15">
      <c r="B1378" s="5" t="s">
        <v>534</v>
      </c>
      <c r="C1378" s="14">
        <v>10</v>
      </c>
      <c r="D1378" s="31"/>
      <c r="E1378" s="15">
        <f t="shared" ref="E1378:E1396" si="181">C1378+D1378</f>
        <v>10</v>
      </c>
      <c r="F1378" s="61">
        <v>45148</v>
      </c>
      <c r="G1378" s="25"/>
      <c r="H1378" s="14"/>
      <c r="I1378" s="31"/>
      <c r="J1378" s="15">
        <f t="shared" ref="J1378:J1396" si="182">H1378+I1378</f>
        <v>0</v>
      </c>
    </row>
    <row r="1379" spans="2:10" x14ac:dyDescent="0.15">
      <c r="B1379" s="5" t="s">
        <v>535</v>
      </c>
      <c r="C1379" s="14">
        <v>2</v>
      </c>
      <c r="D1379" s="31">
        <v>2</v>
      </c>
      <c r="E1379" s="15">
        <f t="shared" si="181"/>
        <v>4</v>
      </c>
      <c r="F1379" s="61">
        <v>45149</v>
      </c>
      <c r="G1379" s="25"/>
      <c r="H1379" s="14"/>
      <c r="I1379" s="31"/>
      <c r="J1379" s="15">
        <f t="shared" si="182"/>
        <v>0</v>
      </c>
    </row>
    <row r="1380" spans="2:10" x14ac:dyDescent="0.15">
      <c r="B1380" s="5" t="s">
        <v>381</v>
      </c>
      <c r="C1380" s="14">
        <f>1+2</f>
        <v>3</v>
      </c>
      <c r="D1380" s="31">
        <f>1+2</f>
        <v>3</v>
      </c>
      <c r="E1380" s="15">
        <f t="shared" si="181"/>
        <v>6</v>
      </c>
      <c r="F1380" s="61">
        <v>45148</v>
      </c>
      <c r="G1380" s="25"/>
      <c r="H1380" s="14"/>
      <c r="I1380" s="31"/>
      <c r="J1380" s="15">
        <f t="shared" si="182"/>
        <v>0</v>
      </c>
    </row>
    <row r="1381" spans="2:10" x14ac:dyDescent="0.15">
      <c r="B1381" s="5" t="s">
        <v>381</v>
      </c>
      <c r="C1381" s="14">
        <v>1</v>
      </c>
      <c r="D1381" s="31"/>
      <c r="E1381" s="15">
        <f t="shared" si="181"/>
        <v>1</v>
      </c>
      <c r="F1381" s="61">
        <v>45149</v>
      </c>
      <c r="G1381" s="25"/>
      <c r="H1381" s="14"/>
      <c r="I1381" s="31"/>
      <c r="J1381" s="15">
        <f t="shared" si="182"/>
        <v>0</v>
      </c>
    </row>
    <row r="1382" spans="2:10" x14ac:dyDescent="0.15">
      <c r="B1382" s="5" t="s">
        <v>536</v>
      </c>
      <c r="C1382" s="14">
        <v>2</v>
      </c>
      <c r="D1382" s="31"/>
      <c r="E1382" s="15">
        <f t="shared" si="181"/>
        <v>2</v>
      </c>
      <c r="F1382" s="61">
        <v>45160</v>
      </c>
      <c r="G1382" s="25"/>
      <c r="H1382" s="14"/>
      <c r="I1382" s="31"/>
      <c r="J1382" s="15">
        <f t="shared" si="182"/>
        <v>0</v>
      </c>
    </row>
    <row r="1383" spans="2:10" x14ac:dyDescent="0.15">
      <c r="B1383" s="5" t="s">
        <v>429</v>
      </c>
      <c r="C1383" s="14"/>
      <c r="D1383" s="31">
        <v>10</v>
      </c>
      <c r="E1383" s="15">
        <f t="shared" si="181"/>
        <v>10</v>
      </c>
      <c r="F1383" s="61">
        <v>45160</v>
      </c>
      <c r="G1383" s="25"/>
      <c r="H1383" s="14"/>
      <c r="I1383" s="31"/>
      <c r="J1383" s="15">
        <f t="shared" si="182"/>
        <v>0</v>
      </c>
    </row>
    <row r="1384" spans="2:10" x14ac:dyDescent="0.15">
      <c r="B1384" s="5" t="s">
        <v>381</v>
      </c>
      <c r="C1384" s="14"/>
      <c r="D1384" s="31">
        <v>2</v>
      </c>
      <c r="E1384" s="15">
        <f t="shared" si="181"/>
        <v>2</v>
      </c>
      <c r="F1384" s="61">
        <v>45163</v>
      </c>
      <c r="G1384" s="25"/>
      <c r="H1384" s="14"/>
      <c r="I1384" s="31"/>
      <c r="J1384" s="15">
        <f t="shared" si="182"/>
        <v>0</v>
      </c>
    </row>
    <row r="1385" spans="2:10" x14ac:dyDescent="0.15">
      <c r="B1385" s="5" t="s">
        <v>381</v>
      </c>
      <c r="C1385" s="14">
        <v>1</v>
      </c>
      <c r="D1385" s="31"/>
      <c r="E1385" s="15">
        <f t="shared" si="181"/>
        <v>1</v>
      </c>
      <c r="F1385" s="61">
        <v>45167</v>
      </c>
      <c r="G1385" s="25"/>
      <c r="H1385" s="14"/>
      <c r="I1385" s="31"/>
      <c r="J1385" s="15">
        <f t="shared" si="182"/>
        <v>0</v>
      </c>
    </row>
    <row r="1386" spans="2:10" x14ac:dyDescent="0.15">
      <c r="B1386" s="5" t="s">
        <v>381</v>
      </c>
      <c r="C1386" s="14">
        <v>3</v>
      </c>
      <c r="D1386" s="31"/>
      <c r="E1386" s="15">
        <f t="shared" si="181"/>
        <v>3</v>
      </c>
      <c r="F1386" s="61">
        <v>45168</v>
      </c>
      <c r="G1386" s="25"/>
      <c r="H1386" s="14"/>
      <c r="I1386" s="31"/>
      <c r="J1386" s="15">
        <f t="shared" si="182"/>
        <v>0</v>
      </c>
    </row>
    <row r="1387" spans="2:10" x14ac:dyDescent="0.15">
      <c r="B1387" s="5" t="s">
        <v>381</v>
      </c>
      <c r="C1387" s="14">
        <v>1</v>
      </c>
      <c r="D1387" s="31">
        <v>1</v>
      </c>
      <c r="E1387" s="15">
        <f t="shared" si="181"/>
        <v>2</v>
      </c>
      <c r="F1387" s="61">
        <v>45177</v>
      </c>
      <c r="G1387" s="25"/>
      <c r="H1387" s="14"/>
      <c r="I1387" s="31"/>
      <c r="J1387" s="15">
        <f t="shared" si="182"/>
        <v>0</v>
      </c>
    </row>
    <row r="1388" spans="2:10" x14ac:dyDescent="0.15">
      <c r="B1388" s="5" t="s">
        <v>538</v>
      </c>
      <c r="C1388" s="14">
        <v>3</v>
      </c>
      <c r="D1388" s="31"/>
      <c r="E1388" s="15">
        <f t="shared" si="181"/>
        <v>3</v>
      </c>
      <c r="F1388" s="61">
        <v>45183</v>
      </c>
      <c r="G1388" s="25"/>
      <c r="H1388" s="14"/>
      <c r="I1388" s="31"/>
      <c r="J1388" s="15">
        <f t="shared" si="182"/>
        <v>0</v>
      </c>
    </row>
    <row r="1389" spans="2:10" x14ac:dyDescent="0.15">
      <c r="B1389" s="5" t="s">
        <v>381</v>
      </c>
      <c r="C1389" s="14">
        <v>5</v>
      </c>
      <c r="D1389" s="31"/>
      <c r="E1389" s="15">
        <f t="shared" si="181"/>
        <v>5</v>
      </c>
      <c r="F1389" s="61">
        <v>45180</v>
      </c>
      <c r="G1389" s="25"/>
      <c r="H1389" s="14"/>
      <c r="I1389" s="31"/>
      <c r="J1389" s="15">
        <f t="shared" si="182"/>
        <v>0</v>
      </c>
    </row>
    <row r="1390" spans="2:10" x14ac:dyDescent="0.15">
      <c r="B1390" s="5" t="s">
        <v>539</v>
      </c>
      <c r="C1390" s="14">
        <v>10</v>
      </c>
      <c r="D1390" s="31"/>
      <c r="E1390" s="15">
        <f t="shared" si="181"/>
        <v>10</v>
      </c>
      <c r="F1390" s="61">
        <v>45183</v>
      </c>
      <c r="G1390" s="25"/>
      <c r="H1390" s="14"/>
      <c r="I1390" s="31"/>
      <c r="J1390" s="15">
        <f t="shared" si="182"/>
        <v>0</v>
      </c>
    </row>
    <row r="1391" spans="2:10" x14ac:dyDescent="0.15">
      <c r="B1391" s="5" t="s">
        <v>540</v>
      </c>
      <c r="C1391" s="14">
        <v>3</v>
      </c>
      <c r="D1391" s="31"/>
      <c r="E1391" s="15">
        <f t="shared" si="181"/>
        <v>3</v>
      </c>
      <c r="F1391" s="61">
        <v>45189</v>
      </c>
      <c r="G1391" s="25"/>
      <c r="H1391" s="14"/>
      <c r="I1391" s="31"/>
      <c r="J1391" s="15">
        <f t="shared" si="182"/>
        <v>0</v>
      </c>
    </row>
    <row r="1392" spans="2:10" x14ac:dyDescent="0.15">
      <c r="B1392" s="5" t="s">
        <v>381</v>
      </c>
      <c r="C1392" s="14">
        <v>2</v>
      </c>
      <c r="D1392" s="31"/>
      <c r="E1392" s="15">
        <f t="shared" si="181"/>
        <v>2</v>
      </c>
      <c r="F1392" s="61">
        <v>45188</v>
      </c>
      <c r="G1392" s="25"/>
      <c r="H1392" s="14"/>
      <c r="I1392" s="31"/>
      <c r="J1392" s="15">
        <f t="shared" si="182"/>
        <v>0</v>
      </c>
    </row>
    <row r="1393" spans="2:10" x14ac:dyDescent="0.15">
      <c r="B1393" s="5" t="s">
        <v>429</v>
      </c>
      <c r="C1393" s="14">
        <v>10</v>
      </c>
      <c r="D1393" s="31"/>
      <c r="E1393" s="15">
        <f t="shared" si="181"/>
        <v>10</v>
      </c>
      <c r="F1393" s="61">
        <v>45198</v>
      </c>
      <c r="G1393" s="25"/>
      <c r="H1393" s="14"/>
      <c r="I1393" s="31"/>
      <c r="J1393" s="15">
        <f t="shared" si="182"/>
        <v>0</v>
      </c>
    </row>
    <row r="1394" spans="2:10" x14ac:dyDescent="0.15">
      <c r="B1394" s="5" t="s">
        <v>381</v>
      </c>
      <c r="C1394" s="14">
        <v>3</v>
      </c>
      <c r="D1394" s="31"/>
      <c r="E1394" s="15">
        <f t="shared" si="181"/>
        <v>3</v>
      </c>
      <c r="F1394" s="61">
        <v>45204</v>
      </c>
      <c r="G1394" s="25"/>
      <c r="H1394" s="14"/>
      <c r="I1394" s="31"/>
      <c r="J1394" s="15">
        <f t="shared" si="182"/>
        <v>0</v>
      </c>
    </row>
    <row r="1395" spans="2:10" x14ac:dyDescent="0.15">
      <c r="B1395" s="5" t="s">
        <v>381</v>
      </c>
      <c r="C1395" s="14">
        <v>4</v>
      </c>
      <c r="D1395" s="31"/>
      <c r="E1395" s="15">
        <f t="shared" si="181"/>
        <v>4</v>
      </c>
      <c r="F1395" s="61">
        <v>45209</v>
      </c>
      <c r="G1395" s="25"/>
      <c r="H1395" s="14"/>
      <c r="I1395" s="31"/>
      <c r="J1395" s="15">
        <f t="shared" si="182"/>
        <v>0</v>
      </c>
    </row>
    <row r="1396" spans="2:10" ht="14.25" thickBot="1" x14ac:dyDescent="0.2">
      <c r="B1396" s="5" t="s">
        <v>429</v>
      </c>
      <c r="C1396" s="14">
        <v>20</v>
      </c>
      <c r="D1396" s="31">
        <v>5</v>
      </c>
      <c r="E1396" s="15">
        <f t="shared" si="181"/>
        <v>25</v>
      </c>
      <c r="F1396" s="61">
        <v>45210</v>
      </c>
      <c r="G1396" s="25"/>
      <c r="H1396" s="14"/>
      <c r="I1396" s="31"/>
      <c r="J1396" s="15">
        <f t="shared" si="182"/>
        <v>0</v>
      </c>
    </row>
    <row r="1397" spans="2:10" ht="14.25" thickBot="1" x14ac:dyDescent="0.2">
      <c r="B1397" s="8" t="s">
        <v>2</v>
      </c>
      <c r="C1397" s="10">
        <f>SUM(C1372:C1396)</f>
        <v>92</v>
      </c>
      <c r="D1397" s="32">
        <f>SUM(D1372:D1396)</f>
        <v>26</v>
      </c>
      <c r="E1397" s="11">
        <f>C1397+D1397</f>
        <v>118</v>
      </c>
      <c r="G1397" s="8" t="s">
        <v>2</v>
      </c>
      <c r="H1397" s="10">
        <f>SUM(H1372:H1396)</f>
        <v>0</v>
      </c>
      <c r="I1397" s="32">
        <f>SUM(I1372:I1396)</f>
        <v>0</v>
      </c>
      <c r="J1397" s="11">
        <f t="shared" ref="J1397" si="183">H1397+I1397</f>
        <v>0</v>
      </c>
    </row>
    <row r="1398" spans="2:10" ht="14.25" thickBot="1" x14ac:dyDescent="0.2">
      <c r="B1398" s="52" t="s">
        <v>3</v>
      </c>
      <c r="C1398" s="53">
        <f>+C1371-C1397</f>
        <v>187</v>
      </c>
      <c r="D1398" s="54">
        <f>+D1371-D1397</f>
        <v>133</v>
      </c>
      <c r="E1398" s="55">
        <f>C1398+D1398</f>
        <v>320</v>
      </c>
      <c r="G1398" s="52" t="s">
        <v>3</v>
      </c>
      <c r="H1398" s="87">
        <f>+H1371-H1397</f>
        <v>2510</v>
      </c>
      <c r="I1398" s="97">
        <f>+I1371-I1397</f>
        <v>2213</v>
      </c>
      <c r="J1398" s="95">
        <f>+J1371-J1397</f>
        <v>4723</v>
      </c>
    </row>
    <row r="1400" spans="2:10" ht="21" x14ac:dyDescent="0.2">
      <c r="B1400" s="76" t="s">
        <v>150</v>
      </c>
      <c r="G1400" s="75" t="s">
        <v>149</v>
      </c>
    </row>
    <row r="1401" spans="2:10" ht="18.75" x14ac:dyDescent="0.2">
      <c r="B1401" s="3" t="s">
        <v>11</v>
      </c>
      <c r="E1401" s="71"/>
      <c r="G1401" s="3" t="s">
        <v>11</v>
      </c>
    </row>
    <row r="1402" spans="2:10" ht="14.25" thickBot="1" x14ac:dyDescent="0.2">
      <c r="G1402" s="1"/>
    </row>
    <row r="1403" spans="2:10" ht="14.25" thickBot="1" x14ac:dyDescent="0.2">
      <c r="B1403" s="7"/>
      <c r="C1403" s="67"/>
      <c r="D1403" s="68"/>
      <c r="E1403" s="69"/>
      <c r="G1403" s="7"/>
      <c r="H1403" s="67"/>
      <c r="I1403" s="68"/>
      <c r="J1403" s="69"/>
    </row>
    <row r="1404" spans="2:10" ht="14.25" thickBot="1" x14ac:dyDescent="0.2">
      <c r="B1404" s="8"/>
      <c r="C1404" s="40" t="s">
        <v>7</v>
      </c>
      <c r="D1404" s="29" t="s">
        <v>9</v>
      </c>
      <c r="E1404" s="9" t="s">
        <v>0</v>
      </c>
      <c r="G1404" s="8"/>
      <c r="H1404" s="40" t="s">
        <v>7</v>
      </c>
      <c r="I1404" s="29" t="s">
        <v>9</v>
      </c>
      <c r="J1404" s="9" t="s">
        <v>0</v>
      </c>
    </row>
    <row r="1405" spans="2:10" x14ac:dyDescent="0.15">
      <c r="B1405" s="16" t="s">
        <v>4</v>
      </c>
      <c r="C1405" s="17">
        <f>C1398</f>
        <v>187</v>
      </c>
      <c r="D1405" s="35">
        <f>D1398</f>
        <v>133</v>
      </c>
      <c r="E1405" s="18">
        <f t="shared" ref="E1405:E1436" si="184">C1405+D1405</f>
        <v>320</v>
      </c>
      <c r="G1405" s="16" t="s">
        <v>4</v>
      </c>
      <c r="H1405" s="89">
        <f>H1398</f>
        <v>2510</v>
      </c>
      <c r="I1405" s="90">
        <f>I1398</f>
        <v>2213</v>
      </c>
      <c r="J1405" s="96">
        <f>J1398</f>
        <v>4723</v>
      </c>
    </row>
    <row r="1406" spans="2:10" x14ac:dyDescent="0.15">
      <c r="B1406" s="26" t="s">
        <v>544</v>
      </c>
      <c r="C1406" s="27">
        <v>87</v>
      </c>
      <c r="D1406" s="36">
        <v>79</v>
      </c>
      <c r="E1406" s="28">
        <f t="shared" ref="E1406:E1407" si="185">C1406+D1406</f>
        <v>166</v>
      </c>
      <c r="F1406" s="61">
        <v>45234</v>
      </c>
      <c r="G1406" s="25" t="s">
        <v>5</v>
      </c>
      <c r="H1406" s="14"/>
      <c r="I1406" s="31"/>
      <c r="J1406" s="15">
        <f t="shared" ref="J1406:J1410" si="186">H1406+I1406</f>
        <v>0</v>
      </c>
    </row>
    <row r="1407" spans="2:10" x14ac:dyDescent="0.15">
      <c r="B1407" s="26" t="s">
        <v>5</v>
      </c>
      <c r="C1407" s="27"/>
      <c r="D1407" s="36"/>
      <c r="E1407" s="28">
        <f t="shared" si="185"/>
        <v>0</v>
      </c>
      <c r="F1407" s="61"/>
      <c r="G1407" s="25" t="s">
        <v>5</v>
      </c>
      <c r="H1407" s="14"/>
      <c r="I1407" s="31"/>
      <c r="J1407" s="15">
        <f t="shared" si="186"/>
        <v>0</v>
      </c>
    </row>
    <row r="1408" spans="2:10" x14ac:dyDescent="0.15">
      <c r="B1408" s="26" t="s">
        <v>5</v>
      </c>
      <c r="C1408" s="27"/>
      <c r="D1408" s="36"/>
      <c r="E1408" s="28">
        <f t="shared" si="184"/>
        <v>0</v>
      </c>
      <c r="F1408" s="61"/>
      <c r="G1408" s="25" t="s">
        <v>5</v>
      </c>
      <c r="H1408" s="14"/>
      <c r="I1408" s="31"/>
      <c r="J1408" s="15">
        <f t="shared" si="186"/>
        <v>0</v>
      </c>
    </row>
    <row r="1409" spans="2:11" x14ac:dyDescent="0.15">
      <c r="B1409" s="26" t="s">
        <v>5</v>
      </c>
      <c r="C1409" s="27"/>
      <c r="D1409" s="36"/>
      <c r="E1409" s="28">
        <f t="shared" si="184"/>
        <v>0</v>
      </c>
      <c r="F1409" s="61"/>
      <c r="G1409" s="25" t="s">
        <v>5</v>
      </c>
      <c r="H1409" s="14"/>
      <c r="I1409" s="31"/>
      <c r="J1409" s="15">
        <f t="shared" si="186"/>
        <v>0</v>
      </c>
    </row>
    <row r="1410" spans="2:11" ht="14.25" thickBot="1" x14ac:dyDescent="0.2">
      <c r="B1410" s="26" t="s">
        <v>5</v>
      </c>
      <c r="C1410" s="14"/>
      <c r="D1410" s="31"/>
      <c r="E1410" s="15">
        <f t="shared" si="184"/>
        <v>0</v>
      </c>
      <c r="F1410" s="61"/>
      <c r="G1410" s="25" t="s">
        <v>431</v>
      </c>
      <c r="H1410" s="92">
        <v>-47</v>
      </c>
      <c r="I1410" s="93">
        <v>-193</v>
      </c>
      <c r="J1410" s="94">
        <f t="shared" si="186"/>
        <v>-240</v>
      </c>
    </row>
    <row r="1411" spans="2:11" ht="14.25" thickBot="1" x14ac:dyDescent="0.2">
      <c r="B1411" s="8" t="s">
        <v>1</v>
      </c>
      <c r="C1411" s="10">
        <f>SUM(C1405:C1410)</f>
        <v>274</v>
      </c>
      <c r="D1411" s="32">
        <f>SUM(D1405:D1410)</f>
        <v>212</v>
      </c>
      <c r="E1411" s="11">
        <f t="shared" si="184"/>
        <v>486</v>
      </c>
      <c r="G1411" s="8" t="s">
        <v>1</v>
      </c>
      <c r="H1411" s="10">
        <f>SUM(H1405:H1410)</f>
        <v>2463</v>
      </c>
      <c r="I1411" s="32">
        <f>SUM(I1405:I1410)</f>
        <v>2020</v>
      </c>
      <c r="J1411" s="11">
        <f>SUM(J1405:J1410)</f>
        <v>4483</v>
      </c>
    </row>
    <row r="1412" spans="2:11" x14ac:dyDescent="0.15">
      <c r="B1412" s="5" t="s">
        <v>540</v>
      </c>
      <c r="C1412" s="14">
        <v>3</v>
      </c>
      <c r="D1412" s="31">
        <v>2</v>
      </c>
      <c r="E1412" s="15">
        <f t="shared" ref="E1412:E1434" si="187">C1412+D1412</f>
        <v>5</v>
      </c>
      <c r="F1412" s="61">
        <v>45212</v>
      </c>
      <c r="G1412" s="25" t="s">
        <v>545</v>
      </c>
      <c r="H1412" s="14">
        <v>87</v>
      </c>
      <c r="I1412" s="31">
        <v>79</v>
      </c>
      <c r="J1412" s="15">
        <f t="shared" ref="J1412:J1437" si="188">H1412+I1412</f>
        <v>166</v>
      </c>
      <c r="K1412" s="61">
        <v>45234</v>
      </c>
    </row>
    <row r="1413" spans="2:11" x14ac:dyDescent="0.15">
      <c r="B1413" s="5" t="s">
        <v>429</v>
      </c>
      <c r="C1413" s="14">
        <v>20</v>
      </c>
      <c r="D1413" s="31"/>
      <c r="E1413" s="15">
        <f t="shared" si="187"/>
        <v>20</v>
      </c>
      <c r="F1413" s="61">
        <v>45216</v>
      </c>
      <c r="G1413" s="25"/>
      <c r="H1413" s="14"/>
      <c r="I1413" s="31"/>
      <c r="J1413" s="15">
        <f t="shared" si="188"/>
        <v>0</v>
      </c>
    </row>
    <row r="1414" spans="2:11" x14ac:dyDescent="0.15">
      <c r="B1414" s="5" t="s">
        <v>541</v>
      </c>
      <c r="C1414" s="14">
        <v>3</v>
      </c>
      <c r="D1414" s="31">
        <v>1</v>
      </c>
      <c r="E1414" s="15">
        <f t="shared" si="187"/>
        <v>4</v>
      </c>
      <c r="F1414" s="61">
        <v>45215</v>
      </c>
      <c r="G1414" s="25"/>
      <c r="H1414" s="14"/>
      <c r="I1414" s="31"/>
      <c r="J1414" s="15">
        <f t="shared" si="188"/>
        <v>0</v>
      </c>
    </row>
    <row r="1415" spans="2:11" x14ac:dyDescent="0.15">
      <c r="B1415" s="5" t="s">
        <v>263</v>
      </c>
      <c r="C1415" s="14">
        <v>1</v>
      </c>
      <c r="D1415" s="31"/>
      <c r="E1415" s="15">
        <f t="shared" si="187"/>
        <v>1</v>
      </c>
      <c r="F1415" s="61">
        <v>45222</v>
      </c>
      <c r="G1415" s="25"/>
      <c r="H1415" s="14"/>
      <c r="I1415" s="31"/>
      <c r="J1415" s="15">
        <f t="shared" si="188"/>
        <v>0</v>
      </c>
    </row>
    <row r="1416" spans="2:11" x14ac:dyDescent="0.15">
      <c r="B1416" s="5" t="s">
        <v>542</v>
      </c>
      <c r="C1416" s="14">
        <v>10</v>
      </c>
      <c r="D1416" s="31">
        <v>10</v>
      </c>
      <c r="E1416" s="15">
        <f t="shared" si="187"/>
        <v>20</v>
      </c>
      <c r="F1416" s="61">
        <v>45225</v>
      </c>
      <c r="G1416" s="25"/>
      <c r="H1416" s="14"/>
      <c r="I1416" s="31"/>
      <c r="J1416" s="15">
        <f t="shared" si="188"/>
        <v>0</v>
      </c>
    </row>
    <row r="1417" spans="2:11" x14ac:dyDescent="0.15">
      <c r="B1417" s="5" t="s">
        <v>263</v>
      </c>
      <c r="C1417" s="14">
        <v>1</v>
      </c>
      <c r="D1417" s="31">
        <v>1</v>
      </c>
      <c r="E1417" s="15">
        <f t="shared" si="187"/>
        <v>2</v>
      </c>
      <c r="F1417" s="61">
        <v>45224</v>
      </c>
      <c r="G1417" s="25"/>
      <c r="H1417" s="14"/>
      <c r="I1417" s="31"/>
      <c r="J1417" s="15">
        <f t="shared" si="188"/>
        <v>0</v>
      </c>
    </row>
    <row r="1418" spans="2:11" x14ac:dyDescent="0.15">
      <c r="B1418" s="5" t="s">
        <v>263</v>
      </c>
      <c r="C1418" s="14">
        <v>3</v>
      </c>
      <c r="D1418" s="31">
        <v>2</v>
      </c>
      <c r="E1418" s="15">
        <f t="shared" si="187"/>
        <v>5</v>
      </c>
      <c r="F1418" s="61">
        <v>45225</v>
      </c>
      <c r="G1418" s="25"/>
      <c r="H1418" s="14"/>
      <c r="I1418" s="31"/>
      <c r="J1418" s="15">
        <f t="shared" si="188"/>
        <v>0</v>
      </c>
    </row>
    <row r="1419" spans="2:11" x14ac:dyDescent="0.15">
      <c r="B1419" s="5" t="s">
        <v>543</v>
      </c>
      <c r="C1419" s="14">
        <v>2</v>
      </c>
      <c r="D1419" s="31">
        <v>1</v>
      </c>
      <c r="E1419" s="15">
        <f t="shared" si="187"/>
        <v>3</v>
      </c>
      <c r="F1419" s="61">
        <v>45227</v>
      </c>
      <c r="G1419" s="25"/>
      <c r="H1419" s="14"/>
      <c r="I1419" s="31"/>
      <c r="J1419" s="15">
        <f t="shared" si="188"/>
        <v>0</v>
      </c>
    </row>
    <row r="1420" spans="2:11" x14ac:dyDescent="0.15">
      <c r="B1420" s="5" t="s">
        <v>263</v>
      </c>
      <c r="C1420" s="14">
        <v>1</v>
      </c>
      <c r="D1420" s="31">
        <v>1</v>
      </c>
      <c r="E1420" s="15">
        <f t="shared" si="187"/>
        <v>2</v>
      </c>
      <c r="F1420" s="61">
        <v>45226</v>
      </c>
      <c r="G1420" s="25"/>
      <c r="H1420" s="14"/>
      <c r="I1420" s="31"/>
      <c r="J1420" s="15">
        <f t="shared" si="188"/>
        <v>0</v>
      </c>
    </row>
    <row r="1421" spans="2:11" x14ac:dyDescent="0.15">
      <c r="B1421" s="5" t="s">
        <v>263</v>
      </c>
      <c r="C1421" s="14">
        <v>2</v>
      </c>
      <c r="D1421" s="31"/>
      <c r="E1421" s="15">
        <f t="shared" si="187"/>
        <v>2</v>
      </c>
      <c r="F1421" s="61">
        <v>45229</v>
      </c>
      <c r="G1421" s="25"/>
      <c r="H1421" s="14"/>
      <c r="I1421" s="31"/>
      <c r="J1421" s="15">
        <f t="shared" si="188"/>
        <v>0</v>
      </c>
    </row>
    <row r="1422" spans="2:11" x14ac:dyDescent="0.15">
      <c r="B1422" s="5" t="s">
        <v>263</v>
      </c>
      <c r="C1422" s="14">
        <v>1</v>
      </c>
      <c r="D1422" s="31"/>
      <c r="E1422" s="15">
        <f t="shared" si="187"/>
        <v>1</v>
      </c>
      <c r="F1422" s="61">
        <v>45236</v>
      </c>
      <c r="G1422" s="25"/>
      <c r="H1422" s="14"/>
      <c r="I1422" s="31"/>
      <c r="J1422" s="15">
        <f t="shared" si="188"/>
        <v>0</v>
      </c>
    </row>
    <row r="1423" spans="2:11" x14ac:dyDescent="0.15">
      <c r="B1423" s="5" t="s">
        <v>263</v>
      </c>
      <c r="C1423" s="14">
        <v>1</v>
      </c>
      <c r="D1423" s="31">
        <v>1</v>
      </c>
      <c r="E1423" s="15">
        <f t="shared" si="187"/>
        <v>2</v>
      </c>
      <c r="F1423" s="61">
        <v>45238</v>
      </c>
      <c r="G1423" s="25"/>
      <c r="H1423" s="14"/>
      <c r="I1423" s="31"/>
      <c r="J1423" s="15">
        <f t="shared" si="188"/>
        <v>0</v>
      </c>
    </row>
    <row r="1424" spans="2:11" x14ac:dyDescent="0.15">
      <c r="B1424" s="5" t="s">
        <v>546</v>
      </c>
      <c r="C1424" s="14">
        <v>4</v>
      </c>
      <c r="D1424" s="31"/>
      <c r="E1424" s="15">
        <f t="shared" si="187"/>
        <v>4</v>
      </c>
      <c r="F1424" s="61">
        <v>45244</v>
      </c>
      <c r="G1424" s="25"/>
      <c r="H1424" s="14"/>
      <c r="I1424" s="31"/>
      <c r="J1424" s="15">
        <f t="shared" si="188"/>
        <v>0</v>
      </c>
    </row>
    <row r="1425" spans="2:10" x14ac:dyDescent="0.15">
      <c r="B1425" s="5" t="s">
        <v>547</v>
      </c>
      <c r="C1425" s="14">
        <v>1</v>
      </c>
      <c r="D1425" s="31"/>
      <c r="E1425" s="15">
        <f t="shared" si="187"/>
        <v>1</v>
      </c>
      <c r="F1425" s="61">
        <v>45246</v>
      </c>
      <c r="G1425" s="25"/>
      <c r="H1425" s="14"/>
      <c r="I1425" s="31"/>
      <c r="J1425" s="15">
        <f t="shared" si="188"/>
        <v>0</v>
      </c>
    </row>
    <row r="1426" spans="2:10" x14ac:dyDescent="0.15">
      <c r="B1426" s="5" t="s">
        <v>548</v>
      </c>
      <c r="C1426" s="14">
        <v>20</v>
      </c>
      <c r="D1426" s="31">
        <v>10</v>
      </c>
      <c r="E1426" s="15">
        <f t="shared" si="187"/>
        <v>30</v>
      </c>
      <c r="F1426" s="61">
        <v>45246</v>
      </c>
      <c r="G1426" s="25"/>
      <c r="H1426" s="14"/>
      <c r="I1426" s="31"/>
      <c r="J1426" s="15">
        <f t="shared" si="188"/>
        <v>0</v>
      </c>
    </row>
    <row r="1427" spans="2:10" x14ac:dyDescent="0.15">
      <c r="B1427" s="5" t="s">
        <v>263</v>
      </c>
      <c r="C1427" s="14">
        <v>1</v>
      </c>
      <c r="D1427" s="31"/>
      <c r="E1427" s="15">
        <f t="shared" si="187"/>
        <v>1</v>
      </c>
      <c r="F1427" s="61">
        <v>45246</v>
      </c>
      <c r="G1427" s="25"/>
      <c r="H1427" s="14"/>
      <c r="I1427" s="31"/>
      <c r="J1427" s="15">
        <f t="shared" si="188"/>
        <v>0</v>
      </c>
    </row>
    <row r="1428" spans="2:10" x14ac:dyDescent="0.15">
      <c r="B1428" s="5" t="s">
        <v>549</v>
      </c>
      <c r="C1428" s="14">
        <v>3</v>
      </c>
      <c r="D1428" s="31"/>
      <c r="E1428" s="15">
        <f t="shared" si="187"/>
        <v>3</v>
      </c>
      <c r="F1428" s="61">
        <v>45251</v>
      </c>
      <c r="G1428" s="25"/>
      <c r="H1428" s="14"/>
      <c r="I1428" s="31"/>
      <c r="J1428" s="15">
        <f t="shared" si="188"/>
        <v>0</v>
      </c>
    </row>
    <row r="1429" spans="2:10" x14ac:dyDescent="0.15">
      <c r="B1429" s="5" t="s">
        <v>550</v>
      </c>
      <c r="C1429" s="14">
        <v>5</v>
      </c>
      <c r="D1429" s="31">
        <v>1</v>
      </c>
      <c r="E1429" s="15">
        <f t="shared" si="187"/>
        <v>6</v>
      </c>
      <c r="F1429" s="61">
        <v>45252</v>
      </c>
      <c r="G1429" s="25"/>
      <c r="H1429" s="14"/>
      <c r="I1429" s="31"/>
      <c r="J1429" s="15">
        <f t="shared" si="188"/>
        <v>0</v>
      </c>
    </row>
    <row r="1430" spans="2:10" x14ac:dyDescent="0.15">
      <c r="B1430" s="5" t="s">
        <v>263</v>
      </c>
      <c r="C1430" s="14">
        <v>2</v>
      </c>
      <c r="D1430" s="31">
        <v>1</v>
      </c>
      <c r="E1430" s="15">
        <f t="shared" si="187"/>
        <v>3</v>
      </c>
      <c r="F1430" s="61">
        <v>45252</v>
      </c>
      <c r="G1430" s="25"/>
      <c r="H1430" s="14"/>
      <c r="I1430" s="31"/>
      <c r="J1430" s="15">
        <f t="shared" si="188"/>
        <v>0</v>
      </c>
    </row>
    <row r="1431" spans="2:10" x14ac:dyDescent="0.15">
      <c r="B1431" s="5" t="s">
        <v>540</v>
      </c>
      <c r="C1431" s="14">
        <v>2</v>
      </c>
      <c r="D1431" s="31"/>
      <c r="E1431" s="15">
        <f t="shared" si="187"/>
        <v>2</v>
      </c>
      <c r="F1431" s="61">
        <v>45255</v>
      </c>
      <c r="G1431" s="25"/>
      <c r="H1431" s="14"/>
      <c r="I1431" s="31"/>
      <c r="J1431" s="15">
        <f t="shared" si="188"/>
        <v>0</v>
      </c>
    </row>
    <row r="1432" spans="2:10" x14ac:dyDescent="0.15">
      <c r="B1432" s="5" t="s">
        <v>263</v>
      </c>
      <c r="C1432" s="14">
        <v>4</v>
      </c>
      <c r="D1432" s="31">
        <v>1</v>
      </c>
      <c r="E1432" s="15">
        <f t="shared" si="187"/>
        <v>5</v>
      </c>
      <c r="F1432" s="61">
        <v>45257</v>
      </c>
      <c r="G1432" s="25"/>
      <c r="H1432" s="14"/>
      <c r="I1432" s="31"/>
      <c r="J1432" s="15">
        <f t="shared" si="188"/>
        <v>0</v>
      </c>
    </row>
    <row r="1433" spans="2:10" x14ac:dyDescent="0.15">
      <c r="B1433" s="5" t="s">
        <v>263</v>
      </c>
      <c r="C1433" s="14">
        <v>1</v>
      </c>
      <c r="D1433" s="31"/>
      <c r="E1433" s="15">
        <f t="shared" si="187"/>
        <v>1</v>
      </c>
      <c r="F1433" s="61">
        <v>45258</v>
      </c>
      <c r="G1433" s="25"/>
      <c r="H1433" s="14"/>
      <c r="I1433" s="31"/>
      <c r="J1433" s="15">
        <f t="shared" si="188"/>
        <v>0</v>
      </c>
    </row>
    <row r="1434" spans="2:10" x14ac:dyDescent="0.15">
      <c r="B1434" s="5" t="s">
        <v>551</v>
      </c>
      <c r="C1434" s="14">
        <v>20</v>
      </c>
      <c r="D1434" s="31"/>
      <c r="E1434" s="15">
        <f t="shared" si="187"/>
        <v>20</v>
      </c>
      <c r="F1434" s="61">
        <v>45258</v>
      </c>
      <c r="G1434" s="25"/>
      <c r="H1434" s="14"/>
      <c r="I1434" s="31"/>
      <c r="J1434" s="15">
        <f t="shared" si="188"/>
        <v>0</v>
      </c>
    </row>
    <row r="1435" spans="2:10" x14ac:dyDescent="0.15">
      <c r="B1435" s="5" t="s">
        <v>263</v>
      </c>
      <c r="C1435" s="14">
        <v>1</v>
      </c>
      <c r="D1435" s="31"/>
      <c r="E1435" s="15">
        <f t="shared" si="184"/>
        <v>1</v>
      </c>
      <c r="F1435" s="61">
        <v>45260</v>
      </c>
      <c r="G1435" s="25"/>
      <c r="H1435" s="14"/>
      <c r="I1435" s="31"/>
      <c r="J1435" s="15">
        <f t="shared" si="188"/>
        <v>0</v>
      </c>
    </row>
    <row r="1436" spans="2:10" ht="14.25" thickBot="1" x14ac:dyDescent="0.2">
      <c r="B1436" s="5" t="s">
        <v>263</v>
      </c>
      <c r="C1436" s="14">
        <v>1</v>
      </c>
      <c r="D1436" s="31"/>
      <c r="E1436" s="15">
        <f t="shared" si="184"/>
        <v>1</v>
      </c>
      <c r="F1436" s="61">
        <v>45260</v>
      </c>
      <c r="G1436" s="25"/>
      <c r="H1436" s="14"/>
      <c r="I1436" s="31"/>
      <c r="J1436" s="15">
        <f t="shared" si="188"/>
        <v>0</v>
      </c>
    </row>
    <row r="1437" spans="2:10" ht="14.25" thickBot="1" x14ac:dyDescent="0.2">
      <c r="B1437" s="8" t="s">
        <v>2</v>
      </c>
      <c r="C1437" s="10">
        <f>SUM(C1412:C1436)</f>
        <v>113</v>
      </c>
      <c r="D1437" s="32">
        <f>SUM(D1412:D1436)</f>
        <v>32</v>
      </c>
      <c r="E1437" s="11">
        <f>C1437+D1437</f>
        <v>145</v>
      </c>
      <c r="G1437" s="8" t="s">
        <v>2</v>
      </c>
      <c r="H1437" s="10">
        <f>SUM(H1412:H1436)</f>
        <v>87</v>
      </c>
      <c r="I1437" s="32">
        <f>SUM(I1412:I1436)</f>
        <v>79</v>
      </c>
      <c r="J1437" s="11">
        <f t="shared" si="188"/>
        <v>166</v>
      </c>
    </row>
    <row r="1438" spans="2:10" ht="14.25" thickBot="1" x14ac:dyDescent="0.2">
      <c r="B1438" s="52" t="s">
        <v>3</v>
      </c>
      <c r="C1438" s="53">
        <f>+C1411-C1437</f>
        <v>161</v>
      </c>
      <c r="D1438" s="54">
        <f>+D1411-D1437</f>
        <v>180</v>
      </c>
      <c r="E1438" s="55">
        <f>C1438+D1438</f>
        <v>341</v>
      </c>
      <c r="G1438" s="52" t="s">
        <v>3</v>
      </c>
      <c r="H1438" s="87">
        <f>+H1411-H1437</f>
        <v>2376</v>
      </c>
      <c r="I1438" s="97">
        <f>+I1411-I1437</f>
        <v>1941</v>
      </c>
      <c r="J1438" s="95">
        <f>+J1411-J1437</f>
        <v>4317</v>
      </c>
    </row>
    <row r="1440" spans="2:10" ht="21" x14ac:dyDescent="0.2">
      <c r="B1440" s="76" t="s">
        <v>150</v>
      </c>
      <c r="G1440" s="75" t="s">
        <v>149</v>
      </c>
    </row>
    <row r="1441" spans="2:11" ht="18.75" x14ac:dyDescent="0.2">
      <c r="B1441" s="3" t="s">
        <v>11</v>
      </c>
      <c r="E1441" s="71"/>
      <c r="G1441" s="3" t="s">
        <v>11</v>
      </c>
    </row>
    <row r="1442" spans="2:11" ht="14.25" thickBot="1" x14ac:dyDescent="0.2">
      <c r="G1442" s="1"/>
    </row>
    <row r="1443" spans="2:11" ht="14.25" thickBot="1" x14ac:dyDescent="0.2">
      <c r="B1443" s="7"/>
      <c r="C1443" s="67"/>
      <c r="D1443" s="68"/>
      <c r="E1443" s="69"/>
      <c r="G1443" s="7"/>
      <c r="H1443" s="67"/>
      <c r="I1443" s="68"/>
      <c r="J1443" s="69"/>
    </row>
    <row r="1444" spans="2:11" ht="14.25" thickBot="1" x14ac:dyDescent="0.2">
      <c r="B1444" s="8"/>
      <c r="C1444" s="40" t="s">
        <v>7</v>
      </c>
      <c r="D1444" s="29" t="s">
        <v>9</v>
      </c>
      <c r="E1444" s="9" t="s">
        <v>0</v>
      </c>
      <c r="G1444" s="8"/>
      <c r="H1444" s="40" t="s">
        <v>7</v>
      </c>
      <c r="I1444" s="29" t="s">
        <v>9</v>
      </c>
      <c r="J1444" s="9" t="s">
        <v>0</v>
      </c>
    </row>
    <row r="1445" spans="2:11" x14ac:dyDescent="0.15">
      <c r="B1445" s="16" t="s">
        <v>4</v>
      </c>
      <c r="C1445" s="17">
        <f>C1438</f>
        <v>161</v>
      </c>
      <c r="D1445" s="35">
        <f>D1438</f>
        <v>180</v>
      </c>
      <c r="E1445" s="18">
        <f t="shared" ref="E1445:E1476" si="189">C1445+D1445</f>
        <v>341</v>
      </c>
      <c r="G1445" s="16" t="s">
        <v>4</v>
      </c>
      <c r="H1445" s="89">
        <f>H1438</f>
        <v>2376</v>
      </c>
      <c r="I1445" s="90">
        <f>I1438</f>
        <v>1941</v>
      </c>
      <c r="J1445" s="96">
        <f>J1438</f>
        <v>4317</v>
      </c>
    </row>
    <row r="1446" spans="2:11" x14ac:dyDescent="0.15">
      <c r="B1446" s="26" t="s">
        <v>5</v>
      </c>
      <c r="C1446" s="27">
        <v>20</v>
      </c>
      <c r="D1446" s="36">
        <v>20</v>
      </c>
      <c r="E1446" s="28">
        <f t="shared" ref="E1446" si="190">C1446+D1446</f>
        <v>40</v>
      </c>
      <c r="F1446" s="61">
        <v>45297</v>
      </c>
      <c r="G1446" s="25" t="s">
        <v>5</v>
      </c>
      <c r="H1446" s="14"/>
      <c r="I1446" s="31"/>
      <c r="J1446" s="15">
        <f t="shared" ref="J1446:J1450" si="191">H1446+I1446</f>
        <v>0</v>
      </c>
    </row>
    <row r="1447" spans="2:11" x14ac:dyDescent="0.15">
      <c r="B1447" s="26" t="s">
        <v>5</v>
      </c>
      <c r="C1447" s="27">
        <v>356</v>
      </c>
      <c r="D1447" s="36">
        <v>321</v>
      </c>
      <c r="E1447" s="28">
        <f t="shared" si="189"/>
        <v>677</v>
      </c>
      <c r="F1447" s="61">
        <v>45325</v>
      </c>
      <c r="G1447" s="25" t="s">
        <v>5</v>
      </c>
      <c r="H1447" s="14"/>
      <c r="I1447" s="31"/>
      <c r="J1447" s="15">
        <f t="shared" si="191"/>
        <v>0</v>
      </c>
    </row>
    <row r="1448" spans="2:11" x14ac:dyDescent="0.15">
      <c r="B1448" s="26" t="s">
        <v>5</v>
      </c>
      <c r="C1448" s="27"/>
      <c r="D1448" s="36"/>
      <c r="E1448" s="28">
        <f t="shared" si="189"/>
        <v>0</v>
      </c>
      <c r="F1448" s="61"/>
      <c r="G1448" s="25" t="s">
        <v>5</v>
      </c>
      <c r="H1448" s="14"/>
      <c r="I1448" s="31"/>
      <c r="J1448" s="15">
        <f t="shared" si="191"/>
        <v>0</v>
      </c>
    </row>
    <row r="1449" spans="2:11" x14ac:dyDescent="0.15">
      <c r="B1449" s="26" t="s">
        <v>5</v>
      </c>
      <c r="C1449" s="27"/>
      <c r="D1449" s="36"/>
      <c r="E1449" s="28">
        <f t="shared" si="189"/>
        <v>0</v>
      </c>
      <c r="F1449" s="61"/>
      <c r="G1449" s="25" t="s">
        <v>5</v>
      </c>
      <c r="H1449" s="14"/>
      <c r="I1449" s="31"/>
      <c r="J1449" s="15">
        <f t="shared" si="191"/>
        <v>0</v>
      </c>
    </row>
    <row r="1450" spans="2:11" ht="14.25" thickBot="1" x14ac:dyDescent="0.2">
      <c r="B1450" s="26" t="s">
        <v>5</v>
      </c>
      <c r="C1450" s="14"/>
      <c r="D1450" s="31"/>
      <c r="E1450" s="15">
        <f t="shared" si="189"/>
        <v>0</v>
      </c>
      <c r="F1450" s="61"/>
      <c r="G1450" s="25" t="s">
        <v>5</v>
      </c>
      <c r="H1450" s="92"/>
      <c r="I1450" s="93"/>
      <c r="J1450" s="94">
        <f t="shared" si="191"/>
        <v>0</v>
      </c>
    </row>
    <row r="1451" spans="2:11" ht="14.25" thickBot="1" x14ac:dyDescent="0.2">
      <c r="B1451" s="8" t="s">
        <v>1</v>
      </c>
      <c r="C1451" s="10">
        <f>SUM(C1445:C1450)</f>
        <v>537</v>
      </c>
      <c r="D1451" s="32">
        <f>SUM(D1445:D1450)</f>
        <v>521</v>
      </c>
      <c r="E1451" s="11">
        <f t="shared" si="189"/>
        <v>1058</v>
      </c>
      <c r="G1451" s="8" t="s">
        <v>1</v>
      </c>
      <c r="H1451" s="10">
        <f>SUM(H1445:H1450)</f>
        <v>2376</v>
      </c>
      <c r="I1451" s="32">
        <f>SUM(I1445:I1450)</f>
        <v>1941</v>
      </c>
      <c r="J1451" s="11">
        <f>SUM(J1445:J1450)</f>
        <v>4317</v>
      </c>
    </row>
    <row r="1452" spans="2:11" x14ac:dyDescent="0.15">
      <c r="B1452" s="5" t="s">
        <v>552</v>
      </c>
      <c r="C1452" s="14">
        <v>20</v>
      </c>
      <c r="D1452" s="31">
        <v>20</v>
      </c>
      <c r="E1452" s="15">
        <f t="shared" ref="E1452:E1474" si="192">C1452+D1452</f>
        <v>40</v>
      </c>
      <c r="F1452" s="61">
        <v>45262</v>
      </c>
      <c r="G1452" s="25" t="s">
        <v>553</v>
      </c>
      <c r="H1452" s="14">
        <v>20</v>
      </c>
      <c r="I1452" s="31">
        <v>20</v>
      </c>
      <c r="J1452" s="15">
        <f t="shared" ref="J1452" si="193">H1452+I1452</f>
        <v>40</v>
      </c>
      <c r="K1452" s="61">
        <v>45297</v>
      </c>
    </row>
    <row r="1453" spans="2:11" x14ac:dyDescent="0.15">
      <c r="B1453" s="5" t="s">
        <v>263</v>
      </c>
      <c r="C1453" s="14">
        <v>6</v>
      </c>
      <c r="D1453" s="31"/>
      <c r="E1453" s="15">
        <f t="shared" si="192"/>
        <v>6</v>
      </c>
      <c r="F1453" s="61">
        <v>45261</v>
      </c>
      <c r="G1453" s="25" t="s">
        <v>120</v>
      </c>
      <c r="H1453" s="14">
        <v>356</v>
      </c>
      <c r="I1453" s="31">
        <v>321</v>
      </c>
      <c r="J1453" s="15">
        <f t="shared" ref="J1453:J1477" si="194">H1453+I1453</f>
        <v>677</v>
      </c>
      <c r="K1453" s="61">
        <v>45325</v>
      </c>
    </row>
    <row r="1454" spans="2:11" x14ac:dyDescent="0.15">
      <c r="B1454" s="5" t="s">
        <v>540</v>
      </c>
      <c r="C1454" s="14">
        <v>3</v>
      </c>
      <c r="D1454" s="31">
        <v>1</v>
      </c>
      <c r="E1454" s="15">
        <f t="shared" si="192"/>
        <v>4</v>
      </c>
      <c r="F1454" s="61">
        <v>45266</v>
      </c>
      <c r="G1454" s="25"/>
      <c r="H1454" s="14"/>
      <c r="I1454" s="31"/>
      <c r="J1454" s="15">
        <f t="shared" si="194"/>
        <v>0</v>
      </c>
    </row>
    <row r="1455" spans="2:11" x14ac:dyDescent="0.15">
      <c r="B1455" s="5" t="s">
        <v>263</v>
      </c>
      <c r="C1455" s="14">
        <v>2</v>
      </c>
      <c r="D1455" s="31"/>
      <c r="E1455" s="15">
        <f t="shared" si="192"/>
        <v>2</v>
      </c>
      <c r="F1455" s="61">
        <v>45266</v>
      </c>
      <c r="G1455" s="25"/>
      <c r="H1455" s="14"/>
      <c r="I1455" s="31"/>
      <c r="J1455" s="15">
        <f t="shared" si="194"/>
        <v>0</v>
      </c>
    </row>
    <row r="1456" spans="2:11" x14ac:dyDescent="0.15">
      <c r="B1456" s="5" t="s">
        <v>263</v>
      </c>
      <c r="C1456" s="14">
        <v>1</v>
      </c>
      <c r="D1456" s="31"/>
      <c r="E1456" s="15">
        <f t="shared" si="192"/>
        <v>1</v>
      </c>
      <c r="F1456" s="61">
        <v>45267</v>
      </c>
      <c r="G1456" s="25"/>
      <c r="H1456" s="14"/>
      <c r="I1456" s="31"/>
      <c r="J1456" s="15">
        <f t="shared" si="194"/>
        <v>0</v>
      </c>
    </row>
    <row r="1457" spans="2:10" x14ac:dyDescent="0.15">
      <c r="B1457" s="5" t="s">
        <v>263</v>
      </c>
      <c r="C1457" s="14">
        <v>1</v>
      </c>
      <c r="D1457" s="31">
        <v>1</v>
      </c>
      <c r="E1457" s="15">
        <f t="shared" si="192"/>
        <v>2</v>
      </c>
      <c r="F1457" s="61">
        <v>45268</v>
      </c>
      <c r="G1457" s="25"/>
      <c r="H1457" s="14"/>
      <c r="I1457" s="31"/>
      <c r="J1457" s="15">
        <f t="shared" si="194"/>
        <v>0</v>
      </c>
    </row>
    <row r="1458" spans="2:10" x14ac:dyDescent="0.15">
      <c r="B1458" s="5" t="s">
        <v>540</v>
      </c>
      <c r="C1458" s="14">
        <v>3</v>
      </c>
      <c r="D1458" s="31"/>
      <c r="E1458" s="15">
        <f t="shared" si="192"/>
        <v>3</v>
      </c>
      <c r="F1458" s="61">
        <v>45272</v>
      </c>
      <c r="G1458" s="25"/>
      <c r="H1458" s="14"/>
      <c r="I1458" s="31"/>
      <c r="J1458" s="15">
        <f t="shared" si="194"/>
        <v>0</v>
      </c>
    </row>
    <row r="1459" spans="2:10" x14ac:dyDescent="0.15">
      <c r="B1459" s="5" t="s">
        <v>263</v>
      </c>
      <c r="C1459" s="14">
        <f>1+2</f>
        <v>3</v>
      </c>
      <c r="D1459" s="31">
        <v>1</v>
      </c>
      <c r="E1459" s="15">
        <f t="shared" si="192"/>
        <v>4</v>
      </c>
      <c r="F1459" s="61">
        <v>45271</v>
      </c>
      <c r="G1459" s="25"/>
      <c r="H1459" s="14"/>
      <c r="I1459" s="31"/>
      <c r="J1459" s="15">
        <f t="shared" si="194"/>
        <v>0</v>
      </c>
    </row>
    <row r="1460" spans="2:10" x14ac:dyDescent="0.15">
      <c r="B1460" s="5" t="s">
        <v>263</v>
      </c>
      <c r="C1460" s="14">
        <f>2+1</f>
        <v>3</v>
      </c>
      <c r="D1460" s="31"/>
      <c r="E1460" s="15">
        <f t="shared" si="192"/>
        <v>3</v>
      </c>
      <c r="F1460" s="61">
        <v>45273</v>
      </c>
      <c r="G1460" s="25"/>
      <c r="H1460" s="14"/>
      <c r="I1460" s="31"/>
      <c r="J1460" s="15">
        <f t="shared" si="194"/>
        <v>0</v>
      </c>
    </row>
    <row r="1461" spans="2:10" x14ac:dyDescent="0.15">
      <c r="B1461" s="5" t="s">
        <v>263</v>
      </c>
      <c r="C1461" s="14">
        <v>2</v>
      </c>
      <c r="D1461" s="31"/>
      <c r="E1461" s="15">
        <f t="shared" si="192"/>
        <v>2</v>
      </c>
      <c r="F1461" s="61">
        <v>45276</v>
      </c>
      <c r="G1461" s="25"/>
      <c r="H1461" s="14"/>
      <c r="I1461" s="31"/>
      <c r="J1461" s="15">
        <f t="shared" si="194"/>
        <v>0</v>
      </c>
    </row>
    <row r="1462" spans="2:10" x14ac:dyDescent="0.15">
      <c r="B1462" s="5" t="s">
        <v>263</v>
      </c>
      <c r="C1462" s="14">
        <v>2</v>
      </c>
      <c r="D1462" s="31">
        <v>1</v>
      </c>
      <c r="E1462" s="15">
        <f t="shared" si="192"/>
        <v>3</v>
      </c>
      <c r="F1462" s="61">
        <v>45278</v>
      </c>
      <c r="G1462" s="25"/>
      <c r="H1462" s="14"/>
      <c r="I1462" s="31"/>
      <c r="J1462" s="15">
        <f t="shared" si="194"/>
        <v>0</v>
      </c>
    </row>
    <row r="1463" spans="2:10" x14ac:dyDescent="0.15">
      <c r="B1463" s="5" t="s">
        <v>540</v>
      </c>
      <c r="C1463" s="14">
        <v>1</v>
      </c>
      <c r="D1463" s="31">
        <v>1</v>
      </c>
      <c r="E1463" s="15">
        <f t="shared" si="192"/>
        <v>2</v>
      </c>
      <c r="F1463" s="61">
        <v>45282</v>
      </c>
      <c r="G1463" s="25"/>
      <c r="H1463" s="14"/>
      <c r="I1463" s="31"/>
      <c r="J1463" s="15">
        <f t="shared" si="194"/>
        <v>0</v>
      </c>
    </row>
    <row r="1464" spans="2:10" x14ac:dyDescent="0.15">
      <c r="B1464" s="5" t="s">
        <v>263</v>
      </c>
      <c r="C1464" s="14"/>
      <c r="D1464" s="31"/>
      <c r="E1464" s="15">
        <f t="shared" si="192"/>
        <v>0</v>
      </c>
      <c r="F1464" s="61">
        <v>45281</v>
      </c>
      <c r="G1464" s="25"/>
      <c r="H1464" s="14"/>
      <c r="I1464" s="31"/>
      <c r="J1464" s="15">
        <f t="shared" si="194"/>
        <v>0</v>
      </c>
    </row>
    <row r="1465" spans="2:10" x14ac:dyDescent="0.15">
      <c r="B1465" s="5" t="s">
        <v>429</v>
      </c>
      <c r="C1465" s="14">
        <v>30</v>
      </c>
      <c r="D1465" s="31">
        <v>10</v>
      </c>
      <c r="E1465" s="15">
        <f t="shared" si="192"/>
        <v>40</v>
      </c>
      <c r="F1465" s="61">
        <v>45283</v>
      </c>
      <c r="G1465" s="25"/>
      <c r="H1465" s="14"/>
      <c r="I1465" s="31"/>
      <c r="J1465" s="15">
        <f t="shared" si="194"/>
        <v>0</v>
      </c>
    </row>
    <row r="1466" spans="2:10" x14ac:dyDescent="0.15">
      <c r="B1466" s="5" t="s">
        <v>540</v>
      </c>
      <c r="C1466" s="14">
        <v>3</v>
      </c>
      <c r="D1466" s="31">
        <v>2</v>
      </c>
      <c r="E1466" s="15">
        <f t="shared" si="192"/>
        <v>5</v>
      </c>
      <c r="F1466" s="61">
        <v>45286</v>
      </c>
      <c r="G1466" s="25"/>
      <c r="H1466" s="14"/>
      <c r="I1466" s="31"/>
      <c r="J1466" s="15">
        <f t="shared" si="194"/>
        <v>0</v>
      </c>
    </row>
    <row r="1467" spans="2:10" x14ac:dyDescent="0.15">
      <c r="B1467" s="5" t="s">
        <v>263</v>
      </c>
      <c r="C1467" s="14">
        <f>1+2+4</f>
        <v>7</v>
      </c>
      <c r="D1467" s="31">
        <v>1</v>
      </c>
      <c r="E1467" s="15">
        <f t="shared" si="192"/>
        <v>8</v>
      </c>
      <c r="F1467" s="61">
        <v>45285</v>
      </c>
      <c r="G1467" s="25"/>
      <c r="H1467" s="14"/>
      <c r="I1467" s="31"/>
      <c r="J1467" s="15">
        <f t="shared" si="194"/>
        <v>0</v>
      </c>
    </row>
    <row r="1468" spans="2:10" x14ac:dyDescent="0.15">
      <c r="B1468" s="5" t="s">
        <v>263</v>
      </c>
      <c r="C1468" s="14">
        <f>1+2</f>
        <v>3</v>
      </c>
      <c r="D1468" s="31"/>
      <c r="E1468" s="15">
        <f t="shared" si="192"/>
        <v>3</v>
      </c>
      <c r="F1468" s="61">
        <v>45296</v>
      </c>
      <c r="G1468" s="25"/>
      <c r="H1468" s="14"/>
      <c r="I1468" s="31"/>
      <c r="J1468" s="15">
        <f t="shared" si="194"/>
        <v>0</v>
      </c>
    </row>
    <row r="1469" spans="2:10" x14ac:dyDescent="0.15">
      <c r="B1469" s="5" t="s">
        <v>263</v>
      </c>
      <c r="C1469" s="14">
        <v>1</v>
      </c>
      <c r="D1469" s="31">
        <v>1</v>
      </c>
      <c r="E1469" s="15">
        <f t="shared" si="192"/>
        <v>2</v>
      </c>
      <c r="F1469" s="61">
        <v>45297</v>
      </c>
      <c r="G1469" s="25"/>
      <c r="H1469" s="14"/>
      <c r="I1469" s="31"/>
      <c r="J1469" s="15">
        <f t="shared" si="194"/>
        <v>0</v>
      </c>
    </row>
    <row r="1470" spans="2:10" x14ac:dyDescent="0.15">
      <c r="B1470" s="5" t="s">
        <v>263</v>
      </c>
      <c r="C1470" s="14">
        <v>2</v>
      </c>
      <c r="D1470" s="31"/>
      <c r="E1470" s="15">
        <f t="shared" si="192"/>
        <v>2</v>
      </c>
      <c r="F1470" s="61">
        <v>45301</v>
      </c>
      <c r="G1470" s="25"/>
      <c r="H1470" s="14"/>
      <c r="I1470" s="31"/>
      <c r="J1470" s="15">
        <f t="shared" si="194"/>
        <v>0</v>
      </c>
    </row>
    <row r="1471" spans="2:10" x14ac:dyDescent="0.15">
      <c r="B1471" s="5" t="s">
        <v>263</v>
      </c>
      <c r="C1471" s="14">
        <f>1+1</f>
        <v>2</v>
      </c>
      <c r="D1471" s="31"/>
      <c r="E1471" s="15">
        <f t="shared" si="192"/>
        <v>2</v>
      </c>
      <c r="F1471" s="61">
        <v>45306</v>
      </c>
      <c r="G1471" s="25"/>
      <c r="H1471" s="14"/>
      <c r="I1471" s="31"/>
      <c r="J1471" s="15">
        <f t="shared" si="194"/>
        <v>0</v>
      </c>
    </row>
    <row r="1472" spans="2:10" x14ac:dyDescent="0.15">
      <c r="B1472" s="5" t="s">
        <v>554</v>
      </c>
      <c r="C1472" s="14">
        <v>40</v>
      </c>
      <c r="D1472" s="31">
        <v>10</v>
      </c>
      <c r="E1472" s="15">
        <f t="shared" si="192"/>
        <v>50</v>
      </c>
      <c r="F1472" s="61">
        <v>45315</v>
      </c>
      <c r="G1472" s="25"/>
      <c r="H1472" s="14"/>
      <c r="I1472" s="31"/>
      <c r="J1472" s="15">
        <f t="shared" si="194"/>
        <v>0</v>
      </c>
    </row>
    <row r="1473" spans="2:10" x14ac:dyDescent="0.15">
      <c r="B1473" s="5" t="s">
        <v>263</v>
      </c>
      <c r="C1473" s="14">
        <v>1</v>
      </c>
      <c r="D1473" s="31"/>
      <c r="E1473" s="15">
        <f t="shared" si="192"/>
        <v>1</v>
      </c>
      <c r="F1473" s="61">
        <v>45316</v>
      </c>
      <c r="G1473" s="25"/>
      <c r="H1473" s="14"/>
      <c r="I1473" s="31"/>
      <c r="J1473" s="15">
        <f t="shared" si="194"/>
        <v>0</v>
      </c>
    </row>
    <row r="1474" spans="2:10" x14ac:dyDescent="0.15">
      <c r="B1474" s="5" t="s">
        <v>263</v>
      </c>
      <c r="C1474" s="14">
        <v>4</v>
      </c>
      <c r="D1474" s="31">
        <v>1</v>
      </c>
      <c r="E1474" s="15">
        <f t="shared" si="192"/>
        <v>5</v>
      </c>
      <c r="F1474" s="61">
        <v>45317</v>
      </c>
      <c r="G1474" s="25"/>
      <c r="H1474" s="14"/>
      <c r="I1474" s="31"/>
      <c r="J1474" s="15">
        <f t="shared" si="194"/>
        <v>0</v>
      </c>
    </row>
    <row r="1475" spans="2:10" x14ac:dyDescent="0.15">
      <c r="B1475" s="5" t="s">
        <v>263</v>
      </c>
      <c r="C1475" s="14">
        <v>3</v>
      </c>
      <c r="D1475" s="31"/>
      <c r="E1475" s="15">
        <f t="shared" si="189"/>
        <v>3</v>
      </c>
      <c r="F1475" s="61">
        <v>45320</v>
      </c>
      <c r="G1475" s="25"/>
      <c r="H1475" s="14"/>
      <c r="I1475" s="31"/>
      <c r="J1475" s="15">
        <f t="shared" si="194"/>
        <v>0</v>
      </c>
    </row>
    <row r="1476" spans="2:10" ht="14.25" thickBot="1" x14ac:dyDescent="0.2">
      <c r="B1476" s="5" t="s">
        <v>263</v>
      </c>
      <c r="C1476" s="14">
        <v>1</v>
      </c>
      <c r="D1476" s="31"/>
      <c r="E1476" s="15">
        <f t="shared" si="189"/>
        <v>1</v>
      </c>
      <c r="F1476" s="61">
        <v>45327</v>
      </c>
      <c r="G1476" s="25"/>
      <c r="H1476" s="14"/>
      <c r="I1476" s="31"/>
      <c r="J1476" s="15">
        <f t="shared" si="194"/>
        <v>0</v>
      </c>
    </row>
    <row r="1477" spans="2:10" ht="14.25" thickBot="1" x14ac:dyDescent="0.2">
      <c r="B1477" s="8" t="s">
        <v>2</v>
      </c>
      <c r="C1477" s="10">
        <f>SUM(C1452:C1476)</f>
        <v>144</v>
      </c>
      <c r="D1477" s="32">
        <f>SUM(D1452:D1476)</f>
        <v>50</v>
      </c>
      <c r="E1477" s="11">
        <f>C1477+D1477</f>
        <v>194</v>
      </c>
      <c r="G1477" s="8" t="s">
        <v>2</v>
      </c>
      <c r="H1477" s="10">
        <f>SUM(H1452:H1476)</f>
        <v>376</v>
      </c>
      <c r="I1477" s="32">
        <f>SUM(I1452:I1476)</f>
        <v>341</v>
      </c>
      <c r="J1477" s="11">
        <f t="shared" si="194"/>
        <v>717</v>
      </c>
    </row>
    <row r="1478" spans="2:10" ht="14.25" thickBot="1" x14ac:dyDescent="0.2">
      <c r="B1478" s="52" t="s">
        <v>3</v>
      </c>
      <c r="C1478" s="53">
        <f>+C1451-C1477</f>
        <v>393</v>
      </c>
      <c r="D1478" s="54">
        <f>+D1451-D1477</f>
        <v>471</v>
      </c>
      <c r="E1478" s="55">
        <f>C1478+D1478</f>
        <v>864</v>
      </c>
      <c r="G1478" s="52" t="s">
        <v>3</v>
      </c>
      <c r="H1478" s="87">
        <f>+H1451-H1477</f>
        <v>2000</v>
      </c>
      <c r="I1478" s="97">
        <f>+I1451-I1477</f>
        <v>1600</v>
      </c>
      <c r="J1478" s="95">
        <f>+J1451-J1477</f>
        <v>3600</v>
      </c>
    </row>
    <row r="1480" spans="2:10" ht="21" x14ac:dyDescent="0.2">
      <c r="B1480" s="76" t="s">
        <v>150</v>
      </c>
      <c r="G1480" s="75" t="s">
        <v>149</v>
      </c>
    </row>
    <row r="1481" spans="2:10" ht="18.75" x14ac:dyDescent="0.2">
      <c r="B1481" s="3" t="s">
        <v>11</v>
      </c>
      <c r="E1481" s="71"/>
      <c r="G1481" s="3" t="s">
        <v>11</v>
      </c>
    </row>
    <row r="1482" spans="2:10" ht="14.25" thickBot="1" x14ac:dyDescent="0.2">
      <c r="G1482" s="1"/>
    </row>
    <row r="1483" spans="2:10" ht="14.25" thickBot="1" x14ac:dyDescent="0.2">
      <c r="B1483" s="7"/>
      <c r="C1483" s="67"/>
      <c r="D1483" s="68"/>
      <c r="E1483" s="69"/>
      <c r="G1483" s="7"/>
      <c r="H1483" s="67"/>
      <c r="I1483" s="68"/>
      <c r="J1483" s="69"/>
    </row>
    <row r="1484" spans="2:10" ht="14.25" thickBot="1" x14ac:dyDescent="0.2">
      <c r="B1484" s="8"/>
      <c r="C1484" s="40" t="s">
        <v>7</v>
      </c>
      <c r="D1484" s="29" t="s">
        <v>9</v>
      </c>
      <c r="E1484" s="9" t="s">
        <v>0</v>
      </c>
      <c r="G1484" s="8"/>
      <c r="H1484" s="40" t="s">
        <v>7</v>
      </c>
      <c r="I1484" s="29" t="s">
        <v>9</v>
      </c>
      <c r="J1484" s="9" t="s">
        <v>0</v>
      </c>
    </row>
    <row r="1485" spans="2:10" x14ac:dyDescent="0.15">
      <c r="B1485" s="16" t="s">
        <v>4</v>
      </c>
      <c r="C1485" s="17">
        <f>C1478</f>
        <v>393</v>
      </c>
      <c r="D1485" s="35">
        <f>D1478</f>
        <v>471</v>
      </c>
      <c r="E1485" s="18">
        <f t="shared" ref="E1485:E1516" si="195">C1485+D1485</f>
        <v>864</v>
      </c>
      <c r="G1485" s="16" t="s">
        <v>4</v>
      </c>
      <c r="H1485" s="89">
        <f>H1478</f>
        <v>2000</v>
      </c>
      <c r="I1485" s="90">
        <f>I1478</f>
        <v>1600</v>
      </c>
      <c r="J1485" s="96">
        <f>J1478</f>
        <v>3600</v>
      </c>
    </row>
    <row r="1486" spans="2:10" x14ac:dyDescent="0.15">
      <c r="B1486" s="26" t="s">
        <v>5</v>
      </c>
      <c r="C1486" s="27"/>
      <c r="D1486" s="36"/>
      <c r="E1486" s="28">
        <f t="shared" ref="E1486:E1488" si="196">C1486+D1486</f>
        <v>0</v>
      </c>
      <c r="F1486" s="61"/>
      <c r="G1486" s="25" t="s">
        <v>5</v>
      </c>
      <c r="H1486" s="14"/>
      <c r="I1486" s="31"/>
      <c r="J1486" s="15">
        <f t="shared" ref="J1486:J1490" si="197">H1486+I1486</f>
        <v>0</v>
      </c>
    </row>
    <row r="1487" spans="2:10" x14ac:dyDescent="0.15">
      <c r="B1487" s="26" t="s">
        <v>5</v>
      </c>
      <c r="C1487" s="27"/>
      <c r="D1487" s="36"/>
      <c r="E1487" s="28">
        <f t="shared" si="196"/>
        <v>0</v>
      </c>
      <c r="F1487" s="61"/>
      <c r="G1487" s="25" t="s">
        <v>5</v>
      </c>
      <c r="H1487" s="14"/>
      <c r="I1487" s="31"/>
      <c r="J1487" s="15">
        <f t="shared" si="197"/>
        <v>0</v>
      </c>
    </row>
    <row r="1488" spans="2:10" x14ac:dyDescent="0.15">
      <c r="B1488" s="26" t="s">
        <v>5</v>
      </c>
      <c r="C1488" s="27"/>
      <c r="D1488" s="36"/>
      <c r="E1488" s="28">
        <f t="shared" si="196"/>
        <v>0</v>
      </c>
      <c r="F1488" s="61"/>
      <c r="G1488" s="25" t="s">
        <v>5</v>
      </c>
      <c r="H1488" s="14"/>
      <c r="I1488" s="31"/>
      <c r="J1488" s="15">
        <f t="shared" si="197"/>
        <v>0</v>
      </c>
    </row>
    <row r="1489" spans="2:10" x14ac:dyDescent="0.15">
      <c r="B1489" s="26" t="s">
        <v>5</v>
      </c>
      <c r="C1489" s="27"/>
      <c r="D1489" s="36"/>
      <c r="E1489" s="28">
        <f t="shared" si="195"/>
        <v>0</v>
      </c>
      <c r="F1489" s="61"/>
      <c r="G1489" s="25" t="s">
        <v>5</v>
      </c>
      <c r="H1489" s="14"/>
      <c r="I1489" s="31"/>
      <c r="J1489" s="15">
        <f t="shared" si="197"/>
        <v>0</v>
      </c>
    </row>
    <row r="1490" spans="2:10" ht="14.25" thickBot="1" x14ac:dyDescent="0.2">
      <c r="B1490" s="26" t="s">
        <v>5</v>
      </c>
      <c r="C1490" s="14"/>
      <c r="D1490" s="31"/>
      <c r="E1490" s="15">
        <f t="shared" si="195"/>
        <v>0</v>
      </c>
      <c r="F1490" s="61"/>
      <c r="G1490" s="25" t="s">
        <v>5</v>
      </c>
      <c r="H1490" s="92"/>
      <c r="I1490" s="93"/>
      <c r="J1490" s="94">
        <f t="shared" si="197"/>
        <v>0</v>
      </c>
    </row>
    <row r="1491" spans="2:10" ht="14.25" thickBot="1" x14ac:dyDescent="0.2">
      <c r="B1491" s="8" t="s">
        <v>1</v>
      </c>
      <c r="C1491" s="10">
        <f>SUM(C1485:C1490)</f>
        <v>393</v>
      </c>
      <c r="D1491" s="32">
        <f>SUM(D1485:D1490)</f>
        <v>471</v>
      </c>
      <c r="E1491" s="11">
        <f t="shared" si="195"/>
        <v>864</v>
      </c>
      <c r="G1491" s="8" t="s">
        <v>1</v>
      </c>
      <c r="H1491" s="10">
        <f>SUM(H1485:H1490)</f>
        <v>2000</v>
      </c>
      <c r="I1491" s="32">
        <f>SUM(I1485:I1490)</f>
        <v>1600</v>
      </c>
      <c r="J1491" s="11">
        <f>SUM(J1485:J1490)</f>
        <v>3600</v>
      </c>
    </row>
    <row r="1492" spans="2:10" x14ac:dyDescent="0.15">
      <c r="B1492" s="5" t="s">
        <v>263</v>
      </c>
      <c r="C1492" s="14">
        <f>2+1</f>
        <v>3</v>
      </c>
      <c r="D1492" s="31">
        <v>1</v>
      </c>
      <c r="E1492" s="15">
        <f t="shared" ref="E1492:E1513" si="198">C1492+D1492</f>
        <v>4</v>
      </c>
      <c r="F1492" s="61">
        <v>45335</v>
      </c>
      <c r="G1492" s="25"/>
      <c r="H1492" s="14"/>
      <c r="I1492" s="31"/>
      <c r="J1492" s="15">
        <f t="shared" ref="J1492:J1496" si="199">H1492+I1492</f>
        <v>0</v>
      </c>
    </row>
    <row r="1493" spans="2:10" x14ac:dyDescent="0.15">
      <c r="B1493" s="5" t="s">
        <v>540</v>
      </c>
      <c r="C1493" s="14">
        <v>2</v>
      </c>
      <c r="D1493" s="31"/>
      <c r="E1493" s="15">
        <f t="shared" si="198"/>
        <v>2</v>
      </c>
      <c r="F1493" s="61">
        <v>45342</v>
      </c>
      <c r="G1493" s="25"/>
      <c r="H1493" s="14"/>
      <c r="I1493" s="31"/>
      <c r="J1493" s="15">
        <f t="shared" si="199"/>
        <v>0</v>
      </c>
    </row>
    <row r="1494" spans="2:10" x14ac:dyDescent="0.15">
      <c r="B1494" s="5" t="s">
        <v>429</v>
      </c>
      <c r="C1494" s="14">
        <v>20</v>
      </c>
      <c r="D1494" s="31">
        <v>10</v>
      </c>
      <c r="E1494" s="15">
        <f t="shared" si="198"/>
        <v>30</v>
      </c>
      <c r="F1494" s="61">
        <v>45341</v>
      </c>
      <c r="G1494" s="25"/>
      <c r="H1494" s="14"/>
      <c r="I1494" s="31"/>
      <c r="J1494" s="15">
        <f t="shared" si="199"/>
        <v>0</v>
      </c>
    </row>
    <row r="1495" spans="2:10" x14ac:dyDescent="0.15">
      <c r="B1495" s="5" t="s">
        <v>263</v>
      </c>
      <c r="C1495" s="14">
        <v>1</v>
      </c>
      <c r="D1495" s="31"/>
      <c r="E1495" s="15">
        <f t="shared" si="198"/>
        <v>1</v>
      </c>
      <c r="F1495" s="61">
        <v>45341</v>
      </c>
      <c r="G1495" s="25"/>
      <c r="H1495" s="14"/>
      <c r="I1495" s="31"/>
      <c r="J1495" s="15">
        <f t="shared" si="199"/>
        <v>0</v>
      </c>
    </row>
    <row r="1496" spans="2:10" x14ac:dyDescent="0.15">
      <c r="B1496" s="5" t="s">
        <v>263</v>
      </c>
      <c r="C1496" s="14">
        <v>1</v>
      </c>
      <c r="D1496" s="31"/>
      <c r="E1496" s="15">
        <f t="shared" si="198"/>
        <v>1</v>
      </c>
      <c r="F1496" s="61">
        <v>45343</v>
      </c>
      <c r="G1496" s="25"/>
      <c r="H1496" s="14"/>
      <c r="I1496" s="31"/>
      <c r="J1496" s="15">
        <f t="shared" si="199"/>
        <v>0</v>
      </c>
    </row>
    <row r="1497" spans="2:10" x14ac:dyDescent="0.15">
      <c r="B1497" s="5" t="s">
        <v>263</v>
      </c>
      <c r="C1497" s="14"/>
      <c r="D1497" s="31">
        <v>2</v>
      </c>
      <c r="E1497" s="15">
        <f t="shared" si="198"/>
        <v>2</v>
      </c>
      <c r="F1497" s="61">
        <v>45348</v>
      </c>
      <c r="G1497" s="25"/>
      <c r="H1497" s="14"/>
      <c r="I1497" s="31"/>
      <c r="J1497" s="15">
        <f t="shared" ref="J1497:J1517" si="200">H1497+I1497</f>
        <v>0</v>
      </c>
    </row>
    <row r="1498" spans="2:10" x14ac:dyDescent="0.15">
      <c r="B1498" s="5" t="s">
        <v>263</v>
      </c>
      <c r="C1498" s="14">
        <v>2</v>
      </c>
      <c r="D1498" s="31"/>
      <c r="E1498" s="15">
        <f t="shared" si="198"/>
        <v>2</v>
      </c>
      <c r="F1498" s="61">
        <v>45350</v>
      </c>
      <c r="G1498" s="25"/>
      <c r="H1498" s="14"/>
      <c r="I1498" s="31"/>
      <c r="J1498" s="15">
        <f t="shared" si="200"/>
        <v>0</v>
      </c>
    </row>
    <row r="1499" spans="2:10" x14ac:dyDescent="0.15">
      <c r="B1499" s="5" t="s">
        <v>263</v>
      </c>
      <c r="C1499" s="14">
        <v>1</v>
      </c>
      <c r="D1499" s="31"/>
      <c r="E1499" s="15">
        <f t="shared" si="198"/>
        <v>1</v>
      </c>
      <c r="F1499" s="61">
        <v>45353</v>
      </c>
      <c r="G1499" s="25"/>
      <c r="H1499" s="14"/>
      <c r="I1499" s="31"/>
      <c r="J1499" s="15">
        <f t="shared" si="200"/>
        <v>0</v>
      </c>
    </row>
    <row r="1500" spans="2:10" x14ac:dyDescent="0.15">
      <c r="B1500" s="5" t="s">
        <v>540</v>
      </c>
      <c r="C1500" s="14">
        <v>3</v>
      </c>
      <c r="D1500" s="31"/>
      <c r="E1500" s="15">
        <f t="shared" si="198"/>
        <v>3</v>
      </c>
      <c r="F1500" s="61">
        <v>45356</v>
      </c>
      <c r="G1500" s="25"/>
      <c r="H1500" s="14"/>
      <c r="I1500" s="31"/>
      <c r="J1500" s="15">
        <f t="shared" si="200"/>
        <v>0</v>
      </c>
    </row>
    <row r="1501" spans="2:10" x14ac:dyDescent="0.15">
      <c r="B1501" s="5" t="s">
        <v>263</v>
      </c>
      <c r="C1501" s="14">
        <v>4</v>
      </c>
      <c r="D1501" s="31">
        <v>3</v>
      </c>
      <c r="E1501" s="15">
        <f t="shared" si="198"/>
        <v>7</v>
      </c>
      <c r="F1501" s="61">
        <v>45355</v>
      </c>
      <c r="G1501" s="25"/>
      <c r="H1501" s="14"/>
      <c r="I1501" s="31"/>
      <c r="J1501" s="15">
        <f t="shared" si="200"/>
        <v>0</v>
      </c>
    </row>
    <row r="1502" spans="2:10" x14ac:dyDescent="0.15">
      <c r="B1502" s="5" t="s">
        <v>263</v>
      </c>
      <c r="C1502" s="14">
        <v>1</v>
      </c>
      <c r="D1502" s="31"/>
      <c r="E1502" s="15">
        <f t="shared" si="198"/>
        <v>1</v>
      </c>
      <c r="F1502" s="61">
        <v>45357</v>
      </c>
      <c r="G1502" s="25"/>
      <c r="H1502" s="14"/>
      <c r="I1502" s="31"/>
      <c r="J1502" s="15">
        <f t="shared" si="200"/>
        <v>0</v>
      </c>
    </row>
    <row r="1503" spans="2:10" x14ac:dyDescent="0.15">
      <c r="B1503" s="5" t="s">
        <v>429</v>
      </c>
      <c r="C1503" s="14">
        <v>10</v>
      </c>
      <c r="D1503" s="31">
        <v>10</v>
      </c>
      <c r="E1503" s="15">
        <f t="shared" si="198"/>
        <v>20</v>
      </c>
      <c r="F1503" s="61">
        <v>45359</v>
      </c>
      <c r="G1503" s="25"/>
      <c r="H1503" s="14"/>
      <c r="I1503" s="31"/>
      <c r="J1503" s="15">
        <f t="shared" si="200"/>
        <v>0</v>
      </c>
    </row>
    <row r="1504" spans="2:10" x14ac:dyDescent="0.15">
      <c r="B1504" s="5" t="s">
        <v>540</v>
      </c>
      <c r="C1504" s="14">
        <v>3</v>
      </c>
      <c r="D1504" s="31">
        <v>2</v>
      </c>
      <c r="E1504" s="15">
        <f t="shared" si="198"/>
        <v>5</v>
      </c>
      <c r="F1504" s="61">
        <v>45360</v>
      </c>
      <c r="G1504" s="25"/>
      <c r="H1504" s="14"/>
      <c r="I1504" s="31"/>
      <c r="J1504" s="15">
        <f t="shared" si="200"/>
        <v>0</v>
      </c>
    </row>
    <row r="1505" spans="2:10" x14ac:dyDescent="0.15">
      <c r="B1505" s="5" t="s">
        <v>263</v>
      </c>
      <c r="C1505" s="14">
        <v>2</v>
      </c>
      <c r="D1505" s="31">
        <v>1</v>
      </c>
      <c r="E1505" s="15">
        <f t="shared" si="198"/>
        <v>3</v>
      </c>
      <c r="F1505" s="61">
        <v>45362</v>
      </c>
      <c r="G1505" s="25"/>
      <c r="H1505" s="14"/>
      <c r="I1505" s="31"/>
      <c r="J1505" s="15">
        <f t="shared" si="200"/>
        <v>0</v>
      </c>
    </row>
    <row r="1506" spans="2:10" x14ac:dyDescent="0.15">
      <c r="B1506" s="5" t="s">
        <v>263</v>
      </c>
      <c r="C1506" s="14">
        <v>2</v>
      </c>
      <c r="D1506" s="31"/>
      <c r="E1506" s="15">
        <f t="shared" si="198"/>
        <v>2</v>
      </c>
      <c r="F1506" s="61">
        <v>45364</v>
      </c>
      <c r="G1506" s="25"/>
      <c r="H1506" s="14"/>
      <c r="I1506" s="31"/>
      <c r="J1506" s="15">
        <f t="shared" si="200"/>
        <v>0</v>
      </c>
    </row>
    <row r="1507" spans="2:10" x14ac:dyDescent="0.15">
      <c r="B1507" s="5" t="s">
        <v>263</v>
      </c>
      <c r="C1507" s="14">
        <v>1</v>
      </c>
      <c r="D1507" s="31"/>
      <c r="E1507" s="15">
        <f t="shared" si="198"/>
        <v>1</v>
      </c>
      <c r="F1507" s="61">
        <v>45369</v>
      </c>
      <c r="G1507" s="25"/>
      <c r="H1507" s="14"/>
      <c r="I1507" s="31"/>
      <c r="J1507" s="15">
        <f t="shared" si="200"/>
        <v>0</v>
      </c>
    </row>
    <row r="1508" spans="2:10" x14ac:dyDescent="0.15">
      <c r="B1508" s="5" t="s">
        <v>540</v>
      </c>
      <c r="C1508" s="14">
        <v>1</v>
      </c>
      <c r="D1508" s="31"/>
      <c r="E1508" s="15">
        <f t="shared" si="198"/>
        <v>1</v>
      </c>
      <c r="F1508" s="61">
        <v>45377</v>
      </c>
      <c r="G1508" s="25"/>
      <c r="H1508" s="14"/>
      <c r="I1508" s="31"/>
      <c r="J1508" s="15">
        <f t="shared" si="200"/>
        <v>0</v>
      </c>
    </row>
    <row r="1509" spans="2:10" x14ac:dyDescent="0.15">
      <c r="B1509" s="5" t="s">
        <v>263</v>
      </c>
      <c r="C1509" s="14">
        <v>2</v>
      </c>
      <c r="D1509" s="31">
        <v>2</v>
      </c>
      <c r="E1509" s="15">
        <f t="shared" si="198"/>
        <v>4</v>
      </c>
      <c r="F1509" s="61">
        <v>45377</v>
      </c>
      <c r="G1509" s="25"/>
      <c r="H1509" s="14"/>
      <c r="I1509" s="31"/>
      <c r="J1509" s="15">
        <f t="shared" si="200"/>
        <v>0</v>
      </c>
    </row>
    <row r="1510" spans="2:10" x14ac:dyDescent="0.15">
      <c r="B1510" s="5" t="s">
        <v>263</v>
      </c>
      <c r="C1510" s="14">
        <v>1</v>
      </c>
      <c r="D1510" s="31"/>
      <c r="E1510" s="15">
        <f t="shared" si="198"/>
        <v>1</v>
      </c>
      <c r="F1510" s="61">
        <v>45383</v>
      </c>
      <c r="G1510" s="25"/>
      <c r="H1510" s="14"/>
      <c r="I1510" s="31"/>
      <c r="J1510" s="15">
        <f t="shared" si="200"/>
        <v>0</v>
      </c>
    </row>
    <row r="1511" spans="2:10" x14ac:dyDescent="0.15">
      <c r="B1511" s="5" t="s">
        <v>540</v>
      </c>
      <c r="C1511" s="14">
        <v>3</v>
      </c>
      <c r="D1511" s="31">
        <v>2</v>
      </c>
      <c r="E1511" s="15">
        <f t="shared" si="198"/>
        <v>5</v>
      </c>
      <c r="F1511" s="61">
        <v>45385</v>
      </c>
      <c r="G1511" s="25"/>
      <c r="H1511" s="14"/>
      <c r="I1511" s="31"/>
      <c r="J1511" s="15">
        <f t="shared" si="200"/>
        <v>0</v>
      </c>
    </row>
    <row r="1512" spans="2:10" x14ac:dyDescent="0.15">
      <c r="B1512" s="5" t="s">
        <v>263</v>
      </c>
      <c r="C1512" s="14">
        <v>2</v>
      </c>
      <c r="D1512" s="31">
        <v>1</v>
      </c>
      <c r="E1512" s="15">
        <f t="shared" si="198"/>
        <v>3</v>
      </c>
      <c r="F1512" s="61">
        <v>45388</v>
      </c>
      <c r="G1512" s="25"/>
      <c r="H1512" s="14"/>
      <c r="I1512" s="31"/>
      <c r="J1512" s="15">
        <f t="shared" si="200"/>
        <v>0</v>
      </c>
    </row>
    <row r="1513" spans="2:10" x14ac:dyDescent="0.15">
      <c r="B1513" s="5" t="s">
        <v>263</v>
      </c>
      <c r="C1513" s="14">
        <v>1</v>
      </c>
      <c r="D1513" s="31"/>
      <c r="E1513" s="15">
        <f t="shared" si="198"/>
        <v>1</v>
      </c>
      <c r="F1513" s="61">
        <v>45397</v>
      </c>
      <c r="G1513" s="25"/>
      <c r="H1513" s="14"/>
      <c r="I1513" s="31"/>
      <c r="J1513" s="15">
        <f t="shared" si="200"/>
        <v>0</v>
      </c>
    </row>
    <row r="1514" spans="2:10" x14ac:dyDescent="0.15">
      <c r="B1514" s="5" t="s">
        <v>263</v>
      </c>
      <c r="C1514" s="14">
        <f>1+2</f>
        <v>3</v>
      </c>
      <c r="D1514" s="31"/>
      <c r="E1514" s="15">
        <f t="shared" si="195"/>
        <v>3</v>
      </c>
      <c r="F1514" s="61">
        <v>45398</v>
      </c>
      <c r="G1514" s="25"/>
      <c r="H1514" s="14"/>
      <c r="I1514" s="31"/>
      <c r="J1514" s="15">
        <f t="shared" si="200"/>
        <v>0</v>
      </c>
    </row>
    <row r="1515" spans="2:10" x14ac:dyDescent="0.15">
      <c r="B1515" s="5" t="s">
        <v>263</v>
      </c>
      <c r="C1515" s="14"/>
      <c r="D1515" s="31">
        <v>1</v>
      </c>
      <c r="E1515" s="15">
        <f t="shared" si="195"/>
        <v>1</v>
      </c>
      <c r="F1515" s="61">
        <v>45399</v>
      </c>
      <c r="G1515" s="25"/>
      <c r="H1515" s="14"/>
      <c r="I1515" s="31"/>
      <c r="J1515" s="15">
        <f t="shared" si="200"/>
        <v>0</v>
      </c>
    </row>
    <row r="1516" spans="2:10" ht="14.25" thickBot="1" x14ac:dyDescent="0.2">
      <c r="B1516" s="5" t="s">
        <v>263</v>
      </c>
      <c r="C1516" s="14">
        <v>2</v>
      </c>
      <c r="D1516" s="31"/>
      <c r="E1516" s="15">
        <f t="shared" si="195"/>
        <v>2</v>
      </c>
      <c r="F1516" s="61">
        <v>45404</v>
      </c>
      <c r="G1516" s="25"/>
      <c r="H1516" s="14"/>
      <c r="I1516" s="31"/>
      <c r="J1516" s="15">
        <f t="shared" si="200"/>
        <v>0</v>
      </c>
    </row>
    <row r="1517" spans="2:10" ht="14.25" thickBot="1" x14ac:dyDescent="0.2">
      <c r="B1517" s="8" t="s">
        <v>2</v>
      </c>
      <c r="C1517" s="10">
        <f>SUM(C1492:C1516)</f>
        <v>71</v>
      </c>
      <c r="D1517" s="32">
        <f>SUM(D1492:D1516)</f>
        <v>35</v>
      </c>
      <c r="E1517" s="11">
        <f>C1517+D1517</f>
        <v>106</v>
      </c>
      <c r="G1517" s="8" t="s">
        <v>2</v>
      </c>
      <c r="H1517" s="10">
        <f>SUM(H1492:H1516)</f>
        <v>0</v>
      </c>
      <c r="I1517" s="32">
        <f>SUM(I1492:I1516)</f>
        <v>0</v>
      </c>
      <c r="J1517" s="11">
        <f t="shared" si="200"/>
        <v>0</v>
      </c>
    </row>
    <row r="1518" spans="2:10" ht="14.25" thickBot="1" x14ac:dyDescent="0.2">
      <c r="B1518" s="52" t="s">
        <v>3</v>
      </c>
      <c r="C1518" s="53">
        <f>+C1491-C1517</f>
        <v>322</v>
      </c>
      <c r="D1518" s="54">
        <f>+D1491-D1517</f>
        <v>436</v>
      </c>
      <c r="E1518" s="55">
        <f>C1518+D1518</f>
        <v>758</v>
      </c>
      <c r="G1518" s="52" t="s">
        <v>3</v>
      </c>
      <c r="H1518" s="87">
        <f>+H1491-H1517</f>
        <v>2000</v>
      </c>
      <c r="I1518" s="97">
        <f>+I1491-I1517</f>
        <v>1600</v>
      </c>
      <c r="J1518" s="95">
        <f>+J1491-J1517</f>
        <v>3600</v>
      </c>
    </row>
    <row r="1520" spans="2:10" ht="21" x14ac:dyDescent="0.2">
      <c r="B1520" s="76" t="s">
        <v>150</v>
      </c>
      <c r="G1520" s="75" t="s">
        <v>149</v>
      </c>
    </row>
    <row r="1521" spans="2:10" ht="18.75" x14ac:dyDescent="0.2">
      <c r="B1521" s="3" t="s">
        <v>11</v>
      </c>
      <c r="E1521" s="71"/>
      <c r="G1521" s="3" t="s">
        <v>11</v>
      </c>
    </row>
    <row r="1522" spans="2:10" ht="14.25" thickBot="1" x14ac:dyDescent="0.2">
      <c r="G1522" s="1"/>
    </row>
    <row r="1523" spans="2:10" ht="14.25" thickBot="1" x14ac:dyDescent="0.2">
      <c r="B1523" s="7"/>
      <c r="C1523" s="67"/>
      <c r="D1523" s="68"/>
      <c r="E1523" s="69"/>
      <c r="G1523" s="7"/>
      <c r="H1523" s="67"/>
      <c r="I1523" s="68"/>
      <c r="J1523" s="69"/>
    </row>
    <row r="1524" spans="2:10" ht="14.25" thickBot="1" x14ac:dyDescent="0.2">
      <c r="B1524" s="8"/>
      <c r="C1524" s="40" t="s">
        <v>7</v>
      </c>
      <c r="D1524" s="29" t="s">
        <v>9</v>
      </c>
      <c r="E1524" s="9" t="s">
        <v>0</v>
      </c>
      <c r="G1524" s="8"/>
      <c r="H1524" s="40" t="s">
        <v>7</v>
      </c>
      <c r="I1524" s="29" t="s">
        <v>9</v>
      </c>
      <c r="J1524" s="9" t="s">
        <v>0</v>
      </c>
    </row>
    <row r="1525" spans="2:10" x14ac:dyDescent="0.15">
      <c r="B1525" s="16" t="s">
        <v>4</v>
      </c>
      <c r="C1525" s="17">
        <f>C1518</f>
        <v>322</v>
      </c>
      <c r="D1525" s="35">
        <f>D1518</f>
        <v>436</v>
      </c>
      <c r="E1525" s="18">
        <f t="shared" ref="E1525:E1556" si="201">C1525+D1525</f>
        <v>758</v>
      </c>
      <c r="G1525" s="16" t="s">
        <v>4</v>
      </c>
      <c r="H1525" s="89">
        <f>H1518</f>
        <v>2000</v>
      </c>
      <c r="I1525" s="90">
        <f>I1518</f>
        <v>1600</v>
      </c>
      <c r="J1525" s="96">
        <f>J1518</f>
        <v>3600</v>
      </c>
    </row>
    <row r="1526" spans="2:10" x14ac:dyDescent="0.15">
      <c r="B1526" s="26" t="s">
        <v>419</v>
      </c>
      <c r="C1526" s="27">
        <v>1</v>
      </c>
      <c r="D1526" s="36">
        <v>1</v>
      </c>
      <c r="E1526" s="28">
        <f t="shared" si="201"/>
        <v>2</v>
      </c>
      <c r="F1526" s="61">
        <v>45412</v>
      </c>
      <c r="G1526" s="25" t="s">
        <v>5</v>
      </c>
      <c r="H1526" s="14"/>
      <c r="I1526" s="31"/>
      <c r="J1526" s="15">
        <f t="shared" ref="J1526:J1530" si="202">H1526+I1526</f>
        <v>0</v>
      </c>
    </row>
    <row r="1527" spans="2:10" x14ac:dyDescent="0.15">
      <c r="B1527" s="26" t="s">
        <v>5</v>
      </c>
      <c r="C1527" s="27"/>
      <c r="D1527" s="36"/>
      <c r="E1527" s="28">
        <f t="shared" si="201"/>
        <v>0</v>
      </c>
      <c r="F1527" s="61"/>
      <c r="G1527" s="25" t="s">
        <v>5</v>
      </c>
      <c r="H1527" s="14"/>
      <c r="I1527" s="31"/>
      <c r="J1527" s="15">
        <f t="shared" si="202"/>
        <v>0</v>
      </c>
    </row>
    <row r="1528" spans="2:10" x14ac:dyDescent="0.15">
      <c r="B1528" s="26" t="s">
        <v>5</v>
      </c>
      <c r="C1528" s="27"/>
      <c r="D1528" s="36"/>
      <c r="E1528" s="28">
        <f t="shared" si="201"/>
        <v>0</v>
      </c>
      <c r="F1528" s="61"/>
      <c r="G1528" s="25" t="s">
        <v>5</v>
      </c>
      <c r="H1528" s="14"/>
      <c r="I1528" s="31"/>
      <c r="J1528" s="15">
        <f t="shared" si="202"/>
        <v>0</v>
      </c>
    </row>
    <row r="1529" spans="2:10" x14ac:dyDescent="0.15">
      <c r="B1529" s="26" t="s">
        <v>5</v>
      </c>
      <c r="C1529" s="27"/>
      <c r="D1529" s="36"/>
      <c r="E1529" s="28">
        <f t="shared" si="201"/>
        <v>0</v>
      </c>
      <c r="F1529" s="61"/>
      <c r="G1529" s="25" t="s">
        <v>5</v>
      </c>
      <c r="H1529" s="14"/>
      <c r="I1529" s="31"/>
      <c r="J1529" s="15">
        <f t="shared" si="202"/>
        <v>0</v>
      </c>
    </row>
    <row r="1530" spans="2:10" ht="14.25" thickBot="1" x14ac:dyDescent="0.2">
      <c r="B1530" s="26" t="s">
        <v>5</v>
      </c>
      <c r="C1530" s="14"/>
      <c r="D1530" s="31"/>
      <c r="E1530" s="15">
        <f t="shared" si="201"/>
        <v>0</v>
      </c>
      <c r="F1530" s="61"/>
      <c r="G1530" s="25" t="s">
        <v>5</v>
      </c>
      <c r="H1530" s="92"/>
      <c r="I1530" s="93"/>
      <c r="J1530" s="94">
        <f t="shared" si="202"/>
        <v>0</v>
      </c>
    </row>
    <row r="1531" spans="2:10" ht="14.25" thickBot="1" x14ac:dyDescent="0.2">
      <c r="B1531" s="8" t="s">
        <v>1</v>
      </c>
      <c r="C1531" s="10">
        <f>SUM(C1525:C1530)</f>
        <v>323</v>
      </c>
      <c r="D1531" s="32">
        <f>SUM(D1525:D1530)</f>
        <v>437</v>
      </c>
      <c r="E1531" s="11">
        <f t="shared" si="201"/>
        <v>760</v>
      </c>
      <c r="G1531" s="8" t="s">
        <v>1</v>
      </c>
      <c r="H1531" s="10">
        <f>SUM(H1525:H1530)</f>
        <v>2000</v>
      </c>
      <c r="I1531" s="32">
        <f>SUM(I1525:I1530)</f>
        <v>1600</v>
      </c>
      <c r="J1531" s="11">
        <f>SUM(J1525:J1530)</f>
        <v>3600</v>
      </c>
    </row>
    <row r="1532" spans="2:10" x14ac:dyDescent="0.15">
      <c r="B1532" s="5" t="s">
        <v>540</v>
      </c>
      <c r="C1532" s="14">
        <v>1</v>
      </c>
      <c r="D1532" s="31"/>
      <c r="E1532" s="15">
        <f t="shared" ref="E1532:E1554" si="203">C1532+D1532</f>
        <v>1</v>
      </c>
      <c r="F1532" s="61">
        <v>45408</v>
      </c>
      <c r="G1532" s="25"/>
      <c r="H1532" s="14"/>
      <c r="I1532" s="31"/>
      <c r="J1532" s="15">
        <f t="shared" ref="J1532:J1557" si="204">H1532+I1532</f>
        <v>0</v>
      </c>
    </row>
    <row r="1533" spans="2:10" x14ac:dyDescent="0.15">
      <c r="B1533" s="5" t="s">
        <v>429</v>
      </c>
      <c r="C1533" s="14">
        <v>10</v>
      </c>
      <c r="D1533" s="31"/>
      <c r="E1533" s="15">
        <f t="shared" si="203"/>
        <v>10</v>
      </c>
      <c r="F1533" s="61">
        <v>45408</v>
      </c>
      <c r="G1533" s="25"/>
      <c r="H1533" s="14"/>
      <c r="I1533" s="31"/>
      <c r="J1533" s="15">
        <f t="shared" si="204"/>
        <v>0</v>
      </c>
    </row>
    <row r="1534" spans="2:10" x14ac:dyDescent="0.15">
      <c r="B1534" s="5" t="s">
        <v>555</v>
      </c>
      <c r="C1534" s="14">
        <v>4</v>
      </c>
      <c r="D1534" s="31"/>
      <c r="E1534" s="15">
        <f t="shared" si="203"/>
        <v>4</v>
      </c>
      <c r="F1534" s="61">
        <v>45407</v>
      </c>
      <c r="G1534" s="25"/>
      <c r="H1534" s="14"/>
      <c r="I1534" s="31"/>
      <c r="J1534" s="15">
        <f t="shared" si="204"/>
        <v>0</v>
      </c>
    </row>
    <row r="1535" spans="2:10" x14ac:dyDescent="0.15">
      <c r="B1535" s="5" t="s">
        <v>263</v>
      </c>
      <c r="C1535" s="14">
        <v>1</v>
      </c>
      <c r="D1535" s="31"/>
      <c r="E1535" s="15">
        <f t="shared" si="203"/>
        <v>1</v>
      </c>
      <c r="F1535" s="61">
        <v>45408</v>
      </c>
      <c r="G1535" s="25"/>
      <c r="H1535" s="14"/>
      <c r="I1535" s="31"/>
      <c r="J1535" s="15">
        <f t="shared" si="204"/>
        <v>0</v>
      </c>
    </row>
    <row r="1536" spans="2:10" x14ac:dyDescent="0.15">
      <c r="B1536" s="5" t="s">
        <v>540</v>
      </c>
      <c r="C1536" s="14">
        <v>2</v>
      </c>
      <c r="D1536" s="31"/>
      <c r="E1536" s="15">
        <f t="shared" si="203"/>
        <v>2</v>
      </c>
      <c r="F1536" s="61">
        <v>45413</v>
      </c>
      <c r="G1536" s="25"/>
      <c r="H1536" s="14"/>
      <c r="I1536" s="31"/>
      <c r="J1536" s="15">
        <f t="shared" si="204"/>
        <v>0</v>
      </c>
    </row>
    <row r="1537" spans="2:10" x14ac:dyDescent="0.15">
      <c r="B1537" s="5" t="s">
        <v>263</v>
      </c>
      <c r="C1537" s="14">
        <v>1</v>
      </c>
      <c r="D1537" s="31"/>
      <c r="E1537" s="15">
        <f t="shared" si="203"/>
        <v>1</v>
      </c>
      <c r="F1537" s="61">
        <v>45425</v>
      </c>
      <c r="G1537" s="25"/>
      <c r="H1537" s="14"/>
      <c r="I1537" s="31"/>
      <c r="J1537" s="15">
        <f t="shared" si="204"/>
        <v>0</v>
      </c>
    </row>
    <row r="1538" spans="2:10" x14ac:dyDescent="0.15">
      <c r="B1538" s="5" t="s">
        <v>429</v>
      </c>
      <c r="C1538" s="14">
        <v>10</v>
      </c>
      <c r="D1538" s="31"/>
      <c r="E1538" s="15">
        <f t="shared" si="203"/>
        <v>10</v>
      </c>
      <c r="F1538" s="61">
        <v>45430</v>
      </c>
      <c r="G1538" s="25"/>
      <c r="H1538" s="14"/>
      <c r="I1538" s="31"/>
      <c r="J1538" s="15">
        <f t="shared" si="204"/>
        <v>0</v>
      </c>
    </row>
    <row r="1539" spans="2:10" x14ac:dyDescent="0.15">
      <c r="B1539" s="5" t="s">
        <v>540</v>
      </c>
      <c r="C1539" s="14">
        <v>2</v>
      </c>
      <c r="D1539" s="31"/>
      <c r="E1539" s="15">
        <f t="shared" si="203"/>
        <v>2</v>
      </c>
      <c r="F1539" s="61">
        <v>45433</v>
      </c>
      <c r="G1539" s="25"/>
      <c r="H1539" s="14"/>
      <c r="I1539" s="31"/>
      <c r="J1539" s="15">
        <f t="shared" si="204"/>
        <v>0</v>
      </c>
    </row>
    <row r="1540" spans="2:10" x14ac:dyDescent="0.15">
      <c r="B1540" s="5" t="s">
        <v>263</v>
      </c>
      <c r="C1540" s="14">
        <v>3</v>
      </c>
      <c r="D1540" s="31"/>
      <c r="E1540" s="15">
        <f t="shared" si="203"/>
        <v>3</v>
      </c>
      <c r="F1540" s="61">
        <v>45432</v>
      </c>
      <c r="G1540" s="25"/>
      <c r="H1540" s="14"/>
      <c r="I1540" s="31"/>
      <c r="J1540" s="15">
        <f t="shared" si="204"/>
        <v>0</v>
      </c>
    </row>
    <row r="1541" spans="2:10" x14ac:dyDescent="0.15">
      <c r="B1541" s="5" t="s">
        <v>540</v>
      </c>
      <c r="C1541" s="14">
        <v>2</v>
      </c>
      <c r="D1541" s="31"/>
      <c r="E1541" s="15">
        <f t="shared" si="203"/>
        <v>2</v>
      </c>
      <c r="F1541" s="61">
        <v>45435</v>
      </c>
      <c r="G1541" s="25"/>
      <c r="H1541" s="14"/>
      <c r="I1541" s="31"/>
      <c r="J1541" s="15">
        <f t="shared" si="204"/>
        <v>0</v>
      </c>
    </row>
    <row r="1542" spans="2:10" x14ac:dyDescent="0.15">
      <c r="B1542" s="5" t="s">
        <v>263</v>
      </c>
      <c r="C1542" s="14">
        <f>3+2</f>
        <v>5</v>
      </c>
      <c r="D1542" s="31">
        <f>1+1</f>
        <v>2</v>
      </c>
      <c r="E1542" s="15">
        <f t="shared" si="203"/>
        <v>7</v>
      </c>
      <c r="F1542" s="61">
        <v>45436</v>
      </c>
      <c r="G1542" s="25"/>
      <c r="H1542" s="14"/>
      <c r="I1542" s="31"/>
      <c r="J1542" s="15">
        <f t="shared" si="204"/>
        <v>0</v>
      </c>
    </row>
    <row r="1543" spans="2:10" x14ac:dyDescent="0.15">
      <c r="B1543" s="5" t="s">
        <v>540</v>
      </c>
      <c r="C1543" s="14">
        <v>1</v>
      </c>
      <c r="D1543" s="31"/>
      <c r="E1543" s="15">
        <f t="shared" si="203"/>
        <v>1</v>
      </c>
      <c r="F1543" s="61">
        <v>45440</v>
      </c>
      <c r="G1543" s="25"/>
      <c r="H1543" s="14"/>
      <c r="I1543" s="31"/>
      <c r="J1543" s="15">
        <f t="shared" si="204"/>
        <v>0</v>
      </c>
    </row>
    <row r="1544" spans="2:10" x14ac:dyDescent="0.15">
      <c r="B1544" s="5" t="s">
        <v>263</v>
      </c>
      <c r="C1544" s="14">
        <f>2+1</f>
        <v>3</v>
      </c>
      <c r="D1544" s="31"/>
      <c r="E1544" s="15">
        <f t="shared" si="203"/>
        <v>3</v>
      </c>
      <c r="F1544" s="61">
        <v>45439</v>
      </c>
      <c r="G1544" s="25"/>
      <c r="H1544" s="14"/>
      <c r="I1544" s="31"/>
      <c r="J1544" s="15">
        <f t="shared" si="204"/>
        <v>0</v>
      </c>
    </row>
    <row r="1545" spans="2:10" x14ac:dyDescent="0.15">
      <c r="B1545" s="5" t="s">
        <v>540</v>
      </c>
      <c r="C1545" s="14">
        <v>1</v>
      </c>
      <c r="D1545" s="31"/>
      <c r="E1545" s="15">
        <f t="shared" si="203"/>
        <v>1</v>
      </c>
      <c r="F1545" s="61">
        <v>45444</v>
      </c>
      <c r="G1545" s="25"/>
      <c r="H1545" s="14"/>
      <c r="I1545" s="31"/>
      <c r="J1545" s="15">
        <f t="shared" si="204"/>
        <v>0</v>
      </c>
    </row>
    <row r="1546" spans="2:10" x14ac:dyDescent="0.15">
      <c r="B1546" s="5" t="s">
        <v>263</v>
      </c>
      <c r="C1546" s="14">
        <f>1+3</f>
        <v>4</v>
      </c>
      <c r="D1546" s="31">
        <v>3</v>
      </c>
      <c r="E1546" s="15">
        <f t="shared" si="203"/>
        <v>7</v>
      </c>
      <c r="F1546" s="61">
        <v>45448</v>
      </c>
      <c r="G1546" s="25"/>
      <c r="H1546" s="14"/>
      <c r="I1546" s="31"/>
      <c r="J1546" s="15">
        <f t="shared" si="204"/>
        <v>0</v>
      </c>
    </row>
    <row r="1547" spans="2:10" x14ac:dyDescent="0.15">
      <c r="B1547" s="5" t="s">
        <v>263</v>
      </c>
      <c r="C1547" s="14">
        <v>2</v>
      </c>
      <c r="D1547" s="31">
        <v>1</v>
      </c>
      <c r="E1547" s="15">
        <f t="shared" si="203"/>
        <v>3</v>
      </c>
      <c r="F1547" s="61">
        <v>45449</v>
      </c>
      <c r="G1547" s="25"/>
      <c r="H1547" s="14"/>
      <c r="I1547" s="31"/>
      <c r="J1547" s="15">
        <f t="shared" si="204"/>
        <v>0</v>
      </c>
    </row>
    <row r="1548" spans="2:10" x14ac:dyDescent="0.15">
      <c r="B1548" s="5" t="s">
        <v>263</v>
      </c>
      <c r="C1548" s="14">
        <v>2</v>
      </c>
      <c r="D1548" s="31">
        <v>1</v>
      </c>
      <c r="E1548" s="15">
        <f t="shared" si="203"/>
        <v>3</v>
      </c>
      <c r="F1548" s="61">
        <v>45450</v>
      </c>
      <c r="G1548" s="25"/>
      <c r="H1548" s="14"/>
      <c r="I1548" s="31"/>
      <c r="J1548" s="15">
        <f t="shared" si="204"/>
        <v>0</v>
      </c>
    </row>
    <row r="1549" spans="2:10" x14ac:dyDescent="0.15">
      <c r="B1549" s="5" t="s">
        <v>263</v>
      </c>
      <c r="C1549" s="14">
        <f>2+3</f>
        <v>5</v>
      </c>
      <c r="D1549" s="31"/>
      <c r="E1549" s="15">
        <f t="shared" si="203"/>
        <v>5</v>
      </c>
      <c r="F1549" s="61">
        <v>45453</v>
      </c>
      <c r="G1549" s="25"/>
      <c r="H1549" s="14"/>
      <c r="I1549" s="31"/>
      <c r="J1549" s="15">
        <f t="shared" si="204"/>
        <v>0</v>
      </c>
    </row>
    <row r="1550" spans="2:10" x14ac:dyDescent="0.15">
      <c r="B1550" s="5" t="s">
        <v>263</v>
      </c>
      <c r="C1550" s="14">
        <f>2+5</f>
        <v>7</v>
      </c>
      <c r="D1550" s="31"/>
      <c r="E1550" s="15">
        <f t="shared" si="203"/>
        <v>7</v>
      </c>
      <c r="F1550" s="61">
        <v>45454</v>
      </c>
      <c r="G1550" s="25"/>
      <c r="H1550" s="14"/>
      <c r="I1550" s="31"/>
      <c r="J1550" s="15">
        <f t="shared" si="204"/>
        <v>0</v>
      </c>
    </row>
    <row r="1551" spans="2:10" x14ac:dyDescent="0.15">
      <c r="B1551" s="5" t="s">
        <v>263</v>
      </c>
      <c r="C1551" s="14">
        <v>1</v>
      </c>
      <c r="D1551" s="31"/>
      <c r="E1551" s="15">
        <f t="shared" si="203"/>
        <v>1</v>
      </c>
      <c r="F1551" s="61">
        <v>45460</v>
      </c>
      <c r="G1551" s="25"/>
      <c r="H1551" s="14"/>
      <c r="I1551" s="31"/>
      <c r="J1551" s="15">
        <f t="shared" si="204"/>
        <v>0</v>
      </c>
    </row>
    <row r="1552" spans="2:10" x14ac:dyDescent="0.15">
      <c r="B1552" s="5" t="s">
        <v>556</v>
      </c>
      <c r="C1552" s="14">
        <v>5</v>
      </c>
      <c r="D1552" s="31"/>
      <c r="E1552" s="15">
        <f t="shared" si="203"/>
        <v>5</v>
      </c>
      <c r="F1552" s="61">
        <v>45462</v>
      </c>
      <c r="G1552" s="25"/>
      <c r="H1552" s="14"/>
      <c r="I1552" s="31"/>
      <c r="J1552" s="15">
        <f t="shared" si="204"/>
        <v>0</v>
      </c>
    </row>
    <row r="1553" spans="2:10" x14ac:dyDescent="0.15">
      <c r="B1553" s="5" t="s">
        <v>263</v>
      </c>
      <c r="C1553" s="14">
        <v>1</v>
      </c>
      <c r="D1553" s="31"/>
      <c r="E1553" s="15">
        <f t="shared" si="203"/>
        <v>1</v>
      </c>
      <c r="F1553" s="61">
        <v>45463</v>
      </c>
      <c r="G1553" s="25"/>
      <c r="H1553" s="14"/>
      <c r="I1553" s="31"/>
      <c r="J1553" s="15">
        <f t="shared" si="204"/>
        <v>0</v>
      </c>
    </row>
    <row r="1554" spans="2:10" x14ac:dyDescent="0.15">
      <c r="B1554" s="5" t="s">
        <v>263</v>
      </c>
      <c r="C1554" s="14">
        <v>3</v>
      </c>
      <c r="D1554" s="31"/>
      <c r="E1554" s="15">
        <f t="shared" si="203"/>
        <v>3</v>
      </c>
      <c r="F1554" s="61">
        <v>45467</v>
      </c>
      <c r="G1554" s="25"/>
      <c r="H1554" s="14"/>
      <c r="I1554" s="31"/>
      <c r="J1554" s="15">
        <f t="shared" si="204"/>
        <v>0</v>
      </c>
    </row>
    <row r="1555" spans="2:10" x14ac:dyDescent="0.15">
      <c r="B1555" s="5" t="s">
        <v>557</v>
      </c>
      <c r="C1555" s="14">
        <v>10</v>
      </c>
      <c r="D1555" s="31"/>
      <c r="E1555" s="15">
        <f t="shared" si="201"/>
        <v>10</v>
      </c>
      <c r="F1555" s="61">
        <v>45469</v>
      </c>
      <c r="G1555" s="25"/>
      <c r="H1555" s="14"/>
      <c r="I1555" s="31"/>
      <c r="J1555" s="15">
        <f t="shared" si="204"/>
        <v>0</v>
      </c>
    </row>
    <row r="1556" spans="2:10" ht="14.25" thickBot="1" x14ac:dyDescent="0.2">
      <c r="B1556" s="5" t="s">
        <v>263</v>
      </c>
      <c r="C1556" s="14">
        <v>2</v>
      </c>
      <c r="D1556" s="31"/>
      <c r="E1556" s="15">
        <f t="shared" si="201"/>
        <v>2</v>
      </c>
      <c r="F1556" s="61">
        <v>45474</v>
      </c>
      <c r="G1556" s="25"/>
      <c r="H1556" s="14"/>
      <c r="I1556" s="31"/>
      <c r="J1556" s="15">
        <f t="shared" si="204"/>
        <v>0</v>
      </c>
    </row>
    <row r="1557" spans="2:10" ht="14.25" thickBot="1" x14ac:dyDescent="0.2">
      <c r="B1557" s="8" t="s">
        <v>2</v>
      </c>
      <c r="C1557" s="10">
        <f>SUM(C1532:C1556)</f>
        <v>88</v>
      </c>
      <c r="D1557" s="32">
        <f>SUM(D1532:D1556)</f>
        <v>7</v>
      </c>
      <c r="E1557" s="11">
        <f>C1557+D1557</f>
        <v>95</v>
      </c>
      <c r="G1557" s="8" t="s">
        <v>2</v>
      </c>
      <c r="H1557" s="10">
        <f>SUM(H1532:H1556)</f>
        <v>0</v>
      </c>
      <c r="I1557" s="32">
        <f>SUM(I1532:I1556)</f>
        <v>0</v>
      </c>
      <c r="J1557" s="11">
        <f t="shared" si="204"/>
        <v>0</v>
      </c>
    </row>
    <row r="1558" spans="2:10" ht="14.25" thickBot="1" x14ac:dyDescent="0.2">
      <c r="B1558" s="52" t="s">
        <v>3</v>
      </c>
      <c r="C1558" s="53">
        <f>+C1531-C1557</f>
        <v>235</v>
      </c>
      <c r="D1558" s="54">
        <f>+D1531-D1557</f>
        <v>430</v>
      </c>
      <c r="E1558" s="55">
        <f>C1558+D1558</f>
        <v>665</v>
      </c>
      <c r="G1558" s="52" t="s">
        <v>3</v>
      </c>
      <c r="H1558" s="87">
        <f>+H1531-H1557</f>
        <v>2000</v>
      </c>
      <c r="I1558" s="97">
        <f>+I1531-I1557</f>
        <v>1600</v>
      </c>
      <c r="J1558" s="95">
        <f>+J1531-J1557</f>
        <v>3600</v>
      </c>
    </row>
    <row r="1560" spans="2:10" ht="21" x14ac:dyDescent="0.2">
      <c r="B1560" s="76" t="s">
        <v>150</v>
      </c>
      <c r="G1560" s="75" t="s">
        <v>149</v>
      </c>
    </row>
    <row r="1561" spans="2:10" ht="18.75" x14ac:dyDescent="0.2">
      <c r="B1561" s="3" t="s">
        <v>11</v>
      </c>
      <c r="E1561" s="71"/>
      <c r="G1561" s="3" t="s">
        <v>11</v>
      </c>
    </row>
    <row r="1562" spans="2:10" ht="14.25" thickBot="1" x14ac:dyDescent="0.2">
      <c r="G1562" s="1"/>
    </row>
    <row r="1563" spans="2:10" ht="14.25" thickBot="1" x14ac:dyDescent="0.2">
      <c r="B1563" s="7"/>
      <c r="C1563" s="67"/>
      <c r="D1563" s="68"/>
      <c r="E1563" s="69"/>
      <c r="G1563" s="7"/>
      <c r="H1563" s="67"/>
      <c r="I1563" s="68"/>
      <c r="J1563" s="69"/>
    </row>
    <row r="1564" spans="2:10" ht="14.25" thickBot="1" x14ac:dyDescent="0.2">
      <c r="B1564" s="8"/>
      <c r="C1564" s="40" t="s">
        <v>7</v>
      </c>
      <c r="D1564" s="29" t="s">
        <v>9</v>
      </c>
      <c r="E1564" s="9" t="s">
        <v>0</v>
      </c>
      <c r="G1564" s="8"/>
      <c r="H1564" s="40" t="s">
        <v>7</v>
      </c>
      <c r="I1564" s="29" t="s">
        <v>9</v>
      </c>
      <c r="J1564" s="9" t="s">
        <v>0</v>
      </c>
    </row>
    <row r="1565" spans="2:10" x14ac:dyDescent="0.15">
      <c r="B1565" s="16" t="s">
        <v>4</v>
      </c>
      <c r="C1565" s="17">
        <f>C1558</f>
        <v>235</v>
      </c>
      <c r="D1565" s="35">
        <f>D1558</f>
        <v>430</v>
      </c>
      <c r="E1565" s="18">
        <f t="shared" ref="E1565:E1596" si="205">C1565+D1565</f>
        <v>665</v>
      </c>
      <c r="G1565" s="16" t="s">
        <v>4</v>
      </c>
      <c r="H1565" s="89">
        <f>H1558</f>
        <v>2000</v>
      </c>
      <c r="I1565" s="90">
        <f>I1558</f>
        <v>1600</v>
      </c>
      <c r="J1565" s="96">
        <f>J1558</f>
        <v>3600</v>
      </c>
    </row>
    <row r="1566" spans="2:10" x14ac:dyDescent="0.15">
      <c r="B1566" s="26" t="s">
        <v>5</v>
      </c>
      <c r="C1566" s="27"/>
      <c r="D1566" s="36"/>
      <c r="E1566" s="28">
        <f t="shared" ref="E1566" si="206">C1566+D1566</f>
        <v>0</v>
      </c>
      <c r="F1566" s="61"/>
      <c r="G1566" s="25" t="s">
        <v>5</v>
      </c>
      <c r="H1566" s="14"/>
      <c r="I1566" s="31"/>
      <c r="J1566" s="15">
        <f t="shared" ref="J1566:J1570" si="207">H1566+I1566</f>
        <v>0</v>
      </c>
    </row>
    <row r="1567" spans="2:10" x14ac:dyDescent="0.15">
      <c r="B1567" s="26" t="s">
        <v>431</v>
      </c>
      <c r="C1567" s="27">
        <v>0</v>
      </c>
      <c r="D1567" s="36">
        <v>-4</v>
      </c>
      <c r="E1567" s="28">
        <f t="shared" si="205"/>
        <v>-4</v>
      </c>
      <c r="F1567" s="61">
        <v>45531</v>
      </c>
      <c r="G1567" s="25" t="s">
        <v>5</v>
      </c>
      <c r="H1567" s="14"/>
      <c r="I1567" s="31"/>
      <c r="J1567" s="15">
        <f t="shared" si="207"/>
        <v>0</v>
      </c>
    </row>
    <row r="1568" spans="2:10" x14ac:dyDescent="0.15">
      <c r="B1568" s="26" t="s">
        <v>5</v>
      </c>
      <c r="C1568" s="27"/>
      <c r="D1568" s="36"/>
      <c r="E1568" s="28">
        <f t="shared" si="205"/>
        <v>0</v>
      </c>
      <c r="F1568" s="61"/>
      <c r="G1568" s="25" t="s">
        <v>5</v>
      </c>
      <c r="H1568" s="14"/>
      <c r="I1568" s="31"/>
      <c r="J1568" s="15">
        <f t="shared" si="207"/>
        <v>0</v>
      </c>
    </row>
    <row r="1569" spans="2:10" x14ac:dyDescent="0.15">
      <c r="B1569" s="26" t="s">
        <v>5</v>
      </c>
      <c r="C1569" s="27"/>
      <c r="D1569" s="36"/>
      <c r="E1569" s="28">
        <f t="shared" si="205"/>
        <v>0</v>
      </c>
      <c r="F1569" s="61"/>
      <c r="G1569" s="25" t="s">
        <v>5</v>
      </c>
      <c r="H1569" s="14"/>
      <c r="I1569" s="31"/>
      <c r="J1569" s="15">
        <f t="shared" si="207"/>
        <v>0</v>
      </c>
    </row>
    <row r="1570" spans="2:10" ht="14.25" thickBot="1" x14ac:dyDescent="0.2">
      <c r="B1570" s="26" t="s">
        <v>5</v>
      </c>
      <c r="C1570" s="14"/>
      <c r="D1570" s="31"/>
      <c r="E1570" s="15">
        <f t="shared" si="205"/>
        <v>0</v>
      </c>
      <c r="F1570" s="61"/>
      <c r="G1570" s="25" t="s">
        <v>5</v>
      </c>
      <c r="H1570" s="92"/>
      <c r="I1570" s="93"/>
      <c r="J1570" s="94">
        <f t="shared" si="207"/>
        <v>0</v>
      </c>
    </row>
    <row r="1571" spans="2:10" ht="14.25" thickBot="1" x14ac:dyDescent="0.2">
      <c r="B1571" s="8" t="s">
        <v>1</v>
      </c>
      <c r="C1571" s="10">
        <f>SUM(C1565:C1570)</f>
        <v>235</v>
      </c>
      <c r="D1571" s="32">
        <f>SUM(D1565:D1570)</f>
        <v>426</v>
      </c>
      <c r="E1571" s="11">
        <f t="shared" si="205"/>
        <v>661</v>
      </c>
      <c r="G1571" s="8" t="s">
        <v>1</v>
      </c>
      <c r="H1571" s="10">
        <f>SUM(H1565:H1570)</f>
        <v>2000</v>
      </c>
      <c r="I1571" s="32">
        <f>SUM(I1565:I1570)</f>
        <v>1600</v>
      </c>
      <c r="J1571" s="11">
        <f>SUM(J1565:J1570)</f>
        <v>3600</v>
      </c>
    </row>
    <row r="1572" spans="2:10" x14ac:dyDescent="0.15">
      <c r="B1572" s="5" t="s">
        <v>429</v>
      </c>
      <c r="C1572" s="14">
        <v>20</v>
      </c>
      <c r="D1572" s="31">
        <v>10</v>
      </c>
      <c r="E1572" s="15">
        <f t="shared" ref="E1572:E1593" si="208">C1572+D1572</f>
        <v>30</v>
      </c>
      <c r="F1572" s="61">
        <v>45475</v>
      </c>
      <c r="G1572" s="25"/>
      <c r="H1572" s="14"/>
      <c r="I1572" s="31"/>
      <c r="J1572" s="15">
        <f t="shared" ref="J1572:J1597" si="209">H1572+I1572</f>
        <v>0</v>
      </c>
    </row>
    <row r="1573" spans="2:10" x14ac:dyDescent="0.15">
      <c r="B1573" s="5" t="s">
        <v>263</v>
      </c>
      <c r="C1573" s="14">
        <v>1</v>
      </c>
      <c r="D1573" s="31"/>
      <c r="E1573" s="15">
        <f t="shared" si="208"/>
        <v>1</v>
      </c>
      <c r="F1573" s="61">
        <v>45481</v>
      </c>
      <c r="G1573" s="25"/>
      <c r="H1573" s="14"/>
      <c r="I1573" s="31"/>
      <c r="J1573" s="15">
        <f t="shared" si="209"/>
        <v>0</v>
      </c>
    </row>
    <row r="1574" spans="2:10" x14ac:dyDescent="0.15">
      <c r="B1574" s="5" t="s">
        <v>263</v>
      </c>
      <c r="C1574" s="14">
        <v>1</v>
      </c>
      <c r="D1574" s="31">
        <v>1</v>
      </c>
      <c r="E1574" s="15">
        <f t="shared" si="208"/>
        <v>2</v>
      </c>
      <c r="F1574" s="61">
        <v>45484</v>
      </c>
      <c r="G1574" s="25"/>
      <c r="H1574" s="14"/>
      <c r="I1574" s="31"/>
      <c r="J1574" s="15">
        <f t="shared" si="209"/>
        <v>0</v>
      </c>
    </row>
    <row r="1575" spans="2:10" x14ac:dyDescent="0.15">
      <c r="B1575" s="5" t="s">
        <v>558</v>
      </c>
      <c r="C1575" s="14">
        <v>2</v>
      </c>
      <c r="D1575" s="31"/>
      <c r="E1575" s="15">
        <f t="shared" si="208"/>
        <v>2</v>
      </c>
      <c r="F1575" s="61">
        <v>45490</v>
      </c>
      <c r="G1575" s="25"/>
      <c r="H1575" s="14"/>
      <c r="I1575" s="31"/>
      <c r="J1575" s="15">
        <f t="shared" si="209"/>
        <v>0</v>
      </c>
    </row>
    <row r="1576" spans="2:10" x14ac:dyDescent="0.15">
      <c r="B1576" s="5" t="s">
        <v>540</v>
      </c>
      <c r="C1576" s="14"/>
      <c r="D1576" s="31">
        <v>4</v>
      </c>
      <c r="E1576" s="15">
        <f t="shared" si="208"/>
        <v>4</v>
      </c>
      <c r="F1576" s="61">
        <v>45491</v>
      </c>
      <c r="G1576" s="25"/>
      <c r="H1576" s="14"/>
      <c r="I1576" s="31"/>
      <c r="J1576" s="15">
        <f t="shared" si="209"/>
        <v>0</v>
      </c>
    </row>
    <row r="1577" spans="2:10" x14ac:dyDescent="0.15">
      <c r="B1577" s="5" t="s">
        <v>263</v>
      </c>
      <c r="C1577" s="14">
        <v>3</v>
      </c>
      <c r="D1577" s="31"/>
      <c r="E1577" s="15">
        <f t="shared" si="208"/>
        <v>3</v>
      </c>
      <c r="F1577" s="61">
        <v>45490</v>
      </c>
      <c r="G1577" s="25"/>
      <c r="H1577" s="14"/>
      <c r="I1577" s="31"/>
      <c r="J1577" s="15">
        <f t="shared" si="209"/>
        <v>0</v>
      </c>
    </row>
    <row r="1578" spans="2:10" x14ac:dyDescent="0.15">
      <c r="B1578" s="5" t="s">
        <v>540</v>
      </c>
      <c r="C1578" s="14">
        <v>3</v>
      </c>
      <c r="D1578" s="31">
        <v>2</v>
      </c>
      <c r="E1578" s="15">
        <f t="shared" si="208"/>
        <v>5</v>
      </c>
      <c r="F1578" s="61">
        <v>45497</v>
      </c>
      <c r="G1578" s="25"/>
      <c r="H1578" s="14"/>
      <c r="I1578" s="31"/>
      <c r="J1578" s="15">
        <f t="shared" si="209"/>
        <v>0</v>
      </c>
    </row>
    <row r="1579" spans="2:10" x14ac:dyDescent="0.15">
      <c r="B1579" s="5" t="s">
        <v>263</v>
      </c>
      <c r="C1579" s="14">
        <v>3</v>
      </c>
      <c r="D1579" s="31"/>
      <c r="E1579" s="15">
        <f t="shared" si="208"/>
        <v>3</v>
      </c>
      <c r="F1579" s="61">
        <v>45498</v>
      </c>
      <c r="G1579" s="25"/>
      <c r="H1579" s="14"/>
      <c r="I1579" s="31"/>
      <c r="J1579" s="15">
        <f t="shared" si="209"/>
        <v>0</v>
      </c>
    </row>
    <row r="1580" spans="2:10" x14ac:dyDescent="0.15">
      <c r="B1580" s="5" t="s">
        <v>263</v>
      </c>
      <c r="C1580" s="14"/>
      <c r="D1580" s="31">
        <v>1</v>
      </c>
      <c r="E1580" s="15">
        <f t="shared" si="208"/>
        <v>1</v>
      </c>
      <c r="F1580" s="61">
        <v>45513</v>
      </c>
      <c r="G1580" s="25"/>
      <c r="H1580" s="14"/>
      <c r="I1580" s="31"/>
      <c r="J1580" s="15">
        <f t="shared" si="209"/>
        <v>0</v>
      </c>
    </row>
    <row r="1581" spans="2:10" x14ac:dyDescent="0.15">
      <c r="B1581" s="5" t="s">
        <v>263</v>
      </c>
      <c r="C1581" s="14">
        <v>4</v>
      </c>
      <c r="D1581" s="31"/>
      <c r="E1581" s="15">
        <f t="shared" si="208"/>
        <v>4</v>
      </c>
      <c r="F1581" s="61">
        <v>45515</v>
      </c>
      <c r="G1581" s="25"/>
      <c r="H1581" s="14"/>
      <c r="I1581" s="31"/>
      <c r="J1581" s="15">
        <f t="shared" si="209"/>
        <v>0</v>
      </c>
    </row>
    <row r="1582" spans="2:10" x14ac:dyDescent="0.15">
      <c r="B1582" s="5" t="s">
        <v>429</v>
      </c>
      <c r="C1582" s="14">
        <v>10</v>
      </c>
      <c r="D1582" s="31"/>
      <c r="E1582" s="15">
        <f t="shared" si="208"/>
        <v>10</v>
      </c>
      <c r="F1582" s="61">
        <v>45525</v>
      </c>
      <c r="G1582" s="25"/>
      <c r="H1582" s="14"/>
      <c r="I1582" s="31"/>
      <c r="J1582" s="15">
        <f t="shared" si="209"/>
        <v>0</v>
      </c>
    </row>
    <row r="1583" spans="2:10" x14ac:dyDescent="0.15">
      <c r="B1583" s="5" t="s">
        <v>263</v>
      </c>
      <c r="C1583" s="14">
        <v>3</v>
      </c>
      <c r="D1583" s="31"/>
      <c r="E1583" s="15">
        <f t="shared" si="208"/>
        <v>3</v>
      </c>
      <c r="F1583" s="61">
        <v>45526</v>
      </c>
      <c r="G1583" s="25"/>
      <c r="H1583" s="14"/>
      <c r="I1583" s="31"/>
      <c r="J1583" s="15">
        <f t="shared" si="209"/>
        <v>0</v>
      </c>
    </row>
    <row r="1584" spans="2:10" x14ac:dyDescent="0.15">
      <c r="B1584" s="5" t="s">
        <v>263</v>
      </c>
      <c r="C1584" s="14"/>
      <c r="D1584" s="31">
        <v>1</v>
      </c>
      <c r="E1584" s="15">
        <f t="shared" si="208"/>
        <v>1</v>
      </c>
      <c r="F1584" s="61">
        <v>45534</v>
      </c>
      <c r="G1584" s="25"/>
      <c r="H1584" s="14"/>
      <c r="I1584" s="31"/>
      <c r="J1584" s="15">
        <f t="shared" si="209"/>
        <v>0</v>
      </c>
    </row>
    <row r="1585" spans="2:10" x14ac:dyDescent="0.15">
      <c r="B1585" s="5"/>
      <c r="C1585" s="14"/>
      <c r="D1585" s="31"/>
      <c r="E1585" s="15">
        <f t="shared" si="208"/>
        <v>0</v>
      </c>
      <c r="F1585" s="61"/>
      <c r="G1585" s="25"/>
      <c r="H1585" s="14"/>
      <c r="I1585" s="31"/>
      <c r="J1585" s="15">
        <f t="shared" si="209"/>
        <v>0</v>
      </c>
    </row>
    <row r="1586" spans="2:10" x14ac:dyDescent="0.15">
      <c r="B1586" s="5"/>
      <c r="C1586" s="14"/>
      <c r="D1586" s="31"/>
      <c r="E1586" s="15">
        <f t="shared" si="208"/>
        <v>0</v>
      </c>
      <c r="F1586" s="61"/>
      <c r="G1586" s="25"/>
      <c r="H1586" s="14"/>
      <c r="I1586" s="31"/>
      <c r="J1586" s="15">
        <f t="shared" si="209"/>
        <v>0</v>
      </c>
    </row>
    <row r="1587" spans="2:10" x14ac:dyDescent="0.15">
      <c r="B1587" s="5"/>
      <c r="C1587" s="14"/>
      <c r="D1587" s="31"/>
      <c r="E1587" s="15">
        <f t="shared" si="208"/>
        <v>0</v>
      </c>
      <c r="F1587" s="61"/>
      <c r="G1587" s="25"/>
      <c r="H1587" s="14"/>
      <c r="I1587" s="31"/>
      <c r="J1587" s="15">
        <f t="shared" si="209"/>
        <v>0</v>
      </c>
    </row>
    <row r="1588" spans="2:10" x14ac:dyDescent="0.15">
      <c r="B1588" s="5"/>
      <c r="C1588" s="14"/>
      <c r="D1588" s="31"/>
      <c r="E1588" s="15">
        <f t="shared" si="208"/>
        <v>0</v>
      </c>
      <c r="F1588" s="61"/>
      <c r="G1588" s="25"/>
      <c r="H1588" s="14"/>
      <c r="I1588" s="31"/>
      <c r="J1588" s="15">
        <f t="shared" si="209"/>
        <v>0</v>
      </c>
    </row>
    <row r="1589" spans="2:10" x14ac:dyDescent="0.15">
      <c r="B1589" s="5"/>
      <c r="C1589" s="14"/>
      <c r="D1589" s="31"/>
      <c r="E1589" s="15">
        <f t="shared" si="208"/>
        <v>0</v>
      </c>
      <c r="F1589" s="61"/>
      <c r="G1589" s="25"/>
      <c r="H1589" s="14"/>
      <c r="I1589" s="31"/>
      <c r="J1589" s="15">
        <f t="shared" si="209"/>
        <v>0</v>
      </c>
    </row>
    <row r="1590" spans="2:10" x14ac:dyDescent="0.15">
      <c r="B1590" s="5"/>
      <c r="C1590" s="14"/>
      <c r="D1590" s="31"/>
      <c r="E1590" s="15">
        <f t="shared" si="208"/>
        <v>0</v>
      </c>
      <c r="F1590" s="61"/>
      <c r="G1590" s="25"/>
      <c r="H1590" s="14"/>
      <c r="I1590" s="31"/>
      <c r="J1590" s="15">
        <f t="shared" si="209"/>
        <v>0</v>
      </c>
    </row>
    <row r="1591" spans="2:10" x14ac:dyDescent="0.15">
      <c r="B1591" s="5"/>
      <c r="C1591" s="14"/>
      <c r="D1591" s="31"/>
      <c r="E1591" s="15">
        <f t="shared" si="208"/>
        <v>0</v>
      </c>
      <c r="F1591" s="61"/>
      <c r="G1591" s="25"/>
      <c r="H1591" s="14"/>
      <c r="I1591" s="31"/>
      <c r="J1591" s="15">
        <f t="shared" si="209"/>
        <v>0</v>
      </c>
    </row>
    <row r="1592" spans="2:10" x14ac:dyDescent="0.15">
      <c r="B1592" s="5"/>
      <c r="C1592" s="14"/>
      <c r="D1592" s="31"/>
      <c r="E1592" s="15">
        <f t="shared" si="208"/>
        <v>0</v>
      </c>
      <c r="F1592" s="61"/>
      <c r="G1592" s="25"/>
      <c r="H1592" s="14"/>
      <c r="I1592" s="31"/>
      <c r="J1592" s="15">
        <f t="shared" si="209"/>
        <v>0</v>
      </c>
    </row>
    <row r="1593" spans="2:10" x14ac:dyDescent="0.15">
      <c r="B1593" s="5"/>
      <c r="C1593" s="14"/>
      <c r="D1593" s="31"/>
      <c r="E1593" s="15">
        <f t="shared" si="208"/>
        <v>0</v>
      </c>
      <c r="F1593" s="61"/>
      <c r="G1593" s="25"/>
      <c r="H1593" s="14"/>
      <c r="I1593" s="31"/>
      <c r="J1593" s="15">
        <f t="shared" si="209"/>
        <v>0</v>
      </c>
    </row>
    <row r="1594" spans="2:10" x14ac:dyDescent="0.15">
      <c r="B1594" s="5"/>
      <c r="C1594" s="14"/>
      <c r="D1594" s="31"/>
      <c r="E1594" s="15">
        <f t="shared" si="205"/>
        <v>0</v>
      </c>
      <c r="F1594" s="61"/>
      <c r="G1594" s="25"/>
      <c r="H1594" s="14"/>
      <c r="I1594" s="31"/>
      <c r="J1594" s="15">
        <f t="shared" si="209"/>
        <v>0</v>
      </c>
    </row>
    <row r="1595" spans="2:10" x14ac:dyDescent="0.15">
      <c r="B1595" s="5"/>
      <c r="C1595" s="14"/>
      <c r="D1595" s="31"/>
      <c r="E1595" s="15">
        <f t="shared" si="205"/>
        <v>0</v>
      </c>
      <c r="F1595" s="61"/>
      <c r="G1595" s="25"/>
      <c r="H1595" s="14"/>
      <c r="I1595" s="31"/>
      <c r="J1595" s="15">
        <f t="shared" si="209"/>
        <v>0</v>
      </c>
    </row>
    <row r="1596" spans="2:10" ht="14.25" thickBot="1" x14ac:dyDescent="0.2">
      <c r="B1596" s="5"/>
      <c r="C1596" s="14"/>
      <c r="D1596" s="31"/>
      <c r="E1596" s="15">
        <f t="shared" si="205"/>
        <v>0</v>
      </c>
      <c r="F1596" s="61"/>
      <c r="G1596" s="25"/>
      <c r="H1596" s="14"/>
      <c r="I1596" s="31"/>
      <c r="J1596" s="15">
        <f t="shared" si="209"/>
        <v>0</v>
      </c>
    </row>
    <row r="1597" spans="2:10" ht="14.25" thickBot="1" x14ac:dyDescent="0.2">
      <c r="B1597" s="8" t="s">
        <v>2</v>
      </c>
      <c r="C1597" s="10">
        <f>SUM(C1572:C1596)</f>
        <v>50</v>
      </c>
      <c r="D1597" s="32">
        <f>SUM(D1572:D1596)</f>
        <v>19</v>
      </c>
      <c r="E1597" s="11">
        <f>C1597+D1597</f>
        <v>69</v>
      </c>
      <c r="G1597" s="8" t="s">
        <v>2</v>
      </c>
      <c r="H1597" s="10">
        <f>SUM(H1572:H1596)</f>
        <v>0</v>
      </c>
      <c r="I1597" s="32">
        <f>SUM(I1572:I1596)</f>
        <v>0</v>
      </c>
      <c r="J1597" s="11">
        <f t="shared" si="209"/>
        <v>0</v>
      </c>
    </row>
    <row r="1598" spans="2:10" ht="14.25" thickBot="1" x14ac:dyDescent="0.2">
      <c r="B1598" s="52" t="s">
        <v>3</v>
      </c>
      <c r="C1598" s="53">
        <f>+C1571-C1597</f>
        <v>185</v>
      </c>
      <c r="D1598" s="54">
        <f>+D1571-D1597</f>
        <v>407</v>
      </c>
      <c r="E1598" s="55">
        <f>C1598+D1598</f>
        <v>592</v>
      </c>
      <c r="G1598" s="52" t="s">
        <v>3</v>
      </c>
      <c r="H1598" s="87">
        <f>+H1571-H1597</f>
        <v>2000</v>
      </c>
      <c r="I1598" s="97">
        <f>+I1571-I1597</f>
        <v>1600</v>
      </c>
      <c r="J1598" s="95">
        <f>+J1571-J1597</f>
        <v>3600</v>
      </c>
    </row>
    <row r="1600" spans="2:10" ht="21" x14ac:dyDescent="0.2">
      <c r="B1600" s="76" t="s">
        <v>150</v>
      </c>
      <c r="G1600" s="75" t="s">
        <v>149</v>
      </c>
    </row>
    <row r="1601" spans="2:10" ht="18.75" x14ac:dyDescent="0.2">
      <c r="B1601" s="3" t="s">
        <v>11</v>
      </c>
      <c r="E1601" s="71"/>
      <c r="G1601" s="3" t="s">
        <v>11</v>
      </c>
    </row>
    <row r="1602" spans="2:10" ht="14.25" thickBot="1" x14ac:dyDescent="0.2">
      <c r="G1602" s="1"/>
    </row>
    <row r="1603" spans="2:10" ht="14.25" thickBot="1" x14ac:dyDescent="0.2">
      <c r="B1603" s="7"/>
      <c r="C1603" s="67"/>
      <c r="D1603" s="68"/>
      <c r="E1603" s="69"/>
      <c r="G1603" s="7"/>
      <c r="H1603" s="67"/>
      <c r="I1603" s="68"/>
      <c r="J1603" s="69"/>
    </row>
    <row r="1604" spans="2:10" ht="14.25" thickBot="1" x14ac:dyDescent="0.2">
      <c r="B1604" s="8"/>
      <c r="C1604" s="40" t="s">
        <v>7</v>
      </c>
      <c r="D1604" s="29" t="s">
        <v>9</v>
      </c>
      <c r="E1604" s="9" t="s">
        <v>0</v>
      </c>
      <c r="G1604" s="8"/>
      <c r="H1604" s="40" t="s">
        <v>7</v>
      </c>
      <c r="I1604" s="29" t="s">
        <v>9</v>
      </c>
      <c r="J1604" s="9" t="s">
        <v>0</v>
      </c>
    </row>
    <row r="1605" spans="2:10" x14ac:dyDescent="0.15">
      <c r="B1605" s="16" t="s">
        <v>4</v>
      </c>
      <c r="C1605" s="17">
        <f>C1598</f>
        <v>185</v>
      </c>
      <c r="D1605" s="35">
        <f>D1598</f>
        <v>407</v>
      </c>
      <c r="E1605" s="18">
        <f t="shared" ref="E1605:E1636" si="210">C1605+D1605</f>
        <v>592</v>
      </c>
      <c r="G1605" s="16" t="s">
        <v>4</v>
      </c>
      <c r="H1605" s="89">
        <f>H1598</f>
        <v>2000</v>
      </c>
      <c r="I1605" s="90">
        <f>I1598</f>
        <v>1600</v>
      </c>
      <c r="J1605" s="96">
        <f>J1598</f>
        <v>3600</v>
      </c>
    </row>
    <row r="1606" spans="2:10" x14ac:dyDescent="0.15">
      <c r="B1606" s="25" t="s">
        <v>5</v>
      </c>
      <c r="C1606" s="14"/>
      <c r="D1606" s="31"/>
      <c r="E1606" s="15">
        <f t="shared" si="210"/>
        <v>0</v>
      </c>
      <c r="G1606" s="25" t="s">
        <v>5</v>
      </c>
      <c r="H1606" s="14"/>
      <c r="I1606" s="31"/>
      <c r="J1606" s="15">
        <f t="shared" ref="J1606:J1610" si="211">H1606+I1606</f>
        <v>0</v>
      </c>
    </row>
    <row r="1607" spans="2:10" x14ac:dyDescent="0.15">
      <c r="B1607" s="25" t="s">
        <v>5</v>
      </c>
      <c r="C1607" s="14"/>
      <c r="D1607" s="31"/>
      <c r="E1607" s="15">
        <f t="shared" si="210"/>
        <v>0</v>
      </c>
      <c r="G1607" s="25" t="s">
        <v>5</v>
      </c>
      <c r="H1607" s="14"/>
      <c r="I1607" s="31"/>
      <c r="J1607" s="15">
        <f t="shared" si="211"/>
        <v>0</v>
      </c>
    </row>
    <row r="1608" spans="2:10" x14ac:dyDescent="0.15">
      <c r="B1608" s="25" t="s">
        <v>5</v>
      </c>
      <c r="C1608" s="14"/>
      <c r="D1608" s="31"/>
      <c r="E1608" s="15">
        <f t="shared" si="210"/>
        <v>0</v>
      </c>
      <c r="G1608" s="25" t="s">
        <v>5</v>
      </c>
      <c r="H1608" s="14"/>
      <c r="I1608" s="31"/>
      <c r="J1608" s="15">
        <f t="shared" si="211"/>
        <v>0</v>
      </c>
    </row>
    <row r="1609" spans="2:10" x14ac:dyDescent="0.15">
      <c r="B1609" s="25" t="s">
        <v>5</v>
      </c>
      <c r="C1609" s="14"/>
      <c r="D1609" s="31"/>
      <c r="E1609" s="15">
        <f t="shared" si="210"/>
        <v>0</v>
      </c>
      <c r="G1609" s="25" t="s">
        <v>5</v>
      </c>
      <c r="H1609" s="14"/>
      <c r="I1609" s="31"/>
      <c r="J1609" s="15">
        <f t="shared" si="211"/>
        <v>0</v>
      </c>
    </row>
    <row r="1610" spans="2:10" ht="14.25" thickBot="1" x14ac:dyDescent="0.2">
      <c r="B1610" s="25" t="s">
        <v>5</v>
      </c>
      <c r="C1610" s="92"/>
      <c r="D1610" s="93"/>
      <c r="E1610" s="94">
        <f t="shared" si="210"/>
        <v>0</v>
      </c>
      <c r="G1610" s="25" t="s">
        <v>5</v>
      </c>
      <c r="H1610" s="92"/>
      <c r="I1610" s="93"/>
      <c r="J1610" s="94">
        <f t="shared" si="211"/>
        <v>0</v>
      </c>
    </row>
    <row r="1611" spans="2:10" ht="14.25" thickBot="1" x14ac:dyDescent="0.2">
      <c r="B1611" s="8" t="s">
        <v>1</v>
      </c>
      <c r="C1611" s="10">
        <f>SUM(C1605:C1610)</f>
        <v>185</v>
      </c>
      <c r="D1611" s="32">
        <f>SUM(D1605:D1610)</f>
        <v>407</v>
      </c>
      <c r="E1611" s="11">
        <f t="shared" si="210"/>
        <v>592</v>
      </c>
      <c r="G1611" s="8" t="s">
        <v>1</v>
      </c>
      <c r="H1611" s="10">
        <f>SUM(H1605:H1610)</f>
        <v>2000</v>
      </c>
      <c r="I1611" s="32">
        <f>SUM(I1605:I1610)</f>
        <v>1600</v>
      </c>
      <c r="J1611" s="11">
        <f>SUM(J1605:J1610)</f>
        <v>3600</v>
      </c>
    </row>
    <row r="1612" spans="2:10" x14ac:dyDescent="0.15">
      <c r="B1612" s="5" t="s">
        <v>263</v>
      </c>
      <c r="C1612" s="14"/>
      <c r="D1612" s="31">
        <v>1</v>
      </c>
      <c r="E1612" s="15">
        <f t="shared" si="210"/>
        <v>1</v>
      </c>
      <c r="F1612" s="61">
        <v>45537</v>
      </c>
      <c r="G1612" s="25"/>
      <c r="H1612" s="14"/>
      <c r="I1612" s="31"/>
      <c r="J1612" s="15">
        <f t="shared" ref="J1612:J1637" si="212">H1612+I1612</f>
        <v>0</v>
      </c>
    </row>
    <row r="1613" spans="2:10" x14ac:dyDescent="0.15">
      <c r="B1613" s="5" t="s">
        <v>263</v>
      </c>
      <c r="C1613" s="14">
        <v>2</v>
      </c>
      <c r="D1613" s="31"/>
      <c r="E1613" s="15">
        <f t="shared" si="210"/>
        <v>2</v>
      </c>
      <c r="F1613" s="61">
        <v>45539</v>
      </c>
      <c r="G1613" s="25"/>
      <c r="H1613" s="14"/>
      <c r="I1613" s="31"/>
      <c r="J1613" s="15">
        <f t="shared" si="212"/>
        <v>0</v>
      </c>
    </row>
    <row r="1614" spans="2:10" x14ac:dyDescent="0.15">
      <c r="B1614" s="5" t="s">
        <v>263</v>
      </c>
      <c r="C1614" s="14">
        <f>1+1</f>
        <v>2</v>
      </c>
      <c r="D1614" s="31">
        <f>1+2</f>
        <v>3</v>
      </c>
      <c r="E1614" s="15">
        <f t="shared" si="210"/>
        <v>5</v>
      </c>
      <c r="F1614" s="61">
        <v>45540</v>
      </c>
      <c r="G1614" s="25"/>
      <c r="H1614" s="14"/>
      <c r="I1614" s="31"/>
      <c r="J1614" s="15">
        <f t="shared" si="212"/>
        <v>0</v>
      </c>
    </row>
    <row r="1615" spans="2:10" x14ac:dyDescent="0.15">
      <c r="B1615" s="25" t="s">
        <v>429</v>
      </c>
      <c r="C1615" s="14"/>
      <c r="D1615" s="31">
        <v>10</v>
      </c>
      <c r="E1615" s="15">
        <f t="shared" si="210"/>
        <v>10</v>
      </c>
      <c r="F1615" s="61">
        <v>45540</v>
      </c>
      <c r="G1615" s="25"/>
      <c r="H1615" s="14"/>
      <c r="I1615" s="31"/>
      <c r="J1615" s="15">
        <f t="shared" si="212"/>
        <v>0</v>
      </c>
    </row>
    <row r="1616" spans="2:10" x14ac:dyDescent="0.15">
      <c r="B1616" s="5" t="s">
        <v>263</v>
      </c>
      <c r="C1616" s="14">
        <v>1</v>
      </c>
      <c r="D1616" s="31"/>
      <c r="E1616" s="15">
        <f t="shared" si="210"/>
        <v>1</v>
      </c>
      <c r="F1616" s="61">
        <v>45542</v>
      </c>
      <c r="G1616" s="25"/>
      <c r="H1616" s="14"/>
      <c r="I1616" s="31"/>
      <c r="J1616" s="15">
        <f t="shared" si="212"/>
        <v>0</v>
      </c>
    </row>
    <row r="1617" spans="2:10" x14ac:dyDescent="0.15">
      <c r="B1617" s="5" t="s">
        <v>263</v>
      </c>
      <c r="C1617" s="14">
        <v>1</v>
      </c>
      <c r="D1617" s="31">
        <v>1</v>
      </c>
      <c r="E1617" s="15">
        <f t="shared" si="210"/>
        <v>2</v>
      </c>
      <c r="F1617" s="61">
        <v>45546</v>
      </c>
      <c r="G1617" s="25"/>
      <c r="H1617" s="14"/>
      <c r="I1617" s="31"/>
      <c r="J1617" s="15">
        <f t="shared" si="212"/>
        <v>0</v>
      </c>
    </row>
    <row r="1618" spans="2:10" x14ac:dyDescent="0.15">
      <c r="B1618" s="5" t="s">
        <v>263</v>
      </c>
      <c r="C1618" s="14">
        <v>1</v>
      </c>
      <c r="D1618" s="31">
        <v>1</v>
      </c>
      <c r="E1618" s="15">
        <f t="shared" si="210"/>
        <v>2</v>
      </c>
      <c r="F1618" s="61">
        <v>45555</v>
      </c>
      <c r="G1618" s="25"/>
      <c r="H1618" s="14"/>
      <c r="I1618" s="31"/>
      <c r="J1618" s="15">
        <f t="shared" si="212"/>
        <v>0</v>
      </c>
    </row>
    <row r="1619" spans="2:10" x14ac:dyDescent="0.15">
      <c r="B1619" s="25" t="s">
        <v>429</v>
      </c>
      <c r="C1619" s="14">
        <v>20</v>
      </c>
      <c r="D1619" s="31"/>
      <c r="E1619" s="15">
        <f t="shared" si="210"/>
        <v>20</v>
      </c>
      <c r="F1619" s="61">
        <v>45556</v>
      </c>
      <c r="G1619" s="25"/>
      <c r="H1619" s="14"/>
      <c r="I1619" s="31"/>
      <c r="J1619" s="15">
        <f t="shared" si="212"/>
        <v>0</v>
      </c>
    </row>
    <row r="1620" spans="2:10" x14ac:dyDescent="0.15">
      <c r="B1620" s="5" t="s">
        <v>540</v>
      </c>
      <c r="C1620" s="14">
        <v>2</v>
      </c>
      <c r="D1620" s="31"/>
      <c r="E1620" s="15">
        <f t="shared" si="210"/>
        <v>2</v>
      </c>
      <c r="F1620" s="61">
        <v>45560</v>
      </c>
      <c r="G1620" s="25"/>
      <c r="H1620" s="14"/>
      <c r="I1620" s="31"/>
      <c r="J1620" s="15">
        <f t="shared" si="212"/>
        <v>0</v>
      </c>
    </row>
    <row r="1621" spans="2:10" x14ac:dyDescent="0.15">
      <c r="B1621" s="5" t="s">
        <v>263</v>
      </c>
      <c r="C1621" s="14">
        <v>3</v>
      </c>
      <c r="D1621" s="31"/>
      <c r="E1621" s="15">
        <f t="shared" si="210"/>
        <v>3</v>
      </c>
      <c r="F1621" s="61">
        <v>45559</v>
      </c>
      <c r="G1621" s="25"/>
      <c r="H1621" s="14"/>
      <c r="I1621" s="31"/>
      <c r="J1621" s="15">
        <f t="shared" si="212"/>
        <v>0</v>
      </c>
    </row>
    <row r="1622" spans="2:10" x14ac:dyDescent="0.15">
      <c r="B1622" s="5" t="s">
        <v>263</v>
      </c>
      <c r="C1622" s="14">
        <v>1</v>
      </c>
      <c r="D1622" s="31">
        <v>1</v>
      </c>
      <c r="E1622" s="15">
        <f t="shared" si="210"/>
        <v>2</v>
      </c>
      <c r="F1622" s="61">
        <v>45559</v>
      </c>
      <c r="G1622" s="25"/>
      <c r="H1622" s="14"/>
      <c r="I1622" s="31"/>
      <c r="J1622" s="15">
        <f t="shared" si="212"/>
        <v>0</v>
      </c>
    </row>
    <row r="1623" spans="2:10" x14ac:dyDescent="0.15">
      <c r="B1623" s="5" t="s">
        <v>263</v>
      </c>
      <c r="C1623" s="14">
        <v>1</v>
      </c>
      <c r="D1623" s="31">
        <v>1</v>
      </c>
      <c r="E1623" s="15">
        <f t="shared" ref="E1623" si="213">C1623+D1623</f>
        <v>2</v>
      </c>
      <c r="F1623" s="61">
        <v>45573</v>
      </c>
      <c r="G1623" s="25"/>
      <c r="H1623" s="14"/>
      <c r="I1623" s="31"/>
      <c r="J1623" s="15">
        <f t="shared" si="212"/>
        <v>0</v>
      </c>
    </row>
    <row r="1624" spans="2:10" x14ac:dyDescent="0.15">
      <c r="B1624" s="5" t="s">
        <v>263</v>
      </c>
      <c r="C1624" s="14">
        <v>3</v>
      </c>
      <c r="D1624" s="31"/>
      <c r="E1624" s="15">
        <f t="shared" si="210"/>
        <v>3</v>
      </c>
      <c r="F1624" s="61">
        <v>45576</v>
      </c>
      <c r="G1624" s="25"/>
      <c r="H1624" s="14"/>
      <c r="I1624" s="31"/>
      <c r="J1624" s="15">
        <f t="shared" si="212"/>
        <v>0</v>
      </c>
    </row>
    <row r="1625" spans="2:10" x14ac:dyDescent="0.15">
      <c r="B1625" s="25" t="s">
        <v>540</v>
      </c>
      <c r="C1625" s="14">
        <v>3</v>
      </c>
      <c r="D1625" s="31"/>
      <c r="E1625" s="15">
        <f t="shared" si="210"/>
        <v>3</v>
      </c>
      <c r="F1625" s="61">
        <v>45581</v>
      </c>
      <c r="G1625" s="25"/>
      <c r="H1625" s="14"/>
      <c r="I1625" s="31"/>
      <c r="J1625" s="15">
        <f t="shared" si="212"/>
        <v>0</v>
      </c>
    </row>
    <row r="1626" spans="2:10" x14ac:dyDescent="0.15">
      <c r="B1626" s="5" t="s">
        <v>263</v>
      </c>
      <c r="C1626" s="14">
        <v>2</v>
      </c>
      <c r="D1626" s="31">
        <v>3</v>
      </c>
      <c r="E1626" s="15">
        <f t="shared" si="210"/>
        <v>5</v>
      </c>
      <c r="F1626" s="61">
        <v>45580</v>
      </c>
      <c r="G1626" s="25"/>
      <c r="H1626" s="14"/>
      <c r="I1626" s="31"/>
      <c r="J1626" s="15">
        <f t="shared" si="212"/>
        <v>0</v>
      </c>
    </row>
    <row r="1627" spans="2:10" x14ac:dyDescent="0.15">
      <c r="B1627" s="5" t="s">
        <v>263</v>
      </c>
      <c r="C1627" s="14">
        <v>3</v>
      </c>
      <c r="D1627" s="31"/>
      <c r="E1627" s="15">
        <f t="shared" si="210"/>
        <v>3</v>
      </c>
      <c r="F1627" s="61">
        <v>45581</v>
      </c>
      <c r="G1627" s="25"/>
      <c r="H1627" s="14"/>
      <c r="I1627" s="31"/>
      <c r="J1627" s="15">
        <f t="shared" si="212"/>
        <v>0</v>
      </c>
    </row>
    <row r="1628" spans="2:10" x14ac:dyDescent="0.15">
      <c r="B1628" s="25" t="s">
        <v>429</v>
      </c>
      <c r="C1628" s="14">
        <v>20</v>
      </c>
      <c r="D1628" s="31">
        <v>10</v>
      </c>
      <c r="E1628" s="15">
        <f t="shared" si="210"/>
        <v>30</v>
      </c>
      <c r="F1628" s="61">
        <v>45582</v>
      </c>
      <c r="G1628" s="25"/>
      <c r="H1628" s="14"/>
      <c r="I1628" s="31"/>
      <c r="J1628" s="15">
        <f t="shared" si="212"/>
        <v>0</v>
      </c>
    </row>
    <row r="1629" spans="2:10" x14ac:dyDescent="0.15">
      <c r="B1629" s="5" t="s">
        <v>263</v>
      </c>
      <c r="C1629" s="14"/>
      <c r="D1629" s="31">
        <v>2</v>
      </c>
      <c r="E1629" s="15">
        <f t="shared" si="210"/>
        <v>2</v>
      </c>
      <c r="F1629" s="61">
        <v>45583</v>
      </c>
      <c r="G1629" s="25"/>
      <c r="H1629" s="14"/>
      <c r="I1629" s="31"/>
      <c r="J1629" s="15">
        <f t="shared" si="212"/>
        <v>0</v>
      </c>
    </row>
    <row r="1630" spans="2:10" x14ac:dyDescent="0.15">
      <c r="B1630" s="25" t="s">
        <v>540</v>
      </c>
      <c r="C1630" s="14">
        <v>2</v>
      </c>
      <c r="D1630" s="31">
        <v>2</v>
      </c>
      <c r="E1630" s="15">
        <f t="shared" si="210"/>
        <v>4</v>
      </c>
      <c r="F1630" s="61">
        <v>45597</v>
      </c>
      <c r="G1630" s="25"/>
      <c r="H1630" s="14"/>
      <c r="I1630" s="31"/>
      <c r="J1630" s="15">
        <f t="shared" si="212"/>
        <v>0</v>
      </c>
    </row>
    <row r="1631" spans="2:10" x14ac:dyDescent="0.15">
      <c r="B1631" s="5" t="s">
        <v>263</v>
      </c>
      <c r="C1631" s="14"/>
      <c r="D1631" s="31">
        <v>1</v>
      </c>
      <c r="E1631" s="15">
        <f t="shared" si="210"/>
        <v>1</v>
      </c>
      <c r="F1631" s="61">
        <v>45602</v>
      </c>
      <c r="G1631" s="25"/>
      <c r="H1631" s="14"/>
      <c r="I1631" s="31"/>
      <c r="J1631" s="15">
        <f t="shared" si="212"/>
        <v>0</v>
      </c>
    </row>
    <row r="1632" spans="2:10" x14ac:dyDescent="0.15">
      <c r="B1632" s="25" t="s">
        <v>540</v>
      </c>
      <c r="C1632" s="14">
        <v>1</v>
      </c>
      <c r="D1632" s="31">
        <v>2</v>
      </c>
      <c r="E1632" s="15">
        <f t="shared" si="210"/>
        <v>3</v>
      </c>
      <c r="F1632" s="61">
        <v>45604</v>
      </c>
      <c r="G1632" s="25"/>
      <c r="H1632" s="14"/>
      <c r="I1632" s="31"/>
      <c r="J1632" s="15">
        <f t="shared" si="212"/>
        <v>0</v>
      </c>
    </row>
    <row r="1633" spans="2:10" x14ac:dyDescent="0.15">
      <c r="B1633" s="5" t="s">
        <v>263</v>
      </c>
      <c r="C1633" s="14">
        <v>1</v>
      </c>
      <c r="D1633" s="31">
        <v>2</v>
      </c>
      <c r="E1633" s="15">
        <f t="shared" si="210"/>
        <v>3</v>
      </c>
      <c r="F1633" s="61">
        <v>45604</v>
      </c>
      <c r="G1633" s="25"/>
      <c r="H1633" s="14"/>
      <c r="I1633" s="31"/>
      <c r="J1633" s="15">
        <f t="shared" si="212"/>
        <v>0</v>
      </c>
    </row>
    <row r="1634" spans="2:10" x14ac:dyDescent="0.15">
      <c r="B1634" s="5" t="s">
        <v>263</v>
      </c>
      <c r="C1634" s="14">
        <v>2</v>
      </c>
      <c r="D1634" s="31"/>
      <c r="E1634" s="15">
        <f t="shared" si="210"/>
        <v>2</v>
      </c>
      <c r="F1634" s="61">
        <v>45612</v>
      </c>
      <c r="G1634" s="25"/>
      <c r="H1634" s="14"/>
      <c r="I1634" s="31"/>
      <c r="J1634" s="15">
        <f t="shared" si="212"/>
        <v>0</v>
      </c>
    </row>
    <row r="1635" spans="2:10" x14ac:dyDescent="0.15">
      <c r="B1635" s="5" t="s">
        <v>263</v>
      </c>
      <c r="C1635" s="14">
        <v>4</v>
      </c>
      <c r="D1635" s="31">
        <v>1</v>
      </c>
      <c r="E1635" s="15">
        <f t="shared" si="210"/>
        <v>5</v>
      </c>
      <c r="F1635" s="61">
        <v>45614</v>
      </c>
      <c r="G1635" s="25"/>
      <c r="H1635" s="14"/>
      <c r="I1635" s="31"/>
      <c r="J1635" s="15">
        <f t="shared" si="212"/>
        <v>0</v>
      </c>
    </row>
    <row r="1636" spans="2:10" ht="14.25" thickBot="1" x14ac:dyDescent="0.2">
      <c r="B1636" s="25" t="s">
        <v>540</v>
      </c>
      <c r="C1636" s="14"/>
      <c r="D1636" s="31">
        <v>2</v>
      </c>
      <c r="E1636" s="15">
        <f t="shared" si="210"/>
        <v>2</v>
      </c>
      <c r="F1636" s="61">
        <v>45615</v>
      </c>
      <c r="G1636" s="25"/>
      <c r="H1636" s="14"/>
      <c r="I1636" s="31"/>
      <c r="J1636" s="15">
        <f t="shared" si="212"/>
        <v>0</v>
      </c>
    </row>
    <row r="1637" spans="2:10" ht="14.25" thickBot="1" x14ac:dyDescent="0.2">
      <c r="B1637" s="8" t="s">
        <v>2</v>
      </c>
      <c r="C1637" s="10">
        <f>SUM(C1612:C1636)</f>
        <v>75</v>
      </c>
      <c r="D1637" s="32">
        <f>SUM(D1612:D1636)</f>
        <v>43</v>
      </c>
      <c r="E1637" s="11">
        <f>C1637+D1637</f>
        <v>118</v>
      </c>
      <c r="G1637" s="8" t="s">
        <v>2</v>
      </c>
      <c r="H1637" s="10">
        <f>SUM(H1612:H1636)</f>
        <v>0</v>
      </c>
      <c r="I1637" s="32">
        <f>SUM(I1612:I1636)</f>
        <v>0</v>
      </c>
      <c r="J1637" s="11">
        <f t="shared" si="212"/>
        <v>0</v>
      </c>
    </row>
    <row r="1638" spans="2:10" ht="14.25" thickBot="1" x14ac:dyDescent="0.2">
      <c r="B1638" s="52" t="s">
        <v>3</v>
      </c>
      <c r="C1638" s="53">
        <f>+C1611-C1637</f>
        <v>110</v>
      </c>
      <c r="D1638" s="54">
        <f>+D1611-D1637</f>
        <v>364</v>
      </c>
      <c r="E1638" s="55">
        <f>C1638+D1638</f>
        <v>474</v>
      </c>
      <c r="G1638" s="52" t="s">
        <v>3</v>
      </c>
      <c r="H1638" s="87">
        <f>+H1611-H1637</f>
        <v>2000</v>
      </c>
      <c r="I1638" s="97">
        <f>+I1611-I1637</f>
        <v>1600</v>
      </c>
      <c r="J1638" s="95">
        <f>+J1611-J1637</f>
        <v>3600</v>
      </c>
    </row>
    <row r="1640" spans="2:10" ht="21" x14ac:dyDescent="0.2">
      <c r="B1640" s="76" t="s">
        <v>150</v>
      </c>
      <c r="G1640" s="75" t="s">
        <v>149</v>
      </c>
    </row>
    <row r="1641" spans="2:10" ht="18.75" x14ac:dyDescent="0.2">
      <c r="B1641" s="3" t="s">
        <v>11</v>
      </c>
      <c r="E1641" s="71"/>
      <c r="G1641" s="3" t="s">
        <v>11</v>
      </c>
    </row>
    <row r="1642" spans="2:10" ht="14.25" thickBot="1" x14ac:dyDescent="0.2">
      <c r="G1642" s="1"/>
    </row>
    <row r="1643" spans="2:10" ht="14.25" thickBot="1" x14ac:dyDescent="0.2">
      <c r="B1643" s="7"/>
      <c r="C1643" s="67"/>
      <c r="D1643" s="68"/>
      <c r="E1643" s="69"/>
      <c r="G1643" s="7"/>
      <c r="H1643" s="67"/>
      <c r="I1643" s="68"/>
      <c r="J1643" s="69"/>
    </row>
    <row r="1644" spans="2:10" ht="14.25" thickBot="1" x14ac:dyDescent="0.2">
      <c r="B1644" s="8"/>
      <c r="C1644" s="40" t="s">
        <v>7</v>
      </c>
      <c r="D1644" s="29" t="s">
        <v>9</v>
      </c>
      <c r="E1644" s="9" t="s">
        <v>0</v>
      </c>
      <c r="G1644" s="8"/>
      <c r="H1644" s="40" t="s">
        <v>7</v>
      </c>
      <c r="I1644" s="29" t="s">
        <v>9</v>
      </c>
      <c r="J1644" s="9" t="s">
        <v>0</v>
      </c>
    </row>
    <row r="1645" spans="2:10" x14ac:dyDescent="0.15">
      <c r="B1645" s="16" t="s">
        <v>4</v>
      </c>
      <c r="C1645" s="17">
        <f>C1638</f>
        <v>110</v>
      </c>
      <c r="D1645" s="35">
        <f>D1638</f>
        <v>364</v>
      </c>
      <c r="E1645" s="18">
        <f t="shared" ref="E1645:E1676" si="214">C1645+D1645</f>
        <v>474</v>
      </c>
      <c r="G1645" s="16" t="s">
        <v>4</v>
      </c>
      <c r="H1645" s="89">
        <f>H1638</f>
        <v>2000</v>
      </c>
      <c r="I1645" s="90">
        <f>I1638</f>
        <v>1600</v>
      </c>
      <c r="J1645" s="96">
        <f>J1638</f>
        <v>3600</v>
      </c>
    </row>
    <row r="1646" spans="2:10" x14ac:dyDescent="0.15">
      <c r="B1646" s="25" t="s">
        <v>5</v>
      </c>
      <c r="C1646" s="14">
        <v>400</v>
      </c>
      <c r="D1646" s="31"/>
      <c r="E1646" s="15">
        <f t="shared" si="214"/>
        <v>400</v>
      </c>
      <c r="F1646" s="61">
        <v>45647</v>
      </c>
      <c r="G1646" s="25" t="s">
        <v>5</v>
      </c>
      <c r="H1646" s="14"/>
      <c r="I1646" s="31"/>
      <c r="J1646" s="15">
        <f t="shared" ref="J1646:J1650" si="215">H1646+I1646</f>
        <v>0</v>
      </c>
    </row>
    <row r="1647" spans="2:10" x14ac:dyDescent="0.15">
      <c r="B1647" s="25" t="s">
        <v>5</v>
      </c>
      <c r="C1647" s="14"/>
      <c r="D1647" s="31"/>
      <c r="E1647" s="15">
        <f t="shared" si="214"/>
        <v>0</v>
      </c>
      <c r="G1647" s="25" t="s">
        <v>5</v>
      </c>
      <c r="H1647" s="14"/>
      <c r="I1647" s="31"/>
      <c r="J1647" s="15">
        <f t="shared" si="215"/>
        <v>0</v>
      </c>
    </row>
    <row r="1648" spans="2:10" x14ac:dyDescent="0.15">
      <c r="B1648" s="25" t="s">
        <v>5</v>
      </c>
      <c r="C1648" s="14"/>
      <c r="D1648" s="31"/>
      <c r="E1648" s="15">
        <f t="shared" si="214"/>
        <v>0</v>
      </c>
      <c r="G1648" s="25" t="s">
        <v>5</v>
      </c>
      <c r="H1648" s="14"/>
      <c r="I1648" s="31"/>
      <c r="J1648" s="15">
        <f t="shared" si="215"/>
        <v>0</v>
      </c>
    </row>
    <row r="1649" spans="2:11" x14ac:dyDescent="0.15">
      <c r="B1649" s="25" t="s">
        <v>5</v>
      </c>
      <c r="C1649" s="14"/>
      <c r="D1649" s="31"/>
      <c r="E1649" s="15">
        <f t="shared" si="214"/>
        <v>0</v>
      </c>
      <c r="G1649" s="25" t="s">
        <v>5</v>
      </c>
      <c r="H1649" s="14"/>
      <c r="I1649" s="31"/>
      <c r="J1649" s="15">
        <f t="shared" si="215"/>
        <v>0</v>
      </c>
    </row>
    <row r="1650" spans="2:11" ht="14.25" thickBot="1" x14ac:dyDescent="0.2">
      <c r="B1650" s="25" t="s">
        <v>5</v>
      </c>
      <c r="C1650" s="92"/>
      <c r="D1650" s="93"/>
      <c r="E1650" s="94">
        <f t="shared" si="214"/>
        <v>0</v>
      </c>
      <c r="G1650" s="25" t="s">
        <v>5</v>
      </c>
      <c r="H1650" s="92"/>
      <c r="I1650" s="93"/>
      <c r="J1650" s="94">
        <f t="shared" si="215"/>
        <v>0</v>
      </c>
    </row>
    <row r="1651" spans="2:11" ht="14.25" thickBot="1" x14ac:dyDescent="0.2">
      <c r="B1651" s="8" t="s">
        <v>1</v>
      </c>
      <c r="C1651" s="10">
        <f>SUM(C1645:C1650)</f>
        <v>510</v>
      </c>
      <c r="D1651" s="32">
        <f>SUM(D1645:D1650)</f>
        <v>364</v>
      </c>
      <c r="E1651" s="11">
        <f t="shared" si="214"/>
        <v>874</v>
      </c>
      <c r="G1651" s="8" t="s">
        <v>1</v>
      </c>
      <c r="H1651" s="10">
        <f>SUM(H1645:H1650)</f>
        <v>2000</v>
      </c>
      <c r="I1651" s="32">
        <f>SUM(I1645:I1650)</f>
        <v>1600</v>
      </c>
      <c r="J1651" s="11">
        <f>SUM(J1645:J1650)</f>
        <v>3600</v>
      </c>
    </row>
    <row r="1652" spans="2:11" x14ac:dyDescent="0.15">
      <c r="B1652" s="25" t="s">
        <v>429</v>
      </c>
      <c r="C1652" s="14">
        <v>30</v>
      </c>
      <c r="D1652" s="31">
        <v>20</v>
      </c>
      <c r="E1652" s="15">
        <f t="shared" ref="E1652:E1669" si="216">C1652+D1652</f>
        <v>50</v>
      </c>
      <c r="F1652" s="61">
        <v>45616</v>
      </c>
      <c r="G1652" s="25" t="s">
        <v>560</v>
      </c>
      <c r="H1652" s="14">
        <v>400</v>
      </c>
      <c r="I1652" s="31"/>
      <c r="J1652" s="15">
        <f t="shared" ref="J1652:J1677" si="217">H1652+I1652</f>
        <v>400</v>
      </c>
      <c r="K1652" s="61">
        <v>45647</v>
      </c>
    </row>
    <row r="1653" spans="2:11" x14ac:dyDescent="0.15">
      <c r="B1653" s="25" t="s">
        <v>263</v>
      </c>
      <c r="C1653" s="14">
        <v>5</v>
      </c>
      <c r="D1653" s="31"/>
      <c r="E1653" s="15">
        <f t="shared" si="216"/>
        <v>5</v>
      </c>
      <c r="F1653" s="61">
        <v>45615</v>
      </c>
      <c r="G1653" s="25"/>
      <c r="H1653" s="14"/>
      <c r="I1653" s="31"/>
      <c r="J1653" s="15">
        <f t="shared" si="217"/>
        <v>0</v>
      </c>
    </row>
    <row r="1654" spans="2:11" x14ac:dyDescent="0.15">
      <c r="B1654" s="25" t="s">
        <v>263</v>
      </c>
      <c r="C1654" s="14"/>
      <c r="D1654" s="31">
        <v>1</v>
      </c>
      <c r="E1654" s="15">
        <f t="shared" si="216"/>
        <v>1</v>
      </c>
      <c r="F1654" s="61">
        <v>45618</v>
      </c>
      <c r="G1654" s="25"/>
      <c r="H1654" s="14"/>
      <c r="I1654" s="31"/>
      <c r="J1654" s="15">
        <f t="shared" si="217"/>
        <v>0</v>
      </c>
    </row>
    <row r="1655" spans="2:11" x14ac:dyDescent="0.15">
      <c r="B1655" s="25" t="s">
        <v>263</v>
      </c>
      <c r="C1655" s="14">
        <v>1</v>
      </c>
      <c r="D1655" s="31">
        <v>1</v>
      </c>
      <c r="E1655" s="15">
        <f t="shared" si="216"/>
        <v>2</v>
      </c>
      <c r="F1655" s="61">
        <v>45618</v>
      </c>
      <c r="G1655" s="25"/>
      <c r="H1655" s="14"/>
      <c r="I1655" s="31"/>
      <c r="J1655" s="15">
        <f t="shared" si="217"/>
        <v>0</v>
      </c>
    </row>
    <row r="1656" spans="2:11" x14ac:dyDescent="0.15">
      <c r="B1656" s="25" t="s">
        <v>263</v>
      </c>
      <c r="C1656" s="14">
        <v>2</v>
      </c>
      <c r="D1656" s="31">
        <v>2</v>
      </c>
      <c r="E1656" s="15">
        <f t="shared" si="216"/>
        <v>4</v>
      </c>
      <c r="F1656" s="61">
        <v>45621</v>
      </c>
      <c r="G1656" s="25"/>
      <c r="H1656" s="14"/>
      <c r="I1656" s="31"/>
      <c r="J1656" s="15">
        <f t="shared" si="217"/>
        <v>0</v>
      </c>
    </row>
    <row r="1657" spans="2:11" x14ac:dyDescent="0.15">
      <c r="B1657" s="25" t="s">
        <v>263</v>
      </c>
      <c r="C1657" s="14"/>
      <c r="D1657" s="31">
        <v>1</v>
      </c>
      <c r="E1657" s="15">
        <f t="shared" si="216"/>
        <v>1</v>
      </c>
      <c r="F1657" s="61">
        <v>45622</v>
      </c>
      <c r="G1657" s="25"/>
      <c r="H1657" s="14"/>
      <c r="I1657" s="31"/>
      <c r="J1657" s="15">
        <f t="shared" si="217"/>
        <v>0</v>
      </c>
    </row>
    <row r="1658" spans="2:11" x14ac:dyDescent="0.15">
      <c r="B1658" s="25" t="s">
        <v>263</v>
      </c>
      <c r="C1658" s="14"/>
      <c r="D1658" s="31">
        <v>1</v>
      </c>
      <c r="E1658" s="15">
        <f t="shared" si="216"/>
        <v>1</v>
      </c>
      <c r="F1658" s="61">
        <v>45629</v>
      </c>
      <c r="G1658" s="25"/>
      <c r="H1658" s="14"/>
      <c r="I1658" s="31"/>
      <c r="J1658" s="15">
        <f t="shared" si="217"/>
        <v>0</v>
      </c>
    </row>
    <row r="1659" spans="2:11" x14ac:dyDescent="0.15">
      <c r="B1659" s="25" t="s">
        <v>263</v>
      </c>
      <c r="C1659" s="14">
        <v>1</v>
      </c>
      <c r="D1659" s="31"/>
      <c r="E1659" s="15">
        <f t="shared" si="216"/>
        <v>1</v>
      </c>
      <c r="F1659" s="61">
        <v>45631</v>
      </c>
      <c r="G1659" s="25"/>
      <c r="H1659" s="14"/>
      <c r="I1659" s="31"/>
      <c r="J1659" s="15">
        <f t="shared" si="217"/>
        <v>0</v>
      </c>
    </row>
    <row r="1660" spans="2:11" x14ac:dyDescent="0.15">
      <c r="B1660" s="25" t="s">
        <v>540</v>
      </c>
      <c r="C1660" s="14">
        <v>3</v>
      </c>
      <c r="D1660" s="31"/>
      <c r="E1660" s="15">
        <f t="shared" si="216"/>
        <v>3</v>
      </c>
      <c r="F1660" s="61">
        <v>45633</v>
      </c>
      <c r="G1660" s="25"/>
      <c r="H1660" s="14"/>
      <c r="I1660" s="31"/>
      <c r="J1660" s="15">
        <f t="shared" si="217"/>
        <v>0</v>
      </c>
    </row>
    <row r="1661" spans="2:11" x14ac:dyDescent="0.15">
      <c r="B1661" s="25" t="s">
        <v>263</v>
      </c>
      <c r="C1661" s="14">
        <v>2</v>
      </c>
      <c r="D1661" s="31">
        <v>2</v>
      </c>
      <c r="E1661" s="15">
        <f t="shared" si="216"/>
        <v>4</v>
      </c>
      <c r="F1661" s="61">
        <v>45633</v>
      </c>
      <c r="G1661" s="25"/>
      <c r="H1661" s="14"/>
      <c r="I1661" s="31"/>
      <c r="J1661" s="15">
        <f t="shared" si="217"/>
        <v>0</v>
      </c>
    </row>
    <row r="1662" spans="2:11" x14ac:dyDescent="0.15">
      <c r="B1662" s="25" t="s">
        <v>263</v>
      </c>
      <c r="C1662" s="14"/>
      <c r="D1662" s="31">
        <v>1</v>
      </c>
      <c r="E1662" s="15">
        <f t="shared" si="216"/>
        <v>1</v>
      </c>
      <c r="F1662" s="61">
        <v>45635</v>
      </c>
      <c r="G1662" s="25"/>
      <c r="H1662" s="14"/>
      <c r="I1662" s="31"/>
      <c r="J1662" s="15">
        <f t="shared" si="217"/>
        <v>0</v>
      </c>
    </row>
    <row r="1663" spans="2:11" x14ac:dyDescent="0.15">
      <c r="B1663" s="25" t="s">
        <v>559</v>
      </c>
      <c r="C1663" s="14">
        <v>30</v>
      </c>
      <c r="D1663" s="31"/>
      <c r="E1663" s="15">
        <f t="shared" si="216"/>
        <v>30</v>
      </c>
      <c r="F1663" s="61">
        <v>45636</v>
      </c>
      <c r="G1663" s="25"/>
      <c r="H1663" s="14"/>
      <c r="I1663" s="31"/>
      <c r="J1663" s="15">
        <f t="shared" si="217"/>
        <v>0</v>
      </c>
    </row>
    <row r="1664" spans="2:11" x14ac:dyDescent="0.15">
      <c r="B1664" s="25" t="s">
        <v>263</v>
      </c>
      <c r="C1664" s="14">
        <v>2</v>
      </c>
      <c r="D1664" s="31"/>
      <c r="E1664" s="15">
        <f t="shared" si="216"/>
        <v>2</v>
      </c>
      <c r="F1664" s="61">
        <v>45637</v>
      </c>
      <c r="G1664" s="25"/>
      <c r="H1664" s="14"/>
      <c r="I1664" s="31"/>
      <c r="J1664" s="15">
        <f t="shared" si="217"/>
        <v>0</v>
      </c>
    </row>
    <row r="1665" spans="2:10" x14ac:dyDescent="0.15">
      <c r="B1665" s="25" t="s">
        <v>540</v>
      </c>
      <c r="C1665" s="14">
        <v>3</v>
      </c>
      <c r="D1665" s="31"/>
      <c r="E1665" s="15">
        <f t="shared" si="216"/>
        <v>3</v>
      </c>
      <c r="F1665" s="61">
        <v>45643</v>
      </c>
      <c r="G1665" s="25"/>
      <c r="H1665" s="14"/>
      <c r="I1665" s="31"/>
      <c r="J1665" s="15">
        <f t="shared" si="217"/>
        <v>0</v>
      </c>
    </row>
    <row r="1666" spans="2:10" x14ac:dyDescent="0.15">
      <c r="B1666" s="25" t="s">
        <v>263</v>
      </c>
      <c r="C1666" s="14"/>
      <c r="D1666" s="31">
        <v>1</v>
      </c>
      <c r="E1666" s="15">
        <f t="shared" si="216"/>
        <v>1</v>
      </c>
      <c r="F1666" s="61">
        <v>45646</v>
      </c>
      <c r="G1666" s="25"/>
      <c r="H1666" s="14"/>
      <c r="I1666" s="31"/>
      <c r="J1666" s="15">
        <f t="shared" si="217"/>
        <v>0</v>
      </c>
    </row>
    <row r="1667" spans="2:10" x14ac:dyDescent="0.15">
      <c r="B1667" s="25" t="s">
        <v>263</v>
      </c>
      <c r="C1667" s="14"/>
      <c r="D1667" s="31">
        <v>1</v>
      </c>
      <c r="E1667" s="15">
        <f t="shared" si="216"/>
        <v>1</v>
      </c>
      <c r="F1667" s="61">
        <v>45647</v>
      </c>
      <c r="G1667" s="25"/>
      <c r="H1667" s="14"/>
      <c r="I1667" s="31"/>
      <c r="J1667" s="15">
        <f t="shared" si="217"/>
        <v>0</v>
      </c>
    </row>
    <row r="1668" spans="2:10" x14ac:dyDescent="0.15">
      <c r="B1668" s="25" t="s">
        <v>263</v>
      </c>
      <c r="C1668" s="14">
        <v>1</v>
      </c>
      <c r="D1668" s="31"/>
      <c r="E1668" s="15">
        <f t="shared" si="216"/>
        <v>1</v>
      </c>
      <c r="F1668" s="61">
        <v>45649</v>
      </c>
      <c r="G1668" s="25"/>
      <c r="H1668" s="14"/>
      <c r="I1668" s="31"/>
      <c r="J1668" s="15">
        <f t="shared" si="217"/>
        <v>0</v>
      </c>
    </row>
    <row r="1669" spans="2:10" x14ac:dyDescent="0.15">
      <c r="B1669" s="25" t="s">
        <v>263</v>
      </c>
      <c r="C1669" s="14"/>
      <c r="D1669" s="31">
        <v>1</v>
      </c>
      <c r="E1669" s="15">
        <f t="shared" si="216"/>
        <v>1</v>
      </c>
      <c r="F1669" s="61">
        <v>45652</v>
      </c>
      <c r="G1669" s="25"/>
      <c r="H1669" s="14"/>
      <c r="I1669" s="31"/>
      <c r="J1669" s="15">
        <f t="shared" si="217"/>
        <v>0</v>
      </c>
    </row>
    <row r="1670" spans="2:10" x14ac:dyDescent="0.15">
      <c r="B1670" s="25" t="s">
        <v>263</v>
      </c>
      <c r="C1670" s="14">
        <f>1+4</f>
        <v>5</v>
      </c>
      <c r="D1670" s="31">
        <v>1</v>
      </c>
      <c r="E1670" s="15">
        <f t="shared" si="214"/>
        <v>6</v>
      </c>
      <c r="F1670" s="61">
        <v>45663</v>
      </c>
      <c r="G1670" s="25"/>
      <c r="H1670" s="14"/>
      <c r="I1670" s="31"/>
      <c r="J1670" s="15">
        <f t="shared" si="217"/>
        <v>0</v>
      </c>
    </row>
    <row r="1671" spans="2:10" x14ac:dyDescent="0.15">
      <c r="B1671" s="25" t="s">
        <v>263</v>
      </c>
      <c r="C1671" s="14">
        <f>2+2</f>
        <v>4</v>
      </c>
      <c r="D1671" s="31">
        <v>3</v>
      </c>
      <c r="E1671" s="15">
        <f t="shared" si="214"/>
        <v>7</v>
      </c>
      <c r="F1671" s="61">
        <v>45664</v>
      </c>
      <c r="G1671" s="25"/>
      <c r="H1671" s="14"/>
      <c r="I1671" s="31"/>
      <c r="J1671" s="15">
        <f t="shared" si="217"/>
        <v>0</v>
      </c>
    </row>
    <row r="1672" spans="2:10" x14ac:dyDescent="0.15">
      <c r="B1672" s="25" t="s">
        <v>263</v>
      </c>
      <c r="C1672" s="14">
        <v>2</v>
      </c>
      <c r="D1672" s="31">
        <v>1</v>
      </c>
      <c r="E1672" s="15">
        <f t="shared" si="214"/>
        <v>3</v>
      </c>
      <c r="F1672" s="61">
        <v>45665</v>
      </c>
      <c r="G1672" s="25"/>
      <c r="H1672" s="14"/>
      <c r="I1672" s="31"/>
      <c r="J1672" s="15">
        <f t="shared" si="217"/>
        <v>0</v>
      </c>
    </row>
    <row r="1673" spans="2:10" x14ac:dyDescent="0.15">
      <c r="B1673" s="25" t="s">
        <v>540</v>
      </c>
      <c r="C1673" s="14">
        <v>4</v>
      </c>
      <c r="D1673" s="31"/>
      <c r="E1673" s="15">
        <f t="shared" si="214"/>
        <v>4</v>
      </c>
      <c r="F1673" s="61">
        <v>45666</v>
      </c>
      <c r="G1673" s="25"/>
      <c r="H1673" s="14"/>
      <c r="I1673" s="31"/>
      <c r="J1673" s="15">
        <f t="shared" si="217"/>
        <v>0</v>
      </c>
    </row>
    <row r="1674" spans="2:10" x14ac:dyDescent="0.15">
      <c r="B1674" s="25" t="s">
        <v>429</v>
      </c>
      <c r="C1674" s="14">
        <v>60</v>
      </c>
      <c r="D1674" s="31">
        <v>25</v>
      </c>
      <c r="E1674" s="15">
        <f t="shared" si="214"/>
        <v>85</v>
      </c>
      <c r="F1674" s="61">
        <v>45666</v>
      </c>
      <c r="G1674" s="25"/>
      <c r="H1674" s="14"/>
      <c r="I1674" s="31"/>
      <c r="J1674" s="15">
        <f t="shared" ref="J1674:J1676" si="218">H1674+I1674</f>
        <v>0</v>
      </c>
    </row>
    <row r="1675" spans="2:10" x14ac:dyDescent="0.15">
      <c r="B1675" s="25" t="s">
        <v>263</v>
      </c>
      <c r="C1675" s="14">
        <v>1</v>
      </c>
      <c r="D1675" s="31"/>
      <c r="E1675" s="15">
        <f t="shared" si="214"/>
        <v>1</v>
      </c>
      <c r="F1675" s="61">
        <v>45666</v>
      </c>
      <c r="G1675" s="25"/>
      <c r="H1675" s="14"/>
      <c r="I1675" s="31"/>
      <c r="J1675" s="15">
        <f t="shared" si="218"/>
        <v>0</v>
      </c>
    </row>
    <row r="1676" spans="2:10" ht="14.25" thickBot="1" x14ac:dyDescent="0.2">
      <c r="B1676" s="25" t="s">
        <v>263</v>
      </c>
      <c r="C1676" s="14">
        <v>3</v>
      </c>
      <c r="D1676" s="31"/>
      <c r="E1676" s="15">
        <f t="shared" si="214"/>
        <v>3</v>
      </c>
      <c r="F1676" s="61">
        <v>45667</v>
      </c>
      <c r="G1676" s="25"/>
      <c r="H1676" s="14"/>
      <c r="I1676" s="31"/>
      <c r="J1676" s="15">
        <f t="shared" si="218"/>
        <v>0</v>
      </c>
    </row>
    <row r="1677" spans="2:10" ht="14.25" thickBot="1" x14ac:dyDescent="0.2">
      <c r="B1677" s="8" t="s">
        <v>2</v>
      </c>
      <c r="C1677" s="10">
        <f>SUM(C1652:C1676)</f>
        <v>159</v>
      </c>
      <c r="D1677" s="32">
        <f>SUM(D1652:D1676)</f>
        <v>62</v>
      </c>
      <c r="E1677" s="11">
        <f>C1677+D1677</f>
        <v>221</v>
      </c>
      <c r="G1677" s="8" t="s">
        <v>2</v>
      </c>
      <c r="H1677" s="10">
        <f>SUM(H1652:H1676)</f>
        <v>400</v>
      </c>
      <c r="I1677" s="32">
        <f>SUM(I1652:I1676)</f>
        <v>0</v>
      </c>
      <c r="J1677" s="11">
        <f t="shared" si="217"/>
        <v>400</v>
      </c>
    </row>
    <row r="1678" spans="2:10" ht="14.25" thickBot="1" x14ac:dyDescent="0.2">
      <c r="B1678" s="52" t="s">
        <v>3</v>
      </c>
      <c r="C1678" s="53">
        <f>+C1651-C1677</f>
        <v>351</v>
      </c>
      <c r="D1678" s="54">
        <f>+D1651-D1677</f>
        <v>302</v>
      </c>
      <c r="E1678" s="55">
        <f>C1678+D1678</f>
        <v>653</v>
      </c>
      <c r="G1678" s="52" t="s">
        <v>3</v>
      </c>
      <c r="H1678" s="87">
        <f>+H1651-H1677</f>
        <v>1600</v>
      </c>
      <c r="I1678" s="97">
        <f>+I1651-I1677</f>
        <v>1600</v>
      </c>
      <c r="J1678" s="95">
        <f>+J1651-J1677</f>
        <v>3200</v>
      </c>
    </row>
    <row r="1680" spans="2:10" ht="21" x14ac:dyDescent="0.2">
      <c r="B1680" s="76" t="s">
        <v>150</v>
      </c>
      <c r="G1680" s="75" t="s">
        <v>149</v>
      </c>
    </row>
    <row r="1681" spans="2:10" ht="18.75" x14ac:dyDescent="0.2">
      <c r="B1681" s="3" t="s">
        <v>11</v>
      </c>
      <c r="E1681" s="71"/>
      <c r="G1681" s="3" t="s">
        <v>11</v>
      </c>
    </row>
    <row r="1682" spans="2:10" ht="14.25" thickBot="1" x14ac:dyDescent="0.2">
      <c r="G1682" s="1"/>
    </row>
    <row r="1683" spans="2:10" ht="14.25" thickBot="1" x14ac:dyDescent="0.2">
      <c r="B1683" s="7"/>
      <c r="C1683" s="67"/>
      <c r="D1683" s="68"/>
      <c r="E1683" s="69"/>
      <c r="G1683" s="7"/>
      <c r="H1683" s="67"/>
      <c r="I1683" s="68"/>
      <c r="J1683" s="69"/>
    </row>
    <row r="1684" spans="2:10" ht="14.25" thickBot="1" x14ac:dyDescent="0.2">
      <c r="B1684" s="8"/>
      <c r="C1684" s="40" t="s">
        <v>7</v>
      </c>
      <c r="D1684" s="29" t="s">
        <v>9</v>
      </c>
      <c r="E1684" s="9" t="s">
        <v>0</v>
      </c>
      <c r="G1684" s="8"/>
      <c r="H1684" s="40" t="s">
        <v>7</v>
      </c>
      <c r="I1684" s="29" t="s">
        <v>9</v>
      </c>
      <c r="J1684" s="9" t="s">
        <v>0</v>
      </c>
    </row>
    <row r="1685" spans="2:10" x14ac:dyDescent="0.15">
      <c r="B1685" s="16" t="s">
        <v>4</v>
      </c>
      <c r="C1685" s="17">
        <f>C1678</f>
        <v>351</v>
      </c>
      <c r="D1685" s="35">
        <f>D1678</f>
        <v>302</v>
      </c>
      <c r="E1685" s="18">
        <f t="shared" ref="E1685:E1716" si="219">C1685+D1685</f>
        <v>653</v>
      </c>
      <c r="G1685" s="16" t="s">
        <v>4</v>
      </c>
      <c r="H1685" s="89">
        <f>H1678</f>
        <v>1600</v>
      </c>
      <c r="I1685" s="90">
        <f>I1678</f>
        <v>1600</v>
      </c>
      <c r="J1685" s="96">
        <f>J1678</f>
        <v>3200</v>
      </c>
    </row>
    <row r="1686" spans="2:10" x14ac:dyDescent="0.15">
      <c r="B1686" s="25" t="s">
        <v>5</v>
      </c>
      <c r="C1686" s="14"/>
      <c r="D1686" s="31"/>
      <c r="E1686" s="15">
        <f t="shared" si="219"/>
        <v>0</v>
      </c>
      <c r="G1686" s="25" t="s">
        <v>5</v>
      </c>
      <c r="H1686" s="14"/>
      <c r="I1686" s="31"/>
      <c r="J1686" s="15">
        <f t="shared" ref="J1686:J1690" si="220">H1686+I1686</f>
        <v>0</v>
      </c>
    </row>
    <row r="1687" spans="2:10" x14ac:dyDescent="0.15">
      <c r="B1687" s="25" t="s">
        <v>5</v>
      </c>
      <c r="C1687" s="14"/>
      <c r="D1687" s="31"/>
      <c r="E1687" s="15">
        <f t="shared" si="219"/>
        <v>0</v>
      </c>
      <c r="G1687" s="25" t="s">
        <v>5</v>
      </c>
      <c r="H1687" s="14"/>
      <c r="I1687" s="31"/>
      <c r="J1687" s="15">
        <f t="shared" si="220"/>
        <v>0</v>
      </c>
    </row>
    <row r="1688" spans="2:10" x14ac:dyDescent="0.15">
      <c r="B1688" s="25" t="s">
        <v>5</v>
      </c>
      <c r="C1688" s="14"/>
      <c r="D1688" s="31"/>
      <c r="E1688" s="15">
        <f t="shared" si="219"/>
        <v>0</v>
      </c>
      <c r="G1688" s="25" t="s">
        <v>5</v>
      </c>
      <c r="H1688" s="14"/>
      <c r="I1688" s="31"/>
      <c r="J1688" s="15">
        <f t="shared" si="220"/>
        <v>0</v>
      </c>
    </row>
    <row r="1689" spans="2:10" x14ac:dyDescent="0.15">
      <c r="B1689" s="25" t="s">
        <v>5</v>
      </c>
      <c r="C1689" s="14"/>
      <c r="D1689" s="31"/>
      <c r="E1689" s="15">
        <f t="shared" si="219"/>
        <v>0</v>
      </c>
      <c r="G1689" s="25" t="s">
        <v>5</v>
      </c>
      <c r="H1689" s="14"/>
      <c r="I1689" s="31"/>
      <c r="J1689" s="15">
        <f t="shared" si="220"/>
        <v>0</v>
      </c>
    </row>
    <row r="1690" spans="2:10" ht="14.25" thickBot="1" x14ac:dyDescent="0.2">
      <c r="B1690" s="25" t="s">
        <v>5</v>
      </c>
      <c r="C1690" s="92"/>
      <c r="D1690" s="93"/>
      <c r="E1690" s="94">
        <f t="shared" si="219"/>
        <v>0</v>
      </c>
      <c r="G1690" s="25" t="s">
        <v>5</v>
      </c>
      <c r="H1690" s="92"/>
      <c r="I1690" s="93"/>
      <c r="J1690" s="94">
        <f t="shared" si="220"/>
        <v>0</v>
      </c>
    </row>
    <row r="1691" spans="2:10" ht="14.25" thickBot="1" x14ac:dyDescent="0.2">
      <c r="B1691" s="8" t="s">
        <v>1</v>
      </c>
      <c r="C1691" s="10">
        <f>SUM(C1685:C1690)</f>
        <v>351</v>
      </c>
      <c r="D1691" s="32">
        <f>SUM(D1685:D1690)</f>
        <v>302</v>
      </c>
      <c r="E1691" s="11">
        <f t="shared" si="219"/>
        <v>653</v>
      </c>
      <c r="G1691" s="8" t="s">
        <v>1</v>
      </c>
      <c r="H1691" s="10">
        <f>SUM(H1685:H1690)</f>
        <v>1600</v>
      </c>
      <c r="I1691" s="32">
        <f>SUM(I1685:I1690)</f>
        <v>1600</v>
      </c>
      <c r="J1691" s="11">
        <f>SUM(J1685:J1690)</f>
        <v>3200</v>
      </c>
    </row>
    <row r="1692" spans="2:10" x14ac:dyDescent="0.15">
      <c r="B1692" s="25" t="s">
        <v>263</v>
      </c>
      <c r="C1692" s="14">
        <v>2</v>
      </c>
      <c r="D1692" s="31"/>
      <c r="E1692" s="15">
        <f t="shared" si="219"/>
        <v>2</v>
      </c>
      <c r="F1692" s="61">
        <v>45671</v>
      </c>
      <c r="G1692" s="25"/>
      <c r="H1692" s="14"/>
      <c r="I1692" s="31"/>
      <c r="J1692" s="15">
        <f t="shared" ref="J1692" si="221">H1692+I1692</f>
        <v>0</v>
      </c>
    </row>
    <row r="1693" spans="2:10" x14ac:dyDescent="0.15">
      <c r="B1693" s="25" t="s">
        <v>561</v>
      </c>
      <c r="C1693" s="14">
        <v>5</v>
      </c>
      <c r="D1693" s="31"/>
      <c r="E1693" s="15">
        <f t="shared" si="219"/>
        <v>5</v>
      </c>
      <c r="F1693" s="61">
        <v>45672</v>
      </c>
      <c r="G1693" s="25"/>
      <c r="H1693" s="14"/>
      <c r="I1693" s="31"/>
      <c r="J1693" s="15">
        <f t="shared" ref="J1693:J1717" si="222">H1693+I1693</f>
        <v>0</v>
      </c>
    </row>
    <row r="1694" spans="2:10" x14ac:dyDescent="0.15">
      <c r="B1694" s="25" t="s">
        <v>540</v>
      </c>
      <c r="C1694" s="14"/>
      <c r="D1694" s="31">
        <v>3</v>
      </c>
      <c r="E1694" s="15">
        <f t="shared" si="219"/>
        <v>3</v>
      </c>
      <c r="F1694" s="61">
        <v>45674</v>
      </c>
      <c r="G1694" s="25"/>
      <c r="H1694" s="14"/>
      <c r="I1694" s="31"/>
      <c r="J1694" s="15">
        <f t="shared" si="222"/>
        <v>0</v>
      </c>
    </row>
    <row r="1695" spans="2:10" x14ac:dyDescent="0.15">
      <c r="B1695" s="25" t="s">
        <v>263</v>
      </c>
      <c r="C1695" s="14"/>
      <c r="D1695" s="31">
        <v>1</v>
      </c>
      <c r="E1695" s="15">
        <f t="shared" si="219"/>
        <v>1</v>
      </c>
      <c r="F1695" s="61">
        <v>45672</v>
      </c>
      <c r="G1695" s="25"/>
      <c r="H1695" s="14"/>
      <c r="I1695" s="31"/>
      <c r="J1695" s="15">
        <f t="shared" si="222"/>
        <v>0</v>
      </c>
    </row>
    <row r="1696" spans="2:10" x14ac:dyDescent="0.15">
      <c r="B1696" s="25" t="s">
        <v>263</v>
      </c>
      <c r="C1696" s="14">
        <v>2</v>
      </c>
      <c r="D1696" s="31">
        <v>2</v>
      </c>
      <c r="E1696" s="15">
        <f t="shared" si="219"/>
        <v>4</v>
      </c>
      <c r="F1696" s="61">
        <v>45675</v>
      </c>
      <c r="G1696" s="25"/>
      <c r="H1696" s="14"/>
      <c r="I1696" s="31"/>
      <c r="J1696" s="15">
        <f t="shared" si="222"/>
        <v>0</v>
      </c>
    </row>
    <row r="1697" spans="2:10" x14ac:dyDescent="0.15">
      <c r="B1697" s="25" t="s">
        <v>540</v>
      </c>
      <c r="C1697" s="14"/>
      <c r="D1697" s="31">
        <v>1</v>
      </c>
      <c r="E1697" s="15">
        <f t="shared" si="219"/>
        <v>1</v>
      </c>
      <c r="F1697" s="61">
        <v>45678</v>
      </c>
      <c r="G1697" s="25"/>
      <c r="H1697" s="14"/>
      <c r="I1697" s="31"/>
      <c r="J1697" s="15">
        <f t="shared" si="222"/>
        <v>0</v>
      </c>
    </row>
    <row r="1698" spans="2:10" x14ac:dyDescent="0.15">
      <c r="B1698" s="25" t="s">
        <v>263</v>
      </c>
      <c r="C1698" s="14"/>
      <c r="D1698" s="31">
        <v>1</v>
      </c>
      <c r="E1698" s="15">
        <f t="shared" si="219"/>
        <v>1</v>
      </c>
      <c r="F1698" s="61">
        <v>45684</v>
      </c>
      <c r="G1698" s="25"/>
      <c r="H1698" s="14"/>
      <c r="I1698" s="31"/>
      <c r="J1698" s="15">
        <f t="shared" si="222"/>
        <v>0</v>
      </c>
    </row>
    <row r="1699" spans="2:10" x14ac:dyDescent="0.15">
      <c r="B1699" s="25" t="s">
        <v>263</v>
      </c>
      <c r="C1699" s="14"/>
      <c r="D1699" s="31">
        <v>3</v>
      </c>
      <c r="E1699" s="15">
        <f t="shared" si="219"/>
        <v>3</v>
      </c>
      <c r="F1699" s="61">
        <v>45685</v>
      </c>
      <c r="G1699" s="25"/>
      <c r="H1699" s="14"/>
      <c r="I1699" s="31"/>
      <c r="J1699" s="15">
        <f t="shared" si="222"/>
        <v>0</v>
      </c>
    </row>
    <row r="1700" spans="2:10" x14ac:dyDescent="0.15">
      <c r="B1700" s="25" t="s">
        <v>263</v>
      </c>
      <c r="C1700" s="14">
        <v>1</v>
      </c>
      <c r="D1700" s="31">
        <v>1</v>
      </c>
      <c r="E1700" s="15">
        <f t="shared" si="219"/>
        <v>2</v>
      </c>
      <c r="F1700" s="61">
        <v>45688</v>
      </c>
      <c r="G1700" s="25"/>
      <c r="H1700" s="14"/>
      <c r="I1700" s="31"/>
      <c r="J1700" s="15">
        <f t="shared" si="222"/>
        <v>0</v>
      </c>
    </row>
    <row r="1701" spans="2:10" x14ac:dyDescent="0.15">
      <c r="B1701" s="25" t="s">
        <v>263</v>
      </c>
      <c r="C1701" s="14">
        <f>3+1</f>
        <v>4</v>
      </c>
      <c r="D1701" s="31"/>
      <c r="E1701" s="15">
        <f t="shared" si="219"/>
        <v>4</v>
      </c>
      <c r="F1701" s="61">
        <v>45693</v>
      </c>
      <c r="G1701" s="25"/>
      <c r="H1701" s="14"/>
      <c r="I1701" s="31"/>
      <c r="J1701" s="15">
        <f t="shared" si="222"/>
        <v>0</v>
      </c>
    </row>
    <row r="1702" spans="2:10" x14ac:dyDescent="0.15">
      <c r="B1702" s="25" t="s">
        <v>540</v>
      </c>
      <c r="C1702" s="14">
        <v>2</v>
      </c>
      <c r="D1702" s="31">
        <v>1</v>
      </c>
      <c r="E1702" s="15">
        <f t="shared" si="219"/>
        <v>3</v>
      </c>
      <c r="F1702" s="61">
        <v>45694</v>
      </c>
      <c r="G1702" s="25"/>
      <c r="H1702" s="14"/>
      <c r="I1702" s="31"/>
      <c r="J1702" s="15">
        <f t="shared" si="222"/>
        <v>0</v>
      </c>
    </row>
    <row r="1703" spans="2:10" x14ac:dyDescent="0.15">
      <c r="B1703" s="25" t="s">
        <v>263</v>
      </c>
      <c r="C1703" s="14">
        <f>1+1</f>
        <v>2</v>
      </c>
      <c r="D1703" s="31"/>
      <c r="E1703" s="15">
        <f t="shared" si="219"/>
        <v>2</v>
      </c>
      <c r="F1703" s="61">
        <v>45694</v>
      </c>
      <c r="G1703" s="25"/>
      <c r="H1703" s="14"/>
      <c r="I1703" s="31"/>
      <c r="J1703" s="15">
        <f t="shared" si="222"/>
        <v>0</v>
      </c>
    </row>
    <row r="1704" spans="2:10" x14ac:dyDescent="0.15">
      <c r="B1704" s="25" t="s">
        <v>263</v>
      </c>
      <c r="C1704" s="14">
        <v>2</v>
      </c>
      <c r="D1704" s="31"/>
      <c r="E1704" s="15">
        <f t="shared" si="219"/>
        <v>2</v>
      </c>
      <c r="F1704" s="61">
        <v>45695</v>
      </c>
      <c r="G1704" s="25"/>
      <c r="H1704" s="14"/>
      <c r="I1704" s="31"/>
      <c r="J1704" s="15">
        <f t="shared" si="222"/>
        <v>0</v>
      </c>
    </row>
    <row r="1705" spans="2:10" x14ac:dyDescent="0.15">
      <c r="B1705" s="25" t="s">
        <v>263</v>
      </c>
      <c r="C1705" s="14">
        <v>1</v>
      </c>
      <c r="D1705" s="31">
        <v>1</v>
      </c>
      <c r="E1705" s="15">
        <f t="shared" si="219"/>
        <v>2</v>
      </c>
      <c r="F1705" s="61">
        <v>45698</v>
      </c>
      <c r="G1705" s="25"/>
      <c r="H1705" s="14"/>
      <c r="I1705" s="31"/>
      <c r="J1705" s="15">
        <f t="shared" si="222"/>
        <v>0</v>
      </c>
    </row>
    <row r="1706" spans="2:10" x14ac:dyDescent="0.15">
      <c r="B1706" s="25" t="s">
        <v>429</v>
      </c>
      <c r="C1706" s="14">
        <v>30</v>
      </c>
      <c r="D1706" s="31">
        <v>10</v>
      </c>
      <c r="E1706" s="15">
        <f t="shared" si="219"/>
        <v>40</v>
      </c>
      <c r="F1706" s="61">
        <v>45702</v>
      </c>
      <c r="G1706" s="25"/>
      <c r="H1706" s="14"/>
      <c r="I1706" s="31"/>
      <c r="J1706" s="15">
        <f t="shared" si="222"/>
        <v>0</v>
      </c>
    </row>
    <row r="1707" spans="2:10" x14ac:dyDescent="0.15">
      <c r="B1707" s="25" t="s">
        <v>263</v>
      </c>
      <c r="C1707" s="14">
        <v>1</v>
      </c>
      <c r="D1707" s="31">
        <v>1</v>
      </c>
      <c r="E1707" s="15">
        <f t="shared" si="219"/>
        <v>2</v>
      </c>
      <c r="F1707" s="61">
        <v>45708</v>
      </c>
      <c r="G1707" s="25"/>
      <c r="H1707" s="14"/>
      <c r="I1707" s="31"/>
      <c r="J1707" s="15">
        <f t="shared" si="222"/>
        <v>0</v>
      </c>
    </row>
    <row r="1708" spans="2:10" x14ac:dyDescent="0.15">
      <c r="B1708" s="25" t="s">
        <v>263</v>
      </c>
      <c r="C1708" s="14">
        <v>3</v>
      </c>
      <c r="D1708" s="31"/>
      <c r="E1708" s="15">
        <f t="shared" si="219"/>
        <v>3</v>
      </c>
      <c r="F1708" s="61">
        <v>45713</v>
      </c>
      <c r="G1708" s="25"/>
      <c r="H1708" s="14"/>
      <c r="I1708" s="31"/>
      <c r="J1708" s="15">
        <f t="shared" si="222"/>
        <v>0</v>
      </c>
    </row>
    <row r="1709" spans="2:10" x14ac:dyDescent="0.15">
      <c r="B1709" s="25" t="s">
        <v>263</v>
      </c>
      <c r="C1709" s="14">
        <v>1</v>
      </c>
      <c r="D1709" s="31"/>
      <c r="E1709" s="15">
        <f t="shared" si="219"/>
        <v>1</v>
      </c>
      <c r="F1709" s="61">
        <v>45716</v>
      </c>
      <c r="G1709" s="25"/>
      <c r="H1709" s="14"/>
      <c r="I1709" s="31"/>
      <c r="J1709" s="15">
        <f t="shared" si="222"/>
        <v>0</v>
      </c>
    </row>
    <row r="1710" spans="2:10" x14ac:dyDescent="0.15">
      <c r="B1710" s="25" t="s">
        <v>263</v>
      </c>
      <c r="C1710" s="14">
        <v>2</v>
      </c>
      <c r="D1710" s="31">
        <v>1</v>
      </c>
      <c r="E1710" s="15">
        <f t="shared" si="219"/>
        <v>3</v>
      </c>
      <c r="F1710" s="61">
        <v>45719</v>
      </c>
      <c r="G1710" s="25"/>
      <c r="H1710" s="14"/>
      <c r="I1710" s="31"/>
      <c r="J1710" s="15">
        <f t="shared" si="222"/>
        <v>0</v>
      </c>
    </row>
    <row r="1711" spans="2:10" x14ac:dyDescent="0.15">
      <c r="B1711" s="25" t="s">
        <v>263</v>
      </c>
      <c r="C1711" s="14">
        <v>1</v>
      </c>
      <c r="D1711" s="31">
        <v>1</v>
      </c>
      <c r="E1711" s="15">
        <f t="shared" si="219"/>
        <v>2</v>
      </c>
      <c r="F1711" s="61">
        <v>45721</v>
      </c>
      <c r="G1711" s="25"/>
      <c r="H1711" s="14"/>
      <c r="I1711" s="31"/>
      <c r="J1711" s="15">
        <f t="shared" si="222"/>
        <v>0</v>
      </c>
    </row>
    <row r="1712" spans="2:10" x14ac:dyDescent="0.15">
      <c r="B1712" s="25" t="s">
        <v>263</v>
      </c>
      <c r="C1712" s="14">
        <v>2</v>
      </c>
      <c r="D1712" s="31"/>
      <c r="E1712" s="15">
        <f t="shared" si="219"/>
        <v>2</v>
      </c>
      <c r="F1712" s="61">
        <v>45722</v>
      </c>
      <c r="G1712" s="25"/>
      <c r="H1712" s="14"/>
      <c r="I1712" s="31"/>
      <c r="J1712" s="15">
        <f t="shared" si="222"/>
        <v>0</v>
      </c>
    </row>
    <row r="1713" spans="2:10" x14ac:dyDescent="0.15">
      <c r="B1713" s="25" t="s">
        <v>540</v>
      </c>
      <c r="C1713" s="14">
        <v>2</v>
      </c>
      <c r="D1713" s="31">
        <v>2</v>
      </c>
      <c r="E1713" s="15">
        <f t="shared" si="219"/>
        <v>4</v>
      </c>
      <c r="F1713" s="61">
        <v>45724</v>
      </c>
      <c r="G1713" s="25"/>
      <c r="H1713" s="14"/>
      <c r="I1713" s="31"/>
      <c r="J1713" s="15">
        <f t="shared" si="222"/>
        <v>0</v>
      </c>
    </row>
    <row r="1714" spans="2:10" x14ac:dyDescent="0.15">
      <c r="B1714" s="25" t="s">
        <v>263</v>
      </c>
      <c r="C1714" s="14">
        <v>1</v>
      </c>
      <c r="D1714" s="31">
        <v>1</v>
      </c>
      <c r="E1714" s="15">
        <f t="shared" si="219"/>
        <v>2</v>
      </c>
      <c r="F1714" s="61">
        <v>45723</v>
      </c>
      <c r="G1714" s="25"/>
      <c r="H1714" s="14"/>
      <c r="I1714" s="31"/>
      <c r="J1714" s="15">
        <f t="shared" si="222"/>
        <v>0</v>
      </c>
    </row>
    <row r="1715" spans="2:10" x14ac:dyDescent="0.15">
      <c r="B1715" s="25" t="s">
        <v>263</v>
      </c>
      <c r="C1715" s="14"/>
      <c r="D1715" s="31">
        <v>1</v>
      </c>
      <c r="E1715" s="15">
        <f t="shared" si="219"/>
        <v>1</v>
      </c>
      <c r="F1715" s="61">
        <v>45727</v>
      </c>
      <c r="G1715" s="25"/>
      <c r="H1715" s="14"/>
      <c r="I1715" s="31"/>
      <c r="J1715" s="15">
        <f t="shared" si="222"/>
        <v>0</v>
      </c>
    </row>
    <row r="1716" spans="2:10" ht="14.25" thickBot="1" x14ac:dyDescent="0.2">
      <c r="B1716" s="25" t="s">
        <v>263</v>
      </c>
      <c r="C1716" s="14">
        <v>1</v>
      </c>
      <c r="D1716" s="31"/>
      <c r="E1716" s="15">
        <f t="shared" si="219"/>
        <v>1</v>
      </c>
      <c r="F1716" s="61">
        <v>45729</v>
      </c>
      <c r="G1716" s="25"/>
      <c r="H1716" s="14"/>
      <c r="I1716" s="31"/>
      <c r="J1716" s="15">
        <f t="shared" si="222"/>
        <v>0</v>
      </c>
    </row>
    <row r="1717" spans="2:10" ht="14.25" thickBot="1" x14ac:dyDescent="0.2">
      <c r="B1717" s="8" t="s">
        <v>2</v>
      </c>
      <c r="C1717" s="10">
        <f>SUM(C1692:C1716)</f>
        <v>65</v>
      </c>
      <c r="D1717" s="32">
        <f>SUM(D1692:D1716)</f>
        <v>31</v>
      </c>
      <c r="E1717" s="11">
        <f>C1717+D1717</f>
        <v>96</v>
      </c>
      <c r="G1717" s="8" t="s">
        <v>2</v>
      </c>
      <c r="H1717" s="10">
        <f>SUM(H1692:H1716)</f>
        <v>0</v>
      </c>
      <c r="I1717" s="32">
        <f>SUM(I1692:I1716)</f>
        <v>0</v>
      </c>
      <c r="J1717" s="11">
        <f t="shared" si="222"/>
        <v>0</v>
      </c>
    </row>
    <row r="1718" spans="2:10" ht="14.25" thickBot="1" x14ac:dyDescent="0.2">
      <c r="B1718" s="52" t="s">
        <v>3</v>
      </c>
      <c r="C1718" s="53">
        <f>+C1691-C1717</f>
        <v>286</v>
      </c>
      <c r="D1718" s="54">
        <f>+D1691-D1717</f>
        <v>271</v>
      </c>
      <c r="E1718" s="55">
        <f>C1718+D1718</f>
        <v>557</v>
      </c>
      <c r="G1718" s="52" t="s">
        <v>3</v>
      </c>
      <c r="H1718" s="87">
        <f>+H1691-H1717</f>
        <v>1600</v>
      </c>
      <c r="I1718" s="97">
        <f>+I1691-I1717</f>
        <v>1600</v>
      </c>
      <c r="J1718" s="95">
        <f>+J1691-J1717</f>
        <v>3200</v>
      </c>
    </row>
    <row r="1720" spans="2:10" ht="21" x14ac:dyDescent="0.2">
      <c r="B1720" s="76" t="s">
        <v>150</v>
      </c>
      <c r="G1720" s="75" t="s">
        <v>149</v>
      </c>
    </row>
    <row r="1721" spans="2:10" ht="18.75" x14ac:dyDescent="0.2">
      <c r="B1721" s="3" t="s">
        <v>11</v>
      </c>
      <c r="E1721" s="71"/>
      <c r="G1721" s="3" t="s">
        <v>11</v>
      </c>
    </row>
    <row r="1722" spans="2:10" ht="14.25" thickBot="1" x14ac:dyDescent="0.2">
      <c r="G1722" s="1"/>
    </row>
    <row r="1723" spans="2:10" ht="14.25" thickBot="1" x14ac:dyDescent="0.2">
      <c r="B1723" s="7"/>
      <c r="C1723" s="67"/>
      <c r="D1723" s="68"/>
      <c r="E1723" s="69"/>
      <c r="G1723" s="7"/>
      <c r="H1723" s="67"/>
      <c r="I1723" s="68"/>
      <c r="J1723" s="69"/>
    </row>
    <row r="1724" spans="2:10" ht="14.25" thickBot="1" x14ac:dyDescent="0.2">
      <c r="B1724" s="8"/>
      <c r="C1724" s="40" t="s">
        <v>7</v>
      </c>
      <c r="D1724" s="29" t="s">
        <v>9</v>
      </c>
      <c r="E1724" s="9" t="s">
        <v>0</v>
      </c>
      <c r="G1724" s="8"/>
      <c r="H1724" s="40" t="s">
        <v>7</v>
      </c>
      <c r="I1724" s="29" t="s">
        <v>9</v>
      </c>
      <c r="J1724" s="9" t="s">
        <v>0</v>
      </c>
    </row>
    <row r="1725" spans="2:10" x14ac:dyDescent="0.15">
      <c r="B1725" s="16" t="s">
        <v>4</v>
      </c>
      <c r="C1725" s="17">
        <f>C1718</f>
        <v>286</v>
      </c>
      <c r="D1725" s="35">
        <f>D1718</f>
        <v>271</v>
      </c>
      <c r="E1725" s="18">
        <f t="shared" ref="E1725:E1756" si="223">C1725+D1725</f>
        <v>557</v>
      </c>
      <c r="G1725" s="16" t="s">
        <v>4</v>
      </c>
      <c r="H1725" s="89">
        <f>H1718</f>
        <v>1600</v>
      </c>
      <c r="I1725" s="90">
        <f>I1718</f>
        <v>1600</v>
      </c>
      <c r="J1725" s="96">
        <f>J1718</f>
        <v>3200</v>
      </c>
    </row>
    <row r="1726" spans="2:10" x14ac:dyDescent="0.15">
      <c r="B1726" s="25" t="s">
        <v>5</v>
      </c>
      <c r="C1726" s="14"/>
      <c r="D1726" s="31"/>
      <c r="E1726" s="15">
        <f t="shared" si="223"/>
        <v>0</v>
      </c>
      <c r="G1726" s="25" t="s">
        <v>5</v>
      </c>
      <c r="H1726" s="14"/>
      <c r="I1726" s="31"/>
      <c r="J1726" s="15">
        <f t="shared" ref="J1726:J1730" si="224">H1726+I1726</f>
        <v>0</v>
      </c>
    </row>
    <row r="1727" spans="2:10" x14ac:dyDescent="0.15">
      <c r="B1727" s="25" t="s">
        <v>5</v>
      </c>
      <c r="C1727" s="14"/>
      <c r="D1727" s="31"/>
      <c r="E1727" s="15">
        <f t="shared" si="223"/>
        <v>0</v>
      </c>
      <c r="G1727" s="25" t="s">
        <v>5</v>
      </c>
      <c r="H1727" s="14"/>
      <c r="I1727" s="31"/>
      <c r="J1727" s="15">
        <f t="shared" si="224"/>
        <v>0</v>
      </c>
    </row>
    <row r="1728" spans="2:10" x14ac:dyDescent="0.15">
      <c r="B1728" s="25" t="s">
        <v>5</v>
      </c>
      <c r="C1728" s="14"/>
      <c r="D1728" s="31"/>
      <c r="E1728" s="15">
        <f t="shared" si="223"/>
        <v>0</v>
      </c>
      <c r="G1728" s="25" t="s">
        <v>5</v>
      </c>
      <c r="H1728" s="14"/>
      <c r="I1728" s="31"/>
      <c r="J1728" s="15">
        <f t="shared" si="224"/>
        <v>0</v>
      </c>
    </row>
    <row r="1729" spans="2:10" x14ac:dyDescent="0.15">
      <c r="B1729" s="25" t="s">
        <v>5</v>
      </c>
      <c r="C1729" s="14"/>
      <c r="D1729" s="31"/>
      <c r="E1729" s="15">
        <f t="shared" si="223"/>
        <v>0</v>
      </c>
      <c r="G1729" s="25" t="s">
        <v>5</v>
      </c>
      <c r="H1729" s="14"/>
      <c r="I1729" s="31"/>
      <c r="J1729" s="15">
        <f t="shared" si="224"/>
        <v>0</v>
      </c>
    </row>
    <row r="1730" spans="2:10" ht="14.25" thickBot="1" x14ac:dyDescent="0.2">
      <c r="B1730" s="25" t="s">
        <v>5</v>
      </c>
      <c r="C1730" s="92"/>
      <c r="D1730" s="93"/>
      <c r="E1730" s="94">
        <f t="shared" si="223"/>
        <v>0</v>
      </c>
      <c r="G1730" s="25" t="s">
        <v>5</v>
      </c>
      <c r="H1730" s="92"/>
      <c r="I1730" s="93"/>
      <c r="J1730" s="94">
        <f t="shared" si="224"/>
        <v>0</v>
      </c>
    </row>
    <row r="1731" spans="2:10" ht="14.25" thickBot="1" x14ac:dyDescent="0.2">
      <c r="B1731" s="8" t="s">
        <v>1</v>
      </c>
      <c r="C1731" s="10">
        <f>SUM(C1725:C1730)</f>
        <v>286</v>
      </c>
      <c r="D1731" s="32">
        <f>SUM(D1725:D1730)</f>
        <v>271</v>
      </c>
      <c r="E1731" s="11">
        <f t="shared" si="223"/>
        <v>557</v>
      </c>
      <c r="G1731" s="8" t="s">
        <v>1</v>
      </c>
      <c r="H1731" s="10">
        <f>SUM(H1725:H1730)</f>
        <v>1600</v>
      </c>
      <c r="I1731" s="32">
        <f>SUM(I1725:I1730)</f>
        <v>1600</v>
      </c>
      <c r="J1731" s="11">
        <f>SUM(J1725:J1730)</f>
        <v>3200</v>
      </c>
    </row>
    <row r="1732" spans="2:10" x14ac:dyDescent="0.15">
      <c r="B1732" s="25" t="s">
        <v>263</v>
      </c>
      <c r="C1732" s="14">
        <v>1</v>
      </c>
      <c r="D1732" s="31"/>
      <c r="E1732" s="15">
        <f t="shared" si="223"/>
        <v>1</v>
      </c>
      <c r="F1732" s="61">
        <v>45730</v>
      </c>
      <c r="G1732" s="25"/>
      <c r="H1732" s="14"/>
      <c r="I1732" s="31"/>
      <c r="J1732" s="15">
        <f t="shared" ref="J1732:J1757" si="225">H1732+I1732</f>
        <v>0</v>
      </c>
    </row>
    <row r="1733" spans="2:10" x14ac:dyDescent="0.15">
      <c r="B1733" s="25" t="s">
        <v>263</v>
      </c>
      <c r="C1733" s="14">
        <v>1</v>
      </c>
      <c r="D1733" s="31"/>
      <c r="E1733" s="15">
        <f t="shared" si="223"/>
        <v>1</v>
      </c>
      <c r="F1733" s="61">
        <v>45731</v>
      </c>
      <c r="G1733" s="25"/>
      <c r="H1733" s="14"/>
      <c r="I1733" s="31"/>
      <c r="J1733" s="15">
        <f t="shared" si="225"/>
        <v>0</v>
      </c>
    </row>
    <row r="1734" spans="2:10" x14ac:dyDescent="0.15">
      <c r="B1734" s="25" t="s">
        <v>263</v>
      </c>
      <c r="C1734" s="14">
        <v>3</v>
      </c>
      <c r="D1734" s="31"/>
      <c r="E1734" s="15">
        <f t="shared" si="223"/>
        <v>3</v>
      </c>
      <c r="F1734" s="61">
        <v>45733</v>
      </c>
      <c r="G1734" s="25"/>
      <c r="H1734" s="14"/>
      <c r="I1734" s="31"/>
      <c r="J1734" s="15">
        <f t="shared" si="225"/>
        <v>0</v>
      </c>
    </row>
    <row r="1735" spans="2:10" x14ac:dyDescent="0.15">
      <c r="B1735" s="25" t="s">
        <v>263</v>
      </c>
      <c r="C1735" s="14">
        <v>1</v>
      </c>
      <c r="D1735" s="31"/>
      <c r="E1735" s="15">
        <f t="shared" si="223"/>
        <v>1</v>
      </c>
      <c r="F1735" s="61">
        <v>45734</v>
      </c>
      <c r="G1735" s="25"/>
      <c r="H1735" s="14"/>
      <c r="I1735" s="31"/>
      <c r="J1735" s="15">
        <f t="shared" si="225"/>
        <v>0</v>
      </c>
    </row>
    <row r="1736" spans="2:10" x14ac:dyDescent="0.15">
      <c r="B1736" s="25" t="s">
        <v>540</v>
      </c>
      <c r="C1736" s="14">
        <v>2</v>
      </c>
      <c r="D1736" s="31"/>
      <c r="E1736" s="15">
        <f t="shared" si="223"/>
        <v>2</v>
      </c>
      <c r="F1736" s="61">
        <v>45736</v>
      </c>
      <c r="G1736" s="25"/>
      <c r="H1736" s="14"/>
      <c r="I1736" s="31"/>
      <c r="J1736" s="15">
        <f t="shared" si="225"/>
        <v>0</v>
      </c>
    </row>
    <row r="1737" spans="2:10" x14ac:dyDescent="0.15">
      <c r="B1737" s="25" t="s">
        <v>263</v>
      </c>
      <c r="C1737" s="14">
        <v>1</v>
      </c>
      <c r="D1737" s="31"/>
      <c r="E1737" s="15">
        <f t="shared" si="223"/>
        <v>1</v>
      </c>
      <c r="F1737" s="61">
        <v>45737</v>
      </c>
      <c r="G1737" s="25"/>
      <c r="H1737" s="14"/>
      <c r="I1737" s="31"/>
      <c r="J1737" s="15">
        <f t="shared" si="225"/>
        <v>0</v>
      </c>
    </row>
    <row r="1738" spans="2:10" x14ac:dyDescent="0.15">
      <c r="B1738" s="25" t="s">
        <v>263</v>
      </c>
      <c r="C1738" s="14">
        <v>4</v>
      </c>
      <c r="D1738" s="31"/>
      <c r="E1738" s="15">
        <f t="shared" si="223"/>
        <v>4</v>
      </c>
      <c r="F1738" s="61">
        <v>45740</v>
      </c>
      <c r="G1738" s="25"/>
      <c r="H1738" s="14"/>
      <c r="I1738" s="31"/>
      <c r="J1738" s="15">
        <f t="shared" si="225"/>
        <v>0</v>
      </c>
    </row>
    <row r="1739" spans="2:10" x14ac:dyDescent="0.15">
      <c r="B1739" s="25" t="s">
        <v>263</v>
      </c>
      <c r="C1739" s="14">
        <v>2</v>
      </c>
      <c r="D1739" s="31"/>
      <c r="E1739" s="15">
        <f t="shared" si="223"/>
        <v>2</v>
      </c>
      <c r="F1739" s="61">
        <v>45741</v>
      </c>
      <c r="G1739" s="25"/>
      <c r="H1739" s="14"/>
      <c r="I1739" s="31"/>
      <c r="J1739" s="15">
        <f t="shared" si="225"/>
        <v>0</v>
      </c>
    </row>
    <row r="1740" spans="2:10" x14ac:dyDescent="0.15">
      <c r="B1740" s="25" t="s">
        <v>429</v>
      </c>
      <c r="C1740" s="14">
        <v>50</v>
      </c>
      <c r="D1740" s="31">
        <v>20</v>
      </c>
      <c r="E1740" s="15">
        <f t="shared" si="223"/>
        <v>70</v>
      </c>
      <c r="F1740" s="61">
        <v>45741</v>
      </c>
      <c r="G1740" s="25"/>
      <c r="H1740" s="14"/>
      <c r="I1740" s="31"/>
      <c r="J1740" s="15">
        <f t="shared" si="225"/>
        <v>0</v>
      </c>
    </row>
    <row r="1741" spans="2:10" x14ac:dyDescent="0.15">
      <c r="B1741" s="25" t="s">
        <v>263</v>
      </c>
      <c r="C1741" s="14">
        <v>6</v>
      </c>
      <c r="D1741" s="31">
        <v>1</v>
      </c>
      <c r="E1741" s="15">
        <f t="shared" si="223"/>
        <v>7</v>
      </c>
      <c r="F1741" s="61">
        <v>45742</v>
      </c>
      <c r="G1741" s="25"/>
      <c r="H1741" s="14"/>
      <c r="I1741" s="31"/>
      <c r="J1741" s="15">
        <f t="shared" si="225"/>
        <v>0</v>
      </c>
    </row>
    <row r="1742" spans="2:10" x14ac:dyDescent="0.15">
      <c r="B1742" s="25" t="s">
        <v>263</v>
      </c>
      <c r="C1742" s="14">
        <v>3</v>
      </c>
      <c r="D1742" s="31">
        <v>1</v>
      </c>
      <c r="E1742" s="15">
        <f t="shared" si="223"/>
        <v>4</v>
      </c>
      <c r="F1742" s="61">
        <v>45743</v>
      </c>
      <c r="G1742" s="25"/>
      <c r="H1742" s="14"/>
      <c r="I1742" s="31"/>
      <c r="J1742" s="15">
        <f t="shared" si="225"/>
        <v>0</v>
      </c>
    </row>
    <row r="1743" spans="2:10" x14ac:dyDescent="0.15">
      <c r="B1743" s="25" t="s">
        <v>263</v>
      </c>
      <c r="C1743" s="14">
        <v>1</v>
      </c>
      <c r="D1743" s="31"/>
      <c r="E1743" s="15">
        <f t="shared" si="223"/>
        <v>1</v>
      </c>
      <c r="F1743" s="61">
        <v>45747</v>
      </c>
      <c r="G1743" s="25"/>
      <c r="H1743" s="14"/>
      <c r="I1743" s="31"/>
      <c r="J1743" s="15">
        <f t="shared" si="225"/>
        <v>0</v>
      </c>
    </row>
    <row r="1744" spans="2:10" x14ac:dyDescent="0.15">
      <c r="B1744" s="25" t="s">
        <v>540</v>
      </c>
      <c r="C1744" s="14">
        <v>2</v>
      </c>
      <c r="D1744" s="31"/>
      <c r="E1744" s="15">
        <f t="shared" si="223"/>
        <v>2</v>
      </c>
      <c r="F1744" s="61">
        <v>45750</v>
      </c>
      <c r="G1744" s="25"/>
      <c r="H1744" s="14"/>
      <c r="I1744" s="31"/>
      <c r="J1744" s="15">
        <f t="shared" si="225"/>
        <v>0</v>
      </c>
    </row>
    <row r="1745" spans="2:10" x14ac:dyDescent="0.15">
      <c r="B1745" s="25" t="s">
        <v>263</v>
      </c>
      <c r="C1745" s="14">
        <v>2</v>
      </c>
      <c r="D1745" s="31">
        <v>1</v>
      </c>
      <c r="E1745" s="15">
        <f t="shared" si="223"/>
        <v>3</v>
      </c>
      <c r="F1745" s="61">
        <v>45749</v>
      </c>
      <c r="G1745" s="25"/>
      <c r="H1745" s="14"/>
      <c r="I1745" s="31"/>
      <c r="J1745" s="15">
        <f t="shared" si="225"/>
        <v>0</v>
      </c>
    </row>
    <row r="1746" spans="2:10" x14ac:dyDescent="0.15">
      <c r="B1746" s="25" t="s">
        <v>540</v>
      </c>
      <c r="C1746" s="14">
        <v>1</v>
      </c>
      <c r="D1746" s="31">
        <v>3</v>
      </c>
      <c r="E1746" s="15">
        <f t="shared" si="223"/>
        <v>4</v>
      </c>
      <c r="F1746" s="61">
        <v>45752</v>
      </c>
      <c r="G1746" s="25"/>
      <c r="H1746" s="14"/>
      <c r="I1746" s="31"/>
      <c r="J1746" s="15">
        <f t="shared" si="225"/>
        <v>0</v>
      </c>
    </row>
    <row r="1747" spans="2:10" x14ac:dyDescent="0.15">
      <c r="B1747" s="25" t="s">
        <v>263</v>
      </c>
      <c r="C1747" s="14"/>
      <c r="D1747" s="31">
        <v>1</v>
      </c>
      <c r="E1747" s="15">
        <f t="shared" si="223"/>
        <v>1</v>
      </c>
      <c r="F1747" s="61">
        <v>45761</v>
      </c>
      <c r="G1747" s="25"/>
      <c r="H1747" s="14"/>
      <c r="I1747" s="31"/>
      <c r="J1747" s="15">
        <f t="shared" si="225"/>
        <v>0</v>
      </c>
    </row>
    <row r="1748" spans="2:10" x14ac:dyDescent="0.15">
      <c r="B1748" s="25" t="s">
        <v>263</v>
      </c>
      <c r="C1748" s="14">
        <v>2</v>
      </c>
      <c r="D1748" s="31"/>
      <c r="E1748" s="15">
        <f t="shared" si="223"/>
        <v>2</v>
      </c>
      <c r="F1748" s="61">
        <v>45763</v>
      </c>
      <c r="G1748" s="25"/>
      <c r="H1748" s="14"/>
      <c r="I1748" s="31"/>
      <c r="J1748" s="15">
        <f t="shared" si="225"/>
        <v>0</v>
      </c>
    </row>
    <row r="1749" spans="2:10" x14ac:dyDescent="0.15">
      <c r="B1749" s="25" t="s">
        <v>263</v>
      </c>
      <c r="C1749" s="14">
        <v>2</v>
      </c>
      <c r="D1749" s="31">
        <v>1</v>
      </c>
      <c r="E1749" s="15">
        <f t="shared" si="223"/>
        <v>3</v>
      </c>
      <c r="F1749" s="61">
        <v>45765</v>
      </c>
      <c r="G1749" s="25"/>
      <c r="H1749" s="14"/>
      <c r="I1749" s="31"/>
      <c r="J1749" s="15">
        <f t="shared" si="225"/>
        <v>0</v>
      </c>
    </row>
    <row r="1750" spans="2:10" x14ac:dyDescent="0.15">
      <c r="B1750" s="25" t="s">
        <v>540</v>
      </c>
      <c r="C1750" s="14">
        <v>3</v>
      </c>
      <c r="D1750" s="31">
        <v>1</v>
      </c>
      <c r="E1750" s="15">
        <f t="shared" si="223"/>
        <v>4</v>
      </c>
      <c r="F1750" s="61">
        <v>45770</v>
      </c>
      <c r="G1750" s="25"/>
      <c r="H1750" s="14"/>
      <c r="I1750" s="31"/>
      <c r="J1750" s="15">
        <f t="shared" ref="J1750:J1756" si="226">H1750+I1750</f>
        <v>0</v>
      </c>
    </row>
    <row r="1751" spans="2:10" x14ac:dyDescent="0.15">
      <c r="B1751" s="25" t="s">
        <v>263</v>
      </c>
      <c r="C1751" s="14">
        <v>2</v>
      </c>
      <c r="D1751" s="31"/>
      <c r="E1751" s="15">
        <f t="shared" si="223"/>
        <v>2</v>
      </c>
      <c r="F1751" s="61">
        <v>45772</v>
      </c>
      <c r="G1751" s="25"/>
      <c r="H1751" s="14"/>
      <c r="I1751" s="31"/>
      <c r="J1751" s="15">
        <f t="shared" si="226"/>
        <v>0</v>
      </c>
    </row>
    <row r="1752" spans="2:10" x14ac:dyDescent="0.15">
      <c r="B1752" s="25" t="s">
        <v>263</v>
      </c>
      <c r="C1752" s="14">
        <v>3</v>
      </c>
      <c r="D1752" s="31">
        <v>4</v>
      </c>
      <c r="E1752" s="15">
        <f t="shared" si="223"/>
        <v>7</v>
      </c>
      <c r="F1752" s="61">
        <v>45775</v>
      </c>
      <c r="G1752" s="25"/>
      <c r="H1752" s="14"/>
      <c r="I1752" s="31"/>
      <c r="J1752" s="15">
        <f t="shared" si="226"/>
        <v>0</v>
      </c>
    </row>
    <row r="1753" spans="2:10" x14ac:dyDescent="0.15">
      <c r="B1753" s="25" t="s">
        <v>263</v>
      </c>
      <c r="C1753" s="14">
        <v>1</v>
      </c>
      <c r="D1753" s="31"/>
      <c r="E1753" s="15">
        <f t="shared" si="223"/>
        <v>1</v>
      </c>
      <c r="F1753" s="61">
        <v>45779</v>
      </c>
      <c r="G1753" s="25"/>
      <c r="H1753" s="14"/>
      <c r="I1753" s="31"/>
      <c r="J1753" s="15">
        <f t="shared" si="226"/>
        <v>0</v>
      </c>
    </row>
    <row r="1754" spans="2:10" x14ac:dyDescent="0.15">
      <c r="B1754" s="25" t="s">
        <v>540</v>
      </c>
      <c r="C1754" s="14">
        <v>3</v>
      </c>
      <c r="D1754" s="31">
        <v>3</v>
      </c>
      <c r="E1754" s="15">
        <f t="shared" si="223"/>
        <v>6</v>
      </c>
      <c r="F1754" s="61">
        <v>45785</v>
      </c>
      <c r="G1754" s="25"/>
      <c r="H1754" s="14"/>
      <c r="I1754" s="31"/>
      <c r="J1754" s="15">
        <f t="shared" si="226"/>
        <v>0</v>
      </c>
    </row>
    <row r="1755" spans="2:10" x14ac:dyDescent="0.15">
      <c r="B1755" s="25" t="s">
        <v>263</v>
      </c>
      <c r="C1755" s="14">
        <f>1+5</f>
        <v>6</v>
      </c>
      <c r="D1755" s="31">
        <v>1</v>
      </c>
      <c r="E1755" s="15">
        <f t="shared" si="223"/>
        <v>7</v>
      </c>
      <c r="F1755" s="61">
        <v>45784</v>
      </c>
      <c r="G1755" s="25"/>
      <c r="H1755" s="14"/>
      <c r="I1755" s="31"/>
      <c r="J1755" s="15">
        <f t="shared" si="226"/>
        <v>0</v>
      </c>
    </row>
    <row r="1756" spans="2:10" ht="14.25" thickBot="1" x14ac:dyDescent="0.2">
      <c r="B1756" s="25" t="s">
        <v>263</v>
      </c>
      <c r="C1756" s="14">
        <v>1</v>
      </c>
      <c r="D1756" s="31"/>
      <c r="E1756" s="15">
        <f t="shared" si="223"/>
        <v>1</v>
      </c>
      <c r="F1756" s="61">
        <v>45785</v>
      </c>
      <c r="G1756" s="25"/>
      <c r="H1756" s="14"/>
      <c r="I1756" s="31"/>
      <c r="J1756" s="15">
        <f t="shared" si="226"/>
        <v>0</v>
      </c>
    </row>
    <row r="1757" spans="2:10" ht="14.25" thickBot="1" x14ac:dyDescent="0.2">
      <c r="B1757" s="8" t="s">
        <v>2</v>
      </c>
      <c r="C1757" s="10">
        <f>SUM(C1732:C1756)</f>
        <v>103</v>
      </c>
      <c r="D1757" s="32">
        <f>SUM(D1732:D1756)</f>
        <v>37</v>
      </c>
      <c r="E1757" s="11">
        <f>C1757+D1757</f>
        <v>140</v>
      </c>
      <c r="G1757" s="8" t="s">
        <v>2</v>
      </c>
      <c r="H1757" s="10">
        <f>SUM(H1732:H1756)</f>
        <v>0</v>
      </c>
      <c r="I1757" s="32">
        <f>SUM(I1732:I1756)</f>
        <v>0</v>
      </c>
      <c r="J1757" s="11">
        <f t="shared" si="225"/>
        <v>0</v>
      </c>
    </row>
    <row r="1758" spans="2:10" ht="14.25" thickBot="1" x14ac:dyDescent="0.2">
      <c r="B1758" s="52" t="s">
        <v>3</v>
      </c>
      <c r="C1758" s="53">
        <f>+C1731-C1757</f>
        <v>183</v>
      </c>
      <c r="D1758" s="54">
        <f>+D1731-D1757</f>
        <v>234</v>
      </c>
      <c r="E1758" s="55">
        <f>C1758+D1758</f>
        <v>417</v>
      </c>
      <c r="G1758" s="52" t="s">
        <v>3</v>
      </c>
      <c r="H1758" s="87">
        <f>+H1731-H1757</f>
        <v>1600</v>
      </c>
      <c r="I1758" s="97">
        <f>+I1731-I1757</f>
        <v>1600</v>
      </c>
      <c r="J1758" s="95">
        <f>+J1731-J1757</f>
        <v>3200</v>
      </c>
    </row>
    <row r="1760" spans="2:10" ht="21" x14ac:dyDescent="0.2">
      <c r="B1760" s="76" t="s">
        <v>150</v>
      </c>
      <c r="G1760" s="75" t="s">
        <v>149</v>
      </c>
    </row>
    <row r="1761" spans="2:10" ht="18.75" x14ac:dyDescent="0.2">
      <c r="B1761" s="3" t="s">
        <v>11</v>
      </c>
      <c r="E1761" s="71"/>
      <c r="G1761" s="3" t="s">
        <v>11</v>
      </c>
    </row>
    <row r="1762" spans="2:10" ht="14.25" thickBot="1" x14ac:dyDescent="0.2">
      <c r="G1762" s="1"/>
    </row>
    <row r="1763" spans="2:10" ht="14.25" thickBot="1" x14ac:dyDescent="0.2">
      <c r="B1763" s="7"/>
      <c r="C1763" s="67"/>
      <c r="D1763" s="68"/>
      <c r="E1763" s="69"/>
      <c r="G1763" s="7"/>
      <c r="H1763" s="67"/>
      <c r="I1763" s="68"/>
      <c r="J1763" s="69"/>
    </row>
    <row r="1764" spans="2:10" ht="14.25" thickBot="1" x14ac:dyDescent="0.2">
      <c r="B1764" s="8"/>
      <c r="C1764" s="40" t="s">
        <v>7</v>
      </c>
      <c r="D1764" s="29" t="s">
        <v>9</v>
      </c>
      <c r="E1764" s="9" t="s">
        <v>0</v>
      </c>
      <c r="G1764" s="8"/>
      <c r="H1764" s="40" t="s">
        <v>7</v>
      </c>
      <c r="I1764" s="29" t="s">
        <v>9</v>
      </c>
      <c r="J1764" s="9" t="s">
        <v>0</v>
      </c>
    </row>
    <row r="1765" spans="2:10" x14ac:dyDescent="0.15">
      <c r="B1765" s="16" t="s">
        <v>4</v>
      </c>
      <c r="C1765" s="17">
        <f>C1758</f>
        <v>183</v>
      </c>
      <c r="D1765" s="35">
        <f>D1758</f>
        <v>234</v>
      </c>
      <c r="E1765" s="18">
        <f t="shared" ref="E1765:E1796" si="227">C1765+D1765</f>
        <v>417</v>
      </c>
      <c r="G1765" s="16" t="s">
        <v>4</v>
      </c>
      <c r="H1765" s="89">
        <f>H1758</f>
        <v>1600</v>
      </c>
      <c r="I1765" s="90">
        <f>I1758</f>
        <v>1600</v>
      </c>
      <c r="J1765" s="96">
        <f>J1758</f>
        <v>3200</v>
      </c>
    </row>
    <row r="1766" spans="2:10" x14ac:dyDescent="0.15">
      <c r="B1766" s="25" t="s">
        <v>5</v>
      </c>
      <c r="C1766" s="14"/>
      <c r="D1766" s="31"/>
      <c r="E1766" s="15">
        <f t="shared" si="227"/>
        <v>0</v>
      </c>
      <c r="G1766" s="25" t="s">
        <v>5</v>
      </c>
      <c r="H1766" s="14"/>
      <c r="I1766" s="31"/>
      <c r="J1766" s="15">
        <f t="shared" ref="J1766:J1770" si="228">H1766+I1766</f>
        <v>0</v>
      </c>
    </row>
    <row r="1767" spans="2:10" x14ac:dyDescent="0.15">
      <c r="B1767" s="25" t="s">
        <v>5</v>
      </c>
      <c r="C1767" s="14"/>
      <c r="D1767" s="31"/>
      <c r="E1767" s="15">
        <f t="shared" si="227"/>
        <v>0</v>
      </c>
      <c r="G1767" s="25" t="s">
        <v>5</v>
      </c>
      <c r="H1767" s="14"/>
      <c r="I1767" s="31"/>
      <c r="J1767" s="15">
        <f t="shared" si="228"/>
        <v>0</v>
      </c>
    </row>
    <row r="1768" spans="2:10" x14ac:dyDescent="0.15">
      <c r="B1768" s="25" t="s">
        <v>5</v>
      </c>
      <c r="C1768" s="14"/>
      <c r="D1768" s="31"/>
      <c r="E1768" s="15">
        <f t="shared" si="227"/>
        <v>0</v>
      </c>
      <c r="G1768" s="25" t="s">
        <v>5</v>
      </c>
      <c r="H1768" s="14"/>
      <c r="I1768" s="31"/>
      <c r="J1768" s="15">
        <f t="shared" si="228"/>
        <v>0</v>
      </c>
    </row>
    <row r="1769" spans="2:10" x14ac:dyDescent="0.15">
      <c r="B1769" s="25" t="s">
        <v>5</v>
      </c>
      <c r="C1769" s="14"/>
      <c r="D1769" s="31"/>
      <c r="E1769" s="15">
        <f t="shared" si="227"/>
        <v>0</v>
      </c>
      <c r="G1769" s="25" t="s">
        <v>5</v>
      </c>
      <c r="H1769" s="14"/>
      <c r="I1769" s="31"/>
      <c r="J1769" s="15">
        <f t="shared" si="228"/>
        <v>0</v>
      </c>
    </row>
    <row r="1770" spans="2:10" ht="14.25" thickBot="1" x14ac:dyDescent="0.2">
      <c r="B1770" s="25" t="s">
        <v>5</v>
      </c>
      <c r="C1770" s="92"/>
      <c r="D1770" s="93"/>
      <c r="E1770" s="94">
        <f t="shared" si="227"/>
        <v>0</v>
      </c>
      <c r="G1770" s="25" t="s">
        <v>5</v>
      </c>
      <c r="H1770" s="92"/>
      <c r="I1770" s="93"/>
      <c r="J1770" s="94">
        <f t="shared" si="228"/>
        <v>0</v>
      </c>
    </row>
    <row r="1771" spans="2:10" ht="14.25" thickBot="1" x14ac:dyDescent="0.2">
      <c r="B1771" s="8" t="s">
        <v>1</v>
      </c>
      <c r="C1771" s="10">
        <f>SUM(C1765:C1770)</f>
        <v>183</v>
      </c>
      <c r="D1771" s="32">
        <f>SUM(D1765:D1770)</f>
        <v>234</v>
      </c>
      <c r="E1771" s="11">
        <f t="shared" si="227"/>
        <v>417</v>
      </c>
      <c r="G1771" s="8" t="s">
        <v>1</v>
      </c>
      <c r="H1771" s="10">
        <f>SUM(H1765:H1770)</f>
        <v>1600</v>
      </c>
      <c r="I1771" s="32">
        <f>SUM(I1765:I1770)</f>
        <v>1600</v>
      </c>
      <c r="J1771" s="11">
        <f>SUM(J1765:J1770)</f>
        <v>3200</v>
      </c>
    </row>
    <row r="1772" spans="2:10" x14ac:dyDescent="0.15">
      <c r="B1772" s="25" t="s">
        <v>263</v>
      </c>
      <c r="C1772" s="14">
        <v>1</v>
      </c>
      <c r="D1772" s="31"/>
      <c r="E1772" s="15">
        <f t="shared" si="227"/>
        <v>1</v>
      </c>
      <c r="F1772" s="61">
        <v>45789</v>
      </c>
      <c r="G1772" s="25"/>
      <c r="H1772" s="14"/>
      <c r="I1772" s="31"/>
      <c r="J1772" s="15">
        <f t="shared" ref="J1772:J1797" si="229">H1772+I1772</f>
        <v>0</v>
      </c>
    </row>
    <row r="1773" spans="2:10" x14ac:dyDescent="0.15">
      <c r="B1773" s="25" t="s">
        <v>263</v>
      </c>
      <c r="C1773" s="14">
        <f>1+3+1</f>
        <v>5</v>
      </c>
      <c r="D1773" s="31"/>
      <c r="E1773" s="15">
        <f t="shared" si="227"/>
        <v>5</v>
      </c>
      <c r="F1773" s="61">
        <v>45789</v>
      </c>
      <c r="G1773" s="25"/>
      <c r="H1773" s="14"/>
      <c r="I1773" s="31"/>
      <c r="J1773" s="15">
        <f t="shared" si="229"/>
        <v>0</v>
      </c>
    </row>
    <row r="1774" spans="2:10" x14ac:dyDescent="0.15">
      <c r="B1774" s="25" t="s">
        <v>263</v>
      </c>
      <c r="C1774" s="14">
        <v>1</v>
      </c>
      <c r="D1774" s="31">
        <v>1</v>
      </c>
      <c r="E1774" s="15">
        <f t="shared" si="227"/>
        <v>2</v>
      </c>
      <c r="F1774" s="61">
        <v>45791</v>
      </c>
      <c r="G1774" s="25"/>
      <c r="H1774" s="14"/>
      <c r="I1774" s="31"/>
      <c r="J1774" s="15">
        <f t="shared" si="229"/>
        <v>0</v>
      </c>
    </row>
    <row r="1775" spans="2:10" x14ac:dyDescent="0.15">
      <c r="B1775" s="25" t="s">
        <v>263</v>
      </c>
      <c r="C1775" s="14">
        <v>2</v>
      </c>
      <c r="D1775" s="31"/>
      <c r="E1775" s="15">
        <f t="shared" si="227"/>
        <v>2</v>
      </c>
      <c r="F1775" s="61">
        <v>45792</v>
      </c>
      <c r="G1775" s="25"/>
      <c r="H1775" s="14"/>
      <c r="I1775" s="31"/>
      <c r="J1775" s="15">
        <f t="shared" si="229"/>
        <v>0</v>
      </c>
    </row>
    <row r="1776" spans="2:10" x14ac:dyDescent="0.15">
      <c r="B1776" s="25" t="s">
        <v>263</v>
      </c>
      <c r="C1776" s="14">
        <v>3</v>
      </c>
      <c r="D1776" s="31"/>
      <c r="E1776" s="15">
        <f t="shared" si="227"/>
        <v>3</v>
      </c>
      <c r="F1776" s="61">
        <v>45793</v>
      </c>
      <c r="G1776" s="25"/>
      <c r="H1776" s="14"/>
      <c r="I1776" s="31"/>
      <c r="J1776" s="15">
        <f t="shared" si="229"/>
        <v>0</v>
      </c>
    </row>
    <row r="1777" spans="2:10" x14ac:dyDescent="0.15">
      <c r="B1777" s="25" t="s">
        <v>263</v>
      </c>
      <c r="C1777" s="14">
        <v>3</v>
      </c>
      <c r="D1777" s="31"/>
      <c r="E1777" s="15">
        <f t="shared" si="227"/>
        <v>3</v>
      </c>
      <c r="F1777" s="61">
        <v>45796</v>
      </c>
      <c r="G1777" s="25"/>
      <c r="H1777" s="14"/>
      <c r="I1777" s="31"/>
      <c r="J1777" s="15">
        <f t="shared" si="229"/>
        <v>0</v>
      </c>
    </row>
    <row r="1778" spans="2:10" x14ac:dyDescent="0.15">
      <c r="B1778" s="25" t="s">
        <v>263</v>
      </c>
      <c r="C1778" s="14"/>
      <c r="D1778" s="31">
        <v>1</v>
      </c>
      <c r="E1778" s="15">
        <f t="shared" si="227"/>
        <v>1</v>
      </c>
      <c r="F1778" s="61">
        <v>45797</v>
      </c>
      <c r="G1778" s="25"/>
      <c r="H1778" s="14"/>
      <c r="I1778" s="31"/>
      <c r="J1778" s="15">
        <f t="shared" si="229"/>
        <v>0</v>
      </c>
    </row>
    <row r="1779" spans="2:10" x14ac:dyDescent="0.15">
      <c r="B1779" s="25" t="s">
        <v>263</v>
      </c>
      <c r="C1779" s="14">
        <v>2</v>
      </c>
      <c r="D1779" s="31">
        <v>1</v>
      </c>
      <c r="E1779" s="15">
        <f t="shared" si="227"/>
        <v>3</v>
      </c>
      <c r="F1779" s="61">
        <v>45799</v>
      </c>
      <c r="G1779" s="25"/>
      <c r="H1779" s="14"/>
      <c r="I1779" s="31"/>
      <c r="J1779" s="15">
        <f t="shared" si="229"/>
        <v>0</v>
      </c>
    </row>
    <row r="1780" spans="2:10" x14ac:dyDescent="0.15">
      <c r="B1780" s="25" t="s">
        <v>263</v>
      </c>
      <c r="C1780" s="14">
        <f>1+3</f>
        <v>4</v>
      </c>
      <c r="D1780" s="31"/>
      <c r="E1780" s="15">
        <f t="shared" si="227"/>
        <v>4</v>
      </c>
      <c r="F1780" s="61">
        <v>45803</v>
      </c>
      <c r="G1780" s="25"/>
      <c r="H1780" s="14"/>
      <c r="I1780" s="31"/>
      <c r="J1780" s="15">
        <f t="shared" si="229"/>
        <v>0</v>
      </c>
    </row>
    <row r="1781" spans="2:10" x14ac:dyDescent="0.15">
      <c r="B1781" s="25" t="s">
        <v>540</v>
      </c>
      <c r="C1781" s="14"/>
      <c r="D1781" s="31">
        <v>2</v>
      </c>
      <c r="E1781" s="15">
        <f t="shared" si="227"/>
        <v>2</v>
      </c>
      <c r="F1781" s="61">
        <v>45805</v>
      </c>
      <c r="G1781" s="25"/>
      <c r="H1781" s="14"/>
      <c r="I1781" s="31"/>
      <c r="J1781" s="15">
        <f t="shared" si="229"/>
        <v>0</v>
      </c>
    </row>
    <row r="1782" spans="2:10" x14ac:dyDescent="0.15">
      <c r="B1782" s="25" t="s">
        <v>263</v>
      </c>
      <c r="C1782" s="14">
        <v>4</v>
      </c>
      <c r="D1782" s="31"/>
      <c r="E1782" s="15">
        <f t="shared" si="227"/>
        <v>4</v>
      </c>
      <c r="F1782" s="61">
        <v>45805</v>
      </c>
      <c r="G1782" s="25"/>
      <c r="H1782" s="14"/>
      <c r="I1782" s="31"/>
      <c r="J1782" s="15">
        <f t="shared" si="229"/>
        <v>0</v>
      </c>
    </row>
    <row r="1783" spans="2:10" x14ac:dyDescent="0.15">
      <c r="B1783" s="25" t="s">
        <v>263</v>
      </c>
      <c r="C1783" s="14">
        <v>2</v>
      </c>
      <c r="D1783" s="31"/>
      <c r="E1783" s="15">
        <f t="shared" si="227"/>
        <v>2</v>
      </c>
      <c r="F1783" s="61">
        <v>45808</v>
      </c>
      <c r="G1783" s="25"/>
      <c r="H1783" s="14"/>
      <c r="I1783" s="31"/>
      <c r="J1783" s="15">
        <f t="shared" si="229"/>
        <v>0</v>
      </c>
    </row>
    <row r="1784" spans="2:10" x14ac:dyDescent="0.15">
      <c r="B1784" s="25" t="s">
        <v>263</v>
      </c>
      <c r="C1784" s="14">
        <v>2</v>
      </c>
      <c r="D1784" s="31"/>
      <c r="E1784" s="15">
        <f t="shared" si="227"/>
        <v>2</v>
      </c>
      <c r="F1784" s="61">
        <v>45810</v>
      </c>
      <c r="G1784" s="25"/>
      <c r="H1784" s="14"/>
      <c r="I1784" s="31"/>
      <c r="J1784" s="15">
        <f t="shared" si="229"/>
        <v>0</v>
      </c>
    </row>
    <row r="1785" spans="2:10" x14ac:dyDescent="0.15">
      <c r="B1785" s="25" t="s">
        <v>263</v>
      </c>
      <c r="C1785" s="14">
        <v>1</v>
      </c>
      <c r="D1785" s="31"/>
      <c r="E1785" s="15">
        <f t="shared" si="227"/>
        <v>1</v>
      </c>
      <c r="F1785" s="61">
        <v>45811</v>
      </c>
      <c r="G1785" s="25"/>
      <c r="H1785" s="14"/>
      <c r="I1785" s="31"/>
      <c r="J1785" s="15">
        <f t="shared" si="229"/>
        <v>0</v>
      </c>
    </row>
    <row r="1786" spans="2:10" x14ac:dyDescent="0.15">
      <c r="B1786" s="25" t="s">
        <v>263</v>
      </c>
      <c r="C1786" s="14">
        <v>2</v>
      </c>
      <c r="D1786" s="31"/>
      <c r="E1786" s="15">
        <f t="shared" si="227"/>
        <v>2</v>
      </c>
      <c r="F1786" s="61">
        <v>45814</v>
      </c>
      <c r="G1786" s="25"/>
      <c r="H1786" s="14"/>
      <c r="I1786" s="31"/>
      <c r="J1786" s="15">
        <f t="shared" si="229"/>
        <v>0</v>
      </c>
    </row>
    <row r="1787" spans="2:10" x14ac:dyDescent="0.15">
      <c r="B1787" s="25" t="s">
        <v>263</v>
      </c>
      <c r="C1787" s="14">
        <v>3</v>
      </c>
      <c r="D1787" s="31"/>
      <c r="E1787" s="15">
        <f t="shared" si="227"/>
        <v>3</v>
      </c>
      <c r="F1787" s="61">
        <v>45817</v>
      </c>
      <c r="G1787" s="25"/>
      <c r="H1787" s="14"/>
      <c r="I1787" s="31"/>
      <c r="J1787" s="15">
        <f t="shared" si="229"/>
        <v>0</v>
      </c>
    </row>
    <row r="1788" spans="2:10" x14ac:dyDescent="0.15">
      <c r="B1788" s="25" t="s">
        <v>263</v>
      </c>
      <c r="C1788" s="14">
        <v>1</v>
      </c>
      <c r="D1788" s="31">
        <v>2</v>
      </c>
      <c r="E1788" s="15">
        <f t="shared" si="227"/>
        <v>3</v>
      </c>
      <c r="F1788" s="61">
        <v>45818</v>
      </c>
      <c r="G1788" s="25"/>
      <c r="H1788" s="14"/>
      <c r="I1788" s="31"/>
      <c r="J1788" s="15">
        <f t="shared" si="229"/>
        <v>0</v>
      </c>
    </row>
    <row r="1789" spans="2:10" x14ac:dyDescent="0.15">
      <c r="B1789" s="25" t="s">
        <v>263</v>
      </c>
      <c r="C1789" s="14">
        <v>1</v>
      </c>
      <c r="D1789" s="31"/>
      <c r="E1789" s="15">
        <f t="shared" si="227"/>
        <v>1</v>
      </c>
      <c r="F1789" s="61">
        <v>45821</v>
      </c>
      <c r="G1789" s="25"/>
      <c r="H1789" s="14"/>
      <c r="I1789" s="31"/>
      <c r="J1789" s="15">
        <f t="shared" si="229"/>
        <v>0</v>
      </c>
    </row>
    <row r="1790" spans="2:10" x14ac:dyDescent="0.15">
      <c r="B1790" s="25" t="s">
        <v>263</v>
      </c>
      <c r="C1790" s="14">
        <v>1</v>
      </c>
      <c r="D1790" s="31"/>
      <c r="E1790" s="15">
        <f t="shared" si="227"/>
        <v>1</v>
      </c>
      <c r="F1790" s="61">
        <v>45824</v>
      </c>
      <c r="G1790" s="25"/>
      <c r="H1790" s="14"/>
      <c r="I1790" s="31"/>
      <c r="J1790" s="15">
        <f t="shared" si="229"/>
        <v>0</v>
      </c>
    </row>
    <row r="1791" spans="2:10" x14ac:dyDescent="0.15">
      <c r="B1791" s="25" t="s">
        <v>263</v>
      </c>
      <c r="C1791" s="14">
        <v>1</v>
      </c>
      <c r="D1791" s="31"/>
      <c r="E1791" s="15">
        <f t="shared" si="227"/>
        <v>1</v>
      </c>
      <c r="F1791" s="61">
        <v>45825</v>
      </c>
      <c r="G1791" s="25"/>
      <c r="H1791" s="14"/>
      <c r="I1791" s="31"/>
      <c r="J1791" s="15">
        <f t="shared" si="229"/>
        <v>0</v>
      </c>
    </row>
    <row r="1792" spans="2:10" x14ac:dyDescent="0.15">
      <c r="B1792" s="25" t="s">
        <v>263</v>
      </c>
      <c r="C1792" s="14">
        <v>4</v>
      </c>
      <c r="D1792" s="31"/>
      <c r="E1792" s="15">
        <f t="shared" si="227"/>
        <v>4</v>
      </c>
      <c r="F1792" s="61">
        <v>45828</v>
      </c>
      <c r="G1792" s="25"/>
      <c r="H1792" s="14"/>
      <c r="I1792" s="31"/>
      <c r="J1792" s="15">
        <f t="shared" si="229"/>
        <v>0</v>
      </c>
    </row>
    <row r="1793" spans="2:10" x14ac:dyDescent="0.15">
      <c r="B1793" s="25" t="s">
        <v>263</v>
      </c>
      <c r="C1793" s="14">
        <v>1</v>
      </c>
      <c r="D1793" s="31"/>
      <c r="E1793" s="15">
        <f t="shared" si="227"/>
        <v>1</v>
      </c>
      <c r="F1793" s="61">
        <v>45832</v>
      </c>
      <c r="G1793" s="25"/>
      <c r="H1793" s="14"/>
      <c r="I1793" s="31"/>
      <c r="J1793" s="15">
        <f t="shared" si="229"/>
        <v>0</v>
      </c>
    </row>
    <row r="1794" spans="2:10" x14ac:dyDescent="0.15">
      <c r="B1794" s="25" t="s">
        <v>263</v>
      </c>
      <c r="C1794" s="14">
        <v>2</v>
      </c>
      <c r="D1794" s="31"/>
      <c r="E1794" s="15">
        <f t="shared" si="227"/>
        <v>2</v>
      </c>
      <c r="F1794" s="61">
        <v>45833</v>
      </c>
      <c r="G1794" s="25"/>
      <c r="H1794" s="14"/>
      <c r="I1794" s="31"/>
      <c r="J1794" s="15">
        <f t="shared" si="229"/>
        <v>0</v>
      </c>
    </row>
    <row r="1795" spans="2:10" x14ac:dyDescent="0.15">
      <c r="B1795" s="25" t="s">
        <v>263</v>
      </c>
      <c r="C1795" s="14">
        <v>1</v>
      </c>
      <c r="D1795" s="31">
        <f>1+1</f>
        <v>2</v>
      </c>
      <c r="E1795" s="15">
        <f t="shared" si="227"/>
        <v>3</v>
      </c>
      <c r="F1795" s="61">
        <v>45838</v>
      </c>
      <c r="G1795" s="25"/>
      <c r="H1795" s="14"/>
      <c r="I1795" s="31"/>
      <c r="J1795" s="15">
        <f t="shared" si="229"/>
        <v>0</v>
      </c>
    </row>
    <row r="1796" spans="2:10" ht="14.25" thickBot="1" x14ac:dyDescent="0.2">
      <c r="B1796" s="25" t="s">
        <v>263</v>
      </c>
      <c r="C1796" s="14">
        <v>2</v>
      </c>
      <c r="D1796" s="31"/>
      <c r="E1796" s="15">
        <f t="shared" si="227"/>
        <v>2</v>
      </c>
      <c r="F1796" s="61">
        <v>45840</v>
      </c>
      <c r="G1796" s="25"/>
      <c r="H1796" s="14"/>
      <c r="I1796" s="31"/>
      <c r="J1796" s="15">
        <f t="shared" si="229"/>
        <v>0</v>
      </c>
    </row>
    <row r="1797" spans="2:10" ht="14.25" thickBot="1" x14ac:dyDescent="0.2">
      <c r="B1797" s="8" t="s">
        <v>2</v>
      </c>
      <c r="C1797" s="10">
        <f>SUM(C1772:C1796)</f>
        <v>49</v>
      </c>
      <c r="D1797" s="32">
        <f>SUM(D1772:D1796)</f>
        <v>9</v>
      </c>
      <c r="E1797" s="11">
        <f>C1797+D1797</f>
        <v>58</v>
      </c>
      <c r="G1797" s="8" t="s">
        <v>2</v>
      </c>
      <c r="H1797" s="10">
        <f>SUM(H1772:H1796)</f>
        <v>0</v>
      </c>
      <c r="I1797" s="32">
        <f>SUM(I1772:I1796)</f>
        <v>0</v>
      </c>
      <c r="J1797" s="11">
        <f t="shared" si="229"/>
        <v>0</v>
      </c>
    </row>
    <row r="1798" spans="2:10" ht="14.25" thickBot="1" x14ac:dyDescent="0.2">
      <c r="B1798" s="52" t="s">
        <v>3</v>
      </c>
      <c r="C1798" s="53">
        <f>+C1771-C1797</f>
        <v>134</v>
      </c>
      <c r="D1798" s="54">
        <f>+D1771-D1797</f>
        <v>225</v>
      </c>
      <c r="E1798" s="55">
        <f>C1798+D1798</f>
        <v>359</v>
      </c>
      <c r="G1798" s="52" t="s">
        <v>3</v>
      </c>
      <c r="H1798" s="87">
        <f>+H1771-H1797</f>
        <v>1600</v>
      </c>
      <c r="I1798" s="97">
        <f>+I1771-I1797</f>
        <v>1600</v>
      </c>
      <c r="J1798" s="95">
        <f>+J1771-J1797</f>
        <v>3200</v>
      </c>
    </row>
    <row r="1800" spans="2:10" ht="21" x14ac:dyDescent="0.2">
      <c r="B1800" s="76" t="s">
        <v>150</v>
      </c>
      <c r="G1800" s="75" t="s">
        <v>149</v>
      </c>
    </row>
    <row r="1801" spans="2:10" ht="18.75" x14ac:dyDescent="0.2">
      <c r="B1801" s="3" t="s">
        <v>11</v>
      </c>
      <c r="E1801" s="71"/>
      <c r="G1801" s="3" t="s">
        <v>11</v>
      </c>
    </row>
    <row r="1802" spans="2:10" ht="14.25" thickBot="1" x14ac:dyDescent="0.2">
      <c r="G1802" s="1"/>
    </row>
    <row r="1803" spans="2:10" ht="14.25" thickBot="1" x14ac:dyDescent="0.2">
      <c r="B1803" s="7"/>
      <c r="C1803" s="67"/>
      <c r="D1803" s="68"/>
      <c r="E1803" s="69"/>
      <c r="G1803" s="7"/>
      <c r="H1803" s="67"/>
      <c r="I1803" s="68"/>
      <c r="J1803" s="69"/>
    </row>
    <row r="1804" spans="2:10" ht="14.25" thickBot="1" x14ac:dyDescent="0.2">
      <c r="B1804" s="8"/>
      <c r="C1804" s="40" t="s">
        <v>7</v>
      </c>
      <c r="D1804" s="29" t="s">
        <v>9</v>
      </c>
      <c r="E1804" s="9" t="s">
        <v>0</v>
      </c>
      <c r="G1804" s="8"/>
      <c r="H1804" s="40" t="s">
        <v>7</v>
      </c>
      <c r="I1804" s="29" t="s">
        <v>9</v>
      </c>
      <c r="J1804" s="9" t="s">
        <v>0</v>
      </c>
    </row>
    <row r="1805" spans="2:10" x14ac:dyDescent="0.15">
      <c r="B1805" s="16" t="s">
        <v>4</v>
      </c>
      <c r="C1805" s="17">
        <f>C1798</f>
        <v>134</v>
      </c>
      <c r="D1805" s="35">
        <f>D1798</f>
        <v>225</v>
      </c>
      <c r="E1805" s="18">
        <f t="shared" ref="E1805:E1836" si="230">C1805+D1805</f>
        <v>359</v>
      </c>
      <c r="G1805" s="16" t="s">
        <v>4</v>
      </c>
      <c r="H1805" s="89">
        <f>H1798</f>
        <v>1600</v>
      </c>
      <c r="I1805" s="90">
        <f>I1798</f>
        <v>1600</v>
      </c>
      <c r="J1805" s="96">
        <f>J1798</f>
        <v>3200</v>
      </c>
    </row>
    <row r="1806" spans="2:10" x14ac:dyDescent="0.15">
      <c r="B1806" s="25" t="s">
        <v>431</v>
      </c>
      <c r="C1806" s="14">
        <v>-2</v>
      </c>
      <c r="D1806" s="31"/>
      <c r="E1806" s="15">
        <f t="shared" si="230"/>
        <v>-2</v>
      </c>
      <c r="F1806" s="61">
        <v>45878</v>
      </c>
      <c r="G1806" s="25" t="s">
        <v>5</v>
      </c>
      <c r="H1806" s="14"/>
      <c r="I1806" s="31"/>
      <c r="J1806" s="15">
        <f t="shared" ref="J1806:J1810" si="231">H1806+I1806</f>
        <v>0</v>
      </c>
    </row>
    <row r="1807" spans="2:10" x14ac:dyDescent="0.15">
      <c r="B1807" s="25" t="s">
        <v>5</v>
      </c>
      <c r="C1807" s="14"/>
      <c r="D1807" s="31"/>
      <c r="E1807" s="15">
        <f t="shared" si="230"/>
        <v>0</v>
      </c>
      <c r="G1807" s="25" t="s">
        <v>5</v>
      </c>
      <c r="H1807" s="14"/>
      <c r="I1807" s="31"/>
      <c r="J1807" s="15">
        <f t="shared" si="231"/>
        <v>0</v>
      </c>
    </row>
    <row r="1808" spans="2:10" x14ac:dyDescent="0.15">
      <c r="B1808" s="25" t="s">
        <v>5</v>
      </c>
      <c r="C1808" s="14"/>
      <c r="D1808" s="31"/>
      <c r="E1808" s="15">
        <f t="shared" si="230"/>
        <v>0</v>
      </c>
      <c r="G1808" s="25" t="s">
        <v>5</v>
      </c>
      <c r="H1808" s="14"/>
      <c r="I1808" s="31"/>
      <c r="J1808" s="15">
        <f t="shared" si="231"/>
        <v>0</v>
      </c>
    </row>
    <row r="1809" spans="2:10" x14ac:dyDescent="0.15">
      <c r="B1809" s="25" t="s">
        <v>5</v>
      </c>
      <c r="C1809" s="14"/>
      <c r="D1809" s="31"/>
      <c r="E1809" s="15">
        <f t="shared" si="230"/>
        <v>0</v>
      </c>
      <c r="G1809" s="25" t="s">
        <v>5</v>
      </c>
      <c r="H1809" s="14"/>
      <c r="I1809" s="31"/>
      <c r="J1809" s="15">
        <f t="shared" si="231"/>
        <v>0</v>
      </c>
    </row>
    <row r="1810" spans="2:10" ht="14.25" thickBot="1" x14ac:dyDescent="0.2">
      <c r="B1810" s="25" t="s">
        <v>5</v>
      </c>
      <c r="C1810" s="92"/>
      <c r="D1810" s="93"/>
      <c r="E1810" s="94">
        <f t="shared" si="230"/>
        <v>0</v>
      </c>
      <c r="G1810" s="25" t="s">
        <v>5</v>
      </c>
      <c r="H1810" s="92"/>
      <c r="I1810" s="93"/>
      <c r="J1810" s="94">
        <f t="shared" si="231"/>
        <v>0</v>
      </c>
    </row>
    <row r="1811" spans="2:10" ht="14.25" thickBot="1" x14ac:dyDescent="0.2">
      <c r="B1811" s="8" t="s">
        <v>1</v>
      </c>
      <c r="C1811" s="10">
        <f>SUM(C1805:C1810)</f>
        <v>132</v>
      </c>
      <c r="D1811" s="32">
        <f>SUM(D1805:D1810)</f>
        <v>225</v>
      </c>
      <c r="E1811" s="11">
        <f t="shared" si="230"/>
        <v>357</v>
      </c>
      <c r="G1811" s="8" t="s">
        <v>1</v>
      </c>
      <c r="H1811" s="10">
        <f>SUM(H1805:H1810)</f>
        <v>1600</v>
      </c>
      <c r="I1811" s="32">
        <f>SUM(I1805:I1810)</f>
        <v>1600</v>
      </c>
      <c r="J1811" s="11">
        <f>SUM(J1805:J1810)</f>
        <v>3200</v>
      </c>
    </row>
    <row r="1812" spans="2:10" x14ac:dyDescent="0.15">
      <c r="B1812" s="25" t="s">
        <v>263</v>
      </c>
      <c r="C1812" s="14">
        <v>2</v>
      </c>
      <c r="D1812" s="31">
        <v>6</v>
      </c>
      <c r="E1812" s="15">
        <f t="shared" si="230"/>
        <v>8</v>
      </c>
      <c r="F1812" s="61">
        <v>45843</v>
      </c>
      <c r="G1812" s="25"/>
      <c r="H1812" s="14"/>
      <c r="I1812" s="31"/>
      <c r="J1812" s="15">
        <f t="shared" ref="J1812:J1837" si="232">H1812+I1812</f>
        <v>0</v>
      </c>
    </row>
    <row r="1813" spans="2:10" x14ac:dyDescent="0.15">
      <c r="B1813" s="25" t="s">
        <v>263</v>
      </c>
      <c r="C1813" s="14">
        <v>2</v>
      </c>
      <c r="D1813" s="31"/>
      <c r="E1813" s="15">
        <f t="shared" si="230"/>
        <v>2</v>
      </c>
      <c r="F1813" s="61">
        <v>45845</v>
      </c>
      <c r="G1813" s="25"/>
      <c r="H1813" s="14"/>
      <c r="I1813" s="31"/>
      <c r="J1813" s="15">
        <f t="shared" si="232"/>
        <v>0</v>
      </c>
    </row>
    <row r="1814" spans="2:10" x14ac:dyDescent="0.15">
      <c r="B1814" s="25" t="s">
        <v>263</v>
      </c>
      <c r="C1814" s="14">
        <v>1</v>
      </c>
      <c r="D1814" s="31"/>
      <c r="E1814" s="15">
        <f t="shared" si="230"/>
        <v>1</v>
      </c>
      <c r="F1814" s="61">
        <v>45846</v>
      </c>
      <c r="G1814" s="25"/>
      <c r="H1814" s="14"/>
      <c r="I1814" s="31"/>
      <c r="J1814" s="15">
        <f t="shared" si="232"/>
        <v>0</v>
      </c>
    </row>
    <row r="1815" spans="2:10" x14ac:dyDescent="0.15">
      <c r="B1815" s="25" t="s">
        <v>263</v>
      </c>
      <c r="C1815" s="14">
        <v>2</v>
      </c>
      <c r="D1815" s="31">
        <v>1</v>
      </c>
      <c r="E1815" s="15">
        <f t="shared" si="230"/>
        <v>3</v>
      </c>
      <c r="F1815" s="61">
        <v>45848</v>
      </c>
      <c r="G1815" s="25"/>
      <c r="H1815" s="14"/>
      <c r="I1815" s="31"/>
      <c r="J1815" s="15">
        <f t="shared" si="232"/>
        <v>0</v>
      </c>
    </row>
    <row r="1816" spans="2:10" x14ac:dyDescent="0.15">
      <c r="B1816" s="25" t="s">
        <v>263</v>
      </c>
      <c r="C1816" s="14">
        <v>8</v>
      </c>
      <c r="D1816" s="31"/>
      <c r="E1816" s="15">
        <f t="shared" si="230"/>
        <v>8</v>
      </c>
      <c r="F1816" s="61">
        <v>45849</v>
      </c>
      <c r="G1816" s="25"/>
      <c r="H1816" s="14"/>
      <c r="I1816" s="31"/>
      <c r="J1816" s="15">
        <f t="shared" si="232"/>
        <v>0</v>
      </c>
    </row>
    <row r="1817" spans="2:10" x14ac:dyDescent="0.15">
      <c r="B1817" s="25" t="s">
        <v>540</v>
      </c>
      <c r="C1817" s="14">
        <v>1</v>
      </c>
      <c r="D1817" s="31"/>
      <c r="E1817" s="15">
        <f t="shared" si="230"/>
        <v>1</v>
      </c>
      <c r="F1817" s="61">
        <v>45853</v>
      </c>
      <c r="G1817" s="25"/>
      <c r="H1817" s="14"/>
      <c r="I1817" s="31"/>
      <c r="J1817" s="15">
        <f t="shared" si="232"/>
        <v>0</v>
      </c>
    </row>
    <row r="1818" spans="2:10" x14ac:dyDescent="0.15">
      <c r="B1818" s="25" t="s">
        <v>263</v>
      </c>
      <c r="C1818" s="14">
        <v>1</v>
      </c>
      <c r="D1818" s="31">
        <v>3</v>
      </c>
      <c r="E1818" s="15">
        <f t="shared" si="230"/>
        <v>4</v>
      </c>
      <c r="F1818" s="61">
        <v>45852</v>
      </c>
      <c r="G1818" s="25"/>
      <c r="H1818" s="14"/>
      <c r="I1818" s="31"/>
      <c r="J1818" s="15">
        <f t="shared" si="232"/>
        <v>0</v>
      </c>
    </row>
    <row r="1819" spans="2:10" x14ac:dyDescent="0.15">
      <c r="B1819" s="25" t="s">
        <v>263</v>
      </c>
      <c r="C1819" s="14">
        <v>1</v>
      </c>
      <c r="D1819" s="31"/>
      <c r="E1819" s="15">
        <f t="shared" si="230"/>
        <v>1</v>
      </c>
      <c r="F1819" s="61">
        <v>45853</v>
      </c>
      <c r="G1819" s="25"/>
      <c r="H1819" s="14"/>
      <c r="I1819" s="31"/>
      <c r="J1819" s="15">
        <f t="shared" si="232"/>
        <v>0</v>
      </c>
    </row>
    <row r="1820" spans="2:10" x14ac:dyDescent="0.15">
      <c r="B1820" s="25" t="s">
        <v>263</v>
      </c>
      <c r="C1820" s="14">
        <v>1</v>
      </c>
      <c r="D1820" s="31"/>
      <c r="E1820" s="15">
        <f t="shared" si="230"/>
        <v>1</v>
      </c>
      <c r="F1820" s="61">
        <v>45856</v>
      </c>
      <c r="G1820" s="25"/>
      <c r="H1820" s="14"/>
      <c r="I1820" s="31"/>
      <c r="J1820" s="15">
        <f t="shared" si="232"/>
        <v>0</v>
      </c>
    </row>
    <row r="1821" spans="2:10" x14ac:dyDescent="0.15">
      <c r="B1821" s="25" t="s">
        <v>263</v>
      </c>
      <c r="C1821" s="14">
        <v>1</v>
      </c>
      <c r="D1821" s="31"/>
      <c r="E1821" s="15">
        <f t="shared" si="230"/>
        <v>1</v>
      </c>
      <c r="F1821" s="61">
        <v>45857</v>
      </c>
      <c r="G1821" s="25"/>
      <c r="H1821" s="14"/>
      <c r="I1821" s="31"/>
      <c r="J1821" s="15">
        <f t="shared" si="232"/>
        <v>0</v>
      </c>
    </row>
    <row r="1822" spans="2:10" x14ac:dyDescent="0.15">
      <c r="B1822" s="25" t="s">
        <v>263</v>
      </c>
      <c r="C1822" s="14">
        <v>4</v>
      </c>
      <c r="D1822" s="31"/>
      <c r="E1822" s="15">
        <f t="shared" si="230"/>
        <v>4</v>
      </c>
      <c r="F1822" s="61">
        <v>45860</v>
      </c>
      <c r="G1822" s="25"/>
      <c r="H1822" s="14"/>
      <c r="I1822" s="31"/>
      <c r="J1822" s="15">
        <f t="shared" si="232"/>
        <v>0</v>
      </c>
    </row>
    <row r="1823" spans="2:10" x14ac:dyDescent="0.15">
      <c r="B1823" s="25" t="s">
        <v>263</v>
      </c>
      <c r="C1823" s="14">
        <v>1</v>
      </c>
      <c r="D1823" s="31"/>
      <c r="E1823" s="15">
        <f t="shared" si="230"/>
        <v>1</v>
      </c>
      <c r="F1823" s="61">
        <v>45861</v>
      </c>
      <c r="G1823" s="25"/>
      <c r="H1823" s="14"/>
      <c r="I1823" s="31"/>
      <c r="J1823" s="15">
        <f t="shared" si="232"/>
        <v>0</v>
      </c>
    </row>
    <row r="1824" spans="2:10" x14ac:dyDescent="0.15">
      <c r="B1824" s="25" t="s">
        <v>263</v>
      </c>
      <c r="C1824" s="14">
        <v>1</v>
      </c>
      <c r="D1824" s="31">
        <v>1</v>
      </c>
      <c r="E1824" s="15">
        <f t="shared" si="230"/>
        <v>2</v>
      </c>
      <c r="F1824" s="61">
        <v>45866</v>
      </c>
      <c r="G1824" s="25"/>
      <c r="H1824" s="14"/>
      <c r="I1824" s="31"/>
      <c r="J1824" s="15">
        <f t="shared" si="232"/>
        <v>0</v>
      </c>
    </row>
    <row r="1825" spans="2:10" x14ac:dyDescent="0.15">
      <c r="B1825" s="25" t="s">
        <v>263</v>
      </c>
      <c r="C1825" s="14">
        <f>1+1</f>
        <v>2</v>
      </c>
      <c r="D1825" s="31"/>
      <c r="E1825" s="15">
        <f t="shared" si="230"/>
        <v>2</v>
      </c>
      <c r="F1825" s="61">
        <v>45868</v>
      </c>
      <c r="G1825" s="25"/>
      <c r="H1825" s="14"/>
      <c r="I1825" s="31"/>
      <c r="J1825" s="15">
        <f t="shared" si="232"/>
        <v>0</v>
      </c>
    </row>
    <row r="1826" spans="2:10" x14ac:dyDescent="0.15">
      <c r="B1826" s="25" t="s">
        <v>263</v>
      </c>
      <c r="C1826" s="14">
        <v>1</v>
      </c>
      <c r="D1826" s="31"/>
      <c r="E1826" s="15">
        <f t="shared" si="230"/>
        <v>1</v>
      </c>
      <c r="F1826" s="61">
        <v>45873</v>
      </c>
      <c r="G1826" s="25"/>
      <c r="H1826" s="14"/>
      <c r="I1826" s="31"/>
      <c r="J1826" s="15">
        <f t="shared" si="232"/>
        <v>0</v>
      </c>
    </row>
    <row r="1827" spans="2:10" x14ac:dyDescent="0.15">
      <c r="B1827" s="25" t="s">
        <v>263</v>
      </c>
      <c r="C1827" s="14">
        <v>1</v>
      </c>
      <c r="D1827" s="31"/>
      <c r="E1827" s="15">
        <f t="shared" si="230"/>
        <v>1</v>
      </c>
      <c r="F1827" s="61">
        <v>45874</v>
      </c>
      <c r="G1827" s="25"/>
      <c r="H1827" s="14"/>
      <c r="I1827" s="31"/>
      <c r="J1827" s="15">
        <f t="shared" si="232"/>
        <v>0</v>
      </c>
    </row>
    <row r="1828" spans="2:10" x14ac:dyDescent="0.15">
      <c r="B1828" s="25" t="s">
        <v>540</v>
      </c>
      <c r="C1828" s="14"/>
      <c r="D1828" s="31">
        <v>2</v>
      </c>
      <c r="E1828" s="15">
        <f t="shared" si="230"/>
        <v>2</v>
      </c>
      <c r="F1828" s="61">
        <v>45875</v>
      </c>
      <c r="G1828" s="25"/>
      <c r="H1828" s="14"/>
      <c r="I1828" s="31"/>
      <c r="J1828" s="15">
        <f t="shared" si="232"/>
        <v>0</v>
      </c>
    </row>
    <row r="1829" spans="2:10" x14ac:dyDescent="0.15">
      <c r="B1829" s="25" t="s">
        <v>263</v>
      </c>
      <c r="C1829" s="14">
        <v>1</v>
      </c>
      <c r="D1829" s="31"/>
      <c r="E1829" s="15">
        <f t="shared" si="230"/>
        <v>1</v>
      </c>
      <c r="F1829" s="61">
        <v>45888</v>
      </c>
      <c r="G1829" s="25"/>
      <c r="H1829" s="14"/>
      <c r="I1829" s="31"/>
      <c r="J1829" s="15">
        <f t="shared" si="232"/>
        <v>0</v>
      </c>
    </row>
    <row r="1830" spans="2:10" x14ac:dyDescent="0.15">
      <c r="B1830" s="25" t="s">
        <v>263</v>
      </c>
      <c r="C1830" s="14">
        <v>1</v>
      </c>
      <c r="D1830" s="31"/>
      <c r="E1830" s="15">
        <f t="shared" si="230"/>
        <v>1</v>
      </c>
      <c r="F1830" s="61">
        <v>45889</v>
      </c>
      <c r="G1830" s="25"/>
      <c r="H1830" s="14"/>
      <c r="I1830" s="31"/>
      <c r="J1830" s="15">
        <f t="shared" si="232"/>
        <v>0</v>
      </c>
    </row>
    <row r="1831" spans="2:10" x14ac:dyDescent="0.15">
      <c r="B1831" s="25" t="s">
        <v>263</v>
      </c>
      <c r="C1831" s="14">
        <v>3</v>
      </c>
      <c r="D1831" s="31"/>
      <c r="E1831" s="15">
        <f t="shared" si="230"/>
        <v>3</v>
      </c>
      <c r="F1831" s="61">
        <v>45895</v>
      </c>
      <c r="G1831" s="25"/>
      <c r="H1831" s="14"/>
      <c r="I1831" s="31"/>
      <c r="J1831" s="15">
        <f t="shared" si="232"/>
        <v>0</v>
      </c>
    </row>
    <row r="1832" spans="2:10" x14ac:dyDescent="0.15">
      <c r="B1832" s="25" t="s">
        <v>263</v>
      </c>
      <c r="C1832" s="14">
        <v>5</v>
      </c>
      <c r="D1832" s="31"/>
      <c r="E1832" s="15">
        <f t="shared" si="230"/>
        <v>5</v>
      </c>
      <c r="F1832" s="61">
        <v>45896</v>
      </c>
      <c r="G1832" s="25"/>
      <c r="H1832" s="14"/>
      <c r="I1832" s="31"/>
      <c r="J1832" s="15">
        <f t="shared" si="232"/>
        <v>0</v>
      </c>
    </row>
    <row r="1833" spans="2:10" x14ac:dyDescent="0.15">
      <c r="B1833" s="25" t="s">
        <v>263</v>
      </c>
      <c r="C1833" s="14">
        <v>2</v>
      </c>
      <c r="D1833" s="31"/>
      <c r="E1833" s="15">
        <f t="shared" si="230"/>
        <v>2</v>
      </c>
      <c r="F1833" s="61">
        <v>45901</v>
      </c>
      <c r="G1833" s="25"/>
      <c r="H1833" s="14"/>
      <c r="I1833" s="31"/>
      <c r="J1833" s="15">
        <f t="shared" si="232"/>
        <v>0</v>
      </c>
    </row>
    <row r="1834" spans="2:10" x14ac:dyDescent="0.15">
      <c r="B1834" s="25" t="s">
        <v>263</v>
      </c>
      <c r="C1834" s="14">
        <v>1</v>
      </c>
      <c r="D1834" s="31"/>
      <c r="E1834" s="15">
        <f t="shared" si="230"/>
        <v>1</v>
      </c>
      <c r="F1834" s="61">
        <v>45903</v>
      </c>
      <c r="G1834" s="25"/>
      <c r="H1834" s="14"/>
      <c r="I1834" s="31"/>
      <c r="J1834" s="15">
        <f t="shared" si="232"/>
        <v>0</v>
      </c>
    </row>
    <row r="1835" spans="2:10" x14ac:dyDescent="0.15">
      <c r="B1835" s="25" t="s">
        <v>263</v>
      </c>
      <c r="C1835" s="14"/>
      <c r="D1835" s="31">
        <v>2</v>
      </c>
      <c r="E1835" s="15">
        <f t="shared" si="230"/>
        <v>2</v>
      </c>
      <c r="F1835" s="61">
        <v>45906</v>
      </c>
      <c r="G1835" s="25"/>
      <c r="H1835" s="14"/>
      <c r="I1835" s="31"/>
      <c r="J1835" s="15">
        <f t="shared" si="232"/>
        <v>0</v>
      </c>
    </row>
    <row r="1836" spans="2:10" ht="14.25" thickBot="1" x14ac:dyDescent="0.2">
      <c r="B1836" s="25" t="s">
        <v>263</v>
      </c>
      <c r="C1836" s="14">
        <v>1</v>
      </c>
      <c r="D1836" s="31">
        <v>1</v>
      </c>
      <c r="E1836" s="15">
        <f t="shared" si="230"/>
        <v>2</v>
      </c>
      <c r="F1836" s="61">
        <v>45908</v>
      </c>
      <c r="G1836" s="25"/>
      <c r="H1836" s="14"/>
      <c r="I1836" s="31"/>
      <c r="J1836" s="15">
        <f t="shared" si="232"/>
        <v>0</v>
      </c>
    </row>
    <row r="1837" spans="2:10" ht="14.25" thickBot="1" x14ac:dyDescent="0.2">
      <c r="B1837" s="8" t="s">
        <v>2</v>
      </c>
      <c r="C1837" s="10">
        <f>SUM(C1812:C1836)</f>
        <v>44</v>
      </c>
      <c r="D1837" s="32">
        <f>SUM(D1812:D1836)</f>
        <v>16</v>
      </c>
      <c r="E1837" s="11">
        <f>C1837+D1837</f>
        <v>60</v>
      </c>
      <c r="G1837" s="8" t="s">
        <v>2</v>
      </c>
      <c r="H1837" s="10">
        <f>SUM(H1812:H1836)</f>
        <v>0</v>
      </c>
      <c r="I1837" s="32">
        <f>SUM(I1812:I1836)</f>
        <v>0</v>
      </c>
      <c r="J1837" s="11">
        <f t="shared" si="232"/>
        <v>0</v>
      </c>
    </row>
    <row r="1838" spans="2:10" ht="14.25" thickBot="1" x14ac:dyDescent="0.2">
      <c r="B1838" s="52" t="s">
        <v>3</v>
      </c>
      <c r="C1838" s="53">
        <f>+C1811-C1837</f>
        <v>88</v>
      </c>
      <c r="D1838" s="54">
        <f>+D1811-D1837</f>
        <v>209</v>
      </c>
      <c r="E1838" s="55">
        <f>C1838+D1838</f>
        <v>297</v>
      </c>
      <c r="G1838" s="52" t="s">
        <v>3</v>
      </c>
      <c r="H1838" s="87">
        <f>+H1811-H1837</f>
        <v>1600</v>
      </c>
      <c r="I1838" s="97">
        <f>+I1811-I1837</f>
        <v>1600</v>
      </c>
      <c r="J1838" s="95">
        <f>+J1811-J1837</f>
        <v>3200</v>
      </c>
    </row>
    <row r="1840" spans="2:10" ht="21" x14ac:dyDescent="0.2">
      <c r="B1840" s="76" t="s">
        <v>150</v>
      </c>
      <c r="G1840" s="75" t="s">
        <v>149</v>
      </c>
    </row>
    <row r="1841" spans="2:10" ht="18.75" x14ac:dyDescent="0.2">
      <c r="B1841" s="3" t="s">
        <v>11</v>
      </c>
      <c r="E1841" s="71"/>
      <c r="G1841" s="3" t="s">
        <v>11</v>
      </c>
    </row>
    <row r="1842" spans="2:10" ht="14.25" thickBot="1" x14ac:dyDescent="0.2">
      <c r="G1842" s="1"/>
    </row>
    <row r="1843" spans="2:10" ht="14.25" thickBot="1" x14ac:dyDescent="0.2">
      <c r="B1843" s="7"/>
      <c r="C1843" s="67"/>
      <c r="D1843" s="68"/>
      <c r="E1843" s="69"/>
      <c r="G1843" s="7"/>
      <c r="H1843" s="67"/>
      <c r="I1843" s="68"/>
      <c r="J1843" s="69"/>
    </row>
    <row r="1844" spans="2:10" ht="14.25" thickBot="1" x14ac:dyDescent="0.2">
      <c r="B1844" s="8"/>
      <c r="C1844" s="40" t="s">
        <v>7</v>
      </c>
      <c r="D1844" s="29" t="s">
        <v>9</v>
      </c>
      <c r="E1844" s="9" t="s">
        <v>0</v>
      </c>
      <c r="G1844" s="8"/>
      <c r="H1844" s="40" t="s">
        <v>7</v>
      </c>
      <c r="I1844" s="29" t="s">
        <v>9</v>
      </c>
      <c r="J1844" s="9" t="s">
        <v>0</v>
      </c>
    </row>
    <row r="1845" spans="2:10" x14ac:dyDescent="0.15">
      <c r="B1845" s="16" t="s">
        <v>4</v>
      </c>
      <c r="C1845" s="17">
        <f>C1838</f>
        <v>88</v>
      </c>
      <c r="D1845" s="35">
        <f>D1838</f>
        <v>209</v>
      </c>
      <c r="E1845" s="18">
        <f t="shared" ref="E1845:E1876" si="233">C1845+D1845</f>
        <v>297</v>
      </c>
      <c r="G1845" s="16" t="s">
        <v>4</v>
      </c>
      <c r="H1845" s="89">
        <f>H1838</f>
        <v>1600</v>
      </c>
      <c r="I1845" s="90">
        <f>I1838</f>
        <v>1600</v>
      </c>
      <c r="J1845" s="96">
        <f>J1838</f>
        <v>3200</v>
      </c>
    </row>
    <row r="1846" spans="2:10" x14ac:dyDescent="0.15">
      <c r="B1846" s="25" t="s">
        <v>5</v>
      </c>
      <c r="C1846" s="14"/>
      <c r="D1846" s="31"/>
      <c r="E1846" s="15">
        <f t="shared" ref="E1846" si="234">C1846+D1846</f>
        <v>0</v>
      </c>
      <c r="G1846" s="25" t="s">
        <v>5</v>
      </c>
      <c r="H1846" s="14"/>
      <c r="I1846" s="31"/>
      <c r="J1846" s="15">
        <f t="shared" ref="J1846:J1850" si="235">H1846+I1846</f>
        <v>0</v>
      </c>
    </row>
    <row r="1847" spans="2:10" x14ac:dyDescent="0.15">
      <c r="B1847" s="25" t="s">
        <v>5</v>
      </c>
      <c r="C1847" s="14"/>
      <c r="D1847" s="31"/>
      <c r="E1847" s="15">
        <f t="shared" si="233"/>
        <v>0</v>
      </c>
      <c r="G1847" s="25" t="s">
        <v>5</v>
      </c>
      <c r="H1847" s="14"/>
      <c r="I1847" s="31"/>
      <c r="J1847" s="15">
        <f t="shared" si="235"/>
        <v>0</v>
      </c>
    </row>
    <row r="1848" spans="2:10" x14ac:dyDescent="0.15">
      <c r="B1848" s="25" t="s">
        <v>5</v>
      </c>
      <c r="C1848" s="14"/>
      <c r="D1848" s="31"/>
      <c r="E1848" s="15">
        <f t="shared" si="233"/>
        <v>0</v>
      </c>
      <c r="G1848" s="25" t="s">
        <v>5</v>
      </c>
      <c r="H1848" s="14"/>
      <c r="I1848" s="31"/>
      <c r="J1848" s="15">
        <f t="shared" si="235"/>
        <v>0</v>
      </c>
    </row>
    <row r="1849" spans="2:10" x14ac:dyDescent="0.15">
      <c r="B1849" s="25" t="s">
        <v>5</v>
      </c>
      <c r="C1849" s="14"/>
      <c r="D1849" s="31"/>
      <c r="E1849" s="15">
        <f t="shared" si="233"/>
        <v>0</v>
      </c>
      <c r="G1849" s="25" t="s">
        <v>5</v>
      </c>
      <c r="H1849" s="14"/>
      <c r="I1849" s="31"/>
      <c r="J1849" s="15">
        <f t="shared" si="235"/>
        <v>0</v>
      </c>
    </row>
    <row r="1850" spans="2:10" ht="14.25" thickBot="1" x14ac:dyDescent="0.2">
      <c r="B1850" s="25" t="s">
        <v>5</v>
      </c>
      <c r="C1850" s="92"/>
      <c r="D1850" s="93"/>
      <c r="E1850" s="94">
        <f t="shared" si="233"/>
        <v>0</v>
      </c>
      <c r="G1850" s="25" t="s">
        <v>5</v>
      </c>
      <c r="H1850" s="92"/>
      <c r="I1850" s="93"/>
      <c r="J1850" s="94">
        <f t="shared" si="235"/>
        <v>0</v>
      </c>
    </row>
    <row r="1851" spans="2:10" ht="14.25" thickBot="1" x14ac:dyDescent="0.2">
      <c r="B1851" s="8" t="s">
        <v>1</v>
      </c>
      <c r="C1851" s="10">
        <f>SUM(C1845:C1850)</f>
        <v>88</v>
      </c>
      <c r="D1851" s="32">
        <f>SUM(D1845:D1850)</f>
        <v>209</v>
      </c>
      <c r="E1851" s="11">
        <f t="shared" si="233"/>
        <v>297</v>
      </c>
      <c r="G1851" s="8" t="s">
        <v>1</v>
      </c>
      <c r="H1851" s="10">
        <f>SUM(H1845:H1850)</f>
        <v>1600</v>
      </c>
      <c r="I1851" s="32">
        <f>SUM(I1845:I1850)</f>
        <v>1600</v>
      </c>
      <c r="J1851" s="11">
        <f>SUM(J1845:J1850)</f>
        <v>3200</v>
      </c>
    </row>
    <row r="1852" spans="2:10" x14ac:dyDescent="0.15">
      <c r="B1852" s="25" t="s">
        <v>263</v>
      </c>
      <c r="C1852" s="14">
        <v>1</v>
      </c>
      <c r="D1852" s="31"/>
      <c r="E1852" s="15">
        <f t="shared" si="233"/>
        <v>1</v>
      </c>
      <c r="F1852" s="61">
        <v>45910</v>
      </c>
      <c r="G1852" s="25"/>
      <c r="H1852" s="14"/>
      <c r="I1852" s="31"/>
      <c r="J1852" s="15">
        <f t="shared" ref="J1852:J1877" si="236">H1852+I1852</f>
        <v>0</v>
      </c>
    </row>
    <row r="1853" spans="2:10" x14ac:dyDescent="0.15">
      <c r="B1853" s="25" t="s">
        <v>263</v>
      </c>
      <c r="C1853" s="14">
        <v>2</v>
      </c>
      <c r="D1853" s="31"/>
      <c r="E1853" s="15">
        <f t="shared" si="233"/>
        <v>2</v>
      </c>
      <c r="F1853" s="61">
        <v>45911</v>
      </c>
      <c r="G1853" s="25"/>
      <c r="H1853" s="14"/>
      <c r="I1853" s="31"/>
      <c r="J1853" s="15">
        <f t="shared" si="236"/>
        <v>0</v>
      </c>
    </row>
    <row r="1854" spans="2:10" x14ac:dyDescent="0.15">
      <c r="B1854" s="25" t="s">
        <v>263</v>
      </c>
      <c r="C1854" s="14">
        <v>7</v>
      </c>
      <c r="D1854" s="31"/>
      <c r="E1854" s="15">
        <f t="shared" si="233"/>
        <v>7</v>
      </c>
      <c r="F1854" s="61">
        <v>45916</v>
      </c>
      <c r="G1854" s="25"/>
      <c r="H1854" s="14"/>
      <c r="I1854" s="31"/>
      <c r="J1854" s="15">
        <f t="shared" si="236"/>
        <v>0</v>
      </c>
    </row>
    <row r="1855" spans="2:10" x14ac:dyDescent="0.15">
      <c r="B1855" s="25" t="s">
        <v>263</v>
      </c>
      <c r="C1855" s="14"/>
      <c r="D1855" s="31">
        <v>1</v>
      </c>
      <c r="E1855" s="15">
        <f t="shared" si="233"/>
        <v>1</v>
      </c>
      <c r="F1855" s="61">
        <v>45917</v>
      </c>
      <c r="G1855" s="25"/>
      <c r="H1855" s="14"/>
      <c r="I1855" s="31"/>
      <c r="J1855" s="15">
        <f t="shared" si="236"/>
        <v>0</v>
      </c>
    </row>
    <row r="1856" spans="2:10" x14ac:dyDescent="0.15">
      <c r="B1856" s="25" t="s">
        <v>263</v>
      </c>
      <c r="C1856" s="14">
        <v>1</v>
      </c>
      <c r="D1856" s="31"/>
      <c r="E1856" s="15">
        <f t="shared" si="233"/>
        <v>1</v>
      </c>
      <c r="F1856" s="61">
        <v>45918</v>
      </c>
      <c r="G1856" s="25"/>
      <c r="H1856" s="14"/>
      <c r="I1856" s="31"/>
      <c r="J1856" s="15">
        <f t="shared" si="236"/>
        <v>0</v>
      </c>
    </row>
    <row r="1857" spans="2:10" x14ac:dyDescent="0.15">
      <c r="B1857" s="25" t="s">
        <v>263</v>
      </c>
      <c r="C1857" s="14">
        <f>1+2+3</f>
        <v>6</v>
      </c>
      <c r="D1857" s="31">
        <f>1+3</f>
        <v>4</v>
      </c>
      <c r="E1857" s="15">
        <f t="shared" si="233"/>
        <v>10</v>
      </c>
      <c r="F1857" s="61">
        <v>45922</v>
      </c>
      <c r="G1857" s="25"/>
      <c r="H1857" s="14"/>
      <c r="I1857" s="31"/>
      <c r="J1857" s="15">
        <f t="shared" si="236"/>
        <v>0</v>
      </c>
    </row>
    <row r="1858" spans="2:10" x14ac:dyDescent="0.15">
      <c r="B1858" s="25" t="s">
        <v>263</v>
      </c>
      <c r="C1858" s="14">
        <v>1</v>
      </c>
      <c r="D1858" s="31"/>
      <c r="E1858" s="15">
        <f t="shared" si="233"/>
        <v>1</v>
      </c>
      <c r="F1858" s="61">
        <v>45924</v>
      </c>
      <c r="G1858" s="25"/>
      <c r="H1858" s="14"/>
      <c r="I1858" s="31"/>
      <c r="J1858" s="15">
        <f t="shared" si="236"/>
        <v>0</v>
      </c>
    </row>
    <row r="1859" spans="2:10" x14ac:dyDescent="0.15">
      <c r="B1859" s="25" t="s">
        <v>263</v>
      </c>
      <c r="C1859" s="14">
        <v>1</v>
      </c>
      <c r="D1859" s="31"/>
      <c r="E1859" s="15">
        <f t="shared" si="233"/>
        <v>1</v>
      </c>
      <c r="F1859" s="61">
        <v>45925</v>
      </c>
      <c r="G1859" s="25"/>
      <c r="H1859" s="14"/>
      <c r="I1859" s="31"/>
      <c r="J1859" s="15">
        <f t="shared" si="236"/>
        <v>0</v>
      </c>
    </row>
    <row r="1860" spans="2:10" x14ac:dyDescent="0.15">
      <c r="B1860" s="25" t="s">
        <v>263</v>
      </c>
      <c r="C1860" s="14">
        <v>2</v>
      </c>
      <c r="D1860" s="31"/>
      <c r="E1860" s="15">
        <f t="shared" si="233"/>
        <v>2</v>
      </c>
      <c r="F1860" s="61">
        <v>45930</v>
      </c>
      <c r="G1860" s="25"/>
      <c r="H1860" s="14"/>
      <c r="I1860" s="31"/>
      <c r="J1860" s="15">
        <f t="shared" si="236"/>
        <v>0</v>
      </c>
    </row>
    <row r="1861" spans="2:10" x14ac:dyDescent="0.15">
      <c r="B1861" s="25" t="s">
        <v>263</v>
      </c>
      <c r="C1861" s="14">
        <v>1</v>
      </c>
      <c r="D1861" s="31"/>
      <c r="E1861" s="15">
        <f t="shared" si="233"/>
        <v>1</v>
      </c>
      <c r="F1861" s="61">
        <v>45931</v>
      </c>
      <c r="G1861" s="25"/>
      <c r="H1861" s="14"/>
      <c r="I1861" s="31"/>
      <c r="J1861" s="15">
        <f t="shared" si="236"/>
        <v>0</v>
      </c>
    </row>
    <row r="1862" spans="2:10" x14ac:dyDescent="0.15">
      <c r="B1862" s="25" t="s">
        <v>562</v>
      </c>
      <c r="C1862" s="14">
        <v>2</v>
      </c>
      <c r="D1862" s="31"/>
      <c r="E1862" s="15">
        <f t="shared" si="233"/>
        <v>2</v>
      </c>
      <c r="F1862" s="61">
        <v>45934</v>
      </c>
      <c r="G1862" s="25"/>
      <c r="H1862" s="14"/>
      <c r="I1862" s="31"/>
      <c r="J1862" s="15">
        <f t="shared" si="236"/>
        <v>0</v>
      </c>
    </row>
    <row r="1863" spans="2:10" x14ac:dyDescent="0.15">
      <c r="B1863" s="25" t="s">
        <v>263</v>
      </c>
      <c r="C1863" s="14">
        <v>3</v>
      </c>
      <c r="D1863" s="31"/>
      <c r="E1863" s="15">
        <f t="shared" si="233"/>
        <v>3</v>
      </c>
      <c r="F1863" s="61">
        <v>45936</v>
      </c>
      <c r="G1863" s="25"/>
      <c r="H1863" s="14"/>
      <c r="I1863" s="31"/>
      <c r="J1863" s="15">
        <f t="shared" si="236"/>
        <v>0</v>
      </c>
    </row>
    <row r="1864" spans="2:10" x14ac:dyDescent="0.15">
      <c r="B1864" s="25" t="s">
        <v>263</v>
      </c>
      <c r="C1864" s="14">
        <v>1</v>
      </c>
      <c r="D1864" s="31"/>
      <c r="E1864" s="15">
        <f t="shared" si="233"/>
        <v>1</v>
      </c>
      <c r="F1864" s="61">
        <v>45938</v>
      </c>
      <c r="G1864" s="25"/>
      <c r="H1864" s="14"/>
      <c r="I1864" s="31"/>
      <c r="J1864" s="15">
        <f t="shared" si="236"/>
        <v>0</v>
      </c>
    </row>
    <row r="1865" spans="2:10" x14ac:dyDescent="0.15">
      <c r="B1865" s="25" t="s">
        <v>263</v>
      </c>
      <c r="C1865" s="14">
        <v>2</v>
      </c>
      <c r="D1865" s="31"/>
      <c r="E1865" s="15">
        <f t="shared" si="233"/>
        <v>2</v>
      </c>
      <c r="F1865" s="61">
        <v>45940</v>
      </c>
      <c r="G1865" s="25"/>
      <c r="H1865" s="14"/>
      <c r="I1865" s="31"/>
      <c r="J1865" s="15">
        <f t="shared" si="236"/>
        <v>0</v>
      </c>
    </row>
    <row r="1866" spans="2:10" x14ac:dyDescent="0.15">
      <c r="B1866" s="25" t="s">
        <v>540</v>
      </c>
      <c r="C1866" s="14">
        <v>2</v>
      </c>
      <c r="D1866" s="31">
        <v>2</v>
      </c>
      <c r="E1866" s="15">
        <f t="shared" si="233"/>
        <v>4</v>
      </c>
      <c r="F1866" s="61">
        <v>45945</v>
      </c>
      <c r="G1866" s="25"/>
      <c r="H1866" s="14"/>
      <c r="I1866" s="31"/>
      <c r="J1866" s="15">
        <f t="shared" si="236"/>
        <v>0</v>
      </c>
    </row>
    <row r="1867" spans="2:10" x14ac:dyDescent="0.15">
      <c r="B1867" s="25" t="s">
        <v>263</v>
      </c>
      <c r="C1867" s="14">
        <v>3</v>
      </c>
      <c r="D1867" s="31"/>
      <c r="E1867" s="15">
        <f t="shared" si="233"/>
        <v>3</v>
      </c>
      <c r="F1867" s="61">
        <v>45944</v>
      </c>
      <c r="G1867" s="25"/>
      <c r="H1867" s="14"/>
      <c r="I1867" s="31"/>
      <c r="J1867" s="15">
        <f t="shared" si="236"/>
        <v>0</v>
      </c>
    </row>
    <row r="1868" spans="2:10" x14ac:dyDescent="0.15">
      <c r="B1868" s="25" t="s">
        <v>263</v>
      </c>
      <c r="C1868" s="14">
        <v>5</v>
      </c>
      <c r="D1868" s="31">
        <v>1</v>
      </c>
      <c r="E1868" s="15">
        <f t="shared" si="233"/>
        <v>6</v>
      </c>
      <c r="F1868" s="61">
        <v>45945</v>
      </c>
      <c r="G1868" s="25"/>
      <c r="H1868" s="14"/>
      <c r="I1868" s="31"/>
      <c r="J1868" s="15">
        <f t="shared" si="236"/>
        <v>0</v>
      </c>
    </row>
    <row r="1869" spans="2:10" x14ac:dyDescent="0.15">
      <c r="B1869" s="25" t="s">
        <v>263</v>
      </c>
      <c r="C1869" s="14">
        <v>2</v>
      </c>
      <c r="D1869" s="31">
        <v>1</v>
      </c>
      <c r="E1869" s="15">
        <f t="shared" si="233"/>
        <v>3</v>
      </c>
      <c r="F1869" s="61">
        <v>45946</v>
      </c>
      <c r="G1869" s="25"/>
      <c r="H1869" s="14"/>
      <c r="I1869" s="31"/>
      <c r="J1869" s="15">
        <f t="shared" si="236"/>
        <v>0</v>
      </c>
    </row>
    <row r="1870" spans="2:10" x14ac:dyDescent="0.15">
      <c r="B1870" s="25" t="s">
        <v>263</v>
      </c>
      <c r="C1870" s="14">
        <f>1+3</f>
        <v>4</v>
      </c>
      <c r="D1870" s="31"/>
      <c r="E1870" s="15">
        <f t="shared" si="233"/>
        <v>4</v>
      </c>
      <c r="F1870" s="61">
        <v>45947</v>
      </c>
      <c r="G1870" s="25"/>
      <c r="H1870" s="14"/>
      <c r="I1870" s="31"/>
      <c r="J1870" s="15">
        <f t="shared" si="236"/>
        <v>0</v>
      </c>
    </row>
    <row r="1871" spans="2:10" x14ac:dyDescent="0.15">
      <c r="B1871" s="25" t="s">
        <v>263</v>
      </c>
      <c r="C1871" s="14">
        <v>1</v>
      </c>
      <c r="D1871" s="31"/>
      <c r="E1871" s="15">
        <f t="shared" si="233"/>
        <v>1</v>
      </c>
      <c r="F1871" s="61">
        <v>45948</v>
      </c>
      <c r="G1871" s="25"/>
      <c r="H1871" s="14"/>
      <c r="I1871" s="31"/>
      <c r="J1871" s="15">
        <f t="shared" si="236"/>
        <v>0</v>
      </c>
    </row>
    <row r="1872" spans="2:10" x14ac:dyDescent="0.15">
      <c r="B1872" s="25" t="s">
        <v>143</v>
      </c>
      <c r="C1872" s="14"/>
      <c r="D1872" s="31">
        <v>-3</v>
      </c>
      <c r="E1872" s="15">
        <f t="shared" si="233"/>
        <v>-3</v>
      </c>
      <c r="F1872" s="61">
        <v>45948</v>
      </c>
      <c r="G1872" s="25"/>
      <c r="H1872" s="14"/>
      <c r="I1872" s="31"/>
      <c r="J1872" s="15">
        <f t="shared" si="236"/>
        <v>0</v>
      </c>
    </row>
    <row r="1873" spans="2:10" x14ac:dyDescent="0.15">
      <c r="B1873" s="25" t="s">
        <v>143</v>
      </c>
      <c r="C1873" s="14"/>
      <c r="D1873" s="31">
        <v>-1</v>
      </c>
      <c r="E1873" s="15">
        <f t="shared" si="233"/>
        <v>-1</v>
      </c>
      <c r="F1873" s="61">
        <v>45951</v>
      </c>
      <c r="G1873" s="25"/>
      <c r="H1873" s="14"/>
      <c r="I1873" s="31"/>
      <c r="J1873" s="15">
        <f t="shared" si="236"/>
        <v>0</v>
      </c>
    </row>
    <row r="1874" spans="2:10" x14ac:dyDescent="0.15">
      <c r="B1874" s="25" t="s">
        <v>263</v>
      </c>
      <c r="C1874" s="14">
        <v>1</v>
      </c>
      <c r="D1874" s="31"/>
      <c r="E1874" s="15">
        <f t="shared" si="233"/>
        <v>1</v>
      </c>
      <c r="F1874" s="61">
        <v>45954</v>
      </c>
      <c r="G1874" s="25"/>
      <c r="H1874" s="14"/>
      <c r="I1874" s="31"/>
      <c r="J1874" s="15">
        <f t="shared" si="236"/>
        <v>0</v>
      </c>
    </row>
    <row r="1875" spans="2:10" x14ac:dyDescent="0.15">
      <c r="B1875" s="25" t="s">
        <v>263</v>
      </c>
      <c r="C1875" s="14">
        <v>11</v>
      </c>
      <c r="D1875" s="31">
        <v>5</v>
      </c>
      <c r="E1875" s="15">
        <f t="shared" si="233"/>
        <v>16</v>
      </c>
      <c r="F1875" s="61">
        <v>45957</v>
      </c>
      <c r="G1875" s="25"/>
      <c r="H1875" s="14"/>
      <c r="I1875" s="31"/>
      <c r="J1875" s="15">
        <f t="shared" si="236"/>
        <v>0</v>
      </c>
    </row>
    <row r="1876" spans="2:10" ht="14.25" thickBot="1" x14ac:dyDescent="0.2">
      <c r="B1876" s="25" t="s">
        <v>263</v>
      </c>
      <c r="C1876" s="14">
        <v>3</v>
      </c>
      <c r="D1876" s="31">
        <v>1</v>
      </c>
      <c r="E1876" s="15">
        <f t="shared" si="233"/>
        <v>4</v>
      </c>
      <c r="F1876" s="61">
        <v>45958</v>
      </c>
      <c r="G1876" s="25"/>
      <c r="H1876" s="14"/>
      <c r="I1876" s="31"/>
      <c r="J1876" s="15">
        <f t="shared" si="236"/>
        <v>0</v>
      </c>
    </row>
    <row r="1877" spans="2:10" ht="14.25" thickBot="1" x14ac:dyDescent="0.2">
      <c r="B1877" s="8" t="s">
        <v>2</v>
      </c>
      <c r="C1877" s="10">
        <f>SUM(C1852:C1876)</f>
        <v>62</v>
      </c>
      <c r="D1877" s="32">
        <f>SUM(D1852:D1876)</f>
        <v>11</v>
      </c>
      <c r="E1877" s="11">
        <f>C1877+D1877</f>
        <v>73</v>
      </c>
      <c r="G1877" s="8" t="s">
        <v>2</v>
      </c>
      <c r="H1877" s="10">
        <f>SUM(H1852:H1876)</f>
        <v>0</v>
      </c>
      <c r="I1877" s="32">
        <f>SUM(I1852:I1876)</f>
        <v>0</v>
      </c>
      <c r="J1877" s="11">
        <f t="shared" si="236"/>
        <v>0</v>
      </c>
    </row>
    <row r="1878" spans="2:10" ht="14.25" thickBot="1" x14ac:dyDescent="0.2">
      <c r="B1878" s="52" t="s">
        <v>3</v>
      </c>
      <c r="C1878" s="53">
        <f>+C1851-C1877</f>
        <v>26</v>
      </c>
      <c r="D1878" s="54">
        <f>+D1851-D1877</f>
        <v>198</v>
      </c>
      <c r="E1878" s="55">
        <f>C1878+D1878</f>
        <v>224</v>
      </c>
      <c r="G1878" s="52" t="s">
        <v>3</v>
      </c>
      <c r="H1878" s="87">
        <f>+H1851-H1877</f>
        <v>1600</v>
      </c>
      <c r="I1878" s="97">
        <f>+I1851-I1877</f>
        <v>1600</v>
      </c>
      <c r="J1878" s="95">
        <f>+J1851-J1877</f>
        <v>3200</v>
      </c>
    </row>
    <row r="1880" spans="2:10" ht="21" x14ac:dyDescent="0.2">
      <c r="B1880" s="76" t="s">
        <v>150</v>
      </c>
      <c r="G1880" s="75" t="s">
        <v>149</v>
      </c>
    </row>
    <row r="1881" spans="2:10" ht="18.75" x14ac:dyDescent="0.2">
      <c r="B1881" s="3" t="s">
        <v>11</v>
      </c>
      <c r="E1881" s="71"/>
      <c r="G1881" s="3" t="s">
        <v>11</v>
      </c>
    </row>
    <row r="1882" spans="2:10" ht="14.25" thickBot="1" x14ac:dyDescent="0.2">
      <c r="G1882" s="1"/>
    </row>
    <row r="1883" spans="2:10" ht="14.25" thickBot="1" x14ac:dyDescent="0.2">
      <c r="B1883" s="7"/>
      <c r="C1883" s="67"/>
      <c r="D1883" s="68"/>
      <c r="E1883" s="69"/>
      <c r="G1883" s="7"/>
      <c r="H1883" s="67"/>
      <c r="I1883" s="68"/>
      <c r="J1883" s="69"/>
    </row>
    <row r="1884" spans="2:10" ht="14.25" thickBot="1" x14ac:dyDescent="0.2">
      <c r="B1884" s="8"/>
      <c r="C1884" s="40" t="s">
        <v>7</v>
      </c>
      <c r="D1884" s="29" t="s">
        <v>9</v>
      </c>
      <c r="E1884" s="9" t="s">
        <v>0</v>
      </c>
      <c r="G1884" s="8"/>
      <c r="H1884" s="40" t="s">
        <v>7</v>
      </c>
      <c r="I1884" s="29" t="s">
        <v>9</v>
      </c>
      <c r="J1884" s="9" t="s">
        <v>0</v>
      </c>
    </row>
    <row r="1885" spans="2:10" x14ac:dyDescent="0.15">
      <c r="B1885" s="16" t="s">
        <v>4</v>
      </c>
      <c r="C1885" s="17">
        <f>C1878</f>
        <v>26</v>
      </c>
      <c r="D1885" s="35">
        <f>D1878</f>
        <v>198</v>
      </c>
      <c r="E1885" s="18">
        <f t="shared" ref="E1885:E1916" si="237">C1885+D1885</f>
        <v>224</v>
      </c>
      <c r="G1885" s="16" t="s">
        <v>4</v>
      </c>
      <c r="H1885" s="89">
        <f>H1878</f>
        <v>1600</v>
      </c>
      <c r="I1885" s="90">
        <f>I1878</f>
        <v>1600</v>
      </c>
      <c r="J1885" s="96">
        <f>J1878</f>
        <v>3200</v>
      </c>
    </row>
    <row r="1886" spans="2:10" x14ac:dyDescent="0.15">
      <c r="B1886" s="25" t="s">
        <v>5</v>
      </c>
      <c r="C1886" s="14">
        <v>400</v>
      </c>
      <c r="D1886" s="31"/>
      <c r="E1886" s="15">
        <f t="shared" si="237"/>
        <v>400</v>
      </c>
      <c r="F1886" s="61">
        <v>45962</v>
      </c>
      <c r="G1886" s="25" t="s">
        <v>5</v>
      </c>
      <c r="H1886" s="14"/>
      <c r="I1886" s="31"/>
      <c r="J1886" s="15">
        <f t="shared" ref="J1886:J1890" si="238">H1886+I1886</f>
        <v>0</v>
      </c>
    </row>
    <row r="1887" spans="2:10" x14ac:dyDescent="0.15">
      <c r="B1887" s="25" t="s">
        <v>5</v>
      </c>
      <c r="C1887" s="14"/>
      <c r="D1887" s="31"/>
      <c r="E1887" s="15">
        <f t="shared" si="237"/>
        <v>0</v>
      </c>
      <c r="G1887" s="25" t="s">
        <v>5</v>
      </c>
      <c r="H1887" s="14"/>
      <c r="I1887" s="31"/>
      <c r="J1887" s="15">
        <f t="shared" si="238"/>
        <v>0</v>
      </c>
    </row>
    <row r="1888" spans="2:10" x14ac:dyDescent="0.15">
      <c r="B1888" s="25" t="s">
        <v>5</v>
      </c>
      <c r="C1888" s="14"/>
      <c r="D1888" s="31"/>
      <c r="E1888" s="15">
        <f t="shared" si="237"/>
        <v>0</v>
      </c>
      <c r="G1888" s="25" t="s">
        <v>5</v>
      </c>
      <c r="H1888" s="14"/>
      <c r="I1888" s="31"/>
      <c r="J1888" s="15">
        <f t="shared" si="238"/>
        <v>0</v>
      </c>
    </row>
    <row r="1889" spans="2:11" x14ac:dyDescent="0.15">
      <c r="B1889" s="25" t="s">
        <v>5</v>
      </c>
      <c r="C1889" s="14"/>
      <c r="D1889" s="31"/>
      <c r="E1889" s="15">
        <f t="shared" si="237"/>
        <v>0</v>
      </c>
      <c r="G1889" s="25" t="s">
        <v>5</v>
      </c>
      <c r="H1889" s="14"/>
      <c r="I1889" s="31"/>
      <c r="J1889" s="15">
        <f t="shared" si="238"/>
        <v>0</v>
      </c>
    </row>
    <row r="1890" spans="2:11" ht="14.25" thickBot="1" x14ac:dyDescent="0.2">
      <c r="B1890" s="25" t="s">
        <v>5</v>
      </c>
      <c r="C1890" s="92"/>
      <c r="D1890" s="93"/>
      <c r="E1890" s="94">
        <f t="shared" si="237"/>
        <v>0</v>
      </c>
      <c r="G1890" s="25" t="s">
        <v>5</v>
      </c>
      <c r="H1890" s="92"/>
      <c r="I1890" s="93"/>
      <c r="J1890" s="94">
        <f t="shared" si="238"/>
        <v>0</v>
      </c>
    </row>
    <row r="1891" spans="2:11" ht="14.25" thickBot="1" x14ac:dyDescent="0.2">
      <c r="B1891" s="8" t="s">
        <v>1</v>
      </c>
      <c r="C1891" s="10">
        <f>SUM(C1885:C1890)</f>
        <v>426</v>
      </c>
      <c r="D1891" s="32">
        <f>SUM(D1885:D1890)</f>
        <v>198</v>
      </c>
      <c r="E1891" s="11">
        <f t="shared" si="237"/>
        <v>624</v>
      </c>
      <c r="G1891" s="8" t="s">
        <v>1</v>
      </c>
      <c r="H1891" s="10">
        <f>SUM(H1885:H1890)</f>
        <v>1600</v>
      </c>
      <c r="I1891" s="32">
        <f>SUM(I1885:I1890)</f>
        <v>1600</v>
      </c>
      <c r="J1891" s="11">
        <f>SUM(J1885:J1890)</f>
        <v>3200</v>
      </c>
    </row>
    <row r="1892" spans="2:11" x14ac:dyDescent="0.15">
      <c r="B1892" s="113" t="s">
        <v>540</v>
      </c>
      <c r="C1892" s="114">
        <v>2</v>
      </c>
      <c r="D1892" s="115">
        <v>1</v>
      </c>
      <c r="E1892" s="116">
        <f t="shared" ref="E1892:E1913" si="239">C1892+D1892</f>
        <v>3</v>
      </c>
      <c r="F1892" s="117">
        <v>45960</v>
      </c>
      <c r="G1892" s="25" t="s">
        <v>564</v>
      </c>
      <c r="H1892" s="14">
        <v>400</v>
      </c>
      <c r="I1892" s="31"/>
      <c r="J1892" s="15">
        <f t="shared" ref="J1892:J1917" si="240">H1892+I1892</f>
        <v>400</v>
      </c>
      <c r="K1892" s="61">
        <v>45962</v>
      </c>
    </row>
    <row r="1893" spans="2:11" x14ac:dyDescent="0.15">
      <c r="B1893" s="25" t="s">
        <v>563</v>
      </c>
      <c r="C1893" s="14">
        <v>3</v>
      </c>
      <c r="D1893" s="31">
        <v>1</v>
      </c>
      <c r="E1893" s="15">
        <f t="shared" si="239"/>
        <v>4</v>
      </c>
      <c r="F1893" s="61">
        <v>45960</v>
      </c>
      <c r="G1893" s="25"/>
      <c r="H1893" s="14"/>
      <c r="I1893" s="31"/>
      <c r="J1893" s="15">
        <f t="shared" si="240"/>
        <v>0</v>
      </c>
    </row>
    <row r="1894" spans="2:11" x14ac:dyDescent="0.15">
      <c r="B1894" s="25" t="s">
        <v>263</v>
      </c>
      <c r="C1894" s="14">
        <v>2</v>
      </c>
      <c r="D1894" s="31">
        <v>2</v>
      </c>
      <c r="E1894" s="15">
        <f t="shared" si="239"/>
        <v>4</v>
      </c>
      <c r="F1894" s="61">
        <v>45961</v>
      </c>
      <c r="G1894" s="25"/>
      <c r="H1894" s="14"/>
      <c r="I1894" s="31"/>
      <c r="J1894" s="15">
        <f t="shared" si="240"/>
        <v>0</v>
      </c>
    </row>
    <row r="1895" spans="2:11" x14ac:dyDescent="0.15">
      <c r="B1895" s="25" t="s">
        <v>263</v>
      </c>
      <c r="C1895" s="14">
        <v>8</v>
      </c>
      <c r="D1895" s="31"/>
      <c r="E1895" s="15">
        <f t="shared" si="239"/>
        <v>8</v>
      </c>
      <c r="F1895" s="61">
        <v>45965</v>
      </c>
      <c r="G1895" s="25"/>
      <c r="H1895" s="14"/>
      <c r="I1895" s="31"/>
      <c r="J1895" s="15">
        <f t="shared" si="240"/>
        <v>0</v>
      </c>
    </row>
    <row r="1896" spans="2:11" x14ac:dyDescent="0.15">
      <c r="B1896" s="25" t="s">
        <v>540</v>
      </c>
      <c r="C1896" s="14">
        <v>1</v>
      </c>
      <c r="D1896" s="31"/>
      <c r="E1896" s="15">
        <f t="shared" si="239"/>
        <v>1</v>
      </c>
      <c r="F1896" s="61">
        <v>45967</v>
      </c>
      <c r="G1896" s="25"/>
      <c r="H1896" s="14"/>
      <c r="I1896" s="31"/>
      <c r="J1896" s="15">
        <f t="shared" si="240"/>
        <v>0</v>
      </c>
    </row>
    <row r="1897" spans="2:11" x14ac:dyDescent="0.15">
      <c r="B1897" s="25" t="s">
        <v>263</v>
      </c>
      <c r="C1897" s="14">
        <v>2</v>
      </c>
      <c r="D1897" s="31"/>
      <c r="E1897" s="15">
        <f t="shared" si="239"/>
        <v>2</v>
      </c>
      <c r="F1897" s="61">
        <v>45967</v>
      </c>
      <c r="G1897" s="25"/>
      <c r="H1897" s="14"/>
      <c r="I1897" s="31"/>
      <c r="J1897" s="15">
        <f t="shared" si="240"/>
        <v>0</v>
      </c>
    </row>
    <row r="1898" spans="2:11" x14ac:dyDescent="0.15">
      <c r="B1898" s="25" t="s">
        <v>263</v>
      </c>
      <c r="C1898" s="14">
        <v>1</v>
      </c>
      <c r="D1898" s="31"/>
      <c r="E1898" s="15">
        <f t="shared" si="239"/>
        <v>1</v>
      </c>
      <c r="F1898" s="61">
        <v>45968</v>
      </c>
      <c r="G1898" s="25"/>
      <c r="H1898" s="14"/>
      <c r="I1898" s="31"/>
      <c r="J1898" s="15">
        <f t="shared" si="240"/>
        <v>0</v>
      </c>
    </row>
    <row r="1899" spans="2:11" x14ac:dyDescent="0.15">
      <c r="B1899" s="25" t="s">
        <v>540</v>
      </c>
      <c r="C1899" s="14">
        <v>2</v>
      </c>
      <c r="D1899" s="31"/>
      <c r="E1899" s="15">
        <f t="shared" si="239"/>
        <v>2</v>
      </c>
      <c r="F1899" s="61">
        <v>45972</v>
      </c>
      <c r="G1899" s="25"/>
      <c r="H1899" s="14"/>
      <c r="I1899" s="31"/>
      <c r="J1899" s="15">
        <f t="shared" si="240"/>
        <v>0</v>
      </c>
    </row>
    <row r="1900" spans="2:11" x14ac:dyDescent="0.15">
      <c r="B1900" s="25" t="s">
        <v>263</v>
      </c>
      <c r="C1900" s="14">
        <v>9</v>
      </c>
      <c r="D1900" s="31"/>
      <c r="E1900" s="15">
        <f t="shared" si="239"/>
        <v>9</v>
      </c>
      <c r="F1900" s="61">
        <v>45971</v>
      </c>
      <c r="G1900" s="25"/>
      <c r="H1900" s="14"/>
      <c r="I1900" s="31"/>
      <c r="J1900" s="15">
        <f t="shared" si="240"/>
        <v>0</v>
      </c>
    </row>
    <row r="1901" spans="2:11" x14ac:dyDescent="0.15">
      <c r="B1901" s="25" t="s">
        <v>263</v>
      </c>
      <c r="C1901" s="14">
        <v>4</v>
      </c>
      <c r="D1901" s="31">
        <v>3</v>
      </c>
      <c r="E1901" s="15">
        <f t="shared" si="239"/>
        <v>7</v>
      </c>
      <c r="F1901" s="61">
        <v>45973</v>
      </c>
      <c r="G1901" s="25"/>
      <c r="H1901" s="14"/>
      <c r="I1901" s="31"/>
      <c r="J1901" s="15">
        <f t="shared" si="240"/>
        <v>0</v>
      </c>
    </row>
    <row r="1902" spans="2:11" x14ac:dyDescent="0.15">
      <c r="B1902" s="25" t="s">
        <v>263</v>
      </c>
      <c r="C1902" s="14">
        <v>5</v>
      </c>
      <c r="D1902" s="31"/>
      <c r="E1902" s="15">
        <f t="shared" si="239"/>
        <v>5</v>
      </c>
      <c r="F1902" s="61">
        <v>45978</v>
      </c>
      <c r="G1902" s="25"/>
      <c r="H1902" s="14"/>
      <c r="I1902" s="31"/>
      <c r="J1902" s="15">
        <f t="shared" si="240"/>
        <v>0</v>
      </c>
    </row>
    <row r="1903" spans="2:11" x14ac:dyDescent="0.15">
      <c r="B1903" s="25" t="s">
        <v>263</v>
      </c>
      <c r="C1903" s="14">
        <v>3</v>
      </c>
      <c r="D1903" s="31"/>
      <c r="E1903" s="15">
        <f t="shared" si="239"/>
        <v>3</v>
      </c>
      <c r="F1903" s="61">
        <v>45979</v>
      </c>
      <c r="G1903" s="25"/>
      <c r="H1903" s="14"/>
      <c r="I1903" s="31"/>
      <c r="J1903" s="15">
        <f t="shared" si="240"/>
        <v>0</v>
      </c>
    </row>
    <row r="1904" spans="2:11" x14ac:dyDescent="0.15">
      <c r="B1904" s="25" t="s">
        <v>263</v>
      </c>
      <c r="C1904" s="14">
        <v>2</v>
      </c>
      <c r="D1904" s="31">
        <v>3</v>
      </c>
      <c r="E1904" s="15">
        <f t="shared" si="239"/>
        <v>5</v>
      </c>
      <c r="F1904" s="61">
        <v>45982</v>
      </c>
      <c r="G1904" s="25"/>
      <c r="H1904" s="14"/>
      <c r="I1904" s="31"/>
      <c r="J1904" s="15">
        <f t="shared" si="240"/>
        <v>0</v>
      </c>
    </row>
    <row r="1905" spans="2:10" x14ac:dyDescent="0.15">
      <c r="B1905" s="25" t="s">
        <v>540</v>
      </c>
      <c r="C1905" s="14"/>
      <c r="D1905" s="31">
        <v>1</v>
      </c>
      <c r="E1905" s="15">
        <f t="shared" si="239"/>
        <v>1</v>
      </c>
      <c r="F1905" s="61">
        <v>45983</v>
      </c>
      <c r="G1905" s="25"/>
      <c r="H1905" s="14"/>
      <c r="I1905" s="31"/>
      <c r="J1905" s="15">
        <f t="shared" si="240"/>
        <v>0</v>
      </c>
    </row>
    <row r="1906" spans="2:10" x14ac:dyDescent="0.15">
      <c r="B1906" s="25" t="s">
        <v>263</v>
      </c>
      <c r="C1906" s="14">
        <f>2+1</f>
        <v>3</v>
      </c>
      <c r="D1906" s="31">
        <v>1</v>
      </c>
      <c r="E1906" s="15">
        <f t="shared" si="239"/>
        <v>4</v>
      </c>
      <c r="F1906" s="61">
        <v>45982</v>
      </c>
      <c r="G1906" s="25"/>
      <c r="H1906" s="14"/>
      <c r="I1906" s="31"/>
      <c r="J1906" s="15">
        <f t="shared" si="240"/>
        <v>0</v>
      </c>
    </row>
    <row r="1907" spans="2:10" x14ac:dyDescent="0.15">
      <c r="B1907" s="25" t="s">
        <v>263</v>
      </c>
      <c r="C1907" s="14">
        <v>26</v>
      </c>
      <c r="D1907" s="31">
        <v>7</v>
      </c>
      <c r="E1907" s="15">
        <f t="shared" si="239"/>
        <v>33</v>
      </c>
      <c r="F1907" s="61">
        <v>45986</v>
      </c>
      <c r="G1907" s="25"/>
      <c r="H1907" s="14"/>
      <c r="I1907" s="31"/>
      <c r="J1907" s="15">
        <f t="shared" si="240"/>
        <v>0</v>
      </c>
    </row>
    <row r="1908" spans="2:10" x14ac:dyDescent="0.15">
      <c r="B1908" s="25" t="s">
        <v>540</v>
      </c>
      <c r="C1908" s="14">
        <v>1</v>
      </c>
      <c r="D1908" s="31">
        <v>1</v>
      </c>
      <c r="E1908" s="15">
        <f t="shared" si="239"/>
        <v>2</v>
      </c>
      <c r="F1908" s="61">
        <v>45988</v>
      </c>
      <c r="G1908" s="25"/>
      <c r="H1908" s="14"/>
      <c r="I1908" s="31"/>
      <c r="J1908" s="15">
        <f t="shared" si="240"/>
        <v>0</v>
      </c>
    </row>
    <row r="1909" spans="2:10" x14ac:dyDescent="0.15">
      <c r="B1909" s="25" t="s">
        <v>263</v>
      </c>
      <c r="C1909" s="14">
        <v>9</v>
      </c>
      <c r="D1909" s="31">
        <v>2</v>
      </c>
      <c r="E1909" s="15">
        <f t="shared" si="239"/>
        <v>11</v>
      </c>
      <c r="F1909" s="61">
        <v>45987</v>
      </c>
      <c r="G1909" s="25"/>
      <c r="H1909" s="14"/>
      <c r="I1909" s="31"/>
      <c r="J1909" s="15">
        <f t="shared" si="240"/>
        <v>0</v>
      </c>
    </row>
    <row r="1910" spans="2:10" x14ac:dyDescent="0.15">
      <c r="B1910" s="25" t="s">
        <v>263</v>
      </c>
      <c r="C1910" s="14">
        <v>5</v>
      </c>
      <c r="D1910" s="31">
        <v>1</v>
      </c>
      <c r="E1910" s="15">
        <f t="shared" si="239"/>
        <v>6</v>
      </c>
      <c r="F1910" s="61">
        <v>45988</v>
      </c>
      <c r="G1910" s="25"/>
      <c r="H1910" s="14"/>
      <c r="I1910" s="31"/>
      <c r="J1910" s="15">
        <f t="shared" si="240"/>
        <v>0</v>
      </c>
    </row>
    <row r="1911" spans="2:10" x14ac:dyDescent="0.15">
      <c r="B1911" s="25" t="s">
        <v>263</v>
      </c>
      <c r="C1911" s="14">
        <v>5</v>
      </c>
      <c r="D1911" s="31">
        <v>5</v>
      </c>
      <c r="E1911" s="15">
        <f t="shared" si="239"/>
        <v>10</v>
      </c>
      <c r="F1911" s="61">
        <v>45989</v>
      </c>
      <c r="G1911" s="25"/>
      <c r="H1911" s="14"/>
      <c r="I1911" s="31"/>
      <c r="J1911" s="15">
        <f t="shared" si="240"/>
        <v>0</v>
      </c>
    </row>
    <row r="1912" spans="2:10" x14ac:dyDescent="0.15">
      <c r="B1912" s="25" t="s">
        <v>263</v>
      </c>
      <c r="C1912" s="14">
        <v>1</v>
      </c>
      <c r="D1912" s="31">
        <v>6</v>
      </c>
      <c r="E1912" s="15">
        <f t="shared" si="239"/>
        <v>7</v>
      </c>
      <c r="F1912" s="61">
        <v>45990</v>
      </c>
      <c r="G1912" s="25"/>
      <c r="H1912" s="14"/>
      <c r="I1912" s="31"/>
      <c r="J1912" s="15">
        <f t="shared" si="240"/>
        <v>0</v>
      </c>
    </row>
    <row r="1913" spans="2:10" x14ac:dyDescent="0.15">
      <c r="B1913" s="25" t="s">
        <v>263</v>
      </c>
      <c r="C1913" s="14">
        <v>25</v>
      </c>
      <c r="D1913" s="31">
        <v>10</v>
      </c>
      <c r="E1913" s="15">
        <f t="shared" si="239"/>
        <v>35</v>
      </c>
      <c r="F1913" s="61">
        <v>45992</v>
      </c>
      <c r="G1913" s="25"/>
      <c r="H1913" s="14"/>
      <c r="I1913" s="31"/>
      <c r="J1913" s="15">
        <f t="shared" si="240"/>
        <v>0</v>
      </c>
    </row>
    <row r="1914" spans="2:10" x14ac:dyDescent="0.15">
      <c r="B1914" s="25" t="s">
        <v>540</v>
      </c>
      <c r="C1914" s="14"/>
      <c r="D1914" s="31">
        <v>3</v>
      </c>
      <c r="E1914" s="15">
        <f t="shared" si="237"/>
        <v>3</v>
      </c>
      <c r="F1914" s="61">
        <v>45993</v>
      </c>
      <c r="G1914" s="25"/>
      <c r="H1914" s="14"/>
      <c r="I1914" s="31"/>
      <c r="J1914" s="15">
        <f t="shared" si="240"/>
        <v>0</v>
      </c>
    </row>
    <row r="1915" spans="2:10" x14ac:dyDescent="0.15">
      <c r="B1915" s="25" t="s">
        <v>263</v>
      </c>
      <c r="C1915" s="14">
        <v>2</v>
      </c>
      <c r="D1915" s="31">
        <v>3</v>
      </c>
      <c r="E1915" s="15">
        <f t="shared" si="237"/>
        <v>5</v>
      </c>
      <c r="F1915" s="61">
        <v>45993</v>
      </c>
      <c r="G1915" s="25"/>
      <c r="H1915" s="14"/>
      <c r="I1915" s="31"/>
      <c r="J1915" s="15">
        <f t="shared" si="240"/>
        <v>0</v>
      </c>
    </row>
    <row r="1916" spans="2:10" ht="14.25" thickBot="1" x14ac:dyDescent="0.2">
      <c r="B1916" s="25" t="s">
        <v>263</v>
      </c>
      <c r="C1916" s="14">
        <v>1</v>
      </c>
      <c r="D1916" s="31">
        <v>1</v>
      </c>
      <c r="E1916" s="15">
        <f t="shared" si="237"/>
        <v>2</v>
      </c>
      <c r="F1916" s="61">
        <v>45994</v>
      </c>
      <c r="G1916" s="25"/>
      <c r="H1916" s="14"/>
      <c r="I1916" s="31"/>
      <c r="J1916" s="15">
        <f t="shared" si="240"/>
        <v>0</v>
      </c>
    </row>
    <row r="1917" spans="2:10" ht="14.25" thickBot="1" x14ac:dyDescent="0.2">
      <c r="B1917" s="8" t="s">
        <v>2</v>
      </c>
      <c r="C1917" s="10">
        <f>SUM(C1892:C1916)</f>
        <v>122</v>
      </c>
      <c r="D1917" s="32">
        <f>SUM(D1892:D1916)</f>
        <v>51</v>
      </c>
      <c r="E1917" s="11">
        <f>C1917+D1917</f>
        <v>173</v>
      </c>
      <c r="G1917" s="8" t="s">
        <v>2</v>
      </c>
      <c r="H1917" s="10">
        <f>SUM(H1892:H1916)</f>
        <v>400</v>
      </c>
      <c r="I1917" s="32">
        <f>SUM(I1892:I1916)</f>
        <v>0</v>
      </c>
      <c r="J1917" s="11">
        <f t="shared" si="240"/>
        <v>400</v>
      </c>
    </row>
    <row r="1918" spans="2:10" ht="14.25" thickBot="1" x14ac:dyDescent="0.2">
      <c r="B1918" s="52" t="s">
        <v>3</v>
      </c>
      <c r="C1918" s="53">
        <f>+C1891-C1917</f>
        <v>304</v>
      </c>
      <c r="D1918" s="54">
        <f>+D1891-D1917</f>
        <v>147</v>
      </c>
      <c r="E1918" s="55">
        <f>C1918+D1918</f>
        <v>451</v>
      </c>
      <c r="G1918" s="52" t="s">
        <v>3</v>
      </c>
      <c r="H1918" s="87">
        <f>+H1891-H1917</f>
        <v>1200</v>
      </c>
      <c r="I1918" s="97">
        <f>+I1891-I1917</f>
        <v>1600</v>
      </c>
      <c r="J1918" s="95">
        <f>+J1891-J1917</f>
        <v>2800</v>
      </c>
    </row>
    <row r="1920" spans="2:10" ht="21" x14ac:dyDescent="0.2">
      <c r="B1920" s="76" t="s">
        <v>150</v>
      </c>
      <c r="G1920" s="75" t="s">
        <v>149</v>
      </c>
    </row>
    <row r="1921" spans="2:10" ht="18.75" x14ac:dyDescent="0.2">
      <c r="B1921" s="3" t="s">
        <v>11</v>
      </c>
      <c r="E1921" s="71"/>
      <c r="G1921" s="3" t="s">
        <v>11</v>
      </c>
    </row>
    <row r="1922" spans="2:10" ht="14.25" thickBot="1" x14ac:dyDescent="0.2">
      <c r="G1922" s="1"/>
    </row>
    <row r="1923" spans="2:10" ht="14.25" thickBot="1" x14ac:dyDescent="0.2">
      <c r="B1923" s="7"/>
      <c r="C1923" s="67"/>
      <c r="D1923" s="68"/>
      <c r="E1923" s="69"/>
      <c r="G1923" s="7"/>
      <c r="H1923" s="67"/>
      <c r="I1923" s="68"/>
      <c r="J1923" s="69"/>
    </row>
    <row r="1924" spans="2:10" ht="14.25" thickBot="1" x14ac:dyDescent="0.2">
      <c r="B1924" s="8"/>
      <c r="C1924" s="40" t="s">
        <v>7</v>
      </c>
      <c r="D1924" s="29" t="s">
        <v>9</v>
      </c>
      <c r="E1924" s="9" t="s">
        <v>0</v>
      </c>
      <c r="G1924" s="8"/>
      <c r="H1924" s="40" t="s">
        <v>7</v>
      </c>
      <c r="I1924" s="29" t="s">
        <v>9</v>
      </c>
      <c r="J1924" s="9" t="s">
        <v>0</v>
      </c>
    </row>
    <row r="1925" spans="2:10" x14ac:dyDescent="0.15">
      <c r="B1925" s="16" t="s">
        <v>4</v>
      </c>
      <c r="C1925" s="17">
        <f>C1918</f>
        <v>304</v>
      </c>
      <c r="D1925" s="35">
        <f>D1918</f>
        <v>147</v>
      </c>
      <c r="E1925" s="18">
        <f t="shared" ref="E1925:E1956" si="241">C1925+D1925</f>
        <v>451</v>
      </c>
      <c r="G1925" s="16" t="s">
        <v>4</v>
      </c>
      <c r="H1925" s="89">
        <f>H1918</f>
        <v>1200</v>
      </c>
      <c r="I1925" s="90">
        <f>I1918</f>
        <v>1600</v>
      </c>
      <c r="J1925" s="96">
        <f>J1918</f>
        <v>2800</v>
      </c>
    </row>
    <row r="1926" spans="2:10" x14ac:dyDescent="0.15">
      <c r="B1926" s="25" t="s">
        <v>5</v>
      </c>
      <c r="C1926" s="14"/>
      <c r="D1926" s="31"/>
      <c r="E1926" s="15">
        <f t="shared" ref="E1926" si="242">C1926+D1926</f>
        <v>0</v>
      </c>
      <c r="G1926" s="25" t="s">
        <v>5</v>
      </c>
      <c r="H1926" s="14"/>
      <c r="I1926" s="31"/>
      <c r="J1926" s="15">
        <f t="shared" ref="J1926:J1930" si="243">H1926+I1926</f>
        <v>0</v>
      </c>
    </row>
    <row r="1927" spans="2:10" x14ac:dyDescent="0.15">
      <c r="B1927" s="25" t="s">
        <v>5</v>
      </c>
      <c r="C1927" s="14"/>
      <c r="D1927" s="31"/>
      <c r="E1927" s="15">
        <f t="shared" si="241"/>
        <v>0</v>
      </c>
      <c r="G1927" s="25" t="s">
        <v>5</v>
      </c>
      <c r="H1927" s="14"/>
      <c r="I1927" s="31"/>
      <c r="J1927" s="15">
        <f t="shared" si="243"/>
        <v>0</v>
      </c>
    </row>
    <row r="1928" spans="2:10" x14ac:dyDescent="0.15">
      <c r="B1928" s="25" t="s">
        <v>5</v>
      </c>
      <c r="C1928" s="14"/>
      <c r="D1928" s="31"/>
      <c r="E1928" s="15">
        <f t="shared" si="241"/>
        <v>0</v>
      </c>
      <c r="G1928" s="25" t="s">
        <v>5</v>
      </c>
      <c r="H1928" s="14"/>
      <c r="I1928" s="31"/>
      <c r="J1928" s="15">
        <f t="shared" si="243"/>
        <v>0</v>
      </c>
    </row>
    <row r="1929" spans="2:10" x14ac:dyDescent="0.15">
      <c r="B1929" s="25" t="s">
        <v>5</v>
      </c>
      <c r="C1929" s="14"/>
      <c r="D1929" s="31"/>
      <c r="E1929" s="15">
        <f t="shared" si="241"/>
        <v>0</v>
      </c>
      <c r="G1929" s="25" t="s">
        <v>5</v>
      </c>
      <c r="H1929" s="14"/>
      <c r="I1929" s="31"/>
      <c r="J1929" s="15">
        <f t="shared" si="243"/>
        <v>0</v>
      </c>
    </row>
    <row r="1930" spans="2:10" ht="14.25" thickBot="1" x14ac:dyDescent="0.2">
      <c r="B1930" s="25" t="s">
        <v>5</v>
      </c>
      <c r="C1930" s="92"/>
      <c r="D1930" s="93"/>
      <c r="E1930" s="94">
        <f t="shared" si="241"/>
        <v>0</v>
      </c>
      <c r="G1930" s="25" t="s">
        <v>5</v>
      </c>
      <c r="H1930" s="92"/>
      <c r="I1930" s="93"/>
      <c r="J1930" s="94">
        <f t="shared" si="243"/>
        <v>0</v>
      </c>
    </row>
    <row r="1931" spans="2:10" ht="14.25" thickBot="1" x14ac:dyDescent="0.2">
      <c r="B1931" s="8" t="s">
        <v>1</v>
      </c>
      <c r="C1931" s="10">
        <f>SUM(C1925:C1930)</f>
        <v>304</v>
      </c>
      <c r="D1931" s="32">
        <f>SUM(D1925:D1930)</f>
        <v>147</v>
      </c>
      <c r="E1931" s="11">
        <f t="shared" si="241"/>
        <v>451</v>
      </c>
      <c r="G1931" s="8" t="s">
        <v>1</v>
      </c>
      <c r="H1931" s="10">
        <f>SUM(H1925:H1930)</f>
        <v>1200</v>
      </c>
      <c r="I1931" s="32">
        <f>SUM(I1925:I1930)</f>
        <v>1600</v>
      </c>
      <c r="J1931" s="11">
        <f>SUM(J1925:J1930)</f>
        <v>2800</v>
      </c>
    </row>
    <row r="1932" spans="2:10" x14ac:dyDescent="0.15">
      <c r="B1932" s="25" t="s">
        <v>540</v>
      </c>
      <c r="C1932" s="14">
        <v>2</v>
      </c>
      <c r="D1932" s="31">
        <v>2</v>
      </c>
      <c r="E1932" s="15">
        <f t="shared" si="241"/>
        <v>4</v>
      </c>
      <c r="F1932" s="61">
        <v>45996</v>
      </c>
      <c r="G1932" s="25"/>
      <c r="H1932" s="14"/>
      <c r="I1932" s="31"/>
      <c r="J1932" s="15">
        <f t="shared" ref="J1932" si="244">H1932+I1932</f>
        <v>0</v>
      </c>
    </row>
    <row r="1933" spans="2:10" x14ac:dyDescent="0.15">
      <c r="B1933" s="25" t="s">
        <v>263</v>
      </c>
      <c r="C1933" s="14"/>
      <c r="D1933" s="31">
        <v>2</v>
      </c>
      <c r="E1933" s="15">
        <f t="shared" si="241"/>
        <v>2</v>
      </c>
      <c r="F1933" s="61">
        <v>45995</v>
      </c>
      <c r="G1933" s="25"/>
      <c r="H1933" s="14"/>
      <c r="I1933" s="31"/>
      <c r="J1933" s="15">
        <f t="shared" ref="J1933:J1957" si="245">H1933+I1933</f>
        <v>0</v>
      </c>
    </row>
    <row r="1934" spans="2:10" x14ac:dyDescent="0.15">
      <c r="B1934" s="25" t="s">
        <v>263</v>
      </c>
      <c r="C1934" s="14">
        <f>4+1</f>
        <v>5</v>
      </c>
      <c r="D1934" s="31">
        <v>1</v>
      </c>
      <c r="E1934" s="15">
        <f t="shared" si="241"/>
        <v>6</v>
      </c>
      <c r="F1934" s="61">
        <v>45996</v>
      </c>
      <c r="G1934" s="25"/>
      <c r="H1934" s="14"/>
      <c r="I1934" s="31"/>
      <c r="J1934" s="15">
        <f t="shared" si="245"/>
        <v>0</v>
      </c>
    </row>
    <row r="1935" spans="2:10" x14ac:dyDescent="0.15">
      <c r="B1935" s="25" t="s">
        <v>263</v>
      </c>
      <c r="C1935" s="14">
        <v>1</v>
      </c>
      <c r="D1935" s="31"/>
      <c r="E1935" s="15">
        <f t="shared" si="241"/>
        <v>1</v>
      </c>
      <c r="F1935" s="61">
        <v>45997</v>
      </c>
      <c r="G1935" s="25"/>
      <c r="H1935" s="14"/>
      <c r="I1935" s="31"/>
      <c r="J1935" s="15">
        <f t="shared" si="245"/>
        <v>0</v>
      </c>
    </row>
    <row r="1936" spans="2:10" x14ac:dyDescent="0.15">
      <c r="B1936" s="25" t="s">
        <v>263</v>
      </c>
      <c r="C1936" s="14">
        <v>7</v>
      </c>
      <c r="D1936" s="31">
        <v>1</v>
      </c>
      <c r="E1936" s="15">
        <f t="shared" si="241"/>
        <v>8</v>
      </c>
      <c r="F1936" s="61">
        <v>45999</v>
      </c>
      <c r="G1936" s="25"/>
      <c r="H1936" s="14"/>
      <c r="I1936" s="31"/>
      <c r="J1936" s="15">
        <f t="shared" si="245"/>
        <v>0</v>
      </c>
    </row>
    <row r="1937" spans="2:10" x14ac:dyDescent="0.15">
      <c r="B1937" s="25" t="s">
        <v>263</v>
      </c>
      <c r="C1937" s="14">
        <v>2</v>
      </c>
      <c r="D1937" s="31">
        <v>2</v>
      </c>
      <c r="E1937" s="15">
        <f t="shared" si="241"/>
        <v>4</v>
      </c>
      <c r="F1937" s="61">
        <v>46000</v>
      </c>
      <c r="G1937" s="25"/>
      <c r="H1937" s="14"/>
      <c r="I1937" s="31"/>
      <c r="J1937" s="15">
        <f t="shared" si="245"/>
        <v>0</v>
      </c>
    </row>
    <row r="1938" spans="2:10" x14ac:dyDescent="0.15">
      <c r="B1938" s="25" t="s">
        <v>263</v>
      </c>
      <c r="C1938" s="14">
        <v>4</v>
      </c>
      <c r="D1938" s="31"/>
      <c r="E1938" s="15">
        <f t="shared" si="241"/>
        <v>4</v>
      </c>
      <c r="F1938" s="61">
        <v>46001</v>
      </c>
      <c r="G1938" s="25"/>
      <c r="H1938" s="14"/>
      <c r="I1938" s="31"/>
      <c r="J1938" s="15">
        <f t="shared" si="245"/>
        <v>0</v>
      </c>
    </row>
    <row r="1939" spans="2:10" x14ac:dyDescent="0.15">
      <c r="B1939" s="25" t="s">
        <v>263</v>
      </c>
      <c r="C1939" s="14"/>
      <c r="D1939" s="31">
        <v>1</v>
      </c>
      <c r="E1939" s="15">
        <f t="shared" si="241"/>
        <v>1</v>
      </c>
      <c r="F1939" s="61">
        <v>46002</v>
      </c>
      <c r="G1939" s="25"/>
      <c r="H1939" s="14"/>
      <c r="I1939" s="31"/>
      <c r="J1939" s="15">
        <f t="shared" si="245"/>
        <v>0</v>
      </c>
    </row>
    <row r="1940" spans="2:10" x14ac:dyDescent="0.15">
      <c r="B1940" s="25" t="s">
        <v>263</v>
      </c>
      <c r="C1940" s="14">
        <v>1</v>
      </c>
      <c r="D1940" s="31">
        <v>2</v>
      </c>
      <c r="E1940" s="15">
        <f t="shared" si="241"/>
        <v>3</v>
      </c>
      <c r="F1940" s="61">
        <v>46003</v>
      </c>
      <c r="G1940" s="25"/>
      <c r="H1940" s="14"/>
      <c r="I1940" s="31"/>
      <c r="J1940" s="15">
        <f t="shared" si="245"/>
        <v>0</v>
      </c>
    </row>
    <row r="1941" spans="2:10" x14ac:dyDescent="0.15">
      <c r="B1941" s="25" t="s">
        <v>263</v>
      </c>
      <c r="C1941" s="14">
        <v>8</v>
      </c>
      <c r="D1941" s="31"/>
      <c r="E1941" s="15">
        <f t="shared" si="241"/>
        <v>8</v>
      </c>
      <c r="F1941" s="61">
        <v>46006</v>
      </c>
      <c r="G1941" s="25"/>
      <c r="H1941" s="14"/>
      <c r="I1941" s="31"/>
      <c r="J1941" s="15">
        <f t="shared" si="245"/>
        <v>0</v>
      </c>
    </row>
    <row r="1942" spans="2:10" x14ac:dyDescent="0.15">
      <c r="B1942" s="25" t="s">
        <v>263</v>
      </c>
      <c r="C1942" s="14">
        <v>1</v>
      </c>
      <c r="D1942" s="31"/>
      <c r="E1942" s="15">
        <f t="shared" si="241"/>
        <v>1</v>
      </c>
      <c r="F1942" s="61">
        <v>46008</v>
      </c>
      <c r="G1942" s="25"/>
      <c r="H1942" s="14"/>
      <c r="I1942" s="31"/>
      <c r="J1942" s="15">
        <f t="shared" si="245"/>
        <v>0</v>
      </c>
    </row>
    <row r="1943" spans="2:10" x14ac:dyDescent="0.15">
      <c r="B1943" s="25" t="s">
        <v>263</v>
      </c>
      <c r="C1943" s="14">
        <v>4</v>
      </c>
      <c r="D1943" s="31">
        <v>3</v>
      </c>
      <c r="E1943" s="15">
        <f t="shared" si="241"/>
        <v>7</v>
      </c>
      <c r="F1943" s="61">
        <v>46013</v>
      </c>
      <c r="G1943" s="25"/>
      <c r="H1943" s="14"/>
      <c r="I1943" s="31"/>
      <c r="J1943" s="15">
        <f t="shared" si="245"/>
        <v>0</v>
      </c>
    </row>
    <row r="1944" spans="2:10" x14ac:dyDescent="0.15">
      <c r="B1944" s="25" t="s">
        <v>263</v>
      </c>
      <c r="C1944" s="14"/>
      <c r="D1944" s="31">
        <v>1</v>
      </c>
      <c r="E1944" s="15">
        <f t="shared" si="241"/>
        <v>1</v>
      </c>
      <c r="F1944" s="61">
        <v>46016</v>
      </c>
      <c r="G1944" s="25"/>
      <c r="H1944" s="14"/>
      <c r="I1944" s="31"/>
      <c r="J1944" s="15">
        <f t="shared" si="245"/>
        <v>0</v>
      </c>
    </row>
    <row r="1945" spans="2:10" x14ac:dyDescent="0.15">
      <c r="B1945" s="25" t="s">
        <v>263</v>
      </c>
      <c r="C1945" s="14">
        <v>1</v>
      </c>
      <c r="D1945" s="31">
        <v>1</v>
      </c>
      <c r="E1945" s="15">
        <f t="shared" si="241"/>
        <v>2</v>
      </c>
      <c r="F1945" s="61">
        <v>46017</v>
      </c>
      <c r="G1945" s="25"/>
      <c r="H1945" s="14"/>
      <c r="I1945" s="31"/>
      <c r="J1945" s="15">
        <f t="shared" si="245"/>
        <v>0</v>
      </c>
    </row>
    <row r="1946" spans="2:10" x14ac:dyDescent="0.15">
      <c r="B1946" s="25" t="s">
        <v>540</v>
      </c>
      <c r="C1946" s="14">
        <v>2</v>
      </c>
      <c r="D1946" s="31">
        <v>1</v>
      </c>
      <c r="E1946" s="15">
        <f t="shared" si="241"/>
        <v>3</v>
      </c>
      <c r="F1946" s="61">
        <v>46028</v>
      </c>
      <c r="G1946" s="25"/>
      <c r="H1946" s="14"/>
      <c r="I1946" s="31"/>
      <c r="J1946" s="15">
        <f t="shared" si="245"/>
        <v>0</v>
      </c>
    </row>
    <row r="1947" spans="2:10" x14ac:dyDescent="0.15">
      <c r="B1947" s="25" t="s">
        <v>263</v>
      </c>
      <c r="C1947" s="14">
        <v>6</v>
      </c>
      <c r="D1947" s="31"/>
      <c r="E1947" s="15">
        <f t="shared" si="241"/>
        <v>6</v>
      </c>
      <c r="F1947" s="61">
        <v>46027</v>
      </c>
      <c r="G1947" s="25"/>
      <c r="H1947" s="14"/>
      <c r="I1947" s="31"/>
      <c r="J1947" s="15">
        <f t="shared" si="245"/>
        <v>0</v>
      </c>
    </row>
    <row r="1948" spans="2:10" x14ac:dyDescent="0.15">
      <c r="B1948" s="25" t="s">
        <v>263</v>
      </c>
      <c r="C1948" s="14">
        <v>1</v>
      </c>
      <c r="D1948" s="31">
        <v>2</v>
      </c>
      <c r="E1948" s="15">
        <f t="shared" si="241"/>
        <v>3</v>
      </c>
      <c r="F1948" s="61">
        <v>46028</v>
      </c>
      <c r="G1948" s="25"/>
      <c r="H1948" s="14"/>
      <c r="I1948" s="31"/>
      <c r="J1948" s="15">
        <f t="shared" si="245"/>
        <v>0</v>
      </c>
    </row>
    <row r="1949" spans="2:10" x14ac:dyDescent="0.15">
      <c r="B1949" s="25" t="s">
        <v>263</v>
      </c>
      <c r="C1949" s="14">
        <v>4</v>
      </c>
      <c r="D1949" s="31"/>
      <c r="E1949" s="15">
        <f t="shared" si="241"/>
        <v>4</v>
      </c>
      <c r="F1949" s="61">
        <v>46030</v>
      </c>
      <c r="G1949" s="25"/>
      <c r="H1949" s="14"/>
      <c r="I1949" s="31"/>
      <c r="J1949" s="15">
        <f t="shared" si="245"/>
        <v>0</v>
      </c>
    </row>
    <row r="1950" spans="2:10" x14ac:dyDescent="0.15">
      <c r="B1950" s="25" t="s">
        <v>540</v>
      </c>
      <c r="C1950" s="14">
        <v>2</v>
      </c>
      <c r="D1950" s="31"/>
      <c r="E1950" s="15">
        <f t="shared" si="241"/>
        <v>2</v>
      </c>
      <c r="F1950" s="61">
        <v>46032</v>
      </c>
      <c r="G1950" s="25"/>
      <c r="H1950" s="14"/>
      <c r="I1950" s="31"/>
      <c r="J1950" s="15">
        <f t="shared" si="245"/>
        <v>0</v>
      </c>
    </row>
    <row r="1951" spans="2:10" x14ac:dyDescent="0.15">
      <c r="B1951" s="25" t="s">
        <v>263</v>
      </c>
      <c r="C1951" s="14"/>
      <c r="D1951" s="31">
        <v>2</v>
      </c>
      <c r="E1951" s="15">
        <f t="shared" si="241"/>
        <v>2</v>
      </c>
      <c r="F1951" s="61">
        <v>46032</v>
      </c>
      <c r="G1951" s="25"/>
      <c r="H1951" s="14"/>
      <c r="I1951" s="31"/>
      <c r="J1951" s="15">
        <f t="shared" si="245"/>
        <v>0</v>
      </c>
    </row>
    <row r="1952" spans="2:10" x14ac:dyDescent="0.15">
      <c r="B1952" s="25" t="s">
        <v>263</v>
      </c>
      <c r="C1952" s="14">
        <v>3</v>
      </c>
      <c r="D1952" s="31">
        <v>1</v>
      </c>
      <c r="E1952" s="15">
        <f t="shared" si="241"/>
        <v>4</v>
      </c>
      <c r="F1952" s="61">
        <v>46035</v>
      </c>
      <c r="G1952" s="25"/>
      <c r="H1952" s="14"/>
      <c r="I1952" s="31"/>
      <c r="J1952" s="15">
        <f t="shared" si="245"/>
        <v>0</v>
      </c>
    </row>
    <row r="1953" spans="2:10" x14ac:dyDescent="0.15">
      <c r="B1953" s="25" t="s">
        <v>263</v>
      </c>
      <c r="C1953" s="14">
        <v>1</v>
      </c>
      <c r="D1953" s="31"/>
      <c r="E1953" s="15">
        <f t="shared" si="241"/>
        <v>1</v>
      </c>
      <c r="F1953" s="61">
        <v>46036</v>
      </c>
      <c r="G1953" s="25"/>
      <c r="H1953" s="14"/>
      <c r="I1953" s="31"/>
      <c r="J1953" s="15">
        <f t="shared" si="245"/>
        <v>0</v>
      </c>
    </row>
    <row r="1954" spans="2:10" x14ac:dyDescent="0.15">
      <c r="B1954" s="25" t="s">
        <v>263</v>
      </c>
      <c r="C1954" s="14">
        <v>2</v>
      </c>
      <c r="D1954" s="31">
        <v>4</v>
      </c>
      <c r="E1954" s="15">
        <f t="shared" si="241"/>
        <v>6</v>
      </c>
      <c r="F1954" s="61">
        <v>46037</v>
      </c>
      <c r="G1954" s="25"/>
      <c r="H1954" s="14"/>
      <c r="I1954" s="31"/>
      <c r="J1954" s="15">
        <f t="shared" si="245"/>
        <v>0</v>
      </c>
    </row>
    <row r="1955" spans="2:10" x14ac:dyDescent="0.15">
      <c r="B1955" s="25" t="s">
        <v>263</v>
      </c>
      <c r="C1955" s="14">
        <v>1</v>
      </c>
      <c r="D1955" s="31"/>
      <c r="E1955" s="15">
        <f t="shared" si="241"/>
        <v>1</v>
      </c>
      <c r="F1955" s="61">
        <v>46038</v>
      </c>
      <c r="G1955" s="25"/>
      <c r="H1955" s="14"/>
      <c r="I1955" s="31"/>
      <c r="J1955" s="15">
        <f t="shared" si="245"/>
        <v>0</v>
      </c>
    </row>
    <row r="1956" spans="2:10" ht="14.25" thickBot="1" x14ac:dyDescent="0.2">
      <c r="B1956" s="25" t="s">
        <v>540</v>
      </c>
      <c r="C1956" s="14">
        <v>3</v>
      </c>
      <c r="D1956" s="31"/>
      <c r="E1956" s="15">
        <f t="shared" si="241"/>
        <v>3</v>
      </c>
      <c r="F1956" s="61">
        <v>46043</v>
      </c>
      <c r="G1956" s="25"/>
      <c r="H1956" s="14"/>
      <c r="I1956" s="31"/>
      <c r="J1956" s="15">
        <f t="shared" si="245"/>
        <v>0</v>
      </c>
    </row>
    <row r="1957" spans="2:10" ht="14.25" thickBot="1" x14ac:dyDescent="0.2">
      <c r="B1957" s="8" t="s">
        <v>2</v>
      </c>
      <c r="C1957" s="10">
        <f>SUM(C1932:C1956)</f>
        <v>61</v>
      </c>
      <c r="D1957" s="32">
        <f>SUM(D1932:D1956)</f>
        <v>26</v>
      </c>
      <c r="E1957" s="11">
        <f>C1957+D1957</f>
        <v>87</v>
      </c>
      <c r="G1957" s="8" t="s">
        <v>2</v>
      </c>
      <c r="H1957" s="10">
        <f>SUM(H1932:H1956)</f>
        <v>0</v>
      </c>
      <c r="I1957" s="32">
        <f>SUM(I1932:I1956)</f>
        <v>0</v>
      </c>
      <c r="J1957" s="11">
        <f t="shared" si="245"/>
        <v>0</v>
      </c>
    </row>
    <row r="1958" spans="2:10" ht="14.25" thickBot="1" x14ac:dyDescent="0.2">
      <c r="B1958" s="52" t="s">
        <v>3</v>
      </c>
      <c r="C1958" s="53">
        <f>+C1931-C1957</f>
        <v>243</v>
      </c>
      <c r="D1958" s="54">
        <f>+D1931-D1957</f>
        <v>121</v>
      </c>
      <c r="E1958" s="55">
        <f>C1958+D1958</f>
        <v>364</v>
      </c>
      <c r="G1958" s="52" t="s">
        <v>3</v>
      </c>
      <c r="H1958" s="87">
        <f>+H1931-H1957</f>
        <v>1200</v>
      </c>
      <c r="I1958" s="97">
        <f>+I1931-I1957</f>
        <v>1600</v>
      </c>
      <c r="J1958" s="95">
        <f>+J1931-J1957</f>
        <v>2800</v>
      </c>
    </row>
    <row r="1960" spans="2:10" ht="21" x14ac:dyDescent="0.2">
      <c r="B1960" s="76" t="s">
        <v>150</v>
      </c>
      <c r="G1960" s="75" t="s">
        <v>149</v>
      </c>
    </row>
    <row r="1961" spans="2:10" ht="18.75" x14ac:dyDescent="0.2">
      <c r="B1961" s="3" t="s">
        <v>11</v>
      </c>
      <c r="E1961" s="71"/>
      <c r="G1961" s="3" t="s">
        <v>11</v>
      </c>
    </row>
    <row r="1962" spans="2:10" ht="14.25" thickBot="1" x14ac:dyDescent="0.2">
      <c r="G1962" s="1"/>
    </row>
    <row r="1963" spans="2:10" ht="14.25" thickBot="1" x14ac:dyDescent="0.2">
      <c r="B1963" s="7"/>
      <c r="C1963" s="67"/>
      <c r="D1963" s="68"/>
      <c r="E1963" s="69"/>
      <c r="G1963" s="7"/>
      <c r="H1963" s="67"/>
      <c r="I1963" s="68"/>
      <c r="J1963" s="69"/>
    </row>
    <row r="1964" spans="2:10" ht="14.25" thickBot="1" x14ac:dyDescent="0.2">
      <c r="B1964" s="8"/>
      <c r="C1964" s="40" t="s">
        <v>7</v>
      </c>
      <c r="D1964" s="29" t="s">
        <v>9</v>
      </c>
      <c r="E1964" s="9" t="s">
        <v>0</v>
      </c>
      <c r="G1964" s="8"/>
      <c r="H1964" s="40" t="s">
        <v>7</v>
      </c>
      <c r="I1964" s="29" t="s">
        <v>9</v>
      </c>
      <c r="J1964" s="9" t="s">
        <v>0</v>
      </c>
    </row>
    <row r="1965" spans="2:10" x14ac:dyDescent="0.15">
      <c r="B1965" s="16" t="s">
        <v>4</v>
      </c>
      <c r="C1965" s="17">
        <f>C1958</f>
        <v>243</v>
      </c>
      <c r="D1965" s="35">
        <f>D1958</f>
        <v>121</v>
      </c>
      <c r="E1965" s="18">
        <f t="shared" ref="E1965:E1996" si="246">C1965+D1965</f>
        <v>364</v>
      </c>
      <c r="G1965" s="16" t="s">
        <v>4</v>
      </c>
      <c r="H1965" s="89">
        <f>H1958</f>
        <v>1200</v>
      </c>
      <c r="I1965" s="90">
        <f>I1958</f>
        <v>1600</v>
      </c>
      <c r="J1965" s="96">
        <f>J1958</f>
        <v>2800</v>
      </c>
    </row>
    <row r="1966" spans="2:10" x14ac:dyDescent="0.15">
      <c r="B1966" s="25" t="s">
        <v>5</v>
      </c>
      <c r="C1966" s="14"/>
      <c r="D1966" s="31"/>
      <c r="E1966" s="15">
        <f t="shared" si="246"/>
        <v>0</v>
      </c>
      <c r="G1966" s="25" t="s">
        <v>5</v>
      </c>
      <c r="H1966" s="14"/>
      <c r="I1966" s="31"/>
      <c r="J1966" s="15">
        <f t="shared" ref="J1966:J1970" si="247">H1966+I1966</f>
        <v>0</v>
      </c>
    </row>
    <row r="1967" spans="2:10" x14ac:dyDescent="0.15">
      <c r="B1967" s="25" t="s">
        <v>5</v>
      </c>
      <c r="C1967" s="14"/>
      <c r="D1967" s="31"/>
      <c r="E1967" s="15">
        <f t="shared" si="246"/>
        <v>0</v>
      </c>
      <c r="G1967" s="25" t="s">
        <v>5</v>
      </c>
      <c r="H1967" s="14"/>
      <c r="I1967" s="31"/>
      <c r="J1967" s="15">
        <f t="shared" si="247"/>
        <v>0</v>
      </c>
    </row>
    <row r="1968" spans="2:10" x14ac:dyDescent="0.15">
      <c r="B1968" s="25" t="s">
        <v>5</v>
      </c>
      <c r="C1968" s="14"/>
      <c r="D1968" s="31"/>
      <c r="E1968" s="15">
        <f t="shared" si="246"/>
        <v>0</v>
      </c>
      <c r="G1968" s="25" t="s">
        <v>5</v>
      </c>
      <c r="H1968" s="14"/>
      <c r="I1968" s="31"/>
      <c r="J1968" s="15">
        <f t="shared" si="247"/>
        <v>0</v>
      </c>
    </row>
    <row r="1969" spans="2:10" x14ac:dyDescent="0.15">
      <c r="B1969" s="25" t="s">
        <v>5</v>
      </c>
      <c r="C1969" s="14"/>
      <c r="D1969" s="31"/>
      <c r="E1969" s="15">
        <f t="shared" si="246"/>
        <v>0</v>
      </c>
      <c r="G1969" s="25" t="s">
        <v>5</v>
      </c>
      <c r="H1969" s="14"/>
      <c r="I1969" s="31"/>
      <c r="J1969" s="15">
        <f t="shared" si="247"/>
        <v>0</v>
      </c>
    </row>
    <row r="1970" spans="2:10" ht="14.25" thickBot="1" x14ac:dyDescent="0.2">
      <c r="B1970" s="25" t="s">
        <v>5</v>
      </c>
      <c r="C1970" s="92"/>
      <c r="D1970" s="93"/>
      <c r="E1970" s="94">
        <f t="shared" si="246"/>
        <v>0</v>
      </c>
      <c r="G1970" s="25" t="s">
        <v>5</v>
      </c>
      <c r="H1970" s="92"/>
      <c r="I1970" s="93"/>
      <c r="J1970" s="94">
        <f t="shared" si="247"/>
        <v>0</v>
      </c>
    </row>
    <row r="1971" spans="2:10" ht="14.25" thickBot="1" x14ac:dyDescent="0.2">
      <c r="B1971" s="8" t="s">
        <v>1</v>
      </c>
      <c r="C1971" s="10">
        <f>SUM(C1965:C1970)</f>
        <v>243</v>
      </c>
      <c r="D1971" s="32">
        <f>SUM(D1965:D1970)</f>
        <v>121</v>
      </c>
      <c r="E1971" s="11">
        <f t="shared" si="246"/>
        <v>364</v>
      </c>
      <c r="G1971" s="8" t="s">
        <v>1</v>
      </c>
      <c r="H1971" s="10">
        <f>SUM(H1965:H1970)</f>
        <v>1200</v>
      </c>
      <c r="I1971" s="32">
        <f>SUM(I1965:I1970)</f>
        <v>1600</v>
      </c>
      <c r="J1971" s="11">
        <f>SUM(J1965:J1970)</f>
        <v>2800</v>
      </c>
    </row>
    <row r="1972" spans="2:10" x14ac:dyDescent="0.15">
      <c r="B1972" s="25" t="s">
        <v>263</v>
      </c>
      <c r="C1972" s="14">
        <v>1</v>
      </c>
      <c r="D1972" s="31"/>
      <c r="E1972" s="15">
        <f t="shared" si="246"/>
        <v>1</v>
      </c>
      <c r="F1972" s="61">
        <v>46043</v>
      </c>
      <c r="G1972" s="25"/>
      <c r="H1972" s="14"/>
      <c r="I1972" s="31"/>
      <c r="J1972" s="15">
        <f t="shared" ref="J1972:J1997" si="248">H1972+I1972</f>
        <v>0</v>
      </c>
    </row>
    <row r="1973" spans="2:10" x14ac:dyDescent="0.15">
      <c r="B1973" s="25" t="s">
        <v>263</v>
      </c>
      <c r="C1973" s="14">
        <v>2</v>
      </c>
      <c r="D1973" s="31"/>
      <c r="E1973" s="15">
        <f t="shared" si="246"/>
        <v>2</v>
      </c>
      <c r="F1973" s="61">
        <v>46045</v>
      </c>
      <c r="G1973" s="25"/>
      <c r="H1973" s="14"/>
      <c r="I1973" s="31"/>
      <c r="J1973" s="15">
        <f t="shared" si="248"/>
        <v>0</v>
      </c>
    </row>
    <row r="1974" spans="2:10" x14ac:dyDescent="0.15">
      <c r="B1974" s="25" t="s">
        <v>565</v>
      </c>
      <c r="C1974" s="14">
        <v>1</v>
      </c>
      <c r="D1974" s="31">
        <v>1</v>
      </c>
      <c r="E1974" s="15">
        <f t="shared" si="246"/>
        <v>2</v>
      </c>
      <c r="F1974" s="61">
        <v>46049</v>
      </c>
      <c r="G1974" s="25"/>
      <c r="H1974" s="14"/>
      <c r="I1974" s="31"/>
      <c r="J1974" s="15">
        <f t="shared" si="248"/>
        <v>0</v>
      </c>
    </row>
    <row r="1975" spans="2:10" x14ac:dyDescent="0.15">
      <c r="B1975" s="25" t="s">
        <v>263</v>
      </c>
      <c r="C1975" s="14">
        <v>1</v>
      </c>
      <c r="D1975" s="31">
        <v>1</v>
      </c>
      <c r="E1975" s="15">
        <f t="shared" si="246"/>
        <v>2</v>
      </c>
      <c r="F1975" s="61">
        <v>46048</v>
      </c>
      <c r="G1975" s="25"/>
      <c r="H1975" s="14"/>
      <c r="I1975" s="31"/>
      <c r="J1975" s="15">
        <f t="shared" si="248"/>
        <v>0</v>
      </c>
    </row>
    <row r="1976" spans="2:10" x14ac:dyDescent="0.15">
      <c r="B1976" s="25" t="s">
        <v>263</v>
      </c>
      <c r="C1976" s="14">
        <v>2</v>
      </c>
      <c r="D1976" s="31"/>
      <c r="E1976" s="15">
        <f t="shared" si="246"/>
        <v>2</v>
      </c>
      <c r="F1976" s="61">
        <v>46049</v>
      </c>
      <c r="G1976" s="25"/>
      <c r="H1976" s="14"/>
      <c r="I1976" s="31"/>
      <c r="J1976" s="15">
        <f t="shared" si="248"/>
        <v>0</v>
      </c>
    </row>
    <row r="1977" spans="2:10" x14ac:dyDescent="0.15">
      <c r="B1977" s="25" t="s">
        <v>263</v>
      </c>
      <c r="C1977" s="14">
        <v>2</v>
      </c>
      <c r="D1977" s="31">
        <v>3</v>
      </c>
      <c r="E1977" s="15">
        <f t="shared" si="246"/>
        <v>5</v>
      </c>
      <c r="F1977" s="61">
        <v>46050</v>
      </c>
      <c r="G1977" s="25"/>
      <c r="H1977" s="14"/>
      <c r="I1977" s="31"/>
      <c r="J1977" s="15">
        <f t="shared" si="248"/>
        <v>0</v>
      </c>
    </row>
    <row r="1978" spans="2:10" x14ac:dyDescent="0.15">
      <c r="B1978" s="25" t="s">
        <v>263</v>
      </c>
      <c r="C1978" s="14">
        <v>1</v>
      </c>
      <c r="D1978" s="31">
        <v>2</v>
      </c>
      <c r="E1978" s="15">
        <f t="shared" si="246"/>
        <v>3</v>
      </c>
      <c r="F1978" s="61">
        <v>46051</v>
      </c>
      <c r="G1978" s="25"/>
      <c r="H1978" s="14"/>
      <c r="I1978" s="31"/>
      <c r="J1978" s="15">
        <f t="shared" si="248"/>
        <v>0</v>
      </c>
    </row>
    <row r="1979" spans="2:10" x14ac:dyDescent="0.15">
      <c r="B1979" s="25" t="s">
        <v>263</v>
      </c>
      <c r="C1979" s="14">
        <v>1</v>
      </c>
      <c r="D1979" s="31"/>
      <c r="E1979" s="15">
        <f t="shared" si="246"/>
        <v>1</v>
      </c>
      <c r="F1979" s="61">
        <v>46053</v>
      </c>
      <c r="G1979" s="25"/>
      <c r="H1979" s="14"/>
      <c r="I1979" s="31"/>
      <c r="J1979" s="15">
        <f t="shared" si="248"/>
        <v>0</v>
      </c>
    </row>
    <row r="1980" spans="2:10" x14ac:dyDescent="0.15">
      <c r="B1980" s="25" t="s">
        <v>263</v>
      </c>
      <c r="C1980" s="14">
        <v>1</v>
      </c>
      <c r="D1980" s="31">
        <v>3</v>
      </c>
      <c r="E1980" s="15">
        <f t="shared" si="246"/>
        <v>4</v>
      </c>
      <c r="F1980" s="61">
        <v>46055</v>
      </c>
      <c r="G1980" s="25"/>
      <c r="H1980" s="14"/>
      <c r="I1980" s="31"/>
      <c r="J1980" s="15">
        <f t="shared" si="248"/>
        <v>0</v>
      </c>
    </row>
    <row r="1981" spans="2:10" x14ac:dyDescent="0.15">
      <c r="B1981" s="25" t="s">
        <v>540</v>
      </c>
      <c r="C1981" s="14">
        <v>2</v>
      </c>
      <c r="D1981" s="31"/>
      <c r="E1981" s="15">
        <f t="shared" si="246"/>
        <v>2</v>
      </c>
      <c r="F1981" s="61">
        <v>46056</v>
      </c>
      <c r="G1981" s="25"/>
      <c r="H1981" s="14"/>
      <c r="I1981" s="31"/>
      <c r="J1981" s="15">
        <f t="shared" si="248"/>
        <v>0</v>
      </c>
    </row>
    <row r="1982" spans="2:10" x14ac:dyDescent="0.15">
      <c r="B1982" s="25" t="s">
        <v>263</v>
      </c>
      <c r="C1982" s="14">
        <v>1</v>
      </c>
      <c r="D1982" s="31">
        <v>1</v>
      </c>
      <c r="E1982" s="15">
        <f t="shared" si="246"/>
        <v>2</v>
      </c>
      <c r="F1982" s="61">
        <v>46056</v>
      </c>
      <c r="G1982" s="25"/>
      <c r="H1982" s="14"/>
      <c r="I1982" s="31"/>
      <c r="J1982" s="15">
        <f t="shared" si="248"/>
        <v>0</v>
      </c>
    </row>
    <row r="1983" spans="2:10" x14ac:dyDescent="0.15">
      <c r="B1983" s="25" t="s">
        <v>263</v>
      </c>
      <c r="C1983" s="14">
        <v>1</v>
      </c>
      <c r="D1983" s="31"/>
      <c r="E1983" s="15">
        <f t="shared" si="246"/>
        <v>1</v>
      </c>
      <c r="F1983" s="61">
        <v>46058</v>
      </c>
      <c r="G1983" s="25"/>
      <c r="H1983" s="14"/>
      <c r="I1983" s="31"/>
      <c r="J1983" s="15">
        <f t="shared" si="248"/>
        <v>0</v>
      </c>
    </row>
    <row r="1984" spans="2:10" x14ac:dyDescent="0.15">
      <c r="B1984" s="25" t="s">
        <v>540</v>
      </c>
      <c r="C1984" s="14">
        <v>3</v>
      </c>
      <c r="D1984" s="31"/>
      <c r="E1984" s="15">
        <f t="shared" si="246"/>
        <v>3</v>
      </c>
      <c r="F1984" s="61">
        <v>46060</v>
      </c>
      <c r="G1984" s="25"/>
      <c r="H1984" s="14"/>
      <c r="I1984" s="31"/>
      <c r="J1984" s="15">
        <f t="shared" si="248"/>
        <v>0</v>
      </c>
    </row>
    <row r="1985" spans="2:10" x14ac:dyDescent="0.15">
      <c r="B1985" s="25" t="s">
        <v>263</v>
      </c>
      <c r="C1985" s="14">
        <v>1</v>
      </c>
      <c r="D1985" s="31">
        <v>1</v>
      </c>
      <c r="E1985" s="15">
        <f t="shared" si="246"/>
        <v>2</v>
      </c>
      <c r="F1985" s="61">
        <v>46059</v>
      </c>
      <c r="G1985" s="25"/>
      <c r="H1985" s="14"/>
      <c r="I1985" s="31"/>
      <c r="J1985" s="15">
        <f t="shared" si="248"/>
        <v>0</v>
      </c>
    </row>
    <row r="1986" spans="2:10" x14ac:dyDescent="0.15">
      <c r="B1986" s="25" t="s">
        <v>263</v>
      </c>
      <c r="C1986" s="14">
        <v>2</v>
      </c>
      <c r="D1986" s="31"/>
      <c r="E1986" s="15">
        <f t="shared" si="246"/>
        <v>2</v>
      </c>
      <c r="F1986" s="61">
        <v>46062</v>
      </c>
      <c r="G1986" s="25"/>
      <c r="H1986" s="14"/>
      <c r="I1986" s="31"/>
      <c r="J1986" s="15">
        <f t="shared" si="248"/>
        <v>0</v>
      </c>
    </row>
    <row r="1987" spans="2:10" x14ac:dyDescent="0.15">
      <c r="B1987" s="25" t="s">
        <v>263</v>
      </c>
      <c r="C1987" s="14">
        <v>1</v>
      </c>
      <c r="D1987" s="31">
        <v>1</v>
      </c>
      <c r="E1987" s="15">
        <f t="shared" si="246"/>
        <v>2</v>
      </c>
      <c r="F1987" s="61">
        <v>46069</v>
      </c>
      <c r="G1987" s="25"/>
      <c r="H1987" s="14"/>
      <c r="I1987" s="31"/>
      <c r="J1987" s="15">
        <f t="shared" si="248"/>
        <v>0</v>
      </c>
    </row>
    <row r="1988" spans="2:10" x14ac:dyDescent="0.15">
      <c r="B1988" s="25" t="s">
        <v>263</v>
      </c>
      <c r="C1988" s="14">
        <v>1</v>
      </c>
      <c r="D1988" s="31"/>
      <c r="E1988" s="15">
        <f t="shared" si="246"/>
        <v>1</v>
      </c>
      <c r="F1988" s="61">
        <v>46070</v>
      </c>
      <c r="G1988" s="25"/>
      <c r="H1988" s="14"/>
      <c r="I1988" s="31"/>
      <c r="J1988" s="15">
        <f t="shared" si="248"/>
        <v>0</v>
      </c>
    </row>
    <row r="1989" spans="2:10" x14ac:dyDescent="0.15">
      <c r="B1989" s="25" t="s">
        <v>263</v>
      </c>
      <c r="C1989" s="14">
        <v>1</v>
      </c>
      <c r="D1989" s="31"/>
      <c r="E1989" s="15">
        <f t="shared" si="246"/>
        <v>1</v>
      </c>
      <c r="F1989" s="61">
        <v>46071</v>
      </c>
      <c r="G1989" s="25"/>
      <c r="H1989" s="14"/>
      <c r="I1989" s="31"/>
      <c r="J1989" s="15">
        <f t="shared" si="248"/>
        <v>0</v>
      </c>
    </row>
    <row r="1990" spans="2:10" x14ac:dyDescent="0.15">
      <c r="B1990" s="25" t="s">
        <v>540</v>
      </c>
      <c r="C1990" s="14">
        <v>3</v>
      </c>
      <c r="D1990" s="31"/>
      <c r="E1990" s="15">
        <f t="shared" si="246"/>
        <v>3</v>
      </c>
      <c r="F1990" s="61">
        <v>46072</v>
      </c>
      <c r="G1990" s="25"/>
      <c r="H1990" s="14"/>
      <c r="I1990" s="31"/>
      <c r="J1990" s="15">
        <f t="shared" si="248"/>
        <v>0</v>
      </c>
    </row>
    <row r="1991" spans="2:10" x14ac:dyDescent="0.15">
      <c r="B1991" s="25" t="s">
        <v>540</v>
      </c>
      <c r="C1991" s="14"/>
      <c r="D1991" s="31">
        <v>2</v>
      </c>
      <c r="E1991" s="15">
        <f t="shared" si="246"/>
        <v>2</v>
      </c>
      <c r="F1991" s="61">
        <v>46074</v>
      </c>
      <c r="G1991" s="25"/>
      <c r="H1991" s="14"/>
      <c r="I1991" s="31"/>
      <c r="J1991" s="15">
        <f t="shared" si="248"/>
        <v>0</v>
      </c>
    </row>
    <row r="1992" spans="2:10" x14ac:dyDescent="0.15">
      <c r="B1992" s="25" t="s">
        <v>263</v>
      </c>
      <c r="C1992" s="14">
        <v>1</v>
      </c>
      <c r="D1992" s="31"/>
      <c r="E1992" s="15">
        <f t="shared" si="246"/>
        <v>1</v>
      </c>
      <c r="F1992" s="61">
        <v>46073</v>
      </c>
      <c r="G1992" s="25"/>
      <c r="H1992" s="14"/>
      <c r="I1992" s="31"/>
      <c r="J1992" s="15">
        <f t="shared" si="248"/>
        <v>0</v>
      </c>
    </row>
    <row r="1993" spans="2:10" x14ac:dyDescent="0.15">
      <c r="B1993" s="25" t="s">
        <v>263</v>
      </c>
      <c r="C1993" s="14">
        <v>11</v>
      </c>
      <c r="D1993" s="31">
        <v>6</v>
      </c>
      <c r="E1993" s="15">
        <f t="shared" si="246"/>
        <v>17</v>
      </c>
      <c r="F1993" s="61">
        <v>46077</v>
      </c>
      <c r="G1993" s="25"/>
      <c r="H1993" s="14"/>
      <c r="I1993" s="31"/>
      <c r="J1993" s="15">
        <f t="shared" si="248"/>
        <v>0</v>
      </c>
    </row>
    <row r="1994" spans="2:10" x14ac:dyDescent="0.15">
      <c r="B1994" s="25" t="s">
        <v>263</v>
      </c>
      <c r="C1994" s="14">
        <v>1</v>
      </c>
      <c r="D1994" s="31">
        <v>1</v>
      </c>
      <c r="E1994" s="15">
        <f t="shared" si="246"/>
        <v>2</v>
      </c>
      <c r="F1994" s="61">
        <v>46078</v>
      </c>
      <c r="G1994" s="25"/>
      <c r="H1994" s="14"/>
      <c r="I1994" s="31"/>
      <c r="J1994" s="15">
        <f t="shared" si="248"/>
        <v>0</v>
      </c>
    </row>
    <row r="1995" spans="2:10" x14ac:dyDescent="0.15">
      <c r="B1995" s="25" t="s">
        <v>263</v>
      </c>
      <c r="C1995" s="14">
        <v>1</v>
      </c>
      <c r="D1995" s="31"/>
      <c r="E1995" s="15">
        <f t="shared" si="246"/>
        <v>1</v>
      </c>
      <c r="F1995" s="61">
        <v>46079</v>
      </c>
      <c r="G1995" s="25"/>
      <c r="H1995" s="14"/>
      <c r="I1995" s="31"/>
      <c r="J1995" s="15">
        <f t="shared" si="248"/>
        <v>0</v>
      </c>
    </row>
    <row r="1996" spans="2:10" ht="14.25" thickBot="1" x14ac:dyDescent="0.2">
      <c r="B1996" s="25" t="s">
        <v>263</v>
      </c>
      <c r="C1996" s="14">
        <v>9</v>
      </c>
      <c r="D1996" s="31">
        <v>7</v>
      </c>
      <c r="E1996" s="15">
        <f t="shared" si="246"/>
        <v>16</v>
      </c>
      <c r="F1996" s="61">
        <v>46083</v>
      </c>
      <c r="G1996" s="25"/>
      <c r="H1996" s="14"/>
      <c r="I1996" s="31"/>
      <c r="J1996" s="15">
        <f t="shared" si="248"/>
        <v>0</v>
      </c>
    </row>
    <row r="1997" spans="2:10" ht="14.25" thickBot="1" x14ac:dyDescent="0.2">
      <c r="B1997" s="8" t="s">
        <v>2</v>
      </c>
      <c r="C1997" s="10">
        <f>SUM(C1972:C1996)</f>
        <v>51</v>
      </c>
      <c r="D1997" s="32">
        <f>SUM(D1972:D1996)</f>
        <v>29</v>
      </c>
      <c r="E1997" s="11">
        <f>C1997+D1997</f>
        <v>80</v>
      </c>
      <c r="G1997" s="8" t="s">
        <v>2</v>
      </c>
      <c r="H1997" s="10">
        <f>SUM(H1972:H1996)</f>
        <v>0</v>
      </c>
      <c r="I1997" s="32">
        <f>SUM(I1972:I1996)</f>
        <v>0</v>
      </c>
      <c r="J1997" s="11">
        <f t="shared" si="248"/>
        <v>0</v>
      </c>
    </row>
    <row r="1998" spans="2:10" ht="14.25" thickBot="1" x14ac:dyDescent="0.2">
      <c r="B1998" s="52" t="s">
        <v>3</v>
      </c>
      <c r="C1998" s="53">
        <f>+C1971-C1997</f>
        <v>192</v>
      </c>
      <c r="D1998" s="54">
        <f>+D1971-D1997</f>
        <v>92</v>
      </c>
      <c r="E1998" s="55">
        <f>C1998+D1998</f>
        <v>284</v>
      </c>
      <c r="G1998" s="52" t="s">
        <v>3</v>
      </c>
      <c r="H1998" s="87">
        <f>+H1971-H1997</f>
        <v>1200</v>
      </c>
      <c r="I1998" s="97">
        <f>+I1971-I1997</f>
        <v>1600</v>
      </c>
      <c r="J1998" s="95">
        <f>+J1971-J1997</f>
        <v>2800</v>
      </c>
    </row>
    <row r="2000" spans="2:10" ht="21" x14ac:dyDescent="0.2">
      <c r="B2000" s="76" t="s">
        <v>150</v>
      </c>
      <c r="G2000" s="75" t="s">
        <v>149</v>
      </c>
    </row>
    <row r="2001" spans="2:10" ht="18.75" x14ac:dyDescent="0.2">
      <c r="B2001" s="3" t="s">
        <v>11</v>
      </c>
      <c r="E2001" s="71"/>
      <c r="G2001" s="3" t="s">
        <v>11</v>
      </c>
    </row>
    <row r="2002" spans="2:10" ht="14.25" thickBot="1" x14ac:dyDescent="0.2">
      <c r="G2002" s="1"/>
    </row>
    <row r="2003" spans="2:10" ht="14.25" thickBot="1" x14ac:dyDescent="0.2">
      <c r="B2003" s="7"/>
      <c r="C2003" s="67"/>
      <c r="D2003" s="68"/>
      <c r="E2003" s="69"/>
      <c r="G2003" s="7"/>
      <c r="H2003" s="67"/>
      <c r="I2003" s="68"/>
      <c r="J2003" s="69"/>
    </row>
    <row r="2004" spans="2:10" ht="14.25" thickBot="1" x14ac:dyDescent="0.2">
      <c r="B2004" s="8"/>
      <c r="C2004" s="40" t="s">
        <v>7</v>
      </c>
      <c r="D2004" s="29" t="s">
        <v>9</v>
      </c>
      <c r="E2004" s="9" t="s">
        <v>0</v>
      </c>
      <c r="G2004" s="8"/>
      <c r="H2004" s="40" t="s">
        <v>7</v>
      </c>
      <c r="I2004" s="29" t="s">
        <v>9</v>
      </c>
      <c r="J2004" s="9" t="s">
        <v>0</v>
      </c>
    </row>
    <row r="2005" spans="2:10" x14ac:dyDescent="0.15">
      <c r="B2005" s="16" t="s">
        <v>4</v>
      </c>
      <c r="C2005" s="17">
        <f>C1998</f>
        <v>192</v>
      </c>
      <c r="D2005" s="35">
        <f>D1998</f>
        <v>92</v>
      </c>
      <c r="E2005" s="18">
        <f t="shared" ref="E2005:E2036" si="249">C2005+D2005</f>
        <v>284</v>
      </c>
      <c r="G2005" s="16" t="s">
        <v>4</v>
      </c>
      <c r="H2005" s="89">
        <f>H1998</f>
        <v>1200</v>
      </c>
      <c r="I2005" s="90">
        <f>I1998</f>
        <v>1600</v>
      </c>
      <c r="J2005" s="96">
        <f>J1998</f>
        <v>2800</v>
      </c>
    </row>
    <row r="2006" spans="2:10" x14ac:dyDescent="0.15">
      <c r="B2006" s="25" t="s">
        <v>5</v>
      </c>
      <c r="C2006" s="14"/>
      <c r="D2006" s="31"/>
      <c r="E2006" s="15">
        <f t="shared" si="249"/>
        <v>0</v>
      </c>
      <c r="G2006" s="25" t="s">
        <v>5</v>
      </c>
      <c r="H2006" s="14"/>
      <c r="I2006" s="31"/>
      <c r="J2006" s="15">
        <f t="shared" ref="J2006:J2010" si="250">H2006+I2006</f>
        <v>0</v>
      </c>
    </row>
    <row r="2007" spans="2:10" x14ac:dyDescent="0.15">
      <c r="B2007" s="25" t="s">
        <v>5</v>
      </c>
      <c r="C2007" s="14"/>
      <c r="D2007" s="31"/>
      <c r="E2007" s="15">
        <f t="shared" si="249"/>
        <v>0</v>
      </c>
      <c r="G2007" s="25" t="s">
        <v>5</v>
      </c>
      <c r="H2007" s="14"/>
      <c r="I2007" s="31"/>
      <c r="J2007" s="15">
        <f t="shared" si="250"/>
        <v>0</v>
      </c>
    </row>
    <row r="2008" spans="2:10" x14ac:dyDescent="0.15">
      <c r="B2008" s="25" t="s">
        <v>5</v>
      </c>
      <c r="C2008" s="14"/>
      <c r="D2008" s="31"/>
      <c r="E2008" s="15">
        <f t="shared" si="249"/>
        <v>0</v>
      </c>
      <c r="G2008" s="25" t="s">
        <v>5</v>
      </c>
      <c r="H2008" s="14"/>
      <c r="I2008" s="31"/>
      <c r="J2008" s="15">
        <f t="shared" si="250"/>
        <v>0</v>
      </c>
    </row>
    <row r="2009" spans="2:10" x14ac:dyDescent="0.15">
      <c r="B2009" s="25" t="s">
        <v>5</v>
      </c>
      <c r="C2009" s="14"/>
      <c r="D2009" s="31"/>
      <c r="E2009" s="15">
        <f t="shared" si="249"/>
        <v>0</v>
      </c>
      <c r="G2009" s="25" t="s">
        <v>5</v>
      </c>
      <c r="H2009" s="14"/>
      <c r="I2009" s="31"/>
      <c r="J2009" s="15">
        <f t="shared" si="250"/>
        <v>0</v>
      </c>
    </row>
    <row r="2010" spans="2:10" ht="14.25" thickBot="1" x14ac:dyDescent="0.2">
      <c r="B2010" s="25" t="s">
        <v>5</v>
      </c>
      <c r="C2010" s="92"/>
      <c r="D2010" s="93"/>
      <c r="E2010" s="94">
        <f t="shared" si="249"/>
        <v>0</v>
      </c>
      <c r="G2010" s="25" t="s">
        <v>5</v>
      </c>
      <c r="H2010" s="92"/>
      <c r="I2010" s="93"/>
      <c r="J2010" s="94">
        <f t="shared" si="250"/>
        <v>0</v>
      </c>
    </row>
    <row r="2011" spans="2:10" ht="14.25" thickBot="1" x14ac:dyDescent="0.2">
      <c r="B2011" s="8" t="s">
        <v>1</v>
      </c>
      <c r="C2011" s="10">
        <f>SUM(C2005:C2010)</f>
        <v>192</v>
      </c>
      <c r="D2011" s="32">
        <f>SUM(D2005:D2010)</f>
        <v>92</v>
      </c>
      <c r="E2011" s="11">
        <f t="shared" si="249"/>
        <v>284</v>
      </c>
      <c r="G2011" s="8" t="s">
        <v>1</v>
      </c>
      <c r="H2011" s="10">
        <f>SUM(H2005:H2010)</f>
        <v>1200</v>
      </c>
      <c r="I2011" s="32">
        <f>SUM(I2005:I2010)</f>
        <v>1600</v>
      </c>
      <c r="J2011" s="11">
        <f>SUM(J2005:J2010)</f>
        <v>2800</v>
      </c>
    </row>
    <row r="2012" spans="2:10" x14ac:dyDescent="0.15">
      <c r="B2012" s="25" t="s">
        <v>540</v>
      </c>
      <c r="C2012" s="14">
        <v>2</v>
      </c>
      <c r="D2012" s="31"/>
      <c r="E2012" s="15">
        <f t="shared" si="249"/>
        <v>2</v>
      </c>
      <c r="F2012" s="61">
        <v>46085</v>
      </c>
      <c r="G2012" s="25"/>
      <c r="H2012" s="14"/>
      <c r="I2012" s="31"/>
      <c r="J2012" s="15">
        <f t="shared" ref="J2012:J2037" si="251">H2012+I2012</f>
        <v>0</v>
      </c>
    </row>
    <row r="2013" spans="2:10" x14ac:dyDescent="0.15">
      <c r="B2013" s="25" t="s">
        <v>566</v>
      </c>
      <c r="C2013" s="14">
        <v>1</v>
      </c>
      <c r="D2013" s="31"/>
      <c r="E2013" s="15">
        <f t="shared" si="249"/>
        <v>1</v>
      </c>
      <c r="F2013" s="61">
        <v>46086</v>
      </c>
      <c r="G2013" s="25"/>
      <c r="H2013" s="14"/>
      <c r="I2013" s="31"/>
      <c r="J2013" s="15">
        <f t="shared" si="251"/>
        <v>0</v>
      </c>
    </row>
    <row r="2014" spans="2:10" x14ac:dyDescent="0.15">
      <c r="B2014" s="25" t="s">
        <v>263</v>
      </c>
      <c r="C2014" s="14">
        <v>3</v>
      </c>
      <c r="D2014" s="31"/>
      <c r="E2014" s="15">
        <f t="shared" si="249"/>
        <v>3</v>
      </c>
      <c r="F2014" s="61">
        <v>46090</v>
      </c>
      <c r="G2014" s="25"/>
      <c r="H2014" s="14"/>
      <c r="I2014" s="31"/>
      <c r="J2014" s="15">
        <f t="shared" si="251"/>
        <v>0</v>
      </c>
    </row>
    <row r="2015" spans="2:10" x14ac:dyDescent="0.15">
      <c r="B2015" s="25" t="s">
        <v>263</v>
      </c>
      <c r="C2015" s="14">
        <v>1</v>
      </c>
      <c r="D2015" s="31"/>
      <c r="E2015" s="15">
        <f t="shared" si="249"/>
        <v>1</v>
      </c>
      <c r="F2015" s="61">
        <v>46092</v>
      </c>
      <c r="G2015" s="25"/>
      <c r="H2015" s="14"/>
      <c r="I2015" s="31"/>
      <c r="J2015" s="15">
        <f t="shared" si="251"/>
        <v>0</v>
      </c>
    </row>
    <row r="2016" spans="2:10" x14ac:dyDescent="0.15">
      <c r="B2016" s="25" t="s">
        <v>263</v>
      </c>
      <c r="C2016" s="14">
        <v>4</v>
      </c>
      <c r="D2016" s="31"/>
      <c r="E2016" s="15">
        <f t="shared" si="249"/>
        <v>4</v>
      </c>
      <c r="F2016" s="61">
        <v>46093</v>
      </c>
      <c r="G2016" s="25"/>
      <c r="H2016" s="14"/>
      <c r="I2016" s="31"/>
      <c r="J2016" s="15">
        <f t="shared" si="251"/>
        <v>0</v>
      </c>
    </row>
    <row r="2017" spans="2:10" x14ac:dyDescent="0.15">
      <c r="B2017" s="25" t="s">
        <v>263</v>
      </c>
      <c r="C2017" s="14"/>
      <c r="D2017" s="31">
        <v>1</v>
      </c>
      <c r="E2017" s="15">
        <f t="shared" si="249"/>
        <v>1</v>
      </c>
      <c r="F2017" s="61">
        <v>46094</v>
      </c>
      <c r="G2017" s="25"/>
      <c r="H2017" s="14"/>
      <c r="I2017" s="31"/>
      <c r="J2017" s="15">
        <f t="shared" si="251"/>
        <v>0</v>
      </c>
    </row>
    <row r="2018" spans="2:10" x14ac:dyDescent="0.15">
      <c r="B2018" s="25" t="s">
        <v>540</v>
      </c>
      <c r="C2018" s="14">
        <v>3</v>
      </c>
      <c r="D2018" s="31"/>
      <c r="E2018" s="15">
        <f t="shared" si="249"/>
        <v>3</v>
      </c>
      <c r="F2018" s="61">
        <v>46098</v>
      </c>
      <c r="G2018" s="25"/>
      <c r="H2018" s="14"/>
      <c r="I2018" s="31"/>
      <c r="J2018" s="15">
        <f t="shared" si="251"/>
        <v>0</v>
      </c>
    </row>
    <row r="2019" spans="2:10" x14ac:dyDescent="0.15">
      <c r="B2019" s="25" t="s">
        <v>263</v>
      </c>
      <c r="C2019" s="14">
        <v>13</v>
      </c>
      <c r="D2019" s="31">
        <v>4</v>
      </c>
      <c r="E2019" s="15">
        <f t="shared" si="249"/>
        <v>17</v>
      </c>
      <c r="F2019" s="61">
        <v>46097</v>
      </c>
      <c r="G2019" s="25"/>
      <c r="H2019" s="14"/>
      <c r="I2019" s="31"/>
      <c r="J2019" s="15">
        <f t="shared" si="251"/>
        <v>0</v>
      </c>
    </row>
    <row r="2020" spans="2:10" x14ac:dyDescent="0.15">
      <c r="B2020" s="25" t="s">
        <v>263</v>
      </c>
      <c r="C2020" s="14">
        <v>1</v>
      </c>
      <c r="D2020" s="31"/>
      <c r="E2020" s="15">
        <f t="shared" si="249"/>
        <v>1</v>
      </c>
      <c r="F2020" s="61">
        <v>46098</v>
      </c>
      <c r="G2020" s="25"/>
      <c r="H2020" s="14"/>
      <c r="I2020" s="31"/>
      <c r="J2020" s="15">
        <f t="shared" si="251"/>
        <v>0</v>
      </c>
    </row>
    <row r="2021" spans="2:10" x14ac:dyDescent="0.15">
      <c r="B2021" s="25" t="s">
        <v>263</v>
      </c>
      <c r="C2021" s="14">
        <v>1</v>
      </c>
      <c r="D2021" s="31">
        <v>1</v>
      </c>
      <c r="E2021" s="15">
        <f t="shared" si="249"/>
        <v>2</v>
      </c>
      <c r="F2021" s="61">
        <v>46099</v>
      </c>
      <c r="G2021" s="25"/>
      <c r="H2021" s="14"/>
      <c r="I2021" s="31"/>
      <c r="J2021" s="15">
        <f t="shared" si="251"/>
        <v>0</v>
      </c>
    </row>
    <row r="2022" spans="2:10" x14ac:dyDescent="0.15">
      <c r="B2022" s="25" t="s">
        <v>263</v>
      </c>
      <c r="C2022" s="14">
        <v>3</v>
      </c>
      <c r="D2022" s="31">
        <v>3</v>
      </c>
      <c r="E2022" s="15">
        <f t="shared" si="249"/>
        <v>6</v>
      </c>
      <c r="F2022" s="61">
        <v>46104</v>
      </c>
      <c r="G2022" s="25"/>
      <c r="H2022" s="14"/>
      <c r="I2022" s="31"/>
      <c r="J2022" s="15">
        <f t="shared" si="251"/>
        <v>0</v>
      </c>
    </row>
    <row r="2023" spans="2:10" x14ac:dyDescent="0.15">
      <c r="B2023" s="25" t="s">
        <v>263</v>
      </c>
      <c r="C2023" s="14">
        <v>3</v>
      </c>
      <c r="D2023" s="31">
        <v>3</v>
      </c>
      <c r="E2023" s="15">
        <f t="shared" si="249"/>
        <v>6</v>
      </c>
      <c r="F2023" s="61">
        <v>46106</v>
      </c>
      <c r="G2023" s="25"/>
      <c r="H2023" s="14"/>
      <c r="I2023" s="31"/>
      <c r="J2023" s="15">
        <f t="shared" si="251"/>
        <v>0</v>
      </c>
    </row>
    <row r="2024" spans="2:10" x14ac:dyDescent="0.15">
      <c r="B2024" s="25" t="s">
        <v>263</v>
      </c>
      <c r="C2024" s="14">
        <f>2+2</f>
        <v>4</v>
      </c>
      <c r="D2024" s="31"/>
      <c r="E2024" s="15">
        <f t="shared" si="249"/>
        <v>4</v>
      </c>
      <c r="F2024" s="61">
        <v>46107</v>
      </c>
      <c r="G2024" s="25"/>
      <c r="H2024" s="14"/>
      <c r="I2024" s="31"/>
      <c r="J2024" s="15">
        <f t="shared" si="251"/>
        <v>0</v>
      </c>
    </row>
    <row r="2025" spans="2:10" x14ac:dyDescent="0.15">
      <c r="B2025" s="25" t="s">
        <v>263</v>
      </c>
      <c r="C2025" s="14">
        <v>2</v>
      </c>
      <c r="D2025" s="31"/>
      <c r="E2025" s="15">
        <f t="shared" si="249"/>
        <v>2</v>
      </c>
      <c r="F2025" s="61">
        <v>46108</v>
      </c>
      <c r="G2025" s="25"/>
      <c r="H2025" s="14"/>
      <c r="I2025" s="31"/>
      <c r="J2025" s="15">
        <f t="shared" si="251"/>
        <v>0</v>
      </c>
    </row>
    <row r="2026" spans="2:10" x14ac:dyDescent="0.15">
      <c r="B2026" s="25" t="s">
        <v>540</v>
      </c>
      <c r="C2026" s="14">
        <v>3</v>
      </c>
      <c r="D2026" s="31">
        <v>2</v>
      </c>
      <c r="E2026" s="15">
        <f t="shared" si="249"/>
        <v>5</v>
      </c>
      <c r="F2026" s="61">
        <v>46112</v>
      </c>
      <c r="G2026" s="25"/>
      <c r="H2026" s="14"/>
      <c r="I2026" s="31"/>
      <c r="J2026" s="15">
        <f t="shared" si="251"/>
        <v>0</v>
      </c>
    </row>
    <row r="2027" spans="2:10" x14ac:dyDescent="0.15">
      <c r="B2027" s="25" t="s">
        <v>263</v>
      </c>
      <c r="C2027" s="14">
        <v>5</v>
      </c>
      <c r="D2027" s="31">
        <v>1</v>
      </c>
      <c r="E2027" s="15">
        <f t="shared" si="249"/>
        <v>6</v>
      </c>
      <c r="F2027" s="61">
        <v>46111</v>
      </c>
      <c r="G2027" s="25"/>
      <c r="H2027" s="14"/>
      <c r="I2027" s="31"/>
      <c r="J2027" s="15">
        <f t="shared" si="251"/>
        <v>0</v>
      </c>
    </row>
    <row r="2028" spans="2:10" x14ac:dyDescent="0.15">
      <c r="B2028" s="25" t="s">
        <v>263</v>
      </c>
      <c r="C2028" s="14"/>
      <c r="D2028" s="31">
        <v>1</v>
      </c>
      <c r="E2028" s="15">
        <f t="shared" si="249"/>
        <v>1</v>
      </c>
      <c r="F2028" s="61">
        <v>46112</v>
      </c>
      <c r="G2028" s="25"/>
      <c r="H2028" s="14"/>
      <c r="I2028" s="31"/>
      <c r="J2028" s="15">
        <f t="shared" si="251"/>
        <v>0</v>
      </c>
    </row>
    <row r="2029" spans="2:10" x14ac:dyDescent="0.15">
      <c r="B2029" s="25" t="s">
        <v>540</v>
      </c>
      <c r="C2029" s="14">
        <v>2</v>
      </c>
      <c r="D2029" s="31"/>
      <c r="E2029" s="15">
        <f t="shared" si="249"/>
        <v>2</v>
      </c>
      <c r="F2029" s="61">
        <v>46114</v>
      </c>
      <c r="G2029" s="25"/>
      <c r="H2029" s="14"/>
      <c r="I2029" s="31"/>
      <c r="J2029" s="15">
        <f t="shared" si="251"/>
        <v>0</v>
      </c>
    </row>
    <row r="2030" spans="2:10" x14ac:dyDescent="0.15">
      <c r="B2030" s="25" t="s">
        <v>263</v>
      </c>
      <c r="C2030" s="14">
        <v>1</v>
      </c>
      <c r="D2030" s="31">
        <v>1</v>
      </c>
      <c r="E2030" s="15">
        <f t="shared" si="249"/>
        <v>2</v>
      </c>
      <c r="F2030" s="61">
        <v>46114</v>
      </c>
      <c r="G2030" s="25"/>
      <c r="H2030" s="14"/>
      <c r="I2030" s="31"/>
      <c r="J2030" s="15">
        <f t="shared" si="251"/>
        <v>0</v>
      </c>
    </row>
    <row r="2031" spans="2:10" x14ac:dyDescent="0.15">
      <c r="B2031" s="25" t="s">
        <v>263</v>
      </c>
      <c r="C2031" s="14">
        <v>26</v>
      </c>
      <c r="D2031" s="31">
        <v>2</v>
      </c>
      <c r="E2031" s="15">
        <f t="shared" si="249"/>
        <v>28</v>
      </c>
      <c r="F2031" s="61">
        <v>46118</v>
      </c>
      <c r="G2031" s="25"/>
      <c r="H2031" s="14"/>
      <c r="I2031" s="31"/>
      <c r="J2031" s="15">
        <f t="shared" si="251"/>
        <v>0</v>
      </c>
    </row>
    <row r="2032" spans="2:10" x14ac:dyDescent="0.15">
      <c r="B2032" s="25" t="s">
        <v>263</v>
      </c>
      <c r="C2032" s="14">
        <v>3</v>
      </c>
      <c r="D2032" s="31"/>
      <c r="E2032" s="15">
        <f t="shared" si="249"/>
        <v>3</v>
      </c>
      <c r="F2032" s="61">
        <v>46119</v>
      </c>
      <c r="G2032" s="25"/>
      <c r="H2032" s="14"/>
      <c r="I2032" s="31"/>
      <c r="J2032" s="15">
        <f t="shared" si="251"/>
        <v>0</v>
      </c>
    </row>
    <row r="2033" spans="2:10" x14ac:dyDescent="0.15">
      <c r="B2033" s="25" t="s">
        <v>263</v>
      </c>
      <c r="C2033" s="14"/>
      <c r="D2033" s="31">
        <v>1</v>
      </c>
      <c r="E2033" s="15">
        <f t="shared" si="249"/>
        <v>1</v>
      </c>
      <c r="F2033" s="61">
        <v>46120</v>
      </c>
      <c r="G2033" s="25"/>
      <c r="H2033" s="14"/>
      <c r="I2033" s="31"/>
      <c r="J2033" s="15">
        <f t="shared" si="251"/>
        <v>0</v>
      </c>
    </row>
    <row r="2034" spans="2:10" x14ac:dyDescent="0.15">
      <c r="B2034" s="25" t="s">
        <v>263</v>
      </c>
      <c r="C2034" s="14"/>
      <c r="D2034" s="31">
        <v>7</v>
      </c>
      <c r="E2034" s="15">
        <f t="shared" si="249"/>
        <v>7</v>
      </c>
      <c r="F2034" s="61">
        <v>46121</v>
      </c>
      <c r="G2034" s="25"/>
      <c r="H2034" s="14"/>
      <c r="I2034" s="31"/>
      <c r="J2034" s="15">
        <f t="shared" si="251"/>
        <v>0</v>
      </c>
    </row>
    <row r="2035" spans="2:10" x14ac:dyDescent="0.15">
      <c r="B2035" s="25" t="s">
        <v>540</v>
      </c>
      <c r="C2035" s="14">
        <v>3</v>
      </c>
      <c r="D2035" s="31">
        <v>1</v>
      </c>
      <c r="E2035" s="15">
        <f t="shared" si="249"/>
        <v>4</v>
      </c>
      <c r="F2035" s="61">
        <v>46123</v>
      </c>
      <c r="G2035" s="25"/>
      <c r="H2035" s="14"/>
      <c r="I2035" s="31"/>
      <c r="J2035" s="15">
        <f t="shared" si="251"/>
        <v>0</v>
      </c>
    </row>
    <row r="2036" spans="2:10" ht="14.25" thickBot="1" x14ac:dyDescent="0.2">
      <c r="B2036" s="25" t="s">
        <v>263</v>
      </c>
      <c r="C2036" s="14">
        <v>2</v>
      </c>
      <c r="D2036" s="31"/>
      <c r="E2036" s="15">
        <f t="shared" si="249"/>
        <v>2</v>
      </c>
      <c r="F2036" s="61">
        <v>46125</v>
      </c>
      <c r="G2036" s="25"/>
      <c r="H2036" s="14"/>
      <c r="I2036" s="31"/>
      <c r="J2036" s="15">
        <f t="shared" si="251"/>
        <v>0</v>
      </c>
    </row>
    <row r="2037" spans="2:10" ht="14.25" thickBot="1" x14ac:dyDescent="0.2">
      <c r="B2037" s="8" t="s">
        <v>2</v>
      </c>
      <c r="C2037" s="10">
        <f>SUM(C2012:C2036)</f>
        <v>86</v>
      </c>
      <c r="D2037" s="32">
        <f>SUM(D2012:D2036)</f>
        <v>28</v>
      </c>
      <c r="E2037" s="11">
        <f>C2037+D2037</f>
        <v>114</v>
      </c>
      <c r="G2037" s="8" t="s">
        <v>2</v>
      </c>
      <c r="H2037" s="10">
        <f>SUM(H2012:H2036)</f>
        <v>0</v>
      </c>
      <c r="I2037" s="32">
        <f>SUM(I2012:I2036)</f>
        <v>0</v>
      </c>
      <c r="J2037" s="11">
        <f t="shared" si="251"/>
        <v>0</v>
      </c>
    </row>
    <row r="2038" spans="2:10" ht="14.25" thickBot="1" x14ac:dyDescent="0.2">
      <c r="B2038" s="52" t="s">
        <v>3</v>
      </c>
      <c r="C2038" s="53">
        <f>+C2011-C2037</f>
        <v>106</v>
      </c>
      <c r="D2038" s="54">
        <f>+D2011-D2037</f>
        <v>64</v>
      </c>
      <c r="E2038" s="55">
        <f>C2038+D2038</f>
        <v>170</v>
      </c>
      <c r="G2038" s="52" t="s">
        <v>3</v>
      </c>
      <c r="H2038" s="87">
        <f>+H2011-H2037</f>
        <v>1200</v>
      </c>
      <c r="I2038" s="97">
        <f>+I2011-I2037</f>
        <v>1600</v>
      </c>
      <c r="J2038" s="95">
        <f>+J2011-J2037</f>
        <v>2800</v>
      </c>
    </row>
    <row r="2040" spans="2:10" ht="21" x14ac:dyDescent="0.2">
      <c r="B2040" s="76" t="s">
        <v>150</v>
      </c>
      <c r="G2040" s="75" t="s">
        <v>149</v>
      </c>
    </row>
    <row r="2041" spans="2:10" ht="18.75" x14ac:dyDescent="0.2">
      <c r="B2041" s="3" t="s">
        <v>11</v>
      </c>
      <c r="E2041" s="71"/>
      <c r="G2041" s="3" t="s">
        <v>11</v>
      </c>
    </row>
    <row r="2042" spans="2:10" ht="14.25" thickBot="1" x14ac:dyDescent="0.2">
      <c r="G2042" s="1"/>
    </row>
    <row r="2043" spans="2:10" ht="14.25" thickBot="1" x14ac:dyDescent="0.2">
      <c r="B2043" s="7"/>
      <c r="C2043" s="67"/>
      <c r="D2043" s="68"/>
      <c r="E2043" s="69"/>
      <c r="G2043" s="7"/>
      <c r="H2043" s="67"/>
      <c r="I2043" s="68"/>
      <c r="J2043" s="69"/>
    </row>
    <row r="2044" spans="2:10" ht="14.25" thickBot="1" x14ac:dyDescent="0.2">
      <c r="B2044" s="8"/>
      <c r="C2044" s="40" t="s">
        <v>7</v>
      </c>
      <c r="D2044" s="29" t="s">
        <v>9</v>
      </c>
      <c r="E2044" s="9" t="s">
        <v>0</v>
      </c>
      <c r="G2044" s="8"/>
      <c r="H2044" s="40" t="s">
        <v>7</v>
      </c>
      <c r="I2044" s="29" t="s">
        <v>9</v>
      </c>
      <c r="J2044" s="9" t="s">
        <v>0</v>
      </c>
    </row>
    <row r="2045" spans="2:10" x14ac:dyDescent="0.15">
      <c r="B2045" s="16" t="s">
        <v>4</v>
      </c>
      <c r="C2045" s="17">
        <f>C2038</f>
        <v>106</v>
      </c>
      <c r="D2045" s="35">
        <f>D2038</f>
        <v>64</v>
      </c>
      <c r="E2045" s="18">
        <f t="shared" ref="E2045:E2076" si="252">C2045+D2045</f>
        <v>170</v>
      </c>
      <c r="G2045" s="16" t="s">
        <v>4</v>
      </c>
      <c r="H2045" s="89">
        <f>H2038</f>
        <v>1200</v>
      </c>
      <c r="I2045" s="90">
        <f>I2038</f>
        <v>1600</v>
      </c>
      <c r="J2045" s="96">
        <f>J2038</f>
        <v>2800</v>
      </c>
    </row>
    <row r="2046" spans="2:10" x14ac:dyDescent="0.15">
      <c r="B2046" s="25" t="s">
        <v>5</v>
      </c>
      <c r="C2046" s="14"/>
      <c r="D2046" s="31"/>
      <c r="E2046" s="15">
        <f t="shared" si="252"/>
        <v>0</v>
      </c>
      <c r="G2046" s="25" t="s">
        <v>5</v>
      </c>
      <c r="H2046" s="14"/>
      <c r="I2046" s="31"/>
      <c r="J2046" s="15">
        <f t="shared" ref="J2046:J2050" si="253">H2046+I2046</f>
        <v>0</v>
      </c>
    </row>
    <row r="2047" spans="2:10" x14ac:dyDescent="0.15">
      <c r="B2047" s="25" t="s">
        <v>5</v>
      </c>
      <c r="C2047" s="14"/>
      <c r="D2047" s="31"/>
      <c r="E2047" s="15">
        <f t="shared" si="252"/>
        <v>0</v>
      </c>
      <c r="G2047" s="25" t="s">
        <v>5</v>
      </c>
      <c r="H2047" s="14"/>
      <c r="I2047" s="31"/>
      <c r="J2047" s="15">
        <f t="shared" si="253"/>
        <v>0</v>
      </c>
    </row>
    <row r="2048" spans="2:10" x14ac:dyDescent="0.15">
      <c r="B2048" s="25" t="s">
        <v>5</v>
      </c>
      <c r="C2048" s="14"/>
      <c r="D2048" s="31"/>
      <c r="E2048" s="15">
        <f t="shared" si="252"/>
        <v>0</v>
      </c>
      <c r="G2048" s="25" t="s">
        <v>5</v>
      </c>
      <c r="H2048" s="14"/>
      <c r="I2048" s="31"/>
      <c r="J2048" s="15">
        <f t="shared" si="253"/>
        <v>0</v>
      </c>
    </row>
    <row r="2049" spans="2:10" x14ac:dyDescent="0.15">
      <c r="B2049" s="25" t="s">
        <v>5</v>
      </c>
      <c r="C2049" s="14"/>
      <c r="D2049" s="31"/>
      <c r="E2049" s="15">
        <f t="shared" si="252"/>
        <v>0</v>
      </c>
      <c r="G2049" s="25" t="s">
        <v>5</v>
      </c>
      <c r="H2049" s="14"/>
      <c r="I2049" s="31"/>
      <c r="J2049" s="15">
        <f t="shared" si="253"/>
        <v>0</v>
      </c>
    </row>
    <row r="2050" spans="2:10" ht="14.25" thickBot="1" x14ac:dyDescent="0.2">
      <c r="B2050" s="25" t="s">
        <v>5</v>
      </c>
      <c r="C2050" s="92"/>
      <c r="D2050" s="93"/>
      <c r="E2050" s="94">
        <f t="shared" si="252"/>
        <v>0</v>
      </c>
      <c r="G2050" s="25" t="s">
        <v>5</v>
      </c>
      <c r="H2050" s="92"/>
      <c r="I2050" s="93"/>
      <c r="J2050" s="94">
        <f t="shared" si="253"/>
        <v>0</v>
      </c>
    </row>
    <row r="2051" spans="2:10" ht="14.25" thickBot="1" x14ac:dyDescent="0.2">
      <c r="B2051" s="8" t="s">
        <v>1</v>
      </c>
      <c r="C2051" s="10">
        <f>SUM(C2045:C2050)</f>
        <v>106</v>
      </c>
      <c r="D2051" s="32">
        <f>SUM(D2045:D2050)</f>
        <v>64</v>
      </c>
      <c r="E2051" s="11">
        <f t="shared" si="252"/>
        <v>170</v>
      </c>
      <c r="G2051" s="8" t="s">
        <v>1</v>
      </c>
      <c r="H2051" s="10">
        <f>SUM(H2045:H2050)</f>
        <v>1200</v>
      </c>
      <c r="I2051" s="32">
        <f>SUM(I2045:I2050)</f>
        <v>1600</v>
      </c>
      <c r="J2051" s="11">
        <f>SUM(J2045:J2050)</f>
        <v>2800</v>
      </c>
    </row>
    <row r="2052" spans="2:10" x14ac:dyDescent="0.15">
      <c r="B2052" s="25" t="s">
        <v>263</v>
      </c>
      <c r="C2052" s="14">
        <v>5</v>
      </c>
      <c r="D2052" s="31"/>
      <c r="E2052" s="15">
        <f t="shared" si="252"/>
        <v>5</v>
      </c>
      <c r="F2052" s="61">
        <v>46128</v>
      </c>
      <c r="G2052" s="25"/>
      <c r="H2052" s="14"/>
      <c r="I2052" s="31"/>
      <c r="J2052" s="15">
        <f t="shared" ref="J2052:J2077" si="254">H2052+I2052</f>
        <v>0</v>
      </c>
    </row>
    <row r="2053" spans="2:10" x14ac:dyDescent="0.15">
      <c r="B2053" s="25" t="s">
        <v>263</v>
      </c>
      <c r="C2053" s="14">
        <v>5</v>
      </c>
      <c r="D2053" s="31">
        <v>5</v>
      </c>
      <c r="E2053" s="15">
        <f t="shared" si="252"/>
        <v>10</v>
      </c>
      <c r="F2053" s="61">
        <v>46132</v>
      </c>
      <c r="G2053" s="25"/>
      <c r="H2053" s="14"/>
      <c r="I2053" s="31"/>
      <c r="J2053" s="15">
        <f t="shared" si="254"/>
        <v>0</v>
      </c>
    </row>
    <row r="2054" spans="2:10" x14ac:dyDescent="0.15">
      <c r="B2054" s="25" t="s">
        <v>263</v>
      </c>
      <c r="C2054" s="14">
        <v>1</v>
      </c>
      <c r="D2054" s="31">
        <v>1</v>
      </c>
      <c r="E2054" s="15">
        <f t="shared" si="252"/>
        <v>2</v>
      </c>
      <c r="F2054" s="61">
        <v>46139</v>
      </c>
      <c r="G2054" s="25"/>
      <c r="H2054" s="14"/>
      <c r="I2054" s="31"/>
      <c r="J2054" s="15">
        <f t="shared" si="254"/>
        <v>0</v>
      </c>
    </row>
    <row r="2055" spans="2:10" x14ac:dyDescent="0.15">
      <c r="B2055" s="25" t="s">
        <v>263</v>
      </c>
      <c r="C2055" s="14">
        <v>3</v>
      </c>
      <c r="D2055" s="31"/>
      <c r="E2055" s="15">
        <f t="shared" si="252"/>
        <v>3</v>
      </c>
      <c r="F2055" s="61">
        <v>46140</v>
      </c>
      <c r="G2055" s="25"/>
      <c r="H2055" s="14"/>
      <c r="I2055" s="31"/>
      <c r="J2055" s="15">
        <f t="shared" si="254"/>
        <v>0</v>
      </c>
    </row>
    <row r="2056" spans="2:10" x14ac:dyDescent="0.15">
      <c r="B2056" s="25" t="s">
        <v>263</v>
      </c>
      <c r="C2056" s="14">
        <v>2</v>
      </c>
      <c r="D2056" s="31">
        <v>1</v>
      </c>
      <c r="E2056" s="15">
        <f t="shared" si="252"/>
        <v>3</v>
      </c>
      <c r="F2056" s="61">
        <v>46143</v>
      </c>
      <c r="G2056" s="25"/>
      <c r="H2056" s="14"/>
      <c r="I2056" s="31"/>
      <c r="J2056" s="15">
        <f t="shared" si="254"/>
        <v>0</v>
      </c>
    </row>
    <row r="2057" spans="2:10" x14ac:dyDescent="0.15">
      <c r="B2057" s="25" t="s">
        <v>263</v>
      </c>
      <c r="C2057" s="14">
        <v>2</v>
      </c>
      <c r="D2057" s="31"/>
      <c r="E2057" s="15">
        <f t="shared" si="252"/>
        <v>2</v>
      </c>
      <c r="F2057" s="61">
        <v>46149</v>
      </c>
      <c r="G2057" s="25"/>
      <c r="H2057" s="14"/>
      <c r="I2057" s="31"/>
      <c r="J2057" s="15">
        <f t="shared" si="254"/>
        <v>0</v>
      </c>
    </row>
    <row r="2058" spans="2:10" x14ac:dyDescent="0.15">
      <c r="B2058" s="25" t="s">
        <v>263</v>
      </c>
      <c r="C2058" s="14">
        <v>4</v>
      </c>
      <c r="D2058" s="31">
        <v>2</v>
      </c>
      <c r="E2058" s="15">
        <f t="shared" si="252"/>
        <v>6</v>
      </c>
      <c r="F2058" s="61">
        <v>46153</v>
      </c>
      <c r="G2058" s="25"/>
      <c r="H2058" s="14"/>
      <c r="I2058" s="31"/>
      <c r="J2058" s="15">
        <f t="shared" si="254"/>
        <v>0</v>
      </c>
    </row>
    <row r="2059" spans="2:10" x14ac:dyDescent="0.15">
      <c r="B2059" s="25" t="s">
        <v>263</v>
      </c>
      <c r="C2059" s="14">
        <v>1</v>
      </c>
      <c r="D2059" s="31"/>
      <c r="E2059" s="15">
        <f t="shared" si="252"/>
        <v>1</v>
      </c>
      <c r="F2059" s="61">
        <v>46154</v>
      </c>
      <c r="G2059" s="25"/>
      <c r="H2059" s="14"/>
      <c r="I2059" s="31"/>
      <c r="J2059" s="15">
        <f t="shared" si="254"/>
        <v>0</v>
      </c>
    </row>
    <row r="2060" spans="2:10" x14ac:dyDescent="0.15">
      <c r="B2060" s="25" t="s">
        <v>263</v>
      </c>
      <c r="C2060" s="14"/>
      <c r="D2060" s="31">
        <v>1</v>
      </c>
      <c r="E2060" s="15">
        <f t="shared" si="252"/>
        <v>1</v>
      </c>
      <c r="F2060" s="61">
        <v>46157</v>
      </c>
      <c r="G2060" s="25"/>
      <c r="H2060" s="14"/>
      <c r="I2060" s="31"/>
      <c r="J2060" s="15">
        <f t="shared" si="254"/>
        <v>0</v>
      </c>
    </row>
    <row r="2061" spans="2:10" x14ac:dyDescent="0.15">
      <c r="B2061" s="25" t="s">
        <v>263</v>
      </c>
      <c r="C2061" s="14">
        <v>5</v>
      </c>
      <c r="D2061" s="31">
        <v>1</v>
      </c>
      <c r="E2061" s="15">
        <f t="shared" si="252"/>
        <v>6</v>
      </c>
      <c r="F2061" s="61">
        <v>46160</v>
      </c>
      <c r="G2061" s="25"/>
      <c r="H2061" s="14"/>
      <c r="I2061" s="31"/>
      <c r="J2061" s="15">
        <f t="shared" si="254"/>
        <v>0</v>
      </c>
    </row>
    <row r="2062" spans="2:10" x14ac:dyDescent="0.15">
      <c r="B2062" s="25" t="s">
        <v>263</v>
      </c>
      <c r="C2062" s="14"/>
      <c r="D2062" s="31">
        <v>5</v>
      </c>
      <c r="E2062" s="15">
        <f t="shared" si="252"/>
        <v>5</v>
      </c>
      <c r="F2062" s="61">
        <v>46161</v>
      </c>
      <c r="G2062" s="25"/>
      <c r="H2062" s="14"/>
      <c r="I2062" s="31"/>
      <c r="J2062" s="15">
        <f t="shared" si="254"/>
        <v>0</v>
      </c>
    </row>
    <row r="2063" spans="2:10" x14ac:dyDescent="0.15">
      <c r="B2063" s="25" t="s">
        <v>263</v>
      </c>
      <c r="C2063" s="14">
        <v>1</v>
      </c>
      <c r="D2063" s="31"/>
      <c r="E2063" s="15">
        <f t="shared" si="252"/>
        <v>1</v>
      </c>
      <c r="F2063" s="61">
        <v>46163</v>
      </c>
      <c r="G2063" s="25"/>
      <c r="H2063" s="14"/>
      <c r="I2063" s="31"/>
      <c r="J2063" s="15">
        <f t="shared" si="254"/>
        <v>0</v>
      </c>
    </row>
    <row r="2064" spans="2:10" x14ac:dyDescent="0.15">
      <c r="B2064" s="25" t="s">
        <v>263</v>
      </c>
      <c r="C2064" s="14">
        <v>2</v>
      </c>
      <c r="D2064" s="31"/>
      <c r="E2064" s="15">
        <f t="shared" si="252"/>
        <v>2</v>
      </c>
      <c r="F2064" s="61">
        <v>46164</v>
      </c>
      <c r="G2064" s="25"/>
      <c r="H2064" s="14"/>
      <c r="I2064" s="31"/>
      <c r="J2064" s="15">
        <f t="shared" si="254"/>
        <v>0</v>
      </c>
    </row>
    <row r="2065" spans="2:10" x14ac:dyDescent="0.15">
      <c r="B2065" s="25" t="s">
        <v>263</v>
      </c>
      <c r="C2065" s="14">
        <v>6</v>
      </c>
      <c r="D2065" s="31"/>
      <c r="E2065" s="15">
        <f t="shared" si="252"/>
        <v>6</v>
      </c>
      <c r="F2065" s="61">
        <v>46167</v>
      </c>
      <c r="G2065" s="25"/>
      <c r="H2065" s="14"/>
      <c r="I2065" s="31"/>
      <c r="J2065" s="15">
        <f t="shared" si="254"/>
        <v>0</v>
      </c>
    </row>
    <row r="2066" spans="2:10" x14ac:dyDescent="0.15">
      <c r="B2066" s="25" t="s">
        <v>540</v>
      </c>
      <c r="C2066" s="14">
        <v>3</v>
      </c>
      <c r="D2066" s="31"/>
      <c r="E2066" s="15">
        <f t="shared" si="252"/>
        <v>3</v>
      </c>
      <c r="F2066" s="61">
        <v>46169</v>
      </c>
      <c r="G2066" s="25"/>
      <c r="H2066" s="14"/>
      <c r="I2066" s="31"/>
      <c r="J2066" s="15">
        <f t="shared" si="254"/>
        <v>0</v>
      </c>
    </row>
    <row r="2067" spans="2:10" x14ac:dyDescent="0.15">
      <c r="B2067" s="25" t="s">
        <v>263</v>
      </c>
      <c r="C2067" s="14">
        <v>5</v>
      </c>
      <c r="D2067" s="31">
        <v>2</v>
      </c>
      <c r="E2067" s="15">
        <f t="shared" si="252"/>
        <v>7</v>
      </c>
      <c r="F2067" s="61">
        <v>46169</v>
      </c>
      <c r="G2067" s="25"/>
      <c r="H2067" s="14"/>
      <c r="I2067" s="31"/>
      <c r="J2067" s="15">
        <f t="shared" si="254"/>
        <v>0</v>
      </c>
    </row>
    <row r="2068" spans="2:10" x14ac:dyDescent="0.15">
      <c r="B2068" s="25" t="s">
        <v>263</v>
      </c>
      <c r="C2068" s="14">
        <v>1</v>
      </c>
      <c r="D2068" s="31"/>
      <c r="E2068" s="15">
        <f t="shared" si="252"/>
        <v>1</v>
      </c>
      <c r="F2068" s="61">
        <v>46170</v>
      </c>
      <c r="G2068" s="25"/>
      <c r="H2068" s="14"/>
      <c r="I2068" s="31"/>
      <c r="J2068" s="15">
        <f t="shared" si="254"/>
        <v>0</v>
      </c>
    </row>
    <row r="2069" spans="2:10" x14ac:dyDescent="0.15">
      <c r="B2069" s="25" t="s">
        <v>263</v>
      </c>
      <c r="C2069" s="14">
        <v>2</v>
      </c>
      <c r="D2069" s="31">
        <v>1</v>
      </c>
      <c r="E2069" s="15">
        <f t="shared" si="252"/>
        <v>3</v>
      </c>
      <c r="F2069" s="61">
        <v>46171</v>
      </c>
      <c r="G2069" s="25"/>
      <c r="H2069" s="14"/>
      <c r="I2069" s="31"/>
      <c r="J2069" s="15">
        <f t="shared" si="254"/>
        <v>0</v>
      </c>
    </row>
    <row r="2070" spans="2:10" x14ac:dyDescent="0.15">
      <c r="B2070" s="25" t="s">
        <v>263</v>
      </c>
      <c r="C2070" s="14">
        <v>5</v>
      </c>
      <c r="D2070" s="31">
        <v>1</v>
      </c>
      <c r="E2070" s="15">
        <f t="shared" si="252"/>
        <v>6</v>
      </c>
      <c r="F2070" s="61">
        <v>46174</v>
      </c>
      <c r="G2070" s="25"/>
      <c r="H2070" s="14"/>
      <c r="I2070" s="31"/>
      <c r="J2070" s="15">
        <f t="shared" si="254"/>
        <v>0</v>
      </c>
    </row>
    <row r="2071" spans="2:10" x14ac:dyDescent="0.15">
      <c r="B2071" s="25" t="s">
        <v>263</v>
      </c>
      <c r="C2071" s="14">
        <v>2</v>
      </c>
      <c r="D2071" s="31"/>
      <c r="E2071" s="15">
        <f t="shared" si="252"/>
        <v>2</v>
      </c>
      <c r="F2071" s="61">
        <v>46176</v>
      </c>
      <c r="G2071" s="25"/>
      <c r="H2071" s="14"/>
      <c r="I2071" s="31"/>
      <c r="J2071" s="15">
        <f t="shared" si="254"/>
        <v>0</v>
      </c>
    </row>
    <row r="2072" spans="2:10" x14ac:dyDescent="0.15">
      <c r="B2072" s="25" t="s">
        <v>540</v>
      </c>
      <c r="C2072" s="14">
        <v>2</v>
      </c>
      <c r="D2072" s="31">
        <v>2</v>
      </c>
      <c r="E2072" s="15">
        <f t="shared" si="252"/>
        <v>4</v>
      </c>
      <c r="F2072" s="61">
        <v>46178</v>
      </c>
      <c r="G2072" s="25"/>
      <c r="H2072" s="14"/>
      <c r="I2072" s="31"/>
      <c r="J2072" s="15">
        <f t="shared" si="254"/>
        <v>0</v>
      </c>
    </row>
    <row r="2073" spans="2:10" x14ac:dyDescent="0.15">
      <c r="B2073" s="25" t="s">
        <v>263</v>
      </c>
      <c r="C2073" s="14">
        <v>2</v>
      </c>
      <c r="D2073" s="31">
        <v>4</v>
      </c>
      <c r="E2073" s="15">
        <f t="shared" si="252"/>
        <v>6</v>
      </c>
      <c r="F2073" s="61">
        <v>46178</v>
      </c>
      <c r="G2073" s="25"/>
      <c r="H2073" s="14"/>
      <c r="I2073" s="31"/>
      <c r="J2073" s="15">
        <f t="shared" si="254"/>
        <v>0</v>
      </c>
    </row>
    <row r="2074" spans="2:10" x14ac:dyDescent="0.15">
      <c r="B2074" s="25" t="s">
        <v>263</v>
      </c>
      <c r="C2074" s="14">
        <v>2</v>
      </c>
      <c r="D2074" s="31"/>
      <c r="E2074" s="15">
        <f t="shared" si="252"/>
        <v>2</v>
      </c>
      <c r="F2074" s="61">
        <v>46189</v>
      </c>
      <c r="G2074" s="25"/>
      <c r="H2074" s="14"/>
      <c r="I2074" s="31"/>
      <c r="J2074" s="15">
        <f t="shared" si="254"/>
        <v>0</v>
      </c>
    </row>
    <row r="2075" spans="2:10" x14ac:dyDescent="0.15">
      <c r="B2075" s="25" t="s">
        <v>263</v>
      </c>
      <c r="C2075" s="14">
        <v>1</v>
      </c>
      <c r="D2075" s="31"/>
      <c r="E2075" s="15">
        <f t="shared" si="252"/>
        <v>1</v>
      </c>
      <c r="F2075" s="61">
        <v>46190</v>
      </c>
      <c r="G2075" s="25"/>
      <c r="H2075" s="14"/>
      <c r="I2075" s="31"/>
      <c r="J2075" s="15">
        <f t="shared" si="254"/>
        <v>0</v>
      </c>
    </row>
    <row r="2076" spans="2:10" ht="14.25" thickBot="1" x14ac:dyDescent="0.2">
      <c r="B2076" s="121" t="s">
        <v>540</v>
      </c>
      <c r="C2076" s="122">
        <v>2</v>
      </c>
      <c r="D2076" s="123">
        <v>1</v>
      </c>
      <c r="E2076" s="124">
        <f t="shared" si="252"/>
        <v>3</v>
      </c>
      <c r="F2076" s="125">
        <v>46192</v>
      </c>
      <c r="G2076" s="25"/>
      <c r="H2076" s="14"/>
      <c r="I2076" s="31"/>
      <c r="J2076" s="15">
        <f t="shared" si="254"/>
        <v>0</v>
      </c>
    </row>
    <row r="2077" spans="2:10" ht="14.25" thickBot="1" x14ac:dyDescent="0.2">
      <c r="B2077" s="8" t="s">
        <v>2</v>
      </c>
      <c r="C2077" s="10">
        <f>SUM(C2052:C2076)</f>
        <v>64</v>
      </c>
      <c r="D2077" s="32">
        <f>SUM(D2052:D2076)</f>
        <v>27</v>
      </c>
      <c r="E2077" s="11">
        <f>C2077+D2077</f>
        <v>91</v>
      </c>
      <c r="G2077" s="8" t="s">
        <v>2</v>
      </c>
      <c r="H2077" s="10">
        <f>SUM(H2052:H2076)</f>
        <v>0</v>
      </c>
      <c r="I2077" s="32">
        <f>SUM(I2052:I2076)</f>
        <v>0</v>
      </c>
      <c r="J2077" s="11">
        <f t="shared" si="254"/>
        <v>0</v>
      </c>
    </row>
    <row r="2078" spans="2:10" ht="14.25" thickBot="1" x14ac:dyDescent="0.2">
      <c r="B2078" s="52" t="s">
        <v>3</v>
      </c>
      <c r="C2078" s="53">
        <f>+C2051-C2077</f>
        <v>42</v>
      </c>
      <c r="D2078" s="54">
        <f>+D2051-D2077</f>
        <v>37</v>
      </c>
      <c r="E2078" s="55">
        <f>C2078+D2078</f>
        <v>79</v>
      </c>
      <c r="G2078" s="52" t="s">
        <v>3</v>
      </c>
      <c r="H2078" s="87">
        <f>+H2051-H2077</f>
        <v>1200</v>
      </c>
      <c r="I2078" s="97">
        <f>+I2051-I2077</f>
        <v>1600</v>
      </c>
      <c r="J2078" s="95">
        <f>+J2051-J2077</f>
        <v>2800</v>
      </c>
    </row>
    <row r="2080" spans="2:10" ht="21" x14ac:dyDescent="0.2">
      <c r="B2080" s="76" t="s">
        <v>150</v>
      </c>
      <c r="G2080" s="75" t="s">
        <v>149</v>
      </c>
    </row>
    <row r="2081" spans="2:10" ht="18.75" x14ac:dyDescent="0.2">
      <c r="B2081" s="3" t="s">
        <v>11</v>
      </c>
      <c r="E2081" s="71"/>
      <c r="G2081" s="3" t="s">
        <v>11</v>
      </c>
    </row>
    <row r="2082" spans="2:10" ht="14.25" thickBot="1" x14ac:dyDescent="0.2">
      <c r="G2082" s="1"/>
    </row>
    <row r="2083" spans="2:10" ht="14.25" thickBot="1" x14ac:dyDescent="0.2">
      <c r="B2083" s="7"/>
      <c r="C2083" s="67"/>
      <c r="D2083" s="68"/>
      <c r="E2083" s="69"/>
      <c r="G2083" s="7"/>
      <c r="H2083" s="67"/>
      <c r="I2083" s="68"/>
      <c r="J2083" s="69"/>
    </row>
    <row r="2084" spans="2:10" ht="14.25" thickBot="1" x14ac:dyDescent="0.2">
      <c r="B2084" s="8"/>
      <c r="C2084" s="40" t="s">
        <v>7</v>
      </c>
      <c r="D2084" s="29" t="s">
        <v>9</v>
      </c>
      <c r="E2084" s="9" t="s">
        <v>0</v>
      </c>
      <c r="G2084" s="8"/>
      <c r="H2084" s="40" t="s">
        <v>7</v>
      </c>
      <c r="I2084" s="29" t="s">
        <v>9</v>
      </c>
      <c r="J2084" s="9" t="s">
        <v>0</v>
      </c>
    </row>
    <row r="2085" spans="2:10" x14ac:dyDescent="0.15">
      <c r="B2085" s="16" t="s">
        <v>4</v>
      </c>
      <c r="C2085" s="17">
        <f>C2078</f>
        <v>42</v>
      </c>
      <c r="D2085" s="35">
        <f>D2078</f>
        <v>37</v>
      </c>
      <c r="E2085" s="18">
        <f t="shared" ref="E2085:E2116" si="255">C2085+D2085</f>
        <v>79</v>
      </c>
      <c r="G2085" s="16" t="s">
        <v>4</v>
      </c>
      <c r="H2085" s="89">
        <f>H2078</f>
        <v>1200</v>
      </c>
      <c r="I2085" s="90">
        <f>I2078</f>
        <v>1600</v>
      </c>
      <c r="J2085" s="96">
        <f>J2078</f>
        <v>2800</v>
      </c>
    </row>
    <row r="2086" spans="2:10" x14ac:dyDescent="0.15">
      <c r="B2086" s="25" t="s">
        <v>5</v>
      </c>
      <c r="C2086" s="14"/>
      <c r="D2086" s="31"/>
      <c r="E2086" s="15">
        <f t="shared" si="255"/>
        <v>0</v>
      </c>
      <c r="G2086" s="25" t="s">
        <v>5</v>
      </c>
      <c r="H2086" s="14"/>
      <c r="I2086" s="31"/>
      <c r="J2086" s="15">
        <f t="shared" ref="J2086:J2090" si="256">H2086+I2086</f>
        <v>0</v>
      </c>
    </row>
    <row r="2087" spans="2:10" x14ac:dyDescent="0.15">
      <c r="B2087" s="25" t="s">
        <v>5</v>
      </c>
      <c r="C2087" s="14"/>
      <c r="D2087" s="31"/>
      <c r="E2087" s="15">
        <f t="shared" si="255"/>
        <v>0</v>
      </c>
      <c r="G2087" s="25" t="s">
        <v>5</v>
      </c>
      <c r="H2087" s="14"/>
      <c r="I2087" s="31"/>
      <c r="J2087" s="15">
        <f t="shared" si="256"/>
        <v>0</v>
      </c>
    </row>
    <row r="2088" spans="2:10" x14ac:dyDescent="0.15">
      <c r="B2088" s="25" t="s">
        <v>5</v>
      </c>
      <c r="C2088" s="14"/>
      <c r="D2088" s="31"/>
      <c r="E2088" s="15">
        <f t="shared" si="255"/>
        <v>0</v>
      </c>
      <c r="G2088" s="25" t="s">
        <v>5</v>
      </c>
      <c r="H2088" s="14"/>
      <c r="I2088" s="31"/>
      <c r="J2088" s="15">
        <f t="shared" si="256"/>
        <v>0</v>
      </c>
    </row>
    <row r="2089" spans="2:10" x14ac:dyDescent="0.15">
      <c r="B2089" s="25" t="s">
        <v>5</v>
      </c>
      <c r="C2089" s="14"/>
      <c r="D2089" s="31"/>
      <c r="E2089" s="15">
        <f t="shared" si="255"/>
        <v>0</v>
      </c>
      <c r="G2089" s="25" t="s">
        <v>5</v>
      </c>
      <c r="H2089" s="14"/>
      <c r="I2089" s="31"/>
      <c r="J2089" s="15">
        <f t="shared" si="256"/>
        <v>0</v>
      </c>
    </row>
    <row r="2090" spans="2:10" ht="14.25" thickBot="1" x14ac:dyDescent="0.2">
      <c r="B2090" s="25" t="s">
        <v>5</v>
      </c>
      <c r="C2090" s="92"/>
      <c r="D2090" s="93"/>
      <c r="E2090" s="94">
        <f t="shared" si="255"/>
        <v>0</v>
      </c>
      <c r="G2090" s="25" t="s">
        <v>5</v>
      </c>
      <c r="H2090" s="92"/>
      <c r="I2090" s="93"/>
      <c r="J2090" s="94">
        <f t="shared" si="256"/>
        <v>0</v>
      </c>
    </row>
    <row r="2091" spans="2:10" ht="14.25" thickBot="1" x14ac:dyDescent="0.2">
      <c r="B2091" s="8" t="s">
        <v>1</v>
      </c>
      <c r="C2091" s="10">
        <f>SUM(C2085:C2090)</f>
        <v>42</v>
      </c>
      <c r="D2091" s="32">
        <f>SUM(D2085:D2090)</f>
        <v>37</v>
      </c>
      <c r="E2091" s="11">
        <f t="shared" si="255"/>
        <v>79</v>
      </c>
      <c r="G2091" s="8" t="s">
        <v>1</v>
      </c>
      <c r="H2091" s="10">
        <f>SUM(H2085:H2090)</f>
        <v>1200</v>
      </c>
      <c r="I2091" s="32">
        <f>SUM(I2085:I2090)</f>
        <v>1600</v>
      </c>
      <c r="J2091" s="11">
        <f>SUM(J2085:J2090)</f>
        <v>2800</v>
      </c>
    </row>
    <row r="2092" spans="2:10" x14ac:dyDescent="0.15">
      <c r="B2092" s="25"/>
      <c r="C2092" s="14"/>
      <c r="D2092" s="31"/>
      <c r="E2092" s="15">
        <f t="shared" ref="E2092:E2114" si="257">C2092+D2092</f>
        <v>0</v>
      </c>
      <c r="F2092" s="61"/>
      <c r="G2092" s="25"/>
      <c r="H2092" s="14"/>
      <c r="I2092" s="31"/>
      <c r="J2092" s="15">
        <f t="shared" ref="J2092:J2117" si="258">H2092+I2092</f>
        <v>0</v>
      </c>
    </row>
    <row r="2093" spans="2:10" x14ac:dyDescent="0.15">
      <c r="B2093" s="25"/>
      <c r="C2093" s="14"/>
      <c r="D2093" s="31"/>
      <c r="E2093" s="15">
        <f t="shared" si="257"/>
        <v>0</v>
      </c>
      <c r="F2093" s="61"/>
      <c r="G2093" s="25"/>
      <c r="H2093" s="14"/>
      <c r="I2093" s="31"/>
      <c r="J2093" s="15">
        <f t="shared" si="258"/>
        <v>0</v>
      </c>
    </row>
    <row r="2094" spans="2:10" x14ac:dyDescent="0.15">
      <c r="B2094" s="25"/>
      <c r="C2094" s="14"/>
      <c r="D2094" s="31"/>
      <c r="E2094" s="15">
        <f t="shared" si="257"/>
        <v>0</v>
      </c>
      <c r="F2094" s="61"/>
      <c r="G2094" s="25"/>
      <c r="H2094" s="14"/>
      <c r="I2094" s="31"/>
      <c r="J2094" s="15">
        <f t="shared" si="258"/>
        <v>0</v>
      </c>
    </row>
    <row r="2095" spans="2:10" x14ac:dyDescent="0.15">
      <c r="B2095" s="25"/>
      <c r="C2095" s="14"/>
      <c r="D2095" s="31"/>
      <c r="E2095" s="15">
        <f t="shared" si="257"/>
        <v>0</v>
      </c>
      <c r="F2095" s="61"/>
      <c r="G2095" s="25"/>
      <c r="H2095" s="14"/>
      <c r="I2095" s="31"/>
      <c r="J2095" s="15">
        <f t="shared" si="258"/>
        <v>0</v>
      </c>
    </row>
    <row r="2096" spans="2:10" x14ac:dyDescent="0.15">
      <c r="B2096" s="25"/>
      <c r="C2096" s="14"/>
      <c r="D2096" s="31"/>
      <c r="E2096" s="15">
        <f t="shared" si="257"/>
        <v>0</v>
      </c>
      <c r="F2096" s="61"/>
      <c r="G2096" s="25"/>
      <c r="H2096" s="14"/>
      <c r="I2096" s="31"/>
      <c r="J2096" s="15">
        <f t="shared" si="258"/>
        <v>0</v>
      </c>
    </row>
    <row r="2097" spans="2:10" x14ac:dyDescent="0.15">
      <c r="B2097" s="25"/>
      <c r="C2097" s="14"/>
      <c r="D2097" s="31"/>
      <c r="E2097" s="15">
        <f t="shared" si="257"/>
        <v>0</v>
      </c>
      <c r="F2097" s="61"/>
      <c r="G2097" s="25"/>
      <c r="H2097" s="14"/>
      <c r="I2097" s="31"/>
      <c r="J2097" s="15">
        <f t="shared" si="258"/>
        <v>0</v>
      </c>
    </row>
    <row r="2098" spans="2:10" x14ac:dyDescent="0.15">
      <c r="B2098" s="25"/>
      <c r="C2098" s="14"/>
      <c r="D2098" s="31"/>
      <c r="E2098" s="15">
        <f t="shared" si="257"/>
        <v>0</v>
      </c>
      <c r="F2098" s="61"/>
      <c r="G2098" s="25"/>
      <c r="H2098" s="14"/>
      <c r="I2098" s="31"/>
      <c r="J2098" s="15">
        <f t="shared" si="258"/>
        <v>0</v>
      </c>
    </row>
    <row r="2099" spans="2:10" x14ac:dyDescent="0.15">
      <c r="B2099" s="25"/>
      <c r="C2099" s="14"/>
      <c r="D2099" s="31"/>
      <c r="E2099" s="15">
        <f t="shared" si="257"/>
        <v>0</v>
      </c>
      <c r="F2099" s="61"/>
      <c r="G2099" s="25"/>
      <c r="H2099" s="14"/>
      <c r="I2099" s="31"/>
      <c r="J2099" s="15">
        <f t="shared" si="258"/>
        <v>0</v>
      </c>
    </row>
    <row r="2100" spans="2:10" x14ac:dyDescent="0.15">
      <c r="B2100" s="25"/>
      <c r="C2100" s="14"/>
      <c r="D2100" s="31"/>
      <c r="E2100" s="15">
        <f t="shared" si="257"/>
        <v>0</v>
      </c>
      <c r="F2100" s="61"/>
      <c r="G2100" s="25"/>
      <c r="H2100" s="14"/>
      <c r="I2100" s="31"/>
      <c r="J2100" s="15">
        <f t="shared" si="258"/>
        <v>0</v>
      </c>
    </row>
    <row r="2101" spans="2:10" x14ac:dyDescent="0.15">
      <c r="B2101" s="25"/>
      <c r="C2101" s="14"/>
      <c r="D2101" s="31"/>
      <c r="E2101" s="15">
        <f t="shared" si="257"/>
        <v>0</v>
      </c>
      <c r="F2101" s="61"/>
      <c r="G2101" s="25"/>
      <c r="H2101" s="14"/>
      <c r="I2101" s="31"/>
      <c r="J2101" s="15">
        <f t="shared" si="258"/>
        <v>0</v>
      </c>
    </row>
    <row r="2102" spans="2:10" x14ac:dyDescent="0.15">
      <c r="B2102" s="25"/>
      <c r="C2102" s="14"/>
      <c r="D2102" s="31"/>
      <c r="E2102" s="15">
        <f t="shared" si="257"/>
        <v>0</v>
      </c>
      <c r="F2102" s="61"/>
      <c r="G2102" s="25"/>
      <c r="H2102" s="14"/>
      <c r="I2102" s="31"/>
      <c r="J2102" s="15">
        <f t="shared" si="258"/>
        <v>0</v>
      </c>
    </row>
    <row r="2103" spans="2:10" x14ac:dyDescent="0.15">
      <c r="B2103" s="25"/>
      <c r="C2103" s="14"/>
      <c r="D2103" s="31"/>
      <c r="E2103" s="15">
        <f t="shared" si="257"/>
        <v>0</v>
      </c>
      <c r="F2103" s="61"/>
      <c r="G2103" s="25"/>
      <c r="H2103" s="14"/>
      <c r="I2103" s="31"/>
      <c r="J2103" s="15">
        <f t="shared" si="258"/>
        <v>0</v>
      </c>
    </row>
    <row r="2104" spans="2:10" x14ac:dyDescent="0.15">
      <c r="B2104" s="25"/>
      <c r="C2104" s="14"/>
      <c r="D2104" s="31"/>
      <c r="E2104" s="15">
        <f t="shared" si="257"/>
        <v>0</v>
      </c>
      <c r="F2104" s="61"/>
      <c r="G2104" s="25"/>
      <c r="H2104" s="14"/>
      <c r="I2104" s="31"/>
      <c r="J2104" s="15">
        <f t="shared" si="258"/>
        <v>0</v>
      </c>
    </row>
    <row r="2105" spans="2:10" x14ac:dyDescent="0.15">
      <c r="B2105" s="25"/>
      <c r="C2105" s="14"/>
      <c r="D2105" s="31"/>
      <c r="E2105" s="15">
        <f t="shared" si="257"/>
        <v>0</v>
      </c>
      <c r="F2105" s="61"/>
      <c r="G2105" s="25"/>
      <c r="H2105" s="14"/>
      <c r="I2105" s="31"/>
      <c r="J2105" s="15">
        <f t="shared" si="258"/>
        <v>0</v>
      </c>
    </row>
    <row r="2106" spans="2:10" x14ac:dyDescent="0.15">
      <c r="B2106" s="25"/>
      <c r="C2106" s="14"/>
      <c r="D2106" s="31"/>
      <c r="E2106" s="15">
        <f t="shared" si="257"/>
        <v>0</v>
      </c>
      <c r="F2106" s="61"/>
      <c r="G2106" s="25"/>
      <c r="H2106" s="14"/>
      <c r="I2106" s="31"/>
      <c r="J2106" s="15">
        <f t="shared" si="258"/>
        <v>0</v>
      </c>
    </row>
    <row r="2107" spans="2:10" x14ac:dyDescent="0.15">
      <c r="B2107" s="25"/>
      <c r="C2107" s="14"/>
      <c r="D2107" s="31"/>
      <c r="E2107" s="15">
        <f t="shared" si="257"/>
        <v>0</v>
      </c>
      <c r="F2107" s="61"/>
      <c r="G2107" s="25"/>
      <c r="H2107" s="14"/>
      <c r="I2107" s="31"/>
      <c r="J2107" s="15">
        <f t="shared" si="258"/>
        <v>0</v>
      </c>
    </row>
    <row r="2108" spans="2:10" x14ac:dyDescent="0.15">
      <c r="B2108" s="25"/>
      <c r="C2108" s="14"/>
      <c r="D2108" s="31"/>
      <c r="E2108" s="15">
        <f t="shared" si="257"/>
        <v>0</v>
      </c>
      <c r="F2108" s="61"/>
      <c r="G2108" s="25"/>
      <c r="H2108" s="14"/>
      <c r="I2108" s="31"/>
      <c r="J2108" s="15">
        <f t="shared" si="258"/>
        <v>0</v>
      </c>
    </row>
    <row r="2109" spans="2:10" x14ac:dyDescent="0.15">
      <c r="B2109" s="25"/>
      <c r="C2109" s="14"/>
      <c r="D2109" s="31"/>
      <c r="E2109" s="15">
        <f t="shared" si="257"/>
        <v>0</v>
      </c>
      <c r="F2109" s="61"/>
      <c r="G2109" s="25"/>
      <c r="H2109" s="14"/>
      <c r="I2109" s="31"/>
      <c r="J2109" s="15">
        <f t="shared" si="258"/>
        <v>0</v>
      </c>
    </row>
    <row r="2110" spans="2:10" x14ac:dyDescent="0.15">
      <c r="B2110" s="25"/>
      <c r="C2110" s="14"/>
      <c r="D2110" s="31"/>
      <c r="E2110" s="15">
        <f t="shared" si="257"/>
        <v>0</v>
      </c>
      <c r="F2110" s="61"/>
      <c r="G2110" s="25"/>
      <c r="H2110" s="14"/>
      <c r="I2110" s="31"/>
      <c r="J2110" s="15">
        <f t="shared" si="258"/>
        <v>0</v>
      </c>
    </row>
    <row r="2111" spans="2:10" x14ac:dyDescent="0.15">
      <c r="B2111" s="25"/>
      <c r="C2111" s="14"/>
      <c r="D2111" s="31"/>
      <c r="E2111" s="15">
        <f t="shared" si="257"/>
        <v>0</v>
      </c>
      <c r="F2111" s="61"/>
      <c r="G2111" s="25"/>
      <c r="H2111" s="14"/>
      <c r="I2111" s="31"/>
      <c r="J2111" s="15">
        <f t="shared" si="258"/>
        <v>0</v>
      </c>
    </row>
    <row r="2112" spans="2:10" x14ac:dyDescent="0.15">
      <c r="B2112" s="25"/>
      <c r="C2112" s="14"/>
      <c r="D2112" s="31"/>
      <c r="E2112" s="15">
        <f t="shared" si="257"/>
        <v>0</v>
      </c>
      <c r="F2112" s="61"/>
      <c r="G2112" s="25"/>
      <c r="H2112" s="14"/>
      <c r="I2112" s="31"/>
      <c r="J2112" s="15">
        <f t="shared" si="258"/>
        <v>0</v>
      </c>
    </row>
    <row r="2113" spans="2:10" x14ac:dyDescent="0.15">
      <c r="B2113" s="25"/>
      <c r="C2113" s="14"/>
      <c r="D2113" s="31"/>
      <c r="E2113" s="15">
        <f t="shared" si="257"/>
        <v>0</v>
      </c>
      <c r="F2113" s="61"/>
      <c r="G2113" s="25"/>
      <c r="H2113" s="14"/>
      <c r="I2113" s="31"/>
      <c r="J2113" s="15">
        <f t="shared" si="258"/>
        <v>0</v>
      </c>
    </row>
    <row r="2114" spans="2:10" x14ac:dyDescent="0.15">
      <c r="B2114" s="25"/>
      <c r="C2114" s="14"/>
      <c r="D2114" s="31"/>
      <c r="E2114" s="15">
        <f t="shared" si="257"/>
        <v>0</v>
      </c>
      <c r="F2114" s="61"/>
      <c r="G2114" s="25"/>
      <c r="H2114" s="14"/>
      <c r="I2114" s="31"/>
      <c r="J2114" s="15">
        <f t="shared" si="258"/>
        <v>0</v>
      </c>
    </row>
    <row r="2115" spans="2:10" x14ac:dyDescent="0.15">
      <c r="B2115" s="25"/>
      <c r="C2115" s="14"/>
      <c r="D2115" s="31"/>
      <c r="E2115" s="15">
        <f t="shared" si="255"/>
        <v>0</v>
      </c>
      <c r="F2115" s="61"/>
      <c r="G2115" s="25"/>
      <c r="H2115" s="14"/>
      <c r="I2115" s="31"/>
      <c r="J2115" s="15">
        <f t="shared" si="258"/>
        <v>0</v>
      </c>
    </row>
    <row r="2116" spans="2:10" ht="14.25" thickBot="1" x14ac:dyDescent="0.2">
      <c r="B2116" s="25"/>
      <c r="C2116" s="14"/>
      <c r="D2116" s="31"/>
      <c r="E2116" s="15">
        <f t="shared" si="255"/>
        <v>0</v>
      </c>
      <c r="G2116" s="25"/>
      <c r="H2116" s="14"/>
      <c r="I2116" s="31"/>
      <c r="J2116" s="15">
        <f t="shared" si="258"/>
        <v>0</v>
      </c>
    </row>
    <row r="2117" spans="2:10" ht="14.25" thickBot="1" x14ac:dyDescent="0.2">
      <c r="B2117" s="8" t="s">
        <v>2</v>
      </c>
      <c r="C2117" s="10">
        <f>SUM(C2092:C2116)</f>
        <v>0</v>
      </c>
      <c r="D2117" s="32">
        <f>SUM(D2092:D2116)</f>
        <v>0</v>
      </c>
      <c r="E2117" s="11">
        <f>C2117+D2117</f>
        <v>0</v>
      </c>
      <c r="G2117" s="8" t="s">
        <v>2</v>
      </c>
      <c r="H2117" s="10">
        <f>SUM(H2092:H2116)</f>
        <v>0</v>
      </c>
      <c r="I2117" s="32">
        <f>SUM(I2092:I2116)</f>
        <v>0</v>
      </c>
      <c r="J2117" s="11">
        <f t="shared" si="258"/>
        <v>0</v>
      </c>
    </row>
    <row r="2118" spans="2:10" ht="14.25" thickBot="1" x14ac:dyDescent="0.2">
      <c r="B2118" s="52" t="s">
        <v>3</v>
      </c>
      <c r="C2118" s="53">
        <f>+C2091-C2117</f>
        <v>42</v>
      </c>
      <c r="D2118" s="54">
        <f>+D2091-D2117</f>
        <v>37</v>
      </c>
      <c r="E2118" s="55">
        <f>C2118+D2118</f>
        <v>79</v>
      </c>
      <c r="G2118" s="52" t="s">
        <v>3</v>
      </c>
      <c r="H2118" s="87">
        <f>+H2091-H2117</f>
        <v>1200</v>
      </c>
      <c r="I2118" s="97">
        <f>+I2091-I2117</f>
        <v>1600</v>
      </c>
      <c r="J2118" s="95">
        <f>+J2091-J2117</f>
        <v>2800</v>
      </c>
    </row>
  </sheetData>
  <mergeCells count="14">
    <mergeCell ref="C3:E3"/>
    <mergeCell ref="C43:E43"/>
    <mergeCell ref="C83:E83"/>
    <mergeCell ref="H83:J83"/>
    <mergeCell ref="H123:J123"/>
    <mergeCell ref="C123:E123"/>
    <mergeCell ref="C203:E203"/>
    <mergeCell ref="H203:J203"/>
    <mergeCell ref="C163:E163"/>
    <mergeCell ref="H163:J163"/>
    <mergeCell ref="C363:E363"/>
    <mergeCell ref="C323:E323"/>
    <mergeCell ref="C283:E283"/>
    <mergeCell ref="C243:E243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マスク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 MR</cp:lastModifiedBy>
  <cp:lastPrinted>2021-09-09T06:11:20Z</cp:lastPrinted>
  <dcterms:created xsi:type="dcterms:W3CDTF">1997-01-08T22:48:59Z</dcterms:created>
  <dcterms:modified xsi:type="dcterms:W3CDTF">2026-06-18T09:37:53Z</dcterms:modified>
</cp:coreProperties>
</file>