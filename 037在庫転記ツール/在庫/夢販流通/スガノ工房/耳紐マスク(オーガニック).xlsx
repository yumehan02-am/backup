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スガノ工房\"/>
    </mc:Choice>
  </mc:AlternateContent>
  <xr:revisionPtr revIDLastSave="0" documentId="13_ncr:1_{54935378-26D6-4227-89AA-9F33A0E0C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マスク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39" i="1" l="1"/>
  <c r="C1157" i="1"/>
  <c r="D1157" i="1" s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0" i="1"/>
  <c r="D1129" i="1"/>
  <c r="D1128" i="1"/>
  <c r="D1127" i="1"/>
  <c r="D1126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C1117" i="1"/>
  <c r="D1117" i="1" s="1"/>
  <c r="D1092" i="1"/>
  <c r="D1090" i="1"/>
  <c r="D1089" i="1"/>
  <c r="D1088" i="1"/>
  <c r="D1087" i="1"/>
  <c r="D1086" i="1"/>
  <c r="C1065" i="1"/>
  <c r="C1077" i="1" s="1"/>
  <c r="D1077" i="1" s="1"/>
  <c r="C1057" i="1"/>
  <c r="C1055" i="1"/>
  <c r="C1053" i="1"/>
  <c r="D1053" i="1" s="1"/>
  <c r="D1076" i="1"/>
  <c r="D1075" i="1"/>
  <c r="D1074" i="1"/>
  <c r="D1073" i="1"/>
  <c r="D1072" i="1"/>
  <c r="D1070" i="1"/>
  <c r="D1069" i="1"/>
  <c r="D1068" i="1"/>
  <c r="D1067" i="1"/>
  <c r="D1066" i="1"/>
  <c r="D1064" i="1"/>
  <c r="D1063" i="1"/>
  <c r="D1062" i="1"/>
  <c r="D1061" i="1"/>
  <c r="D1060" i="1"/>
  <c r="D1059" i="1"/>
  <c r="D1058" i="1"/>
  <c r="D1057" i="1"/>
  <c r="D1056" i="1"/>
  <c r="D1055" i="1"/>
  <c r="D1054" i="1"/>
  <c r="D1052" i="1"/>
  <c r="D1050" i="1"/>
  <c r="D1049" i="1"/>
  <c r="D1048" i="1"/>
  <c r="D1047" i="1"/>
  <c r="D1046" i="1"/>
  <c r="C1036" i="1"/>
  <c r="D1036" i="1" s="1"/>
  <c r="C1035" i="1"/>
  <c r="C1034" i="1"/>
  <c r="C1031" i="1"/>
  <c r="D1031" i="1" s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2" i="1"/>
  <c r="D1033" i="1"/>
  <c r="D1006" i="1"/>
  <c r="D1007" i="1"/>
  <c r="D1035" i="1"/>
  <c r="D1010" i="1"/>
  <c r="D1009" i="1"/>
  <c r="D1008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6" i="1"/>
  <c r="D995" i="1"/>
  <c r="D994" i="1"/>
  <c r="D993" i="1"/>
  <c r="D970" i="1"/>
  <c r="D969" i="1"/>
  <c r="D968" i="1"/>
  <c r="D967" i="1"/>
  <c r="D966" i="1"/>
  <c r="C1037" i="1" l="1"/>
  <c r="D1037" i="1" s="1"/>
  <c r="D1065" i="1"/>
  <c r="D1071" i="1"/>
  <c r="D1034" i="1"/>
  <c r="C997" i="1"/>
  <c r="D997" i="1" s="1"/>
  <c r="C932" i="1"/>
  <c r="D932" i="1" s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6" i="1"/>
  <c r="D955" i="1"/>
  <c r="D930" i="1"/>
  <c r="D929" i="1"/>
  <c r="D928" i="1"/>
  <c r="D927" i="1"/>
  <c r="D926" i="1"/>
  <c r="C957" i="1" l="1"/>
  <c r="D957" i="1" s="1"/>
  <c r="C897" i="1"/>
  <c r="C917" i="1" s="1"/>
  <c r="D917" i="1" s="1"/>
  <c r="D893" i="1"/>
  <c r="D892" i="1"/>
  <c r="D886" i="1"/>
  <c r="D88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6" i="1"/>
  <c r="D895" i="1"/>
  <c r="D894" i="1"/>
  <c r="D890" i="1"/>
  <c r="D889" i="1"/>
  <c r="D888" i="1"/>
  <c r="C861" i="1"/>
  <c r="D861" i="1" s="1"/>
  <c r="C854" i="1"/>
  <c r="D854" i="1" s="1"/>
  <c r="C853" i="1"/>
  <c r="C852" i="1"/>
  <c r="C835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0" i="1"/>
  <c r="D859" i="1"/>
  <c r="D858" i="1"/>
  <c r="D857" i="1"/>
  <c r="D856" i="1"/>
  <c r="D855" i="1"/>
  <c r="D853" i="1"/>
  <c r="D852" i="1"/>
  <c r="D850" i="1"/>
  <c r="D849" i="1"/>
  <c r="D848" i="1"/>
  <c r="D847" i="1"/>
  <c r="D846" i="1"/>
  <c r="D897" i="1" l="1"/>
  <c r="C877" i="1"/>
  <c r="D877" i="1" s="1"/>
  <c r="C830" i="1"/>
  <c r="D830" i="1" s="1"/>
  <c r="C828" i="1"/>
  <c r="D828" i="1" s="1"/>
  <c r="C824" i="1"/>
  <c r="C793" i="1"/>
  <c r="D836" i="1"/>
  <c r="D835" i="1"/>
  <c r="D834" i="1"/>
  <c r="D833" i="1"/>
  <c r="D832" i="1"/>
  <c r="D831" i="1"/>
  <c r="D829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2" i="1"/>
  <c r="D810" i="1"/>
  <c r="D809" i="1"/>
  <c r="D808" i="1"/>
  <c r="D807" i="1"/>
  <c r="D806" i="1"/>
  <c r="C837" i="1" l="1"/>
  <c r="D837" i="1" s="1"/>
  <c r="D813" i="1"/>
  <c r="C785" i="1"/>
  <c r="C775" i="1"/>
  <c r="C773" i="1" l="1"/>
  <c r="C797" i="1" s="1"/>
  <c r="D797" i="1" s="1"/>
  <c r="C753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4" i="1"/>
  <c r="D773" i="1"/>
  <c r="D772" i="1"/>
  <c r="D770" i="1"/>
  <c r="D769" i="1"/>
  <c r="D768" i="1"/>
  <c r="D767" i="1"/>
  <c r="D766" i="1"/>
  <c r="D775" i="1" l="1"/>
  <c r="C749" i="1"/>
  <c r="C746" i="1"/>
  <c r="C743" i="1"/>
  <c r="C739" i="1"/>
  <c r="C737" i="1"/>
  <c r="C736" i="1"/>
  <c r="C735" i="1"/>
  <c r="C714" i="1"/>
  <c r="C757" i="1" l="1"/>
  <c r="D757" i="1" s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0" i="1"/>
  <c r="D729" i="1"/>
  <c r="D728" i="1"/>
  <c r="D727" i="1"/>
  <c r="D726" i="1"/>
  <c r="D706" i="1" l="1"/>
  <c r="C698" i="1"/>
  <c r="C717" i="1" s="1"/>
  <c r="D717" i="1" s="1"/>
  <c r="H717" i="1"/>
  <c r="I717" i="1" s="1"/>
  <c r="I716" i="1"/>
  <c r="D716" i="1"/>
  <c r="I715" i="1"/>
  <c r="D715" i="1"/>
  <c r="I714" i="1"/>
  <c r="D714" i="1"/>
  <c r="I713" i="1"/>
  <c r="D713" i="1"/>
  <c r="I712" i="1"/>
  <c r="D712" i="1"/>
  <c r="I711" i="1"/>
  <c r="D711" i="1"/>
  <c r="I710" i="1"/>
  <c r="D710" i="1"/>
  <c r="I709" i="1"/>
  <c r="D709" i="1"/>
  <c r="I708" i="1"/>
  <c r="D708" i="1"/>
  <c r="I707" i="1"/>
  <c r="D707" i="1"/>
  <c r="I706" i="1"/>
  <c r="I705" i="1"/>
  <c r="D705" i="1"/>
  <c r="I704" i="1"/>
  <c r="D704" i="1"/>
  <c r="I703" i="1"/>
  <c r="D703" i="1"/>
  <c r="I702" i="1"/>
  <c r="D702" i="1"/>
  <c r="I701" i="1"/>
  <c r="D701" i="1"/>
  <c r="I700" i="1"/>
  <c r="D700" i="1"/>
  <c r="I699" i="1"/>
  <c r="D699" i="1"/>
  <c r="I698" i="1"/>
  <c r="I697" i="1"/>
  <c r="D697" i="1"/>
  <c r="I696" i="1"/>
  <c r="D696" i="1"/>
  <c r="I695" i="1"/>
  <c r="D695" i="1"/>
  <c r="I694" i="1"/>
  <c r="D694" i="1"/>
  <c r="I693" i="1"/>
  <c r="D693" i="1"/>
  <c r="I692" i="1"/>
  <c r="D692" i="1"/>
  <c r="I690" i="1"/>
  <c r="D690" i="1"/>
  <c r="I689" i="1"/>
  <c r="D689" i="1"/>
  <c r="I688" i="1"/>
  <c r="D688" i="1"/>
  <c r="I687" i="1"/>
  <c r="D687" i="1"/>
  <c r="I686" i="1"/>
  <c r="D686" i="1"/>
  <c r="D670" i="1"/>
  <c r="C669" i="1"/>
  <c r="D669" i="1" s="1"/>
  <c r="C662" i="1"/>
  <c r="D662" i="1" s="1"/>
  <c r="C658" i="1"/>
  <c r="D658" i="1" s="1"/>
  <c r="C636" i="1"/>
  <c r="H677" i="1"/>
  <c r="I677" i="1" s="1"/>
  <c r="I676" i="1"/>
  <c r="D676" i="1"/>
  <c r="I675" i="1"/>
  <c r="D675" i="1"/>
  <c r="I674" i="1"/>
  <c r="D674" i="1"/>
  <c r="I673" i="1"/>
  <c r="D673" i="1"/>
  <c r="I672" i="1"/>
  <c r="D672" i="1"/>
  <c r="I671" i="1"/>
  <c r="D671" i="1"/>
  <c r="I670" i="1"/>
  <c r="I669" i="1"/>
  <c r="I668" i="1"/>
  <c r="D668" i="1"/>
  <c r="I667" i="1"/>
  <c r="D667" i="1"/>
  <c r="I666" i="1"/>
  <c r="D666" i="1"/>
  <c r="I665" i="1"/>
  <c r="D665" i="1"/>
  <c r="I664" i="1"/>
  <c r="D664" i="1"/>
  <c r="I663" i="1"/>
  <c r="D663" i="1"/>
  <c r="I662" i="1"/>
  <c r="I661" i="1"/>
  <c r="D661" i="1"/>
  <c r="I660" i="1"/>
  <c r="D660" i="1"/>
  <c r="I659" i="1"/>
  <c r="D659" i="1"/>
  <c r="I658" i="1"/>
  <c r="I657" i="1"/>
  <c r="D657" i="1"/>
  <c r="I656" i="1"/>
  <c r="D656" i="1"/>
  <c r="I655" i="1"/>
  <c r="D655" i="1"/>
  <c r="I654" i="1"/>
  <c r="D654" i="1"/>
  <c r="I653" i="1"/>
  <c r="D653" i="1"/>
  <c r="I652" i="1"/>
  <c r="D652" i="1"/>
  <c r="I650" i="1"/>
  <c r="D650" i="1"/>
  <c r="I649" i="1"/>
  <c r="D649" i="1"/>
  <c r="I648" i="1"/>
  <c r="D648" i="1"/>
  <c r="I647" i="1"/>
  <c r="D647" i="1"/>
  <c r="I646" i="1"/>
  <c r="D646" i="1"/>
  <c r="D698" i="1" l="1"/>
  <c r="C677" i="1"/>
  <c r="D677" i="1" s="1"/>
  <c r="C631" i="1"/>
  <c r="D631" i="1" s="1"/>
  <c r="C629" i="1"/>
  <c r="D629" i="1" s="1"/>
  <c r="C628" i="1"/>
  <c r="D628" i="1" s="1"/>
  <c r="C625" i="1"/>
  <c r="D625" i="1" s="1"/>
  <c r="C621" i="1"/>
  <c r="D621" i="1" s="1"/>
  <c r="C620" i="1"/>
  <c r="D620" i="1" s="1"/>
  <c r="C619" i="1"/>
  <c r="D619" i="1" s="1"/>
  <c r="C617" i="1"/>
  <c r="D617" i="1" s="1"/>
  <c r="C616" i="1"/>
  <c r="D616" i="1" s="1"/>
  <c r="C594" i="1"/>
  <c r="C593" i="1"/>
  <c r="C588" i="1"/>
  <c r="C587" i="1"/>
  <c r="C585" i="1"/>
  <c r="C584" i="1"/>
  <c r="C579" i="1"/>
  <c r="C578" i="1"/>
  <c r="C577" i="1"/>
  <c r="C576" i="1"/>
  <c r="C575" i="1"/>
  <c r="C574" i="1"/>
  <c r="H637" i="1"/>
  <c r="I637" i="1" s="1"/>
  <c r="I636" i="1"/>
  <c r="D636" i="1"/>
  <c r="I635" i="1"/>
  <c r="D635" i="1"/>
  <c r="I634" i="1"/>
  <c r="D634" i="1"/>
  <c r="I633" i="1"/>
  <c r="D633" i="1"/>
  <c r="I632" i="1"/>
  <c r="D632" i="1"/>
  <c r="I631" i="1"/>
  <c r="I630" i="1"/>
  <c r="D630" i="1"/>
  <c r="I629" i="1"/>
  <c r="I628" i="1"/>
  <c r="I627" i="1"/>
  <c r="D627" i="1"/>
  <c r="I626" i="1"/>
  <c r="D626" i="1"/>
  <c r="I625" i="1"/>
  <c r="I624" i="1"/>
  <c r="D624" i="1"/>
  <c r="I623" i="1"/>
  <c r="D623" i="1"/>
  <c r="I622" i="1"/>
  <c r="D622" i="1"/>
  <c r="I621" i="1"/>
  <c r="I620" i="1"/>
  <c r="I619" i="1"/>
  <c r="I618" i="1"/>
  <c r="D618" i="1"/>
  <c r="I617" i="1"/>
  <c r="I616" i="1"/>
  <c r="I615" i="1"/>
  <c r="D615" i="1"/>
  <c r="I614" i="1"/>
  <c r="D614" i="1"/>
  <c r="I613" i="1"/>
  <c r="D613" i="1"/>
  <c r="I612" i="1"/>
  <c r="D612" i="1"/>
  <c r="I610" i="1"/>
  <c r="D610" i="1"/>
  <c r="I609" i="1"/>
  <c r="D609" i="1"/>
  <c r="I608" i="1"/>
  <c r="D608" i="1"/>
  <c r="I607" i="1"/>
  <c r="D607" i="1"/>
  <c r="I606" i="1"/>
  <c r="D606" i="1"/>
  <c r="C637" i="1" l="1"/>
  <c r="D637" i="1" s="1"/>
  <c r="C573" i="1"/>
  <c r="D573" i="1" s="1"/>
  <c r="C572" i="1"/>
  <c r="D572" i="1" s="1"/>
  <c r="C555" i="1"/>
  <c r="C554" i="1"/>
  <c r="C553" i="1"/>
  <c r="H597" i="1"/>
  <c r="I597" i="1" s="1"/>
  <c r="I596" i="1"/>
  <c r="D596" i="1"/>
  <c r="I595" i="1"/>
  <c r="D595" i="1"/>
  <c r="I594" i="1"/>
  <c r="D594" i="1"/>
  <c r="I593" i="1"/>
  <c r="D593" i="1"/>
  <c r="I592" i="1"/>
  <c r="D592" i="1"/>
  <c r="I591" i="1"/>
  <c r="D591" i="1"/>
  <c r="I590" i="1"/>
  <c r="D590" i="1"/>
  <c r="I589" i="1"/>
  <c r="D589" i="1"/>
  <c r="I588" i="1"/>
  <c r="D588" i="1"/>
  <c r="I587" i="1"/>
  <c r="D587" i="1"/>
  <c r="I586" i="1"/>
  <c r="D586" i="1"/>
  <c r="I585" i="1"/>
  <c r="D585" i="1"/>
  <c r="I584" i="1"/>
  <c r="D584" i="1"/>
  <c r="I583" i="1"/>
  <c r="D583" i="1"/>
  <c r="I582" i="1"/>
  <c r="D582" i="1"/>
  <c r="I581" i="1"/>
  <c r="D581" i="1"/>
  <c r="I580" i="1"/>
  <c r="D580" i="1"/>
  <c r="I579" i="1"/>
  <c r="D579" i="1"/>
  <c r="I578" i="1"/>
  <c r="D578" i="1"/>
  <c r="I577" i="1"/>
  <c r="D577" i="1"/>
  <c r="I576" i="1"/>
  <c r="D576" i="1"/>
  <c r="I575" i="1"/>
  <c r="D575" i="1"/>
  <c r="I574" i="1"/>
  <c r="D574" i="1"/>
  <c r="I573" i="1"/>
  <c r="I572" i="1"/>
  <c r="I570" i="1"/>
  <c r="D570" i="1"/>
  <c r="I569" i="1"/>
  <c r="D569" i="1"/>
  <c r="I568" i="1"/>
  <c r="D568" i="1"/>
  <c r="I567" i="1"/>
  <c r="D567" i="1"/>
  <c r="I566" i="1"/>
  <c r="D566" i="1"/>
  <c r="C597" i="1" l="1"/>
  <c r="D597" i="1" s="1"/>
  <c r="C552" i="1"/>
  <c r="C550" i="1"/>
  <c r="C549" i="1"/>
  <c r="C548" i="1"/>
  <c r="C547" i="1"/>
  <c r="C546" i="1"/>
  <c r="C539" i="1"/>
  <c r="C538" i="1"/>
  <c r="C536" i="1"/>
  <c r="C535" i="1"/>
  <c r="C534" i="1" l="1"/>
  <c r="C532" i="1"/>
  <c r="C516" i="1"/>
  <c r="C514" i="1"/>
  <c r="C512" i="1"/>
  <c r="C511" i="1" l="1"/>
  <c r="H557" i="1"/>
  <c r="I557" i="1" s="1"/>
  <c r="I556" i="1"/>
  <c r="D556" i="1"/>
  <c r="I555" i="1"/>
  <c r="D555" i="1"/>
  <c r="I554" i="1"/>
  <c r="D554" i="1"/>
  <c r="I553" i="1"/>
  <c r="D553" i="1"/>
  <c r="I552" i="1"/>
  <c r="D552" i="1"/>
  <c r="I551" i="1"/>
  <c r="D551" i="1"/>
  <c r="I550" i="1"/>
  <c r="D550" i="1"/>
  <c r="I549" i="1"/>
  <c r="D549" i="1"/>
  <c r="I548" i="1"/>
  <c r="D548" i="1"/>
  <c r="I547" i="1"/>
  <c r="D547" i="1"/>
  <c r="I546" i="1"/>
  <c r="D546" i="1"/>
  <c r="I545" i="1"/>
  <c r="D545" i="1"/>
  <c r="I544" i="1"/>
  <c r="D544" i="1"/>
  <c r="I543" i="1"/>
  <c r="D543" i="1"/>
  <c r="I542" i="1"/>
  <c r="D542" i="1"/>
  <c r="I541" i="1"/>
  <c r="D541" i="1"/>
  <c r="I540" i="1"/>
  <c r="D540" i="1"/>
  <c r="I539" i="1"/>
  <c r="D539" i="1"/>
  <c r="I538" i="1"/>
  <c r="D538" i="1"/>
  <c r="I537" i="1"/>
  <c r="D537" i="1"/>
  <c r="I536" i="1"/>
  <c r="D536" i="1"/>
  <c r="I535" i="1"/>
  <c r="C557" i="1"/>
  <c r="D557" i="1" s="1"/>
  <c r="I534" i="1"/>
  <c r="D534" i="1"/>
  <c r="I533" i="1"/>
  <c r="D533" i="1"/>
  <c r="I532" i="1"/>
  <c r="D532" i="1"/>
  <c r="I530" i="1"/>
  <c r="D530" i="1"/>
  <c r="I529" i="1"/>
  <c r="D529" i="1"/>
  <c r="I528" i="1"/>
  <c r="D528" i="1"/>
  <c r="I527" i="1"/>
  <c r="D527" i="1"/>
  <c r="I526" i="1"/>
  <c r="D526" i="1"/>
  <c r="C507" i="1"/>
  <c r="C503" i="1"/>
  <c r="C499" i="1"/>
  <c r="D535" i="1" l="1"/>
  <c r="C498" i="1"/>
  <c r="D498" i="1" s="1"/>
  <c r="C495" i="1"/>
  <c r="D495" i="1" s="1"/>
  <c r="C494" i="1"/>
  <c r="D494" i="1" s="1"/>
  <c r="C471" i="1"/>
  <c r="D471" i="1" s="1"/>
  <c r="C470" i="1"/>
  <c r="D470" i="1" s="1"/>
  <c r="C469" i="1"/>
  <c r="D469" i="1" s="1"/>
  <c r="C467" i="1"/>
  <c r="D467" i="1" s="1"/>
  <c r="C465" i="1"/>
  <c r="D465" i="1" s="1"/>
  <c r="C464" i="1"/>
  <c r="D464" i="1" s="1"/>
  <c r="C463" i="1"/>
  <c r="D463" i="1" s="1"/>
  <c r="C462" i="1"/>
  <c r="D462" i="1" s="1"/>
  <c r="C461" i="1"/>
  <c r="D461" i="1" s="1"/>
  <c r="C460" i="1"/>
  <c r="D460" i="1" s="1"/>
  <c r="C459" i="1"/>
  <c r="D459" i="1" s="1"/>
  <c r="C458" i="1"/>
  <c r="D458" i="1" s="1"/>
  <c r="C457" i="1"/>
  <c r="D457" i="1" s="1"/>
  <c r="C456" i="1"/>
  <c r="D456" i="1" s="1"/>
  <c r="I447" i="1"/>
  <c r="I446" i="1"/>
  <c r="C455" i="1"/>
  <c r="D455" i="1" s="1"/>
  <c r="I486" i="1"/>
  <c r="C454" i="1"/>
  <c r="D454" i="1" s="1"/>
  <c r="C453" i="1"/>
  <c r="C436" i="1"/>
  <c r="D436" i="1" s="1"/>
  <c r="C435" i="1"/>
  <c r="D435" i="1" s="1"/>
  <c r="C434" i="1"/>
  <c r="D434" i="1" s="1"/>
  <c r="C433" i="1"/>
  <c r="D433" i="1" s="1"/>
  <c r="C432" i="1"/>
  <c r="D432" i="1" s="1"/>
  <c r="C431" i="1"/>
  <c r="D431" i="1" s="1"/>
  <c r="C430" i="1"/>
  <c r="D430" i="1" s="1"/>
  <c r="D409" i="1"/>
  <c r="D408" i="1"/>
  <c r="D407" i="1"/>
  <c r="H517" i="1"/>
  <c r="I517" i="1" s="1"/>
  <c r="I516" i="1"/>
  <c r="D516" i="1"/>
  <c r="I515" i="1"/>
  <c r="D515" i="1"/>
  <c r="I514" i="1"/>
  <c r="D514" i="1"/>
  <c r="I513" i="1"/>
  <c r="D513" i="1"/>
  <c r="I512" i="1"/>
  <c r="D512" i="1"/>
  <c r="I511" i="1"/>
  <c r="D511" i="1"/>
  <c r="I510" i="1"/>
  <c r="D510" i="1"/>
  <c r="I509" i="1"/>
  <c r="D509" i="1"/>
  <c r="I508" i="1"/>
  <c r="D508" i="1"/>
  <c r="I507" i="1"/>
  <c r="D507" i="1"/>
  <c r="I506" i="1"/>
  <c r="D506" i="1"/>
  <c r="I505" i="1"/>
  <c r="D505" i="1"/>
  <c r="I504" i="1"/>
  <c r="D504" i="1"/>
  <c r="I503" i="1"/>
  <c r="D503" i="1"/>
  <c r="I502" i="1"/>
  <c r="D502" i="1"/>
  <c r="I501" i="1"/>
  <c r="D501" i="1"/>
  <c r="I500" i="1"/>
  <c r="D500" i="1"/>
  <c r="I499" i="1"/>
  <c r="D499" i="1"/>
  <c r="I498" i="1"/>
  <c r="I497" i="1"/>
  <c r="D497" i="1"/>
  <c r="I496" i="1"/>
  <c r="D496" i="1"/>
  <c r="I495" i="1"/>
  <c r="I494" i="1"/>
  <c r="I493" i="1"/>
  <c r="D493" i="1"/>
  <c r="I492" i="1"/>
  <c r="D492" i="1"/>
  <c r="I490" i="1"/>
  <c r="D490" i="1"/>
  <c r="I489" i="1"/>
  <c r="D489" i="1"/>
  <c r="I488" i="1"/>
  <c r="D488" i="1"/>
  <c r="I487" i="1"/>
  <c r="D487" i="1"/>
  <c r="D486" i="1"/>
  <c r="I408" i="1"/>
  <c r="D368" i="1"/>
  <c r="D330" i="1"/>
  <c r="H477" i="1"/>
  <c r="I477" i="1" s="1"/>
  <c r="I476" i="1"/>
  <c r="D476" i="1"/>
  <c r="I475" i="1"/>
  <c r="D475" i="1"/>
  <c r="I474" i="1"/>
  <c r="D474" i="1"/>
  <c r="I473" i="1"/>
  <c r="D473" i="1"/>
  <c r="I472" i="1"/>
  <c r="D472" i="1"/>
  <c r="I471" i="1"/>
  <c r="I470" i="1"/>
  <c r="I469" i="1"/>
  <c r="I468" i="1"/>
  <c r="D468" i="1"/>
  <c r="I467" i="1"/>
  <c r="I466" i="1"/>
  <c r="D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D452" i="1"/>
  <c r="I450" i="1"/>
  <c r="D450" i="1"/>
  <c r="I449" i="1"/>
  <c r="D449" i="1"/>
  <c r="I448" i="1"/>
  <c r="D448" i="1"/>
  <c r="D447" i="1"/>
  <c r="D446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0" i="1"/>
  <c r="D406" i="1"/>
  <c r="H437" i="1"/>
  <c r="I437" i="1" s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0" i="1"/>
  <c r="I409" i="1"/>
  <c r="I407" i="1"/>
  <c r="I406" i="1"/>
  <c r="D369" i="1"/>
  <c r="D367" i="1"/>
  <c r="I356" i="1"/>
  <c r="H397" i="1"/>
  <c r="I397" i="1" s="1"/>
  <c r="C397" i="1"/>
  <c r="D397" i="1" s="1"/>
  <c r="I396" i="1"/>
  <c r="D396" i="1"/>
  <c r="I395" i="1"/>
  <c r="D395" i="1"/>
  <c r="I394" i="1"/>
  <c r="D394" i="1"/>
  <c r="I393" i="1"/>
  <c r="D393" i="1"/>
  <c r="I392" i="1"/>
  <c r="D392" i="1"/>
  <c r="I391" i="1"/>
  <c r="D391" i="1"/>
  <c r="I390" i="1"/>
  <c r="D390" i="1"/>
  <c r="I389" i="1"/>
  <c r="D389" i="1"/>
  <c r="I388" i="1"/>
  <c r="D388" i="1"/>
  <c r="I387" i="1"/>
  <c r="D387" i="1"/>
  <c r="I386" i="1"/>
  <c r="D386" i="1"/>
  <c r="I385" i="1"/>
  <c r="D385" i="1"/>
  <c r="I384" i="1"/>
  <c r="D384" i="1"/>
  <c r="I383" i="1"/>
  <c r="D383" i="1"/>
  <c r="I382" i="1"/>
  <c r="D382" i="1"/>
  <c r="I381" i="1"/>
  <c r="D381" i="1"/>
  <c r="I380" i="1"/>
  <c r="D380" i="1"/>
  <c r="I379" i="1"/>
  <c r="D379" i="1"/>
  <c r="I378" i="1"/>
  <c r="D378" i="1"/>
  <c r="I377" i="1"/>
  <c r="D377" i="1"/>
  <c r="I376" i="1"/>
  <c r="D376" i="1"/>
  <c r="I375" i="1"/>
  <c r="D375" i="1"/>
  <c r="I374" i="1"/>
  <c r="D374" i="1"/>
  <c r="I373" i="1"/>
  <c r="D373" i="1"/>
  <c r="I372" i="1"/>
  <c r="D372" i="1"/>
  <c r="I370" i="1"/>
  <c r="D370" i="1"/>
  <c r="I369" i="1"/>
  <c r="I368" i="1"/>
  <c r="I367" i="1"/>
  <c r="I366" i="1"/>
  <c r="D366" i="1"/>
  <c r="H357" i="1"/>
  <c r="I357" i="1" s="1"/>
  <c r="C357" i="1"/>
  <c r="D357" i="1" s="1"/>
  <c r="D356" i="1"/>
  <c r="I355" i="1"/>
  <c r="D355" i="1"/>
  <c r="I354" i="1"/>
  <c r="D354" i="1"/>
  <c r="I353" i="1"/>
  <c r="D353" i="1"/>
  <c r="I352" i="1"/>
  <c r="D352" i="1"/>
  <c r="I351" i="1"/>
  <c r="D351" i="1"/>
  <c r="I350" i="1"/>
  <c r="D350" i="1"/>
  <c r="I349" i="1"/>
  <c r="D349" i="1"/>
  <c r="I348" i="1"/>
  <c r="D348" i="1"/>
  <c r="I347" i="1"/>
  <c r="D347" i="1"/>
  <c r="I346" i="1"/>
  <c r="D346" i="1"/>
  <c r="I345" i="1"/>
  <c r="D345" i="1"/>
  <c r="I344" i="1"/>
  <c r="D344" i="1"/>
  <c r="I343" i="1"/>
  <c r="D343" i="1"/>
  <c r="I342" i="1"/>
  <c r="D342" i="1"/>
  <c r="I341" i="1"/>
  <c r="D341" i="1"/>
  <c r="I340" i="1"/>
  <c r="D340" i="1"/>
  <c r="I339" i="1"/>
  <c r="D339" i="1"/>
  <c r="I338" i="1"/>
  <c r="D338" i="1"/>
  <c r="I337" i="1"/>
  <c r="D337" i="1"/>
  <c r="I336" i="1"/>
  <c r="D336" i="1"/>
  <c r="I335" i="1"/>
  <c r="D335" i="1"/>
  <c r="I334" i="1"/>
  <c r="D334" i="1"/>
  <c r="I333" i="1"/>
  <c r="D333" i="1"/>
  <c r="I332" i="1"/>
  <c r="D332" i="1"/>
  <c r="I330" i="1"/>
  <c r="I329" i="1"/>
  <c r="D329" i="1"/>
  <c r="I328" i="1"/>
  <c r="D328" i="1"/>
  <c r="I327" i="1"/>
  <c r="D327" i="1"/>
  <c r="I326" i="1"/>
  <c r="D326" i="1"/>
  <c r="I315" i="1"/>
  <c r="I314" i="1"/>
  <c r="I313" i="1"/>
  <c r="I312" i="1"/>
  <c r="I311" i="1"/>
  <c r="I207" i="1"/>
  <c r="I208" i="1"/>
  <c r="I166" i="1"/>
  <c r="I167" i="1"/>
  <c r="I168" i="1"/>
  <c r="I169" i="1"/>
  <c r="H317" i="1"/>
  <c r="I317" i="1" s="1"/>
  <c r="I316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0" i="1"/>
  <c r="I289" i="1"/>
  <c r="I288" i="1"/>
  <c r="I287" i="1"/>
  <c r="I286" i="1"/>
  <c r="H277" i="1"/>
  <c r="I277" i="1" s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0" i="1"/>
  <c r="I249" i="1"/>
  <c r="I248" i="1"/>
  <c r="I247" i="1"/>
  <c r="I246" i="1"/>
  <c r="H237" i="1"/>
  <c r="I237" i="1" s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0" i="1"/>
  <c r="I209" i="1"/>
  <c r="I206" i="1"/>
  <c r="H197" i="1"/>
  <c r="I197" i="1" s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0" i="1"/>
  <c r="H171" i="1"/>
  <c r="I171" i="1" s="1"/>
  <c r="D276" i="1"/>
  <c r="D169" i="1"/>
  <c r="D206" i="1"/>
  <c r="D209" i="1"/>
  <c r="D168" i="1"/>
  <c r="D167" i="1"/>
  <c r="C317" i="1"/>
  <c r="D317" i="1" s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0" i="1"/>
  <c r="D289" i="1"/>
  <c r="D288" i="1"/>
  <c r="D287" i="1"/>
  <c r="D286" i="1"/>
  <c r="C277" i="1"/>
  <c r="D277" i="1" s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0" i="1"/>
  <c r="D249" i="1"/>
  <c r="D248" i="1"/>
  <c r="D247" i="1"/>
  <c r="D246" i="1"/>
  <c r="D128" i="1"/>
  <c r="D156" i="1"/>
  <c r="D166" i="1"/>
  <c r="D127" i="1"/>
  <c r="D129" i="1"/>
  <c r="D155" i="1"/>
  <c r="D154" i="1"/>
  <c r="D126" i="1"/>
  <c r="D10" i="1"/>
  <c r="D8" i="1"/>
  <c r="D7" i="1"/>
  <c r="D6" i="1"/>
  <c r="C237" i="1"/>
  <c r="D237" i="1" s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0" i="1"/>
  <c r="D208" i="1"/>
  <c r="C197" i="1"/>
  <c r="D197" i="1" s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0" i="1"/>
  <c r="D48" i="1"/>
  <c r="D47" i="1"/>
  <c r="D46" i="1"/>
  <c r="D88" i="1"/>
  <c r="D87" i="1"/>
  <c r="D86" i="1"/>
  <c r="D89" i="1"/>
  <c r="D74" i="1"/>
  <c r="D54" i="1"/>
  <c r="D53" i="1"/>
  <c r="D52" i="1"/>
  <c r="D9" i="1"/>
  <c r="D49" i="1"/>
  <c r="D50" i="1"/>
  <c r="C11" i="1"/>
  <c r="D11" i="1" s="1"/>
  <c r="D36" i="1"/>
  <c r="D35" i="1"/>
  <c r="D34" i="1"/>
  <c r="D76" i="1"/>
  <c r="D75" i="1"/>
  <c r="D33" i="1"/>
  <c r="D32" i="1"/>
  <c r="D31" i="1"/>
  <c r="D71" i="1"/>
  <c r="D72" i="1"/>
  <c r="D73" i="1"/>
  <c r="D90" i="1"/>
  <c r="C157" i="1"/>
  <c r="D157" i="1" s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0" i="1"/>
  <c r="C117" i="1"/>
  <c r="D117" i="1" s="1"/>
  <c r="C37" i="1"/>
  <c r="D37" i="1" s="1"/>
  <c r="C77" i="1"/>
  <c r="D77" i="1" s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14" i="1"/>
  <c r="D15" i="1"/>
  <c r="D16" i="1"/>
  <c r="D17" i="1"/>
  <c r="D18" i="1"/>
  <c r="D19" i="1"/>
  <c r="D20" i="1"/>
  <c r="D21" i="1"/>
  <c r="D22" i="1"/>
  <c r="D23" i="1"/>
  <c r="D12" i="1"/>
  <c r="D13" i="1"/>
  <c r="D24" i="1"/>
  <c r="D25" i="1"/>
  <c r="D26" i="1"/>
  <c r="D27" i="1"/>
  <c r="D28" i="1"/>
  <c r="D29" i="1"/>
  <c r="D30" i="1"/>
  <c r="D5" i="1"/>
  <c r="I165" i="1"/>
  <c r="C38" i="1" l="1"/>
  <c r="D38" i="1" s="1"/>
  <c r="C517" i="1"/>
  <c r="D517" i="1" s="1"/>
  <c r="H198" i="1"/>
  <c r="I198" i="1" s="1"/>
  <c r="C477" i="1"/>
  <c r="D477" i="1" s="1"/>
  <c r="C437" i="1"/>
  <c r="D437" i="1" s="1"/>
  <c r="D453" i="1"/>
  <c r="C45" i="1" l="1"/>
  <c r="C51" i="1" s="1"/>
  <c r="H205" i="1"/>
  <c r="I205" i="1" s="1"/>
  <c r="D45" i="1" l="1"/>
  <c r="H211" i="1"/>
  <c r="H238" i="1" s="1"/>
  <c r="D51" i="1"/>
  <c r="C78" i="1"/>
  <c r="I211" i="1" l="1"/>
  <c r="I238" i="1"/>
  <c r="H245" i="1"/>
  <c r="D78" i="1"/>
  <c r="C85" i="1"/>
  <c r="H251" i="1" l="1"/>
  <c r="I245" i="1"/>
  <c r="D85" i="1"/>
  <c r="C91" i="1"/>
  <c r="H278" i="1" l="1"/>
  <c r="I251" i="1"/>
  <c r="D91" i="1"/>
  <c r="C118" i="1"/>
  <c r="I278" i="1" l="1"/>
  <c r="H285" i="1"/>
  <c r="D118" i="1"/>
  <c r="C125" i="1"/>
  <c r="H291" i="1" l="1"/>
  <c r="I285" i="1"/>
  <c r="D125" i="1"/>
  <c r="C131" i="1"/>
  <c r="I291" i="1" l="1"/>
  <c r="H318" i="1"/>
  <c r="D131" i="1"/>
  <c r="C158" i="1"/>
  <c r="I318" i="1" l="1"/>
  <c r="H325" i="1"/>
  <c r="D158" i="1"/>
  <c r="C165" i="1"/>
  <c r="H331" i="1" l="1"/>
  <c r="I325" i="1"/>
  <c r="C171" i="1"/>
  <c r="D165" i="1"/>
  <c r="H358" i="1" l="1"/>
  <c r="I331" i="1"/>
  <c r="C198" i="1"/>
  <c r="D171" i="1"/>
  <c r="I358" i="1" l="1"/>
  <c r="H365" i="1"/>
  <c r="D198" i="1"/>
  <c r="C205" i="1"/>
  <c r="H371" i="1" l="1"/>
  <c r="I365" i="1"/>
  <c r="C211" i="1"/>
  <c r="D205" i="1"/>
  <c r="H398" i="1" l="1"/>
  <c r="I371" i="1"/>
  <c r="D211" i="1"/>
  <c r="C238" i="1"/>
  <c r="H405" i="1" l="1"/>
  <c r="I398" i="1"/>
  <c r="C245" i="1"/>
  <c r="D238" i="1"/>
  <c r="H411" i="1" l="1"/>
  <c r="I405" i="1"/>
  <c r="C251" i="1"/>
  <c r="D245" i="1"/>
  <c r="I411" i="1" l="1"/>
  <c r="H438" i="1"/>
  <c r="D251" i="1"/>
  <c r="C278" i="1"/>
  <c r="I438" i="1" l="1"/>
  <c r="H445" i="1"/>
  <c r="D278" i="1"/>
  <c r="C285" i="1"/>
  <c r="H451" i="1" l="1"/>
  <c r="I445" i="1"/>
  <c r="D285" i="1"/>
  <c r="C291" i="1"/>
  <c r="H478" i="1" l="1"/>
  <c r="I451" i="1"/>
  <c r="C318" i="1"/>
  <c r="D291" i="1"/>
  <c r="H485" i="1" l="1"/>
  <c r="I478" i="1"/>
  <c r="D318" i="1"/>
  <c r="C325" i="1"/>
  <c r="H491" i="1" l="1"/>
  <c r="I485" i="1"/>
  <c r="C331" i="1"/>
  <c r="D325" i="1"/>
  <c r="H518" i="1" l="1"/>
  <c r="I491" i="1"/>
  <c r="D331" i="1"/>
  <c r="C358" i="1"/>
  <c r="I518" i="1" l="1"/>
  <c r="H525" i="1"/>
  <c r="D358" i="1"/>
  <c r="C365" i="1"/>
  <c r="H531" i="1" l="1"/>
  <c r="I525" i="1"/>
  <c r="C371" i="1"/>
  <c r="D365" i="1"/>
  <c r="I531" i="1" l="1"/>
  <c r="H558" i="1"/>
  <c r="C398" i="1"/>
  <c r="D371" i="1"/>
  <c r="I558" i="1" l="1"/>
  <c r="H565" i="1"/>
  <c r="C405" i="1"/>
  <c r="D398" i="1"/>
  <c r="H571" i="1" l="1"/>
  <c r="I565" i="1"/>
  <c r="C411" i="1"/>
  <c r="D405" i="1"/>
  <c r="H598" i="1" l="1"/>
  <c r="I571" i="1"/>
  <c r="C438" i="1"/>
  <c r="D411" i="1"/>
  <c r="I598" i="1" l="1"/>
  <c r="H605" i="1"/>
  <c r="C445" i="1"/>
  <c r="D438" i="1"/>
  <c r="I605" i="1" l="1"/>
  <c r="H611" i="1"/>
  <c r="C451" i="1"/>
  <c r="D445" i="1"/>
  <c r="H638" i="1" l="1"/>
  <c r="I611" i="1"/>
  <c r="D451" i="1"/>
  <c r="C478" i="1"/>
  <c r="I638" i="1" l="1"/>
  <c r="H645" i="1"/>
  <c r="D478" i="1"/>
  <c r="C485" i="1"/>
  <c r="I645" i="1" l="1"/>
  <c r="H651" i="1"/>
  <c r="D485" i="1"/>
  <c r="C491" i="1"/>
  <c r="H678" i="1" l="1"/>
  <c r="I651" i="1"/>
  <c r="C518" i="1"/>
  <c r="D491" i="1"/>
  <c r="I678" i="1" l="1"/>
  <c r="H685" i="1"/>
  <c r="D518" i="1"/>
  <c r="C525" i="1"/>
  <c r="H691" i="1" l="1"/>
  <c r="I685" i="1"/>
  <c r="C531" i="1"/>
  <c r="D525" i="1"/>
  <c r="H718" i="1" l="1"/>
  <c r="I691" i="1"/>
  <c r="D531" i="1"/>
  <c r="C558" i="1"/>
  <c r="I718" i="1" l="1"/>
  <c r="D558" i="1"/>
  <c r="C565" i="1"/>
  <c r="C571" i="1" l="1"/>
  <c r="D565" i="1"/>
  <c r="C598" i="1" l="1"/>
  <c r="D571" i="1"/>
  <c r="D598" i="1" l="1"/>
  <c r="C605" i="1"/>
  <c r="C611" i="1" l="1"/>
  <c r="D605" i="1"/>
  <c r="C638" i="1" l="1"/>
  <c r="D611" i="1"/>
  <c r="D638" i="1" l="1"/>
  <c r="C645" i="1"/>
  <c r="D645" i="1" l="1"/>
  <c r="C651" i="1"/>
  <c r="D651" i="1" l="1"/>
  <c r="C678" i="1"/>
  <c r="D678" i="1" l="1"/>
  <c r="C685" i="1"/>
  <c r="C691" i="1" l="1"/>
  <c r="D685" i="1"/>
  <c r="C718" i="1" l="1"/>
  <c r="D691" i="1"/>
  <c r="D718" i="1" l="1"/>
  <c r="C725" i="1"/>
  <c r="C731" i="1" l="1"/>
  <c r="D725" i="1"/>
  <c r="C758" i="1" l="1"/>
  <c r="D731" i="1"/>
  <c r="D758" i="1" l="1"/>
  <c r="C765" i="1"/>
  <c r="C771" i="1" l="1"/>
  <c r="D765" i="1"/>
  <c r="D771" i="1" l="1"/>
  <c r="C798" i="1"/>
  <c r="D798" i="1" l="1"/>
  <c r="C805" i="1"/>
  <c r="C811" i="1" l="1"/>
  <c r="D805" i="1"/>
  <c r="D811" i="1" l="1"/>
  <c r="C838" i="1"/>
  <c r="D838" i="1" l="1"/>
  <c r="C845" i="1"/>
  <c r="C851" i="1" l="1"/>
  <c r="D845" i="1"/>
  <c r="D851" i="1" l="1"/>
  <c r="C878" i="1"/>
  <c r="D878" i="1" l="1"/>
  <c r="C885" i="1"/>
  <c r="D885" i="1" l="1"/>
  <c r="C891" i="1"/>
  <c r="D891" i="1" l="1"/>
  <c r="C918" i="1"/>
  <c r="D918" i="1" l="1"/>
  <c r="C925" i="1"/>
  <c r="C931" i="1" l="1"/>
  <c r="D925" i="1"/>
  <c r="C958" i="1" l="1"/>
  <c r="D931" i="1"/>
  <c r="D958" i="1" l="1"/>
  <c r="C965" i="1"/>
  <c r="C971" i="1" l="1"/>
  <c r="D965" i="1"/>
  <c r="D971" i="1" l="1"/>
  <c r="C998" i="1"/>
  <c r="D998" i="1" l="1"/>
  <c r="C1005" i="1"/>
  <c r="D1005" i="1" l="1"/>
  <c r="C1011" i="1"/>
  <c r="C1038" i="1" l="1"/>
  <c r="D1011" i="1"/>
  <c r="D1038" i="1" l="1"/>
  <c r="C1045" i="1"/>
  <c r="C1051" i="1" l="1"/>
  <c r="D1045" i="1"/>
  <c r="C1078" i="1" l="1"/>
  <c r="D1051" i="1"/>
  <c r="D1078" i="1" l="1"/>
  <c r="C1085" i="1"/>
  <c r="C1091" i="1" l="1"/>
  <c r="D1085" i="1"/>
  <c r="C1118" i="1" l="1"/>
  <c r="D1091" i="1"/>
  <c r="D1118" i="1" l="1"/>
  <c r="C1125" i="1"/>
  <c r="C1131" i="1" l="1"/>
  <c r="D1125" i="1"/>
  <c r="D1131" i="1" l="1"/>
  <c r="C1158" i="1"/>
  <c r="D1158" i="1" s="1"/>
</calcChain>
</file>

<file path=xl/sharedStrings.xml><?xml version="1.0" encoding="utf-8"?>
<sst xmlns="http://schemas.openxmlformats.org/spreadsheetml/2006/main" count="1163" uniqueCount="79">
  <si>
    <t>計</t>
    <rPh sb="0" eb="1">
      <t>ケイ</t>
    </rPh>
    <phoneticPr fontId="1"/>
  </si>
  <si>
    <t>総数</t>
    <rPh sb="0" eb="2">
      <t>ソウスウ</t>
    </rPh>
    <phoneticPr fontId="1"/>
  </si>
  <si>
    <t>出荷数</t>
    <rPh sb="0" eb="2">
      <t>シュッカ</t>
    </rPh>
    <rPh sb="2" eb="3">
      <t>スウ</t>
    </rPh>
    <phoneticPr fontId="1"/>
  </si>
  <si>
    <t>残数</t>
    <rPh sb="0" eb="2">
      <t>ザンスウ</t>
    </rPh>
    <phoneticPr fontId="1"/>
  </si>
  <si>
    <t>在庫</t>
    <rPh sb="0" eb="2">
      <t>ザイコ</t>
    </rPh>
    <phoneticPr fontId="1"/>
  </si>
  <si>
    <t>追加</t>
    <rPh sb="0" eb="2">
      <t>ツイカ</t>
    </rPh>
    <phoneticPr fontId="1"/>
  </si>
  <si>
    <t>初回</t>
    <rPh sb="0" eb="2">
      <t>ショカイ</t>
    </rPh>
    <phoneticPr fontId="1"/>
  </si>
  <si>
    <t>楽天</t>
    <rPh sb="0" eb="2">
      <t>ラクテン</t>
    </rPh>
    <phoneticPr fontId="1"/>
  </si>
  <si>
    <t>ヤフー</t>
    <phoneticPr fontId="1"/>
  </si>
  <si>
    <t>Wowma</t>
    <phoneticPr fontId="1"/>
  </si>
  <si>
    <t>田中</t>
    <rPh sb="0" eb="2">
      <t>タナカ</t>
    </rPh>
    <phoneticPr fontId="1"/>
  </si>
  <si>
    <t>4月広告分</t>
    <rPh sb="1" eb="2">
      <t>ガツ</t>
    </rPh>
    <rPh sb="2" eb="4">
      <t>コウコク</t>
    </rPh>
    <rPh sb="4" eb="5">
      <t>ブン</t>
    </rPh>
    <phoneticPr fontId="1"/>
  </si>
  <si>
    <t>伝数</t>
    <rPh sb="0" eb="1">
      <t>デン</t>
    </rPh>
    <rPh sb="1" eb="2">
      <t>スウ</t>
    </rPh>
    <phoneticPr fontId="1"/>
  </si>
  <si>
    <t>ヤフー</t>
  </si>
  <si>
    <t>Wowma</t>
  </si>
  <si>
    <t>村田</t>
    <rPh sb="0" eb="2">
      <t>ムラタ</t>
    </rPh>
    <phoneticPr fontId="1"/>
  </si>
  <si>
    <r>
      <t>W</t>
    </r>
    <r>
      <rPr>
        <sz val="11"/>
        <rFont val="ＭＳ Ｐゴシック"/>
        <family val="3"/>
        <charset val="128"/>
      </rPr>
      <t>owma</t>
    </r>
    <phoneticPr fontId="1"/>
  </si>
  <si>
    <t>楽天</t>
    <phoneticPr fontId="1"/>
  </si>
  <si>
    <t>ヤフー</t>
    <phoneticPr fontId="1"/>
  </si>
  <si>
    <t>社長</t>
    <rPh sb="0" eb="2">
      <t>シャチョウ</t>
    </rPh>
    <phoneticPr fontId="1"/>
  </si>
  <si>
    <t>ネット</t>
    <phoneticPr fontId="1"/>
  </si>
  <si>
    <t>重複返送</t>
    <rPh sb="0" eb="2">
      <t>ジュウフク</t>
    </rPh>
    <rPh sb="2" eb="4">
      <t>ヘンソウ</t>
    </rPh>
    <phoneticPr fontId="1"/>
  </si>
  <si>
    <t>不良</t>
    <rPh sb="0" eb="2">
      <t>フリョウ</t>
    </rPh>
    <phoneticPr fontId="1"/>
  </si>
  <si>
    <t>ネット返品</t>
    <rPh sb="3" eb="5">
      <t>ヘンピン</t>
    </rPh>
    <phoneticPr fontId="1"/>
  </si>
  <si>
    <t>ネット重複返送</t>
    <rPh sb="3" eb="5">
      <t>ジュウフク</t>
    </rPh>
    <rPh sb="5" eb="7">
      <t>ヘンソウ</t>
    </rPh>
    <phoneticPr fontId="1"/>
  </si>
  <si>
    <r>
      <t>丸藤s</t>
    </r>
    <r>
      <rPr>
        <sz val="11"/>
        <rFont val="ＭＳ Ｐゴシック"/>
        <family val="3"/>
        <charset val="128"/>
      </rPr>
      <t>ample</t>
    </r>
    <rPh sb="0" eb="2">
      <t>マルフジ</t>
    </rPh>
    <phoneticPr fontId="1"/>
  </si>
  <si>
    <t>くらし（亀崎さん）sample</t>
    <rPh sb="4" eb="6">
      <t>カメサキ</t>
    </rPh>
    <phoneticPr fontId="1"/>
  </si>
  <si>
    <t>真木デザイナー</t>
    <rPh sb="0" eb="2">
      <t>マキ</t>
    </rPh>
    <phoneticPr fontId="1"/>
  </si>
  <si>
    <r>
      <t>K</t>
    </r>
    <r>
      <rPr>
        <sz val="11"/>
        <rFont val="ＭＳ Ｐゴシック"/>
        <family val="3"/>
        <charset val="128"/>
      </rPr>
      <t>PORT</t>
    </r>
    <phoneticPr fontId="1"/>
  </si>
  <si>
    <t>オーガニックマスク ＜K-PORT在庫＞</t>
    <rPh sb="17" eb="19">
      <t>ザイコ</t>
    </rPh>
    <phoneticPr fontId="1"/>
  </si>
  <si>
    <t>オーガニックマスク＜夢販在庫＞</t>
    <rPh sb="10" eb="12">
      <t>ユメハン</t>
    </rPh>
    <rPh sb="12" eb="14">
      <t>ザイコ</t>
    </rPh>
    <phoneticPr fontId="1"/>
  </si>
  <si>
    <t>点9/1、アバウト9/11、本9/14、9/16</t>
    <rPh sb="0" eb="1">
      <t>テン</t>
    </rPh>
    <rPh sb="14" eb="15">
      <t>ホン</t>
    </rPh>
    <phoneticPr fontId="1"/>
  </si>
  <si>
    <t>JODsample</t>
    <phoneticPr fontId="1"/>
  </si>
  <si>
    <t>製品検査</t>
    <rPh sb="0" eb="2">
      <t>セイヒン</t>
    </rPh>
    <rPh sb="2" eb="4">
      <t>ケンサ</t>
    </rPh>
    <phoneticPr fontId="1"/>
  </si>
  <si>
    <r>
      <t>K</t>
    </r>
    <r>
      <rPr>
        <sz val="11"/>
        <rFont val="ＭＳ Ｐゴシック"/>
        <family val="3"/>
        <charset val="128"/>
      </rPr>
      <t>PORT</t>
    </r>
    <phoneticPr fontId="1"/>
  </si>
  <si>
    <t>夢販</t>
    <rPh sb="0" eb="2">
      <t>ユメハン</t>
    </rPh>
    <phoneticPr fontId="1"/>
  </si>
  <si>
    <t>グリーンコープ26号限定</t>
    <rPh sb="9" eb="10">
      <t>ゴウ</t>
    </rPh>
    <rPh sb="10" eb="12">
      <t>ゲンテイ</t>
    </rPh>
    <phoneticPr fontId="1"/>
  </si>
  <si>
    <t>ネット</t>
  </si>
  <si>
    <t>スガノ工房返品</t>
    <rPh sb="3" eb="5">
      <t>コウボウ</t>
    </rPh>
    <rPh sb="5" eb="7">
      <t>ヘンピン</t>
    </rPh>
    <phoneticPr fontId="1"/>
  </si>
  <si>
    <t>グリーンコープ26号限定①</t>
    <rPh sb="9" eb="10">
      <t>ゴウ</t>
    </rPh>
    <rPh sb="10" eb="12">
      <t>ゲンテイ</t>
    </rPh>
    <phoneticPr fontId="1"/>
  </si>
  <si>
    <t>ネット</t>
    <phoneticPr fontId="1"/>
  </si>
  <si>
    <t>グリーンコープ26号限定②</t>
    <rPh sb="9" eb="10">
      <t>ゴウ</t>
    </rPh>
    <rPh sb="10" eb="12">
      <t>ゲンテイ</t>
    </rPh>
    <phoneticPr fontId="1"/>
  </si>
  <si>
    <t>グリーンコープ26号限定③</t>
    <rPh sb="9" eb="10">
      <t>ゴウ</t>
    </rPh>
    <rPh sb="10" eb="12">
      <t>ゲンテイ</t>
    </rPh>
    <phoneticPr fontId="1"/>
  </si>
  <si>
    <t>マイジールサンプル</t>
    <phoneticPr fontId="1"/>
  </si>
  <si>
    <t>グリーンコープ34号</t>
    <rPh sb="9" eb="10">
      <t>ゴウ</t>
    </rPh>
    <phoneticPr fontId="1"/>
  </si>
  <si>
    <t>点10/27、アバウト11/6、本11/9、11</t>
    <rPh sb="0" eb="1">
      <t>テン</t>
    </rPh>
    <rPh sb="16" eb="17">
      <t>ホン</t>
    </rPh>
    <phoneticPr fontId="1"/>
  </si>
  <si>
    <t>グリーンコープ44号</t>
    <rPh sb="9" eb="10">
      <t>ゴウ</t>
    </rPh>
    <phoneticPr fontId="1"/>
  </si>
  <si>
    <t>点1/12、アバウト1/19、本1/21～</t>
    <rPh sb="0" eb="1">
      <t>テン</t>
    </rPh>
    <rPh sb="15" eb="16">
      <t>ホン</t>
    </rPh>
    <phoneticPr fontId="1"/>
  </si>
  <si>
    <t>ネット</t>
    <phoneticPr fontId="1"/>
  </si>
  <si>
    <t>グリーンコープ34号①</t>
    <rPh sb="9" eb="10">
      <t>ゴウ</t>
    </rPh>
    <phoneticPr fontId="1"/>
  </si>
  <si>
    <t>グリーンコープ34号②</t>
    <rPh sb="9" eb="10">
      <t>ゴウ</t>
    </rPh>
    <phoneticPr fontId="1"/>
  </si>
  <si>
    <t>ゆめはん</t>
    <phoneticPr fontId="1"/>
  </si>
  <si>
    <t>グリーンコープ34号③</t>
    <rPh sb="9" eb="10">
      <t>ゴウ</t>
    </rPh>
    <phoneticPr fontId="1"/>
  </si>
  <si>
    <t>オーガニックマスク耳紐＜夢販在庫＞</t>
    <rPh sb="9" eb="10">
      <t>ミミ</t>
    </rPh>
    <rPh sb="10" eb="11">
      <t>ヒモ</t>
    </rPh>
    <rPh sb="12" eb="14">
      <t>ユメハン</t>
    </rPh>
    <rPh sb="14" eb="16">
      <t>ザイコ</t>
    </rPh>
    <phoneticPr fontId="1"/>
  </si>
  <si>
    <t>オーガニックマスク耳紐 ＜K-PORT在庫＞</t>
    <rPh sb="9" eb="10">
      <t>ミミ</t>
    </rPh>
    <rPh sb="10" eb="11">
      <t>ヒモ</t>
    </rPh>
    <rPh sb="19" eb="21">
      <t>ザイコ</t>
    </rPh>
    <phoneticPr fontId="1"/>
  </si>
  <si>
    <t>ネット誤配</t>
    <rPh sb="3" eb="5">
      <t>ゴハイ</t>
    </rPh>
    <phoneticPr fontId="1"/>
  </si>
  <si>
    <t>グリーンコープ44号①</t>
    <rPh sb="9" eb="10">
      <t>ゴウ</t>
    </rPh>
    <phoneticPr fontId="1"/>
  </si>
  <si>
    <r>
      <t>丸藤s</t>
    </r>
    <r>
      <rPr>
        <sz val="11"/>
        <rFont val="ＭＳ Ｐゴシック"/>
        <family val="3"/>
        <charset val="128"/>
      </rPr>
      <t>ample返却</t>
    </r>
    <rPh sb="0" eb="2">
      <t>マルフジ</t>
    </rPh>
    <rPh sb="8" eb="10">
      <t>ヘンキャク</t>
    </rPh>
    <phoneticPr fontId="1"/>
  </si>
  <si>
    <t>KPORT</t>
    <phoneticPr fontId="1"/>
  </si>
  <si>
    <t>グリーンコープ44号②</t>
    <rPh sb="9" eb="10">
      <t>ゴウ</t>
    </rPh>
    <phoneticPr fontId="1"/>
  </si>
  <si>
    <t>夢販</t>
    <rPh sb="0" eb="2">
      <t>ユメハン</t>
    </rPh>
    <phoneticPr fontId="1"/>
  </si>
  <si>
    <t>丸藤返品</t>
    <rPh sb="0" eb="2">
      <t>マルフジ</t>
    </rPh>
    <rPh sb="2" eb="4">
      <t>ヘンピン</t>
    </rPh>
    <phoneticPr fontId="1"/>
  </si>
  <si>
    <t>ネット転居先不明</t>
    <rPh sb="3" eb="5">
      <t>テンキョ</t>
    </rPh>
    <rPh sb="5" eb="6">
      <t>サキ</t>
    </rPh>
    <rPh sb="6" eb="8">
      <t>フメイ</t>
    </rPh>
    <phoneticPr fontId="1"/>
  </si>
  <si>
    <t>丸藤返品</t>
    <rPh sb="0" eb="4">
      <t>マルフジヘンピン</t>
    </rPh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</si>
  <si>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</si>
  <si>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</si>
  <si>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</si>
  <si>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</si>
  <si>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</si>
  <si>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</si>
  <si>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棚卸</t>
    <rPh sb="0" eb="2">
      <t>タナオロシ</t>
    </rPh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</si>
  <si>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</si>
  <si>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</si>
  <si>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</si>
  <si>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</si>
  <si>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Amazon</t>
    <phoneticPr fontId="1"/>
  </si>
  <si>
    <t>在庫確認</t>
    <rPh sb="0" eb="4">
      <t>ザイコカクニン</t>
    </rPh>
    <phoneticPr fontId="1"/>
  </si>
  <si>
    <t>Amazon</t>
    <phoneticPr fontId="1"/>
  </si>
  <si>
    <t>Amazon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</si>
</sst>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2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56" fontId="3" fillId="0" borderId="11" xfId="0" applyNumberFormat="1" applyFont="1" applyBorder="1" applyAlignment="1">
      <alignment horizontal="center"/>
    </xf>
    <xf numFmtId="56" fontId="3" fillId="0" borderId="0" xfId="0" applyNumberFormat="1" applyFont="1"/>
    <xf numFmtId="0" fontId="3" fillId="0" borderId="12" xfId="0" applyFont="1" applyBorder="1"/>
    <xf numFmtId="56" fontId="0" fillId="0" borderId="1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56" fontId="0" fillId="0" borderId="0" xfId="0" applyNumberFormat="1"/>
    <xf numFmtId="56" fontId="6" fillId="0" borderId="4" xfId="0" applyNumberFormat="1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56" fontId="5" fillId="0" borderId="0" xfId="0" applyNumberFormat="1" applyFont="1"/>
    <xf numFmtId="56" fontId="8" fillId="0" borderId="0" xfId="0" applyNumberFormat="1" applyFont="1"/>
    <xf numFmtId="0" fontId="8" fillId="0" borderId="1" xfId="0" applyFont="1" applyBorder="1"/>
    <xf numFmtId="0" fontId="8" fillId="0" borderId="2" xfId="0" applyFont="1" applyBorder="1"/>
    <xf numFmtId="0" fontId="8" fillId="0" borderId="0" xfId="0" applyFont="1"/>
    <xf numFmtId="0" fontId="8" fillId="0" borderId="13" xfId="0" applyFont="1" applyBorder="1" applyAlignment="1">
      <alignment horizontal="center"/>
    </xf>
    <xf numFmtId="0" fontId="8" fillId="0" borderId="14" xfId="0" applyFont="1" applyBorder="1"/>
    <xf numFmtId="0" fontId="8" fillId="0" borderId="15" xfId="0" applyFont="1" applyBorder="1"/>
    <xf numFmtId="56" fontId="0" fillId="0" borderId="4" xfId="0" applyNumberFormat="1" applyBorder="1" applyAlignment="1">
      <alignment horizontal="center"/>
    </xf>
    <xf numFmtId="0" fontId="0" fillId="0" borderId="16" xfId="0" applyBorder="1"/>
    <xf numFmtId="0" fontId="0" fillId="0" borderId="12" xfId="0" applyBorder="1"/>
    <xf numFmtId="56" fontId="0" fillId="0" borderId="7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8" fillId="0" borderId="18" xfId="0" applyFont="1" applyBorder="1"/>
    <xf numFmtId="0" fontId="8" fillId="0" borderId="19" xfId="0" applyFont="1" applyBorder="1"/>
    <xf numFmtId="56" fontId="0" fillId="0" borderId="0" xfId="0" applyNumberFormat="1" applyAlignment="1">
      <alignment horizontal="right"/>
    </xf>
    <xf numFmtId="0" fontId="4" fillId="0" borderId="1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20" fontId="8" fillId="0" borderId="0" xfId="0" applyNumberFormat="1" applyFont="1"/>
    <xf numFmtId="0" fontId="0" fillId="0" borderId="18" xfId="0" applyBorder="1"/>
    <xf numFmtId="0" fontId="0" fillId="0" borderId="19" xfId="0" applyBorder="1"/>
    <xf numFmtId="0" fontId="4" fillId="0" borderId="1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" xfId="0" applyBorder="1" applyAlignment="1">
      <alignment horizontal="center" shrinkToFit="1"/>
    </xf>
    <xf numFmtId="0" fontId="7" fillId="0" borderId="13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6" fillId="0" borderId="12" xfId="0" applyFont="1" applyBorder="1"/>
    <xf numFmtId="0" fontId="9" fillId="0" borderId="17" xfId="0" applyFont="1" applyBorder="1" applyAlignment="1">
      <alignment horizontal="center"/>
    </xf>
    <xf numFmtId="0" fontId="9" fillId="0" borderId="1" xfId="0" applyFont="1" applyBorder="1"/>
    <xf numFmtId="0" fontId="9" fillId="0" borderId="2" xfId="0" applyFont="1" applyBorder="1"/>
    <xf numFmtId="56" fontId="9" fillId="0" borderId="0" xfId="0" applyNumberFormat="1" applyFont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158"/>
  <sheetViews>
    <sheetView tabSelected="1" topLeftCell="A1122" zoomScaleNormal="100" workbookViewId="0">
      <selection activeCell="E1146" sqref="E1146"/>
    </sheetView>
  </sheetViews>
  <sheetFormatPr defaultRowHeight="13.5" x14ac:dyDescent="0.15"/>
  <cols>
    <col min="2" max="2" width="18.375" style="1" customWidth="1"/>
    <col min="3" max="3" width="9.875" customWidth="1"/>
    <col min="4" max="4" width="11.375" customWidth="1"/>
    <col min="5" max="5" width="9.25" bestFit="1" customWidth="1"/>
    <col min="7" max="7" width="20.125" customWidth="1"/>
    <col min="8" max="9" width="9.875" customWidth="1"/>
    <col min="10" max="10" width="9.25" bestFit="1" customWidth="1"/>
  </cols>
  <sheetData>
    <row r="1" spans="2:6" ht="18.75" x14ac:dyDescent="0.2">
      <c r="B1" s="4" t="s">
        <v>30</v>
      </c>
    </row>
    <row r="2" spans="2:6" ht="14.25" thickBot="1" x14ac:dyDescent="0.2"/>
    <row r="3" spans="2:6" ht="14.25" thickBot="1" x14ac:dyDescent="0.2">
      <c r="B3" s="12"/>
      <c r="C3" s="74"/>
      <c r="D3" s="75"/>
    </row>
    <row r="4" spans="2:6" s="1" customFormat="1" ht="14.25" thickBot="1" x14ac:dyDescent="0.2">
      <c r="B4" s="13"/>
      <c r="C4" s="14"/>
      <c r="D4" s="15" t="s">
        <v>0</v>
      </c>
    </row>
    <row r="5" spans="2:6" ht="14.25" customHeight="1" x14ac:dyDescent="0.15">
      <c r="B5" s="36" t="s">
        <v>6</v>
      </c>
      <c r="C5" s="10">
        <v>100</v>
      </c>
      <c r="D5" s="11">
        <f t="shared" ref="D5:D13" si="0">SUM(C5:C5)</f>
        <v>100</v>
      </c>
      <c r="E5" s="24">
        <v>43909</v>
      </c>
      <c r="F5" t="s">
        <v>12</v>
      </c>
    </row>
    <row r="6" spans="2:6" x14ac:dyDescent="0.15">
      <c r="B6" s="40" t="s">
        <v>5</v>
      </c>
      <c r="C6" s="22">
        <v>300</v>
      </c>
      <c r="D6" s="23">
        <f t="shared" si="0"/>
        <v>300</v>
      </c>
      <c r="E6" s="24">
        <v>43913</v>
      </c>
      <c r="F6" t="s">
        <v>12</v>
      </c>
    </row>
    <row r="7" spans="2:6" x14ac:dyDescent="0.15">
      <c r="B7" s="40" t="s">
        <v>5</v>
      </c>
      <c r="C7" s="22">
        <v>500</v>
      </c>
      <c r="D7" s="23">
        <f>SUM(C7:C7)</f>
        <v>500</v>
      </c>
      <c r="E7" s="24">
        <v>43920</v>
      </c>
    </row>
    <row r="8" spans="2:6" x14ac:dyDescent="0.15">
      <c r="B8" s="48" t="s">
        <v>5</v>
      </c>
      <c r="C8" s="22"/>
      <c r="D8" s="23">
        <f>SUM(C8:C8)</f>
        <v>0</v>
      </c>
      <c r="E8" s="24"/>
    </row>
    <row r="9" spans="2:6" x14ac:dyDescent="0.15">
      <c r="B9" s="40" t="s">
        <v>5</v>
      </c>
      <c r="C9" s="22"/>
      <c r="D9" s="23">
        <f>SUM(C9:C9)</f>
        <v>0</v>
      </c>
      <c r="E9" s="24"/>
    </row>
    <row r="10" spans="2:6" ht="14.25" thickBot="1" x14ac:dyDescent="0.2">
      <c r="B10" s="48" t="s">
        <v>5</v>
      </c>
      <c r="C10" s="22">
        <v>500</v>
      </c>
      <c r="D10" s="23">
        <f>SUM(C10:C10)</f>
        <v>500</v>
      </c>
      <c r="E10" s="24">
        <v>43924</v>
      </c>
    </row>
    <row r="11" spans="2:6" ht="14.25" thickBot="1" x14ac:dyDescent="0.2">
      <c r="B11" s="13" t="s">
        <v>1</v>
      </c>
      <c r="C11" s="16">
        <f>SUM(C5:C10)</f>
        <v>1400</v>
      </c>
      <c r="D11" s="17">
        <f t="shared" si="0"/>
        <v>1400</v>
      </c>
    </row>
    <row r="12" spans="2:6" x14ac:dyDescent="0.15">
      <c r="B12" s="39" t="s">
        <v>7</v>
      </c>
      <c r="C12" s="37">
        <v>68</v>
      </c>
      <c r="D12" s="38">
        <f t="shared" si="0"/>
        <v>68</v>
      </c>
      <c r="E12" s="24">
        <v>43909</v>
      </c>
      <c r="F12" s="29"/>
    </row>
    <row r="13" spans="2:6" x14ac:dyDescent="0.15">
      <c r="B13" s="21" t="s">
        <v>8</v>
      </c>
      <c r="C13" s="22">
        <v>31</v>
      </c>
      <c r="D13" s="23">
        <f t="shared" si="0"/>
        <v>31</v>
      </c>
      <c r="E13" s="24">
        <v>43909</v>
      </c>
    </row>
    <row r="14" spans="2:6" x14ac:dyDescent="0.15">
      <c r="B14" s="21" t="s">
        <v>7</v>
      </c>
      <c r="C14" s="22">
        <v>149</v>
      </c>
      <c r="D14" s="23">
        <f t="shared" ref="D14:D23" si="1">SUM(C14:C14)</f>
        <v>149</v>
      </c>
      <c r="E14" s="24">
        <v>43913</v>
      </c>
    </row>
    <row r="15" spans="2:6" x14ac:dyDescent="0.15">
      <c r="B15" s="21" t="s">
        <v>8</v>
      </c>
      <c r="C15" s="2">
        <v>77</v>
      </c>
      <c r="D15" s="5">
        <f t="shared" si="1"/>
        <v>77</v>
      </c>
      <c r="E15" s="24">
        <v>43913</v>
      </c>
    </row>
    <row r="16" spans="2:6" x14ac:dyDescent="0.15">
      <c r="B16" s="21" t="s">
        <v>9</v>
      </c>
      <c r="C16" s="2">
        <v>37</v>
      </c>
      <c r="D16" s="5">
        <f t="shared" si="1"/>
        <v>37</v>
      </c>
      <c r="E16" s="24">
        <v>43913</v>
      </c>
    </row>
    <row r="17" spans="2:5" x14ac:dyDescent="0.15">
      <c r="B17" s="21" t="s">
        <v>10</v>
      </c>
      <c r="C17" s="22">
        <v>2</v>
      </c>
      <c r="D17" s="23">
        <f t="shared" si="1"/>
        <v>2</v>
      </c>
      <c r="E17" s="24">
        <v>43913</v>
      </c>
    </row>
    <row r="18" spans="2:5" x14ac:dyDescent="0.15">
      <c r="B18" s="21" t="s">
        <v>7</v>
      </c>
      <c r="C18" s="2">
        <v>26</v>
      </c>
      <c r="D18" s="5">
        <f t="shared" si="1"/>
        <v>26</v>
      </c>
      <c r="E18" s="24">
        <v>43914</v>
      </c>
    </row>
    <row r="19" spans="2:5" x14ac:dyDescent="0.15">
      <c r="B19" s="21" t="s">
        <v>8</v>
      </c>
      <c r="C19" s="2">
        <v>5</v>
      </c>
      <c r="D19" s="5">
        <f t="shared" si="1"/>
        <v>5</v>
      </c>
      <c r="E19" s="24">
        <v>43914</v>
      </c>
    </row>
    <row r="20" spans="2:5" x14ac:dyDescent="0.15">
      <c r="B20" s="21" t="s">
        <v>9</v>
      </c>
      <c r="C20" s="2">
        <v>1</v>
      </c>
      <c r="D20" s="5">
        <f t="shared" si="1"/>
        <v>1</v>
      </c>
      <c r="E20" s="24">
        <v>43914</v>
      </c>
    </row>
    <row r="21" spans="2:5" x14ac:dyDescent="0.15">
      <c r="B21" s="21" t="s">
        <v>9</v>
      </c>
      <c r="C21" s="22">
        <v>3</v>
      </c>
      <c r="D21" s="23">
        <f t="shared" si="1"/>
        <v>3</v>
      </c>
      <c r="E21" s="24">
        <v>43915</v>
      </c>
    </row>
    <row r="22" spans="2:5" x14ac:dyDescent="0.15">
      <c r="B22" s="21" t="s">
        <v>7</v>
      </c>
      <c r="C22" s="2">
        <v>3</v>
      </c>
      <c r="D22" s="5">
        <f t="shared" si="1"/>
        <v>3</v>
      </c>
      <c r="E22" s="19">
        <v>43916</v>
      </c>
    </row>
    <row r="23" spans="2:5" x14ac:dyDescent="0.15">
      <c r="B23" s="21" t="s">
        <v>7</v>
      </c>
      <c r="C23" s="2">
        <v>317</v>
      </c>
      <c r="D23" s="5">
        <f t="shared" si="1"/>
        <v>317</v>
      </c>
      <c r="E23" s="19">
        <v>43920</v>
      </c>
    </row>
    <row r="24" spans="2:5" x14ac:dyDescent="0.15">
      <c r="B24" s="21" t="s">
        <v>8</v>
      </c>
      <c r="C24" s="2">
        <v>86</v>
      </c>
      <c r="D24" s="5">
        <f t="shared" ref="D24:D38" si="2">SUM(C24:C24)</f>
        <v>86</v>
      </c>
      <c r="E24" s="24">
        <v>43920</v>
      </c>
    </row>
    <row r="25" spans="2:5" x14ac:dyDescent="0.15">
      <c r="B25" s="21" t="s">
        <v>9</v>
      </c>
      <c r="C25" s="2">
        <v>43</v>
      </c>
      <c r="D25" s="5">
        <f t="shared" si="2"/>
        <v>43</v>
      </c>
      <c r="E25" s="19">
        <v>43920</v>
      </c>
    </row>
    <row r="26" spans="2:5" x14ac:dyDescent="0.15">
      <c r="B26" s="21" t="s">
        <v>10</v>
      </c>
      <c r="C26" s="2">
        <v>2</v>
      </c>
      <c r="D26" s="5">
        <f t="shared" si="2"/>
        <v>2</v>
      </c>
      <c r="E26" s="19">
        <v>43920</v>
      </c>
    </row>
    <row r="27" spans="2:5" x14ac:dyDescent="0.15">
      <c r="B27" s="21" t="s">
        <v>7</v>
      </c>
      <c r="C27" s="2">
        <v>15</v>
      </c>
      <c r="D27" s="5">
        <f t="shared" si="2"/>
        <v>15</v>
      </c>
      <c r="E27" s="19">
        <v>43921</v>
      </c>
    </row>
    <row r="28" spans="2:5" x14ac:dyDescent="0.15">
      <c r="B28" s="21" t="s">
        <v>8</v>
      </c>
      <c r="C28" s="2">
        <v>1</v>
      </c>
      <c r="D28" s="5">
        <f t="shared" si="2"/>
        <v>1</v>
      </c>
      <c r="E28" s="19">
        <v>43921</v>
      </c>
    </row>
    <row r="29" spans="2:5" x14ac:dyDescent="0.15">
      <c r="B29" s="21" t="s">
        <v>7</v>
      </c>
      <c r="C29" s="2">
        <v>5</v>
      </c>
      <c r="D29" s="5">
        <f t="shared" si="2"/>
        <v>5</v>
      </c>
      <c r="E29" s="19">
        <v>43923</v>
      </c>
    </row>
    <row r="30" spans="2:5" x14ac:dyDescent="0.15">
      <c r="B30" s="21"/>
      <c r="C30" s="2"/>
      <c r="D30" s="5">
        <f t="shared" si="2"/>
        <v>0</v>
      </c>
      <c r="E30" s="19"/>
    </row>
    <row r="31" spans="2:5" x14ac:dyDescent="0.15">
      <c r="B31" s="7"/>
      <c r="C31" s="22"/>
      <c r="D31" s="23">
        <f t="shared" si="2"/>
        <v>0</v>
      </c>
      <c r="E31" s="46"/>
    </row>
    <row r="32" spans="2:5" x14ac:dyDescent="0.15">
      <c r="B32" s="7"/>
      <c r="C32" s="22"/>
      <c r="D32" s="23">
        <f t="shared" si="2"/>
        <v>0</v>
      </c>
      <c r="E32" s="46"/>
    </row>
    <row r="33" spans="2:5" x14ac:dyDescent="0.15">
      <c r="B33" s="7"/>
      <c r="C33" s="22"/>
      <c r="D33" s="23">
        <f t="shared" si="2"/>
        <v>0</v>
      </c>
      <c r="E33" s="46"/>
    </row>
    <row r="34" spans="2:5" x14ac:dyDescent="0.15">
      <c r="B34" s="7"/>
      <c r="C34" s="22"/>
      <c r="D34" s="23">
        <f>SUM(C34:C34)</f>
        <v>0</v>
      </c>
      <c r="E34" s="46"/>
    </row>
    <row r="35" spans="2:5" x14ac:dyDescent="0.15">
      <c r="B35" s="7"/>
      <c r="C35" s="22"/>
      <c r="D35" s="23">
        <f>SUM(C35:C35)</f>
        <v>0</v>
      </c>
      <c r="E35" s="46"/>
    </row>
    <row r="36" spans="2:5" ht="14.25" thickBot="1" x14ac:dyDescent="0.2">
      <c r="B36" s="47"/>
      <c r="C36" s="42"/>
      <c r="D36" s="43">
        <f>SUM(C36:C36)</f>
        <v>0</v>
      </c>
      <c r="E36" s="46"/>
    </row>
    <row r="37" spans="2:5" x14ac:dyDescent="0.15">
      <c r="B37" s="9" t="s">
        <v>2</v>
      </c>
      <c r="C37" s="10">
        <f>SUM(C12:C36)</f>
        <v>871</v>
      </c>
      <c r="D37" s="11">
        <f t="shared" si="2"/>
        <v>871</v>
      </c>
    </row>
    <row r="38" spans="2:5" ht="14.25" thickBot="1" x14ac:dyDescent="0.2">
      <c r="B38" s="33" t="s">
        <v>3</v>
      </c>
      <c r="C38" s="34">
        <f>+C11-C37</f>
        <v>529</v>
      </c>
      <c r="D38" s="35">
        <f t="shared" si="2"/>
        <v>529</v>
      </c>
    </row>
    <row r="41" spans="2:5" ht="18.75" x14ac:dyDescent="0.2">
      <c r="B41" s="4" t="s">
        <v>30</v>
      </c>
    </row>
    <row r="42" spans="2:5" ht="14.25" thickBot="1" x14ac:dyDescent="0.2"/>
    <row r="43" spans="2:5" ht="14.25" thickBot="1" x14ac:dyDescent="0.2">
      <c r="B43" s="12"/>
      <c r="C43" s="74"/>
      <c r="D43" s="75"/>
    </row>
    <row r="44" spans="2:5" ht="14.25" thickBot="1" x14ac:dyDescent="0.2">
      <c r="B44" s="13"/>
      <c r="C44" s="14"/>
      <c r="D44" s="15" t="s">
        <v>0</v>
      </c>
    </row>
    <row r="45" spans="2:5" x14ac:dyDescent="0.15">
      <c r="B45" s="25" t="s">
        <v>4</v>
      </c>
      <c r="C45" s="26">
        <f>C38</f>
        <v>529</v>
      </c>
      <c r="D45" s="27">
        <f t="shared" ref="D45:D78" si="3">SUM(C45:C45)</f>
        <v>529</v>
      </c>
    </row>
    <row r="46" spans="2:5" x14ac:dyDescent="0.15">
      <c r="B46" s="48" t="s">
        <v>5</v>
      </c>
      <c r="C46" s="22">
        <v>500</v>
      </c>
      <c r="D46" s="23">
        <f>SUM(C46:C46)</f>
        <v>500</v>
      </c>
      <c r="E46" s="24">
        <v>43936</v>
      </c>
    </row>
    <row r="47" spans="2:5" x14ac:dyDescent="0.15">
      <c r="B47" s="48" t="s">
        <v>5</v>
      </c>
      <c r="C47" s="50">
        <v>500</v>
      </c>
      <c r="D47" s="51">
        <f>SUM(C47:C47)</f>
        <v>500</v>
      </c>
      <c r="E47" s="24">
        <v>43938</v>
      </c>
    </row>
    <row r="48" spans="2:5" x14ac:dyDescent="0.15">
      <c r="B48" s="48" t="s">
        <v>11</v>
      </c>
      <c r="C48" s="22">
        <v>500</v>
      </c>
      <c r="D48" s="23">
        <f>SUM(C48:C48)</f>
        <v>500</v>
      </c>
      <c r="E48" s="24">
        <v>43941</v>
      </c>
    </row>
    <row r="49" spans="2:5" x14ac:dyDescent="0.15">
      <c r="B49" s="48" t="s">
        <v>11</v>
      </c>
      <c r="C49" s="50">
        <v>500</v>
      </c>
      <c r="D49" s="51">
        <f t="shared" si="3"/>
        <v>500</v>
      </c>
      <c r="E49" s="24">
        <v>43943</v>
      </c>
    </row>
    <row r="50" spans="2:5" ht="14.25" thickBot="1" x14ac:dyDescent="0.2">
      <c r="B50" s="48" t="s">
        <v>5</v>
      </c>
      <c r="C50" s="22">
        <v>500</v>
      </c>
      <c r="D50" s="23">
        <f>SUM(C50:C50)</f>
        <v>500</v>
      </c>
      <c r="E50" s="24">
        <v>43945</v>
      </c>
    </row>
    <row r="51" spans="2:5" ht="14.25" thickBot="1" x14ac:dyDescent="0.2">
      <c r="B51" s="13" t="s">
        <v>1</v>
      </c>
      <c r="C51" s="16">
        <f>SUM(C45:C50)</f>
        <v>3029</v>
      </c>
      <c r="D51" s="17">
        <f t="shared" si="3"/>
        <v>3029</v>
      </c>
    </row>
    <row r="52" spans="2:5" x14ac:dyDescent="0.15">
      <c r="B52" s="21" t="s">
        <v>7</v>
      </c>
      <c r="C52" s="2">
        <v>234</v>
      </c>
      <c r="D52" s="5">
        <f t="shared" si="3"/>
        <v>234</v>
      </c>
      <c r="E52" s="19">
        <v>43924</v>
      </c>
    </row>
    <row r="53" spans="2:5" x14ac:dyDescent="0.15">
      <c r="B53" s="21" t="s">
        <v>8</v>
      </c>
      <c r="C53" s="2">
        <v>62</v>
      </c>
      <c r="D53" s="5">
        <f t="shared" si="3"/>
        <v>62</v>
      </c>
      <c r="E53" s="19">
        <v>43924</v>
      </c>
    </row>
    <row r="54" spans="2:5" x14ac:dyDescent="0.15">
      <c r="B54" s="7" t="s">
        <v>9</v>
      </c>
      <c r="C54" s="22">
        <v>36</v>
      </c>
      <c r="D54" s="23">
        <f t="shared" si="3"/>
        <v>36</v>
      </c>
      <c r="E54" s="46">
        <v>43924</v>
      </c>
    </row>
    <row r="55" spans="2:5" x14ac:dyDescent="0.15">
      <c r="B55" s="18" t="s">
        <v>7</v>
      </c>
      <c r="C55" s="2">
        <v>88</v>
      </c>
      <c r="D55" s="5">
        <f t="shared" si="3"/>
        <v>88</v>
      </c>
      <c r="E55" s="24">
        <v>43925</v>
      </c>
    </row>
    <row r="56" spans="2:5" x14ac:dyDescent="0.15">
      <c r="B56" s="18" t="s">
        <v>13</v>
      </c>
      <c r="C56" s="2">
        <v>13</v>
      </c>
      <c r="D56" s="5">
        <f t="shared" si="3"/>
        <v>13</v>
      </c>
      <c r="E56" s="24">
        <v>43925</v>
      </c>
    </row>
    <row r="57" spans="2:5" x14ac:dyDescent="0.15">
      <c r="B57" s="18" t="s">
        <v>14</v>
      </c>
      <c r="C57" s="22">
        <v>10</v>
      </c>
      <c r="D57" s="23">
        <f t="shared" si="3"/>
        <v>10</v>
      </c>
      <c r="E57" s="24">
        <v>43925</v>
      </c>
    </row>
    <row r="58" spans="2:5" x14ac:dyDescent="0.15">
      <c r="B58" s="21" t="s">
        <v>7</v>
      </c>
      <c r="C58" s="2">
        <v>26</v>
      </c>
      <c r="D58" s="5">
        <f t="shared" si="3"/>
        <v>26</v>
      </c>
      <c r="E58" s="24">
        <v>43927</v>
      </c>
    </row>
    <row r="59" spans="2:5" x14ac:dyDescent="0.15">
      <c r="B59" s="21" t="s">
        <v>15</v>
      </c>
      <c r="C59" s="2">
        <v>5</v>
      </c>
      <c r="D59" s="5">
        <f t="shared" si="3"/>
        <v>5</v>
      </c>
      <c r="E59" s="19">
        <v>43927</v>
      </c>
    </row>
    <row r="60" spans="2:5" x14ac:dyDescent="0.15">
      <c r="B60" s="21" t="s">
        <v>15</v>
      </c>
      <c r="C60" s="2">
        <v>5</v>
      </c>
      <c r="D60" s="5">
        <f t="shared" si="3"/>
        <v>5</v>
      </c>
      <c r="E60" s="19">
        <v>43928</v>
      </c>
    </row>
    <row r="61" spans="2:5" x14ac:dyDescent="0.15">
      <c r="B61" s="21" t="s">
        <v>7</v>
      </c>
      <c r="C61" s="2">
        <v>14</v>
      </c>
      <c r="D61" s="5">
        <f t="shared" si="3"/>
        <v>14</v>
      </c>
      <c r="E61" s="24">
        <v>43928</v>
      </c>
    </row>
    <row r="62" spans="2:5" x14ac:dyDescent="0.15">
      <c r="B62" s="21" t="s">
        <v>8</v>
      </c>
      <c r="C62" s="2">
        <v>19</v>
      </c>
      <c r="D62" s="5">
        <f t="shared" si="3"/>
        <v>19</v>
      </c>
      <c r="E62" s="24">
        <v>43928</v>
      </c>
    </row>
    <row r="63" spans="2:5" x14ac:dyDescent="0.15">
      <c r="B63" s="21" t="s">
        <v>16</v>
      </c>
      <c r="C63" s="2">
        <v>1</v>
      </c>
      <c r="D63" s="5">
        <f t="shared" si="3"/>
        <v>1</v>
      </c>
      <c r="E63" s="24">
        <v>43929</v>
      </c>
    </row>
    <row r="64" spans="2:5" x14ac:dyDescent="0.15">
      <c r="B64" s="21" t="s">
        <v>17</v>
      </c>
      <c r="C64" s="2">
        <v>1</v>
      </c>
      <c r="D64" s="5">
        <f t="shared" si="3"/>
        <v>1</v>
      </c>
      <c r="E64" s="24">
        <v>43930</v>
      </c>
    </row>
    <row r="65" spans="2:6" x14ac:dyDescent="0.15">
      <c r="B65" s="40" t="s">
        <v>7</v>
      </c>
      <c r="C65" s="2">
        <v>361</v>
      </c>
      <c r="D65" s="5">
        <f t="shared" si="3"/>
        <v>361</v>
      </c>
      <c r="E65" s="24">
        <v>43936</v>
      </c>
    </row>
    <row r="66" spans="2:6" x14ac:dyDescent="0.15">
      <c r="B66" s="40" t="s">
        <v>8</v>
      </c>
      <c r="C66" s="2">
        <v>57</v>
      </c>
      <c r="D66" s="5">
        <f t="shared" si="3"/>
        <v>57</v>
      </c>
      <c r="E66" s="24">
        <v>43936</v>
      </c>
    </row>
    <row r="67" spans="2:6" x14ac:dyDescent="0.15">
      <c r="B67" s="40" t="s">
        <v>9</v>
      </c>
      <c r="C67" s="2">
        <v>42</v>
      </c>
      <c r="D67" s="5">
        <f t="shared" si="3"/>
        <v>42</v>
      </c>
      <c r="E67" s="24">
        <v>43936</v>
      </c>
    </row>
    <row r="68" spans="2:6" x14ac:dyDescent="0.15">
      <c r="B68" s="40" t="s">
        <v>7</v>
      </c>
      <c r="C68" s="2">
        <v>55</v>
      </c>
      <c r="D68" s="5">
        <f t="shared" si="3"/>
        <v>55</v>
      </c>
      <c r="E68" s="24">
        <v>43937</v>
      </c>
    </row>
    <row r="69" spans="2:6" x14ac:dyDescent="0.15">
      <c r="B69" s="40" t="s">
        <v>7</v>
      </c>
      <c r="C69" s="2">
        <v>221</v>
      </c>
      <c r="D69" s="5">
        <f t="shared" si="3"/>
        <v>221</v>
      </c>
      <c r="E69" s="24">
        <v>43938</v>
      </c>
    </row>
    <row r="70" spans="2:6" x14ac:dyDescent="0.15">
      <c r="B70" s="40" t="s">
        <v>8</v>
      </c>
      <c r="C70" s="2">
        <v>26</v>
      </c>
      <c r="D70" s="5">
        <f t="shared" si="3"/>
        <v>26</v>
      </c>
      <c r="E70" s="19">
        <v>43938</v>
      </c>
    </row>
    <row r="71" spans="2:6" x14ac:dyDescent="0.15">
      <c r="B71" s="40" t="s">
        <v>9</v>
      </c>
      <c r="C71" s="22">
        <v>4</v>
      </c>
      <c r="D71" s="23">
        <f t="shared" si="3"/>
        <v>4</v>
      </c>
      <c r="E71" s="24">
        <v>43938</v>
      </c>
    </row>
    <row r="72" spans="2:6" x14ac:dyDescent="0.15">
      <c r="B72" s="40" t="s">
        <v>7</v>
      </c>
      <c r="C72" s="22">
        <v>208</v>
      </c>
      <c r="D72" s="23">
        <f t="shared" si="3"/>
        <v>208</v>
      </c>
      <c r="E72" s="24">
        <v>43939</v>
      </c>
    </row>
    <row r="73" spans="2:6" x14ac:dyDescent="0.15">
      <c r="B73" s="7" t="s">
        <v>18</v>
      </c>
      <c r="C73" s="22">
        <v>12</v>
      </c>
      <c r="D73" s="23">
        <f t="shared" si="3"/>
        <v>12</v>
      </c>
      <c r="E73" s="24">
        <v>43939</v>
      </c>
    </row>
    <row r="74" spans="2:6" x14ac:dyDescent="0.15">
      <c r="B74" s="9" t="s">
        <v>9</v>
      </c>
      <c r="C74" s="10">
        <v>24</v>
      </c>
      <c r="D74" s="11">
        <f t="shared" si="3"/>
        <v>24</v>
      </c>
      <c r="E74" s="24">
        <v>43939</v>
      </c>
      <c r="F74" s="49"/>
    </row>
    <row r="75" spans="2:6" x14ac:dyDescent="0.15">
      <c r="B75" s="40"/>
      <c r="C75" s="22"/>
      <c r="D75" s="23">
        <f t="shared" si="3"/>
        <v>0</v>
      </c>
      <c r="E75" s="24"/>
      <c r="F75" s="49"/>
    </row>
    <row r="76" spans="2:6" ht="14.25" thickBot="1" x14ac:dyDescent="0.2">
      <c r="B76" s="47"/>
      <c r="C76" s="42"/>
      <c r="D76" s="43">
        <f t="shared" si="3"/>
        <v>0</v>
      </c>
      <c r="E76" s="24"/>
      <c r="F76" s="49"/>
    </row>
    <row r="77" spans="2:6" x14ac:dyDescent="0.15">
      <c r="B77" s="9" t="s">
        <v>2</v>
      </c>
      <c r="C77" s="10">
        <f>SUM(C52:C76)</f>
        <v>1524</v>
      </c>
      <c r="D77" s="11">
        <f t="shared" si="3"/>
        <v>1524</v>
      </c>
    </row>
    <row r="78" spans="2:6" ht="14.25" thickBot="1" x14ac:dyDescent="0.2">
      <c r="B78" s="33" t="s">
        <v>3</v>
      </c>
      <c r="C78" s="34">
        <f>+C51-C77</f>
        <v>1505</v>
      </c>
      <c r="D78" s="35">
        <f t="shared" si="3"/>
        <v>1505</v>
      </c>
    </row>
    <row r="81" spans="2:5" ht="18.75" x14ac:dyDescent="0.2">
      <c r="B81" s="4" t="s">
        <v>30</v>
      </c>
    </row>
    <row r="82" spans="2:5" ht="14.25" thickBot="1" x14ac:dyDescent="0.2"/>
    <row r="83" spans="2:5" ht="14.25" thickBot="1" x14ac:dyDescent="0.2">
      <c r="B83" s="12"/>
      <c r="C83" s="74"/>
      <c r="D83" s="75"/>
    </row>
    <row r="84" spans="2:5" ht="14.25" thickBot="1" x14ac:dyDescent="0.2">
      <c r="B84" s="13"/>
      <c r="C84" s="14"/>
      <c r="D84" s="15" t="s">
        <v>0</v>
      </c>
    </row>
    <row r="85" spans="2:5" x14ac:dyDescent="0.15">
      <c r="B85" s="25" t="s">
        <v>4</v>
      </c>
      <c r="C85" s="26">
        <f>C78</f>
        <v>1505</v>
      </c>
      <c r="D85" s="27">
        <f t="shared" ref="D85:D118" si="4">SUM(C85:C85)</f>
        <v>1505</v>
      </c>
    </row>
    <row r="86" spans="2:5" x14ac:dyDescent="0.15">
      <c r="B86" s="48" t="s">
        <v>5</v>
      </c>
      <c r="C86" s="22">
        <v>500</v>
      </c>
      <c r="D86" s="23">
        <f>SUM(C86:C86)</f>
        <v>500</v>
      </c>
      <c r="E86" s="24">
        <v>43948</v>
      </c>
    </row>
    <row r="87" spans="2:5" x14ac:dyDescent="0.15">
      <c r="B87" s="48" t="s">
        <v>21</v>
      </c>
      <c r="C87" s="22">
        <v>6</v>
      </c>
      <c r="D87" s="23">
        <f>SUM(C87:C87)</f>
        <v>6</v>
      </c>
      <c r="E87" s="24">
        <v>43952</v>
      </c>
    </row>
    <row r="88" spans="2:5" x14ac:dyDescent="0.15">
      <c r="B88" s="41" t="s">
        <v>5</v>
      </c>
      <c r="C88" s="30"/>
      <c r="D88" s="31">
        <f>SUM(C88:C88)</f>
        <v>0</v>
      </c>
      <c r="E88" s="32"/>
    </row>
    <row r="89" spans="2:5" x14ac:dyDescent="0.15">
      <c r="B89" s="41" t="s">
        <v>5</v>
      </c>
      <c r="C89" s="30"/>
      <c r="D89" s="31">
        <f>SUM(C89:C89)</f>
        <v>0</v>
      </c>
      <c r="E89" s="32"/>
    </row>
    <row r="90" spans="2:5" ht="14.25" thickBot="1" x14ac:dyDescent="0.2">
      <c r="B90" s="41" t="s">
        <v>5</v>
      </c>
      <c r="C90" s="30"/>
      <c r="D90" s="31">
        <f>SUM(C90:C90)</f>
        <v>0</v>
      </c>
      <c r="E90" s="32"/>
    </row>
    <row r="91" spans="2:5" ht="14.25" thickBot="1" x14ac:dyDescent="0.2">
      <c r="B91" s="13" t="s">
        <v>1</v>
      </c>
      <c r="C91" s="16">
        <f>SUM(C85:C90)</f>
        <v>2011</v>
      </c>
      <c r="D91" s="17">
        <f t="shared" si="4"/>
        <v>2011</v>
      </c>
    </row>
    <row r="92" spans="2:5" x14ac:dyDescent="0.15">
      <c r="B92" s="40" t="s">
        <v>7</v>
      </c>
      <c r="C92" s="2">
        <v>355</v>
      </c>
      <c r="D92" s="20">
        <f t="shared" si="4"/>
        <v>355</v>
      </c>
      <c r="E92" s="19">
        <v>43941</v>
      </c>
    </row>
    <row r="93" spans="2:5" x14ac:dyDescent="0.15">
      <c r="B93" s="21" t="s">
        <v>8</v>
      </c>
      <c r="C93" s="2">
        <v>58</v>
      </c>
      <c r="D93" s="5">
        <f t="shared" si="4"/>
        <v>58</v>
      </c>
      <c r="E93" s="24">
        <v>43941</v>
      </c>
    </row>
    <row r="94" spans="2:5" x14ac:dyDescent="0.15">
      <c r="B94" s="7" t="s">
        <v>9</v>
      </c>
      <c r="C94" s="22">
        <v>41</v>
      </c>
      <c r="D94" s="23">
        <f t="shared" si="4"/>
        <v>41</v>
      </c>
      <c r="E94" s="24">
        <v>43941</v>
      </c>
    </row>
    <row r="95" spans="2:5" x14ac:dyDescent="0.15">
      <c r="B95" s="21" t="s">
        <v>7</v>
      </c>
      <c r="C95" s="2">
        <v>7</v>
      </c>
      <c r="D95" s="5">
        <f t="shared" si="4"/>
        <v>7</v>
      </c>
      <c r="E95" s="19">
        <v>43942</v>
      </c>
    </row>
    <row r="96" spans="2:5" x14ac:dyDescent="0.15">
      <c r="B96" s="18" t="s">
        <v>13</v>
      </c>
      <c r="C96" s="2">
        <v>6</v>
      </c>
      <c r="D96" s="5">
        <f t="shared" si="4"/>
        <v>6</v>
      </c>
      <c r="E96" s="19">
        <v>43942</v>
      </c>
    </row>
    <row r="97" spans="2:5" x14ac:dyDescent="0.15">
      <c r="B97" s="18" t="s">
        <v>14</v>
      </c>
      <c r="C97" s="22">
        <v>29</v>
      </c>
      <c r="D97" s="23">
        <f t="shared" si="4"/>
        <v>29</v>
      </c>
      <c r="E97" s="19">
        <v>43942</v>
      </c>
    </row>
    <row r="98" spans="2:5" x14ac:dyDescent="0.15">
      <c r="B98" s="21" t="s">
        <v>7</v>
      </c>
      <c r="C98" s="2">
        <v>256</v>
      </c>
      <c r="D98" s="5">
        <f t="shared" si="4"/>
        <v>256</v>
      </c>
      <c r="E98" s="24">
        <v>43943</v>
      </c>
    </row>
    <row r="99" spans="2:5" x14ac:dyDescent="0.15">
      <c r="B99" s="18" t="s">
        <v>13</v>
      </c>
      <c r="C99" s="2">
        <v>61</v>
      </c>
      <c r="D99" s="5">
        <f t="shared" si="4"/>
        <v>61</v>
      </c>
      <c r="E99" s="24">
        <v>43943</v>
      </c>
    </row>
    <row r="100" spans="2:5" x14ac:dyDescent="0.15">
      <c r="B100" s="18" t="s">
        <v>14</v>
      </c>
      <c r="C100" s="2">
        <v>74</v>
      </c>
      <c r="D100" s="5">
        <f t="shared" si="4"/>
        <v>74</v>
      </c>
      <c r="E100" s="24">
        <v>43943</v>
      </c>
    </row>
    <row r="101" spans="2:5" x14ac:dyDescent="0.15">
      <c r="B101" s="18" t="s">
        <v>7</v>
      </c>
      <c r="C101" s="2">
        <v>103</v>
      </c>
      <c r="D101" s="5">
        <f t="shared" si="4"/>
        <v>103</v>
      </c>
      <c r="E101" s="24">
        <v>43944</v>
      </c>
    </row>
    <row r="102" spans="2:5" x14ac:dyDescent="0.15">
      <c r="B102" s="18" t="s">
        <v>13</v>
      </c>
      <c r="C102" s="2">
        <v>12</v>
      </c>
      <c r="D102" s="5">
        <f t="shared" si="4"/>
        <v>12</v>
      </c>
      <c r="E102" s="24">
        <v>43944</v>
      </c>
    </row>
    <row r="103" spans="2:5" x14ac:dyDescent="0.15">
      <c r="B103" s="18" t="s">
        <v>14</v>
      </c>
      <c r="C103" s="2">
        <v>3</v>
      </c>
      <c r="D103" s="5">
        <f t="shared" si="4"/>
        <v>3</v>
      </c>
      <c r="E103" s="24">
        <v>43944</v>
      </c>
    </row>
    <row r="104" spans="2:5" x14ac:dyDescent="0.15">
      <c r="B104" s="18" t="s">
        <v>7</v>
      </c>
      <c r="C104" s="2">
        <v>77</v>
      </c>
      <c r="D104" s="5">
        <f t="shared" si="4"/>
        <v>77</v>
      </c>
      <c r="E104" s="24">
        <v>43945</v>
      </c>
    </row>
    <row r="105" spans="2:5" x14ac:dyDescent="0.15">
      <c r="B105" s="18" t="s">
        <v>13</v>
      </c>
      <c r="C105" s="2">
        <v>33</v>
      </c>
      <c r="D105" s="5">
        <f t="shared" si="4"/>
        <v>33</v>
      </c>
      <c r="E105" s="24">
        <v>43945</v>
      </c>
    </row>
    <row r="106" spans="2:5" x14ac:dyDescent="0.15">
      <c r="B106" s="18" t="s">
        <v>14</v>
      </c>
      <c r="C106" s="2">
        <v>22</v>
      </c>
      <c r="D106" s="5">
        <f t="shared" si="4"/>
        <v>22</v>
      </c>
      <c r="E106" s="24">
        <v>43945</v>
      </c>
    </row>
    <row r="107" spans="2:5" x14ac:dyDescent="0.15">
      <c r="B107" s="40" t="s">
        <v>19</v>
      </c>
      <c r="C107" s="2">
        <v>6</v>
      </c>
      <c r="D107" s="5">
        <f t="shared" si="4"/>
        <v>6</v>
      </c>
      <c r="E107" s="24">
        <v>43945</v>
      </c>
    </row>
    <row r="108" spans="2:5" x14ac:dyDescent="0.15">
      <c r="B108" s="40" t="s">
        <v>7</v>
      </c>
      <c r="C108" s="2">
        <v>72</v>
      </c>
      <c r="D108" s="5">
        <f t="shared" si="4"/>
        <v>72</v>
      </c>
      <c r="E108" s="24">
        <v>43946</v>
      </c>
    </row>
    <row r="109" spans="2:5" x14ac:dyDescent="0.15">
      <c r="B109" s="40" t="s">
        <v>8</v>
      </c>
      <c r="C109" s="2">
        <v>7</v>
      </c>
      <c r="D109" s="5">
        <f t="shared" si="4"/>
        <v>7</v>
      </c>
      <c r="E109" s="24">
        <v>43946</v>
      </c>
    </row>
    <row r="110" spans="2:5" x14ac:dyDescent="0.15">
      <c r="B110" s="40" t="s">
        <v>20</v>
      </c>
      <c r="C110" s="2">
        <v>137</v>
      </c>
      <c r="D110" s="5">
        <f t="shared" si="4"/>
        <v>137</v>
      </c>
      <c r="E110" s="19">
        <v>43948</v>
      </c>
    </row>
    <row r="111" spans="2:5" x14ac:dyDescent="0.15">
      <c r="B111" s="40" t="s">
        <v>20</v>
      </c>
      <c r="C111" s="2">
        <v>81</v>
      </c>
      <c r="D111" s="5">
        <f t="shared" si="4"/>
        <v>81</v>
      </c>
      <c r="E111" s="24">
        <v>43949</v>
      </c>
    </row>
    <row r="112" spans="2:5" x14ac:dyDescent="0.15">
      <c r="B112" s="40" t="s">
        <v>20</v>
      </c>
      <c r="C112" s="2">
        <v>74</v>
      </c>
      <c r="D112" s="5">
        <f t="shared" si="4"/>
        <v>74</v>
      </c>
      <c r="E112" s="19">
        <v>43951</v>
      </c>
    </row>
    <row r="113" spans="2:5" x14ac:dyDescent="0.15">
      <c r="B113" s="40" t="s">
        <v>20</v>
      </c>
      <c r="C113" s="3">
        <v>30</v>
      </c>
      <c r="D113" s="8">
        <f t="shared" si="4"/>
        <v>30</v>
      </c>
      <c r="E113" s="28">
        <v>43952</v>
      </c>
    </row>
    <row r="114" spans="2:5" x14ac:dyDescent="0.15">
      <c r="B114" s="9" t="s">
        <v>20</v>
      </c>
      <c r="C114" s="10">
        <v>10</v>
      </c>
      <c r="D114" s="23">
        <f t="shared" si="4"/>
        <v>10</v>
      </c>
      <c r="E114" s="24">
        <v>43953</v>
      </c>
    </row>
    <row r="115" spans="2:5" x14ac:dyDescent="0.15">
      <c r="B115" s="9" t="s">
        <v>20</v>
      </c>
      <c r="C115" s="22">
        <v>58</v>
      </c>
      <c r="D115" s="23">
        <f t="shared" si="4"/>
        <v>58</v>
      </c>
      <c r="E115" s="24">
        <v>43957</v>
      </c>
    </row>
    <row r="116" spans="2:5" ht="14.25" thickBot="1" x14ac:dyDescent="0.2">
      <c r="B116" s="9" t="s">
        <v>20</v>
      </c>
      <c r="C116" s="42">
        <v>39</v>
      </c>
      <c r="D116" s="43">
        <f t="shared" si="4"/>
        <v>39</v>
      </c>
      <c r="E116" s="24">
        <v>43958</v>
      </c>
    </row>
    <row r="117" spans="2:5" x14ac:dyDescent="0.15">
      <c r="B117" s="9" t="s">
        <v>2</v>
      </c>
      <c r="C117" s="10">
        <f>SUM(C92:C116)</f>
        <v>1651</v>
      </c>
      <c r="D117" s="11">
        <f t="shared" si="4"/>
        <v>1651</v>
      </c>
    </row>
    <row r="118" spans="2:5" ht="14.25" thickBot="1" x14ac:dyDescent="0.2">
      <c r="B118" s="33" t="s">
        <v>3</v>
      </c>
      <c r="C118" s="34">
        <f>+C91-C117</f>
        <v>360</v>
      </c>
      <c r="D118" s="35">
        <f t="shared" si="4"/>
        <v>360</v>
      </c>
    </row>
    <row r="121" spans="2:5" ht="18.75" x14ac:dyDescent="0.2">
      <c r="B121" s="4" t="s">
        <v>30</v>
      </c>
    </row>
    <row r="122" spans="2:5" ht="14.25" thickBot="1" x14ac:dyDescent="0.2"/>
    <row r="123" spans="2:5" ht="14.25" thickBot="1" x14ac:dyDescent="0.2">
      <c r="B123" s="12"/>
      <c r="C123" s="74"/>
      <c r="D123" s="75"/>
    </row>
    <row r="124" spans="2:5" ht="14.25" thickBot="1" x14ac:dyDescent="0.2">
      <c r="B124" s="13"/>
      <c r="C124" s="14"/>
      <c r="D124" s="15" t="s">
        <v>0</v>
      </c>
    </row>
    <row r="125" spans="2:5" x14ac:dyDescent="0.15">
      <c r="B125" s="25" t="s">
        <v>4</v>
      </c>
      <c r="C125" s="26">
        <f>C118</f>
        <v>360</v>
      </c>
      <c r="D125" s="27">
        <f t="shared" ref="D125:D158" si="5">SUM(C125:C125)</f>
        <v>360</v>
      </c>
    </row>
    <row r="126" spans="2:5" x14ac:dyDescent="0.15">
      <c r="B126" s="48" t="s">
        <v>5</v>
      </c>
      <c r="C126" s="22">
        <v>500</v>
      </c>
      <c r="D126" s="23">
        <f>SUM(C126:C126)</f>
        <v>500</v>
      </c>
      <c r="E126" s="24">
        <v>43958</v>
      </c>
    </row>
    <row r="127" spans="2:5" x14ac:dyDescent="0.15">
      <c r="B127" s="48" t="s">
        <v>5</v>
      </c>
      <c r="C127" s="22">
        <v>400</v>
      </c>
      <c r="D127" s="23">
        <f>SUM(C127:C127)</f>
        <v>400</v>
      </c>
      <c r="E127" s="24">
        <v>43959</v>
      </c>
    </row>
    <row r="128" spans="2:5" x14ac:dyDescent="0.15">
      <c r="B128" s="48" t="s">
        <v>5</v>
      </c>
      <c r="C128" s="22">
        <v>100</v>
      </c>
      <c r="D128" s="23">
        <f>SUM(C128:C128)</f>
        <v>100</v>
      </c>
      <c r="E128" s="24">
        <v>43964</v>
      </c>
    </row>
    <row r="129" spans="2:5" x14ac:dyDescent="0.15">
      <c r="B129" s="48" t="s">
        <v>5</v>
      </c>
      <c r="C129" s="22">
        <v>100</v>
      </c>
      <c r="D129" s="23">
        <f>SUM(C129:C129)</f>
        <v>100</v>
      </c>
      <c r="E129" s="24">
        <v>43969</v>
      </c>
    </row>
    <row r="130" spans="2:5" ht="14.25" thickBot="1" x14ac:dyDescent="0.2">
      <c r="B130" s="48" t="s">
        <v>5</v>
      </c>
      <c r="C130" s="50">
        <v>500</v>
      </c>
      <c r="D130" s="51">
        <f t="shared" si="5"/>
        <v>500</v>
      </c>
      <c r="E130" s="24">
        <v>43970</v>
      </c>
    </row>
    <row r="131" spans="2:5" ht="14.25" thickBot="1" x14ac:dyDescent="0.2">
      <c r="B131" s="13" t="s">
        <v>1</v>
      </c>
      <c r="C131" s="16">
        <f>SUM(C125:C130)</f>
        <v>1960</v>
      </c>
      <c r="D131" s="17">
        <f t="shared" si="5"/>
        <v>1960</v>
      </c>
    </row>
    <row r="132" spans="2:5" x14ac:dyDescent="0.15">
      <c r="B132" s="40" t="s">
        <v>23</v>
      </c>
      <c r="C132" s="22">
        <v>-1</v>
      </c>
      <c r="D132" s="38">
        <f t="shared" si="5"/>
        <v>-1</v>
      </c>
      <c r="E132" s="24">
        <v>43978</v>
      </c>
    </row>
    <row r="133" spans="2:5" x14ac:dyDescent="0.15">
      <c r="B133" s="21" t="s">
        <v>24</v>
      </c>
      <c r="C133" s="22">
        <v>-3</v>
      </c>
      <c r="D133" s="23">
        <f t="shared" si="5"/>
        <v>-3</v>
      </c>
      <c r="E133" s="24">
        <v>43978</v>
      </c>
    </row>
    <row r="134" spans="2:5" x14ac:dyDescent="0.15">
      <c r="B134" s="7" t="s">
        <v>20</v>
      </c>
      <c r="C134" s="22">
        <v>77</v>
      </c>
      <c r="D134" s="23">
        <f t="shared" si="5"/>
        <v>77</v>
      </c>
      <c r="E134" s="24">
        <v>43962</v>
      </c>
    </row>
    <row r="135" spans="2:5" x14ac:dyDescent="0.15">
      <c r="B135" s="7" t="s">
        <v>20</v>
      </c>
      <c r="C135" s="2">
        <v>21</v>
      </c>
      <c r="D135" s="5">
        <f t="shared" si="5"/>
        <v>21</v>
      </c>
      <c r="E135" s="24">
        <v>43963</v>
      </c>
    </row>
    <row r="136" spans="2:5" x14ac:dyDescent="0.15">
      <c r="B136" s="7" t="s">
        <v>20</v>
      </c>
      <c r="C136" s="2">
        <v>9</v>
      </c>
      <c r="D136" s="5">
        <f t="shared" si="5"/>
        <v>9</v>
      </c>
      <c r="E136" s="24">
        <v>43964</v>
      </c>
    </row>
    <row r="137" spans="2:5" x14ac:dyDescent="0.15">
      <c r="B137" s="7" t="s">
        <v>20</v>
      </c>
      <c r="C137" s="22">
        <v>7</v>
      </c>
      <c r="D137" s="23">
        <f t="shared" si="5"/>
        <v>7</v>
      </c>
      <c r="E137" s="24">
        <v>43965</v>
      </c>
    </row>
    <row r="138" spans="2:5" x14ac:dyDescent="0.15">
      <c r="B138" s="7" t="s">
        <v>20</v>
      </c>
      <c r="C138" s="2">
        <v>11</v>
      </c>
      <c r="D138" s="5">
        <f t="shared" si="5"/>
        <v>11</v>
      </c>
      <c r="E138" s="24">
        <v>43966</v>
      </c>
    </row>
    <row r="139" spans="2:5" x14ac:dyDescent="0.15">
      <c r="B139" s="7" t="s">
        <v>20</v>
      </c>
      <c r="C139" s="2">
        <v>15</v>
      </c>
      <c r="D139" s="5">
        <f t="shared" si="5"/>
        <v>15</v>
      </c>
      <c r="E139" s="24">
        <v>43967</v>
      </c>
    </row>
    <row r="140" spans="2:5" x14ac:dyDescent="0.15">
      <c r="B140" s="21" t="s">
        <v>23</v>
      </c>
      <c r="C140" s="2">
        <v>-2</v>
      </c>
      <c r="D140" s="5">
        <f t="shared" si="5"/>
        <v>-2</v>
      </c>
      <c r="E140" s="24">
        <v>43967</v>
      </c>
    </row>
    <row r="141" spans="2:5" x14ac:dyDescent="0.15">
      <c r="B141" s="7" t="s">
        <v>20</v>
      </c>
      <c r="C141" s="2">
        <v>10</v>
      </c>
      <c r="D141" s="5">
        <f t="shared" si="5"/>
        <v>10</v>
      </c>
      <c r="E141" s="24">
        <v>43969</v>
      </c>
    </row>
    <row r="142" spans="2:5" x14ac:dyDescent="0.15">
      <c r="B142" s="21" t="s">
        <v>23</v>
      </c>
      <c r="C142" s="2">
        <v>-2</v>
      </c>
      <c r="D142" s="5">
        <f t="shared" si="5"/>
        <v>-2</v>
      </c>
      <c r="E142" s="24">
        <v>43970</v>
      </c>
    </row>
    <row r="143" spans="2:5" x14ac:dyDescent="0.15">
      <c r="B143" s="7" t="s">
        <v>20</v>
      </c>
      <c r="C143" s="2">
        <v>7</v>
      </c>
      <c r="D143" s="5">
        <f t="shared" si="5"/>
        <v>7</v>
      </c>
      <c r="E143" s="24">
        <v>43970</v>
      </c>
    </row>
    <row r="144" spans="2:5" x14ac:dyDescent="0.15">
      <c r="B144" s="7" t="s">
        <v>20</v>
      </c>
      <c r="C144" s="2">
        <v>1</v>
      </c>
      <c r="D144" s="5">
        <f t="shared" si="5"/>
        <v>1</v>
      </c>
      <c r="E144" s="24">
        <v>43971</v>
      </c>
    </row>
    <row r="145" spans="2:5" x14ac:dyDescent="0.15">
      <c r="B145" s="7" t="s">
        <v>20</v>
      </c>
      <c r="C145" s="2">
        <v>5</v>
      </c>
      <c r="D145" s="5">
        <f t="shared" si="5"/>
        <v>5</v>
      </c>
      <c r="E145" s="24">
        <v>43972</v>
      </c>
    </row>
    <row r="146" spans="2:5" x14ac:dyDescent="0.15">
      <c r="B146" s="7" t="s">
        <v>20</v>
      </c>
      <c r="C146" s="2">
        <v>4</v>
      </c>
      <c r="D146" s="5">
        <f t="shared" si="5"/>
        <v>4</v>
      </c>
      <c r="E146" s="24">
        <v>43973</v>
      </c>
    </row>
    <row r="147" spans="2:5" x14ac:dyDescent="0.15">
      <c r="B147" s="7" t="s">
        <v>20</v>
      </c>
      <c r="C147" s="2">
        <v>12</v>
      </c>
      <c r="D147" s="5">
        <f t="shared" si="5"/>
        <v>12</v>
      </c>
      <c r="E147" s="24">
        <v>43976</v>
      </c>
    </row>
    <row r="148" spans="2:5" x14ac:dyDescent="0.15">
      <c r="B148" s="7" t="s">
        <v>20</v>
      </c>
      <c r="C148" s="2">
        <v>3</v>
      </c>
      <c r="D148" s="5">
        <f t="shared" si="5"/>
        <v>3</v>
      </c>
      <c r="E148" s="24">
        <v>43977</v>
      </c>
    </row>
    <row r="149" spans="2:5" x14ac:dyDescent="0.15">
      <c r="B149" s="7" t="s">
        <v>20</v>
      </c>
      <c r="C149" s="2">
        <v>6</v>
      </c>
      <c r="D149" s="5">
        <f t="shared" si="5"/>
        <v>6</v>
      </c>
      <c r="E149" s="24">
        <v>43978</v>
      </c>
    </row>
    <row r="150" spans="2:5" x14ac:dyDescent="0.15">
      <c r="B150" s="7" t="s">
        <v>20</v>
      </c>
      <c r="C150" s="2">
        <v>8</v>
      </c>
      <c r="D150" s="5">
        <f t="shared" si="5"/>
        <v>8</v>
      </c>
      <c r="E150" s="24">
        <v>43979</v>
      </c>
    </row>
    <row r="151" spans="2:5" x14ac:dyDescent="0.15">
      <c r="B151" s="7" t="s">
        <v>20</v>
      </c>
      <c r="C151" s="2">
        <v>2</v>
      </c>
      <c r="D151" s="5">
        <f t="shared" si="5"/>
        <v>2</v>
      </c>
      <c r="E151" s="24">
        <v>43980</v>
      </c>
    </row>
    <row r="152" spans="2:5" x14ac:dyDescent="0.15">
      <c r="B152" s="7" t="s">
        <v>20</v>
      </c>
      <c r="C152" s="22">
        <v>3</v>
      </c>
      <c r="D152" s="23">
        <f t="shared" si="5"/>
        <v>3</v>
      </c>
      <c r="E152" s="24">
        <v>43981</v>
      </c>
    </row>
    <row r="153" spans="2:5" x14ac:dyDescent="0.15">
      <c r="B153" s="7" t="s">
        <v>20</v>
      </c>
      <c r="C153" s="22">
        <v>10</v>
      </c>
      <c r="D153" s="23">
        <f t="shared" si="5"/>
        <v>10</v>
      </c>
      <c r="E153" s="24">
        <v>43983</v>
      </c>
    </row>
    <row r="154" spans="2:5" x14ac:dyDescent="0.15">
      <c r="B154" s="7" t="s">
        <v>20</v>
      </c>
      <c r="C154" s="10">
        <v>2</v>
      </c>
      <c r="D154" s="23">
        <f t="shared" si="5"/>
        <v>2</v>
      </c>
      <c r="E154" s="24">
        <v>43984</v>
      </c>
    </row>
    <row r="155" spans="2:5" x14ac:dyDescent="0.15">
      <c r="B155" s="7" t="s">
        <v>20</v>
      </c>
      <c r="C155" s="22">
        <v>5</v>
      </c>
      <c r="D155" s="23">
        <f t="shared" si="5"/>
        <v>5</v>
      </c>
      <c r="E155" s="24">
        <v>43985</v>
      </c>
    </row>
    <row r="156" spans="2:5" ht="14.25" thickBot="1" x14ac:dyDescent="0.2">
      <c r="B156" s="33" t="s">
        <v>22</v>
      </c>
      <c r="C156" s="34">
        <v>1</v>
      </c>
      <c r="D156" s="35">
        <f t="shared" si="5"/>
        <v>1</v>
      </c>
      <c r="E156" s="29">
        <v>43978</v>
      </c>
    </row>
    <row r="157" spans="2:5" x14ac:dyDescent="0.15">
      <c r="B157" s="9" t="s">
        <v>2</v>
      </c>
      <c r="C157" s="10">
        <f>SUM(C132:C156)</f>
        <v>211</v>
      </c>
      <c r="D157" s="11">
        <f t="shared" si="5"/>
        <v>211</v>
      </c>
    </row>
    <row r="158" spans="2:5" ht="14.25" thickBot="1" x14ac:dyDescent="0.2">
      <c r="B158" s="33" t="s">
        <v>3</v>
      </c>
      <c r="C158" s="34">
        <f>+C131-C157</f>
        <v>1749</v>
      </c>
      <c r="D158" s="35">
        <f t="shared" si="5"/>
        <v>1749</v>
      </c>
    </row>
    <row r="161" spans="2:10" ht="18.75" x14ac:dyDescent="0.2">
      <c r="B161" s="4" t="s">
        <v>30</v>
      </c>
      <c r="G161" s="54" t="s">
        <v>29</v>
      </c>
      <c r="H161" s="55"/>
      <c r="I161" s="55"/>
      <c r="J161" s="55"/>
    </row>
    <row r="162" spans="2:10" ht="14.25" thickBot="1" x14ac:dyDescent="0.2">
      <c r="G162" s="1"/>
    </row>
    <row r="163" spans="2:10" ht="14.25" thickBot="1" x14ac:dyDescent="0.2">
      <c r="B163" s="12"/>
      <c r="C163" s="74"/>
      <c r="D163" s="75"/>
      <c r="G163" s="12"/>
      <c r="H163" s="74"/>
      <c r="I163" s="75"/>
    </row>
    <row r="164" spans="2:10" ht="14.25" thickBot="1" x14ac:dyDescent="0.2">
      <c r="B164" s="13"/>
      <c r="C164" s="14"/>
      <c r="D164" s="15" t="s">
        <v>0</v>
      </c>
      <c r="G164" s="13"/>
      <c r="H164" s="14"/>
      <c r="I164" s="15" t="s">
        <v>0</v>
      </c>
    </row>
    <row r="165" spans="2:10" x14ac:dyDescent="0.15">
      <c r="B165" s="25" t="s">
        <v>4</v>
      </c>
      <c r="C165" s="26">
        <f>C158</f>
        <v>1749</v>
      </c>
      <c r="D165" s="27">
        <f t="shared" ref="D165:D198" si="6">SUM(C165:C165)</f>
        <v>1749</v>
      </c>
      <c r="G165" s="25" t="s">
        <v>4</v>
      </c>
      <c r="H165" s="26">
        <v>1400</v>
      </c>
      <c r="I165" s="27">
        <f>SUM(H165:H165)</f>
        <v>1400</v>
      </c>
      <c r="J165" s="29">
        <v>44002</v>
      </c>
    </row>
    <row r="166" spans="2:10" x14ac:dyDescent="0.15">
      <c r="B166" s="48" t="s">
        <v>5</v>
      </c>
      <c r="C166" s="22">
        <v>100</v>
      </c>
      <c r="D166" s="23">
        <f>SUM(C166:C166)</f>
        <v>100</v>
      </c>
      <c r="E166" s="24">
        <v>43971</v>
      </c>
      <c r="G166" s="48" t="s">
        <v>5</v>
      </c>
      <c r="H166" s="22"/>
      <c r="I166" s="27">
        <f>SUM(H166:H166)</f>
        <v>0</v>
      </c>
    </row>
    <row r="167" spans="2:10" x14ac:dyDescent="0.15">
      <c r="B167" s="48" t="s">
        <v>5</v>
      </c>
      <c r="C167" s="22">
        <v>200</v>
      </c>
      <c r="D167" s="23">
        <f>SUM(C167:C167)</f>
        <v>200</v>
      </c>
      <c r="E167" s="24">
        <v>43978</v>
      </c>
      <c r="G167" s="48" t="s">
        <v>5</v>
      </c>
      <c r="H167" s="22"/>
      <c r="I167" s="27">
        <f>SUM(H167:H167)</f>
        <v>0</v>
      </c>
    </row>
    <row r="168" spans="2:10" x14ac:dyDescent="0.15">
      <c r="B168" s="48" t="s">
        <v>5</v>
      </c>
      <c r="C168" s="22">
        <v>500</v>
      </c>
      <c r="D168" s="23">
        <f>SUM(C168:C168)</f>
        <v>500</v>
      </c>
      <c r="E168" s="24">
        <v>43979</v>
      </c>
      <c r="G168" s="48" t="s">
        <v>5</v>
      </c>
      <c r="H168" s="22"/>
      <c r="I168" s="27">
        <f>SUM(H168:H168)</f>
        <v>0</v>
      </c>
    </row>
    <row r="169" spans="2:10" x14ac:dyDescent="0.15">
      <c r="B169" s="48" t="s">
        <v>5</v>
      </c>
      <c r="C169" s="22">
        <v>500</v>
      </c>
      <c r="D169" s="23">
        <f>SUM(C169:C169)</f>
        <v>500</v>
      </c>
      <c r="E169" s="24">
        <v>43980</v>
      </c>
      <c r="G169" s="48" t="s">
        <v>5</v>
      </c>
      <c r="H169" s="22"/>
      <c r="I169" s="27">
        <f>SUM(H169:H169)</f>
        <v>0</v>
      </c>
    </row>
    <row r="170" spans="2:10" ht="14.25" thickBot="1" x14ac:dyDescent="0.2">
      <c r="B170" s="41" t="s">
        <v>5</v>
      </c>
      <c r="C170" s="44"/>
      <c r="D170" s="45">
        <f t="shared" si="6"/>
        <v>0</v>
      </c>
      <c r="G170" s="48" t="s">
        <v>5</v>
      </c>
      <c r="H170" s="50"/>
      <c r="I170" s="51">
        <f t="shared" ref="I170:I198" si="7">SUM(H170:H170)</f>
        <v>0</v>
      </c>
    </row>
    <row r="171" spans="2:10" ht="14.25" thickBot="1" x14ac:dyDescent="0.2">
      <c r="B171" s="13" t="s">
        <v>1</v>
      </c>
      <c r="C171" s="16">
        <f>SUM(C165:C170)</f>
        <v>3049</v>
      </c>
      <c r="D171" s="17">
        <f t="shared" si="6"/>
        <v>3049</v>
      </c>
      <c r="G171" s="13" t="s">
        <v>1</v>
      </c>
      <c r="H171" s="16">
        <f>SUM(H165:H170)</f>
        <v>1400</v>
      </c>
      <c r="I171" s="17">
        <f t="shared" si="7"/>
        <v>1400</v>
      </c>
    </row>
    <row r="172" spans="2:10" x14ac:dyDescent="0.15">
      <c r="B172" s="40" t="s">
        <v>20</v>
      </c>
      <c r="C172" s="2">
        <v>3</v>
      </c>
      <c r="D172" s="20">
        <f t="shared" si="6"/>
        <v>3</v>
      </c>
      <c r="E172" s="24">
        <v>43986</v>
      </c>
      <c r="G172" s="7"/>
      <c r="H172" s="2"/>
      <c r="I172" s="20">
        <f t="shared" si="7"/>
        <v>0</v>
      </c>
    </row>
    <row r="173" spans="2:10" x14ac:dyDescent="0.15">
      <c r="B173" s="40" t="s">
        <v>20</v>
      </c>
      <c r="C173" s="2">
        <v>11</v>
      </c>
      <c r="D173" s="5">
        <f t="shared" si="6"/>
        <v>11</v>
      </c>
      <c r="E173" s="24">
        <v>43987</v>
      </c>
      <c r="G173" s="7"/>
      <c r="H173" s="2"/>
      <c r="I173" s="5">
        <f t="shared" si="7"/>
        <v>0</v>
      </c>
    </row>
    <row r="174" spans="2:10" x14ac:dyDescent="0.15">
      <c r="B174" s="40" t="s">
        <v>20</v>
      </c>
      <c r="C174" s="22">
        <v>9</v>
      </c>
      <c r="D174" s="23">
        <f t="shared" si="6"/>
        <v>9</v>
      </c>
      <c r="E174" s="24">
        <v>43988</v>
      </c>
      <c r="G174" s="7"/>
      <c r="H174" s="22"/>
      <c r="I174" s="23">
        <f t="shared" si="7"/>
        <v>0</v>
      </c>
    </row>
    <row r="175" spans="2:10" x14ac:dyDescent="0.15">
      <c r="B175" s="21" t="s">
        <v>26</v>
      </c>
      <c r="C175" s="2">
        <v>1</v>
      </c>
      <c r="D175" s="5">
        <f t="shared" si="6"/>
        <v>1</v>
      </c>
      <c r="E175" s="24">
        <v>43992</v>
      </c>
      <c r="G175" s="21"/>
      <c r="H175" s="2"/>
      <c r="I175" s="5">
        <f t="shared" si="7"/>
        <v>0</v>
      </c>
    </row>
    <row r="176" spans="2:10" x14ac:dyDescent="0.15">
      <c r="B176" s="21" t="s">
        <v>25</v>
      </c>
      <c r="C176" s="2">
        <v>1</v>
      </c>
      <c r="D176" s="5">
        <f t="shared" si="6"/>
        <v>1</v>
      </c>
      <c r="E176" s="24">
        <v>43990</v>
      </c>
      <c r="G176" s="21"/>
      <c r="H176" s="2"/>
      <c r="I176" s="5">
        <f t="shared" si="7"/>
        <v>0</v>
      </c>
    </row>
    <row r="177" spans="2:9" x14ac:dyDescent="0.15">
      <c r="B177" s="40" t="s">
        <v>20</v>
      </c>
      <c r="C177" s="22">
        <v>32</v>
      </c>
      <c r="D177" s="23">
        <f t="shared" si="6"/>
        <v>32</v>
      </c>
      <c r="E177" s="24">
        <v>43990</v>
      </c>
      <c r="G177" s="7"/>
      <c r="H177" s="22"/>
      <c r="I177" s="23">
        <f t="shared" si="7"/>
        <v>0</v>
      </c>
    </row>
    <row r="178" spans="2:9" x14ac:dyDescent="0.15">
      <c r="B178" s="40" t="s">
        <v>20</v>
      </c>
      <c r="C178" s="2">
        <v>6</v>
      </c>
      <c r="D178" s="5">
        <f t="shared" si="6"/>
        <v>6</v>
      </c>
      <c r="E178" s="24">
        <v>43991</v>
      </c>
      <c r="G178" s="7"/>
      <c r="H178" s="2"/>
      <c r="I178" s="5">
        <f t="shared" si="7"/>
        <v>0</v>
      </c>
    </row>
    <row r="179" spans="2:9" x14ac:dyDescent="0.15">
      <c r="B179" s="40" t="s">
        <v>20</v>
      </c>
      <c r="C179" s="2">
        <v>9</v>
      </c>
      <c r="D179" s="5">
        <f t="shared" si="6"/>
        <v>9</v>
      </c>
      <c r="E179" s="24">
        <v>43992</v>
      </c>
      <c r="G179" s="7"/>
      <c r="H179" s="2"/>
      <c r="I179" s="5">
        <f t="shared" si="7"/>
        <v>0</v>
      </c>
    </row>
    <row r="180" spans="2:9" x14ac:dyDescent="0.15">
      <c r="B180" s="40" t="s">
        <v>20</v>
      </c>
      <c r="C180" s="2">
        <v>24</v>
      </c>
      <c r="D180" s="5">
        <f t="shared" si="6"/>
        <v>24</v>
      </c>
      <c r="E180" s="24">
        <v>43993</v>
      </c>
      <c r="G180" s="7"/>
      <c r="H180" s="2"/>
      <c r="I180" s="5">
        <f t="shared" si="7"/>
        <v>0</v>
      </c>
    </row>
    <row r="181" spans="2:9" x14ac:dyDescent="0.15">
      <c r="B181" s="40" t="s">
        <v>20</v>
      </c>
      <c r="C181" s="2">
        <v>16</v>
      </c>
      <c r="D181" s="5">
        <f t="shared" si="6"/>
        <v>16</v>
      </c>
      <c r="E181" s="24">
        <v>43994</v>
      </c>
      <c r="G181" s="7"/>
      <c r="H181" s="2"/>
      <c r="I181" s="5">
        <f t="shared" si="7"/>
        <v>0</v>
      </c>
    </row>
    <row r="182" spans="2:9" x14ac:dyDescent="0.15">
      <c r="B182" s="40" t="s">
        <v>20</v>
      </c>
      <c r="C182" s="2">
        <v>43</v>
      </c>
      <c r="D182" s="5">
        <f t="shared" si="6"/>
        <v>43</v>
      </c>
      <c r="E182" s="24">
        <v>43997</v>
      </c>
      <c r="G182" s="7"/>
      <c r="H182" s="2"/>
      <c r="I182" s="5">
        <f t="shared" si="7"/>
        <v>0</v>
      </c>
    </row>
    <row r="183" spans="2:9" x14ac:dyDescent="0.15">
      <c r="B183" s="40" t="s">
        <v>20</v>
      </c>
      <c r="C183" s="2">
        <v>27</v>
      </c>
      <c r="D183" s="5">
        <f t="shared" si="6"/>
        <v>27</v>
      </c>
      <c r="E183" s="24">
        <v>43998</v>
      </c>
      <c r="G183" s="7"/>
      <c r="H183" s="2"/>
      <c r="I183" s="5">
        <f t="shared" si="7"/>
        <v>0</v>
      </c>
    </row>
    <row r="184" spans="2:9" x14ac:dyDescent="0.15">
      <c r="B184" s="40" t="s">
        <v>20</v>
      </c>
      <c r="C184" s="2">
        <v>15</v>
      </c>
      <c r="D184" s="5">
        <f t="shared" si="6"/>
        <v>15</v>
      </c>
      <c r="E184" s="24">
        <v>43999</v>
      </c>
      <c r="G184" s="7"/>
      <c r="H184" s="2"/>
      <c r="I184" s="5">
        <f t="shared" si="7"/>
        <v>0</v>
      </c>
    </row>
    <row r="185" spans="2:9" x14ac:dyDescent="0.15">
      <c r="B185" s="40" t="s">
        <v>20</v>
      </c>
      <c r="C185" s="2">
        <v>8</v>
      </c>
      <c r="D185" s="5">
        <f t="shared" si="6"/>
        <v>8</v>
      </c>
      <c r="E185" s="24">
        <v>44000</v>
      </c>
      <c r="G185" s="7"/>
      <c r="H185" s="2"/>
      <c r="I185" s="5">
        <f t="shared" si="7"/>
        <v>0</v>
      </c>
    </row>
    <row r="186" spans="2:9" x14ac:dyDescent="0.15">
      <c r="B186" s="40" t="s">
        <v>20</v>
      </c>
      <c r="C186" s="2">
        <v>11</v>
      </c>
      <c r="D186" s="5">
        <f t="shared" si="6"/>
        <v>11</v>
      </c>
      <c r="E186" s="24">
        <v>44001</v>
      </c>
      <c r="G186" s="7"/>
      <c r="H186" s="2"/>
      <c r="I186" s="5">
        <f t="shared" si="7"/>
        <v>0</v>
      </c>
    </row>
    <row r="187" spans="2:9" x14ac:dyDescent="0.15">
      <c r="B187" s="40" t="s">
        <v>27</v>
      </c>
      <c r="C187" s="2">
        <v>1</v>
      </c>
      <c r="D187" s="5">
        <f t="shared" si="6"/>
        <v>1</v>
      </c>
      <c r="E187" s="24">
        <v>44001</v>
      </c>
      <c r="G187" s="40"/>
      <c r="H187" s="2"/>
      <c r="I187" s="5">
        <f t="shared" si="7"/>
        <v>0</v>
      </c>
    </row>
    <row r="188" spans="2:9" x14ac:dyDescent="0.15">
      <c r="B188" s="40" t="s">
        <v>28</v>
      </c>
      <c r="C188" s="2">
        <v>1400</v>
      </c>
      <c r="D188" s="5">
        <f t="shared" si="6"/>
        <v>1400</v>
      </c>
      <c r="E188" s="24">
        <v>44002</v>
      </c>
      <c r="G188" s="6"/>
      <c r="H188" s="2"/>
      <c r="I188" s="5">
        <f t="shared" si="7"/>
        <v>0</v>
      </c>
    </row>
    <row r="189" spans="2:9" x14ac:dyDescent="0.15">
      <c r="B189" s="40" t="s">
        <v>20</v>
      </c>
      <c r="C189" s="2">
        <v>17</v>
      </c>
      <c r="D189" s="5">
        <f t="shared" si="6"/>
        <v>17</v>
      </c>
      <c r="E189" s="24">
        <v>44002</v>
      </c>
      <c r="G189" s="6"/>
      <c r="H189" s="2"/>
      <c r="I189" s="5">
        <f t="shared" si="7"/>
        <v>0</v>
      </c>
    </row>
    <row r="190" spans="2:9" x14ac:dyDescent="0.15">
      <c r="B190" s="40" t="s">
        <v>20</v>
      </c>
      <c r="C190" s="2">
        <v>17</v>
      </c>
      <c r="D190" s="5">
        <f t="shared" si="6"/>
        <v>17</v>
      </c>
      <c r="E190" s="24">
        <v>44004</v>
      </c>
      <c r="G190" s="6"/>
      <c r="H190" s="2"/>
      <c r="I190" s="5">
        <f t="shared" si="7"/>
        <v>0</v>
      </c>
    </row>
    <row r="191" spans="2:9" x14ac:dyDescent="0.15">
      <c r="B191" s="40" t="s">
        <v>32</v>
      </c>
      <c r="C191" s="2">
        <v>1</v>
      </c>
      <c r="D191" s="5">
        <f t="shared" si="6"/>
        <v>1</v>
      </c>
      <c r="E191" s="24">
        <v>44004</v>
      </c>
      <c r="G191" s="6"/>
      <c r="H191" s="2"/>
      <c r="I191" s="5">
        <f t="shared" si="7"/>
        <v>0</v>
      </c>
    </row>
    <row r="192" spans="2:9" x14ac:dyDescent="0.15">
      <c r="B192" s="40" t="s">
        <v>20</v>
      </c>
      <c r="C192" s="2">
        <v>15</v>
      </c>
      <c r="D192" s="5">
        <f t="shared" si="6"/>
        <v>15</v>
      </c>
      <c r="E192" s="24">
        <v>44005</v>
      </c>
      <c r="G192" s="6"/>
      <c r="H192" s="2"/>
      <c r="I192" s="5">
        <f t="shared" si="7"/>
        <v>0</v>
      </c>
    </row>
    <row r="193" spans="2:10" x14ac:dyDescent="0.15">
      <c r="B193" s="40" t="s">
        <v>20</v>
      </c>
      <c r="C193" s="3">
        <v>17</v>
      </c>
      <c r="D193" s="8">
        <f t="shared" si="6"/>
        <v>17</v>
      </c>
      <c r="E193" s="24">
        <v>44006</v>
      </c>
      <c r="G193" s="7"/>
      <c r="H193" s="3"/>
      <c r="I193" s="8">
        <f t="shared" si="7"/>
        <v>0</v>
      </c>
    </row>
    <row r="194" spans="2:10" x14ac:dyDescent="0.15">
      <c r="B194" s="40" t="s">
        <v>33</v>
      </c>
      <c r="C194" s="22">
        <v>2</v>
      </c>
      <c r="D194" s="23">
        <f t="shared" si="6"/>
        <v>2</v>
      </c>
      <c r="E194" s="24">
        <v>44007</v>
      </c>
      <c r="G194" s="7"/>
      <c r="H194" s="22"/>
      <c r="I194" s="23">
        <f t="shared" si="7"/>
        <v>0</v>
      </c>
    </row>
    <row r="195" spans="2:10" x14ac:dyDescent="0.15">
      <c r="B195" s="40" t="s">
        <v>20</v>
      </c>
      <c r="C195" s="22">
        <v>21</v>
      </c>
      <c r="D195" s="23">
        <f t="shared" si="6"/>
        <v>21</v>
      </c>
      <c r="E195" s="24">
        <v>44007</v>
      </c>
      <c r="G195" s="7"/>
      <c r="H195" s="22"/>
      <c r="I195" s="23">
        <f t="shared" si="7"/>
        <v>0</v>
      </c>
    </row>
    <row r="196" spans="2:10" ht="14.25" thickBot="1" x14ac:dyDescent="0.2">
      <c r="B196" s="57" t="s">
        <v>20</v>
      </c>
      <c r="C196" s="42">
        <v>13</v>
      </c>
      <c r="D196" s="43">
        <f t="shared" si="6"/>
        <v>13</v>
      </c>
      <c r="E196" s="24">
        <v>44008</v>
      </c>
      <c r="G196" s="47"/>
      <c r="H196" s="42"/>
      <c r="I196" s="43">
        <f t="shared" si="7"/>
        <v>0</v>
      </c>
    </row>
    <row r="197" spans="2:10" x14ac:dyDescent="0.15">
      <c r="B197" s="9" t="s">
        <v>2</v>
      </c>
      <c r="C197" s="10">
        <f>SUM(C172:C196)</f>
        <v>1720</v>
      </c>
      <c r="D197" s="11">
        <f t="shared" si="6"/>
        <v>1720</v>
      </c>
      <c r="G197" s="9" t="s">
        <v>2</v>
      </c>
      <c r="H197" s="10">
        <f>SUM(H172:H196)</f>
        <v>0</v>
      </c>
      <c r="I197" s="11">
        <f t="shared" si="7"/>
        <v>0</v>
      </c>
    </row>
    <row r="198" spans="2:10" ht="14.25" thickBot="1" x14ac:dyDescent="0.2">
      <c r="B198" s="33" t="s">
        <v>3</v>
      </c>
      <c r="C198" s="34">
        <f>+C171-C197</f>
        <v>1329</v>
      </c>
      <c r="D198" s="35">
        <f t="shared" si="6"/>
        <v>1329</v>
      </c>
      <c r="G198" s="33" t="s">
        <v>3</v>
      </c>
      <c r="H198" s="34">
        <f>+H171-H197</f>
        <v>1400</v>
      </c>
      <c r="I198" s="35">
        <f t="shared" si="7"/>
        <v>1400</v>
      </c>
    </row>
    <row r="199" spans="2:10" x14ac:dyDescent="0.15">
      <c r="G199" s="1"/>
    </row>
    <row r="200" spans="2:10" x14ac:dyDescent="0.15">
      <c r="G200" s="1"/>
    </row>
    <row r="201" spans="2:10" ht="18.75" x14ac:dyDescent="0.2">
      <c r="B201" s="4" t="s">
        <v>30</v>
      </c>
      <c r="G201" s="54" t="s">
        <v>29</v>
      </c>
      <c r="H201" s="55"/>
      <c r="I201" s="55"/>
      <c r="J201" s="55"/>
    </row>
    <row r="202" spans="2:10" ht="14.25" thickBot="1" x14ac:dyDescent="0.2">
      <c r="G202" s="1"/>
    </row>
    <row r="203" spans="2:10" ht="14.25" thickBot="1" x14ac:dyDescent="0.2">
      <c r="B203" s="12"/>
      <c r="C203" s="74"/>
      <c r="D203" s="75"/>
      <c r="G203" s="12"/>
      <c r="H203" s="74"/>
      <c r="I203" s="75"/>
    </row>
    <row r="204" spans="2:10" ht="14.25" thickBot="1" x14ac:dyDescent="0.2">
      <c r="B204" s="13"/>
      <c r="C204" s="14"/>
      <c r="D204" s="15" t="s">
        <v>0</v>
      </c>
      <c r="G204" s="13"/>
      <c r="H204" s="14"/>
      <c r="I204" s="15" t="s">
        <v>0</v>
      </c>
    </row>
    <row r="205" spans="2:10" x14ac:dyDescent="0.15">
      <c r="B205" s="25" t="s">
        <v>4</v>
      </c>
      <c r="C205" s="26">
        <f>C198</f>
        <v>1329</v>
      </c>
      <c r="D205" s="27">
        <f t="shared" ref="D205:D238" si="8">SUM(C205:C205)</f>
        <v>1329</v>
      </c>
      <c r="G205" s="25" t="s">
        <v>4</v>
      </c>
      <c r="H205" s="26">
        <f>H198</f>
        <v>1400</v>
      </c>
      <c r="I205" s="27">
        <f>SUM(H205:H205)</f>
        <v>1400</v>
      </c>
    </row>
    <row r="206" spans="2:10" x14ac:dyDescent="0.15">
      <c r="B206" s="48" t="s">
        <v>5</v>
      </c>
      <c r="C206" s="22"/>
      <c r="D206" s="23">
        <f>SUM(C206:C206)</f>
        <v>0</v>
      </c>
      <c r="E206" s="24"/>
      <c r="G206" s="48" t="s">
        <v>35</v>
      </c>
      <c r="H206" s="22">
        <v>400</v>
      </c>
      <c r="I206" s="23">
        <f>SUM(H206:H206)</f>
        <v>400</v>
      </c>
      <c r="J206" s="24">
        <v>44016</v>
      </c>
    </row>
    <row r="207" spans="2:10" x14ac:dyDescent="0.15">
      <c r="B207" s="48" t="s">
        <v>5</v>
      </c>
      <c r="C207" s="22">
        <v>700</v>
      </c>
      <c r="D207" s="23">
        <v>1000</v>
      </c>
      <c r="E207" s="24">
        <v>43991</v>
      </c>
      <c r="G207" s="48" t="s">
        <v>5</v>
      </c>
      <c r="H207" s="22"/>
      <c r="I207" s="23">
        <f>SUM(H207:H207)</f>
        <v>0</v>
      </c>
    </row>
    <row r="208" spans="2:10" x14ac:dyDescent="0.15">
      <c r="B208" s="48" t="s">
        <v>5</v>
      </c>
      <c r="C208" s="22">
        <v>700</v>
      </c>
      <c r="D208" s="23">
        <f t="shared" si="8"/>
        <v>700</v>
      </c>
      <c r="E208" s="24">
        <v>43997</v>
      </c>
      <c r="G208" s="48" t="s">
        <v>5</v>
      </c>
      <c r="H208" s="22"/>
      <c r="I208" s="23">
        <f>SUM(H208:H208)</f>
        <v>0</v>
      </c>
    </row>
    <row r="209" spans="2:9" x14ac:dyDescent="0.15">
      <c r="B209" s="48" t="s">
        <v>5</v>
      </c>
      <c r="C209" s="22">
        <v>700</v>
      </c>
      <c r="D209" s="23">
        <f>SUM(C209:C209)</f>
        <v>700</v>
      </c>
      <c r="E209" s="24">
        <v>44001</v>
      </c>
      <c r="G209" s="48" t="s">
        <v>5</v>
      </c>
      <c r="H209" s="22"/>
      <c r="I209" s="23">
        <f>SUM(H209:H209)</f>
        <v>0</v>
      </c>
    </row>
    <row r="210" spans="2:9" ht="14.25" thickBot="1" x14ac:dyDescent="0.2">
      <c r="B210" s="48" t="s">
        <v>5</v>
      </c>
      <c r="C210" s="44"/>
      <c r="D210" s="45">
        <f t="shared" si="8"/>
        <v>0</v>
      </c>
      <c r="G210" s="48" t="s">
        <v>5</v>
      </c>
      <c r="H210" s="50"/>
      <c r="I210" s="51">
        <f t="shared" ref="I210:I238" si="9">SUM(H210:H210)</f>
        <v>0</v>
      </c>
    </row>
    <row r="211" spans="2:9" ht="14.25" thickBot="1" x14ac:dyDescent="0.2">
      <c r="B211" s="13" t="s">
        <v>1</v>
      </c>
      <c r="C211" s="16">
        <f>SUM(C205:C210)</f>
        <v>3429</v>
      </c>
      <c r="D211" s="17">
        <f t="shared" si="8"/>
        <v>3429</v>
      </c>
      <c r="G211" s="13" t="s">
        <v>1</v>
      </c>
      <c r="H211" s="16">
        <f>SUM(H205:H210)</f>
        <v>1800</v>
      </c>
      <c r="I211" s="17">
        <f t="shared" si="9"/>
        <v>1800</v>
      </c>
    </row>
    <row r="212" spans="2:9" x14ac:dyDescent="0.15">
      <c r="B212" s="58" t="s">
        <v>20</v>
      </c>
      <c r="C212" s="2">
        <v>37</v>
      </c>
      <c r="D212" s="20">
        <f t="shared" si="8"/>
        <v>37</v>
      </c>
      <c r="E212" s="24">
        <v>44011</v>
      </c>
      <c r="G212" s="6"/>
      <c r="H212" s="2"/>
      <c r="I212" s="20">
        <f t="shared" si="9"/>
        <v>0</v>
      </c>
    </row>
    <row r="213" spans="2:9" x14ac:dyDescent="0.15">
      <c r="B213" s="59" t="s">
        <v>20</v>
      </c>
      <c r="C213" s="2">
        <v>19</v>
      </c>
      <c r="D213" s="5">
        <f t="shared" si="8"/>
        <v>19</v>
      </c>
      <c r="E213" s="24">
        <v>44012</v>
      </c>
      <c r="G213" s="18"/>
      <c r="H213" s="2"/>
      <c r="I213" s="5">
        <f t="shared" si="9"/>
        <v>0</v>
      </c>
    </row>
    <row r="214" spans="2:9" x14ac:dyDescent="0.15">
      <c r="B214" s="59" t="s">
        <v>20</v>
      </c>
      <c r="C214" s="22">
        <v>29</v>
      </c>
      <c r="D214" s="23">
        <f t="shared" si="8"/>
        <v>29</v>
      </c>
      <c r="E214" s="24">
        <v>44013</v>
      </c>
      <c r="G214" s="7"/>
      <c r="H214" s="22"/>
      <c r="I214" s="23">
        <f t="shared" si="9"/>
        <v>0</v>
      </c>
    </row>
    <row r="215" spans="2:9" x14ac:dyDescent="0.15">
      <c r="B215" s="59" t="s">
        <v>20</v>
      </c>
      <c r="C215" s="2">
        <v>8</v>
      </c>
      <c r="D215" s="5">
        <f t="shared" si="8"/>
        <v>8</v>
      </c>
      <c r="E215" s="24">
        <v>44014</v>
      </c>
      <c r="G215" s="18"/>
      <c r="H215" s="2"/>
      <c r="I215" s="5">
        <f t="shared" si="9"/>
        <v>0</v>
      </c>
    </row>
    <row r="216" spans="2:9" x14ac:dyDescent="0.15">
      <c r="B216" s="59" t="s">
        <v>20</v>
      </c>
      <c r="C216" s="2">
        <v>2</v>
      </c>
      <c r="D216" s="5">
        <f t="shared" si="8"/>
        <v>2</v>
      </c>
      <c r="E216" s="24">
        <v>44015</v>
      </c>
      <c r="G216" s="18"/>
      <c r="H216" s="2"/>
      <c r="I216" s="5">
        <f t="shared" si="9"/>
        <v>0</v>
      </c>
    </row>
    <row r="217" spans="2:9" x14ac:dyDescent="0.15">
      <c r="B217" s="21" t="s">
        <v>34</v>
      </c>
      <c r="C217" s="22">
        <v>400</v>
      </c>
      <c r="D217" s="23">
        <f t="shared" si="8"/>
        <v>400</v>
      </c>
      <c r="E217" s="24">
        <v>44016</v>
      </c>
      <c r="G217" s="18"/>
      <c r="H217" s="22"/>
      <c r="I217" s="23">
        <f t="shared" si="9"/>
        <v>0</v>
      </c>
    </row>
    <row r="218" spans="2:9" x14ac:dyDescent="0.15">
      <c r="B218" s="59" t="s">
        <v>20</v>
      </c>
      <c r="C218" s="2">
        <v>1</v>
      </c>
      <c r="D218" s="5">
        <f t="shared" si="8"/>
        <v>1</v>
      </c>
      <c r="E218" s="24">
        <v>44016</v>
      </c>
      <c r="G218" s="21"/>
      <c r="H218" s="2"/>
      <c r="I218" s="5">
        <f t="shared" si="9"/>
        <v>0</v>
      </c>
    </row>
    <row r="219" spans="2:9" x14ac:dyDescent="0.15">
      <c r="B219" s="59" t="s">
        <v>20</v>
      </c>
      <c r="C219" s="2">
        <v>36</v>
      </c>
      <c r="D219" s="5">
        <f t="shared" si="8"/>
        <v>36</v>
      </c>
      <c r="E219" s="24">
        <v>44018</v>
      </c>
      <c r="G219" s="18"/>
      <c r="H219" s="2"/>
      <c r="I219" s="5">
        <f t="shared" si="9"/>
        <v>0</v>
      </c>
    </row>
    <row r="220" spans="2:9" x14ac:dyDescent="0.15">
      <c r="B220" s="59" t="s">
        <v>20</v>
      </c>
      <c r="C220" s="2">
        <v>9</v>
      </c>
      <c r="D220" s="5">
        <f t="shared" si="8"/>
        <v>9</v>
      </c>
      <c r="E220" s="24">
        <v>44019</v>
      </c>
      <c r="G220" s="18"/>
      <c r="H220" s="2"/>
      <c r="I220" s="5">
        <f t="shared" si="9"/>
        <v>0</v>
      </c>
    </row>
    <row r="221" spans="2:9" x14ac:dyDescent="0.15">
      <c r="B221" s="59" t="s">
        <v>20</v>
      </c>
      <c r="C221" s="2">
        <v>10</v>
      </c>
      <c r="D221" s="5">
        <f t="shared" si="8"/>
        <v>10</v>
      </c>
      <c r="E221" s="24">
        <v>44020</v>
      </c>
      <c r="G221" s="18"/>
      <c r="H221" s="2"/>
      <c r="I221" s="5">
        <f t="shared" si="9"/>
        <v>0</v>
      </c>
    </row>
    <row r="222" spans="2:9" x14ac:dyDescent="0.15">
      <c r="B222" s="59" t="s">
        <v>20</v>
      </c>
      <c r="C222" s="2">
        <v>3</v>
      </c>
      <c r="D222" s="5">
        <f t="shared" si="8"/>
        <v>3</v>
      </c>
      <c r="E222" s="24">
        <v>44021</v>
      </c>
      <c r="G222" s="18"/>
      <c r="H222" s="2"/>
      <c r="I222" s="5">
        <f t="shared" si="9"/>
        <v>0</v>
      </c>
    </row>
    <row r="223" spans="2:9" x14ac:dyDescent="0.15">
      <c r="B223" s="59" t="s">
        <v>20</v>
      </c>
      <c r="C223" s="2">
        <v>10</v>
      </c>
      <c r="D223" s="5">
        <f t="shared" si="8"/>
        <v>10</v>
      </c>
      <c r="E223" s="24">
        <v>44022</v>
      </c>
      <c r="G223" s="18"/>
      <c r="H223" s="2"/>
      <c r="I223" s="5">
        <f t="shared" si="9"/>
        <v>0</v>
      </c>
    </row>
    <row r="224" spans="2:9" x14ac:dyDescent="0.15">
      <c r="B224" s="59" t="s">
        <v>20</v>
      </c>
      <c r="C224" s="2">
        <v>22</v>
      </c>
      <c r="D224" s="5">
        <f t="shared" si="8"/>
        <v>22</v>
      </c>
      <c r="E224" s="24">
        <v>44025</v>
      </c>
      <c r="G224" s="18"/>
      <c r="H224" s="2"/>
      <c r="I224" s="5">
        <f t="shared" si="9"/>
        <v>0</v>
      </c>
    </row>
    <row r="225" spans="2:9" x14ac:dyDescent="0.15">
      <c r="B225" s="59" t="s">
        <v>20</v>
      </c>
      <c r="C225" s="2">
        <v>5</v>
      </c>
      <c r="D225" s="5">
        <f t="shared" si="8"/>
        <v>5</v>
      </c>
      <c r="E225" s="24">
        <v>44026</v>
      </c>
      <c r="G225" s="6"/>
      <c r="H225" s="2"/>
      <c r="I225" s="5">
        <f t="shared" si="9"/>
        <v>0</v>
      </c>
    </row>
    <row r="226" spans="2:9" x14ac:dyDescent="0.15">
      <c r="B226" s="59" t="s">
        <v>20</v>
      </c>
      <c r="C226" s="2">
        <v>5</v>
      </c>
      <c r="D226" s="5">
        <f t="shared" si="8"/>
        <v>5</v>
      </c>
      <c r="E226" s="24">
        <v>44027</v>
      </c>
      <c r="G226" s="6"/>
      <c r="H226" s="2"/>
      <c r="I226" s="5">
        <f t="shared" si="9"/>
        <v>0</v>
      </c>
    </row>
    <row r="227" spans="2:9" x14ac:dyDescent="0.15">
      <c r="B227" s="59" t="s">
        <v>20</v>
      </c>
      <c r="C227" s="2">
        <v>6</v>
      </c>
      <c r="D227" s="5">
        <f t="shared" si="8"/>
        <v>6</v>
      </c>
      <c r="E227" s="24">
        <v>44028</v>
      </c>
      <c r="G227" s="6"/>
      <c r="H227" s="2"/>
      <c r="I227" s="5">
        <f t="shared" si="9"/>
        <v>0</v>
      </c>
    </row>
    <row r="228" spans="2:9" x14ac:dyDescent="0.15">
      <c r="B228" s="40" t="s">
        <v>23</v>
      </c>
      <c r="C228" s="2">
        <v>-2</v>
      </c>
      <c r="D228" s="5">
        <f t="shared" si="8"/>
        <v>-2</v>
      </c>
      <c r="E228" s="24">
        <v>44028</v>
      </c>
      <c r="G228" s="6"/>
      <c r="H228" s="2"/>
      <c r="I228" s="5">
        <f t="shared" si="9"/>
        <v>0</v>
      </c>
    </row>
    <row r="229" spans="2:9" x14ac:dyDescent="0.15">
      <c r="B229" s="59" t="s">
        <v>20</v>
      </c>
      <c r="C229" s="2">
        <v>4</v>
      </c>
      <c r="D229" s="5">
        <f t="shared" si="8"/>
        <v>4</v>
      </c>
      <c r="E229" s="24">
        <v>44029</v>
      </c>
      <c r="G229" s="40"/>
      <c r="H229" s="2"/>
      <c r="I229" s="5">
        <f t="shared" si="9"/>
        <v>0</v>
      </c>
    </row>
    <row r="230" spans="2:9" x14ac:dyDescent="0.15">
      <c r="B230" s="59" t="s">
        <v>20</v>
      </c>
      <c r="C230" s="2">
        <v>8</v>
      </c>
      <c r="D230" s="5">
        <f t="shared" si="8"/>
        <v>8</v>
      </c>
      <c r="E230" s="24">
        <v>44032</v>
      </c>
      <c r="G230" s="40"/>
      <c r="H230" s="2"/>
      <c r="I230" s="5">
        <f t="shared" si="9"/>
        <v>0</v>
      </c>
    </row>
    <row r="231" spans="2:9" x14ac:dyDescent="0.15">
      <c r="B231" s="59" t="s">
        <v>20</v>
      </c>
      <c r="C231" s="2">
        <v>17</v>
      </c>
      <c r="D231" s="5">
        <f t="shared" si="8"/>
        <v>17</v>
      </c>
      <c r="E231" s="24">
        <v>44033</v>
      </c>
      <c r="G231" s="40"/>
      <c r="H231" s="2"/>
      <c r="I231" s="5">
        <f t="shared" si="9"/>
        <v>0</v>
      </c>
    </row>
    <row r="232" spans="2:9" x14ac:dyDescent="0.15">
      <c r="B232" s="59" t="s">
        <v>20</v>
      </c>
      <c r="C232" s="2">
        <v>1</v>
      </c>
      <c r="D232" s="5">
        <f t="shared" si="8"/>
        <v>1</v>
      </c>
      <c r="E232" s="24">
        <v>44034</v>
      </c>
      <c r="G232" s="48"/>
      <c r="H232" s="2"/>
      <c r="I232" s="5">
        <f t="shared" si="9"/>
        <v>0</v>
      </c>
    </row>
    <row r="233" spans="2:9" x14ac:dyDescent="0.15">
      <c r="B233" s="59" t="s">
        <v>20</v>
      </c>
      <c r="C233" s="3">
        <v>26</v>
      </c>
      <c r="D233" s="8">
        <f t="shared" si="8"/>
        <v>26</v>
      </c>
      <c r="E233" s="24">
        <v>44039</v>
      </c>
      <c r="G233" s="52"/>
      <c r="H233" s="3"/>
      <c r="I233" s="8">
        <f t="shared" si="9"/>
        <v>0</v>
      </c>
    </row>
    <row r="234" spans="2:9" x14ac:dyDescent="0.15">
      <c r="B234" s="59" t="s">
        <v>20</v>
      </c>
      <c r="C234" s="22">
        <v>7</v>
      </c>
      <c r="D234" s="23">
        <f t="shared" si="8"/>
        <v>7</v>
      </c>
      <c r="E234" s="24">
        <v>44040</v>
      </c>
      <c r="G234" s="40"/>
      <c r="H234" s="22"/>
      <c r="I234" s="23">
        <f t="shared" si="9"/>
        <v>0</v>
      </c>
    </row>
    <row r="235" spans="2:9" x14ac:dyDescent="0.15">
      <c r="B235" s="59" t="s">
        <v>20</v>
      </c>
      <c r="C235" s="22">
        <v>3</v>
      </c>
      <c r="D235" s="23">
        <f t="shared" si="8"/>
        <v>3</v>
      </c>
      <c r="E235" s="24">
        <v>44041</v>
      </c>
      <c r="G235" s="40"/>
      <c r="H235" s="22"/>
      <c r="I235" s="23">
        <f t="shared" si="9"/>
        <v>0</v>
      </c>
    </row>
    <row r="236" spans="2:9" ht="14.25" thickBot="1" x14ac:dyDescent="0.2">
      <c r="B236" s="59" t="s">
        <v>20</v>
      </c>
      <c r="C236" s="50">
        <v>2</v>
      </c>
      <c r="D236" s="51">
        <f t="shared" si="8"/>
        <v>2</v>
      </c>
      <c r="E236" s="24">
        <v>44042</v>
      </c>
      <c r="G236" s="53"/>
      <c r="H236" s="42"/>
      <c r="I236" s="43">
        <f t="shared" si="9"/>
        <v>0</v>
      </c>
    </row>
    <row r="237" spans="2:9" x14ac:dyDescent="0.15">
      <c r="B237" s="56" t="s">
        <v>2</v>
      </c>
      <c r="C237" s="37">
        <f>SUM(C212:C236)</f>
        <v>668</v>
      </c>
      <c r="D237" s="38">
        <f t="shared" si="8"/>
        <v>668</v>
      </c>
      <c r="G237" s="9" t="s">
        <v>2</v>
      </c>
      <c r="H237" s="10">
        <f>SUM(H212:H236)</f>
        <v>0</v>
      </c>
      <c r="I237" s="11">
        <f t="shared" si="9"/>
        <v>0</v>
      </c>
    </row>
    <row r="238" spans="2:9" ht="14.25" thickBot="1" x14ac:dyDescent="0.2">
      <c r="B238" s="33" t="s">
        <v>3</v>
      </c>
      <c r="C238" s="34">
        <f>+C211-C237</f>
        <v>2761</v>
      </c>
      <c r="D238" s="35">
        <f t="shared" si="8"/>
        <v>2761</v>
      </c>
      <c r="G238" s="33" t="s">
        <v>3</v>
      </c>
      <c r="H238" s="34">
        <f>+H211-H237</f>
        <v>1800</v>
      </c>
      <c r="I238" s="35">
        <f t="shared" si="9"/>
        <v>1800</v>
      </c>
    </row>
    <row r="239" spans="2:9" x14ac:dyDescent="0.15">
      <c r="G239" s="1"/>
    </row>
    <row r="240" spans="2:9" x14ac:dyDescent="0.15">
      <c r="G240" s="1"/>
    </row>
    <row r="241" spans="2:10" ht="18.75" x14ac:dyDescent="0.2">
      <c r="B241" s="4" t="s">
        <v>53</v>
      </c>
      <c r="G241" s="54" t="s">
        <v>54</v>
      </c>
      <c r="H241" s="55"/>
      <c r="I241" s="55"/>
      <c r="J241" s="55"/>
    </row>
    <row r="242" spans="2:10" ht="14.25" thickBot="1" x14ac:dyDescent="0.2">
      <c r="G242" s="1"/>
    </row>
    <row r="243" spans="2:10" ht="14.25" thickBot="1" x14ac:dyDescent="0.2">
      <c r="B243" s="12"/>
      <c r="C243" s="74"/>
      <c r="D243" s="75"/>
      <c r="G243" s="12"/>
      <c r="H243" s="74"/>
      <c r="I243" s="75"/>
    </row>
    <row r="244" spans="2:10" ht="14.25" thickBot="1" x14ac:dyDescent="0.2">
      <c r="B244" s="13"/>
      <c r="C244" s="14"/>
      <c r="D244" s="15" t="s">
        <v>0</v>
      </c>
      <c r="G244" s="13"/>
      <c r="H244" s="14"/>
      <c r="I244" s="15" t="s">
        <v>0</v>
      </c>
    </row>
    <row r="245" spans="2:10" x14ac:dyDescent="0.15">
      <c r="B245" s="25" t="s">
        <v>4</v>
      </c>
      <c r="C245" s="26">
        <f>C238</f>
        <v>2761</v>
      </c>
      <c r="D245" s="27">
        <f t="shared" ref="D245:D278" si="10">SUM(C245:C245)</f>
        <v>2761</v>
      </c>
      <c r="G245" s="25" t="s">
        <v>4</v>
      </c>
      <c r="H245" s="26">
        <f>H238</f>
        <v>1800</v>
      </c>
      <c r="I245" s="27">
        <f t="shared" ref="I245:I278" si="11">SUM(H245:H245)</f>
        <v>1800</v>
      </c>
    </row>
    <row r="246" spans="2:10" x14ac:dyDescent="0.15">
      <c r="B246" s="48" t="s">
        <v>5</v>
      </c>
      <c r="C246" s="22"/>
      <c r="D246" s="23">
        <f t="shared" si="10"/>
        <v>0</v>
      </c>
      <c r="G246" s="48" t="s">
        <v>5</v>
      </c>
      <c r="H246" s="22"/>
      <c r="I246" s="23">
        <f t="shared" si="11"/>
        <v>0</v>
      </c>
    </row>
    <row r="247" spans="2:10" x14ac:dyDescent="0.15">
      <c r="B247" s="48" t="s">
        <v>5</v>
      </c>
      <c r="C247" s="22"/>
      <c r="D247" s="23">
        <f t="shared" si="10"/>
        <v>0</v>
      </c>
      <c r="G247" s="48" t="s">
        <v>5</v>
      </c>
      <c r="H247" s="22"/>
      <c r="I247" s="23">
        <f t="shared" si="11"/>
        <v>0</v>
      </c>
    </row>
    <row r="248" spans="2:10" x14ac:dyDescent="0.15">
      <c r="B248" s="48" t="s">
        <v>5</v>
      </c>
      <c r="C248" s="22"/>
      <c r="D248" s="23">
        <f t="shared" si="10"/>
        <v>0</v>
      </c>
      <c r="G248" s="48" t="s">
        <v>5</v>
      </c>
      <c r="H248" s="22"/>
      <c r="I248" s="23">
        <f t="shared" si="11"/>
        <v>0</v>
      </c>
    </row>
    <row r="249" spans="2:10" x14ac:dyDescent="0.15">
      <c r="B249" s="48" t="s">
        <v>5</v>
      </c>
      <c r="C249" s="22"/>
      <c r="D249" s="23">
        <f t="shared" si="10"/>
        <v>0</v>
      </c>
      <c r="G249" s="48" t="s">
        <v>5</v>
      </c>
      <c r="H249" s="22"/>
      <c r="I249" s="23">
        <f t="shared" si="11"/>
        <v>0</v>
      </c>
    </row>
    <row r="250" spans="2:10" ht="14.25" thickBot="1" x14ac:dyDescent="0.2">
      <c r="B250" s="48" t="s">
        <v>5</v>
      </c>
      <c r="C250" s="50"/>
      <c r="D250" s="51">
        <f t="shared" si="10"/>
        <v>0</v>
      </c>
      <c r="G250" s="48" t="s">
        <v>5</v>
      </c>
      <c r="H250" s="50"/>
      <c r="I250" s="51">
        <f t="shared" si="11"/>
        <v>0</v>
      </c>
    </row>
    <row r="251" spans="2:10" ht="14.25" thickBot="1" x14ac:dyDescent="0.2">
      <c r="B251" s="13" t="s">
        <v>1</v>
      </c>
      <c r="C251" s="16">
        <f>SUM(C245:C250)</f>
        <v>2761</v>
      </c>
      <c r="D251" s="17">
        <f t="shared" si="10"/>
        <v>2761</v>
      </c>
      <c r="G251" s="13" t="s">
        <v>1</v>
      </c>
      <c r="H251" s="16">
        <f>SUM(H245:H250)</f>
        <v>1800</v>
      </c>
      <c r="I251" s="17">
        <f t="shared" si="11"/>
        <v>1800</v>
      </c>
    </row>
    <row r="252" spans="2:10" x14ac:dyDescent="0.15">
      <c r="B252" s="6" t="s">
        <v>37</v>
      </c>
      <c r="C252" s="2">
        <v>3</v>
      </c>
      <c r="D252" s="20">
        <f t="shared" si="10"/>
        <v>3</v>
      </c>
      <c r="E252" s="24">
        <v>44043</v>
      </c>
      <c r="G252" s="62" t="s">
        <v>39</v>
      </c>
      <c r="H252" s="22">
        <v>50</v>
      </c>
      <c r="I252" s="38">
        <f t="shared" si="11"/>
        <v>50</v>
      </c>
      <c r="J252" s="24">
        <v>44077</v>
      </c>
    </row>
    <row r="253" spans="2:10" x14ac:dyDescent="0.15">
      <c r="B253" s="6" t="s">
        <v>37</v>
      </c>
      <c r="C253" s="2">
        <v>5</v>
      </c>
      <c r="D253" s="5">
        <f t="shared" si="10"/>
        <v>5</v>
      </c>
      <c r="E253" s="24">
        <v>44044</v>
      </c>
      <c r="G253" s="62" t="s">
        <v>41</v>
      </c>
      <c r="H253" s="22">
        <v>450</v>
      </c>
      <c r="I253" s="23">
        <f t="shared" si="11"/>
        <v>450</v>
      </c>
      <c r="J253" s="24">
        <v>44085</v>
      </c>
    </row>
    <row r="254" spans="2:10" x14ac:dyDescent="0.15">
      <c r="B254" s="6" t="s">
        <v>37</v>
      </c>
      <c r="C254" s="22">
        <v>7</v>
      </c>
      <c r="D254" s="23">
        <f t="shared" si="10"/>
        <v>7</v>
      </c>
      <c r="E254" s="24">
        <v>44046</v>
      </c>
      <c r="G254" s="62" t="s">
        <v>42</v>
      </c>
      <c r="H254" s="22">
        <v>132</v>
      </c>
      <c r="I254" s="23">
        <f t="shared" si="11"/>
        <v>132</v>
      </c>
      <c r="J254" s="24">
        <v>44090</v>
      </c>
    </row>
    <row r="255" spans="2:10" x14ac:dyDescent="0.15">
      <c r="B255" s="6" t="s">
        <v>37</v>
      </c>
      <c r="C255" s="2">
        <v>7</v>
      </c>
      <c r="D255" s="5">
        <f t="shared" si="10"/>
        <v>7</v>
      </c>
      <c r="E255" s="24">
        <v>44047</v>
      </c>
      <c r="G255" s="18"/>
      <c r="H255" s="2"/>
      <c r="I255" s="5">
        <f t="shared" si="11"/>
        <v>0</v>
      </c>
    </row>
    <row r="256" spans="2:10" x14ac:dyDescent="0.15">
      <c r="B256" s="6" t="s">
        <v>37</v>
      </c>
      <c r="C256" s="2">
        <v>4</v>
      </c>
      <c r="D256" s="5">
        <f t="shared" si="10"/>
        <v>4</v>
      </c>
      <c r="E256" s="24">
        <v>44048</v>
      </c>
      <c r="G256" s="18"/>
      <c r="H256" s="2"/>
      <c r="I256" s="5">
        <f t="shared" si="11"/>
        <v>0</v>
      </c>
    </row>
    <row r="257" spans="2:9" x14ac:dyDescent="0.15">
      <c r="B257" s="6" t="s">
        <v>37</v>
      </c>
      <c r="C257" s="22">
        <v>5</v>
      </c>
      <c r="D257" s="23">
        <f t="shared" si="10"/>
        <v>5</v>
      </c>
      <c r="E257" s="24">
        <v>44049</v>
      </c>
      <c r="G257" s="18"/>
      <c r="H257" s="22"/>
      <c r="I257" s="23">
        <f t="shared" si="11"/>
        <v>0</v>
      </c>
    </row>
    <row r="258" spans="2:9" x14ac:dyDescent="0.15">
      <c r="B258" s="6" t="s">
        <v>37</v>
      </c>
      <c r="C258" s="2">
        <v>9</v>
      </c>
      <c r="D258" s="5">
        <f t="shared" si="10"/>
        <v>9</v>
      </c>
      <c r="E258" s="24">
        <v>44050</v>
      </c>
      <c r="G258" s="21"/>
      <c r="H258" s="2"/>
      <c r="I258" s="5">
        <f t="shared" si="11"/>
        <v>0</v>
      </c>
    </row>
    <row r="259" spans="2:9" x14ac:dyDescent="0.15">
      <c r="B259" s="6" t="s">
        <v>37</v>
      </c>
      <c r="C259" s="2">
        <v>17</v>
      </c>
      <c r="D259" s="5">
        <f t="shared" si="10"/>
        <v>17</v>
      </c>
      <c r="E259" s="24">
        <v>44054</v>
      </c>
      <c r="G259" s="18"/>
      <c r="H259" s="2"/>
      <c r="I259" s="5">
        <f t="shared" si="11"/>
        <v>0</v>
      </c>
    </row>
    <row r="260" spans="2:9" x14ac:dyDescent="0.15">
      <c r="B260" s="6" t="s">
        <v>37</v>
      </c>
      <c r="C260" s="2">
        <v>2</v>
      </c>
      <c r="D260" s="5">
        <f t="shared" si="10"/>
        <v>2</v>
      </c>
      <c r="E260" s="24">
        <v>44055</v>
      </c>
      <c r="G260" s="18"/>
      <c r="H260" s="2"/>
      <c r="I260" s="5">
        <f t="shared" si="11"/>
        <v>0</v>
      </c>
    </row>
    <row r="261" spans="2:9" x14ac:dyDescent="0.15">
      <c r="B261" s="6" t="s">
        <v>37</v>
      </c>
      <c r="C261" s="2">
        <v>19</v>
      </c>
      <c r="D261" s="5">
        <f t="shared" si="10"/>
        <v>19</v>
      </c>
      <c r="E261" s="24">
        <v>44060</v>
      </c>
      <c r="G261" s="18"/>
      <c r="H261" s="2"/>
      <c r="I261" s="5">
        <f t="shared" si="11"/>
        <v>0</v>
      </c>
    </row>
    <row r="262" spans="2:9" x14ac:dyDescent="0.15">
      <c r="B262" s="6" t="s">
        <v>37</v>
      </c>
      <c r="C262" s="2">
        <v>9</v>
      </c>
      <c r="D262" s="5">
        <f t="shared" si="10"/>
        <v>9</v>
      </c>
      <c r="E262" s="24">
        <v>44061</v>
      </c>
      <c r="G262" s="18"/>
      <c r="H262" s="2"/>
      <c r="I262" s="5">
        <f t="shared" si="11"/>
        <v>0</v>
      </c>
    </row>
    <row r="263" spans="2:9" x14ac:dyDescent="0.15">
      <c r="B263" s="6" t="s">
        <v>37</v>
      </c>
      <c r="C263" s="2">
        <v>6</v>
      </c>
      <c r="D263" s="5">
        <f t="shared" si="10"/>
        <v>6</v>
      </c>
      <c r="E263" s="24">
        <v>44062</v>
      </c>
      <c r="G263" s="18"/>
      <c r="H263" s="2"/>
      <c r="I263" s="5">
        <f t="shared" si="11"/>
        <v>0</v>
      </c>
    </row>
    <row r="264" spans="2:9" x14ac:dyDescent="0.15">
      <c r="B264" s="6" t="s">
        <v>37</v>
      </c>
      <c r="C264" s="2">
        <v>3</v>
      </c>
      <c r="D264" s="5">
        <f t="shared" si="10"/>
        <v>3</v>
      </c>
      <c r="E264" s="24">
        <v>44063</v>
      </c>
      <c r="G264" s="18"/>
      <c r="H264" s="2"/>
      <c r="I264" s="5">
        <f t="shared" si="11"/>
        <v>0</v>
      </c>
    </row>
    <row r="265" spans="2:9" x14ac:dyDescent="0.15">
      <c r="B265" s="6" t="s">
        <v>37</v>
      </c>
      <c r="C265" s="2">
        <v>4</v>
      </c>
      <c r="D265" s="5">
        <f t="shared" si="10"/>
        <v>4</v>
      </c>
      <c r="E265" s="24">
        <v>44064</v>
      </c>
      <c r="G265" s="6"/>
      <c r="H265" s="2"/>
      <c r="I265" s="5">
        <f t="shared" si="11"/>
        <v>0</v>
      </c>
    </row>
    <row r="266" spans="2:9" x14ac:dyDescent="0.15">
      <c r="B266" s="6" t="s">
        <v>37</v>
      </c>
      <c r="C266" s="2">
        <v>5</v>
      </c>
      <c r="D266" s="5">
        <f t="shared" si="10"/>
        <v>5</v>
      </c>
      <c r="E266" s="24">
        <v>44067</v>
      </c>
      <c r="G266" s="6"/>
      <c r="H266" s="2"/>
      <c r="I266" s="5">
        <f t="shared" si="11"/>
        <v>0</v>
      </c>
    </row>
    <row r="267" spans="2:9" x14ac:dyDescent="0.15">
      <c r="B267" s="6" t="s">
        <v>37</v>
      </c>
      <c r="C267" s="2">
        <v>6</v>
      </c>
      <c r="D267" s="5">
        <f t="shared" si="10"/>
        <v>6</v>
      </c>
      <c r="E267" s="24">
        <v>44068</v>
      </c>
      <c r="G267" s="6"/>
      <c r="H267" s="2"/>
      <c r="I267" s="5">
        <f t="shared" si="11"/>
        <v>0</v>
      </c>
    </row>
    <row r="268" spans="2:9" x14ac:dyDescent="0.15">
      <c r="B268" s="40" t="s">
        <v>38</v>
      </c>
      <c r="C268" s="2">
        <v>2</v>
      </c>
      <c r="D268" s="5">
        <f t="shared" si="10"/>
        <v>2</v>
      </c>
      <c r="E268" s="24">
        <v>44068</v>
      </c>
      <c r="G268" s="6"/>
      <c r="H268" s="2"/>
      <c r="I268" s="5">
        <f t="shared" si="11"/>
        <v>0</v>
      </c>
    </row>
    <row r="269" spans="2:9" x14ac:dyDescent="0.15">
      <c r="B269" s="6" t="s">
        <v>37</v>
      </c>
      <c r="C269" s="2">
        <v>3</v>
      </c>
      <c r="D269" s="5">
        <f t="shared" si="10"/>
        <v>3</v>
      </c>
      <c r="E269" s="24">
        <v>44070</v>
      </c>
      <c r="G269" s="6"/>
      <c r="H269" s="2"/>
      <c r="I269" s="5">
        <f t="shared" si="11"/>
        <v>0</v>
      </c>
    </row>
    <row r="270" spans="2:9" x14ac:dyDescent="0.15">
      <c r="B270" s="6" t="s">
        <v>37</v>
      </c>
      <c r="C270" s="2">
        <v>4</v>
      </c>
      <c r="D270" s="5">
        <f t="shared" si="10"/>
        <v>4</v>
      </c>
      <c r="E270" s="24">
        <v>44071</v>
      </c>
      <c r="G270" s="6"/>
      <c r="H270" s="2"/>
      <c r="I270" s="5">
        <f t="shared" si="11"/>
        <v>0</v>
      </c>
    </row>
    <row r="271" spans="2:9" x14ac:dyDescent="0.15">
      <c r="B271" s="6" t="s">
        <v>37</v>
      </c>
      <c r="C271" s="2">
        <v>4</v>
      </c>
      <c r="D271" s="5">
        <f t="shared" si="10"/>
        <v>4</v>
      </c>
      <c r="E271" s="24">
        <v>44072</v>
      </c>
      <c r="G271" s="40"/>
      <c r="H271" s="2"/>
      <c r="I271" s="5">
        <f t="shared" si="11"/>
        <v>0</v>
      </c>
    </row>
    <row r="272" spans="2:9" x14ac:dyDescent="0.15">
      <c r="B272" s="6" t="s">
        <v>37</v>
      </c>
      <c r="C272" s="2">
        <v>7</v>
      </c>
      <c r="D272" s="5">
        <f t="shared" si="10"/>
        <v>7</v>
      </c>
      <c r="E272" s="24">
        <v>44074</v>
      </c>
      <c r="G272" s="40"/>
      <c r="H272" s="2"/>
      <c r="I272" s="5">
        <f t="shared" si="11"/>
        <v>0</v>
      </c>
    </row>
    <row r="273" spans="2:10" x14ac:dyDescent="0.15">
      <c r="B273" s="6" t="s">
        <v>37</v>
      </c>
      <c r="C273" s="3">
        <v>4</v>
      </c>
      <c r="D273" s="8">
        <f t="shared" si="10"/>
        <v>4</v>
      </c>
      <c r="E273" s="24">
        <v>44075</v>
      </c>
      <c r="G273" s="40"/>
      <c r="H273" s="3"/>
      <c r="I273" s="8">
        <f t="shared" si="11"/>
        <v>0</v>
      </c>
    </row>
    <row r="274" spans="2:10" x14ac:dyDescent="0.15">
      <c r="B274" s="40" t="s">
        <v>40</v>
      </c>
      <c r="C274" s="22">
        <v>6</v>
      </c>
      <c r="D274" s="23">
        <f t="shared" si="10"/>
        <v>6</v>
      </c>
      <c r="E274" s="24">
        <v>44077</v>
      </c>
      <c r="G274" s="40"/>
      <c r="H274" s="22"/>
      <c r="I274" s="23">
        <f t="shared" si="11"/>
        <v>0</v>
      </c>
    </row>
    <row r="275" spans="2:10" x14ac:dyDescent="0.15">
      <c r="B275" s="40" t="s">
        <v>40</v>
      </c>
      <c r="C275" s="22">
        <v>3</v>
      </c>
      <c r="D275" s="23">
        <f t="shared" si="10"/>
        <v>3</v>
      </c>
      <c r="E275" s="24">
        <v>44078</v>
      </c>
      <c r="G275" s="48"/>
      <c r="H275" s="22"/>
      <c r="I275" s="23">
        <f t="shared" si="11"/>
        <v>0</v>
      </c>
    </row>
    <row r="276" spans="2:10" ht="14.25" thickBot="1" x14ac:dyDescent="0.2">
      <c r="B276" s="57" t="s">
        <v>20</v>
      </c>
      <c r="C276" s="42">
        <v>9</v>
      </c>
      <c r="D276" s="43">
        <f t="shared" si="10"/>
        <v>9</v>
      </c>
      <c r="E276" s="24">
        <v>44079</v>
      </c>
      <c r="G276" s="63" t="s">
        <v>36</v>
      </c>
      <c r="H276" s="42"/>
      <c r="I276" s="43">
        <f t="shared" si="11"/>
        <v>0</v>
      </c>
      <c r="J276" t="s">
        <v>31</v>
      </c>
    </row>
    <row r="277" spans="2:10" x14ac:dyDescent="0.15">
      <c r="B277" s="9" t="s">
        <v>2</v>
      </c>
      <c r="C277" s="10">
        <f>SUM(C252:C276)</f>
        <v>153</v>
      </c>
      <c r="D277" s="11">
        <f t="shared" si="10"/>
        <v>153</v>
      </c>
      <c r="G277" s="9" t="s">
        <v>2</v>
      </c>
      <c r="H277" s="10">
        <f>SUM(H252:H276)</f>
        <v>632</v>
      </c>
      <c r="I277" s="11">
        <f t="shared" si="11"/>
        <v>632</v>
      </c>
    </row>
    <row r="278" spans="2:10" ht="14.25" thickBot="1" x14ac:dyDescent="0.2">
      <c r="B278" s="33" t="s">
        <v>3</v>
      </c>
      <c r="C278" s="34">
        <f>+C251-C277</f>
        <v>2608</v>
      </c>
      <c r="D278" s="35">
        <f t="shared" si="10"/>
        <v>2608</v>
      </c>
      <c r="G278" s="33" t="s">
        <v>3</v>
      </c>
      <c r="H278" s="34">
        <f>+H251-H277</f>
        <v>1168</v>
      </c>
      <c r="I278" s="35">
        <f t="shared" si="11"/>
        <v>1168</v>
      </c>
    </row>
    <row r="279" spans="2:10" x14ac:dyDescent="0.15">
      <c r="G279" s="1"/>
    </row>
    <row r="280" spans="2:10" x14ac:dyDescent="0.15">
      <c r="G280" s="1"/>
    </row>
    <row r="281" spans="2:10" ht="18.75" x14ac:dyDescent="0.2">
      <c r="B281" s="4" t="s">
        <v>53</v>
      </c>
      <c r="G281" s="54" t="s">
        <v>54</v>
      </c>
      <c r="H281" s="55"/>
      <c r="I281" s="55"/>
      <c r="J281" s="55"/>
    </row>
    <row r="282" spans="2:10" ht="14.25" thickBot="1" x14ac:dyDescent="0.2">
      <c r="G282" s="1"/>
    </row>
    <row r="283" spans="2:10" ht="14.25" thickBot="1" x14ac:dyDescent="0.2">
      <c r="B283" s="12"/>
      <c r="C283" s="74"/>
      <c r="D283" s="75"/>
      <c r="G283" s="12"/>
      <c r="H283" s="74"/>
      <c r="I283" s="75"/>
    </row>
    <row r="284" spans="2:10" ht="14.25" thickBot="1" x14ac:dyDescent="0.2">
      <c r="B284" s="13"/>
      <c r="C284" s="14"/>
      <c r="D284" s="15" t="s">
        <v>0</v>
      </c>
      <c r="G284" s="13"/>
      <c r="H284" s="14"/>
      <c r="I284" s="15" t="s">
        <v>0</v>
      </c>
    </row>
    <row r="285" spans="2:10" x14ac:dyDescent="0.15">
      <c r="B285" s="25" t="s">
        <v>4</v>
      </c>
      <c r="C285" s="26">
        <f>C278</f>
        <v>2608</v>
      </c>
      <c r="D285" s="27">
        <f t="shared" ref="D285:D318" si="12">SUM(C285:C285)</f>
        <v>2608</v>
      </c>
      <c r="G285" s="25" t="s">
        <v>4</v>
      </c>
      <c r="H285" s="26">
        <f>H278</f>
        <v>1168</v>
      </c>
      <c r="I285" s="27">
        <f t="shared" ref="I285:I318" si="13">SUM(H285:H285)</f>
        <v>1168</v>
      </c>
    </row>
    <row r="286" spans="2:10" x14ac:dyDescent="0.15">
      <c r="B286" s="48" t="s">
        <v>5</v>
      </c>
      <c r="C286" s="22">
        <v>10</v>
      </c>
      <c r="D286" s="23">
        <f t="shared" si="12"/>
        <v>10</v>
      </c>
      <c r="E286" s="24">
        <v>44091</v>
      </c>
      <c r="G286" s="41" t="s">
        <v>5</v>
      </c>
      <c r="H286" s="30"/>
      <c r="I286" s="31">
        <f t="shared" si="13"/>
        <v>0</v>
      </c>
    </row>
    <row r="287" spans="2:10" x14ac:dyDescent="0.15">
      <c r="B287" s="41" t="s">
        <v>5</v>
      </c>
      <c r="C287" s="30"/>
      <c r="D287" s="31">
        <f t="shared" si="12"/>
        <v>0</v>
      </c>
      <c r="G287" s="41" t="s">
        <v>5</v>
      </c>
      <c r="H287" s="30"/>
      <c r="I287" s="31">
        <f t="shared" si="13"/>
        <v>0</v>
      </c>
    </row>
    <row r="288" spans="2:10" x14ac:dyDescent="0.15">
      <c r="B288" s="41" t="s">
        <v>5</v>
      </c>
      <c r="C288" s="30"/>
      <c r="D288" s="31">
        <f t="shared" si="12"/>
        <v>0</v>
      </c>
      <c r="G288" s="41" t="s">
        <v>5</v>
      </c>
      <c r="H288" s="30"/>
      <c r="I288" s="31">
        <f t="shared" si="13"/>
        <v>0</v>
      </c>
    </row>
    <row r="289" spans="2:10" x14ac:dyDescent="0.15">
      <c r="B289" s="41" t="s">
        <v>5</v>
      </c>
      <c r="C289" s="30"/>
      <c r="D289" s="31">
        <f t="shared" si="12"/>
        <v>0</v>
      </c>
      <c r="G289" s="41" t="s">
        <v>5</v>
      </c>
      <c r="H289" s="30"/>
      <c r="I289" s="31">
        <f t="shared" si="13"/>
        <v>0</v>
      </c>
    </row>
    <row r="290" spans="2:10" ht="14.25" thickBot="1" x14ac:dyDescent="0.2">
      <c r="B290" s="41" t="s">
        <v>5</v>
      </c>
      <c r="C290" s="44"/>
      <c r="D290" s="45">
        <f t="shared" si="12"/>
        <v>0</v>
      </c>
      <c r="G290" s="41" t="s">
        <v>5</v>
      </c>
      <c r="H290" s="44"/>
      <c r="I290" s="45">
        <f t="shared" si="13"/>
        <v>0</v>
      </c>
    </row>
    <row r="291" spans="2:10" ht="14.25" thickBot="1" x14ac:dyDescent="0.2">
      <c r="B291" s="13" t="s">
        <v>1</v>
      </c>
      <c r="C291" s="16">
        <f>SUM(C285:C290)</f>
        <v>2618</v>
      </c>
      <c r="D291" s="17">
        <f t="shared" si="12"/>
        <v>2618</v>
      </c>
      <c r="G291" s="13" t="s">
        <v>1</v>
      </c>
      <c r="H291" s="16">
        <f>SUM(H285:H290)</f>
        <v>1168</v>
      </c>
      <c r="I291" s="17">
        <f t="shared" si="13"/>
        <v>1168</v>
      </c>
    </row>
    <row r="292" spans="2:10" x14ac:dyDescent="0.15">
      <c r="B292" s="6" t="s">
        <v>37</v>
      </c>
      <c r="C292" s="2">
        <v>12</v>
      </c>
      <c r="D292" s="20">
        <f t="shared" si="12"/>
        <v>12</v>
      </c>
      <c r="E292" s="24">
        <v>44081</v>
      </c>
      <c r="G292" s="40" t="s">
        <v>35</v>
      </c>
      <c r="H292" s="22">
        <v>10</v>
      </c>
      <c r="I292" s="38">
        <f t="shared" si="13"/>
        <v>10</v>
      </c>
      <c r="J292" s="24">
        <v>44091</v>
      </c>
    </row>
    <row r="293" spans="2:10" x14ac:dyDescent="0.15">
      <c r="B293" s="6" t="s">
        <v>37</v>
      </c>
      <c r="C293" s="2">
        <v>7</v>
      </c>
      <c r="D293" s="5">
        <f t="shared" si="12"/>
        <v>7</v>
      </c>
      <c r="E293" s="24">
        <v>44082</v>
      </c>
      <c r="G293" s="18"/>
      <c r="H293" s="2"/>
      <c r="I293" s="5">
        <f t="shared" si="13"/>
        <v>0</v>
      </c>
    </row>
    <row r="294" spans="2:10" x14ac:dyDescent="0.15">
      <c r="B294" s="6" t="s">
        <v>37</v>
      </c>
      <c r="C294" s="22">
        <v>8</v>
      </c>
      <c r="D294" s="23">
        <f t="shared" si="12"/>
        <v>8</v>
      </c>
      <c r="E294" s="24">
        <v>44083</v>
      </c>
      <c r="G294" s="7"/>
      <c r="H294" s="22"/>
      <c r="I294" s="23">
        <f t="shared" si="13"/>
        <v>0</v>
      </c>
    </row>
    <row r="295" spans="2:10" x14ac:dyDescent="0.15">
      <c r="B295" s="6" t="s">
        <v>37</v>
      </c>
      <c r="C295" s="2">
        <v>10</v>
      </c>
      <c r="D295" s="5">
        <f t="shared" si="12"/>
        <v>10</v>
      </c>
      <c r="E295" s="24">
        <v>44084</v>
      </c>
      <c r="G295" s="18"/>
      <c r="H295" s="2"/>
      <c r="I295" s="5">
        <f t="shared" si="13"/>
        <v>0</v>
      </c>
    </row>
    <row r="296" spans="2:10" x14ac:dyDescent="0.15">
      <c r="B296" s="6" t="s">
        <v>37</v>
      </c>
      <c r="C296" s="2">
        <v>5</v>
      </c>
      <c r="D296" s="5">
        <f t="shared" si="12"/>
        <v>5</v>
      </c>
      <c r="E296" s="24">
        <v>44085</v>
      </c>
      <c r="G296" s="18"/>
      <c r="H296" s="2"/>
      <c r="I296" s="5">
        <f t="shared" si="13"/>
        <v>0</v>
      </c>
    </row>
    <row r="297" spans="2:10" x14ac:dyDescent="0.15">
      <c r="B297" s="6" t="s">
        <v>37</v>
      </c>
      <c r="C297" s="22">
        <v>7</v>
      </c>
      <c r="D297" s="23">
        <f t="shared" si="12"/>
        <v>7</v>
      </c>
      <c r="E297" s="24">
        <v>44088</v>
      </c>
      <c r="G297" s="18"/>
      <c r="H297" s="22"/>
      <c r="I297" s="23">
        <f t="shared" si="13"/>
        <v>0</v>
      </c>
    </row>
    <row r="298" spans="2:10" x14ac:dyDescent="0.15">
      <c r="B298" s="6" t="s">
        <v>37</v>
      </c>
      <c r="C298" s="2">
        <v>5</v>
      </c>
      <c r="D298" s="5">
        <f t="shared" si="12"/>
        <v>5</v>
      </c>
      <c r="E298" s="24">
        <v>44089</v>
      </c>
      <c r="G298" s="21"/>
      <c r="H298" s="2"/>
      <c r="I298" s="5">
        <f t="shared" si="13"/>
        <v>0</v>
      </c>
    </row>
    <row r="299" spans="2:10" x14ac:dyDescent="0.15">
      <c r="B299" s="6" t="s">
        <v>37</v>
      </c>
      <c r="C299" s="2">
        <v>7</v>
      </c>
      <c r="D299" s="5">
        <f t="shared" si="12"/>
        <v>7</v>
      </c>
      <c r="E299" s="24">
        <v>44090</v>
      </c>
      <c r="G299" s="18"/>
      <c r="H299" s="2"/>
      <c r="I299" s="5">
        <f t="shared" si="13"/>
        <v>0</v>
      </c>
    </row>
    <row r="300" spans="2:10" x14ac:dyDescent="0.15">
      <c r="B300" s="6" t="s">
        <v>37</v>
      </c>
      <c r="C300" s="2">
        <v>5</v>
      </c>
      <c r="D300" s="5">
        <f t="shared" si="12"/>
        <v>5</v>
      </c>
      <c r="E300" s="24">
        <v>44091</v>
      </c>
      <c r="G300" s="18"/>
      <c r="H300" s="2"/>
      <c r="I300" s="5">
        <f t="shared" si="13"/>
        <v>0</v>
      </c>
    </row>
    <row r="301" spans="2:10" x14ac:dyDescent="0.15">
      <c r="B301" s="21" t="s">
        <v>43</v>
      </c>
      <c r="C301" s="2">
        <v>1</v>
      </c>
      <c r="D301" s="5">
        <f t="shared" si="12"/>
        <v>1</v>
      </c>
      <c r="E301" s="24">
        <v>44091</v>
      </c>
      <c r="G301" s="18"/>
      <c r="H301" s="2"/>
      <c r="I301" s="5">
        <f t="shared" si="13"/>
        <v>0</v>
      </c>
    </row>
    <row r="302" spans="2:10" x14ac:dyDescent="0.15">
      <c r="B302" s="18" t="s">
        <v>37</v>
      </c>
      <c r="C302" s="2">
        <v>13</v>
      </c>
      <c r="D302" s="5">
        <f t="shared" si="12"/>
        <v>13</v>
      </c>
      <c r="E302" s="24">
        <v>44092</v>
      </c>
      <c r="G302" s="18"/>
      <c r="H302" s="2"/>
      <c r="I302" s="5">
        <f t="shared" si="13"/>
        <v>0</v>
      </c>
    </row>
    <row r="303" spans="2:10" x14ac:dyDescent="0.15">
      <c r="B303" s="18" t="s">
        <v>37</v>
      </c>
      <c r="C303" s="2">
        <v>11</v>
      </c>
      <c r="D303" s="5">
        <f t="shared" si="12"/>
        <v>11</v>
      </c>
      <c r="E303" s="24">
        <v>44097</v>
      </c>
      <c r="G303" s="18"/>
      <c r="H303" s="2"/>
      <c r="I303" s="5">
        <f t="shared" si="13"/>
        <v>0</v>
      </c>
    </row>
    <row r="304" spans="2:10" x14ac:dyDescent="0.15">
      <c r="B304" s="18" t="s">
        <v>37</v>
      </c>
      <c r="C304" s="2">
        <v>14</v>
      </c>
      <c r="D304" s="5">
        <f t="shared" si="12"/>
        <v>14</v>
      </c>
      <c r="E304" s="24">
        <v>44098</v>
      </c>
      <c r="G304" s="18"/>
      <c r="H304" s="2"/>
      <c r="I304" s="5">
        <f t="shared" si="13"/>
        <v>0</v>
      </c>
    </row>
    <row r="305" spans="2:9" x14ac:dyDescent="0.15">
      <c r="B305" s="18" t="s">
        <v>37</v>
      </c>
      <c r="C305" s="2">
        <v>5</v>
      </c>
      <c r="D305" s="5">
        <f t="shared" si="12"/>
        <v>5</v>
      </c>
      <c r="E305" s="24">
        <v>44099</v>
      </c>
      <c r="G305" s="6"/>
      <c r="H305" s="2"/>
      <c r="I305" s="5">
        <f t="shared" si="13"/>
        <v>0</v>
      </c>
    </row>
    <row r="306" spans="2:9" x14ac:dyDescent="0.15">
      <c r="B306" s="18" t="s">
        <v>37</v>
      </c>
      <c r="C306" s="2">
        <v>1</v>
      </c>
      <c r="D306" s="5">
        <f t="shared" si="12"/>
        <v>1</v>
      </c>
      <c r="E306" s="24">
        <v>44100</v>
      </c>
      <c r="G306" s="6"/>
      <c r="H306" s="2"/>
      <c r="I306" s="5">
        <f t="shared" si="13"/>
        <v>0</v>
      </c>
    </row>
    <row r="307" spans="2:9" x14ac:dyDescent="0.15">
      <c r="B307" s="18" t="s">
        <v>37</v>
      </c>
      <c r="C307" s="2">
        <v>11</v>
      </c>
      <c r="D307" s="5">
        <f t="shared" si="12"/>
        <v>11</v>
      </c>
      <c r="E307" s="24">
        <v>44102</v>
      </c>
      <c r="G307" s="6"/>
      <c r="H307" s="2"/>
      <c r="I307" s="5">
        <f t="shared" si="13"/>
        <v>0</v>
      </c>
    </row>
    <row r="308" spans="2:9" x14ac:dyDescent="0.15">
      <c r="B308" s="18" t="s">
        <v>37</v>
      </c>
      <c r="C308" s="2">
        <v>4</v>
      </c>
      <c r="D308" s="5">
        <f t="shared" si="12"/>
        <v>4</v>
      </c>
      <c r="E308" s="24">
        <v>44103</v>
      </c>
      <c r="G308" s="6"/>
      <c r="H308" s="2"/>
      <c r="I308" s="5">
        <f t="shared" si="13"/>
        <v>0</v>
      </c>
    </row>
    <row r="309" spans="2:9" x14ac:dyDescent="0.15">
      <c r="B309" s="18" t="s">
        <v>37</v>
      </c>
      <c r="C309" s="2">
        <v>1</v>
      </c>
      <c r="D309" s="5">
        <f t="shared" si="12"/>
        <v>1</v>
      </c>
      <c r="E309" s="24">
        <v>44104</v>
      </c>
      <c r="G309" s="6"/>
      <c r="H309" s="2"/>
      <c r="I309" s="5">
        <f t="shared" si="13"/>
        <v>0</v>
      </c>
    </row>
    <row r="310" spans="2:9" x14ac:dyDescent="0.15">
      <c r="B310" s="18" t="s">
        <v>37</v>
      </c>
      <c r="C310" s="2">
        <v>2</v>
      </c>
      <c r="D310" s="5">
        <f t="shared" si="12"/>
        <v>2</v>
      </c>
      <c r="E310" s="24">
        <v>44105</v>
      </c>
      <c r="G310" s="6"/>
      <c r="H310" s="2"/>
      <c r="I310" s="5">
        <f t="shared" si="13"/>
        <v>0</v>
      </c>
    </row>
    <row r="311" spans="2:9" x14ac:dyDescent="0.15">
      <c r="B311" s="18" t="s">
        <v>37</v>
      </c>
      <c r="C311" s="2">
        <v>1</v>
      </c>
      <c r="D311" s="5">
        <f t="shared" si="12"/>
        <v>1</v>
      </c>
      <c r="E311" s="24">
        <v>44106</v>
      </c>
      <c r="G311" s="40"/>
      <c r="H311" s="2"/>
      <c r="I311" s="5">
        <f t="shared" si="13"/>
        <v>0</v>
      </c>
    </row>
    <row r="312" spans="2:9" x14ac:dyDescent="0.15">
      <c r="B312" s="18" t="s">
        <v>37</v>
      </c>
      <c r="C312" s="2">
        <v>7</v>
      </c>
      <c r="D312" s="5">
        <f t="shared" si="12"/>
        <v>7</v>
      </c>
      <c r="E312" s="24">
        <v>44107</v>
      </c>
      <c r="G312" s="40"/>
      <c r="H312" s="2"/>
      <c r="I312" s="5">
        <f t="shared" si="13"/>
        <v>0</v>
      </c>
    </row>
    <row r="313" spans="2:9" x14ac:dyDescent="0.15">
      <c r="B313" s="18" t="s">
        <v>37</v>
      </c>
      <c r="C313" s="3">
        <v>11</v>
      </c>
      <c r="D313" s="8">
        <f t="shared" si="12"/>
        <v>11</v>
      </c>
      <c r="E313" s="24">
        <v>44109</v>
      </c>
      <c r="G313" s="40"/>
      <c r="H313" s="3"/>
      <c r="I313" s="8">
        <f t="shared" si="13"/>
        <v>0</v>
      </c>
    </row>
    <row r="314" spans="2:9" x14ac:dyDescent="0.15">
      <c r="B314" s="18" t="s">
        <v>37</v>
      </c>
      <c r="C314" s="22">
        <v>13</v>
      </c>
      <c r="D314" s="23">
        <f t="shared" si="12"/>
        <v>13</v>
      </c>
      <c r="E314" s="24">
        <v>44110</v>
      </c>
      <c r="G314" s="40"/>
      <c r="H314" s="2"/>
      <c r="I314" s="5">
        <f>SUM(H314:H314)</f>
        <v>0</v>
      </c>
    </row>
    <row r="315" spans="2:9" x14ac:dyDescent="0.15">
      <c r="B315" s="18" t="s">
        <v>37</v>
      </c>
      <c r="C315" s="22">
        <v>9</v>
      </c>
      <c r="D315" s="23">
        <f t="shared" si="12"/>
        <v>9</v>
      </c>
      <c r="E315" s="24">
        <v>44111</v>
      </c>
      <c r="G315" s="40"/>
      <c r="H315" s="22"/>
      <c r="I315" s="23">
        <f>SUM(H315:H315)</f>
        <v>0</v>
      </c>
    </row>
    <row r="316" spans="2:9" ht="14.25" thickBot="1" x14ac:dyDescent="0.2">
      <c r="B316" s="18" t="s">
        <v>37</v>
      </c>
      <c r="C316" s="42">
        <v>5</v>
      </c>
      <c r="D316" s="43">
        <f t="shared" si="12"/>
        <v>5</v>
      </c>
      <c r="E316" s="24">
        <v>44112</v>
      </c>
      <c r="G316" s="66"/>
      <c r="H316" s="67"/>
      <c r="I316" s="68">
        <f t="shared" si="13"/>
        <v>0</v>
      </c>
    </row>
    <row r="317" spans="2:9" ht="14.25" thickBot="1" x14ac:dyDescent="0.2">
      <c r="B317" s="61" t="s">
        <v>2</v>
      </c>
      <c r="C317" s="10">
        <f>SUM(C292:C316)</f>
        <v>175</v>
      </c>
      <c r="D317" s="11">
        <f t="shared" si="12"/>
        <v>175</v>
      </c>
      <c r="G317" s="9" t="s">
        <v>2</v>
      </c>
      <c r="H317" s="10">
        <f>SUM(H292:H316)</f>
        <v>10</v>
      </c>
      <c r="I317" s="11">
        <f t="shared" si="13"/>
        <v>10</v>
      </c>
    </row>
    <row r="318" spans="2:9" ht="14.25" thickBot="1" x14ac:dyDescent="0.2">
      <c r="B318" s="60" t="s">
        <v>3</v>
      </c>
      <c r="C318" s="34">
        <f>+C291-C317</f>
        <v>2443</v>
      </c>
      <c r="D318" s="35">
        <f t="shared" si="12"/>
        <v>2443</v>
      </c>
      <c r="G318" s="33" t="s">
        <v>3</v>
      </c>
      <c r="H318" s="34">
        <f>+H291-H317</f>
        <v>1158</v>
      </c>
      <c r="I318" s="35">
        <f t="shared" si="13"/>
        <v>1158</v>
      </c>
    </row>
    <row r="319" spans="2:9" x14ac:dyDescent="0.15">
      <c r="G319" s="1"/>
    </row>
    <row r="320" spans="2:9" x14ac:dyDescent="0.15">
      <c r="G320" s="1"/>
    </row>
    <row r="321" spans="2:10" ht="18.75" x14ac:dyDescent="0.2">
      <c r="B321" s="4" t="s">
        <v>53</v>
      </c>
      <c r="G321" s="54" t="s">
        <v>54</v>
      </c>
      <c r="H321" s="55"/>
      <c r="I321" s="55"/>
      <c r="J321" s="55"/>
    </row>
    <row r="322" spans="2:10" ht="14.25" thickBot="1" x14ac:dyDescent="0.2">
      <c r="G322" s="1"/>
    </row>
    <row r="323" spans="2:10" ht="14.25" thickBot="1" x14ac:dyDescent="0.2">
      <c r="B323" s="12"/>
      <c r="C323" s="74"/>
      <c r="D323" s="75"/>
      <c r="G323" s="12"/>
      <c r="H323" s="74"/>
      <c r="I323" s="75"/>
    </row>
    <row r="324" spans="2:10" ht="14.25" thickBot="1" x14ac:dyDescent="0.2">
      <c r="B324" s="13"/>
      <c r="C324" s="14"/>
      <c r="D324" s="15" t="s">
        <v>0</v>
      </c>
      <c r="G324" s="13"/>
      <c r="H324" s="14"/>
      <c r="I324" s="15" t="s">
        <v>0</v>
      </c>
    </row>
    <row r="325" spans="2:10" x14ac:dyDescent="0.15">
      <c r="B325" s="25" t="s">
        <v>4</v>
      </c>
      <c r="C325" s="26">
        <f>C318</f>
        <v>2443</v>
      </c>
      <c r="D325" s="27">
        <f t="shared" ref="D325:D358" si="14">SUM(C325:C325)</f>
        <v>2443</v>
      </c>
      <c r="G325" s="25" t="s">
        <v>4</v>
      </c>
      <c r="H325" s="26">
        <f>H318</f>
        <v>1158</v>
      </c>
      <c r="I325" s="27">
        <f t="shared" ref="I325:I353" si="15">SUM(H325:H325)</f>
        <v>1158</v>
      </c>
    </row>
    <row r="326" spans="2:10" x14ac:dyDescent="0.15">
      <c r="B326" s="48" t="s">
        <v>5</v>
      </c>
      <c r="C326" s="22">
        <v>200</v>
      </c>
      <c r="D326" s="23">
        <f t="shared" si="14"/>
        <v>200</v>
      </c>
      <c r="E326" s="24">
        <v>44134</v>
      </c>
      <c r="G326" s="41" t="s">
        <v>5</v>
      </c>
      <c r="H326" s="30"/>
      <c r="I326" s="31">
        <f t="shared" si="15"/>
        <v>0</v>
      </c>
    </row>
    <row r="327" spans="2:10" x14ac:dyDescent="0.15">
      <c r="B327" s="41" t="s">
        <v>5</v>
      </c>
      <c r="C327" s="30"/>
      <c r="D327" s="31">
        <f t="shared" si="14"/>
        <v>0</v>
      </c>
      <c r="E327" s="32"/>
      <c r="G327" s="41" t="s">
        <v>5</v>
      </c>
      <c r="H327" s="30"/>
      <c r="I327" s="31">
        <f t="shared" si="15"/>
        <v>0</v>
      </c>
      <c r="J327" s="29"/>
    </row>
    <row r="328" spans="2:10" x14ac:dyDescent="0.15">
      <c r="B328" s="41" t="s">
        <v>5</v>
      </c>
      <c r="C328" s="30"/>
      <c r="D328" s="31">
        <f t="shared" si="14"/>
        <v>0</v>
      </c>
      <c r="G328" s="41" t="s">
        <v>5</v>
      </c>
      <c r="H328" s="30"/>
      <c r="I328" s="31">
        <f t="shared" si="15"/>
        <v>0</v>
      </c>
    </row>
    <row r="329" spans="2:10" x14ac:dyDescent="0.15">
      <c r="B329" s="41" t="s">
        <v>5</v>
      </c>
      <c r="C329" s="30"/>
      <c r="D329" s="31">
        <f t="shared" si="14"/>
        <v>0</v>
      </c>
      <c r="G329" s="41" t="s">
        <v>5</v>
      </c>
      <c r="H329" s="30"/>
      <c r="I329" s="31">
        <f t="shared" si="15"/>
        <v>0</v>
      </c>
    </row>
    <row r="330" spans="2:10" ht="14.25" thickBot="1" x14ac:dyDescent="0.2">
      <c r="B330" s="41" t="s">
        <v>5</v>
      </c>
      <c r="C330" s="44"/>
      <c r="D330" s="45">
        <f t="shared" si="14"/>
        <v>0</v>
      </c>
      <c r="G330" s="41" t="s">
        <v>5</v>
      </c>
      <c r="H330" s="44"/>
      <c r="I330" s="45">
        <f t="shared" si="15"/>
        <v>0</v>
      </c>
    </row>
    <row r="331" spans="2:10" ht="14.25" thickBot="1" x14ac:dyDescent="0.2">
      <c r="B331" s="13" t="s">
        <v>1</v>
      </c>
      <c r="C331" s="16">
        <f>SUM(C325:C330)</f>
        <v>2643</v>
      </c>
      <c r="D331" s="17">
        <f t="shared" si="14"/>
        <v>2643</v>
      </c>
      <c r="G331" s="13" t="s">
        <v>1</v>
      </c>
      <c r="H331" s="16">
        <f>SUM(H325:H330)</f>
        <v>1158</v>
      </c>
      <c r="I331" s="17">
        <f t="shared" si="15"/>
        <v>1158</v>
      </c>
    </row>
    <row r="332" spans="2:10" x14ac:dyDescent="0.15">
      <c r="B332" s="18" t="s">
        <v>37</v>
      </c>
      <c r="C332" s="2">
        <v>6</v>
      </c>
      <c r="D332" s="20">
        <f t="shared" si="14"/>
        <v>6</v>
      </c>
      <c r="E332" s="24">
        <v>44113</v>
      </c>
      <c r="G332" s="40" t="s">
        <v>49</v>
      </c>
      <c r="H332" s="22">
        <v>50</v>
      </c>
      <c r="I332" s="38">
        <f t="shared" si="15"/>
        <v>50</v>
      </c>
      <c r="J332" s="24">
        <v>44134</v>
      </c>
    </row>
    <row r="333" spans="2:10" x14ac:dyDescent="0.15">
      <c r="B333" s="18" t="s">
        <v>37</v>
      </c>
      <c r="C333" s="2">
        <v>19</v>
      </c>
      <c r="D333" s="5">
        <f t="shared" si="14"/>
        <v>19</v>
      </c>
      <c r="E333" s="24">
        <v>44116</v>
      </c>
      <c r="G333" s="40" t="s">
        <v>50</v>
      </c>
      <c r="H333" s="22">
        <v>100</v>
      </c>
      <c r="I333" s="23">
        <f t="shared" si="15"/>
        <v>100</v>
      </c>
      <c r="J333" s="24">
        <v>44140</v>
      </c>
    </row>
    <row r="334" spans="2:10" x14ac:dyDescent="0.15">
      <c r="B334" s="18" t="s">
        <v>37</v>
      </c>
      <c r="C334" s="22">
        <v>4</v>
      </c>
      <c r="D334" s="23">
        <f t="shared" si="14"/>
        <v>4</v>
      </c>
      <c r="E334" s="24">
        <v>44118</v>
      </c>
      <c r="G334" s="7"/>
      <c r="H334" s="22"/>
      <c r="I334" s="23">
        <f t="shared" si="15"/>
        <v>0</v>
      </c>
    </row>
    <row r="335" spans="2:10" x14ac:dyDescent="0.15">
      <c r="B335" s="18" t="s">
        <v>37</v>
      </c>
      <c r="C335" s="2">
        <v>2</v>
      </c>
      <c r="D335" s="5">
        <f t="shared" si="14"/>
        <v>2</v>
      </c>
      <c r="E335" s="24">
        <v>44119</v>
      </c>
      <c r="G335" s="18"/>
      <c r="H335" s="2"/>
      <c r="I335" s="5">
        <f t="shared" si="15"/>
        <v>0</v>
      </c>
    </row>
    <row r="336" spans="2:10" x14ac:dyDescent="0.15">
      <c r="B336" s="18" t="s">
        <v>37</v>
      </c>
      <c r="C336" s="2">
        <v>5</v>
      </c>
      <c r="D336" s="5">
        <f t="shared" si="14"/>
        <v>5</v>
      </c>
      <c r="E336" s="24">
        <v>44120</v>
      </c>
      <c r="G336" s="18"/>
      <c r="H336" s="2"/>
      <c r="I336" s="5">
        <f t="shared" si="15"/>
        <v>0</v>
      </c>
    </row>
    <row r="337" spans="2:9" x14ac:dyDescent="0.15">
      <c r="B337" s="18" t="s">
        <v>37</v>
      </c>
      <c r="C337" s="22">
        <v>2</v>
      </c>
      <c r="D337" s="23">
        <f t="shared" si="14"/>
        <v>2</v>
      </c>
      <c r="E337" s="24">
        <v>44121</v>
      </c>
      <c r="G337" s="18"/>
      <c r="H337" s="22"/>
      <c r="I337" s="23">
        <f t="shared" si="15"/>
        <v>0</v>
      </c>
    </row>
    <row r="338" spans="2:9" x14ac:dyDescent="0.15">
      <c r="B338" s="21" t="s">
        <v>48</v>
      </c>
      <c r="C338" s="22">
        <v>13</v>
      </c>
      <c r="D338" s="23">
        <f t="shared" si="14"/>
        <v>13</v>
      </c>
      <c r="E338" s="24">
        <v>44123</v>
      </c>
      <c r="G338" s="21"/>
      <c r="H338" s="2"/>
      <c r="I338" s="5">
        <f t="shared" si="15"/>
        <v>0</v>
      </c>
    </row>
    <row r="339" spans="2:9" x14ac:dyDescent="0.15">
      <c r="B339" s="40" t="s">
        <v>23</v>
      </c>
      <c r="C339" s="2">
        <v>-1</v>
      </c>
      <c r="D339" s="5">
        <f t="shared" si="14"/>
        <v>-1</v>
      </c>
      <c r="E339" s="24">
        <v>44123</v>
      </c>
      <c r="G339" s="18"/>
      <c r="H339" s="2"/>
      <c r="I339" s="5">
        <f t="shared" si="15"/>
        <v>0</v>
      </c>
    </row>
    <row r="340" spans="2:9" x14ac:dyDescent="0.15">
      <c r="B340" s="21" t="s">
        <v>20</v>
      </c>
      <c r="C340" s="2">
        <v>4</v>
      </c>
      <c r="D340" s="5">
        <f t="shared" si="14"/>
        <v>4</v>
      </c>
      <c r="E340" s="24">
        <v>44124</v>
      </c>
      <c r="G340" s="18"/>
      <c r="H340" s="2"/>
      <c r="I340" s="5">
        <f t="shared" si="15"/>
        <v>0</v>
      </c>
    </row>
    <row r="341" spans="2:9" x14ac:dyDescent="0.15">
      <c r="B341" s="21" t="s">
        <v>20</v>
      </c>
      <c r="C341" s="2">
        <v>5</v>
      </c>
      <c r="D341" s="5">
        <f t="shared" si="14"/>
        <v>5</v>
      </c>
      <c r="E341" s="24">
        <v>44125</v>
      </c>
      <c r="G341" s="18"/>
      <c r="H341" s="2"/>
      <c r="I341" s="5">
        <f t="shared" si="15"/>
        <v>0</v>
      </c>
    </row>
    <row r="342" spans="2:9" x14ac:dyDescent="0.15">
      <c r="B342" s="21" t="s">
        <v>20</v>
      </c>
      <c r="C342" s="2">
        <v>3</v>
      </c>
      <c r="D342" s="5">
        <f t="shared" si="14"/>
        <v>3</v>
      </c>
      <c r="E342" s="24">
        <v>44126</v>
      </c>
      <c r="G342" s="18"/>
      <c r="H342" s="2"/>
      <c r="I342" s="5">
        <f t="shared" si="15"/>
        <v>0</v>
      </c>
    </row>
    <row r="343" spans="2:9" x14ac:dyDescent="0.15">
      <c r="B343" s="21" t="s">
        <v>20</v>
      </c>
      <c r="C343" s="2">
        <v>30</v>
      </c>
      <c r="D343" s="5">
        <f t="shared" si="14"/>
        <v>30</v>
      </c>
      <c r="E343" s="24">
        <v>44127</v>
      </c>
      <c r="G343" s="18"/>
      <c r="H343" s="2"/>
      <c r="I343" s="5">
        <f t="shared" si="15"/>
        <v>0</v>
      </c>
    </row>
    <row r="344" spans="2:9" x14ac:dyDescent="0.15">
      <c r="B344" s="21" t="s">
        <v>20</v>
      </c>
      <c r="C344" s="2">
        <v>86</v>
      </c>
      <c r="D344" s="5">
        <f t="shared" si="14"/>
        <v>86</v>
      </c>
      <c r="E344" s="24">
        <v>44130</v>
      </c>
      <c r="G344" s="18"/>
      <c r="H344" s="2"/>
      <c r="I344" s="5">
        <f t="shared" si="15"/>
        <v>0</v>
      </c>
    </row>
    <row r="345" spans="2:9" x14ac:dyDescent="0.15">
      <c r="B345" s="21" t="s">
        <v>20</v>
      </c>
      <c r="C345" s="2">
        <v>56</v>
      </c>
      <c r="D345" s="5">
        <f t="shared" si="14"/>
        <v>56</v>
      </c>
      <c r="E345" s="24">
        <v>44131</v>
      </c>
      <c r="G345" s="6"/>
      <c r="H345" s="2"/>
      <c r="I345" s="5">
        <f t="shared" si="15"/>
        <v>0</v>
      </c>
    </row>
    <row r="346" spans="2:9" x14ac:dyDescent="0.15">
      <c r="B346" s="21" t="s">
        <v>20</v>
      </c>
      <c r="C346" s="2">
        <v>392</v>
      </c>
      <c r="D346" s="5">
        <f t="shared" si="14"/>
        <v>392</v>
      </c>
      <c r="E346" s="24">
        <v>44132</v>
      </c>
      <c r="G346" s="6"/>
      <c r="H346" s="2"/>
      <c r="I346" s="5">
        <f t="shared" si="15"/>
        <v>0</v>
      </c>
    </row>
    <row r="347" spans="2:9" x14ac:dyDescent="0.15">
      <c r="B347" s="21" t="s">
        <v>20</v>
      </c>
      <c r="C347" s="2">
        <v>251</v>
      </c>
      <c r="D347" s="5">
        <f t="shared" si="14"/>
        <v>251</v>
      </c>
      <c r="E347" s="24">
        <v>44133</v>
      </c>
      <c r="G347" s="6"/>
      <c r="H347" s="2"/>
      <c r="I347" s="5">
        <f t="shared" si="15"/>
        <v>0</v>
      </c>
    </row>
    <row r="348" spans="2:9" x14ac:dyDescent="0.15">
      <c r="B348" s="21" t="s">
        <v>20</v>
      </c>
      <c r="C348" s="2">
        <v>310</v>
      </c>
      <c r="D348" s="5">
        <f t="shared" si="14"/>
        <v>310</v>
      </c>
      <c r="E348" s="24">
        <v>44134</v>
      </c>
      <c r="G348" s="6"/>
      <c r="H348" s="2"/>
      <c r="I348" s="5">
        <f t="shared" si="15"/>
        <v>0</v>
      </c>
    </row>
    <row r="349" spans="2:9" x14ac:dyDescent="0.15">
      <c r="B349" s="21" t="s">
        <v>20</v>
      </c>
      <c r="C349" s="2">
        <v>422</v>
      </c>
      <c r="D349" s="5">
        <f t="shared" si="14"/>
        <v>422</v>
      </c>
      <c r="E349" s="24">
        <v>44137</v>
      </c>
      <c r="G349" s="6"/>
      <c r="H349" s="2"/>
      <c r="I349" s="5">
        <f t="shared" si="15"/>
        <v>0</v>
      </c>
    </row>
    <row r="350" spans="2:9" x14ac:dyDescent="0.15">
      <c r="B350" s="21"/>
      <c r="C350" s="22"/>
      <c r="D350" s="23">
        <f t="shared" si="14"/>
        <v>0</v>
      </c>
      <c r="E350" s="24"/>
      <c r="G350" s="6"/>
      <c r="H350" s="2"/>
      <c r="I350" s="5">
        <f t="shared" si="15"/>
        <v>0</v>
      </c>
    </row>
    <row r="351" spans="2:9" x14ac:dyDescent="0.15">
      <c r="B351" s="21" t="s">
        <v>20</v>
      </c>
      <c r="C351" s="2">
        <v>237</v>
      </c>
      <c r="D351" s="5">
        <f t="shared" si="14"/>
        <v>237</v>
      </c>
      <c r="E351" s="24">
        <v>44139</v>
      </c>
      <c r="G351" s="40"/>
      <c r="H351" s="2"/>
      <c r="I351" s="5">
        <f t="shared" si="15"/>
        <v>0</v>
      </c>
    </row>
    <row r="352" spans="2:9" x14ac:dyDescent="0.15">
      <c r="B352" s="21" t="s">
        <v>20</v>
      </c>
      <c r="C352" s="2">
        <v>213</v>
      </c>
      <c r="D352" s="5">
        <f t="shared" si="14"/>
        <v>213</v>
      </c>
      <c r="E352" s="24">
        <v>44140</v>
      </c>
      <c r="G352" s="40"/>
      <c r="H352" s="2"/>
      <c r="I352" s="5">
        <f t="shared" si="15"/>
        <v>0</v>
      </c>
    </row>
    <row r="353" spans="2:10" x14ac:dyDescent="0.15">
      <c r="B353" s="21" t="s">
        <v>20</v>
      </c>
      <c r="C353" s="3">
        <v>133</v>
      </c>
      <c r="D353" s="8">
        <f t="shared" si="14"/>
        <v>133</v>
      </c>
      <c r="E353" s="24">
        <v>44141</v>
      </c>
      <c r="G353" s="40"/>
      <c r="H353" s="3"/>
      <c r="I353" s="8">
        <f t="shared" si="15"/>
        <v>0</v>
      </c>
    </row>
    <row r="354" spans="2:10" x14ac:dyDescent="0.15">
      <c r="B354" s="40" t="s">
        <v>52</v>
      </c>
      <c r="C354" s="22">
        <v>1</v>
      </c>
      <c r="D354" s="23">
        <f t="shared" si="14"/>
        <v>1</v>
      </c>
      <c r="E354" s="24">
        <v>44146</v>
      </c>
      <c r="G354" s="40"/>
      <c r="H354" s="2"/>
      <c r="I354" s="5">
        <f>SUM(H354:H354)</f>
        <v>0</v>
      </c>
    </row>
    <row r="355" spans="2:10" x14ac:dyDescent="0.15">
      <c r="B355" s="21" t="s">
        <v>20</v>
      </c>
      <c r="C355" s="22">
        <v>220</v>
      </c>
      <c r="D355" s="23">
        <f t="shared" si="14"/>
        <v>220</v>
      </c>
      <c r="E355" s="24">
        <v>44144</v>
      </c>
      <c r="G355" s="40"/>
      <c r="H355" s="22"/>
      <c r="I355" s="23">
        <f>SUM(H355:H355)</f>
        <v>0</v>
      </c>
    </row>
    <row r="356" spans="2:10" ht="14.25" thickBot="1" x14ac:dyDescent="0.2">
      <c r="B356" s="21" t="s">
        <v>20</v>
      </c>
      <c r="C356" s="42">
        <v>138</v>
      </c>
      <c r="D356" s="43">
        <f t="shared" si="14"/>
        <v>138</v>
      </c>
      <c r="E356" s="24">
        <v>44145</v>
      </c>
      <c r="G356" s="53" t="s">
        <v>44</v>
      </c>
      <c r="H356" s="42">
        <v>0</v>
      </c>
      <c r="I356" s="43">
        <f>SUM(H356:H356)</f>
        <v>0</v>
      </c>
      <c r="J356" t="s">
        <v>45</v>
      </c>
    </row>
    <row r="357" spans="2:10" x14ac:dyDescent="0.15">
      <c r="B357" s="58" t="s">
        <v>2</v>
      </c>
      <c r="C357" s="37">
        <f>SUM(C332:C356)</f>
        <v>2551</v>
      </c>
      <c r="D357" s="38">
        <f t="shared" si="14"/>
        <v>2551</v>
      </c>
      <c r="G357" s="9" t="s">
        <v>2</v>
      </c>
      <c r="H357" s="10">
        <f>SUM(H332:H356)</f>
        <v>150</v>
      </c>
      <c r="I357" s="11">
        <f>SUM(H357:H357)</f>
        <v>150</v>
      </c>
    </row>
    <row r="358" spans="2:10" ht="14.25" thickBot="1" x14ac:dyDescent="0.2">
      <c r="B358" s="60" t="s">
        <v>3</v>
      </c>
      <c r="C358" s="64">
        <f>+C331-C357</f>
        <v>92</v>
      </c>
      <c r="D358" s="65">
        <f t="shared" si="14"/>
        <v>92</v>
      </c>
      <c r="G358" s="33" t="s">
        <v>3</v>
      </c>
      <c r="H358" s="34">
        <f>+H331-H357</f>
        <v>1008</v>
      </c>
      <c r="I358" s="35">
        <f>SUM(H358:H358)</f>
        <v>1008</v>
      </c>
    </row>
    <row r="361" spans="2:10" ht="18.75" x14ac:dyDescent="0.2">
      <c r="B361" s="4" t="s">
        <v>53</v>
      </c>
      <c r="G361" s="54" t="s">
        <v>54</v>
      </c>
      <c r="H361" s="55"/>
      <c r="I361" s="55"/>
      <c r="J361" s="55"/>
    </row>
    <row r="362" spans="2:10" ht="14.25" thickBot="1" x14ac:dyDescent="0.2">
      <c r="G362" s="1"/>
    </row>
    <row r="363" spans="2:10" ht="14.25" thickBot="1" x14ac:dyDescent="0.2">
      <c r="B363" s="12"/>
      <c r="C363" s="74"/>
      <c r="D363" s="75"/>
      <c r="G363" s="12"/>
      <c r="H363" s="74"/>
      <c r="I363" s="75"/>
    </row>
    <row r="364" spans="2:10" ht="14.25" thickBot="1" x14ac:dyDescent="0.2">
      <c r="B364" s="13"/>
      <c r="C364" s="14"/>
      <c r="D364" s="15" t="s">
        <v>0</v>
      </c>
      <c r="G364" s="13"/>
      <c r="H364" s="14"/>
      <c r="I364" s="15" t="s">
        <v>0</v>
      </c>
    </row>
    <row r="365" spans="2:10" x14ac:dyDescent="0.15">
      <c r="B365" s="25" t="s">
        <v>4</v>
      </c>
      <c r="C365" s="26">
        <f>C358</f>
        <v>92</v>
      </c>
      <c r="D365" s="27">
        <f t="shared" ref="D365:D398" si="16">SUM(C365:C365)</f>
        <v>92</v>
      </c>
      <c r="G365" s="25" t="s">
        <v>4</v>
      </c>
      <c r="H365" s="26">
        <f>H358</f>
        <v>1008</v>
      </c>
      <c r="I365" s="27">
        <f t="shared" ref="I365:I393" si="17">SUM(H365:H365)</f>
        <v>1008</v>
      </c>
    </row>
    <row r="366" spans="2:10" x14ac:dyDescent="0.15">
      <c r="B366" s="48" t="s">
        <v>19</v>
      </c>
      <c r="C366" s="22">
        <v>1</v>
      </c>
      <c r="D366" s="23">
        <f t="shared" si="16"/>
        <v>1</v>
      </c>
      <c r="E366" s="24">
        <v>44145</v>
      </c>
      <c r="G366" s="41" t="s">
        <v>5</v>
      </c>
      <c r="H366" s="30"/>
      <c r="I366" s="31">
        <f t="shared" si="17"/>
        <v>0</v>
      </c>
    </row>
    <row r="367" spans="2:10" x14ac:dyDescent="0.15">
      <c r="B367" s="48" t="s">
        <v>5</v>
      </c>
      <c r="C367" s="22">
        <v>1001</v>
      </c>
      <c r="D367" s="23">
        <f t="shared" si="16"/>
        <v>1001</v>
      </c>
      <c r="E367" s="24">
        <v>44142</v>
      </c>
      <c r="G367" s="41" t="s">
        <v>5</v>
      </c>
      <c r="H367" s="30"/>
      <c r="I367" s="31">
        <f t="shared" si="17"/>
        <v>0</v>
      </c>
      <c r="J367" s="29"/>
    </row>
    <row r="368" spans="2:10" x14ac:dyDescent="0.15">
      <c r="B368" s="48" t="s">
        <v>5</v>
      </c>
      <c r="C368" s="22">
        <v>100</v>
      </c>
      <c r="D368" s="23">
        <f>SUM(C368:C368)</f>
        <v>100</v>
      </c>
      <c r="E368" s="24">
        <v>44148</v>
      </c>
      <c r="G368" s="41" t="s">
        <v>5</v>
      </c>
      <c r="H368" s="30"/>
      <c r="I368" s="31">
        <f t="shared" si="17"/>
        <v>0</v>
      </c>
    </row>
    <row r="369" spans="2:10" x14ac:dyDescent="0.15">
      <c r="B369" s="48" t="s">
        <v>5</v>
      </c>
      <c r="C369" s="22">
        <v>200</v>
      </c>
      <c r="D369" s="23">
        <f>SUM(C369:C369)</f>
        <v>200</v>
      </c>
      <c r="E369" s="24">
        <v>44156</v>
      </c>
      <c r="G369" s="41" t="s">
        <v>5</v>
      </c>
      <c r="H369" s="30"/>
      <c r="I369" s="31">
        <f t="shared" si="17"/>
        <v>0</v>
      </c>
    </row>
    <row r="370" spans="2:10" ht="14.25" thickBot="1" x14ac:dyDescent="0.2">
      <c r="B370" s="48" t="s">
        <v>22</v>
      </c>
      <c r="C370" s="50">
        <v>-2</v>
      </c>
      <c r="D370" s="51">
        <f t="shared" si="16"/>
        <v>-2</v>
      </c>
      <c r="E370" s="24">
        <v>44155</v>
      </c>
      <c r="G370" s="41" t="s">
        <v>5</v>
      </c>
      <c r="H370" s="44"/>
      <c r="I370" s="45">
        <f t="shared" si="17"/>
        <v>0</v>
      </c>
    </row>
    <row r="371" spans="2:10" ht="14.25" thickBot="1" x14ac:dyDescent="0.2">
      <c r="B371" s="13" t="s">
        <v>1</v>
      </c>
      <c r="C371" s="16">
        <f>SUM(C365:C370)</f>
        <v>1392</v>
      </c>
      <c r="D371" s="17">
        <f t="shared" si="16"/>
        <v>1392</v>
      </c>
      <c r="G371" s="13" t="s">
        <v>1</v>
      </c>
      <c r="H371" s="16">
        <f>SUM(H365:H370)</f>
        <v>1008</v>
      </c>
      <c r="I371" s="17">
        <f t="shared" si="17"/>
        <v>1008</v>
      </c>
    </row>
    <row r="372" spans="2:10" x14ac:dyDescent="0.15">
      <c r="B372" s="21" t="s">
        <v>20</v>
      </c>
      <c r="C372" s="2">
        <v>108</v>
      </c>
      <c r="D372" s="20">
        <f t="shared" si="16"/>
        <v>108</v>
      </c>
      <c r="E372" s="24">
        <v>44146</v>
      </c>
      <c r="G372" s="40" t="s">
        <v>51</v>
      </c>
      <c r="H372" s="22">
        <v>1008</v>
      </c>
      <c r="I372" s="38">
        <f t="shared" si="17"/>
        <v>1008</v>
      </c>
      <c r="J372" s="24">
        <v>44142</v>
      </c>
    </row>
    <row r="373" spans="2:10" x14ac:dyDescent="0.15">
      <c r="B373" s="21" t="s">
        <v>20</v>
      </c>
      <c r="C373" s="2">
        <v>37</v>
      </c>
      <c r="D373" s="5">
        <f t="shared" si="16"/>
        <v>37</v>
      </c>
      <c r="E373" s="24">
        <v>44147</v>
      </c>
      <c r="G373" s="40"/>
      <c r="H373" s="22"/>
      <c r="I373" s="23">
        <f t="shared" si="17"/>
        <v>0</v>
      </c>
      <c r="J373" s="24"/>
    </row>
    <row r="374" spans="2:10" x14ac:dyDescent="0.15">
      <c r="B374" s="21" t="s">
        <v>20</v>
      </c>
      <c r="C374" s="22">
        <v>40</v>
      </c>
      <c r="D374" s="23">
        <f t="shared" si="16"/>
        <v>40</v>
      </c>
      <c r="E374" s="24">
        <v>44148</v>
      </c>
      <c r="G374" s="7"/>
      <c r="H374" s="22"/>
      <c r="I374" s="23">
        <f t="shared" si="17"/>
        <v>0</v>
      </c>
    </row>
    <row r="375" spans="2:10" x14ac:dyDescent="0.15">
      <c r="B375" s="21" t="s">
        <v>20</v>
      </c>
      <c r="C375" s="2">
        <v>289</v>
      </c>
      <c r="D375" s="5">
        <f t="shared" si="16"/>
        <v>289</v>
      </c>
      <c r="E375" s="24">
        <v>44151</v>
      </c>
      <c r="G375" s="18"/>
      <c r="H375" s="2"/>
      <c r="I375" s="5">
        <f t="shared" si="17"/>
        <v>0</v>
      </c>
    </row>
    <row r="376" spans="2:10" x14ac:dyDescent="0.15">
      <c r="B376" s="21" t="s">
        <v>20</v>
      </c>
      <c r="C376" s="2">
        <v>65</v>
      </c>
      <c r="D376" s="5">
        <f t="shared" si="16"/>
        <v>65</v>
      </c>
      <c r="E376" s="24">
        <v>44152</v>
      </c>
      <c r="G376" s="18"/>
      <c r="H376" s="2"/>
      <c r="I376" s="5">
        <f t="shared" si="17"/>
        <v>0</v>
      </c>
    </row>
    <row r="377" spans="2:10" x14ac:dyDescent="0.15">
      <c r="B377" s="21" t="s">
        <v>20</v>
      </c>
      <c r="C377" s="22">
        <v>61</v>
      </c>
      <c r="D377" s="23">
        <f t="shared" si="16"/>
        <v>61</v>
      </c>
      <c r="E377" s="24">
        <v>44153</v>
      </c>
      <c r="G377" s="18"/>
      <c r="H377" s="22"/>
      <c r="I377" s="23">
        <f t="shared" si="17"/>
        <v>0</v>
      </c>
    </row>
    <row r="378" spans="2:10" x14ac:dyDescent="0.15">
      <c r="B378" s="21" t="s">
        <v>20</v>
      </c>
      <c r="C378" s="22">
        <v>40</v>
      </c>
      <c r="D378" s="23">
        <f t="shared" si="16"/>
        <v>40</v>
      </c>
      <c r="E378" s="24">
        <v>44154</v>
      </c>
      <c r="G378" s="21"/>
      <c r="H378" s="2"/>
      <c r="I378" s="5">
        <f t="shared" si="17"/>
        <v>0</v>
      </c>
    </row>
    <row r="379" spans="2:10" x14ac:dyDescent="0.15">
      <c r="B379" s="21" t="s">
        <v>20</v>
      </c>
      <c r="C379" s="22">
        <v>102</v>
      </c>
      <c r="D379" s="23">
        <f t="shared" si="16"/>
        <v>102</v>
      </c>
      <c r="E379" s="24">
        <v>44155</v>
      </c>
      <c r="G379" s="18"/>
      <c r="H379" s="2"/>
      <c r="I379" s="5">
        <f t="shared" si="17"/>
        <v>0</v>
      </c>
    </row>
    <row r="380" spans="2:10" x14ac:dyDescent="0.15">
      <c r="B380" s="21" t="s">
        <v>20</v>
      </c>
      <c r="C380" s="22">
        <v>124</v>
      </c>
      <c r="D380" s="23">
        <f t="shared" si="16"/>
        <v>124</v>
      </c>
      <c r="E380" s="24">
        <v>44156</v>
      </c>
      <c r="G380" s="18"/>
      <c r="H380" s="2"/>
      <c r="I380" s="5">
        <f t="shared" si="17"/>
        <v>0</v>
      </c>
    </row>
    <row r="381" spans="2:10" x14ac:dyDescent="0.15">
      <c r="B381" s="21" t="s">
        <v>20</v>
      </c>
      <c r="C381" s="2">
        <v>481</v>
      </c>
      <c r="D381" s="5">
        <f t="shared" si="16"/>
        <v>481</v>
      </c>
      <c r="E381" s="24">
        <v>44159</v>
      </c>
      <c r="G381" s="18"/>
      <c r="H381" s="2"/>
      <c r="I381" s="5">
        <f t="shared" si="17"/>
        <v>0</v>
      </c>
    </row>
    <row r="382" spans="2:10" x14ac:dyDescent="0.15">
      <c r="B382" s="21" t="s">
        <v>20</v>
      </c>
      <c r="C382" s="2">
        <v>27</v>
      </c>
      <c r="D382" s="5">
        <f t="shared" si="16"/>
        <v>27</v>
      </c>
      <c r="E382" s="24">
        <v>44160</v>
      </c>
      <c r="G382" s="18"/>
      <c r="H382" s="2"/>
      <c r="I382" s="5">
        <f t="shared" si="17"/>
        <v>0</v>
      </c>
    </row>
    <row r="383" spans="2:10" x14ac:dyDescent="0.15">
      <c r="B383" s="21"/>
      <c r="C383" s="2"/>
      <c r="D383" s="5">
        <f t="shared" si="16"/>
        <v>0</v>
      </c>
      <c r="E383" s="24"/>
      <c r="G383" s="18"/>
      <c r="H383" s="2"/>
      <c r="I383" s="5">
        <f t="shared" si="17"/>
        <v>0</v>
      </c>
    </row>
    <row r="384" spans="2:10" x14ac:dyDescent="0.15">
      <c r="B384" s="21"/>
      <c r="C384" s="2"/>
      <c r="D384" s="5">
        <f t="shared" si="16"/>
        <v>0</v>
      </c>
      <c r="E384" s="24"/>
      <c r="G384" s="18"/>
      <c r="H384" s="2"/>
      <c r="I384" s="5">
        <f t="shared" si="17"/>
        <v>0</v>
      </c>
    </row>
    <row r="385" spans="2:9" x14ac:dyDescent="0.15">
      <c r="B385" s="21"/>
      <c r="C385" s="2"/>
      <c r="D385" s="5">
        <f t="shared" si="16"/>
        <v>0</v>
      </c>
      <c r="E385" s="24"/>
      <c r="G385" s="6"/>
      <c r="H385" s="2"/>
      <c r="I385" s="5">
        <f t="shared" si="17"/>
        <v>0</v>
      </c>
    </row>
    <row r="386" spans="2:9" x14ac:dyDescent="0.15">
      <c r="B386" s="21"/>
      <c r="C386" s="2"/>
      <c r="D386" s="5">
        <f t="shared" si="16"/>
        <v>0</v>
      </c>
      <c r="E386" s="24"/>
      <c r="G386" s="6"/>
      <c r="H386" s="2"/>
      <c r="I386" s="5">
        <f t="shared" si="17"/>
        <v>0</v>
      </c>
    </row>
    <row r="387" spans="2:9" x14ac:dyDescent="0.15">
      <c r="B387" s="21"/>
      <c r="C387" s="2"/>
      <c r="D387" s="5">
        <f t="shared" si="16"/>
        <v>0</v>
      </c>
      <c r="E387" s="24"/>
      <c r="G387" s="6"/>
      <c r="H387" s="2"/>
      <c r="I387" s="5">
        <f t="shared" si="17"/>
        <v>0</v>
      </c>
    </row>
    <row r="388" spans="2:9" x14ac:dyDescent="0.15">
      <c r="B388" s="21"/>
      <c r="C388" s="2"/>
      <c r="D388" s="5">
        <f t="shared" si="16"/>
        <v>0</v>
      </c>
      <c r="E388" s="24"/>
      <c r="G388" s="6"/>
      <c r="H388" s="2"/>
      <c r="I388" s="5">
        <f t="shared" si="17"/>
        <v>0</v>
      </c>
    </row>
    <row r="389" spans="2:9" x14ac:dyDescent="0.15">
      <c r="B389" s="21"/>
      <c r="C389" s="2"/>
      <c r="D389" s="5">
        <f t="shared" si="16"/>
        <v>0</v>
      </c>
      <c r="E389" s="24"/>
      <c r="G389" s="6"/>
      <c r="H389" s="2"/>
      <c r="I389" s="5">
        <f t="shared" si="17"/>
        <v>0</v>
      </c>
    </row>
    <row r="390" spans="2:9" x14ac:dyDescent="0.15">
      <c r="B390" s="21"/>
      <c r="C390" s="22"/>
      <c r="D390" s="23">
        <f t="shared" si="16"/>
        <v>0</v>
      </c>
      <c r="E390" s="24"/>
      <c r="G390" s="6"/>
      <c r="H390" s="2"/>
      <c r="I390" s="5">
        <f t="shared" si="17"/>
        <v>0</v>
      </c>
    </row>
    <row r="391" spans="2:9" x14ac:dyDescent="0.15">
      <c r="B391" s="18"/>
      <c r="C391" s="2"/>
      <c r="D391" s="5">
        <f t="shared" si="16"/>
        <v>0</v>
      </c>
      <c r="E391" s="24"/>
      <c r="G391" s="40"/>
      <c r="H391" s="2"/>
      <c r="I391" s="5">
        <f t="shared" si="17"/>
        <v>0</v>
      </c>
    </row>
    <row r="392" spans="2:9" x14ac:dyDescent="0.15">
      <c r="B392" s="18"/>
      <c r="C392" s="2"/>
      <c r="D392" s="5">
        <f t="shared" si="16"/>
        <v>0</v>
      </c>
      <c r="E392" s="24"/>
      <c r="G392" s="40"/>
      <c r="H392" s="2"/>
      <c r="I392" s="5">
        <f t="shared" si="17"/>
        <v>0</v>
      </c>
    </row>
    <row r="393" spans="2:9" x14ac:dyDescent="0.15">
      <c r="B393" s="18"/>
      <c r="C393" s="3"/>
      <c r="D393" s="8">
        <f t="shared" si="16"/>
        <v>0</v>
      </c>
      <c r="E393" s="24"/>
      <c r="G393" s="40"/>
      <c r="H393" s="3"/>
      <c r="I393" s="8">
        <f t="shared" si="17"/>
        <v>0</v>
      </c>
    </row>
    <row r="394" spans="2:9" x14ac:dyDescent="0.15">
      <c r="B394" s="18"/>
      <c r="C394" s="22"/>
      <c r="D394" s="23">
        <f t="shared" si="16"/>
        <v>0</v>
      </c>
      <c r="E394" s="24"/>
      <c r="G394" s="40"/>
      <c r="H394" s="2"/>
      <c r="I394" s="5">
        <f>SUM(H394:H394)</f>
        <v>0</v>
      </c>
    </row>
    <row r="395" spans="2:9" x14ac:dyDescent="0.15">
      <c r="B395" s="40"/>
      <c r="C395" s="22"/>
      <c r="D395" s="23">
        <f t="shared" si="16"/>
        <v>0</v>
      </c>
      <c r="G395" s="40"/>
      <c r="H395" s="22"/>
      <c r="I395" s="23">
        <f>SUM(H395:H395)</f>
        <v>0</v>
      </c>
    </row>
    <row r="396" spans="2:9" ht="14.25" thickBot="1" x14ac:dyDescent="0.2">
      <c r="B396" s="48"/>
      <c r="C396" s="42"/>
      <c r="D396" s="43">
        <f t="shared" si="16"/>
        <v>0</v>
      </c>
      <c r="G396" s="66"/>
      <c r="H396" s="67"/>
      <c r="I396" s="68">
        <f>SUM(H396:H396)</f>
        <v>0</v>
      </c>
    </row>
    <row r="397" spans="2:9" x14ac:dyDescent="0.15">
      <c r="B397" s="58" t="s">
        <v>2</v>
      </c>
      <c r="C397" s="37">
        <f>SUM(C372:C396)</f>
        <v>1374</v>
      </c>
      <c r="D397" s="38">
        <f t="shared" si="16"/>
        <v>1374</v>
      </c>
      <c r="G397" s="9" t="s">
        <v>2</v>
      </c>
      <c r="H397" s="10">
        <f>SUM(H372:H396)</f>
        <v>1008</v>
      </c>
      <c r="I397" s="11">
        <f>SUM(H397:H397)</f>
        <v>1008</v>
      </c>
    </row>
    <row r="398" spans="2:9" ht="14.25" thickBot="1" x14ac:dyDescent="0.2">
      <c r="B398" s="60" t="s">
        <v>3</v>
      </c>
      <c r="C398" s="64">
        <f>+C371-C397</f>
        <v>18</v>
      </c>
      <c r="D398" s="65">
        <f t="shared" si="16"/>
        <v>18</v>
      </c>
      <c r="G398" s="33" t="s">
        <v>3</v>
      </c>
      <c r="H398" s="34">
        <f>+H371-H397</f>
        <v>0</v>
      </c>
      <c r="I398" s="35">
        <f>SUM(H398:H398)</f>
        <v>0</v>
      </c>
    </row>
    <row r="401" spans="2:10" ht="18.75" x14ac:dyDescent="0.2">
      <c r="B401" s="4" t="s">
        <v>53</v>
      </c>
      <c r="G401" s="54" t="s">
        <v>54</v>
      </c>
      <c r="H401" s="55"/>
      <c r="I401" s="55"/>
      <c r="J401" s="55"/>
    </row>
    <row r="402" spans="2:10" ht="14.25" thickBot="1" x14ac:dyDescent="0.2">
      <c r="G402" s="1"/>
    </row>
    <row r="403" spans="2:10" ht="14.25" thickBot="1" x14ac:dyDescent="0.2">
      <c r="B403" s="12"/>
      <c r="C403" s="74"/>
      <c r="D403" s="75"/>
      <c r="G403" s="12"/>
      <c r="H403" s="74"/>
      <c r="I403" s="75"/>
    </row>
    <row r="404" spans="2:10" ht="14.25" thickBot="1" x14ac:dyDescent="0.2">
      <c r="B404" s="13"/>
      <c r="C404" s="14"/>
      <c r="D404" s="15" t="s">
        <v>0</v>
      </c>
      <c r="G404" s="13"/>
      <c r="H404" s="14"/>
      <c r="I404" s="15" t="s">
        <v>0</v>
      </c>
    </row>
    <row r="405" spans="2:10" x14ac:dyDescent="0.15">
      <c r="B405" s="25" t="s">
        <v>4</v>
      </c>
      <c r="C405" s="26">
        <f>C398</f>
        <v>18</v>
      </c>
      <c r="D405" s="27">
        <f t="shared" ref="D405:D438" si="18">SUM(C405:C405)</f>
        <v>18</v>
      </c>
      <c r="G405" s="25" t="s">
        <v>4</v>
      </c>
      <c r="H405" s="26">
        <f>H398</f>
        <v>0</v>
      </c>
      <c r="I405" s="27">
        <f t="shared" ref="I405:I433" si="19">SUM(H405:H405)</f>
        <v>0</v>
      </c>
    </row>
    <row r="406" spans="2:10" x14ac:dyDescent="0.15">
      <c r="B406" s="48" t="s">
        <v>5</v>
      </c>
      <c r="C406" s="22">
        <v>350</v>
      </c>
      <c r="D406" s="23">
        <f t="shared" si="18"/>
        <v>350</v>
      </c>
      <c r="E406" s="24">
        <v>44161</v>
      </c>
      <c r="G406" s="41" t="s">
        <v>5</v>
      </c>
      <c r="H406" s="30"/>
      <c r="I406" s="31">
        <f t="shared" si="19"/>
        <v>0</v>
      </c>
    </row>
    <row r="407" spans="2:10" x14ac:dyDescent="0.15">
      <c r="B407" s="48" t="s">
        <v>5</v>
      </c>
      <c r="C407" s="22">
        <v>300</v>
      </c>
      <c r="D407" s="23">
        <f>SUM(C407:C407)</f>
        <v>300</v>
      </c>
      <c r="E407" s="24">
        <v>44168</v>
      </c>
      <c r="G407" s="41" t="s">
        <v>5</v>
      </c>
      <c r="H407" s="30"/>
      <c r="I407" s="31">
        <f t="shared" si="19"/>
        <v>0</v>
      </c>
      <c r="J407" s="29"/>
    </row>
    <row r="408" spans="2:10" x14ac:dyDescent="0.15">
      <c r="B408" s="40" t="s">
        <v>51</v>
      </c>
      <c r="C408" s="22">
        <v>550</v>
      </c>
      <c r="D408" s="11">
        <f>SUM(C408:C408)</f>
        <v>550</v>
      </c>
      <c r="E408" s="24">
        <v>44186</v>
      </c>
      <c r="G408" s="48" t="s">
        <v>5</v>
      </c>
      <c r="H408" s="22">
        <v>1000</v>
      </c>
      <c r="I408" s="23">
        <f t="shared" si="19"/>
        <v>1000</v>
      </c>
      <c r="J408" s="24">
        <v>44184</v>
      </c>
    </row>
    <row r="409" spans="2:10" x14ac:dyDescent="0.15">
      <c r="B409" s="40" t="s">
        <v>51</v>
      </c>
      <c r="C409" s="50">
        <v>450</v>
      </c>
      <c r="D409" s="51">
        <f>SUM(C409:C409)</f>
        <v>450</v>
      </c>
      <c r="E409" s="24">
        <v>44186</v>
      </c>
      <c r="G409" s="41" t="s">
        <v>5</v>
      </c>
      <c r="H409" s="30"/>
      <c r="I409" s="31">
        <f t="shared" si="19"/>
        <v>0</v>
      </c>
    </row>
    <row r="410" spans="2:10" ht="14.25" thickBot="1" x14ac:dyDescent="0.2">
      <c r="B410" s="48" t="s">
        <v>5</v>
      </c>
      <c r="C410" s="50">
        <v>120</v>
      </c>
      <c r="D410" s="51">
        <f t="shared" si="18"/>
        <v>120</v>
      </c>
      <c r="E410" s="24">
        <v>44187</v>
      </c>
      <c r="G410" s="41" t="s">
        <v>5</v>
      </c>
      <c r="H410" s="44"/>
      <c r="I410" s="45">
        <f t="shared" si="19"/>
        <v>0</v>
      </c>
    </row>
    <row r="411" spans="2:10" ht="14.25" thickBot="1" x14ac:dyDescent="0.2">
      <c r="B411" s="13" t="s">
        <v>1</v>
      </c>
      <c r="C411" s="16">
        <f>SUM(C405:C410)</f>
        <v>1788</v>
      </c>
      <c r="D411" s="17">
        <f t="shared" si="18"/>
        <v>1788</v>
      </c>
      <c r="G411" s="13" t="s">
        <v>1</v>
      </c>
      <c r="H411" s="16">
        <f>SUM(H405:H410)</f>
        <v>1000</v>
      </c>
      <c r="I411" s="17">
        <f t="shared" si="19"/>
        <v>1000</v>
      </c>
    </row>
    <row r="412" spans="2:10" x14ac:dyDescent="0.15">
      <c r="B412" s="21" t="s">
        <v>20</v>
      </c>
      <c r="C412" s="2">
        <v>185</v>
      </c>
      <c r="D412" s="20">
        <f t="shared" si="18"/>
        <v>185</v>
      </c>
      <c r="E412" s="24">
        <v>44161</v>
      </c>
      <c r="G412" s="40" t="s">
        <v>51</v>
      </c>
      <c r="H412" s="22">
        <v>550</v>
      </c>
      <c r="I412" s="38">
        <f t="shared" si="19"/>
        <v>550</v>
      </c>
      <c r="J412" s="24">
        <v>44186</v>
      </c>
    </row>
    <row r="413" spans="2:10" x14ac:dyDescent="0.15">
      <c r="B413" s="21" t="s">
        <v>20</v>
      </c>
      <c r="C413" s="2">
        <v>112</v>
      </c>
      <c r="D413" s="5">
        <f t="shared" si="18"/>
        <v>112</v>
      </c>
      <c r="E413" s="24">
        <v>44162</v>
      </c>
      <c r="G413" s="40" t="s">
        <v>51</v>
      </c>
      <c r="H413" s="22">
        <v>450</v>
      </c>
      <c r="I413" s="23">
        <f t="shared" si="19"/>
        <v>450</v>
      </c>
      <c r="J413" s="24">
        <v>44186</v>
      </c>
    </row>
    <row r="414" spans="2:10" x14ac:dyDescent="0.15">
      <c r="B414" s="21" t="s">
        <v>55</v>
      </c>
      <c r="C414" s="22">
        <v>2</v>
      </c>
      <c r="D414" s="23">
        <f t="shared" si="18"/>
        <v>2</v>
      </c>
      <c r="E414" s="24">
        <v>44162</v>
      </c>
      <c r="G414" s="40"/>
      <c r="H414" s="22"/>
      <c r="I414" s="23">
        <f t="shared" si="19"/>
        <v>0</v>
      </c>
      <c r="J414" s="24"/>
    </row>
    <row r="415" spans="2:10" x14ac:dyDescent="0.15">
      <c r="B415" s="21" t="s">
        <v>20</v>
      </c>
      <c r="C415" s="2">
        <v>46</v>
      </c>
      <c r="D415" s="5">
        <f t="shared" si="18"/>
        <v>46</v>
      </c>
      <c r="E415" s="24">
        <v>44165</v>
      </c>
      <c r="G415" s="18"/>
      <c r="H415" s="2"/>
      <c r="I415" s="5">
        <f t="shared" si="19"/>
        <v>0</v>
      </c>
    </row>
    <row r="416" spans="2:10" x14ac:dyDescent="0.15">
      <c r="B416" s="21" t="s">
        <v>20</v>
      </c>
      <c r="C416" s="2">
        <v>10</v>
      </c>
      <c r="D416" s="5">
        <f t="shared" si="18"/>
        <v>10</v>
      </c>
      <c r="E416" s="24">
        <v>44167</v>
      </c>
      <c r="G416" s="18"/>
      <c r="H416" s="2"/>
      <c r="I416" s="5">
        <f t="shared" si="19"/>
        <v>0</v>
      </c>
    </row>
    <row r="417" spans="2:9" x14ac:dyDescent="0.15">
      <c r="B417" s="21" t="s">
        <v>20</v>
      </c>
      <c r="C417" s="22">
        <v>95</v>
      </c>
      <c r="D417" s="23">
        <f t="shared" si="18"/>
        <v>95</v>
      </c>
      <c r="E417" s="24">
        <v>44168</v>
      </c>
      <c r="G417" s="18"/>
      <c r="H417" s="22"/>
      <c r="I417" s="23">
        <f t="shared" si="19"/>
        <v>0</v>
      </c>
    </row>
    <row r="418" spans="2:9" x14ac:dyDescent="0.15">
      <c r="B418" s="21" t="s">
        <v>20</v>
      </c>
      <c r="C418" s="22">
        <v>133</v>
      </c>
      <c r="D418" s="23">
        <f t="shared" si="18"/>
        <v>133</v>
      </c>
      <c r="E418" s="24">
        <v>44169</v>
      </c>
      <c r="G418" s="21"/>
      <c r="H418" s="2"/>
      <c r="I418" s="5">
        <f t="shared" si="19"/>
        <v>0</v>
      </c>
    </row>
    <row r="419" spans="2:9" x14ac:dyDescent="0.15">
      <c r="B419" s="21" t="s">
        <v>20</v>
      </c>
      <c r="C419" s="2">
        <v>56</v>
      </c>
      <c r="D419" s="5">
        <f t="shared" si="18"/>
        <v>56</v>
      </c>
      <c r="E419" s="24">
        <v>44172</v>
      </c>
      <c r="G419" s="18"/>
      <c r="H419" s="2"/>
      <c r="I419" s="5">
        <f t="shared" si="19"/>
        <v>0</v>
      </c>
    </row>
    <row r="420" spans="2:9" x14ac:dyDescent="0.15">
      <c r="B420" s="21" t="s">
        <v>20</v>
      </c>
      <c r="C420" s="2">
        <v>4</v>
      </c>
      <c r="D420" s="5">
        <f t="shared" si="18"/>
        <v>4</v>
      </c>
      <c r="E420" s="24">
        <v>44173</v>
      </c>
      <c r="G420" s="18"/>
      <c r="H420" s="2"/>
      <c r="I420" s="5">
        <f t="shared" si="19"/>
        <v>0</v>
      </c>
    </row>
    <row r="421" spans="2:9" x14ac:dyDescent="0.15">
      <c r="B421" s="21" t="s">
        <v>20</v>
      </c>
      <c r="C421" s="2">
        <v>11</v>
      </c>
      <c r="D421" s="5">
        <f t="shared" si="18"/>
        <v>11</v>
      </c>
      <c r="E421" s="24">
        <v>44174</v>
      </c>
      <c r="G421" s="18"/>
      <c r="H421" s="2"/>
      <c r="I421" s="5">
        <f t="shared" si="19"/>
        <v>0</v>
      </c>
    </row>
    <row r="422" spans="2:9" x14ac:dyDescent="0.15">
      <c r="B422" s="21" t="s">
        <v>20</v>
      </c>
      <c r="C422" s="2">
        <v>1</v>
      </c>
      <c r="D422" s="5">
        <f t="shared" si="18"/>
        <v>1</v>
      </c>
      <c r="E422" s="24">
        <v>44176</v>
      </c>
      <c r="G422" s="18"/>
      <c r="H422" s="2"/>
      <c r="I422" s="5">
        <f t="shared" si="19"/>
        <v>0</v>
      </c>
    </row>
    <row r="423" spans="2:9" x14ac:dyDescent="0.15">
      <c r="B423" s="21" t="s">
        <v>20</v>
      </c>
      <c r="C423" s="2">
        <v>1</v>
      </c>
      <c r="D423" s="5">
        <f t="shared" si="18"/>
        <v>1</v>
      </c>
      <c r="E423" s="24">
        <v>44179</v>
      </c>
      <c r="G423" s="18"/>
      <c r="H423" s="2"/>
      <c r="I423" s="5">
        <f t="shared" si="19"/>
        <v>0</v>
      </c>
    </row>
    <row r="424" spans="2:9" x14ac:dyDescent="0.15">
      <c r="B424" s="21" t="s">
        <v>20</v>
      </c>
      <c r="C424" s="2">
        <v>10</v>
      </c>
      <c r="D424" s="5">
        <f t="shared" si="18"/>
        <v>10</v>
      </c>
      <c r="E424" s="24">
        <v>44183</v>
      </c>
      <c r="G424" s="18"/>
      <c r="H424" s="2"/>
      <c r="I424" s="5">
        <f t="shared" si="19"/>
        <v>0</v>
      </c>
    </row>
    <row r="425" spans="2:9" x14ac:dyDescent="0.15">
      <c r="B425" s="21" t="s">
        <v>20</v>
      </c>
      <c r="C425" s="2">
        <v>438</v>
      </c>
      <c r="D425" s="5">
        <f t="shared" si="18"/>
        <v>438</v>
      </c>
      <c r="E425" s="24">
        <v>44186</v>
      </c>
      <c r="G425" s="6"/>
      <c r="H425" s="2"/>
      <c r="I425" s="5">
        <f t="shared" si="19"/>
        <v>0</v>
      </c>
    </row>
    <row r="426" spans="2:9" x14ac:dyDescent="0.15">
      <c r="B426" s="21" t="s">
        <v>23</v>
      </c>
      <c r="C426" s="2">
        <v>-2</v>
      </c>
      <c r="D426" s="5">
        <f t="shared" si="18"/>
        <v>-2</v>
      </c>
      <c r="E426" s="24">
        <v>44186</v>
      </c>
      <c r="G426" s="6"/>
      <c r="H426" s="2"/>
      <c r="I426" s="5">
        <f t="shared" si="19"/>
        <v>0</v>
      </c>
    </row>
    <row r="427" spans="2:9" x14ac:dyDescent="0.15">
      <c r="B427" s="21" t="s">
        <v>20</v>
      </c>
      <c r="C427" s="2">
        <v>9</v>
      </c>
      <c r="D427" s="5">
        <f t="shared" si="18"/>
        <v>9</v>
      </c>
      <c r="E427" s="24">
        <v>44187</v>
      </c>
      <c r="G427" s="6"/>
      <c r="H427" s="2"/>
      <c r="I427" s="5">
        <f t="shared" si="19"/>
        <v>0</v>
      </c>
    </row>
    <row r="428" spans="2:9" x14ac:dyDescent="0.15">
      <c r="B428" s="21" t="s">
        <v>20</v>
      </c>
      <c r="C428" s="2">
        <v>21</v>
      </c>
      <c r="D428" s="5">
        <f t="shared" si="18"/>
        <v>21</v>
      </c>
      <c r="E428" s="24">
        <v>44188</v>
      </c>
      <c r="G428" s="6"/>
      <c r="H428" s="2"/>
      <c r="I428" s="5">
        <f t="shared" si="19"/>
        <v>0</v>
      </c>
    </row>
    <row r="429" spans="2:9" x14ac:dyDescent="0.15">
      <c r="B429" s="21" t="s">
        <v>20</v>
      </c>
      <c r="C429" s="2">
        <v>15</v>
      </c>
      <c r="D429" s="5">
        <f t="shared" si="18"/>
        <v>15</v>
      </c>
      <c r="E429" s="24">
        <v>44189</v>
      </c>
      <c r="G429" s="6"/>
      <c r="H429" s="2"/>
      <c r="I429" s="5">
        <f t="shared" si="19"/>
        <v>0</v>
      </c>
    </row>
    <row r="430" spans="2:9" x14ac:dyDescent="0.15">
      <c r="B430" s="21" t="s">
        <v>20</v>
      </c>
      <c r="C430" s="22">
        <f>7+1+1+3+2</f>
        <v>14</v>
      </c>
      <c r="D430" s="23">
        <f t="shared" si="18"/>
        <v>14</v>
      </c>
      <c r="E430" s="24">
        <v>44190</v>
      </c>
      <c r="G430" s="6"/>
      <c r="H430" s="2"/>
      <c r="I430" s="5">
        <f t="shared" si="19"/>
        <v>0</v>
      </c>
    </row>
    <row r="431" spans="2:9" x14ac:dyDescent="0.15">
      <c r="B431" s="21" t="s">
        <v>20</v>
      </c>
      <c r="C431" s="2">
        <f>10+21+17+4</f>
        <v>52</v>
      </c>
      <c r="D431" s="5">
        <f t="shared" si="18"/>
        <v>52</v>
      </c>
      <c r="E431" s="24">
        <v>44193</v>
      </c>
      <c r="G431" s="40"/>
      <c r="H431" s="2"/>
      <c r="I431" s="5">
        <f t="shared" si="19"/>
        <v>0</v>
      </c>
    </row>
    <row r="432" spans="2:9" x14ac:dyDescent="0.15">
      <c r="B432" s="21" t="s">
        <v>20</v>
      </c>
      <c r="C432" s="2">
        <f>74+3</f>
        <v>77</v>
      </c>
      <c r="D432" s="5">
        <f t="shared" si="18"/>
        <v>77</v>
      </c>
      <c r="E432" s="24">
        <v>44201</v>
      </c>
      <c r="G432" s="40"/>
      <c r="H432" s="2"/>
      <c r="I432" s="5">
        <f t="shared" si="19"/>
        <v>0</v>
      </c>
    </row>
    <row r="433" spans="2:10" x14ac:dyDescent="0.15">
      <c r="B433" s="21" t="s">
        <v>20</v>
      </c>
      <c r="C433" s="3">
        <f>2+3+13</f>
        <v>18</v>
      </c>
      <c r="D433" s="8">
        <f t="shared" si="18"/>
        <v>18</v>
      </c>
      <c r="E433" s="24">
        <v>44202</v>
      </c>
      <c r="G433" s="40"/>
      <c r="H433" s="3"/>
      <c r="I433" s="8">
        <f t="shared" si="19"/>
        <v>0</v>
      </c>
    </row>
    <row r="434" spans="2:10" x14ac:dyDescent="0.15">
      <c r="B434" s="21" t="s">
        <v>20</v>
      </c>
      <c r="C434" s="22">
        <f>2+1+7</f>
        <v>10</v>
      </c>
      <c r="D434" s="23">
        <f t="shared" si="18"/>
        <v>10</v>
      </c>
      <c r="E434" s="24">
        <v>44203</v>
      </c>
      <c r="G434" s="40"/>
      <c r="H434" s="2"/>
      <c r="I434" s="5">
        <f>SUM(H434:H434)</f>
        <v>0</v>
      </c>
    </row>
    <row r="435" spans="2:10" x14ac:dyDescent="0.15">
      <c r="B435" s="21" t="s">
        <v>20</v>
      </c>
      <c r="C435" s="22">
        <f>1+16</f>
        <v>17</v>
      </c>
      <c r="D435" s="23">
        <f t="shared" si="18"/>
        <v>17</v>
      </c>
      <c r="E435" s="24">
        <v>44204</v>
      </c>
      <c r="G435" s="40"/>
      <c r="H435" s="22"/>
      <c r="I435" s="23">
        <f>SUM(H435:H435)</f>
        <v>0</v>
      </c>
    </row>
    <row r="436" spans="2:10" ht="14.25" thickBot="1" x14ac:dyDescent="0.2">
      <c r="B436" s="21" t="s">
        <v>20</v>
      </c>
      <c r="C436" s="42">
        <f>36+18+17+7</f>
        <v>78</v>
      </c>
      <c r="D436" s="43">
        <f t="shared" si="18"/>
        <v>78</v>
      </c>
      <c r="E436" s="24">
        <v>44208</v>
      </c>
      <c r="G436" s="66"/>
      <c r="H436" s="67"/>
      <c r="I436" s="68">
        <f>SUM(H436:H436)</f>
        <v>0</v>
      </c>
    </row>
    <row r="437" spans="2:10" x14ac:dyDescent="0.15">
      <c r="B437" s="58" t="s">
        <v>2</v>
      </c>
      <c r="C437" s="37">
        <f>SUM(C412:C436)</f>
        <v>1413</v>
      </c>
      <c r="D437" s="38">
        <f t="shared" si="18"/>
        <v>1413</v>
      </c>
      <c r="G437" s="9" t="s">
        <v>2</v>
      </c>
      <c r="H437" s="10">
        <f>SUM(H412:H436)</f>
        <v>1000</v>
      </c>
      <c r="I437" s="11">
        <f>SUM(H437:H437)</f>
        <v>1000</v>
      </c>
    </row>
    <row r="438" spans="2:10" ht="14.25" thickBot="1" x14ac:dyDescent="0.2">
      <c r="B438" s="60" t="s">
        <v>3</v>
      </c>
      <c r="C438" s="64">
        <f>+C411-C437</f>
        <v>375</v>
      </c>
      <c r="D438" s="65">
        <f t="shared" si="18"/>
        <v>375</v>
      </c>
      <c r="G438" s="33" t="s">
        <v>3</v>
      </c>
      <c r="H438" s="34">
        <f>+H411-H437</f>
        <v>0</v>
      </c>
      <c r="I438" s="35">
        <f>SUM(H438:H438)</f>
        <v>0</v>
      </c>
    </row>
    <row r="441" spans="2:10" ht="18.75" x14ac:dyDescent="0.2">
      <c r="B441" s="4" t="s">
        <v>53</v>
      </c>
      <c r="G441" s="54" t="s">
        <v>54</v>
      </c>
      <c r="H441" s="55"/>
      <c r="I441" s="55"/>
      <c r="J441" s="55"/>
    </row>
    <row r="442" spans="2:10" ht="14.25" thickBot="1" x14ac:dyDescent="0.2">
      <c r="G442" s="1"/>
    </row>
    <row r="443" spans="2:10" ht="14.25" thickBot="1" x14ac:dyDescent="0.2">
      <c r="B443" s="12"/>
      <c r="C443" s="74"/>
      <c r="D443" s="75"/>
      <c r="G443" s="12"/>
      <c r="H443" s="74"/>
      <c r="I443" s="75"/>
    </row>
    <row r="444" spans="2:10" ht="14.25" thickBot="1" x14ac:dyDescent="0.2">
      <c r="B444" s="13"/>
      <c r="C444" s="14"/>
      <c r="D444" s="15" t="s">
        <v>0</v>
      </c>
      <c r="G444" s="13"/>
      <c r="H444" s="14"/>
      <c r="I444" s="15" t="s">
        <v>0</v>
      </c>
    </row>
    <row r="445" spans="2:10" x14ac:dyDescent="0.15">
      <c r="B445" s="25" t="s">
        <v>4</v>
      </c>
      <c r="C445" s="26">
        <f>C438</f>
        <v>375</v>
      </c>
      <c r="D445" s="27">
        <f t="shared" ref="D445:D478" si="20">SUM(C445:C445)</f>
        <v>375</v>
      </c>
      <c r="G445" s="25" t="s">
        <v>4</v>
      </c>
      <c r="H445" s="26">
        <f>H438</f>
        <v>0</v>
      </c>
      <c r="I445" s="69">
        <f t="shared" ref="I445:I473" si="21">SUM(H445:H445)</f>
        <v>0</v>
      </c>
    </row>
    <row r="446" spans="2:10" x14ac:dyDescent="0.15">
      <c r="B446" s="48" t="s">
        <v>57</v>
      </c>
      <c r="C446" s="22">
        <v>1</v>
      </c>
      <c r="D446" s="23">
        <f t="shared" si="20"/>
        <v>1</v>
      </c>
      <c r="E446" s="24">
        <v>44209</v>
      </c>
      <c r="G446" s="40" t="s">
        <v>58</v>
      </c>
      <c r="H446" s="22">
        <v>530</v>
      </c>
      <c r="I446" s="11">
        <f>SUM(H446:H446)</f>
        <v>530</v>
      </c>
      <c r="J446" s="24">
        <v>44211</v>
      </c>
    </row>
    <row r="447" spans="2:10" x14ac:dyDescent="0.15">
      <c r="B447" s="48" t="s">
        <v>5</v>
      </c>
      <c r="C447" s="22">
        <v>140</v>
      </c>
      <c r="D447" s="23">
        <f t="shared" si="20"/>
        <v>140</v>
      </c>
      <c r="E447" s="24">
        <v>44239</v>
      </c>
      <c r="G447" s="40" t="s">
        <v>58</v>
      </c>
      <c r="H447" s="22">
        <v>250</v>
      </c>
      <c r="I447" s="23">
        <f>SUM(H447:H447)</f>
        <v>250</v>
      </c>
      <c r="J447" s="24">
        <v>44214</v>
      </c>
    </row>
    <row r="448" spans="2:10" x14ac:dyDescent="0.15">
      <c r="B448" s="48" t="s">
        <v>5</v>
      </c>
      <c r="C448" s="22">
        <v>760</v>
      </c>
      <c r="D448" s="23">
        <f t="shared" si="20"/>
        <v>760</v>
      </c>
      <c r="E448" s="24">
        <v>44239</v>
      </c>
      <c r="G448" s="48" t="s">
        <v>5</v>
      </c>
      <c r="H448" s="22">
        <v>80</v>
      </c>
      <c r="I448" s="23">
        <f t="shared" si="21"/>
        <v>80</v>
      </c>
      <c r="J448" s="24">
        <v>44228</v>
      </c>
    </row>
    <row r="449" spans="2:10" x14ac:dyDescent="0.15">
      <c r="B449" s="41" t="s">
        <v>5</v>
      </c>
      <c r="C449" s="30"/>
      <c r="D449" s="31">
        <f t="shared" si="20"/>
        <v>0</v>
      </c>
      <c r="G449" s="41" t="s">
        <v>5</v>
      </c>
      <c r="H449" s="30"/>
      <c r="I449" s="31">
        <f t="shared" si="21"/>
        <v>0</v>
      </c>
      <c r="J449" s="29"/>
    </row>
    <row r="450" spans="2:10" ht="14.25" thickBot="1" x14ac:dyDescent="0.2">
      <c r="B450" s="41" t="s">
        <v>5</v>
      </c>
      <c r="C450" s="44"/>
      <c r="D450" s="45">
        <f t="shared" si="20"/>
        <v>0</v>
      </c>
      <c r="G450" s="41" t="s">
        <v>5</v>
      </c>
      <c r="H450" s="44"/>
      <c r="I450" s="45">
        <f t="shared" si="21"/>
        <v>0</v>
      </c>
      <c r="J450" s="32"/>
    </row>
    <row r="451" spans="2:10" ht="14.25" thickBot="1" x14ac:dyDescent="0.2">
      <c r="B451" s="13" t="s">
        <v>1</v>
      </c>
      <c r="C451" s="16">
        <f>SUM(C445:C450)</f>
        <v>1276</v>
      </c>
      <c r="D451" s="17">
        <f t="shared" si="20"/>
        <v>1276</v>
      </c>
      <c r="G451" s="13" t="s">
        <v>1</v>
      </c>
      <c r="H451" s="16">
        <f>SUM(H445:H450)</f>
        <v>860</v>
      </c>
      <c r="I451" s="17">
        <f t="shared" si="21"/>
        <v>860</v>
      </c>
    </row>
    <row r="452" spans="2:10" x14ac:dyDescent="0.15">
      <c r="B452" s="21" t="s">
        <v>56</v>
      </c>
      <c r="C452" s="22">
        <v>50</v>
      </c>
      <c r="D452" s="38">
        <f t="shared" si="20"/>
        <v>50</v>
      </c>
      <c r="E452" s="24">
        <v>44211</v>
      </c>
      <c r="G452" s="21" t="s">
        <v>59</v>
      </c>
      <c r="H452" s="22">
        <v>100</v>
      </c>
      <c r="I452" s="38">
        <f t="shared" si="21"/>
        <v>100</v>
      </c>
      <c r="J452" s="24">
        <v>44218</v>
      </c>
    </row>
    <row r="453" spans="2:10" x14ac:dyDescent="0.15">
      <c r="B453" s="21" t="s">
        <v>20</v>
      </c>
      <c r="C453" s="2">
        <f>3+9</f>
        <v>12</v>
      </c>
      <c r="D453" s="5">
        <f t="shared" si="20"/>
        <v>12</v>
      </c>
      <c r="E453" s="24">
        <v>44209</v>
      </c>
      <c r="G453" s="40" t="s">
        <v>60</v>
      </c>
      <c r="H453" s="22">
        <v>760</v>
      </c>
      <c r="I453" s="23">
        <f t="shared" si="21"/>
        <v>760</v>
      </c>
      <c r="J453" s="24">
        <v>44239</v>
      </c>
    </row>
    <row r="454" spans="2:10" x14ac:dyDescent="0.15">
      <c r="B454" s="21" t="s">
        <v>20</v>
      </c>
      <c r="C454" s="22">
        <f>7+3+3</f>
        <v>13</v>
      </c>
      <c r="D454" s="23">
        <f t="shared" si="20"/>
        <v>13</v>
      </c>
      <c r="E454" s="24">
        <v>44210</v>
      </c>
      <c r="G454" s="7"/>
      <c r="H454" s="22"/>
      <c r="I454" s="23">
        <f t="shared" si="21"/>
        <v>0</v>
      </c>
    </row>
    <row r="455" spans="2:10" x14ac:dyDescent="0.15">
      <c r="B455" s="21" t="s">
        <v>20</v>
      </c>
      <c r="C455" s="2">
        <f>8+1+4+16</f>
        <v>29</v>
      </c>
      <c r="D455" s="5">
        <f t="shared" si="20"/>
        <v>29</v>
      </c>
      <c r="E455" s="24">
        <v>44211</v>
      </c>
      <c r="G455" s="18"/>
      <c r="H455" s="2"/>
      <c r="I455" s="5">
        <f t="shared" si="21"/>
        <v>0</v>
      </c>
    </row>
    <row r="456" spans="2:10" x14ac:dyDescent="0.15">
      <c r="B456" s="21" t="s">
        <v>20</v>
      </c>
      <c r="C456" s="2">
        <f>19+2</f>
        <v>21</v>
      </c>
      <c r="D456" s="5">
        <f t="shared" si="20"/>
        <v>21</v>
      </c>
      <c r="E456" s="24">
        <v>44214</v>
      </c>
      <c r="G456" s="18"/>
      <c r="H456" s="2"/>
      <c r="I456" s="5">
        <f t="shared" si="21"/>
        <v>0</v>
      </c>
    </row>
    <row r="457" spans="2:10" x14ac:dyDescent="0.15">
      <c r="B457" s="21" t="s">
        <v>20</v>
      </c>
      <c r="C457" s="22">
        <f>6+6</f>
        <v>12</v>
      </c>
      <c r="D457" s="23">
        <f t="shared" si="20"/>
        <v>12</v>
      </c>
      <c r="E457" s="24">
        <v>44215</v>
      </c>
      <c r="G457" s="18"/>
      <c r="H457" s="22"/>
      <c r="I457" s="23">
        <f t="shared" si="21"/>
        <v>0</v>
      </c>
    </row>
    <row r="458" spans="2:10" x14ac:dyDescent="0.15">
      <c r="B458" s="21" t="s">
        <v>20</v>
      </c>
      <c r="C458" s="22">
        <f>9+3</f>
        <v>12</v>
      </c>
      <c r="D458" s="23">
        <f t="shared" si="20"/>
        <v>12</v>
      </c>
      <c r="E458" s="24">
        <v>44216</v>
      </c>
      <c r="G458" s="21"/>
      <c r="H458" s="2"/>
      <c r="I458" s="5">
        <f t="shared" si="21"/>
        <v>0</v>
      </c>
    </row>
    <row r="459" spans="2:10" x14ac:dyDescent="0.15">
      <c r="B459" s="21" t="s">
        <v>20</v>
      </c>
      <c r="C459" s="2">
        <f>7+5</f>
        <v>12</v>
      </c>
      <c r="D459" s="5">
        <f t="shared" si="20"/>
        <v>12</v>
      </c>
      <c r="E459" s="24">
        <v>44217</v>
      </c>
      <c r="G459" s="18"/>
      <c r="H459" s="2"/>
      <c r="I459" s="5">
        <f t="shared" si="21"/>
        <v>0</v>
      </c>
    </row>
    <row r="460" spans="2:10" x14ac:dyDescent="0.15">
      <c r="B460" s="21" t="s">
        <v>20</v>
      </c>
      <c r="C460" s="2">
        <f>4+2+12</f>
        <v>18</v>
      </c>
      <c r="D460" s="5">
        <f t="shared" si="20"/>
        <v>18</v>
      </c>
      <c r="E460" s="24">
        <v>44218</v>
      </c>
      <c r="G460" s="18"/>
      <c r="H460" s="2"/>
      <c r="I460" s="5">
        <f t="shared" si="21"/>
        <v>0</v>
      </c>
    </row>
    <row r="461" spans="2:10" x14ac:dyDescent="0.15">
      <c r="B461" s="21" t="s">
        <v>20</v>
      </c>
      <c r="C461" s="2">
        <f>14+5+4</f>
        <v>23</v>
      </c>
      <c r="D461" s="5">
        <f t="shared" si="20"/>
        <v>23</v>
      </c>
      <c r="E461" s="24">
        <v>44221</v>
      </c>
      <c r="G461" s="18"/>
      <c r="H461" s="2"/>
      <c r="I461" s="5">
        <f t="shared" si="21"/>
        <v>0</v>
      </c>
    </row>
    <row r="462" spans="2:10" x14ac:dyDescent="0.15">
      <c r="B462" s="21" t="s">
        <v>20</v>
      </c>
      <c r="C462" s="2">
        <f>1+2</f>
        <v>3</v>
      </c>
      <c r="D462" s="5">
        <f t="shared" si="20"/>
        <v>3</v>
      </c>
      <c r="E462" s="24">
        <v>44222</v>
      </c>
      <c r="G462" s="18"/>
      <c r="H462" s="2"/>
      <c r="I462" s="5">
        <f t="shared" si="21"/>
        <v>0</v>
      </c>
    </row>
    <row r="463" spans="2:10" x14ac:dyDescent="0.15">
      <c r="B463" s="21" t="s">
        <v>20</v>
      </c>
      <c r="C463" s="2">
        <f>2+3</f>
        <v>5</v>
      </c>
      <c r="D463" s="5">
        <f t="shared" si="20"/>
        <v>5</v>
      </c>
      <c r="E463" s="24">
        <v>44223</v>
      </c>
      <c r="G463" s="18"/>
      <c r="H463" s="2"/>
      <c r="I463" s="5">
        <f t="shared" si="21"/>
        <v>0</v>
      </c>
    </row>
    <row r="464" spans="2:10" x14ac:dyDescent="0.15">
      <c r="B464" s="21" t="s">
        <v>20</v>
      </c>
      <c r="C464" s="2">
        <f>4+8+1</f>
        <v>13</v>
      </c>
      <c r="D464" s="5">
        <f t="shared" si="20"/>
        <v>13</v>
      </c>
      <c r="E464" s="24">
        <v>44224</v>
      </c>
      <c r="G464" s="18"/>
      <c r="H464" s="2"/>
      <c r="I464" s="5">
        <f t="shared" si="21"/>
        <v>0</v>
      </c>
    </row>
    <row r="465" spans="2:10" x14ac:dyDescent="0.15">
      <c r="B465" s="21" t="s">
        <v>20</v>
      </c>
      <c r="C465" s="2">
        <f>4+1</f>
        <v>5</v>
      </c>
      <c r="D465" s="5">
        <f t="shared" si="20"/>
        <v>5</v>
      </c>
      <c r="E465" s="24">
        <v>44225</v>
      </c>
      <c r="G465" s="6"/>
      <c r="H465" s="2"/>
      <c r="I465" s="5">
        <f t="shared" si="21"/>
        <v>0</v>
      </c>
    </row>
    <row r="466" spans="2:10" x14ac:dyDescent="0.15">
      <c r="B466" s="21" t="s">
        <v>20</v>
      </c>
      <c r="C466" s="2">
        <v>10</v>
      </c>
      <c r="D466" s="5">
        <f t="shared" si="20"/>
        <v>10</v>
      </c>
      <c r="E466" s="24">
        <v>44228</v>
      </c>
      <c r="G466" s="6"/>
      <c r="H466" s="2"/>
      <c r="I466" s="5">
        <f t="shared" si="21"/>
        <v>0</v>
      </c>
    </row>
    <row r="467" spans="2:10" x14ac:dyDescent="0.15">
      <c r="B467" s="21" t="s">
        <v>20</v>
      </c>
      <c r="C467" s="2">
        <f>1+4</f>
        <v>5</v>
      </c>
      <c r="D467" s="5">
        <f t="shared" si="20"/>
        <v>5</v>
      </c>
      <c r="E467" s="24">
        <v>44229</v>
      </c>
      <c r="G467" s="6"/>
      <c r="H467" s="2"/>
      <c r="I467" s="5">
        <f t="shared" si="21"/>
        <v>0</v>
      </c>
    </row>
    <row r="468" spans="2:10" x14ac:dyDescent="0.15">
      <c r="B468" s="21" t="s">
        <v>20</v>
      </c>
      <c r="C468" s="2">
        <v>1</v>
      </c>
      <c r="D468" s="5">
        <f t="shared" si="20"/>
        <v>1</v>
      </c>
      <c r="E468" s="24">
        <v>44230</v>
      </c>
      <c r="G468" s="6"/>
      <c r="H468" s="2"/>
      <c r="I468" s="5">
        <f t="shared" si="21"/>
        <v>0</v>
      </c>
    </row>
    <row r="469" spans="2:10" x14ac:dyDescent="0.15">
      <c r="B469" s="21" t="s">
        <v>20</v>
      </c>
      <c r="C469" s="2">
        <f>4+2</f>
        <v>6</v>
      </c>
      <c r="D469" s="5">
        <f t="shared" si="20"/>
        <v>6</v>
      </c>
      <c r="E469" s="24">
        <v>44231</v>
      </c>
      <c r="G469" s="6"/>
      <c r="H469" s="2"/>
      <c r="I469" s="5">
        <f t="shared" si="21"/>
        <v>0</v>
      </c>
    </row>
    <row r="470" spans="2:10" x14ac:dyDescent="0.15">
      <c r="B470" s="21" t="s">
        <v>20</v>
      </c>
      <c r="C470" s="22">
        <f>2+1</f>
        <v>3</v>
      </c>
      <c r="D470" s="23">
        <f t="shared" si="20"/>
        <v>3</v>
      </c>
      <c r="E470" s="24">
        <v>44232</v>
      </c>
      <c r="G470" s="6"/>
      <c r="H470" s="2"/>
      <c r="I470" s="5">
        <f t="shared" si="21"/>
        <v>0</v>
      </c>
    </row>
    <row r="471" spans="2:10" x14ac:dyDescent="0.15">
      <c r="B471" s="21" t="s">
        <v>20</v>
      </c>
      <c r="C471" s="2">
        <f>7+7</f>
        <v>14</v>
      </c>
      <c r="D471" s="5">
        <f t="shared" si="20"/>
        <v>14</v>
      </c>
      <c r="E471" s="24">
        <v>44235</v>
      </c>
      <c r="G471" s="40"/>
      <c r="H471" s="2"/>
      <c r="I471" s="5">
        <f t="shared" si="21"/>
        <v>0</v>
      </c>
    </row>
    <row r="472" spans="2:10" x14ac:dyDescent="0.15">
      <c r="B472" s="21" t="s">
        <v>20</v>
      </c>
      <c r="C472" s="2">
        <v>7</v>
      </c>
      <c r="D472" s="5">
        <f t="shared" si="20"/>
        <v>7</v>
      </c>
      <c r="E472" s="24">
        <v>44236</v>
      </c>
      <c r="G472" s="40"/>
      <c r="H472" s="2"/>
      <c r="I472" s="5">
        <f t="shared" si="21"/>
        <v>0</v>
      </c>
    </row>
    <row r="473" spans="2:10" x14ac:dyDescent="0.15">
      <c r="B473" s="21" t="s">
        <v>20</v>
      </c>
      <c r="C473" s="3">
        <v>13</v>
      </c>
      <c r="D473" s="8">
        <f t="shared" si="20"/>
        <v>13</v>
      </c>
      <c r="E473" s="24">
        <v>44237</v>
      </c>
      <c r="G473" s="40"/>
      <c r="H473" s="3"/>
      <c r="I473" s="8">
        <f t="shared" si="21"/>
        <v>0</v>
      </c>
    </row>
    <row r="474" spans="2:10" x14ac:dyDescent="0.15">
      <c r="B474" s="21" t="s">
        <v>20</v>
      </c>
      <c r="C474" s="22">
        <v>9</v>
      </c>
      <c r="D474" s="23">
        <f t="shared" si="20"/>
        <v>9</v>
      </c>
      <c r="E474" s="24">
        <v>44239</v>
      </c>
      <c r="G474" s="40"/>
      <c r="H474" s="2"/>
      <c r="I474" s="5">
        <f>SUM(H474:H474)</f>
        <v>0</v>
      </c>
    </row>
    <row r="475" spans="2:10" x14ac:dyDescent="0.15">
      <c r="B475" s="21" t="s">
        <v>20</v>
      </c>
      <c r="C475" s="22">
        <v>17</v>
      </c>
      <c r="D475" s="23">
        <f t="shared" si="20"/>
        <v>17</v>
      </c>
      <c r="E475" s="24">
        <v>44242</v>
      </c>
      <c r="G475" s="40"/>
      <c r="H475" s="22"/>
      <c r="I475" s="23">
        <f>SUM(H475:H475)</f>
        <v>0</v>
      </c>
    </row>
    <row r="476" spans="2:10" ht="14.25" thickBot="1" x14ac:dyDescent="0.2">
      <c r="B476" s="21" t="s">
        <v>20</v>
      </c>
      <c r="C476" s="42">
        <v>10</v>
      </c>
      <c r="D476" s="43">
        <f t="shared" si="20"/>
        <v>10</v>
      </c>
      <c r="E476" s="24">
        <v>44243</v>
      </c>
      <c r="G476" s="66" t="s">
        <v>46</v>
      </c>
      <c r="H476" s="67"/>
      <c r="I476" s="68">
        <f>SUM(H476:H476)</f>
        <v>0</v>
      </c>
      <c r="J476" t="s">
        <v>47</v>
      </c>
    </row>
    <row r="477" spans="2:10" x14ac:dyDescent="0.15">
      <c r="B477" s="58" t="s">
        <v>2</v>
      </c>
      <c r="C477" s="37">
        <f>SUM(C452:C476)</f>
        <v>323</v>
      </c>
      <c r="D477" s="38">
        <f t="shared" si="20"/>
        <v>323</v>
      </c>
      <c r="G477" s="9" t="s">
        <v>2</v>
      </c>
      <c r="H477" s="10">
        <f>SUM(H452:H476)</f>
        <v>860</v>
      </c>
      <c r="I477" s="11">
        <f>SUM(H477:H477)</f>
        <v>860</v>
      </c>
    </row>
    <row r="478" spans="2:10" ht="14.25" thickBot="1" x14ac:dyDescent="0.2">
      <c r="B478" s="60" t="s">
        <v>3</v>
      </c>
      <c r="C478" s="64">
        <f>+C451-C477</f>
        <v>953</v>
      </c>
      <c r="D478" s="65">
        <f t="shared" si="20"/>
        <v>953</v>
      </c>
      <c r="G478" s="33" t="s">
        <v>3</v>
      </c>
      <c r="H478" s="34">
        <f>+H451-H477</f>
        <v>0</v>
      </c>
      <c r="I478" s="35">
        <f>SUM(H478:H478)</f>
        <v>0</v>
      </c>
    </row>
    <row r="481" spans="2:10" ht="18.75" x14ac:dyDescent="0.2">
      <c r="B481" s="4" t="s">
        <v>53</v>
      </c>
      <c r="G481" s="54" t="s">
        <v>54</v>
      </c>
      <c r="H481" s="55"/>
      <c r="I481" s="55"/>
      <c r="J481" s="55"/>
    </row>
    <row r="482" spans="2:10" ht="14.25" thickBot="1" x14ac:dyDescent="0.2">
      <c r="G482" s="1"/>
    </row>
    <row r="483" spans="2:10" ht="14.25" thickBot="1" x14ac:dyDescent="0.2">
      <c r="B483" s="12"/>
      <c r="C483" s="74"/>
      <c r="D483" s="75"/>
      <c r="G483" s="12"/>
      <c r="H483" s="74"/>
      <c r="I483" s="75"/>
    </row>
    <row r="484" spans="2:10" ht="14.25" thickBot="1" x14ac:dyDescent="0.2">
      <c r="B484" s="13"/>
      <c r="C484" s="14"/>
      <c r="D484" s="15" t="s">
        <v>0</v>
      </c>
      <c r="G484" s="13"/>
      <c r="H484" s="14"/>
      <c r="I484" s="15" t="s">
        <v>0</v>
      </c>
    </row>
    <row r="485" spans="2:10" x14ac:dyDescent="0.15">
      <c r="B485" s="25" t="s">
        <v>4</v>
      </c>
      <c r="C485" s="26">
        <f>C478</f>
        <v>953</v>
      </c>
      <c r="D485" s="27">
        <f t="shared" ref="D485:D518" si="22">SUM(C485:C485)</f>
        <v>953</v>
      </c>
      <c r="G485" s="25" t="s">
        <v>4</v>
      </c>
      <c r="H485" s="26">
        <f>H478</f>
        <v>0</v>
      </c>
      <c r="I485" s="27">
        <f t="shared" ref="I485:I513" si="23">SUM(H485:H485)</f>
        <v>0</v>
      </c>
    </row>
    <row r="486" spans="2:10" x14ac:dyDescent="0.15">
      <c r="B486" s="48" t="s">
        <v>61</v>
      </c>
      <c r="C486" s="22">
        <v>7</v>
      </c>
      <c r="D486" s="23">
        <f t="shared" si="22"/>
        <v>7</v>
      </c>
      <c r="E486" s="24">
        <v>44245</v>
      </c>
      <c r="G486" s="48" t="s">
        <v>5</v>
      </c>
      <c r="H486" s="50"/>
      <c r="I486" s="51">
        <f t="shared" si="23"/>
        <v>0</v>
      </c>
    </row>
    <row r="487" spans="2:10" x14ac:dyDescent="0.15">
      <c r="B487" s="48" t="s">
        <v>62</v>
      </c>
      <c r="C487" s="22">
        <v>2</v>
      </c>
      <c r="D487" s="23">
        <f t="shared" si="22"/>
        <v>2</v>
      </c>
      <c r="E487" s="24">
        <v>44271</v>
      </c>
      <c r="G487" s="48" t="s">
        <v>5</v>
      </c>
      <c r="H487" s="22"/>
      <c r="I487" s="23">
        <f t="shared" si="23"/>
        <v>0</v>
      </c>
      <c r="J487" s="24"/>
    </row>
    <row r="488" spans="2:10" x14ac:dyDescent="0.15">
      <c r="B488" s="48" t="s">
        <v>5</v>
      </c>
      <c r="C488" s="22"/>
      <c r="D488" s="23">
        <f t="shared" si="22"/>
        <v>0</v>
      </c>
      <c r="G488" s="48" t="s">
        <v>5</v>
      </c>
      <c r="H488" s="22"/>
      <c r="I488" s="23">
        <f t="shared" si="23"/>
        <v>0</v>
      </c>
      <c r="J488" s="24"/>
    </row>
    <row r="489" spans="2:10" x14ac:dyDescent="0.15">
      <c r="B489" s="48" t="s">
        <v>5</v>
      </c>
      <c r="C489" s="22"/>
      <c r="D489" s="23">
        <f t="shared" si="22"/>
        <v>0</v>
      </c>
      <c r="G489" s="48" t="s">
        <v>5</v>
      </c>
      <c r="H489" s="22"/>
      <c r="I489" s="23">
        <f t="shared" si="23"/>
        <v>0</v>
      </c>
    </row>
    <row r="490" spans="2:10" ht="14.25" thickBot="1" x14ac:dyDescent="0.2">
      <c r="B490" s="48" t="s">
        <v>5</v>
      </c>
      <c r="C490" s="50"/>
      <c r="D490" s="51">
        <f t="shared" si="22"/>
        <v>0</v>
      </c>
      <c r="G490" s="48" t="s">
        <v>5</v>
      </c>
      <c r="H490" s="50"/>
      <c r="I490" s="51">
        <f t="shared" si="23"/>
        <v>0</v>
      </c>
    </row>
    <row r="491" spans="2:10" ht="14.25" thickBot="1" x14ac:dyDescent="0.2">
      <c r="B491" s="13" t="s">
        <v>1</v>
      </c>
      <c r="C491" s="16">
        <f>SUM(C485:C490)</f>
        <v>962</v>
      </c>
      <c r="D491" s="17">
        <f t="shared" si="22"/>
        <v>962</v>
      </c>
      <c r="G491" s="13" t="s">
        <v>1</v>
      </c>
      <c r="H491" s="16">
        <f>SUM(H485:H490)</f>
        <v>0</v>
      </c>
      <c r="I491" s="17">
        <f t="shared" si="23"/>
        <v>0</v>
      </c>
    </row>
    <row r="492" spans="2:10" x14ac:dyDescent="0.15">
      <c r="B492" s="21" t="s">
        <v>20</v>
      </c>
      <c r="C492" s="2">
        <v>4</v>
      </c>
      <c r="D492" s="20">
        <f t="shared" si="22"/>
        <v>4</v>
      </c>
      <c r="E492" s="24">
        <v>44244</v>
      </c>
      <c r="G492" s="40"/>
      <c r="H492" s="22"/>
      <c r="I492" s="38">
        <f t="shared" si="23"/>
        <v>0</v>
      </c>
      <c r="J492" s="24"/>
    </row>
    <row r="493" spans="2:10" x14ac:dyDescent="0.15">
      <c r="B493" s="21" t="s">
        <v>20</v>
      </c>
      <c r="C493" s="2">
        <v>4</v>
      </c>
      <c r="D493" s="5">
        <f t="shared" si="22"/>
        <v>4</v>
      </c>
      <c r="E493" s="24">
        <v>44245</v>
      </c>
      <c r="G493" s="40"/>
      <c r="H493" s="22"/>
      <c r="I493" s="23">
        <f t="shared" si="23"/>
        <v>0</v>
      </c>
      <c r="J493" s="24"/>
    </row>
    <row r="494" spans="2:10" x14ac:dyDescent="0.15">
      <c r="B494" s="21" t="s">
        <v>20</v>
      </c>
      <c r="C494" s="22">
        <f>2+2</f>
        <v>4</v>
      </c>
      <c r="D494" s="23">
        <f t="shared" si="22"/>
        <v>4</v>
      </c>
      <c r="E494" s="24">
        <v>44246</v>
      </c>
      <c r="G494" s="7"/>
      <c r="H494" s="22"/>
      <c r="I494" s="23">
        <f t="shared" si="23"/>
        <v>0</v>
      </c>
    </row>
    <row r="495" spans="2:10" x14ac:dyDescent="0.15">
      <c r="B495" s="21" t="s">
        <v>20</v>
      </c>
      <c r="C495" s="2">
        <f>2+13</f>
        <v>15</v>
      </c>
      <c r="D495" s="5">
        <f t="shared" si="22"/>
        <v>15</v>
      </c>
      <c r="E495" s="24">
        <v>44249</v>
      </c>
      <c r="G495" s="18"/>
      <c r="H495" s="2"/>
      <c r="I495" s="5">
        <f t="shared" si="23"/>
        <v>0</v>
      </c>
    </row>
    <row r="496" spans="2:10" x14ac:dyDescent="0.15">
      <c r="B496" s="21" t="s">
        <v>20</v>
      </c>
      <c r="C496" s="2">
        <v>9</v>
      </c>
      <c r="D496" s="5">
        <f t="shared" si="22"/>
        <v>9</v>
      </c>
      <c r="E496" s="24">
        <v>44251</v>
      </c>
      <c r="G496" s="18"/>
      <c r="H496" s="2"/>
      <c r="I496" s="5">
        <f t="shared" si="23"/>
        <v>0</v>
      </c>
    </row>
    <row r="497" spans="2:9" x14ac:dyDescent="0.15">
      <c r="B497" s="21" t="s">
        <v>20</v>
      </c>
      <c r="C497" s="22">
        <v>6</v>
      </c>
      <c r="D497" s="23">
        <f t="shared" si="22"/>
        <v>6</v>
      </c>
      <c r="E497" s="24">
        <v>44252</v>
      </c>
      <c r="G497" s="18"/>
      <c r="H497" s="22"/>
      <c r="I497" s="23">
        <f t="shared" si="23"/>
        <v>0</v>
      </c>
    </row>
    <row r="498" spans="2:9" x14ac:dyDescent="0.15">
      <c r="B498" s="21" t="s">
        <v>20</v>
      </c>
      <c r="C498" s="22">
        <f>4+1</f>
        <v>5</v>
      </c>
      <c r="D498" s="23">
        <f t="shared" si="22"/>
        <v>5</v>
      </c>
      <c r="E498" s="24">
        <v>44253</v>
      </c>
      <c r="G498" s="21"/>
      <c r="H498" s="2"/>
      <c r="I498" s="5">
        <f t="shared" si="23"/>
        <v>0</v>
      </c>
    </row>
    <row r="499" spans="2:9" x14ac:dyDescent="0.15">
      <c r="B499" s="21" t="s">
        <v>20</v>
      </c>
      <c r="C499" s="2">
        <f>3+9+2</f>
        <v>14</v>
      </c>
      <c r="D499" s="5">
        <f t="shared" si="22"/>
        <v>14</v>
      </c>
      <c r="E499" s="24">
        <v>44256</v>
      </c>
      <c r="G499" s="18"/>
      <c r="H499" s="2"/>
      <c r="I499" s="5">
        <f t="shared" si="23"/>
        <v>0</v>
      </c>
    </row>
    <row r="500" spans="2:9" x14ac:dyDescent="0.15">
      <c r="B500" s="21" t="s">
        <v>20</v>
      </c>
      <c r="C500" s="2">
        <v>2</v>
      </c>
      <c r="D500" s="5">
        <f t="shared" si="22"/>
        <v>2</v>
      </c>
      <c r="E500" s="24">
        <v>44257</v>
      </c>
      <c r="G500" s="18"/>
      <c r="H500" s="2"/>
      <c r="I500" s="5">
        <f t="shared" si="23"/>
        <v>0</v>
      </c>
    </row>
    <row r="501" spans="2:9" x14ac:dyDescent="0.15">
      <c r="B501" s="21" t="s">
        <v>20</v>
      </c>
      <c r="C501" s="2">
        <v>1</v>
      </c>
      <c r="D501" s="5">
        <f t="shared" si="22"/>
        <v>1</v>
      </c>
      <c r="E501" s="24">
        <v>44258</v>
      </c>
      <c r="G501" s="18"/>
      <c r="H501" s="2"/>
      <c r="I501" s="5">
        <f t="shared" si="23"/>
        <v>0</v>
      </c>
    </row>
    <row r="502" spans="2:9" x14ac:dyDescent="0.15">
      <c r="B502" s="21" t="s">
        <v>20</v>
      </c>
      <c r="C502" s="2">
        <v>2</v>
      </c>
      <c r="D502" s="5">
        <f t="shared" si="22"/>
        <v>2</v>
      </c>
      <c r="E502" s="24">
        <v>44259</v>
      </c>
      <c r="G502" s="18"/>
      <c r="H502" s="2"/>
      <c r="I502" s="5">
        <f t="shared" si="23"/>
        <v>0</v>
      </c>
    </row>
    <row r="503" spans="2:9" x14ac:dyDescent="0.15">
      <c r="B503" s="21" t="s">
        <v>20</v>
      </c>
      <c r="C503" s="2">
        <f>1+12</f>
        <v>13</v>
      </c>
      <c r="D503" s="5">
        <f t="shared" si="22"/>
        <v>13</v>
      </c>
      <c r="E503" s="24">
        <v>44260</v>
      </c>
      <c r="G503" s="18"/>
      <c r="H503" s="2"/>
      <c r="I503" s="5">
        <f t="shared" si="23"/>
        <v>0</v>
      </c>
    </row>
    <row r="504" spans="2:9" x14ac:dyDescent="0.15">
      <c r="B504" s="21" t="s">
        <v>20</v>
      </c>
      <c r="C504" s="2">
        <v>13</v>
      </c>
      <c r="D504" s="5">
        <f t="shared" si="22"/>
        <v>13</v>
      </c>
      <c r="E504" s="24">
        <v>44261</v>
      </c>
      <c r="G504" s="18"/>
      <c r="H504" s="2"/>
      <c r="I504" s="5">
        <f t="shared" si="23"/>
        <v>0</v>
      </c>
    </row>
    <row r="505" spans="2:9" x14ac:dyDescent="0.15">
      <c r="B505" s="21" t="s">
        <v>20</v>
      </c>
      <c r="C505" s="2">
        <v>8</v>
      </c>
      <c r="D505" s="5">
        <f t="shared" si="22"/>
        <v>8</v>
      </c>
      <c r="E505" s="24">
        <v>44263</v>
      </c>
      <c r="G505" s="6"/>
      <c r="H505" s="2"/>
      <c r="I505" s="5">
        <f t="shared" si="23"/>
        <v>0</v>
      </c>
    </row>
    <row r="506" spans="2:9" x14ac:dyDescent="0.15">
      <c r="B506" s="21" t="s">
        <v>20</v>
      </c>
      <c r="C506" s="2">
        <v>1</v>
      </c>
      <c r="D506" s="5">
        <f t="shared" si="22"/>
        <v>1</v>
      </c>
      <c r="E506" s="24">
        <v>44264</v>
      </c>
      <c r="G506" s="6"/>
      <c r="H506" s="2"/>
      <c r="I506" s="5">
        <f t="shared" si="23"/>
        <v>0</v>
      </c>
    </row>
    <row r="507" spans="2:9" x14ac:dyDescent="0.15">
      <c r="B507" s="21" t="s">
        <v>20</v>
      </c>
      <c r="C507" s="2">
        <f>10+3</f>
        <v>13</v>
      </c>
      <c r="D507" s="5">
        <f t="shared" si="22"/>
        <v>13</v>
      </c>
      <c r="E507" s="24">
        <v>44265</v>
      </c>
      <c r="G507" s="6"/>
      <c r="H507" s="2"/>
      <c r="I507" s="5">
        <f t="shared" si="23"/>
        <v>0</v>
      </c>
    </row>
    <row r="508" spans="2:9" x14ac:dyDescent="0.15">
      <c r="B508" s="21" t="s">
        <v>20</v>
      </c>
      <c r="C508" s="2">
        <v>8</v>
      </c>
      <c r="D508" s="5">
        <f t="shared" si="22"/>
        <v>8</v>
      </c>
      <c r="E508" s="24">
        <v>44266</v>
      </c>
      <c r="G508" s="6"/>
      <c r="H508" s="2"/>
      <c r="I508" s="5">
        <f t="shared" si="23"/>
        <v>0</v>
      </c>
    </row>
    <row r="509" spans="2:9" x14ac:dyDescent="0.15">
      <c r="B509" s="21" t="s">
        <v>20</v>
      </c>
      <c r="C509" s="2">
        <v>4</v>
      </c>
      <c r="D509" s="5">
        <f t="shared" si="22"/>
        <v>4</v>
      </c>
      <c r="E509" s="24">
        <v>44267</v>
      </c>
      <c r="G509" s="6"/>
      <c r="H509" s="2"/>
      <c r="I509" s="5">
        <f t="shared" si="23"/>
        <v>0</v>
      </c>
    </row>
    <row r="510" spans="2:9" x14ac:dyDescent="0.15">
      <c r="B510" s="21" t="s">
        <v>20</v>
      </c>
      <c r="C510" s="22">
        <v>6</v>
      </c>
      <c r="D510" s="23">
        <f t="shared" si="22"/>
        <v>6</v>
      </c>
      <c r="E510" s="24">
        <v>44270</v>
      </c>
      <c r="G510" s="6"/>
      <c r="H510" s="2"/>
      <c r="I510" s="5">
        <f t="shared" si="23"/>
        <v>0</v>
      </c>
    </row>
    <row r="511" spans="2:9" x14ac:dyDescent="0.15">
      <c r="B511" s="21" t="s">
        <v>20</v>
      </c>
      <c r="C511" s="2">
        <f>1+1</f>
        <v>2</v>
      </c>
      <c r="D511" s="5">
        <f t="shared" si="22"/>
        <v>2</v>
      </c>
      <c r="E511" s="24">
        <v>44271</v>
      </c>
      <c r="G511" s="40"/>
      <c r="H511" s="2"/>
      <c r="I511" s="5">
        <f t="shared" si="23"/>
        <v>0</v>
      </c>
    </row>
    <row r="512" spans="2:9" x14ac:dyDescent="0.15">
      <c r="B512" s="21" t="s">
        <v>20</v>
      </c>
      <c r="C512" s="2">
        <f>1+1</f>
        <v>2</v>
      </c>
      <c r="D512" s="5">
        <f t="shared" si="22"/>
        <v>2</v>
      </c>
      <c r="E512" s="24">
        <v>44272</v>
      </c>
      <c r="G512" s="40"/>
      <c r="H512" s="2"/>
      <c r="I512" s="5">
        <f t="shared" si="23"/>
        <v>0</v>
      </c>
    </row>
    <row r="513" spans="2:10" x14ac:dyDescent="0.15">
      <c r="B513" s="21" t="s">
        <v>20</v>
      </c>
      <c r="C513" s="3">
        <v>4</v>
      </c>
      <c r="D513" s="8">
        <f t="shared" si="22"/>
        <v>4</v>
      </c>
      <c r="E513" s="24">
        <v>44273</v>
      </c>
      <c r="G513" s="40"/>
      <c r="H513" s="3"/>
      <c r="I513" s="8">
        <f t="shared" si="23"/>
        <v>0</v>
      </c>
    </row>
    <row r="514" spans="2:10" x14ac:dyDescent="0.15">
      <c r="B514" s="21" t="s">
        <v>20</v>
      </c>
      <c r="C514" s="22">
        <f>1+4</f>
        <v>5</v>
      </c>
      <c r="D514" s="23">
        <f t="shared" si="22"/>
        <v>5</v>
      </c>
      <c r="E514" s="24">
        <v>44274</v>
      </c>
      <c r="G514" s="40"/>
      <c r="H514" s="2"/>
      <c r="I514" s="5">
        <f>SUM(H514:H514)</f>
        <v>0</v>
      </c>
    </row>
    <row r="515" spans="2:10" x14ac:dyDescent="0.15">
      <c r="B515" s="21" t="s">
        <v>20</v>
      </c>
      <c r="C515" s="22">
        <v>9</v>
      </c>
      <c r="D515" s="23">
        <f t="shared" si="22"/>
        <v>9</v>
      </c>
      <c r="E515" s="24">
        <v>44277</v>
      </c>
      <c r="G515" s="40"/>
      <c r="H515" s="22"/>
      <c r="I515" s="23">
        <f>SUM(H515:H515)</f>
        <v>0</v>
      </c>
    </row>
    <row r="516" spans="2:10" ht="14.25" thickBot="1" x14ac:dyDescent="0.2">
      <c r="B516" s="21" t="s">
        <v>20</v>
      </c>
      <c r="C516" s="42">
        <f>1+1</f>
        <v>2</v>
      </c>
      <c r="D516" s="43">
        <f t="shared" si="22"/>
        <v>2</v>
      </c>
      <c r="E516" s="24">
        <v>44278</v>
      </c>
      <c r="G516" s="66"/>
      <c r="H516" s="67"/>
      <c r="I516" s="68">
        <f>SUM(H516:H516)</f>
        <v>0</v>
      </c>
    </row>
    <row r="517" spans="2:10" x14ac:dyDescent="0.15">
      <c r="B517" s="58" t="s">
        <v>2</v>
      </c>
      <c r="C517" s="37">
        <f>SUM(C492:C516)</f>
        <v>156</v>
      </c>
      <c r="D517" s="38">
        <f t="shared" si="22"/>
        <v>156</v>
      </c>
      <c r="G517" s="9" t="s">
        <v>2</v>
      </c>
      <c r="H517" s="10">
        <f>SUM(H492:H516)</f>
        <v>0</v>
      </c>
      <c r="I517" s="11">
        <f>SUM(H517:H517)</f>
        <v>0</v>
      </c>
    </row>
    <row r="518" spans="2:10" ht="14.25" thickBot="1" x14ac:dyDescent="0.2">
      <c r="B518" s="60" t="s">
        <v>3</v>
      </c>
      <c r="C518" s="64">
        <f>+C491-C517</f>
        <v>806</v>
      </c>
      <c r="D518" s="65">
        <f t="shared" si="22"/>
        <v>806</v>
      </c>
      <c r="G518" s="33" t="s">
        <v>3</v>
      </c>
      <c r="H518" s="34">
        <f>+H491-H517</f>
        <v>0</v>
      </c>
      <c r="I518" s="35">
        <f>SUM(H518:H518)</f>
        <v>0</v>
      </c>
    </row>
    <row r="521" spans="2:10" ht="18.75" x14ac:dyDescent="0.2">
      <c r="B521" s="4" t="s">
        <v>53</v>
      </c>
      <c r="G521" s="54" t="s">
        <v>54</v>
      </c>
      <c r="H521" s="55"/>
      <c r="I521" s="55"/>
      <c r="J521" s="55"/>
    </row>
    <row r="522" spans="2:10" ht="14.25" thickBot="1" x14ac:dyDescent="0.2">
      <c r="G522" s="1"/>
    </row>
    <row r="523" spans="2:10" ht="14.25" thickBot="1" x14ac:dyDescent="0.2">
      <c r="B523" s="12"/>
      <c r="C523" s="74"/>
      <c r="D523" s="75"/>
      <c r="G523" s="12"/>
      <c r="H523" s="74"/>
      <c r="I523" s="75"/>
    </row>
    <row r="524" spans="2:10" ht="14.25" thickBot="1" x14ac:dyDescent="0.2">
      <c r="B524" s="13"/>
      <c r="C524" s="14"/>
      <c r="D524" s="15" t="s">
        <v>0</v>
      </c>
      <c r="G524" s="13"/>
      <c r="H524" s="14"/>
      <c r="I524" s="15" t="s">
        <v>0</v>
      </c>
    </row>
    <row r="525" spans="2:10" x14ac:dyDescent="0.15">
      <c r="B525" s="25" t="s">
        <v>4</v>
      </c>
      <c r="C525" s="26">
        <f>C518</f>
        <v>806</v>
      </c>
      <c r="D525" s="27">
        <f t="shared" ref="D525:D558" si="24">SUM(C525:C525)</f>
        <v>806</v>
      </c>
      <c r="G525" s="25" t="s">
        <v>4</v>
      </c>
      <c r="H525" s="26">
        <f>H518</f>
        <v>0</v>
      </c>
      <c r="I525" s="27">
        <f t="shared" ref="I525:I553" si="25">SUM(H525:H525)</f>
        <v>0</v>
      </c>
    </row>
    <row r="526" spans="2:10" x14ac:dyDescent="0.15">
      <c r="B526" s="48" t="s">
        <v>5</v>
      </c>
      <c r="C526" s="22"/>
      <c r="D526" s="23">
        <f t="shared" si="24"/>
        <v>0</v>
      </c>
      <c r="E526" s="24"/>
      <c r="G526" s="48" t="s">
        <v>5</v>
      </c>
      <c r="H526" s="50"/>
      <c r="I526" s="51">
        <f t="shared" si="25"/>
        <v>0</v>
      </c>
    </row>
    <row r="527" spans="2:10" x14ac:dyDescent="0.15">
      <c r="B527" s="48" t="s">
        <v>5</v>
      </c>
      <c r="C527" s="22"/>
      <c r="D527" s="23">
        <f t="shared" si="24"/>
        <v>0</v>
      </c>
      <c r="G527" s="48" t="s">
        <v>5</v>
      </c>
      <c r="H527" s="22"/>
      <c r="I527" s="23">
        <f t="shared" si="25"/>
        <v>0</v>
      </c>
      <c r="J527" s="24"/>
    </row>
    <row r="528" spans="2:10" x14ac:dyDescent="0.15">
      <c r="B528" s="48" t="s">
        <v>5</v>
      </c>
      <c r="C528" s="22"/>
      <c r="D528" s="23">
        <f t="shared" si="24"/>
        <v>0</v>
      </c>
      <c r="G528" s="48" t="s">
        <v>5</v>
      </c>
      <c r="H528" s="22"/>
      <c r="I528" s="23">
        <f t="shared" si="25"/>
        <v>0</v>
      </c>
      <c r="J528" s="24"/>
    </row>
    <row r="529" spans="2:10" x14ac:dyDescent="0.15">
      <c r="B529" s="48" t="s">
        <v>5</v>
      </c>
      <c r="C529" s="22"/>
      <c r="D529" s="23">
        <f t="shared" si="24"/>
        <v>0</v>
      </c>
      <c r="G529" s="48" t="s">
        <v>5</v>
      </c>
      <c r="H529" s="22"/>
      <c r="I529" s="23">
        <f t="shared" si="25"/>
        <v>0</v>
      </c>
    </row>
    <row r="530" spans="2:10" ht="14.25" thickBot="1" x14ac:dyDescent="0.2">
      <c r="B530" s="48" t="s">
        <v>5</v>
      </c>
      <c r="C530" s="50"/>
      <c r="D530" s="51">
        <f t="shared" si="24"/>
        <v>0</v>
      </c>
      <c r="G530" s="48" t="s">
        <v>5</v>
      </c>
      <c r="H530" s="50"/>
      <c r="I530" s="51">
        <f t="shared" si="25"/>
        <v>0</v>
      </c>
    </row>
    <row r="531" spans="2:10" ht="14.25" thickBot="1" x14ac:dyDescent="0.2">
      <c r="B531" s="13" t="s">
        <v>1</v>
      </c>
      <c r="C531" s="16">
        <f>SUM(C525:C530)</f>
        <v>806</v>
      </c>
      <c r="D531" s="17">
        <f t="shared" si="24"/>
        <v>806</v>
      </c>
      <c r="G531" s="13" t="s">
        <v>1</v>
      </c>
      <c r="H531" s="16">
        <f>SUM(H525:H530)</f>
        <v>0</v>
      </c>
      <c r="I531" s="17">
        <f t="shared" si="25"/>
        <v>0</v>
      </c>
    </row>
    <row r="532" spans="2:10" x14ac:dyDescent="0.15">
      <c r="B532" s="21" t="s">
        <v>20</v>
      </c>
      <c r="C532" s="2">
        <f>4+1</f>
        <v>5</v>
      </c>
      <c r="D532" s="20">
        <f t="shared" si="24"/>
        <v>5</v>
      </c>
      <c r="E532" s="24">
        <v>44279</v>
      </c>
      <c r="G532" s="40"/>
      <c r="H532" s="22"/>
      <c r="I532" s="38">
        <f t="shared" si="25"/>
        <v>0</v>
      </c>
      <c r="J532" s="24"/>
    </row>
    <row r="533" spans="2:10" x14ac:dyDescent="0.15">
      <c r="B533" s="21" t="s">
        <v>20</v>
      </c>
      <c r="C533" s="2">
        <v>1</v>
      </c>
      <c r="D533" s="5">
        <f t="shared" si="24"/>
        <v>1</v>
      </c>
      <c r="E533" s="24">
        <v>44280</v>
      </c>
      <c r="G533" s="40"/>
      <c r="H533" s="22"/>
      <c r="I533" s="23">
        <f t="shared" si="25"/>
        <v>0</v>
      </c>
      <c r="J533" s="24"/>
    </row>
    <row r="534" spans="2:10" x14ac:dyDescent="0.15">
      <c r="B534" s="21" t="s">
        <v>20</v>
      </c>
      <c r="C534" s="22">
        <f>1+2</f>
        <v>3</v>
      </c>
      <c r="D534" s="23">
        <f t="shared" si="24"/>
        <v>3</v>
      </c>
      <c r="E534" s="24">
        <v>44281</v>
      </c>
      <c r="G534" s="7"/>
      <c r="H534" s="22"/>
      <c r="I534" s="23">
        <f t="shared" si="25"/>
        <v>0</v>
      </c>
    </row>
    <row r="535" spans="2:10" x14ac:dyDescent="0.15">
      <c r="B535" s="21" t="s">
        <v>20</v>
      </c>
      <c r="C535" s="2">
        <f>8+7</f>
        <v>15</v>
      </c>
      <c r="D535" s="5">
        <f t="shared" si="24"/>
        <v>15</v>
      </c>
      <c r="E535" s="24">
        <v>44284</v>
      </c>
      <c r="G535" s="18"/>
      <c r="H535" s="2"/>
      <c r="I535" s="5">
        <f t="shared" si="25"/>
        <v>0</v>
      </c>
    </row>
    <row r="536" spans="2:10" x14ac:dyDescent="0.15">
      <c r="B536" s="21" t="s">
        <v>20</v>
      </c>
      <c r="C536" s="2">
        <f>1+6</f>
        <v>7</v>
      </c>
      <c r="D536" s="5">
        <f t="shared" si="24"/>
        <v>7</v>
      </c>
      <c r="E536" s="24">
        <v>44285</v>
      </c>
      <c r="G536" s="18"/>
      <c r="H536" s="2"/>
      <c r="I536" s="5">
        <f t="shared" si="25"/>
        <v>0</v>
      </c>
    </row>
    <row r="537" spans="2:10" x14ac:dyDescent="0.15">
      <c r="B537" s="21" t="s">
        <v>20</v>
      </c>
      <c r="C537" s="22">
        <v>4</v>
      </c>
      <c r="D537" s="23">
        <f t="shared" si="24"/>
        <v>4</v>
      </c>
      <c r="E537" s="24">
        <v>44286</v>
      </c>
      <c r="G537" s="18"/>
      <c r="H537" s="22"/>
      <c r="I537" s="23">
        <f t="shared" si="25"/>
        <v>0</v>
      </c>
    </row>
    <row r="538" spans="2:10" x14ac:dyDescent="0.15">
      <c r="B538" s="21" t="s">
        <v>20</v>
      </c>
      <c r="C538" s="22">
        <f>3+1</f>
        <v>4</v>
      </c>
      <c r="D538" s="23">
        <f t="shared" si="24"/>
        <v>4</v>
      </c>
      <c r="E538" s="24">
        <v>44287</v>
      </c>
      <c r="G538" s="21"/>
      <c r="H538" s="2"/>
      <c r="I538" s="5">
        <f t="shared" si="25"/>
        <v>0</v>
      </c>
    </row>
    <row r="539" spans="2:10" x14ac:dyDescent="0.15">
      <c r="B539" s="21" t="s">
        <v>20</v>
      </c>
      <c r="C539" s="2">
        <f>2+1+3</f>
        <v>6</v>
      </c>
      <c r="D539" s="5">
        <f t="shared" si="24"/>
        <v>6</v>
      </c>
      <c r="E539" s="24">
        <v>44288</v>
      </c>
      <c r="G539" s="18"/>
      <c r="H539" s="2"/>
      <c r="I539" s="5">
        <f t="shared" si="25"/>
        <v>0</v>
      </c>
    </row>
    <row r="540" spans="2:10" x14ac:dyDescent="0.15">
      <c r="B540" s="21" t="s">
        <v>20</v>
      </c>
      <c r="C540" s="2">
        <v>3</v>
      </c>
      <c r="D540" s="5">
        <f t="shared" si="24"/>
        <v>3</v>
      </c>
      <c r="E540" s="24">
        <v>44289</v>
      </c>
      <c r="G540" s="18"/>
      <c r="H540" s="2"/>
      <c r="I540" s="5">
        <f t="shared" si="25"/>
        <v>0</v>
      </c>
    </row>
    <row r="541" spans="2:10" x14ac:dyDescent="0.15">
      <c r="B541" s="21" t="s">
        <v>23</v>
      </c>
      <c r="C541" s="2">
        <v>-2</v>
      </c>
      <c r="D541" s="5">
        <f t="shared" si="24"/>
        <v>-2</v>
      </c>
      <c r="E541" s="24">
        <v>44291</v>
      </c>
      <c r="G541" s="18"/>
      <c r="H541" s="2"/>
      <c r="I541" s="5">
        <f t="shared" si="25"/>
        <v>0</v>
      </c>
    </row>
    <row r="542" spans="2:10" x14ac:dyDescent="0.15">
      <c r="B542" s="21" t="s">
        <v>20</v>
      </c>
      <c r="C542" s="2">
        <v>5</v>
      </c>
      <c r="D542" s="5">
        <f t="shared" si="24"/>
        <v>5</v>
      </c>
      <c r="E542" s="24">
        <v>44291</v>
      </c>
      <c r="G542" s="18"/>
      <c r="H542" s="2"/>
      <c r="I542" s="5">
        <f t="shared" si="25"/>
        <v>0</v>
      </c>
    </row>
    <row r="543" spans="2:10" x14ac:dyDescent="0.15">
      <c r="B543" s="21" t="s">
        <v>20</v>
      </c>
      <c r="C543" s="2">
        <v>1</v>
      </c>
      <c r="D543" s="5">
        <f t="shared" si="24"/>
        <v>1</v>
      </c>
      <c r="E543" s="24">
        <v>44293</v>
      </c>
      <c r="G543" s="18"/>
      <c r="H543" s="2"/>
      <c r="I543" s="5">
        <f t="shared" si="25"/>
        <v>0</v>
      </c>
    </row>
    <row r="544" spans="2:10" x14ac:dyDescent="0.15">
      <c r="B544" s="21" t="s">
        <v>20</v>
      </c>
      <c r="C544" s="2">
        <v>2</v>
      </c>
      <c r="D544" s="5">
        <f t="shared" si="24"/>
        <v>2</v>
      </c>
      <c r="E544" s="24">
        <v>44294</v>
      </c>
      <c r="G544" s="18"/>
      <c r="H544" s="2"/>
      <c r="I544" s="5">
        <f t="shared" si="25"/>
        <v>0</v>
      </c>
    </row>
    <row r="545" spans="2:9" x14ac:dyDescent="0.15">
      <c r="B545" s="21" t="s">
        <v>20</v>
      </c>
      <c r="C545" s="2">
        <v>1</v>
      </c>
      <c r="D545" s="5">
        <f t="shared" si="24"/>
        <v>1</v>
      </c>
      <c r="E545" s="24">
        <v>44295</v>
      </c>
      <c r="G545" s="6"/>
      <c r="H545" s="2"/>
      <c r="I545" s="5">
        <f t="shared" si="25"/>
        <v>0</v>
      </c>
    </row>
    <row r="546" spans="2:9" x14ac:dyDescent="0.15">
      <c r="B546" s="21" t="s">
        <v>20</v>
      </c>
      <c r="C546" s="2">
        <f>13+4+4+6+3+3</f>
        <v>33</v>
      </c>
      <c r="D546" s="5">
        <f t="shared" si="24"/>
        <v>33</v>
      </c>
      <c r="E546" s="24">
        <v>44298</v>
      </c>
      <c r="G546" s="6"/>
      <c r="H546" s="2"/>
      <c r="I546" s="5">
        <f t="shared" si="25"/>
        <v>0</v>
      </c>
    </row>
    <row r="547" spans="2:9" x14ac:dyDescent="0.15">
      <c r="B547" s="21" t="s">
        <v>20</v>
      </c>
      <c r="C547" s="2">
        <f>1+5</f>
        <v>6</v>
      </c>
      <c r="D547" s="5">
        <f t="shared" si="24"/>
        <v>6</v>
      </c>
      <c r="E547" s="24">
        <v>44299</v>
      </c>
      <c r="G547" s="6"/>
      <c r="H547" s="2"/>
      <c r="I547" s="5">
        <f t="shared" si="25"/>
        <v>0</v>
      </c>
    </row>
    <row r="548" spans="2:9" x14ac:dyDescent="0.15">
      <c r="B548" s="21" t="s">
        <v>20</v>
      </c>
      <c r="C548" s="2">
        <f>3+4</f>
        <v>7</v>
      </c>
      <c r="D548" s="5">
        <f t="shared" si="24"/>
        <v>7</v>
      </c>
      <c r="E548" s="24">
        <v>44300</v>
      </c>
      <c r="G548" s="6"/>
      <c r="H548" s="2"/>
      <c r="I548" s="5">
        <f t="shared" si="25"/>
        <v>0</v>
      </c>
    </row>
    <row r="549" spans="2:9" x14ac:dyDescent="0.15">
      <c r="B549" s="21" t="s">
        <v>20</v>
      </c>
      <c r="C549" s="2">
        <f>1+2+2+2</f>
        <v>7</v>
      </c>
      <c r="D549" s="5">
        <f t="shared" si="24"/>
        <v>7</v>
      </c>
      <c r="E549" s="24">
        <v>44301</v>
      </c>
      <c r="G549" s="6"/>
      <c r="H549" s="2"/>
      <c r="I549" s="5">
        <f t="shared" si="25"/>
        <v>0</v>
      </c>
    </row>
    <row r="550" spans="2:9" x14ac:dyDescent="0.15">
      <c r="B550" s="21" t="s">
        <v>20</v>
      </c>
      <c r="C550" s="22">
        <f>1+1</f>
        <v>2</v>
      </c>
      <c r="D550" s="23">
        <f t="shared" si="24"/>
        <v>2</v>
      </c>
      <c r="E550" s="24">
        <v>44302</v>
      </c>
      <c r="G550" s="6"/>
      <c r="H550" s="2"/>
      <c r="I550" s="5">
        <f t="shared" si="25"/>
        <v>0</v>
      </c>
    </row>
    <row r="551" spans="2:9" x14ac:dyDescent="0.15">
      <c r="B551" s="21" t="s">
        <v>20</v>
      </c>
      <c r="C551" s="2">
        <v>1</v>
      </c>
      <c r="D551" s="5">
        <f t="shared" si="24"/>
        <v>1</v>
      </c>
      <c r="E551" s="24">
        <v>44303</v>
      </c>
      <c r="G551" s="40"/>
      <c r="H551" s="2"/>
      <c r="I551" s="5">
        <f t="shared" si="25"/>
        <v>0</v>
      </c>
    </row>
    <row r="552" spans="2:9" x14ac:dyDescent="0.15">
      <c r="B552" s="21" t="s">
        <v>20</v>
      </c>
      <c r="C552" s="2">
        <f>8+6</f>
        <v>14</v>
      </c>
      <c r="D552" s="5">
        <f t="shared" si="24"/>
        <v>14</v>
      </c>
      <c r="E552" s="24">
        <v>44305</v>
      </c>
      <c r="G552" s="40"/>
      <c r="H552" s="2"/>
      <c r="I552" s="5">
        <f t="shared" si="25"/>
        <v>0</v>
      </c>
    </row>
    <row r="553" spans="2:9" x14ac:dyDescent="0.15">
      <c r="B553" s="21" t="s">
        <v>20</v>
      </c>
      <c r="C553" s="3">
        <f>2+1</f>
        <v>3</v>
      </c>
      <c r="D553" s="8">
        <f t="shared" si="24"/>
        <v>3</v>
      </c>
      <c r="E553" s="24">
        <v>44306</v>
      </c>
      <c r="G553" s="40"/>
      <c r="H553" s="3"/>
      <c r="I553" s="8">
        <f t="shared" si="25"/>
        <v>0</v>
      </c>
    </row>
    <row r="554" spans="2:9" x14ac:dyDescent="0.15">
      <c r="B554" s="21" t="s">
        <v>20</v>
      </c>
      <c r="C554" s="22">
        <f>2+1</f>
        <v>3</v>
      </c>
      <c r="D554" s="23">
        <f t="shared" si="24"/>
        <v>3</v>
      </c>
      <c r="E554" s="24">
        <v>44307</v>
      </c>
      <c r="G554" s="40"/>
      <c r="H554" s="2"/>
      <c r="I554" s="5">
        <f>SUM(H554:H554)</f>
        <v>0</v>
      </c>
    </row>
    <row r="555" spans="2:9" x14ac:dyDescent="0.15">
      <c r="B555" s="21" t="s">
        <v>20</v>
      </c>
      <c r="C555" s="22">
        <f>1+1+1</f>
        <v>3</v>
      </c>
      <c r="D555" s="23">
        <f t="shared" si="24"/>
        <v>3</v>
      </c>
      <c r="E555" s="24">
        <v>44308</v>
      </c>
      <c r="G555" s="40"/>
      <c r="H555" s="22"/>
      <c r="I555" s="23">
        <f>SUM(H555:H555)</f>
        <v>0</v>
      </c>
    </row>
    <row r="556" spans="2:9" ht="14.25" thickBot="1" x14ac:dyDescent="0.2">
      <c r="B556" s="21" t="s">
        <v>23</v>
      </c>
      <c r="C556" s="42">
        <v>-2</v>
      </c>
      <c r="D556" s="43">
        <f t="shared" si="24"/>
        <v>-2</v>
      </c>
      <c r="E556" s="24">
        <v>44309</v>
      </c>
      <c r="G556" s="66"/>
      <c r="H556" s="67"/>
      <c r="I556" s="68">
        <f>SUM(H556:H556)</f>
        <v>0</v>
      </c>
    </row>
    <row r="557" spans="2:9" x14ac:dyDescent="0.15">
      <c r="B557" s="58" t="s">
        <v>2</v>
      </c>
      <c r="C557" s="37">
        <f>SUM(C532:C556)</f>
        <v>132</v>
      </c>
      <c r="D557" s="38">
        <f t="shared" si="24"/>
        <v>132</v>
      </c>
      <c r="G557" s="9" t="s">
        <v>2</v>
      </c>
      <c r="H557" s="10">
        <f>SUM(H532:H556)</f>
        <v>0</v>
      </c>
      <c r="I557" s="11">
        <f>SUM(H557:H557)</f>
        <v>0</v>
      </c>
    </row>
    <row r="558" spans="2:9" ht="14.25" thickBot="1" x14ac:dyDescent="0.2">
      <c r="B558" s="60" t="s">
        <v>3</v>
      </c>
      <c r="C558" s="64">
        <f>+C531-C557</f>
        <v>674</v>
      </c>
      <c r="D558" s="65">
        <f t="shared" si="24"/>
        <v>674</v>
      </c>
      <c r="G558" s="33" t="s">
        <v>3</v>
      </c>
      <c r="H558" s="34">
        <f>+H531-H557</f>
        <v>0</v>
      </c>
      <c r="I558" s="35">
        <f>SUM(H558:H558)</f>
        <v>0</v>
      </c>
    </row>
    <row r="561" spans="2:9" ht="18.75" x14ac:dyDescent="0.2">
      <c r="B561" s="4" t="s">
        <v>53</v>
      </c>
      <c r="G561" s="54" t="s">
        <v>54</v>
      </c>
      <c r="H561" s="55"/>
      <c r="I561" s="55"/>
    </row>
    <row r="562" spans="2:9" ht="14.25" thickBot="1" x14ac:dyDescent="0.2">
      <c r="G562" s="1"/>
    </row>
    <row r="563" spans="2:9" ht="14.25" thickBot="1" x14ac:dyDescent="0.2">
      <c r="B563" s="12"/>
      <c r="C563" s="74"/>
      <c r="D563" s="75"/>
      <c r="G563" s="12"/>
      <c r="H563" s="74"/>
      <c r="I563" s="75"/>
    </row>
    <row r="564" spans="2:9" ht="14.25" thickBot="1" x14ac:dyDescent="0.2">
      <c r="B564" s="13"/>
      <c r="C564" s="14"/>
      <c r="D564" s="15" t="s">
        <v>0</v>
      </c>
      <c r="G564" s="13"/>
      <c r="H564" s="14"/>
      <c r="I564" s="15" t="s">
        <v>0</v>
      </c>
    </row>
    <row r="565" spans="2:9" x14ac:dyDescent="0.15">
      <c r="B565" s="25" t="s">
        <v>4</v>
      </c>
      <c r="C565" s="26">
        <f>C558</f>
        <v>674</v>
      </c>
      <c r="D565" s="27">
        <f t="shared" ref="D565:D598" si="26">SUM(C565:C565)</f>
        <v>674</v>
      </c>
      <c r="G565" s="25" t="s">
        <v>4</v>
      </c>
      <c r="H565" s="26">
        <f>H558</f>
        <v>0</v>
      </c>
      <c r="I565" s="27">
        <f t="shared" ref="I565:I593" si="27">SUM(H565:H565)</f>
        <v>0</v>
      </c>
    </row>
    <row r="566" spans="2:9" x14ac:dyDescent="0.15">
      <c r="B566" s="48" t="s">
        <v>5</v>
      </c>
      <c r="C566" s="22">
        <v>150</v>
      </c>
      <c r="D566" s="23">
        <f t="shared" si="26"/>
        <v>150</v>
      </c>
      <c r="E566" s="24">
        <v>44322</v>
      </c>
      <c r="G566" s="48" t="s">
        <v>5</v>
      </c>
      <c r="H566" s="50"/>
      <c r="I566" s="51">
        <f t="shared" si="27"/>
        <v>0</v>
      </c>
    </row>
    <row r="567" spans="2:9" x14ac:dyDescent="0.15">
      <c r="B567" s="48" t="s">
        <v>5</v>
      </c>
      <c r="C567" s="22"/>
      <c r="D567" s="23">
        <f t="shared" si="26"/>
        <v>0</v>
      </c>
      <c r="G567" s="48" t="s">
        <v>5</v>
      </c>
      <c r="H567" s="22"/>
      <c r="I567" s="23">
        <f t="shared" si="27"/>
        <v>0</v>
      </c>
    </row>
    <row r="568" spans="2:9" x14ac:dyDescent="0.15">
      <c r="B568" s="48" t="s">
        <v>5</v>
      </c>
      <c r="C568" s="22"/>
      <c r="D568" s="23">
        <f t="shared" si="26"/>
        <v>0</v>
      </c>
      <c r="G568" s="48" t="s">
        <v>5</v>
      </c>
      <c r="H568" s="22"/>
      <c r="I568" s="23">
        <f t="shared" si="27"/>
        <v>0</v>
      </c>
    </row>
    <row r="569" spans="2:9" x14ac:dyDescent="0.15">
      <c r="B569" s="48" t="s">
        <v>5</v>
      </c>
      <c r="C569" s="22"/>
      <c r="D569" s="23">
        <f t="shared" si="26"/>
        <v>0</v>
      </c>
      <c r="G569" s="48" t="s">
        <v>5</v>
      </c>
      <c r="H569" s="22"/>
      <c r="I569" s="23">
        <f t="shared" si="27"/>
        <v>0</v>
      </c>
    </row>
    <row r="570" spans="2:9" ht="14.25" thickBot="1" x14ac:dyDescent="0.2">
      <c r="B570" s="48" t="s">
        <v>5</v>
      </c>
      <c r="C570" s="50"/>
      <c r="D570" s="51">
        <f t="shared" si="26"/>
        <v>0</v>
      </c>
      <c r="G570" s="48" t="s">
        <v>5</v>
      </c>
      <c r="H570" s="50"/>
      <c r="I570" s="51">
        <f t="shared" si="27"/>
        <v>0</v>
      </c>
    </row>
    <row r="571" spans="2:9" ht="14.25" thickBot="1" x14ac:dyDescent="0.2">
      <c r="B571" s="13" t="s">
        <v>1</v>
      </c>
      <c r="C571" s="16">
        <f>SUM(C565:C570)</f>
        <v>824</v>
      </c>
      <c r="D571" s="17">
        <f t="shared" si="26"/>
        <v>824</v>
      </c>
      <c r="G571" s="13" t="s">
        <v>1</v>
      </c>
      <c r="H571" s="16">
        <f>SUM(H565:H570)</f>
        <v>0</v>
      </c>
      <c r="I571" s="17">
        <f t="shared" si="27"/>
        <v>0</v>
      </c>
    </row>
    <row r="572" spans="2:9" x14ac:dyDescent="0.15">
      <c r="B572" s="21" t="s">
        <v>20</v>
      </c>
      <c r="C572" s="2">
        <f>9+10+1+1</f>
        <v>21</v>
      </c>
      <c r="D572" s="20">
        <f t="shared" si="26"/>
        <v>21</v>
      </c>
      <c r="E572" s="24">
        <v>44312</v>
      </c>
      <c r="G572" s="40"/>
      <c r="H572" s="22"/>
      <c r="I572" s="38">
        <f t="shared" si="27"/>
        <v>0</v>
      </c>
    </row>
    <row r="573" spans="2:9" x14ac:dyDescent="0.15">
      <c r="B573" s="21" t="s">
        <v>20</v>
      </c>
      <c r="C573" s="2">
        <f>1+1+2</f>
        <v>4</v>
      </c>
      <c r="D573" s="5">
        <f t="shared" si="26"/>
        <v>4</v>
      </c>
      <c r="E573" s="24">
        <v>44313</v>
      </c>
      <c r="G573" s="40"/>
      <c r="H573" s="22"/>
      <c r="I573" s="23">
        <f t="shared" si="27"/>
        <v>0</v>
      </c>
    </row>
    <row r="574" spans="2:9" x14ac:dyDescent="0.15">
      <c r="B574" s="21" t="s">
        <v>20</v>
      </c>
      <c r="C574" s="22">
        <f>1+2</f>
        <v>3</v>
      </c>
      <c r="D574" s="23">
        <f t="shared" si="26"/>
        <v>3</v>
      </c>
      <c r="E574" s="24">
        <v>44314</v>
      </c>
      <c r="G574" s="7"/>
      <c r="H574" s="22"/>
      <c r="I574" s="23">
        <f t="shared" si="27"/>
        <v>0</v>
      </c>
    </row>
    <row r="575" spans="2:9" x14ac:dyDescent="0.15">
      <c r="B575" s="21" t="s">
        <v>20</v>
      </c>
      <c r="C575" s="2">
        <f>6+1+2</f>
        <v>9</v>
      </c>
      <c r="D575" s="5">
        <f t="shared" si="26"/>
        <v>9</v>
      </c>
      <c r="E575" s="24">
        <v>44316</v>
      </c>
      <c r="G575" s="18"/>
      <c r="H575" s="2"/>
      <c r="I575" s="5">
        <f t="shared" si="27"/>
        <v>0</v>
      </c>
    </row>
    <row r="576" spans="2:9" x14ac:dyDescent="0.15">
      <c r="B576" s="21" t="s">
        <v>20</v>
      </c>
      <c r="C576" s="2">
        <f>3+1</f>
        <v>4</v>
      </c>
      <c r="D576" s="5">
        <f t="shared" si="26"/>
        <v>4</v>
      </c>
      <c r="E576" s="24">
        <v>44317</v>
      </c>
      <c r="G576" s="18"/>
      <c r="H576" s="2"/>
      <c r="I576" s="5">
        <f t="shared" si="27"/>
        <v>0</v>
      </c>
    </row>
    <row r="577" spans="2:9" x14ac:dyDescent="0.15">
      <c r="B577" s="21" t="s">
        <v>20</v>
      </c>
      <c r="C577" s="22">
        <f>5+9+1</f>
        <v>15</v>
      </c>
      <c r="D577" s="23">
        <f t="shared" si="26"/>
        <v>15</v>
      </c>
      <c r="E577" s="24">
        <v>44322</v>
      </c>
      <c r="G577" s="18"/>
      <c r="H577" s="22"/>
      <c r="I577" s="23">
        <f t="shared" si="27"/>
        <v>0</v>
      </c>
    </row>
    <row r="578" spans="2:9" x14ac:dyDescent="0.15">
      <c r="B578" s="21" t="s">
        <v>20</v>
      </c>
      <c r="C578" s="22">
        <f>1+2</f>
        <v>3</v>
      </c>
      <c r="D578" s="23">
        <f t="shared" si="26"/>
        <v>3</v>
      </c>
      <c r="E578" s="24">
        <v>44323</v>
      </c>
      <c r="G578" s="21"/>
      <c r="H578" s="2"/>
      <c r="I578" s="5">
        <f t="shared" si="27"/>
        <v>0</v>
      </c>
    </row>
    <row r="579" spans="2:9" x14ac:dyDescent="0.15">
      <c r="B579" s="21" t="s">
        <v>20</v>
      </c>
      <c r="C579" s="2">
        <f>2+5</f>
        <v>7</v>
      </c>
      <c r="D579" s="5">
        <f t="shared" si="26"/>
        <v>7</v>
      </c>
      <c r="E579" s="24">
        <v>44326</v>
      </c>
      <c r="G579" s="18"/>
      <c r="H579" s="2"/>
      <c r="I579" s="5">
        <f t="shared" si="27"/>
        <v>0</v>
      </c>
    </row>
    <row r="580" spans="2:9" x14ac:dyDescent="0.15">
      <c r="B580" s="21" t="s">
        <v>20</v>
      </c>
      <c r="C580" s="2">
        <v>5</v>
      </c>
      <c r="D580" s="5">
        <f t="shared" si="26"/>
        <v>5</v>
      </c>
      <c r="E580" s="24">
        <v>44327</v>
      </c>
      <c r="G580" s="18"/>
      <c r="H580" s="2"/>
      <c r="I580" s="5">
        <f t="shared" si="27"/>
        <v>0</v>
      </c>
    </row>
    <row r="581" spans="2:9" x14ac:dyDescent="0.15">
      <c r="B581" s="21" t="s">
        <v>20</v>
      </c>
      <c r="C581" s="2">
        <v>2</v>
      </c>
      <c r="D581" s="5">
        <f t="shared" si="26"/>
        <v>2</v>
      </c>
      <c r="E581" s="24">
        <v>44328</v>
      </c>
      <c r="G581" s="18"/>
      <c r="H581" s="2"/>
      <c r="I581" s="5">
        <f t="shared" si="27"/>
        <v>0</v>
      </c>
    </row>
    <row r="582" spans="2:9" x14ac:dyDescent="0.15">
      <c r="B582" s="21" t="s">
        <v>20</v>
      </c>
      <c r="C582" s="2">
        <v>1</v>
      </c>
      <c r="D582" s="5">
        <f t="shared" si="26"/>
        <v>1</v>
      </c>
      <c r="E582" s="24">
        <v>44329</v>
      </c>
      <c r="G582" s="18"/>
      <c r="H582" s="2"/>
      <c r="I582" s="5">
        <f t="shared" si="27"/>
        <v>0</v>
      </c>
    </row>
    <row r="583" spans="2:9" x14ac:dyDescent="0.15">
      <c r="B583" s="21" t="s">
        <v>20</v>
      </c>
      <c r="C583" s="2">
        <v>1</v>
      </c>
      <c r="D583" s="5">
        <f t="shared" si="26"/>
        <v>1</v>
      </c>
      <c r="E583" s="24">
        <v>44330</v>
      </c>
      <c r="G583" s="18"/>
      <c r="H583" s="2"/>
      <c r="I583" s="5">
        <f t="shared" si="27"/>
        <v>0</v>
      </c>
    </row>
    <row r="584" spans="2:9" x14ac:dyDescent="0.15">
      <c r="B584" s="21" t="s">
        <v>20</v>
      </c>
      <c r="C584" s="2">
        <f>6+2</f>
        <v>8</v>
      </c>
      <c r="D584" s="5">
        <f t="shared" si="26"/>
        <v>8</v>
      </c>
      <c r="E584" s="24">
        <v>44333</v>
      </c>
      <c r="G584" s="18"/>
      <c r="H584" s="2"/>
      <c r="I584" s="5">
        <f t="shared" si="27"/>
        <v>0</v>
      </c>
    </row>
    <row r="585" spans="2:9" x14ac:dyDescent="0.15">
      <c r="B585" s="21" t="s">
        <v>20</v>
      </c>
      <c r="C585" s="2">
        <f>2+1</f>
        <v>3</v>
      </c>
      <c r="D585" s="5">
        <f t="shared" si="26"/>
        <v>3</v>
      </c>
      <c r="E585" s="24">
        <v>44334</v>
      </c>
      <c r="G585" s="6"/>
      <c r="H585" s="2"/>
      <c r="I585" s="5">
        <f t="shared" si="27"/>
        <v>0</v>
      </c>
    </row>
    <row r="586" spans="2:9" x14ac:dyDescent="0.15">
      <c r="B586" s="21" t="s">
        <v>20</v>
      </c>
      <c r="C586" s="2">
        <v>2</v>
      </c>
      <c r="D586" s="5">
        <f t="shared" si="26"/>
        <v>2</v>
      </c>
      <c r="E586" s="24">
        <v>44335</v>
      </c>
      <c r="G586" s="6"/>
      <c r="H586" s="2"/>
      <c r="I586" s="5">
        <f t="shared" si="27"/>
        <v>0</v>
      </c>
    </row>
    <row r="587" spans="2:9" x14ac:dyDescent="0.15">
      <c r="B587" s="21" t="s">
        <v>20</v>
      </c>
      <c r="C587" s="2">
        <f>1+1+1</f>
        <v>3</v>
      </c>
      <c r="D587" s="5">
        <f t="shared" si="26"/>
        <v>3</v>
      </c>
      <c r="E587" s="24">
        <v>44337</v>
      </c>
      <c r="G587" s="6"/>
      <c r="H587" s="2"/>
      <c r="I587" s="5">
        <f t="shared" si="27"/>
        <v>0</v>
      </c>
    </row>
    <row r="588" spans="2:9" x14ac:dyDescent="0.15">
      <c r="B588" s="21" t="s">
        <v>20</v>
      </c>
      <c r="C588" s="2">
        <f>3+1+1</f>
        <v>5</v>
      </c>
      <c r="D588" s="5">
        <f t="shared" si="26"/>
        <v>5</v>
      </c>
      <c r="E588" s="24">
        <v>44340</v>
      </c>
      <c r="G588" s="6"/>
      <c r="H588" s="2"/>
      <c r="I588" s="5">
        <f t="shared" si="27"/>
        <v>0</v>
      </c>
    </row>
    <row r="589" spans="2:9" x14ac:dyDescent="0.15">
      <c r="B589" s="21" t="s">
        <v>20</v>
      </c>
      <c r="C589" s="2">
        <v>2</v>
      </c>
      <c r="D589" s="5">
        <f t="shared" si="26"/>
        <v>2</v>
      </c>
      <c r="E589" s="24">
        <v>44341</v>
      </c>
      <c r="G589" s="6"/>
      <c r="H589" s="2"/>
      <c r="I589" s="5">
        <f t="shared" si="27"/>
        <v>0</v>
      </c>
    </row>
    <row r="590" spans="2:9" x14ac:dyDescent="0.15">
      <c r="B590" s="21" t="s">
        <v>20</v>
      </c>
      <c r="C590" s="22">
        <v>1</v>
      </c>
      <c r="D590" s="23">
        <f t="shared" si="26"/>
        <v>1</v>
      </c>
      <c r="E590" s="24">
        <v>44342</v>
      </c>
      <c r="G590" s="6"/>
      <c r="H590" s="2"/>
      <c r="I590" s="5">
        <f t="shared" si="27"/>
        <v>0</v>
      </c>
    </row>
    <row r="591" spans="2:9" x14ac:dyDescent="0.15">
      <c r="B591" s="21" t="s">
        <v>20</v>
      </c>
      <c r="C591" s="2">
        <v>2</v>
      </c>
      <c r="D591" s="5">
        <f t="shared" si="26"/>
        <v>2</v>
      </c>
      <c r="E591" s="24">
        <v>44343</v>
      </c>
      <c r="G591" s="40"/>
      <c r="H591" s="2"/>
      <c r="I591" s="5">
        <f t="shared" si="27"/>
        <v>0</v>
      </c>
    </row>
    <row r="592" spans="2:9" x14ac:dyDescent="0.15">
      <c r="B592" s="21" t="s">
        <v>20</v>
      </c>
      <c r="C592" s="2">
        <v>1</v>
      </c>
      <c r="D592" s="5">
        <f t="shared" si="26"/>
        <v>1</v>
      </c>
      <c r="E592" s="24">
        <v>44344</v>
      </c>
      <c r="G592" s="40"/>
      <c r="H592" s="2"/>
      <c r="I592" s="5">
        <f t="shared" si="27"/>
        <v>0</v>
      </c>
    </row>
    <row r="593" spans="2:9" x14ac:dyDescent="0.15">
      <c r="B593" s="21" t="s">
        <v>20</v>
      </c>
      <c r="C593" s="3">
        <f>1+1</f>
        <v>2</v>
      </c>
      <c r="D593" s="8">
        <f t="shared" si="26"/>
        <v>2</v>
      </c>
      <c r="E593" s="24">
        <v>44345</v>
      </c>
      <c r="G593" s="40"/>
      <c r="H593" s="3"/>
      <c r="I593" s="8">
        <f t="shared" si="27"/>
        <v>0</v>
      </c>
    </row>
    <row r="594" spans="2:9" x14ac:dyDescent="0.15">
      <c r="B594" s="21" t="s">
        <v>20</v>
      </c>
      <c r="C594" s="22">
        <f>1+2+1</f>
        <v>4</v>
      </c>
      <c r="D594" s="23">
        <f t="shared" si="26"/>
        <v>4</v>
      </c>
      <c r="E594" s="24">
        <v>44347</v>
      </c>
      <c r="G594" s="40"/>
      <c r="H594" s="2"/>
      <c r="I594" s="5">
        <f>SUM(H594:H594)</f>
        <v>0</v>
      </c>
    </row>
    <row r="595" spans="2:9" x14ac:dyDescent="0.15">
      <c r="B595" s="21" t="s">
        <v>20</v>
      </c>
      <c r="C595" s="22">
        <v>1</v>
      </c>
      <c r="D595" s="23">
        <f t="shared" si="26"/>
        <v>1</v>
      </c>
      <c r="E595" s="24">
        <v>44348</v>
      </c>
      <c r="G595" s="40"/>
      <c r="H595" s="22"/>
      <c r="I595" s="23">
        <f>SUM(H595:H595)</f>
        <v>0</v>
      </c>
    </row>
    <row r="596" spans="2:9" ht="14.25" thickBot="1" x14ac:dyDescent="0.2">
      <c r="B596" s="21" t="s">
        <v>20</v>
      </c>
      <c r="C596" s="42">
        <v>6</v>
      </c>
      <c r="D596" s="43">
        <f t="shared" si="26"/>
        <v>6</v>
      </c>
      <c r="E596" s="24">
        <v>44349</v>
      </c>
      <c r="G596" s="66"/>
      <c r="H596" s="67"/>
      <c r="I596" s="68">
        <f>SUM(H596:H596)</f>
        <v>0</v>
      </c>
    </row>
    <row r="597" spans="2:9" x14ac:dyDescent="0.15">
      <c r="B597" s="58" t="s">
        <v>2</v>
      </c>
      <c r="C597" s="37">
        <f>SUM(C572:C596)</f>
        <v>115</v>
      </c>
      <c r="D597" s="38">
        <f t="shared" si="26"/>
        <v>115</v>
      </c>
      <c r="G597" s="9" t="s">
        <v>2</v>
      </c>
      <c r="H597" s="10">
        <f>SUM(H572:H596)</f>
        <v>0</v>
      </c>
      <c r="I597" s="11">
        <f>SUM(H597:H597)</f>
        <v>0</v>
      </c>
    </row>
    <row r="598" spans="2:9" ht="14.25" thickBot="1" x14ac:dyDescent="0.2">
      <c r="B598" s="60" t="s">
        <v>3</v>
      </c>
      <c r="C598" s="64">
        <f>+C571-C597</f>
        <v>709</v>
      </c>
      <c r="D598" s="65">
        <f t="shared" si="26"/>
        <v>709</v>
      </c>
      <c r="G598" s="33" t="s">
        <v>3</v>
      </c>
      <c r="H598" s="34">
        <f>+H571-H597</f>
        <v>0</v>
      </c>
      <c r="I598" s="35">
        <f>SUM(H598:H598)</f>
        <v>0</v>
      </c>
    </row>
    <row r="601" spans="2:9" ht="18.75" x14ac:dyDescent="0.2">
      <c r="B601" s="4" t="s">
        <v>53</v>
      </c>
      <c r="G601" s="54" t="s">
        <v>54</v>
      </c>
      <c r="H601" s="55"/>
      <c r="I601" s="55"/>
    </row>
    <row r="602" spans="2:9" ht="14.25" thickBot="1" x14ac:dyDescent="0.2">
      <c r="G602" s="1"/>
    </row>
    <row r="603" spans="2:9" ht="14.25" thickBot="1" x14ac:dyDescent="0.2">
      <c r="B603" s="12"/>
      <c r="C603" s="74"/>
      <c r="D603" s="75"/>
      <c r="G603" s="12"/>
      <c r="H603" s="74"/>
      <c r="I603" s="75"/>
    </row>
    <row r="604" spans="2:9" ht="14.25" thickBot="1" x14ac:dyDescent="0.2">
      <c r="B604" s="13"/>
      <c r="C604" s="14"/>
      <c r="D604" s="15" t="s">
        <v>0</v>
      </c>
      <c r="G604" s="13"/>
      <c r="H604" s="14"/>
      <c r="I604" s="15" t="s">
        <v>0</v>
      </c>
    </row>
    <row r="605" spans="2:9" x14ac:dyDescent="0.15">
      <c r="B605" s="25" t="s">
        <v>4</v>
      </c>
      <c r="C605" s="26">
        <f>C598</f>
        <v>709</v>
      </c>
      <c r="D605" s="27">
        <f t="shared" ref="D605:D638" si="28">SUM(C605:C605)</f>
        <v>709</v>
      </c>
      <c r="G605" s="25" t="s">
        <v>4</v>
      </c>
      <c r="H605" s="26">
        <f>H598</f>
        <v>0</v>
      </c>
      <c r="I605" s="27">
        <f t="shared" ref="I605:I633" si="29">SUM(H605:H605)</f>
        <v>0</v>
      </c>
    </row>
    <row r="606" spans="2:9" x14ac:dyDescent="0.15">
      <c r="B606" s="48" t="s">
        <v>5</v>
      </c>
      <c r="C606" s="22">
        <v>350</v>
      </c>
      <c r="D606" s="23">
        <f t="shared" si="28"/>
        <v>350</v>
      </c>
      <c r="E606" s="24">
        <v>44378</v>
      </c>
      <c r="G606" s="48" t="s">
        <v>5</v>
      </c>
      <c r="H606" s="50"/>
      <c r="I606" s="51">
        <f t="shared" si="29"/>
        <v>0</v>
      </c>
    </row>
    <row r="607" spans="2:9" x14ac:dyDescent="0.15">
      <c r="B607" s="48" t="s">
        <v>5</v>
      </c>
      <c r="C607" s="22"/>
      <c r="D607" s="23">
        <f t="shared" si="28"/>
        <v>0</v>
      </c>
      <c r="G607" s="48" t="s">
        <v>5</v>
      </c>
      <c r="H607" s="22"/>
      <c r="I607" s="23">
        <f t="shared" si="29"/>
        <v>0</v>
      </c>
    </row>
    <row r="608" spans="2:9" x14ac:dyDescent="0.15">
      <c r="B608" s="48" t="s">
        <v>5</v>
      </c>
      <c r="C608" s="22"/>
      <c r="D608" s="23">
        <f t="shared" si="28"/>
        <v>0</v>
      </c>
      <c r="G608" s="48" t="s">
        <v>5</v>
      </c>
      <c r="H608" s="22"/>
      <c r="I608" s="23">
        <f t="shared" si="29"/>
        <v>0</v>
      </c>
    </row>
    <row r="609" spans="2:9" x14ac:dyDescent="0.15">
      <c r="B609" s="48" t="s">
        <v>5</v>
      </c>
      <c r="C609" s="22"/>
      <c r="D609" s="23">
        <f t="shared" si="28"/>
        <v>0</v>
      </c>
      <c r="G609" s="48" t="s">
        <v>5</v>
      </c>
      <c r="H609" s="22"/>
      <c r="I609" s="23">
        <f t="shared" si="29"/>
        <v>0</v>
      </c>
    </row>
    <row r="610" spans="2:9" ht="14.25" thickBot="1" x14ac:dyDescent="0.2">
      <c r="B610" s="48" t="s">
        <v>5</v>
      </c>
      <c r="C610" s="50"/>
      <c r="D610" s="51">
        <f t="shared" si="28"/>
        <v>0</v>
      </c>
      <c r="G610" s="48" t="s">
        <v>5</v>
      </c>
      <c r="H610" s="50"/>
      <c r="I610" s="51">
        <f t="shared" si="29"/>
        <v>0</v>
      </c>
    </row>
    <row r="611" spans="2:9" ht="14.25" thickBot="1" x14ac:dyDescent="0.2">
      <c r="B611" s="13" t="s">
        <v>1</v>
      </c>
      <c r="C611" s="16">
        <f>SUM(C605:C610)</f>
        <v>1059</v>
      </c>
      <c r="D611" s="17">
        <f t="shared" si="28"/>
        <v>1059</v>
      </c>
      <c r="G611" s="13" t="s">
        <v>1</v>
      </c>
      <c r="H611" s="16">
        <f>SUM(H605:H610)</f>
        <v>0</v>
      </c>
      <c r="I611" s="17">
        <f t="shared" si="29"/>
        <v>0</v>
      </c>
    </row>
    <row r="612" spans="2:9" x14ac:dyDescent="0.15">
      <c r="B612" s="21" t="s">
        <v>20</v>
      </c>
      <c r="C612" s="2">
        <v>1</v>
      </c>
      <c r="D612" s="20">
        <f t="shared" si="28"/>
        <v>1</v>
      </c>
      <c r="E612" s="24">
        <v>44350</v>
      </c>
      <c r="G612" s="40"/>
      <c r="H612" s="22"/>
      <c r="I612" s="38">
        <f t="shared" si="29"/>
        <v>0</v>
      </c>
    </row>
    <row r="613" spans="2:9" x14ac:dyDescent="0.15">
      <c r="B613" s="21" t="s">
        <v>20</v>
      </c>
      <c r="C613" s="2">
        <v>4</v>
      </c>
      <c r="D613" s="5">
        <f t="shared" si="28"/>
        <v>4</v>
      </c>
      <c r="E613" s="24">
        <v>44352</v>
      </c>
      <c r="G613" s="40"/>
      <c r="H613" s="22"/>
      <c r="I613" s="23">
        <f t="shared" si="29"/>
        <v>0</v>
      </c>
    </row>
    <row r="614" spans="2:9" x14ac:dyDescent="0.15">
      <c r="B614" s="21" t="s">
        <v>20</v>
      </c>
      <c r="C614" s="22">
        <v>5</v>
      </c>
      <c r="D614" s="23">
        <f t="shared" si="28"/>
        <v>5</v>
      </c>
      <c r="E614" s="24">
        <v>44354</v>
      </c>
      <c r="G614" s="7"/>
      <c r="H614" s="22"/>
      <c r="I614" s="23">
        <f t="shared" si="29"/>
        <v>0</v>
      </c>
    </row>
    <row r="615" spans="2:9" x14ac:dyDescent="0.15">
      <c r="B615" s="21" t="s">
        <v>20</v>
      </c>
      <c r="C615" s="2">
        <v>7</v>
      </c>
      <c r="D615" s="5">
        <f t="shared" si="28"/>
        <v>7</v>
      </c>
      <c r="E615" s="24">
        <v>44355</v>
      </c>
      <c r="G615" s="18"/>
      <c r="H615" s="2"/>
      <c r="I615" s="5">
        <f t="shared" si="29"/>
        <v>0</v>
      </c>
    </row>
    <row r="616" spans="2:9" x14ac:dyDescent="0.15">
      <c r="B616" s="21" t="s">
        <v>20</v>
      </c>
      <c r="C616" s="2">
        <f>1+1</f>
        <v>2</v>
      </c>
      <c r="D616" s="5">
        <f t="shared" si="28"/>
        <v>2</v>
      </c>
      <c r="E616" s="24">
        <v>44356</v>
      </c>
      <c r="G616" s="18"/>
      <c r="H616" s="2"/>
      <c r="I616" s="5">
        <f t="shared" si="29"/>
        <v>0</v>
      </c>
    </row>
    <row r="617" spans="2:9" x14ac:dyDescent="0.15">
      <c r="B617" s="21" t="s">
        <v>20</v>
      </c>
      <c r="C617" s="22">
        <f>1+1</f>
        <v>2</v>
      </c>
      <c r="D617" s="23">
        <f t="shared" si="28"/>
        <v>2</v>
      </c>
      <c r="E617" s="24">
        <v>44357</v>
      </c>
      <c r="G617" s="18"/>
      <c r="H617" s="22"/>
      <c r="I617" s="23">
        <f t="shared" si="29"/>
        <v>0</v>
      </c>
    </row>
    <row r="618" spans="2:9" x14ac:dyDescent="0.15">
      <c r="B618" s="21" t="s">
        <v>20</v>
      </c>
      <c r="C618" s="22">
        <v>2</v>
      </c>
      <c r="D618" s="23">
        <f t="shared" si="28"/>
        <v>2</v>
      </c>
      <c r="E618" s="24">
        <v>44358</v>
      </c>
      <c r="G618" s="21"/>
      <c r="H618" s="2"/>
      <c r="I618" s="5">
        <f t="shared" si="29"/>
        <v>0</v>
      </c>
    </row>
    <row r="619" spans="2:9" x14ac:dyDescent="0.15">
      <c r="B619" s="21" t="s">
        <v>20</v>
      </c>
      <c r="C619" s="2">
        <f>2+3+1</f>
        <v>6</v>
      </c>
      <c r="D619" s="5">
        <f t="shared" si="28"/>
        <v>6</v>
      </c>
      <c r="E619" s="24">
        <v>44361</v>
      </c>
      <c r="G619" s="18"/>
      <c r="H619" s="2"/>
      <c r="I619" s="5">
        <f t="shared" si="29"/>
        <v>0</v>
      </c>
    </row>
    <row r="620" spans="2:9" x14ac:dyDescent="0.15">
      <c r="B620" s="21" t="s">
        <v>20</v>
      </c>
      <c r="C620" s="2">
        <f>1+2</f>
        <v>3</v>
      </c>
      <c r="D620" s="5">
        <f t="shared" si="28"/>
        <v>3</v>
      </c>
      <c r="E620" s="24">
        <v>44363</v>
      </c>
      <c r="G620" s="18"/>
      <c r="H620" s="2"/>
      <c r="I620" s="5">
        <f t="shared" si="29"/>
        <v>0</v>
      </c>
    </row>
    <row r="621" spans="2:9" x14ac:dyDescent="0.15">
      <c r="B621" s="21" t="s">
        <v>20</v>
      </c>
      <c r="C621" s="2">
        <f>2+2</f>
        <v>4</v>
      </c>
      <c r="D621" s="5">
        <f t="shared" si="28"/>
        <v>4</v>
      </c>
      <c r="E621" s="24">
        <v>44365</v>
      </c>
      <c r="G621" s="18"/>
      <c r="H621" s="2"/>
      <c r="I621" s="5">
        <f t="shared" si="29"/>
        <v>0</v>
      </c>
    </row>
    <row r="622" spans="2:9" x14ac:dyDescent="0.15">
      <c r="B622" s="21" t="s">
        <v>20</v>
      </c>
      <c r="C622" s="2">
        <v>3</v>
      </c>
      <c r="D622" s="5">
        <f t="shared" si="28"/>
        <v>3</v>
      </c>
      <c r="E622" s="24">
        <v>44366</v>
      </c>
      <c r="G622" s="18"/>
      <c r="H622" s="2"/>
      <c r="I622" s="5">
        <f t="shared" si="29"/>
        <v>0</v>
      </c>
    </row>
    <row r="623" spans="2:9" x14ac:dyDescent="0.15">
      <c r="B623" s="21" t="s">
        <v>20</v>
      </c>
      <c r="C623" s="2">
        <v>3</v>
      </c>
      <c r="D623" s="5">
        <f t="shared" si="28"/>
        <v>3</v>
      </c>
      <c r="E623" s="24">
        <v>44368</v>
      </c>
      <c r="G623" s="18"/>
      <c r="H623" s="2"/>
      <c r="I623" s="5">
        <f t="shared" si="29"/>
        <v>0</v>
      </c>
    </row>
    <row r="624" spans="2:9" x14ac:dyDescent="0.15">
      <c r="B624" s="21" t="s">
        <v>20</v>
      </c>
      <c r="C624" s="2">
        <v>1</v>
      </c>
      <c r="D624" s="5">
        <f t="shared" si="28"/>
        <v>1</v>
      </c>
      <c r="E624" s="24">
        <v>44369</v>
      </c>
      <c r="G624" s="18"/>
      <c r="H624" s="2"/>
      <c r="I624" s="5">
        <f t="shared" si="29"/>
        <v>0</v>
      </c>
    </row>
    <row r="625" spans="2:9" x14ac:dyDescent="0.15">
      <c r="B625" s="21" t="s">
        <v>20</v>
      </c>
      <c r="C625" s="2">
        <f>1+1+2</f>
        <v>4</v>
      </c>
      <c r="D625" s="5">
        <f t="shared" si="28"/>
        <v>4</v>
      </c>
      <c r="E625" s="24">
        <v>44370</v>
      </c>
      <c r="G625" s="6"/>
      <c r="H625" s="2"/>
      <c r="I625" s="5">
        <f t="shared" si="29"/>
        <v>0</v>
      </c>
    </row>
    <row r="626" spans="2:9" x14ac:dyDescent="0.15">
      <c r="B626" s="21" t="s">
        <v>20</v>
      </c>
      <c r="C626" s="2">
        <v>3</v>
      </c>
      <c r="D626" s="5">
        <f t="shared" si="28"/>
        <v>3</v>
      </c>
      <c r="E626" s="24">
        <v>44371</v>
      </c>
      <c r="G626" s="6"/>
      <c r="H626" s="2"/>
      <c r="I626" s="5">
        <f t="shared" si="29"/>
        <v>0</v>
      </c>
    </row>
    <row r="627" spans="2:9" x14ac:dyDescent="0.15">
      <c r="B627" s="21" t="s">
        <v>20</v>
      </c>
      <c r="C627" s="2">
        <v>2</v>
      </c>
      <c r="D627" s="5">
        <f t="shared" si="28"/>
        <v>2</v>
      </c>
      <c r="E627" s="24">
        <v>44372</v>
      </c>
      <c r="G627" s="6"/>
      <c r="H627" s="2"/>
      <c r="I627" s="5">
        <f t="shared" si="29"/>
        <v>0</v>
      </c>
    </row>
    <row r="628" spans="2:9" x14ac:dyDescent="0.15">
      <c r="B628" s="21" t="s">
        <v>20</v>
      </c>
      <c r="C628" s="2">
        <f>4+1</f>
        <v>5</v>
      </c>
      <c r="D628" s="5">
        <f t="shared" si="28"/>
        <v>5</v>
      </c>
      <c r="E628" s="24">
        <v>44375</v>
      </c>
      <c r="G628" s="6"/>
      <c r="H628" s="2"/>
      <c r="I628" s="5">
        <f t="shared" si="29"/>
        <v>0</v>
      </c>
    </row>
    <row r="629" spans="2:9" x14ac:dyDescent="0.15">
      <c r="B629" s="21" t="s">
        <v>20</v>
      </c>
      <c r="C629" s="2">
        <f>2+4</f>
        <v>6</v>
      </c>
      <c r="D629" s="5">
        <f t="shared" si="28"/>
        <v>6</v>
      </c>
      <c r="E629" s="24">
        <v>44377</v>
      </c>
      <c r="G629" s="6"/>
      <c r="H629" s="2"/>
      <c r="I629" s="5">
        <f t="shared" si="29"/>
        <v>0</v>
      </c>
    </row>
    <row r="630" spans="2:9" x14ac:dyDescent="0.15">
      <c r="B630" s="21" t="s">
        <v>20</v>
      </c>
      <c r="C630" s="22">
        <v>1</v>
      </c>
      <c r="D630" s="23">
        <f t="shared" si="28"/>
        <v>1</v>
      </c>
      <c r="E630" s="24">
        <v>44380</v>
      </c>
      <c r="G630" s="6"/>
      <c r="H630" s="2"/>
      <c r="I630" s="5">
        <f t="shared" si="29"/>
        <v>0</v>
      </c>
    </row>
    <row r="631" spans="2:9" x14ac:dyDescent="0.15">
      <c r="B631" s="21" t="s">
        <v>20</v>
      </c>
      <c r="C631" s="2">
        <f>2+1+2</f>
        <v>5</v>
      </c>
      <c r="D631" s="5">
        <f t="shared" si="28"/>
        <v>5</v>
      </c>
      <c r="E631" s="24">
        <v>44382</v>
      </c>
      <c r="G631" s="40"/>
      <c r="H631" s="2"/>
      <c r="I631" s="5">
        <f t="shared" si="29"/>
        <v>0</v>
      </c>
    </row>
    <row r="632" spans="2:9" x14ac:dyDescent="0.15">
      <c r="B632" s="21" t="s">
        <v>20</v>
      </c>
      <c r="C632" s="2">
        <v>1</v>
      </c>
      <c r="D632" s="5">
        <f t="shared" si="28"/>
        <v>1</v>
      </c>
      <c r="E632" s="24">
        <v>44383</v>
      </c>
      <c r="G632" s="40"/>
      <c r="H632" s="2"/>
      <c r="I632" s="5">
        <f t="shared" si="29"/>
        <v>0</v>
      </c>
    </row>
    <row r="633" spans="2:9" x14ac:dyDescent="0.15">
      <c r="B633" s="21" t="s">
        <v>20</v>
      </c>
      <c r="C633" s="3">
        <v>2</v>
      </c>
      <c r="D633" s="8">
        <f t="shared" si="28"/>
        <v>2</v>
      </c>
      <c r="E633" s="24">
        <v>44384</v>
      </c>
      <c r="G633" s="40"/>
      <c r="H633" s="3"/>
      <c r="I633" s="8">
        <f t="shared" si="29"/>
        <v>0</v>
      </c>
    </row>
    <row r="634" spans="2:9" x14ac:dyDescent="0.15">
      <c r="B634" s="21" t="s">
        <v>20</v>
      </c>
      <c r="C634" s="22">
        <v>2</v>
      </c>
      <c r="D634" s="23">
        <f t="shared" si="28"/>
        <v>2</v>
      </c>
      <c r="E634" s="24">
        <v>44385</v>
      </c>
      <c r="G634" s="40"/>
      <c r="H634" s="2"/>
      <c r="I634" s="5">
        <f>SUM(H634:H634)</f>
        <v>0</v>
      </c>
    </row>
    <row r="635" spans="2:9" x14ac:dyDescent="0.15">
      <c r="B635" s="21" t="s">
        <v>20</v>
      </c>
      <c r="C635" s="22">
        <v>1</v>
      </c>
      <c r="D635" s="23">
        <f t="shared" si="28"/>
        <v>1</v>
      </c>
      <c r="E635" s="24">
        <v>44386</v>
      </c>
      <c r="G635" s="40"/>
      <c r="H635" s="22"/>
      <c r="I635" s="23">
        <f>SUM(H635:H635)</f>
        <v>0</v>
      </c>
    </row>
    <row r="636" spans="2:9" ht="14.25" thickBot="1" x14ac:dyDescent="0.2">
      <c r="B636" s="21" t="s">
        <v>20</v>
      </c>
      <c r="C636" s="42">
        <f>3+1</f>
        <v>4</v>
      </c>
      <c r="D636" s="43">
        <f t="shared" si="28"/>
        <v>4</v>
      </c>
      <c r="E636" s="24">
        <v>44389</v>
      </c>
      <c r="G636" s="66"/>
      <c r="H636" s="67"/>
      <c r="I636" s="68">
        <f>SUM(H636:H636)</f>
        <v>0</v>
      </c>
    </row>
    <row r="637" spans="2:9" x14ac:dyDescent="0.15">
      <c r="B637" s="58" t="s">
        <v>2</v>
      </c>
      <c r="C637" s="37">
        <f>SUM(C612:C636)</f>
        <v>79</v>
      </c>
      <c r="D637" s="38">
        <f t="shared" si="28"/>
        <v>79</v>
      </c>
      <c r="G637" s="9" t="s">
        <v>2</v>
      </c>
      <c r="H637" s="10">
        <f>SUM(H612:H636)</f>
        <v>0</v>
      </c>
      <c r="I637" s="11">
        <f>SUM(H637:H637)</f>
        <v>0</v>
      </c>
    </row>
    <row r="638" spans="2:9" ht="14.25" thickBot="1" x14ac:dyDescent="0.2">
      <c r="B638" s="60" t="s">
        <v>3</v>
      </c>
      <c r="C638" s="64">
        <f>+C611-C637</f>
        <v>980</v>
      </c>
      <c r="D638" s="65">
        <f t="shared" si="28"/>
        <v>980</v>
      </c>
      <c r="G638" s="33" t="s">
        <v>3</v>
      </c>
      <c r="H638" s="34">
        <f>+H611-H637</f>
        <v>0</v>
      </c>
      <c r="I638" s="35">
        <f>SUM(H638:H638)</f>
        <v>0</v>
      </c>
    </row>
    <row r="641" spans="2:9" ht="18.75" x14ac:dyDescent="0.2">
      <c r="B641" s="4" t="s">
        <v>53</v>
      </c>
      <c r="G641" s="54" t="s">
        <v>54</v>
      </c>
      <c r="H641" s="55"/>
      <c r="I641" s="55"/>
    </row>
    <row r="642" spans="2:9" ht="14.25" thickBot="1" x14ac:dyDescent="0.2">
      <c r="G642" s="1"/>
    </row>
    <row r="643" spans="2:9" ht="14.25" thickBot="1" x14ac:dyDescent="0.2">
      <c r="B643" s="12"/>
      <c r="C643" s="74"/>
      <c r="D643" s="75"/>
      <c r="G643" s="12"/>
      <c r="H643" s="74"/>
      <c r="I643" s="75"/>
    </row>
    <row r="644" spans="2:9" ht="14.25" thickBot="1" x14ac:dyDescent="0.2">
      <c r="B644" s="13"/>
      <c r="C644" s="14"/>
      <c r="D644" s="15" t="s">
        <v>0</v>
      </c>
      <c r="G644" s="13"/>
      <c r="H644" s="14"/>
      <c r="I644" s="15" t="s">
        <v>0</v>
      </c>
    </row>
    <row r="645" spans="2:9" x14ac:dyDescent="0.15">
      <c r="B645" s="25" t="s">
        <v>4</v>
      </c>
      <c r="C645" s="26">
        <f>C638</f>
        <v>980</v>
      </c>
      <c r="D645" s="27">
        <f t="shared" ref="D645:D678" si="30">SUM(C645:C645)</f>
        <v>980</v>
      </c>
      <c r="G645" s="25" t="s">
        <v>4</v>
      </c>
      <c r="H645" s="26">
        <f>H638</f>
        <v>0</v>
      </c>
      <c r="I645" s="27">
        <f t="shared" ref="I645:I673" si="31">SUM(H645:H645)</f>
        <v>0</v>
      </c>
    </row>
    <row r="646" spans="2:9" x14ac:dyDescent="0.15">
      <c r="B646" s="48" t="s">
        <v>5</v>
      </c>
      <c r="C646" s="22"/>
      <c r="D646" s="23">
        <f t="shared" si="30"/>
        <v>0</v>
      </c>
      <c r="E646" s="24"/>
      <c r="G646" s="48" t="s">
        <v>5</v>
      </c>
      <c r="H646" s="50"/>
      <c r="I646" s="51">
        <f t="shared" si="31"/>
        <v>0</v>
      </c>
    </row>
    <row r="647" spans="2:9" x14ac:dyDescent="0.15">
      <c r="B647" s="48" t="s">
        <v>5</v>
      </c>
      <c r="C647" s="22"/>
      <c r="D647" s="23">
        <f t="shared" si="30"/>
        <v>0</v>
      </c>
      <c r="G647" s="48" t="s">
        <v>5</v>
      </c>
      <c r="H647" s="22"/>
      <c r="I647" s="23">
        <f t="shared" si="31"/>
        <v>0</v>
      </c>
    </row>
    <row r="648" spans="2:9" x14ac:dyDescent="0.15">
      <c r="B648" s="48" t="s">
        <v>5</v>
      </c>
      <c r="C648" s="22"/>
      <c r="D648" s="23">
        <f t="shared" si="30"/>
        <v>0</v>
      </c>
      <c r="G648" s="48" t="s">
        <v>5</v>
      </c>
      <c r="H648" s="22"/>
      <c r="I648" s="23">
        <f t="shared" si="31"/>
        <v>0</v>
      </c>
    </row>
    <row r="649" spans="2:9" x14ac:dyDescent="0.15">
      <c r="B649" s="48" t="s">
        <v>5</v>
      </c>
      <c r="C649" s="22"/>
      <c r="D649" s="23">
        <f t="shared" si="30"/>
        <v>0</v>
      </c>
      <c r="G649" s="48" t="s">
        <v>5</v>
      </c>
      <c r="H649" s="22"/>
      <c r="I649" s="23">
        <f t="shared" si="31"/>
        <v>0</v>
      </c>
    </row>
    <row r="650" spans="2:9" ht="14.25" thickBot="1" x14ac:dyDescent="0.2">
      <c r="B650" s="48" t="s">
        <v>5</v>
      </c>
      <c r="C650" s="50"/>
      <c r="D650" s="51">
        <f t="shared" si="30"/>
        <v>0</v>
      </c>
      <c r="G650" s="48" t="s">
        <v>5</v>
      </c>
      <c r="H650" s="50"/>
      <c r="I650" s="51">
        <f t="shared" si="31"/>
        <v>0</v>
      </c>
    </row>
    <row r="651" spans="2:9" ht="14.25" thickBot="1" x14ac:dyDescent="0.2">
      <c r="B651" s="13" t="s">
        <v>1</v>
      </c>
      <c r="C651" s="16">
        <f>SUM(C645:C650)</f>
        <v>980</v>
      </c>
      <c r="D651" s="17">
        <f t="shared" si="30"/>
        <v>980</v>
      </c>
      <c r="G651" s="13" t="s">
        <v>1</v>
      </c>
      <c r="H651" s="16">
        <f>SUM(H645:H650)</f>
        <v>0</v>
      </c>
      <c r="I651" s="17">
        <f t="shared" si="31"/>
        <v>0</v>
      </c>
    </row>
    <row r="652" spans="2:9" x14ac:dyDescent="0.15">
      <c r="B652" s="21" t="s">
        <v>20</v>
      </c>
      <c r="C652" s="2">
        <v>1</v>
      </c>
      <c r="D652" s="20">
        <f t="shared" si="30"/>
        <v>1</v>
      </c>
      <c r="E652" s="24">
        <v>44390</v>
      </c>
      <c r="G652" s="40"/>
      <c r="H652" s="22"/>
      <c r="I652" s="38">
        <f t="shared" si="31"/>
        <v>0</v>
      </c>
    </row>
    <row r="653" spans="2:9" x14ac:dyDescent="0.15">
      <c r="B653" s="21" t="s">
        <v>20</v>
      </c>
      <c r="C653" s="2">
        <v>3</v>
      </c>
      <c r="D653" s="5">
        <f t="shared" si="30"/>
        <v>3</v>
      </c>
      <c r="E653" s="24">
        <v>44391</v>
      </c>
      <c r="G653" s="40"/>
      <c r="H653" s="22"/>
      <c r="I653" s="23">
        <f t="shared" si="31"/>
        <v>0</v>
      </c>
    </row>
    <row r="654" spans="2:9" x14ac:dyDescent="0.15">
      <c r="B654" s="21" t="s">
        <v>20</v>
      </c>
      <c r="C654" s="22">
        <v>2</v>
      </c>
      <c r="D654" s="23">
        <f t="shared" si="30"/>
        <v>2</v>
      </c>
      <c r="E654" s="24">
        <v>44394</v>
      </c>
      <c r="G654" s="7"/>
      <c r="H654" s="22"/>
      <c r="I654" s="23">
        <f t="shared" si="31"/>
        <v>0</v>
      </c>
    </row>
    <row r="655" spans="2:9" x14ac:dyDescent="0.15">
      <c r="B655" s="21" t="s">
        <v>20</v>
      </c>
      <c r="C655" s="2">
        <v>4</v>
      </c>
      <c r="D655" s="5">
        <f t="shared" si="30"/>
        <v>4</v>
      </c>
      <c r="E655" s="24">
        <v>44396</v>
      </c>
      <c r="G655" s="18"/>
      <c r="H655" s="2"/>
      <c r="I655" s="5">
        <f t="shared" si="31"/>
        <v>0</v>
      </c>
    </row>
    <row r="656" spans="2:9" x14ac:dyDescent="0.15">
      <c r="B656" s="21" t="s">
        <v>20</v>
      </c>
      <c r="C656" s="2">
        <v>1</v>
      </c>
      <c r="D656" s="5">
        <f t="shared" si="30"/>
        <v>1</v>
      </c>
      <c r="E656" s="24">
        <v>44398</v>
      </c>
      <c r="G656" s="18"/>
      <c r="H656" s="2"/>
      <c r="I656" s="5">
        <f t="shared" si="31"/>
        <v>0</v>
      </c>
    </row>
    <row r="657" spans="2:9" x14ac:dyDescent="0.15">
      <c r="B657" s="21" t="s">
        <v>20</v>
      </c>
      <c r="C657" s="22">
        <v>1</v>
      </c>
      <c r="D657" s="23">
        <f t="shared" si="30"/>
        <v>1</v>
      </c>
      <c r="E657" s="24">
        <v>44403</v>
      </c>
      <c r="G657" s="18"/>
      <c r="H657" s="22"/>
      <c r="I657" s="23">
        <f t="shared" si="31"/>
        <v>0</v>
      </c>
    </row>
    <row r="658" spans="2:9" x14ac:dyDescent="0.15">
      <c r="B658" s="21" t="s">
        <v>20</v>
      </c>
      <c r="C658" s="22">
        <f>1+1</f>
        <v>2</v>
      </c>
      <c r="D658" s="23">
        <f t="shared" si="30"/>
        <v>2</v>
      </c>
      <c r="E658" s="24">
        <v>44404</v>
      </c>
      <c r="G658" s="21"/>
      <c r="H658" s="2"/>
      <c r="I658" s="5">
        <f t="shared" si="31"/>
        <v>0</v>
      </c>
    </row>
    <row r="659" spans="2:9" x14ac:dyDescent="0.15">
      <c r="B659" s="21" t="s">
        <v>20</v>
      </c>
      <c r="C659" s="2">
        <v>1</v>
      </c>
      <c r="D659" s="5">
        <f t="shared" si="30"/>
        <v>1</v>
      </c>
      <c r="E659" s="24">
        <v>44405</v>
      </c>
      <c r="G659" s="18"/>
      <c r="H659" s="2"/>
      <c r="I659" s="5">
        <f t="shared" si="31"/>
        <v>0</v>
      </c>
    </row>
    <row r="660" spans="2:9" x14ac:dyDescent="0.15">
      <c r="B660" s="21" t="s">
        <v>20</v>
      </c>
      <c r="C660" s="2">
        <v>1</v>
      </c>
      <c r="D660" s="5">
        <f t="shared" si="30"/>
        <v>1</v>
      </c>
      <c r="E660" s="24">
        <v>44407</v>
      </c>
      <c r="G660" s="18"/>
      <c r="H660" s="2"/>
      <c r="I660" s="5">
        <f t="shared" si="31"/>
        <v>0</v>
      </c>
    </row>
    <row r="661" spans="2:9" x14ac:dyDescent="0.15">
      <c r="B661" s="21" t="s">
        <v>20</v>
      </c>
      <c r="C661" s="2">
        <v>1</v>
      </c>
      <c r="D661" s="5">
        <f t="shared" si="30"/>
        <v>1</v>
      </c>
      <c r="E661" s="24">
        <v>44408</v>
      </c>
      <c r="G661" s="18"/>
      <c r="H661" s="2"/>
      <c r="I661" s="5">
        <f t="shared" si="31"/>
        <v>0</v>
      </c>
    </row>
    <row r="662" spans="2:9" x14ac:dyDescent="0.15">
      <c r="B662" s="21" t="s">
        <v>20</v>
      </c>
      <c r="C662" s="2">
        <f>1+2</f>
        <v>3</v>
      </c>
      <c r="D662" s="5">
        <f t="shared" si="30"/>
        <v>3</v>
      </c>
      <c r="E662" s="24">
        <v>44410</v>
      </c>
      <c r="G662" s="18"/>
      <c r="H662" s="2"/>
      <c r="I662" s="5">
        <f t="shared" si="31"/>
        <v>0</v>
      </c>
    </row>
    <row r="663" spans="2:9" x14ac:dyDescent="0.15">
      <c r="B663" s="21" t="s">
        <v>20</v>
      </c>
      <c r="C663" s="2">
        <v>2</v>
      </c>
      <c r="D663" s="5">
        <f t="shared" si="30"/>
        <v>2</v>
      </c>
      <c r="E663" s="24">
        <v>44412</v>
      </c>
      <c r="G663" s="18"/>
      <c r="H663" s="2"/>
      <c r="I663" s="5">
        <f t="shared" si="31"/>
        <v>0</v>
      </c>
    </row>
    <row r="664" spans="2:9" x14ac:dyDescent="0.15">
      <c r="B664" s="21" t="s">
        <v>20</v>
      </c>
      <c r="C664" s="2">
        <v>3</v>
      </c>
      <c r="D664" s="5">
        <f t="shared" si="30"/>
        <v>3</v>
      </c>
      <c r="E664" s="24">
        <v>44413</v>
      </c>
      <c r="G664" s="18"/>
      <c r="H664" s="2"/>
      <c r="I664" s="5">
        <f t="shared" si="31"/>
        <v>0</v>
      </c>
    </row>
    <row r="665" spans="2:9" x14ac:dyDescent="0.15">
      <c r="B665" s="21" t="s">
        <v>20</v>
      </c>
      <c r="C665" s="2">
        <v>1</v>
      </c>
      <c r="D665" s="5">
        <f t="shared" si="30"/>
        <v>1</v>
      </c>
      <c r="E665" s="24">
        <v>44414</v>
      </c>
      <c r="G665" s="6"/>
      <c r="H665" s="2"/>
      <c r="I665" s="5">
        <f t="shared" si="31"/>
        <v>0</v>
      </c>
    </row>
    <row r="666" spans="2:9" x14ac:dyDescent="0.15">
      <c r="B666" s="21" t="s">
        <v>20</v>
      </c>
      <c r="C666" s="2">
        <v>2</v>
      </c>
      <c r="D666" s="5">
        <f t="shared" si="30"/>
        <v>2</v>
      </c>
      <c r="E666" s="24">
        <v>44415</v>
      </c>
      <c r="G666" s="6"/>
      <c r="H666" s="2"/>
      <c r="I666" s="5">
        <f t="shared" si="31"/>
        <v>0</v>
      </c>
    </row>
    <row r="667" spans="2:9" x14ac:dyDescent="0.15">
      <c r="B667" s="21" t="s">
        <v>20</v>
      </c>
      <c r="C667" s="2">
        <v>1</v>
      </c>
      <c r="D667" s="5">
        <f t="shared" si="30"/>
        <v>1</v>
      </c>
      <c r="E667" s="24">
        <v>44418</v>
      </c>
      <c r="G667" s="6"/>
      <c r="H667" s="2"/>
      <c r="I667" s="5">
        <f t="shared" si="31"/>
        <v>0</v>
      </c>
    </row>
    <row r="668" spans="2:9" x14ac:dyDescent="0.15">
      <c r="B668" s="21" t="s">
        <v>20</v>
      </c>
      <c r="C668" s="2">
        <v>3</v>
      </c>
      <c r="D668" s="5">
        <f t="shared" si="30"/>
        <v>3</v>
      </c>
      <c r="E668" s="24">
        <v>44419</v>
      </c>
      <c r="G668" s="6"/>
      <c r="H668" s="2"/>
      <c r="I668" s="5">
        <f t="shared" si="31"/>
        <v>0</v>
      </c>
    </row>
    <row r="669" spans="2:9" x14ac:dyDescent="0.15">
      <c r="B669" s="21" t="s">
        <v>20</v>
      </c>
      <c r="C669" s="2">
        <f>2+7</f>
        <v>9</v>
      </c>
      <c r="D669" s="5">
        <f t="shared" si="30"/>
        <v>9</v>
      </c>
      <c r="E669" s="24">
        <v>44424</v>
      </c>
      <c r="G669" s="6"/>
      <c r="H669" s="2"/>
      <c r="I669" s="5">
        <f t="shared" si="31"/>
        <v>0</v>
      </c>
    </row>
    <row r="670" spans="2:9" x14ac:dyDescent="0.15">
      <c r="B670" s="21" t="s">
        <v>20</v>
      </c>
      <c r="C670" s="22">
        <v>1</v>
      </c>
      <c r="D670" s="5">
        <f t="shared" si="30"/>
        <v>1</v>
      </c>
      <c r="E670" s="24">
        <v>44427</v>
      </c>
      <c r="G670" s="6"/>
      <c r="H670" s="2"/>
      <c r="I670" s="5">
        <f t="shared" si="31"/>
        <v>0</v>
      </c>
    </row>
    <row r="671" spans="2:9" x14ac:dyDescent="0.15">
      <c r="B671" s="21" t="s">
        <v>20</v>
      </c>
      <c r="C671" s="2">
        <v>3</v>
      </c>
      <c r="D671" s="5">
        <f t="shared" si="30"/>
        <v>3</v>
      </c>
      <c r="E671" s="24">
        <v>44429</v>
      </c>
      <c r="G671" s="40"/>
      <c r="H671" s="2"/>
      <c r="I671" s="5">
        <f t="shared" si="31"/>
        <v>0</v>
      </c>
    </row>
    <row r="672" spans="2:9" x14ac:dyDescent="0.15">
      <c r="B672" s="21" t="s">
        <v>20</v>
      </c>
      <c r="C672" s="2">
        <v>2</v>
      </c>
      <c r="D672" s="5">
        <f t="shared" si="30"/>
        <v>2</v>
      </c>
      <c r="E672" s="24">
        <v>44431</v>
      </c>
      <c r="G672" s="40"/>
      <c r="H672" s="2"/>
      <c r="I672" s="5">
        <f t="shared" si="31"/>
        <v>0</v>
      </c>
    </row>
    <row r="673" spans="2:9" x14ac:dyDescent="0.15">
      <c r="B673" s="21" t="s">
        <v>20</v>
      </c>
      <c r="C673" s="3">
        <v>1</v>
      </c>
      <c r="D673" s="8">
        <f t="shared" si="30"/>
        <v>1</v>
      </c>
      <c r="E673" s="24">
        <v>44432</v>
      </c>
      <c r="G673" s="40"/>
      <c r="H673" s="3"/>
      <c r="I673" s="8">
        <f t="shared" si="31"/>
        <v>0</v>
      </c>
    </row>
    <row r="674" spans="2:9" x14ac:dyDescent="0.15">
      <c r="B674" s="21" t="s">
        <v>20</v>
      </c>
      <c r="C674" s="22">
        <v>1</v>
      </c>
      <c r="D674" s="23">
        <f t="shared" si="30"/>
        <v>1</v>
      </c>
      <c r="E674" s="24">
        <v>44433</v>
      </c>
      <c r="G674" s="40"/>
      <c r="H674" s="2"/>
      <c r="I674" s="5">
        <f>SUM(H674:H674)</f>
        <v>0</v>
      </c>
    </row>
    <row r="675" spans="2:9" x14ac:dyDescent="0.15">
      <c r="B675" s="21" t="s">
        <v>20</v>
      </c>
      <c r="C675" s="22">
        <v>2</v>
      </c>
      <c r="D675" s="23">
        <f t="shared" si="30"/>
        <v>2</v>
      </c>
      <c r="E675" s="24">
        <v>44439</v>
      </c>
      <c r="G675" s="40"/>
      <c r="H675" s="22"/>
      <c r="I675" s="23">
        <f>SUM(H675:H675)</f>
        <v>0</v>
      </c>
    </row>
    <row r="676" spans="2:9" ht="14.25" thickBot="1" x14ac:dyDescent="0.2">
      <c r="B676" s="48"/>
      <c r="C676" s="42"/>
      <c r="D676" s="43">
        <f t="shared" si="30"/>
        <v>0</v>
      </c>
      <c r="G676" s="66"/>
      <c r="H676" s="67"/>
      <c r="I676" s="68">
        <f>SUM(H676:H676)</f>
        <v>0</v>
      </c>
    </row>
    <row r="677" spans="2:9" x14ac:dyDescent="0.15">
      <c r="B677" s="58" t="s">
        <v>2</v>
      </c>
      <c r="C677" s="37">
        <f>SUM(C652:C676)</f>
        <v>51</v>
      </c>
      <c r="D677" s="38">
        <f t="shared" si="30"/>
        <v>51</v>
      </c>
      <c r="G677" s="9" t="s">
        <v>2</v>
      </c>
      <c r="H677" s="10">
        <f>SUM(H652:H676)</f>
        <v>0</v>
      </c>
      <c r="I677" s="11">
        <f>SUM(H677:H677)</f>
        <v>0</v>
      </c>
    </row>
    <row r="678" spans="2:9" ht="14.25" thickBot="1" x14ac:dyDescent="0.2">
      <c r="B678" s="60" t="s">
        <v>3</v>
      </c>
      <c r="C678" s="64">
        <f>+C651-C677</f>
        <v>929</v>
      </c>
      <c r="D678" s="65">
        <f t="shared" si="30"/>
        <v>929</v>
      </c>
      <c r="G678" s="33" t="s">
        <v>3</v>
      </c>
      <c r="H678" s="34">
        <f>+H651-H677</f>
        <v>0</v>
      </c>
      <c r="I678" s="35">
        <f>SUM(H678:H678)</f>
        <v>0</v>
      </c>
    </row>
    <row r="681" spans="2:9" ht="18.75" x14ac:dyDescent="0.2">
      <c r="B681" s="4" t="s">
        <v>53</v>
      </c>
      <c r="G681" s="54" t="s">
        <v>54</v>
      </c>
      <c r="H681" s="55"/>
      <c r="I681" s="55"/>
    </row>
    <row r="682" spans="2:9" ht="14.25" thickBot="1" x14ac:dyDescent="0.2">
      <c r="G682" s="1"/>
    </row>
    <row r="683" spans="2:9" ht="14.25" thickBot="1" x14ac:dyDescent="0.2">
      <c r="B683" s="12"/>
      <c r="C683" s="74"/>
      <c r="D683" s="75"/>
      <c r="G683" s="12"/>
      <c r="H683" s="74"/>
      <c r="I683" s="75"/>
    </row>
    <row r="684" spans="2:9" ht="14.25" thickBot="1" x14ac:dyDescent="0.2">
      <c r="B684" s="13"/>
      <c r="C684" s="14"/>
      <c r="D684" s="15" t="s">
        <v>0</v>
      </c>
      <c r="G684" s="13"/>
      <c r="H684" s="14"/>
      <c r="I684" s="15" t="s">
        <v>0</v>
      </c>
    </row>
    <row r="685" spans="2:9" x14ac:dyDescent="0.15">
      <c r="B685" s="25" t="s">
        <v>4</v>
      </c>
      <c r="C685" s="26">
        <f>C678</f>
        <v>929</v>
      </c>
      <c r="D685" s="27">
        <f t="shared" ref="D685:D718" si="32">SUM(C685:C685)</f>
        <v>929</v>
      </c>
      <c r="G685" s="25" t="s">
        <v>4</v>
      </c>
      <c r="H685" s="26">
        <f>H678</f>
        <v>0</v>
      </c>
      <c r="I685" s="27">
        <f t="shared" ref="I685:I713" si="33">SUM(H685:H685)</f>
        <v>0</v>
      </c>
    </row>
    <row r="686" spans="2:9" x14ac:dyDescent="0.15">
      <c r="B686" s="48" t="s">
        <v>63</v>
      </c>
      <c r="C686" s="22">
        <v>4</v>
      </c>
      <c r="D686" s="23">
        <f t="shared" si="32"/>
        <v>4</v>
      </c>
      <c r="E686" s="24">
        <v>44491</v>
      </c>
      <c r="G686" s="48" t="s">
        <v>5</v>
      </c>
      <c r="H686" s="50"/>
      <c r="I686" s="51">
        <f t="shared" si="33"/>
        <v>0</v>
      </c>
    </row>
    <row r="687" spans="2:9" x14ac:dyDescent="0.15">
      <c r="B687" s="48" t="s">
        <v>5</v>
      </c>
      <c r="C687" s="22"/>
      <c r="D687" s="23">
        <f t="shared" si="32"/>
        <v>0</v>
      </c>
      <c r="G687" s="48" t="s">
        <v>5</v>
      </c>
      <c r="H687" s="22"/>
      <c r="I687" s="23">
        <f t="shared" si="33"/>
        <v>0</v>
      </c>
    </row>
    <row r="688" spans="2:9" x14ac:dyDescent="0.15">
      <c r="B688" s="48" t="s">
        <v>5</v>
      </c>
      <c r="C688" s="22"/>
      <c r="D688" s="23">
        <f t="shared" si="32"/>
        <v>0</v>
      </c>
      <c r="G688" s="48" t="s">
        <v>5</v>
      </c>
      <c r="H688" s="22"/>
      <c r="I688" s="23">
        <f t="shared" si="33"/>
        <v>0</v>
      </c>
    </row>
    <row r="689" spans="2:9" x14ac:dyDescent="0.15">
      <c r="B689" s="48" t="s">
        <v>5</v>
      </c>
      <c r="C689" s="22"/>
      <c r="D689" s="23">
        <f t="shared" si="32"/>
        <v>0</v>
      </c>
      <c r="G689" s="48" t="s">
        <v>5</v>
      </c>
      <c r="H689" s="22"/>
      <c r="I689" s="23">
        <f t="shared" si="33"/>
        <v>0</v>
      </c>
    </row>
    <row r="690" spans="2:9" ht="14.25" thickBot="1" x14ac:dyDescent="0.2">
      <c r="B690" s="48" t="s">
        <v>5</v>
      </c>
      <c r="C690" s="50"/>
      <c r="D690" s="51">
        <f t="shared" si="32"/>
        <v>0</v>
      </c>
      <c r="G690" s="48" t="s">
        <v>5</v>
      </c>
      <c r="H690" s="50"/>
      <c r="I690" s="51">
        <f t="shared" si="33"/>
        <v>0</v>
      </c>
    </row>
    <row r="691" spans="2:9" ht="14.25" thickBot="1" x14ac:dyDescent="0.2">
      <c r="B691" s="13" t="s">
        <v>1</v>
      </c>
      <c r="C691" s="16">
        <f>SUM(C685:C690)</f>
        <v>933</v>
      </c>
      <c r="D691" s="17">
        <f t="shared" si="32"/>
        <v>933</v>
      </c>
      <c r="G691" s="13" t="s">
        <v>1</v>
      </c>
      <c r="H691" s="16">
        <f>SUM(H685:H690)</f>
        <v>0</v>
      </c>
      <c r="I691" s="17">
        <f t="shared" si="33"/>
        <v>0</v>
      </c>
    </row>
    <row r="692" spans="2:9" x14ac:dyDescent="0.15">
      <c r="B692" s="21" t="s">
        <v>20</v>
      </c>
      <c r="C692" s="2">
        <v>2</v>
      </c>
      <c r="D692" s="20">
        <f t="shared" si="32"/>
        <v>2</v>
      </c>
      <c r="E692" s="24">
        <v>44442</v>
      </c>
      <c r="G692" s="40"/>
      <c r="H692" s="22"/>
      <c r="I692" s="38">
        <f t="shared" si="33"/>
        <v>0</v>
      </c>
    </row>
    <row r="693" spans="2:9" x14ac:dyDescent="0.15">
      <c r="B693" s="21" t="s">
        <v>20</v>
      </c>
      <c r="C693" s="2">
        <v>2</v>
      </c>
      <c r="D693" s="5">
        <f t="shared" si="32"/>
        <v>2</v>
      </c>
      <c r="E693" s="24">
        <v>44443</v>
      </c>
      <c r="G693" s="40"/>
      <c r="H693" s="22"/>
      <c r="I693" s="23">
        <f t="shared" si="33"/>
        <v>0</v>
      </c>
    </row>
    <row r="694" spans="2:9" x14ac:dyDescent="0.15">
      <c r="B694" s="21" t="s">
        <v>20</v>
      </c>
      <c r="C694" s="22">
        <v>5</v>
      </c>
      <c r="D694" s="23">
        <f t="shared" si="32"/>
        <v>5</v>
      </c>
      <c r="E694" s="24">
        <v>44445</v>
      </c>
      <c r="G694" s="7"/>
      <c r="H694" s="22"/>
      <c r="I694" s="23">
        <f t="shared" si="33"/>
        <v>0</v>
      </c>
    </row>
    <row r="695" spans="2:9" x14ac:dyDescent="0.15">
      <c r="B695" s="21" t="s">
        <v>20</v>
      </c>
      <c r="C695" s="2">
        <v>1</v>
      </c>
      <c r="D695" s="5">
        <f t="shared" si="32"/>
        <v>1</v>
      </c>
      <c r="E695" s="24">
        <v>44446</v>
      </c>
      <c r="G695" s="18"/>
      <c r="H695" s="2"/>
      <c r="I695" s="5">
        <f t="shared" si="33"/>
        <v>0</v>
      </c>
    </row>
    <row r="696" spans="2:9" x14ac:dyDescent="0.15">
      <c r="B696" s="21" t="s">
        <v>20</v>
      </c>
      <c r="C696" s="2">
        <v>1</v>
      </c>
      <c r="D696" s="5">
        <f t="shared" si="32"/>
        <v>1</v>
      </c>
      <c r="E696" s="24">
        <v>44447</v>
      </c>
      <c r="G696" s="18"/>
      <c r="H696" s="2"/>
      <c r="I696" s="5">
        <f t="shared" si="33"/>
        <v>0</v>
      </c>
    </row>
    <row r="697" spans="2:9" x14ac:dyDescent="0.15">
      <c r="B697" s="21" t="s">
        <v>20</v>
      </c>
      <c r="C697" s="22">
        <v>1</v>
      </c>
      <c r="D697" s="23">
        <f t="shared" si="32"/>
        <v>1</v>
      </c>
      <c r="E697" s="24">
        <v>44448</v>
      </c>
      <c r="G697" s="18"/>
      <c r="H697" s="22"/>
      <c r="I697" s="23">
        <f t="shared" si="33"/>
        <v>0</v>
      </c>
    </row>
    <row r="698" spans="2:9" x14ac:dyDescent="0.15">
      <c r="B698" s="21" t="s">
        <v>20</v>
      </c>
      <c r="C698" s="22">
        <f>1+1</f>
        <v>2</v>
      </c>
      <c r="D698" s="23">
        <f t="shared" si="32"/>
        <v>2</v>
      </c>
      <c r="E698" s="24">
        <v>44449</v>
      </c>
      <c r="G698" s="21"/>
      <c r="H698" s="2"/>
      <c r="I698" s="5">
        <f t="shared" si="33"/>
        <v>0</v>
      </c>
    </row>
    <row r="699" spans="2:9" x14ac:dyDescent="0.15">
      <c r="B699" s="21" t="s">
        <v>20</v>
      </c>
      <c r="C699" s="2">
        <v>2</v>
      </c>
      <c r="D699" s="5">
        <f t="shared" si="32"/>
        <v>2</v>
      </c>
      <c r="E699" s="24">
        <v>44452</v>
      </c>
      <c r="G699" s="18"/>
      <c r="H699" s="2"/>
      <c r="I699" s="5">
        <f t="shared" si="33"/>
        <v>0</v>
      </c>
    </row>
    <row r="700" spans="2:9" x14ac:dyDescent="0.15">
      <c r="B700" s="21" t="s">
        <v>20</v>
      </c>
      <c r="C700" s="2">
        <v>1</v>
      </c>
      <c r="D700" s="5">
        <f t="shared" si="32"/>
        <v>1</v>
      </c>
      <c r="E700" s="24">
        <v>44453</v>
      </c>
      <c r="G700" s="18"/>
      <c r="H700" s="2"/>
      <c r="I700" s="5">
        <f t="shared" si="33"/>
        <v>0</v>
      </c>
    </row>
    <row r="701" spans="2:9" x14ac:dyDescent="0.15">
      <c r="B701" s="21" t="s">
        <v>20</v>
      </c>
      <c r="C701" s="2">
        <v>1</v>
      </c>
      <c r="D701" s="5">
        <f t="shared" si="32"/>
        <v>1</v>
      </c>
      <c r="E701" s="24">
        <v>44454</v>
      </c>
      <c r="G701" s="18"/>
      <c r="H701" s="2"/>
      <c r="I701" s="5">
        <f t="shared" si="33"/>
        <v>0</v>
      </c>
    </row>
    <row r="702" spans="2:9" x14ac:dyDescent="0.15">
      <c r="B702" s="21" t="s">
        <v>20</v>
      </c>
      <c r="C702" s="2">
        <v>1</v>
      </c>
      <c r="D702" s="5">
        <f t="shared" si="32"/>
        <v>1</v>
      </c>
      <c r="E702" s="24">
        <v>44474</v>
      </c>
      <c r="G702" s="18"/>
      <c r="H702" s="2"/>
      <c r="I702" s="5">
        <f t="shared" si="33"/>
        <v>0</v>
      </c>
    </row>
    <row r="703" spans="2:9" x14ac:dyDescent="0.15">
      <c r="B703" s="21" t="s">
        <v>20</v>
      </c>
      <c r="C703" s="2">
        <v>2</v>
      </c>
      <c r="D703" s="5">
        <f t="shared" si="32"/>
        <v>2</v>
      </c>
      <c r="E703" s="24">
        <v>44475</v>
      </c>
      <c r="G703" s="18"/>
      <c r="H703" s="2"/>
      <c r="I703" s="5">
        <f t="shared" si="33"/>
        <v>0</v>
      </c>
    </row>
    <row r="704" spans="2:9" x14ac:dyDescent="0.15">
      <c r="B704" s="21" t="s">
        <v>20</v>
      </c>
      <c r="C704" s="2">
        <v>1</v>
      </c>
      <c r="D704" s="5">
        <f t="shared" si="32"/>
        <v>1</v>
      </c>
      <c r="E704" s="24">
        <v>44477</v>
      </c>
      <c r="G704" s="18"/>
      <c r="H704" s="2"/>
      <c r="I704" s="5">
        <f t="shared" si="33"/>
        <v>0</v>
      </c>
    </row>
    <row r="705" spans="2:9" x14ac:dyDescent="0.15">
      <c r="B705" s="21" t="s">
        <v>20</v>
      </c>
      <c r="C705" s="2">
        <v>4</v>
      </c>
      <c r="D705" s="5">
        <f t="shared" si="32"/>
        <v>4</v>
      </c>
      <c r="E705" s="24">
        <v>44480</v>
      </c>
      <c r="G705" s="6"/>
      <c r="H705" s="2"/>
      <c r="I705" s="5">
        <f t="shared" si="33"/>
        <v>0</v>
      </c>
    </row>
    <row r="706" spans="2:9" x14ac:dyDescent="0.15">
      <c r="B706" s="21" t="s">
        <v>20</v>
      </c>
      <c r="C706" s="2">
        <v>4</v>
      </c>
      <c r="D706" s="5">
        <f t="shared" ref="D706" si="34">SUM(C706:C706)</f>
        <v>4</v>
      </c>
      <c r="E706" s="24">
        <v>44481</v>
      </c>
      <c r="G706" s="6"/>
      <c r="H706" s="2"/>
      <c r="I706" s="5">
        <f t="shared" si="33"/>
        <v>0</v>
      </c>
    </row>
    <row r="707" spans="2:9" x14ac:dyDescent="0.15">
      <c r="B707" s="21" t="s">
        <v>20</v>
      </c>
      <c r="C707" s="2">
        <v>1</v>
      </c>
      <c r="D707" s="5">
        <f t="shared" si="32"/>
        <v>1</v>
      </c>
      <c r="E707" s="24">
        <v>44482</v>
      </c>
      <c r="G707" s="6"/>
      <c r="H707" s="2"/>
      <c r="I707" s="5">
        <f t="shared" si="33"/>
        <v>0</v>
      </c>
    </row>
    <row r="708" spans="2:9" x14ac:dyDescent="0.15">
      <c r="B708" s="21" t="s">
        <v>20</v>
      </c>
      <c r="C708" s="2">
        <v>1</v>
      </c>
      <c r="D708" s="5">
        <f t="shared" si="32"/>
        <v>1</v>
      </c>
      <c r="E708" s="24">
        <v>44483</v>
      </c>
      <c r="G708" s="6"/>
      <c r="H708" s="2"/>
      <c r="I708" s="5">
        <f t="shared" si="33"/>
        <v>0</v>
      </c>
    </row>
    <row r="709" spans="2:9" x14ac:dyDescent="0.15">
      <c r="B709" s="21" t="s">
        <v>20</v>
      </c>
      <c r="C709" s="2">
        <v>1</v>
      </c>
      <c r="D709" s="5">
        <f t="shared" si="32"/>
        <v>1</v>
      </c>
      <c r="E709" s="24">
        <v>44484</v>
      </c>
      <c r="G709" s="6"/>
      <c r="H709" s="2"/>
      <c r="I709" s="5">
        <f t="shared" si="33"/>
        <v>0</v>
      </c>
    </row>
    <row r="710" spans="2:9" x14ac:dyDescent="0.15">
      <c r="B710" s="21" t="s">
        <v>20</v>
      </c>
      <c r="C710" s="22">
        <v>1</v>
      </c>
      <c r="D710" s="5">
        <f t="shared" si="32"/>
        <v>1</v>
      </c>
      <c r="E710" s="24">
        <v>44488</v>
      </c>
      <c r="G710" s="6"/>
      <c r="H710" s="2"/>
      <c r="I710" s="5">
        <f t="shared" si="33"/>
        <v>0</v>
      </c>
    </row>
    <row r="711" spans="2:9" x14ac:dyDescent="0.15">
      <c r="B711" s="21" t="s">
        <v>20</v>
      </c>
      <c r="C711" s="2">
        <v>3</v>
      </c>
      <c r="D711" s="5">
        <f t="shared" si="32"/>
        <v>3</v>
      </c>
      <c r="E711" s="24">
        <v>44489</v>
      </c>
      <c r="G711" s="40"/>
      <c r="H711" s="2"/>
      <c r="I711" s="5">
        <f t="shared" si="33"/>
        <v>0</v>
      </c>
    </row>
    <row r="712" spans="2:9" x14ac:dyDescent="0.15">
      <c r="B712" s="21" t="s">
        <v>20</v>
      </c>
      <c r="C712" s="2">
        <v>1</v>
      </c>
      <c r="D712" s="5">
        <f t="shared" si="32"/>
        <v>1</v>
      </c>
      <c r="E712" s="24">
        <v>44494</v>
      </c>
      <c r="G712" s="40"/>
      <c r="H712" s="2"/>
      <c r="I712" s="5">
        <f t="shared" si="33"/>
        <v>0</v>
      </c>
    </row>
    <row r="713" spans="2:9" x14ac:dyDescent="0.15">
      <c r="B713" s="21" t="s">
        <v>20</v>
      </c>
      <c r="C713" s="3">
        <v>1</v>
      </c>
      <c r="D713" s="8">
        <f t="shared" si="32"/>
        <v>1</v>
      </c>
      <c r="E713" s="24">
        <v>44495</v>
      </c>
      <c r="G713" s="40"/>
      <c r="H713" s="3"/>
      <c r="I713" s="8">
        <f t="shared" si="33"/>
        <v>0</v>
      </c>
    </row>
    <row r="714" spans="2:9" x14ac:dyDescent="0.15">
      <c r="B714" s="21" t="s">
        <v>20</v>
      </c>
      <c r="C714" s="22">
        <f>1+2</f>
        <v>3</v>
      </c>
      <c r="D714" s="23">
        <f t="shared" si="32"/>
        <v>3</v>
      </c>
      <c r="E714" s="24">
        <v>44506</v>
      </c>
      <c r="G714" s="40"/>
      <c r="H714" s="2"/>
      <c r="I714" s="5">
        <f>SUM(H714:H714)</f>
        <v>0</v>
      </c>
    </row>
    <row r="715" spans="2:9" x14ac:dyDescent="0.15">
      <c r="B715" s="21" t="s">
        <v>20</v>
      </c>
      <c r="C715" s="22">
        <v>1</v>
      </c>
      <c r="D715" s="23">
        <f t="shared" si="32"/>
        <v>1</v>
      </c>
      <c r="E715" s="24">
        <v>44508</v>
      </c>
      <c r="G715" s="40"/>
      <c r="H715" s="22"/>
      <c r="I715" s="23">
        <f>SUM(H715:H715)</f>
        <v>0</v>
      </c>
    </row>
    <row r="716" spans="2:9" ht="14.25" thickBot="1" x14ac:dyDescent="0.2">
      <c r="B716" s="48"/>
      <c r="C716" s="42"/>
      <c r="D716" s="43">
        <f t="shared" si="32"/>
        <v>0</v>
      </c>
      <c r="G716" s="66"/>
      <c r="H716" s="67"/>
      <c r="I716" s="68">
        <f>SUM(H716:H716)</f>
        <v>0</v>
      </c>
    </row>
    <row r="717" spans="2:9" x14ac:dyDescent="0.15">
      <c r="B717" s="58" t="s">
        <v>2</v>
      </c>
      <c r="C717" s="37">
        <f>SUM(C692:C716)</f>
        <v>43</v>
      </c>
      <c r="D717" s="38">
        <f t="shared" si="32"/>
        <v>43</v>
      </c>
      <c r="G717" s="9" t="s">
        <v>2</v>
      </c>
      <c r="H717" s="10">
        <f>SUM(H692:H716)</f>
        <v>0</v>
      </c>
      <c r="I717" s="11">
        <f>SUM(H717:H717)</f>
        <v>0</v>
      </c>
    </row>
    <row r="718" spans="2:9" ht="14.25" thickBot="1" x14ac:dyDescent="0.2">
      <c r="B718" s="60" t="s">
        <v>3</v>
      </c>
      <c r="C718" s="64">
        <f>+C691-C717</f>
        <v>890</v>
      </c>
      <c r="D718" s="65">
        <f t="shared" si="32"/>
        <v>890</v>
      </c>
      <c r="G718" s="33" t="s">
        <v>3</v>
      </c>
      <c r="H718" s="34">
        <f>+H691-H717</f>
        <v>0</v>
      </c>
      <c r="I718" s="35">
        <f>SUM(H718:H718)</f>
        <v>0</v>
      </c>
    </row>
    <row r="721" spans="2:5" ht="18.75" x14ac:dyDescent="0.2">
      <c r="B721" s="4" t="s">
        <v>53</v>
      </c>
    </row>
    <row r="722" spans="2:5" ht="14.25" thickBot="1" x14ac:dyDescent="0.2"/>
    <row r="723" spans="2:5" ht="14.25" thickBot="1" x14ac:dyDescent="0.2">
      <c r="B723" s="12"/>
      <c r="C723" s="74"/>
      <c r="D723" s="75"/>
    </row>
    <row r="724" spans="2:5" ht="14.25" thickBot="1" x14ac:dyDescent="0.2">
      <c r="B724" s="13"/>
      <c r="C724" s="14"/>
      <c r="D724" s="15" t="s">
        <v>0</v>
      </c>
    </row>
    <row r="725" spans="2:5" x14ac:dyDescent="0.15">
      <c r="B725" s="25" t="s">
        <v>4</v>
      </c>
      <c r="C725" s="26">
        <f>C718</f>
        <v>890</v>
      </c>
      <c r="D725" s="27">
        <f t="shared" ref="D725:D758" si="35">SUM(C725:C725)</f>
        <v>890</v>
      </c>
    </row>
    <row r="726" spans="2:5" x14ac:dyDescent="0.15">
      <c r="B726" s="48" t="s">
        <v>5</v>
      </c>
      <c r="C726" s="22"/>
      <c r="D726" s="23">
        <f t="shared" si="35"/>
        <v>0</v>
      </c>
      <c r="E726" s="24"/>
    </row>
    <row r="727" spans="2:5" x14ac:dyDescent="0.15">
      <c r="B727" s="48" t="s">
        <v>5</v>
      </c>
      <c r="C727" s="22"/>
      <c r="D727" s="23">
        <f t="shared" si="35"/>
        <v>0</v>
      </c>
    </row>
    <row r="728" spans="2:5" x14ac:dyDescent="0.15">
      <c r="B728" s="48" t="s">
        <v>5</v>
      </c>
      <c r="C728" s="22"/>
      <c r="D728" s="23">
        <f t="shared" si="35"/>
        <v>0</v>
      </c>
    </row>
    <row r="729" spans="2:5" x14ac:dyDescent="0.15">
      <c r="B729" s="48" t="s">
        <v>5</v>
      </c>
      <c r="C729" s="22"/>
      <c r="D729" s="23">
        <f t="shared" si="35"/>
        <v>0</v>
      </c>
    </row>
    <row r="730" spans="2:5" ht="14.25" thickBot="1" x14ac:dyDescent="0.2">
      <c r="B730" s="48" t="s">
        <v>5</v>
      </c>
      <c r="C730" s="50"/>
      <c r="D730" s="51">
        <f t="shared" si="35"/>
        <v>0</v>
      </c>
    </row>
    <row r="731" spans="2:5" ht="14.25" thickBot="1" x14ac:dyDescent="0.2">
      <c r="B731" s="13" t="s">
        <v>1</v>
      </c>
      <c r="C731" s="16">
        <f>SUM(C725:C730)</f>
        <v>890</v>
      </c>
      <c r="D731" s="17">
        <f t="shared" si="35"/>
        <v>890</v>
      </c>
    </row>
    <row r="732" spans="2:5" x14ac:dyDescent="0.15">
      <c r="B732" s="21" t="s">
        <v>20</v>
      </c>
      <c r="C732" s="2">
        <v>1</v>
      </c>
      <c r="D732" s="20">
        <f t="shared" si="35"/>
        <v>1</v>
      </c>
      <c r="E732" s="24">
        <v>44511</v>
      </c>
    </row>
    <row r="733" spans="2:5" x14ac:dyDescent="0.15">
      <c r="B733" s="21" t="s">
        <v>20</v>
      </c>
      <c r="C733" s="2">
        <v>2</v>
      </c>
      <c r="D733" s="5">
        <f t="shared" si="35"/>
        <v>2</v>
      </c>
      <c r="E733" s="24">
        <v>44516</v>
      </c>
    </row>
    <row r="734" spans="2:5" x14ac:dyDescent="0.15">
      <c r="B734" s="21" t="s">
        <v>20</v>
      </c>
      <c r="C734" s="22">
        <v>2</v>
      </c>
      <c r="D734" s="23">
        <f t="shared" si="35"/>
        <v>2</v>
      </c>
      <c r="E734" s="24">
        <v>44518</v>
      </c>
    </row>
    <row r="735" spans="2:5" x14ac:dyDescent="0.15">
      <c r="B735" s="21" t="s">
        <v>20</v>
      </c>
      <c r="C735" s="2">
        <f>1+2</f>
        <v>3</v>
      </c>
      <c r="D735" s="5">
        <f t="shared" si="35"/>
        <v>3</v>
      </c>
      <c r="E735" s="24">
        <v>44519</v>
      </c>
    </row>
    <row r="736" spans="2:5" x14ac:dyDescent="0.15">
      <c r="B736" s="21" t="s">
        <v>20</v>
      </c>
      <c r="C736" s="2">
        <f>1+2</f>
        <v>3</v>
      </c>
      <c r="D736" s="5">
        <f t="shared" si="35"/>
        <v>3</v>
      </c>
      <c r="E736" s="24">
        <v>44522</v>
      </c>
    </row>
    <row r="737" spans="2:5" x14ac:dyDescent="0.15">
      <c r="B737" s="21" t="s">
        <v>20</v>
      </c>
      <c r="C737" s="22">
        <f>1+4</f>
        <v>5</v>
      </c>
      <c r="D737" s="23">
        <f t="shared" si="35"/>
        <v>5</v>
      </c>
      <c r="E737" s="24">
        <v>44524</v>
      </c>
    </row>
    <row r="738" spans="2:5" x14ac:dyDescent="0.15">
      <c r="B738" s="21" t="s">
        <v>20</v>
      </c>
      <c r="C738" s="22">
        <v>2</v>
      </c>
      <c r="D738" s="23">
        <f t="shared" si="35"/>
        <v>2</v>
      </c>
      <c r="E738" s="24">
        <v>44526</v>
      </c>
    </row>
    <row r="739" spans="2:5" x14ac:dyDescent="0.15">
      <c r="B739" s="21" t="s">
        <v>20</v>
      </c>
      <c r="C739" s="2">
        <f>7+1</f>
        <v>8</v>
      </c>
      <c r="D739" s="5">
        <f t="shared" si="35"/>
        <v>8</v>
      </c>
      <c r="E739" s="24">
        <v>44529</v>
      </c>
    </row>
    <row r="740" spans="2:5" x14ac:dyDescent="0.15">
      <c r="B740" s="21" t="s">
        <v>20</v>
      </c>
      <c r="C740" s="2">
        <v>7</v>
      </c>
      <c r="D740" s="5">
        <f t="shared" si="35"/>
        <v>7</v>
      </c>
      <c r="E740" s="24">
        <v>44530</v>
      </c>
    </row>
    <row r="741" spans="2:5" x14ac:dyDescent="0.15">
      <c r="B741" s="21" t="s">
        <v>20</v>
      </c>
      <c r="C741" s="2">
        <v>3</v>
      </c>
      <c r="D741" s="5">
        <f t="shared" si="35"/>
        <v>3</v>
      </c>
      <c r="E741" s="24">
        <v>44532</v>
      </c>
    </row>
    <row r="742" spans="2:5" x14ac:dyDescent="0.15">
      <c r="B742" s="21" t="s">
        <v>20</v>
      </c>
      <c r="C742" s="2">
        <v>6</v>
      </c>
      <c r="D742" s="5">
        <f t="shared" si="35"/>
        <v>6</v>
      </c>
      <c r="E742" s="24">
        <v>44536</v>
      </c>
    </row>
    <row r="743" spans="2:5" x14ac:dyDescent="0.15">
      <c r="B743" s="21" t="s">
        <v>20</v>
      </c>
      <c r="C743" s="2">
        <f>1+1+2+1</f>
        <v>5</v>
      </c>
      <c r="D743" s="5">
        <f t="shared" si="35"/>
        <v>5</v>
      </c>
      <c r="E743" s="24">
        <v>44537</v>
      </c>
    </row>
    <row r="744" spans="2:5" x14ac:dyDescent="0.15">
      <c r="B744" s="21" t="s">
        <v>20</v>
      </c>
      <c r="C744" s="2">
        <v>1</v>
      </c>
      <c r="D744" s="5">
        <f t="shared" si="35"/>
        <v>1</v>
      </c>
      <c r="E744" s="24">
        <v>44538</v>
      </c>
    </row>
    <row r="745" spans="2:5" x14ac:dyDescent="0.15">
      <c r="B745" s="21" t="s">
        <v>20</v>
      </c>
      <c r="C745" s="2">
        <v>3</v>
      </c>
      <c r="D745" s="5">
        <f t="shared" si="35"/>
        <v>3</v>
      </c>
      <c r="E745" s="24">
        <v>44540</v>
      </c>
    </row>
    <row r="746" spans="2:5" x14ac:dyDescent="0.15">
      <c r="B746" s="21" t="s">
        <v>20</v>
      </c>
      <c r="C746" s="2">
        <f>4+3</f>
        <v>7</v>
      </c>
      <c r="D746" s="5">
        <f t="shared" si="35"/>
        <v>7</v>
      </c>
      <c r="E746" s="24">
        <v>44543</v>
      </c>
    </row>
    <row r="747" spans="2:5" x14ac:dyDescent="0.15">
      <c r="B747" s="21" t="s">
        <v>64</v>
      </c>
      <c r="C747" s="22">
        <v>5</v>
      </c>
      <c r="D747" s="23">
        <f t="shared" si="35"/>
        <v>5</v>
      </c>
      <c r="E747" s="24">
        <v>44545</v>
      </c>
    </row>
    <row r="748" spans="2:5" x14ac:dyDescent="0.15">
      <c r="B748" s="21" t="s">
        <v>20</v>
      </c>
      <c r="C748" s="2">
        <v>1</v>
      </c>
      <c r="D748" s="5">
        <f t="shared" si="35"/>
        <v>1</v>
      </c>
      <c r="E748" s="24">
        <v>44545</v>
      </c>
    </row>
    <row r="749" spans="2:5" x14ac:dyDescent="0.15">
      <c r="B749" s="21" t="s">
        <v>20</v>
      </c>
      <c r="C749" s="2">
        <f>2+1</f>
        <v>3</v>
      </c>
      <c r="D749" s="5">
        <f t="shared" si="35"/>
        <v>3</v>
      </c>
      <c r="E749" s="24">
        <v>44547</v>
      </c>
    </row>
    <row r="750" spans="2:5" x14ac:dyDescent="0.15">
      <c r="B750" s="21" t="s">
        <v>65</v>
      </c>
      <c r="C750" s="22">
        <v>10</v>
      </c>
      <c r="D750" s="23">
        <f t="shared" si="35"/>
        <v>10</v>
      </c>
      <c r="E750" s="24">
        <v>44551</v>
      </c>
    </row>
    <row r="751" spans="2:5" x14ac:dyDescent="0.15">
      <c r="B751" s="21" t="s">
        <v>20</v>
      </c>
      <c r="C751" s="2">
        <v>1</v>
      </c>
      <c r="D751" s="5">
        <f t="shared" si="35"/>
        <v>1</v>
      </c>
      <c r="E751" s="24">
        <v>44553</v>
      </c>
    </row>
    <row r="752" spans="2:5" x14ac:dyDescent="0.15">
      <c r="B752" s="21" t="s">
        <v>20</v>
      </c>
      <c r="C752" s="2">
        <v>2</v>
      </c>
      <c r="D752" s="5">
        <f t="shared" si="35"/>
        <v>2</v>
      </c>
      <c r="E752" s="24">
        <v>44557</v>
      </c>
    </row>
    <row r="753" spans="2:5" x14ac:dyDescent="0.15">
      <c r="B753" s="21" t="s">
        <v>20</v>
      </c>
      <c r="C753" s="3">
        <f>1+5</f>
        <v>6</v>
      </c>
      <c r="D753" s="8">
        <f t="shared" si="35"/>
        <v>6</v>
      </c>
      <c r="E753" s="24">
        <v>44566</v>
      </c>
    </row>
    <row r="754" spans="2:5" x14ac:dyDescent="0.15">
      <c r="B754" s="21" t="s">
        <v>20</v>
      </c>
      <c r="C754" s="22">
        <v>1</v>
      </c>
      <c r="D754" s="23">
        <f t="shared" si="35"/>
        <v>1</v>
      </c>
      <c r="E754" s="24">
        <v>44568</v>
      </c>
    </row>
    <row r="755" spans="2:5" x14ac:dyDescent="0.15">
      <c r="B755" s="21" t="s">
        <v>20</v>
      </c>
      <c r="C755" s="22">
        <v>1</v>
      </c>
      <c r="D755" s="23">
        <f t="shared" si="35"/>
        <v>1</v>
      </c>
      <c r="E755" s="24">
        <v>44572</v>
      </c>
    </row>
    <row r="756" spans="2:5" ht="14.25" thickBot="1" x14ac:dyDescent="0.2">
      <c r="B756" s="21" t="s">
        <v>20</v>
      </c>
      <c r="C756" s="42">
        <v>1</v>
      </c>
      <c r="D756" s="43">
        <f t="shared" si="35"/>
        <v>1</v>
      </c>
      <c r="E756" s="24">
        <v>44574</v>
      </c>
    </row>
    <row r="757" spans="2:5" x14ac:dyDescent="0.15">
      <c r="B757" s="58" t="s">
        <v>2</v>
      </c>
      <c r="C757" s="37">
        <f>SUM(C732:C756)</f>
        <v>89</v>
      </c>
      <c r="D757" s="38">
        <f t="shared" si="35"/>
        <v>89</v>
      </c>
    </row>
    <row r="758" spans="2:5" ht="14.25" thickBot="1" x14ac:dyDescent="0.2">
      <c r="B758" s="60" t="s">
        <v>3</v>
      </c>
      <c r="C758" s="64">
        <f>+C731-C757</f>
        <v>801</v>
      </c>
      <c r="D758" s="65">
        <f t="shared" si="35"/>
        <v>801</v>
      </c>
    </row>
    <row r="761" spans="2:5" ht="18.75" x14ac:dyDescent="0.2">
      <c r="B761" s="4" t="s">
        <v>53</v>
      </c>
    </row>
    <row r="762" spans="2:5" ht="14.25" thickBot="1" x14ac:dyDescent="0.2"/>
    <row r="763" spans="2:5" ht="14.25" thickBot="1" x14ac:dyDescent="0.2">
      <c r="B763" s="12"/>
      <c r="C763" s="74"/>
      <c r="D763" s="75"/>
    </row>
    <row r="764" spans="2:5" ht="14.25" thickBot="1" x14ac:dyDescent="0.2">
      <c r="B764" s="13"/>
      <c r="C764" s="14"/>
      <c r="D764" s="15" t="s">
        <v>0</v>
      </c>
    </row>
    <row r="765" spans="2:5" x14ac:dyDescent="0.15">
      <c r="B765" s="25" t="s">
        <v>4</v>
      </c>
      <c r="C765" s="26">
        <f>C758</f>
        <v>801</v>
      </c>
      <c r="D765" s="27">
        <f t="shared" ref="D765:D798" si="36">SUM(C765:C765)</f>
        <v>801</v>
      </c>
    </row>
    <row r="766" spans="2:5" x14ac:dyDescent="0.15">
      <c r="B766" s="48" t="s">
        <v>5</v>
      </c>
      <c r="C766" s="22"/>
      <c r="D766" s="23">
        <f t="shared" si="36"/>
        <v>0</v>
      </c>
    </row>
    <row r="767" spans="2:5" x14ac:dyDescent="0.15">
      <c r="B767" s="48" t="s">
        <v>5</v>
      </c>
      <c r="C767" s="22"/>
      <c r="D767" s="23">
        <f t="shared" si="36"/>
        <v>0</v>
      </c>
    </row>
    <row r="768" spans="2:5" x14ac:dyDescent="0.15">
      <c r="B768" s="48" t="s">
        <v>5</v>
      </c>
      <c r="C768" s="22"/>
      <c r="D768" s="23">
        <f t="shared" si="36"/>
        <v>0</v>
      </c>
    </row>
    <row r="769" spans="2:5" x14ac:dyDescent="0.15">
      <c r="B769" s="48" t="s">
        <v>5</v>
      </c>
      <c r="C769" s="22"/>
      <c r="D769" s="23">
        <f t="shared" si="36"/>
        <v>0</v>
      </c>
    </row>
    <row r="770" spans="2:5" ht="14.25" thickBot="1" x14ac:dyDescent="0.2">
      <c r="B770" s="48" t="s">
        <v>5</v>
      </c>
      <c r="C770" s="50"/>
      <c r="D770" s="51">
        <f t="shared" si="36"/>
        <v>0</v>
      </c>
    </row>
    <row r="771" spans="2:5" ht="14.25" thickBot="1" x14ac:dyDescent="0.2">
      <c r="B771" s="13" t="s">
        <v>1</v>
      </c>
      <c r="C771" s="16">
        <f>SUM(C765:C770)</f>
        <v>801</v>
      </c>
      <c r="D771" s="17">
        <f t="shared" si="36"/>
        <v>801</v>
      </c>
    </row>
    <row r="772" spans="2:5" x14ac:dyDescent="0.15">
      <c r="B772" s="21" t="s">
        <v>20</v>
      </c>
      <c r="C772" s="2">
        <v>3</v>
      </c>
      <c r="D772" s="20">
        <f t="shared" si="36"/>
        <v>3</v>
      </c>
      <c r="E772" s="24">
        <v>44576</v>
      </c>
    </row>
    <row r="773" spans="2:5" x14ac:dyDescent="0.15">
      <c r="B773" s="21" t="s">
        <v>20</v>
      </c>
      <c r="C773" s="2">
        <f>4+2+1</f>
        <v>7</v>
      </c>
      <c r="D773" s="5">
        <f t="shared" si="36"/>
        <v>7</v>
      </c>
      <c r="E773" s="24">
        <v>44578</v>
      </c>
    </row>
    <row r="774" spans="2:5" x14ac:dyDescent="0.15">
      <c r="B774" s="21" t="s">
        <v>20</v>
      </c>
      <c r="C774" s="22">
        <v>2</v>
      </c>
      <c r="D774" s="23">
        <f t="shared" si="36"/>
        <v>2</v>
      </c>
      <c r="E774" s="24">
        <v>44582</v>
      </c>
    </row>
    <row r="775" spans="2:5" x14ac:dyDescent="0.15">
      <c r="B775" s="21" t="s">
        <v>20</v>
      </c>
      <c r="C775" s="2">
        <f>2+1</f>
        <v>3</v>
      </c>
      <c r="D775" s="5">
        <f t="shared" si="36"/>
        <v>3</v>
      </c>
      <c r="E775" s="24">
        <v>44586</v>
      </c>
    </row>
    <row r="776" spans="2:5" x14ac:dyDescent="0.15">
      <c r="B776" s="21" t="s">
        <v>20</v>
      </c>
      <c r="C776" s="2">
        <v>2</v>
      </c>
      <c r="D776" s="5">
        <f t="shared" si="36"/>
        <v>2</v>
      </c>
      <c r="E776" s="24">
        <v>44587</v>
      </c>
    </row>
    <row r="777" spans="2:5" x14ac:dyDescent="0.15">
      <c r="B777" s="21" t="s">
        <v>20</v>
      </c>
      <c r="C777" s="22">
        <v>2</v>
      </c>
      <c r="D777" s="23">
        <f t="shared" si="36"/>
        <v>2</v>
      </c>
      <c r="E777" s="24">
        <v>44592</v>
      </c>
    </row>
    <row r="778" spans="2:5" x14ac:dyDescent="0.15">
      <c r="B778" s="21" t="s">
        <v>64</v>
      </c>
      <c r="C778" s="22">
        <v>5</v>
      </c>
      <c r="D778" s="23">
        <f t="shared" si="36"/>
        <v>5</v>
      </c>
      <c r="E778" s="24">
        <v>44594</v>
      </c>
    </row>
    <row r="779" spans="2:5" x14ac:dyDescent="0.15">
      <c r="B779" s="21" t="s">
        <v>20</v>
      </c>
      <c r="C779" s="2">
        <v>2</v>
      </c>
      <c r="D779" s="5">
        <f t="shared" si="36"/>
        <v>2</v>
      </c>
      <c r="E779" s="24">
        <v>44593</v>
      </c>
    </row>
    <row r="780" spans="2:5" x14ac:dyDescent="0.15">
      <c r="B780" s="21" t="s">
        <v>20</v>
      </c>
      <c r="C780" s="2">
        <v>1</v>
      </c>
      <c r="D780" s="5">
        <f t="shared" si="36"/>
        <v>1</v>
      </c>
      <c r="E780" s="24">
        <v>44597</v>
      </c>
    </row>
    <row r="781" spans="2:5" x14ac:dyDescent="0.15">
      <c r="B781" s="21" t="s">
        <v>20</v>
      </c>
      <c r="C781" s="2">
        <v>1</v>
      </c>
      <c r="D781" s="5">
        <f t="shared" si="36"/>
        <v>1</v>
      </c>
      <c r="E781" s="24">
        <v>44599</v>
      </c>
    </row>
    <row r="782" spans="2:5" x14ac:dyDescent="0.15">
      <c r="B782" s="21" t="s">
        <v>66</v>
      </c>
      <c r="C782" s="22">
        <v>5</v>
      </c>
      <c r="D782" s="23">
        <f t="shared" si="36"/>
        <v>5</v>
      </c>
      <c r="E782" s="24">
        <v>44600</v>
      </c>
    </row>
    <row r="783" spans="2:5" x14ac:dyDescent="0.15">
      <c r="B783" s="21" t="s">
        <v>20</v>
      </c>
      <c r="C783" s="2">
        <v>1</v>
      </c>
      <c r="D783" s="5">
        <f t="shared" si="36"/>
        <v>1</v>
      </c>
      <c r="E783" s="24">
        <v>44622</v>
      </c>
    </row>
    <row r="784" spans="2:5" x14ac:dyDescent="0.15">
      <c r="B784" s="21" t="s">
        <v>20</v>
      </c>
      <c r="C784" s="2">
        <v>3</v>
      </c>
      <c r="D784" s="5">
        <f t="shared" si="36"/>
        <v>3</v>
      </c>
      <c r="E784" s="24">
        <v>44625</v>
      </c>
    </row>
    <row r="785" spans="2:5" x14ac:dyDescent="0.15">
      <c r="B785" s="21" t="s">
        <v>20</v>
      </c>
      <c r="C785" s="2">
        <f>1+5</f>
        <v>6</v>
      </c>
      <c r="D785" s="5">
        <f t="shared" si="36"/>
        <v>6</v>
      </c>
      <c r="E785" s="24">
        <v>44627</v>
      </c>
    </row>
    <row r="786" spans="2:5" x14ac:dyDescent="0.15">
      <c r="B786" s="21" t="s">
        <v>20</v>
      </c>
      <c r="C786" s="2">
        <v>1</v>
      </c>
      <c r="D786" s="5">
        <f t="shared" si="36"/>
        <v>1</v>
      </c>
      <c r="E786" s="24">
        <v>44628</v>
      </c>
    </row>
    <row r="787" spans="2:5" x14ac:dyDescent="0.15">
      <c r="B787" s="21" t="s">
        <v>20</v>
      </c>
      <c r="C787" s="22">
        <v>1</v>
      </c>
      <c r="D787" s="23">
        <f t="shared" si="36"/>
        <v>1</v>
      </c>
      <c r="E787" s="24">
        <v>44630</v>
      </c>
    </row>
    <row r="788" spans="2:5" x14ac:dyDescent="0.15">
      <c r="B788" s="21" t="s">
        <v>20</v>
      </c>
      <c r="C788" s="2">
        <v>1</v>
      </c>
      <c r="D788" s="5">
        <f t="shared" si="36"/>
        <v>1</v>
      </c>
      <c r="E788" s="24">
        <v>44636</v>
      </c>
    </row>
    <row r="789" spans="2:5" x14ac:dyDescent="0.15">
      <c r="B789" s="21" t="s">
        <v>20</v>
      </c>
      <c r="C789" s="2">
        <v>1</v>
      </c>
      <c r="D789" s="5">
        <f t="shared" si="36"/>
        <v>1</v>
      </c>
      <c r="E789" s="24">
        <v>44638</v>
      </c>
    </row>
    <row r="790" spans="2:5" x14ac:dyDescent="0.15">
      <c r="B790" s="21" t="s">
        <v>20</v>
      </c>
      <c r="C790" s="22">
        <v>1</v>
      </c>
      <c r="D790" s="23">
        <f t="shared" si="36"/>
        <v>1</v>
      </c>
      <c r="E790" s="24">
        <v>44648</v>
      </c>
    </row>
    <row r="791" spans="2:5" x14ac:dyDescent="0.15">
      <c r="B791" s="21" t="s">
        <v>20</v>
      </c>
      <c r="C791" s="2">
        <v>1</v>
      </c>
      <c r="D791" s="5">
        <f t="shared" si="36"/>
        <v>1</v>
      </c>
      <c r="E791" s="24">
        <v>44649</v>
      </c>
    </row>
    <row r="792" spans="2:5" x14ac:dyDescent="0.15">
      <c r="B792" s="21" t="s">
        <v>20</v>
      </c>
      <c r="C792" s="2">
        <v>1</v>
      </c>
      <c r="D792" s="5">
        <f t="shared" si="36"/>
        <v>1</v>
      </c>
      <c r="E792" s="24">
        <v>44655</v>
      </c>
    </row>
    <row r="793" spans="2:5" x14ac:dyDescent="0.15">
      <c r="B793" s="21" t="s">
        <v>20</v>
      </c>
      <c r="C793" s="3">
        <f>4+1</f>
        <v>5</v>
      </c>
      <c r="D793" s="8">
        <f t="shared" si="36"/>
        <v>5</v>
      </c>
      <c r="E793" s="24">
        <v>44656</v>
      </c>
    </row>
    <row r="794" spans="2:5" x14ac:dyDescent="0.15">
      <c r="B794" s="21" t="s">
        <v>20</v>
      </c>
      <c r="C794" s="22">
        <v>1</v>
      </c>
      <c r="D794" s="23">
        <f t="shared" si="36"/>
        <v>1</v>
      </c>
      <c r="E794" s="24">
        <v>44659</v>
      </c>
    </row>
    <row r="795" spans="2:5" x14ac:dyDescent="0.15">
      <c r="B795" s="21" t="s">
        <v>20</v>
      </c>
      <c r="C795" s="22">
        <v>1</v>
      </c>
      <c r="D795" s="23">
        <f t="shared" si="36"/>
        <v>1</v>
      </c>
      <c r="E795" s="24">
        <v>44662</v>
      </c>
    </row>
    <row r="796" spans="2:5" ht="14.25" thickBot="1" x14ac:dyDescent="0.2">
      <c r="B796" s="21" t="s">
        <v>20</v>
      </c>
      <c r="C796" s="42">
        <v>1</v>
      </c>
      <c r="D796" s="43">
        <f t="shared" si="36"/>
        <v>1</v>
      </c>
      <c r="E796" s="24">
        <v>44664</v>
      </c>
    </row>
    <row r="797" spans="2:5" x14ac:dyDescent="0.15">
      <c r="B797" s="58" t="s">
        <v>2</v>
      </c>
      <c r="C797" s="37">
        <f>SUM(C772:C796)</f>
        <v>58</v>
      </c>
      <c r="D797" s="38">
        <f t="shared" si="36"/>
        <v>58</v>
      </c>
    </row>
    <row r="798" spans="2:5" ht="14.25" thickBot="1" x14ac:dyDescent="0.2">
      <c r="B798" s="60" t="s">
        <v>3</v>
      </c>
      <c r="C798" s="64">
        <f>+C771-C797</f>
        <v>743</v>
      </c>
      <c r="D798" s="65">
        <f t="shared" si="36"/>
        <v>743</v>
      </c>
    </row>
    <row r="801" spans="2:5" ht="18.75" x14ac:dyDescent="0.2">
      <c r="B801" s="4" t="s">
        <v>53</v>
      </c>
    </row>
    <row r="802" spans="2:5" ht="14.25" thickBot="1" x14ac:dyDescent="0.2"/>
    <row r="803" spans="2:5" ht="14.25" thickBot="1" x14ac:dyDescent="0.2">
      <c r="B803" s="12"/>
      <c r="C803" s="74"/>
      <c r="D803" s="75"/>
    </row>
    <row r="804" spans="2:5" ht="14.25" thickBot="1" x14ac:dyDescent="0.2">
      <c r="B804" s="13"/>
      <c r="C804" s="14"/>
      <c r="D804" s="15" t="s">
        <v>0</v>
      </c>
    </row>
    <row r="805" spans="2:5" x14ac:dyDescent="0.15">
      <c r="B805" s="25" t="s">
        <v>4</v>
      </c>
      <c r="C805" s="26">
        <f>C798</f>
        <v>743</v>
      </c>
      <c r="D805" s="27">
        <f t="shared" ref="D805:D838" si="37">SUM(C805:C805)</f>
        <v>743</v>
      </c>
    </row>
    <row r="806" spans="2:5" x14ac:dyDescent="0.15">
      <c r="B806" s="48" t="s">
        <v>5</v>
      </c>
      <c r="C806" s="22"/>
      <c r="D806" s="23">
        <f t="shared" si="37"/>
        <v>0</v>
      </c>
    </row>
    <row r="807" spans="2:5" x14ac:dyDescent="0.15">
      <c r="B807" s="48" t="s">
        <v>5</v>
      </c>
      <c r="C807" s="22"/>
      <c r="D807" s="23">
        <f t="shared" si="37"/>
        <v>0</v>
      </c>
    </row>
    <row r="808" spans="2:5" x14ac:dyDescent="0.15">
      <c r="B808" s="48" t="s">
        <v>5</v>
      </c>
      <c r="C808" s="22"/>
      <c r="D808" s="23">
        <f t="shared" si="37"/>
        <v>0</v>
      </c>
    </row>
    <row r="809" spans="2:5" x14ac:dyDescent="0.15">
      <c r="B809" s="48" t="s">
        <v>5</v>
      </c>
      <c r="C809" s="22"/>
      <c r="D809" s="23">
        <f t="shared" si="37"/>
        <v>0</v>
      </c>
    </row>
    <row r="810" spans="2:5" ht="14.25" thickBot="1" x14ac:dyDescent="0.2">
      <c r="B810" s="48" t="s">
        <v>5</v>
      </c>
      <c r="C810" s="50"/>
      <c r="D810" s="51">
        <f t="shared" si="37"/>
        <v>0</v>
      </c>
    </row>
    <row r="811" spans="2:5" ht="14.25" thickBot="1" x14ac:dyDescent="0.2">
      <c r="B811" s="13" t="s">
        <v>1</v>
      </c>
      <c r="C811" s="16">
        <f>SUM(C805:C810)</f>
        <v>743</v>
      </c>
      <c r="D811" s="17">
        <f t="shared" si="37"/>
        <v>743</v>
      </c>
    </row>
    <row r="812" spans="2:5" x14ac:dyDescent="0.15">
      <c r="B812" s="21" t="s">
        <v>20</v>
      </c>
      <c r="C812" s="2">
        <v>1</v>
      </c>
      <c r="D812" s="20">
        <f t="shared" si="37"/>
        <v>1</v>
      </c>
      <c r="E812" s="24">
        <v>44666</v>
      </c>
    </row>
    <row r="813" spans="2:5" x14ac:dyDescent="0.15">
      <c r="B813" s="21" t="s">
        <v>67</v>
      </c>
      <c r="C813" s="22">
        <v>4</v>
      </c>
      <c r="D813" s="23">
        <f t="shared" si="37"/>
        <v>4</v>
      </c>
      <c r="E813" s="24">
        <v>44667</v>
      </c>
    </row>
    <row r="814" spans="2:5" x14ac:dyDescent="0.15">
      <c r="B814" s="21" t="s">
        <v>20</v>
      </c>
      <c r="C814" s="22">
        <v>2</v>
      </c>
      <c r="D814" s="23">
        <f t="shared" si="37"/>
        <v>2</v>
      </c>
      <c r="E814" s="24">
        <v>44667</v>
      </c>
    </row>
    <row r="815" spans="2:5" x14ac:dyDescent="0.15">
      <c r="B815" s="21" t="s">
        <v>20</v>
      </c>
      <c r="C815" s="2">
        <v>1</v>
      </c>
      <c r="D815" s="5">
        <f t="shared" si="37"/>
        <v>1</v>
      </c>
      <c r="E815" s="24">
        <v>44670</v>
      </c>
    </row>
    <row r="816" spans="2:5" x14ac:dyDescent="0.15">
      <c r="B816" s="21" t="s">
        <v>20</v>
      </c>
      <c r="C816" s="2">
        <v>6</v>
      </c>
      <c r="D816" s="5">
        <f t="shared" si="37"/>
        <v>6</v>
      </c>
      <c r="E816" s="24">
        <v>44679</v>
      </c>
    </row>
    <row r="817" spans="2:5" x14ac:dyDescent="0.15">
      <c r="B817" s="21" t="s">
        <v>20</v>
      </c>
      <c r="C817" s="22">
        <v>4</v>
      </c>
      <c r="D817" s="23">
        <f t="shared" si="37"/>
        <v>4</v>
      </c>
      <c r="E817" s="24">
        <v>44683</v>
      </c>
    </row>
    <row r="818" spans="2:5" x14ac:dyDescent="0.15">
      <c r="B818" s="21" t="s">
        <v>20</v>
      </c>
      <c r="C818" s="22">
        <v>2</v>
      </c>
      <c r="D818" s="23">
        <f t="shared" si="37"/>
        <v>2</v>
      </c>
      <c r="E818" s="24">
        <v>44687</v>
      </c>
    </row>
    <row r="819" spans="2:5" x14ac:dyDescent="0.15">
      <c r="B819" s="21" t="s">
        <v>20</v>
      </c>
      <c r="C819" s="2">
        <v>1</v>
      </c>
      <c r="D819" s="5">
        <f t="shared" si="37"/>
        <v>1</v>
      </c>
      <c r="E819" s="24">
        <v>44690</v>
      </c>
    </row>
    <row r="820" spans="2:5" x14ac:dyDescent="0.15">
      <c r="B820" s="21" t="s">
        <v>20</v>
      </c>
      <c r="C820" s="2">
        <v>1</v>
      </c>
      <c r="D820" s="5">
        <f t="shared" si="37"/>
        <v>1</v>
      </c>
      <c r="E820" s="24">
        <v>44698</v>
      </c>
    </row>
    <row r="821" spans="2:5" x14ac:dyDescent="0.15">
      <c r="B821" s="21" t="s">
        <v>64</v>
      </c>
      <c r="C821" s="22">
        <v>5</v>
      </c>
      <c r="D821" s="23">
        <f t="shared" si="37"/>
        <v>5</v>
      </c>
      <c r="E821" s="24">
        <v>44702</v>
      </c>
    </row>
    <row r="822" spans="2:5" x14ac:dyDescent="0.15">
      <c r="B822" s="21" t="s">
        <v>20</v>
      </c>
      <c r="C822" s="22">
        <v>1</v>
      </c>
      <c r="D822" s="23">
        <f t="shared" si="37"/>
        <v>1</v>
      </c>
      <c r="E822" s="24">
        <v>44702</v>
      </c>
    </row>
    <row r="823" spans="2:5" x14ac:dyDescent="0.15">
      <c r="B823" s="21" t="s">
        <v>20</v>
      </c>
      <c r="C823" s="2">
        <v>2</v>
      </c>
      <c r="D823" s="5">
        <f t="shared" si="37"/>
        <v>2</v>
      </c>
      <c r="E823" s="24">
        <v>44707</v>
      </c>
    </row>
    <row r="824" spans="2:5" x14ac:dyDescent="0.15">
      <c r="B824" s="21" t="s">
        <v>20</v>
      </c>
      <c r="C824" s="2">
        <f>1+2</f>
        <v>3</v>
      </c>
      <c r="D824" s="5">
        <f t="shared" si="37"/>
        <v>3</v>
      </c>
      <c r="E824" s="24">
        <v>44711</v>
      </c>
    </row>
    <row r="825" spans="2:5" x14ac:dyDescent="0.15">
      <c r="B825" s="21" t="s">
        <v>68</v>
      </c>
      <c r="C825" s="22">
        <v>5</v>
      </c>
      <c r="D825" s="23">
        <f t="shared" si="37"/>
        <v>5</v>
      </c>
      <c r="E825" s="24">
        <v>44713</v>
      </c>
    </row>
    <row r="826" spans="2:5" x14ac:dyDescent="0.15">
      <c r="B826" s="21" t="s">
        <v>20</v>
      </c>
      <c r="C826" s="2">
        <v>2</v>
      </c>
      <c r="D826" s="5">
        <f t="shared" si="37"/>
        <v>2</v>
      </c>
      <c r="E826" s="24">
        <v>44714</v>
      </c>
    </row>
    <row r="827" spans="2:5" x14ac:dyDescent="0.15">
      <c r="B827" s="21" t="s">
        <v>20</v>
      </c>
      <c r="C827" s="22">
        <v>1</v>
      </c>
      <c r="D827" s="23">
        <f t="shared" si="37"/>
        <v>1</v>
      </c>
      <c r="E827" s="24">
        <v>44715</v>
      </c>
    </row>
    <row r="828" spans="2:5" x14ac:dyDescent="0.15">
      <c r="B828" s="21" t="s">
        <v>20</v>
      </c>
      <c r="C828" s="2">
        <f>1+1+3</f>
        <v>5</v>
      </c>
      <c r="D828" s="5">
        <f t="shared" si="37"/>
        <v>5</v>
      </c>
      <c r="E828" s="24">
        <v>44718</v>
      </c>
    </row>
    <row r="829" spans="2:5" x14ac:dyDescent="0.15">
      <c r="B829" s="21" t="s">
        <v>20</v>
      </c>
      <c r="C829" s="2">
        <v>1</v>
      </c>
      <c r="D829" s="5">
        <f t="shared" si="37"/>
        <v>1</v>
      </c>
      <c r="E829" s="24">
        <v>44719</v>
      </c>
    </row>
    <row r="830" spans="2:5" x14ac:dyDescent="0.15">
      <c r="B830" s="21" t="s">
        <v>20</v>
      </c>
      <c r="C830" s="22">
        <f>1+1+1</f>
        <v>3</v>
      </c>
      <c r="D830" s="23">
        <f t="shared" si="37"/>
        <v>3</v>
      </c>
      <c r="E830" s="24">
        <v>44725</v>
      </c>
    </row>
    <row r="831" spans="2:5" x14ac:dyDescent="0.15">
      <c r="B831" s="21" t="s">
        <v>20</v>
      </c>
      <c r="C831" s="2">
        <v>2</v>
      </c>
      <c r="D831" s="5">
        <f t="shared" si="37"/>
        <v>2</v>
      </c>
      <c r="E831" s="24">
        <v>44728</v>
      </c>
    </row>
    <row r="832" spans="2:5" x14ac:dyDescent="0.15">
      <c r="B832" s="21" t="s">
        <v>64</v>
      </c>
      <c r="C832" s="22">
        <v>5</v>
      </c>
      <c r="D832" s="23">
        <f t="shared" si="37"/>
        <v>5</v>
      </c>
      <c r="E832" s="24">
        <v>44733</v>
      </c>
    </row>
    <row r="833" spans="2:5" x14ac:dyDescent="0.15">
      <c r="B833" s="21" t="s">
        <v>20</v>
      </c>
      <c r="C833" s="3">
        <v>2</v>
      </c>
      <c r="D833" s="8">
        <f t="shared" si="37"/>
        <v>2</v>
      </c>
      <c r="E833" s="24">
        <v>44732</v>
      </c>
    </row>
    <row r="834" spans="2:5" x14ac:dyDescent="0.15">
      <c r="B834" s="21" t="s">
        <v>20</v>
      </c>
      <c r="C834" s="22">
        <v>2</v>
      </c>
      <c r="D834" s="23">
        <f t="shared" si="37"/>
        <v>2</v>
      </c>
      <c r="E834" s="24">
        <v>44739</v>
      </c>
    </row>
    <row r="835" spans="2:5" x14ac:dyDescent="0.15">
      <c r="B835" s="21" t="s">
        <v>20</v>
      </c>
      <c r="C835" s="22">
        <f>6+1</f>
        <v>7</v>
      </c>
      <c r="D835" s="23">
        <f t="shared" si="37"/>
        <v>7</v>
      </c>
      <c r="E835" s="24">
        <v>44742</v>
      </c>
    </row>
    <row r="836" spans="2:5" ht="14.25" thickBot="1" x14ac:dyDescent="0.2">
      <c r="B836" s="21" t="s">
        <v>20</v>
      </c>
      <c r="C836" s="42">
        <v>1</v>
      </c>
      <c r="D836" s="43">
        <f t="shared" si="37"/>
        <v>1</v>
      </c>
      <c r="E836" s="24">
        <v>44748</v>
      </c>
    </row>
    <row r="837" spans="2:5" x14ac:dyDescent="0.15">
      <c r="B837" s="58" t="s">
        <v>2</v>
      </c>
      <c r="C837" s="37">
        <f>SUM(C812:C836)</f>
        <v>69</v>
      </c>
      <c r="D837" s="38">
        <f t="shared" si="37"/>
        <v>69</v>
      </c>
    </row>
    <row r="838" spans="2:5" ht="14.25" thickBot="1" x14ac:dyDescent="0.2">
      <c r="B838" s="60" t="s">
        <v>3</v>
      </c>
      <c r="C838" s="64">
        <f>+C811-C837</f>
        <v>674</v>
      </c>
      <c r="D838" s="65">
        <f t="shared" si="37"/>
        <v>674</v>
      </c>
    </row>
    <row r="841" spans="2:5" ht="18.75" x14ac:dyDescent="0.2">
      <c r="B841" s="4" t="s">
        <v>53</v>
      </c>
    </row>
    <row r="842" spans="2:5" ht="14.25" thickBot="1" x14ac:dyDescent="0.2"/>
    <row r="843" spans="2:5" ht="14.25" thickBot="1" x14ac:dyDescent="0.2">
      <c r="B843" s="12"/>
      <c r="C843" s="74"/>
      <c r="D843" s="75"/>
    </row>
    <row r="844" spans="2:5" ht="14.25" thickBot="1" x14ac:dyDescent="0.2">
      <c r="B844" s="13"/>
      <c r="C844" s="14"/>
      <c r="D844" s="15" t="s">
        <v>0</v>
      </c>
    </row>
    <row r="845" spans="2:5" x14ac:dyDescent="0.15">
      <c r="B845" s="25" t="s">
        <v>4</v>
      </c>
      <c r="C845" s="26">
        <f>C838</f>
        <v>674</v>
      </c>
      <c r="D845" s="27">
        <f t="shared" ref="D845:D878" si="38">SUM(C845:C845)</f>
        <v>674</v>
      </c>
    </row>
    <row r="846" spans="2:5" x14ac:dyDescent="0.15">
      <c r="B846" s="70" t="s">
        <v>70</v>
      </c>
      <c r="C846" s="71">
        <v>-1</v>
      </c>
      <c r="D846" s="72">
        <f t="shared" si="38"/>
        <v>-1</v>
      </c>
      <c r="E846" s="73">
        <v>44798</v>
      </c>
    </row>
    <row r="847" spans="2:5" x14ac:dyDescent="0.15">
      <c r="B847" s="48" t="s">
        <v>5</v>
      </c>
      <c r="C847" s="22"/>
      <c r="D847" s="23">
        <f t="shared" si="38"/>
        <v>0</v>
      </c>
    </row>
    <row r="848" spans="2:5" x14ac:dyDescent="0.15">
      <c r="B848" s="48" t="s">
        <v>5</v>
      </c>
      <c r="C848" s="22"/>
      <c r="D848" s="23">
        <f t="shared" si="38"/>
        <v>0</v>
      </c>
    </row>
    <row r="849" spans="2:5" x14ac:dyDescent="0.15">
      <c r="B849" s="48" t="s">
        <v>5</v>
      </c>
      <c r="C849" s="22"/>
      <c r="D849" s="23">
        <f t="shared" si="38"/>
        <v>0</v>
      </c>
    </row>
    <row r="850" spans="2:5" ht="14.25" thickBot="1" x14ac:dyDescent="0.2">
      <c r="B850" s="48" t="s">
        <v>5</v>
      </c>
      <c r="C850" s="50"/>
      <c r="D850" s="51">
        <f t="shared" si="38"/>
        <v>0</v>
      </c>
    </row>
    <row r="851" spans="2:5" ht="14.25" thickBot="1" x14ac:dyDescent="0.2">
      <c r="B851" s="13" t="s">
        <v>1</v>
      </c>
      <c r="C851" s="16">
        <f>SUM(C845:C850)</f>
        <v>673</v>
      </c>
      <c r="D851" s="17">
        <f t="shared" si="38"/>
        <v>673</v>
      </c>
    </row>
    <row r="852" spans="2:5" x14ac:dyDescent="0.15">
      <c r="B852" s="21" t="s">
        <v>20</v>
      </c>
      <c r="C852" s="2">
        <f>1+1</f>
        <v>2</v>
      </c>
      <c r="D852" s="20">
        <f t="shared" si="38"/>
        <v>2</v>
      </c>
      <c r="E852" s="24">
        <v>44749</v>
      </c>
    </row>
    <row r="853" spans="2:5" x14ac:dyDescent="0.15">
      <c r="B853" s="21" t="s">
        <v>20</v>
      </c>
      <c r="C853" s="22">
        <f>3+1</f>
        <v>4</v>
      </c>
      <c r="D853" s="23">
        <f t="shared" si="38"/>
        <v>4</v>
      </c>
      <c r="E853" s="24">
        <v>44753</v>
      </c>
    </row>
    <row r="854" spans="2:5" x14ac:dyDescent="0.15">
      <c r="B854" s="21" t="s">
        <v>20</v>
      </c>
      <c r="C854" s="22">
        <f>2+2</f>
        <v>4</v>
      </c>
      <c r="D854" s="23">
        <f t="shared" si="38"/>
        <v>4</v>
      </c>
      <c r="E854" s="24">
        <v>44762</v>
      </c>
    </row>
    <row r="855" spans="2:5" x14ac:dyDescent="0.15">
      <c r="B855" s="21" t="s">
        <v>69</v>
      </c>
      <c r="C855" s="22">
        <v>10</v>
      </c>
      <c r="D855" s="23">
        <f t="shared" si="38"/>
        <v>10</v>
      </c>
      <c r="E855" s="24">
        <v>44764</v>
      </c>
    </row>
    <row r="856" spans="2:5" x14ac:dyDescent="0.15">
      <c r="B856" s="21" t="s">
        <v>20</v>
      </c>
      <c r="C856" s="2">
        <v>4</v>
      </c>
      <c r="D856" s="5">
        <f t="shared" si="38"/>
        <v>4</v>
      </c>
      <c r="E856" s="24">
        <v>44764</v>
      </c>
    </row>
    <row r="857" spans="2:5" x14ac:dyDescent="0.15">
      <c r="B857" s="21" t="s">
        <v>20</v>
      </c>
      <c r="C857" s="22">
        <v>2</v>
      </c>
      <c r="D857" s="23">
        <f t="shared" si="38"/>
        <v>2</v>
      </c>
      <c r="E857" s="24">
        <v>44774</v>
      </c>
    </row>
    <row r="858" spans="2:5" x14ac:dyDescent="0.15">
      <c r="B858" s="21" t="s">
        <v>20</v>
      </c>
      <c r="C858" s="22">
        <v>1</v>
      </c>
      <c r="D858" s="23">
        <f t="shared" si="38"/>
        <v>1</v>
      </c>
      <c r="E858" s="24">
        <v>44778</v>
      </c>
    </row>
    <row r="859" spans="2:5" x14ac:dyDescent="0.15">
      <c r="B859" s="21" t="s">
        <v>20</v>
      </c>
      <c r="C859" s="2">
        <v>1</v>
      </c>
      <c r="D859" s="5">
        <f t="shared" si="38"/>
        <v>1</v>
      </c>
      <c r="E859" s="24">
        <v>44790</v>
      </c>
    </row>
    <row r="860" spans="2:5" x14ac:dyDescent="0.15">
      <c r="B860" s="21" t="s">
        <v>20</v>
      </c>
      <c r="C860" s="2">
        <v>2</v>
      </c>
      <c r="D860" s="5">
        <f t="shared" si="38"/>
        <v>2</v>
      </c>
      <c r="E860" s="24">
        <v>44795</v>
      </c>
    </row>
    <row r="861" spans="2:5" x14ac:dyDescent="0.15">
      <c r="B861" s="21" t="s">
        <v>20</v>
      </c>
      <c r="C861" s="22">
        <f>1+4</f>
        <v>5</v>
      </c>
      <c r="D861" s="23">
        <f t="shared" si="38"/>
        <v>5</v>
      </c>
      <c r="E861" s="24">
        <v>44804</v>
      </c>
    </row>
    <row r="862" spans="2:5" x14ac:dyDescent="0.15">
      <c r="B862" s="21"/>
      <c r="C862" s="22"/>
      <c r="D862" s="23">
        <f t="shared" si="38"/>
        <v>0</v>
      </c>
      <c r="E862" s="24"/>
    </row>
    <row r="863" spans="2:5" x14ac:dyDescent="0.15">
      <c r="B863" s="21"/>
      <c r="C863" s="2"/>
      <c r="D863" s="5">
        <f t="shared" si="38"/>
        <v>0</v>
      </c>
    </row>
    <row r="864" spans="2:5" x14ac:dyDescent="0.15">
      <c r="B864" s="21"/>
      <c r="C864" s="2"/>
      <c r="D864" s="5">
        <f t="shared" si="38"/>
        <v>0</v>
      </c>
    </row>
    <row r="865" spans="2:4" x14ac:dyDescent="0.15">
      <c r="B865" s="21"/>
      <c r="C865" s="22"/>
      <c r="D865" s="23">
        <f t="shared" si="38"/>
        <v>0</v>
      </c>
    </row>
    <row r="866" spans="2:4" x14ac:dyDescent="0.15">
      <c r="B866" s="21"/>
      <c r="C866" s="2"/>
      <c r="D866" s="5">
        <f t="shared" si="38"/>
        <v>0</v>
      </c>
    </row>
    <row r="867" spans="2:4" x14ac:dyDescent="0.15">
      <c r="B867" s="21"/>
      <c r="C867" s="22"/>
      <c r="D867" s="23">
        <f t="shared" si="38"/>
        <v>0</v>
      </c>
    </row>
    <row r="868" spans="2:4" x14ac:dyDescent="0.15">
      <c r="B868" s="21"/>
      <c r="C868" s="2"/>
      <c r="D868" s="5">
        <f t="shared" si="38"/>
        <v>0</v>
      </c>
    </row>
    <row r="869" spans="2:4" x14ac:dyDescent="0.15">
      <c r="B869" s="21"/>
      <c r="C869" s="2"/>
      <c r="D869" s="5">
        <f t="shared" si="38"/>
        <v>0</v>
      </c>
    </row>
    <row r="870" spans="2:4" x14ac:dyDescent="0.15">
      <c r="B870" s="21"/>
      <c r="C870" s="22"/>
      <c r="D870" s="23">
        <f t="shared" si="38"/>
        <v>0</v>
      </c>
    </row>
    <row r="871" spans="2:4" x14ac:dyDescent="0.15">
      <c r="B871" s="21"/>
      <c r="C871" s="2"/>
      <c r="D871" s="5">
        <f t="shared" si="38"/>
        <v>0</v>
      </c>
    </row>
    <row r="872" spans="2:4" x14ac:dyDescent="0.15">
      <c r="B872" s="21"/>
      <c r="C872" s="22"/>
      <c r="D872" s="23">
        <f t="shared" si="38"/>
        <v>0</v>
      </c>
    </row>
    <row r="873" spans="2:4" x14ac:dyDescent="0.15">
      <c r="B873" s="21"/>
      <c r="C873" s="3"/>
      <c r="D873" s="8">
        <f t="shared" si="38"/>
        <v>0</v>
      </c>
    </row>
    <row r="874" spans="2:4" x14ac:dyDescent="0.15">
      <c r="B874" s="21"/>
      <c r="C874" s="22"/>
      <c r="D874" s="23">
        <f t="shared" si="38"/>
        <v>0</v>
      </c>
    </row>
    <row r="875" spans="2:4" x14ac:dyDescent="0.15">
      <c r="B875" s="21"/>
      <c r="C875" s="22"/>
      <c r="D875" s="23">
        <f t="shared" si="38"/>
        <v>0</v>
      </c>
    </row>
    <row r="876" spans="2:4" ht="14.25" thickBot="1" x14ac:dyDescent="0.2">
      <c r="B876" s="48"/>
      <c r="C876" s="42"/>
      <c r="D876" s="43">
        <f t="shared" si="38"/>
        <v>0</v>
      </c>
    </row>
    <row r="877" spans="2:4" x14ac:dyDescent="0.15">
      <c r="B877" s="58" t="s">
        <v>2</v>
      </c>
      <c r="C877" s="37">
        <f>SUM(C852:C876)</f>
        <v>35</v>
      </c>
      <c r="D877" s="38">
        <f t="shared" si="38"/>
        <v>35</v>
      </c>
    </row>
    <row r="878" spans="2:4" ht="14.25" thickBot="1" x14ac:dyDescent="0.2">
      <c r="B878" s="60" t="s">
        <v>3</v>
      </c>
      <c r="C878" s="64">
        <f>+C851-C877</f>
        <v>638</v>
      </c>
      <c r="D878" s="65">
        <f t="shared" si="38"/>
        <v>638</v>
      </c>
    </row>
    <row r="881" spans="2:5" ht="18.75" x14ac:dyDescent="0.2">
      <c r="B881" s="4" t="s">
        <v>53</v>
      </c>
    </row>
    <row r="882" spans="2:5" ht="14.25" thickBot="1" x14ac:dyDescent="0.2"/>
    <row r="883" spans="2:5" ht="14.25" thickBot="1" x14ac:dyDescent="0.2">
      <c r="B883" s="12"/>
      <c r="C883" s="74"/>
      <c r="D883" s="75"/>
    </row>
    <row r="884" spans="2:5" ht="14.25" thickBot="1" x14ac:dyDescent="0.2">
      <c r="B884" s="13"/>
      <c r="C884" s="14"/>
      <c r="D884" s="15" t="s">
        <v>0</v>
      </c>
    </row>
    <row r="885" spans="2:5" x14ac:dyDescent="0.15">
      <c r="B885" s="25" t="s">
        <v>4</v>
      </c>
      <c r="C885" s="26">
        <f>C878</f>
        <v>638</v>
      </c>
      <c r="D885" s="27">
        <f t="shared" ref="D885:D918" si="39">SUM(C885:C885)</f>
        <v>638</v>
      </c>
    </row>
    <row r="886" spans="2:5" x14ac:dyDescent="0.15">
      <c r="B886" s="48" t="s">
        <v>5</v>
      </c>
      <c r="C886" s="22"/>
      <c r="D886" s="23">
        <f t="shared" ref="D886:D887" si="40">SUM(C886:C886)</f>
        <v>0</v>
      </c>
    </row>
    <row r="887" spans="2:5" x14ac:dyDescent="0.15">
      <c r="B887" s="48" t="s">
        <v>5</v>
      </c>
      <c r="C887" s="22"/>
      <c r="D887" s="23">
        <f t="shared" si="40"/>
        <v>0</v>
      </c>
    </row>
    <row r="888" spans="2:5" x14ac:dyDescent="0.15">
      <c r="B888" s="48" t="s">
        <v>5</v>
      </c>
      <c r="C888" s="22"/>
      <c r="D888" s="23">
        <f t="shared" si="39"/>
        <v>0</v>
      </c>
    </row>
    <row r="889" spans="2:5" x14ac:dyDescent="0.15">
      <c r="B889" s="48" t="s">
        <v>5</v>
      </c>
      <c r="C889" s="22"/>
      <c r="D889" s="23">
        <f t="shared" si="39"/>
        <v>0</v>
      </c>
    </row>
    <row r="890" spans="2:5" ht="14.25" thickBot="1" x14ac:dyDescent="0.2">
      <c r="B890" s="48" t="s">
        <v>5</v>
      </c>
      <c r="C890" s="50"/>
      <c r="D890" s="51">
        <f t="shared" si="39"/>
        <v>0</v>
      </c>
    </row>
    <row r="891" spans="2:5" ht="14.25" thickBot="1" x14ac:dyDescent="0.2">
      <c r="B891" s="13" t="s">
        <v>1</v>
      </c>
      <c r="C891" s="16">
        <f>SUM(C885:C890)</f>
        <v>638</v>
      </c>
      <c r="D891" s="17">
        <f t="shared" si="39"/>
        <v>638</v>
      </c>
    </row>
    <row r="892" spans="2:5" x14ac:dyDescent="0.15">
      <c r="B892" s="21" t="s">
        <v>20</v>
      </c>
      <c r="C892" s="22">
        <v>1</v>
      </c>
      <c r="D892" s="23">
        <f t="shared" si="39"/>
        <v>1</v>
      </c>
      <c r="E892" s="24">
        <v>44806</v>
      </c>
    </row>
    <row r="893" spans="2:5" x14ac:dyDescent="0.15">
      <c r="B893" s="21" t="s">
        <v>20</v>
      </c>
      <c r="C893" s="2">
        <v>2</v>
      </c>
      <c r="D893" s="5">
        <f t="shared" si="39"/>
        <v>2</v>
      </c>
      <c r="E893" s="24">
        <v>44809</v>
      </c>
    </row>
    <row r="894" spans="2:5" x14ac:dyDescent="0.15">
      <c r="B894" s="21" t="s">
        <v>20</v>
      </c>
      <c r="C894" s="22">
        <v>2</v>
      </c>
      <c r="D894" s="23">
        <f t="shared" si="39"/>
        <v>2</v>
      </c>
      <c r="E894" s="24">
        <v>44816</v>
      </c>
    </row>
    <row r="895" spans="2:5" x14ac:dyDescent="0.15">
      <c r="B895" s="21" t="s">
        <v>20</v>
      </c>
      <c r="C895" s="22">
        <v>2</v>
      </c>
      <c r="D895" s="23">
        <f t="shared" si="39"/>
        <v>2</v>
      </c>
      <c r="E895" s="24">
        <v>44819</v>
      </c>
    </row>
    <row r="896" spans="2:5" x14ac:dyDescent="0.15">
      <c r="B896" s="21" t="s">
        <v>20</v>
      </c>
      <c r="C896" s="2">
        <v>2</v>
      </c>
      <c r="D896" s="5">
        <f t="shared" si="39"/>
        <v>2</v>
      </c>
      <c r="E896" s="24">
        <v>44825</v>
      </c>
    </row>
    <row r="897" spans="2:5" x14ac:dyDescent="0.15">
      <c r="B897" s="21" t="s">
        <v>20</v>
      </c>
      <c r="C897" s="22">
        <f>3+1</f>
        <v>4</v>
      </c>
      <c r="D897" s="23">
        <f t="shared" si="39"/>
        <v>4</v>
      </c>
      <c r="E897" s="24">
        <v>44830</v>
      </c>
    </row>
    <row r="898" spans="2:5" x14ac:dyDescent="0.15">
      <c r="B898" s="21" t="s">
        <v>20</v>
      </c>
      <c r="C898" s="22">
        <v>1</v>
      </c>
      <c r="D898" s="23">
        <f t="shared" si="39"/>
        <v>1</v>
      </c>
      <c r="E898" s="24">
        <v>44831</v>
      </c>
    </row>
    <row r="899" spans="2:5" x14ac:dyDescent="0.15">
      <c r="B899" s="21" t="s">
        <v>20</v>
      </c>
      <c r="C899" s="2">
        <v>2</v>
      </c>
      <c r="D899" s="5">
        <f t="shared" si="39"/>
        <v>2</v>
      </c>
      <c r="E899" s="24">
        <v>44834</v>
      </c>
    </row>
    <row r="900" spans="2:5" x14ac:dyDescent="0.15">
      <c r="B900" s="21" t="s">
        <v>20</v>
      </c>
      <c r="C900" s="2">
        <v>1</v>
      </c>
      <c r="D900" s="5">
        <f t="shared" si="39"/>
        <v>1</v>
      </c>
      <c r="E900" s="24">
        <v>44835</v>
      </c>
    </row>
    <row r="901" spans="2:5" x14ac:dyDescent="0.15">
      <c r="B901" s="21" t="s">
        <v>20</v>
      </c>
      <c r="C901" s="22">
        <v>3</v>
      </c>
      <c r="D901" s="23">
        <f t="shared" si="39"/>
        <v>3</v>
      </c>
      <c r="E901" s="24">
        <v>44839</v>
      </c>
    </row>
    <row r="902" spans="2:5" x14ac:dyDescent="0.15">
      <c r="B902" s="21" t="s">
        <v>64</v>
      </c>
      <c r="C902" s="22">
        <v>5</v>
      </c>
      <c r="D902" s="23">
        <f t="shared" si="39"/>
        <v>5</v>
      </c>
      <c r="E902" s="24">
        <v>44842</v>
      </c>
    </row>
    <row r="903" spans="2:5" x14ac:dyDescent="0.15">
      <c r="B903" s="21" t="s">
        <v>20</v>
      </c>
      <c r="C903" s="2">
        <v>2</v>
      </c>
      <c r="D903" s="5">
        <f t="shared" si="39"/>
        <v>2</v>
      </c>
      <c r="E903" s="24">
        <v>44847</v>
      </c>
    </row>
    <row r="904" spans="2:5" x14ac:dyDescent="0.15">
      <c r="B904" s="21" t="s">
        <v>20</v>
      </c>
      <c r="C904" s="2">
        <v>1</v>
      </c>
      <c r="D904" s="5">
        <f t="shared" si="39"/>
        <v>1</v>
      </c>
      <c r="E904" s="24">
        <v>44851</v>
      </c>
    </row>
    <row r="905" spans="2:5" x14ac:dyDescent="0.15">
      <c r="B905" s="21" t="s">
        <v>71</v>
      </c>
      <c r="C905" s="22">
        <v>5</v>
      </c>
      <c r="D905" s="23">
        <f t="shared" si="39"/>
        <v>5</v>
      </c>
      <c r="E905" s="24">
        <v>44851</v>
      </c>
    </row>
    <row r="906" spans="2:5" x14ac:dyDescent="0.15">
      <c r="B906" s="21" t="s">
        <v>64</v>
      </c>
      <c r="C906" s="2">
        <v>5</v>
      </c>
      <c r="D906" s="5">
        <f t="shared" si="39"/>
        <v>5</v>
      </c>
      <c r="E906" s="24">
        <v>44859</v>
      </c>
    </row>
    <row r="907" spans="2:5" x14ac:dyDescent="0.15">
      <c r="B907" s="21" t="s">
        <v>20</v>
      </c>
      <c r="C907" s="22">
        <v>1</v>
      </c>
      <c r="D907" s="23">
        <f t="shared" si="39"/>
        <v>1</v>
      </c>
      <c r="E907" s="24">
        <v>44865</v>
      </c>
    </row>
    <row r="908" spans="2:5" x14ac:dyDescent="0.15">
      <c r="B908" s="21" t="s">
        <v>72</v>
      </c>
      <c r="C908" s="22">
        <v>5</v>
      </c>
      <c r="D908" s="23">
        <f t="shared" si="39"/>
        <v>5</v>
      </c>
      <c r="E908" s="24">
        <v>44870</v>
      </c>
    </row>
    <row r="909" spans="2:5" x14ac:dyDescent="0.15">
      <c r="B909" s="21" t="s">
        <v>20</v>
      </c>
      <c r="C909" s="2">
        <v>1</v>
      </c>
      <c r="D909" s="5">
        <f t="shared" si="39"/>
        <v>1</v>
      </c>
      <c r="E909" s="24">
        <v>44869</v>
      </c>
    </row>
    <row r="910" spans="2:5" x14ac:dyDescent="0.15">
      <c r="B910" s="21" t="s">
        <v>20</v>
      </c>
      <c r="C910" s="22">
        <v>3</v>
      </c>
      <c r="D910" s="23">
        <f t="shared" si="39"/>
        <v>3</v>
      </c>
      <c r="E910" s="24">
        <v>44870</v>
      </c>
    </row>
    <row r="911" spans="2:5" x14ac:dyDescent="0.15">
      <c r="B911" s="21" t="s">
        <v>20</v>
      </c>
      <c r="C911" s="2">
        <v>1</v>
      </c>
      <c r="D911" s="5">
        <f t="shared" si="39"/>
        <v>1</v>
      </c>
      <c r="E911" s="24">
        <v>44872</v>
      </c>
    </row>
    <row r="912" spans="2:5" x14ac:dyDescent="0.15">
      <c r="B912" s="21" t="s">
        <v>20</v>
      </c>
      <c r="C912" s="22">
        <v>7</v>
      </c>
      <c r="D912" s="23">
        <f t="shared" si="39"/>
        <v>7</v>
      </c>
      <c r="E912" s="24">
        <v>44876</v>
      </c>
    </row>
    <row r="913" spans="2:5" x14ac:dyDescent="0.15">
      <c r="B913" s="21" t="s">
        <v>73</v>
      </c>
      <c r="C913" s="22">
        <v>10</v>
      </c>
      <c r="D913" s="23">
        <f t="shared" si="39"/>
        <v>10</v>
      </c>
      <c r="E913" s="24">
        <v>44884</v>
      </c>
    </row>
    <row r="914" spans="2:5" x14ac:dyDescent="0.15">
      <c r="B914" s="21" t="s">
        <v>20</v>
      </c>
      <c r="C914" s="22">
        <v>2</v>
      </c>
      <c r="D914" s="23">
        <f t="shared" si="39"/>
        <v>2</v>
      </c>
      <c r="E914" s="24">
        <v>44883</v>
      </c>
    </row>
    <row r="915" spans="2:5" x14ac:dyDescent="0.15">
      <c r="B915" s="21" t="s">
        <v>20</v>
      </c>
      <c r="C915" s="22">
        <v>2</v>
      </c>
      <c r="D915" s="23">
        <f t="shared" si="39"/>
        <v>2</v>
      </c>
      <c r="E915" s="24">
        <v>44890</v>
      </c>
    </row>
    <row r="916" spans="2:5" ht="14.25" thickBot="1" x14ac:dyDescent="0.2">
      <c r="B916" s="21" t="s">
        <v>20</v>
      </c>
      <c r="C916" s="42">
        <v>12</v>
      </c>
      <c r="D916" s="43">
        <f t="shared" si="39"/>
        <v>12</v>
      </c>
      <c r="E916" s="24">
        <v>44893</v>
      </c>
    </row>
    <row r="917" spans="2:5" x14ac:dyDescent="0.15">
      <c r="B917" s="58" t="s">
        <v>2</v>
      </c>
      <c r="C917" s="37">
        <f>SUM(C892:C916)</f>
        <v>82</v>
      </c>
      <c r="D917" s="38">
        <f t="shared" si="39"/>
        <v>82</v>
      </c>
    </row>
    <row r="918" spans="2:5" ht="14.25" thickBot="1" x14ac:dyDescent="0.2">
      <c r="B918" s="60" t="s">
        <v>3</v>
      </c>
      <c r="C918" s="64">
        <f>+C891-C917</f>
        <v>556</v>
      </c>
      <c r="D918" s="65">
        <f t="shared" si="39"/>
        <v>556</v>
      </c>
    </row>
    <row r="921" spans="2:5" ht="18.75" x14ac:dyDescent="0.2">
      <c r="B921" s="4" t="s">
        <v>53</v>
      </c>
    </row>
    <row r="922" spans="2:5" ht="14.25" thickBot="1" x14ac:dyDescent="0.2"/>
    <row r="923" spans="2:5" ht="14.25" thickBot="1" x14ac:dyDescent="0.2">
      <c r="B923" s="12"/>
      <c r="C923" s="74"/>
      <c r="D923" s="75"/>
    </row>
    <row r="924" spans="2:5" ht="14.25" thickBot="1" x14ac:dyDescent="0.2">
      <c r="B924" s="13"/>
      <c r="C924" s="14"/>
      <c r="D924" s="15" t="s">
        <v>0</v>
      </c>
    </row>
    <row r="925" spans="2:5" x14ac:dyDescent="0.15">
      <c r="B925" s="25" t="s">
        <v>4</v>
      </c>
      <c r="C925" s="26">
        <f>C918</f>
        <v>556</v>
      </c>
      <c r="D925" s="27">
        <f t="shared" ref="D925:D958" si="41">SUM(C925:C925)</f>
        <v>556</v>
      </c>
    </row>
    <row r="926" spans="2:5" x14ac:dyDescent="0.15">
      <c r="B926" s="48" t="s">
        <v>5</v>
      </c>
      <c r="C926" s="22"/>
      <c r="D926" s="23">
        <f t="shared" si="41"/>
        <v>0</v>
      </c>
    </row>
    <row r="927" spans="2:5" x14ac:dyDescent="0.15">
      <c r="B927" s="48" t="s">
        <v>5</v>
      </c>
      <c r="C927" s="22"/>
      <c r="D927" s="23">
        <f t="shared" si="41"/>
        <v>0</v>
      </c>
    </row>
    <row r="928" spans="2:5" x14ac:dyDescent="0.15">
      <c r="B928" s="48" t="s">
        <v>5</v>
      </c>
      <c r="C928" s="22"/>
      <c r="D928" s="23">
        <f t="shared" si="41"/>
        <v>0</v>
      </c>
    </row>
    <row r="929" spans="2:5" x14ac:dyDescent="0.15">
      <c r="B929" s="48" t="s">
        <v>5</v>
      </c>
      <c r="C929" s="22"/>
      <c r="D929" s="23">
        <f t="shared" si="41"/>
        <v>0</v>
      </c>
    </row>
    <row r="930" spans="2:5" ht="14.25" thickBot="1" x14ac:dyDescent="0.2">
      <c r="B930" s="48" t="s">
        <v>5</v>
      </c>
      <c r="C930" s="50"/>
      <c r="D930" s="51">
        <f t="shared" si="41"/>
        <v>0</v>
      </c>
    </row>
    <row r="931" spans="2:5" ht="14.25" thickBot="1" x14ac:dyDescent="0.2">
      <c r="B931" s="13" t="s">
        <v>1</v>
      </c>
      <c r="C931" s="16">
        <f>SUM(C925:C930)</f>
        <v>556</v>
      </c>
      <c r="D931" s="17">
        <f t="shared" si="41"/>
        <v>556</v>
      </c>
    </row>
    <row r="932" spans="2:5" x14ac:dyDescent="0.15">
      <c r="B932" s="21" t="s">
        <v>20</v>
      </c>
      <c r="C932" s="22">
        <f>1+1</f>
        <v>2</v>
      </c>
      <c r="D932" s="23">
        <f t="shared" ref="D932:D954" si="42">SUM(C932:C932)</f>
        <v>2</v>
      </c>
      <c r="E932" s="24">
        <v>44894</v>
      </c>
    </row>
    <row r="933" spans="2:5" x14ac:dyDescent="0.15">
      <c r="B933" s="21" t="s">
        <v>20</v>
      </c>
      <c r="C933" s="22">
        <v>2</v>
      </c>
      <c r="D933" s="23">
        <f t="shared" si="42"/>
        <v>2</v>
      </c>
      <c r="E933" s="24">
        <v>44900</v>
      </c>
    </row>
    <row r="934" spans="2:5" x14ac:dyDescent="0.15">
      <c r="B934" s="21" t="s">
        <v>20</v>
      </c>
      <c r="C934" s="22">
        <v>3</v>
      </c>
      <c r="D934" s="23">
        <f t="shared" si="42"/>
        <v>3</v>
      </c>
      <c r="E934" s="24">
        <v>44902</v>
      </c>
    </row>
    <row r="935" spans="2:5" x14ac:dyDescent="0.15">
      <c r="B935" s="21" t="s">
        <v>20</v>
      </c>
      <c r="C935" s="22">
        <v>2</v>
      </c>
      <c r="D935" s="23">
        <f t="shared" si="42"/>
        <v>2</v>
      </c>
      <c r="E935" s="24">
        <v>44911</v>
      </c>
    </row>
    <row r="936" spans="2:5" x14ac:dyDescent="0.15">
      <c r="B936" s="21" t="s">
        <v>20</v>
      </c>
      <c r="C936" s="22">
        <v>2</v>
      </c>
      <c r="D936" s="23">
        <f t="shared" si="42"/>
        <v>2</v>
      </c>
      <c r="E936" s="24">
        <v>44912</v>
      </c>
    </row>
    <row r="937" spans="2:5" x14ac:dyDescent="0.15">
      <c r="B937" s="21" t="s">
        <v>20</v>
      </c>
      <c r="C937" s="22">
        <v>1</v>
      </c>
      <c r="D937" s="23">
        <f t="shared" si="42"/>
        <v>1</v>
      </c>
      <c r="E937" s="24">
        <v>44916</v>
      </c>
    </row>
    <row r="938" spans="2:5" x14ac:dyDescent="0.15">
      <c r="B938" s="21" t="s">
        <v>20</v>
      </c>
      <c r="C938" s="22">
        <v>2</v>
      </c>
      <c r="D938" s="23">
        <f t="shared" si="42"/>
        <v>2</v>
      </c>
      <c r="E938" s="24">
        <v>44922</v>
      </c>
    </row>
    <row r="939" spans="2:5" x14ac:dyDescent="0.15">
      <c r="B939" s="21" t="s">
        <v>20</v>
      </c>
      <c r="C939" s="22">
        <v>1</v>
      </c>
      <c r="D939" s="23">
        <f t="shared" si="42"/>
        <v>1</v>
      </c>
      <c r="E939" s="24">
        <v>44931</v>
      </c>
    </row>
    <row r="940" spans="2:5" x14ac:dyDescent="0.15">
      <c r="B940" s="21" t="s">
        <v>64</v>
      </c>
      <c r="C940" s="22">
        <v>10</v>
      </c>
      <c r="D940" s="23">
        <f t="shared" si="42"/>
        <v>10</v>
      </c>
      <c r="E940" s="24">
        <v>44939</v>
      </c>
    </row>
    <row r="941" spans="2:5" x14ac:dyDescent="0.15">
      <c r="B941" s="21" t="s">
        <v>20</v>
      </c>
      <c r="C941" s="22">
        <v>1</v>
      </c>
      <c r="D941" s="23">
        <f t="shared" si="42"/>
        <v>1</v>
      </c>
      <c r="E941" s="24">
        <v>44938</v>
      </c>
    </row>
    <row r="942" spans="2:5" x14ac:dyDescent="0.15">
      <c r="B942" s="21" t="s">
        <v>20</v>
      </c>
      <c r="C942" s="22">
        <v>1</v>
      </c>
      <c r="D942" s="23">
        <f t="shared" si="42"/>
        <v>1</v>
      </c>
      <c r="E942" s="24">
        <v>44942</v>
      </c>
    </row>
    <row r="943" spans="2:5" x14ac:dyDescent="0.15">
      <c r="B943" s="21" t="s">
        <v>20</v>
      </c>
      <c r="C943" s="22">
        <v>1</v>
      </c>
      <c r="D943" s="23">
        <f t="shared" si="42"/>
        <v>1</v>
      </c>
      <c r="E943" s="24">
        <v>44943</v>
      </c>
    </row>
    <row r="944" spans="2:5" x14ac:dyDescent="0.15">
      <c r="B944" s="21" t="s">
        <v>20</v>
      </c>
      <c r="C944" s="22">
        <v>1</v>
      </c>
      <c r="D944" s="23">
        <f t="shared" si="42"/>
        <v>1</v>
      </c>
      <c r="E944" s="24">
        <v>44952</v>
      </c>
    </row>
    <row r="945" spans="2:5" x14ac:dyDescent="0.15">
      <c r="B945" s="21" t="s">
        <v>20</v>
      </c>
      <c r="C945" s="22">
        <v>2</v>
      </c>
      <c r="D945" s="23">
        <f t="shared" si="42"/>
        <v>2</v>
      </c>
      <c r="E945" s="24">
        <v>44956</v>
      </c>
    </row>
    <row r="946" spans="2:5" x14ac:dyDescent="0.15">
      <c r="B946" s="21" t="s">
        <v>64</v>
      </c>
      <c r="C946" s="22">
        <v>10</v>
      </c>
      <c r="D946" s="23">
        <f t="shared" si="42"/>
        <v>10</v>
      </c>
      <c r="E946" s="24">
        <v>44960</v>
      </c>
    </row>
    <row r="947" spans="2:5" x14ac:dyDescent="0.15">
      <c r="B947" s="21" t="s">
        <v>20</v>
      </c>
      <c r="C947" s="22">
        <v>1</v>
      </c>
      <c r="D947" s="23">
        <f t="shared" si="42"/>
        <v>1</v>
      </c>
      <c r="E947" s="24">
        <v>44960</v>
      </c>
    </row>
    <row r="948" spans="2:5" x14ac:dyDescent="0.15">
      <c r="B948" s="21" t="s">
        <v>74</v>
      </c>
      <c r="C948" s="22">
        <v>10</v>
      </c>
      <c r="D948" s="23">
        <f t="shared" si="42"/>
        <v>10</v>
      </c>
      <c r="E948" s="24">
        <v>44986</v>
      </c>
    </row>
    <row r="949" spans="2:5" x14ac:dyDescent="0.15">
      <c r="B949" s="21" t="s">
        <v>20</v>
      </c>
      <c r="C949" s="22">
        <v>2</v>
      </c>
      <c r="D949" s="23">
        <f t="shared" si="42"/>
        <v>2</v>
      </c>
      <c r="E949" s="24">
        <v>44993</v>
      </c>
    </row>
    <row r="950" spans="2:5" x14ac:dyDescent="0.15">
      <c r="B950" s="21" t="s">
        <v>20</v>
      </c>
      <c r="C950" s="22">
        <v>1</v>
      </c>
      <c r="D950" s="23">
        <f t="shared" si="42"/>
        <v>1</v>
      </c>
      <c r="E950" s="24">
        <v>44972</v>
      </c>
    </row>
    <row r="951" spans="2:5" x14ac:dyDescent="0.15">
      <c r="B951" s="21" t="s">
        <v>20</v>
      </c>
      <c r="C951" s="22">
        <v>1</v>
      </c>
      <c r="D951" s="23">
        <f t="shared" si="42"/>
        <v>1</v>
      </c>
      <c r="E951" s="24">
        <v>45005</v>
      </c>
    </row>
    <row r="952" spans="2:5" x14ac:dyDescent="0.15">
      <c r="B952" s="21" t="s">
        <v>75</v>
      </c>
      <c r="C952" s="22">
        <v>10</v>
      </c>
      <c r="D952" s="23">
        <f t="shared" si="42"/>
        <v>10</v>
      </c>
      <c r="E952" s="24">
        <v>45007</v>
      </c>
    </row>
    <row r="953" spans="2:5" x14ac:dyDescent="0.15">
      <c r="B953" s="21" t="s">
        <v>20</v>
      </c>
      <c r="C953" s="22">
        <v>3</v>
      </c>
      <c r="D953" s="23">
        <f t="shared" si="42"/>
        <v>3</v>
      </c>
      <c r="E953" s="24">
        <v>45021</v>
      </c>
    </row>
    <row r="954" spans="2:5" x14ac:dyDescent="0.15">
      <c r="B954" s="21" t="s">
        <v>20</v>
      </c>
      <c r="C954" s="22">
        <v>1</v>
      </c>
      <c r="D954" s="23">
        <f t="shared" si="42"/>
        <v>1</v>
      </c>
      <c r="E954" s="24">
        <v>45031</v>
      </c>
    </row>
    <row r="955" spans="2:5" x14ac:dyDescent="0.15">
      <c r="B955" s="21" t="s">
        <v>20</v>
      </c>
      <c r="C955" s="22">
        <v>2</v>
      </c>
      <c r="D955" s="23">
        <f t="shared" si="41"/>
        <v>2</v>
      </c>
      <c r="E955" s="24">
        <v>45033</v>
      </c>
    </row>
    <row r="956" spans="2:5" ht="14.25" thickBot="1" x14ac:dyDescent="0.2">
      <c r="B956" s="21" t="s">
        <v>20</v>
      </c>
      <c r="C956" s="42">
        <v>1</v>
      </c>
      <c r="D956" s="43">
        <f t="shared" si="41"/>
        <v>1</v>
      </c>
      <c r="E956" s="24">
        <v>45037</v>
      </c>
    </row>
    <row r="957" spans="2:5" x14ac:dyDescent="0.15">
      <c r="B957" s="58" t="s">
        <v>2</v>
      </c>
      <c r="C957" s="37">
        <f>SUM(C932:C956)</f>
        <v>73</v>
      </c>
      <c r="D957" s="38">
        <f t="shared" si="41"/>
        <v>73</v>
      </c>
    </row>
    <row r="958" spans="2:5" ht="14.25" thickBot="1" x14ac:dyDescent="0.2">
      <c r="B958" s="60" t="s">
        <v>3</v>
      </c>
      <c r="C958" s="64">
        <f>+C931-C957</f>
        <v>483</v>
      </c>
      <c r="D958" s="65">
        <f t="shared" si="41"/>
        <v>483</v>
      </c>
    </row>
    <row r="961" spans="2:5" ht="18.75" x14ac:dyDescent="0.2">
      <c r="B961" s="4" t="s">
        <v>53</v>
      </c>
    </row>
    <row r="962" spans="2:5" ht="14.25" thickBot="1" x14ac:dyDescent="0.2"/>
    <row r="963" spans="2:5" ht="14.25" thickBot="1" x14ac:dyDescent="0.2">
      <c r="B963" s="12"/>
      <c r="C963" s="74"/>
      <c r="D963" s="75"/>
    </row>
    <row r="964" spans="2:5" ht="14.25" thickBot="1" x14ac:dyDescent="0.2">
      <c r="B964" s="13"/>
      <c r="C964" s="14"/>
      <c r="D964" s="15" t="s">
        <v>0</v>
      </c>
    </row>
    <row r="965" spans="2:5" x14ac:dyDescent="0.15">
      <c r="B965" s="25" t="s">
        <v>4</v>
      </c>
      <c r="C965" s="26">
        <f>C958</f>
        <v>483</v>
      </c>
      <c r="D965" s="27">
        <f t="shared" ref="D965:D998" si="43">SUM(C965:C965)</f>
        <v>483</v>
      </c>
    </row>
    <row r="966" spans="2:5" x14ac:dyDescent="0.15">
      <c r="B966" s="48" t="s">
        <v>76</v>
      </c>
      <c r="C966" s="22">
        <v>6</v>
      </c>
      <c r="D966" s="23">
        <f t="shared" si="43"/>
        <v>6</v>
      </c>
      <c r="E966" s="24">
        <v>45161</v>
      </c>
    </row>
    <row r="967" spans="2:5" x14ac:dyDescent="0.15">
      <c r="B967" s="48" t="s">
        <v>5</v>
      </c>
      <c r="C967" s="22"/>
      <c r="D967" s="23">
        <f t="shared" si="43"/>
        <v>0</v>
      </c>
    </row>
    <row r="968" spans="2:5" x14ac:dyDescent="0.15">
      <c r="B968" s="48" t="s">
        <v>5</v>
      </c>
      <c r="C968" s="22"/>
      <c r="D968" s="23">
        <f t="shared" si="43"/>
        <v>0</v>
      </c>
    </row>
    <row r="969" spans="2:5" x14ac:dyDescent="0.15">
      <c r="B969" s="48" t="s">
        <v>5</v>
      </c>
      <c r="C969" s="22"/>
      <c r="D969" s="23">
        <f t="shared" si="43"/>
        <v>0</v>
      </c>
    </row>
    <row r="970" spans="2:5" ht="14.25" thickBot="1" x14ac:dyDescent="0.2">
      <c r="B970" s="48" t="s">
        <v>5</v>
      </c>
      <c r="C970" s="50"/>
      <c r="D970" s="51">
        <f t="shared" si="43"/>
        <v>0</v>
      </c>
    </row>
    <row r="971" spans="2:5" ht="14.25" thickBot="1" x14ac:dyDescent="0.2">
      <c r="B971" s="13" t="s">
        <v>1</v>
      </c>
      <c r="C971" s="16">
        <f>SUM(C965:C970)</f>
        <v>489</v>
      </c>
      <c r="D971" s="17">
        <f t="shared" si="43"/>
        <v>489</v>
      </c>
    </row>
    <row r="972" spans="2:5" x14ac:dyDescent="0.15">
      <c r="B972" s="21" t="s">
        <v>20</v>
      </c>
      <c r="C972" s="22">
        <v>1</v>
      </c>
      <c r="D972" s="23">
        <f t="shared" ref="D972:D992" si="44">SUM(C972:C972)</f>
        <v>1</v>
      </c>
      <c r="E972" s="24">
        <v>45057</v>
      </c>
    </row>
    <row r="973" spans="2:5" x14ac:dyDescent="0.15">
      <c r="B973" s="21" t="s">
        <v>20</v>
      </c>
      <c r="C973" s="22">
        <v>1</v>
      </c>
      <c r="D973" s="23">
        <f t="shared" si="44"/>
        <v>1</v>
      </c>
      <c r="E973" s="24">
        <v>45058</v>
      </c>
    </row>
    <row r="974" spans="2:5" x14ac:dyDescent="0.15">
      <c r="B974" s="21" t="s">
        <v>20</v>
      </c>
      <c r="C974" s="22">
        <v>1</v>
      </c>
      <c r="D974" s="23">
        <f t="shared" si="44"/>
        <v>1</v>
      </c>
      <c r="E974" s="24">
        <v>45068</v>
      </c>
    </row>
    <row r="975" spans="2:5" x14ac:dyDescent="0.15">
      <c r="B975" s="21" t="s">
        <v>20</v>
      </c>
      <c r="C975" s="22">
        <v>1</v>
      </c>
      <c r="D975" s="23">
        <f t="shared" si="44"/>
        <v>1</v>
      </c>
      <c r="E975" s="24">
        <v>45072</v>
      </c>
    </row>
    <row r="976" spans="2:5" x14ac:dyDescent="0.15">
      <c r="B976" s="21" t="s">
        <v>20</v>
      </c>
      <c r="C976" s="22">
        <v>1</v>
      </c>
      <c r="D976" s="23">
        <f t="shared" si="44"/>
        <v>1</v>
      </c>
      <c r="E976" s="24">
        <v>45079</v>
      </c>
    </row>
    <row r="977" spans="2:5" x14ac:dyDescent="0.15">
      <c r="B977" s="21" t="s">
        <v>20</v>
      </c>
      <c r="C977" s="22">
        <v>1</v>
      </c>
      <c r="D977" s="23">
        <f t="shared" si="44"/>
        <v>1</v>
      </c>
      <c r="E977" s="24">
        <v>45086</v>
      </c>
    </row>
    <row r="978" spans="2:5" x14ac:dyDescent="0.15">
      <c r="B978" s="21" t="s">
        <v>20</v>
      </c>
      <c r="C978" s="22">
        <v>1</v>
      </c>
      <c r="D978" s="23">
        <f t="shared" si="44"/>
        <v>1</v>
      </c>
      <c r="E978" s="24">
        <v>45092</v>
      </c>
    </row>
    <row r="979" spans="2:5" x14ac:dyDescent="0.15">
      <c r="B979" s="21" t="s">
        <v>20</v>
      </c>
      <c r="C979" s="22">
        <v>1</v>
      </c>
      <c r="D979" s="23">
        <f t="shared" si="44"/>
        <v>1</v>
      </c>
      <c r="E979" s="24">
        <v>45110</v>
      </c>
    </row>
    <row r="980" spans="2:5" x14ac:dyDescent="0.15">
      <c r="B980" s="21" t="s">
        <v>20</v>
      </c>
      <c r="C980" s="22">
        <v>3</v>
      </c>
      <c r="D980" s="23">
        <f t="shared" si="44"/>
        <v>3</v>
      </c>
      <c r="E980" s="24">
        <v>45112</v>
      </c>
    </row>
    <row r="981" spans="2:5" x14ac:dyDescent="0.15">
      <c r="B981" s="21" t="s">
        <v>20</v>
      </c>
      <c r="C981" s="22">
        <v>2</v>
      </c>
      <c r="D981" s="23">
        <f t="shared" si="44"/>
        <v>2</v>
      </c>
      <c r="E981" s="24">
        <v>45117</v>
      </c>
    </row>
    <row r="982" spans="2:5" x14ac:dyDescent="0.15">
      <c r="B982" s="21" t="s">
        <v>20</v>
      </c>
      <c r="C982" s="22">
        <v>2</v>
      </c>
      <c r="D982" s="23">
        <f t="shared" si="44"/>
        <v>2</v>
      </c>
      <c r="E982" s="24">
        <v>45148</v>
      </c>
    </row>
    <row r="983" spans="2:5" x14ac:dyDescent="0.15">
      <c r="B983" s="21" t="s">
        <v>20</v>
      </c>
      <c r="C983" s="22">
        <v>2</v>
      </c>
      <c r="D983" s="23">
        <f t="shared" si="44"/>
        <v>2</v>
      </c>
      <c r="E983" s="24">
        <v>45166</v>
      </c>
    </row>
    <row r="984" spans="2:5" x14ac:dyDescent="0.15">
      <c r="B984" s="21" t="s">
        <v>20</v>
      </c>
      <c r="C984" s="22">
        <v>1</v>
      </c>
      <c r="D984" s="23">
        <f t="shared" si="44"/>
        <v>1</v>
      </c>
      <c r="E984" s="24">
        <v>45168</v>
      </c>
    </row>
    <row r="985" spans="2:5" x14ac:dyDescent="0.15">
      <c r="B985" s="21" t="s">
        <v>77</v>
      </c>
      <c r="C985" s="22">
        <v>5</v>
      </c>
      <c r="D985" s="23">
        <f t="shared" si="44"/>
        <v>5</v>
      </c>
      <c r="E985" s="24">
        <v>45183</v>
      </c>
    </row>
    <row r="986" spans="2:5" x14ac:dyDescent="0.15">
      <c r="B986" s="21" t="s">
        <v>20</v>
      </c>
      <c r="C986" s="22">
        <v>1</v>
      </c>
      <c r="D986" s="23">
        <f t="shared" si="44"/>
        <v>1</v>
      </c>
      <c r="E986" s="24">
        <v>45215</v>
      </c>
    </row>
    <row r="987" spans="2:5" x14ac:dyDescent="0.15">
      <c r="B987" s="21" t="s">
        <v>20</v>
      </c>
      <c r="C987" s="22">
        <v>1</v>
      </c>
      <c r="D987" s="23">
        <f t="shared" si="44"/>
        <v>1</v>
      </c>
      <c r="E987" s="24">
        <v>45218</v>
      </c>
    </row>
    <row r="988" spans="2:5" x14ac:dyDescent="0.15">
      <c r="B988" s="21" t="s">
        <v>20</v>
      </c>
      <c r="C988" s="22">
        <v>5</v>
      </c>
      <c r="D988" s="23">
        <f t="shared" si="44"/>
        <v>5</v>
      </c>
      <c r="E988" s="24">
        <v>45225</v>
      </c>
    </row>
    <row r="989" spans="2:5" x14ac:dyDescent="0.15">
      <c r="B989" s="21" t="s">
        <v>20</v>
      </c>
      <c r="C989" s="22">
        <v>1</v>
      </c>
      <c r="D989" s="23">
        <f t="shared" si="44"/>
        <v>1</v>
      </c>
      <c r="E989" s="24">
        <v>45229</v>
      </c>
    </row>
    <row r="990" spans="2:5" x14ac:dyDescent="0.15">
      <c r="B990" s="21" t="s">
        <v>78</v>
      </c>
      <c r="C990" s="22">
        <v>4</v>
      </c>
      <c r="D990" s="23">
        <f t="shared" si="44"/>
        <v>4</v>
      </c>
      <c r="E990" s="24">
        <v>45246</v>
      </c>
    </row>
    <row r="991" spans="2:5" x14ac:dyDescent="0.15">
      <c r="B991" s="21" t="s">
        <v>20</v>
      </c>
      <c r="C991" s="22">
        <v>2</v>
      </c>
      <c r="D991" s="23">
        <f t="shared" si="44"/>
        <v>2</v>
      </c>
      <c r="E991" s="24">
        <v>45257</v>
      </c>
    </row>
    <row r="992" spans="2:5" x14ac:dyDescent="0.15">
      <c r="B992" s="21" t="s">
        <v>20</v>
      </c>
      <c r="C992" s="22">
        <v>2</v>
      </c>
      <c r="D992" s="23">
        <f t="shared" si="44"/>
        <v>2</v>
      </c>
      <c r="E992" s="24">
        <v>45265</v>
      </c>
    </row>
    <row r="993" spans="2:5" x14ac:dyDescent="0.15">
      <c r="B993" s="21" t="s">
        <v>20</v>
      </c>
      <c r="C993" s="22">
        <v>1</v>
      </c>
      <c r="D993" s="23">
        <f t="shared" si="43"/>
        <v>1</v>
      </c>
      <c r="E993" s="24">
        <v>45274</v>
      </c>
    </row>
    <row r="994" spans="2:5" x14ac:dyDescent="0.15">
      <c r="B994" s="21" t="s">
        <v>64</v>
      </c>
      <c r="C994" s="22">
        <v>10</v>
      </c>
      <c r="D994" s="23">
        <f t="shared" si="43"/>
        <v>10</v>
      </c>
      <c r="E994" s="24">
        <v>45283</v>
      </c>
    </row>
    <row r="995" spans="2:5" x14ac:dyDescent="0.15">
      <c r="B995" s="21" t="s">
        <v>20</v>
      </c>
      <c r="C995" s="22">
        <v>2</v>
      </c>
      <c r="D995" s="23">
        <f t="shared" si="43"/>
        <v>2</v>
      </c>
      <c r="E995" s="24">
        <v>45316</v>
      </c>
    </row>
    <row r="996" spans="2:5" ht="14.25" thickBot="1" x14ac:dyDescent="0.2">
      <c r="B996" s="21" t="s">
        <v>20</v>
      </c>
      <c r="C996" s="42">
        <v>1</v>
      </c>
      <c r="D996" s="43">
        <f t="shared" si="43"/>
        <v>1</v>
      </c>
      <c r="E996" s="24">
        <v>45320</v>
      </c>
    </row>
    <row r="997" spans="2:5" x14ac:dyDescent="0.15">
      <c r="B997" s="58" t="s">
        <v>2</v>
      </c>
      <c r="C997" s="37">
        <f>SUM(C972:C996)</f>
        <v>53</v>
      </c>
      <c r="D997" s="38">
        <f t="shared" si="43"/>
        <v>53</v>
      </c>
    </row>
    <row r="998" spans="2:5" ht="14.25" thickBot="1" x14ac:dyDescent="0.2">
      <c r="B998" s="60" t="s">
        <v>3</v>
      </c>
      <c r="C998" s="64">
        <f>+C971-C997</f>
        <v>436</v>
      </c>
      <c r="D998" s="65">
        <f t="shared" si="43"/>
        <v>436</v>
      </c>
    </row>
    <row r="1001" spans="2:5" ht="18.75" x14ac:dyDescent="0.2">
      <c r="B1001" s="4" t="s">
        <v>53</v>
      </c>
    </row>
    <row r="1002" spans="2:5" ht="14.25" thickBot="1" x14ac:dyDescent="0.2"/>
    <row r="1003" spans="2:5" ht="14.25" thickBot="1" x14ac:dyDescent="0.2">
      <c r="B1003" s="12"/>
      <c r="C1003" s="74"/>
      <c r="D1003" s="75"/>
    </row>
    <row r="1004" spans="2:5" ht="14.25" thickBot="1" x14ac:dyDescent="0.2">
      <c r="B1004" s="13"/>
      <c r="C1004" s="14"/>
      <c r="D1004" s="15" t="s">
        <v>0</v>
      </c>
    </row>
    <row r="1005" spans="2:5" x14ac:dyDescent="0.15">
      <c r="B1005" s="25" t="s">
        <v>4</v>
      </c>
      <c r="C1005" s="26">
        <f>C998</f>
        <v>436</v>
      </c>
      <c r="D1005" s="27">
        <f t="shared" ref="D1005:D1038" si="45">SUM(C1005:C1005)</f>
        <v>436</v>
      </c>
    </row>
    <row r="1006" spans="2:5" x14ac:dyDescent="0.15">
      <c r="B1006" s="48" t="s">
        <v>76</v>
      </c>
      <c r="C1006" s="22">
        <v>-3</v>
      </c>
      <c r="D1006" s="23">
        <f t="shared" si="45"/>
        <v>-3</v>
      </c>
      <c r="E1006" s="24">
        <v>45526</v>
      </c>
    </row>
    <row r="1007" spans="2:5" x14ac:dyDescent="0.15">
      <c r="B1007" s="48" t="s">
        <v>5</v>
      </c>
      <c r="C1007" s="22"/>
      <c r="D1007" s="23">
        <f t="shared" ref="D1007" si="46">SUM(C1007:C1007)</f>
        <v>0</v>
      </c>
    </row>
    <row r="1008" spans="2:5" x14ac:dyDescent="0.15">
      <c r="B1008" s="48" t="s">
        <v>5</v>
      </c>
      <c r="C1008" s="22"/>
      <c r="D1008" s="23">
        <f t="shared" si="45"/>
        <v>0</v>
      </c>
    </row>
    <row r="1009" spans="2:5" x14ac:dyDescent="0.15">
      <c r="B1009" s="48" t="s">
        <v>5</v>
      </c>
      <c r="C1009" s="22"/>
      <c r="D1009" s="23">
        <f t="shared" si="45"/>
        <v>0</v>
      </c>
    </row>
    <row r="1010" spans="2:5" ht="14.25" thickBot="1" x14ac:dyDescent="0.2">
      <c r="B1010" s="48" t="s">
        <v>5</v>
      </c>
      <c r="C1010" s="50"/>
      <c r="D1010" s="51">
        <f t="shared" si="45"/>
        <v>0</v>
      </c>
    </row>
    <row r="1011" spans="2:5" ht="14.25" thickBot="1" x14ac:dyDescent="0.2">
      <c r="B1011" s="13" t="s">
        <v>1</v>
      </c>
      <c r="C1011" s="16">
        <f>SUM(C1005:C1010)</f>
        <v>433</v>
      </c>
      <c r="D1011" s="17">
        <f t="shared" si="45"/>
        <v>433</v>
      </c>
    </row>
    <row r="1012" spans="2:5" x14ac:dyDescent="0.15">
      <c r="B1012" s="21" t="s">
        <v>20</v>
      </c>
      <c r="C1012" s="22">
        <v>5</v>
      </c>
      <c r="D1012" s="23">
        <f t="shared" ref="D1012:D1033" si="47">SUM(C1012:C1012)</f>
        <v>5</v>
      </c>
      <c r="E1012" s="24">
        <v>45330</v>
      </c>
    </row>
    <row r="1013" spans="2:5" x14ac:dyDescent="0.15">
      <c r="B1013" s="21" t="s">
        <v>20</v>
      </c>
      <c r="C1013" s="22">
        <v>1</v>
      </c>
      <c r="D1013" s="23">
        <f t="shared" si="47"/>
        <v>1</v>
      </c>
      <c r="E1013" s="24">
        <v>45353</v>
      </c>
    </row>
    <row r="1014" spans="2:5" x14ac:dyDescent="0.15">
      <c r="B1014" s="21" t="s">
        <v>20</v>
      </c>
      <c r="C1014" s="22">
        <v>1</v>
      </c>
      <c r="D1014" s="23">
        <f t="shared" si="47"/>
        <v>1</v>
      </c>
      <c r="E1014" s="24">
        <v>45356</v>
      </c>
    </row>
    <row r="1015" spans="2:5" x14ac:dyDescent="0.15">
      <c r="B1015" s="21" t="s">
        <v>20</v>
      </c>
      <c r="C1015" s="22">
        <v>1</v>
      </c>
      <c r="D1015" s="23">
        <f t="shared" si="47"/>
        <v>1</v>
      </c>
      <c r="E1015" s="24">
        <v>45363</v>
      </c>
    </row>
    <row r="1016" spans="2:5" x14ac:dyDescent="0.15">
      <c r="B1016" s="21" t="s">
        <v>20</v>
      </c>
      <c r="C1016" s="22">
        <v>1</v>
      </c>
      <c r="D1016" s="23">
        <f t="shared" si="47"/>
        <v>1</v>
      </c>
      <c r="E1016" s="24">
        <v>45436</v>
      </c>
    </row>
    <row r="1017" spans="2:5" x14ac:dyDescent="0.15">
      <c r="B1017" s="21" t="s">
        <v>20</v>
      </c>
      <c r="C1017" s="22">
        <v>2</v>
      </c>
      <c r="D1017" s="23">
        <f t="shared" si="47"/>
        <v>2</v>
      </c>
      <c r="E1017" s="24">
        <v>45441</v>
      </c>
    </row>
    <row r="1018" spans="2:5" x14ac:dyDescent="0.15">
      <c r="B1018" s="21" t="s">
        <v>20</v>
      </c>
      <c r="C1018" s="22">
        <v>1</v>
      </c>
      <c r="D1018" s="23">
        <f t="shared" si="47"/>
        <v>1</v>
      </c>
      <c r="E1018" s="24">
        <v>45450</v>
      </c>
    </row>
    <row r="1019" spans="2:5" x14ac:dyDescent="0.15">
      <c r="B1019" s="21" t="s">
        <v>64</v>
      </c>
      <c r="C1019" s="22">
        <v>5</v>
      </c>
      <c r="D1019" s="23">
        <f t="shared" si="47"/>
        <v>5</v>
      </c>
      <c r="E1019" s="24">
        <v>45492</v>
      </c>
    </row>
    <row r="1020" spans="2:5" x14ac:dyDescent="0.15">
      <c r="B1020" s="21" t="s">
        <v>64</v>
      </c>
      <c r="C1020" s="22">
        <v>5</v>
      </c>
      <c r="D1020" s="23">
        <f t="shared" si="47"/>
        <v>5</v>
      </c>
      <c r="E1020" s="24">
        <v>45492</v>
      </c>
    </row>
    <row r="1021" spans="2:5" x14ac:dyDescent="0.15">
      <c r="B1021" s="21" t="s">
        <v>64</v>
      </c>
      <c r="C1021" s="22">
        <v>20</v>
      </c>
      <c r="D1021" s="23">
        <f t="shared" si="47"/>
        <v>20</v>
      </c>
      <c r="E1021" s="24">
        <v>45582</v>
      </c>
    </row>
    <row r="1022" spans="2:5" x14ac:dyDescent="0.15">
      <c r="B1022" s="21" t="s">
        <v>20</v>
      </c>
      <c r="C1022" s="22">
        <v>1</v>
      </c>
      <c r="D1022" s="23">
        <f t="shared" si="47"/>
        <v>1</v>
      </c>
      <c r="E1022" s="24">
        <v>45614</v>
      </c>
    </row>
    <row r="1023" spans="2:5" x14ac:dyDescent="0.15">
      <c r="B1023" s="21" t="s">
        <v>20</v>
      </c>
      <c r="C1023" s="22">
        <v>1</v>
      </c>
      <c r="D1023" s="23">
        <f t="shared" si="47"/>
        <v>1</v>
      </c>
      <c r="E1023" s="24">
        <v>45623</v>
      </c>
    </row>
    <row r="1024" spans="2:5" x14ac:dyDescent="0.15">
      <c r="B1024" s="21" t="s">
        <v>20</v>
      </c>
      <c r="C1024" s="22">
        <v>1</v>
      </c>
      <c r="D1024" s="23">
        <f t="shared" si="47"/>
        <v>1</v>
      </c>
      <c r="E1024" s="24">
        <v>45625</v>
      </c>
    </row>
    <row r="1025" spans="2:5" x14ac:dyDescent="0.15">
      <c r="B1025" s="21" t="s">
        <v>20</v>
      </c>
      <c r="C1025" s="22">
        <v>1</v>
      </c>
      <c r="D1025" s="23">
        <f t="shared" si="47"/>
        <v>1</v>
      </c>
      <c r="E1025" s="24">
        <v>45636</v>
      </c>
    </row>
    <row r="1026" spans="2:5" x14ac:dyDescent="0.15">
      <c r="B1026" s="21" t="s">
        <v>20</v>
      </c>
      <c r="C1026" s="22">
        <v>1</v>
      </c>
      <c r="D1026" s="23">
        <f t="shared" si="47"/>
        <v>1</v>
      </c>
      <c r="E1026" s="24">
        <v>45637</v>
      </c>
    </row>
    <row r="1027" spans="2:5" x14ac:dyDescent="0.15">
      <c r="B1027" s="21" t="s">
        <v>20</v>
      </c>
      <c r="C1027" s="22">
        <v>1</v>
      </c>
      <c r="D1027" s="23">
        <f t="shared" si="47"/>
        <v>1</v>
      </c>
      <c r="E1027" s="24">
        <v>45642</v>
      </c>
    </row>
    <row r="1028" spans="2:5" x14ac:dyDescent="0.15">
      <c r="B1028" s="21" t="s">
        <v>20</v>
      </c>
      <c r="C1028" s="22">
        <v>1</v>
      </c>
      <c r="D1028" s="23">
        <f t="shared" si="47"/>
        <v>1</v>
      </c>
      <c r="E1028" s="24">
        <v>45644</v>
      </c>
    </row>
    <row r="1029" spans="2:5" x14ac:dyDescent="0.15">
      <c r="B1029" s="21" t="s">
        <v>20</v>
      </c>
      <c r="C1029" s="22">
        <v>1</v>
      </c>
      <c r="D1029" s="23">
        <f t="shared" si="47"/>
        <v>1</v>
      </c>
      <c r="E1029" s="24">
        <v>45649</v>
      </c>
    </row>
    <row r="1030" spans="2:5" x14ac:dyDescent="0.15">
      <c r="B1030" s="21" t="s">
        <v>20</v>
      </c>
      <c r="C1030" s="22">
        <v>1</v>
      </c>
      <c r="D1030" s="23">
        <f t="shared" si="47"/>
        <v>1</v>
      </c>
      <c r="E1030" s="24">
        <v>45652</v>
      </c>
    </row>
    <row r="1031" spans="2:5" x14ac:dyDescent="0.15">
      <c r="B1031" s="21" t="s">
        <v>20</v>
      </c>
      <c r="C1031" s="22">
        <f>1+1+1</f>
        <v>3</v>
      </c>
      <c r="D1031" s="23">
        <f t="shared" si="47"/>
        <v>3</v>
      </c>
      <c r="E1031" s="24">
        <v>45663</v>
      </c>
    </row>
    <row r="1032" spans="2:5" x14ac:dyDescent="0.15">
      <c r="B1032" s="21" t="s">
        <v>20</v>
      </c>
      <c r="C1032" s="22">
        <v>1</v>
      </c>
      <c r="D1032" s="23">
        <f t="shared" si="47"/>
        <v>1</v>
      </c>
      <c r="E1032" s="24">
        <v>45664</v>
      </c>
    </row>
    <row r="1033" spans="2:5" x14ac:dyDescent="0.15">
      <c r="B1033" s="21" t="s">
        <v>20</v>
      </c>
      <c r="C1033" s="22">
        <v>2</v>
      </c>
      <c r="D1033" s="23">
        <f t="shared" si="47"/>
        <v>2</v>
      </c>
      <c r="E1033" s="24">
        <v>45665</v>
      </c>
    </row>
    <row r="1034" spans="2:5" x14ac:dyDescent="0.15">
      <c r="B1034" s="21" t="s">
        <v>20</v>
      </c>
      <c r="C1034" s="22">
        <f>1+1</f>
        <v>2</v>
      </c>
      <c r="D1034" s="23">
        <f t="shared" si="45"/>
        <v>2</v>
      </c>
      <c r="E1034" s="24">
        <v>45671</v>
      </c>
    </row>
    <row r="1035" spans="2:5" x14ac:dyDescent="0.15">
      <c r="B1035" s="21" t="s">
        <v>20</v>
      </c>
      <c r="C1035" s="22">
        <f>1+1</f>
        <v>2</v>
      </c>
      <c r="D1035" s="23">
        <f t="shared" si="45"/>
        <v>2</v>
      </c>
      <c r="E1035" s="24">
        <v>45677</v>
      </c>
    </row>
    <row r="1036" spans="2:5" ht="14.25" thickBot="1" x14ac:dyDescent="0.2">
      <c r="B1036" s="21" t="s">
        <v>20</v>
      </c>
      <c r="C1036" s="42">
        <f>1+1</f>
        <v>2</v>
      </c>
      <c r="D1036" s="43">
        <f t="shared" si="45"/>
        <v>2</v>
      </c>
      <c r="E1036" s="24">
        <v>45684</v>
      </c>
    </row>
    <row r="1037" spans="2:5" x14ac:dyDescent="0.15">
      <c r="B1037" s="58" t="s">
        <v>2</v>
      </c>
      <c r="C1037" s="37">
        <f>SUM(C1012:C1036)</f>
        <v>63</v>
      </c>
      <c r="D1037" s="38">
        <f t="shared" si="45"/>
        <v>63</v>
      </c>
    </row>
    <row r="1038" spans="2:5" ht="14.25" thickBot="1" x14ac:dyDescent="0.2">
      <c r="B1038" s="60" t="s">
        <v>3</v>
      </c>
      <c r="C1038" s="64">
        <f>+C1011-C1037</f>
        <v>370</v>
      </c>
      <c r="D1038" s="65">
        <f t="shared" si="45"/>
        <v>370</v>
      </c>
    </row>
    <row r="1041" spans="2:5" ht="18.75" x14ac:dyDescent="0.2">
      <c r="B1041" s="4" t="s">
        <v>53</v>
      </c>
    </row>
    <row r="1042" spans="2:5" ht="14.25" thickBot="1" x14ac:dyDescent="0.2"/>
    <row r="1043" spans="2:5" ht="14.25" thickBot="1" x14ac:dyDescent="0.2">
      <c r="B1043" s="12"/>
      <c r="C1043" s="74"/>
      <c r="D1043" s="75"/>
    </row>
    <row r="1044" spans="2:5" ht="14.25" thickBot="1" x14ac:dyDescent="0.2">
      <c r="B1044" s="13"/>
      <c r="C1044" s="14"/>
      <c r="D1044" s="15" t="s">
        <v>0</v>
      </c>
    </row>
    <row r="1045" spans="2:5" x14ac:dyDescent="0.15">
      <c r="B1045" s="25" t="s">
        <v>4</v>
      </c>
      <c r="C1045" s="26">
        <f>C1038</f>
        <v>370</v>
      </c>
      <c r="D1045" s="27">
        <f t="shared" ref="D1045:D1078" si="48">SUM(C1045:C1045)</f>
        <v>370</v>
      </c>
    </row>
    <row r="1046" spans="2:5" x14ac:dyDescent="0.15">
      <c r="B1046" s="48" t="s">
        <v>5</v>
      </c>
      <c r="C1046" s="22"/>
      <c r="D1046" s="23">
        <f t="shared" si="48"/>
        <v>0</v>
      </c>
      <c r="E1046" s="24"/>
    </row>
    <row r="1047" spans="2:5" x14ac:dyDescent="0.15">
      <c r="B1047" s="48" t="s">
        <v>5</v>
      </c>
      <c r="C1047" s="22"/>
      <c r="D1047" s="23">
        <f t="shared" si="48"/>
        <v>0</v>
      </c>
    </row>
    <row r="1048" spans="2:5" x14ac:dyDescent="0.15">
      <c r="B1048" s="48" t="s">
        <v>5</v>
      </c>
      <c r="C1048" s="22"/>
      <c r="D1048" s="23">
        <f t="shared" si="48"/>
        <v>0</v>
      </c>
    </row>
    <row r="1049" spans="2:5" x14ac:dyDescent="0.15">
      <c r="B1049" s="48" t="s">
        <v>5</v>
      </c>
      <c r="C1049" s="22"/>
      <c r="D1049" s="23">
        <f t="shared" si="48"/>
        <v>0</v>
      </c>
    </row>
    <row r="1050" spans="2:5" ht="14.25" thickBot="1" x14ac:dyDescent="0.2">
      <c r="B1050" s="48" t="s">
        <v>5</v>
      </c>
      <c r="C1050" s="50"/>
      <c r="D1050" s="51">
        <f t="shared" si="48"/>
        <v>0</v>
      </c>
    </row>
    <row r="1051" spans="2:5" ht="14.25" thickBot="1" x14ac:dyDescent="0.2">
      <c r="B1051" s="13" t="s">
        <v>1</v>
      </c>
      <c r="C1051" s="16">
        <f>SUM(C1045:C1050)</f>
        <v>370</v>
      </c>
      <c r="D1051" s="17">
        <f t="shared" si="48"/>
        <v>370</v>
      </c>
    </row>
    <row r="1052" spans="2:5" x14ac:dyDescent="0.15">
      <c r="B1052" s="21" t="s">
        <v>20</v>
      </c>
      <c r="C1052" s="22">
        <v>1</v>
      </c>
      <c r="D1052" s="23">
        <f t="shared" si="48"/>
        <v>1</v>
      </c>
      <c r="E1052" s="24">
        <v>45685</v>
      </c>
    </row>
    <row r="1053" spans="2:5" x14ac:dyDescent="0.15">
      <c r="B1053" s="21" t="s">
        <v>20</v>
      </c>
      <c r="C1053" s="22">
        <f>1+1</f>
        <v>2</v>
      </c>
      <c r="D1053" s="23">
        <f t="shared" si="48"/>
        <v>2</v>
      </c>
      <c r="E1053" s="24">
        <v>45705</v>
      </c>
    </row>
    <row r="1054" spans="2:5" x14ac:dyDescent="0.15">
      <c r="B1054" s="21" t="s">
        <v>20</v>
      </c>
      <c r="C1054" s="22">
        <v>1</v>
      </c>
      <c r="D1054" s="23">
        <f t="shared" si="48"/>
        <v>1</v>
      </c>
      <c r="E1054" s="24">
        <v>45708</v>
      </c>
    </row>
    <row r="1055" spans="2:5" x14ac:dyDescent="0.15">
      <c r="B1055" s="21" t="s">
        <v>20</v>
      </c>
      <c r="C1055" s="22">
        <f>1+1</f>
        <v>2</v>
      </c>
      <c r="D1055" s="23">
        <f t="shared" si="48"/>
        <v>2</v>
      </c>
      <c r="E1055" s="24">
        <v>45713</v>
      </c>
    </row>
    <row r="1056" spans="2:5" x14ac:dyDescent="0.15">
      <c r="B1056" s="21" t="s">
        <v>20</v>
      </c>
      <c r="C1056" s="22">
        <v>1</v>
      </c>
      <c r="D1056" s="23">
        <f t="shared" si="48"/>
        <v>1</v>
      </c>
      <c r="E1056" s="24">
        <v>45714</v>
      </c>
    </row>
    <row r="1057" spans="2:5" x14ac:dyDescent="0.15">
      <c r="B1057" s="21" t="s">
        <v>20</v>
      </c>
      <c r="C1057" s="22">
        <f>2+1</f>
        <v>3</v>
      </c>
      <c r="D1057" s="23">
        <f t="shared" si="48"/>
        <v>3</v>
      </c>
      <c r="E1057" s="24">
        <v>45721</v>
      </c>
    </row>
    <row r="1058" spans="2:5" x14ac:dyDescent="0.15">
      <c r="B1058" s="21" t="s">
        <v>20</v>
      </c>
      <c r="C1058" s="22">
        <v>1</v>
      </c>
      <c r="D1058" s="23">
        <f t="shared" si="48"/>
        <v>1</v>
      </c>
      <c r="E1058" s="24">
        <v>45723</v>
      </c>
    </row>
    <row r="1059" spans="2:5" x14ac:dyDescent="0.15">
      <c r="B1059" s="21" t="s">
        <v>20</v>
      </c>
      <c r="C1059" s="22">
        <v>2</v>
      </c>
      <c r="D1059" s="23">
        <f t="shared" si="48"/>
        <v>2</v>
      </c>
      <c r="E1059" s="24">
        <v>45734</v>
      </c>
    </row>
    <row r="1060" spans="2:5" x14ac:dyDescent="0.15">
      <c r="B1060" s="21" t="s">
        <v>20</v>
      </c>
      <c r="C1060" s="22">
        <v>2</v>
      </c>
      <c r="D1060" s="23">
        <f t="shared" si="48"/>
        <v>2</v>
      </c>
      <c r="E1060" s="24">
        <v>45740</v>
      </c>
    </row>
    <row r="1061" spans="2:5" x14ac:dyDescent="0.15">
      <c r="B1061" s="21" t="s">
        <v>20</v>
      </c>
      <c r="C1061" s="22">
        <v>1</v>
      </c>
      <c r="D1061" s="23">
        <f t="shared" si="48"/>
        <v>1</v>
      </c>
      <c r="E1061" s="24">
        <v>45742</v>
      </c>
    </row>
    <row r="1062" spans="2:5" x14ac:dyDescent="0.15">
      <c r="B1062" s="21" t="s">
        <v>20</v>
      </c>
      <c r="C1062" s="22">
        <v>1</v>
      </c>
      <c r="D1062" s="23">
        <f t="shared" si="48"/>
        <v>1</v>
      </c>
      <c r="E1062" s="24">
        <v>45747</v>
      </c>
    </row>
    <row r="1063" spans="2:5" x14ac:dyDescent="0.15">
      <c r="B1063" s="21" t="s">
        <v>20</v>
      </c>
      <c r="C1063" s="22">
        <v>1</v>
      </c>
      <c r="D1063" s="23">
        <f t="shared" si="48"/>
        <v>1</v>
      </c>
      <c r="E1063" s="24">
        <v>45763</v>
      </c>
    </row>
    <row r="1064" spans="2:5" x14ac:dyDescent="0.15">
      <c r="B1064" s="21" t="s">
        <v>20</v>
      </c>
      <c r="C1064" s="22">
        <v>1</v>
      </c>
      <c r="D1064" s="23">
        <f t="shared" si="48"/>
        <v>1</v>
      </c>
      <c r="E1064" s="24">
        <v>45784</v>
      </c>
    </row>
    <row r="1065" spans="2:5" x14ac:dyDescent="0.15">
      <c r="B1065" s="21" t="s">
        <v>20</v>
      </c>
      <c r="C1065" s="22">
        <f>1+1</f>
        <v>2</v>
      </c>
      <c r="D1065" s="23">
        <f t="shared" si="48"/>
        <v>2</v>
      </c>
      <c r="E1065" s="24">
        <v>45796</v>
      </c>
    </row>
    <row r="1066" spans="2:5" x14ac:dyDescent="0.15">
      <c r="B1066" s="21" t="s">
        <v>20</v>
      </c>
      <c r="C1066" s="22">
        <v>1</v>
      </c>
      <c r="D1066" s="23">
        <f t="shared" si="48"/>
        <v>1</v>
      </c>
      <c r="E1066" s="24">
        <v>45797</v>
      </c>
    </row>
    <row r="1067" spans="2:5" x14ac:dyDescent="0.15">
      <c r="B1067" s="21" t="s">
        <v>20</v>
      </c>
      <c r="C1067" s="22">
        <v>1</v>
      </c>
      <c r="D1067" s="23">
        <f t="shared" si="48"/>
        <v>1</v>
      </c>
      <c r="E1067" s="24">
        <v>45818</v>
      </c>
    </row>
    <row r="1068" spans="2:5" x14ac:dyDescent="0.15">
      <c r="B1068" s="21" t="s">
        <v>20</v>
      </c>
      <c r="C1068" s="22">
        <v>1</v>
      </c>
      <c r="D1068" s="23">
        <f t="shared" si="48"/>
        <v>1</v>
      </c>
      <c r="E1068" s="24">
        <v>45819</v>
      </c>
    </row>
    <row r="1069" spans="2:5" x14ac:dyDescent="0.15">
      <c r="B1069" s="21" t="s">
        <v>20</v>
      </c>
      <c r="C1069" s="22">
        <v>1</v>
      </c>
      <c r="D1069" s="23">
        <f t="shared" si="48"/>
        <v>1</v>
      </c>
      <c r="E1069" s="24">
        <v>45826</v>
      </c>
    </row>
    <row r="1070" spans="2:5" x14ac:dyDescent="0.15">
      <c r="B1070" s="21" t="s">
        <v>20</v>
      </c>
      <c r="C1070" s="22">
        <v>1</v>
      </c>
      <c r="D1070" s="23">
        <f t="shared" si="48"/>
        <v>1</v>
      </c>
      <c r="E1070" s="24">
        <v>45831</v>
      </c>
    </row>
    <row r="1071" spans="2:5" x14ac:dyDescent="0.15">
      <c r="B1071" s="21" t="s">
        <v>20</v>
      </c>
      <c r="C1071" s="22">
        <v>1</v>
      </c>
      <c r="D1071" s="23">
        <f t="shared" si="48"/>
        <v>1</v>
      </c>
      <c r="E1071" s="24">
        <v>45832</v>
      </c>
    </row>
    <row r="1072" spans="2:5" x14ac:dyDescent="0.15">
      <c r="B1072" s="21" t="s">
        <v>20</v>
      </c>
      <c r="C1072" s="22">
        <v>1</v>
      </c>
      <c r="D1072" s="23">
        <f t="shared" si="48"/>
        <v>1</v>
      </c>
      <c r="E1072" s="24">
        <v>45845</v>
      </c>
    </row>
    <row r="1073" spans="2:5" x14ac:dyDescent="0.15">
      <c r="B1073" s="21" t="s">
        <v>20</v>
      </c>
      <c r="C1073" s="22">
        <v>1</v>
      </c>
      <c r="D1073" s="23">
        <f t="shared" si="48"/>
        <v>1</v>
      </c>
      <c r="E1073" s="24">
        <v>45860</v>
      </c>
    </row>
    <row r="1074" spans="2:5" x14ac:dyDescent="0.15">
      <c r="B1074" s="21" t="s">
        <v>20</v>
      </c>
      <c r="C1074" s="22">
        <v>1</v>
      </c>
      <c r="D1074" s="23">
        <f t="shared" si="48"/>
        <v>1</v>
      </c>
      <c r="E1074" s="24">
        <v>45922</v>
      </c>
    </row>
    <row r="1075" spans="2:5" x14ac:dyDescent="0.15">
      <c r="B1075" s="21" t="s">
        <v>20</v>
      </c>
      <c r="C1075" s="22">
        <v>1</v>
      </c>
      <c r="D1075" s="23">
        <f t="shared" si="48"/>
        <v>1</v>
      </c>
      <c r="E1075" s="24">
        <v>45930</v>
      </c>
    </row>
    <row r="1076" spans="2:5" ht="14.25" thickBot="1" x14ac:dyDescent="0.2">
      <c r="B1076" s="21" t="s">
        <v>20</v>
      </c>
      <c r="C1076" s="42">
        <v>3</v>
      </c>
      <c r="D1076" s="43">
        <f t="shared" si="48"/>
        <v>3</v>
      </c>
      <c r="E1076" s="24">
        <v>45936</v>
      </c>
    </row>
    <row r="1077" spans="2:5" x14ac:dyDescent="0.15">
      <c r="B1077" s="58" t="s">
        <v>2</v>
      </c>
      <c r="C1077" s="37">
        <f>SUM(C1052:C1076)</f>
        <v>34</v>
      </c>
      <c r="D1077" s="38">
        <f t="shared" si="48"/>
        <v>34</v>
      </c>
    </row>
    <row r="1078" spans="2:5" ht="14.25" thickBot="1" x14ac:dyDescent="0.2">
      <c r="B1078" s="60" t="s">
        <v>3</v>
      </c>
      <c r="C1078" s="64">
        <f>+C1051-C1077</f>
        <v>336</v>
      </c>
      <c r="D1078" s="65">
        <f t="shared" si="48"/>
        <v>336</v>
      </c>
    </row>
    <row r="1081" spans="2:5" ht="18.75" x14ac:dyDescent="0.2">
      <c r="B1081" s="4" t="s">
        <v>53</v>
      </c>
    </row>
    <row r="1082" spans="2:5" ht="14.25" thickBot="1" x14ac:dyDescent="0.2"/>
    <row r="1083" spans="2:5" ht="14.25" thickBot="1" x14ac:dyDescent="0.2">
      <c r="B1083" s="12"/>
      <c r="C1083" s="74"/>
      <c r="D1083" s="75"/>
    </row>
    <row r="1084" spans="2:5" ht="14.25" thickBot="1" x14ac:dyDescent="0.2">
      <c r="B1084" s="13"/>
      <c r="C1084" s="14"/>
      <c r="D1084" s="15" t="s">
        <v>0</v>
      </c>
    </row>
    <row r="1085" spans="2:5" x14ac:dyDescent="0.15">
      <c r="B1085" s="25" t="s">
        <v>4</v>
      </c>
      <c r="C1085" s="26">
        <f>C1078</f>
        <v>336</v>
      </c>
      <c r="D1085" s="27">
        <f t="shared" ref="D1085:D1118" si="49">SUM(C1085:C1085)</f>
        <v>336</v>
      </c>
    </row>
    <row r="1086" spans="2:5" x14ac:dyDescent="0.15">
      <c r="B1086" s="48" t="s">
        <v>5</v>
      </c>
      <c r="C1086" s="22"/>
      <c r="D1086" s="23">
        <f t="shared" si="49"/>
        <v>0</v>
      </c>
    </row>
    <row r="1087" spans="2:5" x14ac:dyDescent="0.15">
      <c r="B1087" s="48" t="s">
        <v>5</v>
      </c>
      <c r="C1087" s="22"/>
      <c r="D1087" s="23">
        <f t="shared" si="49"/>
        <v>0</v>
      </c>
    </row>
    <row r="1088" spans="2:5" x14ac:dyDescent="0.15">
      <c r="B1088" s="48" t="s">
        <v>5</v>
      </c>
      <c r="C1088" s="22"/>
      <c r="D1088" s="23">
        <f t="shared" si="49"/>
        <v>0</v>
      </c>
    </row>
    <row r="1089" spans="2:5" x14ac:dyDescent="0.15">
      <c r="B1089" s="48" t="s">
        <v>5</v>
      </c>
      <c r="C1089" s="22"/>
      <c r="D1089" s="23">
        <f t="shared" si="49"/>
        <v>0</v>
      </c>
    </row>
    <row r="1090" spans="2:5" ht="14.25" thickBot="1" x14ac:dyDescent="0.2">
      <c r="B1090" s="48" t="s">
        <v>5</v>
      </c>
      <c r="C1090" s="50"/>
      <c r="D1090" s="51">
        <f t="shared" si="49"/>
        <v>0</v>
      </c>
    </row>
    <row r="1091" spans="2:5" ht="14.25" thickBot="1" x14ac:dyDescent="0.2">
      <c r="B1091" s="13" t="s">
        <v>1</v>
      </c>
      <c r="C1091" s="16">
        <f>SUM(C1085:C1090)</f>
        <v>336</v>
      </c>
      <c r="D1091" s="17">
        <f t="shared" si="49"/>
        <v>336</v>
      </c>
    </row>
    <row r="1092" spans="2:5" x14ac:dyDescent="0.15">
      <c r="B1092" s="21" t="s">
        <v>20</v>
      </c>
      <c r="C1092" s="22">
        <v>1</v>
      </c>
      <c r="D1092" s="23">
        <f t="shared" si="49"/>
        <v>1</v>
      </c>
      <c r="E1092" s="24">
        <v>45939</v>
      </c>
    </row>
    <row r="1093" spans="2:5" x14ac:dyDescent="0.15">
      <c r="B1093" s="21" t="s">
        <v>20</v>
      </c>
      <c r="C1093" s="22">
        <v>1</v>
      </c>
      <c r="D1093" s="23">
        <f t="shared" si="49"/>
        <v>1</v>
      </c>
      <c r="E1093" s="24">
        <v>45959</v>
      </c>
    </row>
    <row r="1094" spans="2:5" x14ac:dyDescent="0.15">
      <c r="B1094" s="21" t="s">
        <v>20</v>
      </c>
      <c r="C1094" s="22">
        <v>2</v>
      </c>
      <c r="D1094" s="23">
        <f t="shared" si="49"/>
        <v>2</v>
      </c>
      <c r="E1094" s="24">
        <v>45961</v>
      </c>
    </row>
    <row r="1095" spans="2:5" x14ac:dyDescent="0.15">
      <c r="B1095" s="21" t="s">
        <v>20</v>
      </c>
      <c r="C1095" s="22">
        <v>1</v>
      </c>
      <c r="D1095" s="23">
        <f t="shared" si="49"/>
        <v>1</v>
      </c>
      <c r="E1095" s="24">
        <v>45968</v>
      </c>
    </row>
    <row r="1096" spans="2:5" x14ac:dyDescent="0.15">
      <c r="B1096" s="21" t="s">
        <v>20</v>
      </c>
      <c r="C1096" s="22">
        <v>2</v>
      </c>
      <c r="D1096" s="23">
        <f t="shared" si="49"/>
        <v>2</v>
      </c>
      <c r="E1096" s="24">
        <v>45972</v>
      </c>
    </row>
    <row r="1097" spans="2:5" x14ac:dyDescent="0.15">
      <c r="B1097" s="21" t="s">
        <v>20</v>
      </c>
      <c r="C1097" s="22">
        <v>1</v>
      </c>
      <c r="D1097" s="23">
        <f t="shared" si="49"/>
        <v>1</v>
      </c>
      <c r="E1097" s="24">
        <v>45973</v>
      </c>
    </row>
    <row r="1098" spans="2:5" x14ac:dyDescent="0.15">
      <c r="B1098" s="21" t="s">
        <v>20</v>
      </c>
      <c r="C1098" s="22">
        <v>1</v>
      </c>
      <c r="D1098" s="23">
        <f t="shared" si="49"/>
        <v>1</v>
      </c>
      <c r="E1098" s="24">
        <v>45978</v>
      </c>
    </row>
    <row r="1099" spans="2:5" x14ac:dyDescent="0.15">
      <c r="B1099" s="21" t="s">
        <v>20</v>
      </c>
      <c r="C1099" s="22">
        <v>1</v>
      </c>
      <c r="D1099" s="23">
        <f t="shared" si="49"/>
        <v>1</v>
      </c>
      <c r="E1099" s="24">
        <v>45979</v>
      </c>
    </row>
    <row r="1100" spans="2:5" x14ac:dyDescent="0.15">
      <c r="B1100" s="21" t="s">
        <v>20</v>
      </c>
      <c r="C1100" s="22">
        <v>2</v>
      </c>
      <c r="D1100" s="23">
        <f t="shared" si="49"/>
        <v>2</v>
      </c>
      <c r="E1100" s="24">
        <v>45982</v>
      </c>
    </row>
    <row r="1101" spans="2:5" x14ac:dyDescent="0.15">
      <c r="B1101" s="21" t="s">
        <v>20</v>
      </c>
      <c r="C1101" s="22">
        <v>3</v>
      </c>
      <c r="D1101" s="23">
        <f t="shared" si="49"/>
        <v>3</v>
      </c>
      <c r="E1101" s="24">
        <v>45986</v>
      </c>
    </row>
    <row r="1102" spans="2:5" x14ac:dyDescent="0.15">
      <c r="B1102" s="21" t="s">
        <v>20</v>
      </c>
      <c r="C1102" s="22">
        <v>1</v>
      </c>
      <c r="D1102" s="23">
        <f t="shared" si="49"/>
        <v>1</v>
      </c>
      <c r="E1102" s="24">
        <v>45987</v>
      </c>
    </row>
    <row r="1103" spans="2:5" x14ac:dyDescent="0.15">
      <c r="B1103" s="21" t="s">
        <v>20</v>
      </c>
      <c r="C1103" s="22">
        <v>1</v>
      </c>
      <c r="D1103" s="23">
        <f t="shared" si="49"/>
        <v>1</v>
      </c>
      <c r="E1103" s="24">
        <v>45992</v>
      </c>
    </row>
    <row r="1104" spans="2:5" x14ac:dyDescent="0.15">
      <c r="B1104" s="21" t="s">
        <v>20</v>
      </c>
      <c r="C1104" s="22">
        <v>3</v>
      </c>
      <c r="D1104" s="23">
        <f t="shared" si="49"/>
        <v>3</v>
      </c>
      <c r="E1104" s="24">
        <v>45993</v>
      </c>
    </row>
    <row r="1105" spans="2:5" x14ac:dyDescent="0.15">
      <c r="B1105" s="21" t="s">
        <v>20</v>
      </c>
      <c r="C1105" s="22">
        <v>4</v>
      </c>
      <c r="D1105" s="23">
        <f t="shared" si="49"/>
        <v>4</v>
      </c>
      <c r="E1105" s="24">
        <v>45996</v>
      </c>
    </row>
    <row r="1106" spans="2:5" x14ac:dyDescent="0.15">
      <c r="B1106" s="21" t="s">
        <v>20</v>
      </c>
      <c r="C1106" s="22">
        <v>1</v>
      </c>
      <c r="D1106" s="23">
        <f t="shared" si="49"/>
        <v>1</v>
      </c>
      <c r="E1106" s="24">
        <v>45999</v>
      </c>
    </row>
    <row r="1107" spans="2:5" x14ac:dyDescent="0.15">
      <c r="B1107" s="21" t="s">
        <v>20</v>
      </c>
      <c r="C1107" s="22">
        <v>1</v>
      </c>
      <c r="D1107" s="23">
        <f t="shared" si="49"/>
        <v>1</v>
      </c>
      <c r="E1107" s="24">
        <v>46000</v>
      </c>
    </row>
    <row r="1108" spans="2:5" x14ac:dyDescent="0.15">
      <c r="B1108" s="21" t="s">
        <v>20</v>
      </c>
      <c r="C1108" s="22">
        <v>3</v>
      </c>
      <c r="D1108" s="23">
        <f t="shared" si="49"/>
        <v>3</v>
      </c>
      <c r="E1108" s="24">
        <v>46001</v>
      </c>
    </row>
    <row r="1109" spans="2:5" x14ac:dyDescent="0.15">
      <c r="B1109" s="21" t="s">
        <v>20</v>
      </c>
      <c r="C1109" s="22">
        <v>2</v>
      </c>
      <c r="D1109" s="23">
        <f t="shared" si="49"/>
        <v>2</v>
      </c>
      <c r="E1109" s="24">
        <v>46008</v>
      </c>
    </row>
    <row r="1110" spans="2:5" x14ac:dyDescent="0.15">
      <c r="B1110" s="21" t="s">
        <v>20</v>
      </c>
      <c r="C1110" s="22">
        <v>1</v>
      </c>
      <c r="D1110" s="23">
        <f t="shared" si="49"/>
        <v>1</v>
      </c>
      <c r="E1110" s="24">
        <v>46009</v>
      </c>
    </row>
    <row r="1111" spans="2:5" x14ac:dyDescent="0.15">
      <c r="B1111" s="21" t="s">
        <v>20</v>
      </c>
      <c r="C1111" s="22">
        <v>3</v>
      </c>
      <c r="D1111" s="23">
        <f t="shared" si="49"/>
        <v>3</v>
      </c>
      <c r="E1111" s="24">
        <v>46013</v>
      </c>
    </row>
    <row r="1112" spans="2:5" x14ac:dyDescent="0.15">
      <c r="B1112" s="21" t="s">
        <v>20</v>
      </c>
      <c r="C1112" s="22">
        <v>1</v>
      </c>
      <c r="D1112" s="23">
        <f t="shared" si="49"/>
        <v>1</v>
      </c>
      <c r="E1112" s="24">
        <v>46014</v>
      </c>
    </row>
    <row r="1113" spans="2:5" x14ac:dyDescent="0.15">
      <c r="B1113" s="21" t="s">
        <v>20</v>
      </c>
      <c r="C1113" s="22">
        <v>2</v>
      </c>
      <c r="D1113" s="23">
        <f t="shared" si="49"/>
        <v>2</v>
      </c>
      <c r="E1113" s="24">
        <v>46017</v>
      </c>
    </row>
    <row r="1114" spans="2:5" x14ac:dyDescent="0.15">
      <c r="B1114" s="21" t="s">
        <v>20</v>
      </c>
      <c r="C1114" s="22">
        <v>1</v>
      </c>
      <c r="D1114" s="23">
        <f t="shared" si="49"/>
        <v>1</v>
      </c>
      <c r="E1114" s="24">
        <v>46031</v>
      </c>
    </row>
    <row r="1115" spans="2:5" x14ac:dyDescent="0.15">
      <c r="B1115" s="21" t="s">
        <v>20</v>
      </c>
      <c r="C1115" s="22">
        <v>1</v>
      </c>
      <c r="D1115" s="23">
        <f t="shared" si="49"/>
        <v>1</v>
      </c>
      <c r="E1115" s="24">
        <v>46038</v>
      </c>
    </row>
    <row r="1116" spans="2:5" ht="14.25" thickBot="1" x14ac:dyDescent="0.2">
      <c r="B1116" s="21" t="s">
        <v>20</v>
      </c>
      <c r="C1116" s="42">
        <v>2</v>
      </c>
      <c r="D1116" s="43">
        <f t="shared" si="49"/>
        <v>2</v>
      </c>
      <c r="E1116" s="24">
        <v>46050</v>
      </c>
    </row>
    <row r="1117" spans="2:5" x14ac:dyDescent="0.15">
      <c r="B1117" s="58" t="s">
        <v>2</v>
      </c>
      <c r="C1117" s="37">
        <f>SUM(C1092:C1116)</f>
        <v>42</v>
      </c>
      <c r="D1117" s="38">
        <f t="shared" si="49"/>
        <v>42</v>
      </c>
    </row>
    <row r="1118" spans="2:5" ht="14.25" thickBot="1" x14ac:dyDescent="0.2">
      <c r="B1118" s="60" t="s">
        <v>3</v>
      </c>
      <c r="C1118" s="64">
        <f>+C1091-C1117</f>
        <v>294</v>
      </c>
      <c r="D1118" s="65">
        <f t="shared" si="49"/>
        <v>294</v>
      </c>
    </row>
    <row r="1121" spans="2:5" ht="18.75" x14ac:dyDescent="0.2">
      <c r="B1121" s="4" t="s">
        <v>53</v>
      </c>
    </row>
    <row r="1122" spans="2:5" ht="14.25" thickBot="1" x14ac:dyDescent="0.2"/>
    <row r="1123" spans="2:5" ht="14.25" thickBot="1" x14ac:dyDescent="0.2">
      <c r="B1123" s="12"/>
      <c r="C1123" s="74"/>
      <c r="D1123" s="75"/>
    </row>
    <row r="1124" spans="2:5" ht="14.25" thickBot="1" x14ac:dyDescent="0.2">
      <c r="B1124" s="13"/>
      <c r="C1124" s="14"/>
      <c r="D1124" s="15" t="s">
        <v>0</v>
      </c>
    </row>
    <row r="1125" spans="2:5" x14ac:dyDescent="0.15">
      <c r="B1125" s="25" t="s">
        <v>4</v>
      </c>
      <c r="C1125" s="26">
        <f>C1118</f>
        <v>294</v>
      </c>
      <c r="D1125" s="27">
        <f t="shared" ref="D1125:D1158" si="50">SUM(C1125:C1125)</f>
        <v>294</v>
      </c>
    </row>
    <row r="1126" spans="2:5" x14ac:dyDescent="0.15">
      <c r="B1126" s="48" t="s">
        <v>5</v>
      </c>
      <c r="C1126" s="22"/>
      <c r="D1126" s="23">
        <f t="shared" si="50"/>
        <v>0</v>
      </c>
    </row>
    <row r="1127" spans="2:5" x14ac:dyDescent="0.15">
      <c r="B1127" s="48" t="s">
        <v>5</v>
      </c>
      <c r="C1127" s="22"/>
      <c r="D1127" s="23">
        <f t="shared" si="50"/>
        <v>0</v>
      </c>
    </row>
    <row r="1128" spans="2:5" x14ac:dyDescent="0.15">
      <c r="B1128" s="48" t="s">
        <v>5</v>
      </c>
      <c r="C1128" s="22"/>
      <c r="D1128" s="23">
        <f t="shared" si="50"/>
        <v>0</v>
      </c>
    </row>
    <row r="1129" spans="2:5" x14ac:dyDescent="0.15">
      <c r="B1129" s="48" t="s">
        <v>5</v>
      </c>
      <c r="C1129" s="22"/>
      <c r="D1129" s="23">
        <f t="shared" si="50"/>
        <v>0</v>
      </c>
    </row>
    <row r="1130" spans="2:5" ht="14.25" thickBot="1" x14ac:dyDescent="0.2">
      <c r="B1130" s="48" t="s">
        <v>5</v>
      </c>
      <c r="C1130" s="50"/>
      <c r="D1130" s="51">
        <f t="shared" si="50"/>
        <v>0</v>
      </c>
    </row>
    <row r="1131" spans="2:5" ht="14.25" thickBot="1" x14ac:dyDescent="0.2">
      <c r="B1131" s="13" t="s">
        <v>1</v>
      </c>
      <c r="C1131" s="16">
        <f>SUM(C1125:C1130)</f>
        <v>294</v>
      </c>
      <c r="D1131" s="17">
        <f t="shared" si="50"/>
        <v>294</v>
      </c>
    </row>
    <row r="1132" spans="2:5" x14ac:dyDescent="0.15">
      <c r="B1132" s="21" t="s">
        <v>20</v>
      </c>
      <c r="C1132" s="22">
        <v>2</v>
      </c>
      <c r="D1132" s="23">
        <f t="shared" si="50"/>
        <v>2</v>
      </c>
      <c r="E1132" s="24">
        <v>46055</v>
      </c>
    </row>
    <row r="1133" spans="2:5" x14ac:dyDescent="0.15">
      <c r="B1133" s="21" t="s">
        <v>20</v>
      </c>
      <c r="C1133" s="22">
        <v>5</v>
      </c>
      <c r="D1133" s="23">
        <f t="shared" si="50"/>
        <v>5</v>
      </c>
      <c r="E1133" s="24">
        <v>46062</v>
      </c>
    </row>
    <row r="1134" spans="2:5" x14ac:dyDescent="0.15">
      <c r="B1134" s="21" t="s">
        <v>20</v>
      </c>
      <c r="C1134" s="22">
        <v>2</v>
      </c>
      <c r="D1134" s="23">
        <f t="shared" si="50"/>
        <v>2</v>
      </c>
      <c r="E1134" s="24">
        <v>46069</v>
      </c>
    </row>
    <row r="1135" spans="2:5" x14ac:dyDescent="0.15">
      <c r="B1135" s="21" t="s">
        <v>20</v>
      </c>
      <c r="C1135" s="22">
        <v>1</v>
      </c>
      <c r="D1135" s="23">
        <f t="shared" si="50"/>
        <v>1</v>
      </c>
      <c r="E1135" s="24">
        <v>46071</v>
      </c>
    </row>
    <row r="1136" spans="2:5" x14ac:dyDescent="0.15">
      <c r="B1136" s="21" t="s">
        <v>20</v>
      </c>
      <c r="C1136" s="22">
        <v>1</v>
      </c>
      <c r="D1136" s="23">
        <f t="shared" si="50"/>
        <v>1</v>
      </c>
      <c r="E1136" s="24">
        <v>46086</v>
      </c>
    </row>
    <row r="1137" spans="2:5" x14ac:dyDescent="0.15">
      <c r="B1137" s="21" t="s">
        <v>20</v>
      </c>
      <c r="C1137" s="22">
        <v>1</v>
      </c>
      <c r="D1137" s="23">
        <f t="shared" si="50"/>
        <v>1</v>
      </c>
      <c r="E1137" s="24">
        <v>46092</v>
      </c>
    </row>
    <row r="1138" spans="2:5" x14ac:dyDescent="0.15">
      <c r="B1138" s="21" t="s">
        <v>20</v>
      </c>
      <c r="C1138" s="22">
        <v>1</v>
      </c>
      <c r="D1138" s="23">
        <f t="shared" si="50"/>
        <v>1</v>
      </c>
      <c r="E1138" s="24">
        <v>46093</v>
      </c>
    </row>
    <row r="1139" spans="2:5" x14ac:dyDescent="0.15">
      <c r="B1139" s="21" t="s">
        <v>20</v>
      </c>
      <c r="C1139" s="22">
        <f>1+4</f>
        <v>5</v>
      </c>
      <c r="D1139" s="23">
        <f t="shared" si="50"/>
        <v>5</v>
      </c>
      <c r="E1139" s="24">
        <v>46104</v>
      </c>
    </row>
    <row r="1140" spans="2:5" x14ac:dyDescent="0.15">
      <c r="B1140" s="21" t="s">
        <v>20</v>
      </c>
      <c r="C1140" s="22">
        <v>5</v>
      </c>
      <c r="D1140" s="23">
        <f t="shared" si="50"/>
        <v>5</v>
      </c>
      <c r="E1140" s="24">
        <v>46107</v>
      </c>
    </row>
    <row r="1141" spans="2:5" x14ac:dyDescent="0.15">
      <c r="B1141" s="21" t="s">
        <v>20</v>
      </c>
      <c r="C1141" s="22">
        <v>1</v>
      </c>
      <c r="D1141" s="23">
        <f t="shared" si="50"/>
        <v>1</v>
      </c>
      <c r="E1141" s="24">
        <v>46128</v>
      </c>
    </row>
    <row r="1142" spans="2:5" x14ac:dyDescent="0.15">
      <c r="B1142" s="21" t="s">
        <v>20</v>
      </c>
      <c r="C1142" s="22">
        <v>2</v>
      </c>
      <c r="D1142" s="23">
        <f t="shared" si="50"/>
        <v>2</v>
      </c>
      <c r="E1142" s="24">
        <v>46157</v>
      </c>
    </row>
    <row r="1143" spans="2:5" x14ac:dyDescent="0.15">
      <c r="B1143" s="21" t="s">
        <v>20</v>
      </c>
      <c r="C1143" s="22">
        <v>1</v>
      </c>
      <c r="D1143" s="23">
        <f t="shared" si="50"/>
        <v>1</v>
      </c>
      <c r="E1143" s="24">
        <v>46160</v>
      </c>
    </row>
    <row r="1144" spans="2:5" x14ac:dyDescent="0.15">
      <c r="B1144" s="21"/>
      <c r="C1144" s="22"/>
      <c r="D1144" s="23">
        <f t="shared" si="50"/>
        <v>0</v>
      </c>
    </row>
    <row r="1145" spans="2:5" x14ac:dyDescent="0.15">
      <c r="B1145" s="21"/>
      <c r="C1145" s="22"/>
      <c r="D1145" s="23">
        <f t="shared" si="50"/>
        <v>0</v>
      </c>
    </row>
    <row r="1146" spans="2:5" x14ac:dyDescent="0.15">
      <c r="B1146" s="21"/>
      <c r="C1146" s="22"/>
      <c r="D1146" s="23">
        <f t="shared" si="50"/>
        <v>0</v>
      </c>
    </row>
    <row r="1147" spans="2:5" x14ac:dyDescent="0.15">
      <c r="B1147" s="21"/>
      <c r="C1147" s="22"/>
      <c r="D1147" s="23">
        <f t="shared" si="50"/>
        <v>0</v>
      </c>
    </row>
    <row r="1148" spans="2:5" x14ac:dyDescent="0.15">
      <c r="B1148" s="21"/>
      <c r="C1148" s="22"/>
      <c r="D1148" s="23">
        <f t="shared" si="50"/>
        <v>0</v>
      </c>
    </row>
    <row r="1149" spans="2:5" x14ac:dyDescent="0.15">
      <c r="B1149" s="21"/>
      <c r="C1149" s="22"/>
      <c r="D1149" s="23">
        <f t="shared" si="50"/>
        <v>0</v>
      </c>
    </row>
    <row r="1150" spans="2:5" x14ac:dyDescent="0.15">
      <c r="B1150" s="21"/>
      <c r="C1150" s="22"/>
      <c r="D1150" s="23">
        <f t="shared" si="50"/>
        <v>0</v>
      </c>
    </row>
    <row r="1151" spans="2:5" x14ac:dyDescent="0.15">
      <c r="B1151" s="21"/>
      <c r="C1151" s="22"/>
      <c r="D1151" s="23">
        <f t="shared" si="50"/>
        <v>0</v>
      </c>
    </row>
    <row r="1152" spans="2:5" x14ac:dyDescent="0.15">
      <c r="B1152" s="21"/>
      <c r="C1152" s="22"/>
      <c r="D1152" s="23">
        <f t="shared" si="50"/>
        <v>0</v>
      </c>
    </row>
    <row r="1153" spans="2:4" x14ac:dyDescent="0.15">
      <c r="B1153" s="21"/>
      <c r="C1153" s="22"/>
      <c r="D1153" s="23">
        <f t="shared" si="50"/>
        <v>0</v>
      </c>
    </row>
    <row r="1154" spans="2:4" x14ac:dyDescent="0.15">
      <c r="B1154" s="21"/>
      <c r="C1154" s="22"/>
      <c r="D1154" s="23">
        <f t="shared" si="50"/>
        <v>0</v>
      </c>
    </row>
    <row r="1155" spans="2:4" x14ac:dyDescent="0.15">
      <c r="B1155" s="21"/>
      <c r="C1155" s="22"/>
      <c r="D1155" s="23">
        <f t="shared" si="50"/>
        <v>0</v>
      </c>
    </row>
    <row r="1156" spans="2:4" ht="14.25" thickBot="1" x14ac:dyDescent="0.2">
      <c r="B1156" s="21"/>
      <c r="C1156" s="42"/>
      <c r="D1156" s="43">
        <f t="shared" si="50"/>
        <v>0</v>
      </c>
    </row>
    <row r="1157" spans="2:4" x14ac:dyDescent="0.15">
      <c r="B1157" s="58" t="s">
        <v>2</v>
      </c>
      <c r="C1157" s="37">
        <f>SUM(C1132:C1156)</f>
        <v>27</v>
      </c>
      <c r="D1157" s="38">
        <f t="shared" si="50"/>
        <v>27</v>
      </c>
    </row>
    <row r="1158" spans="2:4" ht="14.25" thickBot="1" x14ac:dyDescent="0.2">
      <c r="B1158" s="60" t="s">
        <v>3</v>
      </c>
      <c r="C1158" s="64">
        <f>+C1131-C1157</f>
        <v>267</v>
      </c>
      <c r="D1158" s="65">
        <f t="shared" si="50"/>
        <v>267</v>
      </c>
    </row>
  </sheetData>
  <mergeCells count="43">
    <mergeCell ref="C1123:D1123"/>
    <mergeCell ref="H403:I403"/>
    <mergeCell ref="C403:D403"/>
    <mergeCell ref="C803:D803"/>
    <mergeCell ref="C763:D763"/>
    <mergeCell ref="C723:D723"/>
    <mergeCell ref="C683:D683"/>
    <mergeCell ref="H683:I683"/>
    <mergeCell ref="H603:I603"/>
    <mergeCell ref="C563:D563"/>
    <mergeCell ref="H563:I563"/>
    <mergeCell ref="C523:D523"/>
    <mergeCell ref="H523:I523"/>
    <mergeCell ref="C1083:D1083"/>
    <mergeCell ref="C1043:D1043"/>
    <mergeCell ref="C1003:D1003"/>
    <mergeCell ref="H163:I163"/>
    <mergeCell ref="H203:I203"/>
    <mergeCell ref="H243:I243"/>
    <mergeCell ref="H283:I283"/>
    <mergeCell ref="C643:D643"/>
    <mergeCell ref="H643:I643"/>
    <mergeCell ref="C483:D483"/>
    <mergeCell ref="H483:I483"/>
    <mergeCell ref="C443:D443"/>
    <mergeCell ref="C243:D243"/>
    <mergeCell ref="C283:D283"/>
    <mergeCell ref="C203:D203"/>
    <mergeCell ref="H363:I363"/>
    <mergeCell ref="H443:I443"/>
    <mergeCell ref="C323:D323"/>
    <mergeCell ref="H323:I323"/>
    <mergeCell ref="C3:D3"/>
    <mergeCell ref="C43:D43"/>
    <mergeCell ref="C83:D83"/>
    <mergeCell ref="C123:D123"/>
    <mergeCell ref="C163:D163"/>
    <mergeCell ref="C963:D963"/>
    <mergeCell ref="C363:D363"/>
    <mergeCell ref="C603:D603"/>
    <mergeCell ref="C923:D923"/>
    <mergeCell ref="C883:D883"/>
    <mergeCell ref="C843:D843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8700000000000003" right="0.78700000000000003" top="0.98399999999999999" bottom="0.98399999999999999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マスク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村田敦彦</cp:lastModifiedBy>
  <dcterms:created xsi:type="dcterms:W3CDTF">1997-01-08T22:48:59Z</dcterms:created>
  <dcterms:modified xsi:type="dcterms:W3CDTF">2026-05-18T07:05:38Z</dcterms:modified>
</cp:coreProperties>
</file>