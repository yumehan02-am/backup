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Yhds220p\10_発注管理\夢販流通\スガノ工房\"/>
    </mc:Choice>
  </mc:AlternateContent>
  <xr:revisionPtr revIDLastSave="0" documentId="13_ncr:1_{BA2C0035-B4BC-4B7C-8A2B-FE93E8D4C9A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ウエストウォーマー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76" i="1" l="1"/>
  <c r="K277" i="1"/>
  <c r="J301" i="1"/>
  <c r="I301" i="1"/>
  <c r="K301" i="1" s="1"/>
  <c r="D301" i="1"/>
  <c r="C301" i="1"/>
  <c r="E301" i="1" s="1"/>
  <c r="K300" i="1"/>
  <c r="E300" i="1"/>
  <c r="K299" i="1"/>
  <c r="E299" i="1"/>
  <c r="K298" i="1"/>
  <c r="E298" i="1"/>
  <c r="K297" i="1"/>
  <c r="E297" i="1"/>
  <c r="K296" i="1"/>
  <c r="E296" i="1"/>
  <c r="K295" i="1"/>
  <c r="E295" i="1"/>
  <c r="K294" i="1"/>
  <c r="E294" i="1"/>
  <c r="K293" i="1"/>
  <c r="E293" i="1"/>
  <c r="K292" i="1"/>
  <c r="E292" i="1"/>
  <c r="K291" i="1"/>
  <c r="E291" i="1"/>
  <c r="K290" i="1"/>
  <c r="E290" i="1"/>
  <c r="K289" i="1"/>
  <c r="E289" i="1"/>
  <c r="K288" i="1"/>
  <c r="E288" i="1"/>
  <c r="K287" i="1"/>
  <c r="E287" i="1"/>
  <c r="K286" i="1"/>
  <c r="E286" i="1"/>
  <c r="K285" i="1"/>
  <c r="E285" i="1"/>
  <c r="K284" i="1"/>
  <c r="E284" i="1"/>
  <c r="K283" i="1"/>
  <c r="E283" i="1"/>
  <c r="K282" i="1"/>
  <c r="E282" i="1"/>
  <c r="K281" i="1"/>
  <c r="E281" i="1"/>
  <c r="K280" i="1"/>
  <c r="E280" i="1"/>
  <c r="K279" i="1"/>
  <c r="E279" i="1"/>
  <c r="K278" i="1"/>
  <c r="E278" i="1"/>
  <c r="E277" i="1"/>
  <c r="E276" i="1"/>
  <c r="K274" i="1"/>
  <c r="E274" i="1"/>
  <c r="K273" i="1"/>
  <c r="E273" i="1"/>
  <c r="K272" i="1"/>
  <c r="E272" i="1"/>
  <c r="C258" i="1"/>
  <c r="E258" i="1" s="1"/>
  <c r="K238" i="1"/>
  <c r="K239" i="1"/>
  <c r="J263" i="1"/>
  <c r="I263" i="1"/>
  <c r="K263" i="1" s="1"/>
  <c r="D263" i="1"/>
  <c r="K262" i="1"/>
  <c r="E262" i="1"/>
  <c r="K261" i="1"/>
  <c r="E261" i="1"/>
  <c r="K260" i="1"/>
  <c r="E260" i="1"/>
  <c r="K259" i="1"/>
  <c r="E259" i="1"/>
  <c r="K258" i="1"/>
  <c r="K257" i="1"/>
  <c r="E257" i="1"/>
  <c r="K256" i="1"/>
  <c r="E256" i="1"/>
  <c r="K255" i="1"/>
  <c r="E255" i="1"/>
  <c r="K254" i="1"/>
  <c r="E254" i="1"/>
  <c r="K253" i="1"/>
  <c r="E253" i="1"/>
  <c r="K252" i="1"/>
  <c r="E252" i="1"/>
  <c r="K251" i="1"/>
  <c r="E251" i="1"/>
  <c r="K250" i="1"/>
  <c r="E250" i="1"/>
  <c r="K249" i="1"/>
  <c r="E249" i="1"/>
  <c r="K248" i="1"/>
  <c r="E248" i="1"/>
  <c r="K247" i="1"/>
  <c r="E247" i="1"/>
  <c r="K246" i="1"/>
  <c r="E246" i="1"/>
  <c r="K245" i="1"/>
  <c r="E245" i="1"/>
  <c r="K244" i="1"/>
  <c r="E244" i="1"/>
  <c r="K243" i="1"/>
  <c r="E243" i="1"/>
  <c r="K242" i="1"/>
  <c r="E242" i="1"/>
  <c r="K241" i="1"/>
  <c r="E241" i="1"/>
  <c r="K240" i="1"/>
  <c r="E240" i="1"/>
  <c r="C263" i="1"/>
  <c r="E238" i="1"/>
  <c r="K236" i="1"/>
  <c r="E236" i="1"/>
  <c r="K235" i="1"/>
  <c r="E235" i="1"/>
  <c r="K234" i="1"/>
  <c r="E234" i="1"/>
  <c r="K200" i="1"/>
  <c r="C201" i="1"/>
  <c r="E201" i="1" s="1"/>
  <c r="E198" i="1"/>
  <c r="E197" i="1"/>
  <c r="E196" i="1"/>
  <c r="E223" i="1"/>
  <c r="K223" i="1"/>
  <c r="E200" i="1"/>
  <c r="K201" i="1"/>
  <c r="E202" i="1"/>
  <c r="K202" i="1"/>
  <c r="E203" i="1"/>
  <c r="K203" i="1"/>
  <c r="E204" i="1"/>
  <c r="K204" i="1"/>
  <c r="E205" i="1"/>
  <c r="K205" i="1"/>
  <c r="E206" i="1"/>
  <c r="K206" i="1"/>
  <c r="E207" i="1"/>
  <c r="K207" i="1"/>
  <c r="E208" i="1"/>
  <c r="K208" i="1"/>
  <c r="E209" i="1"/>
  <c r="K209" i="1"/>
  <c r="E210" i="1"/>
  <c r="K210" i="1"/>
  <c r="E211" i="1"/>
  <c r="K211" i="1"/>
  <c r="E212" i="1"/>
  <c r="K212" i="1"/>
  <c r="E213" i="1"/>
  <c r="K213" i="1"/>
  <c r="E214" i="1"/>
  <c r="K214" i="1"/>
  <c r="E215" i="1"/>
  <c r="K215" i="1"/>
  <c r="E216" i="1"/>
  <c r="K216" i="1"/>
  <c r="E217" i="1"/>
  <c r="K217" i="1"/>
  <c r="E218" i="1"/>
  <c r="K218" i="1"/>
  <c r="E219" i="1"/>
  <c r="K219" i="1"/>
  <c r="E220" i="1"/>
  <c r="K220" i="1"/>
  <c r="E221" i="1"/>
  <c r="K221" i="1"/>
  <c r="J225" i="1"/>
  <c r="I225" i="1"/>
  <c r="D225" i="1"/>
  <c r="C225" i="1"/>
  <c r="K224" i="1"/>
  <c r="E224" i="1"/>
  <c r="K222" i="1"/>
  <c r="E222" i="1"/>
  <c r="K198" i="1"/>
  <c r="K197" i="1"/>
  <c r="K196" i="1"/>
  <c r="K160" i="1"/>
  <c r="E186" i="1"/>
  <c r="E160" i="1"/>
  <c r="K145" i="1"/>
  <c r="K185" i="1"/>
  <c r="K162" i="1"/>
  <c r="K163" i="1"/>
  <c r="K164" i="1"/>
  <c r="K165" i="1"/>
  <c r="K166" i="1"/>
  <c r="K167" i="1"/>
  <c r="K168" i="1"/>
  <c r="K169" i="1"/>
  <c r="K170" i="1"/>
  <c r="K171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6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J187" i="1"/>
  <c r="I187" i="1"/>
  <c r="D187" i="1"/>
  <c r="C187" i="1"/>
  <c r="E185" i="1"/>
  <c r="K172" i="1"/>
  <c r="K159" i="1"/>
  <c r="E159" i="1"/>
  <c r="K158" i="1"/>
  <c r="E158" i="1"/>
  <c r="C121" i="1"/>
  <c r="E121" i="1" s="1"/>
  <c r="K128" i="1"/>
  <c r="C135" i="1"/>
  <c r="K126" i="1"/>
  <c r="E263" i="1" l="1"/>
  <c r="E239" i="1"/>
  <c r="E225" i="1"/>
  <c r="K225" i="1"/>
  <c r="K187" i="1"/>
  <c r="E187" i="1"/>
  <c r="E120" i="1"/>
  <c r="K120" i="1"/>
  <c r="E124" i="1"/>
  <c r="K124" i="1"/>
  <c r="E125" i="1"/>
  <c r="K125" i="1"/>
  <c r="E126" i="1"/>
  <c r="E127" i="1"/>
  <c r="K127" i="1"/>
  <c r="E128" i="1"/>
  <c r="E129" i="1"/>
  <c r="K129" i="1"/>
  <c r="E130" i="1"/>
  <c r="K130" i="1"/>
  <c r="E131" i="1"/>
  <c r="K131" i="1"/>
  <c r="E132" i="1"/>
  <c r="K132" i="1"/>
  <c r="E133" i="1"/>
  <c r="K133" i="1"/>
  <c r="E134" i="1"/>
  <c r="K134" i="1"/>
  <c r="E135" i="1"/>
  <c r="K135" i="1"/>
  <c r="E136" i="1"/>
  <c r="K136" i="1"/>
  <c r="E137" i="1"/>
  <c r="K137" i="1"/>
  <c r="E138" i="1"/>
  <c r="K138" i="1"/>
  <c r="E139" i="1"/>
  <c r="K139" i="1"/>
  <c r="E140" i="1"/>
  <c r="K140" i="1"/>
  <c r="E141" i="1"/>
  <c r="K141" i="1"/>
  <c r="E142" i="1"/>
  <c r="K142" i="1"/>
  <c r="E143" i="1"/>
  <c r="K143" i="1"/>
  <c r="E144" i="1"/>
  <c r="K144" i="1"/>
  <c r="E145" i="1"/>
  <c r="E146" i="1"/>
  <c r="K146" i="1"/>
  <c r="J149" i="1"/>
  <c r="I149" i="1"/>
  <c r="D149" i="1"/>
  <c r="C149" i="1"/>
  <c r="K148" i="1"/>
  <c r="E148" i="1"/>
  <c r="K147" i="1"/>
  <c r="E147" i="1"/>
  <c r="K122" i="1"/>
  <c r="E122" i="1"/>
  <c r="K121" i="1"/>
  <c r="K92" i="1"/>
  <c r="D102" i="1"/>
  <c r="D99" i="1"/>
  <c r="C87" i="1"/>
  <c r="K149" i="1" l="1"/>
  <c r="E149" i="1"/>
  <c r="K70" i="1"/>
  <c r="K71" i="1"/>
  <c r="K72" i="1"/>
  <c r="J111" i="1"/>
  <c r="I111" i="1"/>
  <c r="K110" i="1"/>
  <c r="E110" i="1"/>
  <c r="K109" i="1"/>
  <c r="E109" i="1"/>
  <c r="K108" i="1"/>
  <c r="E108" i="1"/>
  <c r="K107" i="1"/>
  <c r="E107" i="1"/>
  <c r="K106" i="1"/>
  <c r="E106" i="1"/>
  <c r="K105" i="1"/>
  <c r="E105" i="1"/>
  <c r="K104" i="1"/>
  <c r="E104" i="1"/>
  <c r="K103" i="1"/>
  <c r="E103" i="1"/>
  <c r="K102" i="1"/>
  <c r="E102" i="1"/>
  <c r="K101" i="1"/>
  <c r="E101" i="1"/>
  <c r="K100" i="1"/>
  <c r="E100" i="1"/>
  <c r="K99" i="1"/>
  <c r="E99" i="1"/>
  <c r="K98" i="1"/>
  <c r="E98" i="1"/>
  <c r="K97" i="1"/>
  <c r="E97" i="1"/>
  <c r="K96" i="1"/>
  <c r="E96" i="1"/>
  <c r="K95" i="1"/>
  <c r="E95" i="1"/>
  <c r="K94" i="1"/>
  <c r="E94" i="1"/>
  <c r="K93" i="1"/>
  <c r="E93" i="1"/>
  <c r="D111" i="1"/>
  <c r="K91" i="1"/>
  <c r="E91" i="1"/>
  <c r="K90" i="1"/>
  <c r="E90" i="1"/>
  <c r="K89" i="1"/>
  <c r="E89" i="1"/>
  <c r="K88" i="1"/>
  <c r="E88" i="1"/>
  <c r="C111" i="1"/>
  <c r="K87" i="1"/>
  <c r="E87" i="1"/>
  <c r="K86" i="1"/>
  <c r="E86" i="1"/>
  <c r="K84" i="1"/>
  <c r="E84" i="1"/>
  <c r="K83" i="1"/>
  <c r="E83" i="1"/>
  <c r="K82" i="1"/>
  <c r="E82" i="1"/>
  <c r="K111" i="1" l="1"/>
  <c r="E111" i="1"/>
  <c r="E92" i="1"/>
  <c r="D54" i="1"/>
  <c r="K54" i="1"/>
  <c r="C50" i="1"/>
  <c r="K53" i="1"/>
  <c r="K14" i="1"/>
  <c r="K13" i="1"/>
  <c r="E7" i="1"/>
  <c r="J73" i="1" l="1"/>
  <c r="I73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2" i="1"/>
  <c r="K51" i="1"/>
  <c r="K50" i="1"/>
  <c r="K49" i="1"/>
  <c r="K48" i="1"/>
  <c r="K46" i="1"/>
  <c r="K45" i="1"/>
  <c r="K44" i="1"/>
  <c r="J35" i="1"/>
  <c r="I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2" i="1"/>
  <c r="K11" i="1"/>
  <c r="K10" i="1"/>
  <c r="J9" i="1"/>
  <c r="I9" i="1"/>
  <c r="K8" i="1"/>
  <c r="K7" i="1"/>
  <c r="K6" i="1"/>
  <c r="K5" i="1"/>
  <c r="D73" i="1"/>
  <c r="C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6" i="1"/>
  <c r="E45" i="1"/>
  <c r="E44" i="1"/>
  <c r="D35" i="1"/>
  <c r="D9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11" i="1"/>
  <c r="E10" i="1"/>
  <c r="E6" i="1"/>
  <c r="E8" i="1"/>
  <c r="E5" i="1"/>
  <c r="C9" i="1"/>
  <c r="C35" i="1"/>
  <c r="D36" i="1" l="1"/>
  <c r="D43" i="1" s="1"/>
  <c r="D47" i="1" s="1"/>
  <c r="D74" i="1" s="1"/>
  <c r="D81" i="1" s="1"/>
  <c r="D85" i="1" s="1"/>
  <c r="D112" i="1" s="1"/>
  <c r="D119" i="1" s="1"/>
  <c r="D123" i="1" s="1"/>
  <c r="D150" i="1" s="1"/>
  <c r="D157" i="1" s="1"/>
  <c r="D161" i="1" s="1"/>
  <c r="D188" i="1" s="1"/>
  <c r="D195" i="1" s="1"/>
  <c r="D199" i="1" s="1"/>
  <c r="D226" i="1" s="1"/>
  <c r="D233" i="1" s="1"/>
  <c r="D237" i="1" s="1"/>
  <c r="D264" i="1" s="1"/>
  <c r="D271" i="1" s="1"/>
  <c r="D275" i="1" s="1"/>
  <c r="D302" i="1" s="1"/>
  <c r="K73" i="1"/>
  <c r="E73" i="1"/>
  <c r="J36" i="1"/>
  <c r="J43" i="1" s="1"/>
  <c r="J47" i="1" s="1"/>
  <c r="J74" i="1" s="1"/>
  <c r="J81" i="1" s="1"/>
  <c r="J85" i="1" s="1"/>
  <c r="J112" i="1" s="1"/>
  <c r="J119" i="1" s="1"/>
  <c r="J123" i="1" s="1"/>
  <c r="J150" i="1" s="1"/>
  <c r="J157" i="1" s="1"/>
  <c r="K35" i="1"/>
  <c r="K9" i="1"/>
  <c r="I36" i="1"/>
  <c r="E35" i="1"/>
  <c r="C36" i="1"/>
  <c r="C43" i="1" s="1"/>
  <c r="E9" i="1"/>
  <c r="J161" i="1" l="1"/>
  <c r="J188" i="1" s="1"/>
  <c r="J195" i="1" s="1"/>
  <c r="J199" i="1" s="1"/>
  <c r="J226" i="1" s="1"/>
  <c r="J233" i="1" s="1"/>
  <c r="J237" i="1" s="1"/>
  <c r="J264" i="1" s="1"/>
  <c r="J271" i="1" s="1"/>
  <c r="J275" i="1" s="1"/>
  <c r="J302" i="1" s="1"/>
  <c r="K36" i="1"/>
  <c r="I43" i="1"/>
  <c r="I47" i="1" s="1"/>
  <c r="E36" i="1"/>
  <c r="E43" i="1"/>
  <c r="C47" i="1"/>
  <c r="K43" i="1" l="1"/>
  <c r="C74" i="1"/>
  <c r="E47" i="1"/>
  <c r="I74" i="1"/>
  <c r="K47" i="1"/>
  <c r="E74" i="1" l="1"/>
  <c r="C81" i="1"/>
  <c r="K74" i="1"/>
  <c r="I81" i="1"/>
  <c r="C85" i="1" l="1"/>
  <c r="E81" i="1"/>
  <c r="I85" i="1"/>
  <c r="K81" i="1"/>
  <c r="E85" i="1" l="1"/>
  <c r="C112" i="1"/>
  <c r="I112" i="1"/>
  <c r="K85" i="1"/>
  <c r="K112" i="1" l="1"/>
  <c r="I119" i="1"/>
  <c r="E112" i="1"/>
  <c r="C119" i="1"/>
  <c r="I123" i="1" l="1"/>
  <c r="K119" i="1"/>
  <c r="E119" i="1"/>
  <c r="C123" i="1"/>
  <c r="I150" i="1" l="1"/>
  <c r="K123" i="1"/>
  <c r="E123" i="1"/>
  <c r="C150" i="1"/>
  <c r="K150" i="1" l="1"/>
  <c r="I157" i="1"/>
  <c r="E150" i="1"/>
  <c r="C157" i="1"/>
  <c r="I161" i="1" l="1"/>
  <c r="K157" i="1"/>
  <c r="C161" i="1"/>
  <c r="E157" i="1"/>
  <c r="I188" i="1" l="1"/>
  <c r="K161" i="1"/>
  <c r="E161" i="1"/>
  <c r="C188" i="1"/>
  <c r="K188" i="1" l="1"/>
  <c r="I195" i="1"/>
  <c r="E188" i="1"/>
  <c r="C195" i="1"/>
  <c r="I199" i="1" l="1"/>
  <c r="K195" i="1"/>
  <c r="E195" i="1"/>
  <c r="C199" i="1"/>
  <c r="I226" i="1" l="1"/>
  <c r="K199" i="1"/>
  <c r="E199" i="1"/>
  <c r="C226" i="1"/>
  <c r="I233" i="1" l="1"/>
  <c r="K226" i="1"/>
  <c r="E226" i="1"/>
  <c r="C233" i="1"/>
  <c r="K233" i="1" l="1"/>
  <c r="I237" i="1"/>
  <c r="C237" i="1"/>
  <c r="E233" i="1"/>
  <c r="K237" i="1" l="1"/>
  <c r="I264" i="1"/>
  <c r="C264" i="1"/>
  <c r="E237" i="1"/>
  <c r="E264" i="1" l="1"/>
  <c r="C271" i="1"/>
  <c r="K264" i="1"/>
  <c r="I271" i="1"/>
  <c r="I275" i="1" l="1"/>
  <c r="K271" i="1"/>
  <c r="C275" i="1"/>
  <c r="E271" i="1"/>
  <c r="C302" i="1" l="1"/>
  <c r="E302" i="1" s="1"/>
  <c r="E275" i="1"/>
  <c r="I302" i="1"/>
  <c r="K302" i="1" s="1"/>
  <c r="K275" i="1"/>
</calcChain>
</file>

<file path=xl/sharedStrings.xml><?xml version="1.0" encoding="utf-8"?>
<sst xmlns="http://schemas.openxmlformats.org/spreadsheetml/2006/main" count="398" uniqueCount="84">
  <si>
    <t>計</t>
    <rPh sb="0" eb="1">
      <t>ケイ</t>
    </rPh>
    <phoneticPr fontId="1"/>
  </si>
  <si>
    <t>総数</t>
    <rPh sb="0" eb="2">
      <t>ソウスウ</t>
    </rPh>
    <phoneticPr fontId="1"/>
  </si>
  <si>
    <t>出荷数</t>
    <rPh sb="0" eb="2">
      <t>シュッカ</t>
    </rPh>
    <rPh sb="2" eb="3">
      <t>スウ</t>
    </rPh>
    <phoneticPr fontId="1"/>
  </si>
  <si>
    <t>残数</t>
    <rPh sb="0" eb="2">
      <t>ザンスウ</t>
    </rPh>
    <phoneticPr fontId="1"/>
  </si>
  <si>
    <t>追加</t>
    <rPh sb="0" eb="2">
      <t>ツイカ</t>
    </rPh>
    <phoneticPr fontId="1"/>
  </si>
  <si>
    <t>初回</t>
    <rPh sb="0" eb="2">
      <t>ショカイ</t>
    </rPh>
    <phoneticPr fontId="1"/>
  </si>
  <si>
    <t>白</t>
    <rPh sb="0" eb="1">
      <t>シロ</t>
    </rPh>
    <phoneticPr fontId="1"/>
  </si>
  <si>
    <t>茶</t>
    <rPh sb="0" eb="1">
      <t>チャ</t>
    </rPh>
    <phoneticPr fontId="1"/>
  </si>
  <si>
    <t>きなり4月3回</t>
    <rPh sb="4" eb="5">
      <t>ガツ</t>
    </rPh>
    <rPh sb="6" eb="7">
      <t>カイ</t>
    </rPh>
    <phoneticPr fontId="1"/>
  </si>
  <si>
    <t>アバウト・初回4/14、最終4/20</t>
    <rPh sb="5" eb="7">
      <t>ショカイ</t>
    </rPh>
    <rPh sb="12" eb="14">
      <t>サイシュウ</t>
    </rPh>
    <phoneticPr fontId="1"/>
  </si>
  <si>
    <t>ウエストウォーマー　ショート　（夢販在庫）</t>
    <rPh sb="16" eb="18">
      <t>ユメハン</t>
    </rPh>
    <rPh sb="18" eb="20">
      <t>ザイコ</t>
    </rPh>
    <phoneticPr fontId="1"/>
  </si>
  <si>
    <t>ウエストウォーマー　ショート　（ＫＰＯＲＴ在庫）</t>
    <rPh sb="21" eb="23">
      <t>ザイコ</t>
    </rPh>
    <phoneticPr fontId="1"/>
  </si>
  <si>
    <t>くらし企画（事前点検用）</t>
    <rPh sb="3" eb="5">
      <t>キカク</t>
    </rPh>
    <rPh sb="6" eb="8">
      <t>ジゼン</t>
    </rPh>
    <rPh sb="8" eb="11">
      <t>テンケンヨウ</t>
    </rPh>
    <phoneticPr fontId="1"/>
  </si>
  <si>
    <t>製品検査用(パルシステム)</t>
    <rPh sb="0" eb="2">
      <t>セイヒン</t>
    </rPh>
    <rPh sb="2" eb="4">
      <t>ケンサ</t>
    </rPh>
    <rPh sb="4" eb="5">
      <t>ヨウ</t>
    </rPh>
    <phoneticPr fontId="1"/>
  </si>
  <si>
    <t>洗濯試験用</t>
    <rPh sb="0" eb="2">
      <t>センタク</t>
    </rPh>
    <rPh sb="2" eb="4">
      <t>シケン</t>
    </rPh>
    <rPh sb="4" eb="5">
      <t>ヨウ</t>
    </rPh>
    <phoneticPr fontId="1"/>
  </si>
  <si>
    <t>くらしサンプル返却</t>
    <rPh sb="7" eb="9">
      <t>ヘンキャク</t>
    </rPh>
    <phoneticPr fontId="1"/>
  </si>
  <si>
    <t>きなり4月3回①</t>
    <rPh sb="4" eb="5">
      <t>ガツ</t>
    </rPh>
    <rPh sb="6" eb="7">
      <t>カイ</t>
    </rPh>
    <phoneticPr fontId="1"/>
  </si>
  <si>
    <t>きなり4月3回②</t>
    <rPh sb="4" eb="5">
      <t>ガツ</t>
    </rPh>
    <rPh sb="6" eb="7">
      <t>カイ</t>
    </rPh>
    <phoneticPr fontId="1"/>
  </si>
  <si>
    <t>ネット</t>
    <phoneticPr fontId="1"/>
  </si>
  <si>
    <t>きなり4月3回③</t>
    <rPh sb="4" eb="5">
      <t>ガツ</t>
    </rPh>
    <rPh sb="6" eb="7">
      <t>カイ</t>
    </rPh>
    <phoneticPr fontId="1"/>
  </si>
  <si>
    <t>夢販</t>
    <rPh sb="0" eb="2">
      <t>ユメハン</t>
    </rPh>
    <phoneticPr fontId="1"/>
  </si>
  <si>
    <t>丸藤sample</t>
    <rPh sb="0" eb="2">
      <t>マルフジ</t>
    </rPh>
    <phoneticPr fontId="1"/>
  </si>
  <si>
    <t>グリーンコープ39号(未開封シール）</t>
    <rPh sb="9" eb="10">
      <t>ゴウ</t>
    </rPh>
    <phoneticPr fontId="1"/>
  </si>
  <si>
    <t>点12/7、アバウト12/14、本12/16、20</t>
    <rPh sb="0" eb="1">
      <t>テン</t>
    </rPh>
    <rPh sb="16" eb="17">
      <t>ホン</t>
    </rPh>
    <phoneticPr fontId="1"/>
  </si>
  <si>
    <t>夢販</t>
    <rPh sb="0" eb="2">
      <t>ユメハン</t>
    </rPh>
    <phoneticPr fontId="1"/>
  </si>
  <si>
    <t>電話注文</t>
    <rPh sb="0" eb="4">
      <t>デンワチュウモン</t>
    </rPh>
    <phoneticPr fontId="1"/>
  </si>
  <si>
    <t>グリーンコープ39号(未開封シール）①</t>
    <rPh sb="9" eb="10">
      <t>ゴウ</t>
    </rPh>
    <phoneticPr fontId="1"/>
  </si>
  <si>
    <t>ネット</t>
    <phoneticPr fontId="1"/>
  </si>
  <si>
    <t>グリーンコープ39号(未開封シール）②</t>
    <rPh sb="9" eb="10">
      <t>ゴウ</t>
    </rPh>
    <phoneticPr fontId="1"/>
  </si>
  <si>
    <t>グリーンコープ39号(未開封シール)③</t>
    <rPh sb="9" eb="10">
      <t>ゴウ</t>
    </rPh>
    <phoneticPr fontId="1"/>
  </si>
  <si>
    <t>グリーンコープ39号(未開封シール)④</t>
    <rPh sb="9" eb="10">
      <t>ゴウ</t>
    </rPh>
    <phoneticPr fontId="1"/>
  </si>
  <si>
    <t>丸藤返品</t>
    <rPh sb="0" eb="2">
      <t>マルフジ</t>
    </rPh>
    <rPh sb="2" eb="4">
      <t>ヘンピン</t>
    </rPh>
    <phoneticPr fontId="1"/>
  </si>
  <si>
    <t>シンエイsample</t>
    <phoneticPr fontId="1"/>
  </si>
  <si>
    <t>追加</t>
    <rPh sb="0" eb="2">
      <t>ツイカ</t>
    </rPh>
    <phoneticPr fontId="1"/>
  </si>
  <si>
    <t>ネット返品</t>
    <rPh sb="3" eb="5">
      <t>ヘンピン</t>
    </rPh>
    <phoneticPr fontId="1"/>
  </si>
  <si>
    <t>京都生協9月1回(不透明袋)</t>
    <rPh sb="0" eb="4">
      <t>キョウトセイキョウ</t>
    </rPh>
    <rPh sb="5" eb="6">
      <t>ガツ</t>
    </rPh>
    <rPh sb="7" eb="8">
      <t>カイ</t>
    </rPh>
    <rPh sb="9" eb="13">
      <t>フトウメイフクロ</t>
    </rPh>
    <phoneticPr fontId="1"/>
  </si>
  <si>
    <t>コープしが9月1回(不透明袋)</t>
    <rPh sb="6" eb="7">
      <t>ガツ</t>
    </rPh>
    <rPh sb="8" eb="9">
      <t>カイ</t>
    </rPh>
    <rPh sb="10" eb="14">
      <t>フトウメイフクロ</t>
    </rPh>
    <phoneticPr fontId="1"/>
  </si>
  <si>
    <t>9/5、13</t>
    <phoneticPr fontId="1"/>
  </si>
  <si>
    <t>丸藤返品</t>
    <rPh sb="0" eb="2">
      <t>マルフジ</t>
    </rPh>
    <rPh sb="2" eb="4">
      <t>ヘンピン</t>
    </rPh>
    <phoneticPr fontId="1"/>
  </si>
  <si>
    <t>棚卸</t>
    <rPh sb="0" eb="2">
      <t>タナオロシ</t>
    </rPh>
    <phoneticPr fontId="1"/>
  </si>
  <si>
    <t>京都生協9月1回(不透明袋)①</t>
    <rPh sb="0" eb="4">
      <t>キョウトセイキョウ</t>
    </rPh>
    <rPh sb="5" eb="6">
      <t>ガツ</t>
    </rPh>
    <rPh sb="7" eb="8">
      <t>カイ</t>
    </rPh>
    <rPh sb="9" eb="13">
      <t>フトウメイフクロ</t>
    </rPh>
    <phoneticPr fontId="1"/>
  </si>
  <si>
    <t>コープしが9月1回(不透明袋)①</t>
    <rPh sb="6" eb="7">
      <t>ガツ</t>
    </rPh>
    <rPh sb="8" eb="9">
      <t>カイ</t>
    </rPh>
    <rPh sb="10" eb="14">
      <t>フトウメイフクロ</t>
    </rPh>
    <phoneticPr fontId="1"/>
  </si>
  <si>
    <t>ネット</t>
    <phoneticPr fontId="1"/>
  </si>
  <si>
    <t>夢販</t>
    <rPh sb="0" eb="2">
      <t>ユメハン</t>
    </rPh>
    <phoneticPr fontId="1"/>
  </si>
  <si>
    <t>追加</t>
    <rPh sb="0" eb="2">
      <t>ツイカ</t>
    </rPh>
    <phoneticPr fontId="1"/>
  </si>
  <si>
    <t>ムラタ</t>
    <phoneticPr fontId="1"/>
  </si>
  <si>
    <t>シンエイ返品</t>
    <rPh sb="4" eb="6">
      <t>ヘンピン</t>
    </rPh>
    <phoneticPr fontId="1"/>
  </si>
  <si>
    <t>在庫確認</t>
    <rPh sb="0" eb="4">
      <t>ザイコカクニン</t>
    </rPh>
    <phoneticPr fontId="1"/>
  </si>
  <si>
    <t>オバタsample</t>
    <phoneticPr fontId="1"/>
  </si>
  <si>
    <t>西本さん</t>
    <rPh sb="0" eb="2">
      <t>ニシモト</t>
    </rPh>
    <phoneticPr fontId="1"/>
  </si>
  <si>
    <t>夢販</t>
    <rPh sb="0" eb="2">
      <t>ユメハン</t>
    </rPh>
    <phoneticPr fontId="1"/>
  </si>
  <si>
    <t>12/13、18</t>
    <phoneticPr fontId="1"/>
  </si>
  <si>
    <t>差分予測</t>
    <rPh sb="0" eb="2">
      <t>サブン</t>
    </rPh>
    <rPh sb="2" eb="4">
      <t>ヨソク</t>
    </rPh>
    <phoneticPr fontId="1"/>
  </si>
  <si>
    <r>
      <t>コープさっぽろ12-3ｗ（オバタ）￥1480</t>
    </r>
    <r>
      <rPr>
        <b/>
        <sz val="11"/>
        <rFont val="ＭＳ Ｐゴシック"/>
        <family val="3"/>
        <charset val="128"/>
      </rPr>
      <t>不透明袋①</t>
    </r>
    <phoneticPr fontId="1"/>
  </si>
  <si>
    <r>
      <t>コープさっぽろ12-3ｗ（オバタ）￥1480</t>
    </r>
    <r>
      <rPr>
        <b/>
        <sz val="11"/>
        <rFont val="ＭＳ Ｐゴシック"/>
        <family val="3"/>
        <charset val="128"/>
      </rPr>
      <t>不透明袋②</t>
    </r>
    <phoneticPr fontId="1"/>
  </si>
  <si>
    <r>
      <t>コープさっぽろ12-3ｗ（オバタ）￥1480</t>
    </r>
    <r>
      <rPr>
        <b/>
        <sz val="11"/>
        <rFont val="ＭＳ Ｐゴシック"/>
        <family val="3"/>
        <charset val="128"/>
      </rPr>
      <t>不透明袋</t>
    </r>
    <phoneticPr fontId="1"/>
  </si>
  <si>
    <t>追加</t>
    <rPh sb="0" eb="2">
      <t>ツイカ</t>
    </rPh>
    <phoneticPr fontId="1"/>
  </si>
  <si>
    <t>オバタ返品</t>
    <rPh sb="3" eb="5">
      <t>ヘンピン</t>
    </rPh>
    <phoneticPr fontId="1"/>
  </si>
  <si>
    <t>JODsample</t>
    <phoneticPr fontId="1"/>
  </si>
  <si>
    <t>7/31～</t>
    <phoneticPr fontId="1"/>
  </si>
  <si>
    <t>JOD①</t>
    <phoneticPr fontId="1"/>
  </si>
  <si>
    <t>JOD②</t>
    <phoneticPr fontId="1"/>
  </si>
  <si>
    <t>JOD③</t>
    <phoneticPr fontId="1"/>
  </si>
  <si>
    <t>JOD④</t>
    <phoneticPr fontId="1"/>
  </si>
  <si>
    <t>JOD⑤</t>
    <phoneticPr fontId="1"/>
  </si>
  <si>
    <t>JODsample返却</t>
    <rPh sb="9" eb="11">
      <t>ヘンキャク</t>
    </rPh>
    <phoneticPr fontId="1"/>
  </si>
  <si>
    <t>JOD⑥</t>
    <phoneticPr fontId="1"/>
  </si>
  <si>
    <t>JOD⑦</t>
    <phoneticPr fontId="1"/>
  </si>
  <si>
    <t>JOD⑧</t>
    <phoneticPr fontId="1"/>
  </si>
  <si>
    <t>JOD⑨</t>
    <phoneticPr fontId="1"/>
  </si>
  <si>
    <t>在庫確認</t>
    <rPh sb="0" eb="4">
      <t>ザイコカクニン</t>
    </rPh>
    <phoneticPr fontId="1"/>
  </si>
  <si>
    <t>JOD⑩</t>
    <phoneticPr fontId="1"/>
  </si>
  <si>
    <t>JOD⑪</t>
    <phoneticPr fontId="1"/>
  </si>
  <si>
    <t>JOD⑫</t>
    <phoneticPr fontId="1"/>
  </si>
  <si>
    <t>JOD⑬</t>
    <phoneticPr fontId="1"/>
  </si>
  <si>
    <t>JOD⑭</t>
    <phoneticPr fontId="1"/>
  </si>
  <si>
    <t>JOD⑮</t>
    <phoneticPr fontId="1"/>
  </si>
  <si>
    <t>JOD⑯</t>
    <phoneticPr fontId="1"/>
  </si>
  <si>
    <r>
      <t>JOD特別号9505</t>
    </r>
    <r>
      <rPr>
        <b/>
        <sz val="11"/>
        <rFont val="ＭＳ Ｐゴシック"/>
        <family val="3"/>
        <charset val="128"/>
      </rPr>
      <t>限定特価</t>
    </r>
    <rPh sb="3" eb="6">
      <t>トクベツゴウ</t>
    </rPh>
    <rPh sb="10" eb="12">
      <t>ゲンテイ</t>
    </rPh>
    <rPh sb="12" eb="14">
      <t>トッカ</t>
    </rPh>
    <phoneticPr fontId="1"/>
  </si>
  <si>
    <t>JOD⑰</t>
    <phoneticPr fontId="1"/>
  </si>
  <si>
    <t>JOD⑱</t>
    <phoneticPr fontId="1"/>
  </si>
  <si>
    <t>終売</t>
    <rPh sb="0" eb="2">
      <t>シュウバイ</t>
    </rPh>
    <phoneticPr fontId="1"/>
  </si>
  <si>
    <t>ゆめはん</t>
    <phoneticPr fontId="1"/>
  </si>
  <si>
    <t>ゆめはん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</si>
</sst>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9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1"/>
      <color theme="1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7">
    <xf numFmtId="0" fontId="0" fillId="0" borderId="0" xfId="0"/>
    <xf numFmtId="0" fontId="0" fillId="0" borderId="0" xfId="0" applyAlignment="1">
      <alignment horizontal="center"/>
    </xf>
    <xf numFmtId="0" fontId="3" fillId="0" borderId="1" xfId="0" applyFont="1" applyBorder="1"/>
    <xf numFmtId="0" fontId="4" fillId="0" borderId="1" xfId="0" applyFont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56" fontId="0" fillId="0" borderId="6" xfId="0" applyNumberFormat="1" applyBorder="1" applyAlignment="1">
      <alignment horizontal="center"/>
    </xf>
    <xf numFmtId="0" fontId="0" fillId="0" borderId="1" xfId="0" applyBorder="1"/>
    <xf numFmtId="0" fontId="0" fillId="0" borderId="7" xfId="0" applyBorder="1"/>
    <xf numFmtId="56" fontId="0" fillId="0" borderId="0" xfId="0" applyNumberFormat="1"/>
    <xf numFmtId="56" fontId="3" fillId="0" borderId="0" xfId="0" applyNumberFormat="1" applyFont="1"/>
    <xf numFmtId="0" fontId="0" fillId="0" borderId="8" xfId="0" applyBorder="1"/>
    <xf numFmtId="0" fontId="0" fillId="0" borderId="9" xfId="0" applyBorder="1"/>
    <xf numFmtId="0" fontId="0" fillId="0" borderId="10" xfId="0" applyBorder="1"/>
    <xf numFmtId="56" fontId="0" fillId="0" borderId="2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56" fontId="0" fillId="0" borderId="0" xfId="0" applyNumberFormat="1" applyAlignment="1">
      <alignment horizontal="right"/>
    </xf>
    <xf numFmtId="56" fontId="7" fillId="0" borderId="12" xfId="0" applyNumberFormat="1" applyFont="1" applyBorder="1" applyAlignment="1">
      <alignment horizontal="center"/>
    </xf>
    <xf numFmtId="0" fontId="7" fillId="0" borderId="13" xfId="0" applyFont="1" applyBorder="1"/>
    <xf numFmtId="0" fontId="7" fillId="0" borderId="14" xfId="0" applyFont="1" applyBorder="1"/>
    <xf numFmtId="0" fontId="0" fillId="0" borderId="15" xfId="0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1" xfId="0" applyFont="1" applyBorder="1"/>
    <xf numFmtId="0" fontId="0" fillId="0" borderId="16" xfId="0" applyBorder="1" applyAlignment="1">
      <alignment horizontal="center"/>
    </xf>
    <xf numFmtId="0" fontId="7" fillId="0" borderId="17" xfId="0" applyFont="1" applyBorder="1"/>
    <xf numFmtId="0" fontId="7" fillId="0" borderId="18" xfId="0" applyFont="1" applyBorder="1"/>
    <xf numFmtId="0" fontId="0" fillId="0" borderId="18" xfId="0" applyBorder="1"/>
    <xf numFmtId="0" fontId="0" fillId="0" borderId="19" xfId="0" applyBorder="1"/>
    <xf numFmtId="0" fontId="3" fillId="0" borderId="18" xfId="0" applyFont="1" applyBorder="1"/>
    <xf numFmtId="0" fontId="4" fillId="0" borderId="18" xfId="0" applyFont="1" applyBorder="1"/>
    <xf numFmtId="0" fontId="7" fillId="0" borderId="20" xfId="0" applyFont="1" applyBorder="1"/>
    <xf numFmtId="0" fontId="7" fillId="0" borderId="5" xfId="0" applyFont="1" applyBorder="1"/>
    <xf numFmtId="0" fontId="0" fillId="0" borderId="13" xfId="0" applyBorder="1"/>
    <xf numFmtId="0" fontId="0" fillId="0" borderId="17" xfId="0" applyBorder="1"/>
    <xf numFmtId="0" fontId="7" fillId="0" borderId="21" xfId="0" applyFont="1" applyBorder="1"/>
    <xf numFmtId="0" fontId="0" fillId="0" borderId="22" xfId="0" applyBorder="1" applyAlignment="1">
      <alignment horizontal="center"/>
    </xf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7" fillId="0" borderId="26" xfId="0" applyFont="1" applyBorder="1" applyAlignment="1">
      <alignment horizontal="center"/>
    </xf>
    <xf numFmtId="0" fontId="7" fillId="0" borderId="4" xfId="0" applyFont="1" applyBorder="1"/>
    <xf numFmtId="0" fontId="7" fillId="0" borderId="27" xfId="0" applyFont="1" applyBorder="1"/>
    <xf numFmtId="0" fontId="2" fillId="2" borderId="0" xfId="0" applyFont="1" applyFill="1" applyAlignment="1">
      <alignment horizontal="left"/>
    </xf>
    <xf numFmtId="0" fontId="0" fillId="2" borderId="0" xfId="0" applyFill="1"/>
    <xf numFmtId="0" fontId="2" fillId="3" borderId="0" xfId="0" applyFont="1" applyFill="1" applyAlignment="1">
      <alignment horizontal="left"/>
    </xf>
    <xf numFmtId="0" fontId="0" fillId="3" borderId="0" xfId="0" applyFill="1"/>
    <xf numFmtId="56" fontId="0" fillId="0" borderId="12" xfId="0" applyNumberFormat="1" applyBorder="1" applyAlignment="1">
      <alignment horizontal="center"/>
    </xf>
    <xf numFmtId="0" fontId="0" fillId="0" borderId="14" xfId="0" applyBorder="1"/>
    <xf numFmtId="0" fontId="0" fillId="0" borderId="20" xfId="0" applyBorder="1"/>
    <xf numFmtId="56" fontId="0" fillId="0" borderId="28" xfId="0" applyNumberFormat="1" applyBorder="1" applyAlignment="1">
      <alignment horizontal="center"/>
    </xf>
    <xf numFmtId="56" fontId="0" fillId="0" borderId="29" xfId="0" applyNumberFormat="1" applyBorder="1" applyAlignment="1">
      <alignment horizontal="center"/>
    </xf>
    <xf numFmtId="56" fontId="5" fillId="0" borderId="6" xfId="0" applyNumberFormat="1" applyFont="1" applyBorder="1" applyAlignment="1">
      <alignment horizontal="center"/>
    </xf>
    <xf numFmtId="56" fontId="6" fillId="0" borderId="6" xfId="0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1" xfId="0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0" fillId="0" borderId="32" xfId="0" applyBorder="1"/>
    <xf numFmtId="0" fontId="0" fillId="0" borderId="33" xfId="0" applyBorder="1"/>
    <xf numFmtId="0" fontId="3" fillId="0" borderId="32" xfId="0" applyFont="1" applyBorder="1"/>
    <xf numFmtId="0" fontId="4" fillId="0" borderId="32" xfId="0" applyFont="1" applyBorder="1"/>
    <xf numFmtId="0" fontId="0" fillId="0" borderId="34" xfId="0" applyBorder="1"/>
    <xf numFmtId="56" fontId="0" fillId="0" borderId="22" xfId="0" applyNumberFormat="1" applyBorder="1" applyAlignment="1">
      <alignment horizontal="center"/>
    </xf>
    <xf numFmtId="0" fontId="5" fillId="0" borderId="35" xfId="0" applyFont="1" applyBorder="1" applyAlignment="1">
      <alignment horizontal="center" shrinkToFit="1"/>
    </xf>
    <xf numFmtId="0" fontId="5" fillId="0" borderId="6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1" xfId="0" applyFont="1" applyBorder="1"/>
    <xf numFmtId="0" fontId="8" fillId="0" borderId="18" xfId="0" applyFont="1" applyBorder="1"/>
    <xf numFmtId="0" fontId="8" fillId="0" borderId="14" xfId="0" applyFont="1" applyBorder="1"/>
    <xf numFmtId="56" fontId="8" fillId="0" borderId="0" xfId="0" applyNumberFormat="1" applyFont="1"/>
    <xf numFmtId="0" fontId="0" fillId="0" borderId="6" xfId="0" applyBorder="1" applyAlignment="1">
      <alignment horizontal="center"/>
    </xf>
    <xf numFmtId="0" fontId="0" fillId="4" borderId="16" xfId="0" applyFill="1" applyBorder="1" applyAlignment="1">
      <alignment horizontal="center"/>
    </xf>
    <xf numFmtId="0" fontId="0" fillId="0" borderId="36" xfId="0" applyBorder="1" applyAlignment="1">
      <alignment horizontal="center"/>
    </xf>
    <xf numFmtId="0" fontId="7" fillId="0" borderId="37" xfId="0" applyFont="1" applyBorder="1"/>
    <xf numFmtId="0" fontId="0" fillId="0" borderId="38" xfId="0" applyBorder="1"/>
    <xf numFmtId="0" fontId="0" fillId="0" borderId="26" xfId="0" applyBorder="1" applyAlignment="1">
      <alignment horizontal="center"/>
    </xf>
    <xf numFmtId="0" fontId="7" fillId="0" borderId="31" xfId="0" applyFont="1" applyBorder="1"/>
    <xf numFmtId="0" fontId="0" fillId="0" borderId="31" xfId="0" applyBorder="1"/>
    <xf numFmtId="0" fontId="0" fillId="0" borderId="39" xfId="0" applyBorder="1"/>
    <xf numFmtId="0" fontId="7" fillId="0" borderId="26" xfId="0" applyFont="1" applyBorder="1"/>
    <xf numFmtId="0" fontId="0" fillId="0" borderId="6" xfId="0" applyBorder="1"/>
    <xf numFmtId="0" fontId="0" fillId="0" borderId="35" xfId="0" applyBorder="1"/>
    <xf numFmtId="0" fontId="0" fillId="0" borderId="22" xfId="0" applyBorder="1"/>
    <xf numFmtId="0" fontId="9" fillId="0" borderId="6" xfId="0" applyFont="1" applyBorder="1" applyAlignment="1">
      <alignment horizontal="center"/>
    </xf>
    <xf numFmtId="0" fontId="9" fillId="0" borderId="34" xfId="0" applyFont="1" applyBorder="1"/>
    <xf numFmtId="0" fontId="9" fillId="0" borderId="19" xfId="0" applyFont="1" applyBorder="1"/>
    <xf numFmtId="0" fontId="9" fillId="0" borderId="35" xfId="0" applyFont="1" applyBorder="1"/>
    <xf numFmtId="0" fontId="0" fillId="0" borderId="12" xfId="0" applyBorder="1" applyAlignment="1">
      <alignment horizontal="center"/>
    </xf>
    <xf numFmtId="0" fontId="0" fillId="0" borderId="40" xfId="0" applyBorder="1"/>
    <xf numFmtId="0" fontId="7" fillId="0" borderId="0" xfId="0" applyFont="1"/>
    <xf numFmtId="56" fontId="7" fillId="0" borderId="0" xfId="0" applyNumberFormat="1" applyFont="1" applyAlignment="1">
      <alignment horizontal="right"/>
    </xf>
    <xf numFmtId="0" fontId="0" fillId="5" borderId="38" xfId="0" applyFill="1" applyBorder="1"/>
    <xf numFmtId="0" fontId="7" fillId="5" borderId="37" xfId="0" applyFont="1" applyFill="1" applyBorder="1"/>
    <xf numFmtId="0" fontId="0" fillId="0" borderId="0" xfId="0" applyAlignment="1">
      <alignment horizontal="right"/>
    </xf>
    <xf numFmtId="0" fontId="10" fillId="0" borderId="11" xfId="0" applyFont="1" applyBorder="1" applyAlignment="1">
      <alignment horizontal="center"/>
    </xf>
    <xf numFmtId="0" fontId="10" fillId="0" borderId="1" xfId="0" applyFont="1" applyBorder="1"/>
    <xf numFmtId="0" fontId="10" fillId="0" borderId="18" xfId="0" applyFont="1" applyBorder="1"/>
    <xf numFmtId="0" fontId="10" fillId="0" borderId="31" xfId="0" applyFont="1" applyBorder="1"/>
    <xf numFmtId="56" fontId="10" fillId="0" borderId="0" xfId="0" applyNumberFormat="1" applyFont="1"/>
    <xf numFmtId="0" fontId="10" fillId="0" borderId="6" xfId="0" applyFont="1" applyBorder="1" applyAlignment="1">
      <alignment horizontal="center"/>
    </xf>
    <xf numFmtId="0" fontId="10" fillId="0" borderId="34" xfId="0" applyFont="1" applyBorder="1"/>
    <xf numFmtId="0" fontId="10" fillId="0" borderId="19" xfId="0" applyFont="1" applyBorder="1"/>
    <xf numFmtId="0" fontId="10" fillId="0" borderId="35" xfId="0" applyFont="1" applyBorder="1"/>
    <xf numFmtId="56" fontId="10" fillId="0" borderId="0" xfId="0" applyNumberFormat="1" applyFont="1" applyAlignment="1">
      <alignment horizontal="right"/>
    </xf>
    <xf numFmtId="0" fontId="0" fillId="5" borderId="23" xfId="0" applyFill="1" applyBorder="1"/>
    <xf numFmtId="0" fontId="7" fillId="5" borderId="4" xfId="0" applyFont="1" applyFill="1" applyBorder="1"/>
    <xf numFmtId="0" fontId="0" fillId="5" borderId="16" xfId="0" applyFill="1" applyBorder="1" applyAlignment="1">
      <alignment horizontal="center"/>
    </xf>
    <xf numFmtId="0" fontId="7" fillId="5" borderId="17" xfId="0" applyFont="1" applyFill="1" applyBorder="1"/>
    <xf numFmtId="0" fontId="0" fillId="5" borderId="18" xfId="0" applyFill="1" applyBorder="1"/>
    <xf numFmtId="0" fontId="10" fillId="5" borderId="18" xfId="0" applyFont="1" applyFill="1" applyBorder="1"/>
    <xf numFmtId="0" fontId="0" fillId="0" borderId="23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21" xfId="0" applyBorder="1" applyAlignment="1">
      <alignment horizont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2"/>
  <sheetViews>
    <sheetView tabSelected="1" topLeftCell="A268" zoomScaleNormal="100" workbookViewId="0">
      <selection activeCell="C293" sqref="C293"/>
    </sheetView>
  </sheetViews>
  <sheetFormatPr defaultRowHeight="13.5" x14ac:dyDescent="0.15"/>
  <cols>
    <col min="2" max="2" width="20.125" style="1" customWidth="1"/>
    <col min="3" max="4" width="9.875" customWidth="1"/>
    <col min="5" max="5" width="11.375" customWidth="1"/>
    <col min="6" max="6" width="9.25" bestFit="1" customWidth="1"/>
    <col min="8" max="8" width="41.5" customWidth="1"/>
    <col min="9" max="11" width="9.875" customWidth="1"/>
    <col min="12" max="12" width="9.25" bestFit="1" customWidth="1"/>
  </cols>
  <sheetData>
    <row r="1" spans="2:12" ht="18.75" x14ac:dyDescent="0.2">
      <c r="B1" s="46" t="s">
        <v>10</v>
      </c>
      <c r="C1" s="47"/>
      <c r="D1" s="47"/>
      <c r="E1" s="47"/>
      <c r="H1" s="44" t="s">
        <v>11</v>
      </c>
      <c r="I1" s="45"/>
      <c r="J1" s="45"/>
      <c r="K1" s="45"/>
      <c r="L1" s="45"/>
    </row>
    <row r="2" spans="2:12" ht="14.25" thickBot="1" x14ac:dyDescent="0.2">
      <c r="H2" s="1"/>
    </row>
    <row r="3" spans="2:12" ht="14.25" thickBot="1" x14ac:dyDescent="0.2">
      <c r="B3" s="4"/>
      <c r="C3" s="114"/>
      <c r="D3" s="115"/>
      <c r="E3" s="116"/>
      <c r="H3" s="4"/>
      <c r="I3" s="114"/>
      <c r="J3" s="115"/>
      <c r="K3" s="116"/>
    </row>
    <row r="4" spans="2:12" s="1" customFormat="1" ht="14.25" thickBot="1" x14ac:dyDescent="0.2">
      <c r="B4" s="5"/>
      <c r="C4" s="6" t="s">
        <v>6</v>
      </c>
      <c r="D4" s="25" t="s">
        <v>7</v>
      </c>
      <c r="E4" s="7" t="s">
        <v>0</v>
      </c>
      <c r="H4" s="5"/>
      <c r="I4" s="6" t="s">
        <v>6</v>
      </c>
      <c r="J4" s="25" t="s">
        <v>7</v>
      </c>
      <c r="K4" s="7" t="s">
        <v>0</v>
      </c>
    </row>
    <row r="5" spans="2:12" x14ac:dyDescent="0.15">
      <c r="B5" s="48" t="s">
        <v>5</v>
      </c>
      <c r="C5" s="34">
        <v>1</v>
      </c>
      <c r="D5" s="35"/>
      <c r="E5" s="49">
        <f t="shared" ref="E5:E11" si="0">SUM(C5:D5)</f>
        <v>1</v>
      </c>
      <c r="F5" s="11">
        <v>44558</v>
      </c>
      <c r="H5" s="48" t="s">
        <v>5</v>
      </c>
      <c r="I5" s="34">
        <v>325</v>
      </c>
      <c r="J5" s="35">
        <v>149</v>
      </c>
      <c r="K5" s="49">
        <f t="shared" ref="K5:K11" si="1">SUM(I5:J5)</f>
        <v>474</v>
      </c>
      <c r="L5" s="11">
        <v>44272</v>
      </c>
    </row>
    <row r="6" spans="2:12" x14ac:dyDescent="0.15">
      <c r="B6" s="17" t="s">
        <v>20</v>
      </c>
      <c r="C6" s="9">
        <v>2</v>
      </c>
      <c r="D6" s="28">
        <v>3</v>
      </c>
      <c r="E6" s="49">
        <f t="shared" si="0"/>
        <v>5</v>
      </c>
      <c r="F6" s="11">
        <v>44214</v>
      </c>
      <c r="H6" s="17" t="s">
        <v>4</v>
      </c>
      <c r="I6" s="9">
        <v>125</v>
      </c>
      <c r="J6" s="28">
        <v>151</v>
      </c>
      <c r="K6" s="49">
        <f t="shared" si="1"/>
        <v>276</v>
      </c>
      <c r="L6" s="11">
        <v>44285</v>
      </c>
    </row>
    <row r="7" spans="2:12" x14ac:dyDescent="0.15">
      <c r="B7" s="17" t="s">
        <v>15</v>
      </c>
      <c r="C7" s="9">
        <v>1</v>
      </c>
      <c r="D7" s="28"/>
      <c r="E7" s="49">
        <f t="shared" ref="E7" si="2">SUM(C7:D7)</f>
        <v>1</v>
      </c>
      <c r="F7" s="11">
        <v>44267</v>
      </c>
      <c r="H7" s="17" t="s">
        <v>4</v>
      </c>
      <c r="I7" s="9"/>
      <c r="J7" s="28"/>
      <c r="K7" s="49">
        <f t="shared" si="1"/>
        <v>0</v>
      </c>
    </row>
    <row r="8" spans="2:12" ht="14.25" thickBot="1" x14ac:dyDescent="0.2">
      <c r="B8" s="17" t="s">
        <v>4</v>
      </c>
      <c r="C8" s="13">
        <v>5</v>
      </c>
      <c r="D8" s="29">
        <v>5</v>
      </c>
      <c r="E8" s="50">
        <f t="shared" si="0"/>
        <v>10</v>
      </c>
      <c r="F8" s="11">
        <v>44343</v>
      </c>
      <c r="H8" s="17" t="s">
        <v>4</v>
      </c>
      <c r="I8" s="13"/>
      <c r="J8" s="29"/>
      <c r="K8" s="50">
        <f t="shared" si="1"/>
        <v>0</v>
      </c>
    </row>
    <row r="9" spans="2:12" ht="14.25" thickBot="1" x14ac:dyDescent="0.2">
      <c r="B9" s="57" t="s">
        <v>1</v>
      </c>
      <c r="C9" s="42">
        <f>SUM(C5:C8)</f>
        <v>9</v>
      </c>
      <c r="D9" s="33">
        <f>SUM(D5:D8)</f>
        <v>8</v>
      </c>
      <c r="E9" s="36">
        <f t="shared" si="0"/>
        <v>17</v>
      </c>
      <c r="H9" s="57" t="s">
        <v>1</v>
      </c>
      <c r="I9" s="42">
        <f>SUM(I5:I8)</f>
        <v>450</v>
      </c>
      <c r="J9" s="33">
        <f>SUM(J5:J8)</f>
        <v>300</v>
      </c>
      <c r="K9" s="36">
        <f t="shared" si="1"/>
        <v>750</v>
      </c>
    </row>
    <row r="10" spans="2:12" x14ac:dyDescent="0.15">
      <c r="B10" s="52" t="s">
        <v>12</v>
      </c>
      <c r="C10" s="34">
        <v>1</v>
      </c>
      <c r="D10" s="35"/>
      <c r="E10" s="15">
        <f t="shared" si="0"/>
        <v>1</v>
      </c>
      <c r="F10" s="11">
        <v>44214</v>
      </c>
      <c r="H10" s="55" t="s">
        <v>16</v>
      </c>
      <c r="I10" s="34">
        <v>50</v>
      </c>
      <c r="J10" s="35">
        <v>50</v>
      </c>
      <c r="K10" s="15">
        <f t="shared" si="1"/>
        <v>100</v>
      </c>
      <c r="L10" s="11">
        <v>44287</v>
      </c>
    </row>
    <row r="11" spans="2:12" x14ac:dyDescent="0.15">
      <c r="B11" s="54" t="s">
        <v>13</v>
      </c>
      <c r="C11" s="9"/>
      <c r="D11" s="28">
        <v>2</v>
      </c>
      <c r="E11" s="10">
        <f t="shared" si="0"/>
        <v>2</v>
      </c>
      <c r="F11" s="11">
        <v>44214</v>
      </c>
      <c r="H11" s="56" t="s">
        <v>17</v>
      </c>
      <c r="I11" s="9">
        <v>20</v>
      </c>
      <c r="J11" s="28">
        <v>20</v>
      </c>
      <c r="K11" s="10">
        <f t="shared" si="1"/>
        <v>40</v>
      </c>
      <c r="L11" s="11">
        <v>44301</v>
      </c>
    </row>
    <row r="12" spans="2:12" x14ac:dyDescent="0.15">
      <c r="B12" s="51" t="s">
        <v>14</v>
      </c>
      <c r="C12" s="9">
        <v>1</v>
      </c>
      <c r="D12" s="28"/>
      <c r="E12" s="10">
        <f t="shared" ref="E12:E34" si="3">SUM(C12:D12)</f>
        <v>1</v>
      </c>
      <c r="F12" s="11">
        <v>44231</v>
      </c>
      <c r="H12" s="56" t="s">
        <v>19</v>
      </c>
      <c r="I12" s="9">
        <v>68</v>
      </c>
      <c r="J12" s="28">
        <v>24</v>
      </c>
      <c r="K12" s="10">
        <f t="shared" ref="K12:K34" si="4">SUM(I12:J12)</f>
        <v>92</v>
      </c>
      <c r="L12" s="11">
        <v>44307</v>
      </c>
    </row>
    <row r="13" spans="2:12" x14ac:dyDescent="0.15">
      <c r="B13" s="8" t="s">
        <v>18</v>
      </c>
      <c r="C13" s="9">
        <v>1</v>
      </c>
      <c r="D13" s="28"/>
      <c r="E13" s="10">
        <f t="shared" si="3"/>
        <v>1</v>
      </c>
      <c r="F13" s="11">
        <v>44302</v>
      </c>
      <c r="H13" s="17" t="s">
        <v>20</v>
      </c>
      <c r="I13" s="13">
        <v>5</v>
      </c>
      <c r="J13" s="29">
        <v>5</v>
      </c>
      <c r="K13" s="50">
        <f t="shared" si="4"/>
        <v>10</v>
      </c>
      <c r="L13" s="11">
        <v>44343</v>
      </c>
    </row>
    <row r="14" spans="2:12" x14ac:dyDescent="0.15">
      <c r="B14" s="8" t="s">
        <v>18</v>
      </c>
      <c r="C14" s="9">
        <v>1</v>
      </c>
      <c r="D14" s="28"/>
      <c r="E14" s="10">
        <f t="shared" si="3"/>
        <v>1</v>
      </c>
      <c r="F14" s="11">
        <v>44342</v>
      </c>
      <c r="H14" s="8"/>
      <c r="I14" s="9"/>
      <c r="J14" s="28"/>
      <c r="K14" s="10">
        <f t="shared" si="4"/>
        <v>0</v>
      </c>
      <c r="L14" s="11"/>
    </row>
    <row r="15" spans="2:12" x14ac:dyDescent="0.15">
      <c r="B15" s="8" t="s">
        <v>18</v>
      </c>
      <c r="C15" s="9">
        <v>1</v>
      </c>
      <c r="D15" s="28"/>
      <c r="E15" s="10">
        <f t="shared" si="3"/>
        <v>1</v>
      </c>
      <c r="F15" s="11">
        <v>44384</v>
      </c>
      <c r="H15" s="8"/>
      <c r="I15" s="9"/>
      <c r="J15" s="28"/>
      <c r="K15" s="10">
        <f t="shared" si="4"/>
        <v>0</v>
      </c>
    </row>
    <row r="16" spans="2:12" x14ac:dyDescent="0.15">
      <c r="B16" s="8" t="s">
        <v>18</v>
      </c>
      <c r="C16" s="9">
        <v>1</v>
      </c>
      <c r="D16" s="28"/>
      <c r="E16" s="10">
        <f t="shared" si="3"/>
        <v>1</v>
      </c>
      <c r="F16" s="11">
        <v>44404</v>
      </c>
      <c r="H16" s="8"/>
      <c r="I16" s="9"/>
      <c r="J16" s="28"/>
      <c r="K16" s="10">
        <f t="shared" si="4"/>
        <v>0</v>
      </c>
    </row>
    <row r="17" spans="2:11" x14ac:dyDescent="0.15">
      <c r="B17" s="8" t="s">
        <v>21</v>
      </c>
      <c r="C17" s="9"/>
      <c r="D17" s="28">
        <v>1</v>
      </c>
      <c r="E17" s="10">
        <f t="shared" si="3"/>
        <v>1</v>
      </c>
      <c r="F17" s="11">
        <v>44438</v>
      </c>
      <c r="H17" s="8"/>
      <c r="I17" s="9"/>
      <c r="J17" s="28"/>
      <c r="K17" s="10">
        <f t="shared" si="4"/>
        <v>0</v>
      </c>
    </row>
    <row r="18" spans="2:11" x14ac:dyDescent="0.15">
      <c r="B18" s="8" t="s">
        <v>18</v>
      </c>
      <c r="C18" s="9"/>
      <c r="D18" s="28">
        <v>1</v>
      </c>
      <c r="E18" s="10">
        <f t="shared" si="3"/>
        <v>1</v>
      </c>
      <c r="F18" s="11">
        <v>44452</v>
      </c>
      <c r="H18" s="8"/>
      <c r="I18" s="9"/>
      <c r="J18" s="28"/>
      <c r="K18" s="10">
        <f t="shared" si="4"/>
        <v>0</v>
      </c>
    </row>
    <row r="19" spans="2:11" x14ac:dyDescent="0.15">
      <c r="B19" s="8" t="s">
        <v>18</v>
      </c>
      <c r="C19" s="9">
        <v>1</v>
      </c>
      <c r="D19" s="28"/>
      <c r="E19" s="10">
        <f t="shared" si="3"/>
        <v>1</v>
      </c>
      <c r="F19" s="11">
        <v>44473</v>
      </c>
      <c r="H19" s="8"/>
      <c r="I19" s="9"/>
      <c r="J19" s="28"/>
      <c r="K19" s="10">
        <f t="shared" si="4"/>
        <v>0</v>
      </c>
    </row>
    <row r="20" spans="2:11" x14ac:dyDescent="0.15">
      <c r="B20" s="8" t="s">
        <v>18</v>
      </c>
      <c r="C20" s="9"/>
      <c r="D20" s="28">
        <v>1</v>
      </c>
      <c r="E20" s="10">
        <f t="shared" si="3"/>
        <v>1</v>
      </c>
      <c r="F20" s="11">
        <v>44487</v>
      </c>
      <c r="H20" s="8"/>
      <c r="I20" s="9"/>
      <c r="J20" s="28"/>
      <c r="K20" s="10">
        <f t="shared" si="4"/>
        <v>0</v>
      </c>
    </row>
    <row r="21" spans="2:11" x14ac:dyDescent="0.15">
      <c r="B21" s="8" t="s">
        <v>18</v>
      </c>
      <c r="C21" s="9">
        <v>1</v>
      </c>
      <c r="D21" s="28"/>
      <c r="E21" s="10">
        <f t="shared" si="3"/>
        <v>1</v>
      </c>
      <c r="F21" s="11">
        <v>44515</v>
      </c>
      <c r="H21" s="8"/>
      <c r="I21" s="9"/>
      <c r="J21" s="28"/>
      <c r="K21" s="10">
        <f t="shared" si="4"/>
        <v>0</v>
      </c>
    </row>
    <row r="22" spans="2:11" x14ac:dyDescent="0.15">
      <c r="B22" s="8" t="s">
        <v>18</v>
      </c>
      <c r="C22" s="9"/>
      <c r="D22" s="28">
        <v>1</v>
      </c>
      <c r="E22" s="10">
        <f t="shared" si="3"/>
        <v>1</v>
      </c>
      <c r="F22" s="11">
        <v>44529</v>
      </c>
      <c r="H22" s="8"/>
      <c r="I22" s="9"/>
      <c r="J22" s="28"/>
      <c r="K22" s="10">
        <f t="shared" si="4"/>
        <v>0</v>
      </c>
    </row>
    <row r="23" spans="2:11" x14ac:dyDescent="0.15">
      <c r="B23" s="8" t="s">
        <v>18</v>
      </c>
      <c r="C23" s="9">
        <v>1</v>
      </c>
      <c r="D23" s="28"/>
      <c r="E23" s="10">
        <f t="shared" si="3"/>
        <v>1</v>
      </c>
      <c r="F23" s="11">
        <v>44531</v>
      </c>
      <c r="H23" s="8"/>
      <c r="I23" s="9"/>
      <c r="J23" s="28"/>
      <c r="K23" s="10">
        <f t="shared" si="4"/>
        <v>0</v>
      </c>
    </row>
    <row r="24" spans="2:11" x14ac:dyDescent="0.15">
      <c r="B24" s="8"/>
      <c r="C24" s="9"/>
      <c r="D24" s="28"/>
      <c r="E24" s="10">
        <f t="shared" si="3"/>
        <v>0</v>
      </c>
      <c r="F24" s="11"/>
      <c r="H24" s="8"/>
      <c r="I24" s="9"/>
      <c r="J24" s="28"/>
      <c r="K24" s="10">
        <f t="shared" si="4"/>
        <v>0</v>
      </c>
    </row>
    <row r="25" spans="2:11" x14ac:dyDescent="0.15">
      <c r="B25" s="8"/>
      <c r="C25" s="9"/>
      <c r="D25" s="28"/>
      <c r="E25" s="10">
        <f t="shared" si="3"/>
        <v>0</v>
      </c>
      <c r="F25" s="11"/>
      <c r="H25" s="8"/>
      <c r="I25" s="9"/>
      <c r="J25" s="28"/>
      <c r="K25" s="10">
        <f t="shared" si="4"/>
        <v>0</v>
      </c>
    </row>
    <row r="26" spans="2:11" x14ac:dyDescent="0.15">
      <c r="B26" s="8"/>
      <c r="C26" s="9"/>
      <c r="D26" s="28"/>
      <c r="E26" s="10">
        <f t="shared" si="3"/>
        <v>0</v>
      </c>
      <c r="F26" s="11"/>
      <c r="H26" s="8"/>
      <c r="I26" s="9"/>
      <c r="J26" s="28"/>
      <c r="K26" s="10">
        <f t="shared" si="4"/>
        <v>0</v>
      </c>
    </row>
    <row r="27" spans="2:11" x14ac:dyDescent="0.15">
      <c r="B27" s="8"/>
      <c r="C27" s="9"/>
      <c r="D27" s="28"/>
      <c r="E27" s="10">
        <f t="shared" si="3"/>
        <v>0</v>
      </c>
      <c r="F27" s="11"/>
      <c r="H27" s="8"/>
      <c r="I27" s="9"/>
      <c r="J27" s="28"/>
      <c r="K27" s="10">
        <f t="shared" si="4"/>
        <v>0</v>
      </c>
    </row>
    <row r="28" spans="2:11" x14ac:dyDescent="0.15">
      <c r="B28" s="53"/>
      <c r="C28" s="9"/>
      <c r="D28" s="28"/>
      <c r="E28" s="10">
        <f t="shared" si="3"/>
        <v>0</v>
      </c>
      <c r="F28" s="11"/>
      <c r="H28" s="8"/>
      <c r="I28" s="9"/>
      <c r="J28" s="28"/>
      <c r="K28" s="10">
        <f t="shared" si="4"/>
        <v>0</v>
      </c>
    </row>
    <row r="29" spans="2:11" x14ac:dyDescent="0.15">
      <c r="B29" s="8"/>
      <c r="C29" s="9"/>
      <c r="D29" s="28"/>
      <c r="E29" s="10">
        <f t="shared" si="3"/>
        <v>0</v>
      </c>
      <c r="F29" s="11"/>
      <c r="H29" s="8"/>
      <c r="I29" s="9"/>
      <c r="J29" s="28"/>
      <c r="K29" s="10">
        <f t="shared" si="4"/>
        <v>0</v>
      </c>
    </row>
    <row r="30" spans="2:11" x14ac:dyDescent="0.15">
      <c r="B30" s="8"/>
      <c r="C30" s="9"/>
      <c r="D30" s="28"/>
      <c r="E30" s="10">
        <f t="shared" si="3"/>
        <v>0</v>
      </c>
      <c r="F30" s="11"/>
      <c r="H30" s="8"/>
      <c r="I30" s="9"/>
      <c r="J30" s="28"/>
      <c r="K30" s="10">
        <f t="shared" si="4"/>
        <v>0</v>
      </c>
    </row>
    <row r="31" spans="2:11" x14ac:dyDescent="0.15">
      <c r="B31" s="8"/>
      <c r="C31" s="9"/>
      <c r="D31" s="28"/>
      <c r="E31" s="10">
        <f t="shared" si="3"/>
        <v>0</v>
      </c>
      <c r="F31" s="11"/>
      <c r="H31" s="8"/>
      <c r="I31" s="9"/>
      <c r="J31" s="28"/>
      <c r="K31" s="10">
        <f t="shared" si="4"/>
        <v>0</v>
      </c>
    </row>
    <row r="32" spans="2:11" x14ac:dyDescent="0.15">
      <c r="B32" s="17"/>
      <c r="C32" s="9"/>
      <c r="D32" s="28"/>
      <c r="E32" s="10">
        <f t="shared" si="3"/>
        <v>0</v>
      </c>
      <c r="H32" s="17"/>
      <c r="I32" s="9"/>
      <c r="J32" s="28"/>
      <c r="K32" s="10">
        <f t="shared" si="4"/>
        <v>0</v>
      </c>
    </row>
    <row r="33" spans="1:12" x14ac:dyDescent="0.15">
      <c r="B33" s="17"/>
      <c r="C33" s="9"/>
      <c r="D33" s="28"/>
      <c r="E33" s="10">
        <f t="shared" si="3"/>
        <v>0</v>
      </c>
      <c r="F33" s="1"/>
      <c r="H33" s="17"/>
      <c r="I33" s="9"/>
      <c r="J33" s="28"/>
      <c r="K33" s="10">
        <f t="shared" si="4"/>
        <v>0</v>
      </c>
    </row>
    <row r="34" spans="1:12" ht="14.25" thickBot="1" x14ac:dyDescent="0.2">
      <c r="B34" s="22"/>
      <c r="C34" s="13"/>
      <c r="D34" s="29"/>
      <c r="E34" s="14">
        <f t="shared" si="3"/>
        <v>0</v>
      </c>
      <c r="H34" s="22" t="s">
        <v>8</v>
      </c>
      <c r="I34" s="13"/>
      <c r="J34" s="29"/>
      <c r="K34" s="14">
        <f t="shared" si="4"/>
        <v>0</v>
      </c>
      <c r="L34" t="s">
        <v>9</v>
      </c>
    </row>
    <row r="35" spans="1:12" ht="14.25" thickBot="1" x14ac:dyDescent="0.2">
      <c r="B35" s="37" t="s">
        <v>2</v>
      </c>
      <c r="C35" s="38">
        <f>SUM(C10:C34)</f>
        <v>9</v>
      </c>
      <c r="D35" s="39">
        <f>SUM(D10:D34)</f>
        <v>6</v>
      </c>
      <c r="E35" s="40">
        <f>SUM(C35:D35)</f>
        <v>15</v>
      </c>
      <c r="H35" s="37" t="s">
        <v>2</v>
      </c>
      <c r="I35" s="38">
        <f>SUM(I10:I34)</f>
        <v>143</v>
      </c>
      <c r="J35" s="39">
        <f>SUM(J10:J34)</f>
        <v>99</v>
      </c>
      <c r="K35" s="40">
        <f>SUM(I35:J35)</f>
        <v>242</v>
      </c>
    </row>
    <row r="36" spans="1:12" ht="14.25" thickBot="1" x14ac:dyDescent="0.2">
      <c r="B36" s="41" t="s">
        <v>3</v>
      </c>
      <c r="C36" s="42">
        <f>+C9-C35</f>
        <v>0</v>
      </c>
      <c r="D36" s="43">
        <f>+D9-D35</f>
        <v>2</v>
      </c>
      <c r="E36" s="33">
        <f>SUM(C36:D36)</f>
        <v>2</v>
      </c>
      <c r="H36" s="41" t="s">
        <v>3</v>
      </c>
      <c r="I36" s="42">
        <f>+I9-I35</f>
        <v>307</v>
      </c>
      <c r="J36" s="43">
        <f>+J9-J35</f>
        <v>201</v>
      </c>
      <c r="K36" s="33">
        <f>SUM(I36:J36)</f>
        <v>508</v>
      </c>
    </row>
    <row r="37" spans="1:12" x14ac:dyDescent="0.15">
      <c r="H37" s="1"/>
    </row>
    <row r="38" spans="1:12" x14ac:dyDescent="0.15">
      <c r="H38" s="1"/>
    </row>
    <row r="39" spans="1:12" ht="18.75" x14ac:dyDescent="0.2">
      <c r="B39" s="46" t="s">
        <v>10</v>
      </c>
      <c r="C39" s="47"/>
      <c r="D39" s="47"/>
      <c r="E39" s="47"/>
      <c r="H39" s="44" t="s">
        <v>11</v>
      </c>
      <c r="I39" s="45"/>
      <c r="J39" s="45"/>
      <c r="K39" s="45"/>
      <c r="L39" s="45"/>
    </row>
    <row r="40" spans="1:12" ht="14.25" thickBot="1" x14ac:dyDescent="0.2">
      <c r="H40" s="1"/>
    </row>
    <row r="41" spans="1:12" ht="14.25" thickBot="1" x14ac:dyDescent="0.2">
      <c r="B41" s="4"/>
      <c r="C41" s="111"/>
      <c r="D41" s="112"/>
      <c r="E41" s="113"/>
      <c r="H41" s="4"/>
      <c r="I41" s="111"/>
      <c r="J41" s="112"/>
      <c r="K41" s="113"/>
    </row>
    <row r="42" spans="1:12" ht="14.25" thickBot="1" x14ac:dyDescent="0.2">
      <c r="A42" s="1"/>
      <c r="B42" s="5"/>
      <c r="C42" s="6" t="s">
        <v>6</v>
      </c>
      <c r="D42" s="25" t="s">
        <v>7</v>
      </c>
      <c r="E42" s="7" t="s">
        <v>0</v>
      </c>
      <c r="G42" s="1"/>
      <c r="H42" s="5"/>
      <c r="I42" s="6" t="s">
        <v>6</v>
      </c>
      <c r="J42" s="25" t="s">
        <v>7</v>
      </c>
      <c r="K42" s="7" t="s">
        <v>0</v>
      </c>
    </row>
    <row r="43" spans="1:12" x14ac:dyDescent="0.15">
      <c r="B43" s="19" t="s">
        <v>3</v>
      </c>
      <c r="C43" s="20">
        <f>C36</f>
        <v>0</v>
      </c>
      <c r="D43" s="26">
        <f>D36</f>
        <v>2</v>
      </c>
      <c r="E43" s="21">
        <f t="shared" ref="E43:E49" si="5">SUM(C43:D43)</f>
        <v>2</v>
      </c>
      <c r="H43" s="19" t="s">
        <v>3</v>
      </c>
      <c r="I43" s="20">
        <f>I36</f>
        <v>307</v>
      </c>
      <c r="J43" s="26">
        <f>J36</f>
        <v>201</v>
      </c>
      <c r="K43" s="21">
        <f t="shared" ref="K43:K49" si="6">SUM(I43:J43)</f>
        <v>508</v>
      </c>
    </row>
    <row r="44" spans="1:12" x14ac:dyDescent="0.15">
      <c r="B44" s="17" t="s">
        <v>4</v>
      </c>
      <c r="C44" s="9">
        <v>3</v>
      </c>
      <c r="D44" s="28"/>
      <c r="E44" s="49">
        <f t="shared" si="5"/>
        <v>3</v>
      </c>
      <c r="F44" s="11">
        <v>44533</v>
      </c>
      <c r="H44" s="23" t="s">
        <v>4</v>
      </c>
      <c r="I44" s="24"/>
      <c r="J44" s="27"/>
      <c r="K44" s="21">
        <f t="shared" si="6"/>
        <v>0</v>
      </c>
    </row>
    <row r="45" spans="1:12" x14ac:dyDescent="0.15">
      <c r="B45" s="17" t="s">
        <v>4</v>
      </c>
      <c r="C45" s="9">
        <v>3</v>
      </c>
      <c r="D45" s="28">
        <v>3</v>
      </c>
      <c r="E45" s="49">
        <f t="shared" si="5"/>
        <v>6</v>
      </c>
      <c r="F45" s="11">
        <v>44557</v>
      </c>
      <c r="H45" s="17" t="s">
        <v>4</v>
      </c>
      <c r="I45" s="9"/>
      <c r="J45" s="28"/>
      <c r="K45" s="21">
        <f t="shared" si="6"/>
        <v>0</v>
      </c>
    </row>
    <row r="46" spans="1:12" ht="14.25" thickBot="1" x14ac:dyDescent="0.2">
      <c r="B46" s="17" t="s">
        <v>4</v>
      </c>
      <c r="C46" s="13"/>
      <c r="D46" s="29">
        <v>3</v>
      </c>
      <c r="E46" s="50">
        <f t="shared" si="5"/>
        <v>3</v>
      </c>
      <c r="F46" s="11">
        <v>44579</v>
      </c>
      <c r="H46" s="17" t="s">
        <v>4</v>
      </c>
      <c r="I46" s="13"/>
      <c r="J46" s="29"/>
      <c r="K46" s="32">
        <f t="shared" si="6"/>
        <v>0</v>
      </c>
    </row>
    <row r="47" spans="1:12" ht="14.25" thickBot="1" x14ac:dyDescent="0.2">
      <c r="B47" s="57" t="s">
        <v>1</v>
      </c>
      <c r="C47" s="42">
        <f>SUM(C43:C46)</f>
        <v>6</v>
      </c>
      <c r="D47" s="33">
        <f>SUM(D43:D46)</f>
        <v>8</v>
      </c>
      <c r="E47" s="36">
        <f t="shared" si="5"/>
        <v>14</v>
      </c>
      <c r="H47" s="57" t="s">
        <v>1</v>
      </c>
      <c r="I47" s="42">
        <f>SUM(I43:I46)</f>
        <v>307</v>
      </c>
      <c r="J47" s="33">
        <f>SUM(J43:J46)</f>
        <v>201</v>
      </c>
      <c r="K47" s="36">
        <f t="shared" si="6"/>
        <v>508</v>
      </c>
    </row>
    <row r="48" spans="1:12" x14ac:dyDescent="0.15">
      <c r="B48" s="16" t="s">
        <v>25</v>
      </c>
      <c r="C48" s="34">
        <v>1</v>
      </c>
      <c r="D48" s="35"/>
      <c r="E48" s="15">
        <f t="shared" si="5"/>
        <v>1</v>
      </c>
      <c r="F48" s="12">
        <v>44537</v>
      </c>
      <c r="H48" s="63" t="s">
        <v>24</v>
      </c>
      <c r="I48" s="59">
        <v>3</v>
      </c>
      <c r="J48" s="35"/>
      <c r="K48" s="15">
        <f t="shared" si="6"/>
        <v>3</v>
      </c>
      <c r="L48" s="11">
        <v>44533</v>
      </c>
    </row>
    <row r="49" spans="2:12" x14ac:dyDescent="0.15">
      <c r="B49" s="8" t="s">
        <v>27</v>
      </c>
      <c r="C49" s="9"/>
      <c r="D49" s="28">
        <v>1</v>
      </c>
      <c r="E49" s="10">
        <f t="shared" si="5"/>
        <v>1</v>
      </c>
      <c r="F49" s="11">
        <v>44543</v>
      </c>
      <c r="H49" s="64" t="s">
        <v>26</v>
      </c>
      <c r="I49" s="58">
        <v>5</v>
      </c>
      <c r="J49" s="28">
        <v>5</v>
      </c>
      <c r="K49" s="10">
        <f t="shared" si="6"/>
        <v>10</v>
      </c>
      <c r="L49" s="11">
        <v>44540</v>
      </c>
    </row>
    <row r="50" spans="2:12" x14ac:dyDescent="0.15">
      <c r="B50" s="8" t="s">
        <v>18</v>
      </c>
      <c r="C50" s="9">
        <f>1+1</f>
        <v>2</v>
      </c>
      <c r="D50" s="28">
        <v>1</v>
      </c>
      <c r="E50" s="10">
        <f t="shared" ref="E50:E72" si="7">SUM(C50:D50)</f>
        <v>3</v>
      </c>
      <c r="F50" s="11">
        <v>44572</v>
      </c>
      <c r="H50" s="64" t="s">
        <v>28</v>
      </c>
      <c r="I50" s="58">
        <v>20</v>
      </c>
      <c r="J50" s="28">
        <v>55</v>
      </c>
      <c r="K50" s="10">
        <f t="shared" ref="K50:K69" si="8">SUM(I50:J50)</f>
        <v>75</v>
      </c>
      <c r="L50" s="11">
        <v>44547</v>
      </c>
    </row>
    <row r="51" spans="2:12" x14ac:dyDescent="0.15">
      <c r="B51" s="8" t="s">
        <v>18</v>
      </c>
      <c r="C51" s="2"/>
      <c r="D51" s="30">
        <v>2</v>
      </c>
      <c r="E51" s="10">
        <f t="shared" si="7"/>
        <v>2</v>
      </c>
      <c r="F51" s="12">
        <v>44578</v>
      </c>
      <c r="H51" s="64" t="s">
        <v>29</v>
      </c>
      <c r="I51" s="58">
        <v>10</v>
      </c>
      <c r="J51" s="28"/>
      <c r="K51" s="10">
        <f t="shared" si="8"/>
        <v>10</v>
      </c>
      <c r="L51" s="11">
        <v>44550</v>
      </c>
    </row>
    <row r="52" spans="2:12" x14ac:dyDescent="0.15">
      <c r="B52" s="8" t="s">
        <v>18</v>
      </c>
      <c r="C52" s="2">
        <v>1</v>
      </c>
      <c r="D52" s="30">
        <v>2</v>
      </c>
      <c r="E52" s="10">
        <f t="shared" si="7"/>
        <v>3</v>
      </c>
      <c r="F52" s="11">
        <v>44579</v>
      </c>
      <c r="H52" s="64" t="s">
        <v>30</v>
      </c>
      <c r="I52" s="58">
        <v>23</v>
      </c>
      <c r="J52" s="28"/>
      <c r="K52" s="10">
        <f t="shared" si="8"/>
        <v>23</v>
      </c>
      <c r="L52" s="11">
        <v>44551</v>
      </c>
    </row>
    <row r="53" spans="2:12" x14ac:dyDescent="0.15">
      <c r="B53" s="8" t="s">
        <v>31</v>
      </c>
      <c r="C53" s="9"/>
      <c r="D53" s="28">
        <v>-7</v>
      </c>
      <c r="E53" s="10">
        <f t="shared" si="7"/>
        <v>-7</v>
      </c>
      <c r="F53" s="11">
        <v>44582</v>
      </c>
      <c r="H53" s="8" t="s">
        <v>20</v>
      </c>
      <c r="I53" s="58">
        <v>3</v>
      </c>
      <c r="J53" s="28">
        <v>3</v>
      </c>
      <c r="K53" s="10">
        <f t="shared" si="8"/>
        <v>6</v>
      </c>
      <c r="L53" s="11">
        <v>44557</v>
      </c>
    </row>
    <row r="54" spans="2:12" x14ac:dyDescent="0.15">
      <c r="B54" s="8" t="s">
        <v>18</v>
      </c>
      <c r="C54" s="2"/>
      <c r="D54" s="30">
        <f>1+2</f>
        <v>3</v>
      </c>
      <c r="E54" s="10">
        <f t="shared" si="7"/>
        <v>3</v>
      </c>
      <c r="F54" s="11">
        <v>44585</v>
      </c>
      <c r="H54" s="8" t="s">
        <v>20</v>
      </c>
      <c r="I54" s="13"/>
      <c r="J54" s="29">
        <v>3</v>
      </c>
      <c r="K54" s="50">
        <f t="shared" si="8"/>
        <v>3</v>
      </c>
      <c r="L54" s="11">
        <v>44579</v>
      </c>
    </row>
    <row r="55" spans="2:12" x14ac:dyDescent="0.15">
      <c r="B55" s="17" t="s">
        <v>4</v>
      </c>
      <c r="C55" s="9">
        <v>-5</v>
      </c>
      <c r="D55" s="28"/>
      <c r="E55" s="10">
        <f t="shared" si="7"/>
        <v>-5</v>
      </c>
      <c r="F55" s="11">
        <v>44586</v>
      </c>
      <c r="H55" s="8" t="s">
        <v>20</v>
      </c>
      <c r="I55" s="58">
        <v>5</v>
      </c>
      <c r="J55" s="28"/>
      <c r="K55" s="10">
        <f t="shared" si="8"/>
        <v>5</v>
      </c>
      <c r="L55" s="11">
        <v>44586</v>
      </c>
    </row>
    <row r="56" spans="2:12" x14ac:dyDescent="0.15">
      <c r="B56" s="8" t="s">
        <v>18</v>
      </c>
      <c r="C56" s="2">
        <v>1</v>
      </c>
      <c r="D56" s="30">
        <v>1</v>
      </c>
      <c r="E56" s="10">
        <f t="shared" si="7"/>
        <v>2</v>
      </c>
      <c r="F56" s="12">
        <v>44597</v>
      </c>
      <c r="H56" s="8" t="s">
        <v>20</v>
      </c>
      <c r="I56" s="58"/>
      <c r="J56" s="28">
        <v>5</v>
      </c>
      <c r="K56" s="10">
        <f t="shared" si="8"/>
        <v>5</v>
      </c>
      <c r="L56" s="11">
        <v>44739</v>
      </c>
    </row>
    <row r="57" spans="2:12" x14ac:dyDescent="0.15">
      <c r="B57" s="8" t="s">
        <v>18</v>
      </c>
      <c r="C57" s="9"/>
      <c r="D57" s="28">
        <v>1</v>
      </c>
      <c r="E57" s="10">
        <f t="shared" si="7"/>
        <v>1</v>
      </c>
      <c r="F57" s="11">
        <v>44648</v>
      </c>
      <c r="H57" s="8" t="s">
        <v>20</v>
      </c>
      <c r="I57" s="58">
        <v>3</v>
      </c>
      <c r="J57" s="28"/>
      <c r="K57" s="10">
        <f t="shared" si="8"/>
        <v>3</v>
      </c>
      <c r="L57" s="11">
        <v>44744</v>
      </c>
    </row>
    <row r="58" spans="2:12" x14ac:dyDescent="0.15">
      <c r="B58" s="8" t="s">
        <v>32</v>
      </c>
      <c r="C58" s="2">
        <v>1</v>
      </c>
      <c r="D58" s="30">
        <v>1</v>
      </c>
      <c r="E58" s="10">
        <f t="shared" si="7"/>
        <v>2</v>
      </c>
      <c r="F58" s="11">
        <v>44725</v>
      </c>
      <c r="H58" s="8"/>
      <c r="I58" s="60"/>
      <c r="J58" s="30"/>
      <c r="K58" s="10">
        <f t="shared" si="8"/>
        <v>0</v>
      </c>
    </row>
    <row r="59" spans="2:12" x14ac:dyDescent="0.15">
      <c r="B59" s="8" t="s">
        <v>18</v>
      </c>
      <c r="C59" s="9">
        <v>2</v>
      </c>
      <c r="D59" s="28">
        <v>3</v>
      </c>
      <c r="E59" s="10">
        <f t="shared" si="7"/>
        <v>5</v>
      </c>
      <c r="F59" s="11">
        <v>44735</v>
      </c>
      <c r="H59" s="8"/>
      <c r="I59" s="60"/>
      <c r="J59" s="30"/>
      <c r="K59" s="10">
        <f t="shared" si="8"/>
        <v>0</v>
      </c>
    </row>
    <row r="60" spans="2:12" x14ac:dyDescent="0.15">
      <c r="B60" s="8" t="s">
        <v>33</v>
      </c>
      <c r="C60" s="9"/>
      <c r="D60" s="28">
        <v>-5</v>
      </c>
      <c r="E60" s="10">
        <f t="shared" si="7"/>
        <v>-5</v>
      </c>
      <c r="F60" s="11">
        <v>44739</v>
      </c>
      <c r="H60" s="8"/>
      <c r="I60" s="60"/>
      <c r="J60" s="30"/>
      <c r="K60" s="10">
        <f t="shared" si="8"/>
        <v>0</v>
      </c>
    </row>
    <row r="61" spans="2:12" x14ac:dyDescent="0.15">
      <c r="B61" s="8" t="s">
        <v>34</v>
      </c>
      <c r="C61" s="2">
        <v>-1</v>
      </c>
      <c r="D61" s="30">
        <v>-2</v>
      </c>
      <c r="E61" s="10">
        <f t="shared" si="7"/>
        <v>-3</v>
      </c>
      <c r="F61" s="11">
        <v>44742</v>
      </c>
      <c r="H61" s="8"/>
      <c r="I61" s="60"/>
      <c r="J61" s="30"/>
      <c r="K61" s="10">
        <f t="shared" si="8"/>
        <v>0</v>
      </c>
    </row>
    <row r="62" spans="2:12" x14ac:dyDescent="0.15">
      <c r="B62" s="8" t="s">
        <v>18</v>
      </c>
      <c r="C62" s="2">
        <v>2</v>
      </c>
      <c r="D62" s="30"/>
      <c r="E62" s="10">
        <f t="shared" si="7"/>
        <v>2</v>
      </c>
      <c r="F62" s="11">
        <v>44743</v>
      </c>
      <c r="H62" s="8"/>
      <c r="I62" s="60"/>
      <c r="J62" s="30"/>
      <c r="K62" s="10">
        <f t="shared" si="8"/>
        <v>0</v>
      </c>
    </row>
    <row r="63" spans="2:12" x14ac:dyDescent="0.15">
      <c r="B63" s="8" t="s">
        <v>4</v>
      </c>
      <c r="C63" s="9">
        <v>-3</v>
      </c>
      <c r="D63" s="28"/>
      <c r="E63" s="10">
        <f t="shared" si="7"/>
        <v>-3</v>
      </c>
      <c r="F63" s="11">
        <v>44744</v>
      </c>
      <c r="H63" s="8"/>
      <c r="I63" s="60"/>
      <c r="J63" s="30"/>
      <c r="K63" s="10">
        <f t="shared" si="8"/>
        <v>0</v>
      </c>
    </row>
    <row r="64" spans="2:12" x14ac:dyDescent="0.15">
      <c r="B64" s="8" t="s">
        <v>18</v>
      </c>
      <c r="C64" s="2">
        <v>1</v>
      </c>
      <c r="D64" s="30"/>
      <c r="E64" s="10">
        <f t="shared" si="7"/>
        <v>1</v>
      </c>
      <c r="F64" s="11">
        <v>44768</v>
      </c>
      <c r="H64" s="8"/>
      <c r="I64" s="60"/>
      <c r="J64" s="30"/>
      <c r="K64" s="10">
        <f t="shared" si="8"/>
        <v>0</v>
      </c>
    </row>
    <row r="65" spans="1:12" x14ac:dyDescent="0.15">
      <c r="B65" s="8" t="s">
        <v>38</v>
      </c>
      <c r="C65" s="2">
        <v>-1</v>
      </c>
      <c r="D65" s="30"/>
      <c r="E65" s="10">
        <f t="shared" si="7"/>
        <v>-1</v>
      </c>
      <c r="F65" s="11">
        <v>44781</v>
      </c>
      <c r="H65" s="8"/>
      <c r="I65" s="60"/>
      <c r="J65" s="30"/>
      <c r="K65" s="10">
        <f t="shared" si="8"/>
        <v>0</v>
      </c>
    </row>
    <row r="66" spans="1:12" x14ac:dyDescent="0.15">
      <c r="B66" s="8"/>
      <c r="C66" s="2"/>
      <c r="D66" s="30"/>
      <c r="E66" s="10">
        <f t="shared" si="7"/>
        <v>0</v>
      </c>
      <c r="F66" s="12"/>
      <c r="H66" s="8"/>
      <c r="I66" s="60"/>
      <c r="J66" s="30"/>
      <c r="K66" s="10">
        <f t="shared" si="8"/>
        <v>0</v>
      </c>
    </row>
    <row r="67" spans="1:12" x14ac:dyDescent="0.15">
      <c r="B67" s="8"/>
      <c r="C67" s="2"/>
      <c r="D67" s="30"/>
      <c r="E67" s="10">
        <f t="shared" si="7"/>
        <v>0</v>
      </c>
      <c r="F67" s="11"/>
      <c r="H67" s="8"/>
      <c r="I67" s="60"/>
      <c r="J67" s="30"/>
      <c r="K67" s="10">
        <f t="shared" si="8"/>
        <v>0</v>
      </c>
    </row>
    <row r="68" spans="1:12" x14ac:dyDescent="0.15">
      <c r="B68" s="8"/>
      <c r="C68" s="2"/>
      <c r="D68" s="30"/>
      <c r="E68" s="10">
        <f t="shared" si="7"/>
        <v>0</v>
      </c>
      <c r="F68" s="12"/>
      <c r="H68" s="8"/>
      <c r="I68" s="60"/>
      <c r="J68" s="30"/>
      <c r="K68" s="10">
        <f t="shared" si="8"/>
        <v>0</v>
      </c>
    </row>
    <row r="69" spans="1:12" x14ac:dyDescent="0.15">
      <c r="B69" s="8"/>
      <c r="C69" s="3"/>
      <c r="D69" s="31"/>
      <c r="E69" s="10">
        <f t="shared" si="7"/>
        <v>0</v>
      </c>
      <c r="F69" s="11"/>
      <c r="H69" s="8"/>
      <c r="I69" s="61"/>
      <c r="J69" s="31"/>
      <c r="K69" s="10">
        <f t="shared" si="8"/>
        <v>0</v>
      </c>
    </row>
    <row r="70" spans="1:12" x14ac:dyDescent="0.15">
      <c r="B70" s="17"/>
      <c r="C70" s="9"/>
      <c r="D70" s="28"/>
      <c r="E70" s="10">
        <f t="shared" si="7"/>
        <v>0</v>
      </c>
      <c r="F70" s="18"/>
      <c r="H70" s="8"/>
      <c r="I70" s="61"/>
      <c r="J70" s="31"/>
      <c r="K70" s="10">
        <f t="shared" ref="K70:K71" si="9">SUM(I70:J70)</f>
        <v>0</v>
      </c>
    </row>
    <row r="71" spans="1:12" x14ac:dyDescent="0.15">
      <c r="B71" s="17"/>
      <c r="C71" s="9"/>
      <c r="D71" s="28"/>
      <c r="E71" s="10">
        <f t="shared" si="7"/>
        <v>0</v>
      </c>
      <c r="F71" s="18"/>
      <c r="H71" s="8"/>
      <c r="I71" s="61"/>
      <c r="J71" s="31"/>
      <c r="K71" s="10">
        <f t="shared" si="9"/>
        <v>0</v>
      </c>
    </row>
    <row r="72" spans="1:12" ht="14.25" thickBot="1" x14ac:dyDescent="0.2">
      <c r="B72" s="22"/>
      <c r="C72" s="13"/>
      <c r="D72" s="29"/>
      <c r="E72" s="14">
        <f t="shared" si="7"/>
        <v>0</v>
      </c>
      <c r="F72" s="11"/>
      <c r="H72" s="65" t="s">
        <v>22</v>
      </c>
      <c r="I72" s="62"/>
      <c r="J72" s="29"/>
      <c r="K72" s="14">
        <f t="shared" ref="K72" si="10">SUM(I72:J72)</f>
        <v>0</v>
      </c>
      <c r="L72" t="s">
        <v>23</v>
      </c>
    </row>
    <row r="73" spans="1:12" ht="14.25" thickBot="1" x14ac:dyDescent="0.2">
      <c r="B73" s="37" t="s">
        <v>2</v>
      </c>
      <c r="C73" s="38">
        <f>SUM(C48:C72)</f>
        <v>1</v>
      </c>
      <c r="D73" s="39">
        <f>SUM(D48:D72)</f>
        <v>1</v>
      </c>
      <c r="E73" s="40">
        <f>SUM(C73:D73)</f>
        <v>2</v>
      </c>
      <c r="H73" s="37" t="s">
        <v>2</v>
      </c>
      <c r="I73" s="38">
        <f>SUM(I48:I72)</f>
        <v>72</v>
      </c>
      <c r="J73" s="39">
        <f>SUM(J48:J72)</f>
        <v>71</v>
      </c>
      <c r="K73" s="40">
        <f>SUM(I73:J73)</f>
        <v>143</v>
      </c>
    </row>
    <row r="74" spans="1:12" ht="14.25" thickBot="1" x14ac:dyDescent="0.2">
      <c r="B74" s="41" t="s">
        <v>3</v>
      </c>
      <c r="C74" s="42">
        <f>+C47-C73</f>
        <v>5</v>
      </c>
      <c r="D74" s="43">
        <f>+D47-D73</f>
        <v>7</v>
      </c>
      <c r="E74" s="33">
        <f>SUM(C74:D74)</f>
        <v>12</v>
      </c>
      <c r="H74" s="41" t="s">
        <v>3</v>
      </c>
      <c r="I74" s="42">
        <f>+I47-I73</f>
        <v>235</v>
      </c>
      <c r="J74" s="43">
        <f>+J47-J73</f>
        <v>130</v>
      </c>
      <c r="K74" s="33">
        <f>SUM(I74:J74)</f>
        <v>365</v>
      </c>
    </row>
    <row r="75" spans="1:12" x14ac:dyDescent="0.15">
      <c r="H75" s="1"/>
    </row>
    <row r="76" spans="1:12" x14ac:dyDescent="0.15">
      <c r="H76" s="1"/>
    </row>
    <row r="77" spans="1:12" ht="18.75" x14ac:dyDescent="0.2">
      <c r="B77" s="46" t="s">
        <v>10</v>
      </c>
      <c r="C77" s="47"/>
      <c r="D77" s="47"/>
      <c r="E77" s="47"/>
      <c r="H77" s="44" t="s">
        <v>11</v>
      </c>
      <c r="I77" s="45"/>
      <c r="J77" s="45"/>
      <c r="K77" s="45"/>
      <c r="L77" s="45"/>
    </row>
    <row r="78" spans="1:12" ht="14.25" thickBot="1" x14ac:dyDescent="0.2">
      <c r="H78" s="1"/>
    </row>
    <row r="79" spans="1:12" ht="14.25" thickBot="1" x14ac:dyDescent="0.2">
      <c r="B79" s="4"/>
      <c r="C79" s="111"/>
      <c r="D79" s="112"/>
      <c r="E79" s="113"/>
      <c r="H79" s="4"/>
      <c r="I79" s="111"/>
      <c r="J79" s="112"/>
      <c r="K79" s="113"/>
    </row>
    <row r="80" spans="1:12" ht="14.25" thickBot="1" x14ac:dyDescent="0.2">
      <c r="A80" s="1"/>
      <c r="B80" s="5"/>
      <c r="C80" s="6" t="s">
        <v>6</v>
      </c>
      <c r="D80" s="72" t="s">
        <v>7</v>
      </c>
      <c r="E80" s="7" t="s">
        <v>0</v>
      </c>
      <c r="G80" s="1"/>
      <c r="H80" s="5"/>
      <c r="I80" s="6" t="s">
        <v>6</v>
      </c>
      <c r="J80" s="72" t="s">
        <v>7</v>
      </c>
      <c r="K80" s="7" t="s">
        <v>0</v>
      </c>
    </row>
    <row r="81" spans="2:12" x14ac:dyDescent="0.15">
      <c r="B81" s="19" t="s">
        <v>3</v>
      </c>
      <c r="C81" s="20">
        <f>C74</f>
        <v>5</v>
      </c>
      <c r="D81" s="26">
        <f>D74</f>
        <v>7</v>
      </c>
      <c r="E81" s="21">
        <f t="shared" ref="E81:E110" si="11">SUM(C81:D81)</f>
        <v>12</v>
      </c>
      <c r="H81" s="19" t="s">
        <v>3</v>
      </c>
      <c r="I81" s="20">
        <f>I74</f>
        <v>235</v>
      </c>
      <c r="J81" s="26">
        <f>J74</f>
        <v>130</v>
      </c>
      <c r="K81" s="21">
        <f t="shared" ref="K81:K110" si="12">SUM(I81:J81)</f>
        <v>365</v>
      </c>
    </row>
    <row r="82" spans="2:12" x14ac:dyDescent="0.15">
      <c r="B82" s="66" t="s">
        <v>39</v>
      </c>
      <c r="C82" s="67">
        <v>0</v>
      </c>
      <c r="D82" s="68">
        <v>0</v>
      </c>
      <c r="E82" s="69">
        <f t="shared" si="11"/>
        <v>0</v>
      </c>
      <c r="F82" s="70">
        <v>44798</v>
      </c>
      <c r="H82" s="23" t="s">
        <v>4</v>
      </c>
      <c r="I82" s="24"/>
      <c r="J82" s="27"/>
      <c r="K82" s="21">
        <f t="shared" si="12"/>
        <v>0</v>
      </c>
    </row>
    <row r="83" spans="2:12" x14ac:dyDescent="0.15">
      <c r="B83" s="17" t="s">
        <v>4</v>
      </c>
      <c r="C83" s="9">
        <v>5</v>
      </c>
      <c r="D83" s="28">
        <v>5</v>
      </c>
      <c r="E83" s="49">
        <f t="shared" si="11"/>
        <v>10</v>
      </c>
      <c r="F83" s="11">
        <v>44810</v>
      </c>
      <c r="H83" s="17" t="s">
        <v>4</v>
      </c>
      <c r="I83" s="9"/>
      <c r="J83" s="28"/>
      <c r="K83" s="21">
        <f t="shared" si="12"/>
        <v>0</v>
      </c>
    </row>
    <row r="84" spans="2:12" ht="14.25" thickBot="1" x14ac:dyDescent="0.2">
      <c r="B84" s="17" t="s">
        <v>4</v>
      </c>
      <c r="C84" s="13"/>
      <c r="D84" s="29">
        <v>5</v>
      </c>
      <c r="E84" s="50">
        <f t="shared" si="11"/>
        <v>5</v>
      </c>
      <c r="F84" s="11">
        <v>44825</v>
      </c>
      <c r="H84" s="17" t="s">
        <v>4</v>
      </c>
      <c r="I84" s="13"/>
      <c r="J84" s="29"/>
      <c r="K84" s="32">
        <f t="shared" si="12"/>
        <v>0</v>
      </c>
    </row>
    <row r="85" spans="2:12" ht="14.25" thickBot="1" x14ac:dyDescent="0.2">
      <c r="B85" s="57" t="s">
        <v>1</v>
      </c>
      <c r="C85" s="42">
        <f>SUM(C81:C84)</f>
        <v>10</v>
      </c>
      <c r="D85" s="33">
        <f>SUM(D81:D84)</f>
        <v>17</v>
      </c>
      <c r="E85" s="36">
        <f t="shared" si="11"/>
        <v>27</v>
      </c>
      <c r="H85" s="57" t="s">
        <v>1</v>
      </c>
      <c r="I85" s="42">
        <f>SUM(I81:I84)</f>
        <v>235</v>
      </c>
      <c r="J85" s="33">
        <f>SUM(J81:J84)</f>
        <v>130</v>
      </c>
      <c r="K85" s="36">
        <f t="shared" si="12"/>
        <v>365</v>
      </c>
    </row>
    <row r="86" spans="2:12" x14ac:dyDescent="0.15">
      <c r="B86" s="16" t="s">
        <v>42</v>
      </c>
      <c r="C86" s="34"/>
      <c r="D86" s="35">
        <v>2</v>
      </c>
      <c r="E86" s="15">
        <f t="shared" si="11"/>
        <v>2</v>
      </c>
      <c r="F86" s="12">
        <v>44809</v>
      </c>
      <c r="H86" s="55" t="s">
        <v>40</v>
      </c>
      <c r="I86" s="59">
        <v>10</v>
      </c>
      <c r="J86" s="35">
        <v>6</v>
      </c>
      <c r="K86" s="15">
        <f t="shared" si="12"/>
        <v>16</v>
      </c>
      <c r="L86" s="11">
        <v>44810</v>
      </c>
    </row>
    <row r="87" spans="2:12" x14ac:dyDescent="0.15">
      <c r="B87" s="8" t="s">
        <v>18</v>
      </c>
      <c r="C87" s="9">
        <f>1+2</f>
        <v>3</v>
      </c>
      <c r="D87" s="28">
        <v>1</v>
      </c>
      <c r="E87" s="10">
        <f t="shared" si="11"/>
        <v>4</v>
      </c>
      <c r="F87" s="11">
        <v>44810</v>
      </c>
      <c r="H87" s="71" t="s">
        <v>41</v>
      </c>
      <c r="I87" s="58">
        <v>5</v>
      </c>
      <c r="J87" s="28">
        <v>6</v>
      </c>
      <c r="K87" s="10">
        <f t="shared" si="12"/>
        <v>11</v>
      </c>
      <c r="L87" s="11">
        <v>44810</v>
      </c>
    </row>
    <row r="88" spans="2:12" x14ac:dyDescent="0.15">
      <c r="B88" s="8" t="s">
        <v>18</v>
      </c>
      <c r="C88" s="9"/>
      <c r="D88" s="28">
        <v>1</v>
      </c>
      <c r="E88" s="10">
        <f t="shared" si="11"/>
        <v>1</v>
      </c>
      <c r="F88" s="11">
        <v>44816</v>
      </c>
      <c r="H88" s="64" t="s">
        <v>43</v>
      </c>
      <c r="I88" s="58">
        <v>5</v>
      </c>
      <c r="J88" s="28">
        <v>5</v>
      </c>
      <c r="K88" s="10">
        <f t="shared" si="12"/>
        <v>10</v>
      </c>
      <c r="L88" s="11">
        <v>44810</v>
      </c>
    </row>
    <row r="89" spans="2:12" x14ac:dyDescent="0.15">
      <c r="B89" s="8" t="s">
        <v>18</v>
      </c>
      <c r="C89" s="2"/>
      <c r="D89" s="30">
        <v>1</v>
      </c>
      <c r="E89" s="10">
        <f t="shared" si="11"/>
        <v>1</v>
      </c>
      <c r="F89" s="12">
        <v>44821</v>
      </c>
      <c r="H89" s="64" t="s">
        <v>20</v>
      </c>
      <c r="I89" s="58"/>
      <c r="J89" s="28">
        <v>5</v>
      </c>
      <c r="K89" s="10">
        <f t="shared" si="12"/>
        <v>5</v>
      </c>
      <c r="L89" s="11">
        <v>44824</v>
      </c>
    </row>
    <row r="90" spans="2:12" x14ac:dyDescent="0.15">
      <c r="B90" s="8" t="s">
        <v>18</v>
      </c>
      <c r="C90" s="2">
        <v>1</v>
      </c>
      <c r="D90" s="30">
        <v>5</v>
      </c>
      <c r="E90" s="10">
        <f t="shared" si="11"/>
        <v>6</v>
      </c>
      <c r="F90" s="11">
        <v>44824</v>
      </c>
      <c r="H90" s="64" t="s">
        <v>20</v>
      </c>
      <c r="I90" s="58">
        <v>5</v>
      </c>
      <c r="J90" s="28">
        <v>5</v>
      </c>
      <c r="K90" s="10">
        <f t="shared" si="12"/>
        <v>10</v>
      </c>
      <c r="L90" s="11">
        <v>44845</v>
      </c>
    </row>
    <row r="91" spans="2:12" x14ac:dyDescent="0.15">
      <c r="B91" s="8" t="s">
        <v>18</v>
      </c>
      <c r="C91" s="9"/>
      <c r="D91" s="28">
        <v>1</v>
      </c>
      <c r="E91" s="10">
        <f t="shared" si="11"/>
        <v>1</v>
      </c>
      <c r="F91" s="11">
        <v>44830</v>
      </c>
      <c r="H91" s="64" t="s">
        <v>20</v>
      </c>
      <c r="I91" s="58">
        <v>5</v>
      </c>
      <c r="J91" s="28"/>
      <c r="K91" s="10">
        <f t="shared" si="12"/>
        <v>5</v>
      </c>
      <c r="L91" s="11">
        <v>44903</v>
      </c>
    </row>
    <row r="92" spans="2:12" x14ac:dyDescent="0.15">
      <c r="B92" s="8" t="s">
        <v>44</v>
      </c>
      <c r="C92" s="9">
        <v>-5</v>
      </c>
      <c r="D92" s="28">
        <v>-5</v>
      </c>
      <c r="E92" s="10">
        <f t="shared" si="11"/>
        <v>-10</v>
      </c>
      <c r="F92" s="11">
        <v>44845</v>
      </c>
      <c r="H92" s="64" t="s">
        <v>20</v>
      </c>
      <c r="I92" s="13">
        <v>5</v>
      </c>
      <c r="J92" s="29">
        <v>10</v>
      </c>
      <c r="K92" s="50">
        <f t="shared" si="12"/>
        <v>15</v>
      </c>
      <c r="L92" s="11">
        <v>44942</v>
      </c>
    </row>
    <row r="93" spans="2:12" x14ac:dyDescent="0.15">
      <c r="B93" s="8" t="s">
        <v>18</v>
      </c>
      <c r="C93" s="9">
        <v>1</v>
      </c>
      <c r="D93" s="28"/>
      <c r="E93" s="10">
        <f t="shared" si="11"/>
        <v>1</v>
      </c>
      <c r="F93" s="11">
        <v>44870</v>
      </c>
      <c r="H93" s="8"/>
      <c r="I93" s="58"/>
      <c r="J93" s="28"/>
      <c r="K93" s="10">
        <f t="shared" si="12"/>
        <v>0</v>
      </c>
      <c r="L93" s="11"/>
    </row>
    <row r="94" spans="2:12" x14ac:dyDescent="0.15">
      <c r="B94" s="8" t="s">
        <v>18</v>
      </c>
      <c r="C94" s="2">
        <v>2</v>
      </c>
      <c r="D94" s="30"/>
      <c r="E94" s="10">
        <f t="shared" si="11"/>
        <v>2</v>
      </c>
      <c r="F94" s="12">
        <v>44872</v>
      </c>
      <c r="H94" s="8"/>
      <c r="I94" s="58"/>
      <c r="J94" s="28"/>
      <c r="K94" s="10">
        <f t="shared" si="12"/>
        <v>0</v>
      </c>
      <c r="L94" s="11"/>
    </row>
    <row r="95" spans="2:12" x14ac:dyDescent="0.15">
      <c r="B95" s="8" t="s">
        <v>18</v>
      </c>
      <c r="C95" s="9">
        <v>1</v>
      </c>
      <c r="D95" s="28">
        <v>1</v>
      </c>
      <c r="E95" s="10">
        <f t="shared" si="11"/>
        <v>2</v>
      </c>
      <c r="F95" s="11">
        <v>44876</v>
      </c>
      <c r="H95" s="8"/>
      <c r="I95" s="58"/>
      <c r="J95" s="28"/>
      <c r="K95" s="10">
        <f t="shared" si="12"/>
        <v>0</v>
      </c>
      <c r="L95" s="11"/>
    </row>
    <row r="96" spans="2:12" x14ac:dyDescent="0.15">
      <c r="B96" s="8" t="s">
        <v>45</v>
      </c>
      <c r="C96" s="2">
        <v>1</v>
      </c>
      <c r="D96" s="30"/>
      <c r="E96" s="10">
        <f t="shared" si="11"/>
        <v>1</v>
      </c>
      <c r="F96" s="11">
        <v>44886</v>
      </c>
      <c r="H96" s="8"/>
      <c r="I96" s="60"/>
      <c r="J96" s="30"/>
      <c r="K96" s="10">
        <f t="shared" si="12"/>
        <v>0</v>
      </c>
    </row>
    <row r="97" spans="2:12" x14ac:dyDescent="0.15">
      <c r="B97" s="8" t="s">
        <v>18</v>
      </c>
      <c r="C97" s="9">
        <v>1</v>
      </c>
      <c r="D97" s="28">
        <v>1</v>
      </c>
      <c r="E97" s="10">
        <f t="shared" si="11"/>
        <v>2</v>
      </c>
      <c r="F97" s="11">
        <v>44900</v>
      </c>
      <c r="H97" s="8"/>
      <c r="I97" s="60"/>
      <c r="J97" s="30"/>
      <c r="K97" s="10">
        <f t="shared" si="12"/>
        <v>0</v>
      </c>
    </row>
    <row r="98" spans="2:12" x14ac:dyDescent="0.15">
      <c r="B98" s="8" t="s">
        <v>4</v>
      </c>
      <c r="C98" s="9">
        <v>-5</v>
      </c>
      <c r="D98" s="28"/>
      <c r="E98" s="10">
        <f t="shared" si="11"/>
        <v>-5</v>
      </c>
      <c r="F98" s="11">
        <v>44903</v>
      </c>
      <c r="H98" s="8"/>
      <c r="I98" s="60"/>
      <c r="J98" s="30"/>
      <c r="K98" s="10">
        <f t="shared" si="12"/>
        <v>0</v>
      </c>
    </row>
    <row r="99" spans="2:12" x14ac:dyDescent="0.15">
      <c r="B99" s="8" t="s">
        <v>18</v>
      </c>
      <c r="C99" s="2"/>
      <c r="D99" s="30">
        <f>1+1</f>
        <v>2</v>
      </c>
      <c r="E99" s="10">
        <f t="shared" si="11"/>
        <v>2</v>
      </c>
      <c r="F99" s="11">
        <v>44907</v>
      </c>
      <c r="H99" s="8"/>
      <c r="I99" s="60"/>
      <c r="J99" s="30"/>
      <c r="K99" s="10">
        <f t="shared" si="12"/>
        <v>0</v>
      </c>
    </row>
    <row r="100" spans="2:12" x14ac:dyDescent="0.15">
      <c r="B100" s="8" t="s">
        <v>18</v>
      </c>
      <c r="C100" s="2"/>
      <c r="D100" s="30">
        <v>1</v>
      </c>
      <c r="E100" s="10">
        <f t="shared" si="11"/>
        <v>1</v>
      </c>
      <c r="F100" s="11">
        <v>44908</v>
      </c>
      <c r="H100" s="8"/>
      <c r="I100" s="60"/>
      <c r="J100" s="30"/>
      <c r="K100" s="10">
        <f t="shared" si="12"/>
        <v>0</v>
      </c>
    </row>
    <row r="101" spans="2:12" x14ac:dyDescent="0.15">
      <c r="B101" s="8" t="s">
        <v>46</v>
      </c>
      <c r="C101" s="9">
        <v>-1</v>
      </c>
      <c r="D101" s="28"/>
      <c r="E101" s="10">
        <f t="shared" si="11"/>
        <v>-1</v>
      </c>
      <c r="F101" s="11">
        <v>44909</v>
      </c>
      <c r="H101" s="8"/>
      <c r="I101" s="60"/>
      <c r="J101" s="30"/>
      <c r="K101" s="10">
        <f t="shared" si="12"/>
        <v>0</v>
      </c>
    </row>
    <row r="102" spans="2:12" x14ac:dyDescent="0.15">
      <c r="B102" s="8" t="s">
        <v>18</v>
      </c>
      <c r="C102" s="2"/>
      <c r="D102" s="30">
        <f>1+1</f>
        <v>2</v>
      </c>
      <c r="E102" s="10">
        <f t="shared" si="11"/>
        <v>2</v>
      </c>
      <c r="F102" s="11">
        <v>44921</v>
      </c>
      <c r="H102" s="8"/>
      <c r="I102" s="60"/>
      <c r="J102" s="30"/>
      <c r="K102" s="10">
        <f t="shared" si="12"/>
        <v>0</v>
      </c>
    </row>
    <row r="103" spans="2:12" x14ac:dyDescent="0.15">
      <c r="B103" s="8" t="s">
        <v>18</v>
      </c>
      <c r="C103" s="2">
        <v>2</v>
      </c>
      <c r="D103" s="30">
        <v>1</v>
      </c>
      <c r="E103" s="10">
        <f t="shared" si="11"/>
        <v>3</v>
      </c>
      <c r="F103" s="11">
        <v>44931</v>
      </c>
      <c r="H103" s="8"/>
      <c r="I103" s="60"/>
      <c r="J103" s="30"/>
      <c r="K103" s="10">
        <f t="shared" si="12"/>
        <v>0</v>
      </c>
    </row>
    <row r="104" spans="2:12" x14ac:dyDescent="0.15">
      <c r="B104" s="8" t="s">
        <v>4</v>
      </c>
      <c r="C104" s="9">
        <v>-5</v>
      </c>
      <c r="D104" s="28">
        <v>-10</v>
      </c>
      <c r="E104" s="10">
        <f t="shared" si="11"/>
        <v>-15</v>
      </c>
      <c r="F104" s="11">
        <v>44942</v>
      </c>
      <c r="H104" s="8"/>
      <c r="I104" s="60"/>
      <c r="J104" s="30"/>
      <c r="K104" s="10">
        <f t="shared" si="12"/>
        <v>0</v>
      </c>
    </row>
    <row r="105" spans="2:12" x14ac:dyDescent="0.15">
      <c r="B105" s="8" t="s">
        <v>18</v>
      </c>
      <c r="C105" s="2">
        <v>2</v>
      </c>
      <c r="D105" s="30">
        <v>1</v>
      </c>
      <c r="E105" s="10">
        <f t="shared" si="11"/>
        <v>3</v>
      </c>
      <c r="F105" s="11">
        <v>44943</v>
      </c>
      <c r="H105" s="8"/>
      <c r="I105" s="60"/>
      <c r="J105" s="30"/>
      <c r="K105" s="10">
        <f t="shared" si="12"/>
        <v>0</v>
      </c>
    </row>
    <row r="106" spans="2:12" x14ac:dyDescent="0.15">
      <c r="B106" s="8" t="s">
        <v>18</v>
      </c>
      <c r="C106" s="2">
        <v>1</v>
      </c>
      <c r="D106" s="30">
        <v>1</v>
      </c>
      <c r="E106" s="10">
        <f t="shared" si="11"/>
        <v>2</v>
      </c>
      <c r="F106" s="12">
        <v>44949</v>
      </c>
      <c r="H106" s="8"/>
      <c r="I106" s="60"/>
      <c r="J106" s="30"/>
      <c r="K106" s="10">
        <f t="shared" si="12"/>
        <v>0</v>
      </c>
    </row>
    <row r="107" spans="2:12" x14ac:dyDescent="0.15">
      <c r="B107" s="8" t="s">
        <v>18</v>
      </c>
      <c r="C107" s="3">
        <v>1</v>
      </c>
      <c r="D107" s="31"/>
      <c r="E107" s="10">
        <f t="shared" si="11"/>
        <v>1</v>
      </c>
      <c r="F107" s="11">
        <v>44970</v>
      </c>
      <c r="H107" s="8"/>
      <c r="I107" s="61"/>
      <c r="J107" s="31"/>
      <c r="K107" s="10">
        <f t="shared" si="12"/>
        <v>0</v>
      </c>
    </row>
    <row r="108" spans="2:12" x14ac:dyDescent="0.15">
      <c r="B108" s="8" t="s">
        <v>18</v>
      </c>
      <c r="C108" s="9">
        <v>1</v>
      </c>
      <c r="D108" s="28"/>
      <c r="E108" s="10">
        <f t="shared" si="11"/>
        <v>1</v>
      </c>
      <c r="F108" s="18">
        <v>45019</v>
      </c>
      <c r="H108" s="65"/>
      <c r="I108" s="62"/>
      <c r="J108" s="29"/>
      <c r="K108" s="14">
        <f t="shared" si="12"/>
        <v>0</v>
      </c>
    </row>
    <row r="109" spans="2:12" x14ac:dyDescent="0.15">
      <c r="B109" s="8" t="s">
        <v>18</v>
      </c>
      <c r="C109" s="9">
        <v>1</v>
      </c>
      <c r="D109" s="28"/>
      <c r="E109" s="10">
        <f t="shared" si="11"/>
        <v>1</v>
      </c>
      <c r="F109" s="18">
        <v>45054</v>
      </c>
      <c r="H109" s="71" t="s">
        <v>36</v>
      </c>
      <c r="I109" s="62"/>
      <c r="J109" s="29"/>
      <c r="K109" s="14">
        <f t="shared" si="12"/>
        <v>0</v>
      </c>
      <c r="L109" t="s">
        <v>37</v>
      </c>
    </row>
    <row r="110" spans="2:12" ht="14.25" thickBot="1" x14ac:dyDescent="0.2">
      <c r="B110" s="8" t="s">
        <v>18</v>
      </c>
      <c r="C110" s="13">
        <v>1</v>
      </c>
      <c r="D110" s="29">
        <v>1</v>
      </c>
      <c r="E110" s="14">
        <f t="shared" si="11"/>
        <v>2</v>
      </c>
      <c r="F110" s="11">
        <v>45118</v>
      </c>
      <c r="H110" s="73" t="s">
        <v>35</v>
      </c>
      <c r="I110" s="62"/>
      <c r="J110" s="29"/>
      <c r="K110" s="14">
        <f t="shared" si="12"/>
        <v>0</v>
      </c>
      <c r="L110" s="11">
        <v>44811</v>
      </c>
    </row>
    <row r="111" spans="2:12" ht="14.25" thickBot="1" x14ac:dyDescent="0.2">
      <c r="B111" s="37" t="s">
        <v>2</v>
      </c>
      <c r="C111" s="38">
        <f>SUM(C86:C110)</f>
        <v>3</v>
      </c>
      <c r="D111" s="39">
        <f>SUM(D86:D110)</f>
        <v>7</v>
      </c>
      <c r="E111" s="40">
        <f>SUM(C111:D111)</f>
        <v>10</v>
      </c>
      <c r="H111" s="37" t="s">
        <v>2</v>
      </c>
      <c r="I111" s="38">
        <f>SUM(I86:I110)</f>
        <v>35</v>
      </c>
      <c r="J111" s="39">
        <f>SUM(J86:J110)</f>
        <v>37</v>
      </c>
      <c r="K111" s="40">
        <f>SUM(I111:J111)</f>
        <v>72</v>
      </c>
    </row>
    <row r="112" spans="2:12" ht="14.25" thickBot="1" x14ac:dyDescent="0.2">
      <c r="B112" s="41" t="s">
        <v>3</v>
      </c>
      <c r="C112" s="42">
        <f>+C85-C111</f>
        <v>7</v>
      </c>
      <c r="D112" s="43">
        <f>+D85-D111</f>
        <v>10</v>
      </c>
      <c r="E112" s="33">
        <f>SUM(C112:D112)</f>
        <v>17</v>
      </c>
      <c r="H112" s="41" t="s">
        <v>3</v>
      </c>
      <c r="I112" s="42">
        <f>+I85-I111</f>
        <v>200</v>
      </c>
      <c r="J112" s="43">
        <f>+J85-J111</f>
        <v>93</v>
      </c>
      <c r="K112" s="33">
        <f>SUM(I112:J112)</f>
        <v>293</v>
      </c>
    </row>
    <row r="113" spans="1:12" x14ac:dyDescent="0.15">
      <c r="H113" s="1"/>
    </row>
    <row r="114" spans="1:12" x14ac:dyDescent="0.15">
      <c r="H114" s="1"/>
    </row>
    <row r="115" spans="1:12" ht="18.75" x14ac:dyDescent="0.2">
      <c r="B115" s="46" t="s">
        <v>10</v>
      </c>
      <c r="C115" s="47"/>
      <c r="D115" s="47"/>
      <c r="E115" s="47"/>
      <c r="H115" s="44" t="s">
        <v>11</v>
      </c>
      <c r="I115" s="45"/>
      <c r="J115" s="45"/>
      <c r="K115" s="45"/>
      <c r="L115" s="45"/>
    </row>
    <row r="116" spans="1:12" ht="14.25" thickBot="1" x14ac:dyDescent="0.2">
      <c r="H116" s="1"/>
    </row>
    <row r="117" spans="1:12" ht="14.25" thickBot="1" x14ac:dyDescent="0.2">
      <c r="B117" s="4"/>
      <c r="C117" s="111"/>
      <c r="D117" s="112"/>
      <c r="E117" s="113"/>
      <c r="H117" s="4"/>
      <c r="I117" s="111"/>
      <c r="J117" s="112"/>
      <c r="K117" s="113"/>
    </row>
    <row r="118" spans="1:12" ht="14.25" thickBot="1" x14ac:dyDescent="0.2">
      <c r="A118" s="1"/>
      <c r="B118" s="5"/>
      <c r="C118" s="6" t="s">
        <v>6</v>
      </c>
      <c r="D118" s="72" t="s">
        <v>7</v>
      </c>
      <c r="E118" s="76" t="s">
        <v>0</v>
      </c>
      <c r="G118" s="1"/>
      <c r="H118" s="5"/>
      <c r="I118" s="6" t="s">
        <v>6</v>
      </c>
      <c r="J118" s="72" t="s">
        <v>7</v>
      </c>
      <c r="K118" s="76" t="s">
        <v>0</v>
      </c>
    </row>
    <row r="119" spans="1:12" x14ac:dyDescent="0.15">
      <c r="B119" s="19" t="s">
        <v>3</v>
      </c>
      <c r="C119" s="20">
        <f>C112</f>
        <v>7</v>
      </c>
      <c r="D119" s="26">
        <f>D112</f>
        <v>10</v>
      </c>
      <c r="E119" s="77">
        <f t="shared" ref="E119:E148" si="13">SUM(C119:D119)</f>
        <v>17</v>
      </c>
      <c r="H119" s="19" t="s">
        <v>3</v>
      </c>
      <c r="I119" s="20">
        <f>I112</f>
        <v>200</v>
      </c>
      <c r="J119" s="26">
        <f>J112</f>
        <v>93</v>
      </c>
      <c r="K119" s="77">
        <f t="shared" ref="K119:K148" si="14">SUM(I119:J119)</f>
        <v>293</v>
      </c>
    </row>
    <row r="120" spans="1:12" x14ac:dyDescent="0.15">
      <c r="B120" s="17" t="s">
        <v>47</v>
      </c>
      <c r="C120" s="9">
        <v>0</v>
      </c>
      <c r="D120" s="28">
        <v>5</v>
      </c>
      <c r="E120" s="78">
        <f t="shared" ref="E120:E121" si="15">SUM(C120:D120)</f>
        <v>5</v>
      </c>
      <c r="F120" s="11">
        <v>45161</v>
      </c>
      <c r="H120" s="17" t="s">
        <v>4</v>
      </c>
      <c r="I120" s="9"/>
      <c r="J120" s="28"/>
      <c r="K120" s="78">
        <f t="shared" ref="K120" si="16">SUM(I120:J120)</f>
        <v>0</v>
      </c>
    </row>
    <row r="121" spans="1:12" x14ac:dyDescent="0.15">
      <c r="B121" s="17" t="s">
        <v>4</v>
      </c>
      <c r="C121" s="9">
        <f>1+20</f>
        <v>21</v>
      </c>
      <c r="D121" s="28">
        <v>20</v>
      </c>
      <c r="E121" s="81">
        <f t="shared" si="15"/>
        <v>41</v>
      </c>
      <c r="F121" s="11">
        <v>45276</v>
      </c>
      <c r="H121" s="17" t="s">
        <v>4</v>
      </c>
      <c r="I121" s="9"/>
      <c r="J121" s="28"/>
      <c r="K121" s="78">
        <f t="shared" si="14"/>
        <v>0</v>
      </c>
    </row>
    <row r="122" spans="1:12" ht="14.25" thickBot="1" x14ac:dyDescent="0.2">
      <c r="B122" s="88" t="s">
        <v>57</v>
      </c>
      <c r="C122" s="89"/>
      <c r="D122">
        <v>1</v>
      </c>
      <c r="E122" s="79">
        <f t="shared" si="13"/>
        <v>1</v>
      </c>
      <c r="F122" s="11">
        <v>45344</v>
      </c>
      <c r="H122" s="17" t="s">
        <v>4</v>
      </c>
      <c r="I122" s="13"/>
      <c r="J122" s="29"/>
      <c r="K122" s="79">
        <f t="shared" si="14"/>
        <v>0</v>
      </c>
    </row>
    <row r="123" spans="1:12" ht="14.25" thickBot="1" x14ac:dyDescent="0.2">
      <c r="B123" s="57" t="s">
        <v>1</v>
      </c>
      <c r="C123" s="42">
        <f>SUM(C119:C122)</f>
        <v>28</v>
      </c>
      <c r="D123" s="74">
        <f>SUM(D119:D122)</f>
        <v>36</v>
      </c>
      <c r="E123" s="80">
        <f t="shared" si="13"/>
        <v>64</v>
      </c>
      <c r="H123" s="57" t="s">
        <v>1</v>
      </c>
      <c r="I123" s="42">
        <f>SUM(I119:I122)</f>
        <v>200</v>
      </c>
      <c r="J123" s="74">
        <f>SUM(J119:J122)</f>
        <v>93</v>
      </c>
      <c r="K123" s="80">
        <f t="shared" si="14"/>
        <v>293</v>
      </c>
    </row>
    <row r="124" spans="1:12" x14ac:dyDescent="0.15">
      <c r="B124" s="8" t="s">
        <v>18</v>
      </c>
      <c r="C124" s="9"/>
      <c r="D124" s="28">
        <v>1</v>
      </c>
      <c r="E124" s="81">
        <f t="shared" ref="E124:E146" si="17">SUM(C124:D124)</f>
        <v>1</v>
      </c>
      <c r="F124" s="18">
        <v>45125</v>
      </c>
      <c r="H124" s="71" t="s">
        <v>50</v>
      </c>
      <c r="I124" s="62">
        <v>1</v>
      </c>
      <c r="J124" s="29"/>
      <c r="K124" s="82">
        <f t="shared" ref="K124:K146" si="18">SUM(I124:J124)</f>
        <v>1</v>
      </c>
      <c r="L124" s="11">
        <v>45217</v>
      </c>
    </row>
    <row r="125" spans="1:12" x14ac:dyDescent="0.15">
      <c r="B125" s="8" t="s">
        <v>18</v>
      </c>
      <c r="C125" s="9">
        <v>3</v>
      </c>
      <c r="D125" s="28">
        <v>3</v>
      </c>
      <c r="E125" s="81">
        <f t="shared" si="17"/>
        <v>6</v>
      </c>
      <c r="F125" s="18">
        <v>45148</v>
      </c>
      <c r="H125" s="71" t="s">
        <v>53</v>
      </c>
      <c r="I125" s="62">
        <v>24</v>
      </c>
      <c r="J125" s="29">
        <v>12</v>
      </c>
      <c r="K125" s="82">
        <f t="shared" si="18"/>
        <v>36</v>
      </c>
      <c r="L125" s="11">
        <v>45275</v>
      </c>
    </row>
    <row r="126" spans="1:12" x14ac:dyDescent="0.15">
      <c r="B126" s="8" t="s">
        <v>18</v>
      </c>
      <c r="C126" s="9"/>
      <c r="D126" s="28">
        <v>1</v>
      </c>
      <c r="E126" s="81">
        <f t="shared" si="17"/>
        <v>1</v>
      </c>
      <c r="F126" s="18">
        <v>45168</v>
      </c>
      <c r="H126" s="71" t="s">
        <v>20</v>
      </c>
      <c r="I126" s="62">
        <v>20</v>
      </c>
      <c r="J126" s="29">
        <v>20</v>
      </c>
      <c r="K126" s="82">
        <f t="shared" si="18"/>
        <v>40</v>
      </c>
      <c r="L126" s="11">
        <v>45275</v>
      </c>
    </row>
    <row r="127" spans="1:12" x14ac:dyDescent="0.15">
      <c r="B127" s="8" t="s">
        <v>18</v>
      </c>
      <c r="C127" s="9">
        <v>1</v>
      </c>
      <c r="D127" s="28"/>
      <c r="E127" s="81">
        <f t="shared" si="17"/>
        <v>1</v>
      </c>
      <c r="F127" s="18">
        <v>45194</v>
      </c>
      <c r="H127" s="71" t="s">
        <v>54</v>
      </c>
      <c r="I127" s="62">
        <v>10</v>
      </c>
      <c r="J127" s="29">
        <v>14</v>
      </c>
      <c r="K127" s="82">
        <f t="shared" si="18"/>
        <v>24</v>
      </c>
      <c r="L127" s="11">
        <v>45279</v>
      </c>
    </row>
    <row r="128" spans="1:12" x14ac:dyDescent="0.15">
      <c r="B128" s="8" t="s">
        <v>48</v>
      </c>
      <c r="C128" s="9">
        <v>1</v>
      </c>
      <c r="D128" s="28"/>
      <c r="E128" s="81">
        <f t="shared" si="17"/>
        <v>1</v>
      </c>
      <c r="F128" s="18">
        <v>45209</v>
      </c>
      <c r="H128" s="71" t="s">
        <v>20</v>
      </c>
      <c r="I128" s="62">
        <v>10</v>
      </c>
      <c r="J128" s="29"/>
      <c r="K128" s="82">
        <f t="shared" si="18"/>
        <v>10</v>
      </c>
      <c r="L128" s="11">
        <v>45315</v>
      </c>
    </row>
    <row r="129" spans="2:11" x14ac:dyDescent="0.15">
      <c r="B129" s="8" t="s">
        <v>49</v>
      </c>
      <c r="C129" s="9">
        <v>1</v>
      </c>
      <c r="D129" s="28"/>
      <c r="E129" s="81">
        <f t="shared" si="17"/>
        <v>1</v>
      </c>
      <c r="F129" s="18">
        <v>45212</v>
      </c>
      <c r="H129" s="71"/>
      <c r="I129" s="62"/>
      <c r="J129" s="29"/>
      <c r="K129" s="82">
        <f t="shared" si="18"/>
        <v>0</v>
      </c>
    </row>
    <row r="130" spans="2:11" x14ac:dyDescent="0.15">
      <c r="B130" s="8" t="s">
        <v>18</v>
      </c>
      <c r="C130" s="9">
        <v>1</v>
      </c>
      <c r="D130" s="28">
        <v>2</v>
      </c>
      <c r="E130" s="81">
        <f t="shared" si="17"/>
        <v>3</v>
      </c>
      <c r="F130" s="18">
        <v>45215</v>
      </c>
      <c r="H130" s="71"/>
      <c r="I130" s="62"/>
      <c r="J130" s="29"/>
      <c r="K130" s="82">
        <f t="shared" si="18"/>
        <v>0</v>
      </c>
    </row>
    <row r="131" spans="2:11" x14ac:dyDescent="0.15">
      <c r="B131" s="8" t="s">
        <v>18</v>
      </c>
      <c r="C131" s="9">
        <v>1</v>
      </c>
      <c r="D131" s="28"/>
      <c r="E131" s="81">
        <f t="shared" si="17"/>
        <v>1</v>
      </c>
      <c r="F131" s="18">
        <v>45217</v>
      </c>
      <c r="H131" s="71"/>
      <c r="I131" s="62"/>
      <c r="J131" s="29"/>
      <c r="K131" s="82">
        <f t="shared" si="18"/>
        <v>0</v>
      </c>
    </row>
    <row r="132" spans="2:11" x14ac:dyDescent="0.15">
      <c r="B132" s="8" t="s">
        <v>18</v>
      </c>
      <c r="C132" s="9"/>
      <c r="D132" s="28">
        <v>1</v>
      </c>
      <c r="E132" s="81">
        <f t="shared" si="17"/>
        <v>1</v>
      </c>
      <c r="F132" s="18">
        <v>45222</v>
      </c>
      <c r="H132" s="71"/>
      <c r="I132" s="62"/>
      <c r="J132" s="29"/>
      <c r="K132" s="82">
        <f t="shared" si="18"/>
        <v>0</v>
      </c>
    </row>
    <row r="133" spans="2:11" x14ac:dyDescent="0.15">
      <c r="B133" s="8" t="s">
        <v>18</v>
      </c>
      <c r="C133" s="9"/>
      <c r="D133" s="28">
        <v>1</v>
      </c>
      <c r="E133" s="81">
        <f t="shared" si="17"/>
        <v>1</v>
      </c>
      <c r="F133" s="18">
        <v>45223</v>
      </c>
      <c r="H133" s="71"/>
      <c r="I133" s="62"/>
      <c r="J133" s="29"/>
      <c r="K133" s="82">
        <f t="shared" si="18"/>
        <v>0</v>
      </c>
    </row>
    <row r="134" spans="2:11" x14ac:dyDescent="0.15">
      <c r="B134" s="8" t="s">
        <v>18</v>
      </c>
      <c r="C134" s="9"/>
      <c r="D134" s="28">
        <v>1</v>
      </c>
      <c r="E134" s="81">
        <f t="shared" si="17"/>
        <v>1</v>
      </c>
      <c r="F134" s="18">
        <v>45238</v>
      </c>
      <c r="H134" s="71"/>
      <c r="I134" s="62"/>
      <c r="J134" s="29"/>
      <c r="K134" s="82">
        <f t="shared" si="18"/>
        <v>0</v>
      </c>
    </row>
    <row r="135" spans="2:11" x14ac:dyDescent="0.15">
      <c r="B135" s="8" t="s">
        <v>18</v>
      </c>
      <c r="C135" s="9">
        <f>4+2</f>
        <v>6</v>
      </c>
      <c r="D135" s="28"/>
      <c r="E135" s="81">
        <f t="shared" si="17"/>
        <v>6</v>
      </c>
      <c r="F135" s="18">
        <v>45296</v>
      </c>
      <c r="H135" s="71"/>
      <c r="I135" s="62"/>
      <c r="J135" s="29"/>
      <c r="K135" s="82">
        <f t="shared" si="18"/>
        <v>0</v>
      </c>
    </row>
    <row r="136" spans="2:11" x14ac:dyDescent="0.15">
      <c r="B136" s="8" t="s">
        <v>18</v>
      </c>
      <c r="C136" s="9">
        <v>4</v>
      </c>
      <c r="D136" s="28"/>
      <c r="E136" s="81">
        <f t="shared" si="17"/>
        <v>4</v>
      </c>
      <c r="F136" s="18">
        <v>45301</v>
      </c>
      <c r="H136" s="71"/>
      <c r="I136" s="62"/>
      <c r="J136" s="29"/>
      <c r="K136" s="82">
        <f t="shared" si="18"/>
        <v>0</v>
      </c>
    </row>
    <row r="137" spans="2:11" x14ac:dyDescent="0.15">
      <c r="B137" s="8" t="s">
        <v>18</v>
      </c>
      <c r="C137" s="9">
        <v>2</v>
      </c>
      <c r="D137" s="28"/>
      <c r="E137" s="81">
        <f t="shared" si="17"/>
        <v>2</v>
      </c>
      <c r="F137" s="18">
        <v>45313</v>
      </c>
      <c r="H137" s="71"/>
      <c r="I137" s="62"/>
      <c r="J137" s="29"/>
      <c r="K137" s="82">
        <f t="shared" si="18"/>
        <v>0</v>
      </c>
    </row>
    <row r="138" spans="2:11" x14ac:dyDescent="0.15">
      <c r="B138" s="8" t="s">
        <v>56</v>
      </c>
      <c r="C138" s="9">
        <v>-10</v>
      </c>
      <c r="D138" s="28"/>
      <c r="E138" s="81">
        <f t="shared" si="17"/>
        <v>-10</v>
      </c>
      <c r="F138" s="18">
        <v>45315</v>
      </c>
      <c r="H138" s="71"/>
      <c r="I138" s="62"/>
      <c r="J138" s="29"/>
      <c r="K138" s="82">
        <f t="shared" si="18"/>
        <v>0</v>
      </c>
    </row>
    <row r="139" spans="2:11" x14ac:dyDescent="0.15">
      <c r="B139" s="8" t="s">
        <v>18</v>
      </c>
      <c r="C139" s="9">
        <v>2</v>
      </c>
      <c r="D139" s="28">
        <v>1</v>
      </c>
      <c r="E139" s="81">
        <f t="shared" si="17"/>
        <v>3</v>
      </c>
      <c r="F139" s="18">
        <v>45320</v>
      </c>
      <c r="H139" s="71"/>
      <c r="I139" s="62"/>
      <c r="J139" s="29"/>
      <c r="K139" s="82">
        <f t="shared" si="18"/>
        <v>0</v>
      </c>
    </row>
    <row r="140" spans="2:11" x14ac:dyDescent="0.15">
      <c r="B140" s="8" t="s">
        <v>18</v>
      </c>
      <c r="C140" s="9">
        <v>1</v>
      </c>
      <c r="D140" s="28">
        <v>1</v>
      </c>
      <c r="E140" s="81">
        <f t="shared" si="17"/>
        <v>2</v>
      </c>
      <c r="F140" s="18">
        <v>45323</v>
      </c>
      <c r="H140" s="71"/>
      <c r="I140" s="62"/>
      <c r="J140" s="29"/>
      <c r="K140" s="82">
        <f t="shared" si="18"/>
        <v>0</v>
      </c>
    </row>
    <row r="141" spans="2:11" x14ac:dyDescent="0.15">
      <c r="B141" s="8" t="s">
        <v>18</v>
      </c>
      <c r="C141" s="9"/>
      <c r="D141" s="28">
        <v>1</v>
      </c>
      <c r="E141" s="81">
        <f t="shared" si="17"/>
        <v>1</v>
      </c>
      <c r="F141" s="18">
        <v>45329</v>
      </c>
      <c r="H141" s="71"/>
      <c r="I141" s="62"/>
      <c r="J141" s="29"/>
      <c r="K141" s="82">
        <f t="shared" si="18"/>
        <v>0</v>
      </c>
    </row>
    <row r="142" spans="2:11" x14ac:dyDescent="0.15">
      <c r="B142" s="8" t="s">
        <v>18</v>
      </c>
      <c r="C142" s="9">
        <v>3</v>
      </c>
      <c r="D142" s="28">
        <v>1</v>
      </c>
      <c r="E142" s="81">
        <f t="shared" si="17"/>
        <v>4</v>
      </c>
      <c r="F142" s="18">
        <v>45335</v>
      </c>
      <c r="H142" s="71"/>
      <c r="I142" s="62"/>
      <c r="J142" s="29"/>
      <c r="K142" s="82">
        <f t="shared" si="18"/>
        <v>0</v>
      </c>
    </row>
    <row r="143" spans="2:11" x14ac:dyDescent="0.15">
      <c r="B143" s="8" t="s">
        <v>18</v>
      </c>
      <c r="C143" s="9"/>
      <c r="D143" s="28">
        <v>1</v>
      </c>
      <c r="E143" s="81">
        <f t="shared" si="17"/>
        <v>1</v>
      </c>
      <c r="F143" s="18">
        <v>45348</v>
      </c>
      <c r="H143" s="71"/>
      <c r="I143" s="62"/>
      <c r="J143" s="29"/>
      <c r="K143" s="82">
        <f t="shared" si="18"/>
        <v>0</v>
      </c>
    </row>
    <row r="144" spans="2:11" x14ac:dyDescent="0.15">
      <c r="B144" s="8" t="s">
        <v>18</v>
      </c>
      <c r="C144" s="9">
        <v>1</v>
      </c>
      <c r="D144" s="28"/>
      <c r="E144" s="81">
        <f t="shared" si="17"/>
        <v>1</v>
      </c>
      <c r="F144" s="18">
        <v>45352</v>
      </c>
      <c r="H144" s="71"/>
      <c r="I144" s="62"/>
      <c r="J144" s="29"/>
      <c r="K144" s="82">
        <f t="shared" si="18"/>
        <v>0</v>
      </c>
    </row>
    <row r="145" spans="1:14" x14ac:dyDescent="0.15">
      <c r="B145" s="8" t="s">
        <v>18</v>
      </c>
      <c r="C145" s="9">
        <v>2</v>
      </c>
      <c r="D145" s="28"/>
      <c r="E145" s="81">
        <f t="shared" si="17"/>
        <v>2</v>
      </c>
      <c r="F145" s="18">
        <v>45362</v>
      </c>
      <c r="H145" s="71"/>
      <c r="I145" s="62"/>
      <c r="J145" s="29"/>
      <c r="K145" s="82">
        <f t="shared" ref="K145" si="19">SUM(I145:J145)</f>
        <v>0</v>
      </c>
    </row>
    <row r="146" spans="1:14" x14ac:dyDescent="0.15">
      <c r="B146" s="8" t="s">
        <v>18</v>
      </c>
      <c r="C146" s="9">
        <v>1</v>
      </c>
      <c r="D146" s="28"/>
      <c r="E146" s="81">
        <f t="shared" si="17"/>
        <v>1</v>
      </c>
      <c r="F146" s="18">
        <v>45390</v>
      </c>
      <c r="H146" s="71"/>
      <c r="I146" s="62"/>
      <c r="J146" s="29"/>
      <c r="K146" s="82">
        <f t="shared" si="18"/>
        <v>0</v>
      </c>
    </row>
    <row r="147" spans="1:14" x14ac:dyDescent="0.15">
      <c r="B147" s="8" t="s">
        <v>18</v>
      </c>
      <c r="C147" s="9"/>
      <c r="D147" s="28">
        <v>1</v>
      </c>
      <c r="E147" s="81">
        <f t="shared" si="13"/>
        <v>1</v>
      </c>
      <c r="F147" s="18">
        <v>45419</v>
      </c>
      <c r="H147" s="84" t="s">
        <v>52</v>
      </c>
      <c r="I147" s="85"/>
      <c r="J147" s="86"/>
      <c r="K147" s="87">
        <f t="shared" si="14"/>
        <v>0</v>
      </c>
    </row>
    <row r="148" spans="1:14" ht="14.25" thickBot="1" x14ac:dyDescent="0.2">
      <c r="B148" s="8" t="s">
        <v>18</v>
      </c>
      <c r="C148" s="13">
        <v>2</v>
      </c>
      <c r="D148" s="29">
        <v>1</v>
      </c>
      <c r="E148" s="82">
        <f t="shared" si="13"/>
        <v>3</v>
      </c>
      <c r="F148" s="11">
        <v>45436</v>
      </c>
      <c r="H148" s="73" t="s">
        <v>55</v>
      </c>
      <c r="I148" s="62"/>
      <c r="J148" s="29"/>
      <c r="K148" s="82">
        <f t="shared" si="14"/>
        <v>0</v>
      </c>
      <c r="L148" s="11" t="s">
        <v>51</v>
      </c>
    </row>
    <row r="149" spans="1:14" ht="14.25" thickBot="1" x14ac:dyDescent="0.2">
      <c r="B149" s="37" t="s">
        <v>2</v>
      </c>
      <c r="C149" s="38">
        <f>SUM(C124:C148)</f>
        <v>22</v>
      </c>
      <c r="D149" s="75">
        <f>SUM(D124:D148)</f>
        <v>17</v>
      </c>
      <c r="E149" s="83">
        <f>SUM(C149:D149)</f>
        <v>39</v>
      </c>
      <c r="H149" s="37" t="s">
        <v>2</v>
      </c>
      <c r="I149" s="38">
        <f>SUM(I124:I148)</f>
        <v>65</v>
      </c>
      <c r="J149" s="75">
        <f>SUM(J124:J148)</f>
        <v>46</v>
      </c>
      <c r="K149" s="83">
        <f>SUM(I149:J149)</f>
        <v>111</v>
      </c>
    </row>
    <row r="150" spans="1:14" ht="14.25" thickBot="1" x14ac:dyDescent="0.2">
      <c r="B150" s="41" t="s">
        <v>3</v>
      </c>
      <c r="C150" s="42">
        <f>+C123-C149</f>
        <v>6</v>
      </c>
      <c r="D150" s="74">
        <f>+D123-D149</f>
        <v>19</v>
      </c>
      <c r="E150" s="80">
        <f>SUM(C150:D150)</f>
        <v>25</v>
      </c>
      <c r="H150" s="41" t="s">
        <v>3</v>
      </c>
      <c r="I150" s="42">
        <f>+I123-I149</f>
        <v>135</v>
      </c>
      <c r="J150" s="74">
        <f>+J123-J149</f>
        <v>47</v>
      </c>
      <c r="K150" s="80">
        <f>SUM(I150:J150)</f>
        <v>182</v>
      </c>
    </row>
    <row r="151" spans="1:14" x14ac:dyDescent="0.15">
      <c r="H151" s="1"/>
    </row>
    <row r="152" spans="1:14" x14ac:dyDescent="0.15">
      <c r="H152" s="1"/>
    </row>
    <row r="153" spans="1:14" ht="18.75" x14ac:dyDescent="0.2">
      <c r="B153" s="46" t="s">
        <v>10</v>
      </c>
      <c r="C153" s="47"/>
      <c r="D153" s="47"/>
      <c r="E153" s="47"/>
      <c r="H153" s="44" t="s">
        <v>11</v>
      </c>
      <c r="I153" s="45"/>
      <c r="J153" s="45"/>
      <c r="K153" s="45"/>
      <c r="L153" s="45"/>
    </row>
    <row r="154" spans="1:14" ht="14.25" thickBot="1" x14ac:dyDescent="0.2">
      <c r="H154" s="1"/>
    </row>
    <row r="155" spans="1:14" ht="14.25" thickBot="1" x14ac:dyDescent="0.2">
      <c r="B155" s="4"/>
      <c r="C155" s="111"/>
      <c r="D155" s="112"/>
      <c r="E155" s="113"/>
      <c r="H155" s="4"/>
      <c r="I155" s="111"/>
      <c r="J155" s="112"/>
      <c r="K155" s="113"/>
    </row>
    <row r="156" spans="1:14" ht="14.25" thickBot="1" x14ac:dyDescent="0.2">
      <c r="A156" s="1"/>
      <c r="B156" s="5"/>
      <c r="C156" s="6" t="s">
        <v>6</v>
      </c>
      <c r="D156" s="72" t="s">
        <v>7</v>
      </c>
      <c r="E156" s="76" t="s">
        <v>0</v>
      </c>
      <c r="G156" s="1"/>
      <c r="H156" s="5"/>
      <c r="I156" s="6" t="s">
        <v>6</v>
      </c>
      <c r="J156" s="72" t="s">
        <v>7</v>
      </c>
      <c r="K156" s="76" t="s">
        <v>0</v>
      </c>
    </row>
    <row r="157" spans="1:14" x14ac:dyDescent="0.15">
      <c r="B157" s="19" t="s">
        <v>3</v>
      </c>
      <c r="C157" s="20">
        <f>C150</f>
        <v>6</v>
      </c>
      <c r="D157" s="26">
        <f>D150</f>
        <v>19</v>
      </c>
      <c r="E157" s="77">
        <f t="shared" ref="E157:E185" si="20">SUM(C157:D157)</f>
        <v>25</v>
      </c>
      <c r="H157" s="19" t="s">
        <v>3</v>
      </c>
      <c r="I157" s="20">
        <f>I150</f>
        <v>135</v>
      </c>
      <c r="J157" s="26">
        <f>J150</f>
        <v>47</v>
      </c>
      <c r="K157" s="77">
        <f t="shared" ref="K157:K172" si="21">SUM(I157:J157)</f>
        <v>182</v>
      </c>
    </row>
    <row r="158" spans="1:14" x14ac:dyDescent="0.15">
      <c r="B158" s="17" t="s">
        <v>4</v>
      </c>
      <c r="C158" s="9">
        <v>10</v>
      </c>
      <c r="D158" s="28"/>
      <c r="E158" s="78">
        <f t="shared" si="20"/>
        <v>10</v>
      </c>
      <c r="F158" s="11">
        <v>45510</v>
      </c>
      <c r="H158" s="17" t="s">
        <v>4</v>
      </c>
      <c r="I158" s="9"/>
      <c r="J158" s="28"/>
      <c r="K158" s="78">
        <f t="shared" si="21"/>
        <v>0</v>
      </c>
    </row>
    <row r="159" spans="1:14" x14ac:dyDescent="0.15">
      <c r="B159" s="17" t="s">
        <v>4</v>
      </c>
      <c r="C159" s="9">
        <v>20</v>
      </c>
      <c r="D159" s="28">
        <v>20</v>
      </c>
      <c r="E159" s="81">
        <f t="shared" si="20"/>
        <v>40</v>
      </c>
      <c r="F159" s="11">
        <v>45514</v>
      </c>
      <c r="H159" s="17" t="s">
        <v>4</v>
      </c>
      <c r="I159" s="9"/>
      <c r="J159" s="28"/>
      <c r="K159" s="78">
        <f t="shared" si="21"/>
        <v>0</v>
      </c>
    </row>
    <row r="160" spans="1:14" ht="14.25" thickBot="1" x14ac:dyDescent="0.2">
      <c r="B160" s="8" t="s">
        <v>65</v>
      </c>
      <c r="C160" s="9">
        <v>1</v>
      </c>
      <c r="D160" s="28">
        <v>1</v>
      </c>
      <c r="E160" s="81">
        <f t="shared" si="20"/>
        <v>2</v>
      </c>
      <c r="F160" s="18">
        <v>45521</v>
      </c>
      <c r="H160" s="17" t="s">
        <v>4</v>
      </c>
      <c r="I160" s="9"/>
      <c r="J160" s="28"/>
      <c r="K160" s="78">
        <f t="shared" ref="K160" si="22">SUM(I160:J160)</f>
        <v>0</v>
      </c>
      <c r="M160" s="90"/>
      <c r="N160" s="90"/>
    </row>
    <row r="161" spans="2:12" ht="14.25" thickBot="1" x14ac:dyDescent="0.2">
      <c r="B161" s="57" t="s">
        <v>1</v>
      </c>
      <c r="C161" s="42">
        <f>SUM(C157:C160)</f>
        <v>37</v>
      </c>
      <c r="D161" s="74">
        <f>SUM(D157:D160)</f>
        <v>40</v>
      </c>
      <c r="E161" s="80">
        <f t="shared" si="20"/>
        <v>77</v>
      </c>
      <c r="H161" s="57" t="s">
        <v>1</v>
      </c>
      <c r="I161" s="42">
        <f>SUM(I157:I160)</f>
        <v>135</v>
      </c>
      <c r="J161" s="74">
        <f>SUM(J157:J160)</f>
        <v>47</v>
      </c>
      <c r="K161" s="80">
        <f t="shared" si="21"/>
        <v>182</v>
      </c>
    </row>
    <row r="162" spans="2:12" x14ac:dyDescent="0.15">
      <c r="B162" s="8" t="s">
        <v>18</v>
      </c>
      <c r="C162" s="9">
        <v>1</v>
      </c>
      <c r="D162" s="28"/>
      <c r="E162" s="81">
        <f t="shared" ref="E162:E184" si="23">SUM(C162:D162)</f>
        <v>1</v>
      </c>
      <c r="F162" s="18">
        <v>45439</v>
      </c>
      <c r="H162" s="71" t="s">
        <v>20</v>
      </c>
      <c r="I162" s="62">
        <v>10</v>
      </c>
      <c r="J162" s="29"/>
      <c r="K162" s="82">
        <f t="shared" si="21"/>
        <v>10</v>
      </c>
      <c r="L162" s="11">
        <v>45510</v>
      </c>
    </row>
    <row r="163" spans="2:12" x14ac:dyDescent="0.15">
      <c r="B163" s="8" t="s">
        <v>18</v>
      </c>
      <c r="C163" s="9">
        <v>1</v>
      </c>
      <c r="D163" s="28"/>
      <c r="E163" s="81">
        <f t="shared" si="23"/>
        <v>1</v>
      </c>
      <c r="F163" s="18">
        <v>45446</v>
      </c>
      <c r="H163" s="8" t="s">
        <v>62</v>
      </c>
      <c r="I163" s="62">
        <v>5</v>
      </c>
      <c r="J163" s="29">
        <v>1</v>
      </c>
      <c r="K163" s="82">
        <f t="shared" ref="K163:K171" si="24">SUM(I163:J163)</f>
        <v>6</v>
      </c>
      <c r="L163" s="11">
        <v>45513</v>
      </c>
    </row>
    <row r="164" spans="2:12" x14ac:dyDescent="0.15">
      <c r="B164" s="8" t="s">
        <v>18</v>
      </c>
      <c r="C164" s="9">
        <v>1</v>
      </c>
      <c r="D164" s="28"/>
      <c r="E164" s="81">
        <f t="shared" si="23"/>
        <v>1</v>
      </c>
      <c r="F164" s="18">
        <v>45448</v>
      </c>
      <c r="H164" s="8" t="s">
        <v>63</v>
      </c>
      <c r="I164" s="62">
        <v>2</v>
      </c>
      <c r="J164" s="29">
        <v>6</v>
      </c>
      <c r="K164" s="82">
        <f t="shared" si="24"/>
        <v>8</v>
      </c>
      <c r="L164" s="11">
        <v>45513</v>
      </c>
    </row>
    <row r="165" spans="2:12" x14ac:dyDescent="0.15">
      <c r="B165" s="8" t="s">
        <v>58</v>
      </c>
      <c r="C165" s="9">
        <v>1</v>
      </c>
      <c r="D165" s="28">
        <v>1</v>
      </c>
      <c r="E165" s="81">
        <f t="shared" si="23"/>
        <v>2</v>
      </c>
      <c r="F165" s="18">
        <v>45455</v>
      </c>
      <c r="H165" s="71" t="s">
        <v>20</v>
      </c>
      <c r="I165" s="62">
        <v>20</v>
      </c>
      <c r="J165" s="29">
        <v>20</v>
      </c>
      <c r="K165" s="82">
        <f t="shared" si="24"/>
        <v>40</v>
      </c>
      <c r="L165" s="11">
        <v>45514</v>
      </c>
    </row>
    <row r="166" spans="2:12" x14ac:dyDescent="0.15">
      <c r="B166" s="8" t="s">
        <v>60</v>
      </c>
      <c r="C166" s="9">
        <v>2</v>
      </c>
      <c r="D166" s="28"/>
      <c r="E166" s="81">
        <f t="shared" si="23"/>
        <v>2</v>
      </c>
      <c r="F166" s="18">
        <v>45511</v>
      </c>
      <c r="H166" s="71"/>
      <c r="I166" s="62"/>
      <c r="J166" s="29"/>
      <c r="K166" s="82">
        <f t="shared" si="24"/>
        <v>0</v>
      </c>
    </row>
    <row r="167" spans="2:12" x14ac:dyDescent="0.15">
      <c r="B167" s="8" t="s">
        <v>61</v>
      </c>
      <c r="C167" s="9">
        <v>5</v>
      </c>
      <c r="D167" s="28">
        <v>4</v>
      </c>
      <c r="E167" s="81">
        <f t="shared" si="23"/>
        <v>9</v>
      </c>
      <c r="F167" s="18">
        <v>45512</v>
      </c>
      <c r="H167" s="71"/>
      <c r="I167" s="62"/>
      <c r="J167" s="29"/>
      <c r="K167" s="82">
        <f t="shared" si="24"/>
        <v>0</v>
      </c>
    </row>
    <row r="168" spans="2:12" x14ac:dyDescent="0.15">
      <c r="B168" s="8" t="s">
        <v>64</v>
      </c>
      <c r="C168" s="9">
        <v>2</v>
      </c>
      <c r="D168" s="28"/>
      <c r="E168" s="81">
        <f t="shared" si="23"/>
        <v>2</v>
      </c>
      <c r="F168" s="18">
        <v>45520</v>
      </c>
      <c r="H168" s="71"/>
      <c r="I168" s="62"/>
      <c r="J168" s="29"/>
      <c r="K168" s="82">
        <f t="shared" si="24"/>
        <v>0</v>
      </c>
    </row>
    <row r="169" spans="2:12" x14ac:dyDescent="0.15">
      <c r="B169" s="8" t="s">
        <v>66</v>
      </c>
      <c r="C169" s="9">
        <v>3</v>
      </c>
      <c r="D169" s="28">
        <v>4</v>
      </c>
      <c r="E169" s="81">
        <f t="shared" si="23"/>
        <v>7</v>
      </c>
      <c r="F169" s="18">
        <v>45525</v>
      </c>
      <c r="H169" s="71"/>
      <c r="I169" s="62"/>
      <c r="J169" s="29"/>
      <c r="K169" s="82">
        <f t="shared" si="24"/>
        <v>0</v>
      </c>
    </row>
    <row r="170" spans="2:12" x14ac:dyDescent="0.15">
      <c r="B170" s="8" t="s">
        <v>67</v>
      </c>
      <c r="C170" s="9">
        <v>1</v>
      </c>
      <c r="D170" s="28">
        <v>1</v>
      </c>
      <c r="E170" s="81">
        <f t="shared" si="23"/>
        <v>2</v>
      </c>
      <c r="F170" s="18">
        <v>45526</v>
      </c>
      <c r="H170" s="71"/>
      <c r="I170" s="62"/>
      <c r="J170" s="29"/>
      <c r="K170" s="82">
        <f t="shared" si="24"/>
        <v>0</v>
      </c>
    </row>
    <row r="171" spans="2:12" x14ac:dyDescent="0.15">
      <c r="B171" s="8" t="s">
        <v>68</v>
      </c>
      <c r="C171" s="9">
        <v>1</v>
      </c>
      <c r="D171" s="28"/>
      <c r="E171" s="81">
        <f t="shared" si="23"/>
        <v>1</v>
      </c>
      <c r="F171" s="18">
        <v>45527</v>
      </c>
      <c r="H171" s="71"/>
      <c r="I171" s="62"/>
      <c r="J171" s="29"/>
      <c r="K171" s="82">
        <f t="shared" si="24"/>
        <v>0</v>
      </c>
    </row>
    <row r="172" spans="2:12" x14ac:dyDescent="0.15">
      <c r="B172" s="8" t="s">
        <v>69</v>
      </c>
      <c r="C172" s="9"/>
      <c r="D172" s="28">
        <v>1</v>
      </c>
      <c r="E172" s="81">
        <f t="shared" si="23"/>
        <v>1</v>
      </c>
      <c r="F172" s="18">
        <v>45532</v>
      </c>
      <c r="H172" s="71"/>
      <c r="I172" s="62"/>
      <c r="J172" s="29"/>
      <c r="K172" s="82">
        <f t="shared" si="21"/>
        <v>0</v>
      </c>
    </row>
    <row r="173" spans="2:12" x14ac:dyDescent="0.15">
      <c r="B173" s="8" t="s">
        <v>18</v>
      </c>
      <c r="C173" s="9">
        <v>1</v>
      </c>
      <c r="D173" s="28"/>
      <c r="E173" s="81">
        <f t="shared" si="23"/>
        <v>1</v>
      </c>
      <c r="F173" s="18">
        <v>45530</v>
      </c>
      <c r="H173" s="71"/>
      <c r="I173" s="62"/>
      <c r="J173" s="29"/>
      <c r="K173" s="82">
        <f t="shared" ref="K173:K186" si="25">SUM(I173:J173)</f>
        <v>0</v>
      </c>
    </row>
    <row r="174" spans="2:12" x14ac:dyDescent="0.15">
      <c r="B174" s="8" t="s">
        <v>18</v>
      </c>
      <c r="C174" s="9">
        <v>1</v>
      </c>
      <c r="D174" s="28">
        <v>1</v>
      </c>
      <c r="E174" s="81">
        <f t="shared" si="23"/>
        <v>2</v>
      </c>
      <c r="F174" s="18">
        <v>45531</v>
      </c>
      <c r="H174" s="71"/>
      <c r="I174" s="62"/>
      <c r="J174" s="29"/>
      <c r="K174" s="82">
        <f t="shared" si="25"/>
        <v>0</v>
      </c>
    </row>
    <row r="175" spans="2:12" x14ac:dyDescent="0.15">
      <c r="B175" s="8" t="s">
        <v>70</v>
      </c>
      <c r="C175" s="9">
        <v>1</v>
      </c>
      <c r="D175" s="28">
        <v>5</v>
      </c>
      <c r="E175" s="81">
        <f t="shared" si="23"/>
        <v>6</v>
      </c>
      <c r="F175" s="18">
        <v>45531</v>
      </c>
      <c r="H175" s="71"/>
      <c r="I175" s="62"/>
      <c r="J175" s="29"/>
      <c r="K175" s="82">
        <f t="shared" si="25"/>
        <v>0</v>
      </c>
    </row>
    <row r="176" spans="2:12" x14ac:dyDescent="0.15">
      <c r="B176" s="8" t="s">
        <v>71</v>
      </c>
      <c r="C176" s="9"/>
      <c r="D176" s="28">
        <v>1</v>
      </c>
      <c r="E176" s="81">
        <f t="shared" si="23"/>
        <v>1</v>
      </c>
      <c r="F176" s="18">
        <v>45534</v>
      </c>
      <c r="H176" s="71"/>
      <c r="I176" s="62"/>
      <c r="J176" s="29"/>
      <c r="K176" s="82">
        <f t="shared" si="25"/>
        <v>0</v>
      </c>
    </row>
    <row r="177" spans="2:12" x14ac:dyDescent="0.15">
      <c r="B177" s="8" t="s">
        <v>72</v>
      </c>
      <c r="C177" s="9">
        <v>2</v>
      </c>
      <c r="D177" s="28">
        <v>3</v>
      </c>
      <c r="E177" s="81">
        <f t="shared" si="23"/>
        <v>5</v>
      </c>
      <c r="F177" s="18">
        <v>45537</v>
      </c>
      <c r="H177" s="71"/>
      <c r="I177" s="62"/>
      <c r="J177" s="29"/>
      <c r="K177" s="82">
        <f t="shared" si="25"/>
        <v>0</v>
      </c>
    </row>
    <row r="178" spans="2:12" x14ac:dyDescent="0.15">
      <c r="B178" s="8" t="s">
        <v>73</v>
      </c>
      <c r="C178" s="9">
        <v>1</v>
      </c>
      <c r="D178" s="28">
        <v>1</v>
      </c>
      <c r="E178" s="81">
        <f t="shared" si="23"/>
        <v>2</v>
      </c>
      <c r="F178" s="18">
        <v>45541</v>
      </c>
      <c r="H178" s="71"/>
      <c r="I178" s="62"/>
      <c r="J178" s="29"/>
      <c r="K178" s="82">
        <f t="shared" si="25"/>
        <v>0</v>
      </c>
    </row>
    <row r="179" spans="2:12" x14ac:dyDescent="0.15">
      <c r="B179" s="8" t="s">
        <v>74</v>
      </c>
      <c r="C179" s="9"/>
      <c r="D179" s="28">
        <v>1</v>
      </c>
      <c r="E179" s="81">
        <f t="shared" si="23"/>
        <v>1</v>
      </c>
      <c r="F179" s="18">
        <v>45544</v>
      </c>
      <c r="H179" s="71"/>
      <c r="I179" s="62"/>
      <c r="J179" s="29"/>
      <c r="K179" s="82">
        <f t="shared" si="25"/>
        <v>0</v>
      </c>
    </row>
    <row r="180" spans="2:12" x14ac:dyDescent="0.15">
      <c r="B180" s="8" t="s">
        <v>75</v>
      </c>
      <c r="C180" s="9">
        <v>1</v>
      </c>
      <c r="D180" s="28">
        <v>1</v>
      </c>
      <c r="E180" s="81">
        <f t="shared" si="23"/>
        <v>2</v>
      </c>
      <c r="F180" s="18">
        <v>45547</v>
      </c>
      <c r="H180" s="71"/>
      <c r="I180" s="62"/>
      <c r="J180" s="29"/>
      <c r="K180" s="82">
        <f t="shared" si="25"/>
        <v>0</v>
      </c>
    </row>
    <row r="181" spans="2:12" x14ac:dyDescent="0.15">
      <c r="B181" s="8" t="s">
        <v>76</v>
      </c>
      <c r="C181" s="9"/>
      <c r="D181" s="28">
        <v>1</v>
      </c>
      <c r="E181" s="81">
        <f t="shared" si="23"/>
        <v>1</v>
      </c>
      <c r="F181" s="18">
        <v>45548</v>
      </c>
      <c r="H181" s="71"/>
      <c r="I181" s="62"/>
      <c r="J181" s="29"/>
      <c r="K181" s="82">
        <f t="shared" si="25"/>
        <v>0</v>
      </c>
    </row>
    <row r="182" spans="2:12" x14ac:dyDescent="0.15">
      <c r="B182" s="8" t="s">
        <v>77</v>
      </c>
      <c r="C182" s="9">
        <v>1</v>
      </c>
      <c r="D182" s="28"/>
      <c r="E182" s="81">
        <f t="shared" si="23"/>
        <v>1</v>
      </c>
      <c r="F182" s="18">
        <v>45555</v>
      </c>
      <c r="H182" s="71"/>
      <c r="I182" s="62"/>
      <c r="J182" s="29"/>
      <c r="K182" s="82">
        <f t="shared" si="25"/>
        <v>0</v>
      </c>
    </row>
    <row r="183" spans="2:12" x14ac:dyDescent="0.15">
      <c r="B183" s="8" t="s">
        <v>18</v>
      </c>
      <c r="C183" s="9"/>
      <c r="D183" s="28">
        <v>1</v>
      </c>
      <c r="E183" s="81">
        <f t="shared" si="23"/>
        <v>1</v>
      </c>
      <c r="F183" s="18">
        <v>45559</v>
      </c>
      <c r="H183" s="71"/>
      <c r="I183" s="62"/>
      <c r="J183" s="29"/>
      <c r="K183" s="82">
        <f t="shared" si="25"/>
        <v>0</v>
      </c>
    </row>
    <row r="184" spans="2:12" x14ac:dyDescent="0.15">
      <c r="B184" s="8" t="s">
        <v>79</v>
      </c>
      <c r="C184" s="9">
        <v>1</v>
      </c>
      <c r="D184" s="28"/>
      <c r="E184" s="81">
        <f t="shared" si="23"/>
        <v>1</v>
      </c>
      <c r="F184" s="18">
        <v>45590</v>
      </c>
      <c r="H184" s="71"/>
      <c r="I184" s="62"/>
      <c r="J184" s="29"/>
      <c r="K184" s="82">
        <f t="shared" si="25"/>
        <v>0</v>
      </c>
    </row>
    <row r="185" spans="2:12" x14ac:dyDescent="0.15">
      <c r="B185" s="8" t="s">
        <v>80</v>
      </c>
      <c r="C185" s="9">
        <v>1</v>
      </c>
      <c r="D185" s="28"/>
      <c r="E185" s="81">
        <f t="shared" si="20"/>
        <v>1</v>
      </c>
      <c r="F185" s="18">
        <v>45597</v>
      </c>
      <c r="H185" s="71" t="s">
        <v>78</v>
      </c>
      <c r="I185" s="62"/>
      <c r="J185" s="29"/>
      <c r="K185" s="82">
        <f t="shared" si="25"/>
        <v>0</v>
      </c>
      <c r="L185" t="s">
        <v>59</v>
      </c>
    </row>
    <row r="186" spans="2:12" ht="14.25" thickBot="1" x14ac:dyDescent="0.2">
      <c r="B186" s="8" t="s">
        <v>18</v>
      </c>
      <c r="C186" s="9"/>
      <c r="D186" s="28">
        <v>1</v>
      </c>
      <c r="E186" s="81">
        <f t="shared" ref="E186" si="26">SUM(C186:D186)</f>
        <v>1</v>
      </c>
      <c r="F186" s="91">
        <v>45632</v>
      </c>
      <c r="H186" s="71"/>
      <c r="I186" s="62"/>
      <c r="J186" s="29"/>
      <c r="K186" s="82">
        <f t="shared" si="25"/>
        <v>0</v>
      </c>
    </row>
    <row r="187" spans="2:12" ht="14.25" thickBot="1" x14ac:dyDescent="0.2">
      <c r="B187" s="37" t="s">
        <v>2</v>
      </c>
      <c r="C187" s="38">
        <f>SUM(C162:C186)</f>
        <v>28</v>
      </c>
      <c r="D187" s="75">
        <f>SUM(D162:D186)</f>
        <v>27</v>
      </c>
      <c r="E187" s="83">
        <f>SUM(C187:D187)</f>
        <v>55</v>
      </c>
      <c r="H187" s="37" t="s">
        <v>2</v>
      </c>
      <c r="I187" s="38">
        <f>SUM(I162:I186)</f>
        <v>37</v>
      </c>
      <c r="J187" s="75">
        <f>SUM(J162:J186)</f>
        <v>27</v>
      </c>
      <c r="K187" s="83">
        <f>SUM(I187:J187)</f>
        <v>64</v>
      </c>
    </row>
    <row r="188" spans="2:12" ht="14.25" thickBot="1" x14ac:dyDescent="0.2">
      <c r="B188" s="41" t="s">
        <v>3</v>
      </c>
      <c r="C188" s="42">
        <f>+C161-C187</f>
        <v>9</v>
      </c>
      <c r="D188" s="74">
        <f>+D161-D187</f>
        <v>13</v>
      </c>
      <c r="E188" s="80">
        <f>SUM(C188:D188)</f>
        <v>22</v>
      </c>
      <c r="H188" s="41" t="s">
        <v>3</v>
      </c>
      <c r="I188" s="42">
        <f>+I161-I187</f>
        <v>98</v>
      </c>
      <c r="J188" s="74">
        <f>+J161-J187</f>
        <v>20</v>
      </c>
      <c r="K188" s="80">
        <f>SUM(I188:J188)</f>
        <v>118</v>
      </c>
    </row>
    <row r="189" spans="2:12" x14ac:dyDescent="0.15">
      <c r="H189" s="1"/>
    </row>
    <row r="190" spans="2:12" x14ac:dyDescent="0.15">
      <c r="H190" s="1"/>
    </row>
    <row r="191" spans="2:12" ht="18.75" x14ac:dyDescent="0.2">
      <c r="B191" s="46" t="s">
        <v>10</v>
      </c>
      <c r="C191" s="47"/>
      <c r="D191" s="47"/>
      <c r="E191" s="47"/>
      <c r="H191" s="44" t="s">
        <v>11</v>
      </c>
      <c r="I191" s="45"/>
      <c r="J191" s="45"/>
      <c r="K191" s="45"/>
      <c r="L191" s="45"/>
    </row>
    <row r="192" spans="2:12" ht="14.25" thickBot="1" x14ac:dyDescent="0.2">
      <c r="H192" s="1"/>
    </row>
    <row r="193" spans="1:13" ht="14.25" thickBot="1" x14ac:dyDescent="0.2">
      <c r="B193" s="4"/>
      <c r="C193" s="111"/>
      <c r="D193" s="112"/>
      <c r="E193" s="113"/>
      <c r="H193" s="4"/>
      <c r="I193" s="111"/>
      <c r="J193" s="112"/>
      <c r="K193" s="113"/>
    </row>
    <row r="194" spans="1:13" ht="14.25" thickBot="1" x14ac:dyDescent="0.2">
      <c r="A194" s="1"/>
      <c r="B194" s="5"/>
      <c r="C194" s="6" t="s">
        <v>6</v>
      </c>
      <c r="D194" s="72" t="s">
        <v>7</v>
      </c>
      <c r="E194" s="76" t="s">
        <v>0</v>
      </c>
      <c r="G194" s="1"/>
      <c r="H194" s="5"/>
      <c r="I194" s="6" t="s">
        <v>6</v>
      </c>
      <c r="J194" s="72" t="s">
        <v>7</v>
      </c>
      <c r="K194" s="76" t="s">
        <v>0</v>
      </c>
    </row>
    <row r="195" spans="1:13" x14ac:dyDescent="0.15">
      <c r="B195" s="19" t="s">
        <v>3</v>
      </c>
      <c r="C195" s="20">
        <f>C188</f>
        <v>9</v>
      </c>
      <c r="D195" s="26">
        <f>D188</f>
        <v>13</v>
      </c>
      <c r="E195" s="77">
        <f t="shared" ref="E195:E224" si="27">SUM(C195:D195)</f>
        <v>22</v>
      </c>
      <c r="H195" s="19" t="s">
        <v>3</v>
      </c>
      <c r="I195" s="20">
        <f>I188</f>
        <v>98</v>
      </c>
      <c r="J195" s="26">
        <f>J188</f>
        <v>20</v>
      </c>
      <c r="K195" s="77">
        <f t="shared" ref="K195:K224" si="28">SUM(I195:J195)</f>
        <v>118</v>
      </c>
    </row>
    <row r="196" spans="1:13" x14ac:dyDescent="0.15">
      <c r="B196" s="17" t="s">
        <v>4</v>
      </c>
      <c r="C196" s="9">
        <v>15</v>
      </c>
      <c r="D196" s="28">
        <v>20</v>
      </c>
      <c r="E196" s="78">
        <f t="shared" si="27"/>
        <v>35</v>
      </c>
      <c r="F196" s="11">
        <v>45668</v>
      </c>
      <c r="H196" s="17" t="s">
        <v>4</v>
      </c>
      <c r="I196" s="9"/>
      <c r="J196" s="28"/>
      <c r="K196" s="78">
        <f t="shared" si="28"/>
        <v>0</v>
      </c>
    </row>
    <row r="197" spans="1:13" x14ac:dyDescent="0.15">
      <c r="B197" s="17" t="s">
        <v>4</v>
      </c>
      <c r="C197" s="9">
        <v>15</v>
      </c>
      <c r="D197" s="28"/>
      <c r="E197" s="78">
        <f t="shared" si="27"/>
        <v>15</v>
      </c>
      <c r="F197" s="11">
        <v>45717</v>
      </c>
      <c r="H197" s="17" t="s">
        <v>4</v>
      </c>
      <c r="I197" s="9"/>
      <c r="J197" s="28"/>
      <c r="K197" s="78">
        <f t="shared" si="28"/>
        <v>0</v>
      </c>
    </row>
    <row r="198" spans="1:13" ht="14.25" thickBot="1" x14ac:dyDescent="0.2">
      <c r="B198" s="17" t="s">
        <v>4</v>
      </c>
      <c r="C198" s="9"/>
      <c r="D198" s="28"/>
      <c r="E198" s="78">
        <f t="shared" si="27"/>
        <v>0</v>
      </c>
      <c r="H198" s="17" t="s">
        <v>4</v>
      </c>
      <c r="I198" s="9"/>
      <c r="J198" s="28"/>
      <c r="K198" s="78">
        <f t="shared" si="28"/>
        <v>0</v>
      </c>
      <c r="M198" s="90"/>
    </row>
    <row r="199" spans="1:13" ht="14.25" thickBot="1" x14ac:dyDescent="0.2">
      <c r="B199" s="57" t="s">
        <v>1</v>
      </c>
      <c r="C199" s="42">
        <f>SUM(C195:C198)</f>
        <v>39</v>
      </c>
      <c r="D199" s="74">
        <f>SUM(D195:D198)</f>
        <v>33</v>
      </c>
      <c r="E199" s="80">
        <f t="shared" si="27"/>
        <v>72</v>
      </c>
      <c r="H199" s="57" t="s">
        <v>1</v>
      </c>
      <c r="I199" s="42">
        <f>SUM(I195:I198)</f>
        <v>98</v>
      </c>
      <c r="J199" s="74">
        <f>SUM(J195:J198)</f>
        <v>20</v>
      </c>
      <c r="K199" s="80">
        <f t="shared" si="28"/>
        <v>118</v>
      </c>
    </row>
    <row r="200" spans="1:13" x14ac:dyDescent="0.15">
      <c r="B200" s="8" t="s">
        <v>18</v>
      </c>
      <c r="C200" s="9">
        <v>1</v>
      </c>
      <c r="D200" s="28">
        <v>1</v>
      </c>
      <c r="E200" s="81">
        <f t="shared" ref="E200:E221" si="29">SUM(C200:D200)</f>
        <v>2</v>
      </c>
      <c r="F200" s="18">
        <v>45647</v>
      </c>
      <c r="H200" s="71" t="s">
        <v>20</v>
      </c>
      <c r="I200" s="62">
        <v>15</v>
      </c>
      <c r="J200" s="29">
        <v>20</v>
      </c>
      <c r="K200" s="82">
        <f t="shared" si="28"/>
        <v>35</v>
      </c>
      <c r="L200" s="11">
        <v>45668</v>
      </c>
    </row>
    <row r="201" spans="1:13" x14ac:dyDescent="0.15">
      <c r="B201" s="8" t="s">
        <v>18</v>
      </c>
      <c r="C201" s="9">
        <f>1+1</f>
        <v>2</v>
      </c>
      <c r="D201" s="28">
        <v>1</v>
      </c>
      <c r="E201" s="81">
        <f t="shared" si="29"/>
        <v>3</v>
      </c>
      <c r="F201" s="18">
        <v>45649</v>
      </c>
      <c r="H201" s="71" t="s">
        <v>20</v>
      </c>
      <c r="I201" s="62">
        <v>15</v>
      </c>
      <c r="J201" s="29"/>
      <c r="K201" s="82">
        <f t="shared" ref="K201:K221" si="30">SUM(I201:J201)</f>
        <v>15</v>
      </c>
      <c r="L201" s="11">
        <v>45717</v>
      </c>
    </row>
    <row r="202" spans="1:13" x14ac:dyDescent="0.15">
      <c r="B202" s="8" t="s">
        <v>18</v>
      </c>
      <c r="C202" s="9">
        <v>1</v>
      </c>
      <c r="D202" s="28"/>
      <c r="E202" s="81">
        <f t="shared" si="29"/>
        <v>1</v>
      </c>
      <c r="F202" s="18">
        <v>45663</v>
      </c>
      <c r="H202" s="71"/>
      <c r="I202" s="62"/>
      <c r="J202" s="29"/>
      <c r="K202" s="82">
        <f t="shared" si="30"/>
        <v>0</v>
      </c>
    </row>
    <row r="203" spans="1:13" x14ac:dyDescent="0.15">
      <c r="B203" s="8" t="s">
        <v>18</v>
      </c>
      <c r="C203" s="9">
        <v>1</v>
      </c>
      <c r="D203" s="28"/>
      <c r="E203" s="81">
        <f t="shared" si="29"/>
        <v>1</v>
      </c>
      <c r="F203" s="18">
        <v>45665</v>
      </c>
      <c r="H203" s="71"/>
      <c r="I203" s="62"/>
      <c r="J203" s="29"/>
      <c r="K203" s="82">
        <f t="shared" si="30"/>
        <v>0</v>
      </c>
    </row>
    <row r="204" spans="1:13" x14ac:dyDescent="0.15">
      <c r="B204" s="8" t="s">
        <v>18</v>
      </c>
      <c r="C204" s="9">
        <v>1</v>
      </c>
      <c r="D204" s="28">
        <v>2</v>
      </c>
      <c r="E204" s="81">
        <f t="shared" si="29"/>
        <v>3</v>
      </c>
      <c r="F204" s="18">
        <v>45667</v>
      </c>
      <c r="H204" s="71"/>
      <c r="I204" s="62"/>
      <c r="J204" s="29"/>
      <c r="K204" s="82">
        <f t="shared" si="30"/>
        <v>0</v>
      </c>
    </row>
    <row r="205" spans="1:13" x14ac:dyDescent="0.15">
      <c r="B205" s="8" t="s">
        <v>18</v>
      </c>
      <c r="C205" s="9">
        <v>1</v>
      </c>
      <c r="D205" s="28"/>
      <c r="E205" s="81">
        <f t="shared" si="29"/>
        <v>1</v>
      </c>
      <c r="F205" s="18">
        <v>45684</v>
      </c>
      <c r="H205" s="71"/>
      <c r="I205" s="62"/>
      <c r="J205" s="29"/>
      <c r="K205" s="82">
        <f t="shared" si="30"/>
        <v>0</v>
      </c>
    </row>
    <row r="206" spans="1:13" x14ac:dyDescent="0.15">
      <c r="B206" s="8" t="s">
        <v>18</v>
      </c>
      <c r="C206" s="9"/>
      <c r="D206" s="28">
        <v>1</v>
      </c>
      <c r="E206" s="81">
        <f t="shared" si="29"/>
        <v>1</v>
      </c>
      <c r="F206" s="18">
        <v>45691</v>
      </c>
      <c r="H206" s="71"/>
      <c r="I206" s="62"/>
      <c r="J206" s="29"/>
      <c r="K206" s="82">
        <f t="shared" si="30"/>
        <v>0</v>
      </c>
    </row>
    <row r="207" spans="1:13" x14ac:dyDescent="0.15">
      <c r="B207" s="8" t="s">
        <v>18</v>
      </c>
      <c r="C207" s="9"/>
      <c r="D207" s="28">
        <v>1</v>
      </c>
      <c r="E207" s="81">
        <f t="shared" si="29"/>
        <v>1</v>
      </c>
      <c r="F207" s="18">
        <v>45694</v>
      </c>
      <c r="H207" s="71"/>
      <c r="I207" s="62"/>
      <c r="J207" s="29"/>
      <c r="K207" s="82">
        <f t="shared" si="30"/>
        <v>0</v>
      </c>
    </row>
    <row r="208" spans="1:13" x14ac:dyDescent="0.15">
      <c r="B208" s="8" t="s">
        <v>18</v>
      </c>
      <c r="C208" s="9"/>
      <c r="D208" s="28">
        <v>2</v>
      </c>
      <c r="E208" s="81">
        <f t="shared" si="29"/>
        <v>2</v>
      </c>
      <c r="F208" s="18">
        <v>45698</v>
      </c>
      <c r="H208" s="71"/>
      <c r="I208" s="62"/>
      <c r="J208" s="29"/>
      <c r="K208" s="82">
        <f t="shared" si="30"/>
        <v>0</v>
      </c>
    </row>
    <row r="209" spans="2:11" x14ac:dyDescent="0.15">
      <c r="B209" s="8" t="s">
        <v>18</v>
      </c>
      <c r="C209" s="9">
        <v>1</v>
      </c>
      <c r="D209" s="28">
        <v>1</v>
      </c>
      <c r="E209" s="81">
        <f t="shared" si="29"/>
        <v>2</v>
      </c>
      <c r="F209" s="18">
        <v>45708</v>
      </c>
      <c r="H209" s="71"/>
      <c r="I209" s="62"/>
      <c r="J209" s="29"/>
      <c r="K209" s="82">
        <f t="shared" si="30"/>
        <v>0</v>
      </c>
    </row>
    <row r="210" spans="2:11" x14ac:dyDescent="0.15">
      <c r="B210" s="8" t="s">
        <v>18</v>
      </c>
      <c r="C210" s="9"/>
      <c r="D210" s="28">
        <v>1</v>
      </c>
      <c r="E210" s="81">
        <f t="shared" si="29"/>
        <v>1</v>
      </c>
      <c r="F210" s="18">
        <v>45713</v>
      </c>
      <c r="H210" s="71"/>
      <c r="I210" s="62"/>
      <c r="J210" s="29"/>
      <c r="K210" s="82">
        <f t="shared" si="30"/>
        <v>0</v>
      </c>
    </row>
    <row r="211" spans="2:11" x14ac:dyDescent="0.15">
      <c r="B211" s="8" t="s">
        <v>18</v>
      </c>
      <c r="C211" s="9"/>
      <c r="D211" s="28">
        <v>1</v>
      </c>
      <c r="E211" s="81">
        <f t="shared" si="29"/>
        <v>1</v>
      </c>
      <c r="F211" s="18">
        <v>45716</v>
      </c>
      <c r="H211" s="71"/>
      <c r="I211" s="62"/>
      <c r="J211" s="29"/>
      <c r="K211" s="82">
        <f t="shared" si="30"/>
        <v>0</v>
      </c>
    </row>
    <row r="212" spans="2:11" x14ac:dyDescent="0.15">
      <c r="B212" s="8" t="s">
        <v>18</v>
      </c>
      <c r="C212" s="9">
        <v>1</v>
      </c>
      <c r="D212" s="28"/>
      <c r="E212" s="81">
        <f t="shared" si="29"/>
        <v>1</v>
      </c>
      <c r="F212" s="18">
        <v>45721</v>
      </c>
      <c r="H212" s="71"/>
      <c r="I212" s="62"/>
      <c r="J212" s="29"/>
      <c r="K212" s="82">
        <f t="shared" si="30"/>
        <v>0</v>
      </c>
    </row>
    <row r="213" spans="2:11" x14ac:dyDescent="0.15">
      <c r="B213" s="8" t="s">
        <v>18</v>
      </c>
      <c r="C213" s="9">
        <v>2</v>
      </c>
      <c r="D213" s="28"/>
      <c r="E213" s="81">
        <f t="shared" si="29"/>
        <v>2</v>
      </c>
      <c r="F213" s="18">
        <v>45740</v>
      </c>
      <c r="H213" s="71"/>
      <c r="I213" s="62"/>
      <c r="J213" s="29"/>
      <c r="K213" s="82">
        <f t="shared" si="30"/>
        <v>0</v>
      </c>
    </row>
    <row r="214" spans="2:11" x14ac:dyDescent="0.15">
      <c r="B214" s="8" t="s">
        <v>18</v>
      </c>
      <c r="C214" s="9">
        <v>1</v>
      </c>
      <c r="D214" s="28">
        <v>1</v>
      </c>
      <c r="E214" s="81">
        <f t="shared" si="29"/>
        <v>2</v>
      </c>
      <c r="F214" s="18">
        <v>45763</v>
      </c>
      <c r="H214" s="71"/>
      <c r="I214" s="62"/>
      <c r="J214" s="29"/>
      <c r="K214" s="82">
        <f t="shared" si="30"/>
        <v>0</v>
      </c>
    </row>
    <row r="215" spans="2:11" x14ac:dyDescent="0.15">
      <c r="B215" s="8" t="s">
        <v>18</v>
      </c>
      <c r="C215" s="9"/>
      <c r="D215" s="28">
        <v>1</v>
      </c>
      <c r="E215" s="81">
        <f t="shared" si="29"/>
        <v>1</v>
      </c>
      <c r="F215" s="18">
        <v>45778</v>
      </c>
      <c r="H215" s="71"/>
      <c r="I215" s="62"/>
      <c r="J215" s="29"/>
      <c r="K215" s="82">
        <f t="shared" si="30"/>
        <v>0</v>
      </c>
    </row>
    <row r="216" spans="2:11" x14ac:dyDescent="0.15">
      <c r="B216" s="8" t="s">
        <v>18</v>
      </c>
      <c r="C216" s="9"/>
      <c r="D216" s="28">
        <v>1</v>
      </c>
      <c r="E216" s="81">
        <f t="shared" si="29"/>
        <v>1</v>
      </c>
      <c r="F216" s="18">
        <v>45779</v>
      </c>
      <c r="H216" s="71"/>
      <c r="I216" s="62"/>
      <c r="J216" s="29"/>
      <c r="K216" s="82">
        <f t="shared" si="30"/>
        <v>0</v>
      </c>
    </row>
    <row r="217" spans="2:11" x14ac:dyDescent="0.15">
      <c r="B217" s="8" t="s">
        <v>18</v>
      </c>
      <c r="C217" s="9">
        <v>1</v>
      </c>
      <c r="D217" s="28">
        <v>1</v>
      </c>
      <c r="E217" s="81">
        <f t="shared" si="29"/>
        <v>2</v>
      </c>
      <c r="F217" s="18">
        <v>45813</v>
      </c>
      <c r="H217" s="71"/>
      <c r="I217" s="62"/>
      <c r="J217" s="29"/>
      <c r="K217" s="82">
        <f t="shared" si="30"/>
        <v>0</v>
      </c>
    </row>
    <row r="218" spans="2:11" x14ac:dyDescent="0.15">
      <c r="B218" s="8" t="s">
        <v>18</v>
      </c>
      <c r="C218" s="9">
        <v>1</v>
      </c>
      <c r="D218" s="28"/>
      <c r="E218" s="81">
        <f t="shared" si="29"/>
        <v>1</v>
      </c>
      <c r="F218" s="18">
        <v>45820</v>
      </c>
      <c r="H218" s="71"/>
      <c r="I218" s="62"/>
      <c r="J218" s="29"/>
      <c r="K218" s="82">
        <f t="shared" si="30"/>
        <v>0</v>
      </c>
    </row>
    <row r="219" spans="2:11" x14ac:dyDescent="0.15">
      <c r="B219" s="8" t="s">
        <v>18</v>
      </c>
      <c r="C219" s="9">
        <v>1</v>
      </c>
      <c r="D219" s="28"/>
      <c r="E219" s="81">
        <f t="shared" si="29"/>
        <v>1</v>
      </c>
      <c r="F219" s="18">
        <v>45841</v>
      </c>
      <c r="H219" s="71"/>
      <c r="I219" s="62"/>
      <c r="J219" s="29"/>
      <c r="K219" s="82">
        <f t="shared" si="30"/>
        <v>0</v>
      </c>
    </row>
    <row r="220" spans="2:11" x14ac:dyDescent="0.15">
      <c r="B220" s="8" t="s">
        <v>18</v>
      </c>
      <c r="C220" s="9"/>
      <c r="D220" s="28">
        <v>1</v>
      </c>
      <c r="E220" s="81">
        <f t="shared" si="29"/>
        <v>1</v>
      </c>
      <c r="F220" s="18">
        <v>45845</v>
      </c>
      <c r="H220" s="71"/>
      <c r="I220" s="62"/>
      <c r="J220" s="29"/>
      <c r="K220" s="82">
        <f t="shared" si="30"/>
        <v>0</v>
      </c>
    </row>
    <row r="221" spans="2:11" x14ac:dyDescent="0.15">
      <c r="B221" s="8" t="s">
        <v>18</v>
      </c>
      <c r="C221" s="9">
        <v>1</v>
      </c>
      <c r="D221" s="28"/>
      <c r="E221" s="81">
        <f t="shared" si="29"/>
        <v>1</v>
      </c>
      <c r="F221" s="18">
        <v>45852</v>
      </c>
      <c r="H221" s="71"/>
      <c r="I221" s="62"/>
      <c r="J221" s="29"/>
      <c r="K221" s="82">
        <f t="shared" si="30"/>
        <v>0</v>
      </c>
    </row>
    <row r="222" spans="2:11" x14ac:dyDescent="0.15">
      <c r="B222" s="8" t="s">
        <v>18</v>
      </c>
      <c r="C222" s="9">
        <v>1</v>
      </c>
      <c r="D222" s="28"/>
      <c r="E222" s="81">
        <f t="shared" si="27"/>
        <v>1</v>
      </c>
      <c r="F222" s="18">
        <v>45855</v>
      </c>
      <c r="H222" s="71"/>
      <c r="I222" s="62"/>
      <c r="J222" s="29"/>
      <c r="K222" s="82">
        <f t="shared" si="28"/>
        <v>0</v>
      </c>
    </row>
    <row r="223" spans="2:11" x14ac:dyDescent="0.15">
      <c r="B223" s="8" t="s">
        <v>18</v>
      </c>
      <c r="C223" s="9">
        <v>1</v>
      </c>
      <c r="D223" s="28"/>
      <c r="E223" s="81">
        <f t="shared" si="27"/>
        <v>1</v>
      </c>
      <c r="F223" s="18">
        <v>45860</v>
      </c>
      <c r="H223" s="71"/>
      <c r="I223" s="62"/>
      <c r="J223" s="29"/>
      <c r="K223" s="82">
        <f t="shared" si="28"/>
        <v>0</v>
      </c>
    </row>
    <row r="224" spans="2:11" ht="14.25" thickBot="1" x14ac:dyDescent="0.2">
      <c r="B224" s="8" t="s">
        <v>18</v>
      </c>
      <c r="C224" s="9">
        <v>1</v>
      </c>
      <c r="D224" s="28"/>
      <c r="E224" s="81">
        <f t="shared" si="27"/>
        <v>1</v>
      </c>
      <c r="F224" s="18">
        <v>45863</v>
      </c>
      <c r="H224" s="71"/>
      <c r="I224" s="62"/>
      <c r="J224" s="29"/>
      <c r="K224" s="82">
        <f t="shared" si="28"/>
        <v>0</v>
      </c>
    </row>
    <row r="225" spans="1:13" ht="14.25" thickBot="1" x14ac:dyDescent="0.2">
      <c r="B225" s="37" t="s">
        <v>2</v>
      </c>
      <c r="C225" s="38">
        <f>SUM(C200:C224)</f>
        <v>19</v>
      </c>
      <c r="D225" s="75">
        <f>SUM(D200:D224)</f>
        <v>16</v>
      </c>
      <c r="E225" s="83">
        <f>SUM(C225:D225)</f>
        <v>35</v>
      </c>
      <c r="H225" s="37" t="s">
        <v>2</v>
      </c>
      <c r="I225" s="38">
        <f>SUM(I200:I224)</f>
        <v>30</v>
      </c>
      <c r="J225" s="92">
        <f>SUM(J200:J224)</f>
        <v>20</v>
      </c>
      <c r="K225" s="83">
        <f>SUM(I225:J225)</f>
        <v>50</v>
      </c>
    </row>
    <row r="226" spans="1:13" ht="14.25" thickBot="1" x14ac:dyDescent="0.2">
      <c r="B226" s="41" t="s">
        <v>3</v>
      </c>
      <c r="C226" s="42">
        <f>+C199-C225</f>
        <v>20</v>
      </c>
      <c r="D226" s="74">
        <f>+D199-D225</f>
        <v>17</v>
      </c>
      <c r="E226" s="80">
        <f>SUM(C226:D226)</f>
        <v>37</v>
      </c>
      <c r="H226" s="41" t="s">
        <v>3</v>
      </c>
      <c r="I226" s="42">
        <f>+I199-I225</f>
        <v>68</v>
      </c>
      <c r="J226" s="93">
        <f>+J199-J225</f>
        <v>0</v>
      </c>
      <c r="K226" s="80">
        <f>SUM(I226:J226)</f>
        <v>68</v>
      </c>
    </row>
    <row r="227" spans="1:13" x14ac:dyDescent="0.15">
      <c r="D227" s="94" t="s">
        <v>81</v>
      </c>
    </row>
    <row r="228" spans="1:13" x14ac:dyDescent="0.15">
      <c r="H228" s="1"/>
    </row>
    <row r="229" spans="1:13" ht="18.75" x14ac:dyDescent="0.2">
      <c r="B229" s="46" t="s">
        <v>10</v>
      </c>
      <c r="C229" s="47"/>
      <c r="D229" s="47"/>
      <c r="E229" s="47"/>
      <c r="H229" s="44" t="s">
        <v>11</v>
      </c>
      <c r="I229" s="45"/>
      <c r="J229" s="45"/>
      <c r="K229" s="45"/>
      <c r="L229" s="45"/>
    </row>
    <row r="230" spans="1:13" ht="14.25" thickBot="1" x14ac:dyDescent="0.2">
      <c r="H230" s="1"/>
    </row>
    <row r="231" spans="1:13" ht="14.25" thickBot="1" x14ac:dyDescent="0.2">
      <c r="B231" s="4"/>
      <c r="C231" s="111"/>
      <c r="D231" s="112"/>
      <c r="E231" s="113"/>
      <c r="H231" s="4"/>
      <c r="I231" s="111"/>
      <c r="J231" s="112"/>
      <c r="K231" s="113"/>
    </row>
    <row r="232" spans="1:13" ht="14.25" thickBot="1" x14ac:dyDescent="0.2">
      <c r="A232" s="1"/>
      <c r="B232" s="5"/>
      <c r="C232" s="6" t="s">
        <v>6</v>
      </c>
      <c r="D232" s="72" t="s">
        <v>7</v>
      </c>
      <c r="E232" s="76" t="s">
        <v>0</v>
      </c>
      <c r="G232" s="1"/>
      <c r="H232" s="5"/>
      <c r="I232" s="6" t="s">
        <v>6</v>
      </c>
      <c r="J232" s="72" t="s">
        <v>7</v>
      </c>
      <c r="K232" s="76" t="s">
        <v>0</v>
      </c>
    </row>
    <row r="233" spans="1:13" x14ac:dyDescent="0.15">
      <c r="B233" s="19" t="s">
        <v>3</v>
      </c>
      <c r="C233" s="20">
        <f>C226</f>
        <v>20</v>
      </c>
      <c r="D233" s="26">
        <f>D226</f>
        <v>17</v>
      </c>
      <c r="E233" s="77">
        <f t="shared" ref="E233:E262" si="31">SUM(C233:D233)</f>
        <v>37</v>
      </c>
      <c r="H233" s="19" t="s">
        <v>3</v>
      </c>
      <c r="I233" s="20">
        <f>I226</f>
        <v>68</v>
      </c>
      <c r="J233" s="26">
        <f>J226</f>
        <v>0</v>
      </c>
      <c r="K233" s="77">
        <f t="shared" ref="K233:K262" si="32">SUM(I233:J233)</f>
        <v>68</v>
      </c>
    </row>
    <row r="234" spans="1:13" x14ac:dyDescent="0.15">
      <c r="B234" s="17" t="s">
        <v>47</v>
      </c>
      <c r="C234" s="9">
        <v>0</v>
      </c>
      <c r="D234" s="28">
        <v>0</v>
      </c>
      <c r="E234" s="78">
        <f t="shared" si="31"/>
        <v>0</v>
      </c>
      <c r="F234" s="11">
        <v>45890</v>
      </c>
      <c r="H234" s="17" t="s">
        <v>4</v>
      </c>
      <c r="I234" s="9"/>
      <c r="J234" s="28"/>
      <c r="K234" s="78">
        <f t="shared" si="32"/>
        <v>0</v>
      </c>
    </row>
    <row r="235" spans="1:13" x14ac:dyDescent="0.15">
      <c r="B235" s="17" t="s">
        <v>47</v>
      </c>
      <c r="C235" s="9">
        <v>0</v>
      </c>
      <c r="D235" s="28">
        <v>0</v>
      </c>
      <c r="E235" s="78">
        <f t="shared" si="31"/>
        <v>0</v>
      </c>
      <c r="F235" s="11">
        <v>46079</v>
      </c>
      <c r="H235" s="17" t="s">
        <v>4</v>
      </c>
      <c r="I235" s="9"/>
      <c r="J235" s="28"/>
      <c r="K235" s="78">
        <f t="shared" si="32"/>
        <v>0</v>
      </c>
    </row>
    <row r="236" spans="1:13" ht="14.25" thickBot="1" x14ac:dyDescent="0.2">
      <c r="B236" s="95" t="s">
        <v>4</v>
      </c>
      <c r="C236" s="96">
        <v>20</v>
      </c>
      <c r="D236" s="97"/>
      <c r="E236" s="98">
        <f t="shared" si="31"/>
        <v>20</v>
      </c>
      <c r="F236" s="99">
        <v>46106</v>
      </c>
      <c r="H236" s="17" t="s">
        <v>4</v>
      </c>
      <c r="I236" s="9"/>
      <c r="J236" s="28"/>
      <c r="K236" s="78">
        <f t="shared" si="32"/>
        <v>0</v>
      </c>
      <c r="M236" s="90"/>
    </row>
    <row r="237" spans="1:13" ht="14.25" thickBot="1" x14ac:dyDescent="0.2">
      <c r="B237" s="57" t="s">
        <v>1</v>
      </c>
      <c r="C237" s="42">
        <f>SUM(C233:C236)</f>
        <v>40</v>
      </c>
      <c r="D237" s="74">
        <f>SUM(D233:D236)</f>
        <v>17</v>
      </c>
      <c r="E237" s="80">
        <f t="shared" si="31"/>
        <v>57</v>
      </c>
      <c r="H237" s="57" t="s">
        <v>1</v>
      </c>
      <c r="I237" s="42">
        <f>SUM(I233:I236)</f>
        <v>68</v>
      </c>
      <c r="J237" s="74">
        <f>SUM(J233:J236)</f>
        <v>0</v>
      </c>
      <c r="K237" s="80">
        <f t="shared" si="32"/>
        <v>68</v>
      </c>
    </row>
    <row r="238" spans="1:13" x14ac:dyDescent="0.15">
      <c r="B238" s="8" t="s">
        <v>18</v>
      </c>
      <c r="C238" s="9"/>
      <c r="D238" s="28">
        <v>1</v>
      </c>
      <c r="E238" s="81">
        <f t="shared" si="31"/>
        <v>1</v>
      </c>
      <c r="F238" s="18">
        <v>45887</v>
      </c>
      <c r="H238" s="100" t="s">
        <v>82</v>
      </c>
      <c r="I238" s="101">
        <v>20</v>
      </c>
      <c r="J238" s="102"/>
      <c r="K238" s="103">
        <f t="shared" ref="K238:K239" si="33">SUM(I238:J238)</f>
        <v>20</v>
      </c>
      <c r="L238" s="99">
        <v>46106</v>
      </c>
    </row>
    <row r="239" spans="1:13" x14ac:dyDescent="0.15">
      <c r="B239" s="8" t="s">
        <v>18</v>
      </c>
      <c r="C239" s="9">
        <v>1</v>
      </c>
      <c r="D239" s="28"/>
      <c r="E239" s="81">
        <f t="shared" si="31"/>
        <v>1</v>
      </c>
      <c r="F239" s="18">
        <v>45895</v>
      </c>
      <c r="H239" s="71"/>
      <c r="I239" s="62"/>
      <c r="J239" s="29"/>
      <c r="K239" s="82">
        <f t="shared" si="33"/>
        <v>0</v>
      </c>
    </row>
    <row r="240" spans="1:13" x14ac:dyDescent="0.15">
      <c r="B240" s="8" t="s">
        <v>18</v>
      </c>
      <c r="C240" s="9"/>
      <c r="D240" s="28">
        <v>1</v>
      </c>
      <c r="E240" s="81">
        <f t="shared" si="31"/>
        <v>1</v>
      </c>
      <c r="F240" s="18">
        <v>45922</v>
      </c>
      <c r="H240" s="71"/>
      <c r="I240" s="62"/>
      <c r="J240" s="29"/>
      <c r="K240" s="82">
        <f t="shared" si="32"/>
        <v>0</v>
      </c>
    </row>
    <row r="241" spans="2:11" x14ac:dyDescent="0.15">
      <c r="B241" s="8" t="s">
        <v>18</v>
      </c>
      <c r="C241" s="9">
        <v>1</v>
      </c>
      <c r="D241" s="28"/>
      <c r="E241" s="81">
        <f t="shared" si="31"/>
        <v>1</v>
      </c>
      <c r="F241" s="18">
        <v>45946</v>
      </c>
      <c r="H241" s="71"/>
      <c r="I241" s="62"/>
      <c r="J241" s="29"/>
      <c r="K241" s="82">
        <f t="shared" si="32"/>
        <v>0</v>
      </c>
    </row>
    <row r="242" spans="2:11" x14ac:dyDescent="0.15">
      <c r="B242" s="8" t="s">
        <v>18</v>
      </c>
      <c r="C242" s="9">
        <v>1</v>
      </c>
      <c r="D242" s="28"/>
      <c r="E242" s="81">
        <f t="shared" si="31"/>
        <v>1</v>
      </c>
      <c r="F242" s="18">
        <v>45965</v>
      </c>
      <c r="H242" s="71"/>
      <c r="I242" s="62"/>
      <c r="J242" s="29"/>
      <c r="K242" s="82">
        <f t="shared" si="32"/>
        <v>0</v>
      </c>
    </row>
    <row r="243" spans="2:11" x14ac:dyDescent="0.15">
      <c r="B243" s="8" t="s">
        <v>18</v>
      </c>
      <c r="C243" s="9"/>
      <c r="D243" s="28">
        <v>2</v>
      </c>
      <c r="E243" s="81">
        <f t="shared" si="31"/>
        <v>2</v>
      </c>
      <c r="F243" s="18">
        <v>45971</v>
      </c>
      <c r="H243" s="71"/>
      <c r="I243" s="62"/>
      <c r="J243" s="29"/>
      <c r="K243" s="82">
        <f t="shared" si="32"/>
        <v>0</v>
      </c>
    </row>
    <row r="244" spans="2:11" x14ac:dyDescent="0.15">
      <c r="B244" s="8" t="s">
        <v>18</v>
      </c>
      <c r="C244" s="9"/>
      <c r="D244" s="28">
        <v>1</v>
      </c>
      <c r="E244" s="81">
        <f t="shared" si="31"/>
        <v>1</v>
      </c>
      <c r="F244" s="18">
        <v>45986</v>
      </c>
      <c r="H244" s="71"/>
      <c r="I244" s="62"/>
      <c r="J244" s="29"/>
      <c r="K244" s="82">
        <f t="shared" si="32"/>
        <v>0</v>
      </c>
    </row>
    <row r="245" spans="2:11" x14ac:dyDescent="0.15">
      <c r="B245" s="8" t="s">
        <v>18</v>
      </c>
      <c r="C245" s="9">
        <v>1</v>
      </c>
      <c r="D245" s="28"/>
      <c r="E245" s="81">
        <f t="shared" si="31"/>
        <v>1</v>
      </c>
      <c r="F245" s="18">
        <v>45989</v>
      </c>
      <c r="H245" s="71"/>
      <c r="I245" s="62"/>
      <c r="J245" s="29"/>
      <c r="K245" s="82">
        <f t="shared" si="32"/>
        <v>0</v>
      </c>
    </row>
    <row r="246" spans="2:11" x14ac:dyDescent="0.15">
      <c r="B246" s="8" t="s">
        <v>18</v>
      </c>
      <c r="C246" s="9">
        <v>1</v>
      </c>
      <c r="D246" s="28"/>
      <c r="E246" s="81">
        <f t="shared" si="31"/>
        <v>1</v>
      </c>
      <c r="F246" s="18">
        <v>45990</v>
      </c>
      <c r="H246" s="71"/>
      <c r="I246" s="62"/>
      <c r="J246" s="29"/>
      <c r="K246" s="82">
        <f t="shared" si="32"/>
        <v>0</v>
      </c>
    </row>
    <row r="247" spans="2:11" x14ac:dyDescent="0.15">
      <c r="B247" s="8" t="s">
        <v>18</v>
      </c>
      <c r="C247" s="9"/>
      <c r="D247" s="28">
        <v>1</v>
      </c>
      <c r="E247" s="81">
        <f t="shared" si="31"/>
        <v>1</v>
      </c>
      <c r="F247" s="18">
        <v>46006</v>
      </c>
      <c r="H247" s="71"/>
      <c r="I247" s="62"/>
      <c r="J247" s="29"/>
      <c r="K247" s="82">
        <f t="shared" si="32"/>
        <v>0</v>
      </c>
    </row>
    <row r="248" spans="2:11" x14ac:dyDescent="0.15">
      <c r="B248" s="8" t="s">
        <v>18</v>
      </c>
      <c r="C248" s="9">
        <v>1</v>
      </c>
      <c r="D248" s="28">
        <v>1</v>
      </c>
      <c r="E248" s="81">
        <f t="shared" si="31"/>
        <v>2</v>
      </c>
      <c r="F248" s="18">
        <v>46007</v>
      </c>
      <c r="H248" s="71"/>
      <c r="I248" s="62"/>
      <c r="J248" s="29"/>
      <c r="K248" s="82">
        <f t="shared" si="32"/>
        <v>0</v>
      </c>
    </row>
    <row r="249" spans="2:11" x14ac:dyDescent="0.15">
      <c r="B249" s="8" t="s">
        <v>18</v>
      </c>
      <c r="C249" s="9">
        <v>1</v>
      </c>
      <c r="D249" s="28">
        <v>1</v>
      </c>
      <c r="E249" s="81">
        <f t="shared" si="31"/>
        <v>2</v>
      </c>
      <c r="F249" s="18">
        <v>46035</v>
      </c>
      <c r="H249" s="71"/>
      <c r="I249" s="62"/>
      <c r="J249" s="29"/>
      <c r="K249" s="82">
        <f t="shared" si="32"/>
        <v>0</v>
      </c>
    </row>
    <row r="250" spans="2:11" x14ac:dyDescent="0.15">
      <c r="B250" s="8" t="s">
        <v>18</v>
      </c>
      <c r="C250" s="9"/>
      <c r="D250" s="28">
        <v>1</v>
      </c>
      <c r="E250" s="81">
        <f t="shared" si="31"/>
        <v>1</v>
      </c>
      <c r="F250" s="18">
        <v>46049</v>
      </c>
      <c r="H250" s="71"/>
      <c r="I250" s="62"/>
      <c r="J250" s="29"/>
      <c r="K250" s="82">
        <f t="shared" si="32"/>
        <v>0</v>
      </c>
    </row>
    <row r="251" spans="2:11" x14ac:dyDescent="0.15">
      <c r="B251" s="8" t="s">
        <v>18</v>
      </c>
      <c r="C251" s="9"/>
      <c r="D251" s="28">
        <v>1</v>
      </c>
      <c r="E251" s="81">
        <f t="shared" si="31"/>
        <v>1</v>
      </c>
      <c r="F251" s="18">
        <v>46062</v>
      </c>
      <c r="H251" s="71"/>
      <c r="I251" s="62"/>
      <c r="J251" s="29"/>
      <c r="K251" s="82">
        <f t="shared" si="32"/>
        <v>0</v>
      </c>
    </row>
    <row r="252" spans="2:11" x14ac:dyDescent="0.15">
      <c r="B252" s="8" t="s">
        <v>18</v>
      </c>
      <c r="C252" s="9"/>
      <c r="D252" s="28">
        <v>1</v>
      </c>
      <c r="E252" s="81">
        <f t="shared" si="31"/>
        <v>1</v>
      </c>
      <c r="F252" s="18">
        <v>46065</v>
      </c>
      <c r="H252" s="71"/>
      <c r="I252" s="62"/>
      <c r="J252" s="29"/>
      <c r="K252" s="82">
        <f t="shared" si="32"/>
        <v>0</v>
      </c>
    </row>
    <row r="253" spans="2:11" x14ac:dyDescent="0.15">
      <c r="B253" s="8" t="s">
        <v>18</v>
      </c>
      <c r="C253" s="9"/>
      <c r="D253" s="28">
        <v>1</v>
      </c>
      <c r="E253" s="81">
        <f t="shared" si="31"/>
        <v>1</v>
      </c>
      <c r="F253" s="18">
        <v>46066</v>
      </c>
      <c r="H253" s="71"/>
      <c r="I253" s="62"/>
      <c r="J253" s="29"/>
      <c r="K253" s="82">
        <f t="shared" si="32"/>
        <v>0</v>
      </c>
    </row>
    <row r="254" spans="2:11" x14ac:dyDescent="0.15">
      <c r="B254" s="8" t="s">
        <v>18</v>
      </c>
      <c r="C254" s="9">
        <v>1</v>
      </c>
      <c r="D254" s="28"/>
      <c r="E254" s="81">
        <f t="shared" si="31"/>
        <v>1</v>
      </c>
      <c r="F254" s="18">
        <v>46077</v>
      </c>
      <c r="H254" s="71"/>
      <c r="I254" s="62"/>
      <c r="J254" s="29"/>
      <c r="K254" s="82">
        <f t="shared" si="32"/>
        <v>0</v>
      </c>
    </row>
    <row r="255" spans="2:11" x14ac:dyDescent="0.15">
      <c r="B255" s="8" t="s">
        <v>18</v>
      </c>
      <c r="C255" s="9"/>
      <c r="D255" s="28">
        <v>1</v>
      </c>
      <c r="E255" s="81">
        <f t="shared" si="31"/>
        <v>1</v>
      </c>
      <c r="F255" s="18">
        <v>46080</v>
      </c>
      <c r="H255" s="71"/>
      <c r="I255" s="62"/>
      <c r="J255" s="29"/>
      <c r="K255" s="82">
        <f t="shared" si="32"/>
        <v>0</v>
      </c>
    </row>
    <row r="256" spans="2:11" x14ac:dyDescent="0.15">
      <c r="B256" s="8" t="s">
        <v>18</v>
      </c>
      <c r="C256" s="9">
        <v>1</v>
      </c>
      <c r="D256" s="28"/>
      <c r="E256" s="81">
        <f t="shared" si="31"/>
        <v>1</v>
      </c>
      <c r="F256" s="18">
        <v>46090</v>
      </c>
      <c r="H256" s="71"/>
      <c r="I256" s="62"/>
      <c r="J256" s="29"/>
      <c r="K256" s="82">
        <f t="shared" si="32"/>
        <v>0</v>
      </c>
    </row>
    <row r="257" spans="1:11" x14ac:dyDescent="0.15">
      <c r="B257" s="8" t="s">
        <v>18</v>
      </c>
      <c r="C257" s="9">
        <v>3</v>
      </c>
      <c r="D257" s="28"/>
      <c r="E257" s="81">
        <f t="shared" si="31"/>
        <v>3</v>
      </c>
      <c r="F257" s="18">
        <v>46091</v>
      </c>
      <c r="H257" s="71"/>
      <c r="I257" s="62"/>
      <c r="J257" s="29"/>
      <c r="K257" s="82">
        <f t="shared" si="32"/>
        <v>0</v>
      </c>
    </row>
    <row r="258" spans="1:11" x14ac:dyDescent="0.15">
      <c r="B258" s="8" t="s">
        <v>18</v>
      </c>
      <c r="C258" s="9">
        <f>7+1</f>
        <v>8</v>
      </c>
      <c r="D258" s="28"/>
      <c r="E258" s="81">
        <f t="shared" si="31"/>
        <v>8</v>
      </c>
      <c r="F258" s="18">
        <v>46104</v>
      </c>
      <c r="H258" s="71"/>
      <c r="I258" s="62"/>
      <c r="J258" s="29"/>
      <c r="K258" s="82">
        <f t="shared" si="32"/>
        <v>0</v>
      </c>
    </row>
    <row r="259" spans="1:11" x14ac:dyDescent="0.15">
      <c r="B259" s="8" t="s">
        <v>18</v>
      </c>
      <c r="C259" s="9"/>
      <c r="D259" s="28">
        <v>1</v>
      </c>
      <c r="E259" s="81">
        <f t="shared" si="31"/>
        <v>1</v>
      </c>
      <c r="F259" s="18">
        <v>46105</v>
      </c>
      <c r="H259" s="71"/>
      <c r="I259" s="62"/>
      <c r="J259" s="29"/>
      <c r="K259" s="82">
        <f t="shared" si="32"/>
        <v>0</v>
      </c>
    </row>
    <row r="260" spans="1:11" x14ac:dyDescent="0.15">
      <c r="B260" s="8" t="s">
        <v>18</v>
      </c>
      <c r="C260" s="9">
        <v>1</v>
      </c>
      <c r="D260" s="28"/>
      <c r="E260" s="81">
        <f t="shared" si="31"/>
        <v>1</v>
      </c>
      <c r="F260" s="18">
        <v>46106</v>
      </c>
      <c r="H260" s="71"/>
      <c r="I260" s="62"/>
      <c r="J260" s="29"/>
      <c r="K260" s="82">
        <f t="shared" si="32"/>
        <v>0</v>
      </c>
    </row>
    <row r="261" spans="1:11" x14ac:dyDescent="0.15">
      <c r="B261" s="8" t="s">
        <v>18</v>
      </c>
      <c r="C261" s="9">
        <v>1</v>
      </c>
      <c r="D261" s="28">
        <v>2</v>
      </c>
      <c r="E261" s="81">
        <f t="shared" si="31"/>
        <v>3</v>
      </c>
      <c r="F261" s="18">
        <v>46107</v>
      </c>
      <c r="H261" s="71"/>
      <c r="I261" s="62"/>
      <c r="J261" s="29"/>
      <c r="K261" s="82">
        <f t="shared" si="32"/>
        <v>0</v>
      </c>
    </row>
    <row r="262" spans="1:11" ht="14.25" thickBot="1" x14ac:dyDescent="0.2">
      <c r="B262" s="8" t="s">
        <v>18</v>
      </c>
      <c r="C262" s="9"/>
      <c r="D262" s="28">
        <v>1</v>
      </c>
      <c r="E262" s="81">
        <f t="shared" si="31"/>
        <v>1</v>
      </c>
      <c r="F262" s="104">
        <v>46118</v>
      </c>
      <c r="H262" s="71"/>
      <c r="I262" s="62"/>
      <c r="J262" s="29"/>
      <c r="K262" s="82">
        <f t="shared" si="32"/>
        <v>0</v>
      </c>
    </row>
    <row r="263" spans="1:11" ht="14.25" thickBot="1" x14ac:dyDescent="0.2">
      <c r="B263" s="37" t="s">
        <v>2</v>
      </c>
      <c r="C263" s="38">
        <f>SUM(C238:C262)</f>
        <v>22</v>
      </c>
      <c r="D263" s="75">
        <f>SUM(D238:D262)</f>
        <v>17</v>
      </c>
      <c r="E263" s="83">
        <f>SUM(C263:D263)</f>
        <v>39</v>
      </c>
      <c r="H263" s="37" t="s">
        <v>2</v>
      </c>
      <c r="I263" s="38">
        <f>SUM(I238:I262)</f>
        <v>20</v>
      </c>
      <c r="J263" s="92">
        <f>SUM(J238:J262)</f>
        <v>0</v>
      </c>
      <c r="K263" s="83">
        <f>SUM(I263:J263)</f>
        <v>20</v>
      </c>
    </row>
    <row r="264" spans="1:11" ht="14.25" thickBot="1" x14ac:dyDescent="0.2">
      <c r="B264" s="41" t="s">
        <v>3</v>
      </c>
      <c r="C264" s="42">
        <f>+C237-C263</f>
        <v>18</v>
      </c>
      <c r="D264" s="74">
        <f>+D237-D263</f>
        <v>0</v>
      </c>
      <c r="E264" s="80">
        <f>SUM(C264:D264)</f>
        <v>18</v>
      </c>
      <c r="H264" s="41" t="s">
        <v>3</v>
      </c>
      <c r="I264" s="42">
        <f>+I237-I263</f>
        <v>48</v>
      </c>
      <c r="J264" s="93">
        <f>+J237-J263</f>
        <v>0</v>
      </c>
      <c r="K264" s="80">
        <f>SUM(I264:J264)</f>
        <v>48</v>
      </c>
    </row>
    <row r="265" spans="1:11" x14ac:dyDescent="0.15">
      <c r="D265" s="94" t="s">
        <v>81</v>
      </c>
    </row>
    <row r="266" spans="1:11" x14ac:dyDescent="0.15">
      <c r="H266" s="1"/>
    </row>
    <row r="267" spans="1:11" ht="18.75" x14ac:dyDescent="0.2">
      <c r="B267" s="46" t="s">
        <v>10</v>
      </c>
      <c r="C267" s="47"/>
      <c r="D267" s="47"/>
      <c r="E267" s="47"/>
      <c r="H267" s="44" t="s">
        <v>11</v>
      </c>
      <c r="I267" s="45"/>
      <c r="J267" s="45"/>
      <c r="K267" s="45"/>
    </row>
    <row r="268" spans="1:11" ht="14.25" thickBot="1" x14ac:dyDescent="0.2">
      <c r="H268" s="1"/>
    </row>
    <row r="269" spans="1:11" ht="14.25" thickBot="1" x14ac:dyDescent="0.2">
      <c r="B269" s="4"/>
      <c r="C269" s="111"/>
      <c r="D269" s="112"/>
      <c r="E269" s="113"/>
      <c r="H269" s="4"/>
      <c r="I269" s="111"/>
      <c r="J269" s="112"/>
      <c r="K269" s="113"/>
    </row>
    <row r="270" spans="1:11" ht="14.25" thickBot="1" x14ac:dyDescent="0.2">
      <c r="A270" s="1"/>
      <c r="B270" s="5"/>
      <c r="C270" s="6" t="s">
        <v>6</v>
      </c>
      <c r="D270" s="107" t="s">
        <v>7</v>
      </c>
      <c r="E270" s="76" t="s">
        <v>0</v>
      </c>
      <c r="G270" s="1"/>
      <c r="H270" s="5"/>
      <c r="I270" s="6" t="s">
        <v>6</v>
      </c>
      <c r="J270" s="72" t="s">
        <v>7</v>
      </c>
      <c r="K270" s="76" t="s">
        <v>0</v>
      </c>
    </row>
    <row r="271" spans="1:11" x14ac:dyDescent="0.15">
      <c r="B271" s="19" t="s">
        <v>3</v>
      </c>
      <c r="C271" s="20">
        <f>C264</f>
        <v>18</v>
      </c>
      <c r="D271" s="108">
        <f>D264</f>
        <v>0</v>
      </c>
      <c r="E271" s="77">
        <f t="shared" ref="E271:E300" si="34">SUM(C271:D271)</f>
        <v>18</v>
      </c>
      <c r="H271" s="19" t="s">
        <v>3</v>
      </c>
      <c r="I271" s="20">
        <f>I264</f>
        <v>48</v>
      </c>
      <c r="J271" s="26">
        <f>J264</f>
        <v>0</v>
      </c>
      <c r="K271" s="77">
        <f t="shared" ref="K271:K300" si="35">SUM(I271:J271)</f>
        <v>48</v>
      </c>
    </row>
    <row r="272" spans="1:11" x14ac:dyDescent="0.15">
      <c r="B272" s="17" t="s">
        <v>4</v>
      </c>
      <c r="C272" s="9">
        <v>48</v>
      </c>
      <c r="D272" s="109"/>
      <c r="E272" s="78">
        <f t="shared" si="34"/>
        <v>48</v>
      </c>
      <c r="F272" s="11">
        <v>46179</v>
      </c>
      <c r="H272" s="17" t="s">
        <v>4</v>
      </c>
      <c r="I272" s="9"/>
      <c r="J272" s="28"/>
      <c r="K272" s="78">
        <f t="shared" si="35"/>
        <v>0</v>
      </c>
    </row>
    <row r="273" spans="2:12" x14ac:dyDescent="0.15">
      <c r="B273" s="95" t="s">
        <v>4</v>
      </c>
      <c r="C273" s="9"/>
      <c r="D273" s="109"/>
      <c r="E273" s="78">
        <f t="shared" si="34"/>
        <v>0</v>
      </c>
      <c r="F273" s="11"/>
      <c r="H273" s="17" t="s">
        <v>4</v>
      </c>
      <c r="I273" s="9"/>
      <c r="J273" s="28"/>
      <c r="K273" s="78">
        <f t="shared" si="35"/>
        <v>0</v>
      </c>
    </row>
    <row r="274" spans="2:12" ht="14.25" thickBot="1" x14ac:dyDescent="0.2">
      <c r="B274" s="95" t="s">
        <v>4</v>
      </c>
      <c r="C274" s="96"/>
      <c r="D274" s="110"/>
      <c r="E274" s="98">
        <f t="shared" si="34"/>
        <v>0</v>
      </c>
      <c r="F274" s="99"/>
      <c r="H274" s="17" t="s">
        <v>4</v>
      </c>
      <c r="I274" s="9"/>
      <c r="J274" s="28"/>
      <c r="K274" s="78">
        <f t="shared" si="35"/>
        <v>0</v>
      </c>
    </row>
    <row r="275" spans="2:12" ht="14.25" thickBot="1" x14ac:dyDescent="0.2">
      <c r="B275" s="57" t="s">
        <v>1</v>
      </c>
      <c r="C275" s="42">
        <f>SUM(C271:C274)</f>
        <v>66</v>
      </c>
      <c r="D275" s="93">
        <f>SUM(D271:D274)</f>
        <v>0</v>
      </c>
      <c r="E275" s="80">
        <f t="shared" si="34"/>
        <v>66</v>
      </c>
      <c r="H275" s="57" t="s">
        <v>1</v>
      </c>
      <c r="I275" s="42">
        <f>SUM(I271:I274)</f>
        <v>48</v>
      </c>
      <c r="J275" s="74">
        <f>SUM(J271:J274)</f>
        <v>0</v>
      </c>
      <c r="K275" s="80">
        <f t="shared" si="35"/>
        <v>48</v>
      </c>
    </row>
    <row r="276" spans="2:12" x14ac:dyDescent="0.15">
      <c r="B276" s="8" t="s">
        <v>18</v>
      </c>
      <c r="C276" s="9">
        <v>1</v>
      </c>
      <c r="D276" s="109"/>
      <c r="E276" s="81">
        <f t="shared" si="34"/>
        <v>1</v>
      </c>
      <c r="F276" s="18">
        <v>46119</v>
      </c>
      <c r="H276" s="71" t="s">
        <v>83</v>
      </c>
      <c r="I276" s="62">
        <v>48</v>
      </c>
      <c r="J276" s="29"/>
      <c r="K276" s="82">
        <f t="shared" ref="K276:K277" si="36">SUM(I276:J276)</f>
        <v>48</v>
      </c>
      <c r="L276" s="11">
        <v>46179</v>
      </c>
    </row>
    <row r="277" spans="2:12" x14ac:dyDescent="0.15">
      <c r="B277" s="8" t="s">
        <v>18</v>
      </c>
      <c r="C277" s="9">
        <v>2</v>
      </c>
      <c r="D277" s="109"/>
      <c r="E277" s="81">
        <f t="shared" si="34"/>
        <v>2</v>
      </c>
      <c r="F277" s="18">
        <v>46134</v>
      </c>
      <c r="H277" s="71"/>
      <c r="I277" s="62"/>
      <c r="J277" s="29"/>
      <c r="K277" s="82">
        <f t="shared" si="36"/>
        <v>0</v>
      </c>
    </row>
    <row r="278" spans="2:12" x14ac:dyDescent="0.15">
      <c r="B278" s="8" t="s">
        <v>18</v>
      </c>
      <c r="C278" s="9">
        <v>3</v>
      </c>
      <c r="D278" s="109"/>
      <c r="E278" s="81">
        <f t="shared" si="34"/>
        <v>3</v>
      </c>
      <c r="F278" s="18">
        <v>46167</v>
      </c>
      <c r="H278" s="71"/>
      <c r="I278" s="62"/>
      <c r="J278" s="29"/>
      <c r="K278" s="82">
        <f t="shared" si="35"/>
        <v>0</v>
      </c>
    </row>
    <row r="279" spans="2:12" x14ac:dyDescent="0.15">
      <c r="B279" s="8" t="s">
        <v>18</v>
      </c>
      <c r="C279" s="9">
        <v>3</v>
      </c>
      <c r="D279" s="109"/>
      <c r="E279" s="81">
        <f t="shared" si="34"/>
        <v>3</v>
      </c>
      <c r="F279" s="18">
        <v>46168</v>
      </c>
      <c r="H279" s="71"/>
      <c r="I279" s="62"/>
      <c r="J279" s="29"/>
      <c r="K279" s="82">
        <f t="shared" si="35"/>
        <v>0</v>
      </c>
    </row>
    <row r="280" spans="2:12" x14ac:dyDescent="0.15">
      <c r="B280" s="8" t="s">
        <v>18</v>
      </c>
      <c r="C280" s="9">
        <v>2</v>
      </c>
      <c r="D280" s="109"/>
      <c r="E280" s="81">
        <f t="shared" si="34"/>
        <v>2</v>
      </c>
      <c r="F280" s="18">
        <v>46171</v>
      </c>
      <c r="H280" s="71"/>
      <c r="I280" s="62"/>
      <c r="J280" s="29"/>
      <c r="K280" s="82">
        <f t="shared" si="35"/>
        <v>0</v>
      </c>
    </row>
    <row r="281" spans="2:12" x14ac:dyDescent="0.15">
      <c r="B281" s="8" t="s">
        <v>18</v>
      </c>
      <c r="C281" s="9">
        <v>2</v>
      </c>
      <c r="D281" s="109"/>
      <c r="E281" s="81">
        <f t="shared" si="34"/>
        <v>2</v>
      </c>
      <c r="F281" s="18">
        <v>46174</v>
      </c>
      <c r="H281" s="71"/>
      <c r="I281" s="62"/>
      <c r="J281" s="29"/>
      <c r="K281" s="82">
        <f t="shared" si="35"/>
        <v>0</v>
      </c>
    </row>
    <row r="282" spans="2:12" x14ac:dyDescent="0.15">
      <c r="B282" s="8" t="s">
        <v>18</v>
      </c>
      <c r="C282" s="9">
        <v>2</v>
      </c>
      <c r="D282" s="109"/>
      <c r="E282" s="81">
        <f t="shared" si="34"/>
        <v>2</v>
      </c>
      <c r="F282" s="18">
        <v>46176</v>
      </c>
      <c r="H282" s="71"/>
      <c r="I282" s="62"/>
      <c r="J282" s="29"/>
      <c r="K282" s="82">
        <f t="shared" si="35"/>
        <v>0</v>
      </c>
    </row>
    <row r="283" spans="2:12" x14ac:dyDescent="0.15">
      <c r="B283" s="8" t="s">
        <v>18</v>
      </c>
      <c r="C283" s="9">
        <v>1</v>
      </c>
      <c r="D283" s="109"/>
      <c r="E283" s="81">
        <f t="shared" si="34"/>
        <v>1</v>
      </c>
      <c r="F283" s="18">
        <v>46177</v>
      </c>
      <c r="H283" s="71"/>
      <c r="I283" s="62"/>
      <c r="J283" s="29"/>
      <c r="K283" s="82">
        <f t="shared" si="35"/>
        <v>0</v>
      </c>
    </row>
    <row r="284" spans="2:12" x14ac:dyDescent="0.15">
      <c r="B284" s="8" t="s">
        <v>18</v>
      </c>
      <c r="C284" s="9">
        <v>2</v>
      </c>
      <c r="D284" s="109"/>
      <c r="E284" s="81">
        <f t="shared" si="34"/>
        <v>2</v>
      </c>
      <c r="F284" s="18">
        <v>46178</v>
      </c>
      <c r="H284" s="71"/>
      <c r="I284" s="62"/>
      <c r="J284" s="29"/>
      <c r="K284" s="82">
        <f t="shared" si="35"/>
        <v>0</v>
      </c>
    </row>
    <row r="285" spans="2:12" x14ac:dyDescent="0.15">
      <c r="B285" s="8" t="s">
        <v>18</v>
      </c>
      <c r="C285" s="9">
        <v>12</v>
      </c>
      <c r="D285" s="109"/>
      <c r="E285" s="81">
        <f t="shared" si="34"/>
        <v>12</v>
      </c>
      <c r="F285" s="18">
        <v>46181</v>
      </c>
      <c r="H285" s="71"/>
      <c r="I285" s="62"/>
      <c r="J285" s="29"/>
      <c r="K285" s="82">
        <f t="shared" si="35"/>
        <v>0</v>
      </c>
    </row>
    <row r="286" spans="2:12" x14ac:dyDescent="0.15">
      <c r="B286" s="8" t="s">
        <v>18</v>
      </c>
      <c r="C286" s="9">
        <v>1</v>
      </c>
      <c r="D286" s="109"/>
      <c r="E286" s="81">
        <f t="shared" si="34"/>
        <v>1</v>
      </c>
      <c r="F286" s="18">
        <v>46182</v>
      </c>
      <c r="H286" s="71"/>
      <c r="I286" s="62"/>
      <c r="J286" s="29"/>
      <c r="K286" s="82">
        <f t="shared" si="35"/>
        <v>0</v>
      </c>
    </row>
    <row r="287" spans="2:12" x14ac:dyDescent="0.15">
      <c r="B287" s="8" t="s">
        <v>18</v>
      </c>
      <c r="C287" s="9">
        <v>1</v>
      </c>
      <c r="D287" s="109"/>
      <c r="E287" s="81">
        <f t="shared" si="34"/>
        <v>1</v>
      </c>
      <c r="F287" s="18">
        <v>46183</v>
      </c>
      <c r="H287" s="71"/>
      <c r="I287" s="62"/>
      <c r="J287" s="29"/>
      <c r="K287" s="82">
        <f t="shared" si="35"/>
        <v>0</v>
      </c>
    </row>
    <row r="288" spans="2:12" x14ac:dyDescent="0.15">
      <c r="B288" s="8" t="s">
        <v>18</v>
      </c>
      <c r="C288" s="9">
        <v>3</v>
      </c>
      <c r="D288" s="109"/>
      <c r="E288" s="81">
        <f t="shared" si="34"/>
        <v>3</v>
      </c>
      <c r="F288" s="18">
        <v>46184</v>
      </c>
      <c r="H288" s="71"/>
      <c r="I288" s="62"/>
      <c r="J288" s="29"/>
      <c r="K288" s="82">
        <f t="shared" si="35"/>
        <v>0</v>
      </c>
    </row>
    <row r="289" spans="2:11" x14ac:dyDescent="0.15">
      <c r="B289" s="8" t="s">
        <v>18</v>
      </c>
      <c r="C289" s="9">
        <v>1</v>
      </c>
      <c r="D289" s="109"/>
      <c r="E289" s="81">
        <f t="shared" si="34"/>
        <v>1</v>
      </c>
      <c r="F289" s="18">
        <v>46185</v>
      </c>
      <c r="H289" s="71"/>
      <c r="I289" s="62"/>
      <c r="J289" s="29"/>
      <c r="K289" s="82">
        <f t="shared" si="35"/>
        <v>0</v>
      </c>
    </row>
    <row r="290" spans="2:11" x14ac:dyDescent="0.15">
      <c r="B290" s="8" t="s">
        <v>18</v>
      </c>
      <c r="C290" s="9">
        <v>5</v>
      </c>
      <c r="D290" s="109"/>
      <c r="E290" s="81">
        <f t="shared" si="34"/>
        <v>5</v>
      </c>
      <c r="F290" s="18">
        <v>46188</v>
      </c>
      <c r="H290" s="71"/>
      <c r="I290" s="62"/>
      <c r="J290" s="29"/>
      <c r="K290" s="82">
        <f t="shared" si="35"/>
        <v>0</v>
      </c>
    </row>
    <row r="291" spans="2:11" x14ac:dyDescent="0.15">
      <c r="B291" s="8" t="s">
        <v>18</v>
      </c>
      <c r="C291" s="9">
        <v>1</v>
      </c>
      <c r="D291" s="109"/>
      <c r="E291" s="81">
        <f t="shared" si="34"/>
        <v>1</v>
      </c>
      <c r="F291" s="18">
        <v>46189</v>
      </c>
      <c r="H291" s="71"/>
      <c r="I291" s="62"/>
      <c r="J291" s="29"/>
      <c r="K291" s="82">
        <f t="shared" si="35"/>
        <v>0</v>
      </c>
    </row>
    <row r="292" spans="2:11" x14ac:dyDescent="0.15">
      <c r="B292" s="8" t="s">
        <v>18</v>
      </c>
      <c r="C292" s="9">
        <v>1</v>
      </c>
      <c r="D292" s="109"/>
      <c r="E292" s="81">
        <f t="shared" si="34"/>
        <v>1</v>
      </c>
      <c r="F292" s="18">
        <v>46190</v>
      </c>
      <c r="H292" s="71"/>
      <c r="I292" s="62"/>
      <c r="J292" s="29"/>
      <c r="K292" s="82">
        <f t="shared" si="35"/>
        <v>0</v>
      </c>
    </row>
    <row r="293" spans="2:11" x14ac:dyDescent="0.15">
      <c r="B293" s="8"/>
      <c r="C293" s="9"/>
      <c r="D293" s="109"/>
      <c r="E293" s="81">
        <f t="shared" si="34"/>
        <v>0</v>
      </c>
      <c r="F293" s="18"/>
      <c r="H293" s="71"/>
      <c r="I293" s="62"/>
      <c r="J293" s="29"/>
      <c r="K293" s="82">
        <f t="shared" si="35"/>
        <v>0</v>
      </c>
    </row>
    <row r="294" spans="2:11" x14ac:dyDescent="0.15">
      <c r="B294" s="8"/>
      <c r="C294" s="9"/>
      <c r="D294" s="109"/>
      <c r="E294" s="81">
        <f t="shared" si="34"/>
        <v>0</v>
      </c>
      <c r="F294" s="18"/>
      <c r="H294" s="71"/>
      <c r="I294" s="62"/>
      <c r="J294" s="29"/>
      <c r="K294" s="82">
        <f t="shared" si="35"/>
        <v>0</v>
      </c>
    </row>
    <row r="295" spans="2:11" x14ac:dyDescent="0.15">
      <c r="B295" s="8"/>
      <c r="C295" s="9"/>
      <c r="D295" s="109"/>
      <c r="E295" s="81">
        <f t="shared" si="34"/>
        <v>0</v>
      </c>
      <c r="F295" s="18"/>
      <c r="H295" s="71"/>
      <c r="I295" s="62"/>
      <c r="J295" s="29"/>
      <c r="K295" s="82">
        <f t="shared" si="35"/>
        <v>0</v>
      </c>
    </row>
    <row r="296" spans="2:11" x14ac:dyDescent="0.15">
      <c r="B296" s="8"/>
      <c r="C296" s="9"/>
      <c r="D296" s="109"/>
      <c r="E296" s="81">
        <f t="shared" si="34"/>
        <v>0</v>
      </c>
      <c r="F296" s="18"/>
      <c r="H296" s="71"/>
      <c r="I296" s="62"/>
      <c r="J296" s="29"/>
      <c r="K296" s="82">
        <f t="shared" si="35"/>
        <v>0</v>
      </c>
    </row>
    <row r="297" spans="2:11" x14ac:dyDescent="0.15">
      <c r="B297" s="8"/>
      <c r="C297" s="9"/>
      <c r="D297" s="109"/>
      <c r="E297" s="81">
        <f t="shared" si="34"/>
        <v>0</v>
      </c>
      <c r="F297" s="18"/>
      <c r="H297" s="71"/>
      <c r="I297" s="62"/>
      <c r="J297" s="29"/>
      <c r="K297" s="82">
        <f t="shared" si="35"/>
        <v>0</v>
      </c>
    </row>
    <row r="298" spans="2:11" x14ac:dyDescent="0.15">
      <c r="B298" s="8"/>
      <c r="C298" s="9"/>
      <c r="D298" s="109"/>
      <c r="E298" s="81">
        <f t="shared" si="34"/>
        <v>0</v>
      </c>
      <c r="F298" s="18"/>
      <c r="H298" s="71"/>
      <c r="I298" s="62"/>
      <c r="J298" s="29"/>
      <c r="K298" s="82">
        <f t="shared" si="35"/>
        <v>0</v>
      </c>
    </row>
    <row r="299" spans="2:11" x14ac:dyDescent="0.15">
      <c r="B299" s="8"/>
      <c r="C299" s="9"/>
      <c r="D299" s="109"/>
      <c r="E299" s="81">
        <f t="shared" si="34"/>
        <v>0</v>
      </c>
      <c r="F299" s="18"/>
      <c r="H299" s="71"/>
      <c r="I299" s="62"/>
      <c r="J299" s="29"/>
      <c r="K299" s="82">
        <f t="shared" si="35"/>
        <v>0</v>
      </c>
    </row>
    <row r="300" spans="2:11" ht="14.25" thickBot="1" x14ac:dyDescent="0.2">
      <c r="B300" s="8"/>
      <c r="C300" s="9"/>
      <c r="D300" s="109"/>
      <c r="E300" s="81">
        <f t="shared" si="34"/>
        <v>0</v>
      </c>
      <c r="F300" s="91"/>
      <c r="H300" s="71"/>
      <c r="I300" s="62"/>
      <c r="J300" s="29"/>
      <c r="K300" s="82">
        <f t="shared" si="35"/>
        <v>0</v>
      </c>
    </row>
    <row r="301" spans="2:11" ht="14.25" thickBot="1" x14ac:dyDescent="0.2">
      <c r="B301" s="37" t="s">
        <v>2</v>
      </c>
      <c r="C301" s="38">
        <f>SUM(C276:C300)</f>
        <v>43</v>
      </c>
      <c r="D301" s="92">
        <f>SUM(D276:D300)</f>
        <v>0</v>
      </c>
      <c r="E301" s="83">
        <f>SUM(C301:D301)</f>
        <v>43</v>
      </c>
      <c r="H301" s="37" t="s">
        <v>2</v>
      </c>
      <c r="I301" s="105">
        <f>SUM(I276:I300)</f>
        <v>48</v>
      </c>
      <c r="J301" s="92">
        <f>SUM(J276:J300)</f>
        <v>0</v>
      </c>
      <c r="K301" s="83">
        <f>SUM(I301:J301)</f>
        <v>48</v>
      </c>
    </row>
    <row r="302" spans="2:11" ht="14.25" thickBot="1" x14ac:dyDescent="0.2">
      <c r="B302" s="41" t="s">
        <v>3</v>
      </c>
      <c r="C302" s="42">
        <f>+C275-C301</f>
        <v>23</v>
      </c>
      <c r="D302" s="93">
        <f>+D275-D301</f>
        <v>0</v>
      </c>
      <c r="E302" s="80">
        <f>SUM(C302:D302)</f>
        <v>23</v>
      </c>
      <c r="H302" s="41" t="s">
        <v>3</v>
      </c>
      <c r="I302" s="106">
        <f>+I275-I301</f>
        <v>0</v>
      </c>
      <c r="J302" s="93">
        <f>+J275-J301</f>
        <v>0</v>
      </c>
      <c r="K302" s="80">
        <f>SUM(I302:J302)</f>
        <v>0</v>
      </c>
    </row>
  </sheetData>
  <mergeCells count="16">
    <mergeCell ref="C269:E269"/>
    <mergeCell ref="I269:K269"/>
    <mergeCell ref="C117:E117"/>
    <mergeCell ref="I117:K117"/>
    <mergeCell ref="C3:E3"/>
    <mergeCell ref="C41:E41"/>
    <mergeCell ref="I3:K3"/>
    <mergeCell ref="I41:K41"/>
    <mergeCell ref="C79:E79"/>
    <mergeCell ref="I79:K79"/>
    <mergeCell ref="C231:E231"/>
    <mergeCell ref="I231:K231"/>
    <mergeCell ref="C193:E193"/>
    <mergeCell ref="I193:K193"/>
    <mergeCell ref="C155:E155"/>
    <mergeCell ref="I155:K155"/>
  </mergeCells>
  <phoneticPr fontId="1"/>
  <pageMargins left="0.78700000000000003" right="0.78700000000000003" top="0.98399999999999999" bottom="0.98399999999999999" header="0.51200000000000001" footer="0.51200000000000001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ウエストウォーマー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AT MR</cp:lastModifiedBy>
  <dcterms:created xsi:type="dcterms:W3CDTF">1997-01-08T22:48:59Z</dcterms:created>
  <dcterms:modified xsi:type="dcterms:W3CDTF">2026-06-17T04:40:27Z</dcterms:modified>
</cp:coreProperties>
</file>